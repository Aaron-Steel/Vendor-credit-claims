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cgear.sharepoint.com/sites/Product/Files/ADMIN FOLDER/Promo Forms and Brand Claims/"/>
    </mc:Choice>
  </mc:AlternateContent>
  <xr:revisionPtr revIDLastSave="1819" documentId="8_{56DFB1E6-99EF-544E-97B9-3841CC82F863}" xr6:coauthVersionLast="47" xr6:coauthVersionMax="47" xr10:uidLastSave="{4A919ABF-7961-5349-9C26-2A9230253723}"/>
  <bookViews>
    <workbookView xWindow="-20" yWindow="780" windowWidth="34200" windowHeight="19760" xr2:uid="{D7B7AAA3-4846-8540-8E38-4AD6CD62D704}"/>
  </bookViews>
  <sheets>
    <sheet name="Promo Form" sheetId="1" r:id="rId1"/>
    <sheet name="Sales Copy" sheetId="6" r:id="rId2"/>
    <sheet name="Vendor Copy" sheetId="7" r:id="rId3"/>
    <sheet name="Data Validation" sheetId="3" r:id="rId4"/>
    <sheet name="Master Price Level" sheetId="5" r:id="rId5"/>
    <sheet name="ST" sheetId="12" r:id="rId6"/>
    <sheet name="Sell_Through" sheetId="11" state="hidden" r:id="rId7"/>
    <sheet name="Sell Through" sheetId="9" state="hidden" r:id="rId8"/>
  </sheets>
  <definedNames>
    <definedName name="ExternalData_1" localSheetId="4" hidden="1">'Master Price Level'!$A$1:$AC$1761</definedName>
    <definedName name="ExternalData_1" localSheetId="6" hidden="1">Sell_Through!$A$1:$P$3824</definedName>
    <definedName name="ExternalData_1" localSheetId="5" hidden="1">ST!$A$1:$G$3278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49" i="7" l="1"/>
  <c r="C49" i="7"/>
  <c r="AL48" i="7"/>
  <c r="C48" i="7"/>
  <c r="AL47" i="7"/>
  <c r="C47" i="7"/>
  <c r="AL46" i="7"/>
  <c r="C46" i="7"/>
  <c r="AL45" i="7"/>
  <c r="C45" i="7"/>
  <c r="AL44" i="7"/>
  <c r="C44" i="7"/>
  <c r="AL43" i="7"/>
  <c r="C43" i="7"/>
  <c r="AL42" i="7"/>
  <c r="C42" i="7"/>
  <c r="AL41" i="7"/>
  <c r="C41" i="7"/>
  <c r="AL40" i="7"/>
  <c r="C40" i="7"/>
  <c r="AL39" i="7"/>
  <c r="C39" i="7"/>
  <c r="AL38" i="7"/>
  <c r="C38" i="7"/>
  <c r="AL37" i="7"/>
  <c r="C37" i="7"/>
  <c r="AL36" i="7"/>
  <c r="C36" i="7"/>
  <c r="AL35" i="7"/>
  <c r="C35" i="7"/>
  <c r="AL34" i="7"/>
  <c r="C34" i="7"/>
  <c r="AL33" i="7"/>
  <c r="C33" i="7"/>
  <c r="AL32" i="7"/>
  <c r="C32" i="7"/>
  <c r="AL31" i="7"/>
  <c r="C31" i="7"/>
  <c r="AL30" i="7"/>
  <c r="C30" i="7"/>
  <c r="AL29" i="7"/>
  <c r="C29" i="7"/>
  <c r="AL28" i="7"/>
  <c r="C28" i="7"/>
  <c r="AL27" i="7"/>
  <c r="C27" i="7"/>
  <c r="AL26" i="7"/>
  <c r="C26" i="7"/>
  <c r="AL25" i="7"/>
  <c r="C25" i="7"/>
  <c r="AL24" i="7"/>
  <c r="C24" i="7"/>
  <c r="AL23" i="7"/>
  <c r="C23" i="7"/>
  <c r="AL22" i="7"/>
  <c r="C22" i="7"/>
  <c r="AL21" i="7"/>
  <c r="C21" i="7"/>
  <c r="AL20" i="7"/>
  <c r="C20" i="7"/>
  <c r="AL19" i="7"/>
  <c r="C19" i="7"/>
  <c r="AL18" i="7"/>
  <c r="C18" i="7"/>
  <c r="AL17" i="7"/>
  <c r="C17" i="7"/>
  <c r="AL16" i="7"/>
  <c r="C16" i="7"/>
  <c r="AL15" i="7"/>
  <c r="C15" i="7"/>
  <c r="AL14" i="7"/>
  <c r="C14" i="7"/>
  <c r="AL13" i="7"/>
  <c r="C13" i="7"/>
  <c r="AL12" i="7"/>
  <c r="C12" i="7"/>
  <c r="AL11" i="7"/>
  <c r="C11" i="7"/>
  <c r="AL10" i="7"/>
  <c r="C10" i="7"/>
  <c r="AL9" i="7"/>
  <c r="C9" i="7"/>
  <c r="AL8" i="7"/>
  <c r="C8" i="7"/>
  <c r="AL7" i="7"/>
  <c r="C7" i="7"/>
  <c r="BN49" i="6"/>
  <c r="C49" i="6"/>
  <c r="BN48" i="6"/>
  <c r="C48" i="6"/>
  <c r="BN47" i="6"/>
  <c r="C47" i="6"/>
  <c r="BN46" i="6"/>
  <c r="C46" i="6"/>
  <c r="BN45" i="6"/>
  <c r="C45" i="6"/>
  <c r="BN44" i="6"/>
  <c r="C44" i="6"/>
  <c r="BN43" i="6"/>
  <c r="C43" i="6"/>
  <c r="BN42" i="6"/>
  <c r="C42" i="6"/>
  <c r="BN41" i="6"/>
  <c r="C41" i="6"/>
  <c r="BN40" i="6"/>
  <c r="C40" i="6"/>
  <c r="BN39" i="6"/>
  <c r="C39" i="6"/>
  <c r="BN38" i="6"/>
  <c r="C38" i="6"/>
  <c r="BN37" i="6"/>
  <c r="C37" i="6"/>
  <c r="BN36" i="6"/>
  <c r="C36" i="6"/>
  <c r="BN35" i="6"/>
  <c r="C35" i="6"/>
  <c r="BN34" i="6"/>
  <c r="C34" i="6"/>
  <c r="BN33" i="6"/>
  <c r="C33" i="6"/>
  <c r="BN32" i="6"/>
  <c r="C32" i="6"/>
  <c r="BN31" i="6"/>
  <c r="C31" i="6"/>
  <c r="BN30" i="6"/>
  <c r="C30" i="6"/>
  <c r="BN29" i="6"/>
  <c r="C29" i="6"/>
  <c r="BN28" i="6"/>
  <c r="C28" i="6"/>
  <c r="BN27" i="6"/>
  <c r="C27" i="6"/>
  <c r="BN26" i="6"/>
  <c r="C26" i="6"/>
  <c r="BN25" i="6"/>
  <c r="C25" i="6"/>
  <c r="BN24" i="6"/>
  <c r="C24" i="6"/>
  <c r="BN23" i="6"/>
  <c r="C23" i="6"/>
  <c r="BN22" i="6"/>
  <c r="C22" i="6"/>
  <c r="BN21" i="6"/>
  <c r="C21" i="6"/>
  <c r="BN20" i="6"/>
  <c r="C20" i="6"/>
  <c r="BN19" i="6"/>
  <c r="C19" i="6"/>
  <c r="BN18" i="6"/>
  <c r="C18" i="6"/>
  <c r="BN17" i="6"/>
  <c r="C17" i="6"/>
  <c r="BN16" i="6"/>
  <c r="C16" i="6"/>
  <c r="BN15" i="6"/>
  <c r="C15" i="6"/>
  <c r="BN14" i="6"/>
  <c r="C14" i="6"/>
  <c r="BN13" i="6"/>
  <c r="C13" i="6"/>
  <c r="BN12" i="6"/>
  <c r="C12" i="6"/>
  <c r="BN11" i="6"/>
  <c r="C11" i="6"/>
  <c r="BN10" i="6"/>
  <c r="C10" i="6"/>
  <c r="BN9" i="6"/>
  <c r="C9" i="6"/>
  <c r="BN8" i="6"/>
  <c r="C8" i="6"/>
  <c r="BN7" i="6"/>
  <c r="C7" i="6"/>
  <c r="CU49" i="1"/>
  <c r="BL49" i="6" s="1"/>
  <c r="CS49" i="1"/>
  <c r="BJ49" i="6" s="1"/>
  <c r="CN49" i="1" a="1"/>
  <c r="CN49" i="1" s="1"/>
  <c r="CM49" i="1" a="1"/>
  <c r="CM49" i="1" s="1"/>
  <c r="CG49" i="1" a="1"/>
  <c r="CG49" i="1" s="1"/>
  <c r="BC49" i="6" s="1"/>
  <c r="CF49" i="1" a="1"/>
  <c r="CF49" i="1" s="1"/>
  <c r="BB49" i="6" s="1"/>
  <c r="CA49" i="1" a="1"/>
  <c r="CA49" i="1" s="1"/>
  <c r="BZ49" i="1" a="1"/>
  <c r="BZ49" i="1" s="1"/>
  <c r="BT49" i="1" a="1"/>
  <c r="BT49" i="1" s="1"/>
  <c r="AU49" i="6" s="1"/>
  <c r="BS49" i="1" a="1"/>
  <c r="BS49" i="1" s="1"/>
  <c r="AT49" i="6" s="1"/>
  <c r="BN49" i="1" a="1"/>
  <c r="BN49" i="1" s="1"/>
  <c r="BM49" i="1" a="1"/>
  <c r="BM49" i="1" s="1"/>
  <c r="BG49" i="1" a="1"/>
  <c r="BG49" i="1" s="1"/>
  <c r="AM49" i="6" s="1"/>
  <c r="BF49" i="1" a="1"/>
  <c r="BF49" i="1" s="1"/>
  <c r="AL49" i="6" s="1"/>
  <c r="BA49" i="1" a="1"/>
  <c r="BA49" i="1" s="1"/>
  <c r="AZ49" i="1" a="1"/>
  <c r="AZ49" i="1" s="1"/>
  <c r="AT49" i="1" a="1"/>
  <c r="AT49" i="1" s="1"/>
  <c r="AE49" i="6" s="1"/>
  <c r="AS49" i="1" a="1"/>
  <c r="AS49" i="1" s="1"/>
  <c r="AD49" i="6" s="1"/>
  <c r="AN49" i="1" a="1"/>
  <c r="AN49" i="1" s="1"/>
  <c r="AM49" i="1" a="1"/>
  <c r="AM49" i="1" s="1"/>
  <c r="AG49" i="1" a="1"/>
  <c r="AG49" i="1" s="1"/>
  <c r="W49" i="6" s="1"/>
  <c r="AF49" i="1" a="1"/>
  <c r="AF49" i="1" s="1"/>
  <c r="V49" i="6" s="1"/>
  <c r="AA49" i="1" a="1"/>
  <c r="AA49" i="1" s="1"/>
  <c r="Z49" i="1" a="1"/>
  <c r="Z49" i="1" s="1"/>
  <c r="T49" i="1" a="1"/>
  <c r="T49" i="1" s="1"/>
  <c r="S49" i="1" a="1"/>
  <c r="S49" i="1" s="1"/>
  <c r="N49" i="6" s="1"/>
  <c r="N49" i="1" a="1"/>
  <c r="N49" i="1" s="1"/>
  <c r="M49" i="1" a="1"/>
  <c r="M49" i="1" s="1"/>
  <c r="G49" i="1" a="1"/>
  <c r="G49" i="1" s="1"/>
  <c r="G49" i="6" s="1"/>
  <c r="F49" i="1" a="1"/>
  <c r="F49" i="1" s="1"/>
  <c r="F49" i="6" s="1"/>
  <c r="D49" i="1"/>
  <c r="D49" i="6" s="1"/>
  <c r="B49" i="1"/>
  <c r="A49" i="1"/>
  <c r="CU48" i="1"/>
  <c r="CS48" i="1"/>
  <c r="CN48" i="1" a="1"/>
  <c r="CN48" i="1" s="1"/>
  <c r="CM48" i="1" a="1"/>
  <c r="CM48" i="1" s="1"/>
  <c r="CG48" i="1" a="1"/>
  <c r="CG48" i="1" s="1"/>
  <c r="BC48" i="6" s="1"/>
  <c r="CF48" i="1" a="1"/>
  <c r="CF48" i="1" s="1"/>
  <c r="BB48" i="6" s="1"/>
  <c r="CA48" i="1" a="1"/>
  <c r="CA48" i="1" s="1"/>
  <c r="BZ48" i="1" a="1"/>
  <c r="BZ48" i="1" s="1"/>
  <c r="BT48" i="1" a="1"/>
  <c r="BT48" i="1" s="1"/>
  <c r="BS48" i="1" a="1"/>
  <c r="BS48" i="1" s="1"/>
  <c r="AT48" i="6" s="1"/>
  <c r="BN48" i="1" a="1"/>
  <c r="BN48" i="1" s="1"/>
  <c r="BM48" i="1" a="1"/>
  <c r="BM48" i="1" s="1"/>
  <c r="BG48" i="1" a="1"/>
  <c r="BG48" i="1" s="1"/>
  <c r="AM48" i="6" s="1"/>
  <c r="BF48" i="1" a="1"/>
  <c r="BF48" i="1" s="1"/>
  <c r="AL48" i="6" s="1"/>
  <c r="BA48" i="1" a="1"/>
  <c r="BA48" i="1" s="1"/>
  <c r="AZ48" i="1" a="1"/>
  <c r="AZ48" i="1" s="1"/>
  <c r="AT48" i="1" a="1"/>
  <c r="AT48" i="1" s="1"/>
  <c r="AE48" i="6" s="1"/>
  <c r="AS48" i="1" a="1"/>
  <c r="AS48" i="1" s="1"/>
  <c r="AD48" i="6" s="1"/>
  <c r="AN48" i="1" a="1"/>
  <c r="AN48" i="1" s="1"/>
  <c r="AM48" i="1" a="1"/>
  <c r="AM48" i="1" s="1"/>
  <c r="AG48" i="1" a="1"/>
  <c r="AG48" i="1" s="1"/>
  <c r="W48" i="6" s="1"/>
  <c r="AF48" i="1" a="1"/>
  <c r="AF48" i="1" s="1"/>
  <c r="V48" i="6" s="1"/>
  <c r="AA48" i="1" a="1"/>
  <c r="AA48" i="1" s="1"/>
  <c r="Z48" i="1" a="1"/>
  <c r="Z48" i="1" s="1"/>
  <c r="T48" i="1" a="1"/>
  <c r="T48" i="1" s="1"/>
  <c r="O48" i="6" s="1"/>
  <c r="S48" i="1" a="1"/>
  <c r="S48" i="1" s="1"/>
  <c r="N48" i="6" s="1"/>
  <c r="N48" i="1" a="1"/>
  <c r="N48" i="1" s="1"/>
  <c r="M48" i="1" a="1"/>
  <c r="M48" i="1" s="1"/>
  <c r="G48" i="1" a="1"/>
  <c r="G48" i="1" s="1"/>
  <c r="K48" i="1" s="1"/>
  <c r="I48" i="6" s="1"/>
  <c r="F48" i="1" a="1"/>
  <c r="F48" i="1" s="1"/>
  <c r="F48" i="6" s="1"/>
  <c r="D48" i="1"/>
  <c r="D48" i="6" s="1"/>
  <c r="B48" i="1"/>
  <c r="B48" i="7" s="1"/>
  <c r="A48" i="1"/>
  <c r="CU47" i="1"/>
  <c r="BL47" i="6" s="1"/>
  <c r="CS47" i="1"/>
  <c r="CN47" i="1" a="1"/>
  <c r="CN47" i="1" s="1"/>
  <c r="CM47" i="1" a="1"/>
  <c r="CM47" i="1" s="1"/>
  <c r="CG47" i="1" a="1"/>
  <c r="CG47" i="1" s="1"/>
  <c r="BC47" i="6" s="1"/>
  <c r="CF47" i="1" a="1"/>
  <c r="CF47" i="1" s="1"/>
  <c r="BB47" i="6" s="1"/>
  <c r="CA47" i="1" a="1"/>
  <c r="CA47" i="1" s="1"/>
  <c r="BZ47" i="1" a="1"/>
  <c r="BZ47" i="1" s="1"/>
  <c r="BT47" i="1" a="1"/>
  <c r="BT47" i="1" s="1"/>
  <c r="AU47" i="6" s="1"/>
  <c r="BS47" i="1" a="1"/>
  <c r="BS47" i="1" s="1"/>
  <c r="AT47" i="6" s="1"/>
  <c r="BN47" i="1" a="1"/>
  <c r="BN47" i="1" s="1"/>
  <c r="BM47" i="1" a="1"/>
  <c r="BM47" i="1" s="1"/>
  <c r="BG47" i="1" a="1"/>
  <c r="BG47" i="1" s="1"/>
  <c r="AM47" i="6" s="1"/>
  <c r="BF47" i="1" a="1"/>
  <c r="BF47" i="1" s="1"/>
  <c r="AL47" i="6" s="1"/>
  <c r="BA47" i="1" a="1"/>
  <c r="BA47" i="1" s="1"/>
  <c r="AZ47" i="1" a="1"/>
  <c r="AZ47" i="1" s="1"/>
  <c r="AT47" i="1" a="1"/>
  <c r="AT47" i="1" s="1"/>
  <c r="AE47" i="6" s="1"/>
  <c r="AS47" i="1" a="1"/>
  <c r="AS47" i="1" s="1"/>
  <c r="AD47" i="6" s="1"/>
  <c r="AN47" i="1" a="1"/>
  <c r="AN47" i="1" s="1"/>
  <c r="AM47" i="1" a="1"/>
  <c r="AM47" i="1" s="1"/>
  <c r="AG47" i="1" a="1"/>
  <c r="AG47" i="1" s="1"/>
  <c r="AF47" i="1" a="1"/>
  <c r="AF47" i="1" s="1"/>
  <c r="V47" i="6" s="1"/>
  <c r="AA47" i="1" a="1"/>
  <c r="AA47" i="1" s="1"/>
  <c r="Z47" i="1" a="1"/>
  <c r="Z47" i="1" s="1"/>
  <c r="T47" i="1" a="1"/>
  <c r="T47" i="1" s="1"/>
  <c r="S47" i="1" a="1"/>
  <c r="S47" i="1" s="1"/>
  <c r="N47" i="6" s="1"/>
  <c r="N47" i="1" a="1"/>
  <c r="N47" i="1" s="1"/>
  <c r="M47" i="1" a="1"/>
  <c r="M47" i="1" s="1"/>
  <c r="G47" i="1" a="1"/>
  <c r="G47" i="1" s="1"/>
  <c r="F47" i="1" a="1"/>
  <c r="F47" i="1" s="1"/>
  <c r="F47" i="6" s="1"/>
  <c r="D47" i="1"/>
  <c r="D47" i="6" s="1"/>
  <c r="B47" i="1"/>
  <c r="B47" i="7" s="1"/>
  <c r="A47" i="1"/>
  <c r="CU46" i="1"/>
  <c r="BL46" i="6" s="1"/>
  <c r="CS46" i="1"/>
  <c r="CN46" i="1" a="1"/>
  <c r="CN46" i="1" s="1"/>
  <c r="CM46" i="1" a="1"/>
  <c r="CM46" i="1" s="1"/>
  <c r="CG46" i="1" a="1"/>
  <c r="CG46" i="1" s="1"/>
  <c r="BC46" i="6" s="1"/>
  <c r="CF46" i="1" a="1"/>
  <c r="CF46" i="1" s="1"/>
  <c r="BB46" i="6" s="1"/>
  <c r="CA46" i="1" a="1"/>
  <c r="CA46" i="1" s="1"/>
  <c r="BZ46" i="1" a="1"/>
  <c r="BZ46" i="1" s="1"/>
  <c r="BT46" i="1" a="1"/>
  <c r="BT46" i="1" s="1"/>
  <c r="AU46" i="6" s="1"/>
  <c r="BS46" i="1" a="1"/>
  <c r="BS46" i="1" s="1"/>
  <c r="AT46" i="6" s="1"/>
  <c r="BN46" i="1" a="1"/>
  <c r="BN46" i="1" s="1"/>
  <c r="BM46" i="1" a="1"/>
  <c r="BM46" i="1" s="1"/>
  <c r="BG46" i="1" a="1"/>
  <c r="BG46" i="1" s="1"/>
  <c r="AM46" i="6" s="1"/>
  <c r="BF46" i="1" a="1"/>
  <c r="BF46" i="1" s="1"/>
  <c r="AL46" i="6" s="1"/>
  <c r="BA46" i="1" a="1"/>
  <c r="BA46" i="1" s="1"/>
  <c r="AZ46" i="1" a="1"/>
  <c r="AZ46" i="1" s="1"/>
  <c r="AT46" i="1" a="1"/>
  <c r="AT46" i="1" s="1"/>
  <c r="AE46" i="6" s="1"/>
  <c r="AS46" i="1" a="1"/>
  <c r="AS46" i="1" s="1"/>
  <c r="AD46" i="6" s="1"/>
  <c r="AN46" i="1" a="1"/>
  <c r="AN46" i="1" s="1"/>
  <c r="AM46" i="1" a="1"/>
  <c r="AM46" i="1" s="1"/>
  <c r="AG46" i="1" a="1"/>
  <c r="AG46" i="1" s="1"/>
  <c r="W46" i="6" s="1"/>
  <c r="AF46" i="1" a="1"/>
  <c r="AF46" i="1" s="1"/>
  <c r="V46" i="6" s="1"/>
  <c r="AA46" i="1" a="1"/>
  <c r="AA46" i="1" s="1"/>
  <c r="Z46" i="1" a="1"/>
  <c r="Z46" i="1" s="1"/>
  <c r="T46" i="1" a="1"/>
  <c r="T46" i="1" s="1"/>
  <c r="S46" i="1" a="1"/>
  <c r="S46" i="1" s="1"/>
  <c r="N46" i="6" s="1"/>
  <c r="N46" i="1" a="1"/>
  <c r="N46" i="1" s="1"/>
  <c r="M46" i="1" a="1"/>
  <c r="M46" i="1" s="1"/>
  <c r="G46" i="1" a="1"/>
  <c r="G46" i="1" s="1"/>
  <c r="F46" i="1" a="1"/>
  <c r="F46" i="1" s="1"/>
  <c r="F46" i="6" s="1"/>
  <c r="D46" i="1"/>
  <c r="D46" i="7" s="1"/>
  <c r="B46" i="1"/>
  <c r="A46" i="1"/>
  <c r="A46" i="7" s="1"/>
  <c r="CU45" i="1"/>
  <c r="CS45" i="1"/>
  <c r="BJ45" i="6" s="1"/>
  <c r="CN45" i="1" a="1"/>
  <c r="CN45" i="1" s="1"/>
  <c r="CM45" i="1" a="1"/>
  <c r="CM45" i="1" s="1"/>
  <c r="CG45" i="1" a="1"/>
  <c r="CG45" i="1" s="1"/>
  <c r="BC45" i="6" s="1"/>
  <c r="CF45" i="1" a="1"/>
  <c r="CF45" i="1" s="1"/>
  <c r="BB45" i="6" s="1"/>
  <c r="CA45" i="1" a="1"/>
  <c r="CA45" i="1" s="1"/>
  <c r="BZ45" i="1" a="1"/>
  <c r="BZ45" i="1" s="1"/>
  <c r="BT45" i="1" a="1"/>
  <c r="BT45" i="1" s="1"/>
  <c r="AU45" i="6" s="1"/>
  <c r="BS45" i="1" a="1"/>
  <c r="BS45" i="1" s="1"/>
  <c r="AT45" i="6" s="1"/>
  <c r="BN45" i="1" a="1"/>
  <c r="BN45" i="1" s="1"/>
  <c r="BM45" i="1" a="1"/>
  <c r="BM45" i="1" s="1"/>
  <c r="BG45" i="1" a="1"/>
  <c r="BG45" i="1" s="1"/>
  <c r="AM45" i="6" s="1"/>
  <c r="BF45" i="1" a="1"/>
  <c r="BF45" i="1" s="1"/>
  <c r="AL45" i="6" s="1"/>
  <c r="BA45" i="1" a="1"/>
  <c r="BA45" i="1" s="1"/>
  <c r="AZ45" i="1" a="1"/>
  <c r="AZ45" i="1" s="1"/>
  <c r="AT45" i="1" a="1"/>
  <c r="AT45" i="1" s="1"/>
  <c r="AE45" i="6" s="1"/>
  <c r="AS45" i="1" a="1"/>
  <c r="AS45" i="1" s="1"/>
  <c r="AD45" i="6" s="1"/>
  <c r="AN45" i="1" a="1"/>
  <c r="AN45" i="1" s="1"/>
  <c r="AM45" i="1" a="1"/>
  <c r="AM45" i="1" s="1"/>
  <c r="AG45" i="1" a="1"/>
  <c r="AG45" i="1" s="1"/>
  <c r="W45" i="6" s="1"/>
  <c r="AF45" i="1" a="1"/>
  <c r="AF45" i="1" s="1"/>
  <c r="V45" i="6" s="1"/>
  <c r="AA45" i="1" a="1"/>
  <c r="AA45" i="1" s="1"/>
  <c r="Z45" i="1" a="1"/>
  <c r="Z45" i="1" s="1"/>
  <c r="T45" i="1" a="1"/>
  <c r="T45" i="1" s="1"/>
  <c r="O45" i="6" s="1"/>
  <c r="S45" i="1" a="1"/>
  <c r="S45" i="1" s="1"/>
  <c r="N45" i="6" s="1"/>
  <c r="N45" i="1" a="1"/>
  <c r="N45" i="1" s="1"/>
  <c r="M45" i="1" a="1"/>
  <c r="M45" i="1" s="1"/>
  <c r="G45" i="1" a="1"/>
  <c r="G45" i="1" s="1"/>
  <c r="G45" i="6" s="1"/>
  <c r="F45" i="1" a="1"/>
  <c r="F45" i="1" s="1"/>
  <c r="F45" i="6" s="1"/>
  <c r="D45" i="1"/>
  <c r="D45" i="7" s="1"/>
  <c r="B45" i="1"/>
  <c r="B45" i="7" s="1"/>
  <c r="A45" i="1"/>
  <c r="CU44" i="1"/>
  <c r="CS44" i="1"/>
  <c r="AH44" i="7" s="1"/>
  <c r="CN44" i="1" a="1"/>
  <c r="CN44" i="1" s="1"/>
  <c r="CM44" i="1" a="1"/>
  <c r="CM44" i="1" s="1"/>
  <c r="CG44" i="1" a="1"/>
  <c r="CG44" i="1" s="1"/>
  <c r="BC44" i="6" s="1"/>
  <c r="CF44" i="1" a="1"/>
  <c r="CF44" i="1" s="1"/>
  <c r="BB44" i="6" s="1"/>
  <c r="CA44" i="1" a="1"/>
  <c r="CA44" i="1" s="1"/>
  <c r="BZ44" i="1" a="1"/>
  <c r="BZ44" i="1" s="1"/>
  <c r="BT44" i="1" a="1"/>
  <c r="BT44" i="1" s="1"/>
  <c r="BS44" i="1" a="1"/>
  <c r="BS44" i="1" s="1"/>
  <c r="AT44" i="6" s="1"/>
  <c r="BN44" i="1" a="1"/>
  <c r="BN44" i="1" s="1"/>
  <c r="BM44" i="1" a="1"/>
  <c r="BM44" i="1" s="1"/>
  <c r="BG44" i="1" a="1"/>
  <c r="BG44" i="1" s="1"/>
  <c r="AM44" i="6" s="1"/>
  <c r="BF44" i="1" a="1"/>
  <c r="BF44" i="1" s="1"/>
  <c r="AL44" i="6" s="1"/>
  <c r="BA44" i="1" a="1"/>
  <c r="BA44" i="1" s="1"/>
  <c r="AZ44" i="1" a="1"/>
  <c r="AZ44" i="1" s="1"/>
  <c r="AT44" i="1" a="1"/>
  <c r="AT44" i="1" s="1"/>
  <c r="AE44" i="6" s="1"/>
  <c r="AS44" i="1" a="1"/>
  <c r="AS44" i="1" s="1"/>
  <c r="AD44" i="6" s="1"/>
  <c r="AN44" i="1" a="1"/>
  <c r="AN44" i="1" s="1"/>
  <c r="AM44" i="1" a="1"/>
  <c r="AM44" i="1" s="1"/>
  <c r="AG44" i="1" a="1"/>
  <c r="AG44" i="1" s="1"/>
  <c r="W44" i="6" s="1"/>
  <c r="AF44" i="1" a="1"/>
  <c r="AF44" i="1" s="1"/>
  <c r="V44" i="6" s="1"/>
  <c r="AA44" i="1" a="1"/>
  <c r="AA44" i="1" s="1"/>
  <c r="Z44" i="1" a="1"/>
  <c r="Z44" i="1" s="1"/>
  <c r="T44" i="1" a="1"/>
  <c r="T44" i="1" s="1"/>
  <c r="O44" i="6" s="1"/>
  <c r="S44" i="1" a="1"/>
  <c r="S44" i="1" s="1"/>
  <c r="N44" i="6" s="1"/>
  <c r="N44" i="1" a="1"/>
  <c r="N44" i="1" s="1"/>
  <c r="M44" i="1" a="1"/>
  <c r="M44" i="1" s="1"/>
  <c r="G44" i="1" a="1"/>
  <c r="G44" i="1" s="1"/>
  <c r="G44" i="6" s="1"/>
  <c r="F44" i="1" a="1"/>
  <c r="F44" i="1" s="1"/>
  <c r="F44" i="6" s="1"/>
  <c r="D44" i="1"/>
  <c r="D44" i="6" s="1"/>
  <c r="B44" i="1"/>
  <c r="B44" i="7" s="1"/>
  <c r="A44" i="1"/>
  <c r="A44" i="7" s="1"/>
  <c r="CU43" i="1"/>
  <c r="CS43" i="1"/>
  <c r="BJ43" i="6" s="1"/>
  <c r="CN43" i="1" a="1"/>
  <c r="CN43" i="1" s="1"/>
  <c r="CM43" i="1" a="1"/>
  <c r="CM43" i="1" s="1"/>
  <c r="CG43" i="1" a="1"/>
  <c r="CG43" i="1" s="1"/>
  <c r="BC43" i="6" s="1"/>
  <c r="CF43" i="1" a="1"/>
  <c r="CF43" i="1" s="1"/>
  <c r="BB43" i="6" s="1"/>
  <c r="CA43" i="1" a="1"/>
  <c r="CA43" i="1" s="1"/>
  <c r="BZ43" i="1" a="1"/>
  <c r="BZ43" i="1" s="1"/>
  <c r="BT43" i="1" a="1"/>
  <c r="BT43" i="1" s="1"/>
  <c r="AU43" i="6" s="1"/>
  <c r="BS43" i="1" a="1"/>
  <c r="BS43" i="1" s="1"/>
  <c r="AT43" i="6" s="1"/>
  <c r="BN43" i="1" a="1"/>
  <c r="BN43" i="1" s="1"/>
  <c r="BM43" i="1" a="1"/>
  <c r="BM43" i="1" s="1"/>
  <c r="BG43" i="1" a="1"/>
  <c r="BG43" i="1" s="1"/>
  <c r="AM43" i="6" s="1"/>
  <c r="BF43" i="1" a="1"/>
  <c r="BF43" i="1" s="1"/>
  <c r="AL43" i="6" s="1"/>
  <c r="BA43" i="1" a="1"/>
  <c r="BA43" i="1" s="1"/>
  <c r="AZ43" i="1" a="1"/>
  <c r="AZ43" i="1" s="1"/>
  <c r="AT43" i="1" a="1"/>
  <c r="AT43" i="1" s="1"/>
  <c r="AE43" i="6" s="1"/>
  <c r="AS43" i="1" a="1"/>
  <c r="AS43" i="1" s="1"/>
  <c r="AD43" i="6" s="1"/>
  <c r="AN43" i="1" a="1"/>
  <c r="AN43" i="1" s="1"/>
  <c r="AM43" i="1" a="1"/>
  <c r="AM43" i="1" s="1"/>
  <c r="AG43" i="1" a="1"/>
  <c r="AG43" i="1" s="1"/>
  <c r="W43" i="6" s="1"/>
  <c r="AF43" i="1" a="1"/>
  <c r="AF43" i="1" s="1"/>
  <c r="V43" i="6" s="1"/>
  <c r="AA43" i="1" a="1"/>
  <c r="AA43" i="1" s="1"/>
  <c r="Z43" i="1" a="1"/>
  <c r="Z43" i="1" s="1"/>
  <c r="T43" i="1" a="1"/>
  <c r="T43" i="1" s="1"/>
  <c r="O43" i="6" s="1"/>
  <c r="S43" i="1" a="1"/>
  <c r="S43" i="1" s="1"/>
  <c r="N43" i="6" s="1"/>
  <c r="N43" i="1" a="1"/>
  <c r="N43" i="1" s="1"/>
  <c r="M43" i="1" a="1"/>
  <c r="M43" i="1" s="1"/>
  <c r="G43" i="1" a="1"/>
  <c r="G43" i="1" s="1"/>
  <c r="G43" i="6" s="1"/>
  <c r="F43" i="1" a="1"/>
  <c r="F43" i="1" s="1"/>
  <c r="F43" i="6" s="1"/>
  <c r="D43" i="1"/>
  <c r="D43" i="6" s="1"/>
  <c r="B43" i="1"/>
  <c r="A43" i="1"/>
  <c r="CU42" i="1"/>
  <c r="CS42" i="1"/>
  <c r="BJ42" i="6" s="1"/>
  <c r="CN42" i="1" a="1"/>
  <c r="CN42" i="1" s="1"/>
  <c r="CM42" i="1" a="1"/>
  <c r="CM42" i="1" s="1"/>
  <c r="CG42" i="1" a="1"/>
  <c r="CG42" i="1" s="1"/>
  <c r="BC42" i="6" s="1"/>
  <c r="CF42" i="1" a="1"/>
  <c r="CF42" i="1" s="1"/>
  <c r="BB42" i="6" s="1"/>
  <c r="CA42" i="1" a="1"/>
  <c r="CA42" i="1" s="1"/>
  <c r="BZ42" i="1" a="1"/>
  <c r="BZ42" i="1" s="1"/>
  <c r="BT42" i="1" a="1"/>
  <c r="BT42" i="1" s="1"/>
  <c r="BS42" i="1" a="1"/>
  <c r="BS42" i="1" s="1"/>
  <c r="AT42" i="6" s="1"/>
  <c r="BN42" i="1" a="1"/>
  <c r="BN42" i="1" s="1"/>
  <c r="BM42" i="1" a="1"/>
  <c r="BM42" i="1" s="1"/>
  <c r="BG42" i="1" a="1"/>
  <c r="BG42" i="1" s="1"/>
  <c r="BF42" i="1" a="1"/>
  <c r="BF42" i="1" s="1"/>
  <c r="AL42" i="6" s="1"/>
  <c r="BA42" i="1" a="1"/>
  <c r="BA42" i="1" s="1"/>
  <c r="AZ42" i="1" a="1"/>
  <c r="AZ42" i="1" s="1"/>
  <c r="AT42" i="1" a="1"/>
  <c r="AT42" i="1" s="1"/>
  <c r="AE42" i="6" s="1"/>
  <c r="AS42" i="1" a="1"/>
  <c r="AS42" i="1" s="1"/>
  <c r="AD42" i="6" s="1"/>
  <c r="AN42" i="1" a="1"/>
  <c r="AN42" i="1" s="1"/>
  <c r="AM42" i="1" a="1"/>
  <c r="AM42" i="1" s="1"/>
  <c r="AG42" i="1" a="1"/>
  <c r="AG42" i="1" s="1"/>
  <c r="W42" i="6" s="1"/>
  <c r="AF42" i="1" a="1"/>
  <c r="AF42" i="1" s="1"/>
  <c r="V42" i="6" s="1"/>
  <c r="AA42" i="1" a="1"/>
  <c r="AA42" i="1" s="1"/>
  <c r="Z42" i="1" a="1"/>
  <c r="Z42" i="1" s="1"/>
  <c r="T42" i="1" a="1"/>
  <c r="T42" i="1" s="1"/>
  <c r="O42" i="6" s="1"/>
  <c r="S42" i="1" a="1"/>
  <c r="S42" i="1" s="1"/>
  <c r="N42" i="6" s="1"/>
  <c r="N42" i="1" a="1"/>
  <c r="N42" i="1" s="1"/>
  <c r="M42" i="1" a="1"/>
  <c r="M42" i="1" s="1"/>
  <c r="G42" i="1" a="1"/>
  <c r="G42" i="1" s="1"/>
  <c r="F42" i="1" a="1"/>
  <c r="F42" i="1" s="1"/>
  <c r="F42" i="6" s="1"/>
  <c r="D42" i="1"/>
  <c r="D42" i="6" s="1"/>
  <c r="B42" i="1"/>
  <c r="B42" i="6" s="1"/>
  <c r="A42" i="1"/>
  <c r="A42" i="6" s="1"/>
  <c r="CU41" i="1"/>
  <c r="CS41" i="1"/>
  <c r="AH41" i="7" s="1"/>
  <c r="CN41" i="1" a="1"/>
  <c r="CN41" i="1" s="1"/>
  <c r="CM41" i="1" a="1"/>
  <c r="CM41" i="1" s="1"/>
  <c r="CG41" i="1" a="1"/>
  <c r="CG41" i="1" s="1"/>
  <c r="BC41" i="6" s="1"/>
  <c r="CF41" i="1" a="1"/>
  <c r="CF41" i="1" s="1"/>
  <c r="BB41" i="6" s="1"/>
  <c r="CA41" i="1" a="1"/>
  <c r="CA41" i="1" s="1"/>
  <c r="BZ41" i="1" a="1"/>
  <c r="BZ41" i="1" s="1"/>
  <c r="BT41" i="1" a="1"/>
  <c r="BT41" i="1" s="1"/>
  <c r="AU41" i="6" s="1"/>
  <c r="BS41" i="1" a="1"/>
  <c r="BS41" i="1" s="1"/>
  <c r="AT41" i="6" s="1"/>
  <c r="BN41" i="1" a="1"/>
  <c r="BN41" i="1" s="1"/>
  <c r="BM41" i="1" a="1"/>
  <c r="BM41" i="1" s="1"/>
  <c r="BG41" i="1" a="1"/>
  <c r="BG41" i="1" s="1"/>
  <c r="AM41" i="6" s="1"/>
  <c r="BF41" i="1" a="1"/>
  <c r="BF41" i="1" s="1"/>
  <c r="AL41" i="6" s="1"/>
  <c r="BA41" i="1" a="1"/>
  <c r="BA41" i="1" s="1"/>
  <c r="AZ41" i="1" a="1"/>
  <c r="AZ41" i="1" s="1"/>
  <c r="AT41" i="1" a="1"/>
  <c r="AT41" i="1" s="1"/>
  <c r="AE41" i="6" s="1"/>
  <c r="AS41" i="1" a="1"/>
  <c r="AS41" i="1" s="1"/>
  <c r="AD41" i="6" s="1"/>
  <c r="AN41" i="1" a="1"/>
  <c r="AN41" i="1" s="1"/>
  <c r="AM41" i="1" a="1"/>
  <c r="AM41" i="1" s="1"/>
  <c r="AG41" i="1" a="1"/>
  <c r="AG41" i="1" s="1"/>
  <c r="W41" i="6" s="1"/>
  <c r="AF41" i="1" a="1"/>
  <c r="AF41" i="1" s="1"/>
  <c r="V41" i="6" s="1"/>
  <c r="AA41" i="1" a="1"/>
  <c r="AA41" i="1" s="1"/>
  <c r="Z41" i="1" a="1"/>
  <c r="Z41" i="1" s="1"/>
  <c r="T41" i="1" a="1"/>
  <c r="T41" i="1" s="1"/>
  <c r="O41" i="6" s="1"/>
  <c r="S41" i="1" a="1"/>
  <c r="S41" i="1" s="1"/>
  <c r="N41" i="6" s="1"/>
  <c r="N41" i="1" a="1"/>
  <c r="N41" i="1" s="1"/>
  <c r="M41" i="1" a="1"/>
  <c r="M41" i="1" s="1"/>
  <c r="G41" i="1" a="1"/>
  <c r="G41" i="1" s="1"/>
  <c r="F41" i="1" a="1"/>
  <c r="F41" i="1" s="1"/>
  <c r="F41" i="6" s="1"/>
  <c r="D41" i="1"/>
  <c r="D41" i="7" s="1"/>
  <c r="B41" i="1"/>
  <c r="A41" i="1"/>
  <c r="A41" i="7" s="1"/>
  <c r="CU40" i="1"/>
  <c r="CS40" i="1"/>
  <c r="AH40" i="7" s="1"/>
  <c r="CN40" i="1" a="1"/>
  <c r="CN40" i="1" s="1"/>
  <c r="CM40" i="1" a="1"/>
  <c r="CM40" i="1" s="1"/>
  <c r="CG40" i="1" a="1"/>
  <c r="CG40" i="1" s="1"/>
  <c r="BC40" i="6" s="1"/>
  <c r="CF40" i="1" a="1"/>
  <c r="CF40" i="1" s="1"/>
  <c r="BB40" i="6" s="1"/>
  <c r="CA40" i="1" a="1"/>
  <c r="CA40" i="1" s="1"/>
  <c r="BZ40" i="1" a="1"/>
  <c r="BZ40" i="1" s="1"/>
  <c r="BT40" i="1" a="1"/>
  <c r="BT40" i="1" s="1"/>
  <c r="AU40" i="6" s="1"/>
  <c r="BS40" i="1" a="1"/>
  <c r="BS40" i="1" s="1"/>
  <c r="AT40" i="6" s="1"/>
  <c r="BN40" i="1" a="1"/>
  <c r="BN40" i="1" s="1"/>
  <c r="BM40" i="1" a="1"/>
  <c r="BM40" i="1" s="1"/>
  <c r="BG40" i="1" a="1"/>
  <c r="BG40" i="1" s="1"/>
  <c r="BI40" i="1" s="1"/>
  <c r="BF40" i="1" a="1"/>
  <c r="BF40" i="1" s="1"/>
  <c r="AL40" i="6" s="1"/>
  <c r="BA40" i="1" a="1"/>
  <c r="BA40" i="1" s="1"/>
  <c r="AZ40" i="1" a="1"/>
  <c r="AZ40" i="1" s="1"/>
  <c r="AT40" i="1" a="1"/>
  <c r="AT40" i="1" s="1"/>
  <c r="AV40" i="1" s="1"/>
  <c r="AS40" i="1" a="1"/>
  <c r="AS40" i="1" s="1"/>
  <c r="AD40" i="6" s="1"/>
  <c r="AN40" i="1" a="1"/>
  <c r="AN40" i="1" s="1"/>
  <c r="AM40" i="1" a="1"/>
  <c r="AM40" i="1" s="1"/>
  <c r="AG40" i="1" a="1"/>
  <c r="AG40" i="1" s="1"/>
  <c r="W40" i="6" s="1"/>
  <c r="AF40" i="1" a="1"/>
  <c r="AF40" i="1" s="1"/>
  <c r="V40" i="6" s="1"/>
  <c r="AA40" i="1" a="1"/>
  <c r="AA40" i="1" s="1"/>
  <c r="Z40" i="1" a="1"/>
  <c r="Z40" i="1" s="1"/>
  <c r="T40" i="1" a="1"/>
  <c r="T40" i="1" s="1"/>
  <c r="S40" i="1" a="1"/>
  <c r="S40" i="1" s="1"/>
  <c r="N40" i="6" s="1"/>
  <c r="N40" i="1" a="1"/>
  <c r="N40" i="1" s="1"/>
  <c r="M40" i="1" a="1"/>
  <c r="M40" i="1" s="1"/>
  <c r="G40" i="1" a="1"/>
  <c r="G40" i="1" s="1"/>
  <c r="F40" i="1" a="1"/>
  <c r="F40" i="1" s="1"/>
  <c r="F40" i="6" s="1"/>
  <c r="D40" i="1"/>
  <c r="D40" i="6" s="1"/>
  <c r="B40" i="1"/>
  <c r="B40" i="7" s="1"/>
  <c r="A40" i="1"/>
  <c r="A40" i="6" s="1"/>
  <c r="CU39" i="1"/>
  <c r="CS39" i="1"/>
  <c r="BJ39" i="6" s="1"/>
  <c r="CN39" i="1" a="1"/>
  <c r="CN39" i="1" s="1"/>
  <c r="CM39" i="1" a="1"/>
  <c r="CM39" i="1" s="1"/>
  <c r="CG39" i="1" a="1"/>
  <c r="CG39" i="1" s="1"/>
  <c r="BC39" i="6" s="1"/>
  <c r="CF39" i="1" a="1"/>
  <c r="CF39" i="1" s="1"/>
  <c r="BB39" i="6" s="1"/>
  <c r="CA39" i="1" a="1"/>
  <c r="CA39" i="1" s="1"/>
  <c r="BZ39" i="1" a="1"/>
  <c r="BZ39" i="1" s="1"/>
  <c r="BT39" i="1" a="1"/>
  <c r="BT39" i="1" s="1"/>
  <c r="AU39" i="6" s="1"/>
  <c r="BS39" i="1" a="1"/>
  <c r="BS39" i="1" s="1"/>
  <c r="AT39" i="6" s="1"/>
  <c r="BN39" i="1" a="1"/>
  <c r="BN39" i="1" s="1"/>
  <c r="BM39" i="1" a="1"/>
  <c r="BM39" i="1" s="1"/>
  <c r="BG39" i="1" a="1"/>
  <c r="BG39" i="1" s="1"/>
  <c r="AM39" i="6" s="1"/>
  <c r="BF39" i="1" a="1"/>
  <c r="BF39" i="1" s="1"/>
  <c r="AL39" i="6" s="1"/>
  <c r="BA39" i="1" a="1"/>
  <c r="BA39" i="1" s="1"/>
  <c r="AZ39" i="1" a="1"/>
  <c r="AZ39" i="1" s="1"/>
  <c r="AT39" i="1" a="1"/>
  <c r="AT39" i="1" s="1"/>
  <c r="AE39" i="6" s="1"/>
  <c r="AS39" i="1" a="1"/>
  <c r="AS39" i="1" s="1"/>
  <c r="AD39" i="6" s="1"/>
  <c r="AN39" i="1" a="1"/>
  <c r="AN39" i="1" s="1"/>
  <c r="AM39" i="1" a="1"/>
  <c r="AM39" i="1" s="1"/>
  <c r="AG39" i="1" a="1"/>
  <c r="AG39" i="1" s="1"/>
  <c r="W39" i="6" s="1"/>
  <c r="AF39" i="1" a="1"/>
  <c r="AF39" i="1" s="1"/>
  <c r="V39" i="6" s="1"/>
  <c r="AA39" i="1" a="1"/>
  <c r="AA39" i="1" s="1"/>
  <c r="Z39" i="1" a="1"/>
  <c r="Z39" i="1" s="1"/>
  <c r="T39" i="1" a="1"/>
  <c r="T39" i="1" s="1"/>
  <c r="S39" i="1" a="1"/>
  <c r="S39" i="1" s="1"/>
  <c r="N39" i="6" s="1"/>
  <c r="N39" i="1" a="1"/>
  <c r="N39" i="1" s="1"/>
  <c r="M39" i="1" a="1"/>
  <c r="M39" i="1" s="1"/>
  <c r="G39" i="1" a="1"/>
  <c r="G39" i="1" s="1"/>
  <c r="G39" i="6" s="1"/>
  <c r="F39" i="1" a="1"/>
  <c r="F39" i="1" s="1"/>
  <c r="F39" i="6" s="1"/>
  <c r="D39" i="1"/>
  <c r="D39" i="6" s="1"/>
  <c r="B39" i="1"/>
  <c r="B39" i="6" s="1"/>
  <c r="A39" i="1"/>
  <c r="A39" i="6" s="1"/>
  <c r="CU38" i="1"/>
  <c r="CS38" i="1"/>
  <c r="CN38" i="1" a="1"/>
  <c r="CN38" i="1" s="1"/>
  <c r="CM38" i="1" a="1"/>
  <c r="CM38" i="1" s="1"/>
  <c r="CG38" i="1" a="1"/>
  <c r="CG38" i="1" s="1"/>
  <c r="CF38" i="1" a="1"/>
  <c r="CF38" i="1" s="1"/>
  <c r="BB38" i="6" s="1"/>
  <c r="CA38" i="1" a="1"/>
  <c r="CA38" i="1" s="1"/>
  <c r="BZ38" i="1" a="1"/>
  <c r="BZ38" i="1" s="1"/>
  <c r="BT38" i="1" a="1"/>
  <c r="BT38" i="1" s="1"/>
  <c r="AU38" i="6" s="1"/>
  <c r="BS38" i="1" a="1"/>
  <c r="BS38" i="1" s="1"/>
  <c r="AT38" i="6" s="1"/>
  <c r="BN38" i="1" a="1"/>
  <c r="BN38" i="1" s="1"/>
  <c r="BM38" i="1" a="1"/>
  <c r="BM38" i="1" s="1"/>
  <c r="BG38" i="1" a="1"/>
  <c r="BG38" i="1" s="1"/>
  <c r="AM38" i="6" s="1"/>
  <c r="BF38" i="1" a="1"/>
  <c r="BF38" i="1" s="1"/>
  <c r="AL38" i="6" s="1"/>
  <c r="BA38" i="1" a="1"/>
  <c r="BA38" i="1" s="1"/>
  <c r="AZ38" i="1" a="1"/>
  <c r="AZ38" i="1" s="1"/>
  <c r="AT38" i="1" a="1"/>
  <c r="AT38" i="1" s="1"/>
  <c r="AE38" i="6" s="1"/>
  <c r="AS38" i="1" a="1"/>
  <c r="AS38" i="1" s="1"/>
  <c r="AD38" i="6" s="1"/>
  <c r="AN38" i="1" a="1"/>
  <c r="AN38" i="1" s="1"/>
  <c r="AM38" i="1" a="1"/>
  <c r="AM38" i="1" s="1"/>
  <c r="AG38" i="1" a="1"/>
  <c r="AG38" i="1" s="1"/>
  <c r="AF38" i="1" a="1"/>
  <c r="AF38" i="1" s="1"/>
  <c r="V38" i="6" s="1"/>
  <c r="AA38" i="1" a="1"/>
  <c r="AA38" i="1" s="1"/>
  <c r="Z38" i="1" a="1"/>
  <c r="Z38" i="1" s="1"/>
  <c r="T38" i="1" a="1"/>
  <c r="T38" i="1" s="1"/>
  <c r="O38" i="6" s="1"/>
  <c r="S38" i="1" a="1"/>
  <c r="S38" i="1" s="1"/>
  <c r="N38" i="6" s="1"/>
  <c r="N38" i="1" a="1"/>
  <c r="N38" i="1" s="1"/>
  <c r="M38" i="1" a="1"/>
  <c r="M38" i="1" s="1"/>
  <c r="G38" i="1" a="1"/>
  <c r="G38" i="1" s="1"/>
  <c r="F38" i="1" a="1"/>
  <c r="F38" i="1" s="1"/>
  <c r="F38" i="6" s="1"/>
  <c r="D38" i="1"/>
  <c r="D38" i="6" s="1"/>
  <c r="B38" i="1"/>
  <c r="B38" i="7" s="1"/>
  <c r="A38" i="1"/>
  <c r="A38" i="6" s="1"/>
  <c r="CU37" i="1"/>
  <c r="AJ37" i="7" s="1"/>
  <c r="CS37" i="1"/>
  <c r="AH37" i="7" s="1"/>
  <c r="CN37" i="1" a="1"/>
  <c r="CN37" i="1" s="1"/>
  <c r="CM37" i="1" a="1"/>
  <c r="CM37" i="1" s="1"/>
  <c r="CG37" i="1" a="1"/>
  <c r="CG37" i="1" s="1"/>
  <c r="BC37" i="6" s="1"/>
  <c r="CF37" i="1" a="1"/>
  <c r="CF37" i="1" s="1"/>
  <c r="BB37" i="6" s="1"/>
  <c r="CA37" i="1" a="1"/>
  <c r="CA37" i="1" s="1"/>
  <c r="BZ37" i="1" a="1"/>
  <c r="BZ37" i="1" s="1"/>
  <c r="BT37" i="1" a="1"/>
  <c r="BT37" i="1" s="1"/>
  <c r="AU37" i="6" s="1"/>
  <c r="BS37" i="1" a="1"/>
  <c r="BS37" i="1" s="1"/>
  <c r="AT37" i="6" s="1"/>
  <c r="BN37" i="1" a="1"/>
  <c r="BN37" i="1" s="1"/>
  <c r="BM37" i="1" a="1"/>
  <c r="BM37" i="1" s="1"/>
  <c r="BG37" i="1" a="1"/>
  <c r="BG37" i="1" s="1"/>
  <c r="AM37" i="6" s="1"/>
  <c r="BF37" i="1" a="1"/>
  <c r="BF37" i="1" s="1"/>
  <c r="AL37" i="6" s="1"/>
  <c r="BA37" i="1" a="1"/>
  <c r="BA37" i="1" s="1"/>
  <c r="AZ37" i="1" a="1"/>
  <c r="AZ37" i="1" s="1"/>
  <c r="AT37" i="1" a="1"/>
  <c r="AT37" i="1" s="1"/>
  <c r="AE37" i="6" s="1"/>
  <c r="AS37" i="1" a="1"/>
  <c r="AS37" i="1" s="1"/>
  <c r="AD37" i="6" s="1"/>
  <c r="AN37" i="1" a="1"/>
  <c r="AN37" i="1" s="1"/>
  <c r="AM37" i="1" a="1"/>
  <c r="AM37" i="1" s="1"/>
  <c r="AG37" i="1" a="1"/>
  <c r="AG37" i="1" s="1"/>
  <c r="W37" i="6" s="1"/>
  <c r="AF37" i="1" a="1"/>
  <c r="AF37" i="1" s="1"/>
  <c r="V37" i="6" s="1"/>
  <c r="AA37" i="1" a="1"/>
  <c r="AA37" i="1" s="1"/>
  <c r="Z37" i="1" a="1"/>
  <c r="Z37" i="1" s="1"/>
  <c r="T37" i="1" a="1"/>
  <c r="T37" i="1" s="1"/>
  <c r="O37" i="6" s="1"/>
  <c r="S37" i="1" a="1"/>
  <c r="S37" i="1" s="1"/>
  <c r="N37" i="6" s="1"/>
  <c r="N37" i="1" a="1"/>
  <c r="N37" i="1" s="1"/>
  <c r="M37" i="1" a="1"/>
  <c r="M37" i="1" s="1"/>
  <c r="G37" i="1" a="1"/>
  <c r="G37" i="1" s="1"/>
  <c r="G37" i="6" s="1"/>
  <c r="F37" i="1" a="1"/>
  <c r="F37" i="1" s="1"/>
  <c r="F37" i="6" s="1"/>
  <c r="D37" i="1"/>
  <c r="D37" i="7" s="1"/>
  <c r="B37" i="1"/>
  <c r="A37" i="1"/>
  <c r="A37" i="7" s="1"/>
  <c r="CU36" i="1"/>
  <c r="CS36" i="1"/>
  <c r="CN36" i="1" a="1"/>
  <c r="CN36" i="1" s="1"/>
  <c r="CM36" i="1" a="1"/>
  <c r="CM36" i="1" s="1"/>
  <c r="CG36" i="1" a="1"/>
  <c r="CG36" i="1" s="1"/>
  <c r="CF36" i="1" a="1"/>
  <c r="CF36" i="1" s="1"/>
  <c r="BB36" i="6" s="1"/>
  <c r="CA36" i="1" a="1"/>
  <c r="CA36" i="1" s="1"/>
  <c r="BZ36" i="1" a="1"/>
  <c r="BZ36" i="1" s="1"/>
  <c r="BT36" i="1" a="1"/>
  <c r="BT36" i="1" s="1"/>
  <c r="AU36" i="6" s="1"/>
  <c r="BS36" i="1" a="1"/>
  <c r="BS36" i="1" s="1"/>
  <c r="AT36" i="6" s="1"/>
  <c r="BN36" i="1" a="1"/>
  <c r="BN36" i="1" s="1"/>
  <c r="BM36" i="1" a="1"/>
  <c r="BM36" i="1" s="1"/>
  <c r="BG36" i="1" a="1"/>
  <c r="BG36" i="1" s="1"/>
  <c r="AM36" i="6" s="1"/>
  <c r="BF36" i="1" a="1"/>
  <c r="BF36" i="1" s="1"/>
  <c r="AL36" i="6" s="1"/>
  <c r="BA36" i="1" a="1"/>
  <c r="BA36" i="1" s="1"/>
  <c r="AZ36" i="1" a="1"/>
  <c r="AZ36" i="1" s="1"/>
  <c r="AT36" i="1" a="1"/>
  <c r="AT36" i="1" s="1"/>
  <c r="AS36" i="1" a="1"/>
  <c r="AS36" i="1" s="1"/>
  <c r="AD36" i="6" s="1"/>
  <c r="AN36" i="1" a="1"/>
  <c r="AN36" i="1" s="1"/>
  <c r="AM36" i="1" a="1"/>
  <c r="AM36" i="1" s="1"/>
  <c r="AG36" i="1" a="1"/>
  <c r="AG36" i="1" s="1"/>
  <c r="W36" i="6" s="1"/>
  <c r="AF36" i="1" a="1"/>
  <c r="AF36" i="1" s="1"/>
  <c r="V36" i="6" s="1"/>
  <c r="AA36" i="1" a="1"/>
  <c r="AA36" i="1" s="1"/>
  <c r="Z36" i="1" a="1"/>
  <c r="Z36" i="1" s="1"/>
  <c r="T36" i="1" a="1"/>
  <c r="T36" i="1" s="1"/>
  <c r="O36" i="6" s="1"/>
  <c r="S36" i="1" a="1"/>
  <c r="S36" i="1" s="1"/>
  <c r="N36" i="6" s="1"/>
  <c r="N36" i="1" a="1"/>
  <c r="N36" i="1" s="1"/>
  <c r="M36" i="1" a="1"/>
  <c r="M36" i="1" s="1"/>
  <c r="G36" i="1" a="1"/>
  <c r="G36" i="1" s="1"/>
  <c r="G36" i="6" s="1"/>
  <c r="F36" i="1" a="1"/>
  <c r="F36" i="1" s="1"/>
  <c r="F36" i="6" s="1"/>
  <c r="D36" i="1"/>
  <c r="D36" i="6" s="1"/>
  <c r="B36" i="1"/>
  <c r="A36" i="1"/>
  <c r="A36" i="7" s="1"/>
  <c r="CU35" i="1"/>
  <c r="AJ35" i="7" s="1"/>
  <c r="CS35" i="1"/>
  <c r="AH35" i="7" s="1"/>
  <c r="CN35" i="1" a="1"/>
  <c r="CN35" i="1" s="1"/>
  <c r="CM35" i="1" a="1"/>
  <c r="CM35" i="1" s="1"/>
  <c r="CG35" i="1" a="1"/>
  <c r="CG35" i="1" s="1"/>
  <c r="BC35" i="6" s="1"/>
  <c r="CF35" i="1" a="1"/>
  <c r="CF35" i="1" s="1"/>
  <c r="BB35" i="6" s="1"/>
  <c r="CA35" i="1" a="1"/>
  <c r="CA35" i="1" s="1"/>
  <c r="CB35" i="1" s="1"/>
  <c r="BZ35" i="1" a="1"/>
  <c r="BZ35" i="1" s="1"/>
  <c r="BT35" i="1" a="1"/>
  <c r="BT35" i="1" s="1"/>
  <c r="AU35" i="6" s="1"/>
  <c r="BS35" i="1" a="1"/>
  <c r="BS35" i="1" s="1"/>
  <c r="AT35" i="6" s="1"/>
  <c r="BN35" i="1" a="1"/>
  <c r="BN35" i="1" s="1"/>
  <c r="BO35" i="1" s="1"/>
  <c r="AR35" i="6" s="1"/>
  <c r="BM35" i="1" a="1"/>
  <c r="BM35" i="1" s="1"/>
  <c r="BG35" i="1" a="1"/>
  <c r="BG35" i="1" s="1"/>
  <c r="AM35" i="6" s="1"/>
  <c r="BF35" i="1" a="1"/>
  <c r="BF35" i="1" s="1"/>
  <c r="AL35" i="6" s="1"/>
  <c r="BA35" i="1" a="1"/>
  <c r="BA35" i="1" s="1"/>
  <c r="AZ35" i="1" a="1"/>
  <c r="AZ35" i="1" s="1"/>
  <c r="AT35" i="1" a="1"/>
  <c r="AT35" i="1" s="1"/>
  <c r="AE35" i="6" s="1"/>
  <c r="AS35" i="1" a="1"/>
  <c r="AS35" i="1" s="1"/>
  <c r="AD35" i="6" s="1"/>
  <c r="AN35" i="1" a="1"/>
  <c r="AN35" i="1" s="1"/>
  <c r="AO35" i="1" s="1"/>
  <c r="AB35" i="6" s="1"/>
  <c r="AM35" i="1" a="1"/>
  <c r="AM35" i="1" s="1"/>
  <c r="AG35" i="1" a="1"/>
  <c r="AG35" i="1" s="1"/>
  <c r="W35" i="6" s="1"/>
  <c r="AF35" i="1" a="1"/>
  <c r="AF35" i="1" s="1"/>
  <c r="V35" i="6" s="1"/>
  <c r="AA35" i="1" a="1"/>
  <c r="AA35" i="1" s="1"/>
  <c r="Z35" i="1" a="1"/>
  <c r="Z35" i="1" s="1"/>
  <c r="T35" i="1" a="1"/>
  <c r="T35" i="1" s="1"/>
  <c r="O35" i="6" s="1"/>
  <c r="S35" i="1" a="1"/>
  <c r="S35" i="1" s="1"/>
  <c r="N35" i="6" s="1"/>
  <c r="N35" i="1" a="1"/>
  <c r="N35" i="1" s="1"/>
  <c r="O35" i="1" s="1"/>
  <c r="M35" i="1" a="1"/>
  <c r="M35" i="1" s="1"/>
  <c r="G35" i="1" a="1"/>
  <c r="G35" i="1" s="1"/>
  <c r="G35" i="6" s="1"/>
  <c r="F35" i="1" a="1"/>
  <c r="F35" i="1" s="1"/>
  <c r="F35" i="6" s="1"/>
  <c r="D35" i="1"/>
  <c r="D35" i="6" s="1"/>
  <c r="B35" i="1"/>
  <c r="A35" i="1"/>
  <c r="CU34" i="1"/>
  <c r="CS34" i="1"/>
  <c r="CN34" i="1" a="1"/>
  <c r="CN34" i="1" s="1"/>
  <c r="CO34" i="1" s="1"/>
  <c r="CM34" i="1" a="1"/>
  <c r="CM34" i="1" s="1"/>
  <c r="CG34" i="1" a="1"/>
  <c r="CG34" i="1" s="1"/>
  <c r="BC34" i="6" s="1"/>
  <c r="CF34" i="1" a="1"/>
  <c r="CF34" i="1" s="1"/>
  <c r="BB34" i="6" s="1"/>
  <c r="CA34" i="1" a="1"/>
  <c r="CA34" i="1" s="1"/>
  <c r="BZ34" i="1" a="1"/>
  <c r="BZ34" i="1" s="1"/>
  <c r="BT34" i="1" a="1"/>
  <c r="BT34" i="1" s="1"/>
  <c r="AU34" i="6" s="1"/>
  <c r="BS34" i="1" a="1"/>
  <c r="BS34" i="1" s="1"/>
  <c r="AT34" i="6" s="1"/>
  <c r="BN34" i="1" a="1"/>
  <c r="BN34" i="1" s="1"/>
  <c r="BM34" i="1" a="1"/>
  <c r="BM34" i="1" s="1"/>
  <c r="BG34" i="1" a="1"/>
  <c r="BG34" i="1" s="1"/>
  <c r="BF34" i="1" a="1"/>
  <c r="BF34" i="1" s="1"/>
  <c r="AL34" i="6" s="1"/>
  <c r="BA34" i="1" a="1"/>
  <c r="BA34" i="1" s="1"/>
  <c r="BB34" i="1" s="1"/>
  <c r="S34" i="7" s="1"/>
  <c r="AZ34" i="1" a="1"/>
  <c r="AZ34" i="1" s="1"/>
  <c r="AT34" i="1" a="1"/>
  <c r="AT34" i="1" s="1"/>
  <c r="AE34" i="6" s="1"/>
  <c r="AS34" i="1" a="1"/>
  <c r="AS34" i="1" s="1"/>
  <c r="AD34" i="6" s="1"/>
  <c r="AN34" i="1" a="1"/>
  <c r="AN34" i="1" s="1"/>
  <c r="AM34" i="1" a="1"/>
  <c r="AM34" i="1" s="1"/>
  <c r="AG34" i="1" a="1"/>
  <c r="AG34" i="1" s="1"/>
  <c r="W34" i="6" s="1"/>
  <c r="AF34" i="1" a="1"/>
  <c r="AF34" i="1" s="1"/>
  <c r="V34" i="6" s="1"/>
  <c r="AA34" i="1" a="1"/>
  <c r="AA34" i="1" s="1"/>
  <c r="Z34" i="1" a="1"/>
  <c r="Z34" i="1" s="1"/>
  <c r="T34" i="1" a="1"/>
  <c r="T34" i="1" s="1"/>
  <c r="O34" i="6" s="1"/>
  <c r="S34" i="1" a="1"/>
  <c r="S34" i="1" s="1"/>
  <c r="N34" i="6" s="1"/>
  <c r="N34" i="1" a="1"/>
  <c r="N34" i="1" s="1"/>
  <c r="M34" i="1" a="1"/>
  <c r="M34" i="1" s="1"/>
  <c r="G34" i="1" a="1"/>
  <c r="G34" i="1" s="1"/>
  <c r="G34" i="6" s="1"/>
  <c r="F34" i="1" a="1"/>
  <c r="F34" i="1" s="1"/>
  <c r="F34" i="6" s="1"/>
  <c r="D34" i="1"/>
  <c r="D34" i="6" s="1"/>
  <c r="B34" i="1"/>
  <c r="B34" i="7" s="1"/>
  <c r="A34" i="1"/>
  <c r="CU33" i="1"/>
  <c r="BL33" i="6" s="1"/>
  <c r="CS33" i="1"/>
  <c r="BJ33" i="6" s="1"/>
  <c r="CN33" i="1" a="1"/>
  <c r="CN33" i="1" s="1"/>
  <c r="CM33" i="1" a="1"/>
  <c r="CM33" i="1" s="1"/>
  <c r="CG33" i="1" a="1"/>
  <c r="CG33" i="1" s="1"/>
  <c r="BC33" i="6" s="1"/>
  <c r="CF33" i="1" a="1"/>
  <c r="CF33" i="1" s="1"/>
  <c r="BB33" i="6" s="1"/>
  <c r="CA33" i="1" a="1"/>
  <c r="CA33" i="1" s="1"/>
  <c r="CB33" i="1" s="1"/>
  <c r="AZ33" i="6" s="1"/>
  <c r="BZ33" i="1" a="1"/>
  <c r="BZ33" i="1" s="1"/>
  <c r="BT33" i="1" a="1"/>
  <c r="BT33" i="1" s="1"/>
  <c r="AU33" i="6" s="1"/>
  <c r="BS33" i="1" a="1"/>
  <c r="BS33" i="1" s="1"/>
  <c r="AT33" i="6" s="1"/>
  <c r="BN33" i="1" a="1"/>
  <c r="BN33" i="1" s="1"/>
  <c r="BM33" i="1" a="1"/>
  <c r="BM33" i="1" s="1"/>
  <c r="BG33" i="1" a="1"/>
  <c r="BG33" i="1" s="1"/>
  <c r="AM33" i="6" s="1"/>
  <c r="BF33" i="1" a="1"/>
  <c r="BF33" i="1" s="1"/>
  <c r="AL33" i="6" s="1"/>
  <c r="BA33" i="1" a="1"/>
  <c r="BA33" i="1" s="1"/>
  <c r="AZ33" i="1" a="1"/>
  <c r="AZ33" i="1" s="1"/>
  <c r="AT33" i="1" a="1"/>
  <c r="AT33" i="1" s="1"/>
  <c r="AE33" i="6" s="1"/>
  <c r="AS33" i="1" a="1"/>
  <c r="AS33" i="1" s="1"/>
  <c r="AD33" i="6" s="1"/>
  <c r="AN33" i="1" a="1"/>
  <c r="AN33" i="1" s="1"/>
  <c r="AO33" i="1" s="1"/>
  <c r="AB33" i="6" s="1"/>
  <c r="AM33" i="1" a="1"/>
  <c r="AM33" i="1" s="1"/>
  <c r="AG33" i="1" a="1"/>
  <c r="AG33" i="1" s="1"/>
  <c r="W33" i="6" s="1"/>
  <c r="AF33" i="1" a="1"/>
  <c r="AF33" i="1" s="1"/>
  <c r="V33" i="6" s="1"/>
  <c r="AA33" i="1" a="1"/>
  <c r="AA33" i="1" s="1"/>
  <c r="AB33" i="1" s="1"/>
  <c r="Z33" i="1" a="1"/>
  <c r="Z33" i="1" s="1"/>
  <c r="T33" i="1" a="1"/>
  <c r="T33" i="1" s="1"/>
  <c r="O33" i="6" s="1"/>
  <c r="S33" i="1" a="1"/>
  <c r="S33" i="1" s="1"/>
  <c r="N33" i="6" s="1"/>
  <c r="N33" i="1" a="1"/>
  <c r="N33" i="1" s="1"/>
  <c r="M33" i="1" a="1"/>
  <c r="M33" i="1" s="1"/>
  <c r="G33" i="1" a="1"/>
  <c r="G33" i="1" s="1"/>
  <c r="G33" i="6" s="1"/>
  <c r="F33" i="1" a="1"/>
  <c r="F33" i="1" s="1"/>
  <c r="F33" i="6" s="1"/>
  <c r="D33" i="1"/>
  <c r="D33" i="7" s="1"/>
  <c r="B33" i="1"/>
  <c r="B33" i="7" s="1"/>
  <c r="A33" i="1"/>
  <c r="A33" i="6" s="1"/>
  <c r="CU32" i="1"/>
  <c r="AJ32" i="7" s="1"/>
  <c r="CS32" i="1"/>
  <c r="AH32" i="7" s="1"/>
  <c r="CN32" i="1" a="1"/>
  <c r="CN32" i="1" s="1"/>
  <c r="CO32" i="1" s="1"/>
  <c r="AE32" i="7" s="1"/>
  <c r="CM32" i="1" a="1"/>
  <c r="CM32" i="1" s="1"/>
  <c r="CG32" i="1" a="1"/>
  <c r="CG32" i="1" s="1"/>
  <c r="CF32" i="1" a="1"/>
  <c r="CF32" i="1" s="1"/>
  <c r="BB32" i="6" s="1"/>
  <c r="CA32" i="1" a="1"/>
  <c r="CA32" i="1" s="1"/>
  <c r="CB32" i="1" s="1"/>
  <c r="AA32" i="7" s="1"/>
  <c r="BZ32" i="1" a="1"/>
  <c r="BZ32" i="1" s="1"/>
  <c r="BT32" i="1" a="1"/>
  <c r="BT32" i="1" s="1"/>
  <c r="AU32" i="6" s="1"/>
  <c r="BS32" i="1" a="1"/>
  <c r="BS32" i="1" s="1"/>
  <c r="AT32" i="6" s="1"/>
  <c r="BN32" i="1" a="1"/>
  <c r="BN32" i="1" s="1"/>
  <c r="BO32" i="1" s="1"/>
  <c r="W32" i="7" s="1"/>
  <c r="BM32" i="1" a="1"/>
  <c r="BM32" i="1" s="1"/>
  <c r="BG32" i="1" a="1"/>
  <c r="BG32" i="1" s="1"/>
  <c r="BF32" i="1" a="1"/>
  <c r="BF32" i="1" s="1"/>
  <c r="AL32" i="6" s="1"/>
  <c r="BA32" i="1" a="1"/>
  <c r="BA32" i="1" s="1"/>
  <c r="AZ32" i="1" a="1"/>
  <c r="AZ32" i="1" s="1"/>
  <c r="AT32" i="1" a="1"/>
  <c r="AT32" i="1" s="1"/>
  <c r="AS32" i="1" a="1"/>
  <c r="AS32" i="1" s="1"/>
  <c r="AD32" i="6" s="1"/>
  <c r="AN32" i="1" a="1"/>
  <c r="AN32" i="1" s="1"/>
  <c r="AO32" i="1" s="1"/>
  <c r="AB32" i="6" s="1"/>
  <c r="AM32" i="1" a="1"/>
  <c r="AM32" i="1" s="1"/>
  <c r="AG32" i="1" a="1"/>
  <c r="AG32" i="1" s="1"/>
  <c r="W32" i="6" s="1"/>
  <c r="AF32" i="1" a="1"/>
  <c r="AF32" i="1" s="1"/>
  <c r="V32" i="6" s="1"/>
  <c r="AA32" i="1" a="1"/>
  <c r="AA32" i="1" s="1"/>
  <c r="Z32" i="1" a="1"/>
  <c r="Z32" i="1" s="1"/>
  <c r="T32" i="1" a="1"/>
  <c r="T32" i="1" s="1"/>
  <c r="S32" i="1" a="1"/>
  <c r="S32" i="1" s="1"/>
  <c r="N32" i="6" s="1"/>
  <c r="N32" i="1" a="1"/>
  <c r="N32" i="1" s="1"/>
  <c r="M32" i="1" a="1"/>
  <c r="M32" i="1" s="1"/>
  <c r="G32" i="1" a="1"/>
  <c r="G32" i="1" s="1"/>
  <c r="F32" i="1" a="1"/>
  <c r="F32" i="1" s="1"/>
  <c r="F32" i="6" s="1"/>
  <c r="D32" i="1"/>
  <c r="D32" i="7" s="1"/>
  <c r="B32" i="1"/>
  <c r="A32" i="1"/>
  <c r="CU31" i="1"/>
  <c r="BL31" i="6" s="1"/>
  <c r="CS31" i="1"/>
  <c r="BJ31" i="6" s="1"/>
  <c r="CN31" i="1" a="1"/>
  <c r="CN31" i="1" s="1"/>
  <c r="CO31" i="1" s="1"/>
  <c r="CM31" i="1" a="1"/>
  <c r="CM31" i="1" s="1"/>
  <c r="CG31" i="1" a="1"/>
  <c r="CG31" i="1" s="1"/>
  <c r="CF31" i="1" a="1"/>
  <c r="CF31" i="1" s="1"/>
  <c r="BB31" i="6" s="1"/>
  <c r="CA31" i="1" a="1"/>
  <c r="CA31" i="1" s="1"/>
  <c r="CB31" i="1" s="1"/>
  <c r="AZ31" i="6" s="1"/>
  <c r="BZ31" i="1" a="1"/>
  <c r="BZ31" i="1" s="1"/>
  <c r="BT31" i="1" a="1"/>
  <c r="BT31" i="1" s="1"/>
  <c r="BS31" i="1" a="1"/>
  <c r="BS31" i="1" s="1"/>
  <c r="AT31" i="6" s="1"/>
  <c r="BN31" i="1" a="1"/>
  <c r="BN31" i="1" s="1"/>
  <c r="BM31" i="1" a="1"/>
  <c r="BM31" i="1" s="1"/>
  <c r="BG31" i="1" a="1"/>
  <c r="BG31" i="1" s="1"/>
  <c r="AM31" i="6" s="1"/>
  <c r="BF31" i="1" a="1"/>
  <c r="BF31" i="1" s="1"/>
  <c r="AL31" i="6" s="1"/>
  <c r="BA31" i="1" a="1"/>
  <c r="BA31" i="1" s="1"/>
  <c r="AZ31" i="1" a="1"/>
  <c r="AZ31" i="1" s="1"/>
  <c r="AT31" i="1" a="1"/>
  <c r="AT31" i="1" s="1"/>
  <c r="AE31" i="6" s="1"/>
  <c r="AS31" i="1" a="1"/>
  <c r="AS31" i="1" s="1"/>
  <c r="AD31" i="6" s="1"/>
  <c r="AN31" i="1" a="1"/>
  <c r="AN31" i="1" s="1"/>
  <c r="AM31" i="1" a="1"/>
  <c r="AM31" i="1" s="1"/>
  <c r="AG31" i="1" a="1"/>
  <c r="AG31" i="1" s="1"/>
  <c r="AF31" i="1" a="1"/>
  <c r="AF31" i="1" s="1"/>
  <c r="V31" i="6" s="1"/>
  <c r="AA31" i="1" a="1"/>
  <c r="AA31" i="1" s="1"/>
  <c r="AB31" i="1" s="1"/>
  <c r="Z31" i="1" a="1"/>
  <c r="Z31" i="1" s="1"/>
  <c r="T31" i="1" a="1"/>
  <c r="T31" i="1" s="1"/>
  <c r="O31" i="6" s="1"/>
  <c r="S31" i="1" a="1"/>
  <c r="S31" i="1" s="1"/>
  <c r="N31" i="6" s="1"/>
  <c r="N31" i="1" a="1"/>
  <c r="N31" i="1" s="1"/>
  <c r="O31" i="1" s="1"/>
  <c r="L31" i="6" s="1"/>
  <c r="M31" i="1" a="1"/>
  <c r="M31" i="1" s="1"/>
  <c r="G31" i="1" a="1"/>
  <c r="G31" i="1" s="1"/>
  <c r="G31" i="6" s="1"/>
  <c r="F31" i="1" a="1"/>
  <c r="F31" i="1" s="1"/>
  <c r="F31" i="6" s="1"/>
  <c r="D31" i="1"/>
  <c r="D31" i="6" s="1"/>
  <c r="B31" i="1"/>
  <c r="B31" i="7" s="1"/>
  <c r="A31" i="1"/>
  <c r="A31" i="6" s="1"/>
  <c r="CS30" i="1"/>
  <c r="BJ30" i="6" s="1"/>
  <c r="CN30" i="1" a="1"/>
  <c r="CN30" i="1" s="1"/>
  <c r="BG30" i="6" s="1"/>
  <c r="CM30" i="1" a="1"/>
  <c r="CM30" i="1" s="1"/>
  <c r="CG30" i="1" a="1"/>
  <c r="CG30" i="1" s="1"/>
  <c r="BC30" i="6" s="1"/>
  <c r="CF30" i="1" a="1"/>
  <c r="CF30" i="1" s="1"/>
  <c r="BB30" i="6" s="1"/>
  <c r="CA30" i="1" a="1"/>
  <c r="CA30" i="1" s="1"/>
  <c r="CB30" i="1" s="1"/>
  <c r="BZ30" i="1" a="1"/>
  <c r="BZ30" i="1" s="1"/>
  <c r="BT30" i="1" a="1"/>
  <c r="BT30" i="1" s="1"/>
  <c r="BS30" i="1" a="1"/>
  <c r="BS30" i="1" s="1"/>
  <c r="AT30" i="6" s="1"/>
  <c r="BN30" i="1" a="1"/>
  <c r="BN30" i="1" s="1"/>
  <c r="BM30" i="1" a="1"/>
  <c r="BM30" i="1" s="1"/>
  <c r="BG30" i="1" a="1"/>
  <c r="BG30" i="1" s="1"/>
  <c r="BF30" i="1" a="1"/>
  <c r="BF30" i="1" s="1"/>
  <c r="AL30" i="6" s="1"/>
  <c r="BA30" i="1" a="1"/>
  <c r="BA30" i="1" s="1"/>
  <c r="BB30" i="1" s="1"/>
  <c r="S30" i="7" s="1"/>
  <c r="AZ30" i="1" a="1"/>
  <c r="AZ30" i="1" s="1"/>
  <c r="AT30" i="1" a="1"/>
  <c r="AT30" i="1" s="1"/>
  <c r="AE30" i="6" s="1"/>
  <c r="AS30" i="1" a="1"/>
  <c r="AS30" i="1" s="1"/>
  <c r="AD30" i="6" s="1"/>
  <c r="AN30" i="1" a="1"/>
  <c r="AN30" i="1" s="1"/>
  <c r="AM30" i="1" a="1"/>
  <c r="AM30" i="1" s="1"/>
  <c r="AG30" i="1" a="1"/>
  <c r="AG30" i="1" s="1"/>
  <c r="W30" i="6" s="1"/>
  <c r="AF30" i="1" a="1"/>
  <c r="AF30" i="1" s="1"/>
  <c r="V30" i="6" s="1"/>
  <c r="AA30" i="1" a="1"/>
  <c r="AA30" i="1" s="1"/>
  <c r="Z30" i="1" a="1"/>
  <c r="Z30" i="1" s="1"/>
  <c r="T30" i="1" a="1"/>
  <c r="T30" i="1" s="1"/>
  <c r="O30" i="6" s="1"/>
  <c r="S30" i="1" a="1"/>
  <c r="S30" i="1" s="1"/>
  <c r="N30" i="6" s="1"/>
  <c r="N30" i="1" a="1"/>
  <c r="N30" i="1" s="1"/>
  <c r="M30" i="1" a="1"/>
  <c r="M30" i="1" s="1"/>
  <c r="G30" i="1" a="1"/>
  <c r="G30" i="1" s="1"/>
  <c r="F30" i="1" a="1"/>
  <c r="F30" i="1" s="1"/>
  <c r="F30" i="6" s="1"/>
  <c r="D30" i="1"/>
  <c r="D30" i="7" s="1"/>
  <c r="CS29" i="1"/>
  <c r="CN29" i="1" a="1"/>
  <c r="CN29" i="1" s="1"/>
  <c r="CM29" i="1" a="1"/>
  <c r="CM29" i="1" s="1"/>
  <c r="CG29" i="1" a="1"/>
  <c r="CG29" i="1" s="1"/>
  <c r="CF29" i="1" a="1"/>
  <c r="CF29" i="1" s="1"/>
  <c r="BB29" i="6" s="1"/>
  <c r="CA29" i="1" a="1"/>
  <c r="CA29" i="1" s="1"/>
  <c r="BZ29" i="1" a="1"/>
  <c r="BZ29" i="1" s="1"/>
  <c r="BT29" i="1" a="1"/>
  <c r="BT29" i="1" s="1"/>
  <c r="BS29" i="1" a="1"/>
  <c r="BS29" i="1" s="1"/>
  <c r="AT29" i="6" s="1"/>
  <c r="BN29" i="1" a="1"/>
  <c r="BN29" i="1" s="1"/>
  <c r="BM29" i="1" a="1"/>
  <c r="BM29" i="1" s="1"/>
  <c r="BG29" i="1" a="1"/>
  <c r="BG29" i="1" s="1"/>
  <c r="BF29" i="1" a="1"/>
  <c r="BF29" i="1" s="1"/>
  <c r="AL29" i="6" s="1"/>
  <c r="BA29" i="1" a="1"/>
  <c r="BA29" i="1" s="1"/>
  <c r="BB29" i="1" s="1"/>
  <c r="AZ29" i="1" a="1"/>
  <c r="AZ29" i="1" s="1"/>
  <c r="AT29" i="1" a="1"/>
  <c r="AT29" i="1" s="1"/>
  <c r="AS29" i="1" a="1"/>
  <c r="AS29" i="1" s="1"/>
  <c r="AD29" i="6" s="1"/>
  <c r="AN29" i="1" a="1"/>
  <c r="AN29" i="1" s="1"/>
  <c r="AM29" i="1" a="1"/>
  <c r="AM29" i="1" s="1"/>
  <c r="AG29" i="1" a="1"/>
  <c r="AG29" i="1" s="1"/>
  <c r="W29" i="6" s="1"/>
  <c r="AF29" i="1" a="1"/>
  <c r="AF29" i="1" s="1"/>
  <c r="V29" i="6" s="1"/>
  <c r="AA29" i="1" a="1"/>
  <c r="AA29" i="1" s="1"/>
  <c r="Z29" i="1" a="1"/>
  <c r="Z29" i="1" s="1"/>
  <c r="T29" i="1" a="1"/>
  <c r="T29" i="1" s="1"/>
  <c r="O29" i="6" s="1"/>
  <c r="S29" i="1" a="1"/>
  <c r="S29" i="1" s="1"/>
  <c r="N29" i="6" s="1"/>
  <c r="N29" i="1" a="1"/>
  <c r="N29" i="1" s="1"/>
  <c r="M29" i="1" a="1"/>
  <c r="M29" i="1" s="1"/>
  <c r="G29" i="1" a="1"/>
  <c r="G29" i="1" s="1"/>
  <c r="F29" i="1" a="1"/>
  <c r="F29" i="1" s="1"/>
  <c r="F29" i="6" s="1"/>
  <c r="D29" i="1"/>
  <c r="D29" i="6" s="1"/>
  <c r="CS28" i="1"/>
  <c r="CN28" i="1" a="1"/>
  <c r="CN28" i="1" s="1"/>
  <c r="CM28" i="1" a="1"/>
  <c r="CM28" i="1" s="1"/>
  <c r="CG28" i="1" a="1"/>
  <c r="CG28" i="1" s="1"/>
  <c r="BC28" i="6" s="1"/>
  <c r="CF28" i="1" a="1"/>
  <c r="CF28" i="1" s="1"/>
  <c r="BB28" i="6" s="1"/>
  <c r="CA28" i="1" a="1"/>
  <c r="CA28" i="1" s="1"/>
  <c r="AY28" i="6" s="1"/>
  <c r="BZ28" i="1" a="1"/>
  <c r="BZ28" i="1" s="1"/>
  <c r="BT28" i="1" a="1"/>
  <c r="BT28" i="1" s="1"/>
  <c r="AU28" i="6" s="1"/>
  <c r="BS28" i="1" a="1"/>
  <c r="BS28" i="1" s="1"/>
  <c r="AT28" i="6" s="1"/>
  <c r="BN28" i="1" a="1"/>
  <c r="BN28" i="1" s="1"/>
  <c r="BO28" i="1" s="1"/>
  <c r="BM28" i="1" a="1"/>
  <c r="BM28" i="1" s="1"/>
  <c r="BG28" i="1" a="1"/>
  <c r="BG28" i="1" s="1"/>
  <c r="BF28" i="1" a="1"/>
  <c r="BF28" i="1" s="1"/>
  <c r="AL28" i="6" s="1"/>
  <c r="BA28" i="1" a="1"/>
  <c r="BA28" i="1" s="1"/>
  <c r="AZ28" i="1" a="1"/>
  <c r="AZ28" i="1" s="1"/>
  <c r="AT28" i="1" a="1"/>
  <c r="AT28" i="1" s="1"/>
  <c r="AE28" i="6" s="1"/>
  <c r="AS28" i="1" a="1"/>
  <c r="AS28" i="1" s="1"/>
  <c r="AD28" i="6" s="1"/>
  <c r="AN28" i="1" a="1"/>
  <c r="AN28" i="1" s="1"/>
  <c r="AM28" i="1" a="1"/>
  <c r="AM28" i="1" s="1"/>
  <c r="AG28" i="1" a="1"/>
  <c r="AG28" i="1" s="1"/>
  <c r="AF28" i="1" a="1"/>
  <c r="AF28" i="1" s="1"/>
  <c r="V28" i="6" s="1"/>
  <c r="AA28" i="1" a="1"/>
  <c r="AA28" i="1" s="1"/>
  <c r="Z28" i="1" a="1"/>
  <c r="Z28" i="1" s="1"/>
  <c r="T28" i="1" a="1"/>
  <c r="T28" i="1" s="1"/>
  <c r="O28" i="6" s="1"/>
  <c r="S28" i="1" a="1"/>
  <c r="S28" i="1" s="1"/>
  <c r="N28" i="6" s="1"/>
  <c r="N28" i="1" a="1"/>
  <c r="N28" i="1" s="1"/>
  <c r="M28" i="1" a="1"/>
  <c r="M28" i="1" s="1"/>
  <c r="G28" i="1" a="1"/>
  <c r="G28" i="1" s="1"/>
  <c r="G28" i="6" s="1"/>
  <c r="F28" i="1" a="1"/>
  <c r="F28" i="1" s="1"/>
  <c r="F28" i="6" s="1"/>
  <c r="D28" i="1"/>
  <c r="CS27" i="1"/>
  <c r="AH27" i="7" s="1"/>
  <c r="CN27" i="1" a="1"/>
  <c r="CN27" i="1" s="1"/>
  <c r="CM27" i="1" a="1"/>
  <c r="CM27" i="1" s="1"/>
  <c r="CG27" i="1" a="1"/>
  <c r="CG27" i="1" s="1"/>
  <c r="BC27" i="6" s="1"/>
  <c r="CF27" i="1" a="1"/>
  <c r="CF27" i="1" s="1"/>
  <c r="BB27" i="6" s="1"/>
  <c r="CA27" i="1" a="1"/>
  <c r="CA27" i="1" s="1"/>
  <c r="CB27" i="1" s="1"/>
  <c r="BZ27" i="1" a="1"/>
  <c r="BZ27" i="1" s="1"/>
  <c r="BT27" i="1" a="1"/>
  <c r="BT27" i="1" s="1"/>
  <c r="BS27" i="1" a="1"/>
  <c r="BS27" i="1" s="1"/>
  <c r="AT27" i="6" s="1"/>
  <c r="BN27" i="1" a="1"/>
  <c r="BN27" i="1" s="1"/>
  <c r="BO27" i="1" s="1"/>
  <c r="W27" i="7" s="1"/>
  <c r="BM27" i="1" a="1"/>
  <c r="BM27" i="1" s="1"/>
  <c r="BG27" i="1" a="1"/>
  <c r="BG27" i="1" s="1"/>
  <c r="AM27" i="6" s="1"/>
  <c r="BF27" i="1" a="1"/>
  <c r="BF27" i="1" s="1"/>
  <c r="AL27" i="6" s="1"/>
  <c r="BA27" i="1" a="1"/>
  <c r="BA27" i="1" s="1"/>
  <c r="AZ27" i="1" a="1"/>
  <c r="AZ27" i="1" s="1"/>
  <c r="AT27" i="1" a="1"/>
  <c r="AT27" i="1" s="1"/>
  <c r="AE27" i="6" s="1"/>
  <c r="AS27" i="1" a="1"/>
  <c r="AS27" i="1" s="1"/>
  <c r="AD27" i="6" s="1"/>
  <c r="AN27" i="1" a="1"/>
  <c r="AN27" i="1" s="1"/>
  <c r="AM27" i="1" a="1"/>
  <c r="AM27" i="1" s="1"/>
  <c r="AG27" i="1" a="1"/>
  <c r="AG27" i="1" s="1"/>
  <c r="AF27" i="1" a="1"/>
  <c r="AF27" i="1" s="1"/>
  <c r="V27" i="6" s="1"/>
  <c r="AA27" i="1" a="1"/>
  <c r="AA27" i="1" s="1"/>
  <c r="AB27" i="1" s="1"/>
  <c r="K27" i="7" s="1"/>
  <c r="Z27" i="1" a="1"/>
  <c r="Z27" i="1" s="1"/>
  <c r="T27" i="1" a="1"/>
  <c r="T27" i="1" s="1"/>
  <c r="O27" i="6" s="1"/>
  <c r="S27" i="1" a="1"/>
  <c r="S27" i="1" s="1"/>
  <c r="N27" i="6" s="1"/>
  <c r="N27" i="1" a="1"/>
  <c r="N27" i="1" s="1"/>
  <c r="O27" i="1" s="1"/>
  <c r="G27" i="7" s="1"/>
  <c r="M27" i="1" a="1"/>
  <c r="M27" i="1" s="1"/>
  <c r="G27" i="1" a="1"/>
  <c r="G27" i="1" s="1"/>
  <c r="G27" i="6" s="1"/>
  <c r="F27" i="1" a="1"/>
  <c r="F27" i="1" s="1"/>
  <c r="F27" i="6" s="1"/>
  <c r="D27" i="1"/>
  <c r="CS26" i="1"/>
  <c r="CN26" i="1" a="1"/>
  <c r="CN26" i="1" s="1"/>
  <c r="CM26" i="1" a="1"/>
  <c r="CM26" i="1" s="1"/>
  <c r="CG26" i="1" a="1"/>
  <c r="CG26" i="1" s="1"/>
  <c r="CF26" i="1" a="1"/>
  <c r="CF26" i="1" s="1"/>
  <c r="BB26" i="6" s="1"/>
  <c r="CA26" i="1" a="1"/>
  <c r="CA26" i="1" s="1"/>
  <c r="BZ26" i="1" a="1"/>
  <c r="BZ26" i="1" s="1"/>
  <c r="BT26" i="1" a="1"/>
  <c r="BT26" i="1" s="1"/>
  <c r="AU26" i="6" s="1"/>
  <c r="BS26" i="1" a="1"/>
  <c r="BS26" i="1" s="1"/>
  <c r="AT26" i="6" s="1"/>
  <c r="BN26" i="1" a="1"/>
  <c r="BN26" i="1" s="1"/>
  <c r="BM26" i="1" a="1"/>
  <c r="BM26" i="1" s="1"/>
  <c r="BG26" i="1" a="1"/>
  <c r="BG26" i="1" s="1"/>
  <c r="BF26" i="1" a="1"/>
  <c r="BF26" i="1" s="1"/>
  <c r="AL26" i="6" s="1"/>
  <c r="BA26" i="1" a="1"/>
  <c r="BA26" i="1" s="1"/>
  <c r="AZ26" i="1" a="1"/>
  <c r="AZ26" i="1" s="1"/>
  <c r="AT26" i="1" a="1"/>
  <c r="AT26" i="1" s="1"/>
  <c r="AS26" i="1" a="1"/>
  <c r="AS26" i="1" s="1"/>
  <c r="AD26" i="6" s="1"/>
  <c r="AN26" i="1" a="1"/>
  <c r="AN26" i="1" s="1"/>
  <c r="AM26" i="1" a="1"/>
  <c r="AM26" i="1" s="1"/>
  <c r="AG26" i="1" a="1"/>
  <c r="AG26" i="1" s="1"/>
  <c r="AF26" i="1" a="1"/>
  <c r="AF26" i="1" s="1"/>
  <c r="V26" i="6" s="1"/>
  <c r="AA26" i="1" a="1"/>
  <c r="AA26" i="1" s="1"/>
  <c r="AB26" i="1" s="1"/>
  <c r="Z26" i="1" a="1"/>
  <c r="Z26" i="1" s="1"/>
  <c r="T26" i="1" a="1"/>
  <c r="T26" i="1" s="1"/>
  <c r="S26" i="1" a="1"/>
  <c r="S26" i="1" s="1"/>
  <c r="N26" i="6" s="1"/>
  <c r="N26" i="1" a="1"/>
  <c r="N26" i="1" s="1"/>
  <c r="M26" i="1" a="1"/>
  <c r="M26" i="1" s="1"/>
  <c r="G26" i="1" a="1"/>
  <c r="G26" i="1" s="1"/>
  <c r="F26" i="1" a="1"/>
  <c r="F26" i="1" s="1"/>
  <c r="F26" i="6" s="1"/>
  <c r="D26" i="1"/>
  <c r="CS25" i="1"/>
  <c r="BJ25" i="6" s="1"/>
  <c r="CN25" i="1" a="1"/>
  <c r="CN25" i="1" s="1"/>
  <c r="CM25" i="1" a="1"/>
  <c r="CM25" i="1" s="1"/>
  <c r="CG25" i="1" a="1"/>
  <c r="CG25" i="1" s="1"/>
  <c r="BC25" i="6" s="1"/>
  <c r="CF25" i="1" a="1"/>
  <c r="CF25" i="1" s="1"/>
  <c r="BB25" i="6" s="1"/>
  <c r="CA25" i="1" a="1"/>
  <c r="CA25" i="1" s="1"/>
  <c r="BZ25" i="1" a="1"/>
  <c r="BZ25" i="1" s="1"/>
  <c r="BT25" i="1" a="1"/>
  <c r="BT25" i="1" s="1"/>
  <c r="AU25" i="6" s="1"/>
  <c r="BS25" i="1" a="1"/>
  <c r="BS25" i="1" s="1"/>
  <c r="AT25" i="6" s="1"/>
  <c r="BN25" i="1" a="1"/>
  <c r="BN25" i="1" s="1"/>
  <c r="BM25" i="1" a="1"/>
  <c r="BM25" i="1" s="1"/>
  <c r="BG25" i="1" a="1"/>
  <c r="BG25" i="1" s="1"/>
  <c r="AM25" i="6" s="1"/>
  <c r="BF25" i="1" a="1"/>
  <c r="BF25" i="1" s="1"/>
  <c r="AL25" i="6" s="1"/>
  <c r="BA25" i="1" a="1"/>
  <c r="BA25" i="1" s="1"/>
  <c r="AZ25" i="1" a="1"/>
  <c r="AZ25" i="1" s="1"/>
  <c r="AT25" i="1" a="1"/>
  <c r="AT25" i="1" s="1"/>
  <c r="AE25" i="6" s="1"/>
  <c r="AS25" i="1" a="1"/>
  <c r="AS25" i="1" s="1"/>
  <c r="AD25" i="6" s="1"/>
  <c r="AN25" i="1" a="1"/>
  <c r="AN25" i="1" s="1"/>
  <c r="AM25" i="1" a="1"/>
  <c r="AM25" i="1" s="1"/>
  <c r="AG25" i="1" a="1"/>
  <c r="AG25" i="1" s="1"/>
  <c r="AF25" i="1" a="1"/>
  <c r="AF25" i="1" s="1"/>
  <c r="V25" i="6" s="1"/>
  <c r="AA25" i="1" a="1"/>
  <c r="AA25" i="1" s="1"/>
  <c r="Z25" i="1" a="1"/>
  <c r="Z25" i="1" s="1"/>
  <c r="T25" i="1" a="1"/>
  <c r="T25" i="1" s="1"/>
  <c r="O25" i="6" s="1"/>
  <c r="S25" i="1" a="1"/>
  <c r="S25" i="1" s="1"/>
  <c r="N25" i="6" s="1"/>
  <c r="N25" i="1" a="1"/>
  <c r="N25" i="1" s="1"/>
  <c r="M25" i="1" a="1"/>
  <c r="M25" i="1" s="1"/>
  <c r="G25" i="1" a="1"/>
  <c r="G25" i="1" s="1"/>
  <c r="F25" i="1" a="1"/>
  <c r="F25" i="1" s="1"/>
  <c r="F25" i="6" s="1"/>
  <c r="D25" i="1"/>
  <c r="CS24" i="1"/>
  <c r="CN24" i="1" a="1"/>
  <c r="CN24" i="1" s="1"/>
  <c r="BG24" i="6" s="1"/>
  <c r="CM24" i="1" a="1"/>
  <c r="CM24" i="1" s="1"/>
  <c r="CG24" i="1" a="1"/>
  <c r="CG24" i="1" s="1"/>
  <c r="BC24" i="6" s="1"/>
  <c r="CF24" i="1" a="1"/>
  <c r="CF24" i="1" s="1"/>
  <c r="BB24" i="6" s="1"/>
  <c r="CA24" i="1" a="1"/>
  <c r="CA24" i="1" s="1"/>
  <c r="BZ24" i="1" a="1"/>
  <c r="BZ24" i="1" s="1"/>
  <c r="BT24" i="1" a="1"/>
  <c r="BT24" i="1" s="1"/>
  <c r="AU24" i="6" s="1"/>
  <c r="BS24" i="1" a="1"/>
  <c r="BS24" i="1" s="1"/>
  <c r="AT24" i="6" s="1"/>
  <c r="BN24" i="1" a="1"/>
  <c r="BN24" i="1" s="1"/>
  <c r="BM24" i="1" a="1"/>
  <c r="BM24" i="1" s="1"/>
  <c r="BG24" i="1" a="1"/>
  <c r="BG24" i="1" s="1"/>
  <c r="AM24" i="6" s="1"/>
  <c r="BF24" i="1" a="1"/>
  <c r="BF24" i="1" s="1"/>
  <c r="AL24" i="6" s="1"/>
  <c r="BA24" i="1" a="1"/>
  <c r="BA24" i="1" s="1"/>
  <c r="AZ24" i="1" a="1"/>
  <c r="AZ24" i="1" s="1"/>
  <c r="AT24" i="1" a="1"/>
  <c r="AT24" i="1" s="1"/>
  <c r="AE24" i="6" s="1"/>
  <c r="AS24" i="1" a="1"/>
  <c r="AS24" i="1" s="1"/>
  <c r="AD24" i="6" s="1"/>
  <c r="AN24" i="1" a="1"/>
  <c r="AN24" i="1" s="1"/>
  <c r="AM24" i="1" a="1"/>
  <c r="AM24" i="1" s="1"/>
  <c r="AG24" i="1" a="1"/>
  <c r="AG24" i="1" s="1"/>
  <c r="AF24" i="1" a="1"/>
  <c r="AF24" i="1" s="1"/>
  <c r="V24" i="6" s="1"/>
  <c r="AA24" i="1" a="1"/>
  <c r="AA24" i="1" s="1"/>
  <c r="Z24" i="1" a="1"/>
  <c r="Z24" i="1" s="1"/>
  <c r="T24" i="1" a="1"/>
  <c r="T24" i="1" s="1"/>
  <c r="O24" i="6" s="1"/>
  <c r="S24" i="1" a="1"/>
  <c r="S24" i="1" s="1"/>
  <c r="N24" i="6" s="1"/>
  <c r="N24" i="1" a="1"/>
  <c r="N24" i="1" s="1"/>
  <c r="K24" i="6" s="1"/>
  <c r="M24" i="1" a="1"/>
  <c r="M24" i="1" s="1"/>
  <c r="G24" i="1" a="1"/>
  <c r="G24" i="1" s="1"/>
  <c r="F24" i="1" a="1"/>
  <c r="F24" i="1" s="1"/>
  <c r="F24" i="6" s="1"/>
  <c r="D24" i="1"/>
  <c r="CS23" i="1"/>
  <c r="CN23" i="1" a="1"/>
  <c r="CN23" i="1" s="1"/>
  <c r="CO23" i="1" s="1"/>
  <c r="CM23" i="1" a="1"/>
  <c r="CM23" i="1" s="1"/>
  <c r="CG23" i="1" a="1"/>
  <c r="CG23" i="1" s="1"/>
  <c r="BC23" i="6" s="1"/>
  <c r="CF23" i="1" a="1"/>
  <c r="CF23" i="1" s="1"/>
  <c r="BB23" i="6" s="1"/>
  <c r="CA23" i="1" a="1"/>
  <c r="CA23" i="1" s="1"/>
  <c r="BZ23" i="1" a="1"/>
  <c r="BZ23" i="1" s="1"/>
  <c r="BT23" i="1" a="1"/>
  <c r="BT23" i="1" s="1"/>
  <c r="BS23" i="1" a="1"/>
  <c r="BS23" i="1" s="1"/>
  <c r="AT23" i="6" s="1"/>
  <c r="BN23" i="1" a="1"/>
  <c r="BN23" i="1" s="1"/>
  <c r="BM23" i="1" a="1"/>
  <c r="BM23" i="1" s="1"/>
  <c r="BG23" i="1" a="1"/>
  <c r="BG23" i="1" s="1"/>
  <c r="BF23" i="1" a="1"/>
  <c r="BF23" i="1" s="1"/>
  <c r="AL23" i="6" s="1"/>
  <c r="BA23" i="1" a="1"/>
  <c r="BA23" i="1" s="1"/>
  <c r="AZ23" i="1" a="1"/>
  <c r="AZ23" i="1" s="1"/>
  <c r="AT23" i="1" a="1"/>
  <c r="AT23" i="1" s="1"/>
  <c r="AE23" i="6" s="1"/>
  <c r="AS23" i="1" a="1"/>
  <c r="AS23" i="1" s="1"/>
  <c r="AD23" i="6" s="1"/>
  <c r="AN23" i="1" a="1"/>
  <c r="AN23" i="1" s="1"/>
  <c r="AM23" i="1" a="1"/>
  <c r="AM23" i="1" s="1"/>
  <c r="AG23" i="1" a="1"/>
  <c r="AG23" i="1" s="1"/>
  <c r="W23" i="6" s="1"/>
  <c r="AF23" i="1" a="1"/>
  <c r="AF23" i="1" s="1"/>
  <c r="V23" i="6" s="1"/>
  <c r="AA23" i="1" a="1"/>
  <c r="AA23" i="1" s="1"/>
  <c r="Z23" i="1" a="1"/>
  <c r="Z23" i="1" s="1"/>
  <c r="T23" i="1" a="1"/>
  <c r="T23" i="1" s="1"/>
  <c r="O23" i="6" s="1"/>
  <c r="S23" i="1" a="1"/>
  <c r="S23" i="1" s="1"/>
  <c r="N23" i="6" s="1"/>
  <c r="N23" i="1" a="1"/>
  <c r="N23" i="1" s="1"/>
  <c r="M23" i="1" a="1"/>
  <c r="M23" i="1" s="1"/>
  <c r="G23" i="1" a="1"/>
  <c r="G23" i="1" s="1"/>
  <c r="G23" i="6" s="1"/>
  <c r="F23" i="1" a="1"/>
  <c r="F23" i="1" s="1"/>
  <c r="F23" i="6" s="1"/>
  <c r="D23" i="1"/>
  <c r="CS22" i="1"/>
  <c r="CN22" i="1" a="1"/>
  <c r="CN22" i="1" s="1"/>
  <c r="CM22" i="1" a="1"/>
  <c r="CM22" i="1" s="1"/>
  <c r="CG22" i="1" a="1"/>
  <c r="CG22" i="1" s="1"/>
  <c r="BC22" i="6" s="1"/>
  <c r="CF22" i="1" a="1"/>
  <c r="CF22" i="1" s="1"/>
  <c r="BB22" i="6" s="1"/>
  <c r="CA22" i="1" a="1"/>
  <c r="CA22" i="1" s="1"/>
  <c r="BZ22" i="1" a="1"/>
  <c r="BZ22" i="1" s="1"/>
  <c r="BT22" i="1" a="1"/>
  <c r="BT22" i="1" s="1"/>
  <c r="BS22" i="1" a="1"/>
  <c r="BS22" i="1" s="1"/>
  <c r="AT22" i="6" s="1"/>
  <c r="BN22" i="1" a="1"/>
  <c r="BN22" i="1" s="1"/>
  <c r="BM22" i="1" a="1"/>
  <c r="BM22" i="1" s="1"/>
  <c r="BG22" i="1" a="1"/>
  <c r="BG22" i="1" s="1"/>
  <c r="BF22" i="1" a="1"/>
  <c r="BF22" i="1" s="1"/>
  <c r="AL22" i="6" s="1"/>
  <c r="BA22" i="1" a="1"/>
  <c r="BA22" i="1" s="1"/>
  <c r="AZ22" i="1" a="1"/>
  <c r="AZ22" i="1" s="1"/>
  <c r="AT22" i="1" a="1"/>
  <c r="AT22" i="1" s="1"/>
  <c r="AE22" i="6" s="1"/>
  <c r="AS22" i="1" a="1"/>
  <c r="AS22" i="1" s="1"/>
  <c r="AD22" i="6" s="1"/>
  <c r="AN22" i="1" a="1"/>
  <c r="AN22" i="1" s="1"/>
  <c r="AM22" i="1" a="1"/>
  <c r="AM22" i="1" s="1"/>
  <c r="AG22" i="1" a="1"/>
  <c r="AG22" i="1" s="1"/>
  <c r="W22" i="6" s="1"/>
  <c r="AF22" i="1" a="1"/>
  <c r="AF22" i="1" s="1"/>
  <c r="V22" i="6" s="1"/>
  <c r="AA22" i="1" a="1"/>
  <c r="AA22" i="1" s="1"/>
  <c r="Z22" i="1" a="1"/>
  <c r="Z22" i="1" s="1"/>
  <c r="T22" i="1" a="1"/>
  <c r="T22" i="1" s="1"/>
  <c r="O22" i="6" s="1"/>
  <c r="S22" i="1" a="1"/>
  <c r="S22" i="1" s="1"/>
  <c r="N22" i="6" s="1"/>
  <c r="N22" i="1" a="1"/>
  <c r="N22" i="1" s="1"/>
  <c r="M22" i="1" a="1"/>
  <c r="M22" i="1" s="1"/>
  <c r="G22" i="1" a="1"/>
  <c r="G22" i="1" s="1"/>
  <c r="F22" i="1" a="1"/>
  <c r="F22" i="1" s="1"/>
  <c r="F22" i="6" s="1"/>
  <c r="D22" i="1"/>
  <c r="CS21" i="1"/>
  <c r="CN21" i="1" a="1"/>
  <c r="CN21" i="1" s="1"/>
  <c r="CM21" i="1" a="1"/>
  <c r="CM21" i="1" s="1"/>
  <c r="CG21" i="1" a="1"/>
  <c r="CG21" i="1" s="1"/>
  <c r="BC21" i="6" s="1"/>
  <c r="CF21" i="1" a="1"/>
  <c r="CF21" i="1" s="1"/>
  <c r="BB21" i="6" s="1"/>
  <c r="CA21" i="1" a="1"/>
  <c r="CA21" i="1" s="1"/>
  <c r="BZ21" i="1" a="1"/>
  <c r="BZ21" i="1" s="1"/>
  <c r="BT21" i="1" a="1"/>
  <c r="BT21" i="1" s="1"/>
  <c r="AU21" i="6" s="1"/>
  <c r="BS21" i="1" a="1"/>
  <c r="BS21" i="1" s="1"/>
  <c r="AT21" i="6" s="1"/>
  <c r="BN21" i="1" a="1"/>
  <c r="BN21" i="1" s="1"/>
  <c r="BM21" i="1" a="1"/>
  <c r="BM21" i="1" s="1"/>
  <c r="BG21" i="1" a="1"/>
  <c r="BG21" i="1" s="1"/>
  <c r="AM21" i="6" s="1"/>
  <c r="BF21" i="1" a="1"/>
  <c r="BF21" i="1" s="1"/>
  <c r="AL21" i="6" s="1"/>
  <c r="BA21" i="1" a="1"/>
  <c r="BA21" i="1" s="1"/>
  <c r="AZ21" i="1" a="1"/>
  <c r="AZ21" i="1" s="1"/>
  <c r="AT21" i="1" a="1"/>
  <c r="AT21" i="1" s="1"/>
  <c r="AE21" i="6" s="1"/>
  <c r="AS21" i="1" a="1"/>
  <c r="AS21" i="1" s="1"/>
  <c r="AD21" i="6" s="1"/>
  <c r="AN21" i="1" a="1"/>
  <c r="AN21" i="1" s="1"/>
  <c r="AM21" i="1" a="1"/>
  <c r="AM21" i="1" s="1"/>
  <c r="AG21" i="1" a="1"/>
  <c r="AG21" i="1" s="1"/>
  <c r="W21" i="6" s="1"/>
  <c r="AF21" i="1" a="1"/>
  <c r="AF21" i="1" s="1"/>
  <c r="V21" i="6" s="1"/>
  <c r="AA21" i="1" a="1"/>
  <c r="AA21" i="1" s="1"/>
  <c r="Z21" i="1" a="1"/>
  <c r="Z21" i="1" s="1"/>
  <c r="T21" i="1" a="1"/>
  <c r="T21" i="1" s="1"/>
  <c r="S21" i="1" a="1"/>
  <c r="S21" i="1" s="1"/>
  <c r="N21" i="6" s="1"/>
  <c r="N21" i="1" a="1"/>
  <c r="N21" i="1" s="1"/>
  <c r="M21" i="1" a="1"/>
  <c r="M21" i="1" s="1"/>
  <c r="G21" i="1" a="1"/>
  <c r="G21" i="1" s="1"/>
  <c r="F21" i="1" a="1"/>
  <c r="F21" i="1" s="1"/>
  <c r="F21" i="6" s="1"/>
  <c r="D21" i="1"/>
  <c r="CS20" i="1"/>
  <c r="CN20" i="1" a="1"/>
  <c r="CN20" i="1" s="1"/>
  <c r="CM20" i="1" a="1"/>
  <c r="CM20" i="1" s="1"/>
  <c r="CG20" i="1" a="1"/>
  <c r="CG20" i="1" s="1"/>
  <c r="CF20" i="1" a="1"/>
  <c r="CF20" i="1" s="1"/>
  <c r="BB20" i="6" s="1"/>
  <c r="CA20" i="1" a="1"/>
  <c r="CA20" i="1" s="1"/>
  <c r="BZ20" i="1" a="1"/>
  <c r="BZ20" i="1" s="1"/>
  <c r="BT20" i="1" a="1"/>
  <c r="BT20" i="1" s="1"/>
  <c r="AU20" i="6" s="1"/>
  <c r="BS20" i="1" a="1"/>
  <c r="BS20" i="1" s="1"/>
  <c r="AT20" i="6" s="1"/>
  <c r="BN20" i="1" a="1"/>
  <c r="BN20" i="1" s="1"/>
  <c r="BM20" i="1" a="1"/>
  <c r="BM20" i="1" s="1"/>
  <c r="BG20" i="1" a="1"/>
  <c r="BG20" i="1" s="1"/>
  <c r="BF20" i="1" a="1"/>
  <c r="BF20" i="1" s="1"/>
  <c r="AL20" i="6" s="1"/>
  <c r="BA20" i="1" a="1"/>
  <c r="BA20" i="1" s="1"/>
  <c r="AI20" i="6" s="1"/>
  <c r="AZ20" i="1" a="1"/>
  <c r="AZ20" i="1" s="1"/>
  <c r="AT20" i="1" a="1"/>
  <c r="AT20" i="1" s="1"/>
  <c r="AE20" i="6" s="1"/>
  <c r="AS20" i="1" a="1"/>
  <c r="AS20" i="1" s="1"/>
  <c r="AD20" i="6" s="1"/>
  <c r="AN20" i="1" a="1"/>
  <c r="AN20" i="1" s="1"/>
  <c r="AM20" i="1" a="1"/>
  <c r="AM20" i="1" s="1"/>
  <c r="AG20" i="1" a="1"/>
  <c r="AG20" i="1" s="1"/>
  <c r="W20" i="6" s="1"/>
  <c r="AF20" i="1" a="1"/>
  <c r="AF20" i="1" s="1"/>
  <c r="V20" i="6" s="1"/>
  <c r="AA20" i="1" a="1"/>
  <c r="AA20" i="1" s="1"/>
  <c r="Z20" i="1" a="1"/>
  <c r="Z20" i="1" s="1"/>
  <c r="T20" i="1" a="1"/>
  <c r="T20" i="1" s="1"/>
  <c r="S20" i="1" a="1"/>
  <c r="S20" i="1" s="1"/>
  <c r="N20" i="6" s="1"/>
  <c r="N20" i="1" a="1"/>
  <c r="N20" i="1" s="1"/>
  <c r="M20" i="1" a="1"/>
  <c r="M20" i="1" s="1"/>
  <c r="G20" i="1" a="1"/>
  <c r="G20" i="1" s="1"/>
  <c r="G20" i="6" s="1"/>
  <c r="F20" i="1" a="1"/>
  <c r="F20" i="1" s="1"/>
  <c r="F20" i="6" s="1"/>
  <c r="D20" i="1"/>
  <c r="D20" i="6" s="1"/>
  <c r="CS19" i="1"/>
  <c r="CN19" i="1" a="1"/>
  <c r="CN19" i="1" s="1"/>
  <c r="CM19" i="1" a="1"/>
  <c r="CM19" i="1" s="1"/>
  <c r="CG19" i="1" a="1"/>
  <c r="CG19" i="1" s="1"/>
  <c r="BC19" i="6" s="1"/>
  <c r="CF19" i="1" a="1"/>
  <c r="CF19" i="1" s="1"/>
  <c r="BB19" i="6" s="1"/>
  <c r="CA19" i="1" a="1"/>
  <c r="CA19" i="1" s="1"/>
  <c r="BZ19" i="1" a="1"/>
  <c r="BZ19" i="1" s="1"/>
  <c r="BT19" i="1" a="1"/>
  <c r="BT19" i="1" s="1"/>
  <c r="AU19" i="6" s="1"/>
  <c r="BS19" i="1" a="1"/>
  <c r="BS19" i="1" s="1"/>
  <c r="AT19" i="6" s="1"/>
  <c r="BN19" i="1" a="1"/>
  <c r="BN19" i="1" s="1"/>
  <c r="BM19" i="1" a="1"/>
  <c r="BM19" i="1" s="1"/>
  <c r="BG19" i="1" a="1"/>
  <c r="BG19" i="1" s="1"/>
  <c r="AM19" i="6" s="1"/>
  <c r="BF19" i="1" a="1"/>
  <c r="BF19" i="1" s="1"/>
  <c r="AL19" i="6" s="1"/>
  <c r="BA19" i="1" a="1"/>
  <c r="BA19" i="1" s="1"/>
  <c r="AZ19" i="1" a="1"/>
  <c r="AZ19" i="1" s="1"/>
  <c r="AT19" i="1" a="1"/>
  <c r="AT19" i="1" s="1"/>
  <c r="AE19" i="6" s="1"/>
  <c r="AS19" i="1" a="1"/>
  <c r="AS19" i="1" s="1"/>
  <c r="AD19" i="6" s="1"/>
  <c r="AN19" i="1" a="1"/>
  <c r="AN19" i="1" s="1"/>
  <c r="AM19" i="1" a="1"/>
  <c r="AM19" i="1" s="1"/>
  <c r="AG19" i="1" a="1"/>
  <c r="AG19" i="1" s="1"/>
  <c r="AF19" i="1" a="1"/>
  <c r="AF19" i="1" s="1"/>
  <c r="V19" i="6" s="1"/>
  <c r="AA19" i="1" a="1"/>
  <c r="AA19" i="1" s="1"/>
  <c r="Z19" i="1" a="1"/>
  <c r="Z19" i="1" s="1"/>
  <c r="T19" i="1" a="1"/>
  <c r="T19" i="1" s="1"/>
  <c r="O19" i="6" s="1"/>
  <c r="S19" i="1" a="1"/>
  <c r="S19" i="1" s="1"/>
  <c r="N19" i="6" s="1"/>
  <c r="N19" i="1" a="1"/>
  <c r="N19" i="1" s="1"/>
  <c r="O19" i="1" s="1"/>
  <c r="M19" i="1" a="1"/>
  <c r="M19" i="1" s="1"/>
  <c r="G19" i="1" a="1"/>
  <c r="G19" i="1" s="1"/>
  <c r="G19" i="6" s="1"/>
  <c r="F19" i="1" a="1"/>
  <c r="F19" i="1" s="1"/>
  <c r="F19" i="6" s="1"/>
  <c r="D19" i="1"/>
  <c r="CS18" i="1"/>
  <c r="CN18" i="1" a="1"/>
  <c r="CN18" i="1" s="1"/>
  <c r="CM18" i="1" a="1"/>
  <c r="CM18" i="1" s="1"/>
  <c r="CG18" i="1" a="1"/>
  <c r="CG18" i="1" s="1"/>
  <c r="BC18" i="6" s="1"/>
  <c r="CF18" i="1" a="1"/>
  <c r="CF18" i="1" s="1"/>
  <c r="BB18" i="6" s="1"/>
  <c r="CA18" i="1" a="1"/>
  <c r="CA18" i="1" s="1"/>
  <c r="CB18" i="1" s="1"/>
  <c r="BZ18" i="1" a="1"/>
  <c r="BZ18" i="1" s="1"/>
  <c r="BT18" i="1" a="1"/>
  <c r="BT18" i="1" s="1"/>
  <c r="AU18" i="6" s="1"/>
  <c r="BS18" i="1" a="1"/>
  <c r="BS18" i="1" s="1"/>
  <c r="AT18" i="6" s="1"/>
  <c r="BN18" i="1" a="1"/>
  <c r="BN18" i="1" s="1"/>
  <c r="BM18" i="1" a="1"/>
  <c r="BM18" i="1" s="1"/>
  <c r="BG18" i="1" a="1"/>
  <c r="BG18" i="1" s="1"/>
  <c r="BF18" i="1" a="1"/>
  <c r="BF18" i="1" s="1"/>
  <c r="AL18" i="6" s="1"/>
  <c r="BA18" i="1" a="1"/>
  <c r="BA18" i="1" s="1"/>
  <c r="AZ18" i="1" a="1"/>
  <c r="AZ18" i="1" s="1"/>
  <c r="AT18" i="1" a="1"/>
  <c r="AT18" i="1" s="1"/>
  <c r="AE18" i="6" s="1"/>
  <c r="AS18" i="1" a="1"/>
  <c r="AS18" i="1" s="1"/>
  <c r="AD18" i="6" s="1"/>
  <c r="AN18" i="1" a="1"/>
  <c r="AN18" i="1" s="1"/>
  <c r="AM18" i="1" a="1"/>
  <c r="AM18" i="1" s="1"/>
  <c r="AG18" i="1" a="1"/>
  <c r="AG18" i="1" s="1"/>
  <c r="W18" i="6" s="1"/>
  <c r="AF18" i="1" a="1"/>
  <c r="AF18" i="1" s="1"/>
  <c r="V18" i="6" s="1"/>
  <c r="AA18" i="1" a="1"/>
  <c r="AA18" i="1" s="1"/>
  <c r="Z18" i="1" a="1"/>
  <c r="Z18" i="1" s="1"/>
  <c r="T18" i="1" a="1"/>
  <c r="T18" i="1" s="1"/>
  <c r="S18" i="1" a="1"/>
  <c r="S18" i="1" s="1"/>
  <c r="N18" i="6" s="1"/>
  <c r="N18" i="1" a="1"/>
  <c r="N18" i="1" s="1"/>
  <c r="O18" i="1" s="1"/>
  <c r="G18" i="7" s="1"/>
  <c r="M18" i="1" a="1"/>
  <c r="M18" i="1" s="1"/>
  <c r="G18" i="1" a="1"/>
  <c r="G18" i="1" s="1"/>
  <c r="G18" i="6" s="1"/>
  <c r="F18" i="1" a="1"/>
  <c r="F18" i="1" s="1"/>
  <c r="F18" i="6" s="1"/>
  <c r="D18" i="1"/>
  <c r="CS17" i="1"/>
  <c r="CN17" i="1" a="1"/>
  <c r="CN17" i="1" s="1"/>
  <c r="CM17" i="1" a="1"/>
  <c r="CM17" i="1" s="1"/>
  <c r="CG17" i="1" a="1"/>
  <c r="CG17" i="1" s="1"/>
  <c r="CF17" i="1" a="1"/>
  <c r="CF17" i="1" s="1"/>
  <c r="BB17" i="6" s="1"/>
  <c r="CA17" i="1" a="1"/>
  <c r="CA17" i="1" s="1"/>
  <c r="BZ17" i="1" a="1"/>
  <c r="BZ17" i="1" s="1"/>
  <c r="BT17" i="1" a="1"/>
  <c r="BT17" i="1" s="1"/>
  <c r="BS17" i="1" a="1"/>
  <c r="BS17" i="1" s="1"/>
  <c r="AT17" i="6" s="1"/>
  <c r="BN17" i="1" a="1"/>
  <c r="BN17" i="1" s="1"/>
  <c r="BM17" i="1" a="1"/>
  <c r="BM17" i="1" s="1"/>
  <c r="BG17" i="1" a="1"/>
  <c r="BG17" i="1" s="1"/>
  <c r="AM17" i="6" s="1"/>
  <c r="BF17" i="1" a="1"/>
  <c r="BF17" i="1" s="1"/>
  <c r="AL17" i="6" s="1"/>
  <c r="BA17" i="1" a="1"/>
  <c r="BA17" i="1" s="1"/>
  <c r="AZ17" i="1" a="1"/>
  <c r="AZ17" i="1" s="1"/>
  <c r="AT17" i="1" a="1"/>
  <c r="AT17" i="1" s="1"/>
  <c r="AS17" i="1" a="1"/>
  <c r="AS17" i="1" s="1"/>
  <c r="AD17" i="6" s="1"/>
  <c r="AN17" i="1" a="1"/>
  <c r="AN17" i="1" s="1"/>
  <c r="AM17" i="1" a="1"/>
  <c r="AM17" i="1" s="1"/>
  <c r="AG17" i="1" a="1"/>
  <c r="AG17" i="1" s="1"/>
  <c r="W17" i="6" s="1"/>
  <c r="AF17" i="1" a="1"/>
  <c r="AF17" i="1" s="1"/>
  <c r="V17" i="6" s="1"/>
  <c r="AA17" i="1" a="1"/>
  <c r="AA17" i="1" s="1"/>
  <c r="S17" i="6" s="1"/>
  <c r="Z17" i="1" a="1"/>
  <c r="Z17" i="1" s="1"/>
  <c r="T17" i="1" a="1"/>
  <c r="T17" i="1" s="1"/>
  <c r="S17" i="1" a="1"/>
  <c r="S17" i="1" s="1"/>
  <c r="N17" i="6" s="1"/>
  <c r="N17" i="1" a="1"/>
  <c r="N17" i="1" s="1"/>
  <c r="M17" i="1" a="1"/>
  <c r="M17" i="1" s="1"/>
  <c r="G17" i="1" a="1"/>
  <c r="G17" i="1" s="1"/>
  <c r="G17" i="6" s="1"/>
  <c r="F17" i="1" a="1"/>
  <c r="F17" i="1" s="1"/>
  <c r="F17" i="6" s="1"/>
  <c r="D17" i="1"/>
  <c r="D17" i="6" s="1"/>
  <c r="CS16" i="1"/>
  <c r="CN16" i="1" a="1"/>
  <c r="CN16" i="1" s="1"/>
  <c r="CM16" i="1" a="1"/>
  <c r="CM16" i="1" s="1"/>
  <c r="CG16" i="1" a="1"/>
  <c r="CG16" i="1" s="1"/>
  <c r="BC16" i="6" s="1"/>
  <c r="CF16" i="1" a="1"/>
  <c r="CF16" i="1" s="1"/>
  <c r="BB16" i="6" s="1"/>
  <c r="CA16" i="1" a="1"/>
  <c r="CA16" i="1" s="1"/>
  <c r="CB16" i="1" s="1"/>
  <c r="BZ16" i="1" a="1"/>
  <c r="BZ16" i="1" s="1"/>
  <c r="BT16" i="1" a="1"/>
  <c r="BT16" i="1" s="1"/>
  <c r="BS16" i="1" a="1"/>
  <c r="BS16" i="1" s="1"/>
  <c r="AT16" i="6" s="1"/>
  <c r="BN16" i="1" a="1"/>
  <c r="BN16" i="1" s="1"/>
  <c r="BM16" i="1" a="1"/>
  <c r="BM16" i="1" s="1"/>
  <c r="BG16" i="1" a="1"/>
  <c r="BG16" i="1" s="1"/>
  <c r="BF16" i="1" a="1"/>
  <c r="BF16" i="1" s="1"/>
  <c r="AL16" i="6" s="1"/>
  <c r="BA16" i="1" a="1"/>
  <c r="BA16" i="1" s="1"/>
  <c r="AZ16" i="1" a="1"/>
  <c r="AZ16" i="1" s="1"/>
  <c r="AT16" i="1" a="1"/>
  <c r="AT16" i="1" s="1"/>
  <c r="AE16" i="6" s="1"/>
  <c r="AS16" i="1" a="1"/>
  <c r="AS16" i="1" s="1"/>
  <c r="AD16" i="6" s="1"/>
  <c r="AN16" i="1" a="1"/>
  <c r="AN16" i="1" s="1"/>
  <c r="AO16" i="1" s="1"/>
  <c r="AM16" i="1" a="1"/>
  <c r="AM16" i="1" s="1"/>
  <c r="AG16" i="1" a="1"/>
  <c r="AG16" i="1" s="1"/>
  <c r="W16" i="6" s="1"/>
  <c r="AF16" i="1" a="1"/>
  <c r="AF16" i="1" s="1"/>
  <c r="V16" i="6" s="1"/>
  <c r="AA16" i="1" a="1"/>
  <c r="AA16" i="1" s="1"/>
  <c r="Z16" i="1" a="1"/>
  <c r="Z16" i="1" s="1"/>
  <c r="T16" i="1" a="1"/>
  <c r="T16" i="1" s="1"/>
  <c r="S16" i="1" a="1"/>
  <c r="S16" i="1" s="1"/>
  <c r="N16" i="6" s="1"/>
  <c r="N16" i="1" a="1"/>
  <c r="N16" i="1" s="1"/>
  <c r="M16" i="1" a="1"/>
  <c r="M16" i="1" s="1"/>
  <c r="G16" i="1" a="1"/>
  <c r="G16" i="1" s="1"/>
  <c r="F16" i="1" a="1"/>
  <c r="F16" i="1" s="1"/>
  <c r="F16" i="6" s="1"/>
  <c r="D16" i="1"/>
  <c r="CS15" i="1"/>
  <c r="AH15" i="7" s="1"/>
  <c r="CN15" i="1" a="1"/>
  <c r="CN15" i="1" s="1"/>
  <c r="CM15" i="1" a="1"/>
  <c r="CM15" i="1" s="1"/>
  <c r="CG15" i="1" a="1"/>
  <c r="CG15" i="1" s="1"/>
  <c r="BC15" i="6" s="1"/>
  <c r="CF15" i="1" a="1"/>
  <c r="CF15" i="1" s="1"/>
  <c r="BB15" i="6" s="1"/>
  <c r="CA15" i="1" a="1"/>
  <c r="CA15" i="1" s="1"/>
  <c r="BZ15" i="1" a="1"/>
  <c r="BZ15" i="1" s="1"/>
  <c r="BT15" i="1" a="1"/>
  <c r="BT15" i="1" s="1"/>
  <c r="AU15" i="6" s="1"/>
  <c r="BS15" i="1" a="1"/>
  <c r="BS15" i="1" s="1"/>
  <c r="AT15" i="6" s="1"/>
  <c r="BN15" i="1" a="1"/>
  <c r="BN15" i="1" s="1"/>
  <c r="AQ15" i="6" s="1"/>
  <c r="BM15" i="1" a="1"/>
  <c r="BM15" i="1" s="1"/>
  <c r="BG15" i="1" a="1"/>
  <c r="BG15" i="1" s="1"/>
  <c r="BF15" i="1" a="1"/>
  <c r="BF15" i="1" s="1"/>
  <c r="AL15" i="6" s="1"/>
  <c r="BA15" i="1" a="1"/>
  <c r="BA15" i="1" s="1"/>
  <c r="AZ15" i="1" a="1"/>
  <c r="AZ15" i="1" s="1"/>
  <c r="AT15" i="1" a="1"/>
  <c r="AT15" i="1" s="1"/>
  <c r="AE15" i="6" s="1"/>
  <c r="AS15" i="1" a="1"/>
  <c r="AS15" i="1" s="1"/>
  <c r="AD15" i="6" s="1"/>
  <c r="AN15" i="1" a="1"/>
  <c r="AN15" i="1" s="1"/>
  <c r="AO15" i="1" s="1"/>
  <c r="AM15" i="1" a="1"/>
  <c r="AM15" i="1" s="1"/>
  <c r="AG15" i="1" a="1"/>
  <c r="AG15" i="1" s="1"/>
  <c r="AF15" i="1" a="1"/>
  <c r="AF15" i="1" s="1"/>
  <c r="V15" i="6" s="1"/>
  <c r="AA15" i="1" a="1"/>
  <c r="AA15" i="1" s="1"/>
  <c r="Z15" i="1" a="1"/>
  <c r="Z15" i="1" s="1"/>
  <c r="T15" i="1" a="1"/>
  <c r="T15" i="1" s="1"/>
  <c r="S15" i="1" a="1"/>
  <c r="S15" i="1" s="1"/>
  <c r="N15" i="6" s="1"/>
  <c r="N15" i="1" a="1"/>
  <c r="N15" i="1" s="1"/>
  <c r="M15" i="1" a="1"/>
  <c r="M15" i="1" s="1"/>
  <c r="G15" i="1" a="1"/>
  <c r="G15" i="1" s="1"/>
  <c r="F15" i="1" a="1"/>
  <c r="F15" i="1" s="1"/>
  <c r="F15" i="6" s="1"/>
  <c r="D15" i="1"/>
  <c r="CS14" i="1"/>
  <c r="BJ14" i="6" s="1"/>
  <c r="CN14" i="1" a="1"/>
  <c r="CN14" i="1" s="1"/>
  <c r="CO14" i="1" s="1"/>
  <c r="AE14" i="7" s="1"/>
  <c r="CM14" i="1" a="1"/>
  <c r="CM14" i="1" s="1"/>
  <c r="CG14" i="1" a="1"/>
  <c r="CG14" i="1" s="1"/>
  <c r="CF14" i="1" a="1"/>
  <c r="CF14" i="1" s="1"/>
  <c r="BB14" i="6" s="1"/>
  <c r="CA14" i="1" a="1"/>
  <c r="CA14" i="1" s="1"/>
  <c r="BZ14" i="1" a="1"/>
  <c r="BZ14" i="1" s="1"/>
  <c r="BT14" i="1" a="1"/>
  <c r="BT14" i="1" s="1"/>
  <c r="BS14" i="1" a="1"/>
  <c r="BS14" i="1" s="1"/>
  <c r="AT14" i="6" s="1"/>
  <c r="BN14" i="1" a="1"/>
  <c r="BN14" i="1" s="1"/>
  <c r="BM14" i="1" a="1"/>
  <c r="BM14" i="1" s="1"/>
  <c r="BG14" i="1" a="1"/>
  <c r="BG14" i="1" s="1"/>
  <c r="AM14" i="6" s="1"/>
  <c r="BF14" i="1" a="1"/>
  <c r="BF14" i="1" s="1"/>
  <c r="AL14" i="6" s="1"/>
  <c r="BA14" i="1" a="1"/>
  <c r="BA14" i="1" s="1"/>
  <c r="AZ14" i="1" a="1"/>
  <c r="AZ14" i="1" s="1"/>
  <c r="AT14" i="1" a="1"/>
  <c r="AT14" i="1" s="1"/>
  <c r="AS14" i="1" a="1"/>
  <c r="AS14" i="1" s="1"/>
  <c r="AD14" i="6" s="1"/>
  <c r="AN14" i="1" a="1"/>
  <c r="AN14" i="1" s="1"/>
  <c r="AM14" i="1" a="1"/>
  <c r="AM14" i="1" s="1"/>
  <c r="AG14" i="1" a="1"/>
  <c r="AG14" i="1" s="1"/>
  <c r="AF14" i="1" a="1"/>
  <c r="AF14" i="1" s="1"/>
  <c r="V14" i="6" s="1"/>
  <c r="AA14" i="1" a="1"/>
  <c r="AA14" i="1" s="1"/>
  <c r="Z14" i="1" a="1"/>
  <c r="Z14" i="1" s="1"/>
  <c r="T14" i="1" a="1"/>
  <c r="T14" i="1" s="1"/>
  <c r="O14" i="6" s="1"/>
  <c r="S14" i="1" a="1"/>
  <c r="S14" i="1" s="1"/>
  <c r="N14" i="6" s="1"/>
  <c r="N14" i="1" a="1"/>
  <c r="N14" i="1" s="1"/>
  <c r="O14" i="1" s="1"/>
  <c r="L14" i="6" s="1"/>
  <c r="M14" i="1" a="1"/>
  <c r="M14" i="1" s="1"/>
  <c r="G14" i="1" a="1"/>
  <c r="G14" i="1" s="1"/>
  <c r="F14" i="1" a="1"/>
  <c r="F14" i="1" s="1"/>
  <c r="F14" i="6" s="1"/>
  <c r="D14" i="1"/>
  <c r="D14" i="6" s="1"/>
  <c r="CS13" i="1"/>
  <c r="CN13" i="1" a="1"/>
  <c r="CN13" i="1" s="1"/>
  <c r="BG13" i="6" s="1"/>
  <c r="CM13" i="1" a="1"/>
  <c r="CM13" i="1" s="1"/>
  <c r="CG13" i="1" a="1"/>
  <c r="CG13" i="1" s="1"/>
  <c r="CF13" i="1" a="1"/>
  <c r="CF13" i="1" s="1"/>
  <c r="BB13" i="6" s="1"/>
  <c r="CA13" i="1" a="1"/>
  <c r="CA13" i="1" s="1"/>
  <c r="BZ13" i="1" a="1"/>
  <c r="BZ13" i="1" s="1"/>
  <c r="BT13" i="1" a="1"/>
  <c r="BT13" i="1" s="1"/>
  <c r="AU13" i="6" s="1"/>
  <c r="BS13" i="1" a="1"/>
  <c r="BS13" i="1" s="1"/>
  <c r="AT13" i="6" s="1"/>
  <c r="BN13" i="1" a="1"/>
  <c r="BN13" i="1" s="1"/>
  <c r="BM13" i="1" a="1"/>
  <c r="BM13" i="1" s="1"/>
  <c r="BG13" i="1" a="1"/>
  <c r="BG13" i="1" s="1"/>
  <c r="BF13" i="1" a="1"/>
  <c r="BF13" i="1" s="1"/>
  <c r="AL13" i="6" s="1"/>
  <c r="BA13" i="1" a="1"/>
  <c r="BA13" i="1" s="1"/>
  <c r="AI13" i="6" s="1"/>
  <c r="AZ13" i="1" a="1"/>
  <c r="AZ13" i="1" s="1"/>
  <c r="AT13" i="1" a="1"/>
  <c r="AT13" i="1" s="1"/>
  <c r="AE13" i="6" s="1"/>
  <c r="AS13" i="1" a="1"/>
  <c r="AS13" i="1" s="1"/>
  <c r="AD13" i="6" s="1"/>
  <c r="AN13" i="1" a="1"/>
  <c r="AN13" i="1" s="1"/>
  <c r="AM13" i="1" a="1"/>
  <c r="AM13" i="1" s="1"/>
  <c r="AG13" i="1" a="1"/>
  <c r="AG13" i="1" s="1"/>
  <c r="W13" i="6" s="1"/>
  <c r="AF13" i="1" a="1"/>
  <c r="AF13" i="1" s="1"/>
  <c r="V13" i="6" s="1"/>
  <c r="AA13" i="1" a="1"/>
  <c r="AA13" i="1" s="1"/>
  <c r="Z13" i="1" a="1"/>
  <c r="Z13" i="1" s="1"/>
  <c r="T13" i="1" a="1"/>
  <c r="T13" i="1" s="1"/>
  <c r="O13" i="6" s="1"/>
  <c r="S13" i="1" a="1"/>
  <c r="S13" i="1" s="1"/>
  <c r="N13" i="6" s="1"/>
  <c r="N13" i="1" a="1"/>
  <c r="N13" i="1" s="1"/>
  <c r="O13" i="1" s="1"/>
  <c r="M13" i="1" a="1"/>
  <c r="M13" i="1" s="1"/>
  <c r="G13" i="1" a="1"/>
  <c r="G13" i="1" s="1"/>
  <c r="G13" i="6" s="1"/>
  <c r="F13" i="1" a="1"/>
  <c r="F13" i="1" s="1"/>
  <c r="F13" i="6" s="1"/>
  <c r="D13" i="1"/>
  <c r="CS12" i="1"/>
  <c r="AH12" i="7" s="1"/>
  <c r="CN12" i="1" a="1"/>
  <c r="CN12" i="1" s="1"/>
  <c r="CO12" i="1" s="1"/>
  <c r="BH12" i="6" s="1"/>
  <c r="CM12" i="1" a="1"/>
  <c r="CM12" i="1" s="1"/>
  <c r="CG12" i="1" a="1"/>
  <c r="CG12" i="1" s="1"/>
  <c r="BC12" i="6" s="1"/>
  <c r="CF12" i="1" a="1"/>
  <c r="CF12" i="1" s="1"/>
  <c r="BB12" i="6" s="1"/>
  <c r="CA12" i="1" a="1"/>
  <c r="CA12" i="1" s="1"/>
  <c r="BZ12" i="1" a="1"/>
  <c r="BZ12" i="1" s="1"/>
  <c r="BT12" i="1" a="1"/>
  <c r="BT12" i="1" s="1"/>
  <c r="BS12" i="1" a="1"/>
  <c r="BS12" i="1" s="1"/>
  <c r="AT12" i="6" s="1"/>
  <c r="BN12" i="1" a="1"/>
  <c r="BN12" i="1" s="1"/>
  <c r="BM12" i="1" a="1"/>
  <c r="BM12" i="1" s="1"/>
  <c r="BG12" i="1" a="1"/>
  <c r="BG12" i="1" s="1"/>
  <c r="AM12" i="6" s="1"/>
  <c r="BF12" i="1" a="1"/>
  <c r="BF12" i="1" s="1"/>
  <c r="AL12" i="6" s="1"/>
  <c r="BA12" i="1" a="1"/>
  <c r="BA12" i="1" s="1"/>
  <c r="AZ12" i="1" a="1"/>
  <c r="AZ12" i="1" s="1"/>
  <c r="AT12" i="1" a="1"/>
  <c r="AT12" i="1" s="1"/>
  <c r="AE12" i="6" s="1"/>
  <c r="AS12" i="1" a="1"/>
  <c r="AS12" i="1" s="1"/>
  <c r="AD12" i="6" s="1"/>
  <c r="AN12" i="1" a="1"/>
  <c r="AN12" i="1" s="1"/>
  <c r="AM12" i="1" a="1"/>
  <c r="AM12" i="1" s="1"/>
  <c r="AG12" i="1" a="1"/>
  <c r="AG12" i="1" s="1"/>
  <c r="W12" i="6" s="1"/>
  <c r="AF12" i="1" a="1"/>
  <c r="AF12" i="1" s="1"/>
  <c r="V12" i="6" s="1"/>
  <c r="AA12" i="1" a="1"/>
  <c r="AA12" i="1" s="1"/>
  <c r="Z12" i="1" a="1"/>
  <c r="Z12" i="1" s="1"/>
  <c r="T12" i="1" a="1"/>
  <c r="T12" i="1" s="1"/>
  <c r="O12" i="6" s="1"/>
  <c r="S12" i="1" a="1"/>
  <c r="S12" i="1" s="1"/>
  <c r="N12" i="6" s="1"/>
  <c r="N12" i="1" a="1"/>
  <c r="N12" i="1" s="1"/>
  <c r="M12" i="1" a="1"/>
  <c r="M12" i="1" s="1"/>
  <c r="G12" i="1" a="1"/>
  <c r="G12" i="1" s="1"/>
  <c r="G12" i="6" s="1"/>
  <c r="F12" i="1" a="1"/>
  <c r="F12" i="1" s="1"/>
  <c r="F12" i="6" s="1"/>
  <c r="D12" i="1"/>
  <c r="D50" i="1"/>
  <c r="CN11" i="1" a="1"/>
  <c r="CN11" i="1" s="1"/>
  <c r="BG11" i="6" s="1"/>
  <c r="CM11" i="1" a="1"/>
  <c r="CM11" i="1" s="1"/>
  <c r="CN10" i="1" a="1"/>
  <c r="CN10" i="1" s="1"/>
  <c r="BG10" i="6" s="1"/>
  <c r="CM10" i="1" a="1"/>
  <c r="CM10" i="1" s="1"/>
  <c r="CN9" i="1" a="1"/>
  <c r="CN9" i="1" s="1"/>
  <c r="BG9" i="6" s="1"/>
  <c r="CM9" i="1" a="1"/>
  <c r="CM9" i="1" s="1"/>
  <c r="CN8" i="1" a="1"/>
  <c r="CN8" i="1" s="1"/>
  <c r="BG8" i="6" s="1"/>
  <c r="CM8" i="1" a="1"/>
  <c r="CM8" i="1" s="1"/>
  <c r="CN7" i="1" a="1"/>
  <c r="CN7" i="1" s="1"/>
  <c r="BG7" i="6" s="1"/>
  <c r="CM7" i="1" a="1"/>
  <c r="CM7" i="1" s="1"/>
  <c r="CN6" i="1" a="1"/>
  <c r="CN6" i="1" s="1"/>
  <c r="CM6" i="1" a="1"/>
  <c r="CM6" i="1" s="1"/>
  <c r="CN5" i="1" a="1"/>
  <c r="CN5" i="1" s="1"/>
  <c r="BG5" i="6" s="1"/>
  <c r="CM5" i="1" a="1"/>
  <c r="CM5" i="1" s="1"/>
  <c r="CA11" i="1" a="1"/>
  <c r="CA11" i="1" s="1"/>
  <c r="AY11" i="6" s="1"/>
  <c r="BZ11" i="1" a="1"/>
  <c r="BZ11" i="1" s="1"/>
  <c r="CA10" i="1" a="1"/>
  <c r="CA10" i="1" s="1"/>
  <c r="AY10" i="6" s="1"/>
  <c r="BZ10" i="1" a="1"/>
  <c r="BZ10" i="1" s="1"/>
  <c r="CA9" i="1" a="1"/>
  <c r="CA9" i="1" s="1"/>
  <c r="AY9" i="6" s="1"/>
  <c r="BZ9" i="1" a="1"/>
  <c r="BZ9" i="1" s="1"/>
  <c r="CA8" i="1" a="1"/>
  <c r="CA8" i="1" s="1"/>
  <c r="AY8" i="6" s="1"/>
  <c r="BZ8" i="1" a="1"/>
  <c r="BZ8" i="1" s="1"/>
  <c r="CA7" i="1" a="1"/>
  <c r="CA7" i="1" s="1"/>
  <c r="AY7" i="6" s="1"/>
  <c r="BZ7" i="1" a="1"/>
  <c r="BZ7" i="1" s="1"/>
  <c r="CA6" i="1" a="1"/>
  <c r="CA6" i="1" s="1"/>
  <c r="BZ6" i="1" a="1"/>
  <c r="BZ6" i="1" s="1"/>
  <c r="CA5" i="1" a="1"/>
  <c r="CA5" i="1" s="1"/>
  <c r="BZ5" i="1" a="1"/>
  <c r="BZ5" i="1" s="1"/>
  <c r="BN11" i="1" a="1"/>
  <c r="BN11" i="1" s="1"/>
  <c r="AQ11" i="6" s="1"/>
  <c r="BM11" i="1" a="1"/>
  <c r="BM11" i="1" s="1"/>
  <c r="BN10" i="1" a="1"/>
  <c r="BN10" i="1" s="1"/>
  <c r="AQ10" i="6" s="1"/>
  <c r="BM10" i="1" a="1"/>
  <c r="BM10" i="1" s="1"/>
  <c r="BN9" i="1" a="1"/>
  <c r="BN9" i="1" s="1"/>
  <c r="AQ9" i="6" s="1"/>
  <c r="BM9" i="1" a="1"/>
  <c r="BM9" i="1" s="1"/>
  <c r="BN8" i="1" a="1"/>
  <c r="BN8" i="1" s="1"/>
  <c r="AQ8" i="6" s="1"/>
  <c r="BM8" i="1" a="1"/>
  <c r="BM8" i="1" s="1"/>
  <c r="BN7" i="1" a="1"/>
  <c r="BN7" i="1" s="1"/>
  <c r="AQ7" i="6" s="1"/>
  <c r="BM7" i="1" a="1"/>
  <c r="BM7" i="1" s="1"/>
  <c r="BN6" i="1" a="1"/>
  <c r="BN6" i="1" s="1"/>
  <c r="BM6" i="1" a="1"/>
  <c r="BM6" i="1" s="1"/>
  <c r="BN5" i="1" a="1"/>
  <c r="BN5" i="1" s="1"/>
  <c r="BM5" i="1" a="1"/>
  <c r="BM5" i="1" s="1"/>
  <c r="BA11" i="1" a="1"/>
  <c r="BA11" i="1" s="1"/>
  <c r="AI11" i="6" s="1"/>
  <c r="AZ11" i="1" a="1"/>
  <c r="AZ11" i="1" s="1"/>
  <c r="BA10" i="1" a="1"/>
  <c r="BA10" i="1" s="1"/>
  <c r="AI10" i="6" s="1"/>
  <c r="AZ10" i="1" a="1"/>
  <c r="AZ10" i="1" s="1"/>
  <c r="BA9" i="1" a="1"/>
  <c r="BA9" i="1" s="1"/>
  <c r="AI9" i="6" s="1"/>
  <c r="AZ9" i="1" a="1"/>
  <c r="AZ9" i="1" s="1"/>
  <c r="BA8" i="1" a="1"/>
  <c r="BA8" i="1" s="1"/>
  <c r="AI8" i="6" s="1"/>
  <c r="AZ8" i="1" a="1"/>
  <c r="AZ8" i="1" s="1"/>
  <c r="BA7" i="1" a="1"/>
  <c r="BA7" i="1" s="1"/>
  <c r="AI7" i="6" s="1"/>
  <c r="AZ7" i="1" a="1"/>
  <c r="AZ7" i="1" s="1"/>
  <c r="BA6" i="1" a="1"/>
  <c r="BA6" i="1" s="1"/>
  <c r="AZ6" i="1" a="1"/>
  <c r="AZ6" i="1" s="1"/>
  <c r="BA5" i="1" a="1"/>
  <c r="BA5" i="1" s="1"/>
  <c r="AZ5" i="1" a="1"/>
  <c r="AZ5" i="1" s="1"/>
  <c r="AN11" i="1" a="1"/>
  <c r="AN11" i="1" s="1"/>
  <c r="AA11" i="6" s="1"/>
  <c r="AM11" i="1" a="1"/>
  <c r="AM11" i="1" s="1"/>
  <c r="AN10" i="1" a="1"/>
  <c r="AN10" i="1" s="1"/>
  <c r="AA10" i="6" s="1"/>
  <c r="AM10" i="1" a="1"/>
  <c r="AM10" i="1" s="1"/>
  <c r="AN9" i="1" a="1"/>
  <c r="AN9" i="1" s="1"/>
  <c r="AA9" i="6" s="1"/>
  <c r="AM9" i="1" a="1"/>
  <c r="AM9" i="1" s="1"/>
  <c r="AN8" i="1" a="1"/>
  <c r="AN8" i="1" s="1"/>
  <c r="AA8" i="6" s="1"/>
  <c r="AM8" i="1" a="1"/>
  <c r="AM8" i="1" s="1"/>
  <c r="AN7" i="1" a="1"/>
  <c r="AN7" i="1" s="1"/>
  <c r="AA7" i="6" s="1"/>
  <c r="AM7" i="1" a="1"/>
  <c r="AM7" i="1" s="1"/>
  <c r="AN6" i="1" a="1"/>
  <c r="AN6" i="1" s="1"/>
  <c r="AM6" i="1" a="1"/>
  <c r="AM6" i="1" s="1"/>
  <c r="AN5" i="1" a="1"/>
  <c r="AN5" i="1" s="1"/>
  <c r="AA5" i="6" s="1"/>
  <c r="AM5" i="1" a="1"/>
  <c r="AM5" i="1" s="1"/>
  <c r="AA11" i="1" a="1"/>
  <c r="AA11" i="1" s="1"/>
  <c r="S11" i="6" s="1"/>
  <c r="Z11" i="1" a="1"/>
  <c r="Z11" i="1" s="1"/>
  <c r="AA10" i="1" a="1"/>
  <c r="AA10" i="1" s="1"/>
  <c r="S10" i="6" s="1"/>
  <c r="Z10" i="1" a="1"/>
  <c r="Z10" i="1" s="1"/>
  <c r="AA9" i="1" a="1"/>
  <c r="AA9" i="1" s="1"/>
  <c r="S9" i="6" s="1"/>
  <c r="Z9" i="1" a="1"/>
  <c r="Z9" i="1" s="1"/>
  <c r="AA8" i="1" a="1"/>
  <c r="AA8" i="1" s="1"/>
  <c r="S8" i="6" s="1"/>
  <c r="Z8" i="1" a="1"/>
  <c r="Z8" i="1" s="1"/>
  <c r="AA7" i="1" a="1"/>
  <c r="AA7" i="1" s="1"/>
  <c r="S7" i="6" s="1"/>
  <c r="Z7" i="1" a="1"/>
  <c r="Z7" i="1" s="1"/>
  <c r="AA6" i="1" a="1"/>
  <c r="AA6" i="1" s="1"/>
  <c r="Z6" i="1" a="1"/>
  <c r="Z6" i="1" s="1"/>
  <c r="AA5" i="1" a="1"/>
  <c r="AA5" i="1" s="1"/>
  <c r="Z5" i="1" a="1"/>
  <c r="Z5" i="1" s="1"/>
  <c r="M11" i="1" a="1"/>
  <c r="M11" i="1" s="1"/>
  <c r="M10" i="1" a="1"/>
  <c r="M10" i="1" s="1"/>
  <c r="M9" i="1" a="1"/>
  <c r="M9" i="1" s="1"/>
  <c r="M8" i="1" a="1"/>
  <c r="M8" i="1" s="1"/>
  <c r="M7" i="1" a="1"/>
  <c r="M7" i="1" s="1"/>
  <c r="M6" i="1" a="1"/>
  <c r="M6" i="1" s="1"/>
  <c r="M5" i="1" a="1"/>
  <c r="M5" i="1" s="1"/>
  <c r="N11" i="1" a="1"/>
  <c r="N11" i="1" s="1"/>
  <c r="K11" i="6" s="1"/>
  <c r="N10" i="1" a="1"/>
  <c r="N10" i="1" s="1"/>
  <c r="O10" i="1" s="1"/>
  <c r="N9" i="1" a="1"/>
  <c r="N9" i="1" s="1"/>
  <c r="K9" i="6" s="1"/>
  <c r="N8" i="1" a="1"/>
  <c r="N8" i="1" s="1"/>
  <c r="K8" i="6" s="1"/>
  <c r="N7" i="1" a="1"/>
  <c r="N7" i="1" s="1"/>
  <c r="K7" i="6" s="1"/>
  <c r="N6" i="1" a="1"/>
  <c r="N6" i="1" s="1"/>
  <c r="N5" i="1" a="1"/>
  <c r="N5" i="1" s="1"/>
  <c r="C5" i="6"/>
  <c r="B3" i="1"/>
  <c r="G5" i="1" a="1"/>
  <c r="G5" i="1" s="1"/>
  <c r="D5" i="1"/>
  <c r="D5" i="6" s="1"/>
  <c r="CF11" i="1" a="1"/>
  <c r="CF11" i="1" s="1"/>
  <c r="BB11" i="6" s="1"/>
  <c r="CF10" i="1" a="1"/>
  <c r="CF10" i="1" s="1"/>
  <c r="BB10" i="6" s="1"/>
  <c r="CF9" i="1" a="1"/>
  <c r="CF9" i="1" s="1"/>
  <c r="BB9" i="6" s="1"/>
  <c r="CF8" i="1" a="1"/>
  <c r="CF8" i="1" s="1"/>
  <c r="BB8" i="6" s="1"/>
  <c r="CF7" i="1" a="1"/>
  <c r="CF7" i="1" s="1"/>
  <c r="BB7" i="6" s="1"/>
  <c r="CF6" i="1" a="1"/>
  <c r="CF6" i="1" s="1"/>
  <c r="BB6" i="6" s="1"/>
  <c r="CF5" i="1" a="1"/>
  <c r="CF5" i="1" s="1"/>
  <c r="BB5" i="6" s="1"/>
  <c r="BS11" i="1" a="1"/>
  <c r="BS11" i="1" s="1"/>
  <c r="AT11" i="6" s="1"/>
  <c r="BS10" i="1" a="1"/>
  <c r="BS10" i="1" s="1"/>
  <c r="AT10" i="6" s="1"/>
  <c r="BS9" i="1" a="1"/>
  <c r="BS9" i="1" s="1"/>
  <c r="AT9" i="6" s="1"/>
  <c r="BS8" i="1" a="1"/>
  <c r="BS8" i="1" s="1"/>
  <c r="AT8" i="6" s="1"/>
  <c r="BS7" i="1" a="1"/>
  <c r="BS7" i="1" s="1"/>
  <c r="AT7" i="6" s="1"/>
  <c r="BS6" i="1" a="1"/>
  <c r="BS6" i="1" s="1"/>
  <c r="AT6" i="6" s="1"/>
  <c r="BS5" i="1" a="1"/>
  <c r="BS5" i="1" s="1"/>
  <c r="AT5" i="6" s="1"/>
  <c r="BF11" i="1" a="1"/>
  <c r="BF11" i="1" s="1"/>
  <c r="AL11" i="6" s="1"/>
  <c r="BF10" i="1" a="1"/>
  <c r="BF10" i="1" s="1"/>
  <c r="AL10" i="6" s="1"/>
  <c r="BF9" i="1" a="1"/>
  <c r="BF9" i="1" s="1"/>
  <c r="AL9" i="6" s="1"/>
  <c r="BF8" i="1" a="1"/>
  <c r="BF8" i="1" s="1"/>
  <c r="AL8" i="6" s="1"/>
  <c r="BF7" i="1" a="1"/>
  <c r="BF7" i="1" s="1"/>
  <c r="AL7" i="6" s="1"/>
  <c r="BF6" i="1" a="1"/>
  <c r="BF6" i="1" s="1"/>
  <c r="AL6" i="6" s="1"/>
  <c r="BF5" i="1" a="1"/>
  <c r="BF5" i="1" s="1"/>
  <c r="AL5" i="6" s="1"/>
  <c r="AS11" i="1" a="1"/>
  <c r="AS11" i="1" s="1"/>
  <c r="AD11" i="6" s="1"/>
  <c r="AS10" i="1" a="1"/>
  <c r="AS10" i="1" s="1"/>
  <c r="AD10" i="6" s="1"/>
  <c r="AS9" i="1" a="1"/>
  <c r="AS9" i="1" s="1"/>
  <c r="AD9" i="6" s="1"/>
  <c r="AS8" i="1" a="1"/>
  <c r="AS8" i="1" s="1"/>
  <c r="AD8" i="6" s="1"/>
  <c r="AS7" i="1" a="1"/>
  <c r="AS7" i="1" s="1"/>
  <c r="AD7" i="6" s="1"/>
  <c r="AS6" i="1" a="1"/>
  <c r="AS6" i="1" s="1"/>
  <c r="AD6" i="6" s="1"/>
  <c r="AS5" i="1" a="1"/>
  <c r="AS5" i="1" s="1"/>
  <c r="AD5" i="6" s="1"/>
  <c r="AF11" i="1" a="1"/>
  <c r="AF11" i="1" s="1"/>
  <c r="V11" i="6" s="1"/>
  <c r="AF10" i="1" a="1"/>
  <c r="AF10" i="1" s="1"/>
  <c r="V10" i="6" s="1"/>
  <c r="AF9" i="1" a="1"/>
  <c r="AF9" i="1" s="1"/>
  <c r="V9" i="6" s="1"/>
  <c r="AF8" i="1" a="1"/>
  <c r="AF8" i="1" s="1"/>
  <c r="V8" i="6" s="1"/>
  <c r="AF7" i="1" a="1"/>
  <c r="AF7" i="1" s="1"/>
  <c r="V7" i="6" s="1"/>
  <c r="AF6" i="1" a="1"/>
  <c r="AF6" i="1" s="1"/>
  <c r="AF5" i="1" a="1"/>
  <c r="AF5" i="1" s="1"/>
  <c r="V5" i="6" s="1"/>
  <c r="S11" i="1" a="1"/>
  <c r="S11" i="1" s="1"/>
  <c r="N11" i="6" s="1"/>
  <c r="S10" i="1" a="1"/>
  <c r="S10" i="1" s="1"/>
  <c r="N10" i="6" s="1"/>
  <c r="S9" i="1" a="1"/>
  <c r="S9" i="1" s="1"/>
  <c r="N9" i="6" s="1"/>
  <c r="S8" i="1" a="1"/>
  <c r="S8" i="1" s="1"/>
  <c r="N8" i="6" s="1"/>
  <c r="S7" i="1" a="1"/>
  <c r="S7" i="1" s="1"/>
  <c r="N7" i="6" s="1"/>
  <c r="S6" i="1" a="1"/>
  <c r="S6" i="1" s="1"/>
  <c r="N6" i="6" s="1"/>
  <c r="S5" i="1" a="1"/>
  <c r="S5" i="1" s="1"/>
  <c r="N5" i="6" s="1"/>
  <c r="F11" i="1" a="1"/>
  <c r="F11" i="1" s="1"/>
  <c r="F11" i="6" s="1"/>
  <c r="F10" i="1" a="1"/>
  <c r="F10" i="1" s="1"/>
  <c r="F10" i="6" s="1"/>
  <c r="F9" i="1" a="1"/>
  <c r="F9" i="1" s="1"/>
  <c r="F9" i="6" s="1"/>
  <c r="F8" i="1" a="1"/>
  <c r="F8" i="1" s="1"/>
  <c r="F8" i="6" s="1"/>
  <c r="F7" i="1" a="1"/>
  <c r="F7" i="1" s="1"/>
  <c r="F7" i="6" s="1"/>
  <c r="F6" i="1" a="1"/>
  <c r="F6" i="1" s="1"/>
  <c r="F6" i="6" s="1"/>
  <c r="F5" i="1" a="1"/>
  <c r="F5" i="1" s="1"/>
  <c r="F5" i="6" s="1"/>
  <c r="G3" i="6"/>
  <c r="O3" i="6"/>
  <c r="W3" i="6"/>
  <c r="AE3" i="6"/>
  <c r="AM3" i="6"/>
  <c r="AU3" i="6"/>
  <c r="BC3" i="6"/>
  <c r="BB52" i="6"/>
  <c r="AT52" i="6"/>
  <c r="AL52" i="6"/>
  <c r="AD52" i="6"/>
  <c r="V52" i="6"/>
  <c r="N52" i="6"/>
  <c r="F52" i="6"/>
  <c r="CS5" i="1"/>
  <c r="CT5" i="1" s="1"/>
  <c r="AL6" i="7"/>
  <c r="AD3" i="7"/>
  <c r="Z3" i="7"/>
  <c r="V3" i="7"/>
  <c r="R3" i="7"/>
  <c r="N3" i="7"/>
  <c r="J3" i="7"/>
  <c r="BN6" i="6"/>
  <c r="C6" i="6"/>
  <c r="BH50" i="6"/>
  <c r="BF50" i="6"/>
  <c r="AZ50" i="6"/>
  <c r="AX50" i="6"/>
  <c r="AR50" i="6"/>
  <c r="AP50" i="6"/>
  <c r="AJ50" i="6"/>
  <c r="AH50" i="6"/>
  <c r="AB50" i="6"/>
  <c r="Z50" i="6"/>
  <c r="CF62" i="1"/>
  <c r="CF52" i="1"/>
  <c r="CO50" i="1"/>
  <c r="CG11" i="1" a="1"/>
  <c r="CG11" i="1" s="1"/>
  <c r="BC11" i="6" s="1"/>
  <c r="CG10" i="1" a="1"/>
  <c r="CG10" i="1" s="1"/>
  <c r="BC10" i="6" s="1"/>
  <c r="CG9" i="1" a="1"/>
  <c r="CG9" i="1" s="1"/>
  <c r="BC9" i="6" s="1"/>
  <c r="CG8" i="1" a="1"/>
  <c r="CG8" i="1" s="1"/>
  <c r="BC8" i="6" s="1"/>
  <c r="CG7" i="1" a="1"/>
  <c r="CG7" i="1" s="1"/>
  <c r="BC7" i="6" s="1"/>
  <c r="CG6" i="1" a="1"/>
  <c r="CG6" i="1" s="1"/>
  <c r="BC6" i="6" s="1"/>
  <c r="CG5" i="1" a="1"/>
  <c r="CG5" i="1" s="1"/>
  <c r="CJ3" i="1"/>
  <c r="CF2" i="1"/>
  <c r="CL50" i="1" s="1"/>
  <c r="S2" i="1"/>
  <c r="Y50" i="1" s="1"/>
  <c r="AF2" i="1"/>
  <c r="AL50" i="1" s="1"/>
  <c r="AS2" i="1"/>
  <c r="AY50" i="1" s="1"/>
  <c r="BF2" i="1"/>
  <c r="BS2" i="1"/>
  <c r="BY50" i="1" s="1"/>
  <c r="W3" i="1"/>
  <c r="AJ3" i="1"/>
  <c r="AW3" i="1"/>
  <c r="BJ3" i="1"/>
  <c r="BW3" i="1"/>
  <c r="T5" i="1" a="1"/>
  <c r="T5" i="1" s="1"/>
  <c r="AG5" i="1" a="1"/>
  <c r="AG5" i="1" s="1"/>
  <c r="W5" i="6" s="1"/>
  <c r="AT5" i="1" a="1"/>
  <c r="AT5" i="1" s="1"/>
  <c r="BG5" i="1" a="1"/>
  <c r="BG5" i="1" s="1"/>
  <c r="BT5" i="1" a="1"/>
  <c r="BT5" i="1" s="1"/>
  <c r="T6" i="1" a="1"/>
  <c r="T6" i="1" s="1"/>
  <c r="AG6" i="1" a="1"/>
  <c r="AG6" i="1" s="1"/>
  <c r="AT6" i="1" a="1"/>
  <c r="AT6" i="1" s="1"/>
  <c r="BG6" i="1" a="1"/>
  <c r="BG6" i="1" s="1"/>
  <c r="BT6" i="1" a="1"/>
  <c r="BT6" i="1" s="1"/>
  <c r="T7" i="1" a="1"/>
  <c r="T7" i="1" s="1"/>
  <c r="O7" i="6" s="1"/>
  <c r="AG7" i="1" a="1"/>
  <c r="AG7" i="1" s="1"/>
  <c r="W7" i="6" s="1"/>
  <c r="AT7" i="1" a="1"/>
  <c r="AT7" i="1" s="1"/>
  <c r="AE7" i="6" s="1"/>
  <c r="BG7" i="1" a="1"/>
  <c r="BG7" i="1" s="1"/>
  <c r="AM7" i="6" s="1"/>
  <c r="BT7" i="1" a="1"/>
  <c r="BT7" i="1" s="1"/>
  <c r="AU7" i="6" s="1"/>
  <c r="T8" i="1" a="1"/>
  <c r="T8" i="1" s="1"/>
  <c r="O8" i="6" s="1"/>
  <c r="AG8" i="1" a="1"/>
  <c r="AG8" i="1" s="1"/>
  <c r="W8" i="6" s="1"/>
  <c r="AT8" i="1" a="1"/>
  <c r="AT8" i="1" s="1"/>
  <c r="AE8" i="6" s="1"/>
  <c r="BG8" i="1" a="1"/>
  <c r="BG8" i="1" s="1"/>
  <c r="AM8" i="6" s="1"/>
  <c r="BT8" i="1" a="1"/>
  <c r="BT8" i="1" s="1"/>
  <c r="AU8" i="6" s="1"/>
  <c r="T9" i="1" a="1"/>
  <c r="T9" i="1" s="1"/>
  <c r="O9" i="6" s="1"/>
  <c r="AG9" i="1" a="1"/>
  <c r="AG9" i="1" s="1"/>
  <c r="W9" i="6" s="1"/>
  <c r="AT9" i="1" a="1"/>
  <c r="AT9" i="1" s="1"/>
  <c r="AE9" i="6" s="1"/>
  <c r="BG9" i="1" a="1"/>
  <c r="BG9" i="1" s="1"/>
  <c r="AM9" i="6" s="1"/>
  <c r="BT9" i="1" a="1"/>
  <c r="BT9" i="1" s="1"/>
  <c r="AU9" i="6" s="1"/>
  <c r="T10" i="1" a="1"/>
  <c r="T10" i="1" s="1"/>
  <c r="O10" i="6" s="1"/>
  <c r="AG10" i="1" a="1"/>
  <c r="AG10" i="1" s="1"/>
  <c r="W10" i="6" s="1"/>
  <c r="AT10" i="1" a="1"/>
  <c r="AT10" i="1" s="1"/>
  <c r="AE10" i="6" s="1"/>
  <c r="BG10" i="1" a="1"/>
  <c r="BG10" i="1" s="1"/>
  <c r="AM10" i="6" s="1"/>
  <c r="BT10" i="1" a="1"/>
  <c r="BT10" i="1" s="1"/>
  <c r="AU10" i="6" s="1"/>
  <c r="T11" i="1" a="1"/>
  <c r="T11" i="1" s="1"/>
  <c r="O11" i="6" s="1"/>
  <c r="AG11" i="1" a="1"/>
  <c r="AG11" i="1" s="1"/>
  <c r="W11" i="6" s="1"/>
  <c r="AT11" i="1" a="1"/>
  <c r="AT11" i="1" s="1"/>
  <c r="AE11" i="6" s="1"/>
  <c r="BG11" i="1" a="1"/>
  <c r="BG11" i="1" s="1"/>
  <c r="AM11" i="6" s="1"/>
  <c r="BT11" i="1" a="1"/>
  <c r="BT11" i="1" s="1"/>
  <c r="AU11" i="6" s="1"/>
  <c r="AB50" i="1"/>
  <c r="AO50" i="1"/>
  <c r="BB50" i="1"/>
  <c r="BO50" i="1"/>
  <c r="CB50" i="1"/>
  <c r="S52" i="1"/>
  <c r="AF52" i="1"/>
  <c r="AS52" i="1"/>
  <c r="BF52" i="1"/>
  <c r="BS52" i="1"/>
  <c r="S62" i="1"/>
  <c r="AF62" i="1"/>
  <c r="AS62" i="1"/>
  <c r="BF62" i="1"/>
  <c r="BS62" i="1"/>
  <c r="CU6" i="1"/>
  <c r="BL6" i="6" s="1"/>
  <c r="B6" i="1"/>
  <c r="B6" i="6" s="1"/>
  <c r="A6" i="1"/>
  <c r="A6" i="7" s="1"/>
  <c r="D11" i="1"/>
  <c r="D10" i="1"/>
  <c r="D10" i="7" s="1"/>
  <c r="D9" i="1"/>
  <c r="D8" i="1"/>
  <c r="D7" i="1"/>
  <c r="D7" i="6" s="1"/>
  <c r="D6" i="1"/>
  <c r="D6" i="6" s="1"/>
  <c r="T50" i="6"/>
  <c r="R50" i="6"/>
  <c r="CU7" i="1"/>
  <c r="B7" i="1"/>
  <c r="B7" i="7" s="1"/>
  <c r="A7" i="1"/>
  <c r="A7" i="7" s="1"/>
  <c r="CU8" i="1"/>
  <c r="B8" i="1"/>
  <c r="B8" i="6" s="1"/>
  <c r="A8" i="1"/>
  <c r="A9" i="1" s="1"/>
  <c r="F52" i="1"/>
  <c r="F3" i="7"/>
  <c r="D54" i="7"/>
  <c r="C6" i="7"/>
  <c r="AL5" i="7"/>
  <c r="AJ5" i="7"/>
  <c r="C5" i="7"/>
  <c r="B5" i="7"/>
  <c r="A5" i="7"/>
  <c r="D2" i="7"/>
  <c r="C2" i="7"/>
  <c r="C1" i="7"/>
  <c r="D50" i="6"/>
  <c r="BN5" i="6"/>
  <c r="BL5" i="6"/>
  <c r="A5" i="6"/>
  <c r="B5" i="6"/>
  <c r="D2" i="6"/>
  <c r="C2" i="6"/>
  <c r="C1" i="6"/>
  <c r="L50" i="6"/>
  <c r="G11" i="1" a="1"/>
  <c r="G11" i="1" s="1"/>
  <c r="G11" i="6" s="1"/>
  <c r="G10" i="1" a="1"/>
  <c r="G10" i="1" s="1"/>
  <c r="G10" i="6" s="1"/>
  <c r="G9" i="1" a="1"/>
  <c r="G9" i="1" s="1"/>
  <c r="G9" i="6" s="1"/>
  <c r="G8" i="1" a="1"/>
  <c r="G8" i="1" s="1"/>
  <c r="G8" i="6" s="1"/>
  <c r="G7" i="1" a="1"/>
  <c r="G7" i="1" s="1"/>
  <c r="G7" i="6" s="1"/>
  <c r="G6" i="1" a="1"/>
  <c r="G6" i="1" s="1"/>
  <c r="F2" i="1"/>
  <c r="J50" i="6"/>
  <c r="E57" i="1" a="1"/>
  <c r="E57" i="1" s="1"/>
  <c r="D56" i="1" a="1"/>
  <c r="D56" i="1" s="1"/>
  <c r="E56" i="1" a="1"/>
  <c r="E56" i="1" s="1"/>
  <c r="CS11" i="1"/>
  <c r="AH11" i="7" s="1"/>
  <c r="CS10" i="1"/>
  <c r="BJ10" i="6" s="1"/>
  <c r="CS9" i="1"/>
  <c r="AH9" i="7" s="1"/>
  <c r="CS8" i="1"/>
  <c r="CS7" i="1"/>
  <c r="AH7" i="7" s="1"/>
  <c r="CS6" i="1"/>
  <c r="F62" i="1"/>
  <c r="O50" i="1"/>
  <c r="J3" i="1"/>
  <c r="CO49" i="1" l="1"/>
  <c r="BG49" i="6"/>
  <c r="CB49" i="1"/>
  <c r="AY49" i="6"/>
  <c r="BO49" i="1"/>
  <c r="AQ49" i="6"/>
  <c r="BB49" i="1"/>
  <c r="AI49" i="6"/>
  <c r="AO49" i="1"/>
  <c r="AA49" i="6"/>
  <c r="AB49" i="1"/>
  <c r="S49" i="6"/>
  <c r="K49" i="6"/>
  <c r="O49" i="1"/>
  <c r="CO48" i="1"/>
  <c r="BG48" i="6"/>
  <c r="CB48" i="1"/>
  <c r="AY48" i="6"/>
  <c r="BO48" i="1"/>
  <c r="AQ48" i="6"/>
  <c r="BB48" i="1"/>
  <c r="AI48" i="6"/>
  <c r="AO48" i="1"/>
  <c r="AA48" i="6"/>
  <c r="S48" i="6"/>
  <c r="AB48" i="1"/>
  <c r="O48" i="1"/>
  <c r="K48" i="6"/>
  <c r="CO47" i="1"/>
  <c r="BG47" i="6"/>
  <c r="AY47" i="6"/>
  <c r="CB47" i="1"/>
  <c r="AQ47" i="6"/>
  <c r="BO47" i="1"/>
  <c r="BB47" i="1"/>
  <c r="AI47" i="6"/>
  <c r="AO47" i="1"/>
  <c r="AA47" i="6"/>
  <c r="S47" i="6"/>
  <c r="AB47" i="1"/>
  <c r="O47" i="1"/>
  <c r="K47" i="6"/>
  <c r="CO46" i="1"/>
  <c r="BG46" i="6"/>
  <c r="CB46" i="1"/>
  <c r="AY46" i="6"/>
  <c r="BO46" i="1"/>
  <c r="AQ46" i="6"/>
  <c r="BB46" i="1"/>
  <c r="AI46" i="6"/>
  <c r="AO46" i="1"/>
  <c r="AA46" i="6"/>
  <c r="AB46" i="1"/>
  <c r="S46" i="6"/>
  <c r="O46" i="1"/>
  <c r="K46" i="6"/>
  <c r="CO45" i="1"/>
  <c r="BG45" i="6"/>
  <c r="AY45" i="6"/>
  <c r="CB45" i="1"/>
  <c r="BO45" i="1"/>
  <c r="AQ45" i="6"/>
  <c r="BB45" i="1"/>
  <c r="AI45" i="6"/>
  <c r="AO45" i="1"/>
  <c r="AA45" i="6"/>
  <c r="S45" i="6"/>
  <c r="AB45" i="1"/>
  <c r="K45" i="6"/>
  <c r="O45" i="1"/>
  <c r="CO44" i="1"/>
  <c r="BG44" i="6"/>
  <c r="CB44" i="1"/>
  <c r="AY44" i="6"/>
  <c r="BO44" i="1"/>
  <c r="AQ44" i="6"/>
  <c r="BB44" i="1"/>
  <c r="AI44" i="6"/>
  <c r="AO44" i="1"/>
  <c r="AA44" i="6"/>
  <c r="AB44" i="1"/>
  <c r="S44" i="6"/>
  <c r="O44" i="1"/>
  <c r="K44" i="6"/>
  <c r="CO43" i="1"/>
  <c r="BG43" i="6"/>
  <c r="CB43" i="1"/>
  <c r="AY43" i="6"/>
  <c r="BO43" i="1"/>
  <c r="AQ43" i="6"/>
  <c r="BB43" i="1"/>
  <c r="AI43" i="6"/>
  <c r="AA43" i="6"/>
  <c r="AO43" i="1"/>
  <c r="AB43" i="1"/>
  <c r="S43" i="6"/>
  <c r="O43" i="1"/>
  <c r="K43" i="6"/>
  <c r="CO42" i="1"/>
  <c r="BG42" i="6"/>
  <c r="CB42" i="1"/>
  <c r="AY42" i="6"/>
  <c r="BO42" i="1"/>
  <c r="AQ42" i="6"/>
  <c r="BB42" i="1"/>
  <c r="AI42" i="6"/>
  <c r="AO42" i="1"/>
  <c r="AA42" i="6"/>
  <c r="AB42" i="1"/>
  <c r="S42" i="6"/>
  <c r="O42" i="1"/>
  <c r="K42" i="6"/>
  <c r="BG41" i="6"/>
  <c r="CO41" i="1"/>
  <c r="CB41" i="1"/>
  <c r="AY41" i="6"/>
  <c r="AQ41" i="6"/>
  <c r="BO41" i="1"/>
  <c r="BB41" i="1"/>
  <c r="AI41" i="6"/>
  <c r="AO41" i="1"/>
  <c r="AA41" i="6"/>
  <c r="S41" i="6"/>
  <c r="AB41" i="1"/>
  <c r="O41" i="1"/>
  <c r="K41" i="6"/>
  <c r="CO40" i="1"/>
  <c r="BG40" i="6"/>
  <c r="AY40" i="6"/>
  <c r="CB40" i="1"/>
  <c r="AQ40" i="6"/>
  <c r="BO40" i="1"/>
  <c r="BQ40" i="1" s="1"/>
  <c r="BB40" i="1"/>
  <c r="BD40" i="1" s="1"/>
  <c r="AI40" i="6"/>
  <c r="AO40" i="1"/>
  <c r="AA40" i="6"/>
  <c r="AB40" i="1"/>
  <c r="S40" i="6"/>
  <c r="O40" i="1"/>
  <c r="K40" i="6"/>
  <c r="CO39" i="1"/>
  <c r="BG39" i="6"/>
  <c r="CB39" i="1"/>
  <c r="AY39" i="6"/>
  <c r="BO39" i="1"/>
  <c r="AQ39" i="6"/>
  <c r="AI39" i="6"/>
  <c r="BB39" i="1"/>
  <c r="AO39" i="1"/>
  <c r="AA39" i="6"/>
  <c r="S39" i="6"/>
  <c r="AB39" i="1"/>
  <c r="O39" i="1"/>
  <c r="K39" i="6"/>
  <c r="BG38" i="6"/>
  <c r="CO38" i="1"/>
  <c r="CB38" i="1"/>
  <c r="AY38" i="6"/>
  <c r="BO38" i="1"/>
  <c r="AQ38" i="6"/>
  <c r="BB38" i="1"/>
  <c r="AI38" i="6"/>
  <c r="AO38" i="1"/>
  <c r="AA38" i="6"/>
  <c r="S38" i="6"/>
  <c r="AB38" i="1"/>
  <c r="O38" i="1"/>
  <c r="K38" i="6"/>
  <c r="CO37" i="1"/>
  <c r="BG37" i="6"/>
  <c r="CB37" i="1"/>
  <c r="AY37" i="6"/>
  <c r="AQ37" i="6"/>
  <c r="BO37" i="1"/>
  <c r="BB37" i="1"/>
  <c r="AI37" i="6"/>
  <c r="AO37" i="1"/>
  <c r="AA37" i="6"/>
  <c r="AB37" i="1"/>
  <c r="S37" i="6"/>
  <c r="K37" i="6"/>
  <c r="O37" i="1"/>
  <c r="CO36" i="1"/>
  <c r="BG36" i="6"/>
  <c r="CB36" i="1"/>
  <c r="AY36" i="6"/>
  <c r="BO36" i="1"/>
  <c r="AQ36" i="6"/>
  <c r="BB36" i="1"/>
  <c r="AI36" i="6"/>
  <c r="AO36" i="1"/>
  <c r="AA36" i="6"/>
  <c r="AB36" i="1"/>
  <c r="S36" i="6"/>
  <c r="O36" i="1"/>
  <c r="K36" i="6"/>
  <c r="AA35" i="7"/>
  <c r="AZ35" i="6"/>
  <c r="L35" i="6"/>
  <c r="G35" i="7"/>
  <c r="BH34" i="6"/>
  <c r="AE34" i="7"/>
  <c r="CB34" i="1"/>
  <c r="AY34" i="6"/>
  <c r="AB34" i="1"/>
  <c r="S34" i="6"/>
  <c r="O34" i="1"/>
  <c r="K34" i="6"/>
  <c r="BO33" i="1"/>
  <c r="AQ33" i="6"/>
  <c r="T33" i="6"/>
  <c r="K33" i="7"/>
  <c r="K32" i="6"/>
  <c r="O32" i="1"/>
  <c r="BH31" i="6"/>
  <c r="AE31" i="7"/>
  <c r="AQ31" i="6"/>
  <c r="BO31" i="1"/>
  <c r="K31" i="7"/>
  <c r="T31" i="6"/>
  <c r="AB30" i="1"/>
  <c r="S30" i="6"/>
  <c r="BO14" i="1"/>
  <c r="AQ14" i="6"/>
  <c r="AK38" i="1"/>
  <c r="Y38" i="6" s="1"/>
  <c r="AH48" i="7"/>
  <c r="BJ48" i="6"/>
  <c r="AX32" i="1"/>
  <c r="AG32" i="6" s="1"/>
  <c r="AX44" i="1"/>
  <c r="AG44" i="6" s="1"/>
  <c r="BX47" i="1"/>
  <c r="AW47" i="6" s="1"/>
  <c r="AK14" i="1"/>
  <c r="Y14" i="6" s="1"/>
  <c r="CK30" i="1"/>
  <c r="BE30" i="6" s="1"/>
  <c r="AX36" i="1"/>
  <c r="AG36" i="6" s="1"/>
  <c r="AX39" i="1"/>
  <c r="AG39" i="6" s="1"/>
  <c r="AM42" i="6"/>
  <c r="BK42" i="1"/>
  <c r="AO42" i="6" s="1"/>
  <c r="BC38" i="6"/>
  <c r="CK38" i="1"/>
  <c r="BE38" i="6" s="1"/>
  <c r="AH39" i="1"/>
  <c r="N39" i="7" s="1"/>
  <c r="D43" i="7"/>
  <c r="CK41" i="1"/>
  <c r="BE41" i="6" s="1"/>
  <c r="AH45" i="7"/>
  <c r="BU40" i="1"/>
  <c r="Z40" i="7" s="1"/>
  <c r="AK36" i="1"/>
  <c r="Y36" i="6" s="1"/>
  <c r="AI41" i="1"/>
  <c r="D49" i="7"/>
  <c r="X49" i="1"/>
  <c r="Q49" i="6" s="1"/>
  <c r="O49" i="6"/>
  <c r="K38" i="1"/>
  <c r="I38" i="6" s="1"/>
  <c r="G38" i="6"/>
  <c r="BX42" i="1"/>
  <c r="AW42" i="6" s="1"/>
  <c r="AU42" i="6"/>
  <c r="BX44" i="1"/>
  <c r="AW44" i="6" s="1"/>
  <c r="AU44" i="6"/>
  <c r="AU48" i="6"/>
  <c r="BX48" i="1"/>
  <c r="AW48" i="6" s="1"/>
  <c r="X47" i="1"/>
  <c r="Q47" i="6" s="1"/>
  <c r="O47" i="6"/>
  <c r="V46" i="1"/>
  <c r="O46" i="6"/>
  <c r="H40" i="1"/>
  <c r="F40" i="7" s="1"/>
  <c r="G40" i="6"/>
  <c r="V39" i="1"/>
  <c r="O39" i="6"/>
  <c r="AU36" i="1"/>
  <c r="R36" i="7" s="1"/>
  <c r="AE36" i="6"/>
  <c r="AK47" i="1"/>
  <c r="Y47" i="6" s="1"/>
  <c r="W47" i="6"/>
  <c r="BC36" i="6"/>
  <c r="CK36" i="1"/>
  <c r="BE36" i="6" s="1"/>
  <c r="K41" i="1"/>
  <c r="I41" i="6" s="1"/>
  <c r="G41" i="6"/>
  <c r="U40" i="1"/>
  <c r="J40" i="7" s="1"/>
  <c r="O40" i="6"/>
  <c r="K42" i="1"/>
  <c r="I42" i="6" s="1"/>
  <c r="G42" i="6"/>
  <c r="BX38" i="1"/>
  <c r="AW38" i="6" s="1"/>
  <c r="K47" i="1"/>
  <c r="I47" i="6" s="1"/>
  <c r="G47" i="6"/>
  <c r="I47" i="1"/>
  <c r="I46" i="1"/>
  <c r="G46" i="6"/>
  <c r="BK44" i="1"/>
  <c r="AO44" i="6" s="1"/>
  <c r="BJ40" i="6"/>
  <c r="D46" i="6"/>
  <c r="K46" i="1"/>
  <c r="I46" i="6" s="1"/>
  <c r="D37" i="6"/>
  <c r="D36" i="7"/>
  <c r="D38" i="7"/>
  <c r="D40" i="7"/>
  <c r="D42" i="7"/>
  <c r="D44" i="7"/>
  <c r="D48" i="7"/>
  <c r="BJ44" i="6"/>
  <c r="D32" i="6"/>
  <c r="AE40" i="6"/>
  <c r="D41" i="6"/>
  <c r="D45" i="6"/>
  <c r="D31" i="7"/>
  <c r="D33" i="6"/>
  <c r="V38" i="1"/>
  <c r="X40" i="1"/>
  <c r="Q40" i="6" s="1"/>
  <c r="W38" i="6"/>
  <c r="AM40" i="6"/>
  <c r="AK48" i="1"/>
  <c r="Y48" i="6" s="1"/>
  <c r="BJ47" i="6"/>
  <c r="AH36" i="7"/>
  <c r="AH38" i="7"/>
  <c r="AH42" i="7"/>
  <c r="AH46" i="7"/>
  <c r="BJ38" i="6"/>
  <c r="AK31" i="1"/>
  <c r="Y31" i="6" s="1"/>
  <c r="K39" i="1"/>
  <c r="I39" i="6" s="1"/>
  <c r="D39" i="7"/>
  <c r="D47" i="7"/>
  <c r="I39" i="1"/>
  <c r="CK42" i="1"/>
  <c r="BE42" i="6" s="1"/>
  <c r="AX34" i="1"/>
  <c r="AG34" i="6" s="1"/>
  <c r="H42" i="1"/>
  <c r="F42" i="7" s="1"/>
  <c r="CK43" i="1"/>
  <c r="BE43" i="6" s="1"/>
  <c r="BJ46" i="6"/>
  <c r="G48" i="6"/>
  <c r="CH34" i="1"/>
  <c r="X38" i="1"/>
  <c r="Q38" i="6" s="1"/>
  <c r="AU43" i="1"/>
  <c r="BJ37" i="6"/>
  <c r="AH33" i="7"/>
  <c r="BJ41" i="6"/>
  <c r="K32" i="1"/>
  <c r="I32" i="6" s="1"/>
  <c r="K36" i="1"/>
  <c r="I36" i="6" s="1"/>
  <c r="AH36" i="1"/>
  <c r="N36" i="7" s="1"/>
  <c r="AK41" i="1"/>
  <c r="Y41" i="6" s="1"/>
  <c r="AV44" i="1"/>
  <c r="AK46" i="1"/>
  <c r="Y46" i="6" s="1"/>
  <c r="X42" i="1"/>
  <c r="Q42" i="6" s="1"/>
  <c r="BJ36" i="6"/>
  <c r="AH39" i="7"/>
  <c r="AH43" i="7"/>
  <c r="AH47" i="7"/>
  <c r="AH49" i="7"/>
  <c r="A33" i="7"/>
  <c r="BO15" i="1"/>
  <c r="H39" i="1"/>
  <c r="F39" i="7" s="1"/>
  <c r="AV43" i="1"/>
  <c r="I49" i="1"/>
  <c r="AH41" i="1"/>
  <c r="N41" i="7" s="1"/>
  <c r="AX18" i="1"/>
  <c r="AG18" i="6" s="1"/>
  <c r="AU44" i="1"/>
  <c r="CH32" i="1"/>
  <c r="AD32" i="7" s="1"/>
  <c r="CT32" i="1"/>
  <c r="AI32" i="7" s="1"/>
  <c r="BH40" i="1"/>
  <c r="V40" i="7" s="1"/>
  <c r="I44" i="1"/>
  <c r="BH14" i="6"/>
  <c r="A37" i="6"/>
  <c r="A46" i="6"/>
  <c r="AX22" i="1"/>
  <c r="AG22" i="6" s="1"/>
  <c r="BL35" i="6"/>
  <c r="A41" i="6"/>
  <c r="AU49" i="1"/>
  <c r="R49" i="7" s="1"/>
  <c r="A7" i="6"/>
  <c r="A40" i="7"/>
  <c r="AV49" i="1"/>
  <c r="V32" i="1"/>
  <c r="O32" i="6"/>
  <c r="BK34" i="1"/>
  <c r="AO34" i="6" s="1"/>
  <c r="AM34" i="6"/>
  <c r="BV31" i="1"/>
  <c r="CD31" i="1" s="1"/>
  <c r="AU31" i="6"/>
  <c r="AB32" i="1"/>
  <c r="S32" i="6"/>
  <c r="BO34" i="1"/>
  <c r="AQ34" i="6"/>
  <c r="BC31" i="6"/>
  <c r="CH31" i="1"/>
  <c r="AD31" i="7" s="1"/>
  <c r="CO35" i="1"/>
  <c r="BG35" i="6"/>
  <c r="BB32" i="1"/>
  <c r="AI32" i="6"/>
  <c r="AB35" i="1"/>
  <c r="S35" i="6"/>
  <c r="BB33" i="1"/>
  <c r="AI33" i="6"/>
  <c r="AO31" i="1"/>
  <c r="AA31" i="6"/>
  <c r="AM32" i="6"/>
  <c r="BI32" i="1"/>
  <c r="BQ32" i="1" s="1"/>
  <c r="BH32" i="1"/>
  <c r="O33" i="1"/>
  <c r="K33" i="6"/>
  <c r="AI35" i="6"/>
  <c r="BB35" i="1"/>
  <c r="BB31" i="1"/>
  <c r="AI31" i="6"/>
  <c r="AO34" i="1"/>
  <c r="AA34" i="6"/>
  <c r="S16" i="6"/>
  <c r="AB16" i="1"/>
  <c r="BG33" i="6"/>
  <c r="CO33" i="1"/>
  <c r="K13" i="6"/>
  <c r="BL32" i="6"/>
  <c r="A31" i="7"/>
  <c r="K31" i="1"/>
  <c r="I31" i="6" s="1"/>
  <c r="BU44" i="1"/>
  <c r="Z44" i="7" s="1"/>
  <c r="W31" i="6"/>
  <c r="BG31" i="6"/>
  <c r="AE32" i="6"/>
  <c r="AY35" i="6"/>
  <c r="AY30" i="6"/>
  <c r="D35" i="7"/>
  <c r="CK25" i="1"/>
  <c r="BE25" i="6" s="1"/>
  <c r="AU32" i="1"/>
  <c r="BC32" i="1" s="1"/>
  <c r="T32" i="7" s="1"/>
  <c r="CI32" i="1"/>
  <c r="CQ32" i="1" s="1"/>
  <c r="O33" i="7"/>
  <c r="AV32" i="1"/>
  <c r="BD32" i="1" s="1"/>
  <c r="BH37" i="1"/>
  <c r="G32" i="6"/>
  <c r="AQ32" i="6"/>
  <c r="AA35" i="6"/>
  <c r="BJ35" i="6"/>
  <c r="AA31" i="7"/>
  <c r="O35" i="7"/>
  <c r="B31" i="6"/>
  <c r="AR32" i="6"/>
  <c r="AH34" i="7"/>
  <c r="AH31" i="7"/>
  <c r="AA33" i="7"/>
  <c r="W35" i="7"/>
  <c r="CB28" i="1"/>
  <c r="O24" i="1"/>
  <c r="X32" i="1"/>
  <c r="Q32" i="6" s="1"/>
  <c r="S26" i="6"/>
  <c r="AY33" i="6"/>
  <c r="BG34" i="6"/>
  <c r="A36" i="6"/>
  <c r="BL40" i="6"/>
  <c r="AJ31" i="7"/>
  <c r="G31" i="7"/>
  <c r="AK20" i="1"/>
  <c r="Y20" i="6" s="1"/>
  <c r="K20" i="1"/>
  <c r="I20" i="6" s="1"/>
  <c r="AY32" i="6"/>
  <c r="S33" i="6"/>
  <c r="BJ34" i="6"/>
  <c r="AJ33" i="7"/>
  <c r="BI44" i="1"/>
  <c r="AZ32" i="6"/>
  <c r="BV37" i="1"/>
  <c r="K27" i="6"/>
  <c r="K31" i="6"/>
  <c r="A38" i="7"/>
  <c r="BU37" i="1"/>
  <c r="T27" i="6"/>
  <c r="BC32" i="6"/>
  <c r="B40" i="6"/>
  <c r="D34" i="7"/>
  <c r="O32" i="7"/>
  <c r="AY31" i="6"/>
  <c r="BG32" i="6"/>
  <c r="AA33" i="6"/>
  <c r="AI34" i="6"/>
  <c r="AQ35" i="6"/>
  <c r="B45" i="6"/>
  <c r="A42" i="7"/>
  <c r="U38" i="1"/>
  <c r="BI41" i="1"/>
  <c r="BJ12" i="6"/>
  <c r="AQ28" i="6"/>
  <c r="BH32" i="6"/>
  <c r="AJ34" i="6"/>
  <c r="B42" i="7"/>
  <c r="S31" i="6"/>
  <c r="AA32" i="6"/>
  <c r="BJ32" i="6"/>
  <c r="K35" i="6"/>
  <c r="K34" i="1"/>
  <c r="I34" i="6" s="1"/>
  <c r="U31" i="1"/>
  <c r="J31" i="7" s="1"/>
  <c r="AX31" i="1"/>
  <c r="AG31" i="6" s="1"/>
  <c r="B44" i="6"/>
  <c r="AM20" i="6"/>
  <c r="X21" i="1"/>
  <c r="Q21" i="6" s="1"/>
  <c r="O21" i="6"/>
  <c r="AI27" i="6"/>
  <c r="BB27" i="1"/>
  <c r="AI22" i="6"/>
  <c r="BB22" i="1"/>
  <c r="K25" i="6"/>
  <c r="O25" i="1"/>
  <c r="AE17" i="6"/>
  <c r="AX17" i="1"/>
  <c r="AG17" i="6" s="1"/>
  <c r="BB16" i="1"/>
  <c r="AI16" i="6"/>
  <c r="AE29" i="6"/>
  <c r="AO14" i="1"/>
  <c r="AA14" i="6"/>
  <c r="AY14" i="6"/>
  <c r="CB14" i="1"/>
  <c r="AQ19" i="6"/>
  <c r="BO19" i="1"/>
  <c r="O20" i="6"/>
  <c r="CO18" i="1"/>
  <c r="BG18" i="6"/>
  <c r="BO20" i="1"/>
  <c r="AQ20" i="6"/>
  <c r="G14" i="6"/>
  <c r="CO15" i="1"/>
  <c r="BG15" i="6"/>
  <c r="BC14" i="6"/>
  <c r="CK14" i="1"/>
  <c r="BE14" i="6" s="1"/>
  <c r="AO18" i="1"/>
  <c r="AA18" i="6"/>
  <c r="BO22" i="1"/>
  <c r="AQ22" i="6"/>
  <c r="BO24" i="1"/>
  <c r="AQ24" i="6"/>
  <c r="CO28" i="1"/>
  <c r="BG28" i="6"/>
  <c r="AY20" i="6"/>
  <c r="CB20" i="1"/>
  <c r="AU14" i="6"/>
  <c r="AM18" i="6"/>
  <c r="AO13" i="1"/>
  <c r="AA13" i="6"/>
  <c r="AM30" i="6"/>
  <c r="BK30" i="1"/>
  <c r="AO30" i="6" s="1"/>
  <c r="X17" i="1"/>
  <c r="Q17" i="6" s="1"/>
  <c r="O17" i="6"/>
  <c r="BX22" i="1"/>
  <c r="AW22" i="6" s="1"/>
  <c r="AU22" i="6"/>
  <c r="O16" i="1"/>
  <c r="K16" i="6"/>
  <c r="CB17" i="1"/>
  <c r="AY17" i="6"/>
  <c r="AM13" i="6"/>
  <c r="S20" i="6"/>
  <c r="AB20" i="1"/>
  <c r="O22" i="1"/>
  <c r="K22" i="6"/>
  <c r="AI26" i="6"/>
  <c r="BB26" i="1"/>
  <c r="AB14" i="1"/>
  <c r="S14" i="6"/>
  <c r="AA25" i="6"/>
  <c r="AO25" i="1"/>
  <c r="AZ27" i="6"/>
  <c r="AA27" i="7"/>
  <c r="AU17" i="6"/>
  <c r="BX17" i="1"/>
  <c r="AW17" i="6" s="1"/>
  <c r="K20" i="6"/>
  <c r="O20" i="1"/>
  <c r="A9" i="7"/>
  <c r="A9" i="6"/>
  <c r="A10" i="1"/>
  <c r="O16" i="6"/>
  <c r="AZ16" i="6"/>
  <c r="AA16" i="7"/>
  <c r="AQ29" i="6"/>
  <c r="BO29" i="1"/>
  <c r="AM23" i="6"/>
  <c r="AE14" i="6"/>
  <c r="W19" i="6"/>
  <c r="BB25" i="1"/>
  <c r="AI25" i="6"/>
  <c r="W24" i="6"/>
  <c r="O26" i="6"/>
  <c r="AB19" i="1"/>
  <c r="S19" i="6"/>
  <c r="CB13" i="1"/>
  <c r="AY13" i="6"/>
  <c r="CO16" i="1"/>
  <c r="BG16" i="6"/>
  <c r="G21" i="6"/>
  <c r="AO19" i="1"/>
  <c r="AA19" i="6"/>
  <c r="AO27" i="1"/>
  <c r="AA27" i="6"/>
  <c r="AB29" i="1"/>
  <c r="S29" i="6"/>
  <c r="O21" i="1"/>
  <c r="K21" i="6"/>
  <c r="O18" i="6"/>
  <c r="X18" i="1"/>
  <c r="Q18" i="6" s="1"/>
  <c r="CB21" i="1"/>
  <c r="AY21" i="6"/>
  <c r="AO24" i="1"/>
  <c r="AA24" i="6"/>
  <c r="BO17" i="1"/>
  <c r="AQ17" i="6"/>
  <c r="O23" i="1"/>
  <c r="K23" i="6"/>
  <c r="G25" i="6"/>
  <c r="O15" i="6"/>
  <c r="CO13" i="1"/>
  <c r="AB17" i="1"/>
  <c r="D21" i="6"/>
  <c r="D21" i="7"/>
  <c r="AO28" i="1"/>
  <c r="AA28" i="6"/>
  <c r="A43" i="6"/>
  <c r="A43" i="7"/>
  <c r="BJ9" i="6"/>
  <c r="K18" i="6"/>
  <c r="AE12" i="7"/>
  <c r="AH25" i="7"/>
  <c r="AB15" i="1"/>
  <c r="S15" i="6"/>
  <c r="AH16" i="7"/>
  <c r="BJ16" i="6"/>
  <c r="BB18" i="1"/>
  <c r="AI18" i="6"/>
  <c r="BG14" i="6"/>
  <c r="AA16" i="6"/>
  <c r="L18" i="6"/>
  <c r="O26" i="1"/>
  <c r="K26" i="6"/>
  <c r="CB15" i="1"/>
  <c r="AY15" i="6"/>
  <c r="AM16" i="6"/>
  <c r="BB21" i="1"/>
  <c r="AI21" i="6"/>
  <c r="AH21" i="7"/>
  <c r="BJ21" i="6"/>
  <c r="CO24" i="1"/>
  <c r="CB25" i="1"/>
  <c r="AY25" i="6"/>
  <c r="B49" i="7"/>
  <c r="B49" i="6"/>
  <c r="B7" i="6"/>
  <c r="K26" i="1"/>
  <c r="I26" i="6" s="1"/>
  <c r="G26" i="6"/>
  <c r="AO12" i="1"/>
  <c r="AA12" i="6"/>
  <c r="A49" i="7"/>
  <c r="A49" i="6"/>
  <c r="AH8" i="7"/>
  <c r="BJ8" i="6"/>
  <c r="BL7" i="6"/>
  <c r="AJ7" i="7"/>
  <c r="D13" i="7"/>
  <c r="D13" i="6"/>
  <c r="CO19" i="1"/>
  <c r="BG19" i="6"/>
  <c r="AO22" i="1"/>
  <c r="AA22" i="6"/>
  <c r="K24" i="1"/>
  <c r="I24" i="6" s="1"/>
  <c r="AH24" i="7"/>
  <c r="BJ24" i="6"/>
  <c r="BK26" i="1"/>
  <c r="AO26" i="6" s="1"/>
  <c r="AM26" i="6"/>
  <c r="D10" i="6"/>
  <c r="AY16" i="6"/>
  <c r="D17" i="7"/>
  <c r="D27" i="6"/>
  <c r="D27" i="7"/>
  <c r="AX27" i="1"/>
  <c r="AG27" i="6" s="1"/>
  <c r="CO27" i="1"/>
  <c r="BG27" i="6"/>
  <c r="AK15" i="1"/>
  <c r="Y15" i="6" s="1"/>
  <c r="W15" i="6"/>
  <c r="AO17" i="1"/>
  <c r="AA17" i="6"/>
  <c r="AK19" i="1"/>
  <c r="Y19" i="6" s="1"/>
  <c r="AH19" i="7"/>
  <c r="BJ19" i="6"/>
  <c r="CB22" i="1"/>
  <c r="AY22" i="6"/>
  <c r="G24" i="6"/>
  <c r="W25" i="6"/>
  <c r="AO29" i="1"/>
  <c r="AA29" i="6"/>
  <c r="BB19" i="1"/>
  <c r="AI19" i="6"/>
  <c r="K21" i="1"/>
  <c r="I21" i="6" s="1"/>
  <c r="AB23" i="1"/>
  <c r="S23" i="6"/>
  <c r="AO30" i="1"/>
  <c r="AA30" i="6"/>
  <c r="CB19" i="1"/>
  <c r="AY19" i="6"/>
  <c r="CO21" i="1"/>
  <c r="BG21" i="6"/>
  <c r="G10" i="7"/>
  <c r="L10" i="6"/>
  <c r="BB12" i="1"/>
  <c r="AI12" i="6"/>
  <c r="BO16" i="1"/>
  <c r="AQ16" i="6"/>
  <c r="BO18" i="1"/>
  <c r="AQ18" i="6"/>
  <c r="BK21" i="1"/>
  <c r="AO21" i="6" s="1"/>
  <c r="D22" i="7"/>
  <c r="D22" i="6"/>
  <c r="BO23" i="1"/>
  <c r="AQ23" i="6"/>
  <c r="BB24" i="1"/>
  <c r="AI24" i="6"/>
  <c r="D25" i="6"/>
  <c r="D25" i="7"/>
  <c r="AX28" i="1"/>
  <c r="AG28" i="6" s="1"/>
  <c r="CO30" i="1"/>
  <c r="K10" i="6"/>
  <c r="BJ11" i="6"/>
  <c r="AY18" i="6"/>
  <c r="D14" i="7"/>
  <c r="L13" i="6"/>
  <c r="G13" i="7"/>
  <c r="BO13" i="1"/>
  <c r="AQ13" i="6"/>
  <c r="BX14" i="1"/>
  <c r="AW14" i="6" s="1"/>
  <c r="AH14" i="7"/>
  <c r="O15" i="7"/>
  <c r="AB15" i="6"/>
  <c r="CK15" i="1"/>
  <c r="BE15" i="6" s="1"/>
  <c r="K17" i="1"/>
  <c r="I17" i="6" s="1"/>
  <c r="G19" i="7"/>
  <c r="L19" i="6"/>
  <c r="BG29" i="6"/>
  <c r="CO29" i="1"/>
  <c r="A39" i="7"/>
  <c r="D9" i="6"/>
  <c r="D9" i="7"/>
  <c r="BB14" i="1"/>
  <c r="AI14" i="6"/>
  <c r="T26" i="6"/>
  <c r="K26" i="7"/>
  <c r="BB28" i="1"/>
  <c r="AI28" i="6"/>
  <c r="AH29" i="7"/>
  <c r="AX29" i="1"/>
  <c r="AG29" i="6" s="1"/>
  <c r="K29" i="1"/>
  <c r="I29" i="6" s="1"/>
  <c r="BJ29" i="6"/>
  <c r="G14" i="7"/>
  <c r="B39" i="7"/>
  <c r="W14" i="6"/>
  <c r="AY29" i="6"/>
  <c r="CB29" i="1"/>
  <c r="D8" i="7"/>
  <c r="D8" i="6"/>
  <c r="AU16" i="6"/>
  <c r="CK17" i="1"/>
  <c r="BE17" i="6" s="1"/>
  <c r="BC17" i="6"/>
  <c r="BO21" i="1"/>
  <c r="AQ21" i="6"/>
  <c r="CO22" i="1"/>
  <c r="BG22" i="6"/>
  <c r="AO23" i="1"/>
  <c r="AA23" i="6"/>
  <c r="CI38" i="1"/>
  <c r="AJ38" i="7"/>
  <c r="BL38" i="6"/>
  <c r="AI38" i="1"/>
  <c r="AH38" i="1"/>
  <c r="BV38" i="1"/>
  <c r="BU38" i="1"/>
  <c r="CT38" i="1"/>
  <c r="CV38" i="1" s="1"/>
  <c r="A45" i="7"/>
  <c r="A45" i="6"/>
  <c r="AI29" i="6"/>
  <c r="AH10" i="7"/>
  <c r="A35" i="7"/>
  <c r="A35" i="6"/>
  <c r="AJ8" i="7"/>
  <c r="BL8" i="6"/>
  <c r="D19" i="7"/>
  <c r="D19" i="6"/>
  <c r="D12" i="6"/>
  <c r="D12" i="7"/>
  <c r="BO12" i="1"/>
  <c r="AQ12" i="6"/>
  <c r="O17" i="1"/>
  <c r="K17" i="6"/>
  <c r="AB18" i="1"/>
  <c r="S18" i="6"/>
  <c r="G22" i="6"/>
  <c r="AH22" i="7"/>
  <c r="BJ22" i="6"/>
  <c r="W26" i="6"/>
  <c r="O28" i="1"/>
  <c r="K28" i="6"/>
  <c r="S29" i="7"/>
  <c r="AA15" i="6"/>
  <c r="K19" i="6"/>
  <c r="AJ29" i="6"/>
  <c r="AB22" i="1"/>
  <c r="S22" i="6"/>
  <c r="B9" i="1"/>
  <c r="BB17" i="1"/>
  <c r="AI17" i="6"/>
  <c r="CB26" i="1"/>
  <c r="AY26" i="6"/>
  <c r="AM28" i="6"/>
  <c r="BO25" i="1"/>
  <c r="AQ25" i="6"/>
  <c r="D24" i="6"/>
  <c r="D24" i="7"/>
  <c r="CU9" i="1"/>
  <c r="BX12" i="1"/>
  <c r="AW12" i="6" s="1"/>
  <c r="AB13" i="1"/>
  <c r="S13" i="6"/>
  <c r="BK14" i="1"/>
  <c r="AO14" i="6" s="1"/>
  <c r="D15" i="7"/>
  <c r="D15" i="6"/>
  <c r="AA18" i="7"/>
  <c r="AZ18" i="6"/>
  <c r="AO20" i="1"/>
  <c r="AA20" i="6"/>
  <c r="CB23" i="1"/>
  <c r="AY23" i="6"/>
  <c r="AK26" i="1"/>
  <c r="Y26" i="6" s="1"/>
  <c r="AY27" i="6"/>
  <c r="D11" i="7"/>
  <c r="D11" i="6"/>
  <c r="BB15" i="1"/>
  <c r="AI15" i="6"/>
  <c r="CO17" i="1"/>
  <c r="BG17" i="6"/>
  <c r="AB24" i="1"/>
  <c r="S24" i="6"/>
  <c r="K25" i="1"/>
  <c r="I25" i="6" s="1"/>
  <c r="CO25" i="1"/>
  <c r="BG25" i="6"/>
  <c r="W27" i="6"/>
  <c r="AK27" i="1"/>
  <c r="Y27" i="6" s="1"/>
  <c r="BK28" i="1"/>
  <c r="AO28" i="6" s="1"/>
  <c r="D7" i="7"/>
  <c r="AH13" i="7"/>
  <c r="BJ13" i="6"/>
  <c r="AB25" i="1"/>
  <c r="S25" i="6"/>
  <c r="O12" i="1"/>
  <c r="K12" i="6"/>
  <c r="X14" i="1"/>
  <c r="Q14" i="6" s="1"/>
  <c r="BJ17" i="6"/>
  <c r="AH17" i="7"/>
  <c r="BC20" i="6"/>
  <c r="AU27" i="6"/>
  <c r="AM29" i="6"/>
  <c r="K30" i="1"/>
  <c r="I30" i="6" s="1"/>
  <c r="G30" i="6"/>
  <c r="BJ7" i="6"/>
  <c r="K14" i="6"/>
  <c r="CB12" i="1"/>
  <c r="AY12" i="6"/>
  <c r="G15" i="6"/>
  <c r="BK15" i="1"/>
  <c r="AO15" i="6" s="1"/>
  <c r="AM15" i="6"/>
  <c r="AB21" i="1"/>
  <c r="S21" i="6"/>
  <c r="BX21" i="1"/>
  <c r="AW21" i="6" s="1"/>
  <c r="BC26" i="6"/>
  <c r="AB28" i="1"/>
  <c r="S28" i="6"/>
  <c r="O29" i="1"/>
  <c r="K29" i="6"/>
  <c r="BJ15" i="6"/>
  <c r="BC13" i="6"/>
  <c r="AB16" i="6"/>
  <c r="O16" i="7"/>
  <c r="CO20" i="1"/>
  <c r="BG20" i="6"/>
  <c r="BK22" i="1"/>
  <c r="AO22" i="6" s="1"/>
  <c r="AM22" i="6"/>
  <c r="D23" i="6"/>
  <c r="D23" i="7"/>
  <c r="AO26" i="1"/>
  <c r="AA26" i="6"/>
  <c r="AR28" i="6"/>
  <c r="W28" i="7"/>
  <c r="BO30" i="1"/>
  <c r="AQ30" i="6"/>
  <c r="AU12" i="6"/>
  <c r="B8" i="7"/>
  <c r="O15" i="1"/>
  <c r="K15" i="6"/>
  <c r="D16" i="6"/>
  <c r="D16" i="7"/>
  <c r="BB20" i="1"/>
  <c r="BJ20" i="6"/>
  <c r="AH20" i="7"/>
  <c r="CB24" i="1"/>
  <c r="AY24" i="6"/>
  <c r="BL36" i="6"/>
  <c r="AJ36" i="7"/>
  <c r="AI36" i="1"/>
  <c r="AV36" i="1"/>
  <c r="D20" i="7"/>
  <c r="D18" i="7"/>
  <c r="D18" i="6"/>
  <c r="AE23" i="7"/>
  <c r="BH23" i="6"/>
  <c r="AE26" i="6"/>
  <c r="CO26" i="1"/>
  <c r="BG26" i="6"/>
  <c r="W28" i="6"/>
  <c r="AU30" i="6"/>
  <c r="BX30" i="1"/>
  <c r="AW30" i="6" s="1"/>
  <c r="BL34" i="6"/>
  <c r="AJ34" i="7"/>
  <c r="CT34" i="1"/>
  <c r="BG12" i="6"/>
  <c r="D29" i="7"/>
  <c r="A8" i="6"/>
  <c r="A8" i="7"/>
  <c r="AB12" i="1"/>
  <c r="S12" i="6"/>
  <c r="G16" i="6"/>
  <c r="BJ18" i="6"/>
  <c r="AH18" i="7"/>
  <c r="AO21" i="1"/>
  <c r="AA21" i="6"/>
  <c r="BB23" i="1"/>
  <c r="AI23" i="6"/>
  <c r="X23" i="1"/>
  <c r="Q23" i="6" s="1"/>
  <c r="AH23" i="7"/>
  <c r="BJ23" i="6"/>
  <c r="AX26" i="1"/>
  <c r="AG26" i="6" s="1"/>
  <c r="BJ26" i="6"/>
  <c r="AH26" i="7"/>
  <c r="BG23" i="6"/>
  <c r="B36" i="7"/>
  <c r="B36" i="6"/>
  <c r="AR27" i="6"/>
  <c r="B47" i="6"/>
  <c r="AJ42" i="7"/>
  <c r="A34" i="7"/>
  <c r="A34" i="6"/>
  <c r="A47" i="7"/>
  <c r="A47" i="6"/>
  <c r="BV48" i="1"/>
  <c r="AV42" i="1"/>
  <c r="I42" i="1"/>
  <c r="BV49" i="1"/>
  <c r="B34" i="6"/>
  <c r="B48" i="6"/>
  <c r="B43" i="6"/>
  <c r="B43" i="7"/>
  <c r="A44" i="6"/>
  <c r="BO26" i="1"/>
  <c r="AQ26" i="6"/>
  <c r="AK28" i="1"/>
  <c r="Y28" i="6" s="1"/>
  <c r="CT31" i="1"/>
  <c r="I40" i="1"/>
  <c r="BV40" i="1"/>
  <c r="BH42" i="1"/>
  <c r="V42" i="7" s="1"/>
  <c r="L27" i="6"/>
  <c r="D30" i="6"/>
  <c r="AH28" i="7"/>
  <c r="AJ40" i="7"/>
  <c r="AJ47" i="7"/>
  <c r="AZ30" i="6"/>
  <c r="AA30" i="7"/>
  <c r="I34" i="1"/>
  <c r="V42" i="1"/>
  <c r="AJ43" i="7"/>
  <c r="BL43" i="6"/>
  <c r="AH43" i="1"/>
  <c r="H47" i="1"/>
  <c r="F47" i="7" s="1"/>
  <c r="AH48" i="1"/>
  <c r="N48" i="7" s="1"/>
  <c r="CH36" i="1"/>
  <c r="AD36" i="7" s="1"/>
  <c r="B41" i="6"/>
  <c r="B41" i="7"/>
  <c r="AU29" i="6"/>
  <c r="A32" i="6"/>
  <c r="A32" i="7"/>
  <c r="A48" i="7"/>
  <c r="A48" i="6"/>
  <c r="AJ46" i="7"/>
  <c r="B32" i="6"/>
  <c r="B32" i="7"/>
  <c r="AJ48" i="7"/>
  <c r="BL48" i="6"/>
  <c r="AJ49" i="7"/>
  <c r="BI49" i="1"/>
  <c r="S27" i="6"/>
  <c r="D26" i="6"/>
  <c r="D26" i="7"/>
  <c r="BJ27" i="6"/>
  <c r="G29" i="6"/>
  <c r="B35" i="6"/>
  <c r="B35" i="7"/>
  <c r="CT41" i="1"/>
  <c r="AJ41" i="7"/>
  <c r="BL41" i="6"/>
  <c r="O30" i="1"/>
  <c r="K30" i="6"/>
  <c r="B37" i="7"/>
  <c r="B37" i="6"/>
  <c r="V43" i="1"/>
  <c r="BL44" i="6"/>
  <c r="H44" i="1"/>
  <c r="BJ28" i="6"/>
  <c r="AJ44" i="7"/>
  <c r="AU23" i="6"/>
  <c r="AK30" i="1"/>
  <c r="Y30" i="6" s="1"/>
  <c r="AH30" i="7"/>
  <c r="BU31" i="1"/>
  <c r="CC31" i="1" s="1"/>
  <c r="AB31" i="7" s="1"/>
  <c r="CT37" i="1"/>
  <c r="BL39" i="6"/>
  <c r="AJ39" i="7"/>
  <c r="AI40" i="1"/>
  <c r="AH46" i="1"/>
  <c r="N46" i="7" s="1"/>
  <c r="AI30" i="6"/>
  <c r="BL37" i="6"/>
  <c r="BU43" i="1"/>
  <c r="Z43" i="7" s="1"/>
  <c r="BL45" i="6"/>
  <c r="AJ45" i="7"/>
  <c r="CH46" i="1"/>
  <c r="AD46" i="7" s="1"/>
  <c r="BI48" i="1"/>
  <c r="BH49" i="1"/>
  <c r="BC29" i="6"/>
  <c r="AJ30" i="6"/>
  <c r="B33" i="6"/>
  <c r="BL42" i="6"/>
  <c r="D28" i="6"/>
  <c r="D28" i="7"/>
  <c r="BV43" i="1"/>
  <c r="BI37" i="1"/>
  <c r="CI42" i="1"/>
  <c r="AI43" i="1"/>
  <c r="AQ27" i="6"/>
  <c r="B38" i="6"/>
  <c r="CT44" i="1"/>
  <c r="CV44" i="1" s="1"/>
  <c r="B46" i="6"/>
  <c r="B46" i="7"/>
  <c r="K12" i="1"/>
  <c r="I12" i="6" s="1"/>
  <c r="BX15" i="1"/>
  <c r="AW15" i="6" s="1"/>
  <c r="AX16" i="1"/>
  <c r="AG16" i="6" s="1"/>
  <c r="BB13" i="1"/>
  <c r="CK27" i="1"/>
  <c r="BE27" i="6" s="1"/>
  <c r="AK17" i="1"/>
  <c r="Y17" i="6" s="1"/>
  <c r="AX12" i="1"/>
  <c r="AG12" i="6" s="1"/>
  <c r="CI39" i="1"/>
  <c r="CH39" i="1"/>
  <c r="AD39" i="7" s="1"/>
  <c r="BK12" i="1"/>
  <c r="AO12" i="6" s="1"/>
  <c r="BX13" i="1"/>
  <c r="AW13" i="6" s="1"/>
  <c r="AX15" i="1"/>
  <c r="AG15" i="6" s="1"/>
  <c r="X12" i="1"/>
  <c r="Q12" i="6" s="1"/>
  <c r="X22" i="1"/>
  <c r="Q22" i="6" s="1"/>
  <c r="BK16" i="1"/>
  <c r="AO16" i="6" s="1"/>
  <c r="AK12" i="1"/>
  <c r="Y12" i="6" s="1"/>
  <c r="AK13" i="1"/>
  <c r="Y13" i="6" s="1"/>
  <c r="BK25" i="1"/>
  <c r="AO25" i="6" s="1"/>
  <c r="AV48" i="1"/>
  <c r="AU48" i="1"/>
  <c r="BX25" i="1"/>
  <c r="AW25" i="6" s="1"/>
  <c r="CI35" i="1"/>
  <c r="AV37" i="1"/>
  <c r="AU37" i="1"/>
  <c r="I45" i="1"/>
  <c r="H45" i="1"/>
  <c r="K19" i="1"/>
  <c r="I19" i="6" s="1"/>
  <c r="BK19" i="1"/>
  <c r="AO19" i="6" s="1"/>
  <c r="BX19" i="1"/>
  <c r="AW19" i="6" s="1"/>
  <c r="AX21" i="1"/>
  <c r="AG21" i="6" s="1"/>
  <c r="AK33" i="1"/>
  <c r="Y33" i="6" s="1"/>
  <c r="CK33" i="1"/>
  <c r="BE33" i="6" s="1"/>
  <c r="AX33" i="1"/>
  <c r="AG33" i="6" s="1"/>
  <c r="K33" i="1"/>
  <c r="I33" i="6" s="1"/>
  <c r="BK33" i="1"/>
  <c r="AO33" i="6" s="1"/>
  <c r="CT33" i="1"/>
  <c r="X33" i="1"/>
  <c r="Q33" i="6" s="1"/>
  <c r="BX33" i="1"/>
  <c r="AW33" i="6" s="1"/>
  <c r="H35" i="1"/>
  <c r="F35" i="7" s="1"/>
  <c r="AV33" i="1"/>
  <c r="H33" i="1"/>
  <c r="BH33" i="1"/>
  <c r="V33" i="1"/>
  <c r="AD33" i="1" s="1"/>
  <c r="U33" i="1"/>
  <c r="AH34" i="1"/>
  <c r="N34" i="7" s="1"/>
  <c r="AK34" i="1"/>
  <c r="Y34" i="6" s="1"/>
  <c r="AI34" i="1"/>
  <c r="AV41" i="1"/>
  <c r="AU41" i="1"/>
  <c r="BK13" i="1"/>
  <c r="AO13" i="6" s="1"/>
  <c r="X15" i="1"/>
  <c r="Q15" i="6" s="1"/>
  <c r="CK16" i="1"/>
  <c r="BE16" i="6" s="1"/>
  <c r="X16" i="1"/>
  <c r="Q16" i="6" s="1"/>
  <c r="AK16" i="1"/>
  <c r="Y16" i="6" s="1"/>
  <c r="K28" i="1"/>
  <c r="I28" i="6" s="1"/>
  <c r="BX28" i="1"/>
  <c r="AW28" i="6" s="1"/>
  <c r="AX41" i="1"/>
  <c r="AG41" i="6" s="1"/>
  <c r="V45" i="1"/>
  <c r="U45" i="1"/>
  <c r="X45" i="1"/>
  <c r="Q45" i="6" s="1"/>
  <c r="K27" i="1"/>
  <c r="I27" i="6" s="1"/>
  <c r="U35" i="1"/>
  <c r="J35" i="7" s="1"/>
  <c r="BV35" i="1"/>
  <c r="CD35" i="1" s="1"/>
  <c r="BU35" i="1"/>
  <c r="AH35" i="1"/>
  <c r="N35" i="7" s="1"/>
  <c r="CT35" i="1"/>
  <c r="BI35" i="1"/>
  <c r="BQ35" i="1" s="1"/>
  <c r="BH35" i="1"/>
  <c r="V35" i="7" s="1"/>
  <c r="AK44" i="1"/>
  <c r="Y44" i="6" s="1"/>
  <c r="AI44" i="1"/>
  <c r="AH44" i="1"/>
  <c r="BI45" i="1"/>
  <c r="BH45" i="1"/>
  <c r="BX36" i="1"/>
  <c r="AW36" i="6" s="1"/>
  <c r="BU36" i="1"/>
  <c r="BV36" i="1"/>
  <c r="BX16" i="1"/>
  <c r="AW16" i="6" s="1"/>
  <c r="CK20" i="1"/>
  <c r="BE20" i="6" s="1"/>
  <c r="AX19" i="1"/>
  <c r="AG19" i="6" s="1"/>
  <c r="CK21" i="1"/>
  <c r="BE21" i="6" s="1"/>
  <c r="CK34" i="1"/>
  <c r="BE34" i="6" s="1"/>
  <c r="CI34" i="1"/>
  <c r="BI46" i="1"/>
  <c r="BH46" i="1"/>
  <c r="CK12" i="1"/>
  <c r="BE12" i="6" s="1"/>
  <c r="X19" i="1"/>
  <c r="Q19" i="6" s="1"/>
  <c r="CK24" i="1"/>
  <c r="BE24" i="6" s="1"/>
  <c r="X13" i="1"/>
  <c r="Q13" i="6" s="1"/>
  <c r="K15" i="1"/>
  <c r="I15" i="6" s="1"/>
  <c r="K13" i="1"/>
  <c r="I13" i="6" s="1"/>
  <c r="X20" i="1"/>
  <c r="Q20" i="6" s="1"/>
  <c r="BX20" i="1"/>
  <c r="AW20" i="6" s="1"/>
  <c r="AX20" i="1"/>
  <c r="AG20" i="6" s="1"/>
  <c r="BK20" i="1"/>
  <c r="AO20" i="6" s="1"/>
  <c r="V37" i="1"/>
  <c r="U37" i="1"/>
  <c r="J37" i="7" s="1"/>
  <c r="CK44" i="1"/>
  <c r="BE44" i="6" s="1"/>
  <c r="CH44" i="1"/>
  <c r="CI44" i="1"/>
  <c r="AK18" i="1"/>
  <c r="Y18" i="6" s="1"/>
  <c r="CK18" i="1"/>
  <c r="BE18" i="6" s="1"/>
  <c r="K18" i="1"/>
  <c r="I18" i="6" s="1"/>
  <c r="BK18" i="1"/>
  <c r="AO18" i="6" s="1"/>
  <c r="BX18" i="1"/>
  <c r="AW18" i="6" s="1"/>
  <c r="AX25" i="1"/>
  <c r="AG25" i="6" s="1"/>
  <c r="X28" i="1"/>
  <c r="Q28" i="6" s="1"/>
  <c r="X41" i="1"/>
  <c r="Q41" i="6" s="1"/>
  <c r="V41" i="1"/>
  <c r="U41" i="1"/>
  <c r="AX47" i="1"/>
  <c r="AG47" i="6" s="1"/>
  <c r="AV47" i="1"/>
  <c r="AU47" i="1"/>
  <c r="AX13" i="1"/>
  <c r="AG13" i="6" s="1"/>
  <c r="AX14" i="1"/>
  <c r="AG14" i="6" s="1"/>
  <c r="CI48" i="1"/>
  <c r="CH48" i="1"/>
  <c r="AD48" i="7" s="1"/>
  <c r="CK13" i="1"/>
  <c r="BE13" i="6" s="1"/>
  <c r="K14" i="1"/>
  <c r="I14" i="6" s="1"/>
  <c r="X24" i="1"/>
  <c r="Q24" i="6" s="1"/>
  <c r="CK28" i="1"/>
  <c r="BE28" i="6" s="1"/>
  <c r="X29" i="1"/>
  <c r="Q29" i="6" s="1"/>
  <c r="BV46" i="1"/>
  <c r="BU46" i="1"/>
  <c r="BX24" i="1"/>
  <c r="AW24" i="6" s="1"/>
  <c r="AK25" i="1"/>
  <c r="Y25" i="6" s="1"/>
  <c r="K16" i="1"/>
  <c r="I16" i="6" s="1"/>
  <c r="AK21" i="1"/>
  <c r="Y21" i="6" s="1"/>
  <c r="AK23" i="1"/>
  <c r="Y23" i="6" s="1"/>
  <c r="CK23" i="1"/>
  <c r="BE23" i="6" s="1"/>
  <c r="AX23" i="1"/>
  <c r="AG23" i="6" s="1"/>
  <c r="K23" i="1"/>
  <c r="I23" i="6" s="1"/>
  <c r="BK23" i="1"/>
  <c r="AO23" i="6" s="1"/>
  <c r="BX23" i="1"/>
  <c r="AW23" i="6" s="1"/>
  <c r="X25" i="1"/>
  <c r="Q25" i="6" s="1"/>
  <c r="AI37" i="1"/>
  <c r="AH37" i="1"/>
  <c r="N37" i="7" s="1"/>
  <c r="BV39" i="1"/>
  <c r="BU39" i="1"/>
  <c r="CK19" i="1"/>
  <c r="BE19" i="6" s="1"/>
  <c r="AK22" i="1"/>
  <c r="Y22" i="6" s="1"/>
  <c r="CK22" i="1"/>
  <c r="BE22" i="6" s="1"/>
  <c r="BK27" i="1"/>
  <c r="AO27" i="6" s="1"/>
  <c r="K22" i="1"/>
  <c r="I22" i="6" s="1"/>
  <c r="AX24" i="1"/>
  <c r="AG24" i="6" s="1"/>
  <c r="CK26" i="1"/>
  <c r="BE26" i="6" s="1"/>
  <c r="BV32" i="1"/>
  <c r="CD32" i="1" s="1"/>
  <c r="BU32" i="1"/>
  <c r="AV35" i="1"/>
  <c r="AU35" i="1"/>
  <c r="R35" i="7" s="1"/>
  <c r="BI38" i="1"/>
  <c r="BH38" i="1"/>
  <c r="AU33" i="1"/>
  <c r="X31" i="1"/>
  <c r="Q31" i="6" s="1"/>
  <c r="V31" i="1"/>
  <c r="V36" i="1"/>
  <c r="U36" i="1"/>
  <c r="U43" i="1"/>
  <c r="CI31" i="1"/>
  <c r="CQ31" i="1" s="1"/>
  <c r="CK31" i="1"/>
  <c r="BE31" i="6" s="1"/>
  <c r="CI33" i="1"/>
  <c r="CH33" i="1"/>
  <c r="AD33" i="7" s="1"/>
  <c r="AU34" i="1"/>
  <c r="R34" i="7" s="1"/>
  <c r="AV34" i="1"/>
  <c r="BD34" i="1" s="1"/>
  <c r="AK39" i="1"/>
  <c r="Y39" i="6" s="1"/>
  <c r="AI39" i="1"/>
  <c r="CI41" i="1"/>
  <c r="CH41" i="1"/>
  <c r="AX42" i="1"/>
  <c r="AG42" i="6" s="1"/>
  <c r="AU42" i="1"/>
  <c r="BI43" i="1"/>
  <c r="BH43" i="1"/>
  <c r="AK24" i="1"/>
  <c r="Y24" i="6" s="1"/>
  <c r="BX26" i="1"/>
  <c r="AW26" i="6" s="1"/>
  <c r="V35" i="1"/>
  <c r="AV45" i="1"/>
  <c r="AU45" i="1"/>
  <c r="AK29" i="1"/>
  <c r="Y29" i="6" s="1"/>
  <c r="CK29" i="1"/>
  <c r="BE29" i="6" s="1"/>
  <c r="X34" i="1"/>
  <c r="Q34" i="6" s="1"/>
  <c r="V34" i="1"/>
  <c r="U34" i="1"/>
  <c r="CI45" i="1"/>
  <c r="X26" i="1"/>
  <c r="Q26" i="6" s="1"/>
  <c r="BK31" i="1"/>
  <c r="AO31" i="6" s="1"/>
  <c r="BI31" i="1"/>
  <c r="BH31" i="1"/>
  <c r="V31" i="7" s="1"/>
  <c r="BI33" i="1"/>
  <c r="BX29" i="1"/>
  <c r="AW29" i="6" s="1"/>
  <c r="BX35" i="1"/>
  <c r="AW35" i="6" s="1"/>
  <c r="AK35" i="1"/>
  <c r="Y35" i="6" s="1"/>
  <c r="CK35" i="1"/>
  <c r="BE35" i="6" s="1"/>
  <c r="AX35" i="1"/>
  <c r="AG35" i="6" s="1"/>
  <c r="K35" i="1"/>
  <c r="I35" i="6" s="1"/>
  <c r="BK35" i="1"/>
  <c r="AO35" i="6" s="1"/>
  <c r="X35" i="1"/>
  <c r="Q35" i="6" s="1"/>
  <c r="BI36" i="1"/>
  <c r="BH36" i="1"/>
  <c r="V36" i="7" s="1"/>
  <c r="AV39" i="1"/>
  <c r="AU39" i="1"/>
  <c r="R39" i="7" s="1"/>
  <c r="CI40" i="1"/>
  <c r="CH40" i="1"/>
  <c r="AX48" i="1"/>
  <c r="AG48" i="6" s="1"/>
  <c r="AK49" i="1"/>
  <c r="Y49" i="6" s="1"/>
  <c r="AI49" i="1"/>
  <c r="AH49" i="1"/>
  <c r="N49" i="7" s="1"/>
  <c r="AI31" i="1"/>
  <c r="AH31" i="1"/>
  <c r="N31" i="7" s="1"/>
  <c r="AK45" i="1"/>
  <c r="Y45" i="6" s="1"/>
  <c r="CK45" i="1"/>
  <c r="BE45" i="6" s="1"/>
  <c r="AX45" i="1"/>
  <c r="AG45" i="6" s="1"/>
  <c r="K45" i="1"/>
  <c r="I45" i="6" s="1"/>
  <c r="BK45" i="1"/>
  <c r="AO45" i="6" s="1"/>
  <c r="CT45" i="1"/>
  <c r="BX45" i="1"/>
  <c r="AW45" i="6" s="1"/>
  <c r="AI33" i="1"/>
  <c r="AQ33" i="1" s="1"/>
  <c r="AH33" i="1"/>
  <c r="AX38" i="1"/>
  <c r="AG38" i="6" s="1"/>
  <c r="AV38" i="1"/>
  <c r="AU38" i="1"/>
  <c r="AK40" i="1"/>
  <c r="Y40" i="6" s="1"/>
  <c r="CK40" i="1"/>
  <c r="BE40" i="6" s="1"/>
  <c r="AX40" i="1"/>
  <c r="AG40" i="6" s="1"/>
  <c r="K40" i="1"/>
  <c r="I40" i="6" s="1"/>
  <c r="BX40" i="1"/>
  <c r="AW40" i="6" s="1"/>
  <c r="BU45" i="1"/>
  <c r="CH45" i="1"/>
  <c r="AD45" i="7" s="1"/>
  <c r="X48" i="1"/>
  <c r="Q48" i="6" s="1"/>
  <c r="U48" i="1"/>
  <c r="BX27" i="1"/>
  <c r="AW27" i="6" s="1"/>
  <c r="BV33" i="1"/>
  <c r="CD33" i="1" s="1"/>
  <c r="BU33" i="1"/>
  <c r="AI35" i="1"/>
  <c r="AQ35" i="1" s="1"/>
  <c r="CT40" i="1"/>
  <c r="I43" i="1"/>
  <c r="H43" i="1"/>
  <c r="F43" i="7" s="1"/>
  <c r="AI46" i="1"/>
  <c r="CK47" i="1"/>
  <c r="BE47" i="6" s="1"/>
  <c r="CI47" i="1"/>
  <c r="CH47" i="1"/>
  <c r="V48" i="1"/>
  <c r="BK24" i="1"/>
  <c r="AO24" i="6" s="1"/>
  <c r="I36" i="1"/>
  <c r="H36" i="1"/>
  <c r="F36" i="7" s="1"/>
  <c r="BK40" i="1"/>
  <c r="AO40" i="6" s="1"/>
  <c r="CK49" i="1"/>
  <c r="BE49" i="6" s="1"/>
  <c r="CI49" i="1"/>
  <c r="X27" i="1"/>
  <c r="Q27" i="6" s="1"/>
  <c r="I31" i="1"/>
  <c r="Q31" i="1" s="1"/>
  <c r="H31" i="1"/>
  <c r="F31" i="7" s="1"/>
  <c r="I37" i="1"/>
  <c r="H37" i="1"/>
  <c r="AK42" i="1"/>
  <c r="Y42" i="6" s="1"/>
  <c r="AI42" i="1"/>
  <c r="AH42" i="1"/>
  <c r="N42" i="7" s="1"/>
  <c r="CH49" i="1"/>
  <c r="BK29" i="1"/>
  <c r="AO29" i="6" s="1"/>
  <c r="AI32" i="1"/>
  <c r="AQ32" i="1" s="1"/>
  <c r="AH32" i="1"/>
  <c r="N32" i="7" s="1"/>
  <c r="CI43" i="1"/>
  <c r="CH43" i="1"/>
  <c r="X44" i="1"/>
  <c r="Q44" i="6" s="1"/>
  <c r="V44" i="1"/>
  <c r="U44" i="1"/>
  <c r="J44" i="7" s="1"/>
  <c r="BI47" i="1"/>
  <c r="BH47" i="1"/>
  <c r="V47" i="7" s="1"/>
  <c r="BK17" i="1"/>
  <c r="AO17" i="6" s="1"/>
  <c r="K37" i="1"/>
  <c r="I37" i="6" s="1"/>
  <c r="BK39" i="1"/>
  <c r="AO39" i="6" s="1"/>
  <c r="BI39" i="1"/>
  <c r="BH39" i="1"/>
  <c r="V39" i="7" s="1"/>
  <c r="BX41" i="1"/>
  <c r="AW41" i="6" s="1"/>
  <c r="BV41" i="1"/>
  <c r="CI46" i="1"/>
  <c r="AV31" i="1"/>
  <c r="AU31" i="1"/>
  <c r="I33" i="1"/>
  <c r="BU41" i="1"/>
  <c r="Z41" i="7" s="1"/>
  <c r="AV46" i="1"/>
  <c r="AU46" i="1"/>
  <c r="BK47" i="1"/>
  <c r="AO47" i="6" s="1"/>
  <c r="V47" i="1"/>
  <c r="BV47" i="1"/>
  <c r="BU47" i="1"/>
  <c r="Z47" i="7" s="1"/>
  <c r="AI47" i="1"/>
  <c r="CT47" i="1"/>
  <c r="BU48" i="1"/>
  <c r="H32" i="1"/>
  <c r="F32" i="7" s="1"/>
  <c r="I32" i="1"/>
  <c r="BX34" i="1"/>
  <c r="AW34" i="6" s="1"/>
  <c r="BV34" i="1"/>
  <c r="BU34" i="1"/>
  <c r="Z34" i="7" s="1"/>
  <c r="I35" i="1"/>
  <c r="Q35" i="1" s="1"/>
  <c r="CI37" i="1"/>
  <c r="CH37" i="1"/>
  <c r="AI45" i="1"/>
  <c r="AH45" i="1"/>
  <c r="N45" i="7" s="1"/>
  <c r="BV45" i="1"/>
  <c r="CK46" i="1"/>
  <c r="BE46" i="6" s="1"/>
  <c r="X30" i="1"/>
  <c r="Q30" i="6" s="1"/>
  <c r="BK32" i="1"/>
  <c r="AO32" i="6" s="1"/>
  <c r="CI36" i="1"/>
  <c r="CJ36" i="1" s="1"/>
  <c r="BD36" i="6" s="1"/>
  <c r="V40" i="1"/>
  <c r="W40" i="1" s="1"/>
  <c r="P40" i="6" s="1"/>
  <c r="BI42" i="1"/>
  <c r="CT42" i="1"/>
  <c r="K44" i="1"/>
  <c r="I44" i="6" s="1"/>
  <c r="AX46" i="1"/>
  <c r="AG46" i="6" s="1"/>
  <c r="AI48" i="1"/>
  <c r="CK48" i="1"/>
  <c r="BE48" i="6" s="1"/>
  <c r="BK37" i="1"/>
  <c r="AO37" i="6" s="1"/>
  <c r="AK43" i="1"/>
  <c r="Y43" i="6" s="1"/>
  <c r="K49" i="1"/>
  <c r="I49" i="6" s="1"/>
  <c r="BX43" i="1"/>
  <c r="AW43" i="6" s="1"/>
  <c r="AX49" i="1"/>
  <c r="AG49" i="6" s="1"/>
  <c r="BX31" i="1"/>
  <c r="AW31" i="6" s="1"/>
  <c r="AX37" i="1"/>
  <c r="AG37" i="6" s="1"/>
  <c r="CK39" i="1"/>
  <c r="BE39" i="6" s="1"/>
  <c r="X43" i="1"/>
  <c r="Q43" i="6" s="1"/>
  <c r="H38" i="1"/>
  <c r="F38" i="7" s="1"/>
  <c r="AU40" i="1"/>
  <c r="CH42" i="1"/>
  <c r="CT43" i="1"/>
  <c r="U46" i="1"/>
  <c r="BH48" i="1"/>
  <c r="AX30" i="1"/>
  <c r="AG30" i="6" s="1"/>
  <c r="CK32" i="1"/>
  <c r="BE32" i="6" s="1"/>
  <c r="X36" i="1"/>
  <c r="Q36" i="6" s="1"/>
  <c r="I38" i="1"/>
  <c r="BK38" i="1"/>
  <c r="AO38" i="6" s="1"/>
  <c r="BX46" i="1"/>
  <c r="AW46" i="6" s="1"/>
  <c r="CT48" i="1"/>
  <c r="CK37" i="1"/>
  <c r="BE37" i="6" s="1"/>
  <c r="BK43" i="1"/>
  <c r="AO43" i="6" s="1"/>
  <c r="H48" i="1"/>
  <c r="AK32" i="1"/>
  <c r="Y32" i="6" s="1"/>
  <c r="CH35" i="1"/>
  <c r="CT36" i="1"/>
  <c r="U39" i="1"/>
  <c r="BH41" i="1"/>
  <c r="BV44" i="1"/>
  <c r="X46" i="1"/>
  <c r="Q46" i="6" s="1"/>
  <c r="AH47" i="1"/>
  <c r="I48" i="1"/>
  <c r="BK48" i="1"/>
  <c r="AO48" i="6" s="1"/>
  <c r="BU49" i="1"/>
  <c r="AK37" i="1"/>
  <c r="Y37" i="6" s="1"/>
  <c r="BX39" i="1"/>
  <c r="AW39" i="6" s="1"/>
  <c r="K43" i="1"/>
  <c r="I43" i="6" s="1"/>
  <c r="BK36" i="1"/>
  <c r="AO36" i="6" s="1"/>
  <c r="H41" i="1"/>
  <c r="F41" i="7" s="1"/>
  <c r="CT46" i="1"/>
  <c r="U49" i="1"/>
  <c r="J49" i="7" s="1"/>
  <c r="U32" i="1"/>
  <c r="BH34" i="1"/>
  <c r="V34" i="7" s="1"/>
  <c r="X39" i="1"/>
  <c r="Q39" i="6" s="1"/>
  <c r="AH40" i="1"/>
  <c r="N40" i="7" s="1"/>
  <c r="I41" i="1"/>
  <c r="BK41" i="1"/>
  <c r="AO41" i="6" s="1"/>
  <c r="CV41" i="1"/>
  <c r="BU42" i="1"/>
  <c r="H46" i="1"/>
  <c r="F46" i="7" s="1"/>
  <c r="V49" i="1"/>
  <c r="BX49" i="1"/>
  <c r="AW49" i="6" s="1"/>
  <c r="BX32" i="1"/>
  <c r="AW32" i="6" s="1"/>
  <c r="BI34" i="1"/>
  <c r="BV42" i="1"/>
  <c r="BK46" i="1"/>
  <c r="AO46" i="6" s="1"/>
  <c r="H34" i="1"/>
  <c r="BX37" i="1"/>
  <c r="AW37" i="6" s="1"/>
  <c r="CH38" i="1"/>
  <c r="CT39" i="1"/>
  <c r="U42" i="1"/>
  <c r="AX43" i="1"/>
  <c r="AG43" i="6" s="1"/>
  <c r="BH44" i="1"/>
  <c r="U47" i="1"/>
  <c r="J47" i="7" s="1"/>
  <c r="X37" i="1"/>
  <c r="Q37" i="6" s="1"/>
  <c r="CT49" i="1"/>
  <c r="H49" i="1"/>
  <c r="BK49" i="1"/>
  <c r="AO49" i="6" s="1"/>
  <c r="BB6" i="1"/>
  <c r="AJ6" i="6" s="1"/>
  <c r="CB8" i="1"/>
  <c r="O5" i="1"/>
  <c r="O6" i="1"/>
  <c r="CB9" i="1"/>
  <c r="AJ6" i="7"/>
  <c r="O7" i="1"/>
  <c r="AB6" i="1"/>
  <c r="K6" i="7" s="1"/>
  <c r="CO10" i="1"/>
  <c r="O9" i="1"/>
  <c r="AB7" i="1"/>
  <c r="O11" i="1"/>
  <c r="AB8" i="1"/>
  <c r="BB10" i="1"/>
  <c r="AO10" i="1"/>
  <c r="BO5" i="1"/>
  <c r="BO11" i="1"/>
  <c r="O8" i="1"/>
  <c r="AB5" i="1"/>
  <c r="CT8" i="1"/>
  <c r="BB5" i="1"/>
  <c r="AJ5" i="6" s="1"/>
  <c r="AO8" i="1"/>
  <c r="CB5" i="1"/>
  <c r="BB8" i="1"/>
  <c r="CB6" i="1"/>
  <c r="H5" i="1"/>
  <c r="CO5" i="1"/>
  <c r="AB9" i="1"/>
  <c r="AO5" i="1"/>
  <c r="AB5" i="6" s="1"/>
  <c r="AB10" i="1"/>
  <c r="CB11" i="1"/>
  <c r="AO6" i="1"/>
  <c r="CO7" i="1"/>
  <c r="AO7" i="1"/>
  <c r="CO8" i="1"/>
  <c r="CO9" i="1"/>
  <c r="AO9" i="1"/>
  <c r="CO11" i="1"/>
  <c r="CO6" i="1"/>
  <c r="BG6" i="6"/>
  <c r="CB7" i="1"/>
  <c r="CB10" i="1"/>
  <c r="BO10" i="1"/>
  <c r="BO7" i="1"/>
  <c r="BO8" i="1"/>
  <c r="AQ6" i="6"/>
  <c r="BO6" i="1"/>
  <c r="AR6" i="6" s="1"/>
  <c r="BO9" i="1"/>
  <c r="BB11" i="1"/>
  <c r="BB7" i="1"/>
  <c r="BB9" i="1"/>
  <c r="AO11" i="1"/>
  <c r="AB11" i="1"/>
  <c r="D6" i="7"/>
  <c r="K6" i="6"/>
  <c r="B6" i="7"/>
  <c r="A6" i="6"/>
  <c r="BI8" i="1"/>
  <c r="AV5" i="1"/>
  <c r="BH6" i="1"/>
  <c r="V6" i="7" s="1"/>
  <c r="BH7" i="1"/>
  <c r="V7" i="7" s="1"/>
  <c r="AU6" i="1"/>
  <c r="CK10" i="1"/>
  <c r="BE10" i="6" s="1"/>
  <c r="AI5" i="1"/>
  <c r="CH7" i="1"/>
  <c r="AD7" i="7" s="1"/>
  <c r="BL50" i="1"/>
  <c r="BI7" i="1"/>
  <c r="AI7" i="1"/>
  <c r="AH8" i="1"/>
  <c r="N8" i="7" s="1"/>
  <c r="AK8" i="1"/>
  <c r="Y8" i="6" s="1"/>
  <c r="BJ5" i="6"/>
  <c r="AH5" i="7"/>
  <c r="AK5" i="1"/>
  <c r="Y5" i="6" s="1"/>
  <c r="AK9" i="1"/>
  <c r="Y9" i="6" s="1"/>
  <c r="X9" i="1"/>
  <c r="Q9" i="6" s="1"/>
  <c r="BX8" i="1"/>
  <c r="AW8" i="6" s="1"/>
  <c r="BU8" i="1"/>
  <c r="Z8" i="7" s="1"/>
  <c r="CK8" i="1"/>
  <c r="BE8" i="6" s="1"/>
  <c r="CI8" i="1"/>
  <c r="CH8" i="1"/>
  <c r="AD8" i="7" s="1"/>
  <c r="BV7" i="1"/>
  <c r="BX6" i="1"/>
  <c r="AW6" i="6" s="1"/>
  <c r="BU6" i="1"/>
  <c r="Z6" i="7" s="1"/>
  <c r="AU6" i="6"/>
  <c r="U8" i="1"/>
  <c r="J8" i="7" s="1"/>
  <c r="V8" i="1"/>
  <c r="X8" i="1"/>
  <c r="Q8" i="6" s="1"/>
  <c r="AI5" i="7"/>
  <c r="CV5" i="1"/>
  <c r="BK5" i="6"/>
  <c r="AU7" i="1"/>
  <c r="R7" i="7" s="1"/>
  <c r="AV7" i="1"/>
  <c r="K6" i="1"/>
  <c r="I6" i="6" s="1"/>
  <c r="H6" i="1"/>
  <c r="F6" i="7" s="1"/>
  <c r="AV9" i="1"/>
  <c r="AU9" i="1"/>
  <c r="R9" i="7" s="1"/>
  <c r="BV5" i="1"/>
  <c r="AU5" i="6"/>
  <c r="BJ6" i="6"/>
  <c r="AX7" i="1"/>
  <c r="AG7" i="6" s="1"/>
  <c r="CT6" i="1"/>
  <c r="CT7" i="1"/>
  <c r="D5" i="7"/>
  <c r="AI8" i="1"/>
  <c r="AX6" i="1"/>
  <c r="AG6" i="6" s="1"/>
  <c r="AH6" i="7"/>
  <c r="CI7" i="1"/>
  <c r="AE6" i="6"/>
  <c r="AM6" i="6"/>
  <c r="BX11" i="1"/>
  <c r="AW11" i="6" s="1"/>
  <c r="BK8" i="1"/>
  <c r="AO8" i="6" s="1"/>
  <c r="AV6" i="1"/>
  <c r="BX7" i="1"/>
  <c r="AW7" i="6" s="1"/>
  <c r="AH5" i="1"/>
  <c r="BI6" i="1"/>
  <c r="K10" i="1"/>
  <c r="I10" i="6" s="1"/>
  <c r="AX9" i="1"/>
  <c r="AG9" i="6" s="1"/>
  <c r="CT9" i="1"/>
  <c r="AK7" i="1"/>
  <c r="Y7" i="6" s="1"/>
  <c r="AI6" i="6"/>
  <c r="CK11" i="1"/>
  <c r="BE11" i="6" s="1"/>
  <c r="CH5" i="1"/>
  <c r="BC5" i="6"/>
  <c r="CK5" i="1"/>
  <c r="BE5" i="6" s="1"/>
  <c r="CI5" i="1"/>
  <c r="CH9" i="1"/>
  <c r="AD9" i="7" s="1"/>
  <c r="CK9" i="1"/>
  <c r="BE9" i="6" s="1"/>
  <c r="CK7" i="1"/>
  <c r="BE7" i="6" s="1"/>
  <c r="CH6" i="1"/>
  <c r="CI6" i="1"/>
  <c r="CK6" i="1"/>
  <c r="BE6" i="6" s="1"/>
  <c r="BX9" i="1"/>
  <c r="AW9" i="6" s="1"/>
  <c r="BV9" i="1"/>
  <c r="BU9" i="1"/>
  <c r="Z9" i="7" s="1"/>
  <c r="BX10" i="1"/>
  <c r="AW10" i="6" s="1"/>
  <c r="BV8" i="1"/>
  <c r="BU7" i="1"/>
  <c r="Z7" i="7" s="1"/>
  <c r="BU5" i="1"/>
  <c r="BV6" i="1"/>
  <c r="BX5" i="1"/>
  <c r="AW5" i="6" s="1"/>
  <c r="BI5" i="1"/>
  <c r="BH5" i="1"/>
  <c r="BK5" i="1"/>
  <c r="AO5" i="6" s="1"/>
  <c r="AM5" i="6"/>
  <c r="BK10" i="1"/>
  <c r="AO10" i="6" s="1"/>
  <c r="BK9" i="1"/>
  <c r="AO9" i="6" s="1"/>
  <c r="BK11" i="1"/>
  <c r="AO11" i="6" s="1"/>
  <c r="BK6" i="1"/>
  <c r="AO6" i="6" s="1"/>
  <c r="BK7" i="1"/>
  <c r="AO7" i="6" s="1"/>
  <c r="BH8" i="1"/>
  <c r="V8" i="7" s="1"/>
  <c r="AX11" i="1"/>
  <c r="AG11" i="6" s="1"/>
  <c r="AV8" i="1"/>
  <c r="AU5" i="1"/>
  <c r="AX10" i="1"/>
  <c r="AG10" i="6" s="1"/>
  <c r="AX8" i="1"/>
  <c r="AG8" i="6" s="1"/>
  <c r="AU8" i="1"/>
  <c r="R8" i="7" s="1"/>
  <c r="AE5" i="6"/>
  <c r="AX5" i="1"/>
  <c r="AG5" i="6" s="1"/>
  <c r="V6" i="6"/>
  <c r="W6" i="6"/>
  <c r="AI6" i="1"/>
  <c r="AK6" i="1"/>
  <c r="AH6" i="1"/>
  <c r="AK11" i="1"/>
  <c r="Y11" i="6" s="1"/>
  <c r="AK10" i="1"/>
  <c r="Y10" i="6" s="1"/>
  <c r="AH7" i="1"/>
  <c r="N7" i="7" s="1"/>
  <c r="X11" i="1"/>
  <c r="Q11" i="6" s="1"/>
  <c r="U5" i="1"/>
  <c r="V5" i="1"/>
  <c r="O5" i="6"/>
  <c r="X5" i="1"/>
  <c r="Q5" i="6" s="1"/>
  <c r="X10" i="1"/>
  <c r="Q10" i="6" s="1"/>
  <c r="U7" i="1"/>
  <c r="V7" i="1"/>
  <c r="X7" i="1"/>
  <c r="Q7" i="6" s="1"/>
  <c r="X6" i="1"/>
  <c r="Q6" i="6" s="1"/>
  <c r="O6" i="6"/>
  <c r="V6" i="1"/>
  <c r="U6" i="1"/>
  <c r="S5" i="6"/>
  <c r="I5" i="1"/>
  <c r="K5" i="1"/>
  <c r="I5" i="6" s="1"/>
  <c r="G5" i="6"/>
  <c r="K11" i="1"/>
  <c r="I11" i="6" s="1"/>
  <c r="K7" i="1"/>
  <c r="I7" i="6" s="1"/>
  <c r="I7" i="1"/>
  <c r="H7" i="1"/>
  <c r="F7" i="7" s="1"/>
  <c r="K8" i="1"/>
  <c r="I8" i="6" s="1"/>
  <c r="H8" i="1"/>
  <c r="F8" i="7" s="1"/>
  <c r="I8" i="1"/>
  <c r="K9" i="1"/>
  <c r="I9" i="6" s="1"/>
  <c r="G6" i="6"/>
  <c r="L50" i="1"/>
  <c r="I6" i="1"/>
  <c r="AA6" i="6"/>
  <c r="S6" i="6"/>
  <c r="K5" i="6"/>
  <c r="AQ5" i="6"/>
  <c r="AI5" i="6"/>
  <c r="AY6" i="6"/>
  <c r="AY5" i="6"/>
  <c r="AD34" i="7" l="1"/>
  <c r="CP34" i="1"/>
  <c r="AF34" i="7" s="1"/>
  <c r="CI9" i="1"/>
  <c r="CQ9" i="1" s="1"/>
  <c r="BI9" i="1"/>
  <c r="BQ9" i="1" s="1"/>
  <c r="AH9" i="1"/>
  <c r="V9" i="1"/>
  <c r="AD9" i="1" s="1"/>
  <c r="U9" i="1"/>
  <c r="H9" i="1"/>
  <c r="I9" i="1"/>
  <c r="Q9" i="1" s="1"/>
  <c r="AZ6" i="6"/>
  <c r="AA6" i="7"/>
  <c r="AP46" i="1"/>
  <c r="P46" i="7" s="1"/>
  <c r="AD46" i="1"/>
  <c r="AC45" i="1"/>
  <c r="L45" i="7" s="1"/>
  <c r="BP43" i="1"/>
  <c r="X43" i="7" s="1"/>
  <c r="AP43" i="1"/>
  <c r="P43" i="7" s="1"/>
  <c r="BP42" i="1"/>
  <c r="X42" i="7" s="1"/>
  <c r="AP39" i="1"/>
  <c r="P39" i="7" s="1"/>
  <c r="CC38" i="1"/>
  <c r="AB38" i="7" s="1"/>
  <c r="CP36" i="1"/>
  <c r="AF36" i="7" s="1"/>
  <c r="CD48" i="1"/>
  <c r="BD42" i="1"/>
  <c r="CD49" i="1"/>
  <c r="Q40" i="1"/>
  <c r="CD40" i="1"/>
  <c r="Q34" i="1"/>
  <c r="AD42" i="1"/>
  <c r="BQ49" i="1"/>
  <c r="AD43" i="1"/>
  <c r="BQ48" i="1"/>
  <c r="Q39" i="1"/>
  <c r="BD44" i="1"/>
  <c r="BD43" i="1"/>
  <c r="BC44" i="1"/>
  <c r="T44" i="7" s="1"/>
  <c r="Q44" i="1"/>
  <c r="BD49" i="1"/>
  <c r="BQ44" i="1"/>
  <c r="CD37" i="1"/>
  <c r="AZ34" i="6"/>
  <c r="AA34" i="7"/>
  <c r="K34" i="7"/>
  <c r="T34" i="6"/>
  <c r="G32" i="7"/>
  <c r="L32" i="6"/>
  <c r="AR31" i="6"/>
  <c r="W31" i="7"/>
  <c r="K30" i="7"/>
  <c r="T30" i="6"/>
  <c r="CD38" i="1"/>
  <c r="AQ38" i="1"/>
  <c r="AQ36" i="1"/>
  <c r="BD36" i="1"/>
  <c r="CD43" i="1"/>
  <c r="CQ42" i="1"/>
  <c r="CQ39" i="1"/>
  <c r="BD48" i="1"/>
  <c r="BD37" i="1"/>
  <c r="BP33" i="1"/>
  <c r="X33" i="7" s="1"/>
  <c r="BD41" i="1"/>
  <c r="BQ38" i="1"/>
  <c r="BD38" i="1"/>
  <c r="BC38" i="1"/>
  <c r="T38" i="7" s="1"/>
  <c r="CQ49" i="1"/>
  <c r="AQ44" i="1"/>
  <c r="BQ45" i="1"/>
  <c r="BP45" i="1"/>
  <c r="X45" i="7" s="1"/>
  <c r="BQ46" i="1"/>
  <c r="CQ44" i="1"/>
  <c r="BD47" i="1"/>
  <c r="BC47" i="1"/>
  <c r="T47" i="7" s="1"/>
  <c r="CQ48" i="1"/>
  <c r="CD46" i="1"/>
  <c r="CC46" i="1"/>
  <c r="AB46" i="7" s="1"/>
  <c r="AQ37" i="1"/>
  <c r="CD39" i="1"/>
  <c r="BP38" i="1"/>
  <c r="X38" i="7" s="1"/>
  <c r="AD36" i="1"/>
  <c r="BC42" i="1"/>
  <c r="T42" i="7" s="1"/>
  <c r="BQ43" i="1"/>
  <c r="BD45" i="1"/>
  <c r="AD34" i="1"/>
  <c r="CQ45" i="1"/>
  <c r="BQ31" i="1"/>
  <c r="BQ33" i="1"/>
  <c r="CQ40" i="1"/>
  <c r="AQ49" i="1"/>
  <c r="CQ47" i="1"/>
  <c r="CP47" i="1"/>
  <c r="AF47" i="7" s="1"/>
  <c r="Q36" i="1"/>
  <c r="CQ43" i="1"/>
  <c r="CP43" i="1"/>
  <c r="AF43" i="7" s="1"/>
  <c r="AD44" i="1"/>
  <c r="CD41" i="1"/>
  <c r="CQ46" i="1"/>
  <c r="AQ47" i="1"/>
  <c r="Q32" i="1"/>
  <c r="CD34" i="1"/>
  <c r="CQ37" i="1"/>
  <c r="BQ42" i="1"/>
  <c r="AQ48" i="1"/>
  <c r="BC40" i="1"/>
  <c r="T40" i="7" s="1"/>
  <c r="AD49" i="1"/>
  <c r="AC42" i="1"/>
  <c r="L42" i="7" s="1"/>
  <c r="AQ41" i="1"/>
  <c r="AP41" i="1"/>
  <c r="P41" i="7" s="1"/>
  <c r="W14" i="7"/>
  <c r="AR14" i="6"/>
  <c r="AR15" i="6"/>
  <c r="W15" i="7"/>
  <c r="K16" i="7"/>
  <c r="T16" i="6"/>
  <c r="L24" i="6"/>
  <c r="G24" i="7"/>
  <c r="BH49" i="6"/>
  <c r="AE49" i="7"/>
  <c r="AZ49" i="6"/>
  <c r="AA49" i="7"/>
  <c r="AR49" i="6"/>
  <c r="W49" i="7"/>
  <c r="AJ49" i="6"/>
  <c r="S49" i="7"/>
  <c r="AB49" i="6"/>
  <c r="O49" i="7"/>
  <c r="T49" i="6"/>
  <c r="K49" i="7"/>
  <c r="L49" i="6"/>
  <c r="G49" i="7"/>
  <c r="BH48" i="6"/>
  <c r="AE48" i="7"/>
  <c r="AZ48" i="6"/>
  <c r="AA48" i="7"/>
  <c r="AR48" i="6"/>
  <c r="W48" i="7"/>
  <c r="AJ48" i="6"/>
  <c r="S48" i="7"/>
  <c r="AB48" i="6"/>
  <c r="O48" i="7"/>
  <c r="T48" i="6"/>
  <c r="K48" i="7"/>
  <c r="G48" i="7"/>
  <c r="L48" i="6"/>
  <c r="AE47" i="7"/>
  <c r="BH47" i="6"/>
  <c r="AZ47" i="6"/>
  <c r="AA47" i="7"/>
  <c r="AR47" i="6"/>
  <c r="W47" i="7"/>
  <c r="AJ47" i="6"/>
  <c r="S47" i="7"/>
  <c r="AB47" i="6"/>
  <c r="O47" i="7"/>
  <c r="T47" i="6"/>
  <c r="K47" i="7"/>
  <c r="L47" i="6"/>
  <c r="G47" i="7"/>
  <c r="AE46" i="7"/>
  <c r="BH46" i="6"/>
  <c r="AA46" i="7"/>
  <c r="AZ46" i="6"/>
  <c r="W46" i="7"/>
  <c r="AR46" i="6"/>
  <c r="AJ46" i="6"/>
  <c r="S46" i="7"/>
  <c r="AB46" i="6"/>
  <c r="O46" i="7"/>
  <c r="T46" i="6"/>
  <c r="K46" i="7"/>
  <c r="L46" i="6"/>
  <c r="G46" i="7"/>
  <c r="BH45" i="6"/>
  <c r="AE45" i="7"/>
  <c r="AZ45" i="6"/>
  <c r="AA45" i="7"/>
  <c r="AR45" i="6"/>
  <c r="W45" i="7"/>
  <c r="AJ45" i="6"/>
  <c r="S45" i="7"/>
  <c r="AB45" i="6"/>
  <c r="O45" i="7"/>
  <c r="T45" i="6"/>
  <c r="K45" i="7"/>
  <c r="L45" i="6"/>
  <c r="G45" i="7"/>
  <c r="BH44" i="6"/>
  <c r="AE44" i="7"/>
  <c r="AZ44" i="6"/>
  <c r="AA44" i="7"/>
  <c r="AR44" i="6"/>
  <c r="W44" i="7"/>
  <c r="AJ44" i="6"/>
  <c r="S44" i="7"/>
  <c r="AB44" i="6"/>
  <c r="O44" i="7"/>
  <c r="T44" i="6"/>
  <c r="K44" i="7"/>
  <c r="L44" i="6"/>
  <c r="G44" i="7"/>
  <c r="BH43" i="6"/>
  <c r="AE43" i="7"/>
  <c r="AZ43" i="6"/>
  <c r="AA43" i="7"/>
  <c r="AR43" i="6"/>
  <c r="W43" i="7"/>
  <c r="AJ43" i="6"/>
  <c r="S43" i="7"/>
  <c r="AB43" i="6"/>
  <c r="O43" i="7"/>
  <c r="K43" i="7"/>
  <c r="T43" i="6"/>
  <c r="L43" i="6"/>
  <c r="G43" i="7"/>
  <c r="AE42" i="7"/>
  <c r="BH42" i="6"/>
  <c r="AZ42" i="6"/>
  <c r="AA42" i="7"/>
  <c r="AR42" i="6"/>
  <c r="W42" i="7"/>
  <c r="S42" i="7"/>
  <c r="AJ42" i="6"/>
  <c r="AB42" i="6"/>
  <c r="O42" i="7"/>
  <c r="K42" i="7"/>
  <c r="T42" i="6"/>
  <c r="L42" i="6"/>
  <c r="G42" i="7"/>
  <c r="BH41" i="6"/>
  <c r="AE41" i="7"/>
  <c r="AA41" i="7"/>
  <c r="AZ41" i="6"/>
  <c r="AR41" i="6"/>
  <c r="W41" i="7"/>
  <c r="AJ41" i="6"/>
  <c r="S41" i="7"/>
  <c r="O41" i="7"/>
  <c r="AB41" i="6"/>
  <c r="T41" i="6"/>
  <c r="K41" i="7"/>
  <c r="L41" i="6"/>
  <c r="G41" i="7"/>
  <c r="AE40" i="7"/>
  <c r="BH40" i="6"/>
  <c r="AZ40" i="6"/>
  <c r="AA40" i="7"/>
  <c r="W40" i="7"/>
  <c r="AR40" i="6"/>
  <c r="AJ40" i="6"/>
  <c r="S40" i="7"/>
  <c r="AB40" i="6"/>
  <c r="O40" i="7"/>
  <c r="K40" i="7"/>
  <c r="T40" i="6"/>
  <c r="L40" i="6"/>
  <c r="G40" i="7"/>
  <c r="BH39" i="6"/>
  <c r="AE39" i="7"/>
  <c r="AZ39" i="6"/>
  <c r="AA39" i="7"/>
  <c r="AR39" i="6"/>
  <c r="W39" i="7"/>
  <c r="AJ39" i="6"/>
  <c r="S39" i="7"/>
  <c r="O39" i="7"/>
  <c r="AB39" i="6"/>
  <c r="K39" i="7"/>
  <c r="T39" i="6"/>
  <c r="L39" i="6"/>
  <c r="G39" i="7"/>
  <c r="AE38" i="7"/>
  <c r="BH38" i="6"/>
  <c r="AZ38" i="6"/>
  <c r="AA38" i="7"/>
  <c r="W38" i="7"/>
  <c r="AR38" i="6"/>
  <c r="AJ38" i="6"/>
  <c r="S38" i="7"/>
  <c r="O38" i="7"/>
  <c r="AB38" i="6"/>
  <c r="T38" i="6"/>
  <c r="K38" i="7"/>
  <c r="L38" i="6"/>
  <c r="G38" i="7"/>
  <c r="AE37" i="7"/>
  <c r="BH37" i="6"/>
  <c r="AZ37" i="6"/>
  <c r="AA37" i="7"/>
  <c r="AR37" i="6"/>
  <c r="W37" i="7"/>
  <c r="AJ37" i="6"/>
  <c r="S37" i="7"/>
  <c r="AB37" i="6"/>
  <c r="O37" i="7"/>
  <c r="K37" i="7"/>
  <c r="T37" i="6"/>
  <c r="L37" i="6"/>
  <c r="G37" i="7"/>
  <c r="BH36" i="6"/>
  <c r="AE36" i="7"/>
  <c r="AZ36" i="6"/>
  <c r="AA36" i="7"/>
  <c r="AR36" i="6"/>
  <c r="W36" i="7"/>
  <c r="S36" i="7"/>
  <c r="AJ36" i="6"/>
  <c r="AB36" i="6"/>
  <c r="O36" i="7"/>
  <c r="T36" i="6"/>
  <c r="K36" i="7"/>
  <c r="L36" i="6"/>
  <c r="G36" i="7"/>
  <c r="L34" i="6"/>
  <c r="G34" i="7"/>
  <c r="AR33" i="6"/>
  <c r="W33" i="7"/>
  <c r="AD39" i="1"/>
  <c r="Q47" i="1"/>
  <c r="Q46" i="1"/>
  <c r="AD38" i="1"/>
  <c r="Q49" i="1"/>
  <c r="BP37" i="1"/>
  <c r="X37" i="7" s="1"/>
  <c r="AC38" i="1"/>
  <c r="L38" i="7" s="1"/>
  <c r="BQ41" i="1"/>
  <c r="CQ38" i="1"/>
  <c r="AQ40" i="1"/>
  <c r="BQ37" i="1"/>
  <c r="AQ43" i="1"/>
  <c r="CQ35" i="1"/>
  <c r="Q45" i="1"/>
  <c r="AQ34" i="1"/>
  <c r="AD45" i="1"/>
  <c r="CC36" i="1"/>
  <c r="AB36" i="7" s="1"/>
  <c r="CD36" i="1"/>
  <c r="AD37" i="1"/>
  <c r="AD41" i="1"/>
  <c r="AC41" i="1"/>
  <c r="L41" i="7" s="1"/>
  <c r="CQ41" i="1"/>
  <c r="CP41" i="1"/>
  <c r="AF41" i="7" s="1"/>
  <c r="AD35" i="1"/>
  <c r="AQ31" i="1"/>
  <c r="BD35" i="1"/>
  <c r="BQ36" i="1"/>
  <c r="BD39" i="1"/>
  <c r="Q43" i="1"/>
  <c r="AD48" i="1"/>
  <c r="Q37" i="1"/>
  <c r="AQ42" i="1"/>
  <c r="BQ47" i="1"/>
  <c r="BQ39" i="1"/>
  <c r="BD31" i="1"/>
  <c r="Q33" i="1"/>
  <c r="BD46" i="1"/>
  <c r="BC46" i="1"/>
  <c r="T46" i="7" s="1"/>
  <c r="AD47" i="1"/>
  <c r="CD47" i="1"/>
  <c r="AQ45" i="1"/>
  <c r="CD45" i="1"/>
  <c r="Q38" i="1"/>
  <c r="BP41" i="1"/>
  <c r="X41" i="7" s="1"/>
  <c r="Q48" i="1"/>
  <c r="Q41" i="1"/>
  <c r="BQ34" i="1"/>
  <c r="CD42" i="1"/>
  <c r="AA28" i="7"/>
  <c r="AZ28" i="6"/>
  <c r="Z37" i="7"/>
  <c r="CC37" i="1"/>
  <c r="AB37" i="7" s="1"/>
  <c r="AJ41" i="1"/>
  <c r="X41" i="6" s="1"/>
  <c r="AL41" i="1"/>
  <c r="Z41" i="6" s="1"/>
  <c r="R43" i="7"/>
  <c r="BC43" i="1"/>
  <c r="T43" i="7" s="1"/>
  <c r="F48" i="7"/>
  <c r="P48" i="1"/>
  <c r="H48" i="7" s="1"/>
  <c r="CJ32" i="1"/>
  <c r="BD32" i="6" s="1"/>
  <c r="P42" i="1"/>
  <c r="H42" i="7" s="1"/>
  <c r="BW40" i="1"/>
  <c r="AV40" i="6" s="1"/>
  <c r="CL44" i="1"/>
  <c r="BF44" i="6" s="1"/>
  <c r="BJ40" i="1"/>
  <c r="AN40" i="6" s="1"/>
  <c r="AJ39" i="1"/>
  <c r="X39" i="6" s="1"/>
  <c r="CC40" i="1"/>
  <c r="AB40" i="7" s="1"/>
  <c r="BP40" i="1"/>
  <c r="X40" i="7" s="1"/>
  <c r="AY32" i="1"/>
  <c r="AH32" i="6" s="1"/>
  <c r="BY32" i="1"/>
  <c r="AX32" i="6" s="1"/>
  <c r="AC40" i="1"/>
  <c r="L40" i="7" s="1"/>
  <c r="BY37" i="1"/>
  <c r="AX37" i="6" s="1"/>
  <c r="J40" i="1"/>
  <c r="H40" i="6" s="1"/>
  <c r="BC36" i="1"/>
  <c r="T36" i="7" s="1"/>
  <c r="CP44" i="1"/>
  <c r="AF44" i="7" s="1"/>
  <c r="L44" i="1"/>
  <c r="J44" i="6" s="1"/>
  <c r="W31" i="1"/>
  <c r="P31" i="6" s="1"/>
  <c r="AW43" i="1"/>
  <c r="AF43" i="6" s="1"/>
  <c r="Y38" i="1"/>
  <c r="R38" i="6" s="1"/>
  <c r="AP36" i="1"/>
  <c r="P36" i="7" s="1"/>
  <c r="AW32" i="1"/>
  <c r="AF32" i="6" s="1"/>
  <c r="AD32" i="1"/>
  <c r="CV32" i="1"/>
  <c r="AK32" i="7" s="1"/>
  <c r="CP31" i="1"/>
  <c r="AF31" i="7" s="1"/>
  <c r="BL32" i="1"/>
  <c r="AP32" i="6" s="1"/>
  <c r="BC49" i="1"/>
  <c r="T49" i="7" s="1"/>
  <c r="BY44" i="1"/>
  <c r="AX44" i="6" s="1"/>
  <c r="R32" i="7"/>
  <c r="CC44" i="1"/>
  <c r="AB44" i="7" s="1"/>
  <c r="W38" i="1"/>
  <c r="P38" i="6" s="1"/>
  <c r="P40" i="1"/>
  <c r="H40" i="7" s="1"/>
  <c r="J42" i="1"/>
  <c r="H42" i="6" s="1"/>
  <c r="CD6" i="1"/>
  <c r="CP39" i="1"/>
  <c r="AF39" i="7" s="1"/>
  <c r="AL37" i="1"/>
  <c r="Z37" i="6" s="1"/>
  <c r="P47" i="1"/>
  <c r="H47" i="7" s="1"/>
  <c r="BD8" i="1"/>
  <c r="CL34" i="1"/>
  <c r="BF34" i="6" s="1"/>
  <c r="J38" i="7"/>
  <c r="AY44" i="1"/>
  <c r="AH44" i="6" s="1"/>
  <c r="P39" i="1"/>
  <c r="H39" i="7" s="1"/>
  <c r="AJ46" i="1"/>
  <c r="X46" i="6" s="1"/>
  <c r="CL38" i="1"/>
  <c r="BF38" i="6" s="1"/>
  <c r="V37" i="7"/>
  <c r="J39" i="1"/>
  <c r="H39" i="6" s="1"/>
  <c r="AW36" i="1"/>
  <c r="AF36" i="6" s="1"/>
  <c r="BJ42" i="1"/>
  <c r="AN42" i="6" s="1"/>
  <c r="BJ32" i="1"/>
  <c r="AN32" i="6" s="1"/>
  <c r="T6" i="6"/>
  <c r="AC6" i="1"/>
  <c r="L6" i="7" s="1"/>
  <c r="BW31" i="1"/>
  <c r="AV31" i="6" s="1"/>
  <c r="AD6" i="1"/>
  <c r="AP31" i="1"/>
  <c r="P31" i="7" s="1"/>
  <c r="AW49" i="1"/>
  <c r="AF49" i="6" s="1"/>
  <c r="CP32" i="1"/>
  <c r="AF32" i="7" s="1"/>
  <c r="BP32" i="1"/>
  <c r="X32" i="7" s="1"/>
  <c r="CC43" i="1"/>
  <c r="AB43" i="7" s="1"/>
  <c r="CL32" i="1"/>
  <c r="BF32" i="6" s="1"/>
  <c r="AP42" i="1"/>
  <c r="P42" i="7" s="1"/>
  <c r="BK32" i="6"/>
  <c r="BC6" i="1"/>
  <c r="T6" i="7" s="1"/>
  <c r="CP46" i="1"/>
  <c r="AF46" i="7" s="1"/>
  <c r="L34" i="1"/>
  <c r="J34" i="6" s="1"/>
  <c r="AL38" i="1"/>
  <c r="Z38" i="6" s="1"/>
  <c r="AW44" i="1"/>
  <c r="AF44" i="6" s="1"/>
  <c r="R44" i="7"/>
  <c r="BW43" i="1"/>
  <c r="AV43" i="6" s="1"/>
  <c r="CV37" i="1"/>
  <c r="AK37" i="7" s="1"/>
  <c r="AD31" i="1"/>
  <c r="AP37" i="1"/>
  <c r="P37" i="7" s="1"/>
  <c r="BD33" i="1"/>
  <c r="AB31" i="6"/>
  <c r="O31" i="7"/>
  <c r="AJ33" i="6"/>
  <c r="S33" i="7"/>
  <c r="BH33" i="6"/>
  <c r="AE33" i="7"/>
  <c r="T35" i="6"/>
  <c r="K35" i="7"/>
  <c r="CQ33" i="1"/>
  <c r="Y37" i="1"/>
  <c r="R37" i="6" s="1"/>
  <c r="L38" i="1"/>
  <c r="J38" i="6" s="1"/>
  <c r="V32" i="7"/>
  <c r="S32" i="7"/>
  <c r="AJ32" i="6"/>
  <c r="AJ36" i="1"/>
  <c r="X36" i="6" s="1"/>
  <c r="AE35" i="7"/>
  <c r="BH35" i="6"/>
  <c r="O34" i="7"/>
  <c r="AB34" i="6"/>
  <c r="CD8" i="1"/>
  <c r="P44" i="1"/>
  <c r="H44" i="7" s="1"/>
  <c r="BJ37" i="1"/>
  <c r="AN37" i="6" s="1"/>
  <c r="S31" i="7"/>
  <c r="AJ31" i="6"/>
  <c r="W34" i="7"/>
  <c r="AR34" i="6"/>
  <c r="CJ46" i="1"/>
  <c r="BD46" i="6" s="1"/>
  <c r="BW37" i="1"/>
  <c r="AV37" i="6" s="1"/>
  <c r="AJ35" i="6"/>
  <c r="S35" i="7"/>
  <c r="K32" i="7"/>
  <c r="T32" i="6"/>
  <c r="CQ36" i="1"/>
  <c r="Q42" i="1"/>
  <c r="L33" i="6"/>
  <c r="G33" i="7"/>
  <c r="CC34" i="1"/>
  <c r="AB34" i="7" s="1"/>
  <c r="AI9" i="1"/>
  <c r="BH9" i="1"/>
  <c r="AQ8" i="1"/>
  <c r="AQ46" i="1"/>
  <c r="AC31" i="1"/>
  <c r="L31" i="7" s="1"/>
  <c r="BC34" i="1"/>
  <c r="T34" i="7" s="1"/>
  <c r="G8" i="7"/>
  <c r="L8" i="6"/>
  <c r="AI39" i="7"/>
  <c r="BK39" i="6"/>
  <c r="CC45" i="1"/>
  <c r="AB45" i="7" s="1"/>
  <c r="Z45" i="7"/>
  <c r="W36" i="1"/>
  <c r="P36" i="6" s="1"/>
  <c r="J36" i="7"/>
  <c r="S23" i="7"/>
  <c r="AJ23" i="6"/>
  <c r="O20" i="7"/>
  <c r="AB20" i="6"/>
  <c r="B9" i="6"/>
  <c r="B9" i="7"/>
  <c r="B10" i="1"/>
  <c r="AZ21" i="6"/>
  <c r="AA21" i="7"/>
  <c r="L20" i="6"/>
  <c r="G20" i="7"/>
  <c r="AA17" i="7"/>
  <c r="AZ17" i="6"/>
  <c r="CJ35" i="1"/>
  <c r="BD35" i="6" s="1"/>
  <c r="AD35" i="7"/>
  <c r="W11" i="7"/>
  <c r="AR11" i="6"/>
  <c r="BJ49" i="1"/>
  <c r="AN49" i="6" s="1"/>
  <c r="V49" i="7"/>
  <c r="BH8" i="6"/>
  <c r="AE8" i="7"/>
  <c r="CQ34" i="1"/>
  <c r="CV33" i="1"/>
  <c r="BK33" i="6"/>
  <c r="AI33" i="7"/>
  <c r="J45" i="1"/>
  <c r="H45" i="6" s="1"/>
  <c r="F45" i="7"/>
  <c r="W12" i="7"/>
  <c r="AR12" i="6"/>
  <c r="W23" i="7"/>
  <c r="AR23" i="6"/>
  <c r="AR24" i="6"/>
  <c r="W24" i="7"/>
  <c r="O14" i="7"/>
  <c r="AB14" i="6"/>
  <c r="W43" i="1"/>
  <c r="P43" i="6" s="1"/>
  <c r="J43" i="7"/>
  <c r="O7" i="7"/>
  <c r="AB7" i="6"/>
  <c r="G11" i="7"/>
  <c r="L11" i="6"/>
  <c r="AY38" i="1"/>
  <c r="AH38" i="6" s="1"/>
  <c r="AL32" i="1"/>
  <c r="Z32" i="6" s="1"/>
  <c r="Y31" i="1"/>
  <c r="R31" i="6" s="1"/>
  <c r="O21" i="7"/>
  <c r="AB21" i="6"/>
  <c r="G15" i="7"/>
  <c r="L15" i="6"/>
  <c r="T22" i="6"/>
  <c r="K22" i="7"/>
  <c r="S19" i="7"/>
  <c r="AJ19" i="6"/>
  <c r="AA15" i="7"/>
  <c r="AZ15" i="6"/>
  <c r="G16" i="7"/>
  <c r="L16" i="6"/>
  <c r="BH7" i="6"/>
  <c r="AE7" i="7"/>
  <c r="AC44" i="1"/>
  <c r="L44" i="7" s="1"/>
  <c r="BJ46" i="1"/>
  <c r="AN46" i="6" s="1"/>
  <c r="V46" i="7"/>
  <c r="AW37" i="1"/>
  <c r="AF37" i="6" s="1"/>
  <c r="R37" i="7"/>
  <c r="AE26" i="7"/>
  <c r="BH26" i="6"/>
  <c r="AJ25" i="6"/>
  <c r="S25" i="7"/>
  <c r="W22" i="7"/>
  <c r="AR22" i="6"/>
  <c r="BM44" i="6"/>
  <c r="AK44" i="7"/>
  <c r="BW39" i="1"/>
  <c r="AV39" i="6" s="1"/>
  <c r="Z39" i="7"/>
  <c r="G30" i="7"/>
  <c r="L30" i="6"/>
  <c r="G29" i="7"/>
  <c r="L29" i="6"/>
  <c r="AE25" i="7"/>
  <c r="BH25" i="6"/>
  <c r="O23" i="7"/>
  <c r="AB23" i="6"/>
  <c r="L26" i="6"/>
  <c r="G26" i="7"/>
  <c r="O28" i="7"/>
  <c r="AB28" i="6"/>
  <c r="G21" i="7"/>
  <c r="L21" i="6"/>
  <c r="BK36" i="6"/>
  <c r="AI36" i="7"/>
  <c r="O29" i="7"/>
  <c r="AB29" i="6"/>
  <c r="O12" i="7"/>
  <c r="AB12" i="6"/>
  <c r="O18" i="7"/>
  <c r="AB18" i="6"/>
  <c r="K7" i="7"/>
  <c r="T7" i="6"/>
  <c r="G9" i="7"/>
  <c r="L9" i="6"/>
  <c r="W45" i="1"/>
  <c r="P45" i="6" s="1"/>
  <c r="J45" i="7"/>
  <c r="AK38" i="7"/>
  <c r="BM38" i="6"/>
  <c r="AC7" i="1"/>
  <c r="L7" i="7" s="1"/>
  <c r="J7" i="7"/>
  <c r="O11" i="7"/>
  <c r="AB11" i="6"/>
  <c r="K10" i="7"/>
  <c r="T10" i="6"/>
  <c r="AW48" i="1"/>
  <c r="AF48" i="6" s="1"/>
  <c r="R48" i="7"/>
  <c r="K28" i="7"/>
  <c r="T28" i="6"/>
  <c r="AE22" i="7"/>
  <c r="BH22" i="6"/>
  <c r="W18" i="7"/>
  <c r="AR18" i="6"/>
  <c r="K29" i="7"/>
  <c r="T29" i="6"/>
  <c r="S16" i="7"/>
  <c r="AJ16" i="6"/>
  <c r="AJ33" i="1"/>
  <c r="X33" i="6" s="1"/>
  <c r="N33" i="7"/>
  <c r="BW35" i="1"/>
  <c r="AV35" i="6" s="1"/>
  <c r="Z35" i="7"/>
  <c r="S10" i="7"/>
  <c r="AJ10" i="6"/>
  <c r="CJ38" i="1"/>
  <c r="BD38" i="6" s="1"/>
  <c r="AD38" i="7"/>
  <c r="AD7" i="1"/>
  <c r="K11" i="7"/>
  <c r="T11" i="6"/>
  <c r="BH10" i="6"/>
  <c r="AE10" i="7"/>
  <c r="CJ37" i="1"/>
  <c r="BD37" i="6" s="1"/>
  <c r="AD37" i="7"/>
  <c r="AQ39" i="1"/>
  <c r="AI44" i="7"/>
  <c r="BK44" i="6"/>
  <c r="Q8" i="1"/>
  <c r="AJ9" i="6"/>
  <c r="S9" i="7"/>
  <c r="L7" i="6"/>
  <c r="G7" i="7"/>
  <c r="BC31" i="1"/>
  <c r="T31" i="7" s="1"/>
  <c r="R31" i="7"/>
  <c r="CJ49" i="1"/>
  <c r="BD49" i="6" s="1"/>
  <c r="AD49" i="7"/>
  <c r="BK45" i="6"/>
  <c r="AI45" i="7"/>
  <c r="P35" i="1"/>
  <c r="H35" i="7" s="1"/>
  <c r="AW33" i="1"/>
  <c r="AF33" i="6" s="1"/>
  <c r="R33" i="7"/>
  <c r="BC41" i="1"/>
  <c r="T41" i="7" s="1"/>
  <c r="R41" i="7"/>
  <c r="CL31" i="1"/>
  <c r="BF31" i="6" s="1"/>
  <c r="AI41" i="7"/>
  <c r="BK41" i="6"/>
  <c r="W30" i="7"/>
  <c r="AR30" i="6"/>
  <c r="K24" i="7"/>
  <c r="T24" i="6"/>
  <c r="K13" i="7"/>
  <c r="T13" i="6"/>
  <c r="CL41" i="1"/>
  <c r="BF41" i="6" s="1"/>
  <c r="AD41" i="7"/>
  <c r="S7" i="7"/>
  <c r="AJ7" i="6"/>
  <c r="AI40" i="7"/>
  <c r="BK40" i="6"/>
  <c r="L32" i="1"/>
  <c r="J32" i="6" s="1"/>
  <c r="AC36" i="1"/>
  <c r="L36" i="7" s="1"/>
  <c r="J47" i="1"/>
  <c r="H47" i="6" s="1"/>
  <c r="BJ45" i="1"/>
  <c r="AN45" i="6" s="1"/>
  <c r="V45" i="7"/>
  <c r="P32" i="1"/>
  <c r="H32" i="7" s="1"/>
  <c r="W21" i="7"/>
  <c r="AR21" i="6"/>
  <c r="AJ28" i="6"/>
  <c r="S28" i="7"/>
  <c r="AR16" i="6"/>
  <c r="W16" i="7"/>
  <c r="K17" i="7"/>
  <c r="T17" i="6"/>
  <c r="O27" i="7"/>
  <c r="AB27" i="6"/>
  <c r="AB25" i="6"/>
  <c r="O25" i="7"/>
  <c r="BW32" i="1"/>
  <c r="AV32" i="6" s="1"/>
  <c r="Z32" i="7"/>
  <c r="BJ44" i="1"/>
  <c r="AN44" i="6" s="1"/>
  <c r="V44" i="7"/>
  <c r="AC49" i="1"/>
  <c r="L49" i="7" s="1"/>
  <c r="AJ9" i="7"/>
  <c r="CU10" i="1"/>
  <c r="BL9" i="6"/>
  <c r="G28" i="7"/>
  <c r="L28" i="6"/>
  <c r="W13" i="7"/>
  <c r="AR13" i="6"/>
  <c r="AE13" i="7"/>
  <c r="BH13" i="6"/>
  <c r="AE15" i="7"/>
  <c r="BH15" i="6"/>
  <c r="K8" i="7"/>
  <c r="T8" i="6"/>
  <c r="AI48" i="7"/>
  <c r="BK48" i="6"/>
  <c r="J34" i="1"/>
  <c r="H34" i="6" s="1"/>
  <c r="F34" i="7"/>
  <c r="S11" i="7"/>
  <c r="AJ11" i="6"/>
  <c r="AA9" i="7"/>
  <c r="AZ9" i="6"/>
  <c r="CV48" i="1"/>
  <c r="W46" i="1"/>
  <c r="P46" i="6" s="1"/>
  <c r="J46" i="7"/>
  <c r="CD44" i="1"/>
  <c r="W9" i="7"/>
  <c r="AR9" i="6"/>
  <c r="BK43" i="6"/>
  <c r="AI43" i="7"/>
  <c r="CP49" i="1"/>
  <c r="AF49" i="7" s="1"/>
  <c r="AP48" i="1"/>
  <c r="P48" i="7" s="1"/>
  <c r="CJ44" i="1"/>
  <c r="BD44" i="6" s="1"/>
  <c r="AD44" i="7"/>
  <c r="CJ34" i="1"/>
  <c r="BD34" i="6" s="1"/>
  <c r="K12" i="7"/>
  <c r="T12" i="6"/>
  <c r="AE17" i="7"/>
  <c r="BH17" i="6"/>
  <c r="S12" i="7"/>
  <c r="AJ12" i="6"/>
  <c r="S18" i="7"/>
  <c r="AJ18" i="6"/>
  <c r="O19" i="7"/>
  <c r="AB19" i="6"/>
  <c r="W48" i="1"/>
  <c r="P48" i="6" s="1"/>
  <c r="J48" i="7"/>
  <c r="AI46" i="7"/>
  <c r="BK46" i="6"/>
  <c r="AZ11" i="6"/>
  <c r="AA11" i="7"/>
  <c r="K9" i="7"/>
  <c r="T9" i="6"/>
  <c r="BW49" i="1"/>
  <c r="AV49" i="6" s="1"/>
  <c r="Z49" i="7"/>
  <c r="BJ48" i="1"/>
  <c r="AN48" i="6" s="1"/>
  <c r="V48" i="7"/>
  <c r="CJ40" i="1"/>
  <c r="BD40" i="6" s="1"/>
  <c r="AD40" i="7"/>
  <c r="CJ42" i="1"/>
  <c r="BD42" i="6" s="1"/>
  <c r="AD42" i="7"/>
  <c r="AI42" i="7"/>
  <c r="BK42" i="6"/>
  <c r="CV40" i="1"/>
  <c r="BP35" i="1"/>
  <c r="X35" i="7" s="1"/>
  <c r="W34" i="1"/>
  <c r="P34" i="6" s="1"/>
  <c r="J34" i="7"/>
  <c r="BJ43" i="1"/>
  <c r="AN43" i="6" s="1"/>
  <c r="V43" i="7"/>
  <c r="AW47" i="1"/>
  <c r="AF47" i="6" s="1"/>
  <c r="R47" i="7"/>
  <c r="BK31" i="6"/>
  <c r="AI31" i="7"/>
  <c r="CV31" i="1"/>
  <c r="T21" i="6"/>
  <c r="K21" i="7"/>
  <c r="AA22" i="7"/>
  <c r="AZ22" i="6"/>
  <c r="AR29" i="6"/>
  <c r="W29" i="7"/>
  <c r="T14" i="6"/>
  <c r="K14" i="7"/>
  <c r="L25" i="6"/>
  <c r="G25" i="7"/>
  <c r="AI7" i="7"/>
  <c r="BK7" i="6"/>
  <c r="BW46" i="1"/>
  <c r="AV46" i="6" s="1"/>
  <c r="Z46" i="7"/>
  <c r="AE9" i="7"/>
  <c r="BH9" i="6"/>
  <c r="BW44" i="1"/>
  <c r="AV44" i="6" s="1"/>
  <c r="S8" i="7"/>
  <c r="AJ8" i="6"/>
  <c r="AA8" i="7"/>
  <c r="AZ8" i="6"/>
  <c r="BW42" i="1"/>
  <c r="AV42" i="6" s="1"/>
  <c r="Z42" i="7"/>
  <c r="AJ47" i="1"/>
  <c r="X47" i="6" s="1"/>
  <c r="N47" i="7"/>
  <c r="AW40" i="1"/>
  <c r="AF40" i="6" s="1"/>
  <c r="R40" i="7"/>
  <c r="CC39" i="1"/>
  <c r="AB39" i="7" s="1"/>
  <c r="CC41" i="1"/>
  <c r="AB41" i="7" s="1"/>
  <c r="AJ44" i="1"/>
  <c r="X44" i="6" s="1"/>
  <c r="N44" i="7"/>
  <c r="W33" i="1"/>
  <c r="P33" i="6" s="1"/>
  <c r="J33" i="7"/>
  <c r="AI37" i="7"/>
  <c r="BL37" i="1"/>
  <c r="AP37" i="6" s="1"/>
  <c r="BK37" i="6"/>
  <c r="AB26" i="6"/>
  <c r="O26" i="7"/>
  <c r="S15" i="7"/>
  <c r="AJ15" i="6"/>
  <c r="S26" i="7"/>
  <c r="AJ26" i="6"/>
  <c r="BW33" i="1"/>
  <c r="AV33" i="6" s="1"/>
  <c r="Z33" i="7"/>
  <c r="AW42" i="1"/>
  <c r="AF42" i="6" s="1"/>
  <c r="R42" i="7"/>
  <c r="AJ13" i="6"/>
  <c r="S13" i="7"/>
  <c r="BY31" i="1"/>
  <c r="AX31" i="6" s="1"/>
  <c r="Z31" i="7"/>
  <c r="W25" i="7"/>
  <c r="AR25" i="6"/>
  <c r="AB13" i="6"/>
  <c r="O13" i="7"/>
  <c r="W20" i="7"/>
  <c r="AR20" i="6"/>
  <c r="AJ22" i="6"/>
  <c r="S22" i="7"/>
  <c r="W7" i="7"/>
  <c r="AR7" i="6"/>
  <c r="O8" i="7"/>
  <c r="AB8" i="6"/>
  <c r="BW48" i="1"/>
  <c r="AV48" i="6" s="1"/>
  <c r="Z48" i="7"/>
  <c r="CP35" i="1"/>
  <c r="AF35" i="7" s="1"/>
  <c r="BJ38" i="1"/>
  <c r="AN38" i="6" s="1"/>
  <c r="V38" i="7"/>
  <c r="W41" i="1"/>
  <c r="P41" i="6" s="1"/>
  <c r="J41" i="7"/>
  <c r="BJ33" i="1"/>
  <c r="AN33" i="6" s="1"/>
  <c r="V33" i="7"/>
  <c r="W26" i="7"/>
  <c r="AR26" i="6"/>
  <c r="BK38" i="6"/>
  <c r="AI38" i="7"/>
  <c r="AE21" i="7"/>
  <c r="BH21" i="6"/>
  <c r="AB22" i="6"/>
  <c r="O22" i="7"/>
  <c r="T15" i="6"/>
  <c r="K15" i="7"/>
  <c r="AE16" i="7"/>
  <c r="BH16" i="6"/>
  <c r="W8" i="7"/>
  <c r="AR8" i="6"/>
  <c r="BM41" i="6"/>
  <c r="AK41" i="7"/>
  <c r="AD40" i="1"/>
  <c r="W10" i="7"/>
  <c r="AR10" i="6"/>
  <c r="J49" i="1"/>
  <c r="H49" i="6" s="1"/>
  <c r="F49" i="7"/>
  <c r="BJ41" i="1"/>
  <c r="AN41" i="6" s="1"/>
  <c r="V41" i="7"/>
  <c r="BK47" i="6"/>
  <c r="AI47" i="7"/>
  <c r="J37" i="1"/>
  <c r="H37" i="6" s="1"/>
  <c r="F37" i="7"/>
  <c r="AW38" i="1"/>
  <c r="AF38" i="6" s="1"/>
  <c r="R38" i="7"/>
  <c r="CC48" i="1"/>
  <c r="AB48" i="7" s="1"/>
  <c r="BP49" i="1"/>
  <c r="X49" i="7" s="1"/>
  <c r="J33" i="1"/>
  <c r="H33" i="6" s="1"/>
  <c r="F33" i="7"/>
  <c r="AI34" i="7"/>
  <c r="BK34" i="6"/>
  <c r="CV34" i="1"/>
  <c r="L12" i="6"/>
  <c r="G12" i="7"/>
  <c r="BW38" i="1"/>
  <c r="AV38" i="6" s="1"/>
  <c r="Z38" i="7"/>
  <c r="AZ25" i="6"/>
  <c r="AA25" i="7"/>
  <c r="G22" i="7"/>
  <c r="L22" i="6"/>
  <c r="AE18" i="7"/>
  <c r="BH18" i="6"/>
  <c r="S27" i="7"/>
  <c r="AJ27" i="6"/>
  <c r="AA10" i="7"/>
  <c r="AZ10" i="6"/>
  <c r="CV8" i="1"/>
  <c r="AI8" i="7"/>
  <c r="BK8" i="6"/>
  <c r="AI49" i="7"/>
  <c r="BK49" i="6"/>
  <c r="W39" i="1"/>
  <c r="P39" i="6" s="1"/>
  <c r="J39" i="7"/>
  <c r="AZ24" i="6"/>
  <c r="AA24" i="7"/>
  <c r="AJ14" i="6"/>
  <c r="S14" i="7"/>
  <c r="AE30" i="7"/>
  <c r="BH30" i="6"/>
  <c r="AA19" i="7"/>
  <c r="AZ19" i="6"/>
  <c r="BH19" i="6"/>
  <c r="AE19" i="7"/>
  <c r="BH24" i="6"/>
  <c r="AE24" i="7"/>
  <c r="L23" i="6"/>
  <c r="G23" i="7"/>
  <c r="AZ13" i="6"/>
  <c r="AA13" i="7"/>
  <c r="T20" i="6"/>
  <c r="K20" i="7"/>
  <c r="AA12" i="7"/>
  <c r="AZ12" i="6"/>
  <c r="T25" i="6"/>
  <c r="K25" i="7"/>
  <c r="AA26" i="7"/>
  <c r="AZ26" i="6"/>
  <c r="T18" i="6"/>
  <c r="K18" i="7"/>
  <c r="AJ38" i="1"/>
  <c r="X38" i="6" s="1"/>
  <c r="N38" i="7"/>
  <c r="O17" i="7"/>
  <c r="AB17" i="6"/>
  <c r="AA7" i="7"/>
  <c r="AZ7" i="6"/>
  <c r="BL41" i="1"/>
  <c r="AP41" i="6" s="1"/>
  <c r="AJ43" i="1"/>
  <c r="X43" i="6" s="1"/>
  <c r="N43" i="7"/>
  <c r="AE20" i="7"/>
  <c r="BH20" i="6"/>
  <c r="AB30" i="6"/>
  <c r="O30" i="7"/>
  <c r="W17" i="7"/>
  <c r="AR17" i="6"/>
  <c r="T19" i="6"/>
  <c r="K19" i="7"/>
  <c r="AZ20" i="6"/>
  <c r="AA20" i="7"/>
  <c r="AR19" i="6"/>
  <c r="W19" i="7"/>
  <c r="AI35" i="7"/>
  <c r="BK35" i="6"/>
  <c r="L17" i="6"/>
  <c r="G17" i="7"/>
  <c r="AA29" i="7"/>
  <c r="AZ29" i="6"/>
  <c r="A10" i="7"/>
  <c r="A10" i="6"/>
  <c r="A11" i="1"/>
  <c r="AE11" i="7"/>
  <c r="BH11" i="6"/>
  <c r="CJ43" i="1"/>
  <c r="BD43" i="6" s="1"/>
  <c r="AD43" i="7"/>
  <c r="CJ47" i="1"/>
  <c r="BD47" i="6" s="1"/>
  <c r="AD47" i="7"/>
  <c r="J44" i="1"/>
  <c r="H44" i="6" s="1"/>
  <c r="F44" i="7"/>
  <c r="S20" i="7"/>
  <c r="AJ20" i="6"/>
  <c r="AA23" i="7"/>
  <c r="AZ23" i="6"/>
  <c r="AE29" i="7"/>
  <c r="BH29" i="6"/>
  <c r="AJ21" i="6"/>
  <c r="S21" i="7"/>
  <c r="AB24" i="6"/>
  <c r="O24" i="7"/>
  <c r="AA14" i="7"/>
  <c r="AZ14" i="6"/>
  <c r="BW36" i="1"/>
  <c r="AV36" i="6" s="1"/>
  <c r="Z36" i="7"/>
  <c r="S6" i="7"/>
  <c r="CV9" i="1"/>
  <c r="BK9" i="6"/>
  <c r="AI9" i="7"/>
  <c r="AB9" i="6"/>
  <c r="O9" i="7"/>
  <c r="O10" i="7"/>
  <c r="AB10" i="6"/>
  <c r="W42" i="1"/>
  <c r="P42" i="6" s="1"/>
  <c r="J42" i="7"/>
  <c r="W32" i="1"/>
  <c r="P32" i="6" s="1"/>
  <c r="J32" i="7"/>
  <c r="BY38" i="1"/>
  <c r="AX38" i="6" s="1"/>
  <c r="AW46" i="1"/>
  <c r="AF46" i="6" s="1"/>
  <c r="R46" i="7"/>
  <c r="AW45" i="1"/>
  <c r="AF45" i="6" s="1"/>
  <c r="R45" i="7"/>
  <c r="AP38" i="1"/>
  <c r="P38" i="7" s="1"/>
  <c r="AJ17" i="6"/>
  <c r="S17" i="7"/>
  <c r="AJ24" i="6"/>
  <c r="S24" i="7"/>
  <c r="T23" i="6"/>
  <c r="K23" i="7"/>
  <c r="AE27" i="7"/>
  <c r="BH27" i="6"/>
  <c r="BH28" i="6"/>
  <c r="AE28" i="7"/>
  <c r="AJ45" i="1"/>
  <c r="X45" i="6" s="1"/>
  <c r="AP45" i="1"/>
  <c r="P45" i="7" s="1"/>
  <c r="AJ48" i="1"/>
  <c r="X48" i="6" s="1"/>
  <c r="BW47" i="1"/>
  <c r="AV47" i="6" s="1"/>
  <c r="AL34" i="1"/>
  <c r="Z34" i="6" s="1"/>
  <c r="AJ34" i="1"/>
  <c r="X34" i="6" s="1"/>
  <c r="BJ47" i="1"/>
  <c r="AN47" i="6" s="1"/>
  <c r="P43" i="1"/>
  <c r="H43" i="7" s="1"/>
  <c r="J43" i="1"/>
  <c r="H43" i="6" s="1"/>
  <c r="AW39" i="1"/>
  <c r="AF39" i="6" s="1"/>
  <c r="CJ48" i="1"/>
  <c r="BD48" i="6" s="1"/>
  <c r="BJ35" i="1"/>
  <c r="AN35" i="6" s="1"/>
  <c r="Y32" i="1"/>
  <c r="R32" i="6" s="1"/>
  <c r="AL35" i="1"/>
  <c r="Z35" i="6" s="1"/>
  <c r="CL35" i="1"/>
  <c r="BF35" i="6" s="1"/>
  <c r="AY35" i="1"/>
  <c r="AH35" i="6" s="1"/>
  <c r="L35" i="1"/>
  <c r="J35" i="6" s="1"/>
  <c r="BY35" i="1"/>
  <c r="AX35" i="6" s="1"/>
  <c r="Y35" i="1"/>
  <c r="R35" i="6" s="1"/>
  <c r="BL35" i="1"/>
  <c r="AP35" i="6" s="1"/>
  <c r="AY43" i="1"/>
  <c r="AH43" i="6" s="1"/>
  <c r="L43" i="1"/>
  <c r="J43" i="6" s="1"/>
  <c r="BL43" i="1"/>
  <c r="AP43" i="6" s="1"/>
  <c r="Y43" i="1"/>
  <c r="R43" i="6" s="1"/>
  <c r="CL43" i="1"/>
  <c r="BF43" i="6" s="1"/>
  <c r="BY43" i="1"/>
  <c r="AX43" i="6" s="1"/>
  <c r="AL43" i="1"/>
  <c r="Z43" i="6" s="1"/>
  <c r="AJ40" i="1"/>
  <c r="X40" i="6" s="1"/>
  <c r="AP40" i="1"/>
  <c r="P40" i="7" s="1"/>
  <c r="W44" i="1"/>
  <c r="P44" i="6" s="1"/>
  <c r="BC39" i="1"/>
  <c r="T39" i="7" s="1"/>
  <c r="AL31" i="1"/>
  <c r="Z31" i="6" s="1"/>
  <c r="AJ31" i="1"/>
  <c r="X31" i="6" s="1"/>
  <c r="BJ36" i="1"/>
  <c r="AN36" i="6" s="1"/>
  <c r="CL37" i="1"/>
  <c r="BF37" i="6" s="1"/>
  <c r="AC32" i="1"/>
  <c r="L32" i="7" s="1"/>
  <c r="AC34" i="1"/>
  <c r="L34" i="7" s="1"/>
  <c r="W47" i="1"/>
  <c r="P47" i="6" s="1"/>
  <c r="AC47" i="1"/>
  <c r="L47" i="7" s="1"/>
  <c r="Y42" i="1"/>
  <c r="R42" i="6" s="1"/>
  <c r="BY42" i="1"/>
  <c r="AX42" i="6" s="1"/>
  <c r="AL42" i="1"/>
  <c r="Z42" i="6" s="1"/>
  <c r="CL42" i="1"/>
  <c r="BF42" i="6" s="1"/>
  <c r="AY42" i="1"/>
  <c r="AH42" i="6" s="1"/>
  <c r="L42" i="1"/>
  <c r="J42" i="6" s="1"/>
  <c r="CV42" i="1"/>
  <c r="BL42" i="1"/>
  <c r="AP42" i="6" s="1"/>
  <c r="AL44" i="1"/>
  <c r="Z44" i="6" s="1"/>
  <c r="AL45" i="1"/>
  <c r="Z45" i="6" s="1"/>
  <c r="CL45" i="1"/>
  <c r="BF45" i="6" s="1"/>
  <c r="AY45" i="1"/>
  <c r="AH45" i="6" s="1"/>
  <c r="L45" i="1"/>
  <c r="J45" i="6" s="1"/>
  <c r="BL45" i="1"/>
  <c r="AP45" i="6" s="1"/>
  <c r="Y45" i="1"/>
  <c r="R45" i="6" s="1"/>
  <c r="BY45" i="1"/>
  <c r="AX45" i="6" s="1"/>
  <c r="BP47" i="1"/>
  <c r="X47" i="7" s="1"/>
  <c r="CP37" i="1"/>
  <c r="AF37" i="7" s="1"/>
  <c r="AC39" i="1"/>
  <c r="L39" i="7" s="1"/>
  <c r="CP40" i="1"/>
  <c r="AF40" i="7" s="1"/>
  <c r="BC33" i="1"/>
  <c r="T33" i="7" s="1"/>
  <c r="BC48" i="1"/>
  <c r="T48" i="7" s="1"/>
  <c r="P38" i="1"/>
  <c r="H38" i="7" s="1"/>
  <c r="J38" i="1"/>
  <c r="H38" i="6" s="1"/>
  <c r="BY34" i="1"/>
  <c r="AX34" i="6" s="1"/>
  <c r="BW34" i="1"/>
  <c r="AV34" i="6" s="1"/>
  <c r="BJ39" i="1"/>
  <c r="AN39" i="6" s="1"/>
  <c r="BP39" i="1"/>
  <c r="X39" i="7" s="1"/>
  <c r="L31" i="1"/>
  <c r="J31" i="6" s="1"/>
  <c r="J31" i="1"/>
  <c r="H31" i="6" s="1"/>
  <c r="J36" i="1"/>
  <c r="H36" i="6" s="1"/>
  <c r="AJ49" i="1"/>
  <c r="X49" i="6" s="1"/>
  <c r="BL31" i="1"/>
  <c r="AP31" i="6" s="1"/>
  <c r="BJ31" i="1"/>
  <c r="AN31" i="6" s="1"/>
  <c r="Y44" i="1"/>
  <c r="R44" i="6" s="1"/>
  <c r="CV45" i="1"/>
  <c r="P37" i="1"/>
  <c r="H37" i="7" s="1"/>
  <c r="W35" i="1"/>
  <c r="P35" i="6" s="1"/>
  <c r="BL34" i="1"/>
  <c r="AP34" i="6" s="1"/>
  <c r="BJ34" i="1"/>
  <c r="AN34" i="6" s="1"/>
  <c r="BP34" i="1"/>
  <c r="X34" i="7" s="1"/>
  <c r="AY36" i="1"/>
  <c r="AH36" i="6" s="1"/>
  <c r="L36" i="1"/>
  <c r="J36" i="6" s="1"/>
  <c r="BL36" i="1"/>
  <c r="AP36" i="6" s="1"/>
  <c r="Y36" i="1"/>
  <c r="R36" i="6" s="1"/>
  <c r="BY36" i="1"/>
  <c r="AX36" i="6" s="1"/>
  <c r="AL36" i="1"/>
  <c r="Z36" i="6" s="1"/>
  <c r="CL36" i="1"/>
  <c r="BF36" i="6" s="1"/>
  <c r="CV35" i="1"/>
  <c r="AP49" i="1"/>
  <c r="P49" i="7" s="1"/>
  <c r="BP44" i="1"/>
  <c r="X44" i="7" s="1"/>
  <c r="AC33" i="1"/>
  <c r="L33" i="7" s="1"/>
  <c r="CC49" i="1"/>
  <c r="AB49" i="7" s="1"/>
  <c r="BL39" i="1"/>
  <c r="AP39" i="6" s="1"/>
  <c r="CV39" i="1"/>
  <c r="Y39" i="1"/>
  <c r="R39" i="6" s="1"/>
  <c r="BY39" i="1"/>
  <c r="AX39" i="6" s="1"/>
  <c r="AL39" i="1"/>
  <c r="Z39" i="6" s="1"/>
  <c r="CL39" i="1"/>
  <c r="BF39" i="6" s="1"/>
  <c r="L39" i="1"/>
  <c r="J39" i="6" s="1"/>
  <c r="AY39" i="1"/>
  <c r="AH39" i="6" s="1"/>
  <c r="AP34" i="1"/>
  <c r="P34" i="7" s="1"/>
  <c r="BL44" i="1"/>
  <c r="AP44" i="6" s="1"/>
  <c r="BC37" i="1"/>
  <c r="T37" i="7" s="1"/>
  <c r="CC42" i="1"/>
  <c r="AB42" i="7" s="1"/>
  <c r="AJ35" i="1"/>
  <c r="X35" i="6" s="1"/>
  <c r="AP35" i="1"/>
  <c r="P35" i="7" s="1"/>
  <c r="Y34" i="1"/>
  <c r="R34" i="6" s="1"/>
  <c r="J32" i="1"/>
  <c r="H32" i="6" s="1"/>
  <c r="BW41" i="1"/>
  <c r="AV41" i="6" s="1"/>
  <c r="P36" i="1"/>
  <c r="H36" i="7" s="1"/>
  <c r="AP47" i="1"/>
  <c r="P47" i="7" s="1"/>
  <c r="AC43" i="1"/>
  <c r="L43" i="7" s="1"/>
  <c r="J46" i="1"/>
  <c r="H46" i="6" s="1"/>
  <c r="P46" i="1"/>
  <c r="H46" i="7" s="1"/>
  <c r="Y49" i="1"/>
  <c r="R49" i="6" s="1"/>
  <c r="BY49" i="1"/>
  <c r="AX49" i="6" s="1"/>
  <c r="AL49" i="1"/>
  <c r="Z49" i="6" s="1"/>
  <c r="CL49" i="1"/>
  <c r="BF49" i="6" s="1"/>
  <c r="BL49" i="1"/>
  <c r="AP49" i="6" s="1"/>
  <c r="AY49" i="1"/>
  <c r="AH49" i="6" s="1"/>
  <c r="L49" i="1"/>
  <c r="J49" i="6" s="1"/>
  <c r="AY37" i="1"/>
  <c r="AH37" i="6" s="1"/>
  <c r="J48" i="1"/>
  <c r="H48" i="6" s="1"/>
  <c r="P31" i="1"/>
  <c r="H31" i="7" s="1"/>
  <c r="L37" i="1"/>
  <c r="J37" i="6" s="1"/>
  <c r="AJ32" i="1"/>
  <c r="X32" i="6" s="1"/>
  <c r="AP32" i="1"/>
  <c r="P32" i="7" s="1"/>
  <c r="AW34" i="1"/>
  <c r="AF34" i="6" s="1"/>
  <c r="AY34" i="1"/>
  <c r="AH34" i="6" s="1"/>
  <c r="BC35" i="1"/>
  <c r="T35" i="7" s="1"/>
  <c r="AW35" i="1"/>
  <c r="AF35" i="6" s="1"/>
  <c r="AP33" i="1"/>
  <c r="P33" i="7" s="1"/>
  <c r="CP38" i="1"/>
  <c r="AF38" i="7" s="1"/>
  <c r="CJ31" i="1"/>
  <c r="BD31" i="6" s="1"/>
  <c r="W49" i="1"/>
  <c r="P49" i="6" s="1"/>
  <c r="CV43" i="1"/>
  <c r="BC45" i="1"/>
  <c r="T45" i="7" s="1"/>
  <c r="CJ33" i="1"/>
  <c r="BD33" i="6" s="1"/>
  <c r="CP33" i="1"/>
  <c r="AF33" i="7" s="1"/>
  <c r="P33" i="1"/>
  <c r="H33" i="7" s="1"/>
  <c r="AJ37" i="1"/>
  <c r="X37" i="6" s="1"/>
  <c r="P34" i="1"/>
  <c r="H34" i="7" s="1"/>
  <c r="L46" i="1"/>
  <c r="J46" i="6" s="1"/>
  <c r="BL46" i="1"/>
  <c r="AP46" i="6" s="1"/>
  <c r="Y46" i="1"/>
  <c r="R46" i="6" s="1"/>
  <c r="BY46" i="1"/>
  <c r="AX46" i="6" s="1"/>
  <c r="AL46" i="1"/>
  <c r="Z46" i="6" s="1"/>
  <c r="CL46" i="1"/>
  <c r="BF46" i="6" s="1"/>
  <c r="AY46" i="1"/>
  <c r="AH46" i="6" s="1"/>
  <c r="AW31" i="1"/>
  <c r="AF31" i="6" s="1"/>
  <c r="AY31" i="1"/>
  <c r="AH31" i="6" s="1"/>
  <c r="CP48" i="1"/>
  <c r="AF48" i="7" s="1"/>
  <c r="AY41" i="1"/>
  <c r="AH41" i="6" s="1"/>
  <c r="J35" i="1"/>
  <c r="H35" i="6" s="1"/>
  <c r="CV46" i="1"/>
  <c r="J41" i="1"/>
  <c r="H41" i="6" s="1"/>
  <c r="P41" i="1"/>
  <c r="H41" i="7" s="1"/>
  <c r="BL38" i="1"/>
  <c r="AP38" i="6" s="1"/>
  <c r="CV49" i="1"/>
  <c r="P45" i="1"/>
  <c r="H45" i="7" s="1"/>
  <c r="BP46" i="1"/>
  <c r="X46" i="7" s="1"/>
  <c r="CC32" i="1"/>
  <c r="AB32" i="7" s="1"/>
  <c r="CC33" i="1"/>
  <c r="AB33" i="7" s="1"/>
  <c r="CC35" i="1"/>
  <c r="AB35" i="7" s="1"/>
  <c r="BY41" i="1"/>
  <c r="AX41" i="6" s="1"/>
  <c r="CJ39" i="1"/>
  <c r="BD39" i="6" s="1"/>
  <c r="AL40" i="1"/>
  <c r="Z40" i="6" s="1"/>
  <c r="CL40" i="1"/>
  <c r="BF40" i="6" s="1"/>
  <c r="AY40" i="1"/>
  <c r="AH40" i="6" s="1"/>
  <c r="L40" i="1"/>
  <c r="J40" i="6" s="1"/>
  <c r="BL40" i="1"/>
  <c r="AP40" i="6" s="1"/>
  <c r="BY40" i="1"/>
  <c r="AX40" i="6" s="1"/>
  <c r="Y40" i="1"/>
  <c r="R40" i="6" s="1"/>
  <c r="CV36" i="1"/>
  <c r="AC48" i="1"/>
  <c r="L48" i="7" s="1"/>
  <c r="BP36" i="1"/>
  <c r="X36" i="7" s="1"/>
  <c r="AP44" i="1"/>
  <c r="P44" i="7" s="1"/>
  <c r="CJ41" i="1"/>
  <c r="BD41" i="6" s="1"/>
  <c r="W37" i="1"/>
  <c r="P37" i="6" s="1"/>
  <c r="AC37" i="1"/>
  <c r="L37" i="7" s="1"/>
  <c r="Y41" i="1"/>
  <c r="R41" i="6" s="1"/>
  <c r="CC47" i="1"/>
  <c r="AB47" i="7" s="1"/>
  <c r="AY48" i="1"/>
  <c r="AH48" i="6" s="1"/>
  <c r="L48" i="1"/>
  <c r="J48" i="6" s="1"/>
  <c r="BL48" i="1"/>
  <c r="AP48" i="6" s="1"/>
  <c r="Y48" i="1"/>
  <c r="R48" i="6" s="1"/>
  <c r="BY48" i="1"/>
  <c r="AX48" i="6" s="1"/>
  <c r="CL48" i="1"/>
  <c r="BF48" i="6" s="1"/>
  <c r="AL48" i="1"/>
  <c r="Z48" i="6" s="1"/>
  <c r="P49" i="1"/>
  <c r="H49" i="7" s="1"/>
  <c r="BY47" i="1"/>
  <c r="AX47" i="6" s="1"/>
  <c r="AL47" i="1"/>
  <c r="Z47" i="6" s="1"/>
  <c r="CL47" i="1"/>
  <c r="BF47" i="6" s="1"/>
  <c r="AY47" i="1"/>
  <c r="AH47" i="6" s="1"/>
  <c r="Y47" i="1"/>
  <c r="R47" i="6" s="1"/>
  <c r="CV47" i="1"/>
  <c r="BL47" i="1"/>
  <c r="AP47" i="6" s="1"/>
  <c r="L47" i="1"/>
  <c r="J47" i="6" s="1"/>
  <c r="CJ45" i="1"/>
  <c r="BD45" i="6" s="1"/>
  <c r="CP45" i="1"/>
  <c r="AF45" i="7" s="1"/>
  <c r="AY33" i="1"/>
  <c r="AH33" i="6" s="1"/>
  <c r="L33" i="1"/>
  <c r="J33" i="6" s="1"/>
  <c r="BL33" i="1"/>
  <c r="AP33" i="6" s="1"/>
  <c r="AL33" i="1"/>
  <c r="Z33" i="6" s="1"/>
  <c r="BY33" i="1"/>
  <c r="AX33" i="6" s="1"/>
  <c r="Y33" i="1"/>
  <c r="R33" i="6" s="1"/>
  <c r="CL33" i="1"/>
  <c r="BF33" i="6" s="1"/>
  <c r="AJ42" i="1"/>
  <c r="X42" i="6" s="1"/>
  <c r="BP48" i="1"/>
  <c r="X48" i="7" s="1"/>
  <c r="BW45" i="1"/>
  <c r="AV45" i="6" s="1"/>
  <c r="AC46" i="1"/>
  <c r="L46" i="7" s="1"/>
  <c r="CP42" i="1"/>
  <c r="AF42" i="7" s="1"/>
  <c r="BP31" i="1"/>
  <c r="X31" i="7" s="1"/>
  <c r="AC35" i="1"/>
  <c r="L35" i="7" s="1"/>
  <c r="L41" i="1"/>
  <c r="J41" i="6" s="1"/>
  <c r="AW41" i="1"/>
  <c r="AF41" i="6" s="1"/>
  <c r="CC9" i="1"/>
  <c r="AB9" i="7" s="1"/>
  <c r="CD9" i="1"/>
  <c r="AP8" i="1"/>
  <c r="P8" i="7" s="1"/>
  <c r="BJ7" i="1"/>
  <c r="AN7" i="6" s="1"/>
  <c r="BQ8" i="1"/>
  <c r="CD7" i="1"/>
  <c r="CP9" i="1"/>
  <c r="AF9" i="7" s="1"/>
  <c r="Y8" i="1"/>
  <c r="R8" i="6" s="1"/>
  <c r="CJ7" i="1"/>
  <c r="BD7" i="6" s="1"/>
  <c r="BL6" i="1"/>
  <c r="AP6" i="6" s="1"/>
  <c r="AD5" i="1"/>
  <c r="CQ8" i="1"/>
  <c r="BP7" i="1"/>
  <c r="X7" i="7" s="1"/>
  <c r="R6" i="7"/>
  <c r="CP7" i="1"/>
  <c r="AF7" i="7" s="1"/>
  <c r="CQ7" i="1"/>
  <c r="CL8" i="1"/>
  <c r="BF8" i="6" s="1"/>
  <c r="AW6" i="1"/>
  <c r="AF6" i="6" s="1"/>
  <c r="AJ8" i="1"/>
  <c r="X8" i="6" s="1"/>
  <c r="AL8" i="1"/>
  <c r="Z8" i="6" s="1"/>
  <c r="CJ8" i="1"/>
  <c r="BD8" i="6" s="1"/>
  <c r="CL7" i="1"/>
  <c r="BF7" i="6" s="1"/>
  <c r="BP8" i="1"/>
  <c r="X8" i="7" s="1"/>
  <c r="AY6" i="1"/>
  <c r="AH6" i="6" s="1"/>
  <c r="L6" i="1"/>
  <c r="J6" i="6" s="1"/>
  <c r="BQ7" i="1"/>
  <c r="BW6" i="1"/>
  <c r="AV6" i="6" s="1"/>
  <c r="BJ6" i="1"/>
  <c r="AN6" i="6" s="1"/>
  <c r="CC6" i="1"/>
  <c r="AB6" i="7" s="1"/>
  <c r="BL7" i="1"/>
  <c r="AP7" i="6" s="1"/>
  <c r="BY8" i="1"/>
  <c r="AX8" i="6" s="1"/>
  <c r="CP8" i="1"/>
  <c r="AF8" i="7" s="1"/>
  <c r="AY9" i="1"/>
  <c r="AH9" i="6" s="1"/>
  <c r="CC8" i="1"/>
  <c r="AB8" i="7" s="1"/>
  <c r="AI6" i="7"/>
  <c r="BK6" i="6"/>
  <c r="AW7" i="1"/>
  <c r="AF7" i="6" s="1"/>
  <c r="BD6" i="1"/>
  <c r="AY7" i="1"/>
  <c r="AH7" i="6" s="1"/>
  <c r="AW9" i="1"/>
  <c r="AF9" i="6" s="1"/>
  <c r="BY6" i="1"/>
  <c r="AX6" i="6" s="1"/>
  <c r="CV7" i="1"/>
  <c r="W8" i="1"/>
  <c r="P8" i="6" s="1"/>
  <c r="J6" i="1"/>
  <c r="H6" i="6" s="1"/>
  <c r="AL5" i="1"/>
  <c r="Z5" i="6" s="1"/>
  <c r="AJ5" i="1"/>
  <c r="X5" i="6" s="1"/>
  <c r="N5" i="7"/>
  <c r="AK5" i="7"/>
  <c r="BM5" i="6"/>
  <c r="CV6" i="1"/>
  <c r="BD9" i="1"/>
  <c r="BC9" i="1"/>
  <c r="T9" i="7" s="1"/>
  <c r="S5" i="7"/>
  <c r="BD7" i="1"/>
  <c r="BD5" i="1"/>
  <c r="BC7" i="1"/>
  <c r="T7" i="7" s="1"/>
  <c r="BQ6" i="1"/>
  <c r="BP6" i="1"/>
  <c r="X6" i="7" s="1"/>
  <c r="W6" i="7"/>
  <c r="K5" i="7"/>
  <c r="AC5" i="1"/>
  <c r="L5" i="7" s="1"/>
  <c r="CQ6" i="1"/>
  <c r="CL6" i="1"/>
  <c r="BF6" i="6" s="1"/>
  <c r="CJ6" i="1"/>
  <c r="BD6" i="6" s="1"/>
  <c r="AD6" i="7"/>
  <c r="CJ9" i="1"/>
  <c r="BD9" i="6" s="1"/>
  <c r="CL9" i="1"/>
  <c r="BF9" i="6" s="1"/>
  <c r="CJ5" i="1"/>
  <c r="BD5" i="6" s="1"/>
  <c r="CL5" i="1"/>
  <c r="BF5" i="6" s="1"/>
  <c r="AD5" i="7"/>
  <c r="BW5" i="1"/>
  <c r="AV5" i="6" s="1"/>
  <c r="BY5" i="1"/>
  <c r="AX5" i="6" s="1"/>
  <c r="Z5" i="7"/>
  <c r="BW8" i="1"/>
  <c r="AV8" i="6" s="1"/>
  <c r="BW9" i="1"/>
  <c r="AV9" i="6" s="1"/>
  <c r="BY9" i="1"/>
  <c r="AX9" i="6" s="1"/>
  <c r="BY7" i="1"/>
  <c r="AX7" i="6" s="1"/>
  <c r="BW7" i="1"/>
  <c r="AV7" i="6" s="1"/>
  <c r="CC7" i="1"/>
  <c r="AB7" i="7" s="1"/>
  <c r="BJ5" i="1"/>
  <c r="AN5" i="6" s="1"/>
  <c r="V5" i="7"/>
  <c r="BL5" i="1"/>
  <c r="AP5" i="6" s="1"/>
  <c r="BL8" i="1"/>
  <c r="AP8" i="6" s="1"/>
  <c r="BJ8" i="1"/>
  <c r="AN8" i="6" s="1"/>
  <c r="BC8" i="1"/>
  <c r="T8" i="7" s="1"/>
  <c r="AW8" i="1"/>
  <c r="AF8" i="6" s="1"/>
  <c r="AY8" i="1"/>
  <c r="AH8" i="6" s="1"/>
  <c r="AW5" i="1"/>
  <c r="AF5" i="6" s="1"/>
  <c r="AY5" i="1"/>
  <c r="AH5" i="6" s="1"/>
  <c r="R5" i="7"/>
  <c r="BC5" i="1"/>
  <c r="AL6" i="1"/>
  <c r="N6" i="7"/>
  <c r="AJ6" i="1"/>
  <c r="Y6" i="6"/>
  <c r="AJ7" i="1"/>
  <c r="X7" i="6" s="1"/>
  <c r="AL7" i="1"/>
  <c r="Z7" i="6" s="1"/>
  <c r="O5" i="7"/>
  <c r="AQ5" i="1"/>
  <c r="AP5" i="1"/>
  <c r="P5" i="7" s="1"/>
  <c r="T5" i="6"/>
  <c r="W6" i="1"/>
  <c r="P6" i="6" s="1"/>
  <c r="J6" i="7"/>
  <c r="Y6" i="1"/>
  <c r="R6" i="6" s="1"/>
  <c r="Y7" i="1"/>
  <c r="R7" i="6" s="1"/>
  <c r="W7" i="1"/>
  <c r="P7" i="6" s="1"/>
  <c r="Y5" i="1"/>
  <c r="R5" i="6" s="1"/>
  <c r="W5" i="1"/>
  <c r="P5" i="6" s="1"/>
  <c r="J5" i="7"/>
  <c r="J7" i="1"/>
  <c r="H7" i="6" s="1"/>
  <c r="L7" i="1"/>
  <c r="J7" i="6" s="1"/>
  <c r="F5" i="7"/>
  <c r="L5" i="1"/>
  <c r="J5" i="6" s="1"/>
  <c r="J5" i="1"/>
  <c r="H5" i="6" s="1"/>
  <c r="Q7" i="1"/>
  <c r="P8" i="1"/>
  <c r="H8" i="7" s="1"/>
  <c r="J8" i="1"/>
  <c r="H8" i="6" s="1"/>
  <c r="L8" i="1"/>
  <c r="J8" i="6" s="1"/>
  <c r="P7" i="1"/>
  <c r="H7" i="7" s="1"/>
  <c r="BH6" i="6"/>
  <c r="CP6" i="1"/>
  <c r="AF6" i="7" s="1"/>
  <c r="AE6" i="7"/>
  <c r="L5" i="6"/>
  <c r="Q5" i="1"/>
  <c r="P5" i="1"/>
  <c r="G5" i="7"/>
  <c r="CC5" i="1"/>
  <c r="AZ5" i="6"/>
  <c r="AA5" i="7"/>
  <c r="CD5" i="1"/>
  <c r="AP7" i="1"/>
  <c r="P7" i="7" s="1"/>
  <c r="AQ7" i="1"/>
  <c r="G6" i="7"/>
  <c r="Q6" i="1"/>
  <c r="L6" i="6"/>
  <c r="P6" i="1"/>
  <c r="H6" i="7" s="1"/>
  <c r="AQ6" i="1"/>
  <c r="AP6" i="1"/>
  <c r="AB6" i="6"/>
  <c r="O6" i="7"/>
  <c r="AD8" i="1"/>
  <c r="AC8" i="1"/>
  <c r="L8" i="7" s="1"/>
  <c r="CQ5" i="1"/>
  <c r="BH5" i="6"/>
  <c r="CP5" i="1"/>
  <c r="AE5" i="7"/>
  <c r="W5" i="7"/>
  <c r="BQ5" i="1"/>
  <c r="BP5" i="1"/>
  <c r="AR5" i="6"/>
  <c r="N9" i="7" l="1"/>
  <c r="AP9" i="1"/>
  <c r="P9" i="7" s="1"/>
  <c r="J9" i="7"/>
  <c r="W9" i="1"/>
  <c r="P9" i="6" s="1"/>
  <c r="Y9" i="1"/>
  <c r="R9" i="6" s="1"/>
  <c r="AC9" i="1"/>
  <c r="L9" i="7" s="1"/>
  <c r="L9" i="1"/>
  <c r="J9" i="6" s="1"/>
  <c r="P9" i="1"/>
  <c r="H9" i="7" s="1"/>
  <c r="F9" i="7"/>
  <c r="J9" i="1"/>
  <c r="H9" i="6" s="1"/>
  <c r="AQ9" i="1"/>
  <c r="AL9" i="1"/>
  <c r="Z9" i="6" s="1"/>
  <c r="V9" i="7"/>
  <c r="BJ9" i="1"/>
  <c r="AN9" i="6" s="1"/>
  <c r="BL9" i="1"/>
  <c r="AP9" i="6" s="1"/>
  <c r="AJ9" i="1"/>
  <c r="X9" i="6" s="1"/>
  <c r="BP9" i="1"/>
  <c r="X9" i="7" s="1"/>
  <c r="BM32" i="6"/>
  <c r="BM37" i="6"/>
  <c r="BM40" i="6"/>
  <c r="AK40" i="7"/>
  <c r="B10" i="7"/>
  <c r="B10" i="6"/>
  <c r="B11" i="1"/>
  <c r="AK43" i="7"/>
  <c r="BM43" i="6"/>
  <c r="AK47" i="7"/>
  <c r="BM47" i="6"/>
  <c r="BM42" i="6"/>
  <c r="AK42" i="7"/>
  <c r="AK33" i="7"/>
  <c r="BM33" i="6"/>
  <c r="AK49" i="7"/>
  <c r="BM49" i="6"/>
  <c r="BM46" i="6"/>
  <c r="AK46" i="7"/>
  <c r="AK34" i="7"/>
  <c r="BM34" i="6"/>
  <c r="BM31" i="6"/>
  <c r="AK31" i="7"/>
  <c r="BM39" i="6"/>
  <c r="AK39" i="7"/>
  <c r="AK45" i="7"/>
  <c r="BM45" i="6"/>
  <c r="BM36" i="6"/>
  <c r="AK36" i="7"/>
  <c r="BM7" i="6"/>
  <c r="AK7" i="7"/>
  <c r="AK8" i="7"/>
  <c r="BM8" i="6"/>
  <c r="BM9" i="6"/>
  <c r="AK9" i="7"/>
  <c r="A11" i="6"/>
  <c r="A11" i="7"/>
  <c r="A12" i="1"/>
  <c r="AK35" i="7"/>
  <c r="BM35" i="6"/>
  <c r="AJ10" i="7"/>
  <c r="BL10" i="6"/>
  <c r="CU11" i="1"/>
  <c r="BV10" i="1"/>
  <c r="CD10" i="1" s="1"/>
  <c r="AI10" i="1"/>
  <c r="AQ10" i="1" s="1"/>
  <c r="AV10" i="1"/>
  <c r="BD10" i="1" s="1"/>
  <c r="U10" i="1"/>
  <c r="I10" i="1"/>
  <c r="Q10" i="1" s="1"/>
  <c r="BU10" i="1"/>
  <c r="BH10" i="1"/>
  <c r="CH10" i="1"/>
  <c r="V10" i="1"/>
  <c r="AD10" i="1" s="1"/>
  <c r="H10" i="1"/>
  <c r="CI10" i="1"/>
  <c r="CQ10" i="1" s="1"/>
  <c r="BI10" i="1"/>
  <c r="BQ10" i="1" s="1"/>
  <c r="CT10" i="1"/>
  <c r="AH10" i="1"/>
  <c r="AU10" i="1"/>
  <c r="BM48" i="6"/>
  <c r="AK48" i="7"/>
  <c r="AK6" i="7"/>
  <c r="BM6" i="6"/>
  <c r="T5" i="7"/>
  <c r="X6" i="6"/>
  <c r="Z6" i="6"/>
  <c r="X5" i="7"/>
  <c r="AB5" i="7"/>
  <c r="P6" i="7"/>
  <c r="H5" i="7"/>
  <c r="AF5" i="7"/>
  <c r="R10" i="7" l="1"/>
  <c r="AW10" i="1"/>
  <c r="AF10" i="6" s="1"/>
  <c r="BC10" i="1"/>
  <c r="N10" i="7"/>
  <c r="AP10" i="1"/>
  <c r="AJ10" i="1"/>
  <c r="X10" i="6" s="1"/>
  <c r="CV10" i="1"/>
  <c r="BK10" i="6"/>
  <c r="AI10" i="7"/>
  <c r="AL10" i="1"/>
  <c r="Z10" i="6" s="1"/>
  <c r="Y10" i="1"/>
  <c r="R10" i="6" s="1"/>
  <c r="L10" i="1"/>
  <c r="J10" i="6" s="1"/>
  <c r="CL10" i="1"/>
  <c r="BF10" i="6" s="1"/>
  <c r="BY10" i="1"/>
  <c r="AX10" i="6" s="1"/>
  <c r="AY10" i="1"/>
  <c r="AH10" i="6" s="1"/>
  <c r="BL10" i="1"/>
  <c r="AP10" i="6" s="1"/>
  <c r="F10" i="7"/>
  <c r="P10" i="1"/>
  <c r="J10" i="1"/>
  <c r="H10" i="6" s="1"/>
  <c r="BL11" i="6"/>
  <c r="AJ11" i="7"/>
  <c r="CU12" i="1"/>
  <c r="AV11" i="1"/>
  <c r="BD11" i="1" s="1"/>
  <c r="CH11" i="1"/>
  <c r="V11" i="1"/>
  <c r="AD11" i="1" s="1"/>
  <c r="H11" i="1"/>
  <c r="U11" i="1"/>
  <c r="I11" i="1"/>
  <c r="Q11" i="1" s="1"/>
  <c r="BV11" i="1"/>
  <c r="CD11" i="1" s="1"/>
  <c r="CT11" i="1"/>
  <c r="BH11" i="1"/>
  <c r="BI11" i="1"/>
  <c r="BQ11" i="1" s="1"/>
  <c r="AH11" i="1"/>
  <c r="BU11" i="1"/>
  <c r="AI11" i="1"/>
  <c r="AQ11" i="1" s="1"/>
  <c r="CI11" i="1"/>
  <c r="CQ11" i="1" s="1"/>
  <c r="AU11" i="1"/>
  <c r="A12" i="7"/>
  <c r="A12" i="6"/>
  <c r="A13" i="1"/>
  <c r="AD10" i="7"/>
  <c r="CJ10" i="1"/>
  <c r="BD10" i="6" s="1"/>
  <c r="CP10" i="1"/>
  <c r="B11" i="7"/>
  <c r="B11" i="6"/>
  <c r="B12" i="1"/>
  <c r="V10" i="7"/>
  <c r="BP10" i="1"/>
  <c r="BJ10" i="1"/>
  <c r="AN10" i="6" s="1"/>
  <c r="Z10" i="7"/>
  <c r="CC10" i="1"/>
  <c r="BW10" i="1"/>
  <c r="AV10" i="6" s="1"/>
  <c r="J10" i="7"/>
  <c r="W10" i="1"/>
  <c r="P10" i="6" s="1"/>
  <c r="AC10" i="1"/>
  <c r="H10" i="7" l="1"/>
  <c r="R11" i="7"/>
  <c r="AW11" i="1"/>
  <c r="AF11" i="6" s="1"/>
  <c r="BC11" i="1"/>
  <c r="T11" i="7" s="1"/>
  <c r="AJ12" i="7"/>
  <c r="BL12" i="6"/>
  <c r="CU13" i="1"/>
  <c r="BU12" i="1"/>
  <c r="H12" i="1"/>
  <c r="CH12" i="1"/>
  <c r="CI12" i="1"/>
  <c r="CQ12" i="1" s="1"/>
  <c r="BI12" i="1"/>
  <c r="BQ12" i="1" s="1"/>
  <c r="BH12" i="1"/>
  <c r="AI12" i="1"/>
  <c r="AQ12" i="1" s="1"/>
  <c r="AH12" i="1"/>
  <c r="CT12" i="1"/>
  <c r="U12" i="1"/>
  <c r="AV12" i="1"/>
  <c r="BD12" i="1" s="1"/>
  <c r="BV12" i="1"/>
  <c r="CD12" i="1" s="1"/>
  <c r="V12" i="1"/>
  <c r="AD12" i="1" s="1"/>
  <c r="AU12" i="1"/>
  <c r="I12" i="1"/>
  <c r="Q12" i="1" s="1"/>
  <c r="AF10" i="7"/>
  <c r="A13" i="7"/>
  <c r="A13" i="6"/>
  <c r="A14" i="1"/>
  <c r="Z11" i="7"/>
  <c r="CC11" i="1"/>
  <c r="AB11" i="7" s="1"/>
  <c r="BW11" i="1"/>
  <c r="AV11" i="6" s="1"/>
  <c r="L10" i="7"/>
  <c r="N11" i="7"/>
  <c r="AJ11" i="1"/>
  <c r="X11" i="6" s="1"/>
  <c r="AP11" i="1"/>
  <c r="P11" i="7" s="1"/>
  <c r="BP11" i="1"/>
  <c r="X11" i="7" s="1"/>
  <c r="V11" i="7"/>
  <c r="BJ11" i="1"/>
  <c r="AN11" i="6" s="1"/>
  <c r="CV11" i="1"/>
  <c r="AI11" i="7"/>
  <c r="BK11" i="6"/>
  <c r="AY11" i="1"/>
  <c r="AH11" i="6" s="1"/>
  <c r="BY11" i="1"/>
  <c r="AX11" i="6" s="1"/>
  <c r="BL11" i="1"/>
  <c r="AP11" i="6" s="1"/>
  <c r="Y11" i="1"/>
  <c r="R11" i="6" s="1"/>
  <c r="CL11" i="1"/>
  <c r="BF11" i="6" s="1"/>
  <c r="AL11" i="1"/>
  <c r="Z11" i="6" s="1"/>
  <c r="L11" i="1"/>
  <c r="J11" i="6" s="1"/>
  <c r="AB10" i="7"/>
  <c r="BM10" i="6"/>
  <c r="AK10" i="7"/>
  <c r="J11" i="7"/>
  <c r="W11" i="1"/>
  <c r="P11" i="6" s="1"/>
  <c r="AC11" i="1"/>
  <c r="L11" i="7" s="1"/>
  <c r="P10" i="7"/>
  <c r="X10" i="7"/>
  <c r="F11" i="7"/>
  <c r="J11" i="1"/>
  <c r="H11" i="6" s="1"/>
  <c r="P11" i="1"/>
  <c r="H11" i="7" s="1"/>
  <c r="T10" i="7"/>
  <c r="B12" i="7"/>
  <c r="B12" i="6"/>
  <c r="B13" i="1"/>
  <c r="AD11" i="7"/>
  <c r="CP11" i="1"/>
  <c r="AF11" i="7" s="1"/>
  <c r="CJ11" i="1"/>
  <c r="BD11" i="6" s="1"/>
  <c r="B13" i="7" l="1"/>
  <c r="B13" i="6"/>
  <c r="B14" i="1"/>
  <c r="J12" i="7"/>
  <c r="AC12" i="1"/>
  <c r="L12" i="7" s="1"/>
  <c r="W12" i="1"/>
  <c r="P12" i="6" s="1"/>
  <c r="AI12" i="7"/>
  <c r="BK12" i="6"/>
  <c r="BY12" i="1"/>
  <c r="AX12" i="6" s="1"/>
  <c r="AL12" i="1"/>
  <c r="Z12" i="6" s="1"/>
  <c r="CL12" i="1"/>
  <c r="BF12" i="6" s="1"/>
  <c r="L12" i="1"/>
  <c r="J12" i="6" s="1"/>
  <c r="AY12" i="1"/>
  <c r="AH12" i="6" s="1"/>
  <c r="CV12" i="1"/>
  <c r="Y12" i="1"/>
  <c r="R12" i="6" s="1"/>
  <c r="BL12" i="1"/>
  <c r="AP12" i="6" s="1"/>
  <c r="AJ12" i="1"/>
  <c r="X12" i="6" s="1"/>
  <c r="N12" i="7"/>
  <c r="AP12" i="1"/>
  <c r="P12" i="7" s="1"/>
  <c r="BJ12" i="1"/>
  <c r="AN12" i="6" s="1"/>
  <c r="V12" i="7"/>
  <c r="BP12" i="1"/>
  <c r="J12" i="1"/>
  <c r="H12" i="6" s="1"/>
  <c r="F12" i="7"/>
  <c r="P12" i="1"/>
  <c r="H12" i="7" s="1"/>
  <c r="CC12" i="1"/>
  <c r="Z12" i="7"/>
  <c r="BW12" i="1"/>
  <c r="AV12" i="6" s="1"/>
  <c r="AJ13" i="7"/>
  <c r="BL13" i="6"/>
  <c r="CU14" i="1"/>
  <c r="BU13" i="1"/>
  <c r="BI13" i="1"/>
  <c r="BQ13" i="1" s="1"/>
  <c r="BH13" i="1"/>
  <c r="AU13" i="1"/>
  <c r="AV13" i="1"/>
  <c r="BD13" i="1" s="1"/>
  <c r="V13" i="1"/>
  <c r="AD13" i="1" s="1"/>
  <c r="I13" i="1"/>
  <c r="Q13" i="1" s="1"/>
  <c r="U13" i="1"/>
  <c r="H13" i="1"/>
  <c r="CT13" i="1"/>
  <c r="BV13" i="1"/>
  <c r="CD13" i="1" s="1"/>
  <c r="CI13" i="1"/>
  <c r="CQ13" i="1" s="1"/>
  <c r="AI13" i="1"/>
  <c r="AQ13" i="1" s="1"/>
  <c r="AH13" i="1"/>
  <c r="CH13" i="1"/>
  <c r="A14" i="7"/>
  <c r="A14" i="6"/>
  <c r="A15" i="1"/>
  <c r="AW12" i="1"/>
  <c r="AF12" i="6" s="1"/>
  <c r="R12" i="7"/>
  <c r="BC12" i="1"/>
  <c r="T12" i="7" s="1"/>
  <c r="BM11" i="6"/>
  <c r="AK11" i="7"/>
  <c r="CJ12" i="1"/>
  <c r="BD12" i="6" s="1"/>
  <c r="AD12" i="7"/>
  <c r="CP12" i="1"/>
  <c r="AF12" i="7" s="1"/>
  <c r="AW13" i="1" l="1"/>
  <c r="AF13" i="6" s="1"/>
  <c r="R13" i="7"/>
  <c r="BC13" i="1"/>
  <c r="BJ13" i="1"/>
  <c r="AN13" i="6" s="1"/>
  <c r="V13" i="7"/>
  <c r="BP13" i="1"/>
  <c r="X13" i="7" s="1"/>
  <c r="BH14" i="1"/>
  <c r="AJ14" i="7"/>
  <c r="BL14" i="6"/>
  <c r="CU15" i="1"/>
  <c r="V14" i="1"/>
  <c r="AD14" i="1" s="1"/>
  <c r="CI14" i="1"/>
  <c r="CQ14" i="1" s="1"/>
  <c r="BV14" i="1"/>
  <c r="CD14" i="1" s="1"/>
  <c r="CT14" i="1"/>
  <c r="U14" i="1"/>
  <c r="H14" i="1"/>
  <c r="I14" i="1"/>
  <c r="BU14" i="1"/>
  <c r="AU14" i="1"/>
  <c r="BI14" i="1"/>
  <c r="AV14" i="1"/>
  <c r="CH14" i="1"/>
  <c r="AH14" i="1"/>
  <c r="AI14" i="1"/>
  <c r="AQ14" i="1" s="1"/>
  <c r="AK12" i="7"/>
  <c r="BM12" i="6"/>
  <c r="Z13" i="7"/>
  <c r="CC13" i="1"/>
  <c r="AB13" i="7" s="1"/>
  <c r="BW13" i="1"/>
  <c r="AV13" i="6" s="1"/>
  <c r="A15" i="6"/>
  <c r="A15" i="7"/>
  <c r="A16" i="1"/>
  <c r="AB12" i="7"/>
  <c r="CJ13" i="1"/>
  <c r="BD13" i="6" s="1"/>
  <c r="AD13" i="7"/>
  <c r="CP13" i="1"/>
  <c r="AJ13" i="1"/>
  <c r="X13" i="6" s="1"/>
  <c r="N13" i="7"/>
  <c r="AP13" i="1"/>
  <c r="B14" i="7"/>
  <c r="B14" i="6"/>
  <c r="B15" i="1"/>
  <c r="X12" i="7"/>
  <c r="BK13" i="6"/>
  <c r="AI13" i="7"/>
  <c r="CV13" i="1"/>
  <c r="BY13" i="1"/>
  <c r="AX13" i="6" s="1"/>
  <c r="L13" i="1"/>
  <c r="J13" i="6" s="1"/>
  <c r="CL13" i="1"/>
  <c r="BF13" i="6" s="1"/>
  <c r="AL13" i="1"/>
  <c r="Z13" i="6" s="1"/>
  <c r="AY13" i="1"/>
  <c r="AH13" i="6" s="1"/>
  <c r="BL13" i="1"/>
  <c r="AP13" i="6" s="1"/>
  <c r="Y13" i="1"/>
  <c r="R13" i="6" s="1"/>
  <c r="F13" i="7"/>
  <c r="P13" i="1"/>
  <c r="H13" i="7" s="1"/>
  <c r="J13" i="1"/>
  <c r="H13" i="6" s="1"/>
  <c r="W13" i="1"/>
  <c r="P13" i="6" s="1"/>
  <c r="J13" i="7"/>
  <c r="AC13" i="1"/>
  <c r="BW14" i="1" l="1"/>
  <c r="AV14" i="6" s="1"/>
  <c r="Z14" i="7"/>
  <c r="CC14" i="1"/>
  <c r="AB14" i="7" s="1"/>
  <c r="AF13" i="7"/>
  <c r="F14" i="7"/>
  <c r="P14" i="1"/>
  <c r="T13" i="7"/>
  <c r="BK14" i="6"/>
  <c r="AI14" i="7"/>
  <c r="CV14" i="1"/>
  <c r="BL14" i="1"/>
  <c r="AP14" i="6" s="1"/>
  <c r="AL14" i="1"/>
  <c r="Z14" i="6" s="1"/>
  <c r="Y14" i="1"/>
  <c r="R14" i="6" s="1"/>
  <c r="CL14" i="1"/>
  <c r="BF14" i="6" s="1"/>
  <c r="BY14" i="1"/>
  <c r="AX14" i="6" s="1"/>
  <c r="L14" i="1"/>
  <c r="J14" i="6" s="1"/>
  <c r="J14" i="7"/>
  <c r="AC14" i="1"/>
  <c r="L14" i="7" s="1"/>
  <c r="W14" i="1"/>
  <c r="P14" i="6" s="1"/>
  <c r="J14" i="1"/>
  <c r="H14" i="6" s="1"/>
  <c r="Q14" i="1"/>
  <c r="AJ15" i="7"/>
  <c r="BL15" i="6"/>
  <c r="BH15" i="1"/>
  <c r="CT15" i="1"/>
  <c r="CU16" i="1"/>
  <c r="CH15" i="1"/>
  <c r="H15" i="1"/>
  <c r="I15" i="1"/>
  <c r="U15" i="1"/>
  <c r="AU15" i="1"/>
  <c r="BV15" i="1"/>
  <c r="CD15" i="1" s="1"/>
  <c r="AV15" i="1"/>
  <c r="BD15" i="1" s="1"/>
  <c r="V15" i="1"/>
  <c r="CI15" i="1"/>
  <c r="CQ15" i="1" s="1"/>
  <c r="BU15" i="1"/>
  <c r="AH15" i="1"/>
  <c r="BI15" i="1"/>
  <c r="BQ15" i="1" s="1"/>
  <c r="AI15" i="1"/>
  <c r="AQ15" i="1" s="1"/>
  <c r="A16" i="7"/>
  <c r="A16" i="6"/>
  <c r="A17" i="1"/>
  <c r="V14" i="7"/>
  <c r="BP14" i="1"/>
  <c r="BM13" i="6"/>
  <c r="AK13" i="7"/>
  <c r="N14" i="7"/>
  <c r="AJ14" i="1"/>
  <c r="X14" i="6" s="1"/>
  <c r="AP14" i="1"/>
  <c r="P14" i="7" s="1"/>
  <c r="AY14" i="1"/>
  <c r="AH14" i="6" s="1"/>
  <c r="BD14" i="1"/>
  <c r="L13" i="7"/>
  <c r="BJ14" i="1"/>
  <c r="AN14" i="6" s="1"/>
  <c r="BQ14" i="1"/>
  <c r="B15" i="6"/>
  <c r="B16" i="1"/>
  <c r="B15" i="7"/>
  <c r="CJ14" i="1"/>
  <c r="BD14" i="6" s="1"/>
  <c r="AD14" i="7"/>
  <c r="CP14" i="1"/>
  <c r="AF14" i="7" s="1"/>
  <c r="P13" i="7"/>
  <c r="R14" i="7"/>
  <c r="BC14" i="1"/>
  <c r="T14" i="7" s="1"/>
  <c r="AW14" i="1"/>
  <c r="AF14" i="6" s="1"/>
  <c r="J15" i="7" l="1"/>
  <c r="AC15" i="1"/>
  <c r="L15" i="7" s="1"/>
  <c r="AK14" i="7"/>
  <c r="BM14" i="6"/>
  <c r="BW15" i="1"/>
  <c r="AV15" i="6" s="1"/>
  <c r="Z15" i="7"/>
  <c r="CC15" i="1"/>
  <c r="W15" i="1"/>
  <c r="P15" i="6" s="1"/>
  <c r="AD15" i="1"/>
  <c r="J15" i="1"/>
  <c r="H15" i="6" s="1"/>
  <c r="Q15" i="1"/>
  <c r="N15" i="7"/>
  <c r="AP15" i="1"/>
  <c r="P15" i="7" s="1"/>
  <c r="AJ15" i="1"/>
  <c r="X15" i="6" s="1"/>
  <c r="B16" i="7"/>
  <c r="B16" i="6"/>
  <c r="B17" i="1"/>
  <c r="R15" i="7"/>
  <c r="BC15" i="1"/>
  <c r="AW15" i="1"/>
  <c r="AF15" i="6" s="1"/>
  <c r="F15" i="7"/>
  <c r="P15" i="1"/>
  <c r="H15" i="7" s="1"/>
  <c r="H14" i="7"/>
  <c r="CP15" i="1"/>
  <c r="AF15" i="7" s="1"/>
  <c r="AD15" i="7"/>
  <c r="CJ15" i="1"/>
  <c r="BD15" i="6" s="1"/>
  <c r="AJ16" i="7"/>
  <c r="BL16" i="6"/>
  <c r="CU17" i="1"/>
  <c r="AU16" i="1"/>
  <c r="AV16" i="1"/>
  <c r="BD16" i="1" s="1"/>
  <c r="V16" i="1"/>
  <c r="AD16" i="1" s="1"/>
  <c r="BH16" i="1"/>
  <c r="U16" i="1"/>
  <c r="BU16" i="1"/>
  <c r="AI16" i="1"/>
  <c r="AQ16" i="1" s="1"/>
  <c r="I16" i="1"/>
  <c r="Q16" i="1" s="1"/>
  <c r="AH16" i="1"/>
  <c r="H16" i="1"/>
  <c r="BV16" i="1"/>
  <c r="CD16" i="1" s="1"/>
  <c r="CI16" i="1"/>
  <c r="CQ16" i="1" s="1"/>
  <c r="CH16" i="1"/>
  <c r="CT16" i="1"/>
  <c r="BI16" i="1"/>
  <c r="BQ16" i="1" s="1"/>
  <c r="AI15" i="7"/>
  <c r="BK15" i="6"/>
  <c r="Y15" i="1"/>
  <c r="R15" i="6" s="1"/>
  <c r="AL15" i="1"/>
  <c r="Z15" i="6" s="1"/>
  <c r="BY15" i="1"/>
  <c r="AX15" i="6" s="1"/>
  <c r="CV15" i="1"/>
  <c r="BL15" i="1"/>
  <c r="AP15" i="6" s="1"/>
  <c r="CL15" i="1"/>
  <c r="BF15" i="6" s="1"/>
  <c r="AY15" i="1"/>
  <c r="AH15" i="6" s="1"/>
  <c r="L15" i="1"/>
  <c r="J15" i="6" s="1"/>
  <c r="V15" i="7"/>
  <c r="BP15" i="1"/>
  <c r="X15" i="7" s="1"/>
  <c r="BJ15" i="1"/>
  <c r="AN15" i="6" s="1"/>
  <c r="X14" i="7"/>
  <c r="A18" i="1"/>
  <c r="A17" i="7"/>
  <c r="A17" i="6"/>
  <c r="B17" i="7" l="1"/>
  <c r="B17" i="6"/>
  <c r="B18" i="1"/>
  <c r="R16" i="7"/>
  <c r="AW16" i="1"/>
  <c r="AF16" i="6" s="1"/>
  <c r="BC16" i="1"/>
  <c r="T16" i="7" s="1"/>
  <c r="T15" i="7"/>
  <c r="AJ16" i="1"/>
  <c r="X16" i="6" s="1"/>
  <c r="N16" i="7"/>
  <c r="AP16" i="1"/>
  <c r="P16" i="7" s="1"/>
  <c r="Z16" i="7"/>
  <c r="CC16" i="1"/>
  <c r="AB16" i="7" s="1"/>
  <c r="BW16" i="1"/>
  <c r="AV16" i="6" s="1"/>
  <c r="F16" i="7"/>
  <c r="J16" i="1"/>
  <c r="H16" i="6" s="1"/>
  <c r="P16" i="1"/>
  <c r="BJ16" i="1"/>
  <c r="AN16" i="6" s="1"/>
  <c r="V16" i="7"/>
  <c r="BP16" i="1"/>
  <c r="A18" i="6"/>
  <c r="A18" i="7"/>
  <c r="A19" i="1"/>
  <c r="W16" i="1"/>
  <c r="P16" i="6" s="1"/>
  <c r="J16" i="7"/>
  <c r="AC16" i="1"/>
  <c r="BL17" i="6"/>
  <c r="CU18" i="1"/>
  <c r="AJ17" i="7"/>
  <c r="I17" i="1"/>
  <c r="Q17" i="1" s="1"/>
  <c r="H17" i="1"/>
  <c r="BI17" i="1"/>
  <c r="BQ17" i="1" s="1"/>
  <c r="AH17" i="1"/>
  <c r="BH17" i="1"/>
  <c r="AI17" i="1"/>
  <c r="AQ17" i="1" s="1"/>
  <c r="AU17" i="1"/>
  <c r="AV17" i="1"/>
  <c r="V17" i="1"/>
  <c r="AD17" i="1" s="1"/>
  <c r="CI17" i="1"/>
  <c r="CQ17" i="1" s="1"/>
  <c r="U17" i="1"/>
  <c r="CH17" i="1"/>
  <c r="BV17" i="1"/>
  <c r="CT17" i="1"/>
  <c r="BU17" i="1"/>
  <c r="AK15" i="7"/>
  <c r="BM15" i="6"/>
  <c r="AB15" i="7"/>
  <c r="BK16" i="6"/>
  <c r="AI16" i="7"/>
  <c r="AY16" i="1"/>
  <c r="AH16" i="6" s="1"/>
  <c r="BY16" i="1"/>
  <c r="AX16" i="6" s="1"/>
  <c r="CV16" i="1"/>
  <c r="Y16" i="1"/>
  <c r="R16" i="6" s="1"/>
  <c r="CL16" i="1"/>
  <c r="BF16" i="6" s="1"/>
  <c r="BL16" i="1"/>
  <c r="AP16" i="6" s="1"/>
  <c r="AL16" i="1"/>
  <c r="Z16" i="6" s="1"/>
  <c r="L16" i="1"/>
  <c r="J16" i="6" s="1"/>
  <c r="CP16" i="1"/>
  <c r="AD16" i="7"/>
  <c r="CJ16" i="1"/>
  <c r="BD16" i="6" s="1"/>
  <c r="Z17" i="7" l="1"/>
  <c r="CC17" i="1"/>
  <c r="AB17" i="7" s="1"/>
  <c r="AD17" i="7"/>
  <c r="CP17" i="1"/>
  <c r="AF17" i="7" s="1"/>
  <c r="CJ17" i="1"/>
  <c r="BD17" i="6" s="1"/>
  <c r="AK16" i="7"/>
  <c r="BM16" i="6"/>
  <c r="X16" i="7"/>
  <c r="R17" i="7"/>
  <c r="BC17" i="1"/>
  <c r="BJ17" i="1"/>
  <c r="AN17" i="6" s="1"/>
  <c r="V17" i="7"/>
  <c r="BP17" i="1"/>
  <c r="X17" i="7" s="1"/>
  <c r="F17" i="7"/>
  <c r="J17" i="1"/>
  <c r="H17" i="6" s="1"/>
  <c r="P17" i="1"/>
  <c r="H17" i="7" s="1"/>
  <c r="L16" i="7"/>
  <c r="B18" i="6"/>
  <c r="B18" i="7"/>
  <c r="B19" i="1"/>
  <c r="N17" i="7"/>
  <c r="AP17" i="1"/>
  <c r="P17" i="7" s="1"/>
  <c r="AJ17" i="1"/>
  <c r="X17" i="6" s="1"/>
  <c r="AV18" i="1"/>
  <c r="BD18" i="1" s="1"/>
  <c r="AJ18" i="7"/>
  <c r="BL18" i="6"/>
  <c r="CU19" i="1"/>
  <c r="BH18" i="1"/>
  <c r="AI18" i="1"/>
  <c r="AQ18" i="1" s="1"/>
  <c r="AH18" i="1"/>
  <c r="V18" i="1"/>
  <c r="AD18" i="1" s="1"/>
  <c r="AU18" i="1"/>
  <c r="BI18" i="1"/>
  <c r="BQ18" i="1" s="1"/>
  <c r="CT18" i="1"/>
  <c r="BU18" i="1"/>
  <c r="I18" i="1"/>
  <c r="Q18" i="1" s="1"/>
  <c r="H18" i="1"/>
  <c r="CH18" i="1"/>
  <c r="CI18" i="1"/>
  <c r="CQ18" i="1" s="1"/>
  <c r="BV18" i="1"/>
  <c r="CD18" i="1" s="1"/>
  <c r="U18" i="1"/>
  <c r="CV17" i="1"/>
  <c r="BK17" i="6"/>
  <c r="AI17" i="7"/>
  <c r="AL17" i="1"/>
  <c r="Z17" i="6" s="1"/>
  <c r="BY17" i="1"/>
  <c r="AX17" i="6" s="1"/>
  <c r="BL17" i="1"/>
  <c r="AP17" i="6" s="1"/>
  <c r="Y17" i="1"/>
  <c r="R17" i="6" s="1"/>
  <c r="AY17" i="1"/>
  <c r="AH17" i="6" s="1"/>
  <c r="CL17" i="1"/>
  <c r="BF17" i="6" s="1"/>
  <c r="L17" i="1"/>
  <c r="J17" i="6" s="1"/>
  <c r="BW17" i="1"/>
  <c r="AV17" i="6" s="1"/>
  <c r="CD17" i="1"/>
  <c r="W17" i="1"/>
  <c r="P17" i="6" s="1"/>
  <c r="J17" i="7"/>
  <c r="AC17" i="1"/>
  <c r="L17" i="7" s="1"/>
  <c r="H16" i="7"/>
  <c r="AF16" i="7"/>
  <c r="AW17" i="1"/>
  <c r="AF17" i="6" s="1"/>
  <c r="BD17" i="1"/>
  <c r="A19" i="7"/>
  <c r="A19" i="6"/>
  <c r="A20" i="1"/>
  <c r="BM17" i="6" l="1"/>
  <c r="AK17" i="7"/>
  <c r="B19" i="7"/>
  <c r="B19" i="6"/>
  <c r="B20" i="1"/>
  <c r="W18" i="1"/>
  <c r="P18" i="6" s="1"/>
  <c r="J18" i="7"/>
  <c r="AC18" i="1"/>
  <c r="L18" i="7" s="1"/>
  <c r="J18" i="1"/>
  <c r="H18" i="6" s="1"/>
  <c r="F18" i="7"/>
  <c r="P18" i="1"/>
  <c r="H18" i="7" s="1"/>
  <c r="BW18" i="1"/>
  <c r="AV18" i="6" s="1"/>
  <c r="Z18" i="7"/>
  <c r="CC18" i="1"/>
  <c r="AB18" i="7" s="1"/>
  <c r="CV18" i="1"/>
  <c r="BK18" i="6"/>
  <c r="AI18" i="7"/>
  <c r="AL18" i="1"/>
  <c r="Z18" i="6" s="1"/>
  <c r="CL18" i="1"/>
  <c r="BF18" i="6" s="1"/>
  <c r="AY18" i="1"/>
  <c r="AH18" i="6" s="1"/>
  <c r="L18" i="1"/>
  <c r="J18" i="6" s="1"/>
  <c r="BL18" i="1"/>
  <c r="AP18" i="6" s="1"/>
  <c r="Y18" i="1"/>
  <c r="R18" i="6" s="1"/>
  <c r="BY18" i="1"/>
  <c r="AX18" i="6" s="1"/>
  <c r="AW18" i="1"/>
  <c r="AF18" i="6" s="1"/>
  <c r="R18" i="7"/>
  <c r="BC18" i="1"/>
  <c r="T18" i="7" s="1"/>
  <c r="T17" i="7"/>
  <c r="BJ18" i="1"/>
  <c r="AN18" i="6" s="1"/>
  <c r="V18" i="7"/>
  <c r="BP18" i="1"/>
  <c r="X18" i="7" s="1"/>
  <c r="AP18" i="1"/>
  <c r="P18" i="7" s="1"/>
  <c r="N18" i="7"/>
  <c r="AJ18" i="1"/>
  <c r="X18" i="6" s="1"/>
  <c r="AH19" i="1"/>
  <c r="AJ19" i="7"/>
  <c r="BL19" i="6"/>
  <c r="CU20" i="1"/>
  <c r="CT19" i="1"/>
  <c r="H19" i="1"/>
  <c r="V19" i="1"/>
  <c r="AD19" i="1" s="1"/>
  <c r="U19" i="1"/>
  <c r="AV19" i="1"/>
  <c r="BD19" i="1" s="1"/>
  <c r="BI19" i="1"/>
  <c r="BQ19" i="1" s="1"/>
  <c r="AU19" i="1"/>
  <c r="BH19" i="1"/>
  <c r="CI19" i="1"/>
  <c r="CQ19" i="1" s="1"/>
  <c r="AI19" i="1"/>
  <c r="AQ19" i="1" s="1"/>
  <c r="CH19" i="1"/>
  <c r="BU19" i="1"/>
  <c r="BV19" i="1"/>
  <c r="CD19" i="1" s="1"/>
  <c r="I19" i="1"/>
  <c r="Q19" i="1" s="1"/>
  <c r="A20" i="7"/>
  <c r="A20" i="6"/>
  <c r="A21" i="1"/>
  <c r="CP18" i="1"/>
  <c r="AF18" i="7" s="1"/>
  <c r="AD18" i="7"/>
  <c r="CJ18" i="1"/>
  <c r="BD18" i="6" s="1"/>
  <c r="AK18" i="7" l="1"/>
  <c r="BM18" i="6"/>
  <c r="W19" i="1"/>
  <c r="P19" i="6" s="1"/>
  <c r="J19" i="7"/>
  <c r="AC19" i="1"/>
  <c r="L19" i="7" s="1"/>
  <c r="A21" i="6"/>
  <c r="A21" i="7"/>
  <c r="A22" i="1"/>
  <c r="AJ20" i="7"/>
  <c r="BL20" i="6"/>
  <c r="CU21" i="1"/>
  <c r="BI20" i="1"/>
  <c r="BQ20" i="1" s="1"/>
  <c r="CI20" i="1"/>
  <c r="CQ20" i="1" s="1"/>
  <c r="BH20" i="1"/>
  <c r="V20" i="1"/>
  <c r="AD20" i="1" s="1"/>
  <c r="I20" i="1"/>
  <c r="Q20" i="1" s="1"/>
  <c r="H20" i="1"/>
  <c r="AH20" i="1"/>
  <c r="CT20" i="1"/>
  <c r="AI20" i="1"/>
  <c r="AQ20" i="1" s="1"/>
  <c r="CH20" i="1"/>
  <c r="AV20" i="1"/>
  <c r="BD20" i="1" s="1"/>
  <c r="AU20" i="1"/>
  <c r="U20" i="1"/>
  <c r="BV20" i="1"/>
  <c r="CD20" i="1" s="1"/>
  <c r="BU20" i="1"/>
  <c r="AI19" i="7"/>
  <c r="BK19" i="6"/>
  <c r="BY19" i="1"/>
  <c r="AX19" i="6" s="1"/>
  <c r="CL19" i="1"/>
  <c r="BF19" i="6" s="1"/>
  <c r="CV19" i="1"/>
  <c r="L19" i="1"/>
  <c r="J19" i="6" s="1"/>
  <c r="BL19" i="1"/>
  <c r="AP19" i="6" s="1"/>
  <c r="AL19" i="1"/>
  <c r="Z19" i="6" s="1"/>
  <c r="AY19" i="1"/>
  <c r="AH19" i="6" s="1"/>
  <c r="Y19" i="1"/>
  <c r="R19" i="6" s="1"/>
  <c r="BW19" i="1"/>
  <c r="AV19" i="6" s="1"/>
  <c r="Z19" i="7"/>
  <c r="CC19" i="1"/>
  <c r="AB19" i="7" s="1"/>
  <c r="AJ19" i="1"/>
  <c r="X19" i="6" s="1"/>
  <c r="N19" i="7"/>
  <c r="AP19" i="1"/>
  <c r="P19" i="7" s="1"/>
  <c r="F19" i="7"/>
  <c r="P19" i="1"/>
  <c r="H19" i="7" s="1"/>
  <c r="J19" i="1"/>
  <c r="H19" i="6" s="1"/>
  <c r="B20" i="7"/>
  <c r="B20" i="6"/>
  <c r="B21" i="1"/>
  <c r="CJ19" i="1"/>
  <c r="BD19" i="6" s="1"/>
  <c r="AD19" i="7"/>
  <c r="CP19" i="1"/>
  <c r="AF19" i="7" s="1"/>
  <c r="BJ19" i="1"/>
  <c r="AN19" i="6" s="1"/>
  <c r="V19" i="7"/>
  <c r="BP19" i="1"/>
  <c r="X19" i="7" s="1"/>
  <c r="AW19" i="1"/>
  <c r="AF19" i="6" s="1"/>
  <c r="R19" i="7"/>
  <c r="BC19" i="1"/>
  <c r="T19" i="7" s="1"/>
  <c r="AI20" i="7" l="1"/>
  <c r="BK20" i="6"/>
  <c r="BY20" i="1"/>
  <c r="AX20" i="6" s="1"/>
  <c r="AL20" i="1"/>
  <c r="Z20" i="6" s="1"/>
  <c r="CL20" i="1"/>
  <c r="BF20" i="6" s="1"/>
  <c r="AY20" i="1"/>
  <c r="AH20" i="6" s="1"/>
  <c r="L20" i="1"/>
  <c r="J20" i="6" s="1"/>
  <c r="BL20" i="1"/>
  <c r="AP20" i="6" s="1"/>
  <c r="Y20" i="1"/>
  <c r="R20" i="6" s="1"/>
  <c r="CV20" i="1"/>
  <c r="AD20" i="7"/>
  <c r="CP20" i="1"/>
  <c r="AF20" i="7" s="1"/>
  <c r="CJ20" i="1"/>
  <c r="BD20" i="6" s="1"/>
  <c r="F20" i="7"/>
  <c r="P20" i="1"/>
  <c r="H20" i="7" s="1"/>
  <c r="J20" i="1"/>
  <c r="H20" i="6" s="1"/>
  <c r="V21" i="1"/>
  <c r="AD21" i="1" s="1"/>
  <c r="AJ21" i="7"/>
  <c r="BL21" i="6"/>
  <c r="CU22" i="1"/>
  <c r="H21" i="1"/>
  <c r="AI21" i="1"/>
  <c r="AQ21" i="1" s="1"/>
  <c r="U21" i="1"/>
  <c r="BI21" i="1"/>
  <c r="BQ21" i="1" s="1"/>
  <c r="AV21" i="1"/>
  <c r="BD21" i="1" s="1"/>
  <c r="AU21" i="1"/>
  <c r="I21" i="1"/>
  <c r="Q21" i="1" s="1"/>
  <c r="BH21" i="1"/>
  <c r="BV21" i="1"/>
  <c r="CD21" i="1" s="1"/>
  <c r="CI21" i="1"/>
  <c r="CQ21" i="1" s="1"/>
  <c r="CH21" i="1"/>
  <c r="CT21" i="1"/>
  <c r="BU21" i="1"/>
  <c r="AH21" i="1"/>
  <c r="AJ20" i="1"/>
  <c r="X20" i="6" s="1"/>
  <c r="N20" i="7"/>
  <c r="AP20" i="1"/>
  <c r="P20" i="7" s="1"/>
  <c r="V20" i="7"/>
  <c r="BP20" i="1"/>
  <c r="X20" i="7" s="1"/>
  <c r="BJ20" i="1"/>
  <c r="AN20" i="6" s="1"/>
  <c r="AK19" i="7"/>
  <c r="BM19" i="6"/>
  <c r="A22" i="6"/>
  <c r="A22" i="7"/>
  <c r="A23" i="1"/>
  <c r="B21" i="7"/>
  <c r="B21" i="6"/>
  <c r="B22" i="1"/>
  <c r="Z20" i="7"/>
  <c r="BW20" i="1"/>
  <c r="AV20" i="6" s="1"/>
  <c r="CC20" i="1"/>
  <c r="AB20" i="7" s="1"/>
  <c r="W20" i="1"/>
  <c r="P20" i="6" s="1"/>
  <c r="J20" i="7"/>
  <c r="AC20" i="1"/>
  <c r="L20" i="7" s="1"/>
  <c r="AW20" i="1"/>
  <c r="AF20" i="6" s="1"/>
  <c r="R20" i="7"/>
  <c r="BC20" i="1"/>
  <c r="T20" i="7" s="1"/>
  <c r="AJ22" i="7" l="1"/>
  <c r="BL22" i="6"/>
  <c r="CU23" i="1"/>
  <c r="AH22" i="1"/>
  <c r="CT22" i="1"/>
  <c r="V22" i="1"/>
  <c r="AD22" i="1" s="1"/>
  <c r="BI22" i="1"/>
  <c r="BQ22" i="1" s="1"/>
  <c r="U22" i="1"/>
  <c r="I22" i="1"/>
  <c r="Q22" i="1" s="1"/>
  <c r="AV22" i="1"/>
  <c r="BD22" i="1" s="1"/>
  <c r="AU22" i="1"/>
  <c r="H22" i="1"/>
  <c r="CI22" i="1"/>
  <c r="CQ22" i="1" s="1"/>
  <c r="CH22" i="1"/>
  <c r="BV22" i="1"/>
  <c r="BH22" i="1"/>
  <c r="BU22" i="1"/>
  <c r="AI22" i="1"/>
  <c r="AQ22" i="1" s="1"/>
  <c r="BW21" i="1"/>
  <c r="AV21" i="6" s="1"/>
  <c r="Z21" i="7"/>
  <c r="CC21" i="1"/>
  <c r="AB21" i="7" s="1"/>
  <c r="AI21" i="7"/>
  <c r="BK21" i="6"/>
  <c r="CL21" i="1"/>
  <c r="BF21" i="6" s="1"/>
  <c r="CV21" i="1"/>
  <c r="BL21" i="1"/>
  <c r="AP21" i="6" s="1"/>
  <c r="AY21" i="1"/>
  <c r="AH21" i="6" s="1"/>
  <c r="L21" i="1"/>
  <c r="J21" i="6" s="1"/>
  <c r="Y21" i="1"/>
  <c r="R21" i="6" s="1"/>
  <c r="BY21" i="1"/>
  <c r="AX21" i="6" s="1"/>
  <c r="AL21" i="1"/>
  <c r="Z21" i="6" s="1"/>
  <c r="J21" i="1"/>
  <c r="H21" i="6" s="1"/>
  <c r="F21" i="7"/>
  <c r="P21" i="1"/>
  <c r="H21" i="7" s="1"/>
  <c r="CJ21" i="1"/>
  <c r="BD21" i="6" s="1"/>
  <c r="AD21" i="7"/>
  <c r="CP21" i="1"/>
  <c r="AF21" i="7" s="1"/>
  <c r="BJ21" i="1"/>
  <c r="AN21" i="6" s="1"/>
  <c r="V21" i="7"/>
  <c r="BP21" i="1"/>
  <c r="X21" i="7" s="1"/>
  <c r="B22" i="7"/>
  <c r="B22" i="6"/>
  <c r="B23" i="1"/>
  <c r="R21" i="7"/>
  <c r="BC21" i="1"/>
  <c r="T21" i="7" s="1"/>
  <c r="AW21" i="1"/>
  <c r="AF21" i="6" s="1"/>
  <c r="N21" i="7"/>
  <c r="AP21" i="1"/>
  <c r="P21" i="7" s="1"/>
  <c r="AJ21" i="1"/>
  <c r="X21" i="6" s="1"/>
  <c r="AK20" i="7"/>
  <c r="BM20" i="6"/>
  <c r="A23" i="7"/>
  <c r="A23" i="6"/>
  <c r="A24" i="1"/>
  <c r="W21" i="1"/>
  <c r="P21" i="6" s="1"/>
  <c r="J21" i="7"/>
  <c r="AC21" i="1"/>
  <c r="L21" i="7" s="1"/>
  <c r="Z22" i="7" l="1"/>
  <c r="BW22" i="1"/>
  <c r="AV22" i="6" s="1"/>
  <c r="CC22" i="1"/>
  <c r="AB22" i="7" s="1"/>
  <c r="BP22" i="1"/>
  <c r="X22" i="7" s="1"/>
  <c r="V22" i="7"/>
  <c r="BJ22" i="1"/>
  <c r="AN22" i="6" s="1"/>
  <c r="BY22" i="1"/>
  <c r="AX22" i="6" s="1"/>
  <c r="CD22" i="1"/>
  <c r="CP22" i="1"/>
  <c r="AF22" i="7" s="1"/>
  <c r="AD22" i="7"/>
  <c r="CJ22" i="1"/>
  <c r="BD22" i="6" s="1"/>
  <c r="F22" i="7"/>
  <c r="P22" i="1"/>
  <c r="H22" i="7" s="1"/>
  <c r="J22" i="1"/>
  <c r="H22" i="6" s="1"/>
  <c r="B23" i="7"/>
  <c r="B23" i="6"/>
  <c r="B24" i="1"/>
  <c r="W22" i="1"/>
  <c r="P22" i="6" s="1"/>
  <c r="J22" i="7"/>
  <c r="AC22" i="1"/>
  <c r="L22" i="7" s="1"/>
  <c r="N22" i="7"/>
  <c r="AJ22" i="1"/>
  <c r="X22" i="6" s="1"/>
  <c r="AP22" i="1"/>
  <c r="P22" i="7" s="1"/>
  <c r="AK21" i="7"/>
  <c r="BM21" i="6"/>
  <c r="BL23" i="6"/>
  <c r="AJ23" i="7"/>
  <c r="AV23" i="1"/>
  <c r="BD23" i="1" s="1"/>
  <c r="AU23" i="1"/>
  <c r="BV23" i="1"/>
  <c r="CD23" i="1" s="1"/>
  <c r="CU24" i="1"/>
  <c r="U23" i="1"/>
  <c r="CT23" i="1"/>
  <c r="BU23" i="1"/>
  <c r="CI23" i="1"/>
  <c r="CQ23" i="1" s="1"/>
  <c r="V23" i="1"/>
  <c r="AD23" i="1" s="1"/>
  <c r="CH23" i="1"/>
  <c r="BI23" i="1"/>
  <c r="BQ23" i="1" s="1"/>
  <c r="AI23" i="1"/>
  <c r="AQ23" i="1" s="1"/>
  <c r="BH23" i="1"/>
  <c r="AH23" i="1"/>
  <c r="I23" i="1"/>
  <c r="Q23" i="1" s="1"/>
  <c r="H23" i="1"/>
  <c r="R22" i="7"/>
  <c r="AW22" i="1"/>
  <c r="AF22" i="6" s="1"/>
  <c r="BC22" i="1"/>
  <c r="T22" i="7" s="1"/>
  <c r="AI22" i="7"/>
  <c r="BK22" i="6"/>
  <c r="CV22" i="1"/>
  <c r="BL22" i="1"/>
  <c r="AP22" i="6" s="1"/>
  <c r="AY22" i="1"/>
  <c r="AH22" i="6" s="1"/>
  <c r="AL22" i="1"/>
  <c r="Z22" i="6" s="1"/>
  <c r="CL22" i="1"/>
  <c r="BF22" i="6" s="1"/>
  <c r="Y22" i="1"/>
  <c r="R22" i="6" s="1"/>
  <c r="L22" i="1"/>
  <c r="J22" i="6" s="1"/>
  <c r="A24" i="7"/>
  <c r="A24" i="6"/>
  <c r="A25" i="1"/>
  <c r="F23" i="7" l="1"/>
  <c r="P23" i="1"/>
  <c r="H23" i="7" s="1"/>
  <c r="J23" i="1"/>
  <c r="H23" i="6" s="1"/>
  <c r="A25" i="7"/>
  <c r="A25" i="6"/>
  <c r="A26" i="1"/>
  <c r="B24" i="6"/>
  <c r="B24" i="7"/>
  <c r="B25" i="1"/>
  <c r="AJ23" i="1"/>
  <c r="X23" i="6" s="1"/>
  <c r="N23" i="7"/>
  <c r="AP23" i="1"/>
  <c r="P23" i="7" s="1"/>
  <c r="BJ23" i="1"/>
  <c r="AN23" i="6" s="1"/>
  <c r="V23" i="7"/>
  <c r="BP23" i="1"/>
  <c r="X23" i="7" s="1"/>
  <c r="CJ23" i="1"/>
  <c r="BD23" i="6" s="1"/>
  <c r="AD23" i="7"/>
  <c r="CP23" i="1"/>
  <c r="AF23" i="7" s="1"/>
  <c r="Z23" i="7"/>
  <c r="BW23" i="1"/>
  <c r="AV23" i="6" s="1"/>
  <c r="CC23" i="1"/>
  <c r="AB23" i="7" s="1"/>
  <c r="W23" i="1"/>
  <c r="P23" i="6" s="1"/>
  <c r="J23" i="7"/>
  <c r="AC23" i="1"/>
  <c r="L23" i="7" s="1"/>
  <c r="AJ24" i="7"/>
  <c r="BL24" i="6"/>
  <c r="CU25" i="1"/>
  <c r="AV24" i="1"/>
  <c r="BD24" i="1" s="1"/>
  <c r="AH24" i="1"/>
  <c r="BV24" i="1"/>
  <c r="CD24" i="1" s="1"/>
  <c r="BU24" i="1"/>
  <c r="AU24" i="1"/>
  <c r="CI24" i="1"/>
  <c r="CQ24" i="1" s="1"/>
  <c r="CH24" i="1"/>
  <c r="H24" i="1"/>
  <c r="CT24" i="1"/>
  <c r="I24" i="1"/>
  <c r="Q24" i="1" s="1"/>
  <c r="BI24" i="1"/>
  <c r="BQ24" i="1" s="1"/>
  <c r="BH24" i="1"/>
  <c r="V24" i="1"/>
  <c r="AD24" i="1" s="1"/>
  <c r="U24" i="1"/>
  <c r="AI24" i="1"/>
  <c r="R23" i="7"/>
  <c r="AW23" i="1"/>
  <c r="AF23" i="6" s="1"/>
  <c r="BC23" i="1"/>
  <c r="T23" i="7" s="1"/>
  <c r="CV23" i="1"/>
  <c r="BK23" i="6"/>
  <c r="AI23" i="7"/>
  <c r="CL23" i="1"/>
  <c r="BF23" i="6" s="1"/>
  <c r="AL23" i="1"/>
  <c r="Z23" i="6" s="1"/>
  <c r="AY23" i="1"/>
  <c r="AH23" i="6" s="1"/>
  <c r="BL23" i="1"/>
  <c r="AP23" i="6" s="1"/>
  <c r="BY23" i="1"/>
  <c r="AX23" i="6" s="1"/>
  <c r="L23" i="1"/>
  <c r="J23" i="6" s="1"/>
  <c r="Y23" i="1"/>
  <c r="R23" i="6" s="1"/>
  <c r="AK22" i="7"/>
  <c r="BM22" i="6"/>
  <c r="AJ24" i="1" l="1"/>
  <c r="X24" i="6" s="1"/>
  <c r="AQ24" i="1"/>
  <c r="W24" i="1"/>
  <c r="P24" i="6" s="1"/>
  <c r="J24" i="7"/>
  <c r="AC24" i="1"/>
  <c r="L24" i="7" s="1"/>
  <c r="BJ24" i="1"/>
  <c r="AN24" i="6" s="1"/>
  <c r="V24" i="7"/>
  <c r="BP24" i="1"/>
  <c r="X24" i="7" s="1"/>
  <c r="L24" i="1"/>
  <c r="J24" i="6" s="1"/>
  <c r="F24" i="7"/>
  <c r="J24" i="1"/>
  <c r="H24" i="6" s="1"/>
  <c r="P24" i="1"/>
  <c r="H24" i="7" s="1"/>
  <c r="AD24" i="7"/>
  <c r="CJ24" i="1"/>
  <c r="BD24" i="6" s="1"/>
  <c r="CP24" i="1"/>
  <c r="AF24" i="7" s="1"/>
  <c r="B25" i="7"/>
  <c r="B25" i="6"/>
  <c r="B26" i="1"/>
  <c r="AI24" i="7"/>
  <c r="BK24" i="6"/>
  <c r="AL24" i="1"/>
  <c r="Z24" i="6" s="1"/>
  <c r="AY24" i="1"/>
  <c r="AH24" i="6" s="1"/>
  <c r="CV24" i="1"/>
  <c r="BL24" i="1"/>
  <c r="AP24" i="6" s="1"/>
  <c r="BY24" i="1"/>
  <c r="AX24" i="6" s="1"/>
  <c r="CL24" i="1"/>
  <c r="BF24" i="6" s="1"/>
  <c r="Y24" i="1"/>
  <c r="R24" i="6" s="1"/>
  <c r="Z24" i="7"/>
  <c r="CC24" i="1"/>
  <c r="AB24" i="7" s="1"/>
  <c r="BW24" i="1"/>
  <c r="AV24" i="6" s="1"/>
  <c r="A26" i="6"/>
  <c r="A26" i="7"/>
  <c r="A27" i="1"/>
  <c r="CT25" i="1"/>
  <c r="BL25" i="6"/>
  <c r="AJ25" i="7"/>
  <c r="CH25" i="1"/>
  <c r="CU26" i="1"/>
  <c r="AV25" i="1"/>
  <c r="BD25" i="1" s="1"/>
  <c r="U25" i="1"/>
  <c r="AU25" i="1"/>
  <c r="H25" i="1"/>
  <c r="BI25" i="1"/>
  <c r="BQ25" i="1" s="1"/>
  <c r="BH25" i="1"/>
  <c r="AI25" i="1"/>
  <c r="I25" i="1"/>
  <c r="Q25" i="1" s="1"/>
  <c r="CI25" i="1"/>
  <c r="CQ25" i="1" s="1"/>
  <c r="BV25" i="1"/>
  <c r="CD25" i="1" s="1"/>
  <c r="BU25" i="1"/>
  <c r="AH25" i="1"/>
  <c r="V25" i="1"/>
  <c r="AD25" i="1" s="1"/>
  <c r="AW24" i="1"/>
  <c r="AF24" i="6" s="1"/>
  <c r="R24" i="7"/>
  <c r="BC24" i="1"/>
  <c r="T24" i="7" s="1"/>
  <c r="N24" i="7"/>
  <c r="AP24" i="1"/>
  <c r="P24" i="7" s="1"/>
  <c r="AK23" i="7"/>
  <c r="BM23" i="6"/>
  <c r="F25" i="7" l="1"/>
  <c r="J25" i="1"/>
  <c r="H25" i="6" s="1"/>
  <c r="P25" i="1"/>
  <c r="H25" i="7" s="1"/>
  <c r="BJ25" i="1"/>
  <c r="AN25" i="6" s="1"/>
  <c r="V25" i="7"/>
  <c r="BP25" i="1"/>
  <c r="X25" i="7" s="1"/>
  <c r="BL26" i="6"/>
  <c r="CU27" i="1"/>
  <c r="AJ26" i="7"/>
  <c r="V26" i="1"/>
  <c r="AD26" i="1" s="1"/>
  <c r="AH26" i="1"/>
  <c r="CI26" i="1"/>
  <c r="BU26" i="1"/>
  <c r="H26" i="1"/>
  <c r="BI26" i="1"/>
  <c r="BQ26" i="1" s="1"/>
  <c r="AI26" i="1"/>
  <c r="AQ26" i="1" s="1"/>
  <c r="BH26" i="1"/>
  <c r="AU26" i="1"/>
  <c r="BV26" i="1"/>
  <c r="CD26" i="1" s="1"/>
  <c r="CH26" i="1"/>
  <c r="I26" i="1"/>
  <c r="Q26" i="1" s="1"/>
  <c r="AV26" i="1"/>
  <c r="BD26" i="1" s="1"/>
  <c r="CT26" i="1"/>
  <c r="U26" i="1"/>
  <c r="W25" i="1"/>
  <c r="P25" i="6" s="1"/>
  <c r="J25" i="7"/>
  <c r="AC25" i="1"/>
  <c r="L25" i="7" s="1"/>
  <c r="AD25" i="7"/>
  <c r="CJ25" i="1"/>
  <c r="BD25" i="6" s="1"/>
  <c r="CP25" i="1"/>
  <c r="AF25" i="7" s="1"/>
  <c r="R25" i="7"/>
  <c r="AW25" i="1"/>
  <c r="AF25" i="6" s="1"/>
  <c r="BC25" i="1"/>
  <c r="T25" i="7" s="1"/>
  <c r="B26" i="6"/>
  <c r="B26" i="7"/>
  <c r="B27" i="1"/>
  <c r="A27" i="6"/>
  <c r="A28" i="1"/>
  <c r="A27" i="7"/>
  <c r="BK25" i="6"/>
  <c r="AI25" i="7"/>
  <c r="BL25" i="1"/>
  <c r="AP25" i="6" s="1"/>
  <c r="CL25" i="1"/>
  <c r="BF25" i="6" s="1"/>
  <c r="L25" i="1"/>
  <c r="J25" i="6" s="1"/>
  <c r="CV25" i="1"/>
  <c r="BY25" i="1"/>
  <c r="AX25" i="6" s="1"/>
  <c r="Y25" i="1"/>
  <c r="R25" i="6" s="1"/>
  <c r="AY25" i="1"/>
  <c r="AH25" i="6" s="1"/>
  <c r="N25" i="7"/>
  <c r="AP25" i="1"/>
  <c r="P25" i="7" s="1"/>
  <c r="AJ25" i="1"/>
  <c r="X25" i="6" s="1"/>
  <c r="BW25" i="1"/>
  <c r="AV25" i="6" s="1"/>
  <c r="Z25" i="7"/>
  <c r="CC25" i="1"/>
  <c r="AB25" i="7" s="1"/>
  <c r="AL25" i="1"/>
  <c r="Z25" i="6" s="1"/>
  <c r="AQ25" i="1"/>
  <c r="AK24" i="7"/>
  <c r="BM24" i="6"/>
  <c r="AD26" i="7" l="1"/>
  <c r="CP26" i="1"/>
  <c r="AF26" i="7" s="1"/>
  <c r="R26" i="7"/>
  <c r="AW26" i="1"/>
  <c r="AF26" i="6" s="1"/>
  <c r="BC26" i="1"/>
  <c r="T26" i="7" s="1"/>
  <c r="B27" i="7"/>
  <c r="B27" i="6"/>
  <c r="B28" i="1"/>
  <c r="CJ26" i="1"/>
  <c r="BD26" i="6" s="1"/>
  <c r="CQ26" i="1"/>
  <c r="AJ27" i="7"/>
  <c r="BL27" i="6"/>
  <c r="CU28" i="1"/>
  <c r="CI27" i="1"/>
  <c r="CQ27" i="1" s="1"/>
  <c r="CH27" i="1"/>
  <c r="V27" i="1"/>
  <c r="AD27" i="1" s="1"/>
  <c r="U27" i="1"/>
  <c r="BU27" i="1"/>
  <c r="CT27" i="1"/>
  <c r="I27" i="1"/>
  <c r="Q27" i="1" s="1"/>
  <c r="BI27" i="1"/>
  <c r="BQ27" i="1" s="1"/>
  <c r="BH27" i="1"/>
  <c r="AV27" i="1"/>
  <c r="BD27" i="1" s="1"/>
  <c r="BV27" i="1"/>
  <c r="CD27" i="1" s="1"/>
  <c r="AU27" i="1"/>
  <c r="H27" i="1"/>
  <c r="AI27" i="1"/>
  <c r="AQ27" i="1" s="1"/>
  <c r="AH27" i="1"/>
  <c r="BW26" i="1"/>
  <c r="AV26" i="6" s="1"/>
  <c r="Z26" i="7"/>
  <c r="CC26" i="1"/>
  <c r="AB26" i="7" s="1"/>
  <c r="V26" i="7"/>
  <c r="BJ26" i="1"/>
  <c r="AN26" i="6" s="1"/>
  <c r="BP26" i="1"/>
  <c r="X26" i="7" s="1"/>
  <c r="A29" i="1"/>
  <c r="A28" i="6"/>
  <c r="A28" i="7"/>
  <c r="F26" i="7"/>
  <c r="J26" i="1"/>
  <c r="H26" i="6" s="1"/>
  <c r="P26" i="1"/>
  <c r="H26" i="7" s="1"/>
  <c r="N26" i="7"/>
  <c r="AP26" i="1"/>
  <c r="P26" i="7" s="1"/>
  <c r="AJ26" i="1"/>
  <c r="X26" i="6" s="1"/>
  <c r="W26" i="1"/>
  <c r="P26" i="6" s="1"/>
  <c r="J26" i="7"/>
  <c r="AC26" i="1"/>
  <c r="L26" i="7" s="1"/>
  <c r="BM25" i="6"/>
  <c r="AK25" i="7"/>
  <c r="BK26" i="6"/>
  <c r="AI26" i="7"/>
  <c r="AY26" i="1"/>
  <c r="AH26" i="6" s="1"/>
  <c r="L26" i="1"/>
  <c r="J26" i="6" s="1"/>
  <c r="Y26" i="1"/>
  <c r="R26" i="6" s="1"/>
  <c r="BL26" i="1"/>
  <c r="AP26" i="6" s="1"/>
  <c r="BY26" i="1"/>
  <c r="AX26" i="6" s="1"/>
  <c r="AL26" i="1"/>
  <c r="Z26" i="6" s="1"/>
  <c r="CL26" i="1"/>
  <c r="BF26" i="6" s="1"/>
  <c r="CV26" i="1"/>
  <c r="BJ27" i="1" l="1"/>
  <c r="AN27" i="6" s="1"/>
  <c r="V27" i="7"/>
  <c r="BP27" i="1"/>
  <c r="X27" i="7" s="1"/>
  <c r="AI27" i="7"/>
  <c r="BK27" i="6"/>
  <c r="CV27" i="1"/>
  <c r="CL27" i="1"/>
  <c r="BF27" i="6" s="1"/>
  <c r="AY27" i="1"/>
  <c r="AH27" i="6" s="1"/>
  <c r="L27" i="1"/>
  <c r="J27" i="6" s="1"/>
  <c r="BL27" i="1"/>
  <c r="AP27" i="6" s="1"/>
  <c r="AL27" i="1"/>
  <c r="Z27" i="6" s="1"/>
  <c r="Y27" i="1"/>
  <c r="R27" i="6" s="1"/>
  <c r="BY27" i="1"/>
  <c r="AX27" i="6" s="1"/>
  <c r="BW27" i="1"/>
  <c r="AV27" i="6" s="1"/>
  <c r="Z27" i="7"/>
  <c r="CC27" i="1"/>
  <c r="AB27" i="7" s="1"/>
  <c r="W27" i="1"/>
  <c r="P27" i="6" s="1"/>
  <c r="J27" i="7"/>
  <c r="AC27" i="1"/>
  <c r="L27" i="7" s="1"/>
  <c r="AD27" i="7"/>
  <c r="CP27" i="1"/>
  <c r="AF27" i="7" s="1"/>
  <c r="CJ27" i="1"/>
  <c r="BD27" i="6" s="1"/>
  <c r="A29" i="6"/>
  <c r="A29" i="7"/>
  <c r="A30" i="1"/>
  <c r="BL28" i="6"/>
  <c r="AJ28" i="7"/>
  <c r="AH28" i="1"/>
  <c r="CU29" i="1"/>
  <c r="CT28" i="1"/>
  <c r="AU28" i="1"/>
  <c r="AV28" i="1"/>
  <c r="U28" i="1"/>
  <c r="V28" i="1"/>
  <c r="AD28" i="1" s="1"/>
  <c r="BH28" i="1"/>
  <c r="BI28" i="1"/>
  <c r="BQ28" i="1" s="1"/>
  <c r="I28" i="1"/>
  <c r="Q28" i="1" s="1"/>
  <c r="H28" i="1"/>
  <c r="CI28" i="1"/>
  <c r="CQ28" i="1" s="1"/>
  <c r="CH28" i="1"/>
  <c r="BV28" i="1"/>
  <c r="CD28" i="1" s="1"/>
  <c r="BU28" i="1"/>
  <c r="AI28" i="1"/>
  <c r="AQ28" i="1" s="1"/>
  <c r="F27" i="7"/>
  <c r="P27" i="1"/>
  <c r="H27" i="7" s="1"/>
  <c r="J27" i="1"/>
  <c r="H27" i="6" s="1"/>
  <c r="B28" i="6"/>
  <c r="B28" i="7"/>
  <c r="B29" i="1"/>
  <c r="R27" i="7"/>
  <c r="AW27" i="1"/>
  <c r="AF27" i="6" s="1"/>
  <c r="BC27" i="1"/>
  <c r="T27" i="7" s="1"/>
  <c r="BM26" i="6"/>
  <c r="AK26" i="7"/>
  <c r="N27" i="7"/>
  <c r="AP27" i="1"/>
  <c r="P27" i="7" s="1"/>
  <c r="AJ27" i="1"/>
  <c r="X27" i="6" s="1"/>
  <c r="Z28" i="7" l="1"/>
  <c r="BW28" i="1"/>
  <c r="AV28" i="6" s="1"/>
  <c r="CC28" i="1"/>
  <c r="AB28" i="7" s="1"/>
  <c r="F28" i="7"/>
  <c r="P28" i="1"/>
  <c r="H28" i="7" s="1"/>
  <c r="J28" i="1"/>
  <c r="H28" i="6" s="1"/>
  <c r="AD28" i="7"/>
  <c r="CP28" i="1"/>
  <c r="AF28" i="7" s="1"/>
  <c r="CJ28" i="1"/>
  <c r="BD28" i="6" s="1"/>
  <c r="V28" i="7"/>
  <c r="BJ28" i="1"/>
  <c r="AN28" i="6" s="1"/>
  <c r="BP28" i="1"/>
  <c r="X28" i="7" s="1"/>
  <c r="R28" i="7"/>
  <c r="BC28" i="1"/>
  <c r="T28" i="7" s="1"/>
  <c r="B29" i="7"/>
  <c r="B29" i="6"/>
  <c r="B30" i="1"/>
  <c r="J28" i="7"/>
  <c r="AC28" i="1"/>
  <c r="L28" i="7" s="1"/>
  <c r="W28" i="1"/>
  <c r="P28" i="6" s="1"/>
  <c r="AL28" i="1"/>
  <c r="Z28" i="6" s="1"/>
  <c r="AI28" i="7"/>
  <c r="BK28" i="6"/>
  <c r="AY28" i="1"/>
  <c r="AH28" i="6" s="1"/>
  <c r="CV28" i="1"/>
  <c r="BL28" i="1"/>
  <c r="AP28" i="6" s="1"/>
  <c r="CL28" i="1"/>
  <c r="BF28" i="6" s="1"/>
  <c r="L28" i="1"/>
  <c r="J28" i="6" s="1"/>
  <c r="Y28" i="1"/>
  <c r="R28" i="6" s="1"/>
  <c r="BY28" i="1"/>
  <c r="AX28" i="6" s="1"/>
  <c r="AW28" i="1"/>
  <c r="AF28" i="6" s="1"/>
  <c r="BD28" i="1"/>
  <c r="CH29" i="1"/>
  <c r="CU30" i="1"/>
  <c r="BU29" i="1"/>
  <c r="BL29" i="6"/>
  <c r="AJ29" i="7"/>
  <c r="AI29" i="1"/>
  <c r="AQ29" i="1" s="1"/>
  <c r="AH29" i="1"/>
  <c r="U29" i="1"/>
  <c r="I29" i="1"/>
  <c r="Q29" i="1" s="1"/>
  <c r="V29" i="1"/>
  <c r="AD29" i="1" s="1"/>
  <c r="BV29" i="1"/>
  <c r="CD29" i="1" s="1"/>
  <c r="AV29" i="1"/>
  <c r="BD29" i="1" s="1"/>
  <c r="AU29" i="1"/>
  <c r="CI29" i="1"/>
  <c r="CQ29" i="1" s="1"/>
  <c r="BI29" i="1"/>
  <c r="BQ29" i="1" s="1"/>
  <c r="CT29" i="1"/>
  <c r="H29" i="1"/>
  <c r="BH29" i="1"/>
  <c r="N28" i="7"/>
  <c r="AJ28" i="1"/>
  <c r="X28" i="6" s="1"/>
  <c r="AP28" i="1"/>
  <c r="P28" i="7" s="1"/>
  <c r="A30" i="7"/>
  <c r="A30" i="6"/>
  <c r="AK27" i="7"/>
  <c r="BM27" i="6"/>
  <c r="J29" i="7" l="1"/>
  <c r="AC29" i="1"/>
  <c r="L29" i="7" s="1"/>
  <c r="W29" i="1"/>
  <c r="P29" i="6" s="1"/>
  <c r="B30" i="6"/>
  <c r="B30" i="7"/>
  <c r="BH30" i="1"/>
  <c r="AJ30" i="7"/>
  <c r="BL30" i="6"/>
  <c r="AV30" i="1"/>
  <c r="BD30" i="1" s="1"/>
  <c r="BD52" i="1" s="1"/>
  <c r="H30" i="1"/>
  <c r="BU30" i="1"/>
  <c r="AU30" i="1"/>
  <c r="CH30" i="1"/>
  <c r="BI30" i="1"/>
  <c r="BQ30" i="1" s="1"/>
  <c r="BQ52" i="1" s="1"/>
  <c r="BV30" i="1"/>
  <c r="CD30" i="1" s="1"/>
  <c r="CD52" i="1" s="1"/>
  <c r="CT30" i="1"/>
  <c r="I30" i="1"/>
  <c r="Q30" i="1" s="1"/>
  <c r="Q52" i="1" s="1"/>
  <c r="AI30" i="1"/>
  <c r="AQ30" i="1" s="1"/>
  <c r="AQ52" i="1" s="1"/>
  <c r="AH30" i="1"/>
  <c r="V30" i="1"/>
  <c r="AD30" i="1" s="1"/>
  <c r="AD52" i="1" s="1"/>
  <c r="U30" i="1"/>
  <c r="CI30" i="1"/>
  <c r="CQ30" i="1" s="1"/>
  <c r="CQ52" i="1" s="1"/>
  <c r="CJ29" i="1"/>
  <c r="BD29" i="6" s="1"/>
  <c r="AD29" i="7"/>
  <c r="CP29" i="1"/>
  <c r="AF29" i="7" s="1"/>
  <c r="N29" i="7"/>
  <c r="AP29" i="1"/>
  <c r="P29" i="7" s="1"/>
  <c r="AJ29" i="1"/>
  <c r="X29" i="6" s="1"/>
  <c r="Z29" i="7"/>
  <c r="BW29" i="1"/>
  <c r="AV29" i="6" s="1"/>
  <c r="CC29" i="1"/>
  <c r="AB29" i="7" s="1"/>
  <c r="BM28" i="6"/>
  <c r="AK28" i="7"/>
  <c r="V29" i="7"/>
  <c r="BJ29" i="1"/>
  <c r="AN29" i="6" s="1"/>
  <c r="BP29" i="1"/>
  <c r="X29" i="7" s="1"/>
  <c r="J29" i="1"/>
  <c r="H29" i="6" s="1"/>
  <c r="F29" i="7"/>
  <c r="P29" i="1"/>
  <c r="H29" i="7" s="1"/>
  <c r="BK29" i="6"/>
  <c r="AI29" i="7"/>
  <c r="CV29" i="1"/>
  <c r="BY29" i="1"/>
  <c r="AX29" i="6" s="1"/>
  <c r="BL29" i="1"/>
  <c r="AP29" i="6" s="1"/>
  <c r="AL29" i="1"/>
  <c r="Z29" i="6" s="1"/>
  <c r="AY29" i="1"/>
  <c r="AH29" i="6" s="1"/>
  <c r="L29" i="1"/>
  <c r="J29" i="6" s="1"/>
  <c r="Y29" i="1"/>
  <c r="R29" i="6" s="1"/>
  <c r="CL29" i="1"/>
  <c r="BF29" i="6" s="1"/>
  <c r="AW29" i="1"/>
  <c r="AF29" i="6" s="1"/>
  <c r="R29" i="7"/>
  <c r="BC29" i="1"/>
  <c r="T29" i="7" s="1"/>
  <c r="D52" i="1" l="1"/>
  <c r="J30" i="7"/>
  <c r="AC30" i="1"/>
  <c r="W30" i="1"/>
  <c r="P30" i="6" s="1"/>
  <c r="AK29" i="7"/>
  <c r="BM29" i="6"/>
  <c r="AI30" i="7"/>
  <c r="BK30" i="6"/>
  <c r="CV30" i="1"/>
  <c r="CL30" i="1"/>
  <c r="BF30" i="6" s="1"/>
  <c r="BY30" i="1"/>
  <c r="AX30" i="6" s="1"/>
  <c r="L30" i="1"/>
  <c r="J30" i="6" s="1"/>
  <c r="BL30" i="1"/>
  <c r="AP30" i="6" s="1"/>
  <c r="AL30" i="1"/>
  <c r="Z30" i="6" s="1"/>
  <c r="Y30" i="1"/>
  <c r="R30" i="6" s="1"/>
  <c r="AY30" i="1"/>
  <c r="AH30" i="6" s="1"/>
  <c r="CP30" i="1"/>
  <c r="AD30" i="7"/>
  <c r="CJ30" i="1"/>
  <c r="BD30" i="6" s="1"/>
  <c r="R30" i="7"/>
  <c r="BC30" i="1"/>
  <c r="AW30" i="1"/>
  <c r="AF30" i="6" s="1"/>
  <c r="N30" i="7"/>
  <c r="AJ30" i="1"/>
  <c r="X30" i="6" s="1"/>
  <c r="AP30" i="1"/>
  <c r="F30" i="7"/>
  <c r="J30" i="1"/>
  <c r="H30" i="6" s="1"/>
  <c r="P30" i="1"/>
  <c r="Z30" i="7"/>
  <c r="BW30" i="1"/>
  <c r="AV30" i="6" s="1"/>
  <c r="CC30" i="1"/>
  <c r="BJ30" i="1"/>
  <c r="AN30" i="6" s="1"/>
  <c r="V30" i="7"/>
  <c r="BP30" i="1"/>
  <c r="T30" i="7" l="1"/>
  <c r="BC52" i="1"/>
  <c r="AF30" i="7"/>
  <c r="CP52" i="1"/>
  <c r="AB30" i="7"/>
  <c r="CC52" i="1"/>
  <c r="X30" i="7"/>
  <c r="BP52" i="1"/>
  <c r="H30" i="7"/>
  <c r="P52" i="1"/>
  <c r="P30" i="7"/>
  <c r="AP52" i="1"/>
  <c r="L30" i="7"/>
  <c r="AC52" i="1"/>
  <c r="BM30" i="6"/>
  <c r="AK30" i="7"/>
  <c r="AF51" i="7" l="1"/>
  <c r="CF67" i="1"/>
  <c r="L51" i="7"/>
  <c r="S67" i="1"/>
  <c r="P51" i="7"/>
  <c r="AF67" i="1"/>
  <c r="D53" i="1"/>
  <c r="F67" i="1"/>
  <c r="H51" i="7"/>
  <c r="BF67" i="1"/>
  <c r="X51" i="7"/>
  <c r="AB51" i="7"/>
  <c r="BS67" i="1"/>
  <c r="T51" i="7"/>
  <c r="AS67" i="1"/>
  <c r="D54" i="1" l="1"/>
  <c r="D53" i="7" s="1"/>
  <c r="D5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Aaron Steel</author>
    <author/>
  </authors>
  <commentList>
    <comment ref="B3" authorId="0" shapeId="0" xr:uid="{041BBDED-1DB6-42C7-8D6D-29C5400E0101}">
      <text>
        <r>
          <rPr>
            <b/>
            <sz val="9"/>
            <color rgb="FF000000"/>
            <rFont val="Tahoma"/>
            <family val="2"/>
          </rPr>
          <t>Aaron Steel: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Number of weeks on promo</t>
        </r>
      </text>
    </comment>
    <comment ref="A65" authorId="1" shapeId="0" xr:uid="{8A702B99-2B27-F94D-A9BA-B6920FA6524B}">
      <text>
        <r>
          <rPr>
            <sz val="10"/>
            <color rgb="FF000000"/>
            <rFont val="Aptos Narrow"/>
            <family val="2"/>
            <scheme val="minor"/>
          </rPr>
          <t>The date you received the claim from the customer</t>
        </r>
      </text>
    </comment>
    <comment ref="F65" authorId="1" shapeId="0" xr:uid="{FEF0E6C7-57A4-5948-A5E3-E1B48F5CE8FB}">
      <text>
        <r>
          <rPr>
            <sz val="10"/>
            <color rgb="FF000000"/>
            <rFont val="Aptos Narrow"/>
            <family val="2"/>
            <scheme val="minor"/>
          </rPr>
          <t xml:space="preserve">Double Click cell to select date
</t>
        </r>
      </text>
    </comment>
    <comment ref="S65" authorId="1" shapeId="0" xr:uid="{7B3A6D98-3D77-B047-8EB7-1CD0EA4F599F}">
      <text>
        <r>
          <rPr>
            <sz val="10"/>
            <color rgb="FF000000"/>
            <rFont val="Aptos Narrow"/>
            <family val="2"/>
            <scheme val="minor"/>
          </rPr>
          <t xml:space="preserve">Double Click cell to select date
</t>
        </r>
      </text>
    </comment>
    <comment ref="AF65" authorId="1" shapeId="0" xr:uid="{CFCE7639-DC3F-7E4C-8204-CE5AB85D3B49}">
      <text>
        <r>
          <rPr>
            <sz val="10"/>
            <color rgb="FF000000"/>
            <rFont val="Aptos Narrow"/>
            <family val="2"/>
            <scheme val="minor"/>
          </rPr>
          <t xml:space="preserve">Double Click cell to select date
</t>
        </r>
      </text>
    </comment>
    <comment ref="AS65" authorId="1" shapeId="0" xr:uid="{17BFAD09-9B8C-7640-B3B4-5FCEA15C66DB}">
      <text>
        <r>
          <rPr>
            <sz val="10"/>
            <color rgb="FF000000"/>
            <rFont val="Aptos Narrow"/>
            <family val="2"/>
            <scheme val="minor"/>
          </rPr>
          <t xml:space="preserve">Double Click cell to select date
</t>
        </r>
      </text>
    </comment>
    <comment ref="BF65" authorId="1" shapeId="0" xr:uid="{D5A0DDB9-5710-5B4E-BD20-EFF587706723}">
      <text>
        <r>
          <rPr>
            <sz val="10"/>
            <color rgb="FF000000"/>
            <rFont val="Aptos Narrow"/>
            <family val="2"/>
            <scheme val="minor"/>
          </rPr>
          <t xml:space="preserve">Double Click cell to select date
</t>
        </r>
      </text>
    </comment>
    <comment ref="BS65" authorId="1" shapeId="0" xr:uid="{62764C0C-B0BB-C94B-9E69-07D41AB55BD6}">
      <text>
        <r>
          <rPr>
            <sz val="10"/>
            <color rgb="FF000000"/>
            <rFont val="Aptos Narrow"/>
            <family val="2"/>
            <scheme val="minor"/>
          </rPr>
          <t xml:space="preserve">Double Click cell to select date
</t>
        </r>
      </text>
    </comment>
    <comment ref="CF65" authorId="1" shapeId="0" xr:uid="{8C5F606B-65B5-694B-B1FC-1683B960C631}">
      <text>
        <r>
          <rPr>
            <sz val="10"/>
            <color rgb="FF000000"/>
            <rFont val="Aptos Narrow"/>
            <family val="2"/>
            <scheme val="minor"/>
          </rPr>
          <t xml:space="preserve">Double Click cell to select date
</t>
        </r>
      </text>
    </comment>
    <comment ref="A66" authorId="1" shapeId="0" xr:uid="{E6CB02CD-9825-094E-9683-0616BC700EAD}">
      <text>
        <r>
          <rPr>
            <sz val="10"/>
            <color rgb="FF000000"/>
            <rFont val="Aptos Narrow"/>
            <family val="2"/>
            <scheme val="minor"/>
          </rPr>
          <t>The amount being claimed by the customer</t>
        </r>
      </text>
    </comment>
    <comment ref="A67" authorId="1" shapeId="0" xr:uid="{E3A68521-56B1-FA41-B2E9-3982A33D2BF8}">
      <text>
        <r>
          <rPr>
            <sz val="10"/>
            <color rgb="FF000000"/>
            <rFont val="Aptos Narrow"/>
            <family val="2"/>
            <scheme val="minor"/>
          </rPr>
          <t>= What the claim should be based on our calculation. If this is off by more than a few $. Something is probably wrong</t>
        </r>
      </text>
    </comment>
    <comment ref="A68" authorId="1" shapeId="0" xr:uid="{1660F5A4-A18E-994D-B1D3-F3DC07D64E4E}">
      <text>
        <r>
          <rPr>
            <sz val="10"/>
            <color rgb="FF000000"/>
            <rFont val="Aptos Narrow"/>
            <family val="2"/>
            <scheme val="minor"/>
          </rPr>
          <t>whether the claim is approved or rejected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81D6E0-3EAF-F743-A1F9-AC6DA8998797}" keepAlive="1" name="Query - Parameter" description="Connection to the 'Parameter' query in the workbook." type="5" refreshedVersion="0" background="1">
    <dbPr connection="Provider=Microsoft.Mashup.OleDb.1;Data Source=$Workbook$;Location=Parameter;Extended Properties=&quot;&quot;" command="SELECT * FROM [Parameter]"/>
  </connection>
  <connection id="2" xr16:uid="{1E728505-24AE-2A4D-9E76-409DA3DEE35F}" keepAlive="1" name="Query - Query" description="Connection to the 'Query' query in the workbook." type="5" refreshedVersion="8" background="1" saveData="1">
    <dbPr connection="Provider=Microsoft.Mashup.OleDb.1;Data Source=$Workbook$;Location=Query;Extended Properties=&quot;&quot;" command="SELECT * FROM [Query]"/>
  </connection>
  <connection id="3" xr16:uid="{28A2819F-9A90-FA42-BD9F-685D22DBFD12}" keepAlive="1" name="Query - Sample file" description="Connection to the 'Sample file' query in the workbook." type="5" refreshedVersion="0" background="1" saveData="1">
    <dbPr connection="Provider=Microsoft.Mashup.OleDb.1;Data Source=$Workbook$;Location=&quot;Sample file&quot;;Extended Properties=&quot;&quot;" command="SELECT * FROM [Sample file]"/>
  </connection>
  <connection id="4" xr16:uid="{029E9700-5E9B-4341-8A85-31A937878E2E}" keepAlive="1" name="Query - Sell_Through" description="Connection to the 'Sell_Through' query in the workbook." type="5" refreshedVersion="8" background="1" saveData="1">
    <dbPr connection="Provider=Microsoft.Mashup.OleDb.1;Data Source=$Workbook$;Location=Sell_Through;Extended Properties=&quot;&quot;" command="SELECT * FROM [Sell_Through]"/>
  </connection>
  <connection id="5" xr16:uid="{F1A26DE5-E0FD-40CF-910B-DFEAE7C4CA78}" keepAlive="1" name="Query - ST" description="Connection to the 'ST' query in the workbook." type="5" refreshedVersion="8" background="1" saveData="1">
    <dbPr connection="Provider=Microsoft.Mashup.OleDb.1;Data Source=$Workbook$;Location=ST;Extended Properties=&quot;&quot;" command="SELECT * FROM [ST]"/>
  </connection>
  <connection id="6" xr16:uid="{2FEA6E90-231C-6144-BD1B-7DC77B37F44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6C10CF04-CEF7-3844-9429-94D5CC547431}" keepAlive="1" name="Query - Transform Sample file" description="Connection to the 'Transform Sample file' query in the workbook." type="5" refreshedVersion="0" background="1" saveData="1">
    <dbPr connection="Provider=Microsoft.Mashup.OleDb.1;Data Source=$Workbook$;Location=&quot;Transform Sample file&quot;;Extended Properties=&quot;&quot;" command="SELECT * FROM [Transform Sample fil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<sst xmlns="http://schemas.openxmlformats.org/spreadsheetml/2006/main" count="76933" uniqueCount="8968">
  <si>
    <t>AUSTRALIAN Claim Number</t>
  </si>
  <si>
    <t>Name of Promotion.</t>
  </si>
  <si>
    <t>Rebate</t>
  </si>
  <si>
    <t>Brand</t>
  </si>
  <si>
    <t>Growth Expectation</t>
  </si>
  <si>
    <t>Promo Date(s)</t>
  </si>
  <si>
    <t>Code</t>
  </si>
  <si>
    <t>Product Description</t>
  </si>
  <si>
    <t>AU - Officeworks</t>
  </si>
  <si>
    <t>&lt;-- Select</t>
  </si>
  <si>
    <t>JB HIFI</t>
  </si>
  <si>
    <t>AU - Amazon</t>
  </si>
  <si>
    <t>AU - The Good Guys</t>
  </si>
  <si>
    <t>Bing Lee</t>
  </si>
  <si>
    <t>Harvey Norman</t>
  </si>
  <si>
    <t xml:space="preserve">From </t>
  </si>
  <si>
    <t>To</t>
  </si>
  <si>
    <t>Customer Code</t>
  </si>
  <si>
    <t>Retailer Buy ex</t>
  </si>
  <si>
    <t>Supplier Support</t>
  </si>
  <si>
    <t>MG Support</t>
  </si>
  <si>
    <t>Total Support</t>
  </si>
  <si>
    <t>End to End Standard Margin</t>
  </si>
  <si>
    <t>End to End Promo Margin</t>
  </si>
  <si>
    <t>Customer SOH</t>
  </si>
  <si>
    <t>Customer 6wk Avg</t>
  </si>
  <si>
    <r>
      <rPr>
        <i/>
        <sz val="10"/>
        <color rgb="FF000000"/>
        <rFont val="Arial"/>
        <family val="2"/>
      </rPr>
      <t>Expected Sales</t>
    </r>
    <r>
      <rPr>
        <sz val="10"/>
        <color rgb="FF000000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/ Actual Sales</t>
    </r>
  </si>
  <si>
    <t>Supplier Claim Amount</t>
  </si>
  <si>
    <t>MacGear Claim Amount</t>
  </si>
  <si>
    <t>RRP Inc</t>
  </si>
  <si>
    <t>Recommended Sale Inc</t>
  </si>
  <si>
    <t>Recommended % Off</t>
  </si>
  <si>
    <t>Recommended $ Off</t>
  </si>
  <si>
    <t>Comments</t>
  </si>
  <si>
    <t>TS-2259</t>
  </si>
  <si>
    <t>Last Day for Customer claims to be submitted</t>
  </si>
  <si>
    <t xml:space="preserve">Total </t>
  </si>
  <si>
    <t>Supplier</t>
  </si>
  <si>
    <t>Macgear</t>
  </si>
  <si>
    <t xml:space="preserve"> </t>
  </si>
  <si>
    <t>TOTAL Macgear Claim AUD Ex</t>
  </si>
  <si>
    <t>TOTAL Brand Claim AUD Ex</t>
  </si>
  <si>
    <t>TOTAL CLAIM to USD ex</t>
  </si>
  <si>
    <t>Vendor Claim</t>
  </si>
  <si>
    <t>Not Sent</t>
  </si>
  <si>
    <t>AUD to USD Rate</t>
  </si>
  <si>
    <t>Claim Date</t>
  </si>
  <si>
    <t>Vendor Claim $</t>
  </si>
  <si>
    <t>Claims and Funding</t>
  </si>
  <si>
    <t>Ratio</t>
  </si>
  <si>
    <t>Company</t>
  </si>
  <si>
    <t>This shows the split of funding between the Retailer, Macgear and Brand</t>
  </si>
  <si>
    <t>Retailer</t>
  </si>
  <si>
    <t>MacGear</t>
  </si>
  <si>
    <t>Total (should = 1)</t>
  </si>
  <si>
    <t>Notes:</t>
  </si>
  <si>
    <t>Claim Details</t>
  </si>
  <si>
    <t xml:space="preserve">Date of claim 
</t>
  </si>
  <si>
    <t>Date</t>
  </si>
  <si>
    <t>Amount Claimed by Customer</t>
  </si>
  <si>
    <t>Customer Claim Amount</t>
  </si>
  <si>
    <t>Cust Claim $</t>
  </si>
  <si>
    <t xml:space="preserve">Check Value </t>
  </si>
  <si>
    <t>Status of customers claim</t>
  </si>
  <si>
    <t xml:space="preserve">Status </t>
  </si>
  <si>
    <t>Not Received</t>
  </si>
  <si>
    <t>Name of Promotion</t>
  </si>
  <si>
    <t>6wk Avg</t>
  </si>
  <si>
    <t>NOTES</t>
  </si>
  <si>
    <t>VENDOR NOTE</t>
  </si>
  <si>
    <t xml:space="preserve"> ** Please note, Expected Sales and claim totals are a projection based on estimated sales within promo Period. Total claim will vary depending on success of promotion.</t>
  </si>
  <si>
    <t>Spare</t>
  </si>
  <si>
    <t>Dealer 1</t>
  </si>
  <si>
    <t>Dealer 2</t>
  </si>
  <si>
    <t>AU - Bunnings</t>
  </si>
  <si>
    <t>Education</t>
  </si>
  <si>
    <t>Source.Name</t>
  </si>
  <si>
    <t>Description</t>
  </si>
  <si>
    <t>AU Status</t>
  </si>
  <si>
    <t>Base (RRP Inc)</t>
  </si>
  <si>
    <t>Clearance - MacGear + Brand Sites</t>
  </si>
  <si>
    <t>Dealer 3</t>
  </si>
  <si>
    <t>Costco</t>
  </si>
  <si>
    <t>LS travel</t>
  </si>
  <si>
    <t>AU - WH Smith</t>
  </si>
  <si>
    <t>AU - Big W</t>
  </si>
  <si>
    <t>NZ AU - Smart Loyalty</t>
  </si>
  <si>
    <t>NZ AU - Fly Buys</t>
  </si>
  <si>
    <t>NZ AU - Qantas</t>
  </si>
  <si>
    <t>NZ AU - RRP - Home Of Brands</t>
  </si>
  <si>
    <t>NZ AU - RRP - List Price</t>
  </si>
  <si>
    <t>Clearance - Home Of Brands</t>
  </si>
  <si>
    <t>Master Price Level AU.csv</t>
  </si>
  <si>
    <t>- None -</t>
  </si>
  <si>
    <t>KNAAPBCN_SAMPLE</t>
  </si>
  <si>
    <t>KNAAP BCN Fatbike E-Bike (Black)</t>
  </si>
  <si>
    <t>Inactive</t>
  </si>
  <si>
    <t/>
  </si>
  <si>
    <t>MKTG-12</t>
  </si>
  <si>
    <t>MARKETING 4x small Sphero panels, 1x indi panel, 1x, BOLT+ panel, 1x RVR+ panel, 1x Blueprint panel</t>
  </si>
  <si>
    <t>MKTG-27</t>
  </si>
  <si>
    <t>MARKETING Banner - Bonelk</t>
  </si>
  <si>
    <t>MKTG-26</t>
  </si>
  <si>
    <t>MARKETING Banner - Satechi</t>
  </si>
  <si>
    <t>MKTG-38</t>
  </si>
  <si>
    <t>MARKETING Bollard Signage (Upgrade Program) and Plastic Channel Tracks for Sphero Table signs</t>
  </si>
  <si>
    <t>MKTG-06</t>
  </si>
  <si>
    <t>MARKETING Bolt Powerpack - Customer Demo Unit</t>
  </si>
  <si>
    <t>MKTG-40</t>
  </si>
  <si>
    <t>MARKETING BOLT+ Power Pack</t>
  </si>
  <si>
    <t>MKTG-17</t>
  </si>
  <si>
    <t>MARKETING Coreflute Sheets - 4 full sheets/2 cut panels</t>
  </si>
  <si>
    <t>MKTG-20</t>
  </si>
  <si>
    <t>MARKETING EduTech Action Box</t>
  </si>
  <si>
    <t>MKTG-16</t>
  </si>
  <si>
    <t>MARKETING Expo Trestle Table 1.2m</t>
  </si>
  <si>
    <t>MKTG-07</t>
  </si>
  <si>
    <t>MARKETING Golf and City Sphero Mats - Customer Demo Unit</t>
  </si>
  <si>
    <t>MKTG-15</t>
  </si>
  <si>
    <t>MARKETING IKEA Peg Board Hardware</t>
  </si>
  <si>
    <t>MKTG-24</t>
  </si>
  <si>
    <t>MARKETING IKEA Peg Board Wall Mounts</t>
  </si>
  <si>
    <t>MKTG-23</t>
  </si>
  <si>
    <t>MARKETING IKEA Peg Boards. Rectangle x8</t>
  </si>
  <si>
    <t>MKTG-22</t>
  </si>
  <si>
    <t>MARKETING IKEA Peg Boards. Square x6</t>
  </si>
  <si>
    <t>MKTG-14</t>
  </si>
  <si>
    <t>MARKETING IKEA Tables Legs x21</t>
  </si>
  <si>
    <t>MKTG-13</t>
  </si>
  <si>
    <t>MARKETING IKEA Tables x2</t>
  </si>
  <si>
    <t>MKTG-09</t>
  </si>
  <si>
    <t>MARKETING Indi Class Pack - Customer Demo Unit</t>
  </si>
  <si>
    <t>MKTG-21</t>
  </si>
  <si>
    <t>MARKETING JB Hi-Fi Action Box</t>
  </si>
  <si>
    <t>MKTG-28</t>
  </si>
  <si>
    <t>MARKETING JB Hi-Fi Action Box 2</t>
  </si>
  <si>
    <t>MKTG-29</t>
  </si>
  <si>
    <t>MARKETING JB Hi-Fi Action Box 3</t>
  </si>
  <si>
    <t>MKTG-30</t>
  </si>
  <si>
    <t>MARKETING JB Hi-Fi Action Box 4</t>
  </si>
  <si>
    <t>MKTG-31</t>
  </si>
  <si>
    <t>MARKETING JB Hi-Fi Action Box 5</t>
  </si>
  <si>
    <t>MKTG-32</t>
  </si>
  <si>
    <t>MARKETING JB Hi-Fi Action Box 6</t>
  </si>
  <si>
    <t>MKTG-04</t>
  </si>
  <si>
    <t>MARKETING Large Plinths x2</t>
  </si>
  <si>
    <t>MKTG-33</t>
  </si>
  <si>
    <t>MARKETING Light Box (1m x 2.5m) #1 - Back panel for Sphero logo Left</t>
  </si>
  <si>
    <t>MKTG-34</t>
  </si>
  <si>
    <t>MARKETING Light Box (1m x 2.5m) #2 - Back panel for Sphero logo Right</t>
  </si>
  <si>
    <t>MKTG-35</t>
  </si>
  <si>
    <t>MARKETING Light Box (2m x 2.5m) #3 - Back panel for RVR+ and Blueprint</t>
  </si>
  <si>
    <t>MKTG-36</t>
  </si>
  <si>
    <t>MARKETING Light Box (2m x 2.5m) #4 - Back panel for indi and BOLT</t>
  </si>
  <si>
    <t>MKTG-03</t>
  </si>
  <si>
    <t>MKTG-45</t>
  </si>
  <si>
    <t>MARKETING Misc</t>
  </si>
  <si>
    <t>MKTG-37</t>
  </si>
  <si>
    <t>MARKETING Old Table Boards (RVR+ (Old x1), BOLT+ (damaged corner x1), Sphero (Old x2), BOLT (OG) (Old x2), indi (Old x2))</t>
  </si>
  <si>
    <t>MKTG-08</t>
  </si>
  <si>
    <t>MARKETING Pegs for JB Hi-Fi Conference</t>
  </si>
  <si>
    <t>MKTG-46</t>
  </si>
  <si>
    <t>MARKETING Perspex Display Stands</t>
  </si>
  <si>
    <t>MKTG-05</t>
  </si>
  <si>
    <t>MARKETING Peter Abt Props</t>
  </si>
  <si>
    <t>MKTG-42</t>
  </si>
  <si>
    <t>MARKETING Printed collateral + CSF Books</t>
  </si>
  <si>
    <t>MKTG-43</t>
  </si>
  <si>
    <t>MARKETING RVR+ (x1), BOLT+ (x3)</t>
  </si>
  <si>
    <t>MKTG-02</t>
  </si>
  <si>
    <t>MKTG-41</t>
  </si>
  <si>
    <t>MARKETING Speaker, Nate headset, Drill, Modem, Power Boards + Extension Cables,  4 mini product signs</t>
  </si>
  <si>
    <t>MKTG-25</t>
  </si>
  <si>
    <t>MKTG-11</t>
  </si>
  <si>
    <t>MARKETING Sphero branding - 2 x long panels</t>
  </si>
  <si>
    <t>MKTG-44</t>
  </si>
  <si>
    <t>MARKETING Sphero Code Mat Maze Grid</t>
  </si>
  <si>
    <t>MKTG-18</t>
  </si>
  <si>
    <t>MARKETING Sphero Table Edge - 2 Long Sides</t>
  </si>
  <si>
    <t>MKTG-19</t>
  </si>
  <si>
    <t>MARKETING Sphero Table Edge - 4 Short Sides</t>
  </si>
  <si>
    <t>MKTG-39</t>
  </si>
  <si>
    <t>MARKETING Step Ladder</t>
  </si>
  <si>
    <t>MKTG-01</t>
  </si>
  <si>
    <t>MARKETING Tolix Stools x2</t>
  </si>
  <si>
    <t>MKTG-10</t>
  </si>
  <si>
    <t>MARKETING Wire mesh slat panels 1.8 x 0.6 m - white (x2)</t>
  </si>
  <si>
    <t>BENQ-2</t>
  </si>
  <si>
    <t>OFFICE BenQ Displays (1x in carton)</t>
  </si>
  <si>
    <t>BENQ-1</t>
  </si>
  <si>
    <t>OFFICE BenQ Displays (2x in carton)</t>
  </si>
  <si>
    <t>SEDLEY-28</t>
  </si>
  <si>
    <t>SEDLEY POSS</t>
  </si>
  <si>
    <t>SEDLEY-23</t>
  </si>
  <si>
    <t>SEDLEY POSSESSIONS</t>
  </si>
  <si>
    <t>SEDLEY-19</t>
  </si>
  <si>
    <t>SEDLEY-22</t>
  </si>
  <si>
    <t>SEDLEY-15</t>
  </si>
  <si>
    <t>SEDLEY-26</t>
  </si>
  <si>
    <t>SEDLEY-29</t>
  </si>
  <si>
    <t>SEDLEY-06</t>
  </si>
  <si>
    <t>SEDLEY-11</t>
  </si>
  <si>
    <t>SEDLEY-05</t>
  </si>
  <si>
    <t>SEDLEY-14</t>
  </si>
  <si>
    <t>SEDLEY-17</t>
  </si>
  <si>
    <t>SEDLEY-25</t>
  </si>
  <si>
    <t>SEDLEY-16</t>
  </si>
  <si>
    <t>SEDLEY-18</t>
  </si>
  <si>
    <t>SEDLEY-21</t>
  </si>
  <si>
    <t>SEDLEY-09</t>
  </si>
  <si>
    <t>SEDLEY-03</t>
  </si>
  <si>
    <t>SEDLEY-08</t>
  </si>
  <si>
    <t>SEDLEY-30</t>
  </si>
  <si>
    <t>SEDLEY-01</t>
  </si>
  <si>
    <t>SEDLEY-02</t>
  </si>
  <si>
    <t>SEDLEY-04</t>
  </si>
  <si>
    <t>SEDLEY-24</t>
  </si>
  <si>
    <t>SEDLEY-27</t>
  </si>
  <si>
    <t>SEDLEY-07</t>
  </si>
  <si>
    <t>SEDLEY-12</t>
  </si>
  <si>
    <t>SEDLEY-20</t>
  </si>
  <si>
    <t>SEDLEY-10</t>
  </si>
  <si>
    <t>SEDLEY-13</t>
  </si>
  <si>
    <t>ADONIT</t>
  </si>
  <si>
    <t>ADAIVB</t>
  </si>
  <si>
    <t>ADONIT AI Vocal</t>
  </si>
  <si>
    <t>ADJD4B</t>
  </si>
  <si>
    <t>ADONIT Dash 4 (Black)</t>
  </si>
  <si>
    <t>Active</t>
  </si>
  <si>
    <t>ADJD4S</t>
  </si>
  <si>
    <t>ADONIT Dash 4 (Silver)</t>
  </si>
  <si>
    <t>ADIB</t>
  </si>
  <si>
    <t>ADONIT Ink Stylus (Black)</t>
  </si>
  <si>
    <t>ADCIPB110</t>
  </si>
  <si>
    <t>ADONIT iPad Case 11" 1st, 2nd, 3rd Gen</t>
  </si>
  <si>
    <t>ADCIPB129</t>
  </si>
  <si>
    <t>ADONIT iPad Case 12.9" 3rd, 4th, 5th Gen</t>
  </si>
  <si>
    <t>ADJD3B</t>
  </si>
  <si>
    <t>ADONIT Jot Dash 3 (Black)</t>
  </si>
  <si>
    <t>ADJD3BR</t>
  </si>
  <si>
    <t>ADONIT Jot Dash 3 (Bronze)</t>
  </si>
  <si>
    <t>ARDCH</t>
  </si>
  <si>
    <t>ADONIT Jot Dash USB Charger</t>
  </si>
  <si>
    <t>ADMB</t>
  </si>
  <si>
    <t>ADONIT Mark (Black)</t>
  </si>
  <si>
    <t>ADMS</t>
  </si>
  <si>
    <t>ADONIT Mark (Silver)</t>
  </si>
  <si>
    <t>ADM4RB</t>
  </si>
  <si>
    <t>ADONIT Mini 4 (Blue)</t>
  </si>
  <si>
    <t>ADM4DG</t>
  </si>
  <si>
    <t>ADONIT Mini 4 (Grey)</t>
  </si>
  <si>
    <t>ADNEOG</t>
  </si>
  <si>
    <t>ADONIT NEO (Space Grey)</t>
  </si>
  <si>
    <t>ADNEOIB</t>
  </si>
  <si>
    <t>ADONIT NEO Ink Stylus (Black)</t>
  </si>
  <si>
    <t>ADNEOLBA</t>
  </si>
  <si>
    <t>ADONIT NEO Lite (Black)</t>
  </si>
  <si>
    <t>ADNEOLS</t>
  </si>
  <si>
    <t>ADONIT NEO Lite (Silver)</t>
  </si>
  <si>
    <t>ADNEOPG</t>
  </si>
  <si>
    <t>ADONIT NEO Pro (Space Grey)</t>
  </si>
  <si>
    <t>ADNB</t>
  </si>
  <si>
    <t>ADONIT Note (Black)</t>
  </si>
  <si>
    <t>ADNSB</t>
  </si>
  <si>
    <t>ADONIT Note Plus (Black)</t>
  </si>
  <si>
    <t>ADNT</t>
  </si>
  <si>
    <t>ADONIT Note Replacement Tips (3 Pack)</t>
  </si>
  <si>
    <t>ADFIP109</t>
  </si>
  <si>
    <t>ADONIT Paperfeel iPad Film 10.9"</t>
  </si>
  <si>
    <t>ADFIP110</t>
  </si>
  <si>
    <t>ADONIT Paperfeel iPad Film 11" 1st, 2nd, 3rd Gen</t>
  </si>
  <si>
    <t>ADFIP129</t>
  </si>
  <si>
    <t>ADONIT Paperfeel iPad Film 12.9" 3rd, 4th, 5th Gen</t>
  </si>
  <si>
    <t>ADP4B</t>
  </si>
  <si>
    <t>ADONIT Pro 4 (Black)</t>
  </si>
  <si>
    <t>ADP4S</t>
  </si>
  <si>
    <t>ADONIT Pro 4 (Silver)</t>
  </si>
  <si>
    <t>ADRDK</t>
  </si>
  <si>
    <t>ADONIT Replacement Disc Tip Mini 4 / Pro 3 / Pro 4 - 2 pack</t>
  </si>
  <si>
    <t>ADMNR</t>
  </si>
  <si>
    <t>ADONIT Replacement Nib for AI-Vocal and Dash 4 (3 pack)</t>
  </si>
  <si>
    <t>ARD4CH</t>
  </si>
  <si>
    <t>ADONIT Replacement USB Charger for Dash 4</t>
  </si>
  <si>
    <t>ADSE2B</t>
  </si>
  <si>
    <t>ADONIT SE 2 - Black</t>
  </si>
  <si>
    <t>ADSE2W</t>
  </si>
  <si>
    <t>ADONIT SE 2 - White</t>
  </si>
  <si>
    <t>AIRTHINGS</t>
  </si>
  <si>
    <t>AT-960</t>
  </si>
  <si>
    <t>AIRTHINGS View Plus</t>
  </si>
  <si>
    <t>EOL</t>
  </si>
  <si>
    <t>AT-980</t>
  </si>
  <si>
    <t>AIRTHINGS View Pollution</t>
  </si>
  <si>
    <t>AT-292</t>
  </si>
  <si>
    <t>AIRTHINGS Wave Mini</t>
  </si>
  <si>
    <t>AT-2910</t>
  </si>
  <si>
    <t>AIRTHINGS Wave Plus</t>
  </si>
  <si>
    <t>ANKI</t>
  </si>
  <si>
    <t>000-00060</t>
  </si>
  <si>
    <t>ANKI Cozmo Carry Case</t>
  </si>
  <si>
    <t>000-00078</t>
  </si>
  <si>
    <t>ANKI Vector Space by Anki</t>
  </si>
  <si>
    <t>POP_HN_COZMO</t>
  </si>
  <si>
    <t>COZMO Cardboard Display Unit</t>
  </si>
  <si>
    <t>BACKBONE</t>
  </si>
  <si>
    <t>BB-02-B-X</t>
  </si>
  <si>
    <t>Backbone One - Mobile Gaming Controller for Lightning (Xbox Edition) (Gen 1)</t>
  </si>
  <si>
    <t>BB-02-W-S</t>
  </si>
  <si>
    <t>Backbone One - PlayStation Edition Mobile Gaming Controller for Lightning (Gen 1)</t>
  </si>
  <si>
    <t>BENQ</t>
  </si>
  <si>
    <t>TK700STi</t>
  </si>
  <si>
    <t>BENQ 4K HDR Projector TK700STi</t>
  </si>
  <si>
    <t>9H.W49WT.WS7</t>
  </si>
  <si>
    <t>BENQ ScreenBar Halo LED Monitor Light</t>
  </si>
  <si>
    <t>9H.W43WT.WQ1</t>
  </si>
  <si>
    <t>BENQ ScreenBar Plus LED Monitor Light</t>
  </si>
  <si>
    <t>5J.W3P14.002</t>
  </si>
  <si>
    <t>BENQ WiT Clamp</t>
  </si>
  <si>
    <t>5J.W4414.011</t>
  </si>
  <si>
    <t>BENQ WiT Floor Stand Extension</t>
  </si>
  <si>
    <t>BODUM</t>
  </si>
  <si>
    <t>1801-16BD</t>
  </si>
  <si>
    <t>BODUM Assam Tea Press with Stainless Steel Filter 1L (Silver)</t>
  </si>
  <si>
    <t>1812-01BD</t>
  </si>
  <si>
    <t>BODUM Assam Tea Press with Stainless Steel Filter 500ml (Black)</t>
  </si>
  <si>
    <t>1807-16_BD</t>
  </si>
  <si>
    <t>BODUM Assam Tea Press with Stainless Steel Filter 500ml (Silver)</t>
  </si>
  <si>
    <t>10709-913AUS-3_BD</t>
  </si>
  <si>
    <t>BODUM Bistro 2 Slice Toaster 940W (Off-White)</t>
  </si>
  <si>
    <t>11901-01AUSBD</t>
  </si>
  <si>
    <t>BODUM Bistro Barista Electric Milk Frother 600W (Black)</t>
  </si>
  <si>
    <t>11901-913AUS_BD</t>
  </si>
  <si>
    <t>BODUM Bistro Barista Electric Milk Frother 600W (Off-White)</t>
  </si>
  <si>
    <t>11555-01SRECBD</t>
  </si>
  <si>
    <t>BODUM Bistro Bread Box (Black)</t>
  </si>
  <si>
    <t>11555-913BD</t>
  </si>
  <si>
    <t>BODUM Bistro Bread Box (Off-White)</t>
  </si>
  <si>
    <t>10604-10BD</t>
  </si>
  <si>
    <t>BODUM Bistro Double Wall 300ml 2 Piece Set</t>
  </si>
  <si>
    <t>10606-10BD</t>
  </si>
  <si>
    <t>BODUM Bistro Double Wall 450ml 2 Piece Set</t>
  </si>
  <si>
    <t>11659-01AUSBD</t>
  </si>
  <si>
    <t>BODUM Bistro Double Wall with Temperature Control Electric Water Kettle 1.1L (Black)</t>
  </si>
  <si>
    <t>11160-01AUS-3BD</t>
  </si>
  <si>
    <t>BODUM Bistro Electric Coffee Grinder 150W (Black)</t>
  </si>
  <si>
    <t>11160-913AUS-3BD</t>
  </si>
  <si>
    <t>BODUM Bistro Electric Coffee Grinder 150W (Off-White)</t>
  </si>
  <si>
    <t>11160-16AUS-4PLBD</t>
  </si>
  <si>
    <t>BODUM Bistro Electric Coffee Grinder 150W (Silver)</t>
  </si>
  <si>
    <t>11750-01AUSBD</t>
  </si>
  <si>
    <t>BODUM Bistro Electric Coffee Grinder 160W (Black)</t>
  </si>
  <si>
    <t>11089-01S_BD</t>
  </si>
  <si>
    <t>BODUM Bistro Knife Block (Black)</t>
  </si>
  <si>
    <t>1918-01BD</t>
  </si>
  <si>
    <t>BODUM Caffettiera French Press 1L 8 Cup (Stainless Steel/Black)</t>
  </si>
  <si>
    <t>1913-01BD</t>
  </si>
  <si>
    <t>BODUM Caffettiera French Press 350ml 3 Cup (Stainless Steel/Black)</t>
  </si>
  <si>
    <t>10109-10BD</t>
  </si>
  <si>
    <t>BODUM Canteen Double Wall 200ml 2 Piece Set</t>
  </si>
  <si>
    <t>10109-10-12BD</t>
  </si>
  <si>
    <t>BODUM Canteen Double Wall 200ml 6 Piece Set</t>
  </si>
  <si>
    <t>10110-10BD</t>
  </si>
  <si>
    <t>BODUM Canteen Double Wall 400ml 2 Piece Set</t>
  </si>
  <si>
    <t>10110-10-12BD</t>
  </si>
  <si>
    <t>BODUM Canteen Double Wall 400ml 6 Piece Set</t>
  </si>
  <si>
    <t>10325-10BD</t>
  </si>
  <si>
    <t>BODUM Canteen with Handle Double Wall 200ml 2 Piece Set</t>
  </si>
  <si>
    <t>10326-10BD</t>
  </si>
  <si>
    <t>BODUM Canteen with Handle Double Wall 400ml 2 Piece Set</t>
  </si>
  <si>
    <t>10619-10SBD</t>
  </si>
  <si>
    <t>BODUM Ceylon Ice Tea Jug with Filter 3L</t>
  </si>
  <si>
    <t>1932-16BD</t>
  </si>
  <si>
    <t>BODUM Chambord French Press 1.5L 12 Cup (Stainless Steel)</t>
  </si>
  <si>
    <t>1928-18BD</t>
  </si>
  <si>
    <t>BODUM Chambord French Press 1L 8 Cup (S/S Copper)</t>
  </si>
  <si>
    <t>1928-16BD</t>
  </si>
  <si>
    <t>BODUM Chambord French Press 1L 8 Cup (Stainless Steel)</t>
  </si>
  <si>
    <t>1923-16BD</t>
  </si>
  <si>
    <t>BODUM Chambord French Press 350ml 3 Cup (Stainless Steel)</t>
  </si>
  <si>
    <t>1308-16_BD</t>
  </si>
  <si>
    <t>BODUM Columbia Double Wall Coffee Maker 1L 8 Cup (Stainless Steel)</t>
  </si>
  <si>
    <t>1303-16BD</t>
  </si>
  <si>
    <t>BODUM Columbia Double Wall Coffee Maker 350ml 3 Cup (Stainless Steel)</t>
  </si>
  <si>
    <t>1908-01BD</t>
  </si>
  <si>
    <t>BODUM Java French Press 1L 8 Cup (Stainless Steel/Black)</t>
  </si>
  <si>
    <t>1903-01BD</t>
  </si>
  <si>
    <t>BODUM Java French Press 350ml 3 Cup (Stainless Steel/Black)</t>
  </si>
  <si>
    <t>1788-01BD</t>
  </si>
  <si>
    <t>BODUM Kenya French Press 1L 8 Cup (Black)</t>
  </si>
  <si>
    <t>1783-01BD</t>
  </si>
  <si>
    <t>BODUM Kenya French Press 350ml 3 Cup (Black)</t>
  </si>
  <si>
    <t>4312-10TBD</t>
  </si>
  <si>
    <t>BODUM Kvadrant Beer Glasses 500ml 2 Piece Set</t>
  </si>
  <si>
    <t>4306-10TBD</t>
  </si>
  <si>
    <t>BODUM Kvadrant Juice Glasses 200ml 4 Piece Set</t>
  </si>
  <si>
    <t>4308-10T_BD</t>
  </si>
  <si>
    <t>BODUM Kvadrant Tumbler Glasses 350ml 4 Piece Set</t>
  </si>
  <si>
    <t>1446-01BD</t>
  </si>
  <si>
    <t>BODUM Latteo Milk Frother with Glass Handle (Black)</t>
  </si>
  <si>
    <t>4558-10BD</t>
  </si>
  <si>
    <t>BODUM Pavina Double Wall 250ml 2 Piece Set</t>
  </si>
  <si>
    <t>4558-10-12BD</t>
  </si>
  <si>
    <t>BODUM Pavina Double Wall 250ml 6 Piece Set</t>
  </si>
  <si>
    <t>4559-10BD</t>
  </si>
  <si>
    <t>BODUM Pavina Double Wall 350ml 2 Piece Set</t>
  </si>
  <si>
    <t>4559-10-12BD</t>
  </si>
  <si>
    <t>BODUM Pavina Double Wall 350ml 6 Piece Set</t>
  </si>
  <si>
    <t>4560-10BD</t>
  </si>
  <si>
    <t>BODUM Pavina Double Wall 450ml 2 Piece Set</t>
  </si>
  <si>
    <t>4560-10-12BD</t>
  </si>
  <si>
    <t>BODUM Pavina Double Wall 450ml 6 Piece Set</t>
  </si>
  <si>
    <t>K4558-10BD</t>
  </si>
  <si>
    <t>BODUM Pavina Double Wall 8 Piece Set (4 x 250ml, 4 x 350ml)</t>
  </si>
  <si>
    <t>4557-10BD</t>
  </si>
  <si>
    <t>BODUM Pavina Double Wall 80ml 2 Piece Set</t>
  </si>
  <si>
    <t>4557-10-12BD</t>
  </si>
  <si>
    <t>BODUM Pavina Double Wall 80ml 6 Piece Set</t>
  </si>
  <si>
    <t>11848-10SA-12BD</t>
  </si>
  <si>
    <t>BODUM Pavina Outdoor Double Wall 250ml 6 Piece Set</t>
  </si>
  <si>
    <t>11849-10SA-12BD</t>
  </si>
  <si>
    <t>BODUM Pavina Outdoor Double Wall 350ml 6 Piece Set</t>
  </si>
  <si>
    <t>K11849-10SABD</t>
  </si>
  <si>
    <t>BODUM Pavina To Go Double Wall with Lid 300ml 2 Piece Set</t>
  </si>
  <si>
    <t>11571-01S_BD</t>
  </si>
  <si>
    <t>BODUM Pour Over with Permanent Filter 1L (Black)</t>
  </si>
  <si>
    <t>K11830-01SA-1BD</t>
  </si>
  <si>
    <t>BODUM Presso 12 Piece Storage Set (4 x 250ml, 3 x 600ml, 3 x 1L, 2 x 2L)</t>
  </si>
  <si>
    <t>K11067-01BD</t>
  </si>
  <si>
    <t>BODUM Travel Press Vacuum with Extra Lid Set (Black)</t>
  </si>
  <si>
    <t>11002-01BD</t>
  </si>
  <si>
    <t>BODUM Twin Salt and Pepper Grinder (Black)</t>
  </si>
  <si>
    <t>K11239-16_BD</t>
  </si>
  <si>
    <t>BODUM Yoyo Mug, Glass and Tea Strainer Set (Stainless Steel)</t>
  </si>
  <si>
    <t>BOLD</t>
  </si>
  <si>
    <t>100196</t>
  </si>
  <si>
    <t>BOLD Connect Control Hub</t>
  </si>
  <si>
    <t>100360</t>
  </si>
  <si>
    <t>BOLD Smart Cylinder Lock  -  SX-45</t>
  </si>
  <si>
    <t>100039</t>
  </si>
  <si>
    <t>BOLD Smart Cylinder Lock  - SX-33</t>
  </si>
  <si>
    <t>100357</t>
  </si>
  <si>
    <t>BOLD Smart Cylinder Lock  - SX-35</t>
  </si>
  <si>
    <t>100343</t>
  </si>
  <si>
    <t>BOLD Smart Cylinder Lock  - SX-43</t>
  </si>
  <si>
    <t>100398</t>
  </si>
  <si>
    <t>BOLD Smart Cylinder Lock SX-33 + Bold Connect Control Hub</t>
  </si>
  <si>
    <t>BONELK</t>
  </si>
  <si>
    <t>ELK-09025-R</t>
  </si>
  <si>
    <t>BONELK  TravelTech Easy-Grip USB-A to USB-C/Micro-USB/Lightning, 3in1 Cable 1.2m (Black)</t>
  </si>
  <si>
    <t>ELK-21737-R</t>
  </si>
  <si>
    <t>BONELK 100W PD GaN Wall Charger, 2 x USB-C, 1 x USB-A (Black)</t>
  </si>
  <si>
    <t>ELK-23016-R</t>
  </si>
  <si>
    <t>BONELK 10k mAh Power Bank Mini, 1 x USB-C PD20W, 1 x USB-A QC22.5W (Black)</t>
  </si>
  <si>
    <t>ELK-23019-R</t>
  </si>
  <si>
    <t>BONELK 10k mAh Power Bank Mini, 1 x USB-C PD20W, 1 x USB-A QC22.5W (Blue)</t>
  </si>
  <si>
    <t>ELK-23018-R</t>
  </si>
  <si>
    <t>BONELK 10k mAh Power Bank Mini, 1 x USB-C PD20W, 1 x USB-A QC22.5W (Pink)</t>
  </si>
  <si>
    <t>ELK-23015-R</t>
  </si>
  <si>
    <t>BONELK 10k mAh Power Bank Mini, 1 x USB-C PD20W, 1 x USB-A QC22.5W (White)</t>
  </si>
  <si>
    <t>ELK-23017-R</t>
  </si>
  <si>
    <t>BONELK 10k mAh Power Bank Mini, 1 x USB-C PD20W, 1 x USB-A QC22.5W (Yellow)</t>
  </si>
  <si>
    <t>ELK-23020-R</t>
  </si>
  <si>
    <t>BONELK 10k mAh Power Bank Slim Eco Series, 1 x USB-C PD20W, 2 x USB-A QC18W (Black)</t>
  </si>
  <si>
    <t>ELK-21735-R</t>
  </si>
  <si>
    <t>BONELK 12W Wall Charger 1 x USB-A (Black)</t>
  </si>
  <si>
    <t>ELK-23045-R</t>
  </si>
  <si>
    <t>BONELK 20k mAh Power Bank Mini Pro (Black)</t>
  </si>
  <si>
    <t>ELK-23046-R</t>
  </si>
  <si>
    <t>BONELK 20k mAh Power Bank Mini Pro (Blue)</t>
  </si>
  <si>
    <t>ELK-23047-R</t>
  </si>
  <si>
    <t>BONELK 20k mAh Power Bank Mini Pro (Pink)</t>
  </si>
  <si>
    <t>ELK-23022-R</t>
  </si>
  <si>
    <t>BONELK 20k mAh Power Bank Pro, 1 x USB-C PD20W, 1 x USB-A QC22.5W (Black)</t>
  </si>
  <si>
    <t>ELK-23021-R</t>
  </si>
  <si>
    <t>BONELK 20k mAh Power Bank Pro, 1 x USB-C PD20W, 1 x USB-A QC22.5W (White)</t>
  </si>
  <si>
    <t>ELK-23023-R</t>
  </si>
  <si>
    <t>BONELK 20k mAh Power Bank Slim Eco Series, 1 x USB-C PD20W, 2 x USB-A QC18W (Black)</t>
  </si>
  <si>
    <t>ELK-21738-R</t>
  </si>
  <si>
    <t>BONELK 20W PD GaN Wall Charger, 1 x USB-C, 1 x USB-C Cable 1.5m (Black)</t>
  </si>
  <si>
    <t>ELK-21724-R</t>
  </si>
  <si>
    <t>BONELK 240W PD GaN Desktop Charger, 3 x USB-C, 1 x USB-A (Black)</t>
  </si>
  <si>
    <t>ELK-21725-R</t>
  </si>
  <si>
    <t>BONELK 240W PD GaN Desktop Charger, 3 x USB-C, 1 x USB-A (White)</t>
  </si>
  <si>
    <t>ELK-22521-R</t>
  </si>
  <si>
    <t>BONELK 25W PD Car Charger, 1 x USB-C (Black)</t>
  </si>
  <si>
    <t>ELK-21739-R</t>
  </si>
  <si>
    <t>BONELK 25W PD GaN Wall Charger, 1 x USB-C, 1 x USB-C Cable 1.5m (Black)</t>
  </si>
  <si>
    <t>ELK-21740-R</t>
  </si>
  <si>
    <t>BONELK 30W PD GaN Wall Charger, 1 x USB-C, 1 x USB-C Cable 1.5m (Black)</t>
  </si>
  <si>
    <t>ELK-22522-R</t>
  </si>
  <si>
    <t>BONELK 40W PD Dual Car Charger, 2 x USB-C (Black)</t>
  </si>
  <si>
    <t>ELK-21720-R</t>
  </si>
  <si>
    <t>BONELK 65W PD GaN Desktop Charger, 2 x USB-C, 2 x USB-A (Black)</t>
  </si>
  <si>
    <t>ELK-21721-R</t>
  </si>
  <si>
    <t>BONELK 65W PD GaN Desktop Charger, 2 x USB-C, 2 x USB-A (White)</t>
  </si>
  <si>
    <t>ELK-21736-R</t>
  </si>
  <si>
    <t>BONELK 65W PD GaN Wall Charger, 1 x USB-C (Black)</t>
  </si>
  <si>
    <t>ELK-21741-R</t>
  </si>
  <si>
    <t>BONELK 65W PD GaN Wall Charger, 2 x USB-C, 1 x USB-A (Black)</t>
  </si>
  <si>
    <t>ELK-90046-R</t>
  </si>
  <si>
    <t>BONELK Adventurer 28L Backpack for 15”-16” Laptop (Black)</t>
  </si>
  <si>
    <t>ELK-90048-R</t>
  </si>
  <si>
    <t>BONELK Adventurer 28L Backpack for 15”-16” Laptop (Tan)</t>
  </si>
  <si>
    <t>ELK-62018-R</t>
  </si>
  <si>
    <t>BONELK Bluetooth/Wireless RGB 4D Mouse, 1200DPI, USB-C, M-270 (Black)</t>
  </si>
  <si>
    <t>ELK-62019-R</t>
  </si>
  <si>
    <t>BONELK Bluetooth/Wireless RGB 4D Mouse, 1200DPI, USB-C, M-270 (Emerald)</t>
  </si>
  <si>
    <t>ELK-62021-R</t>
  </si>
  <si>
    <t>BONELK Bluetooth/Wireless RGB 4D Mouse, 1200DPI, USB-C, M-270 (Teal)</t>
  </si>
  <si>
    <t>ELK-22511-R</t>
  </si>
  <si>
    <t>BONELK Car Charger, 4.8A, 2 x USB Ports (Black)</t>
  </si>
  <si>
    <t>ELK-22513-R</t>
  </si>
  <si>
    <t>BONELK Car Charger, Carbon Series, 20W PD USB-C , 18W QC 3.0 USB-A, 20W (Black)</t>
  </si>
  <si>
    <t>ELK-22611-R</t>
  </si>
  <si>
    <t>BONELK Car Charger, Carbon Series, 3 x USB-A, 36W (Black)</t>
  </si>
  <si>
    <t>ELK-40050-R</t>
  </si>
  <si>
    <t>BONELK Classic Kids Wired Headphones (Black)</t>
  </si>
  <si>
    <t>ELK-40052-R</t>
  </si>
  <si>
    <t>BONELK Classic Kids Wired Headphones (Blue)</t>
  </si>
  <si>
    <t>ELK-40053-R</t>
  </si>
  <si>
    <t>BONELK Classic Kids Wired Headphones (Pink)</t>
  </si>
  <si>
    <t>ELK-40051-R</t>
  </si>
  <si>
    <t>BONELK Classic Kids Wired Headphones (White)</t>
  </si>
  <si>
    <t>ELK-70458-R</t>
  </si>
  <si>
    <t>BONELK Classic Universal Extendable Suction Mount (Black)</t>
  </si>
  <si>
    <t>ELK-70457-R</t>
  </si>
  <si>
    <t>BONELK Classic Universal Vent Mount (Black)</t>
  </si>
  <si>
    <t>NSC-002</t>
  </si>
  <si>
    <t>BONELK Clean-Screen Luxury Microfibre Cloth (Blue)</t>
  </si>
  <si>
    <t>ELK-40054-R</t>
  </si>
  <si>
    <t>BONELK Comfort Kids Wired Headphones (Black/Blue)</t>
  </si>
  <si>
    <t>ELK-40056-R</t>
  </si>
  <si>
    <t>BONELK Comfort Kids Wired Headphones (Blue/Green)</t>
  </si>
  <si>
    <t>ELK-40055-R</t>
  </si>
  <si>
    <t>BONELK Comfort Kids Wired Headphones (Pink/Purple)</t>
  </si>
  <si>
    <t>ELK-40057-R</t>
  </si>
  <si>
    <t>BONELK Comfort Kids Wired Headphones (Teal/Purple)</t>
  </si>
  <si>
    <t>ELK-40062-R</t>
  </si>
  <si>
    <t>BONELK Comfort Wireless Headphones (Black)</t>
  </si>
  <si>
    <t>ELK-40064-R</t>
  </si>
  <si>
    <t>BONELK Comfort Wireless Headphones (Blue)</t>
  </si>
  <si>
    <t>ELK-40065-R</t>
  </si>
  <si>
    <t>BONELK Comfort Wireless Headphones (White)</t>
  </si>
  <si>
    <t>ELK-40063-R</t>
  </si>
  <si>
    <t>BONELK Comfort Wireless Headphones Pink)</t>
  </si>
  <si>
    <t>ELK-65017-R</t>
  </si>
  <si>
    <t>BONELK Desk Mat Qi Split - Grey</t>
  </si>
  <si>
    <t>ELK-80032-R</t>
  </si>
  <si>
    <t>BONELK Desktop Series 14 in 1 USB-C Multiport Hub - Black</t>
  </si>
  <si>
    <t>ELK-80031-R</t>
  </si>
  <si>
    <t>BONELK Desktop Series 9 in 1 USB-C Multiport Hub - Black</t>
  </si>
  <si>
    <t>ELK-80034-R</t>
  </si>
  <si>
    <t>BONELK Desktop Series 9 in 1 USB-C Multiport Hub - Space Grey</t>
  </si>
  <si>
    <t>ELK-05012-R</t>
  </si>
  <si>
    <t>BONELK Display Port to Display Port Long Life Cable 1.5m (Black)</t>
  </si>
  <si>
    <t>ELK-05013-R</t>
  </si>
  <si>
    <t>BONELK Display Port to Display Port Long Life Cable 3m (Black)</t>
  </si>
  <si>
    <t>DB-23016-R</t>
  </si>
  <si>
    <t>BONELK Dummy Box - 10k mAh Power Bank Mini, 1 x USB-C PD20W, 1 x USB-A QC22.5W (Black)</t>
  </si>
  <si>
    <t>DB-23019-R</t>
  </si>
  <si>
    <t>BONELK Dummy Box - 10k mAh Power Bank Mini, 1 x USB-C PD20W, 1 x USB-A QC22.5W (Blue)</t>
  </si>
  <si>
    <t>DB-23018-R</t>
  </si>
  <si>
    <t>BONELK Dummy Box - 10k mAh Power Bank Mini, 1 x USB-C PD20W, 1 x USB-A QC22.5W (Pink)</t>
  </si>
  <si>
    <t>DB-23015-R</t>
  </si>
  <si>
    <t>BONELK Dummy Box - 10k mAh Power Bank Mini, 1 x USB-C PD20W, 1 x USB-A QC22.5W (White)</t>
  </si>
  <si>
    <t>DB-23017-R</t>
  </si>
  <si>
    <t>BONELK Dummy Box - 10k mAh Power Bank Mini, 1 x USB-C PD20W, 1 x USB-A QC22.5W (Yellow)</t>
  </si>
  <si>
    <t>DB-23020-R</t>
  </si>
  <si>
    <t>BONELK Dummy Box - 10k mAh Power Bank Slim Eco Series, 1 x USB-C PD20W, 2 x USB-A QC18W (Black)</t>
  </si>
  <si>
    <t>DB-23045-R</t>
  </si>
  <si>
    <t>BONELK Dummy Box - 20k mAh Power Bank Mini Pro (Black)</t>
  </si>
  <si>
    <t>DB-23046-R</t>
  </si>
  <si>
    <t>BONELK Dummy Box - 20k mAh Power Bank Mini Pro (Blue)</t>
  </si>
  <si>
    <t>DB-23047-R</t>
  </si>
  <si>
    <t>BONELK Dummy Box - 20k mAh Power Bank Mini Pro (Pink)</t>
  </si>
  <si>
    <t>DB-23022-R</t>
  </si>
  <si>
    <t>BONELK Dummy Box - 20k mAh Power Bank Pro, 1 x USB-C PD20W, 1 x USB-A QC22.5W (Black)</t>
  </si>
  <si>
    <t>DB-23021-R</t>
  </si>
  <si>
    <t>BONELK Dummy Box - 20k mAh Power Bank Pro, 1 x USB-C PD20W, 1 x USB-A QC22.5W (White)</t>
  </si>
  <si>
    <t>DB-23023-R</t>
  </si>
  <si>
    <t>BONELK Dummy Box - 20k mAh Power Bank Slim Eco Series, 1 x USB-C PD20W, 2 x USB-A QC18W (Black)</t>
  </si>
  <si>
    <t>DB-21737-R</t>
  </si>
  <si>
    <t>BONELK Dummy Box - BONELK 100W PD GaN Wall Charger, 2 x USB-C, 1 x USB-A (Black)</t>
  </si>
  <si>
    <t>DB-80031-R</t>
  </si>
  <si>
    <t>BONELK Dummy Box - Desktop Series 9 in 1 USB-C Multiport Hub - Black</t>
  </si>
  <si>
    <t>DB-80034-R</t>
  </si>
  <si>
    <t>BONELK Dummy Box - Desktop Series 9 in 1 USB-C Multiport Hub - Space Grey</t>
  </si>
  <si>
    <t>DB-80056-R</t>
  </si>
  <si>
    <t>BONELK Dummy Box - Long Life USB-C to 14 in 1 Multiport Hub  - (Black)</t>
  </si>
  <si>
    <t>DB-21730-R</t>
  </si>
  <si>
    <t>BONELK Dummy Box - Long-Life 100W PD GaN Desktop Charger, in-built USB-C Cable 1.5m (Black)</t>
  </si>
  <si>
    <t>DB-80030-R</t>
  </si>
  <si>
    <t>BONELK Dummy Box - Long-Life 6 in 1 Multiport Adaptor (Space Grey)</t>
  </si>
  <si>
    <t>DB-80055-R</t>
  </si>
  <si>
    <t>BONELK Dummy Box - Long-Life USB-C to 11 in 1 Multiport Hub - (Space Grey)</t>
  </si>
  <si>
    <t>DB-80053-R</t>
  </si>
  <si>
    <t>BONELK Dummy Box - Long-Life USB-C to 8 in 1 Multiport Hub - (Black)</t>
  </si>
  <si>
    <t>DB-80057-R</t>
  </si>
  <si>
    <t>BONELK Dummy Box - Long-Life USB-C to 8 in 1 Multiport Hub - (Space Grey)</t>
  </si>
  <si>
    <t>DB-23041-R</t>
  </si>
  <si>
    <t>BONELK Dummy Box - MagTec 4-in-1 Power Bank 5k mAh (Black)</t>
  </si>
  <si>
    <t>DB-23042-R</t>
  </si>
  <si>
    <t>BONELK Dummy Box - MagTec 4-in-1 Power Bank 5k mAh (Space Grey)</t>
  </si>
  <si>
    <t>DB-23030-R</t>
  </si>
  <si>
    <t>BONELK Dummy Box - MagTec 5-in-1 Power Bank 10k mAh (Black)</t>
  </si>
  <si>
    <t>DB-23033-R</t>
  </si>
  <si>
    <t>BONELK Dummy Box - MagTec 5-in-1 Power Bank 10k mAh (Gold)</t>
  </si>
  <si>
    <t>DB-23032-R</t>
  </si>
  <si>
    <t>BONELK Dummy Box - MagTec 5-in-1 Power Bank 10k mAh (Sliver)</t>
  </si>
  <si>
    <t>DB-23031-R</t>
  </si>
  <si>
    <t>BONELK Dummy Box - MagTec 5-in-1 Power Bank 10k mAh (Space Grey)</t>
  </si>
  <si>
    <t>DB-25006-R</t>
  </si>
  <si>
    <t>BONELK Dummy Box - Sound Dock Qi2 (Black)</t>
  </si>
  <si>
    <t>DB-80073-R</t>
  </si>
  <si>
    <t>BONELK Dummy Box - USB-C to 6in1 Multiport Travel Hub (Black)</t>
  </si>
  <si>
    <t>ELK-90057-R</t>
  </si>
  <si>
    <t>BONELK Eco Carry Sleeve for 13”-14” Laptop (Black)</t>
  </si>
  <si>
    <t>ELK-90058-R</t>
  </si>
  <si>
    <t>BONELK Eco Carry Sleeve for 13”-14” Laptop (Blue)</t>
  </si>
  <si>
    <t>ELK-90059-R</t>
  </si>
  <si>
    <t>BONELK Eco Carry Sleeve for 13”-14” Laptop (Grey)</t>
  </si>
  <si>
    <t>ELK-90073-R</t>
  </si>
  <si>
    <t>BONELK Eco Carry Sleeve for 13”-14” Laptop (Mocha)</t>
  </si>
  <si>
    <t>ELK-90080-R</t>
  </si>
  <si>
    <t>BONELK Eco Carry Sleeve for 13”-14” Laptop (Sage Green)</t>
  </si>
  <si>
    <t>ELK-90072-R</t>
  </si>
  <si>
    <t>BONELK Eco Carry Sleeve for 13”-14” Laptop (Sage)</t>
  </si>
  <si>
    <t>ELK-90060-R</t>
  </si>
  <si>
    <t>BONELK Eco Carry Sleeve for 15”-16” Laptop (Black)</t>
  </si>
  <si>
    <t>ELK-90061-R</t>
  </si>
  <si>
    <t>BONELK Eco Carry Sleeve for 15”-16” Laptop (Blue)</t>
  </si>
  <si>
    <t>ELK-90062-R</t>
  </si>
  <si>
    <t>BONELK Eco Carry Sleeve for 15”-16” Laptop (Grey)</t>
  </si>
  <si>
    <t>ELK-90075-R</t>
  </si>
  <si>
    <t>BONELK Eco Carry Sleeve for 15”-16” Laptop (Mocha)</t>
  </si>
  <si>
    <t>ELK-90081-R</t>
  </si>
  <si>
    <t>BONELK Eco Carry Sleeve for 15”-16” Laptop (Sage Green)</t>
  </si>
  <si>
    <t>ELK-90074-R</t>
  </si>
  <si>
    <t>BONELK Eco Carry Sleeve for 15”-16” Laptop (Sage)</t>
  </si>
  <si>
    <t>ELK-70418-R</t>
  </si>
  <si>
    <t>BONELK Elevate 360 Laptop Stand (Black)</t>
  </si>
  <si>
    <t>ELK-70411-R</t>
  </si>
  <si>
    <t>BONELK Elevate Junior Stand (Black)</t>
  </si>
  <si>
    <t>ELK-70408-R</t>
  </si>
  <si>
    <t>BONELK Elevate Laptop Stand (Black)</t>
  </si>
  <si>
    <t>ELK-70419-R</t>
  </si>
  <si>
    <t>BONELK Elevate Stance Aluminium Riser Laptop Stand - Black</t>
  </si>
  <si>
    <t>ELK-70420-R</t>
  </si>
  <si>
    <t>BONELK Elevate Stance Aluminium Riser Laptop Stand - Sliver</t>
  </si>
  <si>
    <t>ELK-70413-R</t>
  </si>
  <si>
    <t>BONELK Elevate Flow Laptop Stand - Black</t>
  </si>
  <si>
    <t>ELK-42002-R</t>
  </si>
  <si>
    <t>BONELK Fly Wireless Bluetooth Transmitter (Black)</t>
  </si>
  <si>
    <t>ELK-42005-R</t>
  </si>
  <si>
    <t>BONELK Fly Wireless Pro (Black)</t>
  </si>
  <si>
    <t>ELK-42006-R</t>
  </si>
  <si>
    <t>BONELK Fly Wireless Pro (White)</t>
  </si>
  <si>
    <t>ELK-40070-R</t>
  </si>
  <si>
    <t>BONELK Freedom SoundBuds TWS Earbuds (Black)</t>
  </si>
  <si>
    <t>ELK-40073-R</t>
  </si>
  <si>
    <t>BONELK Freedom SoundBuds TWS Earbuds (Salmon)</t>
  </si>
  <si>
    <t>ELK-40072-R</t>
  </si>
  <si>
    <t>BONELK Freedom SoundBuds TWS Earbuds (Teal)</t>
  </si>
  <si>
    <t>ELK-40071-R</t>
  </si>
  <si>
    <t>BONELK Freedom SoundBuds TWS Earbuds (White)</t>
  </si>
  <si>
    <t>ELK-61002-R</t>
  </si>
  <si>
    <t>BONELK Full Size Aluminium Bluetooth Keyboard and Mouse Bundle (Sliver)</t>
  </si>
  <si>
    <t>ELK-61001-R</t>
  </si>
  <si>
    <t>BONELK Full Size Aluminium Bluetooth Keyboard and Mouse Bundle (Space Grey)</t>
  </si>
  <si>
    <t>ELK-65001-R</t>
  </si>
  <si>
    <t>BONELK Gaming Mouse Mat 800x300, RGB, USB (Black)</t>
  </si>
  <si>
    <t>ELK-66021-R</t>
  </si>
  <si>
    <t>BONELK Lightbar Monitor Light, ABS - Black</t>
  </si>
  <si>
    <t>ELK-80060-R</t>
  </si>
  <si>
    <t>BONELK Long Life USB-C to 12 in 1 Multiport Slim Powered Hub - (Black)</t>
  </si>
  <si>
    <t>ELK-80056-R</t>
  </si>
  <si>
    <t>BONELK Long Life USB-C to 14 in 1 Multiport Hub  - (Black)</t>
  </si>
  <si>
    <t>ELK-80028-R</t>
  </si>
  <si>
    <t>BONELK Long-Life  7 in 1 Multiport Hub  (Space Grey)</t>
  </si>
  <si>
    <t>ELK-21786-R</t>
  </si>
  <si>
    <t>BONELK Long-Life 100W GaN Multi-Device Laptop Charger, in-built Cable 1.5m (Black)</t>
  </si>
  <si>
    <t>ELK-21730-R</t>
  </si>
  <si>
    <t>BONELK Long-Life 100W PD GaN Desktop Charger, in-built USB-C Cable 1.5m (Black)</t>
  </si>
  <si>
    <t>ELK-80029-R</t>
  </si>
  <si>
    <t>BONELK Long-Life 13 in 1 Multiport Hub  (Space Grey)</t>
  </si>
  <si>
    <t>ELK-80047-R</t>
  </si>
  <si>
    <t>BONELK Long-Life 3in1 Multiport Hub  - Blue</t>
  </si>
  <si>
    <t>ELK-80046-R</t>
  </si>
  <si>
    <t>BONELK Long-Life 3in1 Multiport Hub  - Green</t>
  </si>
  <si>
    <t>ELK-80045-R</t>
  </si>
  <si>
    <t>BONELK Long-Life 3in1 Multiport Hub  - White</t>
  </si>
  <si>
    <t>ELK-80044-R</t>
  </si>
  <si>
    <t>BONELK Long-Life 3in1 Multiport Hub (Black)</t>
  </si>
  <si>
    <t>ELK-80020-R</t>
  </si>
  <si>
    <t>BONELK Long-Life 3in1 Multiport Hub (Space Grey)</t>
  </si>
  <si>
    <t>ELK-80030-R</t>
  </si>
  <si>
    <t>BONELK Long-Life 6 in 1 Multiport Adaptor (Space Grey)</t>
  </si>
  <si>
    <t>ELK-21785-R</t>
  </si>
  <si>
    <t>BONELK Long-Life 65W GaN Multi-Device Laptop Charger, in-built Cable 1.5m (Black)</t>
  </si>
  <si>
    <t>ELK-21727-R</t>
  </si>
  <si>
    <t>BONELK Long-Life 65W PD GaN Desktop Charger, in-built USB-C Cable 1.5m (Black)</t>
  </si>
  <si>
    <t>ELK-21729-R</t>
  </si>
  <si>
    <t>BONELK Long-Life 65W PD GaN Desktop Charger, in-built USB-C Cable 1.5m (Space Grey)</t>
  </si>
  <si>
    <t>ELK-21728-R</t>
  </si>
  <si>
    <t>BONELK Long-Life 65W PD GaN Desktop Charger, in-built USB-C Cable 1.5m (White)</t>
  </si>
  <si>
    <t>ELK-90028-R</t>
  </si>
  <si>
    <t>BONELK Long-Life Armour Backpack 15" - 16" (Black)</t>
  </si>
  <si>
    <t>ELK-90024-R</t>
  </si>
  <si>
    <t>BONELK Long-Life Armour Sleeve 13" - 14" (Black)</t>
  </si>
  <si>
    <t>ELK-90025-R</t>
  </si>
  <si>
    <t>BONELK Long-Life Armour Sleeve 15" - 16" (Black)</t>
  </si>
  <si>
    <t>ELK-90026-R</t>
  </si>
  <si>
    <t>BONELK Long-Life Attache 13" - 14" (Black)</t>
  </si>
  <si>
    <t>ELK-90027-R</t>
  </si>
  <si>
    <t>BONELK Long-Life Attache 15" - 16" (Black)</t>
  </si>
  <si>
    <t>ELK-05122-R</t>
  </si>
  <si>
    <t>BONELK Long-Life Display Port to Display Port Cable 1.5m (Black)</t>
  </si>
  <si>
    <t>ELK-05123-R</t>
  </si>
  <si>
    <t>BONELK Long-Life Display Port to Display Port Cable 2.5m (Black)</t>
  </si>
  <si>
    <t>ELK-01061-R</t>
  </si>
  <si>
    <t>BONELK Long-Life Easy Grip USB-A to Lightning Cable 1.2m (Black)</t>
  </si>
  <si>
    <t>ELK-01060-R</t>
  </si>
  <si>
    <t>BONELK Long-Life Easy Grip USB-A to Lightning Cable 1.2m (White)</t>
  </si>
  <si>
    <t>ELK-01062-R</t>
  </si>
  <si>
    <t>BONELK Long-Life Easy Grip USB-A to Lightning Cable 2m (White)</t>
  </si>
  <si>
    <t>ELK-05037-R</t>
  </si>
  <si>
    <t>BONELK Long-Life Easy Grip USB-A to USB-C Cable, 60W (2m) (Black)</t>
  </si>
  <si>
    <t>ELK-05033-R</t>
  </si>
  <si>
    <t>BONELK Long-Life Easy Grip USB-A to USB-C Cable, 60W 1.2m (Black)</t>
  </si>
  <si>
    <t>ELK-05032-R</t>
  </si>
  <si>
    <t>BONELK Long-Life Easy Grip USB-A to USB-C Cable, 60W 1.2m (White)</t>
  </si>
  <si>
    <t>ELK-05034-R</t>
  </si>
  <si>
    <t>BONELK Long-Life Easy Grip USB-A to USB-C Cable, 60W 2m (White)</t>
  </si>
  <si>
    <t>ELK-04515-R</t>
  </si>
  <si>
    <t>BONELK Long-Life Easy Grip USB-C to USB-C Cable, 100W (2m) (Black)</t>
  </si>
  <si>
    <t>ELK-04516-R</t>
  </si>
  <si>
    <t>BONELK Long-Life Easy Grip USB-C to USB-C Cable, 100W (3m) (Black)</t>
  </si>
  <si>
    <t>ELK-05030-R</t>
  </si>
  <si>
    <t>BONELK Long-Life Easy Grip USB-C to USB-C Cable, 100W 1.2m (Black)</t>
  </si>
  <si>
    <t>ELK-05031-R</t>
  </si>
  <si>
    <t>BONELK Long-Life Easy Grip USB-C to USB-C Cable, 100W 1.2m (White)</t>
  </si>
  <si>
    <t>ELK-04522-R</t>
  </si>
  <si>
    <t>BONELK Long-Life Easy Grip USB-C to USB-C Cable, 240w/20Gbps 4K 60Hz - 1.5m (Black)</t>
  </si>
  <si>
    <t>ELK-04523-R</t>
  </si>
  <si>
    <t>BONELK Long-Life Easy Grip USB-C to USB-C Cable, 240w/40Gbps 8K 60Hz - 1.5m (Black)</t>
  </si>
  <si>
    <t>ELK-04520-R</t>
  </si>
  <si>
    <t>BONELK Long-Life Easy Grip USB-C to USB-C Cable, 240w/480Mbps - 1.5m (Black)</t>
  </si>
  <si>
    <t>ELK-05035-R</t>
  </si>
  <si>
    <t>BONELK Long-Life Easy Grip USB-C to USB-C Right Angle Cable, 100W 2m - (Black)</t>
  </si>
  <si>
    <t>ELK-05036-R</t>
  </si>
  <si>
    <t>BONELK Long-Life Easy Grip USB-C to USB-C Right Angle Cable, 100W 3m - (Black)</t>
  </si>
  <si>
    <t>ELK-04521-R</t>
  </si>
  <si>
    <t>BONELK Long-Life Easy-Grip USB-C to USB-C Cable, 240w/480Mbps - 1.5m (White)</t>
  </si>
  <si>
    <t>ELK-05124-R</t>
  </si>
  <si>
    <t>BONELK Long-Life Mini Display Port to HDMI Cable 1.5m (Black)</t>
  </si>
  <si>
    <t>ELK-80038-R</t>
  </si>
  <si>
    <t>BONELK Long-Life USB-A to 3 Port Hub + SD/TF Reader - Black</t>
  </si>
  <si>
    <t>ELK-80037-R</t>
  </si>
  <si>
    <t>BONELK Long-Life USB-A to 3 Port Hub + SD/TF Reader - Space Grey</t>
  </si>
  <si>
    <t>ELK-80036-R</t>
  </si>
  <si>
    <t>BONELK Long-Life USB-A to 4 Port USB 3.0 Slim Hub (Black)</t>
  </si>
  <si>
    <t>ELK-80043-R</t>
  </si>
  <si>
    <t>BONELK Long-Life USB-A to 4 Port USB 3.0 Slim Hub (Blue)</t>
  </si>
  <si>
    <t>ELK-80042-R</t>
  </si>
  <si>
    <t>BONELK Long-Life USB-A to 4 Port USB 3.0 Slim Hub (Green)</t>
  </si>
  <si>
    <t>ELK-80024-R</t>
  </si>
  <si>
    <t>BONELK Long-Life USB-A to 4 Port USB 3.0 Slim Hub (Space Grey)</t>
  </si>
  <si>
    <t>ELK-80041-R</t>
  </si>
  <si>
    <t>BONELK Long-Life USB-A to 4 Port USB 3.0 Slim Hub (White)</t>
  </si>
  <si>
    <t>ELK-80059-R</t>
  </si>
  <si>
    <t>BONELK Long-Life USB-C 4 in 1 Multiport Slim Hub (Black)</t>
  </si>
  <si>
    <t>ELK-80048-R</t>
  </si>
  <si>
    <t>BONELK Long-Life USB-C 4 in 1 Multiport Slim Hub (Space Grey)</t>
  </si>
  <si>
    <t>ELK-80055-R</t>
  </si>
  <si>
    <t>BONELK Long-Life USB-C to 11 in 1 Multiport Hub - (Space Grey)</t>
  </si>
  <si>
    <t>ELK-80023-R</t>
  </si>
  <si>
    <t>BONELK Long-Life USB-C to 2 Port USB 3.0 Slim Hub (Space Grey)</t>
  </si>
  <si>
    <t>ELK-80075-R</t>
  </si>
  <si>
    <t>BONELK Long-Life USB-C to 3.5mm AUX Audio Adapter (Black)</t>
  </si>
  <si>
    <t>ELK-80076-R</t>
  </si>
  <si>
    <t>BONELK Long-Life USB-C to 3.5mm AUX Audio Adapter (White)</t>
  </si>
  <si>
    <t>ELK-80052-R</t>
  </si>
  <si>
    <t>BONELK Long-Life USB-C to 4 Port USB 3.0 Slim Hub  (Blue)</t>
  </si>
  <si>
    <t>ELK-80051-R</t>
  </si>
  <si>
    <t>BONELK Long-Life USB-C to 4 Port USB 3.0 Slim Hub  (Green)</t>
  </si>
  <si>
    <t>ELK-80050-R</t>
  </si>
  <si>
    <t>BONELK Long-Life USB-C to 4 Port USB 3.0 Slim Hub  (White)</t>
  </si>
  <si>
    <t>ELK-80022-R</t>
  </si>
  <si>
    <t>BONELK Long-Life USB-C to 4 Port USB 3.0 Slim Hub (Space Grey)</t>
  </si>
  <si>
    <t>ELK-80040-R</t>
  </si>
  <si>
    <t>BONELK Long-Life USB-C to 4 Port USB 3.0 Slim Hub - (Black)</t>
  </si>
  <si>
    <t>ELK-80058-R</t>
  </si>
  <si>
    <t>BONELK Long-Life USB-C to 4 Port USB-C 3.0 Slim Hub - (Black)</t>
  </si>
  <si>
    <t>ELK-80025-R</t>
  </si>
  <si>
    <t>BONELK Long-Life USB-C to 4K HDMI Adapter - 15cm (Space Grey)</t>
  </si>
  <si>
    <t>ELK-80053-R</t>
  </si>
  <si>
    <t>BONELK Long-Life USB-C to 8 in 1 Multiport Hub - (Black)</t>
  </si>
  <si>
    <t>ELK-80057-R</t>
  </si>
  <si>
    <t>BONELK Long-Life USB-C to 8 in 1 Multiport Hub - (Space Grey)</t>
  </si>
  <si>
    <t>ELK-05125-R</t>
  </si>
  <si>
    <t>BONELK Long-Life USB-C to Display Port  Cable 1.5m (Black)</t>
  </si>
  <si>
    <t>ELK-80027-R</t>
  </si>
  <si>
    <t>BONELK Long-Life USB-C to Gigabit Ethernet Adapter - 15cm (Space Grey)</t>
  </si>
  <si>
    <t>ELK-05120-R</t>
  </si>
  <si>
    <t>BONELK Long-Life USB-C to HDMI Cable 1.5m (Black)</t>
  </si>
  <si>
    <t>ELK-05121-R</t>
  </si>
  <si>
    <t>BONELK Long-Life USB-C to HDMI Cable 2.5m (Black)</t>
  </si>
  <si>
    <t>ELK-80019-R</t>
  </si>
  <si>
    <t>BONELK Long-Life USB-C to USB-A Adapter - 15cm (Space Grey)</t>
  </si>
  <si>
    <t>ELK-40081-R</t>
  </si>
  <si>
    <t>BONELK Luxe SoundBuds TWS Earbuds (Black)</t>
  </si>
  <si>
    <t>ELK-40082-R</t>
  </si>
  <si>
    <t>BONELK Luxe SoundBuds TWS Earbuds (Blue)</t>
  </si>
  <si>
    <t>ELK-40083-R</t>
  </si>
  <si>
    <t>BONELK Luxe SoundBuds TWS Earbuds (Gold)</t>
  </si>
  <si>
    <t>ELK-40080-R</t>
  </si>
  <si>
    <t>BONELK Luxe SoundBuds TWS Earbuds (White)</t>
  </si>
  <si>
    <t>ELK-22820-R</t>
  </si>
  <si>
    <t>BONELK Magnetic 15W Charging Vent Mount + Car Charger (Black)</t>
  </si>
  <si>
    <t>ELK-22822-R</t>
  </si>
  <si>
    <t>BONELK Magnetic Cooling 15W Charging Vent Mount + Car Charger (Black)</t>
  </si>
  <si>
    <t>ELK-22821-R</t>
  </si>
  <si>
    <t>BONELK Magnetic Qi2 15W Charging Vent Mount + Car Charger (Black)</t>
  </si>
  <si>
    <t>ELK-70455-R</t>
  </si>
  <si>
    <t>BONELK Magnetic Ring Vent Mount (Black)</t>
  </si>
  <si>
    <t>ELK-70456-R</t>
  </si>
  <si>
    <t>BONELK Magnetic Ring Vent Mount - Twin Pack (Black)</t>
  </si>
  <si>
    <t>ELK-23041-R</t>
  </si>
  <si>
    <t>BONELK MagTec 4-in-1 Power Bank 5k mAh (Black)</t>
  </si>
  <si>
    <t>ELK-23042-R</t>
  </si>
  <si>
    <t>BONELK MagTec 4-in-1 Power Bank 5k mAh (Space Grey)</t>
  </si>
  <si>
    <t>ELK-23030-R</t>
  </si>
  <si>
    <t>BONELK MagTec 5-in-1 Power Bank 10k mAh (Black)</t>
  </si>
  <si>
    <t>ELK-23033-R</t>
  </si>
  <si>
    <t>BONELK MagTec 5-in-1 Power Bank 10k mAh (Gold)</t>
  </si>
  <si>
    <t>ELK-23032-R</t>
  </si>
  <si>
    <t>BONELK MagTec 5-in-1 Power Bank 10k mAh (Sliver)</t>
  </si>
  <si>
    <t>ELK-23031-R</t>
  </si>
  <si>
    <t>BONELK MagTec 5-in-1 Power Bank 10k mAh (Space Grey)</t>
  </si>
  <si>
    <t>ELK-90041-R</t>
  </si>
  <si>
    <t>BONELK Metro 14L Messenger Bag for 15”-16” Laptop (Black)</t>
  </si>
  <si>
    <t>ELK-05016-R</t>
  </si>
  <si>
    <t>BONELK Mini Display Port to HDMI Long Life Cable 1.5m (Black)</t>
  </si>
  <si>
    <t>ELK-65015-R</t>
  </si>
  <si>
    <t>Bonelk Mouse Mat Qi Pro - Grey</t>
  </si>
  <si>
    <t>ELK-65016-R</t>
  </si>
  <si>
    <t>Bonelk Mouse Mat Qi Split - Grey</t>
  </si>
  <si>
    <t>ELK-40058-R</t>
  </si>
  <si>
    <t>BONELK My-Style (Boom Mic) Kids Wired Headphones (White/Blue)</t>
  </si>
  <si>
    <t>ELK-40059-R</t>
  </si>
  <si>
    <t>BONELK My-Style (Boom Mic) Kids Wired Headphones (White/Pink)</t>
  </si>
  <si>
    <t>ELK-40060-R</t>
  </si>
  <si>
    <t>BONELK My-Style Kids Wireless Headphones (Pink/White)</t>
  </si>
  <si>
    <t>ELK-40061-R</t>
  </si>
  <si>
    <t>BONELK My-Style Kids Wireless Headphones (Purple/Black)</t>
  </si>
  <si>
    <t>ELK-61011-R</t>
  </si>
  <si>
    <t>BONELK Pro Gaming Full Size RGB Keyboard  (Black)</t>
  </si>
  <si>
    <t>ELK-61008-R</t>
  </si>
  <si>
    <t>BONELK Pro Gaming Full Size RGB LED Keyboard and Mouse Bundle Mac/Win (Black)</t>
  </si>
  <si>
    <t>ELK-61010-R</t>
  </si>
  <si>
    <t>BONELK Pro Gaming Full Size RGB LED Mechanical Keyboard,   (Black)</t>
  </si>
  <si>
    <t>ELK-05232-R</t>
  </si>
  <si>
    <t>BONELK Pro-X Long-Life Display Port to Display Port Cable 1.5m (Black)</t>
  </si>
  <si>
    <t>ELK-05233-R</t>
  </si>
  <si>
    <t>BONELK Pro-X Long-Life Display Port to Display Port Cable 2.5m (Black)</t>
  </si>
  <si>
    <t>ELK-05236-R</t>
  </si>
  <si>
    <t>BONELK Pro-X Long-Life HDMI to HDMI Cable 1.5m (Black)</t>
  </si>
  <si>
    <t>ELK-05237-R</t>
  </si>
  <si>
    <t>BONELK Pro-X Long-Life HDMI to HDMI Cable 2.5m (Black)</t>
  </si>
  <si>
    <t>ELK-05234-R</t>
  </si>
  <si>
    <t>BONELK Pro-X Long-Life USB-C to DisplayPort Cable 1.5m (Black)</t>
  </si>
  <si>
    <t>ELK-80156-R</t>
  </si>
  <si>
    <t>BONELK Pro-X Long-Life USB-C to HDMI Adapter 15cm (Black)</t>
  </si>
  <si>
    <t>ELK-05230-R</t>
  </si>
  <si>
    <t>BONELK Pro-X Long-Life USB-C to HDMI Cable 1.5m (Black)</t>
  </si>
  <si>
    <t>ELK-05231-R</t>
  </si>
  <si>
    <t>BONELK Pro-X Long-Life USB-C to HDMI Cable 2.5m (Black)</t>
  </si>
  <si>
    <t>ELK-80155-R</t>
  </si>
  <si>
    <t>NSC-003</t>
  </si>
  <si>
    <t>BONELK Screen Cleaning Kit (200 ml)</t>
  </si>
  <si>
    <t>NSC-001</t>
  </si>
  <si>
    <t>BONELK Screen Cleaning Kit 30 ml</t>
  </si>
  <si>
    <t>ELK-61003-R</t>
  </si>
  <si>
    <t>BONELK Slim Bluetooth/RF Keyboard and Mouse Combo, KM-447 (Space Grey)</t>
  </si>
  <si>
    <t>ELK-61014-R</t>
  </si>
  <si>
    <t>BONELK Slim Bluetooth/RF Keyboard and Mouse Combo, KM-447 (White)</t>
  </si>
  <si>
    <t>ELK-51017-R</t>
  </si>
  <si>
    <t>BONELK Slim Smart Folio Case for iPad 10.2 7th/8th/9th Gen (Emerald)</t>
  </si>
  <si>
    <t>ELK-51016-R</t>
  </si>
  <si>
    <t>BONELK Slim Smart Folio Case for iPad 10.2 7th/8th/9th Gen (Midnight)</t>
  </si>
  <si>
    <t>ELK-61012-R</t>
  </si>
  <si>
    <t>BONELK Slim Wireless Keyboard and Mouse Combo, KM-314 - Black</t>
  </si>
  <si>
    <t>ELK-61013-R</t>
  </si>
  <si>
    <t>BONELK Slim Wireless Keyboard and Mouse Combo, KM-314 - White</t>
  </si>
  <si>
    <t>ELK-61004-R</t>
  </si>
  <si>
    <t>BONELK Slim Wireless Keyboard and Mouse Combo, KM-322 (Black)</t>
  </si>
  <si>
    <t>ELK-61007-R</t>
  </si>
  <si>
    <t>BONELK Slim Wireless Keyboard and Mouse Combo, KM-322 (Salmon)</t>
  </si>
  <si>
    <t>ELK-61006-R</t>
  </si>
  <si>
    <t>BONELK Slim Wireless Keyboard and Mouse Combo, KM-322 (Teal)</t>
  </si>
  <si>
    <t>ELK-61005-R</t>
  </si>
  <si>
    <t>BONELK Slim Wireless Keyboard and Mouse Combo, KM-322 (White)</t>
  </si>
  <si>
    <t>ELK-25006-R</t>
  </si>
  <si>
    <t>BONELK Sound Dock Qi2 (Black)</t>
  </si>
  <si>
    <t>ELK-90022-R</t>
  </si>
  <si>
    <t>BONELK Traveller Alpine Backpack 15"- 16" (Black)</t>
  </si>
  <si>
    <t>ELK-21787-R</t>
  </si>
  <si>
    <t>BONELK TravelTech 65W PD Wall Charger, 1 x USB-C, 1 x USB-A - (Black)</t>
  </si>
  <si>
    <t>ELK-22824-R</t>
  </si>
  <si>
    <t>BONELK Universal Auto Close 15W Charging Suction Mount (Black)</t>
  </si>
  <si>
    <t>ELK-22823-R</t>
  </si>
  <si>
    <t>BONELK Universal Auto Close 15W Charging Vent Mount (Black)</t>
  </si>
  <si>
    <t>ELK-54004-R</t>
  </si>
  <si>
    <t>BONELK Universal Folio for Tablets with Integrated Keyboard  9-11" (Black)</t>
  </si>
  <si>
    <t>ELK-54001-R</t>
  </si>
  <si>
    <t>BONELK Universal Tablet Case 9" -  11" (Black)</t>
  </si>
  <si>
    <t>ELK-54003-R</t>
  </si>
  <si>
    <t>BONELK Universal Tablet Sleeve  11" (Black)</t>
  </si>
  <si>
    <t>ELK-90023-R</t>
  </si>
  <si>
    <t>BONELK Uptown Backpack 15" - 16" (Grey)</t>
  </si>
  <si>
    <t>ELK-90044-R</t>
  </si>
  <si>
    <t>BONELK UpTown2 21L Backpack for 15”-16” Laptop (Black)</t>
  </si>
  <si>
    <t>ELK-90021-R</t>
  </si>
  <si>
    <t>BONELK Urban Classic Backpack 15" - 16" (Grey)</t>
  </si>
  <si>
    <t>ELK-01043-R</t>
  </si>
  <si>
    <t>BONELK USB to Lightning Cable Longlife Series 1.2m (Black/Grey)</t>
  </si>
  <si>
    <t>ELK-04012-R</t>
  </si>
  <si>
    <t>BONELK USB to USB-C Cable Long-Life Series 2m (White)</t>
  </si>
  <si>
    <t>ELK-63026-R</t>
  </si>
  <si>
    <t>BONELK USB Webcam Pro LED, Clip On, 1080p (Black)</t>
  </si>
  <si>
    <t>ELK-63025-R</t>
  </si>
  <si>
    <t>BONELK USB Webcam Pro, Clip On, 1080p (Black)</t>
  </si>
  <si>
    <t>ELK-63022-R</t>
  </si>
  <si>
    <t>BONELK USB Webcam, Clip On, 1080p (Black)</t>
  </si>
  <si>
    <t>ELK-63021-R</t>
  </si>
  <si>
    <t>BONELK USB Webcam, Clip On, 720p (Black)</t>
  </si>
  <si>
    <t>ELK-63023-R</t>
  </si>
  <si>
    <t>BONELK USB Webcam, Desktop, Flexible Neck, 1080p (Black)</t>
  </si>
  <si>
    <t>ELK-80077-R</t>
  </si>
  <si>
    <t>BONELK USB-A to USB-C 3.0 Adapter (Space Grey)</t>
  </si>
  <si>
    <t>ELK-80061-R</t>
  </si>
  <si>
    <t>BONELK USB-A to USB-C 3.0 Adapter - (Black)</t>
  </si>
  <si>
    <t>ELK-80070-R</t>
  </si>
  <si>
    <t>BONELK USB-A to USB-C 3.0 Adapter - (White)</t>
  </si>
  <si>
    <t>ELK-80063-R</t>
  </si>
  <si>
    <t>BONELK USB-C to 4K HDMI Adapter - (Black)</t>
  </si>
  <si>
    <t>ELK-80073-R</t>
  </si>
  <si>
    <t>BONELK USB-C to 6in1 Multiport Travel Hub (Black)</t>
  </si>
  <si>
    <t>ELK-80064-R</t>
  </si>
  <si>
    <t>BONELK USB-C to Ethernet Adapter - (Black)</t>
  </si>
  <si>
    <t>ELK-05010-R</t>
  </si>
  <si>
    <t>BONELK USB-C to HDMI Long Life Cable 1.5m (Black)</t>
  </si>
  <si>
    <t>ELK-05011-R</t>
  </si>
  <si>
    <t>BONELK USB-C to HDMI Long Life Cable 2.5m (Black)</t>
  </si>
  <si>
    <t>ELK-80078-R</t>
  </si>
  <si>
    <t>BONELK USB-C to MicroSD/SD Adapter (Space Grey)</t>
  </si>
  <si>
    <t>ELK-80065-R</t>
  </si>
  <si>
    <t>BONELK USB-C to MicroSD/SD Adapter - (Black)</t>
  </si>
  <si>
    <t>ELK-80072-R</t>
  </si>
  <si>
    <t>BONELK USB-C to MicroSD/SD Adapter - (White)</t>
  </si>
  <si>
    <t>ELK-80079-R</t>
  </si>
  <si>
    <t>BONELK USB-C to USB-A 3.0 Adapter (Space Grey)</t>
  </si>
  <si>
    <t>ELK-80062-R</t>
  </si>
  <si>
    <t>BONELK USB-C to USB-A 3.0 Adapter - (Black)</t>
  </si>
  <si>
    <t>ELK-80071-R</t>
  </si>
  <si>
    <t>BONELK USB-C to USB-A 3.0 Adapter - (White)</t>
  </si>
  <si>
    <t>ELK-05018-R</t>
  </si>
  <si>
    <t>BONELK USB-C to USB-C Long-Life Cable 10Gbps / 140W 2m (Black)</t>
  </si>
  <si>
    <t>ELK-05019-R</t>
  </si>
  <si>
    <t>BONELK USB-C to USB-C Long-Life Cable 10Gbps / 140W 2m (White)</t>
  </si>
  <si>
    <t>ELK-05020-R</t>
  </si>
  <si>
    <t>BONELK USB-C to USB-C Long-Life Cable 20Gbps / 240W 2m (White)</t>
  </si>
  <si>
    <t>ELK-04016-R</t>
  </si>
  <si>
    <t>BONELK USB-C to USB-C LongLife Digital Cable 100W 1.5m - (Black)</t>
  </si>
  <si>
    <t>ELK-90030-R</t>
  </si>
  <si>
    <t>BONELK Vibe 18L Backpack for 15”- 16” Laptop  (Black)</t>
  </si>
  <si>
    <t>ELK-90031-R</t>
  </si>
  <si>
    <t>BONELK Vibe 18L Backpack for 15”-16” Laptop (Blue)</t>
  </si>
  <si>
    <t>ELK-90032-R</t>
  </si>
  <si>
    <t>BONELK Vibe 18L Backpack for 15”-16” Laptop (Sage)</t>
  </si>
  <si>
    <t>ELK-90033-R</t>
  </si>
  <si>
    <t>BONELK Vibe 18L Backpack for 15”-16” Laptop (Tan)</t>
  </si>
  <si>
    <t>ELK-90068-R</t>
  </si>
  <si>
    <t>ELK-90069-R</t>
  </si>
  <si>
    <t>ELK-80150-R</t>
  </si>
  <si>
    <t>BONELK Vision Long-Life USB-C to 6-in-1 Multiport Hub (SG/Clear)</t>
  </si>
  <si>
    <t>ELK-80151-R</t>
  </si>
  <si>
    <t>BONELK Vision Long-Life USB-C to 6-in-1 w/Card Reader Multiport Hub (SG/Clear)</t>
  </si>
  <si>
    <t>ELK-80152-R</t>
  </si>
  <si>
    <t>BONELK Vision Long-Life USB-C to 8-in-1 Multiport Hub (SG/Clear)</t>
  </si>
  <si>
    <t>ELK-90034-R</t>
  </si>
  <si>
    <t>BONELK Wayfarer 22L Backpack for 15”-16” Laptop (Black)</t>
  </si>
  <si>
    <t>ELK-22839-R</t>
  </si>
  <si>
    <t>BONELK WireFree Pro - Wired to Wireless Android Auto (Black)</t>
  </si>
  <si>
    <t>ELK-22838-R</t>
  </si>
  <si>
    <t>BONELK WireFree Pro - Wired to Wireless CarPlay (Black)</t>
  </si>
  <si>
    <t>ELK-61024-R</t>
  </si>
  <si>
    <t>BONELK Wireless Keyboard and Mouse Combo, Compact, KM-383 (Black)</t>
  </si>
  <si>
    <t>ELK-61020-R</t>
  </si>
  <si>
    <t>BONELK Wireless Keyboard and Mouse Combo, Compact, KM-383 (Grey)</t>
  </si>
  <si>
    <t>ELK-61023-R</t>
  </si>
  <si>
    <t>BONELK Wireless Keyboard and Mouse Combo, Compact, KM-383 (Lilac)</t>
  </si>
  <si>
    <t>ELK-61021-R</t>
  </si>
  <si>
    <t>BONELK Wireless Keyboard and Mouse Combo, Compact, KM-383 (Red)</t>
  </si>
  <si>
    <t>ELK-63015-R</t>
  </si>
  <si>
    <t>BONELK Wireless Round Scroll 4D Mouse, 800-1600 DPI, M-257 - Black</t>
  </si>
  <si>
    <t>ELK-63017-R</t>
  </si>
  <si>
    <t>BONELK Wireless Round Scroll 4D Mouse, 800-1600 DPI, M-257 - Blue</t>
  </si>
  <si>
    <t>ELK-63016-R</t>
  </si>
  <si>
    <t>BONELK Wireless Round Scroll 4D Mouse, 800-1600 DPI, M-257 - Red</t>
  </si>
  <si>
    <t>ELK-70406-R</t>
  </si>
  <si>
    <t>BONELK X-Frame Laptop Stand (Black)</t>
  </si>
  <si>
    <t>CATALYST</t>
  </si>
  <si>
    <t>CAT100APDPROBLK</t>
  </si>
  <si>
    <t>CATALYST Total Protection Case for AirPods Pro 1st/2nd Gen (Black)</t>
  </si>
  <si>
    <t>CATAPDPROBLK</t>
  </si>
  <si>
    <t>CATALYST Waterproof Case for AirPods Pro 1st/2nd Gen (Black)</t>
  </si>
  <si>
    <t>CHASSEUR</t>
  </si>
  <si>
    <t>19251</t>
  </si>
  <si>
    <t>CHASSEUR Rectangular Baker with Lid (Red)</t>
  </si>
  <si>
    <t>CHIPOLO</t>
  </si>
  <si>
    <t>CH-C17B-WE-R</t>
  </si>
  <si>
    <t>CHIPOLO CARD (White)</t>
  </si>
  <si>
    <t>CH-C21R-GY-R-EN</t>
  </si>
  <si>
    <t>CHIPOLO CARD Spot (Black)</t>
  </si>
  <si>
    <t>CH-C21M-GY-R</t>
  </si>
  <si>
    <t>CHIPOLO One SPOT</t>
  </si>
  <si>
    <t>CH-C21M-2GY-R</t>
  </si>
  <si>
    <t>CHIPOLO One SPOT 2 pack</t>
  </si>
  <si>
    <t>CLASSROOM21</t>
  </si>
  <si>
    <t>C21-SAM1</t>
  </si>
  <si>
    <t>CLASSROOM21 Activity Mat 1</t>
  </si>
  <si>
    <t>C21-SAM2</t>
  </si>
  <si>
    <t>CLASSROOM21 Activity Mat 2</t>
  </si>
  <si>
    <t>C21-SGM</t>
  </si>
  <si>
    <t>CLASSROOM21 Golf Mat</t>
  </si>
  <si>
    <t>CUISINART</t>
  </si>
  <si>
    <t>46927</t>
  </si>
  <si>
    <t>CUISINART 2 Slice Digital Toaster</t>
  </si>
  <si>
    <t>46443</t>
  </si>
  <si>
    <t>CUISINART 3 in 1 Multi Cooker</t>
  </si>
  <si>
    <t>46928</t>
  </si>
  <si>
    <t>CUISINART 4 Slice Digital Toaster</t>
  </si>
  <si>
    <t>46826</t>
  </si>
  <si>
    <t>CUISINART 8 Cup Food Processor - Gun Metal Grey</t>
  </si>
  <si>
    <t>46946</t>
  </si>
  <si>
    <t>CUISINART Belgian Waffle Maker</t>
  </si>
  <si>
    <t>46444</t>
  </si>
  <si>
    <t>CUISINART Combo Steam &amp; Convection Oven</t>
  </si>
  <si>
    <t>46230</t>
  </si>
  <si>
    <t>CUISINART Compact Juice Extractor</t>
  </si>
  <si>
    <t>46445</t>
  </si>
  <si>
    <t>CUISINART Cookfresh Digital Glass Steamer</t>
  </si>
  <si>
    <t>46782</t>
  </si>
  <si>
    <t>CUISINART Cordless Blender</t>
  </si>
  <si>
    <t>46780</t>
  </si>
  <si>
    <t>CUISINART Cordless Hand Blender</t>
  </si>
  <si>
    <t>46781</t>
  </si>
  <si>
    <t>CUISINART Cordless Hand Mixer</t>
  </si>
  <si>
    <t>46783</t>
  </si>
  <si>
    <t>CUISINART Cordless Mini Processor</t>
  </si>
  <si>
    <t>46446</t>
  </si>
  <si>
    <t>CUISINART Express Oven Air Fryer</t>
  </si>
  <si>
    <t>46604</t>
  </si>
  <si>
    <t>CUISINART Griddler &amp; Deep Pan</t>
  </si>
  <si>
    <t>46562</t>
  </si>
  <si>
    <t>CUISINART Ice Cream Maker 1.5lt</t>
  </si>
  <si>
    <t>46550</t>
  </si>
  <si>
    <t>CUISINART Ice Cream Maker with Compressor</t>
  </si>
  <si>
    <t>46511</t>
  </si>
  <si>
    <t>CUISINART Ice Cream/Yoghurt Maker 2lt</t>
  </si>
  <si>
    <t>46824</t>
  </si>
  <si>
    <t>CUISINART Mini Prep Processor - Gun Metal Grey</t>
  </si>
  <si>
    <t>46823</t>
  </si>
  <si>
    <t>CUISINART Mini Prep Processor - White</t>
  </si>
  <si>
    <t>46329</t>
  </si>
  <si>
    <t>CUISINART Multi Temperature Kettle</t>
  </si>
  <si>
    <t>46302</t>
  </si>
  <si>
    <t>CUISINART Nut and Spice Grinder</t>
  </si>
  <si>
    <t>46421</t>
  </si>
  <si>
    <t>CUISINART Pressure Cooker Plus</t>
  </si>
  <si>
    <t>46330</t>
  </si>
  <si>
    <t>CUISINART Signature Kettle 1.7L</t>
  </si>
  <si>
    <t>46246</t>
  </si>
  <si>
    <t>CUISINART Stick Blender with Accessories</t>
  </si>
  <si>
    <t>46433</t>
  </si>
  <si>
    <t>CUISINART Supergrains &amp; Rice Multi Cooker</t>
  </si>
  <si>
    <t>46944</t>
  </si>
  <si>
    <t>CUISINART Vertical Waffle Maker</t>
  </si>
  <si>
    <t>ESPRESSO</t>
  </si>
  <si>
    <t>ED0002</t>
  </si>
  <si>
    <t>espresso Display Touch Screen Monitor 15-inch</t>
  </si>
  <si>
    <t>FC0002</t>
  </si>
  <si>
    <t>espresso Flip Case For 15 inch Display</t>
  </si>
  <si>
    <t>MG0001</t>
  </si>
  <si>
    <t>espresso MountGo Stand for 13 or 15 inch Displays</t>
  </si>
  <si>
    <t>GARMIN</t>
  </si>
  <si>
    <t>010-02555-00</t>
  </si>
  <si>
    <t>GARMIN Approach G12 (Black)</t>
  </si>
  <si>
    <t>010-02356-03</t>
  </si>
  <si>
    <t>GARMIN Approach R10 Golf Launch Monitor</t>
  </si>
  <si>
    <t>010-02472-00</t>
  </si>
  <si>
    <t>GARMIN Approach S12 (Black)</t>
  </si>
  <si>
    <t>010-02472-01</t>
  </si>
  <si>
    <t>GARMIN Approach S12 (Granite Blue)</t>
  </si>
  <si>
    <t>010-02472-02</t>
  </si>
  <si>
    <t>GARMIN Approach S12 (White)</t>
  </si>
  <si>
    <t>010-02572-10</t>
  </si>
  <si>
    <t>GARMIN Approach S42 (Gunmetal Ceramic Bezel with Black Silicone Band)</t>
  </si>
  <si>
    <t>010-02572-12</t>
  </si>
  <si>
    <t>GARMIN Approach S42 (Rose Gold Ceramic Bezel with Light Sand Silicone Band)</t>
  </si>
  <si>
    <t>010-02572-11</t>
  </si>
  <si>
    <t>GARMIN Approach S42 (Silver Ceramic Bezel with White Silicone Band)</t>
  </si>
  <si>
    <t>010-02200-00</t>
  </si>
  <si>
    <t>GARMIN Approach S62 (Black ceramic bezel with black band)</t>
  </si>
  <si>
    <t>010-02200-01</t>
  </si>
  <si>
    <t>GARMIN Approach S62 (Black ceramic bezel with white band)</t>
  </si>
  <si>
    <t>010-02746-11</t>
  </si>
  <si>
    <t>GARMIN Approach S70 42mm (Black with Grey Band)</t>
  </si>
  <si>
    <t>010-02746-10</t>
  </si>
  <si>
    <t>GARMIN Approach S70 42mm (Black with White Band)</t>
  </si>
  <si>
    <t>010-02746-12</t>
  </si>
  <si>
    <t>GARMIN Approach S70 47mm (Black with Black Band)</t>
  </si>
  <si>
    <t>010-02260-00</t>
  </si>
  <si>
    <t>GARMIN Approach Z82</t>
  </si>
  <si>
    <t>010-03399-01</t>
  </si>
  <si>
    <t>GARMIN Bounce 2 (Light Purple)</t>
  </si>
  <si>
    <t>010-03399-00</t>
  </si>
  <si>
    <t>GARMIN Bounce 2 (Slate Grey)</t>
  </si>
  <si>
    <t>010-03399-02</t>
  </si>
  <si>
    <t>GARMIN Bounce 2 (Turquoise)</t>
  </si>
  <si>
    <t>010-02345-10</t>
  </si>
  <si>
    <t>GARMIN Catalyst</t>
  </si>
  <si>
    <t>010-02505-01</t>
  </si>
  <si>
    <t>GARMIN Dash Cam 47</t>
  </si>
  <si>
    <t>010-02505-11</t>
  </si>
  <si>
    <t>GARMIN Dash Cam 57</t>
  </si>
  <si>
    <t>010-02505-15</t>
  </si>
  <si>
    <t>GARMIN Dash Cam 67W</t>
  </si>
  <si>
    <t>010-02504-10</t>
  </si>
  <si>
    <t>GARMIN Dash Cam Mini 2</t>
  </si>
  <si>
    <t>010-02899-10</t>
  </si>
  <si>
    <t>GARMIN Dash Cam Mini 3</t>
  </si>
  <si>
    <t>010-02259-01</t>
  </si>
  <si>
    <t>GARMIN Dash Cam Tandem</t>
  </si>
  <si>
    <t>010-02900-10</t>
  </si>
  <si>
    <t>GARMIN Dash Cam X110</t>
  </si>
  <si>
    <t>010-02859-10</t>
  </si>
  <si>
    <t>GARMIN Dash Cam X210</t>
  </si>
  <si>
    <t>010-02860-10</t>
  </si>
  <si>
    <t>GARMIN Dash Cam X310</t>
  </si>
  <si>
    <t>010-02858-20</t>
  </si>
  <si>
    <t>GARMIN Drive 53 &amp; Live Traffic 5" GPS</t>
  </si>
  <si>
    <t>010-02729-20</t>
  </si>
  <si>
    <t>GARMIN DriveCam 76 MT-S (Australia and New Zealand)</t>
  </si>
  <si>
    <t>010-02038-42</t>
  </si>
  <si>
    <t>GARMIN DriveSmart 65 &amp; Live Traffic</t>
  </si>
  <si>
    <t>010-02469-20</t>
  </si>
  <si>
    <t>GARMIN DriveSmart 66 MT-S</t>
  </si>
  <si>
    <t>010-02470-20</t>
  </si>
  <si>
    <t>GARMIN DriveSmart 76 MT-S</t>
  </si>
  <si>
    <t>010-02471-20</t>
  </si>
  <si>
    <t>GARMIN DriveSmart 86 MT-S</t>
  </si>
  <si>
    <t>010-02060-22</t>
  </si>
  <si>
    <t>GARMIN Edge 530 Mountain Bike Bundle</t>
  </si>
  <si>
    <t>010-02694-03</t>
  </si>
  <si>
    <t>GARMIN Edge 540 (Unit only)</t>
  </si>
  <si>
    <t>010-02694-13</t>
  </si>
  <si>
    <t>GARMIN Edge 540 Sensor Bundle Pack</t>
  </si>
  <si>
    <t>010-02694-23</t>
  </si>
  <si>
    <t>GARMIN Edge 540 Solar (Unit only)</t>
  </si>
  <si>
    <t>010-02061-22</t>
  </si>
  <si>
    <t>GARMIN Edge 830 Mountain Bike Bundle</t>
  </si>
  <si>
    <t>010-02695-03</t>
  </si>
  <si>
    <t>GARMIN Edge 840 (Unit only)</t>
  </si>
  <si>
    <t>010-02695-13</t>
  </si>
  <si>
    <t>GARMIN Edge 840 Sensor Bundle Pack</t>
  </si>
  <si>
    <t>010-02695-23</t>
  </si>
  <si>
    <t>GARMIN Edge 840 Solar (Unit only)</t>
  </si>
  <si>
    <t>010-02754-02</t>
  </si>
  <si>
    <t>GARMIN Enduro 2 (Carbon Grey DLC Titanium with Black Nylon Strap)</t>
  </si>
  <si>
    <t>010-02751-02</t>
  </si>
  <si>
    <t>GARMIN Enduro 3 51mm Solar Sapphire (Carbon Gray DLC Titanium with Black UltraFit Nylon Strap)</t>
  </si>
  <si>
    <t>010-02582-31</t>
  </si>
  <si>
    <t>GARMIN Epix (Black/Carbon Grey DLC Titanium with Chestnut Leather Band)</t>
  </si>
  <si>
    <t>010-02582-12</t>
  </si>
  <si>
    <t>GARMIN Epix (Black/Carbon Grey DLC Titanium with Silcone Band)</t>
  </si>
  <si>
    <t>010-02582-22</t>
  </si>
  <si>
    <t>GARMIN Epix (Camera White Titanium with Silcone Band)</t>
  </si>
  <si>
    <t>010-02582-01</t>
  </si>
  <si>
    <t>GARMIN Epix (Slate/Stainless Steel with Silcone Band)</t>
  </si>
  <si>
    <t>010-02802-01</t>
  </si>
  <si>
    <t>GARMIN Epix Pro Gen2 42mm (Silver with Whitestone Band)</t>
  </si>
  <si>
    <t>010-02802-12</t>
  </si>
  <si>
    <t>GARMIN Epix Pro Gen2 42mm Sapphire (Gold with Light Sand Band)</t>
  </si>
  <si>
    <t>010-02802-16</t>
  </si>
  <si>
    <t>GARMIN Epix Pro Gen2 42mm Sapphire (Grey Titanium with Black Band)</t>
  </si>
  <si>
    <t>010-02802-21</t>
  </si>
  <si>
    <t>GARMIN Epix Pro Gen2 42mm Sapphire (Soft Gold with Cream Heathered Nylon Band)</t>
  </si>
  <si>
    <t>010-02803-01</t>
  </si>
  <si>
    <t>GARMIN Epix Pro Gen2 47mm (Slate with Black Band)</t>
  </si>
  <si>
    <t>010-02803-12</t>
  </si>
  <si>
    <t>GARMIN Epix Pro Gen2 47mm Sapphire (Grey Titanium with Black Band)</t>
  </si>
  <si>
    <t>010-02803-31</t>
  </si>
  <si>
    <t>GARMIN Epix Pro Gen2 47mm Sapphire (Grey Titanium with Black Leather Band)</t>
  </si>
  <si>
    <t>010-02803-22</t>
  </si>
  <si>
    <t>GARMIN Epix Pro Gen2 47mm Sapphire (Titanium with Whitestone Band)</t>
  </si>
  <si>
    <t>010-02804-21</t>
  </si>
  <si>
    <t>GARMIN Epix Pro Gen2 51mm (Slate with Black Band)</t>
  </si>
  <si>
    <t>010-02804-02</t>
  </si>
  <si>
    <t>GARMIN Epix Pro Gen2 51mm Sapphire (Grey Titanium with Black Band)</t>
  </si>
  <si>
    <t>010-02804-31</t>
  </si>
  <si>
    <t>GARMIN Epix Pro Gen2 51mm Sapphire (Grey Titanium with Chestnut Leather Band)</t>
  </si>
  <si>
    <t>010-02804-12</t>
  </si>
  <si>
    <t>GARMIN Epix Pro Gen2 51mm Sapphire (Titanium with Whitestone Band)</t>
  </si>
  <si>
    <t>010-02734-00</t>
  </si>
  <si>
    <t>GARMIN eTrex SE Handheld GPS</t>
  </si>
  <si>
    <t>010-02782-00</t>
  </si>
  <si>
    <t>GARMIN eTrex Solar Handheld GPS</t>
  </si>
  <si>
    <t>010-02940-01</t>
  </si>
  <si>
    <t>GARMIN eTrex Touch Handheld GPS</t>
  </si>
  <si>
    <t>010-02540-01</t>
  </si>
  <si>
    <t>GARMIN Fenix 7 (Silver with Graphite Band)</t>
  </si>
  <si>
    <t>010-02777-12</t>
  </si>
  <si>
    <t>GARMIN Fenix 7 Pro Sapphire Solar (Grey Titanium with Black Band)</t>
  </si>
  <si>
    <t>010-02777-31</t>
  </si>
  <si>
    <t>GARMIN Fenix 7 Pro Sapphire Solar (Titanium with Chestnut Leather Band)</t>
  </si>
  <si>
    <t>010-02777-22</t>
  </si>
  <si>
    <t>GARMIN Fenix 7 Pro Sapphire Solar (Titanium with Grey and Orange Band)</t>
  </si>
  <si>
    <t>010-02777-01</t>
  </si>
  <si>
    <t>GARMIN Fenix 7 Pro Solar (Slate with Black Band)</t>
  </si>
  <si>
    <t>010-02540-36</t>
  </si>
  <si>
    <t>GARMIN Fenix 7 Sapphire Solar (Black DLC Titanium with Black Band)</t>
  </si>
  <si>
    <t>010-02540-22</t>
  </si>
  <si>
    <t>GARMIN Fenix 7 Sapphire Solar (Carbon Grey DLC Titanium with Black Band)</t>
  </si>
  <si>
    <t>010-02540-26</t>
  </si>
  <si>
    <t>GARMIN Fenix 7 Sapphire Solar (Mineral Blue DLC Titanium with Whitestone Band)</t>
  </si>
  <si>
    <t>010-02540-11</t>
  </si>
  <si>
    <t>GARMIN Fenix 7 Solar (Slate Grey with Black Band)</t>
  </si>
  <si>
    <t>010-02539-01</t>
  </si>
  <si>
    <t>GARMIN Fenix 7S (Silver with Graphite Band)</t>
  </si>
  <si>
    <t>010-02539-03</t>
  </si>
  <si>
    <t>GARMIN Fenix 7S (Silver with Whitestone Band)</t>
  </si>
  <si>
    <t>010-02776-16</t>
  </si>
  <si>
    <t>GARMIN Fenix 7S Pro Sapphire Solar (Gold with Light Sand Band)</t>
  </si>
  <si>
    <t>010-02776-31</t>
  </si>
  <si>
    <t>GARMIN Fenix 7S Pro Sapphire Solar (Soft Gold with Limestone Leather Band)</t>
  </si>
  <si>
    <t>010-02776-01</t>
  </si>
  <si>
    <t>GARMIN Fenix 7S Pro Solar (Silver with Graphite Band)</t>
  </si>
  <si>
    <t>010-02539-26</t>
  </si>
  <si>
    <t>GARMIN Fenix 7S Sapphire Solar (Carbon Grey DLC Titanium with Black Band)</t>
  </si>
  <si>
    <t>010-02539-22</t>
  </si>
  <si>
    <t>GARMIN Fenix 7S Sapphire Solar (Cream Gold Titanium with Light Sand Band)</t>
  </si>
  <si>
    <t>010-02539-30</t>
  </si>
  <si>
    <t>GARMIN Fenix 7S Sapphire Solar (Dark Bronze Titanium with Shale Grey Band)</t>
  </si>
  <si>
    <t>010-02539-11</t>
  </si>
  <si>
    <t>GARMIN Fenix 7S Solar (Rose Gold with Light Sand Band)</t>
  </si>
  <si>
    <t>010-02539-13</t>
  </si>
  <si>
    <t>GARMIN Fenix 7S Solar (Slate Grey with Black Band)</t>
  </si>
  <si>
    <t>010-02778-12</t>
  </si>
  <si>
    <t>GARMIN Fenix 7X Pro Sapphire Solar (Grey Titanium with Black Band)</t>
  </si>
  <si>
    <t>010-02778-31</t>
  </si>
  <si>
    <t>GARMIN Fenix 7X Pro Sapphire Solar (Grey Titanium with Vented Titanium Bracelet)</t>
  </si>
  <si>
    <t>010-02778-16</t>
  </si>
  <si>
    <t>GARMIN Fenix 7X Pro Sapphire Solar (Titanium with Grey and Orange Band)</t>
  </si>
  <si>
    <t>010-02778-01</t>
  </si>
  <si>
    <t>GARMIN Fenix 7X Pro Solar (Slate with Black Band)</t>
  </si>
  <si>
    <t>010-02541-24</t>
  </si>
  <si>
    <t>GARMIN Fenix 7X Sapphire Solar (Black DLC Titanium with Black Band)</t>
  </si>
  <si>
    <t>010-02541-12</t>
  </si>
  <si>
    <t>GARMIN Fenix 7X Sapphire Solar (Carbon Grey DLC Titanium with Black Band)</t>
  </si>
  <si>
    <t>010-02541-16</t>
  </si>
  <si>
    <t>GARMIN Fenix 7X Sapphire Solar (Mineral Blue DLC Titanium with Whitestone Band)</t>
  </si>
  <si>
    <t>010-02541-01</t>
  </si>
  <si>
    <t>GARMIN Fenix 7X Solar (Slate Grey with Black Band)</t>
  </si>
  <si>
    <t>010-02903-00</t>
  </si>
  <si>
    <t>GARMIN Fenix 8 43mm AMOLED (Silver with Whitestone Silicone Band)</t>
  </si>
  <si>
    <t>010-02903-22</t>
  </si>
  <si>
    <t>GARMIN Fenix 8 43mm AMOLED Sapphire (Carbon Gray DLC Titanium with Black/Pebble Gray Silicone Band)</t>
  </si>
  <si>
    <t>010-02903-12</t>
  </si>
  <si>
    <t>GARMIN Fenix 8 43mm AMOLED Sapphire (Soft Gold with Fog Gray/Dark Sandstone Silicone Band)</t>
  </si>
  <si>
    <t>010-02904-00</t>
  </si>
  <si>
    <t>GARMIN Fenix 8 47mm AMOLED (Slate Gray with Black Silicone Band)</t>
  </si>
  <si>
    <t>010-02904-22</t>
  </si>
  <si>
    <t>GARMIN Fenix 8 47mm AMOLED Sapphire (Carbon Gray DLC Titanium with Black/Pebble Gray Silicone Band)</t>
  </si>
  <si>
    <t>010-02904-12</t>
  </si>
  <si>
    <t>GARMIN Fenix 8 47mm AMOLED Sapphire (Titanium with Spark Orange/Graphite Silicone Band)</t>
  </si>
  <si>
    <t>010-02906-12</t>
  </si>
  <si>
    <t>GARMIN Fenix 8 47mm Solar Sapphire (Carbon Gray DLC Titanium with Black/Pebble Gray Silicone Band)</t>
  </si>
  <si>
    <t>010-02906-22</t>
  </si>
  <si>
    <t>GARMIN Fenix 8 47mm Solar Sapphire (Titanium with Amp Yellow/Graphite Silicone Band)</t>
  </si>
  <si>
    <t>010-02905-00</t>
  </si>
  <si>
    <t>GARMIN Fenix 8 51mm AMOLED (Slate Gray with Black Silicone Band)</t>
  </si>
  <si>
    <t>010-02905-22</t>
  </si>
  <si>
    <t>GARMIN Fenix 8 51mm AMOLED Sapphire (Carbon Gray DLC Titanium with Black/Pebble Gray Silicone Band)</t>
  </si>
  <si>
    <t>010-02905-12</t>
  </si>
  <si>
    <t>GARMIN Fenix 8 51mm AMOLED Sapphire (Titanium with Spark Orange/Graphite Silicone Band)</t>
  </si>
  <si>
    <t>010-02907-12</t>
  </si>
  <si>
    <t>GARMIN Fenix 8 51mm Solar Sapphire (Carbon Gray DLC Titanium with Black/Pebble Gray Silicone Band)</t>
  </si>
  <si>
    <t>010-02907-22</t>
  </si>
  <si>
    <t>GARMIN Fenix 8 51mm Solar Sapphire (Titanium with Amp Yellow/Graphite Silicone Band)</t>
  </si>
  <si>
    <t>010-03025-01</t>
  </si>
  <si>
    <t>GARMIN Fenix E 47mm AMOLED (Slate Gray Steel with Black Silicone Band)</t>
  </si>
  <si>
    <t>010-03025-00</t>
  </si>
  <si>
    <t>GARMIN Fenix E 47mm AMOLED (Stainless Steel with Black Silicone Band)</t>
  </si>
  <si>
    <t>010-02863-20</t>
  </si>
  <si>
    <t>GARMIN Forerunner 165 (Black/Grey)</t>
  </si>
  <si>
    <t>010-02863-21</t>
  </si>
  <si>
    <t>GARMIN Forerunner 165 (Grey/Whitestone)</t>
  </si>
  <si>
    <t>010-02863-33</t>
  </si>
  <si>
    <t>GARMIN Forerunner 165 Music (Berry/Lilac)</t>
  </si>
  <si>
    <t>010-02863-30</t>
  </si>
  <si>
    <t>GARMIN Forerunner 165 Music (Black/Grey)</t>
  </si>
  <si>
    <t>010-02863-31</t>
  </si>
  <si>
    <t>GARMIN Forerunner 165 Music (Grey/Whitestone)</t>
  </si>
  <si>
    <t>010-02863-32</t>
  </si>
  <si>
    <t>GARMIN Forerunner 165 Music (Turquoise/Aqua)</t>
  </si>
  <si>
    <t>010-02641-10</t>
  </si>
  <si>
    <t>GARMIN Forerunner 255 (Slate Grey)</t>
  </si>
  <si>
    <t>010-02641-11</t>
  </si>
  <si>
    <t>GARMIN Forerunner 255 (Tidal Blue)</t>
  </si>
  <si>
    <t>010-02641-30</t>
  </si>
  <si>
    <t>GARMIN Forerunner 255 Music (Black)</t>
  </si>
  <si>
    <t>010-02641-31</t>
  </si>
  <si>
    <t>GARMIN Forerunner 255 Music (Whitestone)</t>
  </si>
  <si>
    <t>010-02641-13</t>
  </si>
  <si>
    <t>GARMIN Forerunner 255S (Light Pink)</t>
  </si>
  <si>
    <t>010-02641-12</t>
  </si>
  <si>
    <t>GARMIN Forerunner 255S (Powder Grey)</t>
  </si>
  <si>
    <t>010-02641-32</t>
  </si>
  <si>
    <t>GARMIN Forerunner 255S Music (Black)</t>
  </si>
  <si>
    <t>010-02641-33</t>
  </si>
  <si>
    <t>GARMIN Forerunner 255S Music (Whitestone)</t>
  </si>
  <si>
    <t>010-02810-12</t>
  </si>
  <si>
    <t>GARMIN Forerunner 265 (Aqua/Black)</t>
  </si>
  <si>
    <t>010-02810-10</t>
  </si>
  <si>
    <t>GARMIN Forerunner 265 (Black/Powder Grey)</t>
  </si>
  <si>
    <t>010-02810-11</t>
  </si>
  <si>
    <t>GARMIN Forerunner 265 (Whitestone/Tidal Blue)</t>
  </si>
  <si>
    <t>010-02810-13</t>
  </si>
  <si>
    <t>GARMIN Forerunner 265S (Black/Amp Yellow)</t>
  </si>
  <si>
    <t>010-02810-15</t>
  </si>
  <si>
    <t>GARMIN Forerunner 265S (Light Pink/Whitestone)</t>
  </si>
  <si>
    <t>010-02810-14</t>
  </si>
  <si>
    <t>GARMIN Forerunner 265S (Whitestone/Neo Tropic)</t>
  </si>
  <si>
    <t>010-02562-02</t>
  </si>
  <si>
    <t>GARMIN Forerunner 55 (Aqua)</t>
  </si>
  <si>
    <t>010-02562-00</t>
  </si>
  <si>
    <t>GARMIN Forerunner 55 (Black)</t>
  </si>
  <si>
    <t>010-02562-01</t>
  </si>
  <si>
    <t>GARMIN Forerunner 55 (Whitestone)</t>
  </si>
  <si>
    <t>010-02445-10</t>
  </si>
  <si>
    <t>GARMIN Forerunner 745 (Black)</t>
  </si>
  <si>
    <t>010-02445-12</t>
  </si>
  <si>
    <t>GARMIN Forerunner 745 (Magma Red)</t>
  </si>
  <si>
    <t>010-02445-11</t>
  </si>
  <si>
    <t>GARMIN Forerunner 745 (Neo Tropic)</t>
  </si>
  <si>
    <t>010-02445-13</t>
  </si>
  <si>
    <t>GARMIN Forerunner 745 (Whitestone)</t>
  </si>
  <si>
    <t>010-02063-02</t>
  </si>
  <si>
    <t>GARMIN Forerunner 945 (Black)</t>
  </si>
  <si>
    <t>010-02638-50</t>
  </si>
  <si>
    <t>GARMIN Forerunner 955 (Black)</t>
  </si>
  <si>
    <t>010-02638-51</t>
  </si>
  <si>
    <t>GARMIN Forerunner 955 (Whitestone)</t>
  </si>
  <si>
    <t>010-02638-40</t>
  </si>
  <si>
    <t>GARMIN Forerunner 955 Solar (Black)</t>
  </si>
  <si>
    <t>010-02638-41</t>
  </si>
  <si>
    <t>GARMIN Forerunner 955 Solar (Whitestone)</t>
  </si>
  <si>
    <t>010-02809-22</t>
  </si>
  <si>
    <t>GARMIN Forerunner 965 (Amp Yellow/Black)</t>
  </si>
  <si>
    <t>010-02809-20</t>
  </si>
  <si>
    <t>GARMIN Forerunner 965 (Black/Powder Grey)</t>
  </si>
  <si>
    <t>010-02809-21</t>
  </si>
  <si>
    <t>GARMIN Forerunner 965 (Whitestone/Powder Grey)</t>
  </si>
  <si>
    <t>010-02759-00</t>
  </si>
  <si>
    <t>GARMIN Foretrex 801 Wrist-Mounted GPS</t>
  </si>
  <si>
    <t>010-02760-00</t>
  </si>
  <si>
    <t>GARMIN Foretrex 901 Wrist-Mounted GPS (Ballistic Edition)</t>
  </si>
  <si>
    <t>010-02813-02</t>
  </si>
  <si>
    <t>GARMIN GPSMAP 67 Handheld GPS</t>
  </si>
  <si>
    <t>010-02812-02</t>
  </si>
  <si>
    <t>GARMIN GPSMAP 67i Handheld GPS</t>
  </si>
  <si>
    <t>010-02920-01</t>
  </si>
  <si>
    <t>GARMIN GPSMAP H1 Premium Handheld GPS</t>
  </si>
  <si>
    <t>010-02921-01</t>
  </si>
  <si>
    <t>010-13388-00</t>
  </si>
  <si>
    <t>GARMIN HRM 200 (M-XL)</t>
  </si>
  <si>
    <t>010-13388-01</t>
  </si>
  <si>
    <t>GARMIN HRM 200 (XS - S)</t>
  </si>
  <si>
    <t>010-13383-00</t>
  </si>
  <si>
    <t>GARMIN HRM 600 (M-XL)</t>
  </si>
  <si>
    <t>010-13383-01</t>
  </si>
  <si>
    <t>GARMIN HRM 600 (XS-S)</t>
  </si>
  <si>
    <t>010-12883-00</t>
  </si>
  <si>
    <t>GARMIN HRM-Dual (Heart Rate Monitor)</t>
  </si>
  <si>
    <t>010-13314-00</t>
  </si>
  <si>
    <t>GARMIN HRM-Fit (Heart Rate Monitor for Women)</t>
  </si>
  <si>
    <t>010-12955-00</t>
  </si>
  <si>
    <t>GARMIN HRM-Pro (Heart Rate Monitor)</t>
  </si>
  <si>
    <t>010-12342-00</t>
  </si>
  <si>
    <t>GARMIN HRM-Swim (Heart Rate Monitor)</t>
  </si>
  <si>
    <t>010-02294-12</t>
  </si>
  <si>
    <t>GARMIN Index S2 Wi-Fi Smart Scale (Black)</t>
  </si>
  <si>
    <t>010-02294-13</t>
  </si>
  <si>
    <t>GARMIN Index S2 Wi-Fi Smart Scale (White)</t>
  </si>
  <si>
    <t>010-02464-03</t>
  </si>
  <si>
    <t>GARMIN Index Smart Blood Pressure Monitor</t>
  </si>
  <si>
    <t>010-02672-00</t>
  </si>
  <si>
    <t>GARMIN inReach Messenger Companion Satellite Communicator</t>
  </si>
  <si>
    <t>010-02887-00</t>
  </si>
  <si>
    <t>GARMIN InReach Messenger Plus</t>
  </si>
  <si>
    <t>010-02602-01</t>
  </si>
  <si>
    <t>GARMIN inReach Mini 2 (Black)</t>
  </si>
  <si>
    <t>010-02602-00</t>
  </si>
  <si>
    <t>GARMIN inReach Mini 2 (Flame Red)</t>
  </si>
  <si>
    <t>010-02602-30</t>
  </si>
  <si>
    <t>GARMIN inReach Mini 2 Marine Bundle</t>
  </si>
  <si>
    <t>010-01735-00</t>
  </si>
  <si>
    <t>GARMIN inReach SE+</t>
  </si>
  <si>
    <t>010-02626-11</t>
  </si>
  <si>
    <t>GARMIN Instinct 2 (Electric Lime)</t>
  </si>
  <si>
    <t>010-02626-13</t>
  </si>
  <si>
    <t>GARMIN Instinct 2 Camo Edition (Graphite Camo)</t>
  </si>
  <si>
    <t>010-02626-70</t>
  </si>
  <si>
    <t>GARMIN Instinct 2 dezl Edition</t>
  </si>
  <si>
    <t>010-02627-10</t>
  </si>
  <si>
    <t>GARMIN Instinct 2 Solar (Graphite)</t>
  </si>
  <si>
    <t>010-02627-11</t>
  </si>
  <si>
    <t>GARMIN Instinct 2 Solar (Mist Grey)</t>
  </si>
  <si>
    <t>010-02627-16</t>
  </si>
  <si>
    <t>GARMIN Instinct 2 Solar (Tidal Blue)</t>
  </si>
  <si>
    <t>010-02627-15</t>
  </si>
  <si>
    <t>GARMIN Instinct 2 Solar Surf Edition (Bells Beach)</t>
  </si>
  <si>
    <t>010-02627-14</t>
  </si>
  <si>
    <t>GARMIN Instinct 2 Solar Tactical Edition (Coyote Tan)</t>
  </si>
  <si>
    <t>010-02626-12</t>
  </si>
  <si>
    <t>GARMIN Instinct 2 Surf Edition (Mavericks)</t>
  </si>
  <si>
    <t>010-02563-14</t>
  </si>
  <si>
    <t>GARMIN Instinct 2S (Deep Orchid)</t>
  </si>
  <si>
    <t>010-02563-10</t>
  </si>
  <si>
    <t>GARMIN Instinct 2S (Graphite)</t>
  </si>
  <si>
    <t>010-02563-16</t>
  </si>
  <si>
    <t>GARMIN Instinct 2S (Poppy)</t>
  </si>
  <si>
    <t>010-02563-13</t>
  </si>
  <si>
    <t>GARMIN Instinct 2S Camo Edition (Mist Camo)</t>
  </si>
  <si>
    <t>010-02564-10</t>
  </si>
  <si>
    <t>GARMIN Instinct 2S Solar (Graphite)</t>
  </si>
  <si>
    <t>010-02564-11</t>
  </si>
  <si>
    <t>GARMIN Instinct 2S Solar (Mist Grey)</t>
  </si>
  <si>
    <t>010-02564-12</t>
  </si>
  <si>
    <t>GARMIN Instinct 2S Solar (Neo Tropic)</t>
  </si>
  <si>
    <t>010-02564-13</t>
  </si>
  <si>
    <t>GARMIN Instinct 2S Solar Surf Edition (Ericeira)</t>
  </si>
  <si>
    <t>010-02563-12</t>
  </si>
  <si>
    <t>GARMIN Instinct 2S Surf Edition (Waikiki)</t>
  </si>
  <si>
    <t>010-02805-11</t>
  </si>
  <si>
    <t>GARMIN Instinct 2X Solar (Flame Red)</t>
  </si>
  <si>
    <t>010-02805-10</t>
  </si>
  <si>
    <t>GARMIN Instinct 2X Solar (Graphite)</t>
  </si>
  <si>
    <t>010-02805-15</t>
  </si>
  <si>
    <t>GARMIN Instinct 2X Solar (Moss)</t>
  </si>
  <si>
    <t>010-02805-14</t>
  </si>
  <si>
    <t>GARMIN Instinct 2X Solar (Whitestone)</t>
  </si>
  <si>
    <t>010-02805-13</t>
  </si>
  <si>
    <t>GARMIN Instinct 2X Solar Tactical Edition (Black)</t>
  </si>
  <si>
    <t>010-02805-12</t>
  </si>
  <si>
    <t>GARMIN Instinct 2X Solar Tactical Edition (Coyote Tan)</t>
  </si>
  <si>
    <t>010-02936-00</t>
  </si>
  <si>
    <t>GARMIN Instinct 3 45 mm AMOLED (Black with black silicone band)</t>
  </si>
  <si>
    <t>010-02934-00</t>
  </si>
  <si>
    <t>GARMIN Instinct 3 45 mm Solar (Black with black silicone band)</t>
  </si>
  <si>
    <t>010-02934-50</t>
  </si>
  <si>
    <t>GARMIN Instinct 3 45 mm Solar Tactical Edition (Black with black silicone band)</t>
  </si>
  <si>
    <t>010-03020-00</t>
  </si>
  <si>
    <t>GARMIN Instinct 3 50 mm AMOLED (Black with charcoal silicone band)</t>
  </si>
  <si>
    <t>010-03020-50</t>
  </si>
  <si>
    <t>GARMIN Instinct 3 50 mm AMOLED Tactical Edition (Black with black silicone band)</t>
  </si>
  <si>
    <t>010-02935-00</t>
  </si>
  <si>
    <t>GARMIN Instinct 3 50 mm Solar (Black with charcoal silicone band)</t>
  </si>
  <si>
    <t>010-02935-50</t>
  </si>
  <si>
    <t>GARMIN Instinct 3 50 mm Solar Tactical Edition (Black with black silicone band)</t>
  </si>
  <si>
    <t>010-02730-13</t>
  </si>
  <si>
    <t>GARMIN Instinct Crossover (Black)</t>
  </si>
  <si>
    <t>010-02730-14</t>
  </si>
  <si>
    <t>GARMIN Instinct Crossover (Granite)</t>
  </si>
  <si>
    <t>010-03398-01</t>
  </si>
  <si>
    <t>GARMIN Instinct Crossover AMOLED (Bronze/Sunburst with Cocoa Silicone Band)</t>
  </si>
  <si>
    <t>010-03398-00</t>
  </si>
  <si>
    <t>GARMIN Instinct Crossover AMOLED (Charcoal with Charcoal Silicone Band)</t>
  </si>
  <si>
    <t>010-03398-02</t>
  </si>
  <si>
    <t>GARMIN Instinct Crossover AMOLED -Tactical Edition (Black with Black Silicone Band)</t>
  </si>
  <si>
    <t>010-02730-11</t>
  </si>
  <si>
    <t>GARMIN Instinct Crossover Solar (Graphite)</t>
  </si>
  <si>
    <t>010-02730-12</t>
  </si>
  <si>
    <t>GARMIN Instinct Crossover Solar (Tidal Blue)</t>
  </si>
  <si>
    <t>010-02730-10</t>
  </si>
  <si>
    <t>GARMIN Instinct Crossover Solar Tactical Edition (Black)</t>
  </si>
  <si>
    <t>010-02932-00</t>
  </si>
  <si>
    <t>GARMIN Instinct E 40 mm (Black with charcoal silicone band)</t>
  </si>
  <si>
    <t>010-02933-00</t>
  </si>
  <si>
    <t>GARMIN Instinct E 45 mm (Black with charcoal silicone band)</t>
  </si>
  <si>
    <t>010-02839-00</t>
  </si>
  <si>
    <t>GARMIN Lily 2 (Cream Gold/Coconut)</t>
  </si>
  <si>
    <t>010-02839-01</t>
  </si>
  <si>
    <t>GARMIN Lily 2 (Lilac/Lilac)</t>
  </si>
  <si>
    <t>010-02891-00</t>
  </si>
  <si>
    <t>GARMIN Lily 2 Active (Cream Gold with Bone Silicone Band)</t>
  </si>
  <si>
    <t>010-02891-02</t>
  </si>
  <si>
    <t>GARMIN Lily 2 Active (Jasper Green with Jasper Green Silicone Band)</t>
  </si>
  <si>
    <t>010-02891-01</t>
  </si>
  <si>
    <t>GARMIN Lily 2 Active (Silver with Jasmine Silicone Band)</t>
  </si>
  <si>
    <t>010-02839-02</t>
  </si>
  <si>
    <t>GARMIN Lily 2 Classic (Cream Gold/Tan Leather)</t>
  </si>
  <si>
    <t>010-02839-03</t>
  </si>
  <si>
    <t>GARMIN Lily 2 Classic (Dark Bronze/Mulberry Leather)</t>
  </si>
  <si>
    <t>010-02839-14</t>
  </si>
  <si>
    <t>GARMIN Lily 2 Classic PF (Cream Gold/Coffee)</t>
  </si>
  <si>
    <t>010-02839-15</t>
  </si>
  <si>
    <t>GARMIN Lily 2 Classic PF (Silver/Sage Grey)</t>
  </si>
  <si>
    <t>010-02384-A1</t>
  </si>
  <si>
    <t>GARMIN Lily Classic Edition (Black with Cream Gold Bezel &amp; Italian Leather Band)</t>
  </si>
  <si>
    <t>010-02384-A2</t>
  </si>
  <si>
    <t>GARMIN Lily Classic Edition (Cream Gold SS/Grey Leather Band)</t>
  </si>
  <si>
    <t>010-02384-A0</t>
  </si>
  <si>
    <t>GARMIN Lily Classic Edition (Paloma with Dark Bronze Bezel &amp; Italian Leather Band)</t>
  </si>
  <si>
    <t>010-02384-A3</t>
  </si>
  <si>
    <t>GARMIN Lily Classic Edition (White with Light Gold Bezel &amp; Italian Leather Band)</t>
  </si>
  <si>
    <t>010-02384-03</t>
  </si>
  <si>
    <t>GARMIN Lily Sport Edition (Cream Gold SS/Dust Pink Silicone Band)</t>
  </si>
  <si>
    <t>010-02384-02</t>
  </si>
  <si>
    <t>GARMIN Lily Sport Edition (Deep Orchid with Midnight Orchid Bezel &amp; Silcone Band)</t>
  </si>
  <si>
    <t>010-02384-01</t>
  </si>
  <si>
    <t>GARMIN Lily Sport Edition (Light Sand with Rose Gold Bezel &amp; Silcone Band)</t>
  </si>
  <si>
    <t>010-02384-00</t>
  </si>
  <si>
    <t>GARMIN Lily Sport Edition (White with Cream Gold Bezel &amp; Silcone Band)</t>
  </si>
  <si>
    <t>010-02006-28</t>
  </si>
  <si>
    <t>GARMIN MARQ Adventurer</t>
  </si>
  <si>
    <t>010-02904-52</t>
  </si>
  <si>
    <t>GARMIN Quatix 8 47 mm AMOLED Sapphire (Titanium bezel with captain blue silicone band)</t>
  </si>
  <si>
    <t>010-02905-92</t>
  </si>
  <si>
    <t>GARMIN Quatix 8 51 mm AMOLED Sapphire (Titanium bezel with captain blue silicone band)</t>
  </si>
  <si>
    <t>010-02749-20</t>
  </si>
  <si>
    <t>GARMIN RV1095 MT-S (Australia and New Zealand)</t>
  </si>
  <si>
    <t>010-02747-20</t>
  </si>
  <si>
    <t>GARMIN RV795 MT-S (Australia and New Zealand)</t>
  </si>
  <si>
    <t>010-02748-20</t>
  </si>
  <si>
    <t>GARMIN RV895 MT-S (Australia and New Zealand)</t>
  </si>
  <si>
    <t>010-02728-20</t>
  </si>
  <si>
    <t>GARMIN RVCam 795 MT-S (Australia and New Zealand)</t>
  </si>
  <si>
    <t>010-02247-00</t>
  </si>
  <si>
    <t>GARMIN Swim 2 (Slate)</t>
  </si>
  <si>
    <t>010-02247-01</t>
  </si>
  <si>
    <t>GARMIN Swim 2 (Whitestone)</t>
  </si>
  <si>
    <t>010-02931-02</t>
  </si>
  <si>
    <t>GARMIN tactix 7 AMOLED Edition</t>
  </si>
  <si>
    <t>010-02704-12</t>
  </si>
  <si>
    <t>GARMIN tactix 7 Pro Edition</t>
  </si>
  <si>
    <t>010-02704-02</t>
  </si>
  <si>
    <t>GARMIN tactix 7 Standard Edition</t>
  </si>
  <si>
    <t>010-03405-02</t>
  </si>
  <si>
    <t>GARMIN Tactix 8 47mm (AMOLED Sapphire Edition) with Applied Ballistics Ultralight solver</t>
  </si>
  <si>
    <t>010-03406-02</t>
  </si>
  <si>
    <t>GARMIN Tactix 8 51mm (AMOLED Sapphire Edition) with Applied Ballistics Ultralight solver</t>
  </si>
  <si>
    <t>010-03407-12</t>
  </si>
  <si>
    <t>GARMIN Tactix 8 51mm (Solar Sapphire Edition) with Applied Ballistics Elite solver</t>
  </si>
  <si>
    <t>010-03407-02</t>
  </si>
  <si>
    <t>GARMIN Tactix 8 51mm (Solar Sapphire Edition) with Applied Ballistics Ultralight solver</t>
  </si>
  <si>
    <t>010-02972-20</t>
  </si>
  <si>
    <t>GARMIN Tread 2</t>
  </si>
  <si>
    <t>010-02430-10</t>
  </si>
  <si>
    <t>GARMIN Venu 2 (Silver Bezel with Granite Blue Case and Silicone Band)</t>
  </si>
  <si>
    <t>010-02430-11</t>
  </si>
  <si>
    <t>GARMIN Venu 2 (Slate Bezel with Black Case and Silicone Band)</t>
  </si>
  <si>
    <t>010-02496-12</t>
  </si>
  <si>
    <t>GARMIN Venu 2 Plus (Cream Gold Bezel with Ivory Case and Silicone Band)</t>
  </si>
  <si>
    <t>010-02496-10</t>
  </si>
  <si>
    <t>GARMIN Venu 2 Plus (Silver Bezel with Powder Grey Case and Silicone Band)</t>
  </si>
  <si>
    <t>010-02496-11</t>
  </si>
  <si>
    <t>GARMIN Venu 2 Plus (Slate Bezel with Black Case and Silicone Band)</t>
  </si>
  <si>
    <t>010-02429-11</t>
  </si>
  <si>
    <t>GARMIN Venu 2S (Light Gold Bezel with Light Sand Case and Silicone Band)</t>
  </si>
  <si>
    <t>010-02429-13</t>
  </si>
  <si>
    <t>GARMIN Venu 2S (Rose Gold Bezel with White Case and Silicone Band)</t>
  </si>
  <si>
    <t>010-02429-12</t>
  </si>
  <si>
    <t>GARMIN Venu 2S (Silver Bezel with Mist Grey Case and Silicone Band)</t>
  </si>
  <si>
    <t>010-02429-10</t>
  </si>
  <si>
    <t>GARMIN Venu 2S (Slate Bezel with Graphite Case and Silicone Band)</t>
  </si>
  <si>
    <t>010-02784-00</t>
  </si>
  <si>
    <t>GARMIN Venu 3 (Silver SS with Whitestone Band)</t>
  </si>
  <si>
    <t>010-02784-01</t>
  </si>
  <si>
    <t>GARMIN Venu 3 (Slate SS with Black Band)</t>
  </si>
  <si>
    <t>010-02785-01</t>
  </si>
  <si>
    <t>GARMIN Venu 3S (Silver SS with Sage Band)</t>
  </si>
  <si>
    <t>010-02785-00</t>
  </si>
  <si>
    <t>GARMIN Venu 3S (Slate SS with Grey Band)</t>
  </si>
  <si>
    <t>010-02785-03</t>
  </si>
  <si>
    <t>GARMIN Venu 3S (Soft Gold SS with Dust Rose Band)</t>
  </si>
  <si>
    <t>010-02785-02</t>
  </si>
  <si>
    <t>GARMIN Venu 3S (Soft Gold SS with Grey Band)</t>
  </si>
  <si>
    <t>010-02785-04</t>
  </si>
  <si>
    <t>GARMIN Venu 3S (Soft Gold SS with Ivory Band)</t>
  </si>
  <si>
    <t>010-03013-00</t>
  </si>
  <si>
    <t>GARMIN Venu 4 - 41mm (Lunar Gold with Bone Silicone Band)</t>
  </si>
  <si>
    <t>010-03013-01</t>
  </si>
  <si>
    <t>GARMIN Venu 4 - 41mm (Silver with Periwinkle Silicone Band)</t>
  </si>
  <si>
    <t>010-03013-02</t>
  </si>
  <si>
    <t>GARMIN Venu 4 - 41mm (Slate with Black Silicone Band)</t>
  </si>
  <si>
    <t>010-03014-02</t>
  </si>
  <si>
    <t>GARMIN Venu 4 - 45mm (Silver with Citron Band)</t>
  </si>
  <si>
    <t>010-03014-01</t>
  </si>
  <si>
    <t>GARMIN Venu 4 - 45mm (Silver with Silver Gray Silicone Band)</t>
  </si>
  <si>
    <t>010-03014-00</t>
  </si>
  <si>
    <t>GARMIN Venu 4 - 45mm (Slate with Black Silicone Band)</t>
  </si>
  <si>
    <t>010-02701-01</t>
  </si>
  <si>
    <t>GARMIN Venu SQ 2 (Cream Gold Bezel with White Case and Silicone Band)</t>
  </si>
  <si>
    <t>010-02701-02</t>
  </si>
  <si>
    <t>GARMIN Venu SQ 2 (Metallic Mint Bezel with Mint Case and Silicone Band)</t>
  </si>
  <si>
    <t>010-02701-00</t>
  </si>
  <si>
    <t>GARMIN Venu SQ 2 (Slate Bezel with Shadow Grey Case and Silicone Band)</t>
  </si>
  <si>
    <t>010-02700-12</t>
  </si>
  <si>
    <t>GARMIN Venu SQ 2 Music (Cream Gold Bezel with Grey Case and Silicone Band)</t>
  </si>
  <si>
    <t>010-02700-11</t>
  </si>
  <si>
    <t>GARMIN Venu SQ 2 Music (Peach Gold Bezel with Ivory Case and Silicone Band)</t>
  </si>
  <si>
    <t>010-02700-10</t>
  </si>
  <si>
    <t>GARMIN Venu SQ 2 Music (Slate Bezel with Black Case and Silicone Band)</t>
  </si>
  <si>
    <t>010-02862-11</t>
  </si>
  <si>
    <t>GARMIN vivoactive 5 (Cream Gold with Ivory Band)</t>
  </si>
  <si>
    <t>010-02862-12</t>
  </si>
  <si>
    <t>GARMIN vivoactive 5 (Metallic Captain Blue with Blue Band)</t>
  </si>
  <si>
    <t>010-02862-13</t>
  </si>
  <si>
    <t>GARMIN vivoactive 5 (Metallic Orchid with Orchid Band)</t>
  </si>
  <si>
    <t>010-02862-10</t>
  </si>
  <si>
    <t>GARMIN vivoactive 5 (Slate with Black Band)</t>
  </si>
  <si>
    <t>010-02985-01</t>
  </si>
  <si>
    <t>GARMIN Vivoactive 6 (Lunar Gold with Bone Silicone Band)</t>
  </si>
  <si>
    <t>010-02985-02</t>
  </si>
  <si>
    <t>GARMIN Vivoactive 6 (Metallic Jasper Green with Jasper Green Silicone Band)</t>
  </si>
  <si>
    <t>010-02985-03</t>
  </si>
  <si>
    <t>GARMIN Vivoactive 6 (Metallic Pink Dawn with Pink Dawn Silicone Band)</t>
  </si>
  <si>
    <t>010-02985-00</t>
  </si>
  <si>
    <t>GARMIN Vivoactive 6 (Slate with Black Silicone Band)</t>
  </si>
  <si>
    <t>010-02441-23</t>
  </si>
  <si>
    <t>GARMIN vivofit jr. 3 (Black Cosmic)</t>
  </si>
  <si>
    <t>010-02441-22</t>
  </si>
  <si>
    <t>GARMIN vivofit jr. 3 (Blue Stars)</t>
  </si>
  <si>
    <t>010-02441-20</t>
  </si>
  <si>
    <t>GARMIN vivofit jr. 3 (Digi Camo)</t>
  </si>
  <si>
    <t>010-02441-32</t>
  </si>
  <si>
    <t>GARMIN vivofit jr. 3 (Disney - Princess)</t>
  </si>
  <si>
    <t>010-02441-33</t>
  </si>
  <si>
    <t>GARMIN vivofit jr. 3 (Disney - The Little Mermaid)</t>
  </si>
  <si>
    <t>010-02441-21</t>
  </si>
  <si>
    <t>GARMIN vivofit jr. 3 (Lilac Floral)</t>
  </si>
  <si>
    <t>010-02441-30</t>
  </si>
  <si>
    <t>GARMIN vivofit jr. 3 (Marvel - Black Panther)</t>
  </si>
  <si>
    <t>010-02441-31</t>
  </si>
  <si>
    <t>GARMIN vivofit jr. 3 (Marvel - Iron Man)</t>
  </si>
  <si>
    <t>010-02441-24</t>
  </si>
  <si>
    <t>GARMIN vivofit jr. 3 (Peach Leopard)</t>
  </si>
  <si>
    <t>010-02441-36</t>
  </si>
  <si>
    <t>GARMIN vivofit jr. 3 (Star Wars - Grogu)</t>
  </si>
  <si>
    <t>010-02441-35</t>
  </si>
  <si>
    <t>GARMIN vivofit jr. 3 (Star Wars - The Mandalorian)</t>
  </si>
  <si>
    <t>010-02566-00</t>
  </si>
  <si>
    <t>GARMIN vivomove Sport (Black Case and Silicone Band with Slate Accents)</t>
  </si>
  <si>
    <t>010-02566-02</t>
  </si>
  <si>
    <t>GARMIN vivomove Sport (Cocoa Case and Silicone Band with Peach Gold Accents)</t>
  </si>
  <si>
    <t>010-02566-03</t>
  </si>
  <si>
    <t>GARMIN vivomove Sport (Cool Mint Case and Silicone Band with Silver Accents)</t>
  </si>
  <si>
    <t>010-02566-01</t>
  </si>
  <si>
    <t>GARMIN vivomove Sport (Ivory Case and Silicone Band with Peach Gold Accents)</t>
  </si>
  <si>
    <t>010-02665-02</t>
  </si>
  <si>
    <t>GARMIN vivomove Trend (Gold SS with Grey Case and Band)</t>
  </si>
  <si>
    <t>010-02665-01</t>
  </si>
  <si>
    <t>GARMIN vivomove Trend (Peach SS with Cream Case and Band)</t>
  </si>
  <si>
    <t>010-02665-03</t>
  </si>
  <si>
    <t>GARMIN vivomove Trend (Silver SS with Grey Case and Band)</t>
  </si>
  <si>
    <t>010-02665-00</t>
  </si>
  <si>
    <t>GARMIN vivomove Trend (Slate SS with Black Case and Band)</t>
  </si>
  <si>
    <t>010-02645-04</t>
  </si>
  <si>
    <t>GARMIN vivosmart 5 Large (Black)</t>
  </si>
  <si>
    <t>010-02645-00</t>
  </si>
  <si>
    <t>GARMIN vivosmart 5 Small/Medium (Black)</t>
  </si>
  <si>
    <t>010-02645-02</t>
  </si>
  <si>
    <t>GARMIN vivosmart 5 Small/Medium (Cool Mint)</t>
  </si>
  <si>
    <t>010-02645-01</t>
  </si>
  <si>
    <t>GARMIN vivosmart 5 Small/Medium (White)</t>
  </si>
  <si>
    <t>010-02902-00</t>
  </si>
  <si>
    <t>GARMIN ZUMO R1 Motorcycle Radar</t>
  </si>
  <si>
    <t>010-02781-20</t>
  </si>
  <si>
    <t>GARMIN Zumo XT2 Motorcycle Navigator 6"</t>
  </si>
  <si>
    <t>GEOSWISS</t>
  </si>
  <si>
    <t>SCAC24XA-W</t>
  </si>
  <si>
    <t>SWISS MOBILITY 2 Port USB Wall Charger 2.4amp (White)</t>
  </si>
  <si>
    <t>16.36</t>
  </si>
  <si>
    <t>HEY CLAY</t>
  </si>
  <si>
    <t>S001ALIENS</t>
  </si>
  <si>
    <t>HEY CLAY Aliens</t>
  </si>
  <si>
    <t>21.38</t>
  </si>
  <si>
    <t>S002ANIMALS</t>
  </si>
  <si>
    <t>HEY CLAY Animals</t>
  </si>
  <si>
    <t>S005BUGS</t>
  </si>
  <si>
    <t>HEY CLAY Bugs</t>
  </si>
  <si>
    <t>S006DINOS</t>
  </si>
  <si>
    <t>HEY CLAY Dinos</t>
  </si>
  <si>
    <t>INSTANT</t>
  </si>
  <si>
    <t>140-5022-01_IN</t>
  </si>
  <si>
    <t>INSTANT 10 Cup Rice &amp; Grain Cooker</t>
  </si>
  <si>
    <t>140-3124-01-AU_IN</t>
  </si>
  <si>
    <t>INSTANT Air Fryer 4L (Charcoal)</t>
  </si>
  <si>
    <t>150-0035-01-AU_IN</t>
  </si>
  <si>
    <t>INSTANT AP100 Air Purifier</t>
  </si>
  <si>
    <t>150-0036-01-AU_IN</t>
  </si>
  <si>
    <t>INSTANT AP200 Air Purifier</t>
  </si>
  <si>
    <t>150-0037-01-AU_IN</t>
  </si>
  <si>
    <t>INSTANT AP300 Air Purifier</t>
  </si>
  <si>
    <t>140-6017-01-AU_IN</t>
  </si>
  <si>
    <t>INSTANT Cold Brewer</t>
  </si>
  <si>
    <t>140-0060-01_IN</t>
  </si>
  <si>
    <t>INSTANT Duo Crisp with Ultimate Lid 6.5L</t>
  </si>
  <si>
    <t>140-0022-01_IN</t>
  </si>
  <si>
    <t>INSTANT Duo Crisp, Air Fryer &amp; Pressure Cooker Combo 8L</t>
  </si>
  <si>
    <t>140-3457-01-AU_IN</t>
  </si>
  <si>
    <t>INSTANT Frother Station</t>
  </si>
  <si>
    <t>140-1097-01_IN</t>
  </si>
  <si>
    <t>INSTANT Infusion Brew</t>
  </si>
  <si>
    <t>140-6276-01_IN</t>
  </si>
  <si>
    <t>INSTANT Infusion Brew Plus</t>
  </si>
  <si>
    <t>140-6075-01_IN</t>
  </si>
  <si>
    <t>INSTANT Milk Frother</t>
  </si>
  <si>
    <t>110-0037-01-AU_IN</t>
  </si>
  <si>
    <t>INSTANT POT Duo Plus 3L</t>
  </si>
  <si>
    <t>112-0184-01-AU_IN</t>
  </si>
  <si>
    <t>INSTANT POT Duo Plus 5.7L</t>
  </si>
  <si>
    <t>113-0063-01-AU_IN</t>
  </si>
  <si>
    <t>INSTANT POT Duo Plus 8L</t>
  </si>
  <si>
    <t>113-0076-01_IN</t>
  </si>
  <si>
    <t>INSTANT POT Pro 8L</t>
  </si>
  <si>
    <t>112-0202-01_IN</t>
  </si>
  <si>
    <t>INSTANT POT Pro Plus Wifi 5.7L</t>
  </si>
  <si>
    <t>112-2000-01-AU_IN</t>
  </si>
  <si>
    <t>INSTANT Rio 5.7L</t>
  </si>
  <si>
    <t>113-1066-01-AU_IN</t>
  </si>
  <si>
    <t>INSTANT Rio Wide 7.1L</t>
  </si>
  <si>
    <t>140-3033-01_IN</t>
  </si>
  <si>
    <t>INSTANT Vortex Plus Air Fryer 10L</t>
  </si>
  <si>
    <t>140-3107-01-AU_IN</t>
  </si>
  <si>
    <t>INSTANT Vortex Plus Air Fryer with ClearCook 5.7L</t>
  </si>
  <si>
    <t>140-3128-01-AU_IN</t>
  </si>
  <si>
    <t>INSTANT Vortex Plus Dual Air Fryer with ClearCook 8L</t>
  </si>
  <si>
    <t>140-1150-01_IN</t>
  </si>
  <si>
    <t>INSTANT Vortex Slim Air Fryer 5.7L</t>
  </si>
  <si>
    <t>140-1151-01_IN</t>
  </si>
  <si>
    <t>INSTANT Vortex VersaZone Air Fryer 8.5L (Black)</t>
  </si>
  <si>
    <t>LOGITECH</t>
  </si>
  <si>
    <t>914-000073</t>
  </si>
  <si>
    <t>LOGITECH Crayon (Silver)</t>
  </si>
  <si>
    <t>920-006491</t>
  </si>
  <si>
    <t>LOGITECH MK345 Wireless Keyboard and Mouse</t>
  </si>
  <si>
    <t>920-009182</t>
  </si>
  <si>
    <t>LOGITECH MK470 Slim Wireless Desktop Kit (Black)</t>
  </si>
  <si>
    <t>920-008696</t>
  </si>
  <si>
    <t>LOGITECH MK545 Advanced Wireless Keyboard and Mouse</t>
  </si>
  <si>
    <t>920-008233</t>
  </si>
  <si>
    <t>LOGITECH MK850 Performance Wireless Keyboard and Mouse</t>
  </si>
  <si>
    <t>910-005995</t>
  </si>
  <si>
    <t>LOGITECH MX Anywhere 3 (Mac)</t>
  </si>
  <si>
    <t>920-010577</t>
  </si>
  <si>
    <t>LOGITECH POP Keys Wireless Mechanical Keyboard w/Emoji (Blast Yellow)</t>
  </si>
  <si>
    <t>920-011227</t>
  </si>
  <si>
    <t>LOGITECH POP Keys Wireless Mechanical Keyboard w/Emoji (Lavender)</t>
  </si>
  <si>
    <t>920-010578</t>
  </si>
  <si>
    <t>LOGITECH POP Keys Wireless Mechanical Keyboard w/Emoji (Mint Green)</t>
  </si>
  <si>
    <t>920-011226</t>
  </si>
  <si>
    <t>LOGITECH POP Keys Wireless Mechanical Keyboard w/Emoji (Mist Sand)</t>
  </si>
  <si>
    <t>920-010579</t>
  </si>
  <si>
    <t>LOGITECH POP Keys Wireless Mechanical Keyboard w/Emoji (Rose)</t>
  </si>
  <si>
    <t>981-001215</t>
  </si>
  <si>
    <t>LOGITECH Zone Vibe 100 Headset (Graphite)</t>
  </si>
  <si>
    <t>LOGITECH G</t>
  </si>
  <si>
    <t>910-005790</t>
  </si>
  <si>
    <t>LOGITECH G203 LIGHTSYNC Gaming Mouse (Black)</t>
  </si>
  <si>
    <t>910-006041</t>
  </si>
  <si>
    <t>LOGITECH G305 LIGHTSPEED Wireless Gaming Mouse (Black)</t>
  </si>
  <si>
    <t>981-000979</t>
  </si>
  <si>
    <t>LOGITECH G335 Wired Gaming Headset (Black)</t>
  </si>
  <si>
    <t>920-010448</t>
  </si>
  <si>
    <t>LOGITECH G413 TKL SE Mechanical Gaming Keyboard</t>
  </si>
  <si>
    <t>981-001051</t>
  </si>
  <si>
    <t>LOGITECH G435 LIGHTSPEED Wireless Gaming Headset (Black)</t>
  </si>
  <si>
    <t>981-001063</t>
  </si>
  <si>
    <t>LOGITECH G435 LIGHTSPEED Wireless Gaming Headset (Blue)</t>
  </si>
  <si>
    <t>981-001075</t>
  </si>
  <si>
    <t>LOGITECH G435 LIGHTSPEED Wireless Gaming Headset (White)</t>
  </si>
  <si>
    <t>910-006140</t>
  </si>
  <si>
    <t>LOGITECH G502X Gaming Mouse (Black)</t>
  </si>
  <si>
    <t>920-009354</t>
  </si>
  <si>
    <t>LOGITECH G512 Carbon RGB Tactile Mechanical Gaming Keyboard</t>
  </si>
  <si>
    <t>920-010427</t>
  </si>
  <si>
    <t>LOGITECH G713 Gaming Keyboard (White)</t>
  </si>
  <si>
    <t>920-010467</t>
  </si>
  <si>
    <t>LOGITECH G715 Wireless Gaming Keyboard (White)</t>
  </si>
  <si>
    <t>981-000867</t>
  </si>
  <si>
    <t>LOGITECH G733 LIGHTSPEED Wireless RGB Gaming Headset (Black)</t>
  </si>
  <si>
    <t>981-000946</t>
  </si>
  <si>
    <t>LOGITECH G733 LIGHTSPEED Wireless RGB Gaming Headset (Blue)</t>
  </si>
  <si>
    <t>981-000886</t>
  </si>
  <si>
    <t>LOGITECH G733 LIGHTSPEED Wireless RGB Gaming Headset (White)</t>
  </si>
  <si>
    <t>981-001084</t>
  </si>
  <si>
    <t>LOGITECH G735 Wireless Gaming Headset (White)</t>
  </si>
  <si>
    <t>LOREX</t>
  </si>
  <si>
    <t>DB-XM-W452ASDBA-E</t>
  </si>
  <si>
    <t>LOREX - Dummy Box 2K Wired Floodlight Security Camera - Black</t>
  </si>
  <si>
    <t>B463AJDBA-E</t>
  </si>
  <si>
    <t>LOREX 2K Battery Video Doorbell - Black</t>
  </si>
  <si>
    <t>W461ASDA-E</t>
  </si>
  <si>
    <t>LOREX 2K Indoor Wi-Fi Security Camera</t>
  </si>
  <si>
    <t>W462AQDA-E</t>
  </si>
  <si>
    <t>LOREX 2K Pan-Tilt Indoor Wi-Fi Camera</t>
  </si>
  <si>
    <t>F461AQDA-E</t>
  </si>
  <si>
    <t>LOREX 2K Pan-Tilt Outdoor Wi-Fi Camera</t>
  </si>
  <si>
    <t>W482CADA-E</t>
  </si>
  <si>
    <t>LOREX 2K Spotlight Wi-Fi Camera</t>
  </si>
  <si>
    <t>W452ASDBA-E</t>
  </si>
  <si>
    <t>Lorex 2K Wired Floodlight Security Camera - Black</t>
  </si>
  <si>
    <t>W452ASDA-E</t>
  </si>
  <si>
    <t>LOREX 2K Wired Floodlight Security Camera - White</t>
  </si>
  <si>
    <t>W881AADA-E</t>
  </si>
  <si>
    <t>LOREX 4K Outdoor Spotlight Wi-Fi Camera</t>
  </si>
  <si>
    <t>E893ABA</t>
  </si>
  <si>
    <t>LOREX 4K Smart Deterrence Wired IP Camera - Bullet</t>
  </si>
  <si>
    <t>E896DDA</t>
  </si>
  <si>
    <t>LOREX 4K Smart Security Lighting IP Camera - Dome</t>
  </si>
  <si>
    <t>E841CAA</t>
  </si>
  <si>
    <t>LOREX 4K Ultra HD Wired Bullet IP Security Camera - White</t>
  </si>
  <si>
    <t>E841CDA</t>
  </si>
  <si>
    <t>LOREX 4K Ultra HD Wired Dome IP Security Camera - White</t>
  </si>
  <si>
    <t>DB-XM-B463AJDBA-E</t>
  </si>
  <si>
    <t>LOREX Dummy Box - 2K Battery Video Doorbell - Black</t>
  </si>
  <si>
    <t>DB-XM-W462AQDA-E</t>
  </si>
  <si>
    <t>LOREX Dummy Box - 2K Pan-Tilt Indoor Wi-Fi Camera Dummy Box</t>
  </si>
  <si>
    <t>DB-XM-F461AQDA-E</t>
  </si>
  <si>
    <t>LOREX Dummy Box - 2K Pan-Tilt Outdoor Wi-Fi Camera Dummy Box</t>
  </si>
  <si>
    <t>DB-XM-W482CADA-E</t>
  </si>
  <si>
    <t>LOREX Dummy Box - 2K Spotlight Wi-Fi Camera</t>
  </si>
  <si>
    <t>DB-XM-W881AADA-E</t>
  </si>
  <si>
    <t>LOREX Dummy Box - 4K Outdoor Spotlight Wi-Fi Camera</t>
  </si>
  <si>
    <t>DB-XM-ACCHM2A-E</t>
  </si>
  <si>
    <t>LOREX Dummy Box - Wi-Fi Chimebox</t>
  </si>
  <si>
    <t>DU-B463AJDBA-E</t>
  </si>
  <si>
    <t>LOREX Dummy Unit - 2K Battery Video Doorbell - Black</t>
  </si>
  <si>
    <t>DU-F461AQDA-E</t>
  </si>
  <si>
    <t>LOREX Dummy Unit - 2K Pan-Tilt Outdoor Wi-Fi Camera Dummy Box</t>
  </si>
  <si>
    <t>N847A62A</t>
  </si>
  <si>
    <t>LOREX Fusion 4K Network Video Recorder</t>
  </si>
  <si>
    <t>ACCHM2A-E</t>
  </si>
  <si>
    <t>LOREX Wi-Fi Chimebox</t>
  </si>
  <si>
    <t>MARBOTIC</t>
  </si>
  <si>
    <t>SL15</t>
  </si>
  <si>
    <t>MARBOTIC Smart Letters</t>
  </si>
  <si>
    <t>SN15</t>
  </si>
  <si>
    <t>MARBOTIC Smart Numbers</t>
  </si>
  <si>
    <t>MOBILE PIXELS</t>
  </si>
  <si>
    <t>116-1001P03</t>
  </si>
  <si>
    <t>Mobile Pixels Geminos T (FHD) Dual 24" Stacked Monitor</t>
  </si>
  <si>
    <t>106-1001P01</t>
  </si>
  <si>
    <t>MOBILEPIXELS Black Magnets</t>
  </si>
  <si>
    <t>101-1005P04</t>
  </si>
  <si>
    <t>MOBILEPIXELS Duex Lite Grey - 12.5"</t>
  </si>
  <si>
    <t>101-1005P05</t>
  </si>
  <si>
    <t>MOBILEPIXELS Duex Lite Navy - 12.5"</t>
  </si>
  <si>
    <t>101-1007P04</t>
  </si>
  <si>
    <t>MOBILEPIXELS Duex Max (Grey) - 14.1"</t>
  </si>
  <si>
    <t>101-1007P01</t>
  </si>
  <si>
    <t>MOBILEPIXELS Duex Max Blue - 14.1"</t>
  </si>
  <si>
    <t>101-1006P01</t>
  </si>
  <si>
    <t>MOBILEPIXELS Duex Plus - 13.3"</t>
  </si>
  <si>
    <t>101-1009P01</t>
  </si>
  <si>
    <t>MOBILEPIXELS Glance - 16"</t>
  </si>
  <si>
    <t>101-1012P01</t>
  </si>
  <si>
    <t>MOBILEPIXELS Glance Plus - 15.6"</t>
  </si>
  <si>
    <t>101-1008P01</t>
  </si>
  <si>
    <t>MOBILEPIXELS Glance Pro - 15.6"</t>
  </si>
  <si>
    <t>103-1002P01</t>
  </si>
  <si>
    <t>MOBILEPIXELS Origami Kickstand</t>
  </si>
  <si>
    <t>106-1002P01</t>
  </si>
  <si>
    <t>MOBILEPIXELS Silver Magnets</t>
  </si>
  <si>
    <t>MORPHEE</t>
  </si>
  <si>
    <t>MORP-MPMORP-0002</t>
  </si>
  <si>
    <t>MORPHEE My Little Morphee Relaxation &amp; Sleep Aid Device for Kids</t>
  </si>
  <si>
    <t>MORP-MPMORP-0005</t>
  </si>
  <si>
    <t>MORPHEE My Little Morphée Relaxation and Sleep Device - UK-FR-SP-DE</t>
  </si>
  <si>
    <t>MORP-AUDIOZ-0006</t>
  </si>
  <si>
    <t>MORPHEE Relaxation &amp; Sleep Aid Device</t>
  </si>
  <si>
    <t>MORP-AUDIMZ-0012</t>
  </si>
  <si>
    <t>MORPHEE Zen Sleep Aid</t>
  </si>
  <si>
    <t>MOSHI</t>
  </si>
  <si>
    <t>99MO044911</t>
  </si>
  <si>
    <t>MOSHI AirFoil Pro for iPhone 12 Mini (Black)</t>
  </si>
  <si>
    <t>99MO117007</t>
  </si>
  <si>
    <t>MOSHI Altra for iPhone 12 Mini (Blue)</t>
  </si>
  <si>
    <t>99MO117306</t>
  </si>
  <si>
    <t>MOSHI Altra for iPhone 12 Mini (Sahara beige)</t>
  </si>
  <si>
    <t>99MO021911</t>
  </si>
  <si>
    <t>MOSHI ClearGuard for MacBook Pro 13 without Touch Bar/MacBook 12"</t>
  </si>
  <si>
    <t>99MO021924</t>
  </si>
  <si>
    <t>MOSHI ClearGuard for MacBook Pro 16" / 13" / M1 2020</t>
  </si>
  <si>
    <t>99MO022201</t>
  </si>
  <si>
    <t>MOSHI Flekto Compact Folding Apple Watch Charger</t>
  </si>
  <si>
    <t>99MO113531</t>
  </si>
  <si>
    <t>MOSHI iGlaze for iPhone 12 Mini (Blue)</t>
  </si>
  <si>
    <t>99MO113106</t>
  </si>
  <si>
    <t>MOSHI iGlaze for iPhone 12 Mini (Pearl White)</t>
  </si>
  <si>
    <t>99MO113533</t>
  </si>
  <si>
    <t>MOSHI iGlaze for iPhone 12 Pro Max (Blue)</t>
  </si>
  <si>
    <t>99MO071909</t>
  </si>
  <si>
    <t>MOSHI iGlaze for MacBook Air 13 USB-C (Clear)</t>
  </si>
  <si>
    <t>99MO124001</t>
  </si>
  <si>
    <t>MOSHI iGlaze for MacBook Pro 16 (Black)</t>
  </si>
  <si>
    <t>99MO020036</t>
  </si>
  <si>
    <t>MOSHI iVisor AG for iPad 10.2" / iPad Pro 10.5" / iPad Air 10.5" (White)</t>
  </si>
  <si>
    <t>99MO020031</t>
  </si>
  <si>
    <t>MOSHI iVisor AG for iPad Mini 5 (Black)</t>
  </si>
  <si>
    <t>99MO020034</t>
  </si>
  <si>
    <t>MOSHI iVisor AG for iPad Mini 5 (White)</t>
  </si>
  <si>
    <t>99MO020038</t>
  </si>
  <si>
    <t>MOSHI iVisor AG for iPhone 12 Mini (Black)</t>
  </si>
  <si>
    <t>99MO020042</t>
  </si>
  <si>
    <t>MOSHI iVisor XT for Model 3/Y - Black (Clear)</t>
  </si>
  <si>
    <t>99MO023208</t>
  </si>
  <si>
    <t>MOSHI Mini Display Port to HDMI Adapter 4K (Silver)</t>
  </si>
  <si>
    <t>99MO023201</t>
  </si>
  <si>
    <t>MOSHI Mini Display Port to VGA Adapter (White)</t>
  </si>
  <si>
    <t>99MO023002</t>
  </si>
  <si>
    <t>MOSHI Mini-Stereo Audio Cable 1.8m</t>
  </si>
  <si>
    <t>99MO126101</t>
  </si>
  <si>
    <t>MOSHI Nanohedron filter pack Large &amp; Medium - 5 Pack</t>
  </si>
  <si>
    <t>99MO126102</t>
  </si>
  <si>
    <t>MOSHI Nanohedron filter pack Small - 5 Pack</t>
  </si>
  <si>
    <t>99MO126103</t>
  </si>
  <si>
    <t>MOSHI Nanohedron filters pack (Kids) - White</t>
  </si>
  <si>
    <t>99MO126501</t>
  </si>
  <si>
    <t>MOSHI Omni Guard Kids Mask - Blue</t>
  </si>
  <si>
    <t>99MO126301</t>
  </si>
  <si>
    <t>MOSHI Omni Guard Kids Mask - Pink</t>
  </si>
  <si>
    <t>99MO126001</t>
  </si>
  <si>
    <t>MOSHI OmniGuard Mask Large (Black)</t>
  </si>
  <si>
    <t>99MO126002</t>
  </si>
  <si>
    <t>MOSHI OmniGuard Mask Medium (Black)</t>
  </si>
  <si>
    <t>99MO126003</t>
  </si>
  <si>
    <t>MOSHI OmniGuard Mask Small (Black)</t>
  </si>
  <si>
    <t>99MO022219</t>
  </si>
  <si>
    <t>MOSHI Otto Q Fast Wireless Charging Pad (Grey)</t>
  </si>
  <si>
    <t>99MO091014</t>
  </si>
  <si>
    <t>MOSHI Overture for iPhone 12 Mini (Black)</t>
  </si>
  <si>
    <t>99MO091307</t>
  </si>
  <si>
    <t>MOSHI Overture for iPhone 12 Mini (Pink)</t>
  </si>
  <si>
    <t>99MO104055</t>
  </si>
  <si>
    <t>MOSHI Pluma for Macbook Pro 16" (Herringbone Grey)</t>
  </si>
  <si>
    <t>99MO022072</t>
  </si>
  <si>
    <t>MOSHI QuikDuo USB-C PD and QC Car Charger</t>
  </si>
  <si>
    <t>99MO084221</t>
  </si>
  <si>
    <t>MOSHI Symbus USB-C Dock (Ethernet/USB- C/USBx2)</t>
  </si>
  <si>
    <t>99MO023209</t>
  </si>
  <si>
    <t>MOSHI USB 3.0 to Ethernet Adapter (Silver)</t>
  </si>
  <si>
    <t>99MO084204</t>
  </si>
  <si>
    <t>MOSHI USB-C Multiport Adapter/Hub (Silver)</t>
  </si>
  <si>
    <t>99MO084202</t>
  </si>
  <si>
    <t>MOSHI USB-C to HDMI Adapter (Silver)</t>
  </si>
  <si>
    <t>99MO084200</t>
  </si>
  <si>
    <t>MOSHI USB-C to USB Adapter (Silver)</t>
  </si>
  <si>
    <t>99MO084101</t>
  </si>
  <si>
    <t>MOSHI USB-C to USB-A 3.0 Cable 1m (White)</t>
  </si>
  <si>
    <t>99MO084201</t>
  </si>
  <si>
    <t>MOSHI USB-C to VGA Adapter (Silver)</t>
  </si>
  <si>
    <t>99MO128901</t>
  </si>
  <si>
    <t>MOSHI Vitros for iPhone 12 Mini (Clear)</t>
  </si>
  <si>
    <t>99MO128903</t>
  </si>
  <si>
    <t>MOSHI Vitros for iPhone 12 Pro Max (Clear)</t>
  </si>
  <si>
    <t>MOVA</t>
  </si>
  <si>
    <t>DOA-011101AA000214</t>
  </si>
  <si>
    <t>DOA-MOVA K30 Wet and Dry Vacuum</t>
  </si>
  <si>
    <t>DOA-011102AA000032</t>
  </si>
  <si>
    <t>DOA-MOVA M50 Ultra Wet and Dry Vacuum</t>
  </si>
  <si>
    <t>DOA-010201AA000795</t>
  </si>
  <si>
    <t>DOA-MOVA Z60 Ultra Roller Wet and Dry Robotic Vacuum</t>
  </si>
  <si>
    <t>20010100001553</t>
  </si>
  <si>
    <t>20010100001558</t>
  </si>
  <si>
    <t>20010100001991</t>
  </si>
  <si>
    <t>MOVA Auxiliary Cleaning Kit for V50 Ultra</t>
  </si>
  <si>
    <t>20010100001537</t>
  </si>
  <si>
    <t>MOVA Auxiliary Cleaning Kit for Z50 Ultra</t>
  </si>
  <si>
    <t>20010100001804</t>
  </si>
  <si>
    <t>MOVA Auxiliary Cleaning Kit for Z60 Ultra Roller</t>
  </si>
  <si>
    <t>20010100001471</t>
  </si>
  <si>
    <t>20010100001785</t>
  </si>
  <si>
    <t>MOVA Deodorizing Stick for M50 Ultra</t>
  </si>
  <si>
    <t>20010100001198</t>
  </si>
  <si>
    <t>20010100001538</t>
  </si>
  <si>
    <t>MOVA Dust Bag for Z50 Ultra</t>
  </si>
  <si>
    <t>20010100001800</t>
  </si>
  <si>
    <t>20010100001259</t>
  </si>
  <si>
    <t>20010100001767</t>
  </si>
  <si>
    <t>20010100001536</t>
  </si>
  <si>
    <t>MOVA Dust Box Filter x2 for Z50 Ultra</t>
  </si>
  <si>
    <t>20010100002026</t>
  </si>
  <si>
    <t>MOVA Dust Funnel Barrier for Z60 Ultra Roller</t>
  </si>
  <si>
    <t>010204AA000891</t>
  </si>
  <si>
    <t>MOVA E40 Ultra Robotic Vacuum</t>
  </si>
  <si>
    <t>20010100001476</t>
  </si>
  <si>
    <t>MOVA Filter for M10 and M50</t>
  </si>
  <si>
    <t>20010100001460</t>
  </si>
  <si>
    <t>010401AC000279</t>
  </si>
  <si>
    <t>MOVA Flip 10 Hair Styler</t>
  </si>
  <si>
    <t>20010100002099</t>
  </si>
  <si>
    <t>MOVA Hyper Clean Mop - Blue</t>
  </si>
  <si>
    <t>010101AF000549</t>
  </si>
  <si>
    <t>MOVA i10 Cordless Stick Vacuum</t>
  </si>
  <si>
    <t>011101AA000214</t>
  </si>
  <si>
    <t>MOVA K30 Wet and Dry Vacuum</t>
  </si>
  <si>
    <t>011106AA000018</t>
  </si>
  <si>
    <t>MOVA M10 Wet and Dry Vacuum</t>
  </si>
  <si>
    <t>011102AA000032</t>
  </si>
  <si>
    <t>MOVA M50 Ultra Wet and Dry Vacuum</t>
  </si>
  <si>
    <t>SA-011102AA000032</t>
  </si>
  <si>
    <t>MOVA M50 Ultra Wet and Dry Vacuum SAMPLES</t>
  </si>
  <si>
    <t>20010100001243</t>
  </si>
  <si>
    <t>20010100001394</t>
  </si>
  <si>
    <t>20010100001531</t>
  </si>
  <si>
    <t>MOVA Main Brush for Z50</t>
  </si>
  <si>
    <t>20010100001554</t>
  </si>
  <si>
    <t>20010100001535</t>
  </si>
  <si>
    <t>MOVA Main Mop Pad x1 for Z50 Ultra</t>
  </si>
  <si>
    <t>20010100001983</t>
  </si>
  <si>
    <t>MOVA Main Mop Pad x2 for Z50 Ultra</t>
  </si>
  <si>
    <t>010403AN000024</t>
  </si>
  <si>
    <t>MOVA Master 10 Hair Styler - Pink</t>
  </si>
  <si>
    <t>010403AE000024</t>
  </si>
  <si>
    <t>MOVA Master 10 Hair Styler - Silver</t>
  </si>
  <si>
    <t>010204AA001081</t>
  </si>
  <si>
    <t>MOVA Mobius 60 Wet and Dry Robotic Vacuum</t>
  </si>
  <si>
    <t>20010100001273</t>
  </si>
  <si>
    <t>20010100001313</t>
  </si>
  <si>
    <t>20010100001718</t>
  </si>
  <si>
    <t>MOVA Multi-Surface Floor Cleaner 400mL for Z50 Ultra</t>
  </si>
  <si>
    <t>20010100001878</t>
  </si>
  <si>
    <t>MOVA Multi-Surface Floor Cleaner 500mL for M50 Ultra</t>
  </si>
  <si>
    <t>20010100001464</t>
  </si>
  <si>
    <t>010204AA000643</t>
  </si>
  <si>
    <t>MOVA P50 Pro Ultra Wet and Dry Robotic Vacuum</t>
  </si>
  <si>
    <t>010204AA000727</t>
  </si>
  <si>
    <t>MOVA P50 Ultra Wet and Dry Robotic Vacuum</t>
  </si>
  <si>
    <t>20010100001753</t>
  </si>
  <si>
    <t>20010100002100</t>
  </si>
  <si>
    <t>MOVA Plush Mop - Yellow</t>
  </si>
  <si>
    <t>010901AA000024</t>
  </si>
  <si>
    <t>MOVA Robotic Lawn Mower 1000</t>
  </si>
  <si>
    <t>010901AA000026</t>
  </si>
  <si>
    <t>MOVA Robotic Lawn Mower 600</t>
  </si>
  <si>
    <t>20010100001565</t>
  </si>
  <si>
    <t>MOVA Robotic Lawn Mower Blade Kit</t>
  </si>
  <si>
    <t>20010100001573</t>
  </si>
  <si>
    <t>MOVA Robotic Lawn Mower Garage</t>
  </si>
  <si>
    <t>20010100001461</t>
  </si>
  <si>
    <t>MOVA Roller Brush for K30</t>
  </si>
  <si>
    <t>20010100001799</t>
  </si>
  <si>
    <t>010401AB000273</t>
  </si>
  <si>
    <t>MOVA Shine 10 Hair Dryer - Gold</t>
  </si>
  <si>
    <t>010401AA000273</t>
  </si>
  <si>
    <t>MOVA Shine 10 Hair Dryer - Silver</t>
  </si>
  <si>
    <t>010401AA000323</t>
  </si>
  <si>
    <t>MOVA Shine 20 Hair Dryer - Gold</t>
  </si>
  <si>
    <t>20010100001370</t>
  </si>
  <si>
    <t>20010100001534</t>
  </si>
  <si>
    <t>MOVA Small Mop Pad x2 for Z50 Ultra</t>
  </si>
  <si>
    <t>20010100002101</t>
  </si>
  <si>
    <t>MOVA Thermo Hold Mop - Red</t>
  </si>
  <si>
    <t>010201AA000488</t>
  </si>
  <si>
    <t>MOVA V50 Ultra Wet and Dry Robotic Vacuum</t>
  </si>
  <si>
    <t>20010100002098</t>
  </si>
  <si>
    <t>MOVA Wood Floor Care Solution</t>
  </si>
  <si>
    <t>011106AA000047</t>
  </si>
  <si>
    <t>MOVA X4 Pro Wet and Dry Vacuum</t>
  </si>
  <si>
    <t>010201AA000437</t>
  </si>
  <si>
    <t>MOVA Z50 Ultra Wet and Dry Robotic Vacuum</t>
  </si>
  <si>
    <t>010201AA000795</t>
  </si>
  <si>
    <t>MOVA Z60 Ultra Roller Wet and Dry Robotic Vacuum</t>
  </si>
  <si>
    <t>MW SLEEVES</t>
  </si>
  <si>
    <t>MW-450039</t>
  </si>
  <si>
    <t>MW Basics ²Life MacBook Air 15" (Black/White)</t>
  </si>
  <si>
    <t>MW-450040</t>
  </si>
  <si>
    <t>MW Basics ²Life MacBook Air 15" (Blue/White)</t>
  </si>
  <si>
    <t>MW-450029</t>
  </si>
  <si>
    <t>MW Basics ²Life MacBook Pro/Air 13" Sleeve Black / White</t>
  </si>
  <si>
    <t>MW-450030</t>
  </si>
  <si>
    <t>MW Basics ²Life MacBook Pro/Air 13" Sleeve Grey / White</t>
  </si>
  <si>
    <t>MW-450031</t>
  </si>
  <si>
    <t>MW Basics ²Life Recycled Sleeve for MacBook Pro 14" (Black)</t>
  </si>
  <si>
    <t>MW-450035</t>
  </si>
  <si>
    <t>MW Basics ²Life Recycled Sleeve for MacBook Pro 14" (Blue)</t>
  </si>
  <si>
    <t>MW-450032</t>
  </si>
  <si>
    <t>MW Basics ²Life Recycled Sleeve for MacBook Pro 16" (Black)</t>
  </si>
  <si>
    <t>MW-450036</t>
  </si>
  <si>
    <t>MW Basics ²Life Recycled Sleeve for MacBook Pro 16" (Grey)</t>
  </si>
  <si>
    <t>MW-450009</t>
  </si>
  <si>
    <t>MW Classic Sleeve for MacBook Pro 16" (Grey)</t>
  </si>
  <si>
    <t>MW-450006</t>
  </si>
  <si>
    <t>MW Classic Sleeve for MacBook Pro/Air 13" - (Black)</t>
  </si>
  <si>
    <t>MW-450005</t>
  </si>
  <si>
    <t>MW Classic Sleeve for MacBook Pro/Air 13" - (Grey)</t>
  </si>
  <si>
    <t>MW-450001</t>
  </si>
  <si>
    <t>MW Horizon Recycled Sleeve for MacBook Pro/Air 13" (Blackened Pearl)</t>
  </si>
  <si>
    <t>MW-450002</t>
  </si>
  <si>
    <t>MW Horizon Recycled Sleeve for MacBook Pro/Air 13" (Green)</t>
  </si>
  <si>
    <t>MW-450003</t>
  </si>
  <si>
    <t>MW Horizon Recycled Sleeve for MacBook Pro/Air 13" (Redwood)</t>
  </si>
  <si>
    <t>MW-450022</t>
  </si>
  <si>
    <t>MW Seasons Sleeve for MacBook Pro 14" (Grey)</t>
  </si>
  <si>
    <t>MW-450021</t>
  </si>
  <si>
    <t>MW Seasons Sleeve for MacBook Pro 14" (Wine)</t>
  </si>
  <si>
    <t>MW-450016</t>
  </si>
  <si>
    <t>MW Seasons Sleeve for MacBook Pro/Air 13" (Blue)</t>
  </si>
  <si>
    <t>MW-450015</t>
  </si>
  <si>
    <t>MW Seasons Sleeve for MacBook Pro/Air 13" (Pink)</t>
  </si>
  <si>
    <t>MW-450014</t>
  </si>
  <si>
    <t>MW Seasons Sleeve for MacBook Pro/Air 13" (Wine)</t>
  </si>
  <si>
    <t>MW-450013</t>
  </si>
  <si>
    <t>MW Shade Sleeve for MacBook Pro 16" (Anthracite)</t>
  </si>
  <si>
    <t>MW-450010</t>
  </si>
  <si>
    <t>MW Shade Sleeve for MacBook Pro/Air 13" (Anthracite)</t>
  </si>
  <si>
    <t>MY TAG</t>
  </si>
  <si>
    <t>R621-B</t>
  </si>
  <si>
    <t>MyTag Classic Bluetooth Tracker (Black)</t>
  </si>
  <si>
    <t>R633-B</t>
  </si>
  <si>
    <t>MyTag Edge  Bluetooth Tracker (Black)</t>
  </si>
  <si>
    <t>R633-W</t>
  </si>
  <si>
    <t>MyTag Edge Bluetooth Tracker (White)</t>
  </si>
  <si>
    <t>R631-B</t>
  </si>
  <si>
    <t>MyTag Sport Bluetooth Tracker (Black)</t>
  </si>
  <si>
    <t>R631-W</t>
  </si>
  <si>
    <t>MyTag Sport Bluetooth Tracker (White)</t>
  </si>
  <si>
    <t>R691-BB</t>
  </si>
  <si>
    <t>MyTag Style Bluetooth Tracker (Black)</t>
  </si>
  <si>
    <t>R691-WB</t>
  </si>
  <si>
    <t>MyTag Style Bluetooth Tracker (White)</t>
  </si>
  <si>
    <t>NANOLEAF</t>
  </si>
  <si>
    <t>NL55-0005LS-2M-DB</t>
  </si>
  <si>
    <t>N7601K00-1LS4D</t>
  </si>
  <si>
    <t>NANOLEAF 4D PC Screen Mirror Lightstrip</t>
  </si>
  <si>
    <t>NF082K05-1CK</t>
  </si>
  <si>
    <t>NANOLEAF 4D TV Screen Mirror Camera and Controller Only</t>
  </si>
  <si>
    <t>NF082K05-40LS</t>
  </si>
  <si>
    <t>NANOLEAF 4D TV Screen Mirror Kit for TVs up to 65"- 4 Meters</t>
  </si>
  <si>
    <t>NF082K05-52LS</t>
  </si>
  <si>
    <t>NANOLEAF 4D TV Screen Mirror Kit for TVs up to 85" - 5.2 Meters</t>
  </si>
  <si>
    <t>N6900K05-43LS</t>
  </si>
  <si>
    <t>NANOLEAF 4D V2 TV Screen Mirror Kit for TVs up to 65"- 4 Meters</t>
  </si>
  <si>
    <t>N8100K05-5CL</t>
  </si>
  <si>
    <t>Nanoleaf Blocks - Combo Starter Kit</t>
  </si>
  <si>
    <t>N8100K05-10CB</t>
  </si>
  <si>
    <t>Nanoleaf Blocks - Combo XL Starter Kit</t>
  </si>
  <si>
    <t>N8100E00-1BP</t>
  </si>
  <si>
    <t>Nanoleaf Blocks - Pegboard Add-On Kit (1 Pack)</t>
  </si>
  <si>
    <t>N8100E00-2BSH</t>
  </si>
  <si>
    <t>Nanoleaf Blocks - Shelf Add-On Kit (2 Pack)</t>
  </si>
  <si>
    <t>N8100E00-4SS</t>
  </si>
  <si>
    <t>Nanoleaf Blocks - Small Squares Add-On Kit (4 Pack)</t>
  </si>
  <si>
    <t>N8100E00-2BS</t>
  </si>
  <si>
    <t>Nanoleaf Blocks - Squares Add-On Kit (2 Pack)</t>
  </si>
  <si>
    <t>N8100K05-6BS</t>
  </si>
  <si>
    <t>Nanoleaf Blocks - Squares Starter Kit (6 Pack)</t>
  </si>
  <si>
    <t>N8100E00-2TBS</t>
  </si>
  <si>
    <t>Nanoleaf Blocks - Textured Squares Add-On Kit (2 Pack)</t>
  </si>
  <si>
    <t>N8100K05-5CLSH</t>
  </si>
  <si>
    <t>NANOLEAF Blocks 3 Big Squares, 2 Shelf Starter Kit</t>
  </si>
  <si>
    <t>NC04-0018</t>
  </si>
  <si>
    <t>NANOLEAF Canvas 25W Power Supply AC plug (AU/NZ)</t>
  </si>
  <si>
    <t>NL29-0001SW-4PK</t>
  </si>
  <si>
    <t>NANOLEAF Canvas Expansion - 4 Pack</t>
  </si>
  <si>
    <t>NC04-0030</t>
  </si>
  <si>
    <t>NANOLEAF Canvas Flexible linkers - 9 Pack</t>
  </si>
  <si>
    <t>NL34-0001</t>
  </si>
  <si>
    <t>NANOLEAF Canvas Mounting Kit - 25 Pack</t>
  </si>
  <si>
    <t>NL34-0002</t>
  </si>
  <si>
    <t>NANOLEAF Canvas Mounting Kit - 9 Pack</t>
  </si>
  <si>
    <t>NC04-0020</t>
  </si>
  <si>
    <t>NANOLEAF Canvas Rigid linkers - 9 Pack</t>
  </si>
  <si>
    <t>NL29-2005SW-4PK</t>
  </si>
  <si>
    <t>NANOLEAF Canvas Smarter Kit - 4 Pack</t>
  </si>
  <si>
    <t>NL29-0005SW-9PK</t>
  </si>
  <si>
    <t>NANOLEAF Canvas Smarter Kit - 9 Pack</t>
  </si>
  <si>
    <t>NL32-0001SW</t>
  </si>
  <si>
    <t>NANOLEAF Canvas Square (Spare Part)</t>
  </si>
  <si>
    <t>DB-NL55-0001LS-1M</t>
  </si>
  <si>
    <t>NANOLEAF Dummy Box - Essentials Light Strips Expansion (matter) - 1 Meter</t>
  </si>
  <si>
    <t>DB-NL45-0800WT240B22</t>
  </si>
  <si>
    <t>NANOLEAF Dummy Box - Essentials Smart Bulb B22</t>
  </si>
  <si>
    <t>DB-NL45-0800WT240E27</t>
  </si>
  <si>
    <t>NANOLEAF Dummy Box - Essentials Smart Bulb E27</t>
  </si>
  <si>
    <t>DB-NL42-0001HX-3PK</t>
  </si>
  <si>
    <t>NANOLEAF Dummy Box - Hexagon Exp Pack</t>
  </si>
  <si>
    <t>DB-NL42-0005HX-9PK</t>
  </si>
  <si>
    <t>NANOLEAF Dummy Box - Hexagon Starter Kit 9pk</t>
  </si>
  <si>
    <t>DB-NL42-0005HX-9PK-Sleeve</t>
  </si>
  <si>
    <t>NANOLEAF Dummy Box - Hexagon Starter Kit 9pk-Sleeve</t>
  </si>
  <si>
    <t>DB-NL48-1001TW-10PK</t>
  </si>
  <si>
    <t>NANOLEAF Dummy Box - Shapes Triangles Mini Expansion - 10 Pack</t>
  </si>
  <si>
    <t>NL52-E-0001HB-3PK</t>
  </si>
  <si>
    <t>NANOLEAF Elements Expansion - 3 Pack</t>
  </si>
  <si>
    <t>NL52-K-7005HB-7PK</t>
  </si>
  <si>
    <t>NANOLEAF Elements Starter Kit - 7 Pack</t>
  </si>
  <si>
    <t>NF080B02-1GU10</t>
  </si>
  <si>
    <t>NANOLEAF Essentials Colour Smart LED Bulb GU10 (matter)</t>
  </si>
  <si>
    <t>NF080B02-3GU10</t>
  </si>
  <si>
    <t>NANOLEAF Essentials Colour Smart LED Bulb GU10 (matter) - 3 Pack</t>
  </si>
  <si>
    <t>N7502B02-1GU10</t>
  </si>
  <si>
    <t>NANOLEAF Essentials Colour Smart LED Bulb GU10 (WiFi)</t>
  </si>
  <si>
    <t>N7502B02-3GU10</t>
  </si>
  <si>
    <t>NANOLEAF Essentials Colour Smart LED Bulb GU10 (WiFi) - 3 Pack</t>
  </si>
  <si>
    <t>NF080D05-1W35</t>
  </si>
  <si>
    <t>NANOLEAF Essentials Colour Smart LED Downlight  (matter)</t>
  </si>
  <si>
    <t>NF080D05-2W35</t>
  </si>
  <si>
    <t>NANOLEAF Essentials Colour Smart LED Downlight  (matter) - 2 pack</t>
  </si>
  <si>
    <t>NF080D05-4W35</t>
  </si>
  <si>
    <t>NANOLEAF Essentials Colour Smart LED Downlight  (matter) - 4 pack</t>
  </si>
  <si>
    <t>N7505D05-1W35</t>
  </si>
  <si>
    <t>NANOLEAF Essentials Colour Smart LED Downlight  (WIFI)</t>
  </si>
  <si>
    <t>N7505D05-2W35</t>
  </si>
  <si>
    <t>NANOLEAF Essentials Colour Smart LED Downlight  (WIFI) - 2 pack</t>
  </si>
  <si>
    <t>N7505D05-4W35</t>
  </si>
  <si>
    <t>NANOLEAF Essentials Colour Smart LED Downlight  (WIFI) - 4 pack</t>
  </si>
  <si>
    <t>NL55-0001LS-1M</t>
  </si>
  <si>
    <t>NANOLEAF Essentials Light Strips Expansion (matter) - 1 Meter</t>
  </si>
  <si>
    <t>NF080E00-2LS</t>
  </si>
  <si>
    <t>NANOLEAF Essentials Light Strips Expansion (matter) 2 Meter</t>
  </si>
  <si>
    <t>NF080K05-2LS</t>
  </si>
  <si>
    <t>NANOLEAF Essentials Light Strips Starter Kit (matter) - 2 Meters</t>
  </si>
  <si>
    <t>NF080K05-5LS</t>
  </si>
  <si>
    <t>NANOLEAF Essentials Light Strips Starter Kit (matter) - 5 Meters</t>
  </si>
  <si>
    <t>NL55-0005LS-2M</t>
  </si>
  <si>
    <t>NANOLEAF Essentials Lightstrips Starter Kit - 2 Meters</t>
  </si>
  <si>
    <t>NL45-0800WT240B22</t>
  </si>
  <si>
    <t>NANOLEAF Essentials Smart Bulb B22</t>
  </si>
  <si>
    <t>NF080B02-1A19B</t>
  </si>
  <si>
    <t>NANOLEAF Essentials Smart Bulb B22 (matter)</t>
  </si>
  <si>
    <t>NF080B02-3A19B</t>
  </si>
  <si>
    <t>NANOLEAF Essentials Smart Bulb B22 (matter) - 3 Pack</t>
  </si>
  <si>
    <t>N7501B02-2A60B</t>
  </si>
  <si>
    <t>NANOLEAF Essentials Smart Bulb B22 (WIFI) - 2 Pack</t>
  </si>
  <si>
    <t>N7501B02-4A60B</t>
  </si>
  <si>
    <t>NANOLEAF Essentials Smart Bulb B22 (WIFI) - 4 Pack</t>
  </si>
  <si>
    <t>NL45-0800WT240B22-3PK</t>
  </si>
  <si>
    <t>NANOLEAF Essentials Smart Bulb B22 - 3 Pack</t>
  </si>
  <si>
    <t>NL45-0800WT240E27</t>
  </si>
  <si>
    <t>NANOLEAF Essentials Smart Bulb E27</t>
  </si>
  <si>
    <t>NF080B02-1A19E</t>
  </si>
  <si>
    <t>NANOLEAF Essentials Smart Bulb E27 (matter)</t>
  </si>
  <si>
    <t>NF080B02-3A19E</t>
  </si>
  <si>
    <t>NANOLEAF Essentials Smart Bulb E27 (matter) - 3 Pack</t>
  </si>
  <si>
    <t>N7501B02-2A60E</t>
  </si>
  <si>
    <t>NANOLEAF Essentials Smart Bulb E27 (WIFI) - 2 Pack</t>
  </si>
  <si>
    <t>N7501B02-4A60E</t>
  </si>
  <si>
    <t>NANOLEAF Essentials Smart Bulb E27 (WIFI) - 4 Pack</t>
  </si>
  <si>
    <t>NL45-0800WT240E27-3PK</t>
  </si>
  <si>
    <t>NANOLEAF Essentials Smart Bulb E27 - 3 Pack</t>
  </si>
  <si>
    <t>N7602K00-1LB</t>
  </si>
  <si>
    <t>NANOLEAF Gaming Dock Desk Lamp</t>
  </si>
  <si>
    <t>NF085K05-5ALS</t>
  </si>
  <si>
    <t>NANOLEAF Indoor Addressable Light Strip (Matter) - 5 Meter</t>
  </si>
  <si>
    <t>NL20-0001TW</t>
  </si>
  <si>
    <t>NANOLEAF Light Panel Spare Part (White)</t>
  </si>
  <si>
    <t>NL22-0001TW-3PK</t>
  </si>
  <si>
    <t>NANOLEAF Light Panels Expansion Kit - 3 Pack</t>
  </si>
  <si>
    <t>NL28-2005TW-9PK</t>
  </si>
  <si>
    <t>NANOLEAF Light Panels Smarter Kit Rhythm Edition - 9 Pack</t>
  </si>
  <si>
    <t>NC04-0006</t>
  </si>
  <si>
    <t>NANOLEAF Light Panels WiFi Controller w PSU and AC Cable (Spare Part)</t>
  </si>
  <si>
    <t>NF059A05-1PS75W</t>
  </si>
  <si>
    <t>NANOLEAF Lines  75W Plug-In PSU  New Power Connector</t>
  </si>
  <si>
    <t>NF059P05-1PSU</t>
  </si>
  <si>
    <t>NANOLEAF Lines 42W PSU + New Power Connector</t>
  </si>
  <si>
    <t>NC59-0105</t>
  </si>
  <si>
    <t>NANOLEAF Lines 60 Degrees 42W Power Supply</t>
  </si>
  <si>
    <t>NL59A05-1PS75</t>
  </si>
  <si>
    <t>NANOLEAF Lines 60 Degrees 75W Plug-In Power Supply</t>
  </si>
  <si>
    <t>NL59-E-0001LW-3PK</t>
  </si>
  <si>
    <t>NANOLEAF Lines 60 Degrees Expansion Pack - 3 Pack</t>
  </si>
  <si>
    <t>NC59-0004</t>
  </si>
  <si>
    <t>NANOLEAF Lines 60 Degrees Flexible Connector 3pcs</t>
  </si>
  <si>
    <t>NL59-K-6005LW-15PK</t>
  </si>
  <si>
    <t>NANOLEAF Lines 60 Degrees Starter Kit - 15 Pack</t>
  </si>
  <si>
    <t>NL59-K-0005LW-9PK</t>
  </si>
  <si>
    <t>NANOLEAF Lines 60 Degrees Starter Kit - 9 Pack</t>
  </si>
  <si>
    <t>NL59E00-3SN00</t>
  </si>
  <si>
    <t>NANOLEAF Lines 90 Degrees Squared Expansion - 3 Pack</t>
  </si>
  <si>
    <t>NL59K05-4SN00</t>
  </si>
  <si>
    <t>NANOLEAF Lines 90 Degrees Squared Starter Kit - 4 Pack</t>
  </si>
  <si>
    <t>NC59-0025</t>
  </si>
  <si>
    <t>NANOLEAF Lines Mounting Tape 25pcs</t>
  </si>
  <si>
    <t>NF059A00-3FC</t>
  </si>
  <si>
    <t>NANOLEAF Lines New Flexible Connector 3pcs</t>
  </si>
  <si>
    <t>NL59-0001BM-9PK</t>
  </si>
  <si>
    <t>NANOLEAF Lines Skin (Matte Black) - 9 Pack</t>
  </si>
  <si>
    <t>NL59-0001PM-9PK</t>
  </si>
  <si>
    <t>NANOLEAF Lines Skin (Matte Pink) - 9 Pack</t>
  </si>
  <si>
    <t>NF084E00-20SLO</t>
  </si>
  <si>
    <t>NANOLEAF Matter Smart Multicolour Outdoor String Light Expansion - 15m</t>
  </si>
  <si>
    <t>NF084K05-20SLO</t>
  </si>
  <si>
    <t>NANOLEAF Matter Smart Multicolour Outdoor String Light Smarter Kit - 15m</t>
  </si>
  <si>
    <t>NF084K05-40SLO</t>
  </si>
  <si>
    <t>NANOLEAF Matter Smart Multicolour Outdoor String Light Smarter Kit - 30m</t>
  </si>
  <si>
    <t>N7204K05-1FL</t>
  </si>
  <si>
    <t>NANOLEAF Multicolour Floor Lamp</t>
  </si>
  <si>
    <t>N7401E00-5POL</t>
  </si>
  <si>
    <t>NANOLEAF Permanent Outdoor Light Expansion - 5m</t>
  </si>
  <si>
    <t>N7401K05-15POL</t>
  </si>
  <si>
    <t>NANOLEAF Permanent Outdoor Light Starter Kit - 15m</t>
  </si>
  <si>
    <t>N7401K05-30POL</t>
  </si>
  <si>
    <t>NANOLEAF Permanent Outdoor Light Starter Kit - 30m</t>
  </si>
  <si>
    <t>N4400C02-1BUT</t>
  </si>
  <si>
    <t>NANOLEAF Sense+ Wireless Smart Light Switch - White</t>
  </si>
  <si>
    <t>NC04-0055</t>
  </si>
  <si>
    <t>NANOLEAF Shapes 42W Power Supply</t>
  </si>
  <si>
    <t>NC04-0077</t>
  </si>
  <si>
    <t>NANOLEAF Shapes 75W ANZ In-Wall Power Supply</t>
  </si>
  <si>
    <t>NC04-0075</t>
  </si>
  <si>
    <t>NANOLEAF Shapes 75W ANZ Plug in Power Supply</t>
  </si>
  <si>
    <t>NG02-00029</t>
  </si>
  <si>
    <t>Nanoleaf Shapes Display</t>
  </si>
  <si>
    <t>NC04-0043</t>
  </si>
  <si>
    <t>NANOLEAF Shapes Double-sided Tape (25 pack)</t>
  </si>
  <si>
    <t>NC04-0070</t>
  </si>
  <si>
    <t>NANOLEAF Shapes Flexible linkers - 3 Pack</t>
  </si>
  <si>
    <t>NL42-0001HX-3PK</t>
  </si>
  <si>
    <t>NANOLEAF Shapes Hexagon Expansion - 3 Pack</t>
  </si>
  <si>
    <t>NL42-5005HX-5PK</t>
  </si>
  <si>
    <t>NANOLEAF Shapes Hexagon Starter Kit - 5 Pack</t>
  </si>
  <si>
    <t>NL42-0005HX-9PK</t>
  </si>
  <si>
    <t>NANOLEAF Shapes Hexagon Starter Kit - 9 Pack</t>
  </si>
  <si>
    <t>NL42-6005HX-15PK</t>
  </si>
  <si>
    <t>NANOLEAF Shapes Hexagons Starter Kit - 15 Pack</t>
  </si>
  <si>
    <t>NC04-0044</t>
  </si>
  <si>
    <t>NANOLEAF Shapes Mounting Plate + Tape (9 Pack)</t>
  </si>
  <si>
    <t>NC04-0042</t>
  </si>
  <si>
    <t>NANOLEAF Shapes Rigid linkers - 9 Pack</t>
  </si>
  <si>
    <t>NL47-0001TW-3PK</t>
  </si>
  <si>
    <t>NANOLEAF Shapes Triangles Expansion - 3 Pack</t>
  </si>
  <si>
    <t>NL47-0101TW-3PK</t>
  </si>
  <si>
    <t>NANOLEAF Shapes Triangles Expansion - 3 Pack (Black)</t>
  </si>
  <si>
    <t>NL48-1001TW-10PK</t>
  </si>
  <si>
    <t>NANOLEAF Shapes Triangles Mini Expansion - 10 Pack</t>
  </si>
  <si>
    <t>NL48-5005TW-5PK</t>
  </si>
  <si>
    <t>NANOLEAF Shapes Triangles Mini Starter Kit - 5 Pack</t>
  </si>
  <si>
    <t>NL48-0005TW-9PK</t>
  </si>
  <si>
    <t>NANOLEAF Shapes Triangles Mini Starter Kit - 9 Pack</t>
  </si>
  <si>
    <t>NL47-6005TW-15PK</t>
  </si>
  <si>
    <t>NANOLEAF Shapes Triangles Starter Kit - 15 Pack</t>
  </si>
  <si>
    <t>NL47-2005TW-4PK</t>
  </si>
  <si>
    <t>NANOLEAF Shapes Triangles Starter Kit - 4 Pack</t>
  </si>
  <si>
    <t>NL47-0005TW-9PK</t>
  </si>
  <si>
    <t>NANOLEAF Shapes Triangles Starter Kit - 9 Pack</t>
  </si>
  <si>
    <t>NL47-0105TW-9PK</t>
  </si>
  <si>
    <t>NANOLEAF Shapes Triangles Starter Kit - 9 Pack (Black)</t>
  </si>
  <si>
    <t>NF083E00-1SL</t>
  </si>
  <si>
    <t>NANOLEAF Sky Light Expansion - 1 Pack</t>
  </si>
  <si>
    <t>NF083K02-3SL</t>
  </si>
  <si>
    <t>NANOLEAF Sky Light Starter Kit - 3 Pack</t>
  </si>
  <si>
    <t>N7206K05-1LS</t>
  </si>
  <si>
    <t>NANOLEAF Smart Multicolour Rope Light - 5m</t>
  </si>
  <si>
    <t>R-NL42-0005HX-9PK</t>
  </si>
  <si>
    <t>Refurbished - NANOLEAF Shapes Hexagon Starter Kit - 9 Pack</t>
  </si>
  <si>
    <t>R-NL47-0005TW-9PK</t>
  </si>
  <si>
    <t>Refurbished - NANOLEAF Shapes Triangles Starter Kit - 9 Pack</t>
  </si>
  <si>
    <t>NETATMO</t>
  </si>
  <si>
    <t>NIM01-WW</t>
  </si>
  <si>
    <t>NETATMO Additional Smart Indoor Module for Weather Station</t>
  </si>
  <si>
    <t>NHC-P2-OPERTO</t>
  </si>
  <si>
    <t>NETATMO Healthy Home Coach- Operto Stock Only</t>
  </si>
  <si>
    <t>NWM01-WW</t>
  </si>
  <si>
    <t>NETATMO Mounting Bracket for Wind &amp; Rain Gauge</t>
  </si>
  <si>
    <t>NOM01-WW</t>
  </si>
  <si>
    <t>NETATMO Outdoor Module Replacement [spare part]</t>
  </si>
  <si>
    <t>NRG01-WW</t>
  </si>
  <si>
    <t>NETATMO Rain Gauge for Weather Station</t>
  </si>
  <si>
    <t>DTG-P</t>
  </si>
  <si>
    <t>NETATMO Smart Door and Window Sensors - 3 Pack</t>
  </si>
  <si>
    <t>NWS01-P</t>
  </si>
  <si>
    <t>NETATMO Smart Home Weather Station</t>
  </si>
  <si>
    <t>NSC01-P</t>
  </si>
  <si>
    <t>NETATMO Smart Indoor Camera</t>
  </si>
  <si>
    <t>NIS01-P</t>
  </si>
  <si>
    <t>NETATMO Smart Indoor Siren</t>
  </si>
  <si>
    <t>NOC01-P2</t>
  </si>
  <si>
    <t>NETATMO Smart Outdoor Camera</t>
  </si>
  <si>
    <t>NOC-S-P</t>
  </si>
  <si>
    <t>NETATMO Smart Outdoor Camera with Siren</t>
  </si>
  <si>
    <t>NOC-S-W-P</t>
  </si>
  <si>
    <t>NETATMO Smart Outdoor Camera with Siren (White)</t>
  </si>
  <si>
    <t>NDB-P</t>
  </si>
  <si>
    <t>NETATMO Smart Video Doorbell</t>
  </si>
  <si>
    <t>NWA01-WW</t>
  </si>
  <si>
    <t>NETATMO Smart Wind Gauge for Weather Station</t>
  </si>
  <si>
    <t>NUKI</t>
  </si>
  <si>
    <t>220799</t>
  </si>
  <si>
    <t>NUKI Smart Lock 3.0 (White)</t>
  </si>
  <si>
    <t>220802</t>
  </si>
  <si>
    <t>Nuki Smart Lock 3.0 Pro (White)</t>
  </si>
  <si>
    <t>NURA</t>
  </si>
  <si>
    <t>GSI00BB1400012</t>
  </si>
  <si>
    <t>NURA Nuraphone Wireless Over-the-Ear Headphones - MODEL i00B</t>
  </si>
  <si>
    <t>NVS CASES</t>
  </si>
  <si>
    <t>NSL-014</t>
  </si>
  <si>
    <t>NVS Apollo Sleeve for 13" Devices (Black/Tan)</t>
  </si>
  <si>
    <t>NGL-014</t>
  </si>
  <si>
    <t>NVS Atom Glass for iPhone 11 Pro/ X/Xs</t>
  </si>
  <si>
    <t>NVS-8703</t>
  </si>
  <si>
    <t>NVS Edge Folio for Lenovo Tab M10 FHD (Black)</t>
  </si>
  <si>
    <t>15.00</t>
  </si>
  <si>
    <t>NVS-8701</t>
  </si>
  <si>
    <t>NVS Edge Folio for Lenovo Tab M7 (Black)</t>
  </si>
  <si>
    <t>NVS-8702</t>
  </si>
  <si>
    <t>NVS Edge Folio for Lenovo Tab M8 HD (Black)</t>
  </si>
  <si>
    <t>NFS-021</t>
  </si>
  <si>
    <t>NVS Folio Stand for iPad Pro 10.5" / Air 10.5" (Black)</t>
  </si>
  <si>
    <t>OSMO</t>
  </si>
  <si>
    <t>901-00021</t>
  </si>
  <si>
    <t>OSMO Coding Starter Kit</t>
  </si>
  <si>
    <t>40.90</t>
  </si>
  <si>
    <t>901-00012</t>
  </si>
  <si>
    <t>OSMO Creative Starter Kit</t>
  </si>
  <si>
    <t>901-00011</t>
  </si>
  <si>
    <t>OSMO Genius Starter Kit</t>
  </si>
  <si>
    <t>905-00020</t>
  </si>
  <si>
    <t>OSMO Grab &amp; Go Storage Case - Small</t>
  </si>
  <si>
    <t>4.08</t>
  </si>
  <si>
    <t>901-00010</t>
  </si>
  <si>
    <t>OSMO Little Genius Starter Kit</t>
  </si>
  <si>
    <t>901-00023</t>
  </si>
  <si>
    <t>OSMO Pizza Co. Starter Kit</t>
  </si>
  <si>
    <t>24.54</t>
  </si>
  <si>
    <t>901-00029</t>
  </si>
  <si>
    <t>OSMO Super Studio Disney Princess Starter Kit</t>
  </si>
  <si>
    <t>901-00016</t>
  </si>
  <si>
    <t>OSMO Super Studio Frozen 2 Kit</t>
  </si>
  <si>
    <t>OUTIN</t>
  </si>
  <si>
    <t>OTEM-01-SG</t>
  </si>
  <si>
    <t>Outin Nano Portable Electric Espresso Machine - Space Grey</t>
  </si>
  <si>
    <t>PAPERLIKE</t>
  </si>
  <si>
    <t>PL3-10-19</t>
  </si>
  <si>
    <t>Paperlike 3 for iPad 10.2" (2019, 2020 &amp; 2021)</t>
  </si>
  <si>
    <t>PL3-10-22</t>
  </si>
  <si>
    <t>Paperlike 3 for iPad 11" (A16 2025) &amp; iPad 10.9" (2022-2024)</t>
  </si>
  <si>
    <t>PL3-10-24</t>
  </si>
  <si>
    <t>PL3-08-21</t>
  </si>
  <si>
    <t>Paperlike 3 for iPad Mini (2021)</t>
  </si>
  <si>
    <t>PL3-11-18</t>
  </si>
  <si>
    <t>Paperlike 3 for iPad Pro 11" &amp; iPad Air 10.9"</t>
  </si>
  <si>
    <t>PL3-11-24</t>
  </si>
  <si>
    <t>PL3-12-18</t>
  </si>
  <si>
    <t>PL3-13-24</t>
  </si>
  <si>
    <t>PL-APT-CB-25</t>
  </si>
  <si>
    <t>Paperlike Pencil Tips (4-pack)</t>
  </si>
  <si>
    <t>PL2-10-19</t>
  </si>
  <si>
    <t>PAPERLIKE Screen Protector for iPad 10.2" (2018/2020/2021)</t>
  </si>
  <si>
    <t>PL2-08-21</t>
  </si>
  <si>
    <t>PAPERLIKE Screen Protector for iPad Mini 6 (2021)</t>
  </si>
  <si>
    <t>PL2-11-18</t>
  </si>
  <si>
    <t>PAPERLIKE Screen Protector for iPad Pro 11" &amp; iPad Air 10.9"</t>
  </si>
  <si>
    <t>PL2-12-18</t>
  </si>
  <si>
    <t>PAPERLIKE Screen Protector for iPad Pro 12.9" (2018/2020/2021)</t>
  </si>
  <si>
    <t>PL2A-10-19</t>
  </si>
  <si>
    <t>PAPERLIKE Screen Protector v2.1 for iPad 10.2" (2 Pack)</t>
  </si>
  <si>
    <t>PL2A-10-22</t>
  </si>
  <si>
    <t>PAPERLIKE Screen Protector v2.1 for iPad 11” 2025 &amp; iPad 10.9” 2022-2024 (2 Pack)</t>
  </si>
  <si>
    <t>PL2A-10-24</t>
  </si>
  <si>
    <t>PAPERLIKE Screen Protector v2.1 for iPad Air 11” 2024 &amp; 2025 (2 Pack)</t>
  </si>
  <si>
    <t>PL2A-12-24</t>
  </si>
  <si>
    <t>PAPERLIKE Screen Protector v2.1 for iPad Air 13” 2024 (2 Pack)</t>
  </si>
  <si>
    <t>PL2A-08-21</t>
  </si>
  <si>
    <t>PAPERLIKE Screen Protector v2.1 for iPad Mini 8.3” 2021 &amp; 2024 (2 Pack)</t>
  </si>
  <si>
    <t>PL2A-11-18</t>
  </si>
  <si>
    <t>PAPERLIKE Screen Protector v2.1 for iPad Pro 11" &amp; iPad Air 10.9" (2 Pack)</t>
  </si>
  <si>
    <t>PL2A-11-24</t>
  </si>
  <si>
    <t>PAPERLIKE Screen Protector v2.1 for iPad Pro 11" (M4, 2024) (2 Pack)</t>
  </si>
  <si>
    <t>PL2A-12-18</t>
  </si>
  <si>
    <t>PAPERLIKE Screen Protector v2.1 for iPad Pro 12.9" (2 Pack)</t>
  </si>
  <si>
    <t>PL2A-13-24</t>
  </si>
  <si>
    <t>PAPERLIKE Screen Protector v2.1 for iPad Pro 13" (M4, 2024) (2 Pack)</t>
  </si>
  <si>
    <t>POINT OF SALE DISPLAY</t>
  </si>
  <si>
    <t>SD01POP1</t>
  </si>
  <si>
    <t>SPHERO Specdrums POP</t>
  </si>
  <si>
    <t>PYROLUX</t>
  </si>
  <si>
    <t>11781</t>
  </si>
  <si>
    <t>PYROLUX PYROCHEF R/FR/OVEN 20CM/2L O/BLU</t>
  </si>
  <si>
    <t>ROLI</t>
  </si>
  <si>
    <t>ROL-002417</t>
  </si>
  <si>
    <t>ROLI Lightpad Block M Studio Edition</t>
  </si>
  <si>
    <t>ROL-001218</t>
  </si>
  <si>
    <t>ROLI Loop Block</t>
  </si>
  <si>
    <t>ROL-001143</t>
  </si>
  <si>
    <t>ROLI Touch Block</t>
  </si>
  <si>
    <t>SATECHI</t>
  </si>
  <si>
    <t>ST-TC100GM-AU</t>
  </si>
  <si>
    <t>SATECHI 100W USB-C PD GaN Compact Charger</t>
  </si>
  <si>
    <t>ST-UC100WSM</t>
  </si>
  <si>
    <t>SATECHI 100W USB-C PD GaN Wall Charger</t>
  </si>
  <si>
    <t>ST-TC108WM</t>
  </si>
  <si>
    <t>SATECHI 108W Multiport Desktop Charger (Space Grey)</t>
  </si>
  <si>
    <t>ST-P3D13K</t>
  </si>
  <si>
    <t>SATECHI 13-in-1 USB-C Triple Display Multiport Adapter (Black)</t>
  </si>
  <si>
    <t>ST-W145GTM</t>
  </si>
  <si>
    <t>SATECHI 145W USB-C 4-Port GaN Travel Charger (Space Grey)</t>
  </si>
  <si>
    <t>ST-UC165GM-AU</t>
  </si>
  <si>
    <t>SATECHI 165W USB-C 4-Port PD GaN Charger</t>
  </si>
  <si>
    <t>ST-UCHSMCM</t>
  </si>
  <si>
    <t>SATECHI 2 in 1 Headphone Stand with Wireless Charger</t>
  </si>
  <si>
    <t>ST-Q21FM</t>
  </si>
  <si>
    <t>SATECHI 2-in-1 Foldable QI2 Wireless Charging Stand</t>
  </si>
  <si>
    <t>ST-C200GM-AU</t>
  </si>
  <si>
    <t>SATECHI 200W USB-C 6-port GaN Charger</t>
  </si>
  <si>
    <t>ST-Q31FM-AP</t>
  </si>
  <si>
    <t>SATECHI 3-in-1 Foldable QI2 Wireless Charging Stand</t>
  </si>
  <si>
    <t>ST-P4SK</t>
  </si>
  <si>
    <t>SATECHI 4-in-1 USB-C Slim Multiport Adapter 4K (Black)</t>
  </si>
  <si>
    <t>ST-P4SM</t>
  </si>
  <si>
    <t>SATECHI 4-in-1 USB-C Slim Multiport Adapter 4K (Space Grey)</t>
  </si>
  <si>
    <t>ST-H4CPDM</t>
  </si>
  <si>
    <t>SATECHI 4-Port USB-C Hub with PD (Space Grey)</t>
  </si>
  <si>
    <t>ST-U2C40CCM</t>
  </si>
  <si>
    <t>SATECHI 40W Dual USB-C PD Car Charger (Space Grey)</t>
  </si>
  <si>
    <t>ST-P6SK</t>
  </si>
  <si>
    <t>SATECHI 6-in-1 USB-C Slim Multiport Adapter 4K (Black)</t>
  </si>
  <si>
    <t>ST-P6SM</t>
  </si>
  <si>
    <t>SATECHI 6-in-1 USB-C Slim Multiport Adapter 4K (Space Grey)</t>
  </si>
  <si>
    <t>ST-P7SK</t>
  </si>
  <si>
    <t>SATECHI 7-in-1 USB-C Slim Multiport Adapter 4K (Black)</t>
  </si>
  <si>
    <t>ST-P7SM</t>
  </si>
  <si>
    <t>SATECHI 7-in-1 USB-C Slim Multiport Adapter 4K (Space Grey)</t>
  </si>
  <si>
    <t>ST-TCPDCCM</t>
  </si>
  <si>
    <t>SATECHI 72W USB-C PD Car Charger (Space Grey)</t>
  </si>
  <si>
    <t>ST-8KHC2MM</t>
  </si>
  <si>
    <t>SATECHI 8K Ultra HD HDMI 2.1 Cable - 2m</t>
  </si>
  <si>
    <t>ST-UC4PHM</t>
  </si>
  <si>
    <t>SATECHI Aluminium 4 Port USB-C Hub (Space Grey)</t>
  </si>
  <si>
    <t>ST-ADSIM</t>
  </si>
  <si>
    <t>SATECHI Aluminium Desktop Stand for iPad Pro (Space Grey)</t>
  </si>
  <si>
    <t>ST-ALTSM</t>
  </si>
  <si>
    <t>SATECHI Aluminium Laptop Stand (Space Grey)</t>
  </si>
  <si>
    <t>ST-AMSHS</t>
  </si>
  <si>
    <t>SATECHI Aluminium Monitor Stand Hub for iMac (Silver)</t>
  </si>
  <si>
    <t>ST-AMSHM</t>
  </si>
  <si>
    <t>SATECHI Aluminium Monitor Stand Hub for iMac (Space Grey)</t>
  </si>
  <si>
    <t>ST-ABHFS</t>
  </si>
  <si>
    <t>SATECHI Aluminium Stand and Hub for Mac Mini (Silver)</t>
  </si>
  <si>
    <t>ST-ABHFM</t>
  </si>
  <si>
    <t>SATECHI Aluminium Stand and Hub for Mac Mini (Space Grey)</t>
  </si>
  <si>
    <t>ST-TCSHIPM</t>
  </si>
  <si>
    <t>SATECHI Aluminium Stand Hub For iPad Pro &amp; Selected Tablets (Space Grey)</t>
  </si>
  <si>
    <t>ST-TAUCS</t>
  </si>
  <si>
    <t>SATECHI Aluminium USB-A to USB-C Adapter (Silver)</t>
  </si>
  <si>
    <t>ST-TAUCM</t>
  </si>
  <si>
    <t>SATECHI Aluminium USB-A to USB-C Adapter (Space Grey)</t>
  </si>
  <si>
    <t>ST-AMWKM</t>
  </si>
  <si>
    <t>SATECHI Aluminium Wired USB-A Keyboard (Grey)</t>
  </si>
  <si>
    <t>ST-XLABKS</t>
  </si>
  <si>
    <t>SATECHI Bluetooth Extended Keypad (Silver)</t>
  </si>
  <si>
    <t>ST-XLABKM</t>
  </si>
  <si>
    <t>SATECHI Bluetooth Extended Keypad (Space Grey)</t>
  </si>
  <si>
    <t>ST-AWUCMM</t>
  </si>
  <si>
    <t>SATECHI C1 USB-C Wired Mouse  (Space Grey)</t>
  </si>
  <si>
    <t>ST-WCS5PM</t>
  </si>
  <si>
    <t>SATECHI Dock5 Multi-Device Charging Station with Wireless Charging</t>
  </si>
  <si>
    <t>ST-HSP9P</t>
  </si>
  <si>
    <t>SATECHI Dual USB-C Hub For Surface Pro 9 (Platinum)</t>
  </si>
  <si>
    <t>ST-ADVSM</t>
  </si>
  <si>
    <t>SATECHI Dual Vertical Laptop Stand (Space Grey)</t>
  </si>
  <si>
    <t>ST-MBAM2CL</t>
  </si>
  <si>
    <t>SATECHI Eco Hardshell Case for MacBook Air 13" M2, M3 &amp; M4 (Clear)</t>
  </si>
  <si>
    <t>ST-MBAM2DR</t>
  </si>
  <si>
    <t>SATECHI Eco Hardshell Case for MacBook Air 13" M2, M3 &amp; M4 (Dark)</t>
  </si>
  <si>
    <t>ST-MBP14CL</t>
  </si>
  <si>
    <t>SATECHI Eco Hardshell Case for MacBook Pro 14" (Clear)</t>
  </si>
  <si>
    <t>ST-MBP14DR</t>
  </si>
  <si>
    <t>SATECHI Eco Hardshell Case for MacBook Pro 14" (Dark)</t>
  </si>
  <si>
    <t>ST-MBP16CL</t>
  </si>
  <si>
    <t>SATECHI Eco Hardshell Case for MacBook Pro 16" (Clear)</t>
  </si>
  <si>
    <t>ST-MBP16DR</t>
  </si>
  <si>
    <t>SATECHI Eco Hardshell Case for MacBook Pro 16" (Dark)</t>
  </si>
  <si>
    <t>ST-LFAWCK</t>
  </si>
  <si>
    <t>SATECHI FindAll Card (Black)</t>
  </si>
  <si>
    <t>ST-ABTCMB</t>
  </si>
  <si>
    <t>SATECHI M1 Bluetooth Wireless Mouse (Blue)</t>
  </si>
  <si>
    <t>ST-ABTCMS</t>
  </si>
  <si>
    <t>SATECHI M1 Bluetooth Wireless Mouse (Silver)</t>
  </si>
  <si>
    <t>ST-ABTCMM</t>
  </si>
  <si>
    <t>SATECHI M1 Bluetooth Wireless Mouse (Space Grey)</t>
  </si>
  <si>
    <t>ST-GNMMES</t>
  </si>
  <si>
    <t>SATECHI Mac Mini M4 Stand &amp; Hub with SSD Enclosure (Silver)</t>
  </si>
  <si>
    <t>ST-VLWK</t>
  </si>
  <si>
    <t>SATECHI Magnetic Wallet Stand (Black)</t>
  </si>
  <si>
    <t>ST-VLWB</t>
  </si>
  <si>
    <t>SATECHI Magnetic Wallet Stand (Blue)</t>
  </si>
  <si>
    <t>ST-MCMWCM</t>
  </si>
  <si>
    <t>SATECHI Magnetic Wireless Car Charger (Space Grey)</t>
  </si>
  <si>
    <t>ST-HXRAJM</t>
  </si>
  <si>
    <t>SATECHI Mobile XR Hub with Audio (Space Grey)</t>
  </si>
  <si>
    <t>ST-HXRSDM</t>
  </si>
  <si>
    <t>SATECHI Mobile XR Hub with microSD (Space Grey)</t>
  </si>
  <si>
    <t>CT-ZMX3M</t>
  </si>
  <si>
    <t>SATECHI MX3 Keyboard and Mouse Combo (Space Grey)</t>
  </si>
  <si>
    <t>ST-QTG21K</t>
  </si>
  <si>
    <t>SATECHI OntheGo 2-in-1 Wireless Charger (Black)</t>
  </si>
  <si>
    <t>ST-QTG21W</t>
  </si>
  <si>
    <t>SATECHI OntheGo 2-in-1 Wireless Charger (Sand)</t>
  </si>
  <si>
    <t>ST-QTG31K</t>
  </si>
  <si>
    <t>SATECHI OntheGo 3-in-1 Wireless Charger (Black)</t>
  </si>
  <si>
    <t>ST-QTG31R</t>
  </si>
  <si>
    <t>SATECHI OntheGo 3-in-1 Wireless Charger (Desert Rose)</t>
  </si>
  <si>
    <t>ST-QTG31W</t>
  </si>
  <si>
    <t>SATECHI OntheGo 3-in-1 Wireless Charger (Sand)</t>
  </si>
  <si>
    <t>ST-KOTGK-EN</t>
  </si>
  <si>
    <t>SATECHI OntheGo Keyboard (Black)</t>
  </si>
  <si>
    <t>ST-KOTGW-EN</t>
  </si>
  <si>
    <t>SATECHI OntheGo Keyboard (Sand)</t>
  </si>
  <si>
    <t>ST-MOTGK</t>
  </si>
  <si>
    <t>SATECHI OntheGo Mouse (Black)</t>
  </si>
  <si>
    <t>ST-MOTGW</t>
  </si>
  <si>
    <t>SATECHI OntheGo Mouse (Sand)</t>
  </si>
  <si>
    <t>ST-LOTGLK</t>
  </si>
  <si>
    <t>SATECHI OntheGo USB-C Lanyard Cable 60W (Black)</t>
  </si>
  <si>
    <t>ST-Q2CCM</t>
  </si>
  <si>
    <t>SATECHI Qi2 Wireless Car Charger (Space Grey)</t>
  </si>
  <si>
    <t>ST-UC10WPBM</t>
  </si>
  <si>
    <t>SATECHI Quatro Wireless Power Bank</t>
  </si>
  <si>
    <t>ST-R1M</t>
  </si>
  <si>
    <t>SATECHI R1 Adjustable Mobile Stand (Space Grey)</t>
  </si>
  <si>
    <t>ST-UCSW1M</t>
  </si>
  <si>
    <t>SATECHI Slim W1 USB-C Wired Keyboard (Space Grey)</t>
  </si>
  <si>
    <t>ST-UCSW3M</t>
  </si>
  <si>
    <t>SATECHI Slim W3 USB-C Wired Keyboard (Space Grey)</t>
  </si>
  <si>
    <t>ST-BTSX1M</t>
  </si>
  <si>
    <t>SATECHI Slim X1 Bluetooth Keyboard (Space Grey)</t>
  </si>
  <si>
    <t>ST-BTSX2M</t>
  </si>
  <si>
    <t>SATECHI Slim X2 Bluetooth Backlit Keyboard</t>
  </si>
  <si>
    <t>ST-BTSX3M</t>
  </si>
  <si>
    <t>SATECHI Slim X3 Bluetooth Keyboard (Space Grey)</t>
  </si>
  <si>
    <t>ST-KSM1DK-EN</t>
  </si>
  <si>
    <t>SATECHI SM1 Slim Mechanical Backlit BT/2.4Ghz Keyboard (Dark)</t>
  </si>
  <si>
    <t>ST-KSM1LT-EN</t>
  </si>
  <si>
    <t>SATECHI SM1 Slim Mechanical Backlit BT/2.4Ghz Keyboard (Light)</t>
  </si>
  <si>
    <t>ST-KSM3DK-EN</t>
  </si>
  <si>
    <t>SATECHI SM3 Slim Mechanical Backlit Bluetooth Keyboard (Dark)</t>
  </si>
  <si>
    <t>ST-KSM3LT-EN</t>
  </si>
  <si>
    <t>SATECHI SM3 Slim Mechanical Backlit Bluetooth Keyboard (Light)</t>
  </si>
  <si>
    <t>ST-YTB100K</t>
  </si>
  <si>
    <t>SATECHI Thunderbolt 4 Pro Cable 1m (Space Grey)</t>
  </si>
  <si>
    <t>ST-T4SHM-AU</t>
  </si>
  <si>
    <t>SATECHI Thunderbolt 4 Slim Hub</t>
  </si>
  <si>
    <t>ST-X3TWCPM</t>
  </si>
  <si>
    <t>SATECHI Trio Wireless Charging Pad (Space Grey)</t>
  </si>
  <si>
    <t>ST-TC4KHAM</t>
  </si>
  <si>
    <t>SATECHI Type-C to 4K HDMI Adaptor (Space Grey)</t>
  </si>
  <si>
    <t>ST-TCENM</t>
  </si>
  <si>
    <t>SATECHI Type-C to Ethernet Adaptor (Space Grey)</t>
  </si>
  <si>
    <t>ST-TC2N1USB31AM</t>
  </si>
  <si>
    <t>SATECHI USB-C 2-in-1 3 Port USB 3.0 Hub &amp; Ethernet (Space Grey)</t>
  </si>
  <si>
    <t>ST-UCICHS</t>
  </si>
  <si>
    <t>SATECHI USB-C Clamp Hub for 24" iMac (Silver)</t>
  </si>
  <si>
    <t>ST-TCHCRM</t>
  </si>
  <si>
    <t>SATECHI USB-C Combo Hub for Desktop (Space Grey)</t>
  </si>
  <si>
    <t>ST-DDSM</t>
  </si>
  <si>
    <t>SATECHI USB-C Dual Dock Stand (Space Grey)</t>
  </si>
  <si>
    <t>ST-QCAWM</t>
  </si>
  <si>
    <t>SATECHI USB-C Fast Charging Cable for Apple Watch (Space Grey)</t>
  </si>
  <si>
    <t>ST-UCHSEK</t>
  </si>
  <si>
    <t>SATECHI USB-C Hybrid Multiport Adapter with SSD Enclosure (Black)</t>
  </si>
  <si>
    <t>ST-UCHSEM</t>
  </si>
  <si>
    <t>SATECHI USB-C Hybrid Multiport Adapter with SSD Enclosure (Space Grey)</t>
  </si>
  <si>
    <t>ST-E2230M</t>
  </si>
  <si>
    <t>SATECHI USB-C Mini NVMe SSD Enclosure (Space Grey)</t>
  </si>
  <si>
    <t>ST-TCMPHS</t>
  </si>
  <si>
    <t>SATECHI USB-C Mobile Pro Hub (Silver)</t>
  </si>
  <si>
    <t>ST-TCMPHM</t>
  </si>
  <si>
    <t>SATECHI USB-C Mobile Pro Hub (Space Grey)</t>
  </si>
  <si>
    <t>ST-TCMA2S</t>
  </si>
  <si>
    <t>SATECHI USB-C Multi-Port Adapter 4K Ethernet V2 (Silver)</t>
  </si>
  <si>
    <t>ST-TCMA2M</t>
  </si>
  <si>
    <t>SATECHI USB-C Multi-Port Adapter 4K Ethernet V2 (Space Grey)</t>
  </si>
  <si>
    <t>ST-UCM1HM</t>
  </si>
  <si>
    <t>SATECHI USB-C Multimedia Adapter M1</t>
  </si>
  <si>
    <t>ST-U4MA3M</t>
  </si>
  <si>
    <t>SATECHI USB-C Multiport  USB4 Adapter with 8k HDMI (Space Grey)</t>
  </si>
  <si>
    <t>ST-P8KEM</t>
  </si>
  <si>
    <t>SATECHI USB-C Multiport Adapter 8K with Ethernet V3 (Space Grey)</t>
  </si>
  <si>
    <t>ST-UCMXAM</t>
  </si>
  <si>
    <t>SATECHI USB-C Multiport MX Adapter (Space Grey)</t>
  </si>
  <si>
    <t>ST-UCNSEM</t>
  </si>
  <si>
    <t>SATECHI USB-C NVMe and SATA SSD Enclosure (Space Grey)</t>
  </si>
  <si>
    <t>ST-UCPHMIM</t>
  </si>
  <si>
    <t>SATECHI USB-C Pro Hub Mini Adapter (Space Grey)</t>
  </si>
  <si>
    <t>ST-CMAM</t>
  </si>
  <si>
    <t>SATECHI USB-C Slim Multiport Adapter v1 (Space Grey)</t>
  </si>
  <si>
    <t>ST-UCSMA3K</t>
  </si>
  <si>
    <t>SATECHI USB-C Slim Multiport Adapter with Ethernet v3 (Black)</t>
  </si>
  <si>
    <t>ST-UCAPDAM</t>
  </si>
  <si>
    <t>SATECHI USB-C to 3.5mm Audio &amp; PD Adapter (Space Grey)</t>
  </si>
  <si>
    <t>ST-CHDMIM</t>
  </si>
  <si>
    <t>SATECHI USB-C to 4K HDMI Cable (Space Grey)</t>
  </si>
  <si>
    <t>ST-TCL18M</t>
  </si>
  <si>
    <t>SATECHI USB-C to Lightning Charging Cable - 1.8m (Space Grey)</t>
  </si>
  <si>
    <t>ST-TCL10M</t>
  </si>
  <si>
    <t>SATECHI USB-C to Lightning Short Cable - 25cm (Space Grey)</t>
  </si>
  <si>
    <t>ST-UCATCM</t>
  </si>
  <si>
    <t>SATECHI USB-C to USB 3.0 Adapter</t>
  </si>
  <si>
    <t>ST-TCC2MM</t>
  </si>
  <si>
    <t>SATECHI USB-C to USB-C 100W Charging Cable - 2m (Space Grey)</t>
  </si>
  <si>
    <t>ST-TCC10M</t>
  </si>
  <si>
    <t>SATECHI USB-C to USB-C Short Cable - 25cm (Space Grey)</t>
  </si>
  <si>
    <t>ST-TCUPM</t>
  </si>
  <si>
    <t>SATECHI USB-C USB Passthrough Hub (Space Grey)</t>
  </si>
  <si>
    <t>ST-U4MGEM</t>
  </si>
  <si>
    <t>SATECHI USB4 Multiport Adapter with 2.5G Ethernet (Space Grey)</t>
  </si>
  <si>
    <t>ST-YU4120K</t>
  </si>
  <si>
    <t>SATECHI USB4 Pro Cable 1.2m (Black)</t>
  </si>
  <si>
    <t>ST-YU4120M</t>
  </si>
  <si>
    <t>SATECHI USB4 Pro Cable 1.2m (Space Grey)</t>
  </si>
  <si>
    <t>ST-U4C25M</t>
  </si>
  <si>
    <t>SATECHI USB4 USB-C to USB-C 40Gbps Data / 100W Charging Cable - 25cm</t>
  </si>
  <si>
    <t>ST-U4C80M</t>
  </si>
  <si>
    <t>SATECHI USB4 USB-C to USB-C 40Gbps Data / 100W Charging Cable - 80cm</t>
  </si>
  <si>
    <t>ST-LFAGCK</t>
  </si>
  <si>
    <t>SATECHI Vegan-Leather FindAll Glasses Case (Black)</t>
  </si>
  <si>
    <t>ST-LFAGCW</t>
  </si>
  <si>
    <t>SATECHI Vegan-Leather FindAll Glasses Case (Sand)</t>
  </si>
  <si>
    <t>ST-LKCFK</t>
  </si>
  <si>
    <t>SATECHI Vegan-Leather FindAll Keychain (Black)</t>
  </si>
  <si>
    <t>ST-LKCFR</t>
  </si>
  <si>
    <t>SATECHI Vegan-Leather FindAll Keychain (Desert Rose)</t>
  </si>
  <si>
    <t>ST-LKCFW</t>
  </si>
  <si>
    <t>SATECHI Vegan-Leather FindAll Keychain (Sand)</t>
  </si>
  <si>
    <t>ST-LFALTK</t>
  </si>
  <si>
    <t>SATECHI Vegan-Leather FindAll Luggage Tag (Black)</t>
  </si>
  <si>
    <t>ST-LFALTW</t>
  </si>
  <si>
    <t>SATECHI Vegan-Leather FindAll Luggage Tag (Sand)</t>
  </si>
  <si>
    <t>ST-VPCK</t>
  </si>
  <si>
    <t>SATECHI Vegan-Leather FindAll Passport Cover (Black)</t>
  </si>
  <si>
    <t>ST-LPDMK</t>
  </si>
  <si>
    <t>SATECHI Vegan-Leather Premium Desk Mat (Black)</t>
  </si>
  <si>
    <t>ST-LPDMN</t>
  </si>
  <si>
    <t>SATECHI Vegan-Leather Premium Desk Mat (Brown)</t>
  </si>
  <si>
    <t>ST-LPDMB</t>
  </si>
  <si>
    <t>SATECHI Vegan-Leather Premium Desk Mat (Navy)</t>
  </si>
  <si>
    <t>ST-LMPK</t>
  </si>
  <si>
    <t>SATECHI Vegan-Leather Premium Mouse Pad (Black)</t>
  </si>
  <si>
    <t>ST-LMPN</t>
  </si>
  <si>
    <t>SATECHI Vegan-Leather Premium Mouse Pad (Brown)</t>
  </si>
  <si>
    <t>ST-LMPB</t>
  </si>
  <si>
    <t>SATECHI Vegan-Leather Premium Mouse Pad (Navy)</t>
  </si>
  <si>
    <t>ST-AMBKS</t>
  </si>
  <si>
    <t>SATECHI Wireless Keyboard for Mac (Silver)</t>
  </si>
  <si>
    <t>ST-AMBKM</t>
  </si>
  <si>
    <t>SATECHI Wireless Keyboard for Mac (Space Grey)</t>
  </si>
  <si>
    <t>SCANPAN</t>
  </si>
  <si>
    <t>19128</t>
  </si>
  <si>
    <t>SCANPAN 4 Piece Cheese Knife Set - Coloured/Grey</t>
  </si>
  <si>
    <t>18302</t>
  </si>
  <si>
    <t>SCANPAN 8L Pressure Cooker</t>
  </si>
  <si>
    <t>18191</t>
  </si>
  <si>
    <t>SCANPAN Bamboo Board 3 Piece Set</t>
  </si>
  <si>
    <t>18189</t>
  </si>
  <si>
    <t>SCANPAN Classic 10 Piece Knife Block Set</t>
  </si>
  <si>
    <t>18089</t>
  </si>
  <si>
    <t>SCANPAN Classic 15 Piece Knife Block Set</t>
  </si>
  <si>
    <t>17928</t>
  </si>
  <si>
    <t>SCANPAN Classic 2 Piece Fry Pan Set</t>
  </si>
  <si>
    <t>18054</t>
  </si>
  <si>
    <t>SCANPAN Classic 2 Piece Santoku Set</t>
  </si>
  <si>
    <t>18166</t>
  </si>
  <si>
    <t>SCANPAN Classic 3 Piece Knife Set</t>
  </si>
  <si>
    <t>18080</t>
  </si>
  <si>
    <t>SCANPAN Classic 4 Piece Knife Block Set</t>
  </si>
  <si>
    <t>18171</t>
  </si>
  <si>
    <t>SCANPAN Classic 5 Piece Knife Block Set</t>
  </si>
  <si>
    <t>18119</t>
  </si>
  <si>
    <t>SCANPAN Classic 6 Piece Knife Block Set</t>
  </si>
  <si>
    <t>18169</t>
  </si>
  <si>
    <t>SCANPAN Classic 6 Piece Magnetic Rack Set</t>
  </si>
  <si>
    <t>18127</t>
  </si>
  <si>
    <t>SCANPAN Classic 6 Piece Steak Knife Set</t>
  </si>
  <si>
    <t>18185</t>
  </si>
  <si>
    <t>SCANPAN Classic 7 Piece Knife Block Set</t>
  </si>
  <si>
    <t>18181</t>
  </si>
  <si>
    <t>SCANPAN Classic 7 Piece Step Knife Block Set</t>
  </si>
  <si>
    <t>18068</t>
  </si>
  <si>
    <t>SCANPAN Classic 8 Piece Eclipse Knife Block Set</t>
  </si>
  <si>
    <t>18187</t>
  </si>
  <si>
    <t>SCANPAN Classic 8 Piece Knife Block Set</t>
  </si>
  <si>
    <t>22548</t>
  </si>
  <si>
    <t>SCANPAN Classic Inox 3 Piece Saucepan Set</t>
  </si>
  <si>
    <t>26033</t>
  </si>
  <si>
    <t>SCANPAN Coppernox 3 Piece Saucepan Set</t>
  </si>
  <si>
    <t>26035</t>
  </si>
  <si>
    <t>SCANPAN Coppernox 5 Piece Set</t>
  </si>
  <si>
    <t>26018</t>
  </si>
  <si>
    <t>SCANPAN Coppernox Roaster with Rack - 42 x 26 x 10cm</t>
  </si>
  <si>
    <t>17195</t>
  </si>
  <si>
    <t>SCANPAN HaptIQ 16cm/1.8L Saucepan</t>
  </si>
  <si>
    <t>17196</t>
  </si>
  <si>
    <t>SCANPAN HaptIQ 18cm/2.5L Saucepan</t>
  </si>
  <si>
    <t>17197</t>
  </si>
  <si>
    <t>SCANPAN HaptIQ 20cm/3.5L Saucepan</t>
  </si>
  <si>
    <t>17202</t>
  </si>
  <si>
    <t>SCANPAN HaptIQ 24cm/4.8L Dutch Oven</t>
  </si>
  <si>
    <t>17199</t>
  </si>
  <si>
    <t>SCANPAN HaptIQ 28cm/2.5L Saute Pan</t>
  </si>
  <si>
    <t>17200</t>
  </si>
  <si>
    <t>SCANPAN HaptIQ 32cm Wok</t>
  </si>
  <si>
    <t>22040</t>
  </si>
  <si>
    <t>SCANPAN Impact 10 Piece Cookware Set</t>
  </si>
  <si>
    <t>22051</t>
  </si>
  <si>
    <t>SCANPAN Impact 2 Piece Frypan Set</t>
  </si>
  <si>
    <t>22094</t>
  </si>
  <si>
    <t>SCANPAN Impact 2 Piece Saucepan Set</t>
  </si>
  <si>
    <t>22033</t>
  </si>
  <si>
    <t>SCANPAN Impact 3 Piece Saucepan Set</t>
  </si>
  <si>
    <t>22036</t>
  </si>
  <si>
    <t>SCANPAN Impact 5 Piece Cookware Set</t>
  </si>
  <si>
    <t>22035</t>
  </si>
  <si>
    <t>SCANPAN Impact 5 Piece Cookware Starter Set</t>
  </si>
  <si>
    <t>22046</t>
  </si>
  <si>
    <t>SCANPAN Impact 6 Piece Cookware Set with Roaster</t>
  </si>
  <si>
    <t>18176</t>
  </si>
  <si>
    <t>SCANPAN Kalo 6 Piece Knife Block Set - Oak</t>
  </si>
  <si>
    <t>18177</t>
  </si>
  <si>
    <t>SCANPAN Kattegat 6 Piece Knife Block Set - Oak</t>
  </si>
  <si>
    <t>18877</t>
  </si>
  <si>
    <t>SCANPAN Kitchen Essentials Set - 6 Piece</t>
  </si>
  <si>
    <t>17731</t>
  </si>
  <si>
    <t>SCANPAN Large Roaster (44 x 32cm)</t>
  </si>
  <si>
    <t>18531</t>
  </si>
  <si>
    <t>SCANPAN Maitre D' 7 Piece Knife Block Oak</t>
  </si>
  <si>
    <t>17733</t>
  </si>
  <si>
    <t>SCANPAN Small Roaster (34 x 22cm)</t>
  </si>
  <si>
    <t>22134</t>
  </si>
  <si>
    <t>SCANPAN STS 2 Piece Frypan Set</t>
  </si>
  <si>
    <t>22132</t>
  </si>
  <si>
    <t>SCANPAN STS 2 Piece Saucepan Set</t>
  </si>
  <si>
    <t>22133</t>
  </si>
  <si>
    <t>SCANPAN STS 3 Piece Saucepan Set</t>
  </si>
  <si>
    <t>22135</t>
  </si>
  <si>
    <t>SCANPAN STS 5 Piece Cookware Set</t>
  </si>
  <si>
    <t>SPHERO</t>
  </si>
  <si>
    <t>750-0906</t>
  </si>
  <si>
    <t>SPHERO Blueprint Engineering Class Pack (5 Kits)</t>
  </si>
  <si>
    <t>750-0904</t>
  </si>
  <si>
    <t>SPHERO Blueprint Engineering Kit</t>
  </si>
  <si>
    <t>FC-BP</t>
  </si>
  <si>
    <t>SPHERO Blueprint Self-Guided PD Online Course</t>
  </si>
  <si>
    <t>740-0740</t>
  </si>
  <si>
    <t>740-0745</t>
  </si>
  <si>
    <t>K002ROW</t>
  </si>
  <si>
    <t>SPHERO BOLT</t>
  </si>
  <si>
    <t>PP02ROWE</t>
  </si>
  <si>
    <t>SPHERO BOLT Education Empty Power Pack (Case Only - No robots, no cradles)</t>
  </si>
  <si>
    <t>PP02ROW</t>
  </si>
  <si>
    <t>SPHERO BOLT Education Power Pack (15 robots)</t>
  </si>
  <si>
    <t>920-0700</t>
  </si>
  <si>
    <t>SPHERO BOLT+</t>
  </si>
  <si>
    <t>920-0903-UGBOLT</t>
  </si>
  <si>
    <t>SPHERO BOLT+ Edu Power Pack (15 robots) Upgrade from BOLT Power Pack</t>
  </si>
  <si>
    <t>920-0903-UGSPRK+</t>
  </si>
  <si>
    <t>SPHERO BOLT+ Edu Power Pack (15 robots) Upgrade from SPRK+ Power Pack</t>
  </si>
  <si>
    <t>920-0903</t>
  </si>
  <si>
    <t>SPHERO BOLT+ Education Power Pack (15 robots)</t>
  </si>
  <si>
    <t>FC-BOLT</t>
  </si>
  <si>
    <t>SPHERO BOLT+ Self-Guided PD Online Course</t>
  </si>
  <si>
    <t>920-0700-UGSPRK+</t>
  </si>
  <si>
    <t>SPHERO BOLT+ Upgrade from SPRK+</t>
  </si>
  <si>
    <t>ACH001BLU</t>
  </si>
  <si>
    <t>SPHERO Chariot (Blue)</t>
  </si>
  <si>
    <t>CODEMAT01</t>
  </si>
  <si>
    <t>SPHERO Code Mat "City &amp; Golf" 2-sided</t>
  </si>
  <si>
    <t>980-0544</t>
  </si>
  <si>
    <t>SPHERO Code Mat "indi Land &amp; Grid" 2-sided (includes Activity Cards)</t>
  </si>
  <si>
    <t>810-0230</t>
  </si>
  <si>
    <t>SPHERO Code Mat "Maze &amp; Grid" 2-sided</t>
  </si>
  <si>
    <t>CODEMAT02_MAT</t>
  </si>
  <si>
    <t>SPHERO Code Mat "Space &amp; Soccer" 2-sided</t>
  </si>
  <si>
    <t>DB-BOLT</t>
  </si>
  <si>
    <t>SPHERO Dummy Box - Bolt</t>
  </si>
  <si>
    <t>FC-S</t>
  </si>
  <si>
    <t>SPHERO EDU &amp; BOLT Self-Guided PD Online Course</t>
  </si>
  <si>
    <t>980-0529</t>
  </si>
  <si>
    <t>SPHERO indi At-Home Learning Kit</t>
  </si>
  <si>
    <t>980-0532</t>
  </si>
  <si>
    <t>SPHERO indi Education Class Pack (8 robots)</t>
  </si>
  <si>
    <t>FC-IN</t>
  </si>
  <si>
    <t>SPHERO indi Self-Guided PD Online Course</t>
  </si>
  <si>
    <t>980-0530</t>
  </si>
  <si>
    <t>SPHERO indi Student Kit</t>
  </si>
  <si>
    <t>M001BRW</t>
  </si>
  <si>
    <t>SPHERO Mini (Blue)</t>
  </si>
  <si>
    <t>M001GRW</t>
  </si>
  <si>
    <t>SPHERO Mini (Green)</t>
  </si>
  <si>
    <t>M001RW2</t>
  </si>
  <si>
    <t>SPHERO Mini Activity Kit</t>
  </si>
  <si>
    <t>910-0365</t>
  </si>
  <si>
    <t>SPHERO Mini Education Pack (16 robots)</t>
  </si>
  <si>
    <t>M001SRW</t>
  </si>
  <si>
    <t>SPHERO Mini Soccer</t>
  </si>
  <si>
    <t>RV01ABLTT01</t>
  </si>
  <si>
    <t>SPHERO RVR Tank Treads (Blue)</t>
  </si>
  <si>
    <t>940-0702</t>
  </si>
  <si>
    <t>SPHERO RVR+ Blueprint Plate</t>
  </si>
  <si>
    <t>940-0605</t>
  </si>
  <si>
    <t>SPHERO RVR+ Class Pack (6 robots)</t>
  </si>
  <si>
    <t>FC-RV</t>
  </si>
  <si>
    <t>SPHERO RVR+ Self-Guided PD Online Course</t>
  </si>
  <si>
    <t>940-0601</t>
  </si>
  <si>
    <t>SPHERO RVR+ Single</t>
  </si>
  <si>
    <t>940-0513</t>
  </si>
  <si>
    <t>SPHERO RVR+ Spare Battery</t>
  </si>
  <si>
    <t>ATP001BLU</t>
  </si>
  <si>
    <t>SPHERO Terrain Park</t>
  </si>
  <si>
    <t>TADO</t>
  </si>
  <si>
    <t>104179</t>
  </si>
  <si>
    <t>TADO Smart AC Control V3+</t>
  </si>
  <si>
    <t>THRONMAX</t>
  </si>
  <si>
    <t>TMAX-S1PRO</t>
  </si>
  <si>
    <t>THRONMAX Caster Stand Pro</t>
  </si>
  <si>
    <t>TMAX-S1</t>
  </si>
  <si>
    <t>THRONMAX Caster Stand USB</t>
  </si>
  <si>
    <t>TMAX-S2</t>
  </si>
  <si>
    <t>THRONMAX Caster Stand XLR</t>
  </si>
  <si>
    <t>TMAX-THX-50</t>
  </si>
  <si>
    <t>THRONMAX DJ Studio and Streaming Headphones</t>
  </si>
  <si>
    <t>TMAX-M9</t>
  </si>
  <si>
    <t>THRONMAX Fireball 48Khz/16Bit USB Microphone</t>
  </si>
  <si>
    <t>TMAX-M20</t>
  </si>
  <si>
    <t>THRONMAX M20 Streaming Kit</t>
  </si>
  <si>
    <t>TMAX-M3</t>
  </si>
  <si>
    <t>THRONMAX Mdrill Dome jet Black 48Khz</t>
  </si>
  <si>
    <t>TMAX-M2RGB</t>
  </si>
  <si>
    <t>Thronmax MDrill GHOST 96Khz 24 Bit</t>
  </si>
  <si>
    <t>TMAX-M2</t>
  </si>
  <si>
    <t>THRONMAX Mdrill One Jet Black 48Khz USB Microphone</t>
  </si>
  <si>
    <t>TMAX-M2KIT</t>
  </si>
  <si>
    <t>THRONMAX Mdrill One Jet Black 48Khz USB Microphone Kit</t>
  </si>
  <si>
    <t>TMAX-M2PB</t>
  </si>
  <si>
    <t>THRONMAX Mdrill One Pro Jet Black 96Khz USB Microphone</t>
  </si>
  <si>
    <t>TMAX-M2PKIT</t>
  </si>
  <si>
    <t>THRONMAX Mdrill One Pro Jet Black 96Khz USB Microphone Kit</t>
  </si>
  <si>
    <t>TMAX-M8</t>
  </si>
  <si>
    <t>THRONMAX Mdrill Pulse 96Khz + Noise Cancellation USB Microphone</t>
  </si>
  <si>
    <t>TMAX-M4</t>
  </si>
  <si>
    <t>THRONMAX Mdrill Zero Jet Black 48Khz USB Microphone</t>
  </si>
  <si>
    <t>TMAX-M5</t>
  </si>
  <si>
    <t>THRONMAX Mdrill Zone XLR Microphone with Shock Mount Bundle</t>
  </si>
  <si>
    <t>TMAX-P2</t>
  </si>
  <si>
    <t>THRONMAX Metal Shock Mounting</t>
  </si>
  <si>
    <t>TMAX-S4</t>
  </si>
  <si>
    <t>THRONMAX Phantom Stand</t>
  </si>
  <si>
    <t>TMAX-P1</t>
  </si>
  <si>
    <t>THRONMAX Pop Filter</t>
  </si>
  <si>
    <t>TMAX-M4ROSA</t>
  </si>
  <si>
    <t>THRONMAX Rosa</t>
  </si>
  <si>
    <t>TMAX-THX-20</t>
  </si>
  <si>
    <t>THRONMAX Skype/USB  Headset</t>
  </si>
  <si>
    <t>TMAX-X1</t>
  </si>
  <si>
    <t>THRONMAX Stream GO 1080P Webcam</t>
  </si>
  <si>
    <t>TMAX-X1PRO</t>
  </si>
  <si>
    <t>THRONMAX Stream GO PRO 1080P Webcam w/ tripod</t>
  </si>
  <si>
    <t>TMAX-C1</t>
  </si>
  <si>
    <t>THRONMAX StreamMic Streaming Kit</t>
  </si>
  <si>
    <t>TMAX-C1PRO</t>
  </si>
  <si>
    <t>THRONMAX StreamMic Vlogger Pro Streaming Kit</t>
  </si>
  <si>
    <t>TMAX-S6</t>
  </si>
  <si>
    <t>THRONMAX Twist S6 Low Profile Boom Arm</t>
  </si>
  <si>
    <t>TMAX-THX-40</t>
  </si>
  <si>
    <t>THRONMAX Wireless Headset with Microphone</t>
  </si>
  <si>
    <t>TMAX-X60</t>
  </si>
  <si>
    <t>THRONMAX XLR Cable</t>
  </si>
  <si>
    <t>TMAX-S3</t>
  </si>
  <si>
    <t>THRONMAX Zoom Stand</t>
  </si>
  <si>
    <t>TMAX-S3PLUS</t>
  </si>
  <si>
    <t>THRONMAX Zoom Stand Plus</t>
  </si>
  <si>
    <t>TWELVE SOUTH</t>
  </si>
  <si>
    <t>TS-2010</t>
  </si>
  <si>
    <t>TWELVE SOUTH AirFly Pro (Black)</t>
  </si>
  <si>
    <t>TW-1911</t>
  </si>
  <si>
    <t>TWELVE SOUTH AirFly Pro (White)</t>
  </si>
  <si>
    <t>TS-2511</t>
  </si>
  <si>
    <t>TWELVE SOUTH AirFly Pro 2 (Black)</t>
  </si>
  <si>
    <t>TS-2512</t>
  </si>
  <si>
    <t>TWELVE SOUTH AirFly Pro 2 (Blue)</t>
  </si>
  <si>
    <t>TS-2518</t>
  </si>
  <si>
    <t>TWELVE SOUTH AirFly Pro 2 (Evergreen)</t>
  </si>
  <si>
    <t>TS-2411</t>
  </si>
  <si>
    <t>TWELVE SOUTH AirFly Pro 2 (White)</t>
  </si>
  <si>
    <t>TS-2510</t>
  </si>
  <si>
    <t>TWELVE SOUTH AirFly Pro 2 Deluxe (White)</t>
  </si>
  <si>
    <t>TS-2305</t>
  </si>
  <si>
    <t>TWELVE SOUTH AirFly Pro Deluxe</t>
  </si>
  <si>
    <t>TWELVE SOUTH AirFly SE</t>
  </si>
  <si>
    <t>TW-1803</t>
  </si>
  <si>
    <t>TWELVE SOUTH AirSnap for AirPods (Cognac)</t>
  </si>
  <si>
    <t>TS-2262</t>
  </si>
  <si>
    <t>TWELVE SOUTH BookArc Flex - (Black)</t>
  </si>
  <si>
    <t>TS-2264</t>
  </si>
  <si>
    <t>TWELVE SOUTH BookArc Flex - (Chrome)</t>
  </si>
  <si>
    <t>TS-2263</t>
  </si>
  <si>
    <t>TWELVE SOUTH BookArc Flex - (White)</t>
  </si>
  <si>
    <t>TS-2432</t>
  </si>
  <si>
    <t>TWELVE SOUTH ButterFly SE 2-in-1 Qi2 Travel Charger (Black)</t>
  </si>
  <si>
    <t>TS-2431</t>
  </si>
  <si>
    <t>TWELVE SOUTH ButterFly SE 2-in-1 Qi2 Travel Charger (Pink)</t>
  </si>
  <si>
    <t>TS-2433</t>
  </si>
  <si>
    <t>TWELVE SOUTH ButterFly SE 2-in-1 Qi2 Travel Charger (Whte)</t>
  </si>
  <si>
    <t>TS-2201</t>
  </si>
  <si>
    <t>TWELVE SOUTH Curve Flex flexible desktop stand for MacBook / Laptops (Black)</t>
  </si>
  <si>
    <t>TS-2202</t>
  </si>
  <si>
    <t>TWELVE SOUTH Curve Flex flexible desktop stand for MacBook / Laptops (White)</t>
  </si>
  <si>
    <t>TW-1708</t>
  </si>
  <si>
    <t>TWELVE SOUTH Curve for MacBook / Laptops (Black)</t>
  </si>
  <si>
    <t>TW-1915</t>
  </si>
  <si>
    <t>TWELVE SOUTH Curve for MacBook / Laptops (White)</t>
  </si>
  <si>
    <t>TS-2563</t>
  </si>
  <si>
    <t>TWELVE SOUTH Curve Mini (Slate)</t>
  </si>
  <si>
    <t>TS-2562</t>
  </si>
  <si>
    <t>TWELVE SOUTH Curve Nano (Coastal)</t>
  </si>
  <si>
    <t>TS-2561</t>
  </si>
  <si>
    <t>TWELVE SOUTH Curve Nano (Dune)</t>
  </si>
  <si>
    <t>TS-2560</t>
  </si>
  <si>
    <t>TWELVE SOUTH Curve Nano (Slate)</t>
  </si>
  <si>
    <t>TW-1835</t>
  </si>
  <si>
    <t>TWELVE SOUTH Curve Riser for iMac and Displays</t>
  </si>
  <si>
    <t>TS-2256</t>
  </si>
  <si>
    <t>TWELVE SOUTH Curve SE stand for MacBooks and Laptops (Silver)</t>
  </si>
  <si>
    <t>TS-2258</t>
  </si>
  <si>
    <t>TWELVE SOUTH DeskPad (Black)</t>
  </si>
  <si>
    <t>TS-2261</t>
  </si>
  <si>
    <t>TWELVE SOUTH DeskPad (Grey)</t>
  </si>
  <si>
    <t>TW-2040</t>
  </si>
  <si>
    <t>TWELVE SOUTH Forte for iPhone with Magsafe</t>
  </si>
  <si>
    <t>TS-24212</t>
  </si>
  <si>
    <t>TWELVE SOUTH HiRise 2 Deluxe 2-in-1 Qi2 Charger (Black)</t>
  </si>
  <si>
    <t>TS-24215</t>
  </si>
  <si>
    <t>TWELVE SOUTH HiRise 2 Deluxe 2-in-1 Qi2 Charger (White)</t>
  </si>
  <si>
    <t>TS-2303</t>
  </si>
  <si>
    <t>TWELVE SOUTH HiRise 3 Deluxe - MagSafe (Black)</t>
  </si>
  <si>
    <t>TS-2211</t>
  </si>
  <si>
    <t>TWELVE SOUTH HiRise Pro for Macbook</t>
  </si>
  <si>
    <t>TW-1811</t>
  </si>
  <si>
    <t>TWELVE SOUTH HiRise Wireless</t>
  </si>
  <si>
    <t>TW-2143</t>
  </si>
  <si>
    <t>TWELVE SOUTH HoverBar Duo (2nd Gen) - Black</t>
  </si>
  <si>
    <t>TW-2144</t>
  </si>
  <si>
    <t>TWELVE SOUTH HoverBar Duo (2nd Gen) - White</t>
  </si>
  <si>
    <t>TS-2208</t>
  </si>
  <si>
    <t>TWELVE SOUTH HoverBar Tower (Black)</t>
  </si>
  <si>
    <t>TW-1807</t>
  </si>
  <si>
    <t>TWELVE SOUTH Journal for Macbook Pro 15" USB-C (Cognac)</t>
  </si>
  <si>
    <t>TS-2442</t>
  </si>
  <si>
    <t>TWELVE SOUTH PlugBug with Find My: 120 Travel</t>
  </si>
  <si>
    <t>TS-2441</t>
  </si>
  <si>
    <t>TWELVE SOUTH PlugBug with Find My: 50 Travel</t>
  </si>
  <si>
    <t>TW-2019</t>
  </si>
  <si>
    <t>TWELVE SOUTH PowerPic Mod - Black</t>
  </si>
  <si>
    <t>TW-2039</t>
  </si>
  <si>
    <t>TWELVE SOUTH StayGo Mini Compact USB-C Hub</t>
  </si>
  <si>
    <t>TW-1907</t>
  </si>
  <si>
    <t>TWELVE SOUTH StayGo USB-C Multiport Hub (Black)</t>
  </si>
  <si>
    <t>TW-2115</t>
  </si>
  <si>
    <t>TWELVE SOUTH StayGo USB-C Multiport Hub (White)</t>
  </si>
  <si>
    <t>TS-2301</t>
  </si>
  <si>
    <t>TWELVE SOUTH TimePorter 2 (1 Pack)</t>
  </si>
  <si>
    <t>UGEE</t>
  </si>
  <si>
    <t>ZYU1200</t>
  </si>
  <si>
    <t>UGEE Pen Display Tablet U1200 11.6"</t>
  </si>
  <si>
    <t>ZYU1600</t>
  </si>
  <si>
    <t>UGEE Pen Display Tablet U1600 15.4"</t>
  </si>
  <si>
    <t>ZYM708</t>
  </si>
  <si>
    <t>UGEE Pen Tablet M708 10x6"</t>
  </si>
  <si>
    <t>ZYS1060</t>
  </si>
  <si>
    <t>UGEE Pen Tablet S1060 10x6"</t>
  </si>
  <si>
    <t>ZYS1060W</t>
  </si>
  <si>
    <t>UGEE Pen Tablet S1060W 10x6" (Wireless)</t>
  </si>
  <si>
    <t>ZYS640</t>
  </si>
  <si>
    <t>UGEE Pen Tablet S640 6x4"</t>
  </si>
  <si>
    <t>ZYS640W</t>
  </si>
  <si>
    <t>UGEE Pen Tablet S640W 6x4" (Wireless)</t>
  </si>
  <si>
    <t>ULTIMATE EARS</t>
  </si>
  <si>
    <t>984-001374</t>
  </si>
  <si>
    <t>ULTIMATE EARS Boom 3 (Lagoon Blue)</t>
  </si>
  <si>
    <t>984-001372</t>
  </si>
  <si>
    <t>ULTIMATE EARS Boom 3 (Night Black)</t>
  </si>
  <si>
    <t>984-001377</t>
  </si>
  <si>
    <t>ULTIMATE EARS Boom 3 (Seashell Peach)</t>
  </si>
  <si>
    <t>984-001376</t>
  </si>
  <si>
    <t>ULTIMATE EARS Boom 3 (Sunset Red)</t>
  </si>
  <si>
    <t>984-001375</t>
  </si>
  <si>
    <t>ULTIMATE EARS Boom 3 (UltraViolet Purple)</t>
  </si>
  <si>
    <t>984-001644</t>
  </si>
  <si>
    <t>ULTIMATE EARS Boom 3 (Unicorn)</t>
  </si>
  <si>
    <t>984-001416</t>
  </si>
  <si>
    <t>ULTIMATE EARS Megaboom 3 (Lagoon Blue)</t>
  </si>
  <si>
    <t>984-001414</t>
  </si>
  <si>
    <t>ULTIMATE EARS Megaboom 3 (Night Black)</t>
  </si>
  <si>
    <t>984-001419</t>
  </si>
  <si>
    <t>ULTIMATE EARS Megaboom 3 (Seashell Peach)</t>
  </si>
  <si>
    <t>984-001418</t>
  </si>
  <si>
    <t>ULTIMATE EARS Megaboom 3 (Sunset Red)</t>
  </si>
  <si>
    <t>984-001417</t>
  </si>
  <si>
    <t>ULTIMATE EARS Megaboom 3 (Ultraviolet Purple)</t>
  </si>
  <si>
    <t>984-001845</t>
  </si>
  <si>
    <t>ULTIMATE EARS WonderBoom 3 (Active Black)</t>
  </si>
  <si>
    <t>984-001847</t>
  </si>
  <si>
    <t>ULTIMATE EARS WonderBoom 3 (Hyper Pink)</t>
  </si>
  <si>
    <t>984-001848</t>
  </si>
  <si>
    <t>ULTIMATE EARS WonderBoom 3 (Joyous Brights)</t>
  </si>
  <si>
    <t>984-001846</t>
  </si>
  <si>
    <t>ULTIMATE EARS WonderBoom 3 (Performance Blue)</t>
  </si>
  <si>
    <t>VICTORINOX</t>
  </si>
  <si>
    <t>6.7193.9</t>
  </si>
  <si>
    <t>VICTORINOX Classic 10 Piece Block Set (Black)</t>
  </si>
  <si>
    <t>6.7153.11</t>
  </si>
  <si>
    <t>VICTORINOX Classic 12 Piece Block Set (Black)</t>
  </si>
  <si>
    <t>6.7173.8</t>
  </si>
  <si>
    <t>VICTORINOX Classic 9 Piece Block Set (Black)</t>
  </si>
  <si>
    <t>6.8633.21G</t>
  </si>
  <si>
    <t>VICTORINOX Classic Bread Wavy Edge Knife 21cm (Black)</t>
  </si>
  <si>
    <t>6.7133.2G</t>
  </si>
  <si>
    <t>VICTORINOX Classic Carving 2 Piece Set (Black)</t>
  </si>
  <si>
    <t>6.8083.20G</t>
  </si>
  <si>
    <t>VICTORINOX Classic Cooks Carving Extra Wide Fluted Blade Knife 20cm (Black)</t>
  </si>
  <si>
    <t>6.8063.20G</t>
  </si>
  <si>
    <t>VICTORINOX Classic Cooks Carving Extra Wide Straight Edge Knife 20cm (Black)</t>
  </si>
  <si>
    <t>6.8023.25G</t>
  </si>
  <si>
    <t>VICTORINOX Classic Cooks Carving Fluted Blade Knife 25cm (Black)</t>
  </si>
  <si>
    <t>6.8003.19G</t>
  </si>
  <si>
    <t>VICTORINOX Classic Cooks Carving Straight Edge Knife 19cm (Black)</t>
  </si>
  <si>
    <t>6.8003.22G</t>
  </si>
  <si>
    <t>VICTORINOX Classic Cooks Carving Straight Edge Knife 22cm (Black)</t>
  </si>
  <si>
    <t>6.8003.25G</t>
  </si>
  <si>
    <t>VICTORINOX Classic Cooks Carving Straight Edge Knife 25cm (Black)</t>
  </si>
  <si>
    <t>6.7143.5</t>
  </si>
  <si>
    <t>VICTORINOX Classic In-Drawer 6 Piece Set (Black)</t>
  </si>
  <si>
    <t>6.7133.4G</t>
  </si>
  <si>
    <t>VICTORINOX Classic Kitchen 4 Piece Set (Black)</t>
  </si>
  <si>
    <t>6.7131.4G</t>
  </si>
  <si>
    <t>VICTORINOX Classic Kitchen 4 Piece Set (Red)</t>
  </si>
  <si>
    <t>6.7133.5G</t>
  </si>
  <si>
    <t>VICTORINOX Classic Kitchen 5 Piece Set (Black)</t>
  </si>
  <si>
    <t>6.7133.7G</t>
  </si>
  <si>
    <t>VICTORINOX Classic Kitchen 7 Piece Set (Black)</t>
  </si>
  <si>
    <t>6.7113.3G</t>
  </si>
  <si>
    <t>VICTORINOX Classic Paring Knife 3 Piece Set (Black)</t>
  </si>
  <si>
    <t>6.7113.6G</t>
  </si>
  <si>
    <t>VICTORINOX Classic Paring Knife 6 Piece Set (Black)</t>
  </si>
  <si>
    <t>6.7111.6G</t>
  </si>
  <si>
    <t>VICTORINOX Classic Paring Knife 6 Piece Set (Red)</t>
  </si>
  <si>
    <t>6.7833.FB</t>
  </si>
  <si>
    <t>VICTORINOX Classic Paring Wavy Edge Foldable Knife 11cm (Black)</t>
  </si>
  <si>
    <t>6.7836.F4B</t>
  </si>
  <si>
    <t>VICTORINOX Classic Paring Wavy Edge Foldable Knife 11cm (Green)</t>
  </si>
  <si>
    <t>6.7836.F9B</t>
  </si>
  <si>
    <t>VICTORINOX Classic Paring Wavy Edge Foldable Knife 11cm (Orange)</t>
  </si>
  <si>
    <t>6.7836.F5B</t>
  </si>
  <si>
    <t>VICTORINOX Classic Paring Wavy Edge Foldable Knife 11cm (Pink)</t>
  </si>
  <si>
    <t>6.7831.FB</t>
  </si>
  <si>
    <t>VICTORINOX Classic Paring Wavy Edge Foldable Knife 11cm (Red)</t>
  </si>
  <si>
    <t>6.7836.F8B</t>
  </si>
  <si>
    <t>VICTORINOX Classic Paring Wavy Edge Foldable Knife 11cm (Yellow)</t>
  </si>
  <si>
    <t>6.7793.B</t>
  </si>
  <si>
    <t>VICTORINOX Classic Paring Wavy Edge Pointed &amp; Straight Edge Knife 2 Piece Set 10cm (Black)</t>
  </si>
  <si>
    <t>6.7796.L4B</t>
  </si>
  <si>
    <t>VICTORINOX Classic Paring Wavy Edge Pointed &amp; Straight Edge Knife 2 Piece Set 10cm (Green)</t>
  </si>
  <si>
    <t>6.7796.L9B</t>
  </si>
  <si>
    <t>VICTORINOX Classic Paring Wavy Edge Pointed &amp; Straight Edge Knife 2 Piece Set 10cm (Orange)</t>
  </si>
  <si>
    <t>6.7796.L5B</t>
  </si>
  <si>
    <t>VICTORINOX Classic Paring Wavy Edge Pointed &amp; Straight Edge Knife 2 Piece Set 10cm (Pink)</t>
  </si>
  <si>
    <t>6.7796.L8B</t>
  </si>
  <si>
    <t>VICTORINOX Classic Paring Wavy Edge Pointed &amp; Straight Edge Knife 2 Piece Set 10cm (Yellow)</t>
  </si>
  <si>
    <t>6.8523.17G</t>
  </si>
  <si>
    <t>VICTORINOX Classic Santoku Fluted Wide Blade Knife 17cm (Black)</t>
  </si>
  <si>
    <t>6.8503.17G</t>
  </si>
  <si>
    <t>VICTORINOX Classic Santoku Wide Blade Knife 17cm (Black)</t>
  </si>
  <si>
    <t>6.7933.12B</t>
  </si>
  <si>
    <t>VICTORINOX Classic Steak &amp; Pizza Wide Blade Wavy Edge Knife 2 Piece Set 12cm (Black)</t>
  </si>
  <si>
    <t>6.7936.12L4B</t>
  </si>
  <si>
    <t>VICTORINOX Classic Steak &amp; Pizza Wide Blade Wavy Edge Knife 2 Piece Set 12cm (Green)</t>
  </si>
  <si>
    <t>6.7936.12L5B</t>
  </si>
  <si>
    <t>VICTORINOX Classic Steak &amp; Pizza Wide Blade Wavy Edge Knife 2 Piece Set 12cm (Pink)</t>
  </si>
  <si>
    <t>6.7833.12</t>
  </si>
  <si>
    <t>VICTORINOX Classic Steak &amp; Tomato Round Tip Wavy Edge Knife 12 Piece Set 11cm (Black)</t>
  </si>
  <si>
    <t>6.7833.24</t>
  </si>
  <si>
    <t>VICTORINOX Classic Steak &amp; Tomato Round Tip Wavy Edge Knife 24 Piece Set 11cm (Black)</t>
  </si>
  <si>
    <t>6.7833.6</t>
  </si>
  <si>
    <t>VICTORINOX Classic Steak &amp; Tomato Round Tip Wavy Edge Knife 6 Piece Set 11cm (Black)</t>
  </si>
  <si>
    <t>6.7832.6</t>
  </si>
  <si>
    <t>VICTORINOX Classic Steak &amp; Tomato Round Tip Wavy Edge Knife 6 Piece Set 11cm (Blue)</t>
  </si>
  <si>
    <t>6.7833.8</t>
  </si>
  <si>
    <t>VICTORINOX Classic Steak &amp; Tomato Round Tip Wavy Edge Knife 8 Piece Set 11cm (Black)</t>
  </si>
  <si>
    <t>6.7233.6</t>
  </si>
  <si>
    <t>VICTORINOX Classic Steak Wavy Edge Pointed Knife 6 Piece Set 11cm (Black)</t>
  </si>
  <si>
    <t>6.7232.6</t>
  </si>
  <si>
    <t>VICTORINOX Classic Steak Wavy Edge Pointed Knife 6 Piece Set 11cm (Blue)</t>
  </si>
  <si>
    <t>6.7903.12B</t>
  </si>
  <si>
    <t>VICTORINOX Classic Steak Wide Blade Straight Edge Knife 2 Piece Set 12cm (Black)</t>
  </si>
  <si>
    <t>6.7839.6G</t>
  </si>
  <si>
    <t>VICTORINOX Classic Tomato &amp; Table Knife 6 Piece Set 11cm (Multi Colour)</t>
  </si>
  <si>
    <t>7.7243.3</t>
  </si>
  <si>
    <t>VICTORINOX Forged Chefs 3 Piece Set (Black)</t>
  </si>
  <si>
    <t>7.8343</t>
  </si>
  <si>
    <t>VICTORINOX Kitchen Sharpening Oval Middle Fine Cut Steel 27cm (Black)</t>
  </si>
  <si>
    <t>7.8210</t>
  </si>
  <si>
    <t>VICTORINOX Kitchen Sharpening Round Middle Fine Cut Steel 20cm (Wood)</t>
  </si>
  <si>
    <t>7.8333</t>
  </si>
  <si>
    <t>VICTORINOX Kitchen Sharpening Round Middle Fine Cut Steel 27cm (Black)</t>
  </si>
  <si>
    <t>5.1111.6</t>
  </si>
  <si>
    <t>VICTORINOX Standard Paring Knife 6 Piece Set (Red)</t>
  </si>
  <si>
    <t>35982</t>
  </si>
  <si>
    <t>VICTORINOX Swibo Ultimate Filleting 3 Piece Set</t>
  </si>
  <si>
    <t>6.9070.22WG</t>
  </si>
  <si>
    <t>VICTORINOX Swiss Modern Bread &amp; Pastry Knife 22cm (Walnut)</t>
  </si>
  <si>
    <t>6.9010.22G</t>
  </si>
  <si>
    <t>VICTORINOX Swiss Modern Carving Knife 22cm (Walnut)</t>
  </si>
  <si>
    <t>6.9050.17KG</t>
  </si>
  <si>
    <t>VICTORINOX Swiss Modern Santoku Knife 17cm (Walnut)</t>
  </si>
  <si>
    <t>6.9093.11W12</t>
  </si>
  <si>
    <t>VICTORINOX Swiss Modern Tomato Knife 12 Piece Table Set (Black)</t>
  </si>
  <si>
    <t>6.909611W212</t>
  </si>
  <si>
    <t>VICTORINOX Swiss Modern Tomato Knife 12 Piece Table Set (Cornflower)</t>
  </si>
  <si>
    <t>6909611W4112</t>
  </si>
  <si>
    <t>VICTORINOX Swiss Modern Tomato Knife 12 Piece Table Set (Mint)</t>
  </si>
  <si>
    <t>6.9093.11W24</t>
  </si>
  <si>
    <t>VICTORINOX Swiss Modern Tomato Knife 24 Piece Table Set (Black)</t>
  </si>
  <si>
    <t>6.909611W224</t>
  </si>
  <si>
    <t>VICTORINOX Swiss Modern Tomato Knife 24 Piece Table Set (Cornflower)</t>
  </si>
  <si>
    <t>6909611W4124</t>
  </si>
  <si>
    <t>VICTORINOX Swiss Modern Tomato Knife 24 Piece Table Set (Mint)</t>
  </si>
  <si>
    <t>5.1020.2G</t>
  </si>
  <si>
    <t>VICTORINOX Wood 2 Piece Carving Set</t>
  </si>
  <si>
    <t>5.1050.3G</t>
  </si>
  <si>
    <t>VICTORINOX Wood 3 Piece Carving Set</t>
  </si>
  <si>
    <t>5.1630.21G</t>
  </si>
  <si>
    <t>VICTORINOX Wood Bread Wavy Edge Knife 21cm</t>
  </si>
  <si>
    <t>5.2000.19G</t>
  </si>
  <si>
    <t>VICTORINOX Wood Cooks Carving Knife 19cm</t>
  </si>
  <si>
    <t>5.2000.22G</t>
  </si>
  <si>
    <t>VICTORINOX Wood Cooks Carving Knife 22cm</t>
  </si>
  <si>
    <t>5.2000.25G</t>
  </si>
  <si>
    <t>VICTORINOX Wood Cooks Carving Knife 25cm</t>
  </si>
  <si>
    <t>7.7240.2</t>
  </si>
  <si>
    <t>VICTORINOX Wood Forged Carving 2 Piece Set (3 Rivet)</t>
  </si>
  <si>
    <t>7.7400.15G</t>
  </si>
  <si>
    <t>VICTORINOX Wood Forged Chefs Straight Edge Knife 15cm (3 Rivet)</t>
  </si>
  <si>
    <t>7.7400.20G</t>
  </si>
  <si>
    <t>VICTORINOX Wood Forged Chefs Straight Edge Knife 20cm (3 Rivet)</t>
  </si>
  <si>
    <t>7.7200.10G</t>
  </si>
  <si>
    <t>VICTORINOX Wood Forged Kitchen Plain Edge Knife 10cm (3 Rivet)</t>
  </si>
  <si>
    <t>7.7320.17G</t>
  </si>
  <si>
    <t>VICTORINOX Wood Forged Santoku Fluted Blade Knife (3 Rivet)</t>
  </si>
  <si>
    <t>6.8520.17G</t>
  </si>
  <si>
    <t>VICTORINOX Wood Santoku Fluted Wide Blade Knife 17cm</t>
  </si>
  <si>
    <t>6.8500.17G</t>
  </si>
  <si>
    <t>VICTORINOX Wood Santoku Wide Blade Knife 17cm</t>
  </si>
  <si>
    <t>WITHINGS</t>
  </si>
  <si>
    <t>SCT02-02</t>
  </si>
  <si>
    <t>Withings BeamO 4-in-1 Multiscan Device</t>
  </si>
  <si>
    <t>WBS05-BLACK-old</t>
  </si>
  <si>
    <t>WITHINGS Body + Scale (Black)</t>
  </si>
  <si>
    <t>WBS05-BLACK</t>
  </si>
  <si>
    <t>WBS05-WHITE-old</t>
  </si>
  <si>
    <t>WITHINGS Body + Scale (White)</t>
  </si>
  <si>
    <t>WBS05-WHITE</t>
  </si>
  <si>
    <t>WBS06-BLACK-old</t>
  </si>
  <si>
    <t>WITHINGS Body BMI Wifi Scale (Black)</t>
  </si>
  <si>
    <t>WBS06-BLACK</t>
  </si>
  <si>
    <t>WBS06-WHITE-old</t>
  </si>
  <si>
    <t>WITHINGS Body BMI Wifi Scale (White)</t>
  </si>
  <si>
    <t>WBS06-WHITE</t>
  </si>
  <si>
    <t>WBS04-BLACK</t>
  </si>
  <si>
    <t>WITHINGS Body Cardio Scale (Black)</t>
  </si>
  <si>
    <t>WBS04-BLACK-old</t>
  </si>
  <si>
    <t>70839831</t>
  </si>
  <si>
    <t>Withings Body Comp - Black (B&amp;W Screen)</t>
  </si>
  <si>
    <t>70839831-old</t>
  </si>
  <si>
    <t>WBS12-Black</t>
  </si>
  <si>
    <t>WITHINGS Body Comp Scale - Black</t>
  </si>
  <si>
    <t>WBS12-Black-old</t>
  </si>
  <si>
    <t>WBS08-Black</t>
  </si>
  <si>
    <t>WITHINGS Body Scan Scale - Black</t>
  </si>
  <si>
    <t>WBS08-Black-old</t>
  </si>
  <si>
    <t>WBS13-Black</t>
  </si>
  <si>
    <t>WITHINGS Body Smart Scale - Black</t>
  </si>
  <si>
    <t>WBS13-Black-old</t>
  </si>
  <si>
    <t>WBS13-White-old</t>
  </si>
  <si>
    <t>WITHINGS Body Smart Scale - White</t>
  </si>
  <si>
    <t>WBS13-White</t>
  </si>
  <si>
    <t>WPM-05-AU-old</t>
  </si>
  <si>
    <t>WITHINGS BPM Connect Wireless Blood Pressure Monitor</t>
  </si>
  <si>
    <t>WPM-05-AU</t>
  </si>
  <si>
    <t>WPM-04-AU-old</t>
  </si>
  <si>
    <t>WITHINGS BPM CoreWireless Blood Pressure Monitor</t>
  </si>
  <si>
    <t>WPM-04-AU</t>
  </si>
  <si>
    <t>HWA03B-WHITE-SPORT-AU</t>
  </si>
  <si>
    <t>Withings HR Sport Smart Watch - White</t>
  </si>
  <si>
    <t>L-WB-BLACK-18MM</t>
  </si>
  <si>
    <t>Withings Leather Wristband 18mm Black</t>
  </si>
  <si>
    <t>L-WB-BROWN-18MM</t>
  </si>
  <si>
    <t>Withings Leather Wristband 18mm Brown</t>
  </si>
  <si>
    <t>L-WB-BLACK-20MM</t>
  </si>
  <si>
    <t>Withings Leather Wristband 20mm Black</t>
  </si>
  <si>
    <t>L-WB-BROWN-20MM</t>
  </si>
  <si>
    <t>Withings Leather Wristband 20mm Brown</t>
  </si>
  <si>
    <t>M-WB-ROSEGOLD-18MM</t>
  </si>
  <si>
    <t>Withings Milanese Mesh Loop Wristband 18mm Rose Gold</t>
  </si>
  <si>
    <t>M-WB-SILVER-18MM</t>
  </si>
  <si>
    <t>Withings Milanese Mesh Loop Wristband 18mm Silver</t>
  </si>
  <si>
    <t>HWA10-model-1</t>
  </si>
  <si>
    <t>Withings Scanwatch 2 38 Black</t>
  </si>
  <si>
    <t>HWA10-model-1-old</t>
  </si>
  <si>
    <t>HWA10-model-2</t>
  </si>
  <si>
    <t>Withings Scanwatch 2 38 White</t>
  </si>
  <si>
    <t>HWA10-model-2-old</t>
  </si>
  <si>
    <t>HWA10-model-4-old</t>
  </si>
  <si>
    <t>Withings Scanwatch 2 42mm Black</t>
  </si>
  <si>
    <t>HWA10-model-4</t>
  </si>
  <si>
    <t>CHARGER-SW2</t>
  </si>
  <si>
    <t>Withings Scanwatch 2 Charger</t>
  </si>
  <si>
    <t>HWA10-model-3</t>
  </si>
  <si>
    <t>Withings Scanwatch 2 Rose Gold</t>
  </si>
  <si>
    <t>HWA10-model-3-old</t>
  </si>
  <si>
    <t>HWA09-model-2</t>
  </si>
  <si>
    <t>WITHINGS Scanwatch 38 mm (Black)</t>
  </si>
  <si>
    <t>HWA09-model-2-old</t>
  </si>
  <si>
    <t>HWA09-model-1-old</t>
  </si>
  <si>
    <t>WITHINGS Scanwatch 38 mm (White)</t>
  </si>
  <si>
    <t>HWA09-model-1</t>
  </si>
  <si>
    <t>HWA09-model-5-old</t>
  </si>
  <si>
    <t>WITHINGS ScanWatch 38mm (Rose Gold)</t>
  </si>
  <si>
    <t>HWA09-model-5</t>
  </si>
  <si>
    <t>HWA09-model-4</t>
  </si>
  <si>
    <t>WITHINGS Scanwatch 42 mm (Black)</t>
  </si>
  <si>
    <t>HWA09-model-4-old</t>
  </si>
  <si>
    <t>HWA09-model-3</t>
  </si>
  <si>
    <t>WITHINGS Scanwatch 42 mm (White)</t>
  </si>
  <si>
    <t>HWA09-model-3-old</t>
  </si>
  <si>
    <t>HWA09-model-7-old</t>
  </si>
  <si>
    <t>WITHINGS ScanWatch Horizon (Blue)</t>
  </si>
  <si>
    <t>HWA09-model-7</t>
  </si>
  <si>
    <t>HWA09-model-8</t>
  </si>
  <si>
    <t>WITHINGS ScanWatch Horizon (Green)</t>
  </si>
  <si>
    <t>HWA09-model-8-old</t>
  </si>
  <si>
    <t>HWA11-model-5</t>
  </si>
  <si>
    <t>Withings Scanwatch Light 37 mm Black</t>
  </si>
  <si>
    <t>HWA11-model-5-old</t>
  </si>
  <si>
    <t>HWA11-model-3-old</t>
  </si>
  <si>
    <t>Withings Scanwatch Light 37 mm White</t>
  </si>
  <si>
    <t>HWA11-model-3</t>
  </si>
  <si>
    <t>HWA11-model-1-OLD</t>
  </si>
  <si>
    <t>Withings Scanwatch Light 37mm Rose Gold</t>
  </si>
  <si>
    <t>HWA11-model-1</t>
  </si>
  <si>
    <t>CHARGER-SWLIGHT</t>
  </si>
  <si>
    <t>Withings Scanwatch Light Charger</t>
  </si>
  <si>
    <t>HWA10-model-9</t>
  </si>
  <si>
    <t>Withings Scanwatch Nova Black</t>
  </si>
  <si>
    <t>HWA10-model-9-old</t>
  </si>
  <si>
    <t>HWA10-model-7-old</t>
  </si>
  <si>
    <t>Withings Scanwatch Nova Blue</t>
  </si>
  <si>
    <t>HWA10-model-7</t>
  </si>
  <si>
    <t>HWA10-model-11</t>
  </si>
  <si>
    <t>Withings Scanwatch Nova Brilliant Gold/Silver</t>
  </si>
  <si>
    <t>HWA10-model-10</t>
  </si>
  <si>
    <t>Withings Scanwatch Nova Brilliant Silver</t>
  </si>
  <si>
    <t>CHARGER-SWNOVA</t>
  </si>
  <si>
    <t>Withings Scanwatch Nova Charger</t>
  </si>
  <si>
    <t>HWA10-model-8</t>
  </si>
  <si>
    <t>Withings Scanwatch Nova Green</t>
  </si>
  <si>
    <t>HWA10-model-8-old</t>
  </si>
  <si>
    <t>WSM02-ANALYSER</t>
  </si>
  <si>
    <t>WITHINGS Sleep Analyser</t>
  </si>
  <si>
    <t>WSM02-ANALYSER-old</t>
  </si>
  <si>
    <t>SCT01-N-AU</t>
  </si>
  <si>
    <t>WITHINGS Thermo</t>
  </si>
  <si>
    <t>SCT01-N-AU-old</t>
  </si>
  <si>
    <t>SCT01-N-AU-DUMMY</t>
  </si>
  <si>
    <t>WITHINGS Thermo - Dummy units</t>
  </si>
  <si>
    <t>WITHINGS-BLPOS</t>
  </si>
  <si>
    <t>Withings – BL POS 1x Perspex holder, 1x dummy scale</t>
  </si>
  <si>
    <t>WITHINGS-HNPOS</t>
  </si>
  <si>
    <t>Withings – HN POS 1x Perspex holder, 1x dummy scale</t>
  </si>
  <si>
    <t>WITHINGS-TGGPOS</t>
  </si>
  <si>
    <t>Withings – TGG POS 1x Perspex holder, 1x dummy scale</t>
  </si>
  <si>
    <t>XENCELABS</t>
  </si>
  <si>
    <t>XMCLGL</t>
  </si>
  <si>
    <t>XENCELABS Glove Large</t>
  </si>
  <si>
    <t>XMCLGM</t>
  </si>
  <si>
    <t>XENCELABS Glove Medium</t>
  </si>
  <si>
    <t>XMCLGS</t>
  </si>
  <si>
    <t>XENCELABS Glove Small</t>
  </si>
  <si>
    <t>XMCMN10</t>
  </si>
  <si>
    <t>XENCELABS Nibs Combo</t>
  </si>
  <si>
    <t>XMCTBMFRES-SE</t>
  </si>
  <si>
    <t>XENCELABS Pen Tablet Bundle Medium SE (White)</t>
  </si>
  <si>
    <t>XMCTSMED</t>
  </si>
  <si>
    <t>XENCELABS Pen Tablet M EDU PACK</t>
  </si>
  <si>
    <t>XMCTSMFRES</t>
  </si>
  <si>
    <t>XENCELABS Pen Tablet Medium</t>
  </si>
  <si>
    <t>XMCTBMFRES</t>
  </si>
  <si>
    <t>XENCELABS Pen Tablet Medium Bundle</t>
  </si>
  <si>
    <t>XMCTSSFRES</t>
  </si>
  <si>
    <t>XENCELABS Pen Tablet Small</t>
  </si>
  <si>
    <t>XMCQKFRES</t>
  </si>
  <si>
    <t>XENCELABS Quick Keys</t>
  </si>
  <si>
    <t>Customer Name</t>
  </si>
  <si>
    <t>6wk avg</t>
  </si>
  <si>
    <t>SOH</t>
  </si>
  <si>
    <t>000-00033</t>
  </si>
  <si>
    <t>ANKI OVERDRIVE Expansion Car - Thermo</t>
  </si>
  <si>
    <t>B00V6951LM</t>
  </si>
  <si>
    <t>000-00037</t>
  </si>
  <si>
    <t>ANKI OVERDRIVE Expansion Track - Collision Kit</t>
  </si>
  <si>
    <t>B00V695HM0</t>
  </si>
  <si>
    <t>000-00046</t>
  </si>
  <si>
    <t>Anki OVERDRIVE Starter Kit</t>
  </si>
  <si>
    <t>B0157Z3I7Y</t>
  </si>
  <si>
    <t>000-00050</t>
  </si>
  <si>
    <t>Anki OVERDRIVE Supertruck - X-52 Vehicle</t>
  </si>
  <si>
    <t>B01FM8ZGPI</t>
  </si>
  <si>
    <t>B073HTKFGV</t>
  </si>
  <si>
    <t>000-00067</t>
  </si>
  <si>
    <t>ANKI Cozmo</t>
  </si>
  <si>
    <t>B0747LZTM8</t>
  </si>
  <si>
    <t>000-00068</t>
  </si>
  <si>
    <t>ANKI OVERDRIVE Fast &amp; Furious Starter Kit</t>
  </si>
  <si>
    <t>B0747M487C</t>
  </si>
  <si>
    <t>B07G3QSX8G</t>
  </si>
  <si>
    <t>000-00079</t>
  </si>
  <si>
    <t>Anki Vector by Anki</t>
  </si>
  <si>
    <t>B078T42JCM</t>
  </si>
  <si>
    <t>Z50ULTRA</t>
  </si>
  <si>
    <t>811510</t>
  </si>
  <si>
    <t>V50ULTRA</t>
  </si>
  <si>
    <t>815708</t>
  </si>
  <si>
    <t>Z60ULTRA</t>
  </si>
  <si>
    <t>842257</t>
  </si>
  <si>
    <t>P50ULTRA</t>
  </si>
  <si>
    <t>811511</t>
  </si>
  <si>
    <t>MOBIUS60</t>
  </si>
  <si>
    <t>SHINE20GOLD</t>
  </si>
  <si>
    <t>MASTER10SILVER</t>
  </si>
  <si>
    <t>MASTER10PINK</t>
  </si>
  <si>
    <t>M50ULTRA</t>
  </si>
  <si>
    <t>X4PRO</t>
  </si>
  <si>
    <t>811512</t>
  </si>
  <si>
    <t>B08HLXVP7Q</t>
  </si>
  <si>
    <t>B08TQGMBM8</t>
  </si>
  <si>
    <t>B094W16KG6</t>
  </si>
  <si>
    <t>B094W5JCPP</t>
  </si>
  <si>
    <t>B094W4B4ZH</t>
  </si>
  <si>
    <t>B08TR1C7CS</t>
  </si>
  <si>
    <t>100405</t>
  </si>
  <si>
    <t>NUKI Fob</t>
  </si>
  <si>
    <t>B0791H69HP</t>
  </si>
  <si>
    <t>626749</t>
  </si>
  <si>
    <t>MPDUEXLITG</t>
  </si>
  <si>
    <t>Scorptec</t>
  </si>
  <si>
    <t>626753</t>
  </si>
  <si>
    <t>Mwave</t>
  </si>
  <si>
    <t>AC61442</t>
  </si>
  <si>
    <t>MPDUEXLITN</t>
  </si>
  <si>
    <t>626757</t>
  </si>
  <si>
    <t>MPDUEXPLUS</t>
  </si>
  <si>
    <t>626761</t>
  </si>
  <si>
    <t>AC61443</t>
  </si>
  <si>
    <t>MPDUEXMAXB</t>
  </si>
  <si>
    <t>626765</t>
  </si>
  <si>
    <t>MPDUEXMAXG</t>
  </si>
  <si>
    <t>626769</t>
  </si>
  <si>
    <t>AC61445</t>
  </si>
  <si>
    <t>MPGLANCEPR</t>
  </si>
  <si>
    <t>WH Smith Australia</t>
  </si>
  <si>
    <t>MP1009P01</t>
  </si>
  <si>
    <t>B0C5MRVJCQ</t>
  </si>
  <si>
    <t>AC70958</t>
  </si>
  <si>
    <t>MP1012P01</t>
  </si>
  <si>
    <t>B08GG6SXQB</t>
  </si>
  <si>
    <t>485150</t>
  </si>
  <si>
    <t>MCTADOV3</t>
  </si>
  <si>
    <t>MBPIXBLK</t>
  </si>
  <si>
    <t>MBPIXSLV</t>
  </si>
  <si>
    <t>Harvey Norman Online</t>
  </si>
  <si>
    <t>AC82708</t>
  </si>
  <si>
    <t>MPGEMINOST</t>
  </si>
  <si>
    <t>MDBAGV50</t>
  </si>
  <si>
    <t>815284</t>
  </si>
  <si>
    <t>MDBF2PKP50U</t>
  </si>
  <si>
    <t>MMOPPAD1PKV50</t>
  </si>
  <si>
    <t>MSFCV501L</t>
  </si>
  <si>
    <t>815282</t>
  </si>
  <si>
    <t>MSBRUSHZ50V50</t>
  </si>
  <si>
    <t>MF1PKX4</t>
  </si>
  <si>
    <t>MSFC500ML</t>
  </si>
  <si>
    <t>815457</t>
  </si>
  <si>
    <t>MFILTERM50</t>
  </si>
  <si>
    <t>MMAINBRUSHZ50</t>
  </si>
  <si>
    <t>MSMALLPAD2PKZ50</t>
  </si>
  <si>
    <t>815281</t>
  </si>
  <si>
    <t>MMAINMPADZ50</t>
  </si>
  <si>
    <t>815280</t>
  </si>
  <si>
    <t>MDBF2PKZ50</t>
  </si>
  <si>
    <t>MACKZ50</t>
  </si>
  <si>
    <t>MDBAGZ50</t>
  </si>
  <si>
    <t>815279</t>
  </si>
  <si>
    <t>MACKP50U</t>
  </si>
  <si>
    <t>MSFCLEANER1L</t>
  </si>
  <si>
    <t>815277</t>
  </si>
  <si>
    <t>MPETOS1LV50</t>
  </si>
  <si>
    <t>MDBFILTER2PKV50</t>
  </si>
  <si>
    <t>MRMZ60</t>
  </si>
  <si>
    <t>842258</t>
  </si>
  <si>
    <t>MDBFZ60</t>
  </si>
  <si>
    <t>842307</t>
  </si>
  <si>
    <t>MACKZ60</t>
  </si>
  <si>
    <t>842327</t>
  </si>
  <si>
    <t>MSFC500MLM50</t>
  </si>
  <si>
    <t>MMAINMPADZ502PK</t>
  </si>
  <si>
    <t>816381</t>
  </si>
  <si>
    <t>MACKITV50</t>
  </si>
  <si>
    <t>MWFCSMOB60</t>
  </si>
  <si>
    <t>220113</t>
  </si>
  <si>
    <t>NUKI Smart Lock 2.0</t>
  </si>
  <si>
    <t>B07F1PGYBW</t>
  </si>
  <si>
    <t>220284</t>
  </si>
  <si>
    <t>NUKI Keypad</t>
  </si>
  <si>
    <t>B07LCQ7NG3</t>
  </si>
  <si>
    <t>220443</t>
  </si>
  <si>
    <t>NUKI Bridge</t>
  </si>
  <si>
    <t>B07XFLLLKC</t>
  </si>
  <si>
    <t>220472</t>
  </si>
  <si>
    <t>NUKI Combo</t>
  </si>
  <si>
    <t>B07XHG1QK4</t>
  </si>
  <si>
    <t>220648</t>
  </si>
  <si>
    <t>NUKI Door Sensor (White)</t>
  </si>
  <si>
    <t>B09L57RF4H</t>
  </si>
  <si>
    <t>B09L12MBRM</t>
  </si>
  <si>
    <t>220805</t>
  </si>
  <si>
    <t>Nuki Smart Lock 3.0 Pro (Black)</t>
  </si>
  <si>
    <t>B0BMD6M317</t>
  </si>
  <si>
    <t>252-2240-093</t>
  </si>
  <si>
    <t>SONIX Case for iPhone 6/6s - Girls Just Wanna Have Fun</t>
  </si>
  <si>
    <t>SONIX</t>
  </si>
  <si>
    <t>B014GZIN94</t>
  </si>
  <si>
    <t>260-2240-047</t>
  </si>
  <si>
    <t>SONIX Case for iPhone 6/6s Plus - Criss Cross Rose Gold</t>
  </si>
  <si>
    <t>B019CB78A2</t>
  </si>
  <si>
    <t>2658</t>
  </si>
  <si>
    <t>BRENTHAVEN Edge for Surface Pro 6/5/4 (Grey)</t>
  </si>
  <si>
    <t>BRENTHAVEN</t>
  </si>
  <si>
    <t>B079JT49FV</t>
  </si>
  <si>
    <t>2689</t>
  </si>
  <si>
    <t>BRENTHAVEN Tred 11" Sleeve 2017 (Black)</t>
  </si>
  <si>
    <t>B07LBRTDX7</t>
  </si>
  <si>
    <t>2690</t>
  </si>
  <si>
    <t>BRENTHAVEN Tred 13" Sleeve 2017 (Black)</t>
  </si>
  <si>
    <t>B07D7NZ8BK</t>
  </si>
  <si>
    <t>270-0018-0121</t>
  </si>
  <si>
    <t>SONIX Case for iPhone SE2/8/7 - Gypsy Heart</t>
  </si>
  <si>
    <t>B01LBGVW6M</t>
  </si>
  <si>
    <t>270-0023-0121</t>
  </si>
  <si>
    <t>SONIX Case for iPhone SE2/8/7 - Botanic</t>
  </si>
  <si>
    <t>B01M5IOBC1</t>
  </si>
  <si>
    <t>270-0024-0121</t>
  </si>
  <si>
    <t>SONIX Case for iPhone SE2/8/7 - Maribell</t>
  </si>
  <si>
    <t>B01LZR5PWX</t>
  </si>
  <si>
    <t>270-0032-0121</t>
  </si>
  <si>
    <t>SONIX Case for iPhone SE2/8/7 - Carnation</t>
  </si>
  <si>
    <t>B01N090917</t>
  </si>
  <si>
    <t>2701</t>
  </si>
  <si>
    <t>BRENTHAVEN Tred Zip Folio 13" (Black)</t>
  </si>
  <si>
    <t>B07D7KDR5W</t>
  </si>
  <si>
    <t>2705</t>
  </si>
  <si>
    <t>BRENTHAVEN Tred Secure Grip Sleeve 11" (w Pouch) (Black)</t>
  </si>
  <si>
    <t>B07D7KDVJH</t>
  </si>
  <si>
    <t>272-0131-0111</t>
  </si>
  <si>
    <t>SONIX Case for iPhone SE2/8/7 - Pink Pineapple</t>
  </si>
  <si>
    <t>B074JKW7C3</t>
  </si>
  <si>
    <t>272-0133-0111</t>
  </si>
  <si>
    <t>SONIX Case for iPhone SE2/8/7 - Sapphire Bloom</t>
  </si>
  <si>
    <t>B074JLPZWD</t>
  </si>
  <si>
    <t>272-0148-0011</t>
  </si>
  <si>
    <t>SONIX Case for iPhone 8/7 - Blush Quartz</t>
  </si>
  <si>
    <t>B074JK4CKY</t>
  </si>
  <si>
    <t>2736</t>
  </si>
  <si>
    <t>BRENTHAVEN Tred 12" Sleeve 2017 (Black)</t>
  </si>
  <si>
    <t>B07D7FTG3Q</t>
  </si>
  <si>
    <t>2745</t>
  </si>
  <si>
    <t>BRENTHAVEN Edge 360 for iPad 5th Gen (Grey)</t>
  </si>
  <si>
    <t>B074JDG9TK</t>
  </si>
  <si>
    <t>276-0131-0111</t>
  </si>
  <si>
    <t>SONIX Case for iPhone X/Xs - Pink Pineapple</t>
  </si>
  <si>
    <t>B074HDJ5MW</t>
  </si>
  <si>
    <t>280-0017-0121</t>
  </si>
  <si>
    <t>SONIX Case for iPhone 8/7 Plus - Paradise</t>
  </si>
  <si>
    <t>B01LZ3PFYO</t>
  </si>
  <si>
    <t>2812</t>
  </si>
  <si>
    <t>BrentHaven Edge 360 for iPad 9.7'' - Grey (Retail)</t>
  </si>
  <si>
    <t>B07D7KDY7M</t>
  </si>
  <si>
    <t>282-0131-0111</t>
  </si>
  <si>
    <t>SONIX Case for iPhone 8/7 Plus - Pink Pineapple</t>
  </si>
  <si>
    <t>B074JK55MM</t>
  </si>
  <si>
    <t>282-0133-0111</t>
  </si>
  <si>
    <t>SONIX Case for iPhone 8/7 Plus - Sapphire Bloom</t>
  </si>
  <si>
    <t>B074JKY9F8</t>
  </si>
  <si>
    <t>568-0003-0603</t>
  </si>
  <si>
    <t>SONIX Wristlet Case for iPhone X/Xs - Black (Velvet)</t>
  </si>
  <si>
    <t>B074KKQN1K</t>
  </si>
  <si>
    <t>680-0535</t>
  </si>
  <si>
    <t>SPHERO LittleBits RVR Topper</t>
  </si>
  <si>
    <t>AC82770</t>
  </si>
  <si>
    <t>B0CH87T8VX</t>
  </si>
  <si>
    <t>AC82783</t>
  </si>
  <si>
    <t>AC82784</t>
  </si>
  <si>
    <t>7612</t>
  </si>
  <si>
    <t>BRENTHAVEN Tred Sleeve Shoulder Strap (Black)</t>
  </si>
  <si>
    <t>B01IJDHBTW</t>
  </si>
  <si>
    <t>AC82781</t>
  </si>
  <si>
    <t>901-00001</t>
  </si>
  <si>
    <t>B015ELZCJS</t>
  </si>
  <si>
    <t>901-00004</t>
  </si>
  <si>
    <t>B075NCN93B</t>
  </si>
  <si>
    <t>901-00006</t>
  </si>
  <si>
    <t>OSMO Hot Wheels Mindracers Kit (w/Mirror &amp; Stand)</t>
  </si>
  <si>
    <t>B075S1C9GF</t>
  </si>
  <si>
    <t>393655</t>
  </si>
  <si>
    <t>MC90100010</t>
  </si>
  <si>
    <t>B07NHS4D4T</t>
  </si>
  <si>
    <t>409522</t>
  </si>
  <si>
    <t>MG90100011</t>
  </si>
  <si>
    <t>B07PXPHF5M</t>
  </si>
  <si>
    <t>409523</t>
  </si>
  <si>
    <t>MC90100012</t>
  </si>
  <si>
    <t>476726</t>
  </si>
  <si>
    <t>MC90100021</t>
  </si>
  <si>
    <t>MC90100023</t>
  </si>
  <si>
    <t>902-00001</t>
  </si>
  <si>
    <t>OSMO Coding Awbie Game</t>
  </si>
  <si>
    <t>B071ZMBVGN</t>
  </si>
  <si>
    <t>902-00002</t>
  </si>
  <si>
    <t>OSMO Coding Jam Game</t>
  </si>
  <si>
    <t>B06XRW2185</t>
  </si>
  <si>
    <t>902-00003</t>
  </si>
  <si>
    <t>OSMO Pizza Co. Game</t>
  </si>
  <si>
    <t>B071JF3Z29</t>
  </si>
  <si>
    <t>999366</t>
  </si>
  <si>
    <t>MGOSMPCG</t>
  </si>
  <si>
    <t>902-00007</t>
  </si>
  <si>
    <t>OSMO Super Studio Mickey Mouse &amp; Friends</t>
  </si>
  <si>
    <t>B07F9FPJYM</t>
  </si>
  <si>
    <t>902-00008</t>
  </si>
  <si>
    <t>OSMO Super Studio Disney Princess</t>
  </si>
  <si>
    <t>B07FJYSBPG</t>
  </si>
  <si>
    <t>902-00009</t>
  </si>
  <si>
    <t>OSMO Super Studio The Incredibles 2</t>
  </si>
  <si>
    <t>B07FFVHX4G</t>
  </si>
  <si>
    <t>344538</t>
  </si>
  <si>
    <t>902-00011</t>
  </si>
  <si>
    <t>OSMO Detective Agency Game</t>
  </si>
  <si>
    <t>B07GJ1XSGP</t>
  </si>
  <si>
    <t>902-00024</t>
  </si>
  <si>
    <t>OSMO Maths Wizard and the Secrets of the Dragons Game</t>
  </si>
  <si>
    <t>B08H8GS32R</t>
  </si>
  <si>
    <t>485183</t>
  </si>
  <si>
    <t>MC90200024</t>
  </si>
  <si>
    <t>902-00025</t>
  </si>
  <si>
    <t>OSMO Maths Wizard and the Magical Workshop Game</t>
  </si>
  <si>
    <t>485184</t>
  </si>
  <si>
    <t>MC90200025</t>
  </si>
  <si>
    <t>902-00026</t>
  </si>
  <si>
    <t>OSMO Maths Wizard and the Enchanted World Game</t>
  </si>
  <si>
    <t>MC90200026</t>
  </si>
  <si>
    <t>902-00027</t>
  </si>
  <si>
    <t>OSMO Maths Wizard and the Amazing Airships Game</t>
  </si>
  <si>
    <t>MC90200027</t>
  </si>
  <si>
    <t>902-00032</t>
  </si>
  <si>
    <t>OSMO Maths Wizard and the Fantastic Food Truck Game</t>
  </si>
  <si>
    <t>MC90200032</t>
  </si>
  <si>
    <t>904-00004</t>
  </si>
  <si>
    <t>OSMO iPad Base + Mirror v2</t>
  </si>
  <si>
    <t>B07JNZ4J67</t>
  </si>
  <si>
    <t>396367</t>
  </si>
  <si>
    <t>MC90400004</t>
  </si>
  <si>
    <t>904-00014</t>
  </si>
  <si>
    <t>OSMO Protective Case for iPad 10.2" 7th &amp; 8th Gen (White)</t>
  </si>
  <si>
    <t>B08TH9Y8ZZ</t>
  </si>
  <si>
    <t>904-00015</t>
  </si>
  <si>
    <t>Osmo iPad base + Mirror V3</t>
  </si>
  <si>
    <t>MC90400015</t>
  </si>
  <si>
    <t>906-00081</t>
  </si>
  <si>
    <t>OSMO Genius Classroom  (4 x GK and 1 x Guide)</t>
  </si>
  <si>
    <t>678618</t>
  </si>
  <si>
    <t>AC82773</t>
  </si>
  <si>
    <t>791500</t>
  </si>
  <si>
    <t>AC82775</t>
  </si>
  <si>
    <t>SBPLUS</t>
  </si>
  <si>
    <t>791501</t>
  </si>
  <si>
    <t>AC82776</t>
  </si>
  <si>
    <t>B0BLF8CLQ</t>
  </si>
  <si>
    <t>B0BLF8CLQF</t>
  </si>
  <si>
    <t>AC71032</t>
  </si>
  <si>
    <t>608173</t>
  </si>
  <si>
    <t>AC82774</t>
  </si>
  <si>
    <t>AC82785</t>
  </si>
  <si>
    <t>980-0227</t>
  </si>
  <si>
    <t>SPHERO Indi Colour Tile Pack</t>
  </si>
  <si>
    <t>B0BTMVKH9T</t>
  </si>
  <si>
    <t>B09BRK1QWX</t>
  </si>
  <si>
    <t>AC71030</t>
  </si>
  <si>
    <t>MC9800529</t>
  </si>
  <si>
    <t>AC71031</t>
  </si>
  <si>
    <t>600227</t>
  </si>
  <si>
    <t>AC82772</t>
  </si>
  <si>
    <t>AC82782</t>
  </si>
  <si>
    <t>99MO020014</t>
  </si>
  <si>
    <t>MOSHI iVisor AG for iPad Pro 12.9" Gen 2 &amp; 1 (Black)</t>
  </si>
  <si>
    <t>B073SDGPMZ</t>
  </si>
  <si>
    <t>99MO020016</t>
  </si>
  <si>
    <t>MOSHI iVisor AG for iPad 9.7" (Black)</t>
  </si>
  <si>
    <t>B0716SKGY1</t>
  </si>
  <si>
    <t>99MO020017</t>
  </si>
  <si>
    <t>MOSHI iVisor AG for iPad 9.7" (White)</t>
  </si>
  <si>
    <t>B07146Q7RN</t>
  </si>
  <si>
    <t>99MO020028</t>
  </si>
  <si>
    <t>MOSHI iVisor AG for iPad Pro 12.9"  Gen 4 &amp; 3 (Black)</t>
  </si>
  <si>
    <t>B07MTG25TD</t>
  </si>
  <si>
    <t>B07QVZGDMV</t>
  </si>
  <si>
    <t>B07QTJ5T96</t>
  </si>
  <si>
    <t>99MO020035</t>
  </si>
  <si>
    <t>MOSHI iVisor AG for iPad 10.2" / iPad Pro 10.5" / Air 10.5" (Black)</t>
  </si>
  <si>
    <t>B07ZTF1R3C</t>
  </si>
  <si>
    <t>99MO020037</t>
  </si>
  <si>
    <t>MOSHI iVisor AG for Tesla Model 3 (Black)</t>
  </si>
  <si>
    <t>B088K3VY9Y</t>
  </si>
  <si>
    <t>99MO020041</t>
  </si>
  <si>
    <t>MOSHI iVisor AG for iPad Air 10.9" / Pro 11” 3rd Gen (Black)</t>
  </si>
  <si>
    <t>B08VRKTYPH</t>
  </si>
  <si>
    <t>99MO020044</t>
  </si>
  <si>
    <t>MOSHI iVisor AG for iPad Pro 12.9" 5th-3rd Gen (Black)</t>
  </si>
  <si>
    <t>B094D776PJ</t>
  </si>
  <si>
    <t>99MO021901</t>
  </si>
  <si>
    <t>MOSHI ClearGuard for MacBook Pro 13"/15"/17"/MBA13"</t>
  </si>
  <si>
    <t>B001QKI2DA</t>
  </si>
  <si>
    <t>B010CD8A7E</t>
  </si>
  <si>
    <t>99MO021914</t>
  </si>
  <si>
    <t>MOSHI ClearGuard MK for Magic Keyboard</t>
  </si>
  <si>
    <t>B01JLTKZ8C</t>
  </si>
  <si>
    <t>99MO021917</t>
  </si>
  <si>
    <t>MOSHI ClearGuard for MacBook Pro 13"/Pro 15" with Touchbar</t>
  </si>
  <si>
    <t>B01MSDQP3T</t>
  </si>
  <si>
    <t>99MO021920</t>
  </si>
  <si>
    <t>MOSHI ClearGuard MK Apple Keyboard with Keypad</t>
  </si>
  <si>
    <t>B07MK2W3V6</t>
  </si>
  <si>
    <t>99MO021921</t>
  </si>
  <si>
    <t>MOSHI ClearGuard for MacBook Air 13 USB-C (2018/2019)</t>
  </si>
  <si>
    <t>B07N3SGF7Q</t>
  </si>
  <si>
    <t>B085C1TT2Q</t>
  </si>
  <si>
    <t>99MO021927</t>
  </si>
  <si>
    <t>MOSHI ClearGuard for MacBook Air 2020 / M1</t>
  </si>
  <si>
    <t>B08979VW73</t>
  </si>
  <si>
    <t>99MO022007</t>
  </si>
  <si>
    <t>MOSHI Car Charger Duo 2-port - Dual 2.4amp Car Charger</t>
  </si>
  <si>
    <t>B00FCKS2MG</t>
  </si>
  <si>
    <t>99MO022118</t>
  </si>
  <si>
    <t>MOSHI ProGeo USB-C 42W Wall Charger with USB Port</t>
  </si>
  <si>
    <t>B07PY6HYWZ</t>
  </si>
  <si>
    <t>99MO022126</t>
  </si>
  <si>
    <t>MOSHI New IonBank 10K with Lightning/USB Cable (Bronze)</t>
  </si>
  <si>
    <t>B01DQ2FT04</t>
  </si>
  <si>
    <t>99MO022148</t>
  </si>
  <si>
    <t>MOSHI ProGeo USB-C Laptop Charger 65W (White)</t>
  </si>
  <si>
    <t>B07L996DMK</t>
  </si>
  <si>
    <t>B094CXP1N5</t>
  </si>
  <si>
    <t>99MO022213</t>
  </si>
  <si>
    <t>MOSHI Porto Q 5K</t>
  </si>
  <si>
    <t>B07JRGRDBT</t>
  </si>
  <si>
    <t>99MO022273</t>
  </si>
  <si>
    <t>MOSHI Sette Q Dual Wireless Charging Pad</t>
  </si>
  <si>
    <t>B094D77SZ1</t>
  </si>
  <si>
    <t>B005CQSGBW</t>
  </si>
  <si>
    <t>99MO023005</t>
  </si>
  <si>
    <t>MOSHI 3.5mm Audio Jack Splitter (Black)</t>
  </si>
  <si>
    <t>B00BK34Y6M</t>
  </si>
  <si>
    <t>99MO023006</t>
  </si>
  <si>
    <t>MOSHI USB-A to Lightning Cable 1m (Black)</t>
  </si>
  <si>
    <t>B00D2V43NY</t>
  </si>
  <si>
    <t>99MO023008</t>
  </si>
  <si>
    <t>MOSHI USB-A to Micro Cable 1m (Black)</t>
  </si>
  <si>
    <t>B00I6MI9UC</t>
  </si>
  <si>
    <t>99MO023043</t>
  </si>
  <si>
    <t>MOSHI USB-A to Lightning Cable 90-degree (Black)</t>
  </si>
  <si>
    <t>B01KQ3TAVA</t>
  </si>
  <si>
    <t>99MO023044</t>
  </si>
  <si>
    <t>MOSHI Integra Lightning to USB-A Charge/Sync Cable (Grey)</t>
  </si>
  <si>
    <t>B0743M486Z</t>
  </si>
  <si>
    <t>99MO023045</t>
  </si>
  <si>
    <t>MOSHI Integra USB-A to Lightning Cable 0.25m (Grey)</t>
  </si>
  <si>
    <t>B07PV15DCW</t>
  </si>
  <si>
    <t>99MO023046</t>
  </si>
  <si>
    <t>MOSHI USB-A to Lightning Cable 3m (Black)</t>
  </si>
  <si>
    <t>B073QZYRRK</t>
  </si>
  <si>
    <t>99MO023047</t>
  </si>
  <si>
    <t>MOSHI 3-in-1 Universal Charging Cable (Black)</t>
  </si>
  <si>
    <t>B07S7VCLNN</t>
  </si>
  <si>
    <t>99MO023101</t>
  </si>
  <si>
    <t>MOSHI iPhone/iPod 30-pin to USB Cable 1m (White)</t>
  </si>
  <si>
    <t>B004GO02TU</t>
  </si>
  <si>
    <t>99MO023104</t>
  </si>
  <si>
    <t>MOSHI Integra USB-A to Lightning Cable (Silver)</t>
  </si>
  <si>
    <t>B0743LSVZF</t>
  </si>
  <si>
    <t>99MO023114</t>
  </si>
  <si>
    <t>MOSHI 3.5mm to RCA Stereo Cable</t>
  </si>
  <si>
    <t>B00B4Q7SB8</t>
  </si>
  <si>
    <t>99MO023118</t>
  </si>
  <si>
    <t>MOSHI USB-A to Lightning Cable 3m (Silver)</t>
  </si>
  <si>
    <t>B00I56JGXI</t>
  </si>
  <si>
    <t>99MO023119</t>
  </si>
  <si>
    <t>MOSHI USB-A to Lightning Cable 1m (Silver)</t>
  </si>
  <si>
    <t>B00CX6GHVK</t>
  </si>
  <si>
    <t>99MO023126</t>
  </si>
  <si>
    <t>MOSHI High Speed HDMI Cable 2m (White)</t>
  </si>
  <si>
    <t>B00UL62G3M</t>
  </si>
  <si>
    <t>99MO023127</t>
  </si>
  <si>
    <t>MOSHI Mini DisplayPort to HDMI Cable 4K (Silver)</t>
  </si>
  <si>
    <t>B00TK0SLYI</t>
  </si>
  <si>
    <t>99MO023128</t>
  </si>
  <si>
    <t>MOSHI Lightning to USB Cable with 90 Degree Connector (White)</t>
  </si>
  <si>
    <t>B01KQ3TH0Y</t>
  </si>
  <si>
    <t>B003LPUT3E</t>
  </si>
  <si>
    <t>65081</t>
  </si>
  <si>
    <t>B00JVLVKSK</t>
  </si>
  <si>
    <t>65078</t>
  </si>
  <si>
    <t>99MO023221</t>
  </si>
  <si>
    <t>MOSHI USB-A to Lightning Cable 1m (Satin Gold)</t>
  </si>
  <si>
    <t>B00I6MIJUW</t>
  </si>
  <si>
    <t>99MO023251</t>
  </si>
  <si>
    <t>MOSHI USB-A to Lightning Cable 1m (Golden Rose)</t>
  </si>
  <si>
    <t>B019I90MGA</t>
  </si>
  <si>
    <t>99MO040908</t>
  </si>
  <si>
    <t>MOSHI iVisor for MacBook Pro 12"</t>
  </si>
  <si>
    <t>B014R17HLC</t>
  </si>
  <si>
    <t>99MO040909</t>
  </si>
  <si>
    <t>MOSHI iVisor AG for MacBook Air/Pro 13" USB-C</t>
  </si>
  <si>
    <t>B01NBRM7YX</t>
  </si>
  <si>
    <t>99MO040910</t>
  </si>
  <si>
    <t>MOSHI iVisor AG for MacBook Pro 15" USB-C</t>
  </si>
  <si>
    <t>B01N9OL91B</t>
  </si>
  <si>
    <t>99MO040912</t>
  </si>
  <si>
    <t>MOSHI iVisor AG for MacBook Pro 16"</t>
  </si>
  <si>
    <t>B085NMDT5L</t>
  </si>
  <si>
    <t>99MO040913</t>
  </si>
  <si>
    <t>MOSHI iVisor XT for MacBook Pro/Air 13 (Black)</t>
  </si>
  <si>
    <t>B08WZLYB17</t>
  </si>
  <si>
    <t>99MO053101</t>
  </si>
  <si>
    <t>MOSHI Travel Stand for Apple Watch (White)</t>
  </si>
  <si>
    <t>B072BKVS88</t>
  </si>
  <si>
    <t>99MO056006</t>
  </si>
  <si>
    <t>MOSHI VersaCover for iPad Pro / Air 10.5" (Black)</t>
  </si>
  <si>
    <t>B073X5DWNW</t>
  </si>
  <si>
    <t>99MO056081</t>
  </si>
  <si>
    <t>MOSHI VersaCover for iPad 10.2" 7th, 8th, 9th Gen (Black)</t>
  </si>
  <si>
    <t>B07ZTFN7SN</t>
  </si>
  <si>
    <t>99MO056082</t>
  </si>
  <si>
    <t>MOSHI VersaCover for iPad Pro 11" Gen 2 &amp; 1 (Black)</t>
  </si>
  <si>
    <t>B087PZTGWP</t>
  </si>
  <si>
    <t>99MO056083</t>
  </si>
  <si>
    <t>MOSHI VersaCover for iPad Air 10.9" / Pro 11” 3rd Gen (Black)</t>
  </si>
  <si>
    <t>B08Q7YM89R</t>
  </si>
  <si>
    <t>99MO056085</t>
  </si>
  <si>
    <t>MOSHI VersaCover for iPad Pro 12.9" 5th Gen (Black)</t>
  </si>
  <si>
    <t>B094D8DZFK</t>
  </si>
  <si>
    <t>99MO056261</t>
  </si>
  <si>
    <t>MOSHI VersaCover for iPad 10.2" 7th, 8th, 9th Gen (Grey)</t>
  </si>
  <si>
    <t>B07ZTFB5WZ</t>
  </si>
  <si>
    <t>99MO056302</t>
  </si>
  <si>
    <t>MOSHI VersaCover for iPad 9.7" (Pink)</t>
  </si>
  <si>
    <t>B071G926HH</t>
  </si>
  <si>
    <t>99MO056306</t>
  </si>
  <si>
    <t>MOSHI VersaCover for iPad 10.2" 7th, 8th, 9th Gen (Pink)</t>
  </si>
  <si>
    <t>B07ZTDYTHQ</t>
  </si>
  <si>
    <t>99MO056812</t>
  </si>
  <si>
    <t>MOSHI VersaCover for iPad Air 10.9" / Pro 11” 3rd Gen (Orange)</t>
  </si>
  <si>
    <t>B08Q75MZFM</t>
  </si>
  <si>
    <t>B08Q79TS1Y</t>
  </si>
  <si>
    <t>99MO064002</t>
  </si>
  <si>
    <t>MOSHI VersaCover for iPad Mini 5 (Black)</t>
  </si>
  <si>
    <t>B07QTZ6NPL</t>
  </si>
  <si>
    <t>99MO065011</t>
  </si>
  <si>
    <t>MOSHI Digits TouchScreen Gloves Small (Grey)</t>
  </si>
  <si>
    <t>B00AYF7NQA</t>
  </si>
  <si>
    <t>99MO065013</t>
  </si>
  <si>
    <t>MOSHI Digits TouchScreen Gloves Medium (Grey)</t>
  </si>
  <si>
    <t>B07ZPTW6QG</t>
  </si>
  <si>
    <t>99MO065031</t>
  </si>
  <si>
    <t>MOSHI Digits TouchScreen Gloves Large (Grey)</t>
  </si>
  <si>
    <t>B00AYF7NMO</t>
  </si>
  <si>
    <t>99MO071005</t>
  </si>
  <si>
    <t>MOSHI iGlaze for MacBook Pro 13" USB-C 2016 - 2019 (Black)</t>
  </si>
  <si>
    <t>B073V6YFGZ</t>
  </si>
  <si>
    <t>99MO071006</t>
  </si>
  <si>
    <t>MOSHI iGlaze for MacBook Pro 15" USB-C (Black)</t>
  </si>
  <si>
    <t>B073V7GLB3</t>
  </si>
  <si>
    <t>99MO071007</t>
  </si>
  <si>
    <t>MOSHI iGlaze for MacBook Air 13 USB-C (Black)</t>
  </si>
  <si>
    <t>B07N3QWYJQ</t>
  </si>
  <si>
    <t>99MO071902</t>
  </si>
  <si>
    <t>MOSHI iGlaze MacBook Air 13" (Translucent)</t>
  </si>
  <si>
    <t>B00HE7Q0HE</t>
  </si>
  <si>
    <t>99MO071905</t>
  </si>
  <si>
    <t>MOSHI iGlaze for MacBook 12" Retina (Clear)</t>
  </si>
  <si>
    <t>B010CDXIW6</t>
  </si>
  <si>
    <t>99MO071907</t>
  </si>
  <si>
    <t>MOSHI iGlaze for MacBook Pro 13" USB-C 2016 - 2019 (Clear)</t>
  </si>
  <si>
    <t>B01N6ZME2N</t>
  </si>
  <si>
    <t>99MO071908</t>
  </si>
  <si>
    <t>MOSHI iGlaze for MacBook Pro 15" USB-C (Clear)</t>
  </si>
  <si>
    <t>B01MYGUAR4</t>
  </si>
  <si>
    <t>B07N3WPS9Y</t>
  </si>
  <si>
    <t>99MO072010</t>
  </si>
  <si>
    <t>MOSHI SenseCover for iPhone X/Xs (Black)</t>
  </si>
  <si>
    <t>B075XLG7C6</t>
  </si>
  <si>
    <t>99MO072731</t>
  </si>
  <si>
    <t>MOSHI SenseCover for iPhone X/Xs (Brown)</t>
  </si>
  <si>
    <t>B075ZLNT4N</t>
  </si>
  <si>
    <t>99MO076014</t>
  </si>
  <si>
    <t>MOSHI AirFoil Glass for iPhone 11 Pro/Xs (Clear)</t>
  </si>
  <si>
    <t>B076J2HH5K</t>
  </si>
  <si>
    <t>99MO078001</t>
  </si>
  <si>
    <t>MOSHI Urbana Mini 12" (Black)</t>
  </si>
  <si>
    <t>B011EBSRAS</t>
  </si>
  <si>
    <t>99MO078031</t>
  </si>
  <si>
    <t>MOSHI Urbana 13"/15"- Mineral Grey</t>
  </si>
  <si>
    <t>B00MHI0D64</t>
  </si>
  <si>
    <t>99MO078501</t>
  </si>
  <si>
    <t>MOSHI Urbana Mini 12" (Sky Blue)</t>
  </si>
  <si>
    <t>B011EC3ZPY</t>
  </si>
  <si>
    <t>99MO082001</t>
  </si>
  <si>
    <t>MOSHI Aerio Messenger Bag 15" (Charcoal Black)</t>
  </si>
  <si>
    <t>B018WJQ5B8</t>
  </si>
  <si>
    <t>99MO082501</t>
  </si>
  <si>
    <t>MOSHI Aerio Lite Messenger Bag 12" (Sky Blue)</t>
  </si>
  <si>
    <t>B013WAUC7K</t>
  </si>
  <si>
    <t>99MO082701</t>
  </si>
  <si>
    <t>MOSHI Aerio Messenger Bag 15" (Titanium Grey)</t>
  </si>
  <si>
    <t>B018WJZ4OW</t>
  </si>
  <si>
    <t>99MO082731</t>
  </si>
  <si>
    <t>MOSHI Aerio Lite Messenger Bag 12" (Cocoa Brown)</t>
  </si>
  <si>
    <t>B013WARL2Y</t>
  </si>
  <si>
    <t>99MO084031</t>
  </si>
  <si>
    <t>MOSHI USB-C Monitor Cable (Grey/Gold)</t>
  </si>
  <si>
    <t>B077PXRXKY</t>
  </si>
  <si>
    <t>99MO084041</t>
  </si>
  <si>
    <t>MOSHI Integra USB-C to Lightning Cable 1.2 m (Grey)</t>
  </si>
  <si>
    <t>B07SQXWW3N</t>
  </si>
  <si>
    <t>99MO084043</t>
  </si>
  <si>
    <t>MOSHI Integra USB-C to Lightning Cable 0.25m (Grey)</t>
  </si>
  <si>
    <t>B07SR2R85W</t>
  </si>
  <si>
    <t>99MO084044</t>
  </si>
  <si>
    <t>MOSHI Integra USB-C to USB-A Cable 0.25m (Grey)</t>
  </si>
  <si>
    <t>B07PTR6BSP</t>
  </si>
  <si>
    <t>B019I90MC4</t>
  </si>
  <si>
    <t>99MO084102</t>
  </si>
  <si>
    <t>MOSHI USB-C to DisplayPort Cable 5K (Silver)</t>
  </si>
  <si>
    <t>B077S9DZGK</t>
  </si>
  <si>
    <t>99MO084103</t>
  </si>
  <si>
    <t>MOSHI USB-C to HDMI 4k HDR Cable 1.8m (White)</t>
  </si>
  <si>
    <t>B07NN2PSTT</t>
  </si>
  <si>
    <t>99MO084105</t>
  </si>
  <si>
    <t>MOSHI Integra USB-C to Lightning Cable 1.2m (Silver)</t>
  </si>
  <si>
    <t>B07SQZPXDM</t>
  </si>
  <si>
    <t>B014I479FC</t>
  </si>
  <si>
    <t>B01A9H2MTK</t>
  </si>
  <si>
    <t>B01BBZ3YIM</t>
  </si>
  <si>
    <t>961109</t>
  </si>
  <si>
    <t>99MO084203</t>
  </si>
  <si>
    <t>MOSHI USB-C to Gigabit Ethernet Adaptor (Silver)</t>
  </si>
  <si>
    <t>B01M1M5USK</t>
  </si>
  <si>
    <t>B01L7OL4FW</t>
  </si>
  <si>
    <t>99MO084213</t>
  </si>
  <si>
    <t>MOSHI USB-C Multimedia Adapter (Grey)</t>
  </si>
  <si>
    <t>B07581HL9R</t>
  </si>
  <si>
    <t>99MO084214</t>
  </si>
  <si>
    <t>MOSHI USB-C to Dual USB-A Adapter (Grey)</t>
  </si>
  <si>
    <t>B07581YL4C</t>
  </si>
  <si>
    <t>B07MQWPDWN</t>
  </si>
  <si>
    <t>99MO084241</t>
  </si>
  <si>
    <t>MOSHI USB-C Digital Audio Adapter (Silver)</t>
  </si>
  <si>
    <t>B076LRWD5D</t>
  </si>
  <si>
    <t>99MO084245</t>
  </si>
  <si>
    <t>MOSHI Integra USB-C Cable with LED 100w 2m (Silver)</t>
  </si>
  <si>
    <t>B07CHJYPCC</t>
  </si>
  <si>
    <t>99MO084249</t>
  </si>
  <si>
    <t>MOSHI USB-C Digital Audio Adapter with Charging Universal (Silver)</t>
  </si>
  <si>
    <t>B07LGP62JX</t>
  </si>
  <si>
    <t>99MO085009</t>
  </si>
  <si>
    <t>MOSHI Umbra Privacy Guard for MacBook Pro/Air 13 USB-C</t>
  </si>
  <si>
    <t>B07G8TTRTB</t>
  </si>
  <si>
    <t>99MO085010</t>
  </si>
  <si>
    <t>MOSHI Umbra Privacy Screen Protector for MacBook Pro 15''</t>
  </si>
  <si>
    <t>B07G8V6NM3</t>
  </si>
  <si>
    <t>99MO086011</t>
  </si>
  <si>
    <t>MOSHI Talos for iPhone X/Xs (Grey)</t>
  </si>
  <si>
    <t>B077MGZ93T</t>
  </si>
  <si>
    <t>99MO086041</t>
  </si>
  <si>
    <t>MOSHI Talos for iPhone X/Xs (Black)</t>
  </si>
  <si>
    <t>B075ZSTVM2</t>
  </si>
  <si>
    <t>99MO087001</t>
  </si>
  <si>
    <t>MOSHI Helios Laptop Backpack 15" (Charcoal Black)</t>
  </si>
  <si>
    <t>B01EOPUHD6</t>
  </si>
  <si>
    <t>99MO087002</t>
  </si>
  <si>
    <t>MOSHI Helios Lite Laptop Backpack 13" (Slate Black)</t>
  </si>
  <si>
    <t>B074WH7M81</t>
  </si>
  <si>
    <t>99MO087501</t>
  </si>
  <si>
    <t>MOSHI Helios Lite Laptop Backpack 13" (Sky Blue)</t>
  </si>
  <si>
    <t>B01EZTRMPM</t>
  </si>
  <si>
    <t>99MO087701</t>
  </si>
  <si>
    <t>MOSHI Helios Lite Laptop Backpack 13" (Titanium Grey)</t>
  </si>
  <si>
    <t>B01EZTSJFE</t>
  </si>
  <si>
    <t>99MO087731</t>
  </si>
  <si>
    <t>MOSHI Helios Laptop Backpack 15" (Cocoa Brown)</t>
  </si>
  <si>
    <t>B01EOPWPYU</t>
  </si>
  <si>
    <t>99MO094001</t>
  </si>
  <si>
    <t>MOSHI Arcus Multifunction Backpack 15" (Charcoal Black)</t>
  </si>
  <si>
    <t>B01MUCJQ4U</t>
  </si>
  <si>
    <t>99MO094074</t>
  </si>
  <si>
    <t>MOSHI Arcus Camera Insert (Beige)</t>
  </si>
  <si>
    <t>B06XFZWGSW</t>
  </si>
  <si>
    <t>99MO095001</t>
  </si>
  <si>
    <t>MOSHI Passport Holder (Onyx Black)</t>
  </si>
  <si>
    <t>B01N7P5T3N</t>
  </si>
  <si>
    <t>99MO095002</t>
  </si>
  <si>
    <t>MOSHI Slim Wallet (Onyx Black)</t>
  </si>
  <si>
    <t>B01N9OLCUC</t>
  </si>
  <si>
    <t>99MO095003</t>
  </si>
  <si>
    <t>MOSHI Key Holder (Onyx Black)</t>
  </si>
  <si>
    <t>B07JN8XNYL</t>
  </si>
  <si>
    <t>99MO095004</t>
  </si>
  <si>
    <t>MOSHI Badge Holder (Onyx Black)</t>
  </si>
  <si>
    <t>B0795WZCGS</t>
  </si>
  <si>
    <t>99MO095321</t>
  </si>
  <si>
    <t>MOSHI Passport Holder (Burgundy Red)</t>
  </si>
  <si>
    <t>B01NBRM8LB</t>
  </si>
  <si>
    <t>99MO095322</t>
  </si>
  <si>
    <t>MOSHI Slim Wallet (Burgundy Red)</t>
  </si>
  <si>
    <t>B01NAQ4UDH</t>
  </si>
  <si>
    <t>99MO095323</t>
  </si>
  <si>
    <t>MOSHI Key Holder (Burgundy Red)</t>
  </si>
  <si>
    <t>B01NCSPTEC</t>
  </si>
  <si>
    <t>99MO095324</t>
  </si>
  <si>
    <t>MOSHI Badge Holder (Burgundy Red)</t>
  </si>
  <si>
    <t>B01NAQ51DM</t>
  </si>
  <si>
    <t>99MO096005</t>
  </si>
  <si>
    <t>MOSHI IonGlass Guard for iPhone 11 Pro/Xs (Black)</t>
  </si>
  <si>
    <t>B076R188J8</t>
  </si>
  <si>
    <t>99MO096022</t>
  </si>
  <si>
    <t>MOSHI IonGlass Guard for iPhone 11 Pro Max/Xs Max (Black)</t>
  </si>
  <si>
    <t>B07H93F5LG</t>
  </si>
  <si>
    <t>99MO097001</t>
  </si>
  <si>
    <t>MOSHI Vacanza Weekend Travel Bag (Charcoal Black)</t>
  </si>
  <si>
    <t>B072C4PR2C</t>
  </si>
  <si>
    <t>99MO099041</t>
  </si>
  <si>
    <t>MOSHI Costa Travel Satchel (Granite Grey)</t>
  </si>
  <si>
    <t>B072FQHRC3</t>
  </si>
  <si>
    <t>99MO099741</t>
  </si>
  <si>
    <t>MOSHI Costa Travel Satchel (Sandstone Beige)</t>
  </si>
  <si>
    <t>B074WJQDMK</t>
  </si>
  <si>
    <t>99MO101001</t>
  </si>
  <si>
    <t>MOSHI iGlaze for iPhone X/Xs (Black)</t>
  </si>
  <si>
    <t>B075LT9JJF</t>
  </si>
  <si>
    <t>99MO101002</t>
  </si>
  <si>
    <t>MOSHI Overture for iPhone X/Xs (Black)</t>
  </si>
  <si>
    <t>B075LW4B6K</t>
  </si>
  <si>
    <t>99MO101031</t>
  </si>
  <si>
    <t>MOSHI Vesta for iPhone X/XS (Grey)</t>
  </si>
  <si>
    <t>B075LYJS6S</t>
  </si>
  <si>
    <t>99MO101101</t>
  </si>
  <si>
    <t>MOSHI iGlaze for iPhone X/Xs (White)</t>
  </si>
  <si>
    <t>B075LW4DF1</t>
  </si>
  <si>
    <t>99MO101301</t>
  </si>
  <si>
    <t>MOSHI iGlaze for iPhone X/Xs (Pink)</t>
  </si>
  <si>
    <t>B075LNBJS3</t>
  </si>
  <si>
    <t>99MO101303</t>
  </si>
  <si>
    <t>MOSHI Overture for iPhone X/Xs (Pink)</t>
  </si>
  <si>
    <t>B075LTCKG8</t>
  </si>
  <si>
    <t>99MO101511</t>
  </si>
  <si>
    <t>MOSHI Vesta for iPhone X/Xs - Bahama Blue</t>
  </si>
  <si>
    <t>B075LW9V1J</t>
  </si>
  <si>
    <t>99MO101512</t>
  </si>
  <si>
    <t>MOSHI Kameleon for iPhone X/XS (Blue)</t>
  </si>
  <si>
    <t>B075ZMZ6RP</t>
  </si>
  <si>
    <t>99MO101751</t>
  </si>
  <si>
    <t>MOSHI Overture for iPhone X/Xs (Brown)</t>
  </si>
  <si>
    <t>B075M1QLL8</t>
  </si>
  <si>
    <t>99MO102021</t>
  </si>
  <si>
    <t>MOSHI Stealthcover for iPhone X/XS (Gunmetal Grey)</t>
  </si>
  <si>
    <t>B075LW84BG</t>
  </si>
  <si>
    <t>99MO103321</t>
  </si>
  <si>
    <t>MOSHI Vitros for iPhone X/Xs (Red)</t>
  </si>
  <si>
    <t>B075ZPD556</t>
  </si>
  <si>
    <t>99MO104302</t>
  </si>
  <si>
    <t>MOSHI Pluma for MacBook Pro / Air 13'' USB-C (Carnation Pink)</t>
  </si>
  <si>
    <t>B07PTR9P5J</t>
  </si>
  <si>
    <t>99MO104534</t>
  </si>
  <si>
    <t>MOSHI Pluma for MacBook Pro / Air 13'' USB-C (Denim Blue)</t>
  </si>
  <si>
    <t>B07PSNMK9T</t>
  </si>
  <si>
    <t>99MO112001</t>
  </si>
  <si>
    <t>MOSHI Hexa Lightweight Backpack (Midnight Black)</t>
  </si>
  <si>
    <t>B07F7Y1LL9</t>
  </si>
  <si>
    <t>99MO112601</t>
  </si>
  <si>
    <t>MOSHI Hexa Lightweight Backpack (Forest Green)</t>
  </si>
  <si>
    <t>B07F7XFH8M</t>
  </si>
  <si>
    <t>99MO112711</t>
  </si>
  <si>
    <t>MOSHI Hexa Lightweight Backpack (Khaki Brown)</t>
  </si>
  <si>
    <t>B07F7X589H</t>
  </si>
  <si>
    <t>99MO117001</t>
  </si>
  <si>
    <t>MOSHI Altra for iPhone XR (Black)</t>
  </si>
  <si>
    <t>B07HB8QZVV</t>
  </si>
  <si>
    <t>99MO117002</t>
  </si>
  <si>
    <t>MOSHI Altra SnapTo for iPhone XS Max (Black)</t>
  </si>
  <si>
    <t>B07HB84V8X</t>
  </si>
  <si>
    <t>99MO117004</t>
  </si>
  <si>
    <t>MOSHI Altra SnapTo for iPhone 11 Pro (Black)</t>
  </si>
  <si>
    <t>AC27739</t>
  </si>
  <si>
    <t>99MO117111</t>
  </si>
  <si>
    <t>MOSHI Altra SnapTo for iPhone Xr (Beige)</t>
  </si>
  <si>
    <t>B07HB9STXK</t>
  </si>
  <si>
    <t>99MO117112</t>
  </si>
  <si>
    <t>MOSHI Altra for iPhone XS Max (SnapTo) - Savanna Beige</t>
  </si>
  <si>
    <t>B07HB8N7GT</t>
  </si>
  <si>
    <t>99MO117301</t>
  </si>
  <si>
    <t>MOSHI Altra SnapTo for iPhone Xr (Pink)</t>
  </si>
  <si>
    <t>B07HB8ZQH4</t>
  </si>
  <si>
    <t>99MO117302</t>
  </si>
  <si>
    <t>MOSHI Altra for iPhone XS Max (Pink)</t>
  </si>
  <si>
    <t>B07HB9VK12</t>
  </si>
  <si>
    <t>99MO118001</t>
  </si>
  <si>
    <t>MOSHI Treya - Satchel / Backpack (Black)</t>
  </si>
  <si>
    <t>B07H3KZ318</t>
  </si>
  <si>
    <t>99MO118002</t>
  </si>
  <si>
    <t>MOSHI Treya Lite Satchel / Backpack (Black)</t>
  </si>
  <si>
    <t>B07H571N19</t>
  </si>
  <si>
    <t>99MO118751</t>
  </si>
  <si>
    <t>MOSHI Treya Lite Satchel / Backpack (Brown)</t>
  </si>
  <si>
    <t>B07H55VQG3</t>
  </si>
  <si>
    <t>99MO119001</t>
  </si>
  <si>
    <t>MOSHI Carta Compact Messenger Bag 13" (Herringbone Black)</t>
  </si>
  <si>
    <t>B07N8X3M6Z</t>
  </si>
  <si>
    <t>99MO119731</t>
  </si>
  <si>
    <t>MOSHI Carta Compact Messenger Bag 13" (Vintage Brown)</t>
  </si>
  <si>
    <t>B07N8XMW35</t>
  </si>
  <si>
    <t>99MO120541</t>
  </si>
  <si>
    <t>MOSHI Captus Rolltop Backpack (Denim Blue)</t>
  </si>
  <si>
    <t>B07TD2FLW1</t>
  </si>
  <si>
    <t>99MO120741</t>
  </si>
  <si>
    <t>MOSHI Captus Rolltop Backpack (Sandstone Beige)</t>
  </si>
  <si>
    <t>B07TH3J7BM</t>
  </si>
  <si>
    <t>99MO122001</t>
  </si>
  <si>
    <t>MOSHI SnapTo Wall Mount (Grey)</t>
  </si>
  <si>
    <t>B07L3FB4B9</t>
  </si>
  <si>
    <t>99MO122003</t>
  </si>
  <si>
    <t>MOSHI SnapTo Car Mount (Grey)</t>
  </si>
  <si>
    <t>B07T9DXDLP</t>
  </si>
  <si>
    <t>99MO123001</t>
  </si>
  <si>
    <t>MOSHI Apple Pencil Case (Black)</t>
  </si>
  <si>
    <t>B07VSTV7PC</t>
  </si>
  <si>
    <t>B085VDWBFS</t>
  </si>
  <si>
    <t>99MO124002</t>
  </si>
  <si>
    <t>MOSHI iGlaze for MacBook Pro 13" 2020 (Black)</t>
  </si>
  <si>
    <t>B08HV9GHRB</t>
  </si>
  <si>
    <t>99MO124901</t>
  </si>
  <si>
    <t>MOSHI iGlaze for MacBook Pro 16" (Clear)</t>
  </si>
  <si>
    <t>B085VDC9SV</t>
  </si>
  <si>
    <t>99MO124902</t>
  </si>
  <si>
    <t>MOSHI iGlaze for MacBook Pro 13" 2020 (Clear)</t>
  </si>
  <si>
    <t>B08HVGNBZL</t>
  </si>
  <si>
    <t>B08D6HT32K</t>
  </si>
  <si>
    <t>B08D6KPKDS</t>
  </si>
  <si>
    <t>B08HYRF7MP</t>
  </si>
  <si>
    <t>B08HYRX2CX</t>
  </si>
  <si>
    <t>99MO129031</t>
  </si>
  <si>
    <t>MOSHI Deep Purple UV Sanitiser</t>
  </si>
  <si>
    <t>B08QHFBX4L</t>
  </si>
  <si>
    <t>ACB0BU</t>
  </si>
  <si>
    <t>SPHERO Nubby Cover (Blue)</t>
  </si>
  <si>
    <t>B01MSOXA8X</t>
  </si>
  <si>
    <t>ACB0OR</t>
  </si>
  <si>
    <t>SPHERO Nubby Cover (Orange)</t>
  </si>
  <si>
    <t>B00GOJR4AU</t>
  </si>
  <si>
    <t>ACB0YE</t>
  </si>
  <si>
    <t>SPHERO Nubby Cover (Yellow)</t>
  </si>
  <si>
    <t>B071RRWHKP</t>
  </si>
  <si>
    <t>ACBE01</t>
  </si>
  <si>
    <t>SPHERO Computer Science Foundations Course A Code Book</t>
  </si>
  <si>
    <t>AC34329</t>
  </si>
  <si>
    <t>ACBE02</t>
  </si>
  <si>
    <t>SPHERO Computer Science Foundations Course B Code Book</t>
  </si>
  <si>
    <t>AC34330</t>
  </si>
  <si>
    <t>ACBE03</t>
  </si>
  <si>
    <t>SPHERO Computer Science Foundations Course C Code Book</t>
  </si>
  <si>
    <t>AC34331</t>
  </si>
  <si>
    <t>LACCHM2AE</t>
  </si>
  <si>
    <t>ACH001BLK</t>
  </si>
  <si>
    <t>SPHERO Chariot (Black)</t>
  </si>
  <si>
    <t>B00QIZU4ZC</t>
  </si>
  <si>
    <t>B00QIZVYWY</t>
  </si>
  <si>
    <t>AB94052</t>
  </si>
  <si>
    <t>B096RLKNYH</t>
  </si>
  <si>
    <t>B075KCB65D</t>
  </si>
  <si>
    <t>543221</t>
  </si>
  <si>
    <t>B073YGD37Y</t>
  </si>
  <si>
    <t>469611</t>
  </si>
  <si>
    <t>B073YGKCVD</t>
  </si>
  <si>
    <t>ADJD3S</t>
  </si>
  <si>
    <t>ADONIT Jot Dash 3 (Silver)</t>
  </si>
  <si>
    <t>B073YG46Y8</t>
  </si>
  <si>
    <t>B095XZ5KW7</t>
  </si>
  <si>
    <t>554932</t>
  </si>
  <si>
    <t>AC70884</t>
  </si>
  <si>
    <t>ADDASH4BK</t>
  </si>
  <si>
    <t>B095YF16G5</t>
  </si>
  <si>
    <t>554936</t>
  </si>
  <si>
    <t>AC70885</t>
  </si>
  <si>
    <t>ADDASH4SR</t>
  </si>
  <si>
    <t>ADJM3B</t>
  </si>
  <si>
    <t>ADONIT Mini 3 - Black *</t>
  </si>
  <si>
    <t>B06Y64P6R1</t>
  </si>
  <si>
    <t>B07C8GDSDC</t>
  </si>
  <si>
    <t>625047</t>
  </si>
  <si>
    <t>AC21228</t>
  </si>
  <si>
    <t>ADMIN4DG</t>
  </si>
  <si>
    <t>ADM4O</t>
  </si>
  <si>
    <t>ADONIT Mini 4 (Orange)</t>
  </si>
  <si>
    <t>B07BLTSM5L</t>
  </si>
  <si>
    <t>625044</t>
  </si>
  <si>
    <t>ADM4OG</t>
  </si>
  <si>
    <t>ADONIT Mini 4 (Green)</t>
  </si>
  <si>
    <t>B07BLRTJBY</t>
  </si>
  <si>
    <t>B07BLS7DPV</t>
  </si>
  <si>
    <t>625045</t>
  </si>
  <si>
    <t>AC21224</t>
  </si>
  <si>
    <t>ADMIN4RB</t>
  </si>
  <si>
    <t>B01AUVS3HU</t>
  </si>
  <si>
    <t>321803</t>
  </si>
  <si>
    <t>AC11069</t>
  </si>
  <si>
    <t>MGADMB</t>
  </si>
  <si>
    <t>B09BN84982</t>
  </si>
  <si>
    <t>554943</t>
  </si>
  <si>
    <t>AC70886</t>
  </si>
  <si>
    <t>ADDASH4NIB</t>
  </si>
  <si>
    <t>B01AUVS2O4</t>
  </si>
  <si>
    <t>321804</t>
  </si>
  <si>
    <t>AC11070</t>
  </si>
  <si>
    <t>MGADMS</t>
  </si>
  <si>
    <t>B07R9HPSYN</t>
  </si>
  <si>
    <t>396119</t>
  </si>
  <si>
    <t>B09P1CD9GV</t>
  </si>
  <si>
    <t>609516</t>
  </si>
  <si>
    <t>AC70891</t>
  </si>
  <si>
    <t>ADNEOGREY</t>
  </si>
  <si>
    <t>B0B1PYC4CC</t>
  </si>
  <si>
    <t>609512</t>
  </si>
  <si>
    <t>AC70892</t>
  </si>
  <si>
    <t>B09P1C3NQY</t>
  </si>
  <si>
    <t>AC70890</t>
  </si>
  <si>
    <t>ADNEOLTBK</t>
  </si>
  <si>
    <t>B09P19Z1D3</t>
  </si>
  <si>
    <t>AC70889</t>
  </si>
  <si>
    <t>ADNEOLTMSR</t>
  </si>
  <si>
    <t>B0B9NGZNJ9</t>
  </si>
  <si>
    <t>609519</t>
  </si>
  <si>
    <t>AC70893</t>
  </si>
  <si>
    <t>ADNG</t>
  </si>
  <si>
    <t>ADONIT Note (Gold)</t>
  </si>
  <si>
    <t>B07R76TTLJ</t>
  </si>
  <si>
    <t>B07YB65VC8</t>
  </si>
  <si>
    <t>411281</t>
  </si>
  <si>
    <t>ADNSBLK</t>
  </si>
  <si>
    <t>ADNSBCF</t>
  </si>
  <si>
    <t>ADONIT Note 2 (clip free)</t>
  </si>
  <si>
    <t>B08VNWLNJR</t>
  </si>
  <si>
    <t>B07T34NRGS</t>
  </si>
  <si>
    <t>417773</t>
  </si>
  <si>
    <t>ADP3B</t>
  </si>
  <si>
    <t>ADONIT Pro 3 - Black</t>
  </si>
  <si>
    <t>B0763THS2Z</t>
  </si>
  <si>
    <t>ADP3MB</t>
  </si>
  <si>
    <t>ADONIT Pro 3 - Midnight Blue</t>
  </si>
  <si>
    <t>B0763SDRMP</t>
  </si>
  <si>
    <t>ADP3S</t>
  </si>
  <si>
    <t>ADONIT Pro 3 - Silver</t>
  </si>
  <si>
    <t>B0763Y24M7</t>
  </si>
  <si>
    <t>B07PHDNN6J</t>
  </si>
  <si>
    <t>411273</t>
  </si>
  <si>
    <t>AC34311</t>
  </si>
  <si>
    <t>ADPRO4BLK</t>
  </si>
  <si>
    <t>ADP4G</t>
  </si>
  <si>
    <t>ADONIT Pro 4 (Gold)</t>
  </si>
  <si>
    <t>B07PHDLFHG</t>
  </si>
  <si>
    <t>B07PJJ7KXT</t>
  </si>
  <si>
    <t>411274</t>
  </si>
  <si>
    <t>AC70883</t>
  </si>
  <si>
    <t>ADPRO4SLV</t>
  </si>
  <si>
    <t>ADPBL</t>
  </si>
  <si>
    <t>ADONIT Pixel (Black)</t>
  </si>
  <si>
    <t>B01EM7RVLC</t>
  </si>
  <si>
    <t>B076PLHKRZ</t>
  </si>
  <si>
    <t>331225</t>
  </si>
  <si>
    <t>AC34315</t>
  </si>
  <si>
    <t>796015</t>
  </si>
  <si>
    <t>796014</t>
  </si>
  <si>
    <t>ADWCCPQ</t>
  </si>
  <si>
    <t>ADONIT Auto-Clamping Wireless Car Charger Premium (Black)</t>
  </si>
  <si>
    <t>B07FQGQXG9</t>
  </si>
  <si>
    <t>ADWCCQ</t>
  </si>
  <si>
    <t>ADONIT Auto-Clamping Wireless Car Charger (Black)</t>
  </si>
  <si>
    <t>B07DLNSJ9J</t>
  </si>
  <si>
    <t>ANA-00005</t>
  </si>
  <si>
    <t>LIVESCRIBE Journals Series 2, Unlined #3-4, 2pk (Black)</t>
  </si>
  <si>
    <t>LIVESCRIBE</t>
  </si>
  <si>
    <t>B001AAN4U2</t>
  </si>
  <si>
    <t>ANT001CYB</t>
  </si>
  <si>
    <t>SPHERO Ollie Nubby Tyres (Yellow)</t>
  </si>
  <si>
    <t>B01H5UUJYY</t>
  </si>
  <si>
    <t>726544</t>
  </si>
  <si>
    <t>ANT001ORA</t>
  </si>
  <si>
    <t>SPHERO Ollie Nubby Tyres (Orange)</t>
  </si>
  <si>
    <t>B00QQ1I626</t>
  </si>
  <si>
    <t>726545</t>
  </si>
  <si>
    <t>ARA-00010</t>
  </si>
  <si>
    <t>LIVESCRIBE 3 Ink Cartridge Refills, 8-pack - (Blue Medium)</t>
  </si>
  <si>
    <t>B00GKINXUU</t>
  </si>
  <si>
    <t>ARD3TS</t>
  </si>
  <si>
    <t>ADONIT Dash 3 Replacement Tip 2 Pack (Silver)</t>
  </si>
  <si>
    <t>B075FXHBJ4</t>
  </si>
  <si>
    <t>B09JL354WT</t>
  </si>
  <si>
    <t>554939</t>
  </si>
  <si>
    <t>AC70887</t>
  </si>
  <si>
    <t>ADDASH4USB</t>
  </si>
  <si>
    <t>B014RQ0R6E</t>
  </si>
  <si>
    <t>ARP3DT</t>
  </si>
  <si>
    <t>ADONIT Jot Pro 2 Ball Tip - 2 Pack</t>
  </si>
  <si>
    <t>B00TWILO7O</t>
  </si>
  <si>
    <t>ARS2CH</t>
  </si>
  <si>
    <t>ADONIT Jot Script 2 USB Charger</t>
  </si>
  <si>
    <t>B00XBO8E2S</t>
  </si>
  <si>
    <t>ASR01BLK</t>
  </si>
  <si>
    <t>SPHERO Ollie Spine Ramp (Black)</t>
  </si>
  <si>
    <t>B07DW38JJT</t>
  </si>
  <si>
    <t>B07JB8QWH6</t>
  </si>
  <si>
    <t>B07S1Y7559</t>
  </si>
  <si>
    <t>594307</t>
  </si>
  <si>
    <t>B097YW5Q72</t>
  </si>
  <si>
    <t>594306</t>
  </si>
  <si>
    <t>B09SQ3P6WR</t>
  </si>
  <si>
    <t>594305</t>
  </si>
  <si>
    <t>ATC001CAR</t>
  </si>
  <si>
    <t>SPHERO Turbo Cover (Carbon)</t>
  </si>
  <si>
    <t>B01HDETRCM</t>
  </si>
  <si>
    <t>ATC001RED</t>
  </si>
  <si>
    <t>SPHERO Turbo Cover (Red)</t>
  </si>
  <si>
    <t>B01BM9PR46</t>
  </si>
  <si>
    <t>B00QIZY1F6</t>
  </si>
  <si>
    <t>AB94053</t>
  </si>
  <si>
    <t>MATP001BLU</t>
  </si>
  <si>
    <t>AUT001BLK</t>
  </si>
  <si>
    <t>SPHERO Ollie Ultra Tyres (Black)</t>
  </si>
  <si>
    <t>B00QKRSAHC</t>
  </si>
  <si>
    <t>AUT001GRE</t>
  </si>
  <si>
    <t>SPHERO Ollie Ultra Tyres (Green)</t>
  </si>
  <si>
    <t>B00QKS4U2U</t>
  </si>
  <si>
    <t>AUT001PNK</t>
  </si>
  <si>
    <t>SPHERO Ollie Ultra Tyres (Pink)</t>
  </si>
  <si>
    <t>B00QKS4VWE</t>
  </si>
  <si>
    <t>LB463AJDBA</t>
  </si>
  <si>
    <t>BB-01-B-E</t>
  </si>
  <si>
    <t>BACKBONE One iPhone Mobile Gaming Controller / Gamepad</t>
  </si>
  <si>
    <t>BOB-MAT-WW-2/GEN</t>
  </si>
  <si>
    <t>SENSIBLE OBJECT The Playmat Add-on</t>
  </si>
  <si>
    <t>SENSIBLE OBJECT</t>
  </si>
  <si>
    <t>B07K7ZWDFJ</t>
  </si>
  <si>
    <t>B07DD1H2TD</t>
  </si>
  <si>
    <t>CAT100APD3BLK</t>
  </si>
  <si>
    <t>CATALYST Total Protection Case for AirPods 3rd Gen (Black)</t>
  </si>
  <si>
    <t>AC70951</t>
  </si>
  <si>
    <t>526080</t>
  </si>
  <si>
    <t>AC40064</t>
  </si>
  <si>
    <t>CAT100APDPROGRN</t>
  </si>
  <si>
    <t>CATALYST Total Protection Case for AirPods Pro 1st/2nd Gen (Green)</t>
  </si>
  <si>
    <t>526081</t>
  </si>
  <si>
    <t>AC40065</t>
  </si>
  <si>
    <t>CAT40DROP5BLK</t>
  </si>
  <si>
    <t>CATALYST Impact Case for Apple Watch SE/6/5/4, 40mm (Black)</t>
  </si>
  <si>
    <t>438312</t>
  </si>
  <si>
    <t>CAT41DROP7BLK</t>
  </si>
  <si>
    <t>CATALYST Active Defence Case for Apple Watch 9/8/7, 41mm  (Black)</t>
  </si>
  <si>
    <t>588622</t>
  </si>
  <si>
    <t>CAT42WAT3BLK</t>
  </si>
  <si>
    <t>CATALYST Waterproof case for Apple Watch 3/2, 42mm (Black)</t>
  </si>
  <si>
    <t>484235</t>
  </si>
  <si>
    <t>CAT44DROP5BLK</t>
  </si>
  <si>
    <t>CATALYST Impact Case for Apple Watch SE/6/5/4, 44mm (Black)</t>
  </si>
  <si>
    <t>437706</t>
  </si>
  <si>
    <t>AC34906</t>
  </si>
  <si>
    <t>CAT44WAT4BLK</t>
  </si>
  <si>
    <t>CATALYST Waterproof Case for Apple Watch SE/6/5/4, 44mm (Black)</t>
  </si>
  <si>
    <t>365325</t>
  </si>
  <si>
    <t>CAT45DROP7BLK</t>
  </si>
  <si>
    <t>CATALYST Active Defence Case for Apple Watch 9/8/7, 45mm (Black)</t>
  </si>
  <si>
    <t>588623</t>
  </si>
  <si>
    <t>AC70949</t>
  </si>
  <si>
    <t>CAT45WAT7BLK</t>
  </si>
  <si>
    <t>CATALYST Total Protection Case for Apple Watch Series 8/7, 45mm (Black)</t>
  </si>
  <si>
    <t>639160</t>
  </si>
  <si>
    <t>AC70952</t>
  </si>
  <si>
    <t>CATAPD3BLU</t>
  </si>
  <si>
    <t>CATALYST Waterproof Influence Case for AirPods 3rd Gen (Blue)</t>
  </si>
  <si>
    <t>544712</t>
  </si>
  <si>
    <t>CATAPD3GRY</t>
  </si>
  <si>
    <t>CATALYST Waterproof Influence Case for AirPods 3rd Gen (Grey)</t>
  </si>
  <si>
    <t>544711</t>
  </si>
  <si>
    <t>CATAPDGRY</t>
  </si>
  <si>
    <t>CATALYST Waterproof Case for AirPods (Grey)</t>
  </si>
  <si>
    <t>365242</t>
  </si>
  <si>
    <t>420653</t>
  </si>
  <si>
    <t>CATAPDPRORED</t>
  </si>
  <si>
    <t>CATALYST Waterproof Case for AirPods Pro 1st/2nd Gen (Red)</t>
  </si>
  <si>
    <t>CATAPDTBFC</t>
  </si>
  <si>
    <t>CATALYST Waterproof case for AirPods (Blue/Orange)</t>
  </si>
  <si>
    <t>365241</t>
  </si>
  <si>
    <t>CATDRPH12CLRL</t>
  </si>
  <si>
    <t>CATALYST Influence Case for iPhone 12 Pro Max - Clear</t>
  </si>
  <si>
    <t>AC40075</t>
  </si>
  <si>
    <t>CATIPD7THBLK</t>
  </si>
  <si>
    <t>CATALYST Waterproof Case for iPad 10.2" 7th, 8th, 9th Gen (Black)</t>
  </si>
  <si>
    <t>466217</t>
  </si>
  <si>
    <t>CATIPDAIR3BLK</t>
  </si>
  <si>
    <t>CATALYST Waterproof Case for iPad Air 10.5" 2019 (Black)</t>
  </si>
  <si>
    <t>CATIPDMI5BLK</t>
  </si>
  <si>
    <t>CATALYST Waterproof Case for iPad Mini 5 (Black)</t>
  </si>
  <si>
    <t>420342</t>
  </si>
  <si>
    <t>CATIPDPRO11BLK</t>
  </si>
  <si>
    <t>CATALYST Waterproof Case for iPad Pro 11" 2018 (Black)</t>
  </si>
  <si>
    <t>393946</t>
  </si>
  <si>
    <t>CATIPDPRO12BLK3</t>
  </si>
  <si>
    <t>CATALYST Waterproof Case for iPad Pro 12.9" 2018 (Black)</t>
  </si>
  <si>
    <t>393957</t>
  </si>
  <si>
    <t>CATIPHO14BLKL</t>
  </si>
  <si>
    <t>CATALYST Total Protection Case for iPhone 14 Plus (Stealth Black)</t>
  </si>
  <si>
    <t>AC70954</t>
  </si>
  <si>
    <t>CB-01-BL</t>
  </si>
  <si>
    <t>BLUELOUNGE CableBox (Black)</t>
  </si>
  <si>
    <t>BLUELOUNGE</t>
  </si>
  <si>
    <t>B0019T0JA2</t>
  </si>
  <si>
    <t>CB-01-WH</t>
  </si>
  <si>
    <t>BLUELOUNGE CableBox (White)</t>
  </si>
  <si>
    <t>B0019T0J9S</t>
  </si>
  <si>
    <t>CBM-BL</t>
  </si>
  <si>
    <t>BLUELOUNGE CableBox Mini (Black)</t>
  </si>
  <si>
    <t>B0040JOWSS</t>
  </si>
  <si>
    <t>AB87540</t>
  </si>
  <si>
    <t>CBM-BL-02</t>
  </si>
  <si>
    <t>BLUELOUNGE Cablebox Mini Station (Black)</t>
  </si>
  <si>
    <t>B08GFLR7RP</t>
  </si>
  <si>
    <t>BLCBMBL02</t>
  </si>
  <si>
    <t>CBM-WH</t>
  </si>
  <si>
    <t>BLUELOUNGE CableBox Mini (White)</t>
  </si>
  <si>
    <t>B003C2HRJK</t>
  </si>
  <si>
    <t>AA48674</t>
  </si>
  <si>
    <t>CBM-WH-02</t>
  </si>
  <si>
    <t>BLUELOUNGE Cablebox Mini Station (White)</t>
  </si>
  <si>
    <t>B08GFJZM9N</t>
  </si>
  <si>
    <t>BLCBMWH02</t>
  </si>
  <si>
    <t>CCAV-BLK-CV-7P</t>
  </si>
  <si>
    <t>NATIVE UNION Clic Canvas for iPhone 8/7 Plus - Black</t>
  </si>
  <si>
    <t>NATIVE UNION</t>
  </si>
  <si>
    <t>B07L99FH3X</t>
  </si>
  <si>
    <t>CC-LG</t>
  </si>
  <si>
    <t>BLUELOUNGE CableClip Large (Grey)</t>
  </si>
  <si>
    <t>B003S89UGG</t>
  </si>
  <si>
    <t>CC-MD</t>
  </si>
  <si>
    <t>BLUELOUNGE CableClip Medium - 4-Pack (Grey &amp; Orange)</t>
  </si>
  <si>
    <t>B003S8891I</t>
  </si>
  <si>
    <t>CC-MD-BLU</t>
  </si>
  <si>
    <t>BLUELOUNGE CableClips Medium - 4 Pack (Blue)</t>
  </si>
  <si>
    <t>B007WW4Q3Q</t>
  </si>
  <si>
    <t>AC70902</t>
  </si>
  <si>
    <t>CC-SM</t>
  </si>
  <si>
    <t>BLUELOUNGE CableClip Small - 6-Pack (Grey &amp; Green)</t>
  </si>
  <si>
    <t>B003S7W6LS</t>
  </si>
  <si>
    <t>CD-BL</t>
  </si>
  <si>
    <t>BLUELOUNGE CableDrop (Black)</t>
  </si>
  <si>
    <t>B004K2WZS4</t>
  </si>
  <si>
    <t>CD-BR</t>
  </si>
  <si>
    <t>BLUELOUNGE CableDrop (Bright)</t>
  </si>
  <si>
    <t>B002I9QPAU</t>
  </si>
  <si>
    <t>CDM-BL</t>
  </si>
  <si>
    <t>BLUELOUNGE CableDrop Mini (Black)</t>
  </si>
  <si>
    <t>B00FK4PJF2</t>
  </si>
  <si>
    <t>AB87569</t>
  </si>
  <si>
    <t>CDM-BR</t>
  </si>
  <si>
    <t>BLUELOUNGE CableDrop Mini (Bright)</t>
  </si>
  <si>
    <t>B00XDADCF4</t>
  </si>
  <si>
    <t>CD-MT</t>
  </si>
  <si>
    <t>BLUELOUNGE CableDrop (Muted)</t>
  </si>
  <si>
    <t>B002EDM6OE</t>
  </si>
  <si>
    <t>CDMU-BL</t>
  </si>
  <si>
    <t>BLUELOUNGE CableDrop Multi (Black)</t>
  </si>
  <si>
    <t>B01GQPL0BK</t>
  </si>
  <si>
    <t>CDMU-BR</t>
  </si>
  <si>
    <t>BLUELOUNGE CableDrop Multi (Bright)</t>
  </si>
  <si>
    <t>B01GQRAWB2</t>
  </si>
  <si>
    <t>AB87574</t>
  </si>
  <si>
    <t>CDMU-WH</t>
  </si>
  <si>
    <t>BLUELOUNGE CableDrop Multi (White)</t>
  </si>
  <si>
    <t>B01GQRFSX4</t>
  </si>
  <si>
    <t>AB87575</t>
  </si>
  <si>
    <t>CDM-WH</t>
  </si>
  <si>
    <t>BLUELOUNGE CableDrop Mini (White)</t>
  </si>
  <si>
    <t>B00FK4PLPK</t>
  </si>
  <si>
    <t>AB87568</t>
  </si>
  <si>
    <t>CD-WH</t>
  </si>
  <si>
    <t>BLUELOUNGE CableDrop (White)</t>
  </si>
  <si>
    <t>B004K2YBQI</t>
  </si>
  <si>
    <t>AA83592</t>
  </si>
  <si>
    <t>CDXL2-BL</t>
  </si>
  <si>
    <t>BLUELOUNGE Cabledrop XL2 (Black)</t>
  </si>
  <si>
    <t>AC34886</t>
  </si>
  <si>
    <t>BLCDXL2BL</t>
  </si>
  <si>
    <t>CDXL-BL</t>
  </si>
  <si>
    <t>BLUELOUNGE Cabledrop XL (Black)</t>
  </si>
  <si>
    <t>AC34885</t>
  </si>
  <si>
    <t>BLCDXLBL</t>
  </si>
  <si>
    <t>782035</t>
  </si>
  <si>
    <t>782036</t>
  </si>
  <si>
    <t>782034</t>
  </si>
  <si>
    <t>603596</t>
  </si>
  <si>
    <t>603595</t>
  </si>
  <si>
    <t>CLIC360-BLK-CV-7P</t>
  </si>
  <si>
    <t>NATIVE UNION Clic 360 Canvas for iPhone 8/7 Plus - Black</t>
  </si>
  <si>
    <t>B07B5465XZ</t>
  </si>
  <si>
    <t>CLIC360-NAV-CV-7</t>
  </si>
  <si>
    <t>NATIVE UNION Clic 360 Canvas for iPhone 8/7 - Navy *</t>
  </si>
  <si>
    <t>B07LFY7M42</t>
  </si>
  <si>
    <t>CLIC-BLK-MB-7</t>
  </si>
  <si>
    <t>NATIVE UNION Clic Marble for iPhone SE2/8/7 - Black</t>
  </si>
  <si>
    <t>B07KJKHZYJ</t>
  </si>
  <si>
    <t>CLIC-BLK-MB-7P</t>
  </si>
  <si>
    <t>NATIVE UNION Clic Marble for iPhone 8/7 Plus - Black</t>
  </si>
  <si>
    <t>B07B5CY276</t>
  </si>
  <si>
    <t>CLIC-BLK-MBMT-7</t>
  </si>
  <si>
    <t>NATIVE UNION Clic Marble Metal for iPhone 8/7 (No Qi Charging) - Black/Grey</t>
  </si>
  <si>
    <t>B01MXTHRII</t>
  </si>
  <si>
    <t>CLICCRL-OLI-7P</t>
  </si>
  <si>
    <t>NATIVE UNION Clic Crystal for iPhone 8/7 Plus - Olive</t>
  </si>
  <si>
    <t>B07LFM3SZ3</t>
  </si>
  <si>
    <t>CLICCRL-SMO-7</t>
  </si>
  <si>
    <t>NATIVE UNION iPhone SE2/8/7 Clic Crystal - Smoke</t>
  </si>
  <si>
    <t>B01MT38638</t>
  </si>
  <si>
    <t>CLICCRL-SMO-7P</t>
  </si>
  <si>
    <t>NATIVE UNION Clic Crystal for iPhone 8/7 Plus - Smoke</t>
  </si>
  <si>
    <t>B073FRC7CJ</t>
  </si>
  <si>
    <t>CLIC-MAR-WD-7P</t>
  </si>
  <si>
    <t>NATIVE UNION Clic Wooden for iPhone 8/7 Plus - Marine</t>
  </si>
  <si>
    <t>B07B55N6HL</t>
  </si>
  <si>
    <t>CLIC-MAR-WD-NP17</t>
  </si>
  <si>
    <t>NATIVE UNION Clic Wooden for iPhone X/Xs - Marine</t>
  </si>
  <si>
    <t>B07LFY7M4G</t>
  </si>
  <si>
    <t>CLIC-WHT-MBMT-7</t>
  </si>
  <si>
    <t>NATIVE UNION Clic Marble Metal for iPhone SE2/8/7 (No Qi charging) - White/Gold</t>
  </si>
  <si>
    <t>B01MYV07QX</t>
  </si>
  <si>
    <t>CLIC-WHT-MBMT-7P</t>
  </si>
  <si>
    <t>NATIVE UNION Clic Marble Metal for iPhone 8/7 Plus (No Qi Charging) - White/Gold</t>
  </si>
  <si>
    <t>B07BBVBFQ1</t>
  </si>
  <si>
    <t>CMD-AST</t>
  </si>
  <si>
    <t>BLUELOUNGE Magdrop</t>
  </si>
  <si>
    <t>BLCMDAST</t>
  </si>
  <si>
    <t>AC34323</t>
  </si>
  <si>
    <t>AC82771</t>
  </si>
  <si>
    <t>CT-LG</t>
  </si>
  <si>
    <t>BLUELOUNGE Cable Ties - Large</t>
  </si>
  <si>
    <t>BLCTLG</t>
  </si>
  <si>
    <t>CT-SM</t>
  </si>
  <si>
    <t>BLUELOUNGE Cable Ties - Small</t>
  </si>
  <si>
    <t>B07VMDYXK5</t>
  </si>
  <si>
    <t>BLCTSM</t>
  </si>
  <si>
    <t>676356</t>
  </si>
  <si>
    <t>AC71029</t>
  </si>
  <si>
    <t>STMX3COMBO</t>
  </si>
  <si>
    <t>CY10-DGR</t>
  </si>
  <si>
    <t>BLUELOUNGE CableYoyo (Grey)</t>
  </si>
  <si>
    <t>B01979RAWK</t>
  </si>
  <si>
    <t>DISP21730R</t>
  </si>
  <si>
    <t>DISP21737R</t>
  </si>
  <si>
    <t>DISP23015R</t>
  </si>
  <si>
    <t>DISP23016R</t>
  </si>
  <si>
    <t>DISP23017R</t>
  </si>
  <si>
    <t>DISP23018R</t>
  </si>
  <si>
    <t>DISP23019R</t>
  </si>
  <si>
    <t>DISP23020R</t>
  </si>
  <si>
    <t>DISP23021R</t>
  </si>
  <si>
    <t>DISP23022R</t>
  </si>
  <si>
    <t>DISP23023R</t>
  </si>
  <si>
    <t>DISP80030R</t>
  </si>
  <si>
    <t>DISP80031R</t>
  </si>
  <si>
    <t>DISP80034R</t>
  </si>
  <si>
    <t>DISP80053R</t>
  </si>
  <si>
    <t>DISP80055R</t>
  </si>
  <si>
    <t>DISP80056R</t>
  </si>
  <si>
    <t>DISP80057R</t>
  </si>
  <si>
    <t>DISP80073R</t>
  </si>
  <si>
    <t>B0851PGDCJ</t>
  </si>
  <si>
    <t>LE841CAA</t>
  </si>
  <si>
    <t>LE841CDA</t>
  </si>
  <si>
    <t>LE893ABA</t>
  </si>
  <si>
    <t>LE896DDA</t>
  </si>
  <si>
    <t>EDU005</t>
  </si>
  <si>
    <t>SPHERO SPRK+ - Education 12 Pack</t>
  </si>
  <si>
    <t>SPSPRKEDU</t>
  </si>
  <si>
    <t>ELK-01042-R</t>
  </si>
  <si>
    <t>BONELK USB to Lightning Cable Long-Life Series 1.2m (White)</t>
  </si>
  <si>
    <t>MELK01042R</t>
  </si>
  <si>
    <t>ELK-01044-R</t>
  </si>
  <si>
    <t>BONELK USB to Lightning Cable Longlife Series 2m (White/Grey)</t>
  </si>
  <si>
    <t>437272</t>
  </si>
  <si>
    <t>AC24436</t>
  </si>
  <si>
    <t>MELK01044R</t>
  </si>
  <si>
    <t>AC82715</t>
  </si>
  <si>
    <t>AC82716</t>
  </si>
  <si>
    <t>AC82717</t>
  </si>
  <si>
    <t>ELK-02011-R</t>
  </si>
  <si>
    <t>BONELK USB to Micro-USB Cable Longlife Series 1m (Black/Grey)</t>
  </si>
  <si>
    <t>ELK-02012-R</t>
  </si>
  <si>
    <t>BONELK USB to Micro-USB Cable Longlife Series 2m (White/Grey)</t>
  </si>
  <si>
    <t>ELK-03010-R</t>
  </si>
  <si>
    <t>BONELK AUX 3.5mm Cable Long-Life Series 1m (Black)</t>
  </si>
  <si>
    <t>ELK-04010-R</t>
  </si>
  <si>
    <t>BONELK USB to USB-C Cable Long-Life Series 1.2m (White)</t>
  </si>
  <si>
    <t>MELK04010R</t>
  </si>
  <si>
    <t>ELK-04011-R</t>
  </si>
  <si>
    <t>BONELK USB to USB-C Cable Long-Life Series 1.2m (Black)</t>
  </si>
  <si>
    <t>666208</t>
  </si>
  <si>
    <t>MELK04011R</t>
  </si>
  <si>
    <t>MELK04012R</t>
  </si>
  <si>
    <t>ELK-04014-R</t>
  </si>
  <si>
    <t>BONELK USB-C to Lightning Cable, Long-Life Series, 1.2m (Black/Grey)</t>
  </si>
  <si>
    <t>ELK-04015-R</t>
  </si>
  <si>
    <t>BONELK USB-C to Lightning Cable, Long-Life Series, 1.2m (White/Grey)</t>
  </si>
  <si>
    <t>626754</t>
  </si>
  <si>
    <t>AC70933</t>
  </si>
  <si>
    <t>ELK0416R</t>
  </si>
  <si>
    <t>AC82729</t>
  </si>
  <si>
    <t>ELK04515R</t>
  </si>
  <si>
    <t>AC82730</t>
  </si>
  <si>
    <t>ELK04516R</t>
  </si>
  <si>
    <t>778707</t>
  </si>
  <si>
    <t>AC82763</t>
  </si>
  <si>
    <t>778708</t>
  </si>
  <si>
    <t>AC82764</t>
  </si>
  <si>
    <t>778709</t>
  </si>
  <si>
    <t>AC82765</t>
  </si>
  <si>
    <t>778710</t>
  </si>
  <si>
    <t>AC82766</t>
  </si>
  <si>
    <t>414348</t>
  </si>
  <si>
    <t>AC43954</t>
  </si>
  <si>
    <t>MELK05010R</t>
  </si>
  <si>
    <t>414352</t>
  </si>
  <si>
    <t>AC43955</t>
  </si>
  <si>
    <t>MELK05011R</t>
  </si>
  <si>
    <t>414356</t>
  </si>
  <si>
    <t>AC43971</t>
  </si>
  <si>
    <t>ELK05012R</t>
  </si>
  <si>
    <t>414360</t>
  </si>
  <si>
    <t>AC43972</t>
  </si>
  <si>
    <t>ELK05013R</t>
  </si>
  <si>
    <t>ELK-05014-R</t>
  </si>
  <si>
    <t>BONELK Mini Display Port to Display Port Long Life Cable 1.5m (Black)</t>
  </si>
  <si>
    <t>414364</t>
  </si>
  <si>
    <t>ELK-05015-R</t>
  </si>
  <si>
    <t>BONELK Mini Display Port to Display Port Long Life Cable 3m (Black)</t>
  </si>
  <si>
    <t>414368</t>
  </si>
  <si>
    <t>414372</t>
  </si>
  <si>
    <t>AC43949</t>
  </si>
  <si>
    <t>ELK-05017-R</t>
  </si>
  <si>
    <t>BONELK Mini Display Port to HDMI Long Life Cable 2.5m (Black)</t>
  </si>
  <si>
    <t>414376</t>
  </si>
  <si>
    <t>AC43950</t>
  </si>
  <si>
    <t>609526</t>
  </si>
  <si>
    <t>AC70928</t>
  </si>
  <si>
    <t>ELK05018R</t>
  </si>
  <si>
    <t>609527</t>
  </si>
  <si>
    <t>AC70929</t>
  </si>
  <si>
    <t>ELK05019R</t>
  </si>
  <si>
    <t>609528</t>
  </si>
  <si>
    <t>AC62063</t>
  </si>
  <si>
    <t>ELK05020R</t>
  </si>
  <si>
    <t>AC82718</t>
  </si>
  <si>
    <t>ELK05030R</t>
  </si>
  <si>
    <t>AC82719</t>
  </si>
  <si>
    <t>ELK05031R</t>
  </si>
  <si>
    <t>AC82720</t>
  </si>
  <si>
    <t>ELK05032R</t>
  </si>
  <si>
    <t>AC82721</t>
  </si>
  <si>
    <t>ELK05033R</t>
  </si>
  <si>
    <t>AC82722</t>
  </si>
  <si>
    <t>ELK05034R</t>
  </si>
  <si>
    <t>AC82727</t>
  </si>
  <si>
    <t>ELK05035R</t>
  </si>
  <si>
    <t>785769</t>
  </si>
  <si>
    <t>AC82728</t>
  </si>
  <si>
    <t>ELK05036R</t>
  </si>
  <si>
    <t>AC82745</t>
  </si>
  <si>
    <t>ELK05037R</t>
  </si>
  <si>
    <t>796020</t>
  </si>
  <si>
    <t>796021</t>
  </si>
  <si>
    <t>796022</t>
  </si>
  <si>
    <t>796023</t>
  </si>
  <si>
    <t>796024</t>
  </si>
  <si>
    <t>812400</t>
  </si>
  <si>
    <t>ELK05125R</t>
  </si>
  <si>
    <t>ELK-06004-R</t>
  </si>
  <si>
    <t>BONELK Apple Watch Charging Cable - Aluminium Casing, Braided Cable, Strap, Carry Pouch - 2m - Black</t>
  </si>
  <si>
    <t>MELK06004R</t>
  </si>
  <si>
    <t>ELK-06005-R</t>
  </si>
  <si>
    <t>BONELK Apple Watch Charging Cable - Aluminium Casing, Braided Cable, Strap, Carry Pouch - 2m - Silver</t>
  </si>
  <si>
    <t>MELK06005R</t>
  </si>
  <si>
    <t>ELK-06006-R</t>
  </si>
  <si>
    <t>BONELK Apple Watch Charging Cable - Aluminium Casing, Braided Cable, Strap, Carry Pouch - 2m - Rose</t>
  </si>
  <si>
    <t>MELK06006R</t>
  </si>
  <si>
    <t>ELK-21513-R</t>
  </si>
  <si>
    <t>BONELK AC Wall Charger, 20W PD USB-C , 18W QC USB-A, 38W - (White)</t>
  </si>
  <si>
    <t>ELK-21514-R</t>
  </si>
  <si>
    <t>BONELK AC Wall Charger, 20W PD USB-C, 18W QC USB-A, 38W - (Black)</t>
  </si>
  <si>
    <t>ELK21720R</t>
  </si>
  <si>
    <t>ELK21721R</t>
  </si>
  <si>
    <t>AC82734</t>
  </si>
  <si>
    <t>ELK21724R</t>
  </si>
  <si>
    <t>AC82735</t>
  </si>
  <si>
    <t>ELK21725R</t>
  </si>
  <si>
    <t>ELK21727R</t>
  </si>
  <si>
    <t>ELK21728R</t>
  </si>
  <si>
    <t>ELK21729R</t>
  </si>
  <si>
    <t>AC82736</t>
  </si>
  <si>
    <t>ELK21730R</t>
  </si>
  <si>
    <t>AC82746</t>
  </si>
  <si>
    <t>ELK21735R</t>
  </si>
  <si>
    <t>ELK21736R</t>
  </si>
  <si>
    <t>AC82747</t>
  </si>
  <si>
    <t>ELK21737R</t>
  </si>
  <si>
    <t>AC82748</t>
  </si>
  <si>
    <t>ELK21738R</t>
  </si>
  <si>
    <t>AC82749</t>
  </si>
  <si>
    <t>ELK21739R</t>
  </si>
  <si>
    <t>AC82750</t>
  </si>
  <si>
    <t>ELK21740R</t>
  </si>
  <si>
    <t>ELK21741R</t>
  </si>
  <si>
    <t>796018</t>
  </si>
  <si>
    <t>ELK21785R</t>
  </si>
  <si>
    <t>796019</t>
  </si>
  <si>
    <t>ELK21786R</t>
  </si>
  <si>
    <t>AC43935</t>
  </si>
  <si>
    <t>AC70919</t>
  </si>
  <si>
    <t>MELK22513R</t>
  </si>
  <si>
    <t>ELK-22514-R</t>
  </si>
  <si>
    <t>BONELK Car Charger, Carbon Series, USB-A 2.4A, 12W (Black)</t>
  </si>
  <si>
    <t>AC82732</t>
  </si>
  <si>
    <t>ELK22521R</t>
  </si>
  <si>
    <t>AC82733</t>
  </si>
  <si>
    <t>ELK22522R</t>
  </si>
  <si>
    <t>AC70913</t>
  </si>
  <si>
    <t>ELK15W</t>
  </si>
  <si>
    <t>ELKQI215W</t>
  </si>
  <si>
    <t>ELKCOOL15W</t>
  </si>
  <si>
    <t>ELKAUTOVEN</t>
  </si>
  <si>
    <t>ELKAUTOSUC</t>
  </si>
  <si>
    <t>ELKCARPLAY</t>
  </si>
  <si>
    <t>ELKANDAUTO</t>
  </si>
  <si>
    <t>AC82737</t>
  </si>
  <si>
    <t>ELK23015R</t>
  </si>
  <si>
    <t>AC82738</t>
  </si>
  <si>
    <t>ELK23016R</t>
  </si>
  <si>
    <t>AC82739</t>
  </si>
  <si>
    <t>ELK23017R</t>
  </si>
  <si>
    <t>AC82740</t>
  </si>
  <si>
    <t>ELK23018R</t>
  </si>
  <si>
    <t>AC82741</t>
  </si>
  <si>
    <t>ELK23019R</t>
  </si>
  <si>
    <t>AC82742</t>
  </si>
  <si>
    <t>ELK23020R</t>
  </si>
  <si>
    <t>AC82743</t>
  </si>
  <si>
    <t>ELK23021R</t>
  </si>
  <si>
    <t>ELK23022R</t>
  </si>
  <si>
    <t>AC82744</t>
  </si>
  <si>
    <t>ELK23023R</t>
  </si>
  <si>
    <t>ELK23030R</t>
  </si>
  <si>
    <t>ELK23031R</t>
  </si>
  <si>
    <t>ELK23032R</t>
  </si>
  <si>
    <t>ELK23033R</t>
  </si>
  <si>
    <t>ELK23041R</t>
  </si>
  <si>
    <t>ELK23042R</t>
  </si>
  <si>
    <t>ELK23045R</t>
  </si>
  <si>
    <t>ELK23046R</t>
  </si>
  <si>
    <t>ELK23047R</t>
  </si>
  <si>
    <t>ELK-24616-R</t>
  </si>
  <si>
    <t>BONELK Wireless Fast Charge Qi Pad, USB-C, 5/7.5/10w - Black</t>
  </si>
  <si>
    <t>MELK24616R</t>
  </si>
  <si>
    <t>ELK-24617-R</t>
  </si>
  <si>
    <t>BONELK Wireless Fast Charge Qi Pad, USB-C, 5/7.5/10w  - White</t>
  </si>
  <si>
    <t>MELK24617R</t>
  </si>
  <si>
    <t>ELK-24621-R</t>
  </si>
  <si>
    <t>BONELK Dual Wireless Fast Charge Qi Pad, 5/7.5/10w,  USB-C - Black</t>
  </si>
  <si>
    <t>MELK24621R</t>
  </si>
  <si>
    <t>ELK-24622-R</t>
  </si>
  <si>
    <t>BONELK Dual Wireless Fast Charge Qi Pad, 5/7.5/10w  USB-C - White</t>
  </si>
  <si>
    <t>MELK24622R</t>
  </si>
  <si>
    <t>ELK-25001-R</t>
  </si>
  <si>
    <t>BONELK Apple Watch Charging Dock - Flip View Function, Braided Cable - Black</t>
  </si>
  <si>
    <t>MELK25001R</t>
  </si>
  <si>
    <t>ELK-25004-R</t>
  </si>
  <si>
    <t>BONELK  Apple Watch Combo Swivel Dock - Watch, Wireless, AirPods - White</t>
  </si>
  <si>
    <t>MELK25004R</t>
  </si>
  <si>
    <t>AC82762</t>
  </si>
  <si>
    <t>ELK25006R</t>
  </si>
  <si>
    <t>BONKIDHPBK</t>
  </si>
  <si>
    <t>BONKIDHPWH</t>
  </si>
  <si>
    <t>BONKIDHPBL</t>
  </si>
  <si>
    <t>BONKIDHPPK</t>
  </si>
  <si>
    <t>BONKNEONBK</t>
  </si>
  <si>
    <t>BONKNEONPK</t>
  </si>
  <si>
    <t>BONKNEONBL</t>
  </si>
  <si>
    <t>BONKNEONLB</t>
  </si>
  <si>
    <t>BOKSTYLEBL</t>
  </si>
  <si>
    <t>BOKSTYLEPK</t>
  </si>
  <si>
    <t>BONKWLSTPK</t>
  </si>
  <si>
    <t>BONKWLSTBL</t>
  </si>
  <si>
    <t>BONCHPWLBK</t>
  </si>
  <si>
    <t>BONCHPWLPK</t>
  </si>
  <si>
    <t>BONCHPWLBL</t>
  </si>
  <si>
    <t>BONCHPWLWH</t>
  </si>
  <si>
    <t>ELK40070R</t>
  </si>
  <si>
    <t>ELK40071R</t>
  </si>
  <si>
    <t>ELK40072R</t>
  </si>
  <si>
    <t>ELK40073R</t>
  </si>
  <si>
    <t>ELK40080R</t>
  </si>
  <si>
    <t>ELK40081R</t>
  </si>
  <si>
    <t>ELK40082R</t>
  </si>
  <si>
    <t>ELK40083R</t>
  </si>
  <si>
    <t>438376</t>
  </si>
  <si>
    <t>AC43962</t>
  </si>
  <si>
    <t>MELK42002R</t>
  </si>
  <si>
    <t>ELK42005R</t>
  </si>
  <si>
    <t>BON42006R</t>
  </si>
  <si>
    <t>AC70931</t>
  </si>
  <si>
    <t>BON51016R</t>
  </si>
  <si>
    <t>BON51017R</t>
  </si>
  <si>
    <t>ELK-53001-R</t>
  </si>
  <si>
    <t>BONELK AirPods Edge Anti-Shock Dual Injected Case (Black)</t>
  </si>
  <si>
    <t>ELK-53002-R</t>
  </si>
  <si>
    <t>BONELK AirPods Pro Edge Anti-Shock Dual Injected Case (Black)</t>
  </si>
  <si>
    <t>ELK-53003-R</t>
  </si>
  <si>
    <t>BONELK AirPods Edge Anti-Shock Dual Injected Case (Grey)</t>
  </si>
  <si>
    <t>ELK-53004-R</t>
  </si>
  <si>
    <t>BONELK AirPods Pro Edge Anti-Shock Dual Injected Case (Grey)</t>
  </si>
  <si>
    <t>ELK-53008-R</t>
  </si>
  <si>
    <t>BONELK AirPods Carbon Anti-Shock Dual Injected Case (Black)</t>
  </si>
  <si>
    <t>ELK-53009-R</t>
  </si>
  <si>
    <t>BONELK AirPods Pro Carbon Anti-Shock Dual Injected Case (Black)</t>
  </si>
  <si>
    <t>AC43942</t>
  </si>
  <si>
    <t>BON54001R</t>
  </si>
  <si>
    <t>AC43976</t>
  </si>
  <si>
    <t>BON54003R</t>
  </si>
  <si>
    <t>525769</t>
  </si>
  <si>
    <t>AC43974</t>
  </si>
  <si>
    <t>BON54004R</t>
  </si>
  <si>
    <t>BK61001KB</t>
  </si>
  <si>
    <t>BK61002KB</t>
  </si>
  <si>
    <t>BK61003KB</t>
  </si>
  <si>
    <t>BK61004KB</t>
  </si>
  <si>
    <t>BK61005CB</t>
  </si>
  <si>
    <t>BK61006KB</t>
  </si>
  <si>
    <t>BK61007CB</t>
  </si>
  <si>
    <t>BK61008KB</t>
  </si>
  <si>
    <t>ELK-61009-R</t>
  </si>
  <si>
    <t>BONELK Pro Gaming Compact RGB LED Keyboard Mac/Win (Black)</t>
  </si>
  <si>
    <t>BK61009GK</t>
  </si>
  <si>
    <t>AC82709</t>
  </si>
  <si>
    <t>ELK61012R</t>
  </si>
  <si>
    <t>AC70908</t>
  </si>
  <si>
    <t>ELK61013R</t>
  </si>
  <si>
    <t>AC70907</t>
  </si>
  <si>
    <t>ELK61014R</t>
  </si>
  <si>
    <t>AC61516</t>
  </si>
  <si>
    <t>BK61020CBG</t>
  </si>
  <si>
    <t>AC61518</t>
  </si>
  <si>
    <t>BK61021CBR</t>
  </si>
  <si>
    <t>ELK-61022-R</t>
  </si>
  <si>
    <t>BONELK Wireless Keyboard and Mouse Combo, Compact, KM-383 (Orange)</t>
  </si>
  <si>
    <t>BK61022CBO</t>
  </si>
  <si>
    <t>AC82711</t>
  </si>
  <si>
    <t>BK61023CBT</t>
  </si>
  <si>
    <t>ELK-62010-R</t>
  </si>
  <si>
    <t>BONELK Pro Gaming Wired RGB 8D Mouse, 12000DPI (Black)</t>
  </si>
  <si>
    <t>BK62010MS</t>
  </si>
  <si>
    <t>ELK-62011-R</t>
  </si>
  <si>
    <t>BONELK Gaming Wired RGB LED 7D Mouse, 3200DPI (Black)</t>
  </si>
  <si>
    <t>BK62011MS</t>
  </si>
  <si>
    <t>ELK-62012-R</t>
  </si>
  <si>
    <t>BONELK Gaming Wired RGB LED 8D Mouse, 5000DPI (Black)</t>
  </si>
  <si>
    <t>BK62012MS</t>
  </si>
  <si>
    <t>ELK-62013-R</t>
  </si>
  <si>
    <t>BONELK Gaming - LED 6D mouse Wired 4000DPI (Black)</t>
  </si>
  <si>
    <t>AC61508</t>
  </si>
  <si>
    <t>BK62018MCB</t>
  </si>
  <si>
    <t>AC61509</t>
  </si>
  <si>
    <t>BK62019MCE</t>
  </si>
  <si>
    <t>ELK-62020-R</t>
  </si>
  <si>
    <t>BONELK Bluetooth/Wireless RGB 4D Mouse, 1200DPI, USB-C, M-270 (Orange)</t>
  </si>
  <si>
    <t>BK62020MCO</t>
  </si>
  <si>
    <t>AC82710</t>
  </si>
  <si>
    <t>BK62021MCT</t>
  </si>
  <si>
    <t>AC70918</t>
  </si>
  <si>
    <t>ELK63015R</t>
  </si>
  <si>
    <t>AC70917</t>
  </si>
  <si>
    <t>ELK63016R</t>
  </si>
  <si>
    <t>AC70916</t>
  </si>
  <si>
    <t>ELK63017R</t>
  </si>
  <si>
    <t>AC43983</t>
  </si>
  <si>
    <t>BK63021WB</t>
  </si>
  <si>
    <t>AC43984</t>
  </si>
  <si>
    <t>BK63022WB</t>
  </si>
  <si>
    <t>AC43985</t>
  </si>
  <si>
    <t>BK63023WB</t>
  </si>
  <si>
    <t>AC61515</t>
  </si>
  <si>
    <t>BK63025WEB</t>
  </si>
  <si>
    <t>AC61514</t>
  </si>
  <si>
    <t>BK63026LED</t>
  </si>
  <si>
    <t>ELK-64001-R</t>
  </si>
  <si>
    <t>BONELK Pro Gaming Headphones, RGB LED, USB + 3.5mm (Black)</t>
  </si>
  <si>
    <t>ELK-64002-R</t>
  </si>
  <si>
    <t>BONELK Gaming Headphones, RGB LED, USB + 3.5mm (Black)</t>
  </si>
  <si>
    <t>ELK-65002-R</t>
  </si>
  <si>
    <t>BONELK Gaming Responsive Mouse Mat 355x400 (Black)</t>
  </si>
  <si>
    <t>AC82712</t>
  </si>
  <si>
    <t>BK65015RBK</t>
  </si>
  <si>
    <t>AC82713</t>
  </si>
  <si>
    <t>BK65016RGY</t>
  </si>
  <si>
    <t>AC82714</t>
  </si>
  <si>
    <t>BK65017RGY</t>
  </si>
  <si>
    <t>586319</t>
  </si>
  <si>
    <t>AC70912</t>
  </si>
  <si>
    <t>MCELK6021R</t>
  </si>
  <si>
    <t>ELK-70401-R</t>
  </si>
  <si>
    <t>BONELK Smartphone Holder, Vent Mount (Black)</t>
  </si>
  <si>
    <t>AC43936</t>
  </si>
  <si>
    <t>ELK-70405-R</t>
  </si>
  <si>
    <t>BONELK X-Frame Laptop Stand (Silver)</t>
  </si>
  <si>
    <t>483275</t>
  </si>
  <si>
    <t>AC43940</t>
  </si>
  <si>
    <t>483279</t>
  </si>
  <si>
    <t>AC43941</t>
  </si>
  <si>
    <t>MGELK70406</t>
  </si>
  <si>
    <t>ELK-70407-R</t>
  </si>
  <si>
    <t>BONELK Stance Laptop Stand (Silver)</t>
  </si>
  <si>
    <t>477720</t>
  </si>
  <si>
    <t>483283</t>
  </si>
  <si>
    <t>AC43939</t>
  </si>
  <si>
    <t>MGELK70408</t>
  </si>
  <si>
    <t>ELK-70410-R</t>
  </si>
  <si>
    <t>BONELK Elevate Laptop Stand (White)</t>
  </si>
  <si>
    <t>534612</t>
  </si>
  <si>
    <t>BELK70410R</t>
  </si>
  <si>
    <t>583332</t>
  </si>
  <si>
    <t>AC70911</t>
  </si>
  <si>
    <t>ELK70411R</t>
  </si>
  <si>
    <t>ELK-70412-R</t>
  </si>
  <si>
    <t>BONELK Elevate Gamer LED Stand (Black)</t>
  </si>
  <si>
    <t>583333</t>
  </si>
  <si>
    <t>626762</t>
  </si>
  <si>
    <t>AC61519</t>
  </si>
  <si>
    <t>ELK70413</t>
  </si>
  <si>
    <t>ELK-70414-R</t>
  </si>
  <si>
    <t>BONELK Elevate Go Laptop Stand (Black)</t>
  </si>
  <si>
    <t>626772</t>
  </si>
  <si>
    <t>ELK70414</t>
  </si>
  <si>
    <t>ELK-70417-R</t>
  </si>
  <si>
    <t>BONELK Elevate Go Laptop Stand (Space Grey)</t>
  </si>
  <si>
    <t>626767</t>
  </si>
  <si>
    <t>AC61521</t>
  </si>
  <si>
    <t>ELK70417</t>
  </si>
  <si>
    <t>667282</t>
  </si>
  <si>
    <t>AC70934</t>
  </si>
  <si>
    <t>MGELK70418</t>
  </si>
  <si>
    <t>667763</t>
  </si>
  <si>
    <t>AC70942</t>
  </si>
  <si>
    <t>ELK70419R</t>
  </si>
  <si>
    <t>667759</t>
  </si>
  <si>
    <t>AC70943</t>
  </si>
  <si>
    <t>ELKRING</t>
  </si>
  <si>
    <t>ELKRING2</t>
  </si>
  <si>
    <t>ELKUNIVENT</t>
  </si>
  <si>
    <t>ELKUNISUCT</t>
  </si>
  <si>
    <t>ELK-80004-R</t>
  </si>
  <si>
    <t>BONELK USB-C to 4 Port USB 3.0 Slim Hub (Space Grey)</t>
  </si>
  <si>
    <t>ELK-80008-R</t>
  </si>
  <si>
    <t>BONELK USB-C to 4K HDMI Adapter 15cm (Space Grey)</t>
  </si>
  <si>
    <t>ELK-80009-R</t>
  </si>
  <si>
    <t>BONELK USB-C to Gigabit Adapter 15cm (Space Grey)</t>
  </si>
  <si>
    <t>414340</t>
  </si>
  <si>
    <t>ELK-80013-R</t>
  </si>
  <si>
    <t>BONELK 8-in-1 Multiport Adapter (Space Grey)</t>
  </si>
  <si>
    <t>414419</t>
  </si>
  <si>
    <t>586311</t>
  </si>
  <si>
    <t>AC43969</t>
  </si>
  <si>
    <t>MELK80019R</t>
  </si>
  <si>
    <t>495308</t>
  </si>
  <si>
    <t>AC43966</t>
  </si>
  <si>
    <t>MELK80020R</t>
  </si>
  <si>
    <t>ELK-80021-R</t>
  </si>
  <si>
    <t>BONELK 7 in 2 USB-C Multiport HUB for Macbook Air/Pro 2019 (Space Grey)</t>
  </si>
  <si>
    <t>495344</t>
  </si>
  <si>
    <t>AC43967</t>
  </si>
  <si>
    <t>M800022R</t>
  </si>
  <si>
    <t>514980</t>
  </si>
  <si>
    <t>AC43973</t>
  </si>
  <si>
    <t>M800023R</t>
  </si>
  <si>
    <t>514859</t>
  </si>
  <si>
    <t>AC47603</t>
  </si>
  <si>
    <t>ELK80024R</t>
  </si>
  <si>
    <t>514985</t>
  </si>
  <si>
    <t>AC70904</t>
  </si>
  <si>
    <t>BK80025R</t>
  </si>
  <si>
    <t>514989</t>
  </si>
  <si>
    <t>AC47608</t>
  </si>
  <si>
    <t>MELK80027R</t>
  </si>
  <si>
    <t>514993</t>
  </si>
  <si>
    <t>BK80028R</t>
  </si>
  <si>
    <t>514997</t>
  </si>
  <si>
    <t>AC43970</t>
  </si>
  <si>
    <t>MELK80030R</t>
  </si>
  <si>
    <t>514991</t>
  </si>
  <si>
    <t>AC47604</t>
  </si>
  <si>
    <t>MELK80031R</t>
  </si>
  <si>
    <t>514987</t>
  </si>
  <si>
    <t>MELK80032R</t>
  </si>
  <si>
    <t>AC47605</t>
  </si>
  <si>
    <t>MELK80034R</t>
  </si>
  <si>
    <t>514935</t>
  </si>
  <si>
    <t>AC47606</t>
  </si>
  <si>
    <t>ELK80036R</t>
  </si>
  <si>
    <t>586307</t>
  </si>
  <si>
    <t>AC70909</t>
  </si>
  <si>
    <t>ELK80037R</t>
  </si>
  <si>
    <t>583323</t>
  </si>
  <si>
    <t>AC70910</t>
  </si>
  <si>
    <t>ELK80038R</t>
  </si>
  <si>
    <t>593247</t>
  </si>
  <si>
    <t>AC70932</t>
  </si>
  <si>
    <t>ELK80040R</t>
  </si>
  <si>
    <t>593251</t>
  </si>
  <si>
    <t>AC70922</t>
  </si>
  <si>
    <t>ELK80041R</t>
  </si>
  <si>
    <t>593259</t>
  </si>
  <si>
    <t>AC70920</t>
  </si>
  <si>
    <t>ELK80042R</t>
  </si>
  <si>
    <t>593263</t>
  </si>
  <si>
    <t>AC70921</t>
  </si>
  <si>
    <t>ELK80043R</t>
  </si>
  <si>
    <t>593243</t>
  </si>
  <si>
    <t>AC70923</t>
  </si>
  <si>
    <t>ELK80044R</t>
  </si>
  <si>
    <t>593253</t>
  </si>
  <si>
    <t>AC70924</t>
  </si>
  <si>
    <t>ELK80045R</t>
  </si>
  <si>
    <t>593257</t>
  </si>
  <si>
    <t>AC70925</t>
  </si>
  <si>
    <t>593261</t>
  </si>
  <si>
    <t>AC70926</t>
  </si>
  <si>
    <t>ELK80047R</t>
  </si>
  <si>
    <t>593236</t>
  </si>
  <si>
    <t>AC70927</t>
  </si>
  <si>
    <t>ELK80048R</t>
  </si>
  <si>
    <t>609534</t>
  </si>
  <si>
    <t>AC61513</t>
  </si>
  <si>
    <t>ELK80050R</t>
  </si>
  <si>
    <t>609535</t>
  </si>
  <si>
    <t>AC61512</t>
  </si>
  <si>
    <t>ELK80051R</t>
  </si>
  <si>
    <t>609536</t>
  </si>
  <si>
    <t>AC61511</t>
  </si>
  <si>
    <t>ELK80052R</t>
  </si>
  <si>
    <t>667768</t>
  </si>
  <si>
    <t>AC70944</t>
  </si>
  <si>
    <t>ELK80053R</t>
  </si>
  <si>
    <t>667766</t>
  </si>
  <si>
    <t>AC70946</t>
  </si>
  <si>
    <t>ELK80055R</t>
  </si>
  <si>
    <t>667769</t>
  </si>
  <si>
    <t>AC70948</t>
  </si>
  <si>
    <t>ELK80056R</t>
  </si>
  <si>
    <t>667767</t>
  </si>
  <si>
    <t>AC70945</t>
  </si>
  <si>
    <t>ELK80057R</t>
  </si>
  <si>
    <t>667268</t>
  </si>
  <si>
    <t>AC70938</t>
  </si>
  <si>
    <t>ELK80058R</t>
  </si>
  <si>
    <t>667272</t>
  </si>
  <si>
    <t>AC70939</t>
  </si>
  <si>
    <t>ELK80059R</t>
  </si>
  <si>
    <t>667770</t>
  </si>
  <si>
    <t>AC70947</t>
  </si>
  <si>
    <t>ELK80060R</t>
  </si>
  <si>
    <t>667276</t>
  </si>
  <si>
    <t>AC70935</t>
  </si>
  <si>
    <t>ELK80061R</t>
  </si>
  <si>
    <t>667280</t>
  </si>
  <si>
    <t>AC70940</t>
  </si>
  <si>
    <t>ELK80062R</t>
  </si>
  <si>
    <t>667284</t>
  </si>
  <si>
    <t>AC70936</t>
  </si>
  <si>
    <t>ELK80063R</t>
  </si>
  <si>
    <t>667274</t>
  </si>
  <si>
    <t>AC70937</t>
  </si>
  <si>
    <t>ELK80064R</t>
  </si>
  <si>
    <t>667278</t>
  </si>
  <si>
    <t>AC70941</t>
  </si>
  <si>
    <t>ELK80065R</t>
  </si>
  <si>
    <t>749534</t>
  </si>
  <si>
    <t>AC82751</t>
  </si>
  <si>
    <t>ELK80070R</t>
  </si>
  <si>
    <t>749535</t>
  </si>
  <si>
    <t>AC82752</t>
  </si>
  <si>
    <t>ELK80071R</t>
  </si>
  <si>
    <t>749536</t>
  </si>
  <si>
    <t>AC82753</t>
  </si>
  <si>
    <t>ELK80072R</t>
  </si>
  <si>
    <t>778641</t>
  </si>
  <si>
    <t>AC82731</t>
  </si>
  <si>
    <t>ELK80073R</t>
  </si>
  <si>
    <t>AC82725</t>
  </si>
  <si>
    <t>ELK80075R</t>
  </si>
  <si>
    <t>797375</t>
  </si>
  <si>
    <t>AC82726</t>
  </si>
  <si>
    <t>ELK80076R</t>
  </si>
  <si>
    <t>AC82723</t>
  </si>
  <si>
    <t>ELK80077R</t>
  </si>
  <si>
    <t>ELK80078R</t>
  </si>
  <si>
    <t>AC82724</t>
  </si>
  <si>
    <t>ELK80079R</t>
  </si>
  <si>
    <t>843209</t>
  </si>
  <si>
    <t>ELK80150R</t>
  </si>
  <si>
    <t>843213</t>
  </si>
  <si>
    <t>ELK80151R</t>
  </si>
  <si>
    <t>843217</t>
  </si>
  <si>
    <t>ELK80152R</t>
  </si>
  <si>
    <t>AC82754</t>
  </si>
  <si>
    <t>ELK90021GY</t>
  </si>
  <si>
    <t>AC82755</t>
  </si>
  <si>
    <t>ELK90022BK</t>
  </si>
  <si>
    <t>AC82756</t>
  </si>
  <si>
    <t>ELK90023GY</t>
  </si>
  <si>
    <t>AC82757</t>
  </si>
  <si>
    <t>ELK90024BK</t>
  </si>
  <si>
    <t>846475</t>
  </si>
  <si>
    <t>AC82758</t>
  </si>
  <si>
    <t>ELK90025BK</t>
  </si>
  <si>
    <t>AC82759</t>
  </si>
  <si>
    <t>ELK90026BK</t>
  </si>
  <si>
    <t>AC82760</t>
  </si>
  <si>
    <t>ELK90027BK</t>
  </si>
  <si>
    <t>AC82761</t>
  </si>
  <si>
    <t>ELK90028BK</t>
  </si>
  <si>
    <t>BON90030R</t>
  </si>
  <si>
    <t>BON90031R</t>
  </si>
  <si>
    <t>BON90032R</t>
  </si>
  <si>
    <t>BON90033R</t>
  </si>
  <si>
    <t>BON90034R</t>
  </si>
  <si>
    <t>BON90041R</t>
  </si>
  <si>
    <t>BON90044R</t>
  </si>
  <si>
    <t>BON90046R</t>
  </si>
  <si>
    <t>BON90048R</t>
  </si>
  <si>
    <t>BON90057R</t>
  </si>
  <si>
    <t>BON90058R</t>
  </si>
  <si>
    <t>BON90059R</t>
  </si>
  <si>
    <t>BON90060R</t>
  </si>
  <si>
    <t>BON90061R</t>
  </si>
  <si>
    <t>BON90062R</t>
  </si>
  <si>
    <t>BON90068R</t>
  </si>
  <si>
    <t>BON90069R</t>
  </si>
  <si>
    <t>BON90072R</t>
  </si>
  <si>
    <t>BON90073R</t>
  </si>
  <si>
    <t>BON90074R</t>
  </si>
  <si>
    <t>BON90075R</t>
  </si>
  <si>
    <t>EX-L-W</t>
  </si>
  <si>
    <t>BLUELOUNGE Extra Connector Lightning 20cm</t>
  </si>
  <si>
    <t>B00GXKVW8A</t>
  </si>
  <si>
    <t>AB87660</t>
  </si>
  <si>
    <t>EX-MC-W</t>
  </si>
  <si>
    <t>BLUELOUNGE Extra Connector Micro USB 20cm</t>
  </si>
  <si>
    <t>B00GXFXAEE</t>
  </si>
  <si>
    <t>LF461AQDAE</t>
  </si>
  <si>
    <t>AC82780</t>
  </si>
  <si>
    <t>AC82778</t>
  </si>
  <si>
    <t>AC82779</t>
  </si>
  <si>
    <t>AC82777</t>
  </si>
  <si>
    <t>356526</t>
  </si>
  <si>
    <t>B08D6LBN3Y</t>
  </si>
  <si>
    <t>488599</t>
  </si>
  <si>
    <t>B08D6LNBPN</t>
  </si>
  <si>
    <t>488595</t>
  </si>
  <si>
    <t>B08D6M972D</t>
  </si>
  <si>
    <t>488591</t>
  </si>
  <si>
    <t>B08D6LZKV8</t>
  </si>
  <si>
    <t>488587</t>
  </si>
  <si>
    <t>B0966VD91N</t>
  </si>
  <si>
    <t>521943</t>
  </si>
  <si>
    <t>B09GBG982Y</t>
  </si>
  <si>
    <t>594290</t>
  </si>
  <si>
    <t>B09GBF9KBX</t>
  </si>
  <si>
    <t>594291</t>
  </si>
  <si>
    <t>B0CG9P8YFW</t>
  </si>
  <si>
    <t>B0CG9SMBXR</t>
  </si>
  <si>
    <t>672419</t>
  </si>
  <si>
    <t>811281</t>
  </si>
  <si>
    <t>811282</t>
  </si>
  <si>
    <t>B0CG9QLDM7</t>
  </si>
  <si>
    <t>672420</t>
  </si>
  <si>
    <t>B0CG9RZFLN</t>
  </si>
  <si>
    <t>B0CHGVXVZM</t>
  </si>
  <si>
    <t>672421</t>
  </si>
  <si>
    <t>B0CG6PJLY3</t>
  </si>
  <si>
    <t>672418</t>
  </si>
  <si>
    <t>B0CP2637TN</t>
  </si>
  <si>
    <t>672422</t>
  </si>
  <si>
    <t>B0CP25YM8K</t>
  </si>
  <si>
    <t>672423</t>
  </si>
  <si>
    <t>B0CP25RMM4</t>
  </si>
  <si>
    <t>672424</t>
  </si>
  <si>
    <t>672415</t>
  </si>
  <si>
    <t>672416</t>
  </si>
  <si>
    <t>B0CG9S88FW</t>
  </si>
  <si>
    <t>672417</t>
  </si>
  <si>
    <t>J7-ACC-CS</t>
  </si>
  <si>
    <t>JAMSTIK Universal Travel Case for Jamstik+ and 7</t>
  </si>
  <si>
    <t>JAMSTIK</t>
  </si>
  <si>
    <t>B07J4YLG9M</t>
  </si>
  <si>
    <t>J7-BLE-BK-R</t>
  </si>
  <si>
    <t>JAMSTIK 7 Guitar Right Hand Strum</t>
  </si>
  <si>
    <t>B0149YRRXA</t>
  </si>
  <si>
    <t>J7-BLE-BK-R-CSEL</t>
  </si>
  <si>
    <t>JAMSTIK 7 Guitar Right Hand Strum Bundle Edition</t>
  </si>
  <si>
    <t>B072BNRZ9J</t>
  </si>
  <si>
    <t>J7GT-BLE-BK-R</t>
  </si>
  <si>
    <t>Jamstik Guitar Trainer</t>
  </si>
  <si>
    <t>B07GFQNJXC</t>
  </si>
  <si>
    <t>K001ROW</t>
  </si>
  <si>
    <t>SPHERO SPRK+ Edition</t>
  </si>
  <si>
    <t>B01GZ1S7OS</t>
  </si>
  <si>
    <t>975221</t>
  </si>
  <si>
    <t>SPHEROSPRK</t>
  </si>
  <si>
    <t>B07DLM5DL7</t>
  </si>
  <si>
    <t>337667</t>
  </si>
  <si>
    <t>AC18081</t>
  </si>
  <si>
    <t>SPHEROBOLT</t>
  </si>
  <si>
    <t>782030</t>
  </si>
  <si>
    <t>782028</t>
  </si>
  <si>
    <t>782031</t>
  </si>
  <si>
    <t>782029</t>
  </si>
  <si>
    <t>B072B6QVVW</t>
  </si>
  <si>
    <t>AC08530</t>
  </si>
  <si>
    <t>SPHMINBE</t>
  </si>
  <si>
    <t>B071RHYKDL</t>
  </si>
  <si>
    <t>AC08531</t>
  </si>
  <si>
    <t>SPHMINGN</t>
  </si>
  <si>
    <t>M001ORW</t>
  </si>
  <si>
    <t>SPHERO Mini (Orange)</t>
  </si>
  <si>
    <t>B072KYC19V</t>
  </si>
  <si>
    <t>M001PRW</t>
  </si>
  <si>
    <t>SPHERO Mini (Pink)</t>
  </si>
  <si>
    <t>B072B6RKCT</t>
  </si>
  <si>
    <t>B07RDS2JJX</t>
  </si>
  <si>
    <t>396324</t>
  </si>
  <si>
    <t>AC34321</t>
  </si>
  <si>
    <t>MCM001RW2</t>
  </si>
  <si>
    <t>B07VB57N2M</t>
  </si>
  <si>
    <t>AC34319</t>
  </si>
  <si>
    <t>MCM001SRW</t>
  </si>
  <si>
    <t>M001WRW</t>
  </si>
  <si>
    <t>SPHERO Mini (White)</t>
  </si>
  <si>
    <t>B072KXNKHY</t>
  </si>
  <si>
    <t>626502</t>
  </si>
  <si>
    <t>AC70960</t>
  </si>
  <si>
    <t>MORPAUDIMZ</t>
  </si>
  <si>
    <t>555150</t>
  </si>
  <si>
    <t>AC54519</t>
  </si>
  <si>
    <t>MORP0006</t>
  </si>
  <si>
    <t>555151</t>
  </si>
  <si>
    <t>MORP0002</t>
  </si>
  <si>
    <t>MGMW450001</t>
  </si>
  <si>
    <t>AC70972</t>
  </si>
  <si>
    <t>MGMW450010</t>
  </si>
  <si>
    <t>MGMW450013</t>
  </si>
  <si>
    <t>AC70965</t>
  </si>
  <si>
    <t>MGMW450015</t>
  </si>
  <si>
    <t>MGMW450016</t>
  </si>
  <si>
    <t>AC70970</t>
  </si>
  <si>
    <t>AC70971</t>
  </si>
  <si>
    <t>MGMW450022</t>
  </si>
  <si>
    <t>AC70976</t>
  </si>
  <si>
    <t>MGMW450029</t>
  </si>
  <si>
    <t>MGMW450030</t>
  </si>
  <si>
    <t>MGMW450031</t>
  </si>
  <si>
    <t>MGMW450032</t>
  </si>
  <si>
    <t>MGMW450035</t>
  </si>
  <si>
    <t>MGMW450036</t>
  </si>
  <si>
    <t>MGMW450039</t>
  </si>
  <si>
    <t>MGMW450040</t>
  </si>
  <si>
    <t>MW4-BAST</t>
  </si>
  <si>
    <t>BLUELOUNGE Magwrap - Small</t>
  </si>
  <si>
    <t>AC70898</t>
  </si>
  <si>
    <t>BLMW4BAST</t>
  </si>
  <si>
    <t>MW7-BAST</t>
  </si>
  <si>
    <t>BLUELOUNGE Magwrap - Large</t>
  </si>
  <si>
    <t>BLMW7BAST</t>
  </si>
  <si>
    <t>782033</t>
  </si>
  <si>
    <t>782032</t>
  </si>
  <si>
    <t>788591</t>
  </si>
  <si>
    <t>AC78619</t>
  </si>
  <si>
    <t>NL4400C02</t>
  </si>
  <si>
    <t>Bunnings</t>
  </si>
  <si>
    <t>819384</t>
  </si>
  <si>
    <t>799276</t>
  </si>
  <si>
    <t>MGNL2A60B</t>
  </si>
  <si>
    <t>819385</t>
  </si>
  <si>
    <t>799284</t>
  </si>
  <si>
    <t>MGNL2A60E</t>
  </si>
  <si>
    <t>799280</t>
  </si>
  <si>
    <t>MGNL4A60B</t>
  </si>
  <si>
    <t>799288</t>
  </si>
  <si>
    <t>MGNL4A60E</t>
  </si>
  <si>
    <t>788586</t>
  </si>
  <si>
    <t>AC78615</t>
  </si>
  <si>
    <t>NL8100E00</t>
  </si>
  <si>
    <t>AC78614</t>
  </si>
  <si>
    <t>NL81002BS</t>
  </si>
  <si>
    <t>788589</t>
  </si>
  <si>
    <t>AC78617</t>
  </si>
  <si>
    <t>NL81002BSH</t>
  </si>
  <si>
    <t>788590</t>
  </si>
  <si>
    <t>AC78618</t>
  </si>
  <si>
    <t>NL81002TBS</t>
  </si>
  <si>
    <t>AC78616</t>
  </si>
  <si>
    <t>NL81004SS</t>
  </si>
  <si>
    <t>788582</t>
  </si>
  <si>
    <t>AC78612</t>
  </si>
  <si>
    <t>NL8100K054</t>
  </si>
  <si>
    <t>795686</t>
  </si>
  <si>
    <t>788580</t>
  </si>
  <si>
    <t>AC78611</t>
  </si>
  <si>
    <t>NL81005CL</t>
  </si>
  <si>
    <t>788633</t>
  </si>
  <si>
    <t>788581</t>
  </si>
  <si>
    <t>AC78613</t>
  </si>
  <si>
    <t>NL8100K05</t>
  </si>
  <si>
    <t>LN847A62A</t>
  </si>
  <si>
    <t>AC70982</t>
  </si>
  <si>
    <t>B08K88M2RC</t>
  </si>
  <si>
    <t>485174</t>
  </si>
  <si>
    <t>AC47617</t>
  </si>
  <si>
    <t>MGNANO9LK</t>
  </si>
  <si>
    <t>B09K4NXTYY</t>
  </si>
  <si>
    <t>AC47621</t>
  </si>
  <si>
    <t>B09K4M7KV3</t>
  </si>
  <si>
    <t>AC47622</t>
  </si>
  <si>
    <t>AC47623</t>
  </si>
  <si>
    <t>B08HS126LV</t>
  </si>
  <si>
    <t>AC47618</t>
  </si>
  <si>
    <t>MGNANO3LK</t>
  </si>
  <si>
    <t>AC47620</t>
  </si>
  <si>
    <t>AC47619</t>
  </si>
  <si>
    <t>AC61450</t>
  </si>
  <si>
    <t>AC70983</t>
  </si>
  <si>
    <t>653733</t>
  </si>
  <si>
    <t>AC62868</t>
  </si>
  <si>
    <t>MGNLA19B22</t>
  </si>
  <si>
    <t>B0C4FN4TM7</t>
  </si>
  <si>
    <t>653732</t>
  </si>
  <si>
    <t>AC62869</t>
  </si>
  <si>
    <t>MGNLA19E27</t>
  </si>
  <si>
    <t>B0CC113ZQR</t>
  </si>
  <si>
    <t>654280</t>
  </si>
  <si>
    <t>AC62870</t>
  </si>
  <si>
    <t>653735</t>
  </si>
  <si>
    <t>AC62871</t>
  </si>
  <si>
    <t>MGNL19B223</t>
  </si>
  <si>
    <t>653734</t>
  </si>
  <si>
    <t>AC62872</t>
  </si>
  <si>
    <t>MGNL19E273</t>
  </si>
  <si>
    <t>B0CKYZFPHW</t>
  </si>
  <si>
    <t>654282</t>
  </si>
  <si>
    <t>AC62873</t>
  </si>
  <si>
    <t>B0CFWKPVR6</t>
  </si>
  <si>
    <t>492063</t>
  </si>
  <si>
    <t>654283</t>
  </si>
  <si>
    <t>AC62874</t>
  </si>
  <si>
    <t>MGNLSMDL</t>
  </si>
  <si>
    <t>654284</t>
  </si>
  <si>
    <t>AC62992</t>
  </si>
  <si>
    <t>MGNLSMDL2</t>
  </si>
  <si>
    <t>B0CWKDRK47</t>
  </si>
  <si>
    <t>654285</t>
  </si>
  <si>
    <t>AC62993</t>
  </si>
  <si>
    <t>653736</t>
  </si>
  <si>
    <t>MGNLLS2MEX</t>
  </si>
  <si>
    <t>653737</t>
  </si>
  <si>
    <t>MGNLLS2MST</t>
  </si>
  <si>
    <t>653738</t>
  </si>
  <si>
    <t>AC62877</t>
  </si>
  <si>
    <t>MGNLLS5MST</t>
  </si>
  <si>
    <t>B0CF62R8S6</t>
  </si>
  <si>
    <t>830320</t>
  </si>
  <si>
    <t>654286</t>
  </si>
  <si>
    <t>AC68465</t>
  </si>
  <si>
    <t>MGNL4DSM65</t>
  </si>
  <si>
    <t>654287</t>
  </si>
  <si>
    <t>AC68466</t>
  </si>
  <si>
    <t>MGNL4DSM85</t>
  </si>
  <si>
    <t>AC74788</t>
  </si>
  <si>
    <t>780204</t>
  </si>
  <si>
    <t>AC74789</t>
  </si>
  <si>
    <t>780205</t>
  </si>
  <si>
    <t>AC74790</t>
  </si>
  <si>
    <t>NFS-006</t>
  </si>
  <si>
    <t>NVS Folio Stand for iPad Mini 4 (Black/Red)</t>
  </si>
  <si>
    <t>B07D874F98</t>
  </si>
  <si>
    <t>B077PLV35M</t>
  </si>
  <si>
    <t>NFS-024</t>
  </si>
  <si>
    <t>NVS Apollo Multiview Folio for iPad 9.7" (2017/18) / Air 2 / Air  (Black/Blue)</t>
  </si>
  <si>
    <t>B07D84949Q</t>
  </si>
  <si>
    <t>NFS-028</t>
  </si>
  <si>
    <t>NVS Apollo Multiview Folio for iPad Pro 10.5" / Air 10.5" (Black/Grey)</t>
  </si>
  <si>
    <t>NGL-001</t>
  </si>
  <si>
    <t>NVS Atom Glass Guard for iPhone 5/5S/SE Gen 1</t>
  </si>
  <si>
    <t>B077PXQYKC</t>
  </si>
  <si>
    <t>NGL-006</t>
  </si>
  <si>
    <t>NVS Atom Glass Guard for iPad Air/Air 2/Pro 9.7"/ iPad 9.7"</t>
  </si>
  <si>
    <t>B078487B5X</t>
  </si>
  <si>
    <t>NGL-008</t>
  </si>
  <si>
    <t>NVS Atom Glass Guard for MS SP6, SP5 &amp; SP4</t>
  </si>
  <si>
    <t>B077PTDSJP</t>
  </si>
  <si>
    <t>NGL-011</t>
  </si>
  <si>
    <t>NVS Atom Glass Guard for iPhone 8/7/6s Plus</t>
  </si>
  <si>
    <t>B077PQZJGK</t>
  </si>
  <si>
    <t>NGL-013</t>
  </si>
  <si>
    <t>NVS Atom Glass Guard for iPad Pro 10.5"/ Air 10.5"</t>
  </si>
  <si>
    <t>B077PR29ND</t>
  </si>
  <si>
    <t>B07D852C4B</t>
  </si>
  <si>
    <t>NGL-016</t>
  </si>
  <si>
    <t>NVS Atom Glass Guard for Galaxy S9 Plus</t>
  </si>
  <si>
    <t>B07CNVYZXH</t>
  </si>
  <si>
    <t>NGL-018</t>
  </si>
  <si>
    <t>NVS Atom Glass for iPhone 11/Xr</t>
  </si>
  <si>
    <t>B07HP5YV3P</t>
  </si>
  <si>
    <t>NGL-019</t>
  </si>
  <si>
    <t>NVS Atom Glass Guard for iPhone 11 Pro Max/Xs Max</t>
  </si>
  <si>
    <t>B07HP48DNX</t>
  </si>
  <si>
    <t>NHC-P2</t>
  </si>
  <si>
    <t>NETATMO Healthy Home Coach</t>
  </si>
  <si>
    <t>B07DPTZ67M</t>
  </si>
  <si>
    <t>B00D89YKBK</t>
  </si>
  <si>
    <t>NIP-005</t>
  </si>
  <si>
    <t>NVS Clear Shield for iPhone 8/7 - Clear</t>
  </si>
  <si>
    <t>B077PLZBBK</t>
  </si>
  <si>
    <t>NIP-012</t>
  </si>
  <si>
    <t>NVS Lucid Case for iPhone 8/7 (Gold)</t>
  </si>
  <si>
    <t>B077PTGNFK</t>
  </si>
  <si>
    <t>NIP-014</t>
  </si>
  <si>
    <t>NVS Lucid Case for iPhone 8/7 (Rose)</t>
  </si>
  <si>
    <t>B077PLSKYK</t>
  </si>
  <si>
    <t>NIP-015</t>
  </si>
  <si>
    <t>NVS Clear Shield for iPhone 8/7 Plus - Clear</t>
  </si>
  <si>
    <t>B077PLTWNP</t>
  </si>
  <si>
    <t>NIP-022</t>
  </si>
  <si>
    <t>NVS Lucid Case for iPhone 8/7 Plus (Gold)</t>
  </si>
  <si>
    <t>B07D87HQMZ</t>
  </si>
  <si>
    <t>NIP-023</t>
  </si>
  <si>
    <t>NVS Lucid Case for iPhone 8/7 Plus (Grey)</t>
  </si>
  <si>
    <t>B07D848KRH</t>
  </si>
  <si>
    <t>NIP-024</t>
  </si>
  <si>
    <t>NVS Lucid Case for iPhone 8/7 Plus (Rose)</t>
  </si>
  <si>
    <t>B07D8CLB5B</t>
  </si>
  <si>
    <t>NIP-027</t>
  </si>
  <si>
    <t>NVS Executive Wallet Folio for iPhone 8/7, No Qi (Black)</t>
  </si>
  <si>
    <t>B07D87M9HW</t>
  </si>
  <si>
    <t>NIP-029</t>
  </si>
  <si>
    <t>NVS Executive Wallet Folio for iPhone X/Xs, No Qi (Black)</t>
  </si>
  <si>
    <t>B07D87KVKG</t>
  </si>
  <si>
    <t>NIP-030</t>
  </si>
  <si>
    <t>NVS OptiShield for iPhone X/Xs (Clear/Black)</t>
  </si>
  <si>
    <t>B07D87HQNF</t>
  </si>
  <si>
    <t>NIP-031</t>
  </si>
  <si>
    <t>NVS Quartz for iPhone X/Xs (Clear)</t>
  </si>
  <si>
    <t>B07D8CLB4T</t>
  </si>
  <si>
    <t>NIP-032</t>
  </si>
  <si>
    <t>NVS Soft Grip for iPhone X/Xs, No Qi (Black)</t>
  </si>
  <si>
    <t>B07D8CLB5P</t>
  </si>
  <si>
    <t>NIP-033</t>
  </si>
  <si>
    <t>NVS Soft Grip for iPhone X/s, No Qi (Red)</t>
  </si>
  <si>
    <t>B07D84CY48</t>
  </si>
  <si>
    <t>NIP-034</t>
  </si>
  <si>
    <t>NVS Soft Grip for iPhone X/Xs, No Qi (White)</t>
  </si>
  <si>
    <t>B07D87HQNB</t>
  </si>
  <si>
    <t>NIP-045</t>
  </si>
  <si>
    <t>NVS Quartz Case for iPhone Xr</t>
  </si>
  <si>
    <t>B07HP4QD5K</t>
  </si>
  <si>
    <t>NIP-046</t>
  </si>
  <si>
    <t>NVS Quartz Case for iPhone Xs Max</t>
  </si>
  <si>
    <t>B07HP2T4N1</t>
  </si>
  <si>
    <t>NIP-047</t>
  </si>
  <si>
    <t>NVS Executive Wallet Folio for iPhone Xr, No Qi (Black)</t>
  </si>
  <si>
    <t>B07HP4PSPT</t>
  </si>
  <si>
    <t>NIP-048</t>
  </si>
  <si>
    <t>NVS Executive Wallet Folio For iPhone Xs Max, No Qi (Black)</t>
  </si>
  <si>
    <t>B07HP2TGV7</t>
  </si>
  <si>
    <t>B0851PDD1M</t>
  </si>
  <si>
    <t>AC40888</t>
  </si>
  <si>
    <t>B01M0AD8N4</t>
  </si>
  <si>
    <t>887771</t>
  </si>
  <si>
    <t>NL25-0001</t>
  </si>
  <si>
    <t>NANOLEAF Light Panels Mounting Kit</t>
  </si>
  <si>
    <t>B074QW95JQ</t>
  </si>
  <si>
    <t>NL26-0001</t>
  </si>
  <si>
    <t>NANOLEAF HomeKit Remote</t>
  </si>
  <si>
    <t>B07CTJXXN4</t>
  </si>
  <si>
    <t>774441</t>
  </si>
  <si>
    <t>NL28-2005TW-15PK</t>
  </si>
  <si>
    <t>NANOLEAF Light Panels Smarter Kit Rhythm Edition - 15 Pack</t>
  </si>
  <si>
    <t>B07DFTLBFX</t>
  </si>
  <si>
    <t>B0785KQPSR</t>
  </si>
  <si>
    <t>NL28-20XXTW-ACC</t>
  </si>
  <si>
    <t>NANOLEAF Rhythm Module</t>
  </si>
  <si>
    <t>B0753TC96M</t>
  </si>
  <si>
    <t>B07HRGX7MN</t>
  </si>
  <si>
    <t>347387</t>
  </si>
  <si>
    <t>B07K4DPX4Z</t>
  </si>
  <si>
    <t>347386</t>
  </si>
  <si>
    <t>AC20759</t>
  </si>
  <si>
    <t>409604</t>
  </si>
  <si>
    <t>B08DX91BB5</t>
  </si>
  <si>
    <t>285549</t>
  </si>
  <si>
    <t>466790</t>
  </si>
  <si>
    <t>AC34346</t>
  </si>
  <si>
    <t>MGNHX3PK</t>
  </si>
  <si>
    <t>B08DXPLB7F</t>
  </si>
  <si>
    <t>285548</t>
  </si>
  <si>
    <t>466789</t>
  </si>
  <si>
    <t>AC34344</t>
  </si>
  <si>
    <t>MGNHX9PK</t>
  </si>
  <si>
    <t>B08DXLYH7K</t>
  </si>
  <si>
    <t>466791</t>
  </si>
  <si>
    <t>AC34345</t>
  </si>
  <si>
    <t>MGNHX5PK</t>
  </si>
  <si>
    <t>B097RZ2BPM</t>
  </si>
  <si>
    <t>529311</t>
  </si>
  <si>
    <t>AC47625</t>
  </si>
  <si>
    <t>B08P66SYJ2</t>
  </si>
  <si>
    <t>266755</t>
  </si>
  <si>
    <t>485219</t>
  </si>
  <si>
    <t>AC42679</t>
  </si>
  <si>
    <t>MGNL45B22</t>
  </si>
  <si>
    <t>B0979KGN61</t>
  </si>
  <si>
    <t>318541</t>
  </si>
  <si>
    <t>583742</t>
  </si>
  <si>
    <t>B08P65YVD5</t>
  </si>
  <si>
    <t>266754</t>
  </si>
  <si>
    <t>485218</t>
  </si>
  <si>
    <t>AC42678</t>
  </si>
  <si>
    <t>MGNL45E27</t>
  </si>
  <si>
    <t>B0979H1YPZ</t>
  </si>
  <si>
    <t>318540</t>
  </si>
  <si>
    <t>560363</t>
  </si>
  <si>
    <t>B08K88L4X5</t>
  </si>
  <si>
    <t>235933</t>
  </si>
  <si>
    <t>485170</t>
  </si>
  <si>
    <t>AC40813</t>
  </si>
  <si>
    <t>B08K88Z5TV</t>
  </si>
  <si>
    <t>235931</t>
  </si>
  <si>
    <t>485168</t>
  </si>
  <si>
    <t>AC40811</t>
  </si>
  <si>
    <t>MGNL479PK</t>
  </si>
  <si>
    <t>B0BNP8PHRT</t>
  </si>
  <si>
    <t>616719</t>
  </si>
  <si>
    <t>AC61452</t>
  </si>
  <si>
    <t>B0BNP645PN</t>
  </si>
  <si>
    <t>616718</t>
  </si>
  <si>
    <t>AC61451</t>
  </si>
  <si>
    <t>MGNL479PKB</t>
  </si>
  <si>
    <t>B08K86PHFF</t>
  </si>
  <si>
    <t>485169</t>
  </si>
  <si>
    <t>AC40812</t>
  </si>
  <si>
    <t>B097S2CQJV</t>
  </si>
  <si>
    <t>529312</t>
  </si>
  <si>
    <t>AC47624</t>
  </si>
  <si>
    <t>B0BVSBDCHY</t>
  </si>
  <si>
    <t>616720</t>
  </si>
  <si>
    <t>AC56397</t>
  </si>
  <si>
    <t>MGNL489PK</t>
  </si>
  <si>
    <t>B08K87XT4L</t>
  </si>
  <si>
    <t>485172</t>
  </si>
  <si>
    <t>AC40815</t>
  </si>
  <si>
    <t>MGNL4810PK</t>
  </si>
  <si>
    <t>B08K86V43K</t>
  </si>
  <si>
    <t>485171</t>
  </si>
  <si>
    <t>AC40814</t>
  </si>
  <si>
    <t>B0939DJN8P</t>
  </si>
  <si>
    <t>511352</t>
  </si>
  <si>
    <t>AC46841</t>
  </si>
  <si>
    <t>MGNHX3EXP</t>
  </si>
  <si>
    <t>B0939LVD16</t>
  </si>
  <si>
    <t>511351</t>
  </si>
  <si>
    <t>AC46842</t>
  </si>
  <si>
    <t>MGNHX7PK</t>
  </si>
  <si>
    <t>B08P65WR2B</t>
  </si>
  <si>
    <t>266757</t>
  </si>
  <si>
    <t>485222</t>
  </si>
  <si>
    <t>AC42684</t>
  </si>
  <si>
    <t>MGNL551M</t>
  </si>
  <si>
    <t>B08P64QZVR</t>
  </si>
  <si>
    <t>266756</t>
  </si>
  <si>
    <t>485220</t>
  </si>
  <si>
    <t>AC42681</t>
  </si>
  <si>
    <t>MGNL552M</t>
  </si>
  <si>
    <t>AC61446</t>
  </si>
  <si>
    <t>AC61447</t>
  </si>
  <si>
    <t>B09JHSG2R5</t>
  </si>
  <si>
    <t>542551</t>
  </si>
  <si>
    <t>AC60568</t>
  </si>
  <si>
    <t>616717</t>
  </si>
  <si>
    <t>AC56399</t>
  </si>
  <si>
    <t>MGNL593PK</t>
  </si>
  <si>
    <t>B09JGV3B63</t>
  </si>
  <si>
    <t>542549</t>
  </si>
  <si>
    <t>AC60547</t>
  </si>
  <si>
    <t>MGNL59K9PK</t>
  </si>
  <si>
    <t>B0BVPS81VH</t>
  </si>
  <si>
    <t>616716</t>
  </si>
  <si>
    <t>AC56398</t>
  </si>
  <si>
    <t>MGNL594PK</t>
  </si>
  <si>
    <t>B09JHGNL79</t>
  </si>
  <si>
    <t>542550</t>
  </si>
  <si>
    <t>AC60566</t>
  </si>
  <si>
    <t>NMS-SL006</t>
  </si>
  <si>
    <t>NVS Premium Leather Sleeve for Surface Pro 6/5/4 (Black)</t>
  </si>
  <si>
    <t>B07D84B6VS</t>
  </si>
  <si>
    <t>NMS-SL007</t>
  </si>
  <si>
    <t>NVS Premium Leather Sleeve for Surface Pro 6/5/4 (Red)</t>
  </si>
  <si>
    <t>B07D87GYF8</t>
  </si>
  <si>
    <t>B01MCYY9NJ</t>
  </si>
  <si>
    <t>B08FRTF3YS</t>
  </si>
  <si>
    <t>B0BSHFXYPP</t>
  </si>
  <si>
    <t>B00J5OHDGG</t>
  </si>
  <si>
    <t>B07D846C4S</t>
  </si>
  <si>
    <t>NSC-001-6</t>
  </si>
  <si>
    <t>NVS Screen Cleaning Kit Counter Display 30ml - 6 Pack</t>
  </si>
  <si>
    <t>B07L325Z1V</t>
  </si>
  <si>
    <t>B07FMKBK96</t>
  </si>
  <si>
    <t>B0188XGODC</t>
  </si>
  <si>
    <t>NSG-008</t>
  </si>
  <si>
    <t>NVS Screen Guard for iPad Pro 12.9" Gen 2/1 - 2 Pack</t>
  </si>
  <si>
    <t>B077PLSY16</t>
  </si>
  <si>
    <t>NSG-018</t>
  </si>
  <si>
    <t>NVS Screen Guard for iPhone 8/7/6s 3 Pack (Clear)</t>
  </si>
  <si>
    <t>B077PTB45F</t>
  </si>
  <si>
    <t>NSG-020</t>
  </si>
  <si>
    <t>NVS SCREENSHIELD Screen Guard (2pk) for iPad Pro 10.5” / Air 10.5" - Clear</t>
  </si>
  <si>
    <t>B07849H5GZ</t>
  </si>
  <si>
    <t>NSL-003</t>
  </si>
  <si>
    <t>BONELK Long-Life Universal Work-in Case for 11-12inch Laptops (Black)</t>
  </si>
  <si>
    <t>B07N5ZNYHM</t>
  </si>
  <si>
    <t>NSL-005</t>
  </si>
  <si>
    <t>NVS Sleeve for 13" Devices (Black)</t>
  </si>
  <si>
    <t>B077PLZHVP</t>
  </si>
  <si>
    <t>NSL-016</t>
  </si>
  <si>
    <t>NVS Apollo Sleeve for 13" Devices (Black/Grey)</t>
  </si>
  <si>
    <t>NSL-017</t>
  </si>
  <si>
    <t>NVS Apollo Sleeve for 11" Devices (Black/Tan)</t>
  </si>
  <si>
    <t>NTC-005</t>
  </si>
  <si>
    <t>NVS Tutor for Surface Go (Black)</t>
  </si>
  <si>
    <t>B07L5M1WFS</t>
  </si>
  <si>
    <t>NTC-006</t>
  </si>
  <si>
    <t>NVS Tutor for Surface Pro 7/6/5/4 (Black)</t>
  </si>
  <si>
    <t>B07L5MLJ29</t>
  </si>
  <si>
    <t>NVS-251-5</t>
  </si>
  <si>
    <t>NVS Screen Guard for iPad Air/Air 2/Pro 9.7"/iPad 9.7" - 2 Pack</t>
  </si>
  <si>
    <t>B077PXRRYN</t>
  </si>
  <si>
    <t>NVS-321-5</t>
  </si>
  <si>
    <t>NVS Screen Guard for iPhone 5/5s/SE - 3 Pack</t>
  </si>
  <si>
    <t>B0784BX716</t>
  </si>
  <si>
    <t>NVS-8501</t>
  </si>
  <si>
    <t>BONELK Apollo Multiview Folio for iPad 10.2" 7, 8 &amp; 9th Gen (Black/Tan)</t>
  </si>
  <si>
    <t>NVS-8502</t>
  </si>
  <si>
    <t>BONELK Apollo Multiview Folio for iPad 10.2" 7, 8 &amp; 9th Gen (Black/Blue)</t>
  </si>
  <si>
    <t>NVS-8507</t>
  </si>
  <si>
    <t>NVS Tabula Folio for iPad 10.2" 7th &amp; 8th Gen (Black)</t>
  </si>
  <si>
    <t>B016OHME1A</t>
  </si>
  <si>
    <t>777366</t>
  </si>
  <si>
    <t>B017C4FXKI</t>
  </si>
  <si>
    <t>B012ZW01NQ</t>
  </si>
  <si>
    <t>844125</t>
  </si>
  <si>
    <t>OWC-CH</t>
  </si>
  <si>
    <t>BLUELOUNGE Owen Wireless Charger (Charcoal)</t>
  </si>
  <si>
    <t>B07N34TZ82</t>
  </si>
  <si>
    <t>579667</t>
  </si>
  <si>
    <t>PAPSCRNMI6</t>
  </si>
  <si>
    <t>438306</t>
  </si>
  <si>
    <t>PAPSCRN102</t>
  </si>
  <si>
    <t>438302</t>
  </si>
  <si>
    <t>438310</t>
  </si>
  <si>
    <t>638942</t>
  </si>
  <si>
    <t>AC63000</t>
  </si>
  <si>
    <t>PAPSCRN821</t>
  </si>
  <si>
    <t>618872</t>
  </si>
  <si>
    <t>AC61454</t>
  </si>
  <si>
    <t>PAPSCRN019</t>
  </si>
  <si>
    <t>618875</t>
  </si>
  <si>
    <t>AC61457</t>
  </si>
  <si>
    <t>PAPSCRN022</t>
  </si>
  <si>
    <t>750327</t>
  </si>
  <si>
    <t>AC84851</t>
  </si>
  <si>
    <t>PAPLKSPA11</t>
  </si>
  <si>
    <t>618873</t>
  </si>
  <si>
    <t>AC61455</t>
  </si>
  <si>
    <t>PAPSCRN118</t>
  </si>
  <si>
    <t>750325</t>
  </si>
  <si>
    <t>AC82938</t>
  </si>
  <si>
    <t>PAPLKSPP11</t>
  </si>
  <si>
    <t>618874</t>
  </si>
  <si>
    <t>AC61456</t>
  </si>
  <si>
    <t>PAPSCRN218</t>
  </si>
  <si>
    <t>750328</t>
  </si>
  <si>
    <t>AC82939</t>
  </si>
  <si>
    <t>PAPLKSPA13</t>
  </si>
  <si>
    <t>750326</t>
  </si>
  <si>
    <t>AC82940</t>
  </si>
  <si>
    <t>PAPLKSPP13</t>
  </si>
  <si>
    <t>831846</t>
  </si>
  <si>
    <t>842195</t>
  </si>
  <si>
    <t>PAPSCR311</t>
  </si>
  <si>
    <t>842198</t>
  </si>
  <si>
    <t>PAPSCR3A11</t>
  </si>
  <si>
    <t>842196</t>
  </si>
  <si>
    <t>PAPSCR3P11</t>
  </si>
  <si>
    <t>846979</t>
  </si>
  <si>
    <t>842197</t>
  </si>
  <si>
    <t>PAPSCR3P3</t>
  </si>
  <si>
    <t>846670</t>
  </si>
  <si>
    <t>PO2-BL</t>
  </si>
  <si>
    <t>BLUELOUNGE Posto 2.0 Headphone Stand (Black)</t>
  </si>
  <si>
    <t>AC70901</t>
  </si>
  <si>
    <t>PO-WH</t>
  </si>
  <si>
    <t>BLUELOUNGE Posto Headphone Stand (White)</t>
  </si>
  <si>
    <t>B00ZYXEBTY</t>
  </si>
  <si>
    <t>341982</t>
  </si>
  <si>
    <t>AC18089</t>
  </si>
  <si>
    <t>PP02ROW-UG</t>
  </si>
  <si>
    <t>SPHERO BOLT - Education 15 Pack + Power Pack - Upgrade</t>
  </si>
  <si>
    <t>659060</t>
  </si>
  <si>
    <t>PX-MD-01</t>
  </si>
  <si>
    <t>BLUELOUNGE Pixi Medium (Green &amp; Black)</t>
  </si>
  <si>
    <t>B00YEHFPNM</t>
  </si>
  <si>
    <t>PX-SM-02</t>
  </si>
  <si>
    <t>BLUELOUNGE Pixi Small (Orange &amp; Blue)</t>
  </si>
  <si>
    <t>B00XDCIHDO</t>
  </si>
  <si>
    <t>QP-32-B</t>
  </si>
  <si>
    <t>BLUELOUNGE Quick Peek Smart Storage Labels - 32 Labels</t>
  </si>
  <si>
    <t>B0754MYY6S</t>
  </si>
  <si>
    <t>R201ROW</t>
  </si>
  <si>
    <t>R2-D2 App-Enabled Droid by Sphero</t>
  </si>
  <si>
    <t>B071KSR86B</t>
  </si>
  <si>
    <t>B0B4ZGBLSD</t>
  </si>
  <si>
    <t>R621-W</t>
  </si>
  <si>
    <t>MyTag Classic Bluetooth Tracker (White)</t>
  </si>
  <si>
    <t>B0B4ZW7BDK</t>
  </si>
  <si>
    <t>B0B4ZK1M62</t>
  </si>
  <si>
    <t>B0B4ZSB5H2</t>
  </si>
  <si>
    <t>MYTGR633BK</t>
  </si>
  <si>
    <t>B0B4ZB5C8Y</t>
  </si>
  <si>
    <t>B0B4Z81YB2</t>
  </si>
  <si>
    <t>MYTGR691BK</t>
  </si>
  <si>
    <t>ROL-000632</t>
  </si>
  <si>
    <t>ROLI Seaboard RISE25</t>
  </si>
  <si>
    <t>B0159ZO4U2</t>
  </si>
  <si>
    <t>ROL-001142</t>
  </si>
  <si>
    <t>ROLI Seaboard Block</t>
  </si>
  <si>
    <t>B071G73J1T</t>
  </si>
  <si>
    <t>B071JT33N6</t>
  </si>
  <si>
    <t>ROL-001213</t>
  </si>
  <si>
    <t>ROLI Live Block</t>
  </si>
  <si>
    <t>B06VY6LPVG</t>
  </si>
  <si>
    <t>B06X95KPFR</t>
  </si>
  <si>
    <t>ROL-001591</t>
  </si>
  <si>
    <t>ROLI Lightpad Block M</t>
  </si>
  <si>
    <t>B07665LBH2</t>
  </si>
  <si>
    <t>ROL-001833</t>
  </si>
  <si>
    <t>ROLI Songmaker Kit</t>
  </si>
  <si>
    <t>997771</t>
  </si>
  <si>
    <t>ROL-001901</t>
  </si>
  <si>
    <t>ROLI Beatmaker Kit</t>
  </si>
  <si>
    <t>B07JJPPV2J</t>
  </si>
  <si>
    <t>RV01AMP01</t>
  </si>
  <si>
    <t>Sphero RVR Mounting Plate</t>
  </si>
  <si>
    <t>AC34327</t>
  </si>
  <si>
    <t>RV01BAT</t>
  </si>
  <si>
    <t>SPHERO RVR Battery</t>
  </si>
  <si>
    <t>487651</t>
  </si>
  <si>
    <t>RV01ROW</t>
  </si>
  <si>
    <t>SPHERO RVR</t>
  </si>
  <si>
    <t>B07RBBRQW3</t>
  </si>
  <si>
    <t>B085W6DBX5</t>
  </si>
  <si>
    <t>B085W5FGPQ</t>
  </si>
  <si>
    <t>S4-BL</t>
  </si>
  <si>
    <t>BLUELOUNGE Sanctuary4 (Black)</t>
  </si>
  <si>
    <t>B00GGKHN30</t>
  </si>
  <si>
    <t>S4-WH</t>
  </si>
  <si>
    <t>BLUELOUNGE Sanctuary4 (White)</t>
  </si>
  <si>
    <t>B00GGKHN6W</t>
  </si>
  <si>
    <t>SB1350CL-B</t>
  </si>
  <si>
    <t>SWISS MOBILITY Battery c/w Lightning Cable (Gunmetal)</t>
  </si>
  <si>
    <t>B0751ZM15S</t>
  </si>
  <si>
    <t>SB1350CM-B</t>
  </si>
  <si>
    <t>SWISS MOBILITY Alloy Battery Card 1350mAh w Integrated Micro (Black/Gunmetal)</t>
  </si>
  <si>
    <t>B0751RGGNB</t>
  </si>
  <si>
    <t>SB16</t>
  </si>
  <si>
    <t>MARBOTIC Smart Kit</t>
  </si>
  <si>
    <t>B01KJWDRNK</t>
  </si>
  <si>
    <t>SB318000-B</t>
  </si>
  <si>
    <t>SWISS MOBILITY Power Pack 18000mAh 2.1amp - Black</t>
  </si>
  <si>
    <t>SWISS</t>
  </si>
  <si>
    <t>B00WGKKC0A</t>
  </si>
  <si>
    <t>SB411000-B</t>
  </si>
  <si>
    <t>SWISS MOBILITY Universal Power Pack 11000mAh (Black)</t>
  </si>
  <si>
    <t>B079KDT8HF</t>
  </si>
  <si>
    <t>SB42500-B</t>
  </si>
  <si>
    <t>SWISS MOBILITY Universal Power Pack 2500mAh (Black)</t>
  </si>
  <si>
    <t>B07BDPPHZF</t>
  </si>
  <si>
    <t>SB44000-B</t>
  </si>
  <si>
    <t>SWISS MOBILITY Universal Power Pack 4000mAh Battery Pack (Black)</t>
  </si>
  <si>
    <t>B07BDQ6T1S</t>
  </si>
  <si>
    <t>SB44000-G</t>
  </si>
  <si>
    <t>GEO SWISS  Universal Power Pack 4000mAh (White/Gold)</t>
  </si>
  <si>
    <t>B07BDPZWMM</t>
  </si>
  <si>
    <t>SB44000-RG</t>
  </si>
  <si>
    <t>SWISS MOBILITY Power Pack 4000mAh 2.4 amp (White/Rose)</t>
  </si>
  <si>
    <t>B079KQMF5M</t>
  </si>
  <si>
    <t>SB45500-B</t>
  </si>
  <si>
    <t>SWISS MOBILITY Power Pack 5500 mah 2.4 amp - Black</t>
  </si>
  <si>
    <t>B07BDQ7F3S</t>
  </si>
  <si>
    <t>SB-BL</t>
  </si>
  <si>
    <t>BLUELOUNGE Soba (Black)</t>
  </si>
  <si>
    <t>B00MXC4T7S</t>
  </si>
  <si>
    <t>AB87599</t>
  </si>
  <si>
    <t>B079Y18NSZ</t>
  </si>
  <si>
    <t>SCAC48XA-B</t>
  </si>
  <si>
    <t>SWISS MOBILITY 4 Port USB Wall Charger 4.8amp (Black)</t>
  </si>
  <si>
    <t>B079Y1M2HM</t>
  </si>
  <si>
    <t>SCAUXA-M</t>
  </si>
  <si>
    <t>SWISS MOBILITY Alloy Series Auxiliary Cable 1.2m (Gunmetal)</t>
  </si>
  <si>
    <t>B076J2C9K9</t>
  </si>
  <si>
    <t>SCLTMUA-M</t>
  </si>
  <si>
    <t>SWISS MOBILITY Alloy Series USB 2-in-1 Cable (1.8M) - Gunmetal</t>
  </si>
  <si>
    <t>B074K9VYSL</t>
  </si>
  <si>
    <t>SCLTNG4-T</t>
  </si>
  <si>
    <t>SWISS MOBILITY Lightning Cable Flat 1.2m (Turquoise)</t>
  </si>
  <si>
    <t>B00ZYKS22E</t>
  </si>
  <si>
    <t>SCLTNG4-W</t>
  </si>
  <si>
    <t>SWISS MOBILITY Sync/Charge Lightning Cable Flat (1.2m) - White *</t>
  </si>
  <si>
    <t>B010E2J1TE</t>
  </si>
  <si>
    <t>SCLTNGF-W</t>
  </si>
  <si>
    <t>SWISS MOBILITY Mini-Flex Series USB Lightning Cable 10cm (White)</t>
  </si>
  <si>
    <t>B074WQN8DJ</t>
  </si>
  <si>
    <t>SCLTNGK-M</t>
  </si>
  <si>
    <t>SWISS MOBILITY Alloy Armor Series Lightning Cable 1.8m (Gunmetal)</t>
  </si>
  <si>
    <t>B07BDQ4348</t>
  </si>
  <si>
    <t>SCLTNGK-S</t>
  </si>
  <si>
    <t>SWISS MOBILITY Alloy Armor Series Lightning Cable 1.8m (Silver)</t>
  </si>
  <si>
    <t>B07CHR18Z5</t>
  </si>
  <si>
    <t>SCMUSBA-S</t>
  </si>
  <si>
    <t>SWISS MOBILITY Alloy Series Micro-USB Cable 1.8m (Silver)</t>
  </si>
  <si>
    <t>B010E2ZTYK</t>
  </si>
  <si>
    <t>SCMUSBF-B</t>
  </si>
  <si>
    <t>SWISS MOBILITY Mini-Flex Series Micro-USB Cable 10cm (Black)</t>
  </si>
  <si>
    <t>B079XWSMWS</t>
  </si>
  <si>
    <t>B072LQFK3R</t>
  </si>
  <si>
    <t>356544</t>
  </si>
  <si>
    <t>EXSCT01WH</t>
  </si>
  <si>
    <t>816626</t>
  </si>
  <si>
    <t>SD01EDU001</t>
  </si>
  <si>
    <t>SPECDRUMS  Education 12-Pack</t>
  </si>
  <si>
    <t>SPECDRUMS</t>
  </si>
  <si>
    <t>409552</t>
  </si>
  <si>
    <t>SD01WRW1</t>
  </si>
  <si>
    <t>SPHERO Specdrums 1 Ring</t>
  </si>
  <si>
    <t>B07NDQBCJM</t>
  </si>
  <si>
    <t>SD01WRW2</t>
  </si>
  <si>
    <t>SPHERO Specdrums 2 Ring</t>
  </si>
  <si>
    <t>B07NDSNW2Z</t>
  </si>
  <si>
    <t>B0168VXRL8</t>
  </si>
  <si>
    <t>B017T9MK4S</t>
  </si>
  <si>
    <t>SO-BL</t>
  </si>
  <si>
    <t>BLUELOUNGE Sumo (Black)</t>
  </si>
  <si>
    <t>B0062KGABA</t>
  </si>
  <si>
    <t>SP001ROW</t>
  </si>
  <si>
    <t>SPHERO Spider-Man App-Enabled Superhero</t>
  </si>
  <si>
    <t>B06XCLWMDP</t>
  </si>
  <si>
    <t>ST-3HCRS</t>
  </si>
  <si>
    <t>SATECHI USB-A Combo Hub for Desktop (Silver)</t>
  </si>
  <si>
    <t>496986</t>
  </si>
  <si>
    <t>AC06543</t>
  </si>
  <si>
    <t>ST3HCRS</t>
  </si>
  <si>
    <t>776402</t>
  </si>
  <si>
    <t>AC71009</t>
  </si>
  <si>
    <t>ST8KHC2MM</t>
  </si>
  <si>
    <t>426740</t>
  </si>
  <si>
    <t>AC34510</t>
  </si>
  <si>
    <t>STABHFM</t>
  </si>
  <si>
    <t>514974</t>
  </si>
  <si>
    <t>AC48171</t>
  </si>
  <si>
    <t>AC71000</t>
  </si>
  <si>
    <t>MGM1BWMBE</t>
  </si>
  <si>
    <t>ST-ABTCMG</t>
  </si>
  <si>
    <t>SATECHI M1 Bluetooth Wireless Mouse (Gold)</t>
  </si>
  <si>
    <t>MGM1BWMGD</t>
  </si>
  <si>
    <t>AC34513</t>
  </si>
  <si>
    <t>MGM1BWMGY</t>
  </si>
  <si>
    <t>ST-ABTCMR</t>
  </si>
  <si>
    <t>SATECHI M1 Bluetooth Wireless Mouse (Rose Gold)</t>
  </si>
  <si>
    <t>MGM1BWMRG</t>
  </si>
  <si>
    <t>811906</t>
  </si>
  <si>
    <t>AC40387</t>
  </si>
  <si>
    <t>MGM1BWMSR</t>
  </si>
  <si>
    <t>ST-ACBKM</t>
  </si>
  <si>
    <t>SATECHI Compact Backlit Wireless Keyboard (Space Grey)</t>
  </si>
  <si>
    <t>426690</t>
  </si>
  <si>
    <t>AC48167</t>
  </si>
  <si>
    <t>STADSIM</t>
  </si>
  <si>
    <t>AC71010</t>
  </si>
  <si>
    <t>ST-ALTS</t>
  </si>
  <si>
    <t>SATECHI Aluminium Laptop Stand (Silver)</t>
  </si>
  <si>
    <t>AC11077</t>
  </si>
  <si>
    <t>AC27100</t>
  </si>
  <si>
    <t>MGSTAMBKM</t>
  </si>
  <si>
    <t>331305</t>
  </si>
  <si>
    <t>AC26871</t>
  </si>
  <si>
    <t>MGSTAMBKS</t>
  </si>
  <si>
    <t>397351</t>
  </si>
  <si>
    <t>397350</t>
  </si>
  <si>
    <t>AC40378</t>
  </si>
  <si>
    <t>331306</t>
  </si>
  <si>
    <t>MGSTAMWKM</t>
  </si>
  <si>
    <t>ST-AMWKS</t>
  </si>
  <si>
    <t>SATECHI Aluminium Wired USB-A Keyboard (Silver/White)</t>
  </si>
  <si>
    <t>331307</t>
  </si>
  <si>
    <t>MGSTAMWKS</t>
  </si>
  <si>
    <t>ST-ASMSM</t>
  </si>
  <si>
    <t>SATECHI Slim Aluminium Monitor Stand (Space Grey)</t>
  </si>
  <si>
    <t>331233</t>
  </si>
  <si>
    <t>ST-ASMSS</t>
  </si>
  <si>
    <t>SATECHI Slim Aluminium Monitor Stand (Silver)</t>
  </si>
  <si>
    <t>331234</t>
  </si>
  <si>
    <t>522295</t>
  </si>
  <si>
    <t>AC48191</t>
  </si>
  <si>
    <t>MGC1USBCWM</t>
  </si>
  <si>
    <t>514908</t>
  </si>
  <si>
    <t>AC48183</t>
  </si>
  <si>
    <t>STBTSX1M</t>
  </si>
  <si>
    <t>514995</t>
  </si>
  <si>
    <t>AC48187</t>
  </si>
  <si>
    <t>MSTBTSX2M</t>
  </si>
  <si>
    <t>514885</t>
  </si>
  <si>
    <t>AC48184</t>
  </si>
  <si>
    <t>STBTSX3M</t>
  </si>
  <si>
    <t>667283</t>
  </si>
  <si>
    <t>AC63001</t>
  </si>
  <si>
    <t>STC200GMAU</t>
  </si>
  <si>
    <t>467482</t>
  </si>
  <si>
    <t>AC06548</t>
  </si>
  <si>
    <t>MGSTCHDMIM</t>
  </si>
  <si>
    <t>ST-CMAK</t>
  </si>
  <si>
    <t>SATECHI USB-C Slim Multiport Adapter v1 (Black)</t>
  </si>
  <si>
    <t>495309</t>
  </si>
  <si>
    <t>504167</t>
  </si>
  <si>
    <t>AC06553</t>
  </si>
  <si>
    <t>MGSTCMAM</t>
  </si>
  <si>
    <t>ST-CMAS</t>
  </si>
  <si>
    <t>SATECHI USB-C Slim Multiport Adapter v1 (Silver)</t>
  </si>
  <si>
    <t>AC16647</t>
  </si>
  <si>
    <t>ST-CMBPM</t>
  </si>
  <si>
    <t>SATECHI USB-C Pro Hub w 4K HDMI &amp; Thunderbolt 3 (Space Grey)</t>
  </si>
  <si>
    <t>467481</t>
  </si>
  <si>
    <t>ST-CMBPS</t>
  </si>
  <si>
    <t>SATECHI USB-C Pro Hub w 4K HDMI &amp; Thunderbolt 3 (Silver)</t>
  </si>
  <si>
    <t>642330</t>
  </si>
  <si>
    <t>812550</t>
  </si>
  <si>
    <t>AC71026</t>
  </si>
  <si>
    <t>STDDSM</t>
  </si>
  <si>
    <t>ST-DT4PMM-AU</t>
  </si>
  <si>
    <t>SATECHI Thunderbolt 4 Multimedia Pro Dock</t>
  </si>
  <si>
    <t>792550</t>
  </si>
  <si>
    <t>AC82705</t>
  </si>
  <si>
    <t>ST-ELMPB</t>
  </si>
  <si>
    <t>SATECHI Eco Leather Mouse Pad (Blue)</t>
  </si>
  <si>
    <t>593229</t>
  </si>
  <si>
    <t>AC48190</t>
  </si>
  <si>
    <t>MGSTELMPBE</t>
  </si>
  <si>
    <t>ST-ELMPK</t>
  </si>
  <si>
    <t>SATECHI Eco Leather Mouse Pad (Black)</t>
  </si>
  <si>
    <t>593227</t>
  </si>
  <si>
    <t>AC48188</t>
  </si>
  <si>
    <t>MGSTELMPBK</t>
  </si>
  <si>
    <t>ST-ELMPN</t>
  </si>
  <si>
    <t>SATECHI Eco Leather Mouse Pad (Brown)</t>
  </si>
  <si>
    <t>593228</t>
  </si>
  <si>
    <t>AC48189</t>
  </si>
  <si>
    <t>MGSTELMPBN</t>
  </si>
  <si>
    <t>ST-ELMSK</t>
  </si>
  <si>
    <t>SATECHI Magnetic Sticker for iPhone 11/12</t>
  </si>
  <si>
    <t>ST-GMMSHS</t>
  </si>
  <si>
    <t>SATECHI Stand &amp; Hub for Mac mini/Studio W/NVME SSD Enclosure (Silver)</t>
  </si>
  <si>
    <t>AC82689</t>
  </si>
  <si>
    <t>778640</t>
  </si>
  <si>
    <t>AC86651</t>
  </si>
  <si>
    <t>AC71028</t>
  </si>
  <si>
    <t>792551</t>
  </si>
  <si>
    <t>AC82706</t>
  </si>
  <si>
    <t>792552</t>
  </si>
  <si>
    <t>AC82707</t>
  </si>
  <si>
    <t>ST-IWCBS</t>
  </si>
  <si>
    <t>SATECHI USB-C PD &amp; QC Wireless Charger (Silver)</t>
  </si>
  <si>
    <t>AC82687</t>
  </si>
  <si>
    <t>STKSM1DK</t>
  </si>
  <si>
    <t>AC82688</t>
  </si>
  <si>
    <t>STKSM1LT</t>
  </si>
  <si>
    <t>ST-LDMB</t>
  </si>
  <si>
    <t>SATECHI Eco Leather Deskmate (Blue)</t>
  </si>
  <si>
    <t>593231</t>
  </si>
  <si>
    <t>MGSTLDMBE</t>
  </si>
  <si>
    <t>ST-LDMBL</t>
  </si>
  <si>
    <t>SATECHI Eco Leather Deskmate Dual Sided (Blue/Green)</t>
  </si>
  <si>
    <t>593233</t>
  </si>
  <si>
    <t>SAECODSKBL</t>
  </si>
  <si>
    <t>ST-LDMK</t>
  </si>
  <si>
    <t>SATECHI Eco Leather Deskmate (Black)</t>
  </si>
  <si>
    <t>593230</t>
  </si>
  <si>
    <t>MGSTLDMBK</t>
  </si>
  <si>
    <t>ST-LDMN</t>
  </si>
  <si>
    <t>SATECHI Eco Leather Deskmate (Brown)</t>
  </si>
  <si>
    <t>593232</t>
  </si>
  <si>
    <t>MGSTLDMBN</t>
  </si>
  <si>
    <t>ST-LDMPV</t>
  </si>
  <si>
    <t>SATECHI Eco Leather Deskmate Dual Sided (Pink/Purple)</t>
  </si>
  <si>
    <t>593234</t>
  </si>
  <si>
    <t>AC70998</t>
  </si>
  <si>
    <t>SAECODSKPK</t>
  </si>
  <si>
    <t>ST-LDMYO</t>
  </si>
  <si>
    <t>SATECHI Eco Leather Deskmate Dual Sided (Yellow/Orange)</t>
  </si>
  <si>
    <t>593235</t>
  </si>
  <si>
    <t>SAECODSKYW</t>
  </si>
  <si>
    <t>796685</t>
  </si>
  <si>
    <t>796686</t>
  </si>
  <si>
    <t>796687</t>
  </si>
  <si>
    <t>796688</t>
  </si>
  <si>
    <t>796689</t>
  </si>
  <si>
    <t>796682</t>
  </si>
  <si>
    <t>796683</t>
  </si>
  <si>
    <t>796684</t>
  </si>
  <si>
    <t>AC86654</t>
  </si>
  <si>
    <t>STVLMPNVY</t>
  </si>
  <si>
    <t>778695</t>
  </si>
  <si>
    <t>AC86652</t>
  </si>
  <si>
    <t>STVLMPBLK</t>
  </si>
  <si>
    <t>778696</t>
  </si>
  <si>
    <t>AC86653</t>
  </si>
  <si>
    <t>STVLMPBRN</t>
  </si>
  <si>
    <t>AC82704</t>
  </si>
  <si>
    <t>STVLDMNVY</t>
  </si>
  <si>
    <t>778697</t>
  </si>
  <si>
    <t>AC82703</t>
  </si>
  <si>
    <t>STVLDMBLK</t>
  </si>
  <si>
    <t>778698</t>
  </si>
  <si>
    <t>STVLDMBWN</t>
  </si>
  <si>
    <t>AC71018</t>
  </si>
  <si>
    <t>MGSTMBAMCL</t>
  </si>
  <si>
    <t>AC71019</t>
  </si>
  <si>
    <t>MGSTMBAMBL</t>
  </si>
  <si>
    <t>AC71016</t>
  </si>
  <si>
    <t>STMBP14CL</t>
  </si>
  <si>
    <t>AC71017</t>
  </si>
  <si>
    <t>STMBP14DR</t>
  </si>
  <si>
    <t>AC71014</t>
  </si>
  <si>
    <t>STMBP16CL</t>
  </si>
  <si>
    <t>745623</t>
  </si>
  <si>
    <t>AC71015</t>
  </si>
  <si>
    <t>STMBP16DR</t>
  </si>
  <si>
    <t>AC70988</t>
  </si>
  <si>
    <t>ST-MCTCAM-AUK</t>
  </si>
  <si>
    <t>SATECHI 75W Multiport Travel Charger (Space Grey)</t>
  </si>
  <si>
    <t>501821</t>
  </si>
  <si>
    <t>ST-MMSHS</t>
  </si>
  <si>
    <t>SATECHI Aluminium Stand and Hub for Mac Mini with SSD Enclosure (Silver)</t>
  </si>
  <si>
    <t>532372</t>
  </si>
  <si>
    <t>778637</t>
  </si>
  <si>
    <t>AC82702</t>
  </si>
  <si>
    <t>STP3D13K</t>
  </si>
  <si>
    <t>778632</t>
  </si>
  <si>
    <t>AC82695</t>
  </si>
  <si>
    <t>778631</t>
  </si>
  <si>
    <t>AC82694</t>
  </si>
  <si>
    <t>STP4SM</t>
  </si>
  <si>
    <t>778634</t>
  </si>
  <si>
    <t>AC82697</t>
  </si>
  <si>
    <t>778633</t>
  </si>
  <si>
    <t>AC82696</t>
  </si>
  <si>
    <t>STP6SM</t>
  </si>
  <si>
    <t>778636</t>
  </si>
  <si>
    <t>AC82699</t>
  </si>
  <si>
    <t>778635</t>
  </si>
  <si>
    <t>AC82698</t>
  </si>
  <si>
    <t>STP7SM</t>
  </si>
  <si>
    <t>AC82690</t>
  </si>
  <si>
    <t>780702</t>
  </si>
  <si>
    <t>AC82693</t>
  </si>
  <si>
    <t>AC82700</t>
  </si>
  <si>
    <t>780701</t>
  </si>
  <si>
    <t>AC82692</t>
  </si>
  <si>
    <t>AC82701</t>
  </si>
  <si>
    <t>ST-R1</t>
  </si>
  <si>
    <t>SATECHI R1 Adjustable Mobile Stand (Silver)</t>
  </si>
  <si>
    <t>777807</t>
  </si>
  <si>
    <t>AC70994</t>
  </si>
  <si>
    <t>ST-R1B</t>
  </si>
  <si>
    <t>SATECHI R1 Adjustable Mobile Stand (Blue)</t>
  </si>
  <si>
    <t>753965</t>
  </si>
  <si>
    <t>AC70995</t>
  </si>
  <si>
    <t>ST-SCMA2K</t>
  </si>
  <si>
    <t>SATECHI USB-C Slim Multiport Adapter v2 (Black)</t>
  </si>
  <si>
    <t>495305</t>
  </si>
  <si>
    <t>AC70986</t>
  </si>
  <si>
    <t>ST-SCMA2M</t>
  </si>
  <si>
    <t>SATECHI USB-C Slim Multiport Adapter v2 (Space Grey)</t>
  </si>
  <si>
    <t>397348</t>
  </si>
  <si>
    <t>AC34498</t>
  </si>
  <si>
    <t>STSCMA2M</t>
  </si>
  <si>
    <t>ST-SCMA2S</t>
  </si>
  <si>
    <t>SATECHI USB-C Slim Multiport Adapter v2 (Silver)</t>
  </si>
  <si>
    <t>397349</t>
  </si>
  <si>
    <t>788223</t>
  </si>
  <si>
    <t>AC62994</t>
  </si>
  <si>
    <t>ST-TAL10M</t>
  </si>
  <si>
    <t>SATECHI USB-A to Lightning Short Cable - 25cm</t>
  </si>
  <si>
    <t>AC48175</t>
  </si>
  <si>
    <t>STTAL10M</t>
  </si>
  <si>
    <t>586300</t>
  </si>
  <si>
    <t>AC71006</t>
  </si>
  <si>
    <t>437270</t>
  </si>
  <si>
    <t>AC40408</t>
  </si>
  <si>
    <t>STTAUCS</t>
  </si>
  <si>
    <t>586041</t>
  </si>
  <si>
    <t>AC48177</t>
  </si>
  <si>
    <t>STTC100GM</t>
  </si>
  <si>
    <t>AC34500</t>
  </si>
  <si>
    <t>MSTTC108WM</t>
  </si>
  <si>
    <t>397347</t>
  </si>
  <si>
    <t>AC16650</t>
  </si>
  <si>
    <t>M1USB31AM</t>
  </si>
  <si>
    <t>AC48173</t>
  </si>
  <si>
    <t>STTCC10M</t>
  </si>
  <si>
    <t>ST-TCC2MB</t>
  </si>
  <si>
    <t>SATECHI USB-C to USB-C 100W Charging Cable - 2m (Blue)</t>
  </si>
  <si>
    <t>AC61460</t>
  </si>
  <si>
    <t>STTCC2MB</t>
  </si>
  <si>
    <t>593255</t>
  </si>
  <si>
    <t>AC48174</t>
  </si>
  <si>
    <t>STTCC2MM</t>
  </si>
  <si>
    <t>ST-TCC2MV</t>
  </si>
  <si>
    <t>SATECHI USB-C to USB-C 100W Charging Cable - 2m (Purple)</t>
  </si>
  <si>
    <t>AC61461</t>
  </si>
  <si>
    <t>STTCC2MV</t>
  </si>
  <si>
    <t>ST-TCDHAM</t>
  </si>
  <si>
    <t>SATECHI USB-C Dual HDMI Adapter (Space Grey)</t>
  </si>
  <si>
    <t>397648</t>
  </si>
  <si>
    <t>AC34497</t>
  </si>
  <si>
    <t>ST-TCDMMAM</t>
  </si>
  <si>
    <t>SATECHI USB-C Dual Multimedia Adapter (Space Grey)</t>
  </si>
  <si>
    <t>397370</t>
  </si>
  <si>
    <t>AC34496</t>
  </si>
  <si>
    <t>STTCDMMAM</t>
  </si>
  <si>
    <t>ST-TCHCRB</t>
  </si>
  <si>
    <t>SATECHI USB-C Combo Hub for Desktop (Blue)</t>
  </si>
  <si>
    <t>593226</t>
  </si>
  <si>
    <t>AC70992</t>
  </si>
  <si>
    <t>STTCHCRM</t>
  </si>
  <si>
    <t>593216</t>
  </si>
  <si>
    <t>AC70993</t>
  </si>
  <si>
    <t>STTCHCRB</t>
  </si>
  <si>
    <t>ST-TCHCRS</t>
  </si>
  <si>
    <t>SATECHI USB-C Combo Hub for Desktop (Silver)</t>
  </si>
  <si>
    <t>593223</t>
  </si>
  <si>
    <t>AC34503</t>
  </si>
  <si>
    <t>STTCHCRS</t>
  </si>
  <si>
    <t>ST-TCIMHS</t>
  </si>
  <si>
    <t>SATECHI USB-C Clamp Hub Pro for 2017 iMac and iMac Pro (Silver)</t>
  </si>
  <si>
    <t>642332</t>
  </si>
  <si>
    <t>AC11810</t>
  </si>
  <si>
    <t>829470</t>
  </si>
  <si>
    <t>AC48172</t>
  </si>
  <si>
    <t>STTCL10M</t>
  </si>
  <si>
    <t>AC34506</t>
  </si>
  <si>
    <t>625028</t>
  </si>
  <si>
    <t>AC12509</t>
  </si>
  <si>
    <t>MGTCMA2M</t>
  </si>
  <si>
    <t>381148</t>
  </si>
  <si>
    <t>AC16646</t>
  </si>
  <si>
    <t>ST-TCMCAWM</t>
  </si>
  <si>
    <t>SATECHI USB-C Magnetic Charging Dock for Apple Watch (Space Grey)</t>
  </si>
  <si>
    <t>AC34507</t>
  </si>
  <si>
    <t>MGTCMCAWM</t>
  </si>
  <si>
    <t>ST-TCMM8PAM</t>
  </si>
  <si>
    <t>SATECHI USB-C Multimedia Adapter 4K Ethernet Mini Display Port (Space Grey)</t>
  </si>
  <si>
    <t>358372</t>
  </si>
  <si>
    <t>AC12689</t>
  </si>
  <si>
    <t>ST-TCMM8PAS</t>
  </si>
  <si>
    <t>SATECHI USB-C Multimedia Adapter 4K Ethernet Mini Display Port (Silver)</t>
  </si>
  <si>
    <t>501829</t>
  </si>
  <si>
    <t>642328</t>
  </si>
  <si>
    <t>AC12688</t>
  </si>
  <si>
    <t>AC34502</t>
  </si>
  <si>
    <t>342634</t>
  </si>
  <si>
    <t>AC40377</t>
  </si>
  <si>
    <t>585985</t>
  </si>
  <si>
    <t>AC34501</t>
  </si>
  <si>
    <t>STTCPDCCM</t>
  </si>
  <si>
    <t>ST-TCPDCCS</t>
  </si>
  <si>
    <t>SATECHI 72W USB-C PD Car Charger (Silver)</t>
  </si>
  <si>
    <t>AC40376</t>
  </si>
  <si>
    <t>ST-TCPHEM</t>
  </si>
  <si>
    <t>SATECHI USB-C Pro Hub with Ethernet &amp; 4K HDMI (Space Grey)</t>
  </si>
  <si>
    <t>501832</t>
  </si>
  <si>
    <t>AC12687</t>
  </si>
  <si>
    <t>ST-TCPHES</t>
  </si>
  <si>
    <t>SATECHI USB-C Pro Hub with Ethernet &amp; 4K HDMI (Silver)</t>
  </si>
  <si>
    <t>642329</t>
  </si>
  <si>
    <t>AC12686</t>
  </si>
  <si>
    <t>514939</t>
  </si>
  <si>
    <t>AC48176</t>
  </si>
  <si>
    <t>STTCSHIPM</t>
  </si>
  <si>
    <t>ST-TCUHM</t>
  </si>
  <si>
    <t>SATECHI USB-C USB 3.0 3-in-1 Combo Hub (Space Grey)</t>
  </si>
  <si>
    <t>363043</t>
  </si>
  <si>
    <t>AC14816</t>
  </si>
  <si>
    <t>MGSTTCUHM</t>
  </si>
  <si>
    <t>504169</t>
  </si>
  <si>
    <t>AC06550</t>
  </si>
  <si>
    <t>MGSTTCUPM</t>
  </si>
  <si>
    <t>ST-TCWCDM</t>
  </si>
  <si>
    <t>SATECHI USB-C Wireless Charging Dock for AirPods (Space Grey)</t>
  </si>
  <si>
    <t>AC40406</t>
  </si>
  <si>
    <t>MGSTTCWCDM</t>
  </si>
  <si>
    <t>585987</t>
  </si>
  <si>
    <t>AC70990</t>
  </si>
  <si>
    <t>STU2C40CCM</t>
  </si>
  <si>
    <t>AC71007</t>
  </si>
  <si>
    <t>STU4C25M</t>
  </si>
  <si>
    <t>593250</t>
  </si>
  <si>
    <t>AC61462</t>
  </si>
  <si>
    <t>AC61463</t>
  </si>
  <si>
    <t>593249</t>
  </si>
  <si>
    <t>AC70991</t>
  </si>
  <si>
    <t>STUC100WSM</t>
  </si>
  <si>
    <t>585984</t>
  </si>
  <si>
    <t>AC48164</t>
  </si>
  <si>
    <t>593225</t>
  </si>
  <si>
    <t>AC61466</t>
  </si>
  <si>
    <t>STUC165GMA</t>
  </si>
  <si>
    <t>534633</t>
  </si>
  <si>
    <t>AC70989</t>
  </si>
  <si>
    <t>MGSTUC4PHM</t>
  </si>
  <si>
    <t>AC71027</t>
  </si>
  <si>
    <t>471622</t>
  </si>
  <si>
    <t>AC40407</t>
  </si>
  <si>
    <t>554904</t>
  </si>
  <si>
    <t>AC51286</t>
  </si>
  <si>
    <t>554898</t>
  </si>
  <si>
    <t>AC51285</t>
  </si>
  <si>
    <t>ST-UCHSHM</t>
  </si>
  <si>
    <t>SATECHI Aluminium Headphone Stand Hub (Space Grey)</t>
  </si>
  <si>
    <t>495345</t>
  </si>
  <si>
    <t>593222</t>
  </si>
  <si>
    <t>AC71002</t>
  </si>
  <si>
    <t>STUCHSMCM</t>
  </si>
  <si>
    <t>ST-UCICHB</t>
  </si>
  <si>
    <t>SATECHI USB-C Clamp Hub for 24" iMac (Blue)</t>
  </si>
  <si>
    <t>534625</t>
  </si>
  <si>
    <t>AC61465</t>
  </si>
  <si>
    <t>MGSTUCICHB</t>
  </si>
  <si>
    <t>534629</t>
  </si>
  <si>
    <t>AC61464</t>
  </si>
  <si>
    <t>MGSTUCICHS</t>
  </si>
  <si>
    <t>ST-UCISDB</t>
  </si>
  <si>
    <t>SATECHI USB-C Slim Dock for 24” iMac (Blue)</t>
  </si>
  <si>
    <t>593245</t>
  </si>
  <si>
    <t>AC71012</t>
  </si>
  <si>
    <t>ST-UCISDS</t>
  </si>
  <si>
    <t>SATECHI USB-C Slim Dock for 24” iMac (Silver)</t>
  </si>
  <si>
    <t>593241</t>
  </si>
  <si>
    <t>AC71011</t>
  </si>
  <si>
    <t>785742</t>
  </si>
  <si>
    <t>AC62475</t>
  </si>
  <si>
    <t>ST-UCMBAM</t>
  </si>
  <si>
    <t>SATECHI USB-C On-the-Go Multiport Adapter (Space Grey)</t>
  </si>
  <si>
    <t>514970</t>
  </si>
  <si>
    <t>593215</t>
  </si>
  <si>
    <t>AC61467</t>
  </si>
  <si>
    <t>AC71013</t>
  </si>
  <si>
    <t>593217</t>
  </si>
  <si>
    <t>AC71003</t>
  </si>
  <si>
    <t>ST-UCPHMXM</t>
  </si>
  <si>
    <t>SATECHI USB-C Pro Hub Max Adapter (Space Grey)</t>
  </si>
  <si>
    <t>593218</t>
  </si>
  <si>
    <t>ST-UCPHMXS</t>
  </si>
  <si>
    <t>SATECHI USB-C Pro Hub Max Adapter (Silver)</t>
  </si>
  <si>
    <t>593214</t>
  </si>
  <si>
    <t>ST-UCQIMCM</t>
  </si>
  <si>
    <t>SATECHI Magnetic Wireless Charging Cable</t>
  </si>
  <si>
    <t>AC48178</t>
  </si>
  <si>
    <t>STUCQIMCM</t>
  </si>
  <si>
    <t>426637</t>
  </si>
  <si>
    <t>AC40374</t>
  </si>
  <si>
    <t>STUCSMA3K</t>
  </si>
  <si>
    <t>ST-UCSMA3M</t>
  </si>
  <si>
    <t>SATECHI USB-C Slim Multiport Adapter with Ethernet v3 (Space Grey)</t>
  </si>
  <si>
    <t>472252</t>
  </si>
  <si>
    <t>AC34499</t>
  </si>
  <si>
    <t>STUCSMA3M</t>
  </si>
  <si>
    <t>ST-UCSMA3S</t>
  </si>
  <si>
    <t>SATECHI USB-C Slim Multiport Adapter with Ethernet v3 (Silver)</t>
  </si>
  <si>
    <t>472256</t>
  </si>
  <si>
    <t>AC40375</t>
  </si>
  <si>
    <t>514917</t>
  </si>
  <si>
    <t>AC48186</t>
  </si>
  <si>
    <t>STUCSW1M</t>
  </si>
  <si>
    <t>520697</t>
  </si>
  <si>
    <t>AC48185</t>
  </si>
  <si>
    <t>STUCSW3M</t>
  </si>
  <si>
    <t>ST-UCT4DM</t>
  </si>
  <si>
    <t>SATECHI Thunderbolt 4 Dock (Space Grey)</t>
  </si>
  <si>
    <t>667190</t>
  </si>
  <si>
    <t>667191</t>
  </si>
  <si>
    <t>AC71020</t>
  </si>
  <si>
    <t>ST-VLWN</t>
  </si>
  <si>
    <t>SATECHI Magnetic Wallet Stand (Brown)</t>
  </si>
  <si>
    <t>667195</t>
  </si>
  <si>
    <t>AC71021</t>
  </si>
  <si>
    <t>ST-VLWO</t>
  </si>
  <si>
    <t>SATECHI Magnetic Wallet Stand (Orange)</t>
  </si>
  <si>
    <t>667196</t>
  </si>
  <si>
    <t>AC71023</t>
  </si>
  <si>
    <t>AC82691</t>
  </si>
  <si>
    <t>ST-WCPS</t>
  </si>
  <si>
    <t>SATECHI Aluminium Fast Wireless Charger (Silver)</t>
  </si>
  <si>
    <t>501823</t>
  </si>
  <si>
    <t>585983</t>
  </si>
  <si>
    <t>AC48180</t>
  </si>
  <si>
    <t>STWCS5PM</t>
  </si>
  <si>
    <t>ST-WMCS2M</t>
  </si>
  <si>
    <t>SATECHI Magnetic 2-in-1 Wireless Charging Stand (Space Grey)</t>
  </si>
  <si>
    <t>AC48179</t>
  </si>
  <si>
    <t>STWMCS2M</t>
  </si>
  <si>
    <t>ST-WMCS3M</t>
  </si>
  <si>
    <t>SATECHI Magnetic 3-in-1 Wireless Charging Stand</t>
  </si>
  <si>
    <t>AC71001</t>
  </si>
  <si>
    <t>STWMCS3M</t>
  </si>
  <si>
    <t>AC40405</t>
  </si>
  <si>
    <t>MGX3TWCPM</t>
  </si>
  <si>
    <t>426638</t>
  </si>
  <si>
    <t>AC34515</t>
  </si>
  <si>
    <t>MSTXLABKM</t>
  </si>
  <si>
    <t>AC40397</t>
  </si>
  <si>
    <t>MGSTXLABKS</t>
  </si>
  <si>
    <t>AC71024</t>
  </si>
  <si>
    <t>STYTB100K</t>
  </si>
  <si>
    <t>754356</t>
  </si>
  <si>
    <t>AC71025</t>
  </si>
  <si>
    <t>STYU4120M</t>
  </si>
  <si>
    <t>TB13-1116-NT</t>
  </si>
  <si>
    <t>TOFFEE Commuter Satchel for 13" (Navy)</t>
  </si>
  <si>
    <t>TOFFEE</t>
  </si>
  <si>
    <t>B079G8FL5D</t>
  </si>
  <si>
    <t>TB15-1116-KB</t>
  </si>
  <si>
    <t>TOFFEE Commuter Satchel 15" - Khaki Canvas</t>
  </si>
  <si>
    <t>B07FQJMHND</t>
  </si>
  <si>
    <t>TB15-1116-NT</t>
  </si>
  <si>
    <t>TOFFEE Commuter Satchel 15" - Navy Canvas</t>
  </si>
  <si>
    <t>B07FQW3RG2</t>
  </si>
  <si>
    <t>TES-1116-KB</t>
  </si>
  <si>
    <t>TOFFEE OSaka Small - Khaki Canvas</t>
  </si>
  <si>
    <t>B075XFJX55</t>
  </si>
  <si>
    <t>TES-1116-NT</t>
  </si>
  <si>
    <t>TOFFEE OSaka Small - Navy Canvas</t>
  </si>
  <si>
    <t>B075XGT99N</t>
  </si>
  <si>
    <t>TFS-0913-N</t>
  </si>
  <si>
    <t>TOFFEE Fitzroy Sachel for 13" - Navy</t>
  </si>
  <si>
    <t>B00H793I1A</t>
  </si>
  <si>
    <t>TFS-0915-G</t>
  </si>
  <si>
    <t>TOFFEE Fitzroy Satchel for 15" (Khaki)</t>
  </si>
  <si>
    <t>B00H4MEQ02</t>
  </si>
  <si>
    <t>TFS-0915-N</t>
  </si>
  <si>
    <t>TOFFEE Fitzroy Sachel for 15" - Navy</t>
  </si>
  <si>
    <t>B07FQN7L4S</t>
  </si>
  <si>
    <t>TIP-DP</t>
  </si>
  <si>
    <t>ADONIT Ball Tip Dampening for Jot Pro - 2 Pack</t>
  </si>
  <si>
    <t>B00BQR3YFE</t>
  </si>
  <si>
    <t>B09MG1B4JL</t>
  </si>
  <si>
    <t>B09MG3B7VW</t>
  </si>
  <si>
    <t>AC82767</t>
  </si>
  <si>
    <t>B08N42WDZB</t>
  </si>
  <si>
    <t>B07ZTJ6BFD</t>
  </si>
  <si>
    <t>993302</t>
  </si>
  <si>
    <t>B07ZTHZN63</t>
  </si>
  <si>
    <t>993306</t>
  </si>
  <si>
    <t>597952</t>
  </si>
  <si>
    <t>AC71034</t>
  </si>
  <si>
    <t>B088KR6TTR</t>
  </si>
  <si>
    <t>B09MYHCJ4R</t>
  </si>
  <si>
    <t>TMAX-M4PLUS</t>
  </si>
  <si>
    <t>THRONMAX Mdrill Zero Plus Jet Black 96Khz USB Microphone</t>
  </si>
  <si>
    <t>B088KRG5CG</t>
  </si>
  <si>
    <t>978967</t>
  </si>
  <si>
    <t>B08LS61FW3</t>
  </si>
  <si>
    <t>B07YLFFWM9</t>
  </si>
  <si>
    <t>993301</t>
  </si>
  <si>
    <t>B08J8MFZK1</t>
  </si>
  <si>
    <t>997742</t>
  </si>
  <si>
    <t>B07RR248NH</t>
  </si>
  <si>
    <t>993313</t>
  </si>
  <si>
    <t>B08B5XVZBM</t>
  </si>
  <si>
    <t>993323</t>
  </si>
  <si>
    <t>B07YLDHDGR</t>
  </si>
  <si>
    <t>995501</t>
  </si>
  <si>
    <t>B09FM3R7T1</t>
  </si>
  <si>
    <t>B07YLDZ117</t>
  </si>
  <si>
    <t>995504</t>
  </si>
  <si>
    <t>B08B5X79V7</t>
  </si>
  <si>
    <t>993303</t>
  </si>
  <si>
    <t>659750</t>
  </si>
  <si>
    <t>B09FM3SF6R</t>
  </si>
  <si>
    <t>AC71033</t>
  </si>
  <si>
    <t>597911</t>
  </si>
  <si>
    <t>B083H3QQ3H</t>
  </si>
  <si>
    <t>B083H3NGR1</t>
  </si>
  <si>
    <t>B08CZZN1N6</t>
  </si>
  <si>
    <t>B08N4599D8</t>
  </si>
  <si>
    <t>B08RNZSTQV</t>
  </si>
  <si>
    <t>TPB-0513-G</t>
  </si>
  <si>
    <t>TOFFEE Piccadilly Briefcase for 13" - Khaki</t>
  </si>
  <si>
    <t>B00H32J1F8</t>
  </si>
  <si>
    <t>TPB-0513-N</t>
  </si>
  <si>
    <t>TOFFEE Piccadilly Briefcase for 13" - Navy</t>
  </si>
  <si>
    <t>B07FQDDQM1</t>
  </si>
  <si>
    <t>B0B1NRSRM3</t>
  </si>
  <si>
    <t>647952</t>
  </si>
  <si>
    <t>AC62995</t>
  </si>
  <si>
    <t>AIRFLYPROB</t>
  </si>
  <si>
    <t>B0B7GVMPRK</t>
  </si>
  <si>
    <t>609520</t>
  </si>
  <si>
    <t>AC61470</t>
  </si>
  <si>
    <t>TS2201BLK</t>
  </si>
  <si>
    <t>B0B7GXDPXL</t>
  </si>
  <si>
    <t>609524</t>
  </si>
  <si>
    <t>AC71045</t>
  </si>
  <si>
    <t>TS2202WHT</t>
  </si>
  <si>
    <t>TS-2203</t>
  </si>
  <si>
    <t>TWELVE SOUTH SuitCase 14" MacBook Pro M1</t>
  </si>
  <si>
    <t>TS-2204</t>
  </si>
  <si>
    <t>TWELVE SOUTH SuitCase 16" MacBook Pro M1</t>
  </si>
  <si>
    <t>B0BJW981P8</t>
  </si>
  <si>
    <t>652934</t>
  </si>
  <si>
    <t>AC61471</t>
  </si>
  <si>
    <t>TWSHOVTWWH</t>
  </si>
  <si>
    <t>TS-2210</t>
  </si>
  <si>
    <t>TWELVE SOUTH BookBook for Amazon Kindle Paperwhite 11th Gen</t>
  </si>
  <si>
    <t>B09Z4HF4S9</t>
  </si>
  <si>
    <t>B0BS72Y3YJ</t>
  </si>
  <si>
    <t>656072</t>
  </si>
  <si>
    <t>AC71051</t>
  </si>
  <si>
    <t>TS2211GY</t>
  </si>
  <si>
    <t>TS-2253</t>
  </si>
  <si>
    <t>TWELVE SOUTH AirFly (2nd Gen)</t>
  </si>
  <si>
    <t>B0BB8FVKFC</t>
  </si>
  <si>
    <t>614975</t>
  </si>
  <si>
    <t>TS-2255</t>
  </si>
  <si>
    <t>TWELVE SOUTH SuitCase 13" Macbook Pro/Air</t>
  </si>
  <si>
    <t>B0BYLC35ZT</t>
  </si>
  <si>
    <t>B0BZ55VHVP</t>
  </si>
  <si>
    <t>667270</t>
  </si>
  <si>
    <t>AC71052</t>
  </si>
  <si>
    <t>TS2256SLV</t>
  </si>
  <si>
    <t>B0C1TL1S3G</t>
  </si>
  <si>
    <t>667275</t>
  </si>
  <si>
    <t>AC71053</t>
  </si>
  <si>
    <t>TWDESKPDBK</t>
  </si>
  <si>
    <t>B0BQZBMXD4</t>
  </si>
  <si>
    <t>632130</t>
  </si>
  <si>
    <t>AC71050</t>
  </si>
  <si>
    <t>AIRFLY2ND</t>
  </si>
  <si>
    <t>B0C21DWDTB</t>
  </si>
  <si>
    <t>667281</t>
  </si>
  <si>
    <t>AC71054</t>
  </si>
  <si>
    <t>TWDESKPDGY</t>
  </si>
  <si>
    <t>B0C28MN2R1</t>
  </si>
  <si>
    <t>792527</t>
  </si>
  <si>
    <t>B0C59LKXGS</t>
  </si>
  <si>
    <t>AC82941</t>
  </si>
  <si>
    <t>B0C28NT792</t>
  </si>
  <si>
    <t>AC82942</t>
  </si>
  <si>
    <t>B0CGB1RPXT</t>
  </si>
  <si>
    <t>AC71055</t>
  </si>
  <si>
    <t>B0CV4WNKHT</t>
  </si>
  <si>
    <t>750370</t>
  </si>
  <si>
    <t>TS-2304</t>
  </si>
  <si>
    <t>TWELVE SOUTH ButterFly 2-in-1 USB-C MagSafe Charger (Sliver)</t>
  </si>
  <si>
    <t>B0CV4VG2L1</t>
  </si>
  <si>
    <t>B0CX7NDFCB</t>
  </si>
  <si>
    <t>750339</t>
  </si>
  <si>
    <t>AC82943</t>
  </si>
  <si>
    <t>814762</t>
  </si>
  <si>
    <t>AC85822</t>
  </si>
  <si>
    <t>AIRFLYP2BK</t>
  </si>
  <si>
    <t>AC82947</t>
  </si>
  <si>
    <t>AC82948</t>
  </si>
  <si>
    <t>785483</t>
  </si>
  <si>
    <t>AC82944</t>
  </si>
  <si>
    <t>TSQI2BUTPK</t>
  </si>
  <si>
    <t>785484</t>
  </si>
  <si>
    <t>AC82945</t>
  </si>
  <si>
    <t>TSQI2BUTBK</t>
  </si>
  <si>
    <t>B0DCLW6Z9X</t>
  </si>
  <si>
    <t>785486</t>
  </si>
  <si>
    <t>AC82946</t>
  </si>
  <si>
    <t>TSQI2BUTWH</t>
  </si>
  <si>
    <t>796665</t>
  </si>
  <si>
    <t>796666</t>
  </si>
  <si>
    <t>814765</t>
  </si>
  <si>
    <t>AC85825</t>
  </si>
  <si>
    <t>814763</t>
  </si>
  <si>
    <t>AC85823</t>
  </si>
  <si>
    <t>814764</t>
  </si>
  <si>
    <t>AC85824</t>
  </si>
  <si>
    <t>842224</t>
  </si>
  <si>
    <t>TSB-1014-T</t>
  </si>
  <si>
    <t>TOFFEE Slim Leather Brief for 13" - Tan</t>
  </si>
  <si>
    <t>B00TAH6S7S</t>
  </si>
  <si>
    <t>TW-1104</t>
  </si>
  <si>
    <t>TWELVE SOUTH BookBook for MacBook Air / Pro 13" - Brown</t>
  </si>
  <si>
    <t>B0052MAI8U</t>
  </si>
  <si>
    <t>TW-1222</t>
  </si>
  <si>
    <t>TWELVE SOUTH HiRise for MacBook / Laptops</t>
  </si>
  <si>
    <t>B009SKN5DC</t>
  </si>
  <si>
    <t>642334</t>
  </si>
  <si>
    <t>AB48551</t>
  </si>
  <si>
    <t>MG121222</t>
  </si>
  <si>
    <t>TW-1302</t>
  </si>
  <si>
    <t>TWELVE SOUTH BackPack 3 (Silver)</t>
  </si>
  <si>
    <t>B00C1C1WU2</t>
  </si>
  <si>
    <t>TW-1505</t>
  </si>
  <si>
    <t>TWELVE SOUTH BookArc for MacBook/Retina/Pro/Air (Silver)</t>
  </si>
  <si>
    <t>B016EWLDTE</t>
  </si>
  <si>
    <t>TW-1625</t>
  </si>
  <si>
    <t>TWELVE SOUTH HiRise 2 for iPhone/iPad (Black)</t>
  </si>
  <si>
    <t>B01LD85JIK</t>
  </si>
  <si>
    <t>TW-1626</t>
  </si>
  <si>
    <t>TWELVE SOUTH HiRise Deluxe 2 for iPhone/iPad (Silver)</t>
  </si>
  <si>
    <t>B01LD85OH6</t>
  </si>
  <si>
    <t>TW-1627</t>
  </si>
  <si>
    <t>TWELVE SOUTH HiRise Deluxe 2 for iPhone/iPad (Black)</t>
  </si>
  <si>
    <t>B01LD85ORQ</t>
  </si>
  <si>
    <t>TW-1628</t>
  </si>
  <si>
    <t>TWELVE SOUTH HiRise Deluxe 2 for iPhone/iPad (White)</t>
  </si>
  <si>
    <t>B01LD85MXW</t>
  </si>
  <si>
    <t>TW-1633</t>
  </si>
  <si>
    <t>TWELVE SOUTH MagicBridge</t>
  </si>
  <si>
    <t>B01N9D63YE</t>
  </si>
  <si>
    <t>TW-1635</t>
  </si>
  <si>
    <t>TWELVE SOUTH ParcSlope for MacBook (Matte Black)</t>
  </si>
  <si>
    <t>B01N9SN6OA</t>
  </si>
  <si>
    <t>TW-1639</t>
  </si>
  <si>
    <t>TWELVE SOUTH RelaxedLeather case for iPhone SE2/8/7/6s - Cognac *</t>
  </si>
  <si>
    <t>B01N7SWZ6N</t>
  </si>
  <si>
    <t>TW-1648</t>
  </si>
  <si>
    <t>TWELVE SOUTH RelaxedLeather case for iPhone 8/7/6s Plus - Black</t>
  </si>
  <si>
    <t>B01N7SWGTW</t>
  </si>
  <si>
    <t>TW-1649</t>
  </si>
  <si>
    <t>TWELVE SOUTH RelaxedLeather case for iPhone 8/7/6s Plus (Cognac)</t>
  </si>
  <si>
    <t>B01MR6Q59A</t>
  </si>
  <si>
    <t>TW-1653</t>
  </si>
  <si>
    <t>TWELVE SOUTH RelaxedLeather case w pockets for iPhone 8/7/6s Plus (Black)</t>
  </si>
  <si>
    <t>B01N1RIMV4</t>
  </si>
  <si>
    <t>TW-1654</t>
  </si>
  <si>
    <t>TWELVE SOUTH RelaxedLeather case w pockets for iPhone 8/7/6s Plus (Cognac)</t>
  </si>
  <si>
    <t>B01N6Q8WPB</t>
  </si>
  <si>
    <t>TW-1661</t>
  </si>
  <si>
    <t>TWELVE SOUTH BookBook for iPhone 8/7/6s Plus (Black)</t>
  </si>
  <si>
    <t>B01N9AVYHD</t>
  </si>
  <si>
    <t>TW-1662</t>
  </si>
  <si>
    <t>TWELVE SOUTH Journal for iPhone 8/7/6/6S/SE Gen 2 (Cognac)</t>
  </si>
  <si>
    <t>B01MTTOHZS</t>
  </si>
  <si>
    <t>TW-1663</t>
  </si>
  <si>
    <t>TWELVE SOUTH Journal for iPhone 8/7/6/6S/SE Gen 2 (Black)</t>
  </si>
  <si>
    <t>B01MXRJCRL</t>
  </si>
  <si>
    <t>TW-1664</t>
  </si>
  <si>
    <t>TWELVE SOUTH Journal for iPhone 6+/6S+/7+/8+ (Cognac)</t>
  </si>
  <si>
    <t>B01MTTOD8K</t>
  </si>
  <si>
    <t>TW-1665</t>
  </si>
  <si>
    <t>TWELVE SOUTH Journal for iPhone 6+/6S+/7+/8/ (Black)</t>
  </si>
  <si>
    <t>B01NAC8X97</t>
  </si>
  <si>
    <t>TW-1701</t>
  </si>
  <si>
    <t>TWELVE SOUTH ActionSleeve for Apple Watch 38-L (Black)</t>
  </si>
  <si>
    <t>B01N2XP3YV</t>
  </si>
  <si>
    <t>TW-1702</t>
  </si>
  <si>
    <t>TWELVE SOUTH ActionSleeve for Apple Watch 42-S (Black)</t>
  </si>
  <si>
    <t>B01N4I6EZ0</t>
  </si>
  <si>
    <t>TW-1703</t>
  </si>
  <si>
    <t>TWELVE SOUTH ActionSleeve for Apple Watch 42-L (Black)</t>
  </si>
  <si>
    <t>B01MY2ENNT</t>
  </si>
  <si>
    <t>TW-1706</t>
  </si>
  <si>
    <t>TWELVE SOUTH PlugBug Duo</t>
  </si>
  <si>
    <t>B07GN6Z5KV</t>
  </si>
  <si>
    <t>353795</t>
  </si>
  <si>
    <t>B07377XVNY</t>
  </si>
  <si>
    <t>497854</t>
  </si>
  <si>
    <t>AC07257</t>
  </si>
  <si>
    <t>MG121708</t>
  </si>
  <si>
    <t>TW-1714</t>
  </si>
  <si>
    <t>TWELVE SOUTH BookBook Vol 2 for MacBook Pro 13" USB-C / Air 13" USB-C (Brown)</t>
  </si>
  <si>
    <t>B073YGFKFR</t>
  </si>
  <si>
    <t>TW-1715</t>
  </si>
  <si>
    <t>TWELVE SOUTH BookBook Vol 2 for MacBook Pro 15" USB-C (Brown)</t>
  </si>
  <si>
    <t>B073YHM945</t>
  </si>
  <si>
    <t>TW-1717</t>
  </si>
  <si>
    <t>TWELVE SOUTH CableSnap 3pk (Cognac)</t>
  </si>
  <si>
    <t>B075BFFNFG</t>
  </si>
  <si>
    <t>TW-1719</t>
  </si>
  <si>
    <t>TWELVE SOUTH HiRise Pro for iMac / Displays</t>
  </si>
  <si>
    <t>B07821CXJ1</t>
  </si>
  <si>
    <t>TW-1729</t>
  </si>
  <si>
    <t>TWELVE SOUTH Bookbook Caddysack Travel Tote</t>
  </si>
  <si>
    <t>B075KNT7NC</t>
  </si>
  <si>
    <t>TW-1734</t>
  </si>
  <si>
    <t>TWELVE SOUTH BookBook for iPhone X/XS (Brown)</t>
  </si>
  <si>
    <t>B076CBKQ89</t>
  </si>
  <si>
    <t>TW-1735</t>
  </si>
  <si>
    <t>TWELVE SOUTH BookBook for iPhone X/XS (Black)</t>
  </si>
  <si>
    <t>B076C283RT</t>
  </si>
  <si>
    <t>TW-1743</t>
  </si>
  <si>
    <t>TWELVE SOUTH Journal for iPhone X/Xs (Black)</t>
  </si>
  <si>
    <t>B076C6RDD4</t>
  </si>
  <si>
    <t>TW-1744</t>
  </si>
  <si>
    <t>TWELVE SOUTH Journal for iPhone X/XS (Cognac)</t>
  </si>
  <si>
    <t>B076C1S17V</t>
  </si>
  <si>
    <t>TW-1745</t>
  </si>
  <si>
    <t>TWELVE SOUTH BackPack 3 (Matte Black)</t>
  </si>
  <si>
    <t>B077J2SPCM</t>
  </si>
  <si>
    <t>TW-1746</t>
  </si>
  <si>
    <t>TWELVE SOUTH PencilSnap (Black)</t>
  </si>
  <si>
    <t>B078MHR9ZS</t>
  </si>
  <si>
    <t>TW-1747</t>
  </si>
  <si>
    <t>TWELVE SOUTH PencilSnap (Brown)</t>
  </si>
  <si>
    <t>B078MHQJWV</t>
  </si>
  <si>
    <t>TW-1749</t>
  </si>
  <si>
    <t>TWELVE SOUTH BookBook for iPad 10.2" / Air 10.5'' / Pro 10.5" (Brown)</t>
  </si>
  <si>
    <t>B078MKDTGV</t>
  </si>
  <si>
    <t>TW-1801</t>
  </si>
  <si>
    <t>TWELVE SOUTH AirFly Bluetooth Audio Transmitter</t>
  </si>
  <si>
    <t>B07CB24GSV</t>
  </si>
  <si>
    <t>353786</t>
  </si>
  <si>
    <t>TW-1802</t>
  </si>
  <si>
    <t>TWELVE SOUTH AirSnap for AirPods (Black)</t>
  </si>
  <si>
    <t>B07CJRCW9L</t>
  </si>
  <si>
    <t>B07C6LFSHN</t>
  </si>
  <si>
    <t>AC25015</t>
  </si>
  <si>
    <t>TW-1804</t>
  </si>
  <si>
    <t>TWELVE SOUTH AirSnap for AirPods (Teal)</t>
  </si>
  <si>
    <t>B07CG7B2XZ</t>
  </si>
  <si>
    <t>TW-1805</t>
  </si>
  <si>
    <t>TWELVE SOUTH Compass Pro (Space Grey)</t>
  </si>
  <si>
    <t>B07JZWGGG5</t>
  </si>
  <si>
    <t>AC34522</t>
  </si>
  <si>
    <t>TW-1806</t>
  </si>
  <si>
    <t>TWELVE SOUTH Journal for Macbook Pro 13" USB-C (Cognac)</t>
  </si>
  <si>
    <t>B07FMYJRGF</t>
  </si>
  <si>
    <t>B07FL3RDQB</t>
  </si>
  <si>
    <t>TW-1808</t>
  </si>
  <si>
    <t>TWELVE SOUTH Journal CaddySack (Cognac)</t>
  </si>
  <si>
    <t>B07FL3RDQ8</t>
  </si>
  <si>
    <t>TW-1809</t>
  </si>
  <si>
    <t>TWELVE SOUTH PowerPic (Black)</t>
  </si>
  <si>
    <t>B07HPVW9TN</t>
  </si>
  <si>
    <t>TW-1810</t>
  </si>
  <si>
    <t>TWELVE SOUTH PowerPic (White)</t>
  </si>
  <si>
    <t>B00OZV8CSC</t>
  </si>
  <si>
    <t>B07RG8JWNK</t>
  </si>
  <si>
    <t>TW-1812</t>
  </si>
  <si>
    <t>TWELVE SOUTH BookBook for iPhone Xs Max (Brown)</t>
  </si>
  <si>
    <t>B07HY1GXBD</t>
  </si>
  <si>
    <t>TW-1814</t>
  </si>
  <si>
    <t>TWELVE SOUTH BookBook for iPhone Xs Max (Black)</t>
  </si>
  <si>
    <t>B07HXZCTLC</t>
  </si>
  <si>
    <t>TW-1815</t>
  </si>
  <si>
    <t>TWELVE SOUTH BookBook for iPhone Xr (Brown)</t>
  </si>
  <si>
    <t>B07HY27RXR</t>
  </si>
  <si>
    <t>TW-1816</t>
  </si>
  <si>
    <t>TWELVE SOUTH BookBook for iPhone Xr (Black)</t>
  </si>
  <si>
    <t>B07HXZDSLC</t>
  </si>
  <si>
    <t>TW-1817</t>
  </si>
  <si>
    <t>TWELVE SOUTH Journal for iPhone Xs Max (Cognac)</t>
  </si>
  <si>
    <t>B07HXYM17D</t>
  </si>
  <si>
    <t>TW-1818</t>
  </si>
  <si>
    <t>TWELVE SOUTH Journal for iPhone Xs Max (Black)</t>
  </si>
  <si>
    <t>B07HXYBH3V</t>
  </si>
  <si>
    <t>TW-1819</t>
  </si>
  <si>
    <t>TWELVE SOUTH Journal for iPhone Xr (Cognac)</t>
  </si>
  <si>
    <t>B07HXX73MW</t>
  </si>
  <si>
    <t>TW-1820</t>
  </si>
  <si>
    <t>TWELVE SOUTH Journal for iPhone Xr (Black)</t>
  </si>
  <si>
    <t>B07HXZF1VF</t>
  </si>
  <si>
    <t>TW-1821</t>
  </si>
  <si>
    <t>TWELVE SOUTH SurfacePad for iPhone XS Max (Cognac)</t>
  </si>
  <si>
    <t>B07HY1XG2R</t>
  </si>
  <si>
    <t>TW-1822</t>
  </si>
  <si>
    <t>TWELVE SOUTH SurfacePad for iPhone XS Max (Black)</t>
  </si>
  <si>
    <t>B07HXXWGQT</t>
  </si>
  <si>
    <t>TW-1823</t>
  </si>
  <si>
    <t>TWELVE SOUTH SurfacePad for iPhone XS Max (Teal)</t>
  </si>
  <si>
    <t>B07HXX1K11</t>
  </si>
  <si>
    <t>TW-1830</t>
  </si>
  <si>
    <t>TWELVE SOUTH SurfacePad for iPhone XS only (Cognac)</t>
  </si>
  <si>
    <t>B07KS1FG4B</t>
  </si>
  <si>
    <t>TW-1831</t>
  </si>
  <si>
    <t>TWELVE SOUTH SurfacePad for iPhone XS only (Black)</t>
  </si>
  <si>
    <t>B07KS25PT8</t>
  </si>
  <si>
    <t>TW-1832</t>
  </si>
  <si>
    <t>TWELVE SOUTH SurfacePad for iPhone XS only (Teal)</t>
  </si>
  <si>
    <t>B07KRVP29V</t>
  </si>
  <si>
    <t>B088YDWHWQ</t>
  </si>
  <si>
    <t>483246</t>
  </si>
  <si>
    <t>MG121835</t>
  </si>
  <si>
    <t>TW-1905</t>
  </si>
  <si>
    <t>TWELVE SOUTH BookBook Vol 2 for iPad Pro 11" (Brown)</t>
  </si>
  <si>
    <t>B07R4XPX35</t>
  </si>
  <si>
    <t>984413</t>
  </si>
  <si>
    <t>TW-1906</t>
  </si>
  <si>
    <t>TWELVE SOUTH BookBook for 12.9" iPad Pro (2018/3rd Gen) (Brown)</t>
  </si>
  <si>
    <t>B07R5W1Z7D</t>
  </si>
  <si>
    <t>B07TJH4S7X</t>
  </si>
  <si>
    <t>397346</t>
  </si>
  <si>
    <t>AC34537</t>
  </si>
  <si>
    <t>MGSTAYGO</t>
  </si>
  <si>
    <t>B07Z13G1P5</t>
  </si>
  <si>
    <t>403495</t>
  </si>
  <si>
    <t>AC34527</t>
  </si>
  <si>
    <t>AIRFLYPRO</t>
  </si>
  <si>
    <t>TW-1912</t>
  </si>
  <si>
    <t>TWELVE SOUTH AirFly USB-C</t>
  </si>
  <si>
    <t>B07Z13D55K</t>
  </si>
  <si>
    <t>TW-1914</t>
  </si>
  <si>
    <t>TWELVE SOUTH AirFly Duo</t>
  </si>
  <si>
    <t>B07Z13H4TP</t>
  </si>
  <si>
    <t>420361</t>
  </si>
  <si>
    <t>AC34526</t>
  </si>
  <si>
    <t>AIRFLYDUO</t>
  </si>
  <si>
    <t>B081W9MRKG</t>
  </si>
  <si>
    <t>440648</t>
  </si>
  <si>
    <t>AC40206</t>
  </si>
  <si>
    <t>MG12915</t>
  </si>
  <si>
    <t>TW-1916</t>
  </si>
  <si>
    <t>TWELVE SOUTH AirSnap for AirPods (Dark Grey Twill)</t>
  </si>
  <si>
    <t>B07VCMBHX8</t>
  </si>
  <si>
    <t>TW-1917</t>
  </si>
  <si>
    <t>TWELVE SOUTH AirSnap for AirPods (Light Grey Twill)</t>
  </si>
  <si>
    <t>B07VCMBJKR</t>
  </si>
  <si>
    <t>TW-1926</t>
  </si>
  <si>
    <t>TWELVE SOUTH BookBook for iPhone 11 Pro (Brown)</t>
  </si>
  <si>
    <t>B07WZQBDG4</t>
  </si>
  <si>
    <t>TW-1927</t>
  </si>
  <si>
    <t>TWELVE SOUTH BookBook for iPhone 11 Pro (Black)</t>
  </si>
  <si>
    <t>B07X2TY7YJ</t>
  </si>
  <si>
    <t>TW-1928</t>
  </si>
  <si>
    <t>TWELVE SOUTH BookBook for iPhone 11 (Brown)</t>
  </si>
  <si>
    <t>B07X52D74W</t>
  </si>
  <si>
    <t>TW-1929</t>
  </si>
  <si>
    <t>TWELVE SOUTH BookBook for iPhone 11 (Black)</t>
  </si>
  <si>
    <t>B07X5YXXY3</t>
  </si>
  <si>
    <t>TW-1930</t>
  </si>
  <si>
    <t>TWELVE SOUTH BookBook for iPhone 11 Pro Max (Brown)</t>
  </si>
  <si>
    <t>B07X1V2VLF</t>
  </si>
  <si>
    <t>TW-1931</t>
  </si>
  <si>
    <t>TWELVE SOUTH BookBook for iPhone 11 Pro Max (Black)</t>
  </si>
  <si>
    <t>B07X2TWGSY</t>
  </si>
  <si>
    <t>TW-1967</t>
  </si>
  <si>
    <t>TWELVE SOUTH AirSnap Pro for AirPods Pro 1st/2nd Gen (Black)</t>
  </si>
  <si>
    <t>B081W6VV8V</t>
  </si>
  <si>
    <t>TW-1968</t>
  </si>
  <si>
    <t>TWELVE SOUTH AirSnap Pro for AirPods Pro 1st/2nd Gen (Cognac)</t>
  </si>
  <si>
    <t>B081W711MP</t>
  </si>
  <si>
    <t>TW-1969</t>
  </si>
  <si>
    <t>TWELVE SOUTH AirSnap Pro for AirPods Pro 1st/2nd Gen (Slate Blue)</t>
  </si>
  <si>
    <t>B081W7NFMZ</t>
  </si>
  <si>
    <t>TW-2001</t>
  </si>
  <si>
    <t>TWELVE SOUTH BookBook for Amazon Kindle Paperwhite 10th Gen</t>
  </si>
  <si>
    <t>B086RRHXS6</t>
  </si>
  <si>
    <t>TW-2004</t>
  </si>
  <si>
    <t>TWELVE SOUTH BookArc for MacBook/Pro w USB-C (Silver)</t>
  </si>
  <si>
    <t>B086RN2HR3</t>
  </si>
  <si>
    <t>472251</t>
  </si>
  <si>
    <t>MG122004</t>
  </si>
  <si>
    <t>TW-2005</t>
  </si>
  <si>
    <t>TWELVE SOUTH BookArc for MacBook/Pro w USB-C (Space Grey)</t>
  </si>
  <si>
    <t>B086RRJ82R</t>
  </si>
  <si>
    <t>472255</t>
  </si>
  <si>
    <t>AC40212</t>
  </si>
  <si>
    <t>MG122005</t>
  </si>
  <si>
    <t>TW-2011</t>
  </si>
  <si>
    <t>TWELVE SOUTH BookBook for 16-inch MacBook Pro</t>
  </si>
  <si>
    <t>B08CX738SH</t>
  </si>
  <si>
    <t>505833</t>
  </si>
  <si>
    <t>TW-2013</t>
  </si>
  <si>
    <t>TWELVE SOUTH BookBook Case Vol. 2 for 12.9" iPad Pro</t>
  </si>
  <si>
    <t>B08G9LY5X4</t>
  </si>
  <si>
    <t>TW-2014</t>
  </si>
  <si>
    <t>TWELVE SOUTH BookBook Cover Vol. 2 for 11" iPad Pro/Air 3/7th Gen</t>
  </si>
  <si>
    <t>B08GHGK9LG</t>
  </si>
  <si>
    <t>TW-2015</t>
  </si>
  <si>
    <t>TWELVE SOUTH BookBook Cover Vol. 2 for 12.9" iPad Pro</t>
  </si>
  <si>
    <t>B08GHHY2G4</t>
  </si>
  <si>
    <t>TW-2016</t>
  </si>
  <si>
    <t>TWELVE SOUTH ParcSlope for MacBook, Laptops &amp; iPad</t>
  </si>
  <si>
    <t>B08LFMRXG6</t>
  </si>
  <si>
    <t>495348</t>
  </si>
  <si>
    <t>MGTW2016</t>
  </si>
  <si>
    <t>TW-2017</t>
  </si>
  <si>
    <t>TWELVE SOUTH Suitcase for 13-inch Macbook Pro / Air (USB-C)</t>
  </si>
  <si>
    <t>B00PCKGOK8</t>
  </si>
  <si>
    <t>TW-2018</t>
  </si>
  <si>
    <t>TWELVE SOUTH Suitcase for 16-inch MacBook Pro (2019-2020)</t>
  </si>
  <si>
    <t>B08J25Z4P6</t>
  </si>
  <si>
    <t>B09FYKBBSF</t>
  </si>
  <si>
    <t>AC71035</t>
  </si>
  <si>
    <t>TW-2020</t>
  </si>
  <si>
    <t>TWELVE SOUTH BookBook Vol 2 for MacBook Pro 13"/Air 13" USB-C (Brown)</t>
  </si>
  <si>
    <t>B08KRFGK4Y</t>
  </si>
  <si>
    <t>TW-2021</t>
  </si>
  <si>
    <t>TWELVE SOUTH HoverBar Duo for iPad / Tablet / Smartphone (1st Gen)</t>
  </si>
  <si>
    <t>B08VYLQS9F</t>
  </si>
  <si>
    <t>505837</t>
  </si>
  <si>
    <t>TW-2022</t>
  </si>
  <si>
    <t>TWELVE SOUTH SurfaceSnap 3 Pack (Black)</t>
  </si>
  <si>
    <t>B08V3RGNKC</t>
  </si>
  <si>
    <t>TW-2023</t>
  </si>
  <si>
    <t>TWELVE SOUTH SurfaceSnap 3 Pack (Dove Grey)</t>
  </si>
  <si>
    <t>B08V3V5HFS</t>
  </si>
  <si>
    <t>TW-2024</t>
  </si>
  <si>
    <t>TWELVE SOUTH MagicBridge Extended for Magic Keyboard &amp; Trackpad 2 (White)</t>
  </si>
  <si>
    <t>B08Y72PY3B</t>
  </si>
  <si>
    <t>TW-2025</t>
  </si>
  <si>
    <t>TWELVE SOUTH MagicBridge Extended for Magic Keyboard &amp; Trackpad 2 (Black)</t>
  </si>
  <si>
    <t>B08Y6H44M8</t>
  </si>
  <si>
    <t>TW-2026</t>
  </si>
  <si>
    <t>TWELVE SOUTH BookBook for iPhone 12 mini (brown)</t>
  </si>
  <si>
    <t>506205</t>
  </si>
  <si>
    <t>TW-2032</t>
  </si>
  <si>
    <t>TWELVE SOUTH BookBook for iPhone 12 Pro Max (Brown)</t>
  </si>
  <si>
    <t>B08LFS9S8W</t>
  </si>
  <si>
    <t>TW-2033</t>
  </si>
  <si>
    <t>TWELVE SOUTH BookBook for iPhone 12 Pro Max (black)</t>
  </si>
  <si>
    <t>B08LFSNFP4</t>
  </si>
  <si>
    <t>TW-2035</t>
  </si>
  <si>
    <t>TWELVE SOUTH ActionSleeve 2 for Apple Watch 4/5/6/SE 40mm</t>
  </si>
  <si>
    <t>B093RCS7C8</t>
  </si>
  <si>
    <t>TW-2036</t>
  </si>
  <si>
    <t>TWELVE SOUTH ActionSleeve 2 for Apple Watch 4/5/6/SE 44mm</t>
  </si>
  <si>
    <t>B093R3Z476</t>
  </si>
  <si>
    <t>TW-2037</t>
  </si>
  <si>
    <t>TWELVE SOUTH PowerPic Mod - White</t>
  </si>
  <si>
    <t>B09FYHP8C8</t>
  </si>
  <si>
    <t>AC71036</t>
  </si>
  <si>
    <t>B09C9W6SCC</t>
  </si>
  <si>
    <t>B09FPMXN3S</t>
  </si>
  <si>
    <t>B09PWZH95M</t>
  </si>
  <si>
    <t>AC71040</t>
  </si>
  <si>
    <t>TW-2117</t>
  </si>
  <si>
    <t>TWELVE SOUTH ActionBand for Apple Watch 4/5/6 44mm</t>
  </si>
  <si>
    <t>B09KP348SL</t>
  </si>
  <si>
    <t>TW-2134</t>
  </si>
  <si>
    <t>TWELVE SOUTH BookBook for iPhone 13 Pro (brown) MagSafe</t>
  </si>
  <si>
    <t>B09NQBJB78</t>
  </si>
  <si>
    <t>TW-2136</t>
  </si>
  <si>
    <t>TWELVE SOUTH BookBook for iPhone 13 Pro Max (brown) MagSafe</t>
  </si>
  <si>
    <t>B09J9WRD9Y</t>
  </si>
  <si>
    <t>TW-2139</t>
  </si>
  <si>
    <t>TWELVE SOUTH BookBook Cover Vol. 2 for 12.9" iPad Pro (Cream Lining)</t>
  </si>
  <si>
    <t>B09PXJPHHB</t>
  </si>
  <si>
    <t>TW-2140</t>
  </si>
  <si>
    <t>TWELVE SOUTH BookBook Cover Vol. 2 for 11" iPad Pro/Air 3/ 7th gen (Cream Lining)</t>
  </si>
  <si>
    <t>B09PZJ74VC</t>
  </si>
  <si>
    <t>TW-2141</t>
  </si>
  <si>
    <t>TWELVE SOUTH BackPack shelf for M1 iMac (White)</t>
  </si>
  <si>
    <t>B09QRZ2DF3</t>
  </si>
  <si>
    <t>586293</t>
  </si>
  <si>
    <t>TW-2142</t>
  </si>
  <si>
    <t>TWELVE SOUTH Curve Riser for iMac and Displays - White</t>
  </si>
  <si>
    <t>B0BCBTD1RN</t>
  </si>
  <si>
    <t>AC71048</t>
  </si>
  <si>
    <t>TW2142WHT</t>
  </si>
  <si>
    <t>B0B6QD3NZV</t>
  </si>
  <si>
    <t>598360</t>
  </si>
  <si>
    <t>AC61468</t>
  </si>
  <si>
    <t>TWSHOVR2BK</t>
  </si>
  <si>
    <t>B0B6QCZB3R</t>
  </si>
  <si>
    <t>598361</t>
  </si>
  <si>
    <t>AC61469</t>
  </si>
  <si>
    <t>TWSHOVR2WH</t>
  </si>
  <si>
    <t>TW-2145</t>
  </si>
  <si>
    <t>TWELVE SOUTH HiRise 3 (Black)</t>
  </si>
  <si>
    <t>B0B326Q87Y</t>
  </si>
  <si>
    <t>AC61472</t>
  </si>
  <si>
    <t>TW-2146</t>
  </si>
  <si>
    <t>TWELVE SOUTH HiRise 3 (White)</t>
  </si>
  <si>
    <t>B0B32KTR8P</t>
  </si>
  <si>
    <t>TW-2156</t>
  </si>
  <si>
    <t>TWELVE SOUTH BookBook for 16-inch MacBook Pro M1</t>
  </si>
  <si>
    <t>TW-2157</t>
  </si>
  <si>
    <t>TWELVE SOUTH BookBook Case for iPad Mini 6 - Brown</t>
  </si>
  <si>
    <t>B09XC18LMP</t>
  </si>
  <si>
    <t>TWSU01</t>
  </si>
  <si>
    <t>TECHWILLSAVEUS Creative Coder Kit</t>
  </si>
  <si>
    <t>TECH WILL SAVE US</t>
  </si>
  <si>
    <t>B07H17S2GK</t>
  </si>
  <si>
    <t>TWSU02</t>
  </si>
  <si>
    <t>TECHWILLSAVEUS Sew &amp; Glow Kit</t>
  </si>
  <si>
    <t>B07H16S3WG</t>
  </si>
  <si>
    <t>TWSU03</t>
  </si>
  <si>
    <t>TECHWILLSAVEUS Light Racer Kit</t>
  </si>
  <si>
    <t>B07H17SBJD</t>
  </si>
  <si>
    <t>LW452ASDAE</t>
  </si>
  <si>
    <t>LW452ASDBA</t>
  </si>
  <si>
    <t>LW461ASDAE</t>
  </si>
  <si>
    <t>LW462AQDAE</t>
  </si>
  <si>
    <t>LW482CADAE</t>
  </si>
  <si>
    <t>LW881AADAE</t>
  </si>
  <si>
    <t>B072BGYHLK</t>
  </si>
  <si>
    <t>356540</t>
  </si>
  <si>
    <t>EXWBS04BK</t>
  </si>
  <si>
    <t>B071XW4C5Q</t>
  </si>
  <si>
    <t>356538</t>
  </si>
  <si>
    <t>EXWBS05BK</t>
  </si>
  <si>
    <t>B071CMGR9C</t>
  </si>
  <si>
    <t>356539</t>
  </si>
  <si>
    <t>EXWBS05WH</t>
  </si>
  <si>
    <t>B0728K4371</t>
  </si>
  <si>
    <t>356536</t>
  </si>
  <si>
    <t>WITWBS06BK</t>
  </si>
  <si>
    <t>B072C4XB3G</t>
  </si>
  <si>
    <t>356537</t>
  </si>
  <si>
    <t>B0C5JP7HN7</t>
  </si>
  <si>
    <t>661759</t>
  </si>
  <si>
    <t>WBS08B</t>
  </si>
  <si>
    <t>B0C34ZWCXH</t>
  </si>
  <si>
    <t>661758</t>
  </si>
  <si>
    <t>WBS12B</t>
  </si>
  <si>
    <t>B0CDMK695P</t>
  </si>
  <si>
    <t>661757</t>
  </si>
  <si>
    <t>WBS13B</t>
  </si>
  <si>
    <t>B0CDN5BWDZ</t>
  </si>
  <si>
    <t>661756</t>
  </si>
  <si>
    <t>WBS13W</t>
  </si>
  <si>
    <t>B07VQWSZHK</t>
  </si>
  <si>
    <t>540977</t>
  </si>
  <si>
    <t>WITH04AU</t>
  </si>
  <si>
    <t>B07SJV1HNR</t>
  </si>
  <si>
    <t>405261</t>
  </si>
  <si>
    <t>WITH05AU</t>
  </si>
  <si>
    <t>B084HS3HRD</t>
  </si>
  <si>
    <t>486640</t>
  </si>
  <si>
    <t>WSLEEPANA</t>
  </si>
  <si>
    <t>598656</t>
  </si>
  <si>
    <t>Name</t>
  </si>
  <si>
    <t>Display Name</t>
  </si>
  <si>
    <t>Base Price</t>
  </si>
  <si>
    <t>% vs SOH</t>
  </si>
  <si>
    <t>Status</t>
  </si>
  <si>
    <t>DC</t>
  </si>
  <si>
    <t>Bus. Online</t>
  </si>
  <si>
    <t>Retail</t>
  </si>
  <si>
    <t>WOS</t>
  </si>
  <si>
    <t>Retail Value</t>
  </si>
  <si>
    <t>JB Hifi</t>
  </si>
  <si>
    <t>CURRENT</t>
  </si>
  <si>
    <t>PAPERLIKE Screen Protector v2.1 for iPad Air 11" (M2, 2024) (2 Pack)</t>
  </si>
  <si>
    <t>PAPERLIKE Screen Protector v2.1 for iPad 10.9" 10th Gen (2 Pack)</t>
  </si>
  <si>
    <t>BONELK Long-Life 3in1 Multiport Hub  - Black</t>
  </si>
  <si>
    <t>SATECHI Eco Hardshell Case for MacBook Air M2 &amp; M3 (Clear)</t>
  </si>
  <si>
    <t>BONELK Long-Life 3in1 Multiport Hub  -  Space Grey</t>
  </si>
  <si>
    <t>PAPERLIKE Screen Protector v2.1 for iPad Air 13" (M2, 2024) (2 Pack)</t>
  </si>
  <si>
    <t>BONELK Long-Life USB-A to 4 Port USB 3.0 Slim Hub - Green</t>
  </si>
  <si>
    <t>BONELK Long-Life USB-A to 4 Port USB 3.0 Slim Hub - Blue</t>
  </si>
  <si>
    <t>BONELK Long-Life USB-A to 4 Port USB 3.0 Slim Hub - White</t>
  </si>
  <si>
    <t>564322</t>
  </si>
  <si>
    <t>BONELK Elevate¬†Flow Laptop Stand - Black</t>
  </si>
  <si>
    <t>PAPERLIKE Screen Protector v2.1 for iPad Mini 8.3‚Äù 2021 &amp; 2024 (2 Pack)</t>
  </si>
  <si>
    <t>0285549</t>
  </si>
  <si>
    <t>WH Smith</t>
  </si>
  <si>
    <t>0266754</t>
  </si>
  <si>
    <t>0285548</t>
  </si>
  <si>
    <t>KG Electronics</t>
  </si>
  <si>
    <t>0266755</t>
  </si>
  <si>
    <t>0492063</t>
  </si>
  <si>
    <t>654684</t>
  </si>
  <si>
    <t>0318540</t>
  </si>
  <si>
    <t>0318541</t>
  </si>
  <si>
    <t>BONELK Elevate¬†Go Laptop Stand (Black)</t>
  </si>
  <si>
    <t>904-00009</t>
  </si>
  <si>
    <t>OSMO Protective Case for iPad Air/Air 2/iPad 5/6th, iPad Pro 9.7" (White)</t>
  </si>
  <si>
    <t>99MO123031</t>
  </si>
  <si>
    <t>MOSHI Pebbo Airpods Case (Shadow Black)</t>
  </si>
  <si>
    <t>99MO101032</t>
  </si>
  <si>
    <t>B079JRW6R4</t>
  </si>
  <si>
    <t>MOSHI Kameleon for iPhone X/Xs - Ivory White *</t>
  </si>
  <si>
    <t>MOSHI VersaCover for iPad Air 10.9" / Pro 11‚Äù 3rd Gen (Black)</t>
  </si>
  <si>
    <t>MOSHI VersaCover for iPad Air 10.9" / Pro 11‚Äù 3rd Gen (Orange)</t>
  </si>
  <si>
    <t>MOSHI iVisor AG for iPad Air 10.9" / Pro 11‚Äù 3rd Gen (Black)</t>
  </si>
  <si>
    <t>NL22-0005TW-9PK</t>
  </si>
  <si>
    <t>B077CXP4YC</t>
  </si>
  <si>
    <t>NANOLEAF Light Panels Smarter Kit 9pk + Controller *</t>
  </si>
  <si>
    <t>NVS SCREENSHIELD Screen Guard (2pk) for iPad Pro 10.5‚Äù / Air 10.5" - Clear</t>
  </si>
  <si>
    <t>0444609</t>
  </si>
  <si>
    <t>444611</t>
  </si>
  <si>
    <t>0285552</t>
  </si>
  <si>
    <t>0235934</t>
  </si>
  <si>
    <t>0149622</t>
  </si>
  <si>
    <t>0235932</t>
  </si>
  <si>
    <t>0235936</t>
  </si>
  <si>
    <t>0235931</t>
  </si>
  <si>
    <t>0149621</t>
  </si>
  <si>
    <t>0149624</t>
  </si>
  <si>
    <t>0149623</t>
  </si>
  <si>
    <t>0445480</t>
  </si>
  <si>
    <t>445480</t>
  </si>
  <si>
    <t>444612</t>
  </si>
  <si>
    <t>0266756</t>
  </si>
  <si>
    <t>0419021</t>
  </si>
  <si>
    <t>0445476</t>
  </si>
  <si>
    <t>445482</t>
  </si>
  <si>
    <t>NFS-026</t>
  </si>
  <si>
    <t>NVS Apollo Multiview Folio for iPad Pro 10.5" / Air 10.5" (Black/Tan)</t>
  </si>
  <si>
    <t>NSC-003-6</t>
  </si>
  <si>
    <t>NVS Screen Cleaning Kit Counter Display 200 ml - 6 Pack</t>
  </si>
  <si>
    <t>NC04-0002</t>
  </si>
  <si>
    <t>NANOLEAF Light Panels Rigid Linkers - 9 Pack</t>
  </si>
  <si>
    <t>Withings ‚Äì HN POS 1x Perspex holder, 1x dummy scale</t>
  </si>
  <si>
    <t>NFS-029</t>
  </si>
  <si>
    <t>NVS Tabula Folio for iPad 9.7 / Air 2 / Air (Black)</t>
  </si>
  <si>
    <t>ACV2W</t>
  </si>
  <si>
    <t>Armourcard White</t>
  </si>
  <si>
    <t>ARMOURCARD</t>
  </si>
  <si>
    <t>ST-TCMAM</t>
  </si>
  <si>
    <t>SATECHI USB-C 4K Ethernet Multi-Port Adapter (Space Grey)</t>
  </si>
  <si>
    <t>BONELK Desktop Series 14 in 1 USB-C¬†Multiport Hub - Black</t>
  </si>
  <si>
    <t>NC04-0010</t>
  </si>
  <si>
    <t>NANOLEAF Light Panels Flexible Linkers - 9 Pack</t>
  </si>
  <si>
    <t>NMS-SL005</t>
  </si>
  <si>
    <t>NVS Sleeve for MS New Surf Pro, SP4 &amp; SP3 - Cyan</t>
  </si>
  <si>
    <t>PP01RW1</t>
  </si>
  <si>
    <t>SPHERO SPRK+ - Education 12 Pack + Power Pack</t>
  </si>
  <si>
    <t>PP01RW1_E</t>
  </si>
  <si>
    <t>SPHERO SPRK+ Power Pack (Case Only)</t>
  </si>
  <si>
    <t>CAT40WAT4BLK</t>
  </si>
  <si>
    <t>CATALYST Waterproof Case for Apple Watch 6/SE/5/4, 40mm (Black)</t>
  </si>
  <si>
    <t>NVS-8503</t>
  </si>
  <si>
    <t>BONELK Apollo Multiview Folio for iPad 10.2" 7, 8 &amp; 9th Gen (Black/Grey)</t>
  </si>
  <si>
    <t>CAT44DROP4BLK</t>
  </si>
  <si>
    <t>CATALYST Impact Protector Case for Apple Watch Series 4/5 44mm - Stealth Black</t>
  </si>
  <si>
    <t>DISC-T</t>
  </si>
  <si>
    <t>ADONIT Replacement Disc for Jot Touch/Jot Pro/Jot Flip/Jot Mini - 3 Pack</t>
  </si>
  <si>
    <t>TW-1660</t>
  </si>
  <si>
    <t>TWELVE SOUTH BookBook for iPhone 8/7/6s Plus (Brown)</t>
  </si>
  <si>
    <t>CATIPD5THBLK</t>
  </si>
  <si>
    <t>CATALYST Waterproof Case for iPad 9.7" 5th/6th Gen (Black)</t>
  </si>
  <si>
    <t>CATAPDPRONAV</t>
  </si>
  <si>
    <t>CATALYST Waterproof Case for AirPods Pro (Blue)</t>
  </si>
  <si>
    <t>CAT40DROP4BLK</t>
  </si>
  <si>
    <t>CATALYST Impact Case for Apple Watch 6/SE/5/4, 40mm (Black)</t>
  </si>
  <si>
    <t>467480</t>
  </si>
  <si>
    <t>585981</t>
  </si>
  <si>
    <t>ST-UCPHMIS</t>
  </si>
  <si>
    <t>593213</t>
  </si>
  <si>
    <t>SATECHI USB-C Pro Hub Mini Adapter (Silver)</t>
  </si>
  <si>
    <t>SATECHI USB-C Slim Dock for 24‚Äù iMac (Blue)</t>
  </si>
  <si>
    <t>342833</t>
  </si>
  <si>
    <t>ST-TCDMMAS</t>
  </si>
  <si>
    <t>397366</t>
  </si>
  <si>
    <t>SATECHI USB-C Dual Multimedia Adapter (Silver)</t>
  </si>
  <si>
    <t>ST-TCUHS</t>
  </si>
  <si>
    <t>363047</t>
  </si>
  <si>
    <t>SATECHI USB-C USB 3.0 3-in-1 Combo Hub (Silver)</t>
  </si>
  <si>
    <t>479259</t>
  </si>
  <si>
    <t>ST-TCAWKS</t>
  </si>
  <si>
    <t>331301</t>
  </si>
  <si>
    <t>SATECHI Slim Wireless Keyboard for Mac - Silver *</t>
  </si>
  <si>
    <t>501833</t>
  </si>
  <si>
    <t>ST-TCAWKM</t>
  </si>
  <si>
    <t>331302</t>
  </si>
  <si>
    <t>SATECHI Slim Wireless Keyboard (Space Grey/Black)</t>
  </si>
  <si>
    <t>999866</t>
  </si>
  <si>
    <t>945882</t>
  </si>
  <si>
    <t>476213</t>
  </si>
  <si>
    <t>475100</t>
  </si>
  <si>
    <t>502564</t>
  </si>
  <si>
    <t>502563</t>
  </si>
  <si>
    <t>ST-TCUPS</t>
  </si>
  <si>
    <t>642327</t>
  </si>
  <si>
    <t>SATECHI USB-C USB Passthrough Hub (Silver)</t>
  </si>
  <si>
    <t>342633</t>
  </si>
  <si>
    <t>654687</t>
  </si>
  <si>
    <t>ST-ASMSJ</t>
  </si>
  <si>
    <t>331232</t>
  </si>
  <si>
    <t>SATECHI Slim Aluminium Monitor Stand (Matte Black)</t>
  </si>
  <si>
    <t>629025</t>
  </si>
  <si>
    <t>998689</t>
  </si>
  <si>
    <t>ROL-001931</t>
  </si>
  <si>
    <t>888849</t>
  </si>
  <si>
    <t>ROLI Seaboard RISE49</t>
  </si>
  <si>
    <t>ST-APA</t>
  </si>
  <si>
    <t>366927</t>
  </si>
  <si>
    <t>SATECHI Bluetooth Aluminum Presenter  (Silver)</t>
  </si>
  <si>
    <t>902-00012</t>
  </si>
  <si>
    <t>409585</t>
  </si>
  <si>
    <t>OSMO Super Studio Frozen 2</t>
  </si>
  <si>
    <t>344537</t>
  </si>
  <si>
    <t>ST-UCHSHS</t>
  </si>
  <si>
    <t>495341</t>
  </si>
  <si>
    <t>SATECHI Aluminium Headphone Stand Hub (Silver)</t>
  </si>
  <si>
    <t>409549</t>
  </si>
  <si>
    <t>479859</t>
  </si>
  <si>
    <t>476727</t>
  </si>
  <si>
    <t>511371</t>
  </si>
  <si>
    <t>888825</t>
  </si>
  <si>
    <t>511372</t>
  </si>
  <si>
    <t>904-00021</t>
  </si>
  <si>
    <t>544317</t>
  </si>
  <si>
    <t>OSMO Protective Case for iPad 10.2 8th &amp; 9th Gen (White)</t>
  </si>
  <si>
    <t>331231</t>
  </si>
  <si>
    <t>331229</t>
  </si>
  <si>
    <t>ST-AMPADM</t>
  </si>
  <si>
    <t>366977</t>
  </si>
  <si>
    <t>SATECHI Aluminium Mouse Pad (Space Grey)</t>
  </si>
  <si>
    <t>502562</t>
  </si>
  <si>
    <t>654686</t>
  </si>
  <si>
    <t>ST-ALTSK</t>
  </si>
  <si>
    <t>331230</t>
  </si>
  <si>
    <t>SATECHI Aluminium Laptop Stand (Black)</t>
  </si>
  <si>
    <t>ST-AMCCM</t>
  </si>
  <si>
    <t>585988</t>
  </si>
  <si>
    <t>SATECHI Aluminum Dock Enclosure for Magsafe Charger (Space Grey)</t>
  </si>
  <si>
    <t>512254</t>
  </si>
  <si>
    <t>ST-ALVLSM</t>
  </si>
  <si>
    <t>331235</t>
  </si>
  <si>
    <t>SATECHI Slim Aluminium Vertical Laptop Stand (Space Grey)</t>
  </si>
  <si>
    <t>ST-AHSHU3M</t>
  </si>
  <si>
    <t>366978</t>
  </si>
  <si>
    <t>SATECHI USB Aluminium Headphone Stand (Space Grey)</t>
  </si>
  <si>
    <t>654685</t>
  </si>
  <si>
    <t>337668</t>
  </si>
  <si>
    <t>906-00080</t>
  </si>
  <si>
    <t>564247</t>
  </si>
  <si>
    <t>OSMO Genius Kit Edu</t>
  </si>
  <si>
    <t>584343</t>
  </si>
  <si>
    <t>ST-TCDHAS</t>
  </si>
  <si>
    <t>397644</t>
  </si>
  <si>
    <t>SATECHI USB-C Dual HDMI Adapter (Silver)</t>
  </si>
  <si>
    <t>820-00068</t>
  </si>
  <si>
    <t>564248</t>
  </si>
  <si>
    <t>OSMO Detective Agency Edu</t>
  </si>
  <si>
    <t>344539</t>
  </si>
  <si>
    <t>409586</t>
  </si>
  <si>
    <t>344536</t>
  </si>
  <si>
    <t>ETS-OZBOT-EVO-B</t>
  </si>
  <si>
    <t>343807</t>
  </si>
  <si>
    <t>Ozobot EVO - Starter Pack - Titanium Black</t>
  </si>
  <si>
    <t>EDTECHS</t>
  </si>
  <si>
    <t>991122</t>
  </si>
  <si>
    <t>996556</t>
  </si>
  <si>
    <t>997987</t>
  </si>
  <si>
    <t>990044</t>
  </si>
  <si>
    <t>999844</t>
  </si>
  <si>
    <t>648241</t>
  </si>
  <si>
    <t>718576</t>
  </si>
  <si>
    <t>NGL-020</t>
  </si>
  <si>
    <t>479968</t>
  </si>
  <si>
    <t>NVS Atom Glass Guard for Surface Go</t>
  </si>
  <si>
    <t>NVS-7501</t>
  </si>
  <si>
    <t>437271</t>
  </si>
  <si>
    <t>NVS Glass Guard for iPad 10.2" 7th &amp; 8th Gen</t>
  </si>
  <si>
    <t>777388</t>
  </si>
  <si>
    <t>777355</t>
  </si>
  <si>
    <t>777344</t>
  </si>
  <si>
    <t>777399</t>
  </si>
  <si>
    <t>474375</t>
  </si>
  <si>
    <t>777377</t>
  </si>
  <si>
    <t>777311</t>
  </si>
  <si>
    <t>CLIC-OLI-WD-7P</t>
  </si>
  <si>
    <t>334728</t>
  </si>
  <si>
    <t>NATIVE UNION Clic Wooden for iPhone 8/7 Plus - Olive</t>
  </si>
  <si>
    <t>327622</t>
  </si>
  <si>
    <t>327617</t>
  </si>
  <si>
    <t>329720</t>
  </si>
  <si>
    <t>777300</t>
  </si>
  <si>
    <t>TP-OSMO-03</t>
  </si>
  <si>
    <t>560394</t>
  </si>
  <si>
    <t>OSMO Classroom Kit - Genius Edition</t>
  </si>
  <si>
    <t>999322</t>
  </si>
  <si>
    <t>718622</t>
  </si>
  <si>
    <t>327621</t>
  </si>
  <si>
    <t>409543</t>
  </si>
  <si>
    <t>SATECHI USB-C Slim Dock for 24‚Äù iMac (Silver)</t>
  </si>
  <si>
    <t>887779</t>
  </si>
  <si>
    <t>887774</t>
  </si>
  <si>
    <t>887772</t>
  </si>
  <si>
    <t>602459</t>
  </si>
  <si>
    <t>409542</t>
  </si>
  <si>
    <t>99MO084217</t>
  </si>
  <si>
    <t>389164</t>
  </si>
  <si>
    <t>MOSHI Symbus Q - USB-C Dock w/ Wireless Qi Charging</t>
  </si>
  <si>
    <t>331206</t>
  </si>
  <si>
    <t>99MO052241</t>
  </si>
  <si>
    <t>695432</t>
  </si>
  <si>
    <t>MOSHI Overture iPhone 6/6s (Titanium)</t>
  </si>
  <si>
    <t>99MO052242</t>
  </si>
  <si>
    <t>809015</t>
  </si>
  <si>
    <t>MOSHI Overture iPhone 6/6s Plus (Titanium)</t>
  </si>
  <si>
    <t>502567</t>
  </si>
  <si>
    <t>502565</t>
  </si>
  <si>
    <t>99MO091301</t>
  </si>
  <si>
    <t>995172</t>
  </si>
  <si>
    <t>MOSHI Overture for iPhone SE2/8/7 (Pink)</t>
  </si>
  <si>
    <t>839406</t>
  </si>
  <si>
    <t>411591</t>
  </si>
  <si>
    <t>SLOW19</t>
  </si>
  <si>
    <t>440780</t>
  </si>
  <si>
    <t>MARBOTIC Smart Letters Lower Case</t>
  </si>
  <si>
    <t>999355</t>
  </si>
  <si>
    <t>CATIPDMI4BLK</t>
  </si>
  <si>
    <t>631321</t>
  </si>
  <si>
    <t>CATALYST Waterproof Case for iPad Mini 4 (Stealth Black)</t>
  </si>
  <si>
    <t>365317</t>
  </si>
  <si>
    <t>648239</t>
  </si>
  <si>
    <t>363079</t>
  </si>
  <si>
    <t>380048</t>
  </si>
  <si>
    <t>350698</t>
  </si>
  <si>
    <t>99MO061901</t>
  </si>
  <si>
    <t>90666</t>
  </si>
  <si>
    <t>MOSHI iGlaze XT iPhone SE/5s (Clear)</t>
  </si>
  <si>
    <t>99MO018204</t>
  </si>
  <si>
    <t>648238</t>
  </si>
  <si>
    <t>MOSHI iLynx 3.0 4-Port USB Hub w Charging - Silver *</t>
  </si>
  <si>
    <t>411587</t>
  </si>
  <si>
    <t>525768</t>
  </si>
  <si>
    <t>624990</t>
  </si>
  <si>
    <t>331205</t>
  </si>
  <si>
    <t>993074</t>
  </si>
  <si>
    <t>365313</t>
  </si>
  <si>
    <t>CATIPHO11BLKM</t>
  </si>
  <si>
    <t>466346</t>
  </si>
  <si>
    <t>CATALYST Waterproof Case for iPhone 11 (Black)</t>
  </si>
  <si>
    <t>365321</t>
  </si>
  <si>
    <t>CATAPLAPDPROBLK</t>
  </si>
  <si>
    <t>CATALYST Waterproof Case for AirPods Pro 1st/2nd Gen (Black) SE</t>
  </si>
  <si>
    <t>CATAPDSUN</t>
  </si>
  <si>
    <t>579841</t>
  </si>
  <si>
    <t>CATALYST Waterproof Case for AirPods (Orange)</t>
  </si>
  <si>
    <t>CATAPDWHT</t>
  </si>
  <si>
    <t>579840</t>
  </si>
  <si>
    <t>CATALYST Waterproof Case for AirPods (Frost White)</t>
  </si>
  <si>
    <t>399468</t>
  </si>
  <si>
    <t>363059</t>
  </si>
  <si>
    <t>546164</t>
  </si>
  <si>
    <t>495784</t>
  </si>
  <si>
    <t>401385</t>
  </si>
  <si>
    <t>401387</t>
  </si>
  <si>
    <t>420338</t>
  </si>
  <si>
    <t>350690</t>
  </si>
  <si>
    <t>569744</t>
  </si>
  <si>
    <t>550927</t>
  </si>
  <si>
    <t>342160</t>
  </si>
  <si>
    <t>BONELK¬†Elevate Laptop Stand (White)</t>
  </si>
  <si>
    <t>350694</t>
  </si>
  <si>
    <t>401386</t>
  </si>
  <si>
    <t>414336</t>
  </si>
  <si>
    <t>ELK-80010-R</t>
  </si>
  <si>
    <t>414344</t>
  </si>
  <si>
    <t>BONELK USB-C to 2 Port USB 3.0 Slim Hub (Space Grey)</t>
  </si>
  <si>
    <t>918242</t>
  </si>
  <si>
    <t>414332</t>
  </si>
  <si>
    <t>995096</t>
  </si>
  <si>
    <t>ATT001TEA</t>
  </si>
  <si>
    <t>726549</t>
  </si>
  <si>
    <t>SPHERO Ollie Turbo Tyres (Teal)</t>
  </si>
  <si>
    <t>995099</t>
  </si>
  <si>
    <t>501370</t>
  </si>
  <si>
    <t>501371</t>
  </si>
  <si>
    <t>501372</t>
  </si>
  <si>
    <t>501373</t>
  </si>
  <si>
    <t>501368</t>
  </si>
  <si>
    <t>581138</t>
  </si>
  <si>
    <t>532540</t>
  </si>
  <si>
    <t>ELK-80014-R</t>
  </si>
  <si>
    <t>471616</t>
  </si>
  <si>
    <t>BONELK USB-A to 4 Port USB 3.0 Slim Hub (Space Grey)</t>
  </si>
  <si>
    <t>BUNEDUM01</t>
  </si>
  <si>
    <t>409551</t>
  </si>
  <si>
    <t>SPHERO Mini Activity - Education 16 Pack</t>
  </si>
  <si>
    <t>642335</t>
  </si>
  <si>
    <t>726535</t>
  </si>
  <si>
    <t>AMT01RW1</t>
  </si>
  <si>
    <t>558441</t>
  </si>
  <si>
    <t>SPHERO EDU Maze Tape - 6 Pack</t>
  </si>
  <si>
    <t>443331</t>
  </si>
  <si>
    <t>442221</t>
  </si>
  <si>
    <t>444441</t>
  </si>
  <si>
    <t>431027</t>
  </si>
  <si>
    <t>653596</t>
  </si>
  <si>
    <t>447771</t>
  </si>
  <si>
    <t>726541</t>
  </si>
  <si>
    <t>972956</t>
  </si>
  <si>
    <t>726546</t>
  </si>
  <si>
    <t>726548</t>
  </si>
  <si>
    <t>726547</t>
  </si>
  <si>
    <t>448881</t>
  </si>
  <si>
    <t>K002EDU001</t>
  </si>
  <si>
    <t>353321</t>
  </si>
  <si>
    <t>SPHERO BOLT - Education 15 Pack</t>
  </si>
  <si>
    <t>396325</t>
  </si>
  <si>
    <t>726538</t>
  </si>
  <si>
    <t>RVR01EDU001</t>
  </si>
  <si>
    <t>414510</t>
  </si>
  <si>
    <t>SPHERO RVR - Education 5 Pack</t>
  </si>
  <si>
    <t>354765</t>
  </si>
  <si>
    <t>354770</t>
  </si>
  <si>
    <t>343398</t>
  </si>
  <si>
    <t>641053</t>
  </si>
  <si>
    <t>577490</t>
  </si>
  <si>
    <t>726543</t>
  </si>
  <si>
    <t>761975</t>
  </si>
  <si>
    <t>943207</t>
  </si>
  <si>
    <t>343400</t>
  </si>
  <si>
    <t>343399</t>
  </si>
  <si>
    <t>585982</t>
  </si>
  <si>
    <t>993318</t>
  </si>
  <si>
    <t>581139</t>
  </si>
  <si>
    <t>506235</t>
  </si>
  <si>
    <t>396282</t>
  </si>
  <si>
    <t>M001G</t>
  </si>
  <si>
    <t>485167</t>
  </si>
  <si>
    <t>SPHERO Mini Golf</t>
  </si>
  <si>
    <t>420366</t>
  </si>
  <si>
    <t>386189</t>
  </si>
  <si>
    <t>386188</t>
  </si>
  <si>
    <t>506239</t>
  </si>
  <si>
    <t>506251</t>
  </si>
  <si>
    <t>506255</t>
  </si>
  <si>
    <t>506259</t>
  </si>
  <si>
    <t>506263</t>
  </si>
  <si>
    <t>ELK-80011-R</t>
  </si>
  <si>
    <t>414377</t>
  </si>
  <si>
    <t>BONELK 7-in-1 Multiport Adapter (Space Grey)</t>
  </si>
  <si>
    <t>505829</t>
  </si>
  <si>
    <t>495298</t>
  </si>
  <si>
    <t>TW-2029</t>
  </si>
  <si>
    <t>506217</t>
  </si>
  <si>
    <t>TWELVE SOUTH BookBook for iPhone 12 and 12 Pro (Black)</t>
  </si>
  <si>
    <t>TW-2028</t>
  </si>
  <si>
    <t>506213</t>
  </si>
  <si>
    <t>TWELVE SOUTH BookBook for iPhone 12 and 12 Pro (Brown)</t>
  </si>
  <si>
    <t>TW-2027</t>
  </si>
  <si>
    <t>506209</t>
  </si>
  <si>
    <t>TWELVE SOUTH BookBook for iPhone 12 mini (black)</t>
  </si>
  <si>
    <t>506229</t>
  </si>
  <si>
    <t>506225</t>
  </si>
  <si>
    <t>638672</t>
  </si>
  <si>
    <t>479983</t>
  </si>
  <si>
    <t>SATECHI 2-in-1¬†Foldable QI2 Wireless Charging Stand</t>
  </si>
  <si>
    <t>593176</t>
  </si>
  <si>
    <t>642337</t>
  </si>
  <si>
    <t>ELK-59019-R</t>
  </si>
  <si>
    <t>420656</t>
  </si>
  <si>
    <t>BONELK Edge Case for iPhone 11 Pro (Red/Clear)</t>
  </si>
  <si>
    <t>505830</t>
  </si>
  <si>
    <t>ELK-59021-R</t>
  </si>
  <si>
    <t>420648</t>
  </si>
  <si>
    <t>BONELK Haze Case for iPhone 11 Pro (Red/Clear)</t>
  </si>
  <si>
    <t>ELK-59022-R</t>
  </si>
  <si>
    <t>420614</t>
  </si>
  <si>
    <t>BONELK Haze Case for iPhone 11 Pro (Black/Clear)</t>
  </si>
  <si>
    <t>ELK-59024-R</t>
  </si>
  <si>
    <t>420437</t>
  </si>
  <si>
    <t>BONELK Haze Case for iPhone 11 (Black/Clear)</t>
  </si>
  <si>
    <t>331303</t>
  </si>
  <si>
    <t>505825</t>
  </si>
  <si>
    <t>ELK-59023-R</t>
  </si>
  <si>
    <t>420541</t>
  </si>
  <si>
    <t>BONELK Edge Case for iPhone 11 (Black/Clear)</t>
  </si>
  <si>
    <t>476500</t>
  </si>
  <si>
    <t>453484</t>
  </si>
  <si>
    <t>476520</t>
  </si>
  <si>
    <t>531786</t>
  </si>
  <si>
    <t>000-00071</t>
  </si>
  <si>
    <t>476588</t>
  </si>
  <si>
    <t>Anki OVERDRIVE Expansion Car - Nuke Phantom</t>
  </si>
  <si>
    <t>BB-01-B-X</t>
  </si>
  <si>
    <t>BACKBONE One iPhone Mobile Gaming Controller / Gamepad (Xbox Edition)</t>
  </si>
  <si>
    <t>595018</t>
  </si>
  <si>
    <t>648142</t>
  </si>
  <si>
    <t>347355</t>
  </si>
  <si>
    <t>329719</t>
  </si>
  <si>
    <t>476620</t>
  </si>
  <si>
    <t>476677</t>
  </si>
  <si>
    <t>625046</t>
  </si>
  <si>
    <t>477886</t>
  </si>
  <si>
    <t>625002</t>
  </si>
  <si>
    <t>625001</t>
  </si>
  <si>
    <t>961220</t>
  </si>
  <si>
    <t>ELK-59020-R</t>
  </si>
  <si>
    <t>420652</t>
  </si>
  <si>
    <t>BONELK Edge Case for iPhone 11 Pro (Black/Clear)</t>
  </si>
  <si>
    <t>453658</t>
  </si>
  <si>
    <t>625041</t>
  </si>
  <si>
    <t>433119</t>
  </si>
  <si>
    <t>625042</t>
  </si>
  <si>
    <t>414369</t>
  </si>
  <si>
    <t>480999</t>
  </si>
  <si>
    <t>480086</t>
  </si>
  <si>
    <t>594308</t>
  </si>
  <si>
    <t>CATBUN03BLK</t>
  </si>
  <si>
    <t>CATALYST The Explorer Bundle Accessories (Coiled Lanyard &amp; Carabiner)</t>
  </si>
  <si>
    <t>CATDRPH12CLRS</t>
  </si>
  <si>
    <t>CATALYST Influence Case for iPhone 12 mini (Clear)</t>
  </si>
  <si>
    <t>CATDRPH12BLKL</t>
  </si>
  <si>
    <t>CATALYST Influence Case for iPhone 12 Pro Max - (Black)</t>
  </si>
  <si>
    <t>CATDRPH12BLKS</t>
  </si>
  <si>
    <t>CATALYST Influence Case for iPhone 12 mini (Black)</t>
  </si>
  <si>
    <t>CATVIBE12BLKL</t>
  </si>
  <si>
    <t>CATALYST Vibe Case for iPhone 12 Pro Max - (Black)</t>
  </si>
  <si>
    <t>CATIPHO14BLKMP</t>
  </si>
  <si>
    <t>CATALYST Total Protection Case for iPhone 14 Pro (Stealth Black)</t>
  </si>
  <si>
    <t>CATIPHO14BLKLP</t>
  </si>
  <si>
    <t>CATALYST Total Protection Case for iPhone 14 Pro Max (Stealth Black)</t>
  </si>
  <si>
    <t>CATVIBE12BLKS</t>
  </si>
  <si>
    <t>CATALYST Vibe Case for iPhone 12 mini (Black)</t>
  </si>
  <si>
    <t>CATVIBE12BLKM</t>
  </si>
  <si>
    <t>CATALYST Vibe Case for iPhone 12 and 12 Pro (Black)</t>
  </si>
  <si>
    <t>CATIPHO14BLKM</t>
  </si>
  <si>
    <t>CATALYST Total Protection Case for iPhone 14 (Stealth Black)</t>
  </si>
  <si>
    <t>CATIPHO13BLKL</t>
  </si>
  <si>
    <t>CATALYST Total Protection Case for iPhone 13 Pro Max (Stealth Black)</t>
  </si>
  <si>
    <t>CATIPHO12BLKS</t>
  </si>
  <si>
    <t>CATALYST Total Protection Case for iPhone 12 mini  (Black)</t>
  </si>
  <si>
    <t>CATIPHO12BLKM</t>
  </si>
  <si>
    <t>CATALYST Total Protection Case for iPhone 12 (Black)</t>
  </si>
  <si>
    <t>CATDRPHXBLKM</t>
  </si>
  <si>
    <t>CATALYST Impact Case for iPhone Xr (Black)</t>
  </si>
  <si>
    <t>CATDRPHXCLRM</t>
  </si>
  <si>
    <t>CATALYST Impact Case for iPhone Xr (Clear)</t>
  </si>
  <si>
    <t>CATDRPH12CLRM</t>
  </si>
  <si>
    <t>CATALYST Influence Case for iPhone 12 and 12 Pro (Clear)</t>
  </si>
  <si>
    <t>CATDRPHXTBFCL</t>
  </si>
  <si>
    <t>CATALYST Impact Case for iPhone Xs Max (Blue/Orange)</t>
  </si>
  <si>
    <t>CATDRPH12BLKM</t>
  </si>
  <si>
    <t>CATALYST Influence Case for iPhone 12 and 12 Pro (Black)</t>
  </si>
  <si>
    <t>CATDRPH8BLK</t>
  </si>
  <si>
    <t>CATALYST Impact Case for iPhone SE3/SE2/8/7 (Black)</t>
  </si>
  <si>
    <t>ELK-23002-R</t>
  </si>
  <si>
    <t>BONELK Powerbank 2.1A Output, 20000mAh (Gunmetal)</t>
  </si>
  <si>
    <t>ELK-23001-R</t>
  </si>
  <si>
    <t>BONELK Powerbank, 2.1A Output, 10000mAh (Gunmetal)</t>
  </si>
  <si>
    <t>ELK-23000-R</t>
  </si>
  <si>
    <t>BONELK Powerbank, 2.1A Output, 5000mAh (Gunmetal)</t>
  </si>
  <si>
    <t>ELK-70501-R</t>
  </si>
  <si>
    <t>BONELK Stylus for touch screen (Black)</t>
  </si>
  <si>
    <t>CATIPHO13BLKMP</t>
  </si>
  <si>
    <t>CATALYST Total Protection Case for iPhone 13 Pro (Stealth Black)</t>
  </si>
  <si>
    <t>99MO123163</t>
  </si>
  <si>
    <t>MOSHI Pebbo for AirPods Gen 3 (Savanna Beige)</t>
  </si>
  <si>
    <t>ELK-70402-R</t>
  </si>
  <si>
    <t>BONELK Smartphone Holder, Suction Mount (Black)</t>
  </si>
  <si>
    <t>ELK-02010-R</t>
  </si>
  <si>
    <t>BONELK USB to Micro-USB Cable Longlife Series 1m (White/Grey)</t>
  </si>
  <si>
    <t>ELK-70502-R</t>
  </si>
  <si>
    <t>BONELK Stylus for touch screen (Silver)</t>
  </si>
  <si>
    <t>99MO091012</t>
  </si>
  <si>
    <t>MOSHI Overture SnapTo for iPhone 11 Pro (Black)</t>
  </si>
  <si>
    <t>99MO091305</t>
  </si>
  <si>
    <t>MOSHI Overture SnapTo for iPhone 11 Pro (Pink)</t>
  </si>
  <si>
    <t>99MO091013</t>
  </si>
  <si>
    <t>MOSHI Overture SnapTo for iPhone 11 Pro Max (Black)</t>
  </si>
  <si>
    <t>99MO091306</t>
  </si>
  <si>
    <t>MOSHI Overture SnapTo for iPhone 11 Pro Max (Pink)</t>
  </si>
  <si>
    <t>99MO123841</t>
  </si>
  <si>
    <t>MOSHI Pebbo Airpods Case (Mint Green)</t>
  </si>
  <si>
    <t>99MO091016</t>
  </si>
  <si>
    <t>MOSHI Overture for iPhone 12 Pro Max (Black)</t>
  </si>
  <si>
    <t>99MO123161</t>
  </si>
  <si>
    <t>MOSHI Pebbo AirPods Case (Savannah Beige)</t>
  </si>
  <si>
    <t>99MO123842</t>
  </si>
  <si>
    <t>MOSHI Pebbo Airpods Pro Case (Mint Green)</t>
  </si>
  <si>
    <t>SB6000-B</t>
  </si>
  <si>
    <t>SWISS MOBILITY Rugged Power Pack 6000mAh (Black)</t>
  </si>
  <si>
    <t>99MO091051</t>
  </si>
  <si>
    <t>MOSHI Overture for iPhone Xr (Grey)</t>
  </si>
  <si>
    <t>99MO123162</t>
  </si>
  <si>
    <t>MOSHI Pebbo Airpods Pro Case (Savannah Beige)</t>
  </si>
  <si>
    <t>99MO123032</t>
  </si>
  <si>
    <t>MOSHI Pebbo Airpods Pro Case (Shadow Black)</t>
  </si>
  <si>
    <t>99MO091309</t>
  </si>
  <si>
    <t>MOSHI Overture for iPhone 12 Pro Max (Pink)</t>
  </si>
  <si>
    <t>99MO034007</t>
  </si>
  <si>
    <t>MOSHI Muse 13 Slim Fit Sleeve for MacBook 13" - Graphite Black</t>
  </si>
  <si>
    <t>99MO034008</t>
  </si>
  <si>
    <t>MOSHI Muse 13" 3 in 1 Laptop Sleeve (Black)</t>
  </si>
  <si>
    <t>99MO034751</t>
  </si>
  <si>
    <t>MOSHI Muse 13" 3 in 1 Laptop Sleeve (Brown)</t>
  </si>
  <si>
    <t>99MO034715</t>
  </si>
  <si>
    <t>MOSHI Muse 13" Device (Sahara Beige)</t>
  </si>
  <si>
    <t>99MO034009</t>
  </si>
  <si>
    <t>MOSHI Muse 14" 3 in 1 Laptop Sleeve (Black)</t>
  </si>
  <si>
    <t>99MO034003</t>
  </si>
  <si>
    <t>MOSHI Muse for MacBook 12" (Black)</t>
  </si>
  <si>
    <t>99MO091010</t>
  </si>
  <si>
    <t>MOSHI Overture for iPhone Xr (Black)</t>
  </si>
  <si>
    <t>99MO084244</t>
  </si>
  <si>
    <t>MOSHI Integra USB-C to USB-C Cable 1m (Silver)</t>
  </si>
  <si>
    <t>99MO072532</t>
  </si>
  <si>
    <t>MOSHI SenseCover for iPhone Xs Max (Blue)</t>
  </si>
  <si>
    <t>99MO084045</t>
  </si>
  <si>
    <t>MOSHI Integra USB-C to Lightning Cable 90-degree 1.5M (Grey)</t>
  </si>
  <si>
    <t>99MO072531</t>
  </si>
  <si>
    <t>MOSHI SenseCover for iPhone Xr (Blue)</t>
  </si>
  <si>
    <t>99MO091261</t>
  </si>
  <si>
    <t>MOSHI Overture for iPhone Xr (Beige)</t>
  </si>
  <si>
    <t>99MO096003</t>
  </si>
  <si>
    <t>MOSHI IonGlass Guard for iPhone 8/7 Plus (Black)</t>
  </si>
  <si>
    <t>99MO096004</t>
  </si>
  <si>
    <t>MOSHI IonGlass Guard for iPhone 8/7 Plus (White)</t>
  </si>
  <si>
    <t>99MO096001</t>
  </si>
  <si>
    <t>MOSHI IonGlass Guard for iPhone SE2/8/7 (Black)</t>
  </si>
  <si>
    <t>99MO022154</t>
  </si>
  <si>
    <t>MOSHI ProGeo Adapter Pack (White)</t>
  </si>
  <si>
    <t>99MO022218</t>
  </si>
  <si>
    <t>MOSHI Lounge Q Wireless Charge Stand</t>
  </si>
  <si>
    <t>99MO086007</t>
  </si>
  <si>
    <t>MOSHI Car Vent Mount (Black)</t>
  </si>
  <si>
    <t>99MO103907</t>
  </si>
  <si>
    <t>MOSHI Vitros for iPhone 11 (Clear)</t>
  </si>
  <si>
    <t>99MO103908</t>
  </si>
  <si>
    <t>MOSHI Vitros for iPhone 11 Pro Max (Clear)</t>
  </si>
  <si>
    <t>99MO103038</t>
  </si>
  <si>
    <t>MOSHI Vitros for iPhone 11 Pro Max (Black)</t>
  </si>
  <si>
    <t>99MO117005</t>
  </si>
  <si>
    <t>MOSHI Altra SnapTo for iPhone 11 (Black)</t>
  </si>
  <si>
    <t>99MO117303</t>
  </si>
  <si>
    <t>MOSHI Altra SnapTo for iPhone 11 Pro (Beige)</t>
  </si>
  <si>
    <t>99MO117305</t>
  </si>
  <si>
    <t>MOSHI Altra SnapTo for iPhone 11 Pro Max (Beige)</t>
  </si>
  <si>
    <t>99MO117006</t>
  </si>
  <si>
    <t>MOSHI Altra SnapTo for iPhone 11 Pro Max (Black)</t>
  </si>
  <si>
    <t>99MO103036</t>
  </si>
  <si>
    <t>MOSHI Vitros for iPhone 11 Pro (Black)</t>
  </si>
  <si>
    <t>99MO056262</t>
  </si>
  <si>
    <t>MOSHI VersaCover for iPad Pro 11" Gen 2 &amp; 1 (Beige)</t>
  </si>
  <si>
    <t>99MO103037</t>
  </si>
  <si>
    <t>MOSHI Vitros for iPhone 11 (Black)</t>
  </si>
  <si>
    <t>99MO056010</t>
  </si>
  <si>
    <t>MOSHI VersaCover for iPad Pro 12.9" Gen 4 &amp; 3 (Black)</t>
  </si>
  <si>
    <t>99MO056811</t>
  </si>
  <si>
    <t>MOSHI VersaCover for iPad Pro 11" Gen 2 &amp; 1 (Orange)</t>
  </si>
  <si>
    <t>99MO103906</t>
  </si>
  <si>
    <t>MOSHI Vitros for iPhone 11 Pro (Clear)</t>
  </si>
  <si>
    <t>99MO022211</t>
  </si>
  <si>
    <t>MOSHI Otto Q Wireless Charging Pad (Grey)</t>
  </si>
  <si>
    <t>99MO091015</t>
  </si>
  <si>
    <t>MOSHI Overture for iPhone 12 and 12 Pro (Black)</t>
  </si>
  <si>
    <t>99MO091308</t>
  </si>
  <si>
    <t>MOSHI Overture for iPhone 12 and 12 Pro (Pink)</t>
  </si>
  <si>
    <t>99MO084212</t>
  </si>
  <si>
    <t>MOSHI Integra USB-C Cable 2m - (Grey)</t>
  </si>
  <si>
    <t>99MO122012</t>
  </si>
  <si>
    <t>MOSHI SnapTo Universal Car Mount√Ç¬†- Grey</t>
  </si>
  <si>
    <t>99MO064081</t>
  </si>
  <si>
    <t>MOSHI VersaCover for iPad mini 6th Gen - Black</t>
  </si>
  <si>
    <t>99MO056263</t>
  </si>
  <si>
    <t>MOSHI VersaCover for iPad Air 10.9" / Pro 11‚Äù 3rd Gen (Beige)</t>
  </si>
  <si>
    <t>99MO021904</t>
  </si>
  <si>
    <t>MOSHI ClearGuard FS for Apple Wired Keyboard</t>
  </si>
  <si>
    <t>99MO056012</t>
  </si>
  <si>
    <t>MOSHI VersaCover for iPad 9.7" (Grey)</t>
  </si>
  <si>
    <t>RSQR-ST</t>
  </si>
  <si>
    <t>resQR Sticker Pack -  6  x Stickers in 3 Sizes</t>
  </si>
  <si>
    <t>RESQR</t>
  </si>
  <si>
    <t>PL2-9-17</t>
  </si>
  <si>
    <t>PAPERLIKE Screen Protector for iPad 9.7"</t>
  </si>
  <si>
    <t>SATECHI Eco Hardshell Case for MacBook Air M2 &amp; M3 (Dark)</t>
  </si>
  <si>
    <t>ST-WCPM</t>
  </si>
  <si>
    <t>SATECHI Aluminium Fast Wireless Charger (Space Grey)</t>
  </si>
  <si>
    <t>ST-AMPAD</t>
  </si>
  <si>
    <t>SATECHI Aluminium Mouse Pad (Silver)</t>
  </si>
  <si>
    <t>99MO020923</t>
  </si>
  <si>
    <t>MOSHI iVisor XT iPhone 5/5s/SE (Black)</t>
  </si>
  <si>
    <t>99MO117009</t>
  </si>
  <si>
    <t>MOSHI Altra for iPhone 12 Pro Max (Blue)</t>
  </si>
  <si>
    <t>99MO117308</t>
  </si>
  <si>
    <t>MOSHI Altra for iPhone 12 Pro Max (Sahara beige)</t>
  </si>
  <si>
    <t>99MO122007</t>
  </si>
  <si>
    <t>MOSHI SnapTo Universal Car Mount with Wireless Charging√Ç¬†- Black</t>
  </si>
  <si>
    <t>99MO123034</t>
  </si>
  <si>
    <t>MOSHI Pebbo Luxe for AirPods Gen 3 (Charcoal Black)</t>
  </si>
  <si>
    <t>99MO020045</t>
  </si>
  <si>
    <t>MOSHI iVisor AG for iPad Mini 6th Gen (Black)</t>
  </si>
  <si>
    <t>99MO020013</t>
  </si>
  <si>
    <t>MOSHI iVisor AG for iPad Pro / Air 10.5" (White)</t>
  </si>
  <si>
    <t>99MO020043</t>
  </si>
  <si>
    <t>MOSHI iVisor AG for iPad Pro 11" 3rd-1st Gen/Air 10.9" 4th Gen (Black)</t>
  </si>
  <si>
    <t>99MO123751</t>
  </si>
  <si>
    <t>MOSHI Pebbo Luxe for AirPods Gen 3 (Caramel Brown)</t>
  </si>
  <si>
    <t>99MO123033</t>
  </si>
  <si>
    <t>MOSHI Pebbo for AirPods Gen 3 (Shadow Black)</t>
  </si>
  <si>
    <t>99MO020039</t>
  </si>
  <si>
    <t>MOSHI iVisor AG for iPhone 12 and 12 Pro (Black)</t>
  </si>
  <si>
    <t>99MO020040</t>
  </si>
  <si>
    <t>MOSHI iVisor AG for iPhone 12 Pro Max (Black)</t>
  </si>
  <si>
    <t>99MO020030</t>
  </si>
  <si>
    <t>MOSHI iVisor AG for iPad Pro 11" Gen 2 &amp; 1 (Black)</t>
  </si>
  <si>
    <t>NSL-010</t>
  </si>
  <si>
    <t>NVS Shoulder Strap for Fusion Work-In Case</t>
  </si>
  <si>
    <t>NGL-022</t>
  </si>
  <si>
    <t>NVS Atom Glass Guard for iPad Pro 12.9" (Gen 3,4,5)</t>
  </si>
  <si>
    <t>NGL-021</t>
  </si>
  <si>
    <t>NVS Atom Glass Guard for iPad Pro 11" (Gen 1,2,3) &amp; iPad Air 10.9"</t>
  </si>
  <si>
    <t>PL2-10-17</t>
  </si>
  <si>
    <t>PAPERLIKE Screen Protector for iPad 10.5" (Air 2019 &amp; Pro 2017)</t>
  </si>
  <si>
    <t>740-00004</t>
  </si>
  <si>
    <t>OSMO Teacher's Guide Booklet - Australia</t>
  </si>
  <si>
    <t>820-00067</t>
  </si>
  <si>
    <t>OSMO Pizza Co. Edu</t>
  </si>
  <si>
    <t>99MO084003</t>
  </si>
  <si>
    <t>MOSHI USB-C to Lightning Cable 3m (Black)</t>
  </si>
  <si>
    <t>99MO102022</t>
  </si>
  <si>
    <t>MOSHI StealthCover for iPhone Xs (Grey)</t>
  </si>
  <si>
    <t>TW-2012</t>
  </si>
  <si>
    <t>TWELVE SOUTH BookBook Case Vol. 2 for 11" iPad Pro</t>
  </si>
  <si>
    <t>ST-TCDEM</t>
  </si>
  <si>
    <t>SATECHI Aluminium USB-C HDD / SSD Enclosure (Space Grey)</t>
  </si>
  <si>
    <t>TW-2132</t>
  </si>
  <si>
    <t>TWELVE SOUTH BookBook for iPhone 13 (brown) MagSafe</t>
  </si>
  <si>
    <t>CATIPHOXBLKM</t>
  </si>
  <si>
    <t>CATALYST Waterproof Case for iPhone Xr (Black)</t>
  </si>
  <si>
    <t>TW-1403</t>
  </si>
  <si>
    <t>TWELVE SOUTH BookBook for MacBook Pro Retina 13" (Brown)</t>
  </si>
  <si>
    <t>TW-2103</t>
  </si>
  <si>
    <t>TWELVE SOUTH BookBook for iPhone 12 and 12 Pro (brown) Magsafe</t>
  </si>
  <si>
    <t>CATIPHO8+BLK</t>
  </si>
  <si>
    <t>CATALYST Waterproof Case for iPhone 8/7 Plus (Black)</t>
  </si>
  <si>
    <t>CATIPHOXBLKL</t>
  </si>
  <si>
    <t>CATALYST Waterproof Case for iPhone Xs Max (Black)</t>
  </si>
  <si>
    <t>CATIPHO13BLKS</t>
  </si>
  <si>
    <t>CATALYST Total Protection Case for iPhone 13 mini (Stealth Black)</t>
  </si>
  <si>
    <t>TW-2131</t>
  </si>
  <si>
    <t>TWELVE SOUTH BookBook for iPhone 13 mini (black) MagSafe</t>
  </si>
  <si>
    <t>TW-2137</t>
  </si>
  <si>
    <t>TWELVE SOUTH BookBook for iPhone 13 Pro Max (black) MagSafe</t>
  </si>
  <si>
    <t>TW-2133</t>
  </si>
  <si>
    <t>TWELVE SOUTH BookBook for iPhone 13 (black) MagSafe</t>
  </si>
  <si>
    <t>ST-ALVLSS</t>
  </si>
  <si>
    <t>SATECHI Slim Aluminium Vertical Laptop Stand (Silver)</t>
  </si>
  <si>
    <t>CATIPHO11BLKL</t>
  </si>
  <si>
    <t>CATALYST Waterproof Case for iPhone 11 Pro Max (Black)</t>
  </si>
  <si>
    <t>ST-ALVLSK</t>
  </si>
  <si>
    <t>SATECHI Slim Aluminium Vertical Laptop Stand (Matte Black)</t>
  </si>
  <si>
    <t>TW-2130</t>
  </si>
  <si>
    <t>TWELVE SOUTH BookBook for iPhone 13 mini (brown) MagSafe</t>
  </si>
  <si>
    <t>CATIPHO11BLKS</t>
  </si>
  <si>
    <t>CATALYST Waterproof Case for iPhone 11 Pro (Black)</t>
  </si>
  <si>
    <t>TW-2135</t>
  </si>
  <si>
    <t>TWELVE SOUTH BookBook for iPhone 13 Pro (black) MagSafe</t>
  </si>
  <si>
    <t>99MO085007</t>
  </si>
  <si>
    <t>MOSHI Umbra Privacy Screen Protector for Surface 7/6/5/4</t>
  </si>
  <si>
    <t>99MO055902</t>
  </si>
  <si>
    <t>MOSHI iGlaze for iPad Pro 9.7" (Stealth Clear)</t>
  </si>
  <si>
    <t>99MO113532</t>
  </si>
  <si>
    <t>MOSHI iGlaze for iPhone 12 and 12 Pro (Blue)</t>
  </si>
  <si>
    <t>99MO113107</t>
  </si>
  <si>
    <t>MOSHI iGlaze for iPhone 12 and 12 Pro (Pearl White)</t>
  </si>
  <si>
    <t>TW-2116</t>
  </si>
  <si>
    <t>TWELVE SOUTH ActionBand for Apple Watch 4/5/6 40mm</t>
  </si>
  <si>
    <t>TW-2147</t>
  </si>
  <si>
    <t>TWELVE SOUTH ActionSleeve 2 for Apple Watch Series 8/7 (41mm)</t>
  </si>
  <si>
    <t>TW-2150</t>
  </si>
  <si>
    <t>TWELVE SOUTH ActionBand for Apple Watch Series 8/7 (45mm)</t>
  </si>
  <si>
    <t>TW-2149</t>
  </si>
  <si>
    <t>TWELVE SOUTH ActionBand for Apple Watch Series 8/7 (41mm)</t>
  </si>
  <si>
    <t>99MO022071</t>
  </si>
  <si>
    <t>MOSHI USB-C Car Charger (Black)</t>
  </si>
  <si>
    <t>99MO085018</t>
  </si>
  <si>
    <t>MOSHI Umbra Privacy Guard for MacBook Pro 16"</t>
  </si>
  <si>
    <t>99MO122011</t>
  </si>
  <si>
    <t>MOSHI SnapTo Wireless Charger (Grey)</t>
  </si>
  <si>
    <t>99MO113004</t>
  </si>
  <si>
    <t>MOSHI iGlaze SnapTo for iPhone 11 (Black)</t>
  </si>
  <si>
    <t>99MO113005</t>
  </si>
  <si>
    <t>MOSHI iGlaze SnapTo for iPhone 11 Pro Max (Black)</t>
  </si>
  <si>
    <t>99MO113101</t>
  </si>
  <si>
    <t>MOSHI iGlaze SnapTo for iPhone Xr (White)</t>
  </si>
  <si>
    <t>99MO113002</t>
  </si>
  <si>
    <t>MOSHI iGlaze SnapTo for iPhone Xs Max (Black)</t>
  </si>
  <si>
    <t>99MO113102</t>
  </si>
  <si>
    <t>MOSHI iGlaze SnapTo for iPhone Xs Max (White)</t>
  </si>
  <si>
    <t>99MO084272</t>
  </si>
  <si>
    <t>MOSHI USB-C to HDMI Adapter w/charging</t>
  </si>
  <si>
    <t>99MO113103</t>
  </si>
  <si>
    <t>MOSHI iGlaze SnapTo for iPhone 11 Pro (White)</t>
  </si>
  <si>
    <t>ST-TCC2M</t>
  </si>
  <si>
    <t>SATECHI USB-C to USB-C 100W Braided Charging Cable 2m</t>
  </si>
  <si>
    <t>ST-IWCBM</t>
  </si>
  <si>
    <t>SATECHI USB-C PD &amp; QC Wireless Charger (Space Grey)</t>
  </si>
  <si>
    <t>TW-2148</t>
  </si>
  <si>
    <t>TWELVE SOUTH ActionSleeve 2 for Apple Watch Series 8/7 (45mm)</t>
  </si>
  <si>
    <t>ATC01CLR</t>
  </si>
  <si>
    <t>SPHERO Turbo Cover (Clear)</t>
  </si>
  <si>
    <t>TW-2155</t>
  </si>
  <si>
    <t>TWELVE SOUTH BookBook for 14-inch MacBook Pro M1</t>
  </si>
  <si>
    <t>TW-1634</t>
  </si>
  <si>
    <t>TWELVE SOUTH HiRise Duet Dual Charging Stand for iPhone/Apple Watch (Space Grey)</t>
  </si>
  <si>
    <t>TW-1908</t>
  </si>
  <si>
    <t>TWELVE SOUTH CableSnap 3pk (Teal)</t>
  </si>
  <si>
    <t>ST-TCACAM</t>
  </si>
  <si>
    <t>SATECHI USB-C to 3.5mm Headphone Jack Adapter w/ PD Charging</t>
  </si>
  <si>
    <t>TW-1924</t>
  </si>
  <si>
    <t>TWELVE SOUTH BookBook for iPad Mini 5 (Brown)</t>
  </si>
  <si>
    <t>ST-TCECM</t>
  </si>
  <si>
    <t>SATECHI USB-C Mini Extension Cable (Space Grey)</t>
  </si>
  <si>
    <t>99MO034752</t>
  </si>
  <si>
    <t>MOSHI Muse 14" 3 in 1 Laptop Sleeve (Brown)</t>
  </si>
  <si>
    <t>ADFIP102</t>
  </si>
  <si>
    <t>ADONIT Paperfeel iPad Film for 10.2" 7th, 8th, 9th Gen</t>
  </si>
  <si>
    <t>ADCIPB109</t>
  </si>
  <si>
    <t>ADONIT iPad Case 10.9"</t>
  </si>
  <si>
    <t>AD15WCC</t>
  </si>
  <si>
    <t>ADONIT 15W Wireless Car Charger</t>
  </si>
  <si>
    <t>CATDRPH11BLKS</t>
  </si>
  <si>
    <t>CATALYST Impact Case for iPhone 11 Pro (Black)</t>
  </si>
  <si>
    <t>CATDRPGS20UBLK</t>
  </si>
  <si>
    <t>CATALYST Impact Case for Galaxy S20 Ultra (Black)</t>
  </si>
  <si>
    <t>CATDRPGN9TBFC</t>
  </si>
  <si>
    <t>CATALYST Impact Case for Galaxy Note 9 (Blueridge)</t>
  </si>
  <si>
    <t>CATDRPGS20+BLK</t>
  </si>
  <si>
    <t>CATALYST Impact Case for Galaxy S20 Plus (Black)</t>
  </si>
  <si>
    <t>CATDRPD6THBLK</t>
  </si>
  <si>
    <t>CATALYST Impact Case for iPad 9.7" 5th/6th Gen (Black)</t>
  </si>
  <si>
    <t>CATIPHO13BLKM</t>
  </si>
  <si>
    <t>CATALYST Total Protection Case for iPhone 13 (Stealth Black)</t>
  </si>
  <si>
    <t>CATIPHO12BLKL</t>
  </si>
  <si>
    <t>CATALYST Total Protection Case for iPhone 12 Pro Max (Black)</t>
  </si>
  <si>
    <t>CATIPHO12BLKP</t>
  </si>
  <si>
    <t>CATALYST Total Protection Case for iPhone 12 Pro (Black)</t>
  </si>
  <si>
    <t>CATDRPH11BLKL</t>
  </si>
  <si>
    <t>CATALYST Impact Case for iPhone 11 Pro Max (Black)</t>
  </si>
  <si>
    <t>CATDRPH11BLKM</t>
  </si>
  <si>
    <t>CATALYST Impact Case for iPhone 11 (Black)</t>
  </si>
  <si>
    <t>CATDRPH11CLRM</t>
  </si>
  <si>
    <t>CATALYST Impact Case for iPhone 11 (Clear)</t>
  </si>
  <si>
    <t>CAT44DROP5RED</t>
  </si>
  <si>
    <t>CATALYST Impact Case for Apple Watch SE/6/5/4, 44mm (Red)</t>
  </si>
  <si>
    <t>CAT44DROP5NAV</t>
  </si>
  <si>
    <t>CATALYST Impact Case for Apple Watch SE/6/5/4, 44mm (Blue)</t>
  </si>
  <si>
    <t>99MO095007</t>
  </si>
  <si>
    <t>MOSHI Altra Body Strap (Black)</t>
  </si>
  <si>
    <t>99MO117008</t>
  </si>
  <si>
    <t>MOSHI Altra for iPhone 12 and 12 Pro (Blue)</t>
  </si>
  <si>
    <t>99MO117307</t>
  </si>
  <si>
    <t>MOSHI Altra for iPhone 12 and 12 Pro (Sahara beige)</t>
  </si>
  <si>
    <t>SSH19</t>
  </si>
  <si>
    <t>MARBOTICS Smart Shapes</t>
  </si>
  <si>
    <t>J7GT-BLE-BK-R-CSE</t>
  </si>
  <si>
    <t>Jamstik Guitar Trainer Bundle</t>
  </si>
  <si>
    <t>99MO095754</t>
  </si>
  <si>
    <t>MOSHI AirTag Key Ring (Brown)</t>
  </si>
  <si>
    <t>99MO056008</t>
  </si>
  <si>
    <t>MOSHI VersaCover for iPad Pro 11" Gen 1 (Black)</t>
  </si>
  <si>
    <t>APX-00033</t>
  </si>
  <si>
    <t>LIVESCRIBE Aegir Marlin Smartpen (Purple)</t>
  </si>
  <si>
    <t>CLIC-CLE-AIR-7</t>
  </si>
  <si>
    <t>NATIVE UNION Clic Air V2 for iPhone SE2/8/7 - Clear</t>
  </si>
  <si>
    <t>99MO095015</t>
  </si>
  <si>
    <t>MOSHI AirTag Key Ring (Black)</t>
  </si>
  <si>
    <t>99MO044912</t>
  </si>
  <si>
    <t>MOSHI AirFoil Pro for iPhone 12 and 12 Pro (Black)</t>
  </si>
  <si>
    <t>ED0001</t>
  </si>
  <si>
    <t>espresso Display Touch Screen Monitor 13-inch</t>
  </si>
  <si>
    <t>FC0001</t>
  </si>
  <si>
    <t>espresso Flip Case For 13 inch Display</t>
  </si>
  <si>
    <t>99MO103034</t>
  </si>
  <si>
    <t>MOSHI Vitros for iPhone Xr (Black)</t>
  </si>
  <si>
    <t>ELK-21511-R</t>
  </si>
  <si>
    <t>BONELK AC Wall Charger, 3.4A, 2 x USB Ports (White)</t>
  </si>
  <si>
    <t>ELK-80012-R</t>
  </si>
  <si>
    <t>BONELK 6-in-1 Multiport Adapter (Space Grey)</t>
  </si>
  <si>
    <t>ELK-21512-R</t>
  </si>
  <si>
    <t>BONELK AC Wall Charger, 18W PD, 1 x USB-C / 1 x USB Port (White)</t>
  </si>
  <si>
    <t>MGNANOS4PK</t>
  </si>
  <si>
    <t>MC0005SW9P</t>
  </si>
  <si>
    <t>99MO091011</t>
  </si>
  <si>
    <t>MO091011BK</t>
  </si>
  <si>
    <t>MOSHI Overture for iPhone XS Max (Black)</t>
  </si>
  <si>
    <t>MO091051GY</t>
  </si>
  <si>
    <t>MO091010BK</t>
  </si>
  <si>
    <t>ESPFC0002</t>
  </si>
  <si>
    <t>ESPFC0001</t>
  </si>
  <si>
    <t>ESPMG0001</t>
  </si>
  <si>
    <t>MP0001</t>
  </si>
  <si>
    <t>ESPMP0001</t>
  </si>
  <si>
    <t>espresso MountPro VESA Mount for 13 or 15 inch Displays</t>
  </si>
  <si>
    <t>LVS3IBLU</t>
  </si>
  <si>
    <t>MC0001SW4P</t>
  </si>
  <si>
    <t>MGN1TW3P</t>
  </si>
  <si>
    <t>MGMW450014</t>
  </si>
  <si>
    <t>MYTGR691WE</t>
  </si>
  <si>
    <t>APX-00018</t>
  </si>
  <si>
    <t>LSAPX00018</t>
  </si>
  <si>
    <t>LIVESCRIBE Echo 8GB Smartpen Pro Edition</t>
  </si>
  <si>
    <t>MYTGR621BK</t>
  </si>
  <si>
    <t>MYTGR621WE</t>
  </si>
  <si>
    <t>MYTGR633WE</t>
  </si>
  <si>
    <t>MCN20XXTW</t>
  </si>
  <si>
    <t>MGN2005TW</t>
  </si>
  <si>
    <t>MGN5TW9P</t>
  </si>
  <si>
    <t>CHC17BWER</t>
  </si>
  <si>
    <t>LOREX 2K Battery Video Doorbell -¬†Black</t>
  </si>
  <si>
    <t>MELK80008R</t>
  </si>
  <si>
    <t>MGELK70405</t>
  </si>
  <si>
    <t>LOREX 4K Smart Deterrence Wired IP Camera -¬†Bullet</t>
  </si>
  <si>
    <t>LOREX 4K Smart Security Lighting IP Camera -¬†Dome</t>
  </si>
  <si>
    <t>MO113102WH</t>
  </si>
  <si>
    <t>MG023126WH</t>
  </si>
  <si>
    <t>MO101001BK</t>
  </si>
  <si>
    <t>MELK80009R</t>
  </si>
  <si>
    <t>LOREX 2K Wired Floodlight Security Camera -¬†White</t>
  </si>
  <si>
    <t>LSANA00005</t>
  </si>
  <si>
    <t>ESPED0002</t>
  </si>
  <si>
    <t>CHC21RGYRE</t>
  </si>
  <si>
    <t>MELK04014R</t>
  </si>
  <si>
    <t>ESPED0001</t>
  </si>
  <si>
    <t>MGMW450005</t>
  </si>
  <si>
    <t>MGNL59E3PK</t>
  </si>
  <si>
    <t>MW Basics ¬≤Life MacBook Pro/Air 13" Sleeve Grey / White</t>
  </si>
  <si>
    <t>MW Basics ¬≤Life Recycled Sleeve for MacBook Pro 14" (Black)</t>
  </si>
  <si>
    <t>MW Basics ¬≤Life Recycled Sleeve for MacBook Pro 14" (Blue)</t>
  </si>
  <si>
    <t>MW Basics ¬≤Life Recycled Sleeve for MacBook Pro 16" (Black)</t>
  </si>
  <si>
    <t>MW Basics ¬≤Life Recycled Sleeve for MacBook Pro 16" (Grey)</t>
  </si>
  <si>
    <t>MGMW450009</t>
  </si>
  <si>
    <t>MW Basics ¬≤Life MacBook Pro/Air 13" Sleeve Black / White</t>
  </si>
  <si>
    <t>MGMW450006</t>
  </si>
  <si>
    <t>MGMW450002</t>
  </si>
  <si>
    <t>MGMW450003</t>
  </si>
  <si>
    <t>MG084202</t>
  </si>
  <si>
    <t>MG084203SV</t>
  </si>
  <si>
    <t>MW Basics ¬≤Life MacBook Air 15" (Blue/White)</t>
  </si>
  <si>
    <t>MW Basics ¬≤Life MacBook Air 15" (Black/White)</t>
  </si>
  <si>
    <t>JOTREPLAPK</t>
  </si>
  <si>
    <t>MELK04015R</t>
  </si>
  <si>
    <t>MO091261BG</t>
  </si>
  <si>
    <t>MG084200SV</t>
  </si>
  <si>
    <t>MG084201SV</t>
  </si>
  <si>
    <t>BON70502R</t>
  </si>
  <si>
    <t>99MO091052</t>
  </si>
  <si>
    <t>MO091052GY</t>
  </si>
  <si>
    <t>MOSHI Overture for iPhone XS Max (Grey)</t>
  </si>
  <si>
    <t>99MO091262</t>
  </si>
  <si>
    <t>MO091262BG</t>
  </si>
  <si>
    <t>MOSHI Overture for iPhone XS Max (Beige)</t>
  </si>
  <si>
    <t>MO091301</t>
  </si>
  <si>
    <t>MG45B223PK</t>
  </si>
  <si>
    <t>MG45E273PK</t>
  </si>
  <si>
    <t>MGNL59K15P</t>
  </si>
  <si>
    <t>MGMW450021</t>
  </si>
  <si>
    <t>MG023114</t>
  </si>
  <si>
    <t>MO072010BK</t>
  </si>
  <si>
    <t>MO072531BU</t>
  </si>
  <si>
    <t>MO072532BU</t>
  </si>
  <si>
    <t>MO102022GY</t>
  </si>
  <si>
    <t>99MO102023</t>
  </si>
  <si>
    <t>MO102023GY</t>
  </si>
  <si>
    <t>MOSHI StealthCover for iPhone XS Max (Grey)</t>
  </si>
  <si>
    <t>MG084204SV</t>
  </si>
  <si>
    <t>MG023209</t>
  </si>
  <si>
    <t>MG023008BK</t>
  </si>
  <si>
    <t>MG023221GD</t>
  </si>
  <si>
    <t>BON70501R</t>
  </si>
  <si>
    <t>MG023251RG</t>
  </si>
  <si>
    <t>MG023119SV</t>
  </si>
  <si>
    <t>MG023118SV</t>
  </si>
  <si>
    <t>MG084101WH</t>
  </si>
  <si>
    <t>99MO084100</t>
  </si>
  <si>
    <t>MG084100WH</t>
  </si>
  <si>
    <t>MOSHI USB-C Charge Cable 2M (White)</t>
  </si>
  <si>
    <t>MO101101WH</t>
  </si>
  <si>
    <t>RSQR-S</t>
  </si>
  <si>
    <t>RSQRSSTVPK</t>
  </si>
  <si>
    <t>resQR Standard Pack - 20 Asset Recovery Stickers, Tags &amp; Plates</t>
  </si>
  <si>
    <t>MGOSMGK</t>
  </si>
  <si>
    <t>RSQRSTSTPK</t>
  </si>
  <si>
    <t>MGNNHCP2</t>
  </si>
  <si>
    <t>NUCLICPBC</t>
  </si>
  <si>
    <t>MGNL485PK</t>
  </si>
  <si>
    <t>NUCLICCSMK</t>
  </si>
  <si>
    <t>MC90400021</t>
  </si>
  <si>
    <t>MC90200011</t>
  </si>
  <si>
    <t>RSQR-M</t>
  </si>
  <si>
    <t>RSQRMMIVPK</t>
  </si>
  <si>
    <t>resQR Mini Pack -  10 Asset Recovery Stickers &amp; Tags</t>
  </si>
  <si>
    <t>MGOSMCK</t>
  </si>
  <si>
    <t>MC90200012</t>
  </si>
  <si>
    <t>MC90400014</t>
  </si>
  <si>
    <t>PAPSCRN129</t>
  </si>
  <si>
    <t>MGSTACBKM</t>
  </si>
  <si>
    <t>MGNL474PK</t>
  </si>
  <si>
    <t>PAPSCRN11</t>
  </si>
  <si>
    <t>NUCLICCPMK</t>
  </si>
  <si>
    <t>MGNL473PK</t>
  </si>
  <si>
    <t>MG47HX15PK</t>
  </si>
  <si>
    <t>BK80029R </t>
  </si>
  <si>
    <t>MG42HX15PK</t>
  </si>
  <si>
    <t>BK80028R </t>
  </si>
  <si>
    <t>BK80025R   </t>
  </si>
  <si>
    <t>MPDUEXLITG </t>
  </si>
  <si>
    <t>MPDUEXLITN </t>
  </si>
  <si>
    <t>MPDUEXMAXG </t>
  </si>
  <si>
    <t>MPDUEXMAXB </t>
  </si>
  <si>
    <t>MPDUEXPLUS </t>
  </si>
  <si>
    <t>MPGLANCEPR </t>
  </si>
  <si>
    <t>MELK01043R</t>
  </si>
  <si>
    <t>MO103034BK</t>
  </si>
  <si>
    <t>MO113101WH</t>
  </si>
  <si>
    <t>MO113002BK</t>
  </si>
  <si>
    <t>MG023006BK</t>
  </si>
  <si>
    <t>MG023043BK</t>
  </si>
  <si>
    <t>MG023128WH</t>
  </si>
  <si>
    <t>MG023208</t>
  </si>
  <si>
    <t>MG023201</t>
  </si>
  <si>
    <t>MG023002</t>
  </si>
  <si>
    <t>MO101751BN</t>
  </si>
  <si>
    <t>MO101002BK</t>
  </si>
  <si>
    <t>MO101303PK</t>
  </si>
  <si>
    <t>MG023005BK</t>
  </si>
  <si>
    <t>MG023101WH</t>
  </si>
  <si>
    <t>99MO113001</t>
  </si>
  <si>
    <t>MO113001BK</t>
  </si>
  <si>
    <t>MOSHI iGlaze SnapTo for iPhone Xr (Black)</t>
  </si>
  <si>
    <t>MCTPOSMO03</t>
  </si>
  <si>
    <t>MGNSC01P</t>
  </si>
  <si>
    <t>MC90200007</t>
  </si>
  <si>
    <t>MGNWM01WW</t>
  </si>
  <si>
    <t>MGNRG01WW</t>
  </si>
  <si>
    <t>MCNC01P2</t>
  </si>
  <si>
    <t>MC90200008</t>
  </si>
  <si>
    <t>MGOSMJG</t>
  </si>
  <si>
    <t>STUCHSHM</t>
  </si>
  <si>
    <t>RSQR-AP</t>
  </si>
  <si>
    <t>RSQRAPALPP</t>
  </si>
  <si>
    <t>resQR Aluminium Plate  Pack -   2 x Aluminium Plates</t>
  </si>
  <si>
    <t>NUCLIPMRWD</t>
  </si>
  <si>
    <t>RSQR-AT</t>
  </si>
  <si>
    <t>RSQRATALTP</t>
  </si>
  <si>
    <t>resQR Aluminium Tag Pack -   2 x Aluminium Tags</t>
  </si>
  <si>
    <t>MGNWA01WW</t>
  </si>
  <si>
    <t>MGNIM01WW</t>
  </si>
  <si>
    <t>RSQR-F</t>
  </si>
  <si>
    <t>RSQRFFAVPK</t>
  </si>
  <si>
    <t>resQR Family Pack - 30 Asset Recovery Stickers, Tags &amp; Plates</t>
  </si>
  <si>
    <t>MC90400009</t>
  </si>
  <si>
    <t>MGOSMCA</t>
  </si>
  <si>
    <t>STUCHSHS</t>
  </si>
  <si>
    <t>RSQR-AS</t>
  </si>
  <si>
    <t>RSQRASASPK</t>
  </si>
  <si>
    <t>resQR Aluminium Sticker Pack -   2 x Aluminium Stickers</t>
  </si>
  <si>
    <t>MGNWS01P</t>
  </si>
  <si>
    <t>MC90200009</t>
  </si>
  <si>
    <t>MG121653</t>
  </si>
  <si>
    <t>STTCMM8PAM</t>
  </si>
  <si>
    <t>STUCMBAM</t>
  </si>
  <si>
    <t>MACH001BLK</t>
  </si>
  <si>
    <t>SPHMINOR</t>
  </si>
  <si>
    <t>SPHMINWH</t>
  </si>
  <si>
    <t>MGCMM8PAS</t>
  </si>
  <si>
    <t>MGSTTCAWKS</t>
  </si>
  <si>
    <t>MACB0BU</t>
  </si>
  <si>
    <t>MACB0OR</t>
  </si>
  <si>
    <t>MGTS121803</t>
  </si>
  <si>
    <t>AT960VWPLU</t>
  </si>
  <si>
    <t>MGSTTCC2M</t>
  </si>
  <si>
    <t>BELK70412R</t>
  </si>
  <si>
    <t>MCRV01ROW</t>
  </si>
  <si>
    <t>MCSD01WRW1</t>
  </si>
  <si>
    <t>MCSD01WRW2</t>
  </si>
  <si>
    <t>MGSTCMBPM</t>
  </si>
  <si>
    <t>MGSTTCL18M</t>
  </si>
  <si>
    <t>STTCPHEM</t>
  </si>
  <si>
    <t>STUCISDS</t>
  </si>
  <si>
    <t>STTCACAM</t>
  </si>
  <si>
    <t>STUCATCM</t>
  </si>
  <si>
    <t>STTCMPHM</t>
  </si>
  <si>
    <t>MGADJD3BR</t>
  </si>
  <si>
    <t>MGTMS1</t>
  </si>
  <si>
    <t>MG121702</t>
  </si>
  <si>
    <t>MG121648</t>
  </si>
  <si>
    <t>MPPO01ROW</t>
  </si>
  <si>
    <t>MGTMX60</t>
  </si>
  <si>
    <t>MGTMS3</t>
  </si>
  <si>
    <t>MELK22514R</t>
  </si>
  <si>
    <t>MG121811</t>
  </si>
  <si>
    <t>MG121703</t>
  </si>
  <si>
    <t>MGTMM20</t>
  </si>
  <si>
    <t>MGTMM2</t>
  </si>
  <si>
    <t>MGTMM9</t>
  </si>
  <si>
    <t>MGTMS2</t>
  </si>
  <si>
    <t>MGTMM2K</t>
  </si>
  <si>
    <t>MGTS121802</t>
  </si>
  <si>
    <t>AIRFLYUSBC</t>
  </si>
  <si>
    <t>AIRFLYBTTR</t>
  </si>
  <si>
    <t>MG121505</t>
  </si>
  <si>
    <t>MELK22611R</t>
  </si>
  <si>
    <t>SPHMINPK</t>
  </si>
  <si>
    <t>MGSTTCAWKM</t>
  </si>
  <si>
    <t>MGTCDHAM</t>
  </si>
  <si>
    <t>MGTMP1</t>
  </si>
  <si>
    <t>MGSTTCMPHS</t>
  </si>
  <si>
    <t>MGTMM5</t>
  </si>
  <si>
    <t>MG121627BK</t>
  </si>
  <si>
    <t>MG121626SV</t>
  </si>
  <si>
    <t>MG121628WH</t>
  </si>
  <si>
    <t>MGADJD3BL</t>
  </si>
  <si>
    <t>MG121649</t>
  </si>
  <si>
    <t>MGTMM4PLR</t>
  </si>
  <si>
    <t>MGTMM4</t>
  </si>
  <si>
    <t>MGTMM2PK</t>
  </si>
  <si>
    <t>MG121701</t>
  </si>
  <si>
    <t>MG121625BK</t>
  </si>
  <si>
    <t>MG121639</t>
  </si>
  <si>
    <t>MGTMM8</t>
  </si>
  <si>
    <t>MGTMM4PL</t>
  </si>
  <si>
    <t>MG121654</t>
  </si>
  <si>
    <t>MGTMP2</t>
  </si>
  <si>
    <t>ADMIN4O</t>
  </si>
  <si>
    <t>MGARDCH</t>
  </si>
  <si>
    <t>MG121635</t>
  </si>
  <si>
    <t>ADONINKBLK</t>
  </si>
  <si>
    <t>MG121706</t>
  </si>
  <si>
    <t>MELK80013R</t>
  </si>
  <si>
    <t>MELK80011R</t>
  </si>
  <si>
    <t>MGADP3B</t>
  </si>
  <si>
    <t>MELK80021R</t>
  </si>
  <si>
    <t>BO100398</t>
  </si>
  <si>
    <t>MGADP3MB</t>
  </si>
  <si>
    <t>MORPHEE My Little Morph√©e Relaxation and Sleep Device - UK-FR-SP-DE</t>
  </si>
  <si>
    <t>BO100196</t>
  </si>
  <si>
    <t>MGADP3S</t>
  </si>
  <si>
    <t>MGADJD3S</t>
  </si>
  <si>
    <t>TWSHOVER</t>
  </si>
  <si>
    <t>BO100039</t>
  </si>
  <si>
    <t>MGADJM3B</t>
  </si>
  <si>
    <t>ADNOTEGLD</t>
  </si>
  <si>
    <t>ADMIN4OG</t>
  </si>
  <si>
    <t>AT980VWPOL</t>
  </si>
  <si>
    <t>AT292WVMIN</t>
  </si>
  <si>
    <t>ADPRO4GLD</t>
  </si>
  <si>
    <t>AT2910WVPL</t>
  </si>
  <si>
    <t>MGADPBL</t>
  </si>
  <si>
    <t>ADNOTEBLK</t>
  </si>
  <si>
    <t>SCDC234X-B</t>
  </si>
  <si>
    <t>SWISS MOBILITY Universal Car Charger Dual Port 3.4A (Black)</t>
  </si>
  <si>
    <t>0266757</t>
  </si>
  <si>
    <t>Telstra</t>
  </si>
  <si>
    <t>12-1801</t>
  </si>
  <si>
    <t>12-1911</t>
  </si>
  <si>
    <t>The Good Guys</t>
  </si>
  <si>
    <t>Inventory Location</t>
  </si>
  <si>
    <t>Location On Hand</t>
  </si>
  <si>
    <t>Location Committed</t>
  </si>
  <si>
    <t>Location Available</t>
  </si>
  <si>
    <t>Location Back Ordered</t>
  </si>
  <si>
    <t>Location On Order</t>
  </si>
  <si>
    <t>Weeks Holding</t>
  </si>
  <si>
    <t>AVG 12 wks Sales</t>
  </si>
  <si>
    <t>AU2 ‚Äì Melbourne Warehouse</t>
  </si>
  <si>
    <t>Amazon FBA</t>
  </si>
  <si>
    <t>Backbone One - PlayStation Edition Mobile Gaming Controller for iPhone (Gen 1)</t>
  </si>
  <si>
    <t>Backbone One - Mobile Gaming Controller for iPhone (Xbox Edition) (Gen 1)</t>
  </si>
  <si>
    <t>BONELK USB-C to Gigabit Adapter - (Black)</t>
  </si>
  <si>
    <t>Bonelk Mouse Mat Qi Desktop - Grey</t>
  </si>
  <si>
    <t>ELK-70408-</t>
  </si>
  <si>
    <t>Big W</t>
  </si>
  <si>
    <t>0235933</t>
  </si>
  <si>
    <t>PAPERLIKE Screen Protector v2.1 for iPad Mini 6 (2 Pack)</t>
  </si>
  <si>
    <t>TWELVESOUTH CableSnap 3pk (Cognac)</t>
  </si>
  <si>
    <t>TWELVESOUTH Curve for MacBook / Laptops (Black)</t>
  </si>
  <si>
    <t>TWELVESOUTH ActionSleeve for Apple Watch 42-L (Black)</t>
  </si>
  <si>
    <t>TWELVESOUTH Journal for iPhone 8/7/6/6S/SE Gen 2 (Black)</t>
  </si>
  <si>
    <t>TWELVESOUTH BookBook for iPhone X/XS (Brown)</t>
  </si>
  <si>
    <t>TWELVESOUTH RelaxedLeather case w pockets for iPhone 8/7/6s Plus (Black)</t>
  </si>
  <si>
    <t>TWELVESOUTH Journal for iPhone X/Xs (Black)</t>
  </si>
  <si>
    <t>TWELVESOUTH HiRise for MacBook / Laptops</t>
  </si>
  <si>
    <t>TWELVESOUTH HiRise Pro for iMac / Displays</t>
  </si>
  <si>
    <t>TWELVESOUTH RelaxedLeather case w pockets for iPhone 8/7/6s Plus (Cognac)</t>
  </si>
  <si>
    <t>TWELVESOUTH RelaxedLeather case for iPhone SE2/8/7/6s - Cognac *</t>
  </si>
  <si>
    <t>TWELVESOUTH HiRise Deluxe 2 for iPhone/iPad (Silver)</t>
  </si>
  <si>
    <t>TWELVESOUTH Journal for Macbook Pro 15" USB-C (Cognac)</t>
  </si>
  <si>
    <t>TWELVESOUTH MagicBridge</t>
  </si>
  <si>
    <t>TWELVESOUTH ParcSlope for MacBook (Matte Black)</t>
  </si>
  <si>
    <t>TWELVESOUTH PencilSnap (Black)</t>
  </si>
  <si>
    <t>TWELVESOUTH PlugBug Duo</t>
  </si>
  <si>
    <t>TWELVESOUTH HoverBar Duo (2nd Gen) - White</t>
  </si>
  <si>
    <t>TWELVESOUTH Journal for iPhone X/XS (Cognac)</t>
  </si>
  <si>
    <t>TWELVESOUTH HiRise Deluxe 2 for iPhone/iPad (Black)</t>
  </si>
  <si>
    <t>TWELVESOUTH Journal for iPhone 6+/6S+/7+/8+ (Cognac)</t>
  </si>
  <si>
    <t>TWELVESOUTH SuitCase 13" Macbook Pro/Air</t>
  </si>
  <si>
    <t>TWELVESOUTH ActionBand for Apple Watch 4/5/6 44mm</t>
  </si>
  <si>
    <t>TWELVESOUTH ActionSleeve 2 for Apple Watch 4/5/6/SE 40mm</t>
  </si>
  <si>
    <t>TWELVESOUTH ActionSleeve 2 for Apple Watch 4/5/6/SE 44mm</t>
  </si>
  <si>
    <t>TWELVESOUTH AirFly (2nd Gen)</t>
  </si>
  <si>
    <t>TWELVESOUTH AirFly Duo</t>
  </si>
  <si>
    <t>TWELVESOUTH AirFly Pro (White)</t>
  </si>
  <si>
    <t>TWELVESOUTH AirFly Pro (Black)</t>
  </si>
  <si>
    <t>TWELVESOUTH HiRise 2 for iPhone/iPad (Black)</t>
  </si>
  <si>
    <t>TWELVESOUTH AirFly Pro Deluxe</t>
  </si>
  <si>
    <t>TWELVESOUTH AirFly USB-C</t>
  </si>
  <si>
    <t>TWELVESOUTH AirSnap for AirPods (Light Grey Twill)</t>
  </si>
  <si>
    <t>TWELVESOUTH AirSnap for AirPods (Dark Grey Twill)</t>
  </si>
  <si>
    <t>TWELVESOUTH AirSnap for AirPods (Teal)</t>
  </si>
  <si>
    <t>TWELVESOUTH AirSnap Pro for AirPods Pro 1st/2nd Gen (Black)</t>
  </si>
  <si>
    <t>TWELVESOUTH AirSnap Pro for AirPods Pro 1st/2nd Gen (Cognac)</t>
  </si>
  <si>
    <t>TWELVESOUTH AirSnap Pro for AirPods Pro 1st/2nd Gen (Slate Blue)</t>
  </si>
  <si>
    <t>TWELVESOUTH BackPack shelf for M1 iMac (White)</t>
  </si>
  <si>
    <t>TWELVESOUTH AirFly SE</t>
  </si>
  <si>
    <t>TWELVESOUTH RelaxedLeather case for iPhone 8/7/6s Plus - Black</t>
  </si>
  <si>
    <t>TWELVESOUTH RelaxedLeather case for iPhone 8/7/6s Plus (Cognac)</t>
  </si>
  <si>
    <t>TWELVESOUTH Journal for Macbook Pro 13" USB-C (Cognac)</t>
  </si>
  <si>
    <t>TWELVESOUTH BookBook for 12.9" iPad Pro (2018/3rd Gen) (Brown)</t>
  </si>
  <si>
    <t>TWELVESOUTH BookBook Vol 2 for MacBook Pro 13" USB-C / Air 13" USB-C (Brown)</t>
  </si>
  <si>
    <t>TWELVESOUTH BookBook Vol 2 for iPad Pro 11" (Brown)</t>
  </si>
  <si>
    <t>TWELVESOUTH SurfacePad for iPhone XS Max (Teal)</t>
  </si>
  <si>
    <t>TWELVESOUTH SurfaceSnap 3 Pack (Black)</t>
  </si>
  <si>
    <t>TWELVESOUTH SurfaceSnap 3 Pack (Dove Grey)</t>
  </si>
  <si>
    <t>TWELVESOUTH BookArc Flex - (Black)</t>
  </si>
  <si>
    <t>TWELVESOUTH TimePorter 2 (1 Pack)</t>
  </si>
  <si>
    <t>TWELVESOUTH BookArc for MacBook/Pro w USB-C (Silver)</t>
  </si>
  <si>
    <t>TWELVESOUTH BookArc Flex - (White)</t>
  </si>
  <si>
    <t>TWELVESOUTH BookArc Flex - (Chrome)</t>
  </si>
  <si>
    <t>TWELVESOUTH BookBook Vol 2 for MacBook Pro 15" USB-C (Brown)</t>
  </si>
  <si>
    <t>TWELVESOUTH AirFly Bluetooth Audio Transmitter</t>
  </si>
  <si>
    <t>TWELVESOUTH SurfacePad for iPhone XS Max (Cognac)</t>
  </si>
  <si>
    <t>TWELVESOUTH SurfacePad for iPhone XS only (Teal)</t>
  </si>
  <si>
    <t>TWELVESOUTH Compass Pro (Space Grey)</t>
  </si>
  <si>
    <t>TWELVESOUTH SurfacePad for iPhone XS Max (Black)</t>
  </si>
  <si>
    <t>TWELVESOUTH PowerPic Mod - White</t>
  </si>
  <si>
    <t>TWELVESOUTH StayGo Mini Compact USB-C Hub</t>
  </si>
  <si>
    <t>TWELVESOUTH StayGo USB-C Multiport Hub (Black)</t>
  </si>
  <si>
    <t>TWELVESOUTH StayGo USB-C Multiport Hub (White)</t>
  </si>
  <si>
    <t>TWELVESOUTH Suitcase for 16-inch MacBook Pro (2019-2020)</t>
  </si>
  <si>
    <t>TWELVESOUTH SurfacePad for iPhone XS only (Black)</t>
  </si>
  <si>
    <t>TWELVESOUTH SurfacePad for iPhone XS only (Cognac)</t>
  </si>
  <si>
    <t>TWELVESOUTH PowerPic (Black)</t>
  </si>
  <si>
    <t>TWELVESOUTH PowerPic (White)</t>
  </si>
  <si>
    <t>TWELVESOUTH ActionSleeve for Apple Watch 42-S (Black)</t>
  </si>
  <si>
    <t>TWELVESOUTH ActionSleeve for Apple Watch 38-L (Black)</t>
  </si>
  <si>
    <t>TWELVESOUTH BookBook for iPad 10.2" / Air 10.5'' / Pro 10.5" (Brown)</t>
  </si>
  <si>
    <t>TWELVESOUTH HiRise Deluxe 2 for iPhone/iPad (White)</t>
  </si>
  <si>
    <t>TWELVESOUTH AirSnap for AirPods (Black)</t>
  </si>
  <si>
    <t>TWELVESOUTH AirSnap for AirPods (Cognac)</t>
  </si>
  <si>
    <t>TWELVESOUTH BackPack 3 (Silver)</t>
  </si>
  <si>
    <t>TWELVESOUTH BackPack 3 (Matte Black)</t>
  </si>
  <si>
    <t>TWELVESOUTH BookArc for MacBook/Retina/Pro/Air (Silver)</t>
  </si>
  <si>
    <t>TWELVESOUTH BookBook for MacBook Air / Pro 13" - Brown</t>
  </si>
  <si>
    <t>TWELVESOUTH Bookbook Caddysack Travel Tote</t>
  </si>
  <si>
    <t>TWELVESOUTH BookBook for iPhone 12 Pro Max (Brown)</t>
  </si>
  <si>
    <t>TWELVESOUTH BookBook for iPhone X/XS (Black)</t>
  </si>
  <si>
    <t>TWELVESOUTH BookBook for iPhone 8/7/6s Plus (Black)</t>
  </si>
  <si>
    <t>TWELVESOUTH Journal for iPhone 6+/6S+/7+/8/ (Black)</t>
  </si>
  <si>
    <t>TWELVESOUTH Journal for iPhone 8/7/6/6S/SE Gen 2 (Cognac)</t>
  </si>
  <si>
    <t>TWELVESOUTH BookBook Vol 2 for MacBook Pro 13"/Air 13" USB-C (Brown)</t>
  </si>
  <si>
    <t>TWELVESOUTH Curve Flex flexible desktop stand for MacBook / Laptops (White)</t>
  </si>
  <si>
    <t>TWELVESOUTH Curve Riser for iMac and Displays</t>
  </si>
  <si>
    <t>TWELVESOUTH Curve Riser for iMac and Displays - White</t>
  </si>
  <si>
    <t>TWELVESOUTH Curve SE stand for MacBooks and Laptops (Silver)</t>
  </si>
  <si>
    <t>TWELVESOUTH DeskPad (Grey)</t>
  </si>
  <si>
    <t>TWELVESOUTH Forte for iPhone with Magsafe</t>
  </si>
  <si>
    <t>TWELVESOUTH HiRise 3 (White)</t>
  </si>
  <si>
    <t>TWELVESOUTH HiRise 3 Deluxe - MagSafe (Black)</t>
  </si>
  <si>
    <t>TWELVESOUTH HiRise Pro for Macbook</t>
  </si>
  <si>
    <t>TWELVESOUTH HiRise Wireless</t>
  </si>
  <si>
    <t>TWELVESOUTH HoverBar Duo (2nd Gen) - Black</t>
  </si>
  <si>
    <t>TWELVESOUTH HoverBar Duo for iPad / Tablet / Smartphone (1st Gen)</t>
  </si>
  <si>
    <t>TWELVESOUTH HoverBar Tower (Black)</t>
  </si>
  <si>
    <t>TWELVESOUTH Journal CaddySack (Cognac)</t>
  </si>
  <si>
    <t>TWELVESOUTH HiRise 3 (Black)</t>
  </si>
  <si>
    <t>TWELVESOUTH Journal for iPhone Xr (Black)</t>
  </si>
  <si>
    <t>TWELVESOUTH Journal for iPhone Xr (Cognac)</t>
  </si>
  <si>
    <t>TWELVESOUTH Curve for MacBook / Laptops (White)</t>
  </si>
  <si>
    <t>TWELVESOUTH Journal for iPhone Xs Max (Cognac)</t>
  </si>
  <si>
    <t>TWELVESOUTH BookBook for iPhone 13 Pro (brown) MagSafe</t>
  </si>
  <si>
    <t>TWELVESOUTH BookBook for iPhone 13 Pro Max (brown) MagSafe</t>
  </si>
  <si>
    <t>TWELVESOUTH BookBook for iPhone Xr (Black)</t>
  </si>
  <si>
    <t>TWELVESOUTH BookBook for iPhone Xr (Brown)</t>
  </si>
  <si>
    <t>TWELVESOUTH MagicBridge Extended for Magic Keyboard &amp; Trackpad 2 (White)</t>
  </si>
  <si>
    <t>TWELVESOUTH ParcSlope for MacBook, Laptops &amp; iPad</t>
  </si>
  <si>
    <t>TWELVESOUTH PencilSnap (Brown)</t>
  </si>
  <si>
    <t>TWELVESOUTH PowerPic Mod - Black</t>
  </si>
  <si>
    <t>TWELVESOUTH BookBook for iPhone 12 Pro Max (black)</t>
  </si>
  <si>
    <t>TWELVESOUTH Journal for iPhone Xs Max (Black)</t>
  </si>
  <si>
    <t>TWELVESOUTH BookBook for iPhone 11 Pro Max (Brown)</t>
  </si>
  <si>
    <t>TWELVESOUTH BookBook for iPhone 11 Pro (Brown)</t>
  </si>
  <si>
    <t>TWELVESOUTH BookBook for iPhone 11 Pro Max (Black)</t>
  </si>
  <si>
    <t>TWELVESOUTH MagicBridge Extended for Magic Keyboard &amp; Trackpad 2 (Black)</t>
  </si>
  <si>
    <t>TWELVESOUTH Curve Flex flexible desktop stand for MacBook / Laptops (Black)</t>
  </si>
  <si>
    <t>TWELVESOUTH BookBook for iPhone Xs Max (Black)</t>
  </si>
  <si>
    <t>TWELVESOUTH BookArc for MacBook/Pro w USB-C (Space Grey)</t>
  </si>
  <si>
    <t>TWELVESOUTH BookBook Case for iPad Mini 6 - Brown</t>
  </si>
  <si>
    <t>TWELVESOUTH BookBook Case Vol. 2 for 12.9" iPad Pro</t>
  </si>
  <si>
    <t>TWELVESOUTH BookBook Cover Vol. 2 for 11" iPad Pro/Air 3/ 7th gen (Cream Lining)</t>
  </si>
  <si>
    <t>TWELVESOUTH BookBook for iPhone Xs Max (Brown)</t>
  </si>
  <si>
    <t>TWELVESOUTH BookBook Cover Vol. 2 for 12.9" iPad Pro</t>
  </si>
  <si>
    <t>TWELVESOUTH BookBook Cover Vol. 2 for 12.9" iPad Pro (Cream Lining)</t>
  </si>
  <si>
    <t>TWELVESOUTH BookBook for 16-inch MacBook Pro</t>
  </si>
  <si>
    <t>TWELVESOUTH BookBook for Amazon Kindle Paperwhite 10th Gen</t>
  </si>
  <si>
    <t>TWELVESOUTH BookBook for Amazon Kindle Paperwhite 11th Gen</t>
  </si>
  <si>
    <t>TWELVESOUTH BookBook for iPhone 11 (Black)</t>
  </si>
  <si>
    <t>TWELVESOUTH BookBook for iPhone 11 (Brown)</t>
  </si>
  <si>
    <t>TWELVESOUTH BookBook Cover Vol. 2 for 11" iPad Pro/Air 3/7th Gen</t>
  </si>
  <si>
    <t>TWELVESOUTH BookBook for iPhone 11 Pro (Black)</t>
  </si>
  <si>
    <t>TWELVESOUTH BookBook for iPhone 8/7/6s Plus (Brown)</t>
  </si>
  <si>
    <t>TWELVESOUTH DeskPad (Black)</t>
  </si>
  <si>
    <t>TWELVESOUTH BookBook for iPhone 12 and 12 Pro (Black)</t>
  </si>
  <si>
    <t>TWELVESOUTH BookBook for iPhone 12 mini (black)</t>
  </si>
  <si>
    <t>TWELVESOUTH BookBook for iPhone 12 and 12 Pro (Brown)</t>
  </si>
  <si>
    <t>TWELVESOUTH BookBook for iPhone 12 mini (brown)</t>
  </si>
  <si>
    <t>TWELVESOUTH BookBook for iPad Mini 5 (Brown)</t>
  </si>
  <si>
    <t>TWELVESOUTH BookBook for 16-inch MacBook Pro M1</t>
  </si>
  <si>
    <t>TWELVESOUTH BookBook for 14-inch MacBook Pro M1</t>
  </si>
  <si>
    <t>TWELVESOUTH BookBook for iPhone 12 and 12 Pro (brown) Magsafe</t>
  </si>
  <si>
    <t>TWELVESOUTH BookBook for iPhone 13 Pro Max (black) MagSafe</t>
  </si>
  <si>
    <t>TWELVESOUTH BookBook for iPhone 13 Pro (black) MagSafe</t>
  </si>
  <si>
    <t>TWELVESOUTH BookBook for iPhone 13 mini (brown) MagSafe</t>
  </si>
  <si>
    <t>TWELVESOUTH BookBook for iPhone 13 mini (black) MagSafe</t>
  </si>
  <si>
    <t>TWELVESOUTH BookBook for iPhone 13 (brown) MagSafe</t>
  </si>
  <si>
    <t>TWELVESOUTH BookBook for iPhone 13 (black) MagSafe</t>
  </si>
  <si>
    <t>TWELVESOUTH BookBook Case Vol. 2 for 11" iPad Pro</t>
  </si>
  <si>
    <t>TWELVESOUTH ActionSleeve 2 for Apple Watch Series 8/7 (45mm)</t>
  </si>
  <si>
    <t>TWELVESOUTH ActionSleeve 2 for Apple Watch Series 8/7 (41mm)</t>
  </si>
  <si>
    <t>TWELVESOUTH ActionBand for Apple Watch Series 8/7 (45mm)</t>
  </si>
  <si>
    <t>TWELVESOUTH ActionBand for Apple Watch Series 8/7 (41mm)</t>
  </si>
  <si>
    <t>TWELVESOUTH ActionBand for Apple Watch 4/5/6 40mm</t>
  </si>
  <si>
    <t>TWELVESOUTH BookBook for MacBook Pro Retina 13" (Brown)</t>
  </si>
  <si>
    <t>TWELVESOUTH HiRise Duet Dual Charging Stand for iPhone/Apple Watch (Space Grey)</t>
  </si>
  <si>
    <t>TWELVESOUTH CableSnap 3pk (Teal)</t>
  </si>
  <si>
    <t>TWELVESOUTH SuitCase 14" MacBook Pro M1</t>
  </si>
  <si>
    <t>ADSE2PK</t>
  </si>
  <si>
    <t>ADONIT SE 2 - Pink</t>
  </si>
  <si>
    <t>DB-21786-R</t>
  </si>
  <si>
    <t>BONELK Dummy Box -Long-Life 100W GaN Multi-Device Laptop Charger, in-built Cable 1.5m (Black)</t>
  </si>
  <si>
    <t>ELK-21790-R</t>
  </si>
  <si>
    <t>BONELK Long-Life 100W PD GaN Desktop Charger, in-built USB-C Cable 1.5m (Space Grey)</t>
  </si>
  <si>
    <t>BONELK Pro-X USB-C to HDMI Adapter (Black)</t>
  </si>
  <si>
    <t>RAB.0000001</t>
  </si>
  <si>
    <t>Chipolo LOOP &amp; CARD Tracker Bundle - Charcoal</t>
  </si>
  <si>
    <t>RSO.0000001</t>
  </si>
  <si>
    <t>Chipolo LOOP Tracker - Chalk</t>
  </si>
  <si>
    <t>RSO.0000006</t>
  </si>
  <si>
    <t>Chipolo LOOP Tracker - Charcoal</t>
  </si>
  <si>
    <t>RSO.0000003</t>
  </si>
  <si>
    <t>Chipolo LOOP Tracker - Coral</t>
  </si>
  <si>
    <t>RSO.0000002</t>
  </si>
  <si>
    <t>Chipolo LOOP Tracker - Honey</t>
  </si>
  <si>
    <t>RSO.0000005</t>
  </si>
  <si>
    <t>Chipolo LOOP Tracker - Mint</t>
  </si>
  <si>
    <t>RSO.0000004</t>
  </si>
  <si>
    <t>Chipolo LOOP Tracker - Navy</t>
  </si>
  <si>
    <t>RSO.0000007</t>
  </si>
  <si>
    <t>Chipolo LOOP Tracker 4 Pack - Charcoal</t>
  </si>
  <si>
    <t>RSO.0000008</t>
  </si>
  <si>
    <t>Chipolo LOOP Tracker 4 Pack - Charcoal Chalk Navy Coral</t>
  </si>
  <si>
    <t>RWS.0000007.000</t>
  </si>
  <si>
    <t>CHIPOLO POP - 4 Pack - Black</t>
  </si>
  <si>
    <t>RWS.0000006.000</t>
  </si>
  <si>
    <t>CHIPOLO POP - Black</t>
  </si>
  <si>
    <t>RWS.0000004.000</t>
  </si>
  <si>
    <t>CHIPOLO POP - Blue</t>
  </si>
  <si>
    <t>RWS.0000001.000</t>
  </si>
  <si>
    <t>CHIPOLO POP - White</t>
  </si>
  <si>
    <t>RWS.0000008.000</t>
  </si>
  <si>
    <t>CHIPOLO POP 4 Pack - Black, White, Red, Blue</t>
  </si>
  <si>
    <t>RWS.0000009.000</t>
  </si>
  <si>
    <t>CHIPOLO POP 4 Pack - Red, Blue, Yellow, Green</t>
  </si>
  <si>
    <t>RWS.0000005.000</t>
  </si>
  <si>
    <t>CHIPOLO POP Green</t>
  </si>
  <si>
    <t>RWS.0000003.000</t>
  </si>
  <si>
    <t>CHIPOLO POP Red</t>
  </si>
  <si>
    <t>RWS.0000002.000</t>
  </si>
  <si>
    <t>CHIPOLO POP Yellow</t>
  </si>
  <si>
    <t>GARMIN GPSMAP H1i Plus Premium Handheld GPS with inReachÂ® Plus Satellite Technology</t>
  </si>
  <si>
    <t>010-02980-04</t>
  </si>
  <si>
    <t>GARMIN Venu X1 (Black with Slate Titanium Caseback and Black ComfortFit Nylon Band)</t>
  </si>
  <si>
    <t>010-02980-05</t>
  </si>
  <si>
    <t>GARMIN Venu X1 (Moss with Titanium Caseback and Moss ComfortFit Nylon Band)</t>
  </si>
  <si>
    <t>010-02980-15</t>
  </si>
  <si>
    <t>GARMIN Venu X1 (Soft Gold with Titanium Caseback and French Gray Nylon Band)</t>
  </si>
  <si>
    <t>DOA-20010100002121</t>
  </si>
  <si>
    <t>DOA-MOVA Auxiliary Cleaning Kit for Mobius 60</t>
  </si>
  <si>
    <t>DOA-010405AA000017</t>
  </si>
  <si>
    <t>DOA-MOVA Deep Clean Brush Head (Four-Zone Floating)*3</t>
  </si>
  <si>
    <t>DOA-010707AA000037</t>
  </si>
  <si>
    <t>DOA-MOVA FD10 Pro Air Fryer - 6L</t>
  </si>
  <si>
    <t>DOA-010707AA000057</t>
  </si>
  <si>
    <t>DOA-MOVA FD20 Pro Air Fryer - 10L Giant Batch, 5L Zones with Divider</t>
  </si>
  <si>
    <t>DOA-010405AA000068</t>
  </si>
  <si>
    <t>DOA-MOVA Fresh 20 Neo Electric Toothbrush</t>
  </si>
  <si>
    <t>DOA-010405AA000095</t>
  </si>
  <si>
    <t>DOA-MOVA Fresh 20 Vision Electric Toothbrush</t>
  </si>
  <si>
    <t>DOA-010101AF000549</t>
  </si>
  <si>
    <t>DOA-MOVA i10 Cordless Stick Vacuum</t>
  </si>
  <si>
    <t>DOA-010703AA000017</t>
  </si>
  <si>
    <t>DOA-MOVA IG20 Indoor Grill</t>
  </si>
  <si>
    <t>DOA-011101AA000233</t>
  </si>
  <si>
    <t>DOA-MOVA K30 Mix Wet and Dry Vacuum</t>
  </si>
  <si>
    <t>DOA-011106AA000018</t>
  </si>
  <si>
    <t>DOA-MOVA M10 Wet and Dry Vacuum</t>
  </si>
  <si>
    <t>DOA-20010100001243</t>
  </si>
  <si>
    <t>DOA-MOVA Main Brush for P50 U and P50 PU</t>
  </si>
  <si>
    <t>DOA-010403AN000024</t>
  </si>
  <si>
    <t>DOA-MOVA Master 10 Hair Styler - Pink</t>
  </si>
  <si>
    <t>DOA-010403AE000024</t>
  </si>
  <si>
    <t>DOA-MOVA Master 10 Hair Styler - Silver</t>
  </si>
  <si>
    <t>DOA-20010100001799</t>
  </si>
  <si>
    <t>DOA-010405AA000018</t>
  </si>
  <si>
    <t>DOA-MOVA Sensitive Care Brush Head (Four-Zone Floating)*3</t>
  </si>
  <si>
    <t>DOA-010401AA000323</t>
  </si>
  <si>
    <t>DOA-MOVA Shine 20 Hair Dryer - Gold</t>
  </si>
  <si>
    <t>DOA-011601AA000021</t>
  </si>
  <si>
    <t>DOA-MOVA X10 Plus Air Purifier</t>
  </si>
  <si>
    <t>20010100002121</t>
  </si>
  <si>
    <t>MOVA Auxiliary Cleaning Kit for Mobius 60</t>
  </si>
  <si>
    <t>010405AA000017</t>
  </si>
  <si>
    <t>MOVA Deep Clean Brush Head (Four-Zone Floating)*3</t>
  </si>
  <si>
    <t>010902AA000016</t>
  </si>
  <si>
    <t>MOVA Diver A10 Robotic Pool Cleaner</t>
  </si>
  <si>
    <t>SA-010902AA000016</t>
  </si>
  <si>
    <t>MOVA Diver A10 Robotic Pool Cleaner SAMPLES</t>
  </si>
  <si>
    <t>010707AA000037</t>
  </si>
  <si>
    <t>MOVA FD10 Pro Air Fryer - 6L</t>
  </si>
  <si>
    <t>010707AA000057</t>
  </si>
  <si>
    <t>MOVA FD20 Pro Air Fryer - 10L Giant Batch, 5L Zones with Divider</t>
  </si>
  <si>
    <t>010405AA000068</t>
  </si>
  <si>
    <t>MOVA Fresh 20 Neo Electric Toothbrush</t>
  </si>
  <si>
    <t>010405AA000095</t>
  </si>
  <si>
    <t>MOVA Fresh 20 Vision Electric Toothbrush</t>
  </si>
  <si>
    <t>011501AA000007</t>
  </si>
  <si>
    <t>MOVA G1 Pro Pet Grooming Kit</t>
  </si>
  <si>
    <t>010703AA000017</t>
  </si>
  <si>
    <t>MOVA IG20 Indoor Grill</t>
  </si>
  <si>
    <t>011101AA000233</t>
  </si>
  <si>
    <t>MOVA K30 Mix Wet and Dry Vacuum</t>
  </si>
  <si>
    <t>011101AA000257</t>
  </si>
  <si>
    <t>MOVA K30 SE Wet and Dry Vacuum</t>
  </si>
  <si>
    <t>010201AA001070</t>
  </si>
  <si>
    <t>MOVA P70 Pro Ultra Wet and Dry Vacuum</t>
  </si>
  <si>
    <t>011503AA000007</t>
  </si>
  <si>
    <t>MOVA PF10 Pro Pet Feeder</t>
  </si>
  <si>
    <t>010201AA001014</t>
  </si>
  <si>
    <t>MOVA S70 Pro Roller Wet and Dry Vacuum</t>
  </si>
  <si>
    <t>010201AA000984</t>
  </si>
  <si>
    <t>MOVA S70 Roller Wet and Dry Vacuum</t>
  </si>
  <si>
    <t>010201AA001019</t>
  </si>
  <si>
    <t>MOVA S70 Ultra Roller Wet and Dry Vacuum</t>
  </si>
  <si>
    <t>010405AA000018</t>
  </si>
  <si>
    <t>MOVA Sensitive Care Brush Head (Four-Zone Floating)*3</t>
  </si>
  <si>
    <t>011502AA000013</t>
  </si>
  <si>
    <t>MOVA WF10 Pro Pet Water Fountain</t>
  </si>
  <si>
    <t>011502AA000014</t>
  </si>
  <si>
    <t>MOVA WF20 Pro Pet Water Fountain</t>
  </si>
  <si>
    <t>010405AA000020</t>
  </si>
  <si>
    <t>MOVA Whitening Brush Head (Four-Zone Floating)*3</t>
  </si>
  <si>
    <t>011601AA000021</t>
  </si>
  <si>
    <t>MOVA X10 Plus Air Purifier</t>
  </si>
  <si>
    <t>NLEDK00-1TFM</t>
  </si>
  <si>
    <t>NANOLEAF LED Light Therapy Face Mask</t>
  </si>
  <si>
    <t>NEXTBASE</t>
  </si>
  <si>
    <t>NBDVRS2HK</t>
  </si>
  <si>
    <t>Nextbase  Dash Camera Hardwire Kit</t>
  </si>
  <si>
    <t>NBDVRS2SD128GBU3</t>
  </si>
  <si>
    <t>Nextbase 128GB U3 Industrial Grade microSD Card</t>
  </si>
  <si>
    <t>NBDVR222G</t>
  </si>
  <si>
    <t>Nextbase 222K Dash Camera</t>
  </si>
  <si>
    <t>NBDVR222X</t>
  </si>
  <si>
    <t>Nextbase 222X Front and Rear Dash Camera</t>
  </si>
  <si>
    <t>NBDVR222XR</t>
  </si>
  <si>
    <t>Nextbase 222XR Front and Rear Dash Camera</t>
  </si>
  <si>
    <t>NBDVRS2SD256GBU3</t>
  </si>
  <si>
    <t>Nextbase 256GB U3 Industrial Grade microSD Card</t>
  </si>
  <si>
    <t>NBDVR320XR</t>
  </si>
  <si>
    <t>Nextbase 320XR Front and Rear Dash Camera</t>
  </si>
  <si>
    <t>NBDVR322GW</t>
  </si>
  <si>
    <t>Nextbase 322GW Dash Camera</t>
  </si>
  <si>
    <t>NBDVRS2SD32GBU3</t>
  </si>
  <si>
    <t>Nextbase 32GB U3 Industrial Grade microSD Card</t>
  </si>
  <si>
    <t>NBDVR422GW</t>
  </si>
  <si>
    <t>Nextbase 422GW Dash Camera</t>
  </si>
  <si>
    <t>NBDVR422GWXR</t>
  </si>
  <si>
    <t>Nextbase 422GWXR Front and Rear Dash Camera with 32GB SD Card and Hardwire Kit</t>
  </si>
  <si>
    <t>NBDVR522GW</t>
  </si>
  <si>
    <t>Nextbase 522GW Dash Camera</t>
  </si>
  <si>
    <t>NBDVR622GW</t>
  </si>
  <si>
    <t>Nextbase 622GW Dash Camera</t>
  </si>
  <si>
    <t>NBDVR622GWXR</t>
  </si>
  <si>
    <t>Nextbase 622GWXR Front and Rear Dash Camera with 64GB SD Card and Hardwire Kit</t>
  </si>
  <si>
    <t>NB622XR64</t>
  </si>
  <si>
    <t>Nextbase 622XR Front and Rear Dash Camera with 64GB SD Card</t>
  </si>
  <si>
    <t>NBDVRS2SD64GBU3</t>
  </si>
  <si>
    <t>Nextbase 64GB U3 Industrial Grade microSD Card</t>
  </si>
  <si>
    <t>NBDVRS2RFCW</t>
  </si>
  <si>
    <t>Nextbase Cabin View Add-on Camera</t>
  </si>
  <si>
    <t>NBDVRS2OBD</t>
  </si>
  <si>
    <t>Nextbase Dash Camera OBD Kit</t>
  </si>
  <si>
    <t>NBIQ1KAU</t>
  </si>
  <si>
    <t>Nextbase IQ 1K Smart Dash Camera</t>
  </si>
  <si>
    <t>NBIQ2KAU</t>
  </si>
  <si>
    <t>Nextbase IQ 2K Smart Dash Camera</t>
  </si>
  <si>
    <t>NBIQ2KXRAUS</t>
  </si>
  <si>
    <t>Nextbase IQ 2K Smart Dash Camera with Rear Camera Bundle</t>
  </si>
  <si>
    <t>NBIQ4KAU</t>
  </si>
  <si>
    <t>Nextbase IQ 4K Smart Dash Camera</t>
  </si>
  <si>
    <t>NBIQ4KUS-RWC</t>
  </si>
  <si>
    <t>Nextbase IQ 4K Smart Dash Camera with Rear Camera Bundle</t>
  </si>
  <si>
    <t>NBIQRWC</t>
  </si>
  <si>
    <t>Nextbase IQ Rear Window Camera</t>
  </si>
  <si>
    <t>NBPICO1</t>
  </si>
  <si>
    <t>Nextbase Piqo 1K Dash Camera</t>
  </si>
  <si>
    <t>NBPICO1K32GB</t>
  </si>
  <si>
    <t>Nextbase Piqo 1K Dash Camera with 32GB  SD Card</t>
  </si>
  <si>
    <t>NBPICO2</t>
  </si>
  <si>
    <t>Nextbase Piqo 2K Dash Camera</t>
  </si>
  <si>
    <t>NBPICO2K32GB</t>
  </si>
  <si>
    <t>Nextbase Piqo 2K Dash Camera with 32GB  SD Card</t>
  </si>
  <si>
    <t>NBPIQO2K32GB-AUS</t>
  </si>
  <si>
    <t>Nextbase Piqo 2K Dash Camera with 32GB SD Card</t>
  </si>
  <si>
    <t>NBPICO-HK</t>
  </si>
  <si>
    <t>Nextbase Piqo Pro Install Cable</t>
  </si>
  <si>
    <t>NBPICO-OBD</t>
  </si>
  <si>
    <t>Nextbase Piqo Quick Connect Cable</t>
  </si>
  <si>
    <t>NBDVRS2RFCZ</t>
  </si>
  <si>
    <t>Nextbase Rear View Add-on Camera</t>
  </si>
  <si>
    <t>NBDVRS2RWC</t>
  </si>
  <si>
    <t>Nextbase Rear Window Add-on Camera</t>
  </si>
  <si>
    <t>ST-POTG7C</t>
  </si>
  <si>
    <t>SATECHI OntheGo 7-in-1 Multiport Adapter (Space Black)</t>
  </si>
  <si>
    <t>ST-KSALKPM</t>
  </si>
  <si>
    <t>SATECHI Slim Wireless USB-C Keypad (Space Grey)</t>
  </si>
  <si>
    <t>ST-KSALKPS</t>
  </si>
  <si>
    <t>SATECHI Slim Wireless USB-C Keypad  (Silver)</t>
  </si>
  <si>
    <t>980-0533</t>
  </si>
  <si>
    <t>SPHERO indi Folding Code Mat (4 Pack)</t>
  </si>
  <si>
    <t>Ulike</t>
  </si>
  <si>
    <t>UI20S DB</t>
  </si>
  <si>
    <t>Ulike Air 10 Ice Cooling IPL Hair Removal Device Purple</t>
  </si>
  <si>
    <t>UI06S PR</t>
  </si>
  <si>
    <t>Ulike Air 4 Hair Removal Device Purple</t>
  </si>
  <si>
    <t>B0FN7GMLJP</t>
  </si>
  <si>
    <t>B0FK4X713X</t>
  </si>
  <si>
    <t>B0F9P8MW8P</t>
  </si>
  <si>
    <t>B0F7XSRBNV</t>
  </si>
  <si>
    <t>B0F12LH7TN</t>
  </si>
  <si>
    <t>B0FCFMHMXF</t>
  </si>
  <si>
    <t>B0FN3XK7BY</t>
  </si>
  <si>
    <t>MRLM1000</t>
  </si>
  <si>
    <t>847872</t>
  </si>
  <si>
    <t>B0FN3VZJLP</t>
  </si>
  <si>
    <t>MRLM600</t>
  </si>
  <si>
    <t>847873</t>
  </si>
  <si>
    <t>B0FVLC5HY8</t>
  </si>
  <si>
    <t>B0FFH3ZX19</t>
  </si>
  <si>
    <t>B0DX2499R8</t>
  </si>
  <si>
    <t>MMBV50Z60MOB60</t>
  </si>
  <si>
    <t>B0DQCSHZTZ</t>
  </si>
  <si>
    <t>MBR1PKX4</t>
  </si>
  <si>
    <t>MACSDP50U</t>
  </si>
  <si>
    <t>MMBZ50P50U</t>
  </si>
  <si>
    <t>MRLMBKIT</t>
  </si>
  <si>
    <t>MRLMGARAGE</t>
  </si>
  <si>
    <t>847875</t>
  </si>
  <si>
    <t>MHCMPBMOB60</t>
  </si>
  <si>
    <t>MPMPYMOB60</t>
  </si>
  <si>
    <t>MTHMPMOB60</t>
  </si>
  <si>
    <t>B0DBLRXTHN</t>
  </si>
  <si>
    <t>881558</t>
  </si>
  <si>
    <t>881567</t>
  </si>
  <si>
    <t>796016</t>
  </si>
  <si>
    <t>B0CY2TCGX2</t>
  </si>
  <si>
    <t>DISP23030R</t>
  </si>
  <si>
    <t>DISP23031R</t>
  </si>
  <si>
    <t>DISP23032R</t>
  </si>
  <si>
    <t>DISP23033R</t>
  </si>
  <si>
    <t>DISP23041R</t>
  </si>
  <si>
    <t>DISP23042R</t>
  </si>
  <si>
    <t>DISP23045R</t>
  </si>
  <si>
    <t>DISP23046R</t>
  </si>
  <si>
    <t>DISP23047R</t>
  </si>
  <si>
    <t>B0FVLS6T6X</t>
  </si>
  <si>
    <t>AC89494</t>
  </si>
  <si>
    <t>AC89495</t>
  </si>
  <si>
    <t>AC89496</t>
  </si>
  <si>
    <t>AC89497</t>
  </si>
  <si>
    <t>AC89498</t>
  </si>
  <si>
    <t>AC89501</t>
  </si>
  <si>
    <t>AC89478</t>
  </si>
  <si>
    <t>AC89479</t>
  </si>
  <si>
    <t>AC89480</t>
  </si>
  <si>
    <t>AC89481</t>
  </si>
  <si>
    <t>843242</t>
  </si>
  <si>
    <t>AC89482</t>
  </si>
  <si>
    <t>AC89484</t>
  </si>
  <si>
    <t>AC89486</t>
  </si>
  <si>
    <t>AC89499</t>
  </si>
  <si>
    <t>AC89500</t>
  </si>
  <si>
    <t>AC89483</t>
  </si>
  <si>
    <t>AC89503</t>
  </si>
  <si>
    <t>847028</t>
  </si>
  <si>
    <t>AC89505</t>
  </si>
  <si>
    <t>AC89506</t>
  </si>
  <si>
    <t>AC89509</t>
  </si>
  <si>
    <t>AC89502</t>
  </si>
  <si>
    <t>AC89504</t>
  </si>
  <si>
    <t>AC89507</t>
  </si>
  <si>
    <t>AC89508</t>
  </si>
  <si>
    <t>AC89492</t>
  </si>
  <si>
    <t>AC89493</t>
  </si>
  <si>
    <t>AC89491</t>
  </si>
  <si>
    <t>AC89488</t>
  </si>
  <si>
    <t>AC89487</t>
  </si>
  <si>
    <t>AC89490</t>
  </si>
  <si>
    <t>AC89489</t>
  </si>
  <si>
    <t>BK61024R</t>
  </si>
  <si>
    <t>AC89485</t>
  </si>
  <si>
    <t>B0DL6ZCTV2</t>
  </si>
  <si>
    <t>B0DPLF8TX8</t>
  </si>
  <si>
    <t>NLSGU10</t>
  </si>
  <si>
    <t>NLSGU103</t>
  </si>
  <si>
    <t>847506</t>
  </si>
  <si>
    <t>NLDLV21</t>
  </si>
  <si>
    <t>847507</t>
  </si>
  <si>
    <t>NLDLV22</t>
  </si>
  <si>
    <t>847508</t>
  </si>
  <si>
    <t>NLDLV24</t>
  </si>
  <si>
    <t>847537</t>
  </si>
  <si>
    <t>B0C4FPK8NC</t>
  </si>
  <si>
    <t>B0CF62KYPZ</t>
  </si>
  <si>
    <t>778321</t>
  </si>
  <si>
    <t>PAPSCR3MI</t>
  </si>
  <si>
    <t>856912</t>
  </si>
  <si>
    <t>856916</t>
  </si>
  <si>
    <t>B0DW9LDDRY</t>
  </si>
  <si>
    <t>WITSCT0202</t>
  </si>
  <si>
    <t>AC89866</t>
  </si>
  <si>
    <t>879112</t>
  </si>
  <si>
    <t>AC89864</t>
  </si>
  <si>
    <t>AC89865</t>
  </si>
  <si>
    <t>AC89871</t>
  </si>
  <si>
    <t>SAFAVLGCBK</t>
  </si>
  <si>
    <t>AC89872</t>
  </si>
  <si>
    <t>SAFAVLGCSD</t>
  </si>
  <si>
    <t>AC89874</t>
  </si>
  <si>
    <t>SAFAVLLTBK</t>
  </si>
  <si>
    <t>AC89873</t>
  </si>
  <si>
    <t>SAFAVLLTSD</t>
  </si>
  <si>
    <t>AC89870</t>
  </si>
  <si>
    <t>SAFACARDBK</t>
  </si>
  <si>
    <t>AC89868</t>
  </si>
  <si>
    <t>SAFAVLKCBK</t>
  </si>
  <si>
    <t>AC89869</t>
  </si>
  <si>
    <t>SAFAVLKCDR</t>
  </si>
  <si>
    <t>AC89867</t>
  </si>
  <si>
    <t>SAFAVLKCSD</t>
  </si>
  <si>
    <t>AC89863</t>
  </si>
  <si>
    <t>AC89875</t>
  </si>
  <si>
    <t>AC89876</t>
  </si>
  <si>
    <t>AC89877</t>
  </si>
  <si>
    <t>AC89878</t>
  </si>
  <si>
    <t>AC89879</t>
  </si>
  <si>
    <t>AC89862</t>
  </si>
  <si>
    <t>B0DP3H7Q4V</t>
  </si>
  <si>
    <t>B0DP3JKYJZ</t>
  </si>
  <si>
    <t>B0DCLKVJB5</t>
  </si>
  <si>
    <t>B0DCLRTV4P</t>
  </si>
  <si>
    <t>NZ AU - AirPoints / Aciem</t>
  </si>
  <si>
    <t>BONELK Vision Hardshell for MacBook Air 13” M2/M3/M4/M5 (Frost)</t>
  </si>
  <si>
    <t>BONELK Vision Hardshell for MacBook Pro 14” M1/M2/M3/M4/M5 (Frost)</t>
  </si>
  <si>
    <t>DOA-20010100001983</t>
  </si>
  <si>
    <t>DOA-MOVA Main Mop Pad x2 for Z50 Ultra</t>
  </si>
  <si>
    <t>DOA-010901AA000024</t>
  </si>
  <si>
    <t>DOA-MOVA Robotic Lawn Mower 1000</t>
  </si>
  <si>
    <t>010201AA000542</t>
  </si>
  <si>
    <t>MOVA E20s Pro Plus Wet and Dry Vacuum</t>
  </si>
  <si>
    <t>SA-010201AA000542</t>
  </si>
  <si>
    <t>MOVA E20s Pro Plus Wet and Dry Vacuum SAMPLE</t>
  </si>
  <si>
    <t>SA-010101AF000549</t>
  </si>
  <si>
    <t>MOVA i10 Cordless Stick Vacuum SAMPLE</t>
  </si>
  <si>
    <t>NLLTWDK0001A223</t>
  </si>
  <si>
    <t>NANOLEAF 6-in-1 Light Therapy Wand</t>
  </si>
  <si>
    <t>NL7001K0002A122</t>
  </si>
  <si>
    <t>Nanoleaf | Solar Garden Lights V1.5 | SMK | 2 Sets | Global</t>
  </si>
  <si>
    <t>OT-SCL-01</t>
  </si>
  <si>
    <t>Outin Claro Coffee Scale</t>
  </si>
  <si>
    <t>OT-SCL-01-SA</t>
  </si>
  <si>
    <t>Outin Claro Coffee Scale Sample</t>
  </si>
  <si>
    <t>OT-EVA-02-MB</t>
  </si>
  <si>
    <t>Outin EVA Protective Case Maple Brown</t>
  </si>
  <si>
    <t>OT-EVA-02-MB-SA</t>
  </si>
  <si>
    <t>Outin EVA Protective Case Maple Brown Sample</t>
  </si>
  <si>
    <t>OT-EVA-02-SB-SA</t>
  </si>
  <si>
    <t>Outin EVA Protective Case Sand Beige Sample</t>
  </si>
  <si>
    <t>OTCG-01-SW-SA</t>
  </si>
  <si>
    <t>Outin Fino Portable Electric Coffee Grinder Sand Stone White Sample</t>
  </si>
  <si>
    <t>OTCG-01-TB</t>
  </si>
  <si>
    <t>Outin Fino Portable Electric Coffee Grinder Tundra Brown</t>
  </si>
  <si>
    <t>OTCG-01-TB-SA</t>
  </si>
  <si>
    <t>Outin Fino Portable Electric Coffee Grinder Tundra Brown Sample</t>
  </si>
  <si>
    <t>OT-FCS-01-SA</t>
  </si>
  <si>
    <t>Outin Foldable Stand Sample</t>
  </si>
  <si>
    <t>OTEM-01-Accessory-Kit</t>
  </si>
  <si>
    <t>Outin Nano Basket Plus</t>
  </si>
  <si>
    <t>OTEM-01-Accessory-Kit-SA</t>
  </si>
  <si>
    <t>Outin Nano Basket Plus Sample</t>
  </si>
  <si>
    <t>OTEM-01-SG-SA</t>
  </si>
  <si>
    <t>Outin Nano Portable Electric Espresso Machine - Space Grey Sample</t>
  </si>
  <si>
    <t>OTEM-01-Teal</t>
  </si>
  <si>
    <t>Outin Nano Portable Electric Espresso Machine - Teal</t>
  </si>
  <si>
    <t>OUTIN-DU</t>
  </si>
  <si>
    <t>Outin Nano Portable Electric Espresso Machine Dummy Unit - SG</t>
  </si>
  <si>
    <t>OT-STD-02</t>
  </si>
  <si>
    <t>Outin Universal Coffee Stand</t>
  </si>
  <si>
    <t>OT-STD-02-SA</t>
  </si>
  <si>
    <t>Outin Universal Coffee Stand Sample</t>
  </si>
  <si>
    <t>OUTIN-POS-POSTER</t>
  </si>
  <si>
    <t>Outlin Display Stand - Poster Version</t>
  </si>
  <si>
    <t>Paperlike 3 for iPad Air 11" (M2, M3, M4)</t>
  </si>
  <si>
    <t>Paperlike 3 for iPad Pro 11" (M4 &amp; M5)</t>
  </si>
  <si>
    <t>Paperlike 3 for iPad Pro 12.9" (2018 - 2023)</t>
  </si>
  <si>
    <t>Paperlike 3 for iPad Pro 13” (M4, M5) &amp; iPad Air 13” (M2, M3, M4)</t>
  </si>
  <si>
    <t>ST-MEXS</t>
  </si>
  <si>
    <t>SATECHI Slim EX Wireless Mouse (Silver)</t>
  </si>
  <si>
    <t>ST-MEXC</t>
  </si>
  <si>
    <t>SATECHI Slim EX Wireless Mouse (Space Black)</t>
  </si>
  <si>
    <t>ST-KEX3S-EN</t>
  </si>
  <si>
    <t>SATECHI Slim EX3 Wireless Keyboard (Silver)</t>
  </si>
  <si>
    <t>ST-KEX3C-EN</t>
  </si>
  <si>
    <t>SATECHI Slim EX3 Wireless Keyboard (Space Black)</t>
  </si>
  <si>
    <t>ST-MULXS</t>
  </si>
  <si>
    <t>SATECHI Slim LX USB-C Wired Mouse (Silver)</t>
  </si>
  <si>
    <t>ST-MULXC</t>
  </si>
  <si>
    <t>SATECHI Slim LX USB-C Wired Mouse (Space Black)</t>
  </si>
  <si>
    <t>ST-KULX3S-EN</t>
  </si>
  <si>
    <t>SATECHI Slim LX3 USB-C Wired Keyboard (Silver)</t>
  </si>
  <si>
    <t>ST-KULX3C-EN</t>
  </si>
  <si>
    <t>SATECHI Slim LX3 USB-C Wired Keyboard (Space Black)</t>
  </si>
  <si>
    <t>ST-ZULX3CC-EN</t>
  </si>
  <si>
    <t>SATECHI Slim LX3 USB-C Wired Keyboard and Mouse Combo (Space Black)</t>
  </si>
  <si>
    <t>ST-ZEX3CC-EN</t>
  </si>
  <si>
    <t>SATECHI Slim ZEX3 Wireless Keyboard and Mouse Combo (Space Black)</t>
  </si>
  <si>
    <t>SPHERO Blueprint Snap (Single Kit)</t>
  </si>
  <si>
    <t>SPHERO Blueprint Snap Class Pack (8 Kits)</t>
  </si>
  <si>
    <t>920-0903-UGBOLTSPRK+</t>
  </si>
  <si>
    <t>SPHERO BOLT+ Edu Power Pack (15 robots) Upgrade from BOLT or SPRK+ Power Pack</t>
  </si>
  <si>
    <t>920-0700-UGBOLTSPRK+</t>
  </si>
  <si>
    <t>SPHERO BOLT+ Upgrade from BOLT or SPRK+</t>
  </si>
  <si>
    <t>940-0605-UGBOLTSPRK+</t>
  </si>
  <si>
    <t>SPHERO RVR+ Class Pack (12 robots) Upgrade from BOLT or SPRK+ PP</t>
  </si>
  <si>
    <t>940-0601-UGBOLTSPRK+</t>
  </si>
  <si>
    <t>SPHERO RVR+ Single Upgrade from BOLT or SPRK+</t>
  </si>
  <si>
    <t>ANKER</t>
  </si>
  <si>
    <t>A1902T11</t>
  </si>
  <si>
    <t>ANKER 100W Charging Base for ANKER Prime Power Bank</t>
  </si>
  <si>
    <t>A1388H11</t>
  </si>
  <si>
    <t>ANKER 10K 22.5W Power Bank (Black)</t>
  </si>
  <si>
    <t>A1384H11</t>
  </si>
  <si>
    <t>ANKER 20K 30 W Power Bank (Black)</t>
  </si>
  <si>
    <t>A2643T11</t>
  </si>
  <si>
    <t>ANKER 313 Ace 2 45W Wall Charger</t>
  </si>
  <si>
    <t>A8356H11</t>
  </si>
  <si>
    <t>ANKER 332 5-in-1 USB-C Hub with 4K HDMI</t>
  </si>
  <si>
    <t>A121BT41</t>
  </si>
  <si>
    <t>ANKER Charger 100W with display (Silver)</t>
  </si>
  <si>
    <t>A2698T11</t>
  </si>
  <si>
    <t>ANKER Charger 30W (Black)</t>
  </si>
  <si>
    <t>A2698T21</t>
  </si>
  <si>
    <t>ANKER Charger 30W (White)</t>
  </si>
  <si>
    <t>B2148T11</t>
  </si>
  <si>
    <t>ANKER GaNPrime 120W 3-Port Wall Charger with USB-C to USB-C Cable</t>
  </si>
  <si>
    <t>B2668T11</t>
  </si>
  <si>
    <t>ANKER GaNPrime 65W 3-Port Wall Charger with USB-C to USB-C Cable</t>
  </si>
  <si>
    <t>A1654H11</t>
  </si>
  <si>
    <t>ANKER MagGo 10K Magnetic Power Bank with Qi2 (Black)</t>
  </si>
  <si>
    <t>A1259H11</t>
  </si>
  <si>
    <t>ANKER Nano 10K 30W Power Bank with Built-In USB-C Cable (Black)</t>
  </si>
  <si>
    <t>A2663T11</t>
  </si>
  <si>
    <t>ANKER Nano II 65W</t>
  </si>
  <si>
    <t>A110DH11</t>
  </si>
  <si>
    <t>ANKER Power Bank 10K, 22.5W, Built-In USB-C Cable (Black)</t>
  </si>
  <si>
    <t>A110EH11</t>
  </si>
  <si>
    <t>ANKER Power Bank 20K, 22.5W, Built-In USB-C Cable (Black)</t>
  </si>
  <si>
    <t>A1681H12</t>
  </si>
  <si>
    <t>ANKER Power Bank 20K,45W,Built-In Dual USB-C Cables (Black)</t>
  </si>
  <si>
    <t>A1681H32</t>
  </si>
  <si>
    <t>ANKER Power Bank 20K,45W,Built-In Dual USB-C Cables (Blue)</t>
  </si>
  <si>
    <t>A1695H11</t>
  </si>
  <si>
    <t>ANKER Power Bank 25K, 165W, Built-In and Retractable Cables (Black)</t>
  </si>
  <si>
    <t>A1695H41</t>
  </si>
  <si>
    <t>ANKER Power Bank 25K, 165W, Built-In and Retractable Cables (Silver)</t>
  </si>
  <si>
    <t>A1335011</t>
  </si>
  <si>
    <t>ANKER Prime 12K 130W Power Bank (Black)</t>
  </si>
  <si>
    <t>A1336011</t>
  </si>
  <si>
    <t>ANKER Prime 20K 200W Power Bank (Black)</t>
  </si>
  <si>
    <t>A2345T41</t>
  </si>
  <si>
    <t>ANKER Prime 250W GaN Desktop Charger</t>
  </si>
  <si>
    <t>A1340011</t>
  </si>
  <si>
    <t>ANKER Prime 27K 250W PD 3.1 Power Bank (Black?</t>
  </si>
  <si>
    <t>ELK-80204-R</t>
  </si>
  <si>
    <t>BONELK Long-Life USB-C 5in1 Multiport Hub (Black)</t>
  </si>
  <si>
    <t>ELK-80200-R</t>
  </si>
  <si>
    <t>BONELK Long-Life USB-C 5in1 Multiport Hub (Blush)</t>
  </si>
  <si>
    <t>ELK-80201-R</t>
  </si>
  <si>
    <t>BONELK Long-Life USB-C 5in1 Multiport Hub (Citrus)</t>
  </si>
  <si>
    <t>ELK-80203-R</t>
  </si>
  <si>
    <t>BONELK Long-Life USB-C 5in1 Multiport Hub (indigo)</t>
  </si>
  <si>
    <t>ELK-80202-R</t>
  </si>
  <si>
    <t>BONELK Long-Life USB-C 5in1 Multiport Hub (Sliver)</t>
  </si>
  <si>
    <t>ELK-80180-R</t>
  </si>
  <si>
    <t>BONELK Long-Life USB-C to 4 Port USB 3.0 Slim Hub (Blush)</t>
  </si>
  <si>
    <t>ELK-80181-R</t>
  </si>
  <si>
    <t>BONELK Long-Life USB-C to 4 Port USB 3.0 Slim Hub (Citrus)</t>
  </si>
  <si>
    <t>ELK-80183-R</t>
  </si>
  <si>
    <t>BONELK Long-Life USB-C to 4 Port USB 3.0 Slim Hub (Indigo)</t>
  </si>
  <si>
    <t>ELK-90105-R</t>
  </si>
  <si>
    <t>BONELK Neo Sleeve 13" (Black)</t>
  </si>
  <si>
    <t>ELK-90101-R</t>
  </si>
  <si>
    <t>BONELK Neo Sleeve 13" (Blush)</t>
  </si>
  <si>
    <t>ELK-90104-R</t>
  </si>
  <si>
    <t>BONELK Neo Sleeve 13" (Indigo)</t>
  </si>
  <si>
    <t>ELK-90103-R</t>
  </si>
  <si>
    <t>BONELK Neo Sleeve 13" (Silver)</t>
  </si>
  <si>
    <t>ELK-80198-R</t>
  </si>
  <si>
    <t>BONELK Pro-X Long-Life USB-C to 5in1 Multiport Hub (Black)</t>
  </si>
  <si>
    <t>ELK-80199-R</t>
  </si>
  <si>
    <t>BONELK Pro-X Long-Life USB-C to 8in1 Multiport Hub (Black)</t>
  </si>
  <si>
    <t>ELK-80191-R</t>
  </si>
  <si>
    <t>BONELK USB-A to USB-C Dual Adapter (Black)</t>
  </si>
  <si>
    <t>ELK-80193-R</t>
  </si>
  <si>
    <t>BONELK USB-A to USB-C/USB-A Dual Adapter (Black)</t>
  </si>
  <si>
    <t>ELK-80190-R</t>
  </si>
  <si>
    <t>BONELK USB-C to USB-A Dual Adapter (Black)</t>
  </si>
  <si>
    <t>ELK-80192-R</t>
  </si>
  <si>
    <t>BONELK USB-C to USB-C/USB-A Dual Adapter (Black)</t>
  </si>
  <si>
    <t>ELK-80195-R</t>
  </si>
  <si>
    <t>BONELK Vision Long-Life USB-A to 4in1 Multi Card Adapter (SG/Clear)</t>
  </si>
  <si>
    <t>ELK-80197-R</t>
  </si>
  <si>
    <t>BONELK Vision Long-Life USB-A to MicroSD/SD Adapter (SG/Clear)</t>
  </si>
  <si>
    <t>ELK-80194-R</t>
  </si>
  <si>
    <t>BONELK Vision Long-Life USB-C to 4in1 Multi Card Adapter (SG/Clear)</t>
  </si>
  <si>
    <t>ELK-80196-R</t>
  </si>
  <si>
    <t>BONELK Vision Long-Life USB-C to MicroSD/SD Adapter (SG/Clear)</t>
  </si>
  <si>
    <t>010-02927-20</t>
  </si>
  <si>
    <t>GARMIN Dezl Cam LGV725 7" GPS Truck Sat Nav (with built-in Dash Cam)</t>
  </si>
  <si>
    <t>010-02926-20</t>
  </si>
  <si>
    <t>GARMIN Dezl LGV1020 10" GPS Truck Sat Nav</t>
  </si>
  <si>
    <t>010-02923-20</t>
  </si>
  <si>
    <t>GARMIN Dezl LGV620 6" GPS Truck Sat Nav</t>
  </si>
  <si>
    <t>010-02924-20</t>
  </si>
  <si>
    <t>GARMIN Dezl LGV720 7" GPS Truck Sat Nav</t>
  </si>
  <si>
    <t>010-02925-20</t>
  </si>
  <si>
    <t>GARMIN Dezl LGV820 8" GPS Truck Sat Nav</t>
  </si>
  <si>
    <t>010-02627-10_OLD</t>
  </si>
  <si>
    <t>010-02935-00_OLD</t>
  </si>
  <si>
    <t>010-02936-02</t>
  </si>
  <si>
    <t>GARMIN LIMITED EDITION Instinct 3 45 mm AMOLED (Citrine with Citrine Silicone Band)</t>
  </si>
  <si>
    <t>010-02934-02</t>
  </si>
  <si>
    <t>GARMIN LIMITED EDITION Instinct 3 45 mm Solar (Sunburst with Sunburst/Grey Silicone Band)</t>
  </si>
  <si>
    <t>010-03020-02</t>
  </si>
  <si>
    <t>GARMIN LIMITED EDITION Instinct 3 50 mm AMOLED (Fern Green with Fern Green Silicone Band)</t>
  </si>
  <si>
    <t>010-02935-02</t>
  </si>
  <si>
    <t>GARMIN LIMITED EDITION Instinct 3 50 mm Solar (Sunburst with Sunburst/Grey Silicone Band)</t>
  </si>
  <si>
    <t>010-02904-52_OLD</t>
  </si>
  <si>
    <t>010-02247-00_OLD</t>
  </si>
  <si>
    <t>010-03021-20</t>
  </si>
  <si>
    <t>GARMIN Tread 2 Overland Edition</t>
  </si>
  <si>
    <t>Marketing</t>
  </si>
  <si>
    <t>MARKETING Medium Plinths x1 (1 is missing)</t>
  </si>
  <si>
    <t>MARKETING Small Plinths x1 (1 is missing)</t>
  </si>
  <si>
    <t>010401AA000410</t>
  </si>
  <si>
    <t>MOVA Aero C Hair Dryer</t>
  </si>
  <si>
    <t>010405AA000113</t>
  </si>
  <si>
    <t>MOVA AirWave Electric Toothbrush</t>
  </si>
  <si>
    <t>MOVA Automatic Cleaning Solution Dispenser Module for E40 P50 P70 Series</t>
  </si>
  <si>
    <t>20010100001760</t>
  </si>
  <si>
    <t>MOVA Automatic Cleaning Solution Dispenser Module for P50 Series</t>
  </si>
  <si>
    <t>20010100003301</t>
  </si>
  <si>
    <t>MOVA Auxiliary Cleaning Kit for E50</t>
  </si>
  <si>
    <t>MOVA Auxiliary Cleaning Kit for P50 P70 Series</t>
  </si>
  <si>
    <t>20010100003227</t>
  </si>
  <si>
    <t>MOVA Auxiliary Cleaning Kit for V70</t>
  </si>
  <si>
    <t>20010100003085</t>
  </si>
  <si>
    <t>MOVA Auxiliary Cleaning Kit for Z70</t>
  </si>
  <si>
    <t>20010100003046</t>
  </si>
  <si>
    <t>MOVA Auxlilary Cleaning Kit for E20</t>
  </si>
  <si>
    <t>20010100002627</t>
  </si>
  <si>
    <t>MOVA Auxlilary Cleaning Kit for S Series</t>
  </si>
  <si>
    <t>MOVA Brush Roller x1 for X4 Pro &amp; M Series</t>
  </si>
  <si>
    <t>20010100002731</t>
  </si>
  <si>
    <t>MOVA Caterpillar Tread for A10 Pool Cleaner</t>
  </si>
  <si>
    <t>20010100002737</t>
  </si>
  <si>
    <t>MOVA Charger for A10 Pool Cleaner</t>
  </si>
  <si>
    <t>20010100002556</t>
  </si>
  <si>
    <t>MOVA Cleaning Cloth x2 for N1 Window Cleaner</t>
  </si>
  <si>
    <t>20010100003279</t>
  </si>
  <si>
    <t>MOVA Cleaning Cloth x2 for T1 Station Window Cleaner</t>
  </si>
  <si>
    <t>20010100003278</t>
  </si>
  <si>
    <t>MOVA Corner Brushes x4 for T1 Station Window Cleaner</t>
  </si>
  <si>
    <t>20010100001229</t>
  </si>
  <si>
    <t>MOVA Dust Bag for E20</t>
  </si>
  <si>
    <t>MOVA Dust Bag for E40 E50 P50 P70 S70 V50 Z60 and Mobius Series</t>
  </si>
  <si>
    <t>20010100002916</t>
  </si>
  <si>
    <t>MOVA Dust Bag x3 for Z70</t>
  </si>
  <si>
    <t>20010100001140</t>
  </si>
  <si>
    <t>MOVA Dust Box Filter for E20</t>
  </si>
  <si>
    <t>MOVA Dust Box Filter for S70 Z60 Z70 Series</t>
  </si>
  <si>
    <t>MOVA Dust Box Filter x2 for E40 E50 P50 P70 Series</t>
  </si>
  <si>
    <t>MOVA Dust Box Filter x2 for V50 V70 and Mobius 60</t>
  </si>
  <si>
    <t>010201AA001082</t>
  </si>
  <si>
    <t>MOVA E50 Pro Ultra Wet and Dry Robotic Vacuum</t>
  </si>
  <si>
    <t>010201AA001159</t>
  </si>
  <si>
    <t>MOVA E50 Ultra Wet and Dry Robotic Vacuum</t>
  </si>
  <si>
    <t>20010100002736</t>
  </si>
  <si>
    <t>MOVA filter Basket for A10 Pool Cleaner</t>
  </si>
  <si>
    <t>MOVA Filter x1 for K30 and X4 Pro</t>
  </si>
  <si>
    <t>20010100002732</t>
  </si>
  <si>
    <t>MOVA Fine Filter for A10 Pool Cleaner</t>
  </si>
  <si>
    <t>20010100002735</t>
  </si>
  <si>
    <t>MOVA Hook for A10 Pool Cleaner</t>
  </si>
  <si>
    <t>20010100001131</t>
  </si>
  <si>
    <t>MOVA Main Brush for E20</t>
  </si>
  <si>
    <t>MOVA Main Brush for E40 E50 P50 P70 S70 Series</t>
  </si>
  <si>
    <t>MOVA Main Brush for V50 V70 Z60 Z70 and Mobius 60</t>
  </si>
  <si>
    <t>MOVA Main CleanChop Brush for P50 P70 S70 Z50 Series</t>
  </si>
  <si>
    <t>20010100001137</t>
  </si>
  <si>
    <t>MOVA Mop Pad for E20</t>
  </si>
  <si>
    <t>MOVA Mop Pad x4 for E40 E50 P V Series</t>
  </si>
  <si>
    <t>MOVA Multi-Surface Floor Cleaner 1L for E40 E50 P S V Z60 Z70 and Mobius Series</t>
  </si>
  <si>
    <t>MOVA Multi-Surface Floor Cleaner 500ml for K30 M10 and X4 Pro</t>
  </si>
  <si>
    <t>20010100002951</t>
  </si>
  <si>
    <t>MOVA Multi-Surface Floor Cleaner AWH7 1L for E40 E50 P S V Z60 Z70 and Mobius Series</t>
  </si>
  <si>
    <t>010903AA000044</t>
  </si>
  <si>
    <t>MOVA N1 Window Cleaning Robot</t>
  </si>
  <si>
    <t>MOVA Pet Odor Solution 1000mL for P70 V50 V70 Z60 Z70 and Mobius Series</t>
  </si>
  <si>
    <t>010405AA000089</t>
  </si>
  <si>
    <t>MOVA Ripple 10 Water Flosser</t>
  </si>
  <si>
    <t>20010100002734</t>
  </si>
  <si>
    <t>MOVA Roller Brush Film for A10 Pool Cleaner</t>
  </si>
  <si>
    <t>MOVA Roller Mop for S70 Z60 Series</t>
  </si>
  <si>
    <t>20010100003083</t>
  </si>
  <si>
    <t>MOVA Roller Mop for Z70</t>
  </si>
  <si>
    <t>20010100002096</t>
  </si>
  <si>
    <t>MOVA Side Brush for E20</t>
  </si>
  <si>
    <t>20010100001918</t>
  </si>
  <si>
    <t>MOVA Side Brush x2 for E40 E50 Series</t>
  </si>
  <si>
    <t>MOVA Side Brush x2 for P S V Z and Mobius Series</t>
  </si>
  <si>
    <t>010903AA000060</t>
  </si>
  <si>
    <t>MOVA T1 Station Window Cleaning Robot</t>
  </si>
  <si>
    <t>20010100002729</t>
  </si>
  <si>
    <t>MOVA Ultra Fine Filter for A10 Pool Cleaner</t>
  </si>
  <si>
    <t>010201AA001161</t>
  </si>
  <si>
    <t>MOVA V70 Ultra Complete Wet and Dry Robotic Vacuum</t>
  </si>
  <si>
    <t>010405AA000118</t>
  </si>
  <si>
    <t>MOVA WaterWave Electric Toothbrush</t>
  </si>
  <si>
    <t>20010100002561</t>
  </si>
  <si>
    <t>MOVA Window Cleaning Solution 1L</t>
  </si>
  <si>
    <t>20010100003280</t>
  </si>
  <si>
    <t>MOVA Window Cleaning Solution 230mL</t>
  </si>
  <si>
    <t>010201AA001073</t>
  </si>
  <si>
    <t>MOVA Z70 Ultra Roller Wet and Dry Robotic Vacuum - Metal</t>
  </si>
  <si>
    <t>010201AA000963</t>
  </si>
  <si>
    <t>MOVA Z70 Ultra Roller Wet and Dry Robotic Vacuum - Rock</t>
  </si>
  <si>
    <t>OUTIN-HNPOS-AU</t>
  </si>
  <si>
    <t>OUTIN-POS with Dummy Unit for HN AU</t>
  </si>
  <si>
    <t>ST-C4CV140C-AU</t>
  </si>
  <si>
    <t>SATECHI ChargeView 140W Desktop Charger (Space Black)</t>
  </si>
  <si>
    <t>ST-C6CV240C-AU</t>
  </si>
  <si>
    <t>SATECHI ChargeView 240W Desktop Charger (Space Black)</t>
  </si>
  <si>
    <t>ST-DT5CES-AU</t>
  </si>
  <si>
    <t>SATECHI Thunderbolt 5 CubeDock with SSD Enclosure (Silver)</t>
  </si>
  <si>
    <t>MARKETING Sphero BluePrint Engineering Single Kit</t>
  </si>
  <si>
    <t>760-0912</t>
  </si>
  <si>
    <t>SPHERO Blueprint Robotics (Single Kit)</t>
  </si>
  <si>
    <t>760-0822</t>
  </si>
  <si>
    <t>SPHERO Blueprint Robotics Class Pack (6 Kits)</t>
  </si>
  <si>
    <t>Ulike-HNPOS</t>
  </si>
  <si>
    <t>Ulike-HN POS Stand</t>
  </si>
  <si>
    <t>S70ROLLER</t>
  </si>
  <si>
    <t>890509</t>
  </si>
  <si>
    <t>S70ULTRAROLLER</t>
  </si>
  <si>
    <t>890510</t>
  </si>
  <si>
    <t>DIVERA10</t>
  </si>
  <si>
    <t>815285</t>
  </si>
  <si>
    <t>815283</t>
  </si>
  <si>
    <t>847874</t>
  </si>
  <si>
    <t>MDFBZ60</t>
  </si>
  <si>
    <t>843321</t>
  </si>
  <si>
    <t>843322</t>
  </si>
  <si>
    <t>843305</t>
  </si>
  <si>
    <t>843315</t>
  </si>
  <si>
    <t>843316</t>
  </si>
  <si>
    <t>843319</t>
  </si>
  <si>
    <t>843320</t>
  </si>
  <si>
    <t>843302</t>
  </si>
  <si>
    <t>843243</t>
  </si>
  <si>
    <t>893170</t>
  </si>
  <si>
    <t>893169</t>
  </si>
  <si>
    <t>893171</t>
  </si>
  <si>
    <t>893172</t>
  </si>
  <si>
    <t>843317</t>
  </si>
  <si>
    <t>843318</t>
  </si>
  <si>
    <t>847538</t>
  </si>
  <si>
    <t>847509</t>
  </si>
  <si>
    <t>847510</t>
  </si>
  <si>
    <t>847536</t>
  </si>
  <si>
    <t>883543</t>
  </si>
  <si>
    <t>879152</t>
  </si>
  <si>
    <t>893199</t>
  </si>
  <si>
    <t>B0DWT9FM4J</t>
  </si>
  <si>
    <t>B0F3QZYBM7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</si>
</sst>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]#,##0.00"/>
    <numFmt numFmtId="165" formatCode="0.0000"/>
    <numFmt numFmtId="166" formatCode="[$$]#,##0.00" x16r2:formatCode16="[$$-uz-Arab-AF]#,##0.00"/>
    <numFmt numFmtId="167" formatCode="_([$$-409]* #,##0.00_);_([$$-409]* \(#,##0.00\);_([$$-409]* &quot;-&quot;??_);_(@_)"/>
    <numFmt numFmtId="168" formatCode="_([$$-C09]* #,##0.00_);_([$$-C09]* \(#,##0.00\);_([$$-C09]* &quot;-&quot;??_);_(@_)"/>
  </numFmts>
  <fonts count="26" x14ac:knownFonts="1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242729"/>
      <name val="Arial"/>
      <family val="2"/>
    </font>
    <font>
      <sz val="10"/>
      <color rgb="FF000000"/>
      <name val="Arial"/>
      <family val="2"/>
    </font>
    <font>
      <sz val="14"/>
      <color rgb="FF333333"/>
      <name val="Arial"/>
      <family val="2"/>
    </font>
    <font>
      <b/>
      <sz val="9"/>
      <color rgb="FF000000"/>
      <name val="Arial"/>
      <family val="2"/>
    </font>
    <font>
      <i/>
      <sz val="10"/>
      <color rgb="FF000000"/>
      <name val="Arial"/>
      <family val="2"/>
    </font>
    <font>
      <sz val="11"/>
      <color rgb="FF000000"/>
      <name val="Arial"/>
      <family val="2"/>
    </font>
    <font>
      <sz val="14"/>
      <color rgb="FFFF0000"/>
      <name val="Arial"/>
      <family val="2"/>
    </font>
    <font>
      <b/>
      <sz val="14"/>
      <color rgb="FF000000"/>
      <name val="Arial"/>
      <family val="2"/>
    </font>
    <font>
      <sz val="10"/>
      <color rgb="FFFFF2CC"/>
      <name val="Arial"/>
      <family val="2"/>
    </font>
    <font>
      <sz val="12"/>
      <color rgb="FF000000"/>
      <name val="Arial"/>
      <family val="2"/>
    </font>
    <font>
      <sz val="10"/>
      <color rgb="FF000000"/>
      <name val="Aptos Narrow"/>
      <family val="2"/>
      <scheme val="minor"/>
    </font>
    <font>
      <sz val="16"/>
      <name val="Wingdings 3"/>
      <family val="1"/>
      <charset val="2"/>
    </font>
    <font>
      <sz val="10"/>
      <color theme="0" tint="-0.14999847407452621"/>
      <name val="Arial"/>
      <family val="2"/>
    </font>
    <font>
      <b/>
      <sz val="10"/>
      <name val="Arial"/>
      <family val="2"/>
    </font>
    <font>
      <b/>
      <i/>
      <sz val="10"/>
      <color rgb="FF000000"/>
      <name val="Arial"/>
      <family val="2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rial"/>
      <family val="2"/>
    </font>
    <font>
      <sz val="11"/>
      <name val="Arial"/>
      <family val="2"/>
    </font>
    <font>
      <b/>
      <sz val="10"/>
      <color rgb="FF242729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theme="7" tint="0.79998168889431442"/>
        <bgColor rgb="FFB6D7A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FF00"/>
      </patternFill>
    </fill>
    <fill>
      <patternFill patternType="solid">
        <fgColor theme="7" tint="0.79998168889431442"/>
        <bgColor rgb="FFCFE2F3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rgb="FFF9CB9C"/>
      </patternFill>
    </fill>
  </fills>
  <borders count="5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ck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0" xfId="0" applyFont="1"/>
    <xf numFmtId="0" fontId="1" fillId="4" borderId="8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4" fontId="4" fillId="2" borderId="11" xfId="0" applyNumberFormat="1" applyFont="1" applyFill="1" applyBorder="1" applyAlignment="1">
      <alignment horizontal="center"/>
    </xf>
    <xf numFmtId="0" fontId="4" fillId="2" borderId="11" xfId="0" applyFont="1" applyFill="1" applyBorder="1"/>
    <xf numFmtId="0" fontId="4" fillId="0" borderId="11" xfId="0" applyFont="1" applyBorder="1"/>
    <xf numFmtId="0" fontId="4" fillId="3" borderId="12" xfId="0" applyFont="1" applyFill="1" applyBorder="1" applyAlignment="1">
      <alignment horizontal="center"/>
    </xf>
    <xf numFmtId="164" fontId="4" fillId="0" borderId="14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0" fontId="4" fillId="0" borderId="11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164" fontId="4" fillId="0" borderId="16" xfId="0" applyNumberFormat="1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164" fontId="1" fillId="6" borderId="3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right"/>
    </xf>
    <xf numFmtId="0" fontId="4" fillId="2" borderId="3" xfId="0" applyFont="1" applyFill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right"/>
    </xf>
    <xf numFmtId="4" fontId="4" fillId="2" borderId="4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4" fontId="12" fillId="0" borderId="0" xfId="0" applyNumberFormat="1" applyFont="1" applyAlignment="1">
      <alignment horizontal="center"/>
    </xf>
    <xf numFmtId="0" fontId="4" fillId="0" borderId="22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7" borderId="20" xfId="0" applyFont="1" applyFill="1" applyBorder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4" fillId="7" borderId="21" xfId="0" applyFont="1" applyFill="1" applyBorder="1" applyAlignment="1">
      <alignment vertical="top" wrapText="1"/>
    </xf>
    <xf numFmtId="0" fontId="4" fillId="0" borderId="25" xfId="0" applyFont="1" applyBorder="1" applyAlignment="1">
      <alignment horizontal="right"/>
    </xf>
    <xf numFmtId="4" fontId="4" fillId="0" borderId="4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1" xfId="0" applyFont="1" applyBorder="1"/>
    <xf numFmtId="0" fontId="4" fillId="0" borderId="3" xfId="0" applyFont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4" fillId="0" borderId="27" xfId="0" applyFont="1" applyBorder="1" applyAlignment="1">
      <alignment horizontal="right"/>
    </xf>
    <xf numFmtId="14" fontId="4" fillId="2" borderId="28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164" fontId="4" fillId="2" borderId="28" xfId="0" applyNumberFormat="1" applyFont="1" applyFill="1" applyBorder="1" applyAlignment="1">
      <alignment horizontal="center"/>
    </xf>
    <xf numFmtId="164" fontId="4" fillId="6" borderId="28" xfId="0" applyNumberFormat="1" applyFont="1" applyFill="1" applyBorder="1" applyAlignment="1">
      <alignment horizontal="center"/>
    </xf>
    <xf numFmtId="0" fontId="4" fillId="0" borderId="29" xfId="0" applyFont="1" applyBorder="1" applyAlignment="1">
      <alignment horizontal="right"/>
    </xf>
    <xf numFmtId="0" fontId="4" fillId="2" borderId="30" xfId="0" applyFont="1" applyFill="1" applyBorder="1" applyAlignment="1">
      <alignment horizontal="center"/>
    </xf>
    <xf numFmtId="0" fontId="4" fillId="0" borderId="31" xfId="0" applyFont="1" applyBorder="1" applyAlignment="1">
      <alignment horizontal="left"/>
    </xf>
    <xf numFmtId="0" fontId="2" fillId="0" borderId="33" xfId="0" applyFont="1" applyBorder="1"/>
    <xf numFmtId="0" fontId="4" fillId="0" borderId="33" xfId="0" applyFont="1" applyBorder="1"/>
    <xf numFmtId="0" fontId="4" fillId="0" borderId="33" xfId="0" applyFont="1" applyBorder="1" applyAlignment="1">
      <alignment horizontal="center"/>
    </xf>
    <xf numFmtId="10" fontId="0" fillId="0" borderId="0" xfId="0" applyNumberFormat="1"/>
    <xf numFmtId="0" fontId="4" fillId="3" borderId="4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" fillId="0" borderId="0" xfId="0" applyFont="1"/>
    <xf numFmtId="9" fontId="4" fillId="0" borderId="0" xfId="0" applyNumberFormat="1" applyFont="1" applyAlignment="1">
      <alignment horizontal="center"/>
    </xf>
    <xf numFmtId="2" fontId="4" fillId="0" borderId="1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166" fontId="4" fillId="0" borderId="14" xfId="0" applyNumberFormat="1" applyFont="1" applyBorder="1" applyAlignment="1">
      <alignment horizontal="center"/>
    </xf>
    <xf numFmtId="0" fontId="1" fillId="8" borderId="37" xfId="0" applyFont="1" applyFill="1" applyBorder="1" applyAlignment="1">
      <alignment vertical="center"/>
    </xf>
    <xf numFmtId="0" fontId="14" fillId="9" borderId="9" xfId="0" applyFont="1" applyFill="1" applyBorder="1"/>
    <xf numFmtId="0" fontId="2" fillId="9" borderId="9" xfId="0" applyFont="1" applyFill="1" applyBorder="1"/>
    <xf numFmtId="10" fontId="4" fillId="0" borderId="15" xfId="0" applyNumberFormat="1" applyFont="1" applyBorder="1" applyAlignment="1">
      <alignment horizontal="center"/>
    </xf>
    <xf numFmtId="164" fontId="1" fillId="6" borderId="7" xfId="0" applyNumberFormat="1" applyFont="1" applyFill="1" applyBorder="1" applyAlignment="1">
      <alignment horizontal="center"/>
    </xf>
    <xf numFmtId="0" fontId="4" fillId="9" borderId="35" xfId="0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2" fillId="10" borderId="0" xfId="0" applyFont="1" applyFill="1"/>
    <xf numFmtId="0" fontId="1" fillId="10" borderId="0" xfId="0" applyFont="1" applyFill="1" applyAlignment="1">
      <alignment horizontal="center" vertical="center" wrapText="1"/>
    </xf>
    <xf numFmtId="166" fontId="4" fillId="10" borderId="0" xfId="0" applyNumberFormat="1" applyFont="1" applyFill="1" applyAlignment="1">
      <alignment horizontal="center"/>
    </xf>
    <xf numFmtId="164" fontId="1" fillId="11" borderId="0" xfId="0" applyNumberFormat="1" applyFont="1" applyFill="1" applyAlignment="1">
      <alignment horizontal="center"/>
    </xf>
    <xf numFmtId="0" fontId="0" fillId="10" borderId="0" xfId="0" applyFill="1"/>
    <xf numFmtId="166" fontId="4" fillId="0" borderId="38" xfId="0" applyNumberFormat="1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9" borderId="36" xfId="0" applyFont="1" applyFill="1" applyBorder="1" applyAlignment="1">
      <alignment horizontal="center"/>
    </xf>
    <xf numFmtId="164" fontId="1" fillId="6" borderId="6" xfId="0" applyNumberFormat="1" applyFont="1" applyFill="1" applyBorder="1" applyAlignment="1">
      <alignment horizontal="center"/>
    </xf>
    <xf numFmtId="10" fontId="1" fillId="9" borderId="0" xfId="0" applyNumberFormat="1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1" fillId="12" borderId="4" xfId="0" applyFont="1" applyFill="1" applyBorder="1" applyAlignment="1">
      <alignment horizontal="center"/>
    </xf>
    <xf numFmtId="14" fontId="10" fillId="12" borderId="3" xfId="0" applyNumberFormat="1" applyFont="1" applyFill="1" applyBorder="1" applyAlignment="1">
      <alignment horizontal="center" vertical="center"/>
    </xf>
    <xf numFmtId="165" fontId="4" fillId="12" borderId="3" xfId="0" applyNumberFormat="1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right"/>
    </xf>
    <xf numFmtId="168" fontId="4" fillId="0" borderId="17" xfId="0" applyNumberFormat="1" applyFont="1" applyBorder="1" applyAlignment="1">
      <alignment horizontal="center"/>
    </xf>
    <xf numFmtId="167" fontId="1" fillId="0" borderId="4" xfId="0" applyNumberFormat="1" applyFont="1" applyBorder="1" applyAlignment="1">
      <alignment horizontal="center"/>
    </xf>
    <xf numFmtId="10" fontId="4" fillId="3" borderId="12" xfId="0" applyNumberFormat="1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9" fontId="0" fillId="0" borderId="0" xfId="0" applyNumberFormat="1"/>
    <xf numFmtId="0" fontId="4" fillId="0" borderId="11" xfId="0" applyFont="1" applyBorder="1" applyAlignment="1">
      <alignment horizontal="center"/>
    </xf>
    <xf numFmtId="10" fontId="17" fillId="2" borderId="14" xfId="0" applyNumberFormat="1" applyFont="1" applyFill="1" applyBorder="1" applyAlignment="1">
      <alignment horizontal="center"/>
    </xf>
    <xf numFmtId="0" fontId="18" fillId="13" borderId="35" xfId="0" applyFont="1" applyFill="1" applyBorder="1" applyAlignment="1">
      <alignment horizontal="center" vertical="center" wrapText="1"/>
    </xf>
    <xf numFmtId="1" fontId="4" fillId="2" borderId="11" xfId="0" applyNumberFormat="1" applyFont="1" applyFill="1" applyBorder="1" applyAlignment="1">
      <alignment horizontal="center"/>
    </xf>
    <xf numFmtId="1" fontId="17" fillId="14" borderId="14" xfId="0" applyNumberFormat="1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9" borderId="35" xfId="0" applyFont="1" applyFill="1" applyBorder="1" applyAlignment="1">
      <alignment vertical="center"/>
    </xf>
    <xf numFmtId="14" fontId="4" fillId="0" borderId="11" xfId="0" applyNumberFormat="1" applyFont="1" applyBorder="1" applyAlignment="1">
      <alignment horizontal="center"/>
    </xf>
    <xf numFmtId="10" fontId="17" fillId="0" borderId="14" xfId="0" applyNumberFormat="1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164" fontId="4" fillId="0" borderId="13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64" fontId="8" fillId="0" borderId="14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10" fontId="4" fillId="0" borderId="14" xfId="0" applyNumberFormat="1" applyFont="1" applyBorder="1" applyAlignment="1">
      <alignment horizontal="center"/>
    </xf>
    <xf numFmtId="10" fontId="4" fillId="0" borderId="44" xfId="0" applyNumberFormat="1" applyFont="1" applyBorder="1" applyAlignment="1">
      <alignment horizontal="center"/>
    </xf>
    <xf numFmtId="164" fontId="4" fillId="0" borderId="45" xfId="0" applyNumberFormat="1" applyFont="1" applyBorder="1" applyAlignment="1">
      <alignment horizontal="center"/>
    </xf>
    <xf numFmtId="164" fontId="8" fillId="0" borderId="15" xfId="0" applyNumberFormat="1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3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vertical="center"/>
    </xf>
    <xf numFmtId="0" fontId="22" fillId="2" borderId="3" xfId="0" applyFont="1" applyFill="1" applyBorder="1" applyAlignment="1">
      <alignment horizontal="center" vertical="center"/>
    </xf>
    <xf numFmtId="0" fontId="16" fillId="9" borderId="40" xfId="0" applyFont="1" applyFill="1" applyBorder="1" applyAlignment="1">
      <alignment vertical="center"/>
    </xf>
    <xf numFmtId="0" fontId="1" fillId="4" borderId="6" xfId="0" applyFont="1" applyFill="1" applyBorder="1"/>
    <xf numFmtId="2" fontId="1" fillId="4" borderId="6" xfId="0" applyNumberFormat="1" applyFont="1" applyFill="1" applyBorder="1"/>
    <xf numFmtId="0" fontId="0" fillId="0" borderId="57" xfId="0" applyBorder="1"/>
    <xf numFmtId="0" fontId="16" fillId="9" borderId="9" xfId="0" applyFont="1" applyFill="1" applyBorder="1" applyAlignment="1">
      <alignment horizontal="center" vertical="center"/>
    </xf>
    <xf numFmtId="0" fontId="1" fillId="9" borderId="41" xfId="0" applyFont="1" applyFill="1" applyBorder="1" applyAlignment="1">
      <alignment horizontal="center" vertical="center"/>
    </xf>
    <xf numFmtId="0" fontId="1" fillId="9" borderId="4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2" xfId="0" applyFont="1" applyBorder="1"/>
    <xf numFmtId="0" fontId="2" fillId="0" borderId="20" xfId="0" applyFont="1" applyBorder="1"/>
    <xf numFmtId="0" fontId="4" fillId="0" borderId="0" xfId="0" applyFont="1"/>
    <xf numFmtId="0" fontId="2" fillId="0" borderId="21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11" fillId="7" borderId="1" xfId="0" applyFont="1" applyFill="1" applyBorder="1" applyAlignment="1">
      <alignment horizontal="right" vertical="top" wrapText="1"/>
    </xf>
    <xf numFmtId="0" fontId="11" fillId="7" borderId="0" xfId="0" applyFont="1" applyFill="1" applyAlignment="1">
      <alignment horizontal="right"/>
    </xf>
    <xf numFmtId="0" fontId="11" fillId="7" borderId="23" xfId="0" applyFont="1" applyFill="1" applyBorder="1" applyAlignment="1">
      <alignment horizontal="right"/>
    </xf>
    <xf numFmtId="0" fontId="2" fillId="0" borderId="23" xfId="0" applyFont="1" applyBorder="1"/>
    <xf numFmtId="0" fontId="2" fillId="0" borderId="7" xfId="0" applyFont="1" applyBorder="1"/>
    <xf numFmtId="0" fontId="1" fillId="6" borderId="4" xfId="0" applyFont="1" applyFill="1" applyBorder="1" applyAlignment="1">
      <alignment horizontal="right"/>
    </xf>
    <xf numFmtId="0" fontId="2" fillId="0" borderId="9" xfId="0" applyFont="1" applyBorder="1"/>
    <xf numFmtId="0" fontId="2" fillId="0" borderId="5" xfId="0" applyFont="1" applyBorder="1"/>
    <xf numFmtId="0" fontId="1" fillId="0" borderId="4" xfId="0" applyFont="1" applyBorder="1" applyAlignment="1">
      <alignment horizontal="center"/>
    </xf>
    <xf numFmtId="0" fontId="11" fillId="7" borderId="1" xfId="0" applyFont="1" applyFill="1" applyBorder="1" applyAlignment="1">
      <alignment vertical="center" wrapText="1"/>
    </xf>
    <xf numFmtId="0" fontId="2" fillId="0" borderId="6" xfId="0" applyFont="1" applyBorder="1"/>
    <xf numFmtId="0" fontId="1" fillId="9" borderId="35" xfId="0" applyFont="1" applyFill="1" applyBorder="1" applyAlignment="1">
      <alignment horizontal="center" vertical="center"/>
    </xf>
    <xf numFmtId="0" fontId="20" fillId="0" borderId="4" xfId="0" applyFont="1" applyBorder="1" applyAlignment="1">
      <alignment vertical="center"/>
    </xf>
    <xf numFmtId="0" fontId="21" fillId="0" borderId="9" xfId="0" applyFont="1" applyBorder="1"/>
    <xf numFmtId="0" fontId="21" fillId="0" borderId="5" xfId="0" applyFont="1" applyBorder="1"/>
    <xf numFmtId="0" fontId="1" fillId="12" borderId="1" xfId="0" applyFont="1" applyFill="1" applyBorder="1" applyAlignment="1">
      <alignment horizontal="right"/>
    </xf>
    <xf numFmtId="0" fontId="2" fillId="9" borderId="2" xfId="0" applyFont="1" applyFill="1" applyBorder="1"/>
    <xf numFmtId="0" fontId="1" fillId="12" borderId="4" xfId="0" applyFont="1" applyFill="1" applyBorder="1" applyAlignment="1">
      <alignment horizontal="right"/>
    </xf>
    <xf numFmtId="0" fontId="2" fillId="9" borderId="5" xfId="0" applyFont="1" applyFill="1" applyBorder="1"/>
    <xf numFmtId="0" fontId="1" fillId="4" borderId="8" xfId="0" applyFont="1" applyFill="1" applyBorder="1" applyAlignment="1">
      <alignment horizontal="center" vertical="center"/>
    </xf>
    <xf numFmtId="0" fontId="2" fillId="0" borderId="10" xfId="0" applyFont="1" applyBorder="1"/>
    <xf numFmtId="0" fontId="1" fillId="4" borderId="1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16" fillId="9" borderId="2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2" fillId="0" borderId="9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" fillId="4" borderId="6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/>
    </xf>
  </cellXfs>
  <cellStyles count="1">
    <cellStyle name="Normal" xfId="0" builtinId="0"/>
  </cellStyles>
  <dxfs count="59"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SupportingPropertyBagStructure" Target="richData/rdsupportingpropertybagstructure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microsoft.com/office/2017/06/relationships/richStyles" Target="richData/richStyles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23" Type="http://schemas.openxmlformats.org/officeDocument/2006/relationships/customXml" Target="../customXml/item2.xml"/><Relationship Id="rId10" Type="http://schemas.openxmlformats.org/officeDocument/2006/relationships/connections" Target="connections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Relationship Id="rId22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9839E61-0EA0-8944-A97B-D62D2117B4AD}" autoFormatId="16" applyNumberFormats="0" applyBorderFormats="0" applyFontFormats="0" applyPatternFormats="0" applyAlignmentFormats="0" applyWidthHeightFormats="0">
  <queryTableRefresh nextId="34">
    <queryTableFields count="29">
      <queryTableField id="1" name="Source.Name" tableColumnId="1"/>
      <queryTableField id="2" name="Brand" tableColumnId="2"/>
      <queryTableField id="3" name="Code" tableColumnId="3"/>
      <queryTableField id="4" name="Description" tableColumnId="4"/>
      <queryTableField id="5" name="AU Status" tableColumnId="5"/>
      <queryTableField id="6" name="Base (RRP Inc)" tableColumnId="6"/>
      <queryTableField id="7" name="Clearance - MacGear + Brand Sites" tableColumnId="7"/>
      <queryTableField id="8" name="Dealer 1" tableColumnId="8"/>
      <queryTableField id="9" name="Dealer 2" tableColumnId="9"/>
      <queryTableField id="10" name="Dealer 3" tableColumnId="10"/>
      <queryTableField id="11" name="Education" tableColumnId="11"/>
      <queryTableField id="12" name="JB HIFI" tableColumnId="12"/>
      <queryTableField id="13" name="Harvey Norman" tableColumnId="13"/>
      <queryTableField id="30" name="Costco" tableColumnId="14"/>
      <queryTableField id="15" name="AU - Amazon" tableColumnId="15"/>
      <queryTableField id="16" name="LS travel" tableColumnId="16"/>
      <queryTableField id="17" name="AU - Officeworks" tableColumnId="17"/>
      <queryTableField id="18" name="AU - The Good Guys" tableColumnId="18"/>
      <queryTableField id="19" name="AU - WH Smith" tableColumnId="19"/>
      <queryTableField id="20" name="AU - Big W" tableColumnId="20"/>
      <queryTableField id="21" name="AU - Bunnings" tableColumnId="21"/>
      <queryTableField id="32" name="NZ AU - AirPoints / Aciem" tableColumnId="22"/>
      <queryTableField id="23" name="NZ AU - Smart Loyalty" tableColumnId="23"/>
      <queryTableField id="24" name="NZ AU - Fly Buys" tableColumnId="24"/>
      <queryTableField id="25" name="NZ AU - Qantas" tableColumnId="25"/>
      <queryTableField id="26" name="NZ AU - RRP - Home Of Brands" tableColumnId="26"/>
      <queryTableField id="27" name="NZ AU - RRP - List Price" tableColumnId="27"/>
      <queryTableField id="28" name="Clearance - Home Of Brands" tableColumnId="28"/>
      <queryTableField id="29" name="Bing Lee" tableColumnId="2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9E4A948-3BD4-46A0-9ACF-47F670AC64B2}" autoFormatId="16" applyNumberFormats="0" applyBorderFormats="0" applyFontFormats="0" applyPatternFormats="0" applyAlignmentFormats="0" applyWidthHeightFormats="0">
  <queryTableRefresh nextId="17">
    <queryTableFields count="7">
      <queryTableField id="1" name="Code" tableColumnId="1"/>
      <queryTableField id="2" name="Description" tableColumnId="2"/>
      <queryTableField id="3" name="Brand" tableColumnId="3"/>
      <queryTableField id="4" name="Customer Name" tableColumnId="4"/>
      <queryTableField id="10" name="Customer Code" tableColumnId="5"/>
      <queryTableField id="15" name="6wk avg" tableColumnId="6"/>
      <queryTableField id="16" name="SOH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8482DC3-91AB-4D37-9B21-9EA68B760848}" autoFormatId="16" applyNumberFormats="0" applyBorderFormats="0" applyFontFormats="0" applyPatternFormats="0" applyAlignmentFormats="0" applyWidthHeightFormats="0">
  <queryTableRefresh nextId="19">
    <queryTableFields count="16">
      <queryTableField id="1" name="Name" tableColumnId="1"/>
      <queryTableField id="2" name="Customer Code" tableColumnId="2"/>
      <queryTableField id="3" name="Display Name" tableColumnId="3"/>
      <queryTableField id="4" name="Brand" tableColumnId="4"/>
      <queryTableField id="5" name="AU Status" tableColumnId="5"/>
      <queryTableField id="6" name="Base Price" tableColumnId="6"/>
      <queryTableField id="7" name="Customer Name" tableColumnId="7"/>
      <queryTableField id="9" name="% vs SOH" tableColumnId="9"/>
      <queryTableField id="10" name="Status" tableColumnId="10"/>
      <queryTableField id="11" name="DC" tableColumnId="11"/>
      <queryTableField id="12" name="Bus. Online" tableColumnId="12"/>
      <queryTableField id="13" name="Retail" tableColumnId="13"/>
      <queryTableField id="15" name="WOS" tableColumnId="15"/>
      <queryTableField id="16" name="6wk avg" tableColumnId="16"/>
      <queryTableField id="17" name="Retail Value" tableColumnId="17"/>
      <queryTableField id="18" name="SOH" tableColumnId="18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4">
  <rv s="0">
    <v>0</v>
    <v>AUD/USD</v>
    <v>2</v>
    <v>3</v>
    <v>Finance</v>
    <v>4</v>
    <v>en-GB</v>
    <v>auxr9c</v>
    <v>268435456</v>
    <v>1</v>
    <v>Powered by Refinitiv</v>
    <v>0.72770000000000001</v>
    <v>0.63700000000000001</v>
    <v>-5.9999999999999995E-4</v>
    <v>-8.5129999999999993E-4</v>
    <v>USD</v>
    <v>AUD</v>
    <v>0.70530000000000004</v>
    <v>Currency Pair</v>
    <v>46185.041631944441</v>
    <v>0.70409999999999995</v>
    <v>Australian Dollar/US Dollar FX Spot Rate</v>
    <v>0.70479999999999998</v>
    <v>0.70479999999999998</v>
    <v>0.70420000000000005</v>
    <v>AUDUSD</v>
    <v>AUD/USD</v>
  </rv>
  <rv s="1">
    <v>0</v>
  </rv>
  <rv s="2">
    <v>12</v>
    <v>Exchange</v>
    <v>0</v>
  </rv>
  <rv s="2">
    <v>12</v>
    <v>Change (%)</v>
    <v>0</v>
  </rv>
</rvData>
</file>

<file path=xl/richData/rdrichvaluestructure.xml><?xml version="1.0" encoding="utf-8"?>
<rvStructures xmlns="http://schemas.microsoft.com/office/spreadsheetml/2017/richdata" count="3">
  <s t="_linkedentitycore">
    <k n="_Display" t="spb"/>
    <k n="_DisplayString" t="s"/>
    <k n="_Flags" t="spb"/>
    <k n="_Format" t="spb"/>
    <k n="_Icon" t="s"/>
    <k n="_SubLabel" t="spb"/>
    <k n="%EntityCulture" t="s"/>
    <k n="%EntityId" t="s"/>
    <k n="%EntityServiceId"/>
    <k n="%IsRefreshable" t="b"/>
    <k n="%ProviderInfo" t="s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  <s t="_error">
    <k n="errorType" t="i"/>
    <k n="field" t="s"/>
    <k n="subType" t="i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d/m/yyyy\ h:mm"/>
    </x:dxf>
    <x:dxf>
      <x:numFmt numFmtId="14" formatCode="0.00%"/>
    </x:dxf>
  </dxfs>
  <richProperties>
    <rPr n="NumberFormat" t="s"/>
    <rPr n="IsTitleField" t="b"/>
  </richProperties>
  <richStyles>
    <rSty dxfid="1">
      <rpv i="0">_([$$-en-US]* #,##0.00_);_([$$-en-US]* (#,##0.00);_([$$-en-US]* "-"??_);_(@_)</rpv>
    </rSty>
    <rSty>
      <rpv i="1">1</rpv>
    </rSty>
    <rSty dxfid="3"/>
    <rSty dxfid="2"/>
    <rSty dxfid="0">
      <rpv i="0">0.00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29B679-5B9E-824A-AAE1-3DB985997AAC}" name="Query" displayName="Query" ref="A1:AC1761" tableType="queryTable" totalsRowShown="0">
  <autoFilter ref="A1:AC1761" xr:uid="{4829B679-5B9E-824A-AAE1-3DB985997AAC}"/>
  <tableColumns count="29">
    <tableColumn id="1" xr3:uid="{7F512775-E9CB-814B-9A45-ED034245B8AC}" uniqueName="1" name="Source.Name" queryTableFieldId="1" dataDxfId="58"/>
    <tableColumn id="2" xr3:uid="{EF42A373-FB5F-6D48-AAF4-CEA551229C8E}" uniqueName="2" name="Brand" queryTableFieldId="2" dataDxfId="57"/>
    <tableColumn id="3" xr3:uid="{78197E6D-E330-B14E-BB51-DA4287A79BD4}" uniqueName="3" name="Code" queryTableFieldId="3" dataDxfId="56"/>
    <tableColumn id="4" xr3:uid="{8EA983A1-4463-4C4A-9388-08F5414BCC49}" uniqueName="4" name="Description" queryTableFieldId="4" dataDxfId="55"/>
    <tableColumn id="5" xr3:uid="{D97F1495-CA1B-2841-B1A1-57B6A95F3631}" uniqueName="5" name="AU Status" queryTableFieldId="5" dataDxfId="54"/>
    <tableColumn id="6" xr3:uid="{EC04D336-BC66-5047-8D74-EDD7DD96FC17}" uniqueName="6" name="Base (RRP Inc)" queryTableFieldId="6"/>
    <tableColumn id="7" xr3:uid="{588C23F7-C188-4A42-90CC-FCC59D68D1BF}" uniqueName="7" name="Clearance - MacGear + Brand Sites" queryTableFieldId="7"/>
    <tableColumn id="8" xr3:uid="{6B176724-6902-1F4C-86EA-F7335DEF5883}" uniqueName="8" name="Dealer 1" queryTableFieldId="8"/>
    <tableColumn id="9" xr3:uid="{9B341CC5-79A2-5E44-994E-C27833860C9C}" uniqueName="9" name="Dealer 2" queryTableFieldId="9"/>
    <tableColumn id="10" xr3:uid="{EC96CFE2-2363-784F-807D-C1BC169AFD27}" uniqueName="10" name="Dealer 3" queryTableFieldId="10"/>
    <tableColumn id="11" xr3:uid="{1109D71B-7D3B-1B4C-AFFA-1B3F8C66A0BC}" uniqueName="11" name="Education" queryTableFieldId="11"/>
    <tableColumn id="12" xr3:uid="{25A48FBF-5F13-474F-B642-259D8B2F6E10}" uniqueName="12" name="JB HIFI" queryTableFieldId="12"/>
    <tableColumn id="13" xr3:uid="{82080C01-6AA1-364E-8821-152CDF85A4F9}" uniqueName="13" name="Harvey Norman" queryTableFieldId="13"/>
    <tableColumn id="14" xr3:uid="{359C9452-B304-41A8-A1FF-DC17E2973389}" uniqueName="14" name="Costco" queryTableFieldId="30"/>
    <tableColumn id="15" xr3:uid="{B62DECD2-07CC-0F46-8002-EA2B50C85B17}" uniqueName="15" name="AU - Amazon" queryTableFieldId="15"/>
    <tableColumn id="16" xr3:uid="{2CB8D34C-7366-E34E-8150-3FD2B89D6B55}" uniqueName="16" name="LS travel" queryTableFieldId="16"/>
    <tableColumn id="17" xr3:uid="{3E797D07-C02A-BC4B-B6EF-5237DE15DC3B}" uniqueName="17" name="AU - Officeworks" queryTableFieldId="17"/>
    <tableColumn id="18" xr3:uid="{B598E02A-AD88-4D46-9087-BC776A348E14}" uniqueName="18" name="AU - The Good Guys" queryTableFieldId="18"/>
    <tableColumn id="19" xr3:uid="{FE25DC64-2A6C-EC4E-B9B8-D585BF5A22C3}" uniqueName="19" name="AU - WH Smith" queryTableFieldId="19"/>
    <tableColumn id="20" xr3:uid="{121D0554-4375-384E-AE47-1A8FC2C5D3C2}" uniqueName="20" name="AU - Big W" queryTableFieldId="20" dataDxfId="53"/>
    <tableColumn id="21" xr3:uid="{CA80AC0F-2FD8-BD49-A0D1-223EA2EEFE44}" uniqueName="21" name="AU - Bunnings" queryTableFieldId="21"/>
    <tableColumn id="22" xr3:uid="{8E90F7BD-F5C1-41BA-A4FE-F61E6C5BC6B3}" uniqueName="22" name="NZ AU - AirPoints / Aciem" queryTableFieldId="32"/>
    <tableColumn id="23" xr3:uid="{80264AC1-0667-EB46-A1C8-F2732CBEA28D}" uniqueName="23" name="NZ AU - Smart Loyalty" queryTableFieldId="23"/>
    <tableColumn id="24" xr3:uid="{0EBB3350-D8FF-9342-A318-CB6A0AE9BDCA}" uniqueName="24" name="NZ AU - Fly Buys" queryTableFieldId="24"/>
    <tableColumn id="25" xr3:uid="{4CD42D45-60CE-7340-815B-07999BCA6AAA}" uniqueName="25" name="NZ AU - Qantas" queryTableFieldId="25"/>
    <tableColumn id="26" xr3:uid="{E26A1B57-14FD-DE43-8116-25ECDDCDA4CE}" uniqueName="26" name="NZ AU - RRP - Home Of Brands" queryTableFieldId="26"/>
    <tableColumn id="27" xr3:uid="{18918409-CFDB-9445-BDF7-211CF6DBD179}" uniqueName="27" name="NZ AU - RRP - List Price" queryTableFieldId="27" dataDxfId="52"/>
    <tableColumn id="28" xr3:uid="{9A4F8C33-7700-4E4E-AB26-A3055B905446}" uniqueName="28" name="Clearance - Home Of Brands" queryTableFieldId="28"/>
    <tableColumn id="29" xr3:uid="{738F2E40-76E7-9B4E-A182-0FC7C83E2765}" uniqueName="29" name="Bing Lee" queryTableField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601BED-5FCA-40FC-BDD1-291518B5E095}" name="ST" displayName="ST" ref="A1:G3278" tableType="queryTable" totalsRowShown="0">
  <autoFilter ref="A1:G3278" xr:uid="{5E601BED-5FCA-40FC-BDD1-291518B5E095}"/>
  <tableColumns count="7">
    <tableColumn id="1" xr3:uid="{5AE5D1D8-3301-4F88-B7AE-19C581654862}" uniqueName="1" name="Code" queryTableFieldId="1" dataDxfId="51"/>
    <tableColumn id="2" xr3:uid="{FD944BCE-FE64-431B-B5C8-84C3C0E1F163}" uniqueName="2" name="Description" queryTableFieldId="2" dataDxfId="50"/>
    <tableColumn id="3" xr3:uid="{502385EA-5E7F-454F-A899-833C190CEAA1}" uniqueName="3" name="Brand" queryTableFieldId="3" dataDxfId="49"/>
    <tableColumn id="4" xr3:uid="{0591E092-15C7-493B-B75B-A875CECA732B}" uniqueName="4" name="Customer Name" queryTableFieldId="4" dataDxfId="48"/>
    <tableColumn id="5" xr3:uid="{4F86F28C-7729-4CFA-937A-2111B0B15B74}" uniqueName="5" name="Customer Code" queryTableFieldId="10" dataDxfId="47"/>
    <tableColumn id="6" xr3:uid="{95EAE2D7-E565-4A80-96B3-5538646F2F56}" uniqueName="6" name="6wk avg" queryTableFieldId="15"/>
    <tableColumn id="7" xr3:uid="{BE340660-6CAA-4FBE-84BE-641E7992D564}" uniqueName="7" name="SOH" queryTableField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3B6D83-C7B2-423C-A786-EE7E867267A9}" name="Sell_Through" displayName="Sell_Through" ref="A1:P3824" tableType="queryTable" totalsRowShown="0">
  <autoFilter ref="A1:P3824" xr:uid="{463B6D83-C7B2-423C-A786-EE7E867267A9}"/>
  <tableColumns count="16">
    <tableColumn id="1" xr3:uid="{CE4B4F6B-5ECB-4C55-8E07-B04927BB1BC0}" uniqueName="1" name="Name" queryTableFieldId="1" dataDxfId="46"/>
    <tableColumn id="2" xr3:uid="{B7E507D2-7867-47B8-B6C4-065729915551}" uniqueName="2" name="Customer Code" queryTableFieldId="2" dataDxfId="45"/>
    <tableColumn id="3" xr3:uid="{D8F7AC14-ED31-464E-AA46-5BC28821B0EF}" uniqueName="3" name="Display Name" queryTableFieldId="3" dataDxfId="44"/>
    <tableColumn id="4" xr3:uid="{D29967A4-3985-45BE-A70D-B3E429A5E09C}" uniqueName="4" name="Brand" queryTableFieldId="4" dataDxfId="43"/>
    <tableColumn id="5" xr3:uid="{A3DD8C6C-80C9-40AF-93D1-D4567AC8F9BF}" uniqueName="5" name="AU Status" queryTableFieldId="5" dataDxfId="42"/>
    <tableColumn id="6" xr3:uid="{E28D6C99-A419-48CD-B2BB-CBA20F325136}" uniqueName="6" name="Base Price" queryTableFieldId="6"/>
    <tableColumn id="7" xr3:uid="{659182EA-7C2B-417D-BE25-5C443B6A18A1}" uniqueName="7" name="Customer Name" queryTableFieldId="7" dataDxfId="41"/>
    <tableColumn id="9" xr3:uid="{915FEDC5-FEAF-4023-A614-7F2C3878F18F}" uniqueName="9" name="% vs SOH" queryTableFieldId="9"/>
    <tableColumn id="10" xr3:uid="{1053BAC9-D6C3-4B5E-9E15-857C79D3F7DC}" uniqueName="10" name="Status" queryTableFieldId="10"/>
    <tableColumn id="11" xr3:uid="{6E26E80B-9CC9-4CB3-A26A-A94F44DCA65C}" uniqueName="11" name="DC" queryTableFieldId="11"/>
    <tableColumn id="12" xr3:uid="{C6C84B0A-4EFA-4A24-8267-5820AE2640AB}" uniqueName="12" name="Bus. Online" queryTableFieldId="12"/>
    <tableColumn id="13" xr3:uid="{87D1E30E-562A-4FA5-BAFA-3BB3D5BF86C8}" uniqueName="13" name="Retail" queryTableFieldId="13"/>
    <tableColumn id="15" xr3:uid="{223ECC6B-F5F6-4BF8-AB04-1BDE1776E57E}" uniqueName="15" name="WOS" queryTableFieldId="15"/>
    <tableColumn id="16" xr3:uid="{BAB60CCD-5968-4B3F-BA0A-A7A358CAAB68}" uniqueName="16" name="6wk avg" queryTableFieldId="16"/>
    <tableColumn id="17" xr3:uid="{2736126F-0350-42E1-9F5F-41F809C1FAF2}" uniqueName="17" name="Retail Value" queryTableFieldId="17"/>
    <tableColumn id="18" xr3:uid="{1E6498E4-1679-4AC8-AE53-6A08A2C373CD}" uniqueName="18" name="SOH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1C7F3C-4C57-2E49-8A84-A060BD019D38}" name="Table1" displayName="Table1" ref="A1:V3637" totalsRowShown="0">
  <autoFilter ref="A1:V3637" xr:uid="{C81C7F3C-4C57-2E49-8A84-A060BD019D38}"/>
  <tableColumns count="22">
    <tableColumn id="1" xr3:uid="{662D2CEA-76E1-5048-AFDF-D3461743F582}" name="Name"/>
    <tableColumn id="2" xr3:uid="{C6B40236-79B1-6B4F-AC8C-24A1295790AA}" name="Display Name"/>
    <tableColumn id="3" xr3:uid="{5635B5A8-FE9E-8547-80D1-70A5FFF8D824}" name="Brand"/>
    <tableColumn id="4" xr3:uid="{5541F247-6A8B-5B44-80F5-72C1728EEC1C}" name="AU Status"/>
    <tableColumn id="5" xr3:uid="{51E2610C-5A4F-B647-A32A-27B1DFD7DC9B}" name="Base Price"/>
    <tableColumn id="6" xr3:uid="{025506F6-5196-D642-B44D-1F1029576F9A}" name="Inventory Location"/>
    <tableColumn id="7" xr3:uid="{3F106BF9-C6C5-A040-A61F-BFAB9FB625DC}" name="Location On Hand"/>
    <tableColumn id="8" xr3:uid="{5D7DF44E-6B84-9840-9DAA-3875C2304A95}" name="Location Committed"/>
    <tableColumn id="9" xr3:uid="{B45CB7D4-E9E9-B04A-8B1B-518621247018}" name="Location Available"/>
    <tableColumn id="10" xr3:uid="{6BE8DDAD-21D9-BA42-88C1-CC419E3A5462}" name="Location Back Ordered"/>
    <tableColumn id="11" xr3:uid="{AE1F9F74-B160-F940-A7FA-C093589F407C}" name="Location On Order"/>
    <tableColumn id="12" xr3:uid="{5C38196C-B347-FE4C-B6D1-2819C7D6E7B4}" name="Customer Name"/>
    <tableColumn id="13" xr3:uid="{64FFCE90-5D70-7645-9ECC-FDA24A040EAA}" name="Customer Code"/>
    <tableColumn id="14" xr3:uid="{5DCF137C-756C-DE41-9ED9-DDD71DB95FE7}" name="Weeks Holding"/>
    <tableColumn id="15" xr3:uid="{7B563D03-7613-334C-880B-177C448F7867}" name="% vs SOH"/>
    <tableColumn id="16" xr3:uid="{F98083AE-C3EA-E841-A7B0-2C0000F27F1E}" name="Status"/>
    <tableColumn id="17" xr3:uid="{6AA88112-1304-254F-95D2-84F9254C02A4}" name="DC"/>
    <tableColumn id="18" xr3:uid="{143CA48D-8BCB-F942-88A7-00B44228960C}" name="Bus. Online"/>
    <tableColumn id="19" xr3:uid="{E52B295C-8C11-094F-AC58-95A6B3E4BCD2}" name="Retail"/>
    <tableColumn id="20" xr3:uid="{52876BF9-7500-2D4F-B051-DB49829A8723}" name="AVG 12 wks Sales"/>
    <tableColumn id="21" xr3:uid="{9F026851-EFF6-8D4B-B9BC-262E2E43E251}" name="Retail Value"/>
    <tableColumn id="22" xr3:uid="{178E3E30-290B-4F47-BF38-EB36B6FC9359}" name="SO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A482-2331-5D49-8856-8FD7985C8BDB}">
  <dimension ref="A1:CW69"/>
  <sheetViews>
    <sheetView tabSelected="1" zoomScale="85" zoomScaleNormal="8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D5" sqref="D5"/>
    </sheetView>
  </sheetViews>
  <sheetFormatPr baseColWidth="10" defaultColWidth="11" defaultRowHeight="16" outlineLevelCol="1" x14ac:dyDescent="0.2"/>
  <cols>
    <col min="1" max="1" width="13" bestFit="1" customWidth="1"/>
    <col min="3" max="3" width="14.83203125" bestFit="1" customWidth="1"/>
    <col min="4" max="4" width="68.6640625" bestFit="1" customWidth="1"/>
    <col min="5" max="5" width="1" customWidth="1"/>
    <col min="6" max="6" width="14.33203125" customWidth="1"/>
    <col min="7" max="7" width="14.6640625" customWidth="1" outlineLevel="1"/>
    <col min="8" max="8" width="9.5" customWidth="1" outlineLevel="1"/>
    <col min="9" max="16" width="10.83203125" customWidth="1" outlineLevel="1"/>
    <col min="17" max="17" width="8.1640625" customWidth="1" outlineLevel="1"/>
    <col min="18" max="18" width="1.33203125" customWidth="1"/>
    <col min="19" max="19" width="14.33203125" customWidth="1"/>
    <col min="20" max="20" width="14.6640625" customWidth="1" outlineLevel="1"/>
    <col min="21" max="21" width="7.5" customWidth="1" outlineLevel="1"/>
    <col min="22" max="30" width="10.83203125" customWidth="1" outlineLevel="1"/>
    <col min="31" max="31" width="1.33203125" customWidth="1"/>
    <col min="32" max="32" width="14.33203125" customWidth="1"/>
    <col min="33" max="33" width="14.6640625" customWidth="1" outlineLevel="1"/>
    <col min="34" max="34" width="7.5" customWidth="1" outlineLevel="1"/>
    <col min="35" max="43" width="10.83203125" customWidth="1" outlineLevel="1"/>
    <col min="44" max="44" width="1.33203125" customWidth="1"/>
    <col min="45" max="45" width="14.33203125" customWidth="1"/>
    <col min="46" max="46" width="14.6640625" customWidth="1" outlineLevel="1"/>
    <col min="47" max="47" width="7.5" customWidth="1" outlineLevel="1"/>
    <col min="48" max="56" width="10.83203125" customWidth="1" outlineLevel="1"/>
    <col min="57" max="57" width="1.33203125" customWidth="1"/>
    <col min="58" max="58" width="14.33203125" customWidth="1"/>
    <col min="59" max="59" width="14.6640625" customWidth="1" outlineLevel="1"/>
    <col min="60" max="60" width="7.5" customWidth="1" outlineLevel="1"/>
    <col min="61" max="69" width="10.83203125" customWidth="1" outlineLevel="1"/>
    <col min="70" max="70" width="1.33203125" customWidth="1"/>
    <col min="71" max="71" width="14.33203125" customWidth="1"/>
    <col min="72" max="72" width="14.6640625" customWidth="1" outlineLevel="1"/>
    <col min="73" max="73" width="7.5" customWidth="1" outlineLevel="1"/>
    <col min="74" max="82" width="10.83203125" customWidth="1" outlineLevel="1"/>
    <col min="83" max="83" width="1.33203125" customWidth="1"/>
    <col min="84" max="84" width="14.33203125" customWidth="1"/>
    <col min="85" max="85" width="14.6640625" customWidth="1" outlineLevel="1"/>
    <col min="86" max="86" width="7.5" customWidth="1" outlineLevel="1"/>
    <col min="87" max="95" width="10.83203125" customWidth="1" outlineLevel="1"/>
    <col min="96" max="96" width="1.33203125" customWidth="1"/>
    <col min="97" max="100" width="17" customWidth="1"/>
    <col min="101" max="101" width="44" customWidth="1"/>
  </cols>
  <sheetData>
    <row r="1" spans="1:101" x14ac:dyDescent="0.2">
      <c r="A1" s="165" t="s">
        <v>0</v>
      </c>
      <c r="B1" s="166"/>
      <c r="C1" s="1"/>
      <c r="D1" s="89" t="s">
        <v>1</v>
      </c>
      <c r="E1" s="2"/>
      <c r="F1" s="88" t="s">
        <v>2</v>
      </c>
      <c r="G1" s="65">
        <v>6</v>
      </c>
      <c r="H1" s="3"/>
      <c r="J1" s="3"/>
      <c r="K1" s="3"/>
      <c r="L1" s="3"/>
      <c r="M1" s="3"/>
      <c r="N1" s="3"/>
      <c r="O1" s="3"/>
      <c r="P1" s="3"/>
      <c r="Q1" s="3"/>
      <c r="R1" s="77"/>
      <c r="S1" s="88" t="s">
        <v>2</v>
      </c>
      <c r="T1" s="65">
        <v>6</v>
      </c>
      <c r="U1" s="3"/>
      <c r="W1" s="3"/>
      <c r="X1" s="3"/>
      <c r="Y1" s="3"/>
      <c r="Z1" s="3"/>
      <c r="AA1" s="3"/>
      <c r="AB1" s="3"/>
      <c r="AC1" s="3"/>
      <c r="AD1" s="3"/>
      <c r="AE1" s="77"/>
      <c r="AF1" s="88" t="s">
        <v>2</v>
      </c>
      <c r="AG1" s="65">
        <v>6</v>
      </c>
      <c r="AH1" s="3"/>
      <c r="AJ1" s="3"/>
      <c r="AK1" s="3"/>
      <c r="AL1" s="3"/>
      <c r="AM1" s="3"/>
      <c r="AN1" s="3"/>
      <c r="AO1" s="3"/>
      <c r="AP1" s="3"/>
      <c r="AQ1" s="3"/>
      <c r="AR1" s="77"/>
      <c r="AS1" s="88" t="s">
        <v>2</v>
      </c>
      <c r="AT1" s="65">
        <v>6</v>
      </c>
      <c r="AU1" s="3"/>
      <c r="AW1" s="3"/>
      <c r="AX1" s="3"/>
      <c r="AY1" s="3"/>
      <c r="AZ1" s="3"/>
      <c r="BA1" s="3"/>
      <c r="BB1" s="3"/>
      <c r="BC1" s="3"/>
      <c r="BD1" s="3"/>
      <c r="BE1" s="77"/>
      <c r="BF1" s="88" t="s">
        <v>2</v>
      </c>
      <c r="BG1" s="65">
        <v>6</v>
      </c>
      <c r="BH1" s="3"/>
      <c r="BJ1" s="3"/>
      <c r="BK1" s="3"/>
      <c r="BL1" s="3"/>
      <c r="BM1" s="3"/>
      <c r="BN1" s="3"/>
      <c r="BO1" s="3"/>
      <c r="BP1" s="3"/>
      <c r="BQ1" s="3"/>
      <c r="BR1" s="77"/>
      <c r="BS1" s="88" t="s">
        <v>2</v>
      </c>
      <c r="BT1" s="65">
        <v>6</v>
      </c>
      <c r="BU1" s="3"/>
      <c r="BW1" s="3"/>
      <c r="BX1" s="3"/>
      <c r="BY1" s="3"/>
      <c r="BZ1" s="3"/>
      <c r="CA1" s="3"/>
      <c r="CB1" s="3"/>
      <c r="CC1" s="3"/>
      <c r="CD1" s="3"/>
      <c r="CE1" s="77"/>
      <c r="CF1" s="88" t="s">
        <v>2</v>
      </c>
      <c r="CG1" s="65">
        <v>6</v>
      </c>
      <c r="CH1" s="3"/>
      <c r="CJ1" s="3"/>
      <c r="CK1" s="3"/>
      <c r="CL1" s="3"/>
      <c r="CM1" s="3"/>
      <c r="CN1" s="3"/>
      <c r="CO1" s="3"/>
      <c r="CP1" s="3"/>
      <c r="CQ1" s="3"/>
      <c r="CR1" s="77"/>
    </row>
    <row r="2" spans="1:101" ht="25" customHeight="1" x14ac:dyDescent="0.2">
      <c r="A2" s="167" t="s">
        <v>3</v>
      </c>
      <c r="B2" s="168"/>
      <c r="C2" s="1"/>
      <c r="D2" s="1"/>
      <c r="E2" s="2"/>
      <c r="F2" s="87">
        <f>_xlfn.XLOOKUP(F$3,'Data Validation'!$A:$A,'Data Validation'!$B:$B)</f>
        <v>0.13500000000000001</v>
      </c>
      <c r="G2" s="6"/>
      <c r="H2" s="6"/>
      <c r="I2" s="3"/>
      <c r="J2" s="3"/>
      <c r="K2" s="3"/>
      <c r="L2" s="3"/>
      <c r="M2" s="3"/>
      <c r="N2" s="123" t="s">
        <v>4</v>
      </c>
      <c r="O2" s="124">
        <v>0.2</v>
      </c>
      <c r="P2" s="3"/>
      <c r="Q2" s="3"/>
      <c r="R2" s="77"/>
      <c r="S2" s="87">
        <f>_xlfn.XLOOKUP(S$3,'Data Validation'!$A:$A,'Data Validation'!$B:$B)</f>
        <v>0.19</v>
      </c>
      <c r="T2" s="6"/>
      <c r="U2" s="6"/>
      <c r="V2" s="3"/>
      <c r="W2" s="3"/>
      <c r="X2" s="3"/>
      <c r="Y2" s="3"/>
      <c r="Z2" s="3"/>
      <c r="AA2" s="123" t="s">
        <v>4</v>
      </c>
      <c r="AB2" s="124">
        <v>0.2</v>
      </c>
      <c r="AC2" s="3"/>
      <c r="AD2" s="3"/>
      <c r="AE2" s="77"/>
      <c r="AF2" s="87">
        <f>_xlfn.XLOOKUP(AF$3,'Data Validation'!$A:$A,'Data Validation'!$B:$B)</f>
        <v>0.125</v>
      </c>
      <c r="AG2" s="6"/>
      <c r="AH2" s="6"/>
      <c r="AI2" s="3"/>
      <c r="AJ2" s="3"/>
      <c r="AK2" s="3"/>
      <c r="AL2" s="3"/>
      <c r="AM2" s="3"/>
      <c r="AN2" s="123" t="s">
        <v>4</v>
      </c>
      <c r="AO2" s="124">
        <v>0.2</v>
      </c>
      <c r="AP2" s="3"/>
      <c r="AQ2" s="3"/>
      <c r="AR2" s="77"/>
      <c r="AS2" s="87">
        <f>_xlfn.XLOOKUP(AS$3,'Data Validation'!$A:$A,'Data Validation'!$B:$B)</f>
        <v>0.15</v>
      </c>
      <c r="AT2" s="6"/>
      <c r="AU2" s="6"/>
      <c r="AV2" s="3"/>
      <c r="AW2" s="3"/>
      <c r="AX2" s="3"/>
      <c r="AY2" s="3"/>
      <c r="AZ2" s="3"/>
      <c r="BA2" s="123" t="s">
        <v>4</v>
      </c>
      <c r="BB2" s="124">
        <v>0.2</v>
      </c>
      <c r="BC2" s="3"/>
      <c r="BD2" s="3"/>
      <c r="BE2" s="77"/>
      <c r="BF2" s="87">
        <f>_xlfn.XLOOKUP(BF$3,'Data Validation'!$A:$A,'Data Validation'!$B:$B)</f>
        <v>0.2</v>
      </c>
      <c r="BG2" s="6"/>
      <c r="BH2" s="6"/>
      <c r="BI2" s="3"/>
      <c r="BJ2" s="3"/>
      <c r="BK2" s="3"/>
      <c r="BL2" s="3"/>
      <c r="BM2" s="3"/>
      <c r="BN2" s="123" t="s">
        <v>4</v>
      </c>
      <c r="BO2" s="124">
        <v>0.2</v>
      </c>
      <c r="BP2" s="3"/>
      <c r="BQ2" s="3"/>
      <c r="BR2" s="77"/>
      <c r="BS2" s="87">
        <f>_xlfn.XLOOKUP(BS$3,'Data Validation'!$A:$A,'Data Validation'!$B:$B)</f>
        <v>0.17</v>
      </c>
      <c r="BT2" s="6"/>
      <c r="BU2" s="6"/>
      <c r="BV2" s="3"/>
      <c r="BW2" s="3"/>
      <c r="BX2" s="3"/>
      <c r="BY2" s="3"/>
      <c r="BZ2" s="3"/>
      <c r="CA2" s="123" t="s">
        <v>4</v>
      </c>
      <c r="CB2" s="124">
        <v>0.2</v>
      </c>
      <c r="CC2" s="3"/>
      <c r="CD2" s="3"/>
      <c r="CE2" s="77"/>
      <c r="CF2" s="87">
        <f>_xlfn.XLOOKUP(CF$3,'Data Validation'!$A:$A,'Data Validation'!$B:$B)</f>
        <v>0.17</v>
      </c>
      <c r="CG2" s="6"/>
      <c r="CH2" s="6"/>
      <c r="CI2" s="3"/>
      <c r="CJ2" s="3"/>
      <c r="CK2" s="3"/>
      <c r="CL2" s="3"/>
      <c r="CM2" s="3"/>
      <c r="CN2" s="123" t="s">
        <v>4</v>
      </c>
      <c r="CO2" s="124">
        <v>0.2</v>
      </c>
      <c r="CP2" s="3"/>
      <c r="CQ2" s="3"/>
      <c r="CR2" s="77"/>
    </row>
    <row r="3" spans="1:101" ht="20" x14ac:dyDescent="0.2">
      <c r="A3" s="127" t="s">
        <v>5</v>
      </c>
      <c r="B3" s="128">
        <f>(B5-A5+1)/7</f>
        <v>2</v>
      </c>
      <c r="C3" s="169" t="s">
        <v>6</v>
      </c>
      <c r="D3" s="171" t="s">
        <v>7</v>
      </c>
      <c r="E3" s="63"/>
      <c r="F3" s="125" t="s">
        <v>8</v>
      </c>
      <c r="G3" s="71" t="s">
        <v>9</v>
      </c>
      <c r="H3" s="72"/>
      <c r="I3" s="73"/>
      <c r="J3" s="130" t="str">
        <f>F3</f>
        <v>AU - Officeworks</v>
      </c>
      <c r="K3" s="130"/>
      <c r="L3" s="130"/>
      <c r="M3" s="130"/>
      <c r="N3" s="130"/>
      <c r="O3" s="73"/>
      <c r="P3" s="73"/>
      <c r="Q3" s="73"/>
      <c r="R3" s="78"/>
      <c r="S3" s="125" t="s">
        <v>10</v>
      </c>
      <c r="T3" s="71" t="s">
        <v>9</v>
      </c>
      <c r="U3" s="72"/>
      <c r="V3" s="73"/>
      <c r="W3" s="130" t="str">
        <f>S3</f>
        <v>JB HIFI</v>
      </c>
      <c r="X3" s="130"/>
      <c r="Y3" s="130"/>
      <c r="Z3" s="130"/>
      <c r="AA3" s="130"/>
      <c r="AB3" s="73"/>
      <c r="AC3" s="73"/>
      <c r="AD3" s="73"/>
      <c r="AE3" s="78"/>
      <c r="AF3" s="125" t="s">
        <v>11</v>
      </c>
      <c r="AG3" s="71" t="s">
        <v>9</v>
      </c>
      <c r="AH3" s="72"/>
      <c r="AI3" s="73"/>
      <c r="AJ3" s="130" t="str">
        <f>AF3</f>
        <v>AU - Amazon</v>
      </c>
      <c r="AK3" s="130"/>
      <c r="AL3" s="130"/>
      <c r="AM3" s="130"/>
      <c r="AN3" s="130"/>
      <c r="AO3" s="73"/>
      <c r="AP3" s="73"/>
      <c r="AQ3" s="73"/>
      <c r="AR3" s="78"/>
      <c r="AS3" s="125" t="s">
        <v>12</v>
      </c>
      <c r="AT3" s="71" t="s">
        <v>9</v>
      </c>
      <c r="AU3" s="72"/>
      <c r="AV3" s="73"/>
      <c r="AW3" s="130" t="str">
        <f>AS3</f>
        <v>AU - The Good Guys</v>
      </c>
      <c r="AX3" s="130"/>
      <c r="AY3" s="130"/>
      <c r="AZ3" s="130"/>
      <c r="BA3" s="130"/>
      <c r="BB3" s="73"/>
      <c r="BC3" s="73"/>
      <c r="BD3" s="73"/>
      <c r="BE3" s="78"/>
      <c r="BF3" s="125" t="s">
        <v>13</v>
      </c>
      <c r="BG3" s="71" t="s">
        <v>9</v>
      </c>
      <c r="BH3" s="72"/>
      <c r="BI3" s="73"/>
      <c r="BJ3" s="130" t="str">
        <f>BF3</f>
        <v>Bing Lee</v>
      </c>
      <c r="BK3" s="130"/>
      <c r="BL3" s="130"/>
      <c r="BM3" s="130"/>
      <c r="BN3" s="130"/>
      <c r="BO3" s="73"/>
      <c r="BP3" s="73"/>
      <c r="BQ3" s="73"/>
      <c r="BR3" s="78"/>
      <c r="BS3" s="125" t="s">
        <v>14</v>
      </c>
      <c r="BT3" s="71" t="s">
        <v>9</v>
      </c>
      <c r="BU3" s="72"/>
      <c r="BV3" s="73"/>
      <c r="BW3" s="130" t="str">
        <f>BS3</f>
        <v>Harvey Norman</v>
      </c>
      <c r="BX3" s="130"/>
      <c r="BY3" s="130"/>
      <c r="BZ3" s="130"/>
      <c r="CA3" s="130"/>
      <c r="CB3" s="73"/>
      <c r="CC3" s="73"/>
      <c r="CD3" s="73"/>
      <c r="CE3" s="78"/>
      <c r="CF3" s="125" t="s">
        <v>14</v>
      </c>
      <c r="CG3" s="71" t="s">
        <v>9</v>
      </c>
      <c r="CH3" s="72"/>
      <c r="CI3" s="73"/>
      <c r="CJ3" s="130" t="str">
        <f>CF3</f>
        <v>Harvey Norman</v>
      </c>
      <c r="CK3" s="130"/>
      <c r="CL3" s="130"/>
      <c r="CM3" s="130"/>
      <c r="CN3" s="130"/>
      <c r="CO3" s="73"/>
      <c r="CP3" s="73"/>
      <c r="CQ3" s="73"/>
      <c r="CR3" s="78"/>
      <c r="CU3" s="97"/>
    </row>
    <row r="4" spans="1:101" ht="56" x14ac:dyDescent="0.2">
      <c r="A4" s="7" t="s">
        <v>15</v>
      </c>
      <c r="B4" s="7" t="s">
        <v>16</v>
      </c>
      <c r="C4" s="170"/>
      <c r="D4" s="160"/>
      <c r="E4" s="8"/>
      <c r="F4" s="103" t="s">
        <v>17</v>
      </c>
      <c r="G4" s="64" t="s">
        <v>18</v>
      </c>
      <c r="H4" s="10" t="s">
        <v>19</v>
      </c>
      <c r="I4" s="9" t="s">
        <v>20</v>
      </c>
      <c r="J4" s="10" t="s">
        <v>21</v>
      </c>
      <c r="K4" s="11" t="s">
        <v>22</v>
      </c>
      <c r="L4" s="11" t="s">
        <v>23</v>
      </c>
      <c r="M4" s="11" t="s">
        <v>24</v>
      </c>
      <c r="N4" s="11" t="s">
        <v>25</v>
      </c>
      <c r="O4" s="10" t="s">
        <v>26</v>
      </c>
      <c r="P4" s="10" t="s">
        <v>27</v>
      </c>
      <c r="Q4" s="69" t="s">
        <v>28</v>
      </c>
      <c r="R4" s="79"/>
      <c r="S4" s="103" t="s">
        <v>17</v>
      </c>
      <c r="T4" s="64" t="s">
        <v>18</v>
      </c>
      <c r="U4" s="10" t="s">
        <v>19</v>
      </c>
      <c r="V4" s="9" t="s">
        <v>20</v>
      </c>
      <c r="W4" s="10" t="s">
        <v>21</v>
      </c>
      <c r="X4" s="11" t="s">
        <v>22</v>
      </c>
      <c r="Y4" s="11" t="s">
        <v>23</v>
      </c>
      <c r="Z4" s="11" t="s">
        <v>24</v>
      </c>
      <c r="AA4" s="11" t="s">
        <v>25</v>
      </c>
      <c r="AB4" s="10" t="s">
        <v>26</v>
      </c>
      <c r="AC4" s="10" t="s">
        <v>27</v>
      </c>
      <c r="AD4" s="69" t="s">
        <v>28</v>
      </c>
      <c r="AE4" s="79"/>
      <c r="AF4" s="103" t="s">
        <v>17</v>
      </c>
      <c r="AG4" s="64" t="s">
        <v>18</v>
      </c>
      <c r="AH4" s="10" t="s">
        <v>19</v>
      </c>
      <c r="AI4" s="9" t="s">
        <v>20</v>
      </c>
      <c r="AJ4" s="10" t="s">
        <v>21</v>
      </c>
      <c r="AK4" s="11" t="s">
        <v>22</v>
      </c>
      <c r="AL4" s="11" t="s">
        <v>23</v>
      </c>
      <c r="AM4" s="11" t="s">
        <v>24</v>
      </c>
      <c r="AN4" s="11" t="s">
        <v>25</v>
      </c>
      <c r="AO4" s="10" t="s">
        <v>26</v>
      </c>
      <c r="AP4" s="10" t="s">
        <v>27</v>
      </c>
      <c r="AQ4" s="69" t="s">
        <v>28</v>
      </c>
      <c r="AR4" s="79"/>
      <c r="AS4" s="103" t="s">
        <v>17</v>
      </c>
      <c r="AT4" s="64" t="s">
        <v>18</v>
      </c>
      <c r="AU4" s="10" t="s">
        <v>19</v>
      </c>
      <c r="AV4" s="9" t="s">
        <v>20</v>
      </c>
      <c r="AW4" s="10" t="s">
        <v>21</v>
      </c>
      <c r="AX4" s="11" t="s">
        <v>22</v>
      </c>
      <c r="AY4" s="11" t="s">
        <v>23</v>
      </c>
      <c r="AZ4" s="11" t="s">
        <v>24</v>
      </c>
      <c r="BA4" s="11" t="s">
        <v>25</v>
      </c>
      <c r="BB4" s="10" t="s">
        <v>26</v>
      </c>
      <c r="BC4" s="10" t="s">
        <v>27</v>
      </c>
      <c r="BD4" s="69" t="s">
        <v>28</v>
      </c>
      <c r="BE4" s="79"/>
      <c r="BF4" s="103" t="s">
        <v>17</v>
      </c>
      <c r="BG4" s="64" t="s">
        <v>18</v>
      </c>
      <c r="BH4" s="10" t="s">
        <v>19</v>
      </c>
      <c r="BI4" s="9" t="s">
        <v>20</v>
      </c>
      <c r="BJ4" s="10" t="s">
        <v>21</v>
      </c>
      <c r="BK4" s="11" t="s">
        <v>22</v>
      </c>
      <c r="BL4" s="11" t="s">
        <v>23</v>
      </c>
      <c r="BM4" s="11" t="s">
        <v>24</v>
      </c>
      <c r="BN4" s="11" t="s">
        <v>25</v>
      </c>
      <c r="BO4" s="10" t="s">
        <v>26</v>
      </c>
      <c r="BP4" s="10" t="s">
        <v>27</v>
      </c>
      <c r="BQ4" s="69" t="s">
        <v>28</v>
      </c>
      <c r="BR4" s="79"/>
      <c r="BS4" s="103" t="s">
        <v>17</v>
      </c>
      <c r="BT4" s="64" t="s">
        <v>18</v>
      </c>
      <c r="BU4" s="10" t="s">
        <v>19</v>
      </c>
      <c r="BV4" s="9" t="s">
        <v>20</v>
      </c>
      <c r="BW4" s="10" t="s">
        <v>21</v>
      </c>
      <c r="BX4" s="11" t="s">
        <v>22</v>
      </c>
      <c r="BY4" s="11" t="s">
        <v>23</v>
      </c>
      <c r="BZ4" s="11" t="s">
        <v>24</v>
      </c>
      <c r="CA4" s="11" t="s">
        <v>25</v>
      </c>
      <c r="CB4" s="10" t="s">
        <v>26</v>
      </c>
      <c r="CC4" s="10" t="s">
        <v>27</v>
      </c>
      <c r="CD4" s="69" t="s">
        <v>28</v>
      </c>
      <c r="CE4" s="79"/>
      <c r="CF4" s="103" t="s">
        <v>17</v>
      </c>
      <c r="CG4" s="64" t="s">
        <v>18</v>
      </c>
      <c r="CH4" s="10" t="s">
        <v>19</v>
      </c>
      <c r="CI4" s="9" t="s">
        <v>20</v>
      </c>
      <c r="CJ4" s="10" t="s">
        <v>21</v>
      </c>
      <c r="CK4" s="11" t="s">
        <v>22</v>
      </c>
      <c r="CL4" s="11" t="s">
        <v>23</v>
      </c>
      <c r="CM4" s="11" t="s">
        <v>24</v>
      </c>
      <c r="CN4" s="11" t="s">
        <v>25</v>
      </c>
      <c r="CO4" s="10" t="s">
        <v>26</v>
      </c>
      <c r="CP4" s="10" t="s">
        <v>27</v>
      </c>
      <c r="CQ4" s="69" t="s">
        <v>28</v>
      </c>
      <c r="CR4" s="79"/>
      <c r="CS4" s="100" t="s">
        <v>29</v>
      </c>
      <c r="CT4" s="100" t="s">
        <v>30</v>
      </c>
      <c r="CU4" s="100" t="s">
        <v>31</v>
      </c>
      <c r="CV4" s="100" t="s">
        <v>32</v>
      </c>
      <c r="CW4" s="100" t="s">
        <v>33</v>
      </c>
    </row>
    <row r="5" spans="1:101" x14ac:dyDescent="0.2">
      <c r="A5" s="12">
        <v>45809</v>
      </c>
      <c r="B5" s="12">
        <v>45822</v>
      </c>
      <c r="C5" s="129" t="s">
        <v>8710</v>
      </c>
      <c r="D5" s="14" t="str">
        <f>IF(C5="", "",_xlfn.XLOOKUP(C5,'Master Price Level'!C:C,'Master Price Level'!D:D))</f>
        <v>ANKER 100W Charging Base for ANKER Prime Power Bank</v>
      </c>
      <c r="E5" s="15"/>
      <c r="F5" s="108" t="str" cm="1">
        <f t="array" ref="F5">IFERROR(_xlfn._xlws.FILTER(ST[Customer Code],(ST[Code]=$C5) * (ST[Customer Name]=F$3),"" ),"")</f>
        <v/>
      </c>
      <c r="G5" s="68" cm="1">
        <f t="array" ref="G5">IFERROR(_xlfn.XLOOKUP($C5,Query[Code], _xlfn.XLOOKUP('Promo Form'!F$3,Query[[#Headers],[Code]:[Bing Lee]],Query[[Code]:[Bing Lee]])),"")</f>
        <v>84.98</v>
      </c>
      <c r="H5" s="16">
        <f t="shared" ref="H5:H11" si="0">IFERROR(((G5*(1-F$2))*$CU5)*F$61,"")</f>
        <v>4.8956128200000011</v>
      </c>
      <c r="I5" s="16">
        <f t="shared" ref="I5:I11" si="1">IFERROR(((G5*(1-F$2))*$CU5)*F$60,"")</f>
        <v>4.8956128200000011</v>
      </c>
      <c r="J5" s="17">
        <f>IFERROR(IF(H5+I5=0,"",H5+I5),"")</f>
        <v>9.7912256400000022</v>
      </c>
      <c r="K5" s="18">
        <f t="shared" ref="K5:K11" si="2">IFERROR((($CS5/1.1)-(G5-(G5*F$2)))/($CS5/1.1),"")</f>
        <v>0.52422200647249184</v>
      </c>
      <c r="L5" s="18">
        <f t="shared" ref="L5:L11" si="3">IFERROR((($CT5/1.1)+(H5+I5)-(G5-(G5*F$2)))/($CT5/1.1),"")</f>
        <v>0.48449454401294478</v>
      </c>
      <c r="M5" s="109" t="str" cm="1">
        <f t="array" ref="M5">IFERROR(_xlfn._xlws.FILTER(ST[SOH],(ST[Code]=$C5) * (ST[Customer Name]=F$3),"" ),"")</f>
        <v/>
      </c>
      <c r="N5" s="109" t="str" cm="1">
        <f t="array" ref="N5">IFERROR(
    _xlfn.LET(
        _xlpm.result, INDEX(_xlfn._xlws.FILTER(ST[6wk avg], (ST[Code]=$C5)*(ST[Customer Name]=F$3), ""), 1),
        IF(_xlpm.result=0, "", _xlpm.result)
    ),
"")</f>
        <v/>
      </c>
      <c r="O5" s="102" t="str">
        <f>IFERROR(IF(CEILING(N5 + (N5 * $O$2), 1) = 0, "", CEILING(N5 + (N5 * $O$2), 1))*$B$3, "")</f>
        <v/>
      </c>
      <c r="P5" s="70" t="str">
        <f t="shared" ref="P5:P11" si="4">IFERROR((O5*H5),"")</f>
        <v/>
      </c>
      <c r="Q5" s="83" t="str">
        <f t="shared" ref="Q5:Q11" si="5">IFERROR((O5*I5),"")</f>
        <v/>
      </c>
      <c r="R5" s="80"/>
      <c r="S5" s="108" t="str" cm="1">
        <f t="array" ref="S5">IFERROR(_xlfn._xlws.FILTER(ST[Customer Code],(ST[Code]=$C5) * (ST[Customer Name]=S$3),"" ),"")</f>
        <v/>
      </c>
      <c r="T5" s="68" cm="1">
        <f t="array" ref="T5">IFERROR(_xlfn.XLOOKUP($C5,Query[Code], _xlfn.XLOOKUP('Promo Form'!S$3,Query[[#Headers],[Code]:[Bing Lee]],Query[[Code]:[Bing Lee]])),"")</f>
        <v>0</v>
      </c>
      <c r="U5" s="16">
        <f t="shared" ref="U5:U11" si="6">IFERROR(((T5*(1-S$2))*$CU5)*S$61,"")</f>
        <v>0</v>
      </c>
      <c r="V5" s="16">
        <f t="shared" ref="V5:V11" si="7">IFERROR(((T5*(1-S$2))*$CU5)*S$60,"")</f>
        <v>0</v>
      </c>
      <c r="W5" s="17" t="str">
        <f>IFERROR(IF(U5+V5=0,"",U5+V5),"")</f>
        <v/>
      </c>
      <c r="X5" s="18">
        <f t="shared" ref="X5:X11" si="8">IFERROR((($CS5/1.1)-(T5-(T5*S$2)))/($CS5/1.1),"")</f>
        <v>1</v>
      </c>
      <c r="Y5" s="18">
        <f t="shared" ref="Y5:Y11" si="9">IFERROR((($CT5/1.1)+(U5+V5)-(T5-(T5*S$2)))/($CT5/1.1),"")</f>
        <v>1</v>
      </c>
      <c r="Z5" s="109" t="str" cm="1">
        <f t="array" ref="Z5">IFERROR(_xlfn._xlws.FILTER(ST[SOH],(ST[Code]=$C5) * (ST[Customer Name]=S$3),"" ),"")</f>
        <v/>
      </c>
      <c r="AA5" s="109" t="str" cm="1">
        <f t="array" ref="AA5">IFERROR(
    _xlfn.LET(
        _xlpm.result, INDEX(_xlfn._xlws.FILTER(ST[6wk avg], (ST[Code]=$C5)*(ST[Customer Name]=S$3), ""), 1),
        IF(_xlpm.result=0, "", _xlpm.result)
    ),
"")</f>
        <v/>
      </c>
      <c r="AB5" s="102" t="str">
        <f>IFERROR(IF(CEILING(AA5 + (AA5 * $AB$2), 1) = 0, "", CEILING(AA5 + (AA5 * $AB$2), 1))*$B$3, "")</f>
        <v/>
      </c>
      <c r="AC5" s="70" t="str">
        <f t="shared" ref="AC5:AC11" si="10">IFERROR((AB5*U5),"")</f>
        <v/>
      </c>
      <c r="AD5" s="83" t="str">
        <f t="shared" ref="AD5:AD11" si="11">IFERROR((AB5*V5),"")</f>
        <v/>
      </c>
      <c r="AE5" s="80"/>
      <c r="AF5" s="108" t="str" cm="1">
        <f t="array" ref="AF5">IFERROR(_xlfn._xlws.FILTER(ST[Customer Code],(ST[Code]=$C5) * (ST[Customer Name]=AF$3),"" ),"")</f>
        <v/>
      </c>
      <c r="AG5" s="68" cm="1">
        <f t="array" ref="AG5">IFERROR(_xlfn.XLOOKUP($C5,Query[Code], _xlfn.XLOOKUP('Promo Form'!AF$3,Query[[#Headers],[Code]:[Bing Lee]],Query[[Code]:[Bing Lee]])),"")</f>
        <v>0</v>
      </c>
      <c r="AH5" s="16">
        <f t="shared" ref="AH5:AH11" si="12">IFERROR(((AG5*(1-AF$2))*$CU5)*AF$61,"")</f>
        <v>0</v>
      </c>
      <c r="AI5" s="16">
        <f t="shared" ref="AI5:AI11" si="13">IFERROR(((AG5*(1-AF$2))*$CU5)*AF$60,"")</f>
        <v>0</v>
      </c>
      <c r="AJ5" s="17" t="str">
        <f>IFERROR(IF(AH5+AI5=0,"",AH5+AI5),"")</f>
        <v/>
      </c>
      <c r="AK5" s="18">
        <f t="shared" ref="AK5:AK11" si="14">IFERROR((($CS5/1.1)-(AG5-(AG5*AF$2)))/($CS5/1.1),"")</f>
        <v>1</v>
      </c>
      <c r="AL5" s="18">
        <f t="shared" ref="AL5:AL11" si="15">IFERROR((($CT5/1.1)+(AH5+AI5)-(AG5-(AG5*AF$2)))/($CT5/1.1),"")</f>
        <v>1</v>
      </c>
      <c r="AM5" s="109" t="str" cm="1">
        <f t="array" ref="AM5">IFERROR(_xlfn._xlws.FILTER(ST[SOH],(ST[Code]=$C5) * (ST[Customer Name]=AF$3),"" ),"")</f>
        <v/>
      </c>
      <c r="AN5" s="109" t="str" cm="1">
        <f t="array" ref="AN5">IFERROR(
    _xlfn.LET(
        _xlpm.result, INDEX(_xlfn._xlws.FILTER(ST[6wk avg], (ST[Code]=$C5)*(ST[Customer Name]=AF$3), ""), 1),
        IF(_xlpm.result=0, "", _xlpm.result)
    ),
"")</f>
        <v/>
      </c>
      <c r="AO5" s="102" t="str">
        <f>IFERROR(IF(CEILING(AN5 + (AN5 * $AO$2), 1) = 0, "", CEILING(AN5 + (AN5 * $AO$2), 1))*$B$3, "")</f>
        <v/>
      </c>
      <c r="AP5" s="70" t="str">
        <f t="shared" ref="AP5:AP11" si="16">IFERROR((AO5*AH5),"")</f>
        <v/>
      </c>
      <c r="AQ5" s="83" t="str">
        <f t="shared" ref="AQ5:AQ11" si="17">IFERROR((AO5*AI5),"")</f>
        <v/>
      </c>
      <c r="AR5" s="80"/>
      <c r="AS5" s="108" t="str" cm="1">
        <f t="array" ref="AS5">IFERROR(_xlfn._xlws.FILTER(ST[Customer Code],(ST[Code]=$C5) * (ST[Customer Name]=AS$3),"" ),"")</f>
        <v/>
      </c>
      <c r="AT5" s="68" cm="1">
        <f t="array" ref="AT5">IFERROR(_xlfn.XLOOKUP($C5,Query[Code], _xlfn.XLOOKUP('Promo Form'!AS$3,Query[[#Headers],[Code]:[Bing Lee]],Query[[Code]:[Bing Lee]])),"")</f>
        <v>0</v>
      </c>
      <c r="AU5" s="16">
        <f t="shared" ref="AU5:AU11" si="18">IFERROR(((AT5*(1-AS$2))*$CU5)*AS$61,"")</f>
        <v>0</v>
      </c>
      <c r="AV5" s="16">
        <f t="shared" ref="AV5:AV11" si="19">IFERROR(((AT5*(1-AS$2))*$CU5)*AS$60,"")</f>
        <v>0</v>
      </c>
      <c r="AW5" s="17" t="str">
        <f>IFERROR(IF(AU5+AV5=0,"",AU5+AV5),"")</f>
        <v/>
      </c>
      <c r="AX5" s="18">
        <f t="shared" ref="AX5:AX11" si="20">IFERROR((($CS5/1.1)-(AT5-(AT5*AS$2)))/($CS5/1.1),"")</f>
        <v>1</v>
      </c>
      <c r="AY5" s="18">
        <f t="shared" ref="AY5:AY11" si="21">IFERROR((($CT5/1.1)+(AU5+AV5)-(AT5-(AT5*AS$2)))/($CT5/1.1),"")</f>
        <v>1</v>
      </c>
      <c r="AZ5" s="109" t="str" cm="1">
        <f t="array" ref="AZ5">IFERROR(_xlfn._xlws.FILTER(ST[SOH],(ST[Code]=$C5) * (ST[Customer Name]=AS$3),"" ),"")</f>
        <v/>
      </c>
      <c r="BA5" s="109" t="str" cm="1">
        <f t="array" ref="BA5">IFERROR(
    _xlfn.LET(
        _xlpm.result, INDEX(_xlfn._xlws.FILTER(ST[6wk avg], (ST[Code]=$C5)*(ST[Customer Name]=AS$3), ""), 1),
        IF(_xlpm.result=0, "", _xlpm.result)
    ),
"")</f>
        <v/>
      </c>
      <c r="BB5" s="102" t="str">
        <f>IFERROR(IF(CEILING(BA5 + (BA5 * $BB$2), 1) = 0, "", CEILING(BA5 + (BA5 * $BB$2), 1))*$B$3, "")</f>
        <v/>
      </c>
      <c r="BC5" s="70" t="str">
        <f t="shared" ref="BC5:BC11" si="22">IFERROR((BB5*AU5),"")</f>
        <v/>
      </c>
      <c r="BD5" s="83" t="str">
        <f t="shared" ref="BD5:BD11" si="23">IFERROR((BB5*AV5),"")</f>
        <v/>
      </c>
      <c r="BE5" s="80"/>
      <c r="BF5" s="108" t="str" cm="1">
        <f t="array" ref="BF5">IFERROR(_xlfn._xlws.FILTER(ST[Customer Code],(ST[Code]=$C5) * (ST[Customer Name]=BF$3),"" ),"")</f>
        <v/>
      </c>
      <c r="BG5" s="68" cm="1">
        <f t="array" ref="BG5">IFERROR(_xlfn.XLOOKUP($C5,Query[Code], _xlfn.XLOOKUP('Promo Form'!BF$3,Query[[#Headers],[Code]:[Bing Lee]],Query[[Code]:[Bing Lee]])),"")</f>
        <v>0</v>
      </c>
      <c r="BH5" s="16">
        <f t="shared" ref="BH5:BH11" si="24">IFERROR(((BG5*(1-BF$2))*$CU5)*BF$61,"")</f>
        <v>0</v>
      </c>
      <c r="BI5" s="16">
        <f t="shared" ref="BI5:BI11" si="25">IFERROR(((BG5*(1-BF$2))*$CU5)*BF$60,"")</f>
        <v>0</v>
      </c>
      <c r="BJ5" s="17" t="str">
        <f>IFERROR(IF(BH5+BI5=0,"",BH5+BI5),"")</f>
        <v/>
      </c>
      <c r="BK5" s="18">
        <f t="shared" ref="BK5:BK11" si="26">IFERROR((($CS5/1.1)-(BG5-(BG5*BF$2)))/($CS5/1.1),"")</f>
        <v>1</v>
      </c>
      <c r="BL5" s="18">
        <f t="shared" ref="BL5:BL11" si="27">IFERROR((($CT5/1.1)+(BH5+BI5)-(BG5-(BG5*BF$2)))/($CT5/1.1),"")</f>
        <v>1</v>
      </c>
      <c r="BM5" s="109" t="str" cm="1">
        <f t="array" ref="BM5">IFERROR(_xlfn._xlws.FILTER(ST[SOH],(ST[Code]=$C5) * (ST[Customer Name]=BF$3),"" ),"")</f>
        <v/>
      </c>
      <c r="BN5" s="109" t="str" cm="1">
        <f t="array" ref="BN5">IFERROR(
    _xlfn.LET(
        _xlpm.result, INDEX(_xlfn._xlws.FILTER(ST[6wk avg], (ST[Code]=$C5)*(ST[Customer Name]=BF$3), ""), 1),
        IF(_xlpm.result=0, "", _xlpm.result)
    ),
"")</f>
        <v/>
      </c>
      <c r="BO5" s="102" t="str">
        <f>IFERROR(IF(CEILING(BN5 + (BN5 * $BO$2), 1) = 0, "", CEILING(BN5 + (BN5 * $BO$2), 1))*$B$3, "")</f>
        <v/>
      </c>
      <c r="BP5" s="70" t="str">
        <f t="shared" ref="BP5:BP11" si="28">IFERROR((BO5*BH5),"")</f>
        <v/>
      </c>
      <c r="BQ5" s="83" t="str">
        <f t="shared" ref="BQ5:BQ11" si="29">IFERROR((BO5*BI5),"")</f>
        <v/>
      </c>
      <c r="BR5" s="80"/>
      <c r="BS5" s="108" t="str" cm="1">
        <f t="array" ref="BS5">IFERROR(_xlfn._xlws.FILTER(ST[Customer Code],(ST[Code]=$C5) * (ST[Customer Name]=BS$3),"" ),"")</f>
        <v/>
      </c>
      <c r="BT5" s="68" cm="1">
        <f t="array" ref="BT5">IFERROR(_xlfn.XLOOKUP($C5,Query[Code], _xlfn.XLOOKUP('Promo Form'!BS$3,Query[[#Headers],[Code]:[Bing Lee]],Query[[Code]:[Bing Lee]])),"")</f>
        <v>92.7</v>
      </c>
      <c r="BU5" s="16">
        <f t="shared" ref="BU5:BU11" si="30">IFERROR(((BT5*(1-BS$2))*$CU5)*BS$61,"")</f>
        <v>5.1242706000000009</v>
      </c>
      <c r="BV5" s="16">
        <f t="shared" ref="BV5:BV11" si="31">IFERROR(((BT5*(1-BS$2))*$CU5)*BS$60,"")</f>
        <v>5.1242706000000009</v>
      </c>
      <c r="BW5" s="17">
        <f>IFERROR(IF(BU5+BV5=0,"",BU5+BV5),"")</f>
        <v>10.248541200000002</v>
      </c>
      <c r="BX5" s="18">
        <f t="shared" ref="BX5:BX11" si="32">IFERROR((($CS5/1.1)-(BT5-(BT5*BS$2)))/($CS5/1.1),"")</f>
        <v>0.50199999999999989</v>
      </c>
      <c r="BY5" s="18">
        <f t="shared" ref="BY5:BY11" si="33">IFERROR((($CT5/1.1)+(BU5+BV5)-(BT5-(BT5*BS$2)))/($CT5/1.1),"")</f>
        <v>0.46041699999999985</v>
      </c>
      <c r="BZ5" s="109" t="str" cm="1">
        <f t="array" ref="BZ5">IFERROR(_xlfn._xlws.FILTER(ST[SOH],(ST[Code]=$C5) * (ST[Customer Name]=BS$3),"" ),"")</f>
        <v/>
      </c>
      <c r="CA5" s="109" t="str" cm="1">
        <f t="array" ref="CA5">IFERROR(
    _xlfn.LET(
        _xlpm.result, INDEX(_xlfn._xlws.FILTER(ST[6wk avg], (ST[Code]=$C5)*(ST[Customer Name]=BS$3), ""), 1),
        IF(_xlpm.result=0, "", _xlpm.result)
    ),
"")</f>
        <v/>
      </c>
      <c r="CB5" s="102" t="str">
        <f>IFERROR(IF(CEILING(CA5 + (CA5 * $CB$2), 1) = 0, "", CEILING(CA5 + (CA5 * $CB$2), 1))*$B$3, "")</f>
        <v/>
      </c>
      <c r="CC5" s="70" t="str">
        <f t="shared" ref="CC5:CC11" si="34">IFERROR((CB5*BU5),"")</f>
        <v/>
      </c>
      <c r="CD5" s="83" t="str">
        <f t="shared" ref="CD5:CD11" si="35">IFERROR((CB5*BV5),"")</f>
        <v/>
      </c>
      <c r="CE5" s="80"/>
      <c r="CF5" s="108" t="str" cm="1">
        <f t="array" ref="CF5">IFERROR(_xlfn._xlws.FILTER(ST[Customer Code],(ST[Code]=$C5) * (ST[Customer Name]=CF$3),"" ),"")</f>
        <v/>
      </c>
      <c r="CG5" s="68" cm="1">
        <f t="array" ref="CG5">IFERROR(_xlfn.XLOOKUP($C5,Query[Code], _xlfn.XLOOKUP('Promo Form'!CF$3,Query[[#Headers],[Code]:[Bing Lee]],Query[[Code]:[Bing Lee]])),"")</f>
        <v>92.7</v>
      </c>
      <c r="CH5" s="16">
        <f t="shared" ref="CH5:CH11" si="36">IFERROR(((CG5*(1-CF$2))*$CU5)*CF$61,"")</f>
        <v>5.1242706000000009</v>
      </c>
      <c r="CI5" s="16">
        <f t="shared" ref="CI5:CI11" si="37">IFERROR(((CG5*(1-CF$2))*$CU5)*CF$60,"")</f>
        <v>5.1242706000000009</v>
      </c>
      <c r="CJ5" s="17">
        <f>IFERROR(IF(CH5+CI5=0,"",CH5+CI5),"")</f>
        <v>10.248541200000002</v>
      </c>
      <c r="CK5" s="18">
        <f t="shared" ref="CK5:CK11" si="38">IFERROR((($CS5/1.1)-(CG5-(CG5*CF$2)))/($CS5/1.1),"")</f>
        <v>0.50199999999999989</v>
      </c>
      <c r="CL5" s="18">
        <f t="shared" ref="CL5:CL11" si="39">IFERROR((($CT5/1.1)+(CH5+CI5)-(CG5-(CG5*CF$2)))/($CT5/1.1),"")</f>
        <v>0.46041699999999985</v>
      </c>
      <c r="CM5" s="109" t="str" cm="1">
        <f t="array" ref="CM5">IFERROR(_xlfn._xlws.FILTER(ST[SOH],(ST[Code]=$C5) * (ST[Customer Name]=CF$3),"" ),"")</f>
        <v/>
      </c>
      <c r="CN5" s="109" t="str" cm="1">
        <f t="array" ref="CN5">IFERROR(
    _xlfn.LET(
        _xlpm.result, INDEX(_xlfn._xlws.FILTER(ST[6wk avg], (ST[Code]=$C5)*(ST[Customer Name]=CF$3), ""), 1),
        IF(_xlpm.result=0, "", _xlpm.result)
    ),
"")</f>
        <v/>
      </c>
      <c r="CO5" s="102" t="str">
        <f>IFERROR(IF(CEILING(CN5 + (CN5 * $CO$2), 1) = 0, "", CEILING(CN5 + (CN5 * $CO$2), 1))*$B$3, "")</f>
        <v/>
      </c>
      <c r="CP5" s="70" t="str">
        <f t="shared" ref="CP5:CP11" si="40">IFERROR((CO5*CH5),"")</f>
        <v/>
      </c>
      <c r="CQ5" s="83" t="str">
        <f t="shared" ref="CQ5:CQ11" si="41">IFERROR((CO5*CI5),"")</f>
        <v/>
      </c>
      <c r="CR5" s="80"/>
      <c r="CS5" s="17">
        <f>IFERROR(_xlfn.XLOOKUP(C5,Query[Code],Query[Base (RRP Inc)]),"")</f>
        <v>169.95</v>
      </c>
      <c r="CT5" s="17">
        <f>IFERROR(CS5-(CS5*CU5),"")</f>
        <v>135.95999999999998</v>
      </c>
      <c r="CU5" s="99">
        <v>0.2</v>
      </c>
      <c r="CV5" s="17">
        <f>IFERROR((CS5-CT5),"")</f>
        <v>33.990000000000009</v>
      </c>
      <c r="CW5" s="98"/>
    </row>
    <row r="6" spans="1:101" x14ac:dyDescent="0.2">
      <c r="A6" s="106" t="str">
        <f>IF(C6="","",$A$5)</f>
        <v/>
      </c>
      <c r="B6" s="106" t="str">
        <f>IF(C6="","",$B$5)</f>
        <v/>
      </c>
      <c r="C6" s="13"/>
      <c r="D6" s="14" t="str">
        <f>IF(C6="", "",_xlfn.XLOOKUP(C6,'Master Price Level'!C:C,'Master Price Level'!D:D))</f>
        <v/>
      </c>
      <c r="E6" s="15"/>
      <c r="F6" s="108" t="str" cm="1">
        <f t="array" ref="F6">IFERROR(_xlfn._xlws.FILTER(ST[Customer Code],(ST[Code]=$C6) * (ST[Customer Name]=F$3),"" ),"")</f>
        <v/>
      </c>
      <c r="G6" s="68" t="str" cm="1">
        <f t="array" ref="G6">IFERROR(_xlfn.XLOOKUP($C6,Query[Code], _xlfn.XLOOKUP('Promo Form'!F$3,Query[[#Headers],[Code]:[Bing Lee]],Query[[Code]:[Bing Lee]])),"")</f>
        <v/>
      </c>
      <c r="H6" s="16" t="str">
        <f t="shared" si="0"/>
        <v/>
      </c>
      <c r="I6" s="16" t="str">
        <f t="shared" si="1"/>
        <v/>
      </c>
      <c r="J6" s="17" t="str">
        <f t="shared" ref="J6:J11" si="42">IFERROR(IF(H6+I6=0,"",H6+I6),"")</f>
        <v/>
      </c>
      <c r="K6" s="18" t="str">
        <f t="shared" si="2"/>
        <v/>
      </c>
      <c r="L6" s="18" t="str">
        <f t="shared" si="3"/>
        <v/>
      </c>
      <c r="M6" s="109" t="str" cm="1">
        <f t="array" ref="M6">IFERROR(_xlfn._xlws.FILTER(ST[SOH],(ST[Code]=$C6) * (ST[Customer Name]=F$3),"" ),"")</f>
        <v/>
      </c>
      <c r="N6" s="109" t="str" cm="1">
        <f t="array" ref="N6">IFERROR(
    _xlfn.LET(
        _xlpm.result, INDEX(_xlfn._xlws.FILTER(ST[6wk avg], (ST[Code]=$C6)*(ST[Customer Name]=F$3), ""), 1),
        IF(_xlpm.result=0, "", _xlpm.result)
    ),
"")</f>
        <v/>
      </c>
      <c r="O6" s="102" t="str">
        <f t="shared" ref="O6:O11" si="43">IFERROR(IF(CEILING(N6 + (N6 * $O$2), 1) = 0, "", CEILING(N6 + (N6 * $O$2), 1))*$B$3, "")</f>
        <v/>
      </c>
      <c r="P6" s="70" t="str">
        <f t="shared" si="4"/>
        <v/>
      </c>
      <c r="Q6" s="83" t="str">
        <f t="shared" si="5"/>
        <v/>
      </c>
      <c r="R6" s="77"/>
      <c r="S6" s="108" t="str" cm="1">
        <f t="array" ref="S6">IFERROR(_xlfn._xlws.FILTER(ST[Customer Code],(ST[Code]=$C6) * (ST[Customer Name]=S$3),"" ),"")</f>
        <v/>
      </c>
      <c r="T6" s="68" t="str" cm="1">
        <f t="array" ref="T6">IFERROR(_xlfn.XLOOKUP($C6,Query[Code], _xlfn.XLOOKUP('Promo Form'!S$3,Query[[#Headers],[Code]:[Bing Lee]],Query[[Code]:[Bing Lee]])),"")</f>
        <v/>
      </c>
      <c r="U6" s="16" t="str">
        <f t="shared" si="6"/>
        <v/>
      </c>
      <c r="V6" s="16" t="str">
        <f t="shared" si="7"/>
        <v/>
      </c>
      <c r="W6" s="17" t="str">
        <f t="shared" ref="W6:W11" si="44">IFERROR(IF(U6+V6=0,"",U6+V6),"")</f>
        <v/>
      </c>
      <c r="X6" s="18" t="str">
        <f t="shared" si="8"/>
        <v/>
      </c>
      <c r="Y6" s="18" t="str">
        <f t="shared" si="9"/>
        <v/>
      </c>
      <c r="Z6" s="109" t="str" cm="1">
        <f t="array" ref="Z6">IFERROR(_xlfn._xlws.FILTER(ST[SOH],(ST[Code]=$C6) * (ST[Customer Name]=S$3),"" ),"")</f>
        <v/>
      </c>
      <c r="AA6" s="109" t="str" cm="1">
        <f t="array" ref="AA6">IFERROR(
    _xlfn.LET(
        _xlpm.result, INDEX(_xlfn._xlws.FILTER(ST[6wk avg], (ST[Code]=$C6)*(ST[Customer Name]=S$3), ""), 1),
        IF(_xlpm.result=0, "", _xlpm.result)
    ),
"")</f>
        <v/>
      </c>
      <c r="AB6" s="102" t="str">
        <f t="shared" ref="AB6:AB11" si="45">IFERROR(IF(CEILING(AA6 + (AA6 * $AB$2), 1) = 0, "", CEILING(AA6 + (AA6 * $AB$2), 1))*$B$3, "")</f>
        <v/>
      </c>
      <c r="AC6" s="70" t="str">
        <f>IFERROR((AB6*U6),"")</f>
        <v/>
      </c>
      <c r="AD6" s="83" t="str">
        <f t="shared" si="11"/>
        <v/>
      </c>
      <c r="AE6" s="77"/>
      <c r="AF6" s="108" t="str" cm="1">
        <f t="array" ref="AF6">IFERROR(_xlfn._xlws.FILTER(ST[Customer Code],(ST[Code]=$C6) * (ST[Customer Name]=AF$3),"" ),"")</f>
        <v/>
      </c>
      <c r="AG6" s="68" t="str" cm="1">
        <f t="array" ref="AG6">IFERROR(_xlfn.XLOOKUP($C6,Query[Code], _xlfn.XLOOKUP('Promo Form'!AF$3,Query[[#Headers],[Code]:[Bing Lee]],Query[[Code]:[Bing Lee]])),"")</f>
        <v/>
      </c>
      <c r="AH6" s="16" t="str">
        <f t="shared" si="12"/>
        <v/>
      </c>
      <c r="AI6" s="16" t="str">
        <f t="shared" si="13"/>
        <v/>
      </c>
      <c r="AJ6" s="17" t="str">
        <f t="shared" ref="AJ6:AJ11" si="46">IFERROR(IF(AH6+AI6=0,"",AH6+AI6),"")</f>
        <v/>
      </c>
      <c r="AK6" s="18" t="str">
        <f t="shared" si="14"/>
        <v/>
      </c>
      <c r="AL6" s="18" t="str">
        <f t="shared" si="15"/>
        <v/>
      </c>
      <c r="AM6" s="109" t="str" cm="1">
        <f t="array" ref="AM6">IFERROR(_xlfn._xlws.FILTER(ST[SOH],(ST[Code]=$C6) * (ST[Customer Name]=AF$3),"" ),"")</f>
        <v/>
      </c>
      <c r="AN6" s="109" t="str" cm="1">
        <f t="array" ref="AN6">IFERROR(
    _xlfn.LET(
        _xlpm.result, INDEX(_xlfn._xlws.FILTER(ST[6wk avg], (ST[Code]=$C6)*(ST[Customer Name]=AF$3), ""), 1),
        IF(_xlpm.result=0, "", _xlpm.result)
    ),
"")</f>
        <v/>
      </c>
      <c r="AO6" s="102" t="str">
        <f t="shared" ref="AO6:AO11" si="47">IFERROR(IF(CEILING(AN6 + (AN6 * $AO$2), 1) = 0, "", CEILING(AN6 + (AN6 * $AO$2), 1))*$B$3, "")</f>
        <v/>
      </c>
      <c r="AP6" s="70" t="str">
        <f t="shared" si="16"/>
        <v/>
      </c>
      <c r="AQ6" s="83" t="str">
        <f t="shared" si="17"/>
        <v/>
      </c>
      <c r="AR6" s="77"/>
      <c r="AS6" s="108" t="str" cm="1">
        <f t="array" ref="AS6">IFERROR(_xlfn._xlws.FILTER(ST[Customer Code],(ST[Code]=$C6) * (ST[Customer Name]=AS$3),"" ),"")</f>
        <v/>
      </c>
      <c r="AT6" s="68" t="str" cm="1">
        <f t="array" ref="AT6">IFERROR(_xlfn.XLOOKUP($C6,Query[Code], _xlfn.XLOOKUP('Promo Form'!AS$3,Query[[#Headers],[Code]:[Bing Lee]],Query[[Code]:[Bing Lee]])),"")</f>
        <v/>
      </c>
      <c r="AU6" s="16" t="str">
        <f t="shared" si="18"/>
        <v/>
      </c>
      <c r="AV6" s="16" t="str">
        <f t="shared" si="19"/>
        <v/>
      </c>
      <c r="AW6" s="17" t="str">
        <f t="shared" ref="AW6:AW11" si="48">IFERROR(IF(AU6+AV6=0,"",AU6+AV6),"")</f>
        <v/>
      </c>
      <c r="AX6" s="18" t="str">
        <f t="shared" si="20"/>
        <v/>
      </c>
      <c r="AY6" s="18" t="str">
        <f t="shared" si="21"/>
        <v/>
      </c>
      <c r="AZ6" s="109" t="str" cm="1">
        <f t="array" ref="AZ6">IFERROR(_xlfn._xlws.FILTER(ST[SOH],(ST[Code]=$C6) * (ST[Customer Name]=AS$3),"" ),"")</f>
        <v/>
      </c>
      <c r="BA6" s="109" t="str" cm="1">
        <f t="array" ref="BA6">IFERROR(
    _xlfn.LET(
        _xlpm.result, INDEX(_xlfn._xlws.FILTER(ST[6wk avg], (ST[Code]=$C6)*(ST[Customer Name]=AS$3), ""), 1),
        IF(_xlpm.result=0, "", _xlpm.result)
    ),
"")</f>
        <v/>
      </c>
      <c r="BB6" s="102" t="str">
        <f t="shared" ref="BB6:BB11" si="49">IFERROR(IF(CEILING(BA6 + (BA6 * $BB$2), 1) = 0, "", CEILING(BA6 + (BA6 * $BB$2), 1))*$B$3, "")</f>
        <v/>
      </c>
      <c r="BC6" s="70" t="str">
        <f t="shared" si="22"/>
        <v/>
      </c>
      <c r="BD6" s="83" t="str">
        <f t="shared" si="23"/>
        <v/>
      </c>
      <c r="BE6" s="77"/>
      <c r="BF6" s="108" t="str" cm="1">
        <f t="array" ref="BF6">IFERROR(_xlfn._xlws.FILTER(ST[Customer Code],(ST[Code]=$C6) * (ST[Customer Name]=BF$3),"" ),"")</f>
        <v/>
      </c>
      <c r="BG6" s="68" t="str" cm="1">
        <f t="array" ref="BG6">IFERROR(_xlfn.XLOOKUP($C6,Query[Code], _xlfn.XLOOKUP('Promo Form'!BF$3,Query[[#Headers],[Code]:[Bing Lee]],Query[[Code]:[Bing Lee]])),"")</f>
        <v/>
      </c>
      <c r="BH6" s="16" t="str">
        <f t="shared" si="24"/>
        <v/>
      </c>
      <c r="BI6" s="16" t="str">
        <f t="shared" si="25"/>
        <v/>
      </c>
      <c r="BJ6" s="17" t="str">
        <f t="shared" ref="BJ6:BJ11" si="50">IFERROR(IF(BH6+BI6=0,"",BH6+BI6),"")</f>
        <v/>
      </c>
      <c r="BK6" s="18" t="str">
        <f t="shared" si="26"/>
        <v/>
      </c>
      <c r="BL6" s="18" t="str">
        <f t="shared" si="27"/>
        <v/>
      </c>
      <c r="BM6" s="109" t="str" cm="1">
        <f t="array" ref="BM6">IFERROR(_xlfn._xlws.FILTER(ST[SOH],(ST[Code]=$C6) * (ST[Customer Name]=BF$3),"" ),"")</f>
        <v/>
      </c>
      <c r="BN6" s="109" t="str" cm="1">
        <f t="array" ref="BN6">IFERROR(
    _xlfn.LET(
        _xlpm.result, INDEX(_xlfn._xlws.FILTER(ST[6wk avg], (ST[Code]=$C6)*(ST[Customer Name]=BF$3), ""), 1),
        IF(_xlpm.result=0, "", _xlpm.result)
    ),
"")</f>
        <v/>
      </c>
      <c r="BO6" s="102" t="str">
        <f t="shared" ref="BO6:BO11" si="51">IFERROR(IF(CEILING(BN6 + (BN6 * $BO$2), 1) = 0, "", CEILING(BN6 + (BN6 * $BO$2), 1))*$B$3, "")</f>
        <v/>
      </c>
      <c r="BP6" s="70" t="str">
        <f t="shared" si="28"/>
        <v/>
      </c>
      <c r="BQ6" s="83" t="str">
        <f t="shared" si="29"/>
        <v/>
      </c>
      <c r="BR6" s="77"/>
      <c r="BS6" s="108" t="str" cm="1">
        <f t="array" ref="BS6">IFERROR(_xlfn._xlws.FILTER(ST[Customer Code],(ST[Code]=$C6) * (ST[Customer Name]=BS$3),"" ),"")</f>
        <v/>
      </c>
      <c r="BT6" s="68" t="str" cm="1">
        <f t="array" ref="BT6">IFERROR(_xlfn.XLOOKUP($C6,Query[Code], _xlfn.XLOOKUP('Promo Form'!BS$3,Query[[#Headers],[Code]:[Bing Lee]],Query[[Code]:[Bing Lee]])),"")</f>
        <v/>
      </c>
      <c r="BU6" s="16" t="str">
        <f t="shared" si="30"/>
        <v/>
      </c>
      <c r="BV6" s="16" t="str">
        <f t="shared" si="31"/>
        <v/>
      </c>
      <c r="BW6" s="17" t="str">
        <f t="shared" ref="BW6:BW11" si="52">IFERROR(IF(BU6+BV6=0,"",BU6+BV6),"")</f>
        <v/>
      </c>
      <c r="BX6" s="18" t="str">
        <f t="shared" si="32"/>
        <v/>
      </c>
      <c r="BY6" s="18" t="str">
        <f t="shared" si="33"/>
        <v/>
      </c>
      <c r="BZ6" s="109" t="str" cm="1">
        <f t="array" ref="BZ6">IFERROR(_xlfn._xlws.FILTER(ST[SOH],(ST[Code]=$C6) * (ST[Customer Name]=BS$3),"" ),"")</f>
        <v/>
      </c>
      <c r="CA6" s="109" t="str" cm="1">
        <f t="array" ref="CA6">IFERROR(
    _xlfn.LET(
        _xlpm.result, INDEX(_xlfn._xlws.FILTER(ST[6wk avg], (ST[Code]=$C6)*(ST[Customer Name]=BS$3), ""), 1),
        IF(_xlpm.result=0, "", _xlpm.result)
    ),
"")</f>
        <v/>
      </c>
      <c r="CB6" s="102" t="str">
        <f t="shared" ref="CB6:CB11" si="53">IFERROR(IF(CEILING(CA6 + (CA6 * $CB$2), 1) = 0, "", CEILING(CA6 + (CA6 * $CB$2), 1))*$B$3, "")</f>
        <v/>
      </c>
      <c r="CC6" s="70" t="str">
        <f t="shared" si="34"/>
        <v/>
      </c>
      <c r="CD6" s="83" t="str">
        <f t="shared" si="35"/>
        <v/>
      </c>
      <c r="CE6" s="77"/>
      <c r="CF6" s="108" t="str" cm="1">
        <f t="array" ref="CF6">IFERROR(_xlfn._xlws.FILTER(ST[Customer Code],(ST[Code]=$C6) * (ST[Customer Name]=CF$3),"" ),"")</f>
        <v/>
      </c>
      <c r="CG6" s="68" t="str" cm="1">
        <f t="array" ref="CG6">IFERROR(_xlfn.XLOOKUP($C6,Query[Code], _xlfn.XLOOKUP('Promo Form'!CF$3,Query[[#Headers],[Code]:[Bing Lee]],Query[[Code]:[Bing Lee]])),"")</f>
        <v/>
      </c>
      <c r="CH6" s="16" t="str">
        <f t="shared" si="36"/>
        <v/>
      </c>
      <c r="CI6" s="16" t="str">
        <f t="shared" si="37"/>
        <v/>
      </c>
      <c r="CJ6" s="17" t="str">
        <f t="shared" ref="CJ6:CJ11" si="54">IFERROR(IF(CH6+CI6=0,"",CH6+CI6),"")</f>
        <v/>
      </c>
      <c r="CK6" s="18" t="str">
        <f t="shared" si="38"/>
        <v/>
      </c>
      <c r="CL6" s="18" t="str">
        <f t="shared" si="39"/>
        <v/>
      </c>
      <c r="CM6" s="109" t="str" cm="1">
        <f t="array" ref="CM6">IFERROR(_xlfn._xlws.FILTER(ST[SOH],(ST[Code]=$C6) * (ST[Customer Name]=CF$3),"" ),"")</f>
        <v/>
      </c>
      <c r="CN6" s="109" t="str" cm="1">
        <f t="array" ref="CN6">IFERROR(
    _xlfn.LET(
        _xlpm.result, INDEX(_xlfn._xlws.FILTER(ST[6wk avg], (ST[Code]=$C6)*(ST[Customer Name]=CF$3), ""), 1),
        IF(_xlpm.result=0, "", _xlpm.result)
    ),
"")</f>
        <v/>
      </c>
      <c r="CO6" s="102" t="str">
        <f t="shared" ref="CO6:CO11" si="55">IFERROR(IF(CEILING(CN6 + (CN6 * $CO$2), 1) = 0, "", CEILING(CN6 + (CN6 * $CO$2), 1))*$B$3, "")</f>
        <v/>
      </c>
      <c r="CP6" s="70" t="str">
        <f t="shared" si="40"/>
        <v/>
      </c>
      <c r="CQ6" s="83" t="str">
        <f t="shared" si="41"/>
        <v/>
      </c>
      <c r="CR6" s="77"/>
      <c r="CS6" s="17" t="str">
        <f>IFERROR(_xlfn.XLOOKUP(C6,Query[Code],Query[Base (RRP Inc)]),"")</f>
        <v/>
      </c>
      <c r="CT6" s="17" t="str">
        <f t="shared" ref="CT6:CT11" si="56">IFERROR(CS6-(CS6*CU6),"")</f>
        <v/>
      </c>
      <c r="CU6" s="107" t="str">
        <f t="shared" ref="CU6:CU11" si="57">IF(C6="", "",CU5)</f>
        <v/>
      </c>
      <c r="CV6" s="17" t="str">
        <f t="shared" ref="CV6:CV11" si="58">IFERROR((CS6-CT6),"")</f>
        <v/>
      </c>
      <c r="CW6" s="98"/>
    </row>
    <row r="7" spans="1:101" x14ac:dyDescent="0.2">
      <c r="A7" s="106" t="str">
        <f t="shared" ref="A7:A11" si="59">IF(C7="","",A6)</f>
        <v/>
      </c>
      <c r="B7" s="106" t="str">
        <f t="shared" ref="B7:B11" si="60">IF(C7="","",B6)</f>
        <v/>
      </c>
      <c r="C7" s="13"/>
      <c r="D7" s="14" t="str">
        <f>IF(C7="", "",_xlfn.XLOOKUP(C7,'Master Price Level'!C:C,'Master Price Level'!D:D))</f>
        <v/>
      </c>
      <c r="E7" s="15"/>
      <c r="F7" s="108" t="str" cm="1">
        <f t="array" ref="F7">IFERROR(_xlfn._xlws.FILTER(ST[Customer Code],(ST[Code]=$C7) * (ST[Customer Name]=F$3),"" ),"")</f>
        <v/>
      </c>
      <c r="G7" s="68" t="str" cm="1">
        <f t="array" ref="G7">IFERROR(_xlfn.XLOOKUP($C7,Query[Code], _xlfn.XLOOKUP('Promo Form'!F$3,Query[[#Headers],[Code]:[Bing Lee]],Query[[Code]:[Bing Lee]])),"")</f>
        <v/>
      </c>
      <c r="H7" s="16" t="str">
        <f t="shared" si="0"/>
        <v/>
      </c>
      <c r="I7" s="16" t="str">
        <f t="shared" si="1"/>
        <v/>
      </c>
      <c r="J7" s="17" t="str">
        <f t="shared" si="42"/>
        <v/>
      </c>
      <c r="K7" s="18" t="str">
        <f t="shared" si="2"/>
        <v/>
      </c>
      <c r="L7" s="18" t="str">
        <f t="shared" si="3"/>
        <v/>
      </c>
      <c r="M7" s="109" t="str" cm="1">
        <f t="array" ref="M7">IFERROR(_xlfn._xlws.FILTER(ST[SOH],(ST[Code]=$C7) * (ST[Customer Name]=F$3),"" ),"")</f>
        <v/>
      </c>
      <c r="N7" s="109" t="str" cm="1">
        <f t="array" ref="N7">IFERROR(
    _xlfn.LET(
        _xlpm.result, INDEX(_xlfn._xlws.FILTER(ST[6wk avg], (ST[Code]=$C7)*(ST[Customer Name]=F$3), ""), 1),
        IF(_xlpm.result=0, "", _xlpm.result)
    ),
"")</f>
        <v/>
      </c>
      <c r="O7" s="102" t="str">
        <f t="shared" si="43"/>
        <v/>
      </c>
      <c r="P7" s="70" t="str">
        <f t="shared" si="4"/>
        <v/>
      </c>
      <c r="Q7" s="83" t="str">
        <f t="shared" si="5"/>
        <v/>
      </c>
      <c r="R7" s="77"/>
      <c r="S7" s="108" t="str" cm="1">
        <f t="array" ref="S7">IFERROR(_xlfn._xlws.FILTER(ST[Customer Code],(ST[Code]=$C7) * (ST[Customer Name]=S$3),"" ),"")</f>
        <v/>
      </c>
      <c r="T7" s="68" t="str" cm="1">
        <f t="array" ref="T7">IFERROR(_xlfn.XLOOKUP($C7,Query[Code], _xlfn.XLOOKUP('Promo Form'!S$3,Query[[#Headers],[Code]:[Bing Lee]],Query[[Code]:[Bing Lee]])),"")</f>
        <v/>
      </c>
      <c r="U7" s="16" t="str">
        <f t="shared" si="6"/>
        <v/>
      </c>
      <c r="V7" s="16" t="str">
        <f t="shared" si="7"/>
        <v/>
      </c>
      <c r="W7" s="17" t="str">
        <f t="shared" si="44"/>
        <v/>
      </c>
      <c r="X7" s="18" t="str">
        <f t="shared" si="8"/>
        <v/>
      </c>
      <c r="Y7" s="18" t="str">
        <f t="shared" si="9"/>
        <v/>
      </c>
      <c r="Z7" s="109" t="str" cm="1">
        <f t="array" ref="Z7">IFERROR(_xlfn._xlws.FILTER(ST[SOH],(ST[Code]=$C7) * (ST[Customer Name]=S$3),"" ),"")</f>
        <v/>
      </c>
      <c r="AA7" s="109" t="str" cm="1">
        <f t="array" ref="AA7">IFERROR(
    _xlfn.LET(
        _xlpm.result, INDEX(_xlfn._xlws.FILTER(ST[6wk avg], (ST[Code]=$C7)*(ST[Customer Name]=S$3), ""), 1),
        IF(_xlpm.result=0, "", _xlpm.result)
    ),
"")</f>
        <v/>
      </c>
      <c r="AB7" s="102" t="str">
        <f t="shared" si="45"/>
        <v/>
      </c>
      <c r="AC7" s="70" t="str">
        <f t="shared" si="10"/>
        <v/>
      </c>
      <c r="AD7" s="83" t="str">
        <f t="shared" si="11"/>
        <v/>
      </c>
      <c r="AE7" s="77"/>
      <c r="AF7" s="108" t="str" cm="1">
        <f t="array" ref="AF7">IFERROR(_xlfn._xlws.FILTER(ST[Customer Code],(ST[Code]=$C7) * (ST[Customer Name]=AF$3),"" ),"")</f>
        <v/>
      </c>
      <c r="AG7" s="68" t="str" cm="1">
        <f t="array" ref="AG7">IFERROR(_xlfn.XLOOKUP($C7,Query[Code], _xlfn.XLOOKUP('Promo Form'!AF$3,Query[[#Headers],[Code]:[Bing Lee]],Query[[Code]:[Bing Lee]])),"")</f>
        <v/>
      </c>
      <c r="AH7" s="16" t="str">
        <f t="shared" si="12"/>
        <v/>
      </c>
      <c r="AI7" s="16" t="str">
        <f t="shared" si="13"/>
        <v/>
      </c>
      <c r="AJ7" s="17" t="str">
        <f t="shared" si="46"/>
        <v/>
      </c>
      <c r="AK7" s="18" t="str">
        <f t="shared" si="14"/>
        <v/>
      </c>
      <c r="AL7" s="18" t="str">
        <f t="shared" si="15"/>
        <v/>
      </c>
      <c r="AM7" s="109" t="str" cm="1">
        <f t="array" ref="AM7">IFERROR(_xlfn._xlws.FILTER(ST[SOH],(ST[Code]=$C7) * (ST[Customer Name]=AF$3),"" ),"")</f>
        <v/>
      </c>
      <c r="AN7" s="109" t="str" cm="1">
        <f t="array" ref="AN7">IFERROR(
    _xlfn.LET(
        _xlpm.result, INDEX(_xlfn._xlws.FILTER(ST[6wk avg], (ST[Code]=$C7)*(ST[Customer Name]=AF$3), ""), 1),
        IF(_xlpm.result=0, "", _xlpm.result)
    ),
"")</f>
        <v/>
      </c>
      <c r="AO7" s="102" t="str">
        <f t="shared" si="47"/>
        <v/>
      </c>
      <c r="AP7" s="70" t="str">
        <f t="shared" si="16"/>
        <v/>
      </c>
      <c r="AQ7" s="83" t="str">
        <f t="shared" si="17"/>
        <v/>
      </c>
      <c r="AR7" s="77"/>
      <c r="AS7" s="108" t="str" cm="1">
        <f t="array" ref="AS7">IFERROR(_xlfn._xlws.FILTER(ST[Customer Code],(ST[Code]=$C7) * (ST[Customer Name]=AS$3),"" ),"")</f>
        <v/>
      </c>
      <c r="AT7" s="68" t="str" cm="1">
        <f t="array" ref="AT7">IFERROR(_xlfn.XLOOKUP($C7,Query[Code], _xlfn.XLOOKUP('Promo Form'!AS$3,Query[[#Headers],[Code]:[Bing Lee]],Query[[Code]:[Bing Lee]])),"")</f>
        <v/>
      </c>
      <c r="AU7" s="16" t="str">
        <f t="shared" si="18"/>
        <v/>
      </c>
      <c r="AV7" s="16" t="str">
        <f t="shared" si="19"/>
        <v/>
      </c>
      <c r="AW7" s="17" t="str">
        <f t="shared" si="48"/>
        <v/>
      </c>
      <c r="AX7" s="18" t="str">
        <f t="shared" si="20"/>
        <v/>
      </c>
      <c r="AY7" s="18" t="str">
        <f t="shared" si="21"/>
        <v/>
      </c>
      <c r="AZ7" s="109" t="str" cm="1">
        <f t="array" ref="AZ7">IFERROR(_xlfn._xlws.FILTER(ST[SOH],(ST[Code]=$C7) * (ST[Customer Name]=AS$3),"" ),"")</f>
        <v/>
      </c>
      <c r="BA7" s="109" t="str" cm="1">
        <f t="array" ref="BA7">IFERROR(
    _xlfn.LET(
        _xlpm.result, INDEX(_xlfn._xlws.FILTER(ST[6wk avg], (ST[Code]=$C7)*(ST[Customer Name]=AS$3), ""), 1),
        IF(_xlpm.result=0, "", _xlpm.result)
    ),
"")</f>
        <v/>
      </c>
      <c r="BB7" s="102" t="str">
        <f t="shared" si="49"/>
        <v/>
      </c>
      <c r="BC7" s="70" t="str">
        <f t="shared" si="22"/>
        <v/>
      </c>
      <c r="BD7" s="83" t="str">
        <f t="shared" si="23"/>
        <v/>
      </c>
      <c r="BE7" s="77"/>
      <c r="BF7" s="108" t="str" cm="1">
        <f t="array" ref="BF7">IFERROR(_xlfn._xlws.FILTER(ST[Customer Code],(ST[Code]=$C7) * (ST[Customer Name]=BF$3),"" ),"")</f>
        <v/>
      </c>
      <c r="BG7" s="68" t="str" cm="1">
        <f t="array" ref="BG7">IFERROR(_xlfn.XLOOKUP($C7,Query[Code], _xlfn.XLOOKUP('Promo Form'!BF$3,Query[[#Headers],[Code]:[Bing Lee]],Query[[Code]:[Bing Lee]])),"")</f>
        <v/>
      </c>
      <c r="BH7" s="16" t="str">
        <f t="shared" si="24"/>
        <v/>
      </c>
      <c r="BI7" s="16" t="str">
        <f t="shared" si="25"/>
        <v/>
      </c>
      <c r="BJ7" s="17" t="str">
        <f t="shared" si="50"/>
        <v/>
      </c>
      <c r="BK7" s="18" t="str">
        <f t="shared" si="26"/>
        <v/>
      </c>
      <c r="BL7" s="18" t="str">
        <f t="shared" si="27"/>
        <v/>
      </c>
      <c r="BM7" s="109" t="str" cm="1">
        <f t="array" ref="BM7">IFERROR(_xlfn._xlws.FILTER(ST[SOH],(ST[Code]=$C7) * (ST[Customer Name]=BF$3),"" ),"")</f>
        <v/>
      </c>
      <c r="BN7" s="109" t="str" cm="1">
        <f t="array" ref="BN7">IFERROR(
    _xlfn.LET(
        _xlpm.result, INDEX(_xlfn._xlws.FILTER(ST[6wk avg], (ST[Code]=$C7)*(ST[Customer Name]=BF$3), ""), 1),
        IF(_xlpm.result=0, "", _xlpm.result)
    ),
"")</f>
        <v/>
      </c>
      <c r="BO7" s="102" t="str">
        <f t="shared" si="51"/>
        <v/>
      </c>
      <c r="BP7" s="70" t="str">
        <f t="shared" si="28"/>
        <v/>
      </c>
      <c r="BQ7" s="83" t="str">
        <f t="shared" si="29"/>
        <v/>
      </c>
      <c r="BR7" s="77"/>
      <c r="BS7" s="108" t="str" cm="1">
        <f t="array" ref="BS7">IFERROR(_xlfn._xlws.FILTER(ST[Customer Code],(ST[Code]=$C7) * (ST[Customer Name]=BS$3),"" ),"")</f>
        <v/>
      </c>
      <c r="BT7" s="68" t="str" cm="1">
        <f t="array" ref="BT7">IFERROR(_xlfn.XLOOKUP($C7,Query[Code], _xlfn.XLOOKUP('Promo Form'!BS$3,Query[[#Headers],[Code]:[Bing Lee]],Query[[Code]:[Bing Lee]])),"")</f>
        <v/>
      </c>
      <c r="BU7" s="16" t="str">
        <f t="shared" si="30"/>
        <v/>
      </c>
      <c r="BV7" s="16" t="str">
        <f t="shared" si="31"/>
        <v/>
      </c>
      <c r="BW7" s="17" t="str">
        <f t="shared" si="52"/>
        <v/>
      </c>
      <c r="BX7" s="18" t="str">
        <f t="shared" si="32"/>
        <v/>
      </c>
      <c r="BY7" s="18" t="str">
        <f t="shared" si="33"/>
        <v/>
      </c>
      <c r="BZ7" s="109" t="str" cm="1">
        <f t="array" ref="BZ7">IFERROR(_xlfn._xlws.FILTER(ST[SOH],(ST[Code]=$C7) * (ST[Customer Name]=BS$3),"" ),"")</f>
        <v/>
      </c>
      <c r="CA7" s="109" t="str" cm="1">
        <f t="array" ref="CA7">IFERROR(
    _xlfn.LET(
        _xlpm.result, INDEX(_xlfn._xlws.FILTER(ST[6wk avg], (ST[Code]=$C7)*(ST[Customer Name]=BS$3), ""), 1),
        IF(_xlpm.result=0, "", _xlpm.result)
    ),
"")</f>
        <v/>
      </c>
      <c r="CB7" s="102" t="str">
        <f t="shared" si="53"/>
        <v/>
      </c>
      <c r="CC7" s="70" t="str">
        <f t="shared" si="34"/>
        <v/>
      </c>
      <c r="CD7" s="83" t="str">
        <f t="shared" si="35"/>
        <v/>
      </c>
      <c r="CE7" s="77"/>
      <c r="CF7" s="108" t="str" cm="1">
        <f t="array" ref="CF7">IFERROR(_xlfn._xlws.FILTER(ST[Customer Code],(ST[Code]=$C7) * (ST[Customer Name]=CF$3),"" ),"")</f>
        <v/>
      </c>
      <c r="CG7" s="68" t="str" cm="1">
        <f t="array" ref="CG7">IFERROR(_xlfn.XLOOKUP($C7,Query[Code], _xlfn.XLOOKUP('Promo Form'!CF$3,Query[[#Headers],[Code]:[Bing Lee]],Query[[Code]:[Bing Lee]])),"")</f>
        <v/>
      </c>
      <c r="CH7" s="16" t="str">
        <f t="shared" si="36"/>
        <v/>
      </c>
      <c r="CI7" s="16" t="str">
        <f t="shared" si="37"/>
        <v/>
      </c>
      <c r="CJ7" s="17" t="str">
        <f t="shared" si="54"/>
        <v/>
      </c>
      <c r="CK7" s="18" t="str">
        <f t="shared" si="38"/>
        <v/>
      </c>
      <c r="CL7" s="18" t="str">
        <f t="shared" si="39"/>
        <v/>
      </c>
      <c r="CM7" s="109" t="str" cm="1">
        <f t="array" ref="CM7">IFERROR(_xlfn._xlws.FILTER(ST[SOH],(ST[Code]=$C7) * (ST[Customer Name]=CF$3),"" ),"")</f>
        <v/>
      </c>
      <c r="CN7" s="109" t="str" cm="1">
        <f t="array" ref="CN7">IFERROR(
    _xlfn.LET(
        _xlpm.result, INDEX(_xlfn._xlws.FILTER(ST[6wk avg], (ST[Code]=$C7)*(ST[Customer Name]=CF$3), ""), 1),
        IF(_xlpm.result=0, "", _xlpm.result)
    ),
"")</f>
        <v/>
      </c>
      <c r="CO7" s="102" t="str">
        <f t="shared" si="55"/>
        <v/>
      </c>
      <c r="CP7" s="70" t="str">
        <f t="shared" si="40"/>
        <v/>
      </c>
      <c r="CQ7" s="83" t="str">
        <f t="shared" si="41"/>
        <v/>
      </c>
      <c r="CR7" s="77"/>
      <c r="CS7" s="17" t="str">
        <f>IFERROR(_xlfn.XLOOKUP(C7,Query[Code],Query[Base (RRP Inc)]),"")</f>
        <v/>
      </c>
      <c r="CT7" s="17" t="str">
        <f t="shared" si="56"/>
        <v/>
      </c>
      <c r="CU7" s="107" t="str">
        <f t="shared" si="57"/>
        <v/>
      </c>
      <c r="CV7" s="17" t="str">
        <f t="shared" si="58"/>
        <v/>
      </c>
      <c r="CW7" s="98"/>
    </row>
    <row r="8" spans="1:101" x14ac:dyDescent="0.2">
      <c r="A8" s="106" t="str">
        <f t="shared" si="59"/>
        <v/>
      </c>
      <c r="B8" s="106" t="str">
        <f t="shared" si="60"/>
        <v/>
      </c>
      <c r="C8" s="13"/>
      <c r="D8" s="14" t="str">
        <f>IF(C8="", "",_xlfn.XLOOKUP(C8,'Master Price Level'!C:C,'Master Price Level'!D:D))</f>
        <v/>
      </c>
      <c r="E8" s="15"/>
      <c r="F8" s="108" t="str" cm="1">
        <f t="array" ref="F8">IFERROR(_xlfn._xlws.FILTER(ST[Customer Code],(ST[Code]=$C8) * (ST[Customer Name]=F$3),"" ),"")</f>
        <v/>
      </c>
      <c r="G8" s="68" t="str" cm="1">
        <f t="array" ref="G8">IFERROR(_xlfn.XLOOKUP($C8,Query[Code], _xlfn.XLOOKUP('Promo Form'!F$3,Query[[#Headers],[Code]:[Bing Lee]],Query[[Code]:[Bing Lee]])),"")</f>
        <v/>
      </c>
      <c r="H8" s="16" t="str">
        <f t="shared" si="0"/>
        <v/>
      </c>
      <c r="I8" s="16" t="str">
        <f t="shared" si="1"/>
        <v/>
      </c>
      <c r="J8" s="17" t="str">
        <f t="shared" si="42"/>
        <v/>
      </c>
      <c r="K8" s="18" t="str">
        <f t="shared" si="2"/>
        <v/>
      </c>
      <c r="L8" s="18" t="str">
        <f t="shared" si="3"/>
        <v/>
      </c>
      <c r="M8" s="109" t="str" cm="1">
        <f t="array" ref="M8">IFERROR(_xlfn._xlws.FILTER(ST[SOH],(ST[Code]=$C8) * (ST[Customer Name]=F$3),"" ),"")</f>
        <v/>
      </c>
      <c r="N8" s="109" t="str" cm="1">
        <f t="array" ref="N8">IFERROR(
    _xlfn.LET(
        _xlpm.result, INDEX(_xlfn._xlws.FILTER(ST[6wk avg], (ST[Code]=$C8)*(ST[Customer Name]=F$3), ""), 1),
        IF(_xlpm.result=0, "", _xlpm.result)
    ),
"")</f>
        <v/>
      </c>
      <c r="O8" s="102" t="str">
        <f t="shared" si="43"/>
        <v/>
      </c>
      <c r="P8" s="70" t="str">
        <f t="shared" si="4"/>
        <v/>
      </c>
      <c r="Q8" s="83" t="str">
        <f t="shared" si="5"/>
        <v/>
      </c>
      <c r="R8" s="77"/>
      <c r="S8" s="108" t="str" cm="1">
        <f t="array" ref="S8">IFERROR(_xlfn._xlws.FILTER(ST[Customer Code],(ST[Code]=$C8) * (ST[Customer Name]=S$3),"" ),"")</f>
        <v/>
      </c>
      <c r="T8" s="68" t="str" cm="1">
        <f t="array" ref="T8">IFERROR(_xlfn.XLOOKUP($C8,Query[Code], _xlfn.XLOOKUP('Promo Form'!S$3,Query[[#Headers],[Code]:[Bing Lee]],Query[[Code]:[Bing Lee]])),"")</f>
        <v/>
      </c>
      <c r="U8" s="16" t="str">
        <f t="shared" si="6"/>
        <v/>
      </c>
      <c r="V8" s="16" t="str">
        <f t="shared" si="7"/>
        <v/>
      </c>
      <c r="W8" s="17" t="str">
        <f t="shared" si="44"/>
        <v/>
      </c>
      <c r="X8" s="18" t="str">
        <f t="shared" si="8"/>
        <v/>
      </c>
      <c r="Y8" s="18" t="str">
        <f t="shared" si="9"/>
        <v/>
      </c>
      <c r="Z8" s="109" t="str" cm="1">
        <f t="array" ref="Z8">IFERROR(_xlfn._xlws.FILTER(ST[SOH],(ST[Code]=$C8) * (ST[Customer Name]=S$3),"" ),"")</f>
        <v/>
      </c>
      <c r="AA8" s="109" t="str" cm="1">
        <f t="array" ref="AA8">IFERROR(
    _xlfn.LET(
        _xlpm.result, INDEX(_xlfn._xlws.FILTER(ST[6wk avg], (ST[Code]=$C8)*(ST[Customer Name]=S$3), ""), 1),
        IF(_xlpm.result=0, "", _xlpm.result)
    ),
"")</f>
        <v/>
      </c>
      <c r="AB8" s="102" t="str">
        <f t="shared" si="45"/>
        <v/>
      </c>
      <c r="AC8" s="70" t="str">
        <f t="shared" si="10"/>
        <v/>
      </c>
      <c r="AD8" s="83" t="str">
        <f t="shared" si="11"/>
        <v/>
      </c>
      <c r="AE8" s="77"/>
      <c r="AF8" s="108" t="str" cm="1">
        <f t="array" ref="AF8">IFERROR(_xlfn._xlws.FILTER(ST[Customer Code],(ST[Code]=$C8) * (ST[Customer Name]=AF$3),"" ),"")</f>
        <v/>
      </c>
      <c r="AG8" s="68" t="str" cm="1">
        <f t="array" ref="AG8">IFERROR(_xlfn.XLOOKUP($C8,Query[Code], _xlfn.XLOOKUP('Promo Form'!AF$3,Query[[#Headers],[Code]:[Bing Lee]],Query[[Code]:[Bing Lee]])),"")</f>
        <v/>
      </c>
      <c r="AH8" s="16" t="str">
        <f t="shared" si="12"/>
        <v/>
      </c>
      <c r="AI8" s="16" t="str">
        <f t="shared" si="13"/>
        <v/>
      </c>
      <c r="AJ8" s="17" t="str">
        <f t="shared" si="46"/>
        <v/>
      </c>
      <c r="AK8" s="18" t="str">
        <f t="shared" si="14"/>
        <v/>
      </c>
      <c r="AL8" s="18" t="str">
        <f t="shared" si="15"/>
        <v/>
      </c>
      <c r="AM8" s="109" t="str" cm="1">
        <f t="array" ref="AM8">IFERROR(_xlfn._xlws.FILTER(ST[SOH],(ST[Code]=$C8) * (ST[Customer Name]=AF$3),"" ),"")</f>
        <v/>
      </c>
      <c r="AN8" s="109" t="str" cm="1">
        <f t="array" ref="AN8">IFERROR(
    _xlfn.LET(
        _xlpm.result, INDEX(_xlfn._xlws.FILTER(ST[6wk avg], (ST[Code]=$C8)*(ST[Customer Name]=AF$3), ""), 1),
        IF(_xlpm.result=0, "", _xlpm.result)
    ),
"")</f>
        <v/>
      </c>
      <c r="AO8" s="102" t="str">
        <f t="shared" si="47"/>
        <v/>
      </c>
      <c r="AP8" s="70" t="str">
        <f t="shared" si="16"/>
        <v/>
      </c>
      <c r="AQ8" s="83" t="str">
        <f t="shared" si="17"/>
        <v/>
      </c>
      <c r="AR8" s="77"/>
      <c r="AS8" s="108" t="str" cm="1">
        <f t="array" ref="AS8">IFERROR(_xlfn._xlws.FILTER(ST[Customer Code],(ST[Code]=$C8) * (ST[Customer Name]=AS$3),"" ),"")</f>
        <v/>
      </c>
      <c r="AT8" s="68" t="str" cm="1">
        <f t="array" ref="AT8">IFERROR(_xlfn.XLOOKUP($C8,Query[Code], _xlfn.XLOOKUP('Promo Form'!AS$3,Query[[#Headers],[Code]:[Bing Lee]],Query[[Code]:[Bing Lee]])),"")</f>
        <v/>
      </c>
      <c r="AU8" s="16" t="str">
        <f t="shared" si="18"/>
        <v/>
      </c>
      <c r="AV8" s="16" t="str">
        <f t="shared" si="19"/>
        <v/>
      </c>
      <c r="AW8" s="17" t="str">
        <f t="shared" si="48"/>
        <v/>
      </c>
      <c r="AX8" s="18" t="str">
        <f t="shared" si="20"/>
        <v/>
      </c>
      <c r="AY8" s="18" t="str">
        <f t="shared" si="21"/>
        <v/>
      </c>
      <c r="AZ8" s="109" t="str" cm="1">
        <f t="array" ref="AZ8">IFERROR(_xlfn._xlws.FILTER(ST[SOH],(ST[Code]=$C8) * (ST[Customer Name]=AS$3),"" ),"")</f>
        <v/>
      </c>
      <c r="BA8" s="109" t="str" cm="1">
        <f t="array" ref="BA8">IFERROR(
    _xlfn.LET(
        _xlpm.result, INDEX(_xlfn._xlws.FILTER(ST[6wk avg], (ST[Code]=$C8)*(ST[Customer Name]=AS$3), ""), 1),
        IF(_xlpm.result=0, "", _xlpm.result)
    ),
"")</f>
        <v/>
      </c>
      <c r="BB8" s="102" t="str">
        <f t="shared" si="49"/>
        <v/>
      </c>
      <c r="BC8" s="70" t="str">
        <f t="shared" si="22"/>
        <v/>
      </c>
      <c r="BD8" s="83" t="str">
        <f t="shared" si="23"/>
        <v/>
      </c>
      <c r="BE8" s="77"/>
      <c r="BF8" s="108" t="str" cm="1">
        <f t="array" ref="BF8">IFERROR(_xlfn._xlws.FILTER(ST[Customer Code],(ST[Code]=$C8) * (ST[Customer Name]=BF$3),"" ),"")</f>
        <v/>
      </c>
      <c r="BG8" s="68" t="str" cm="1">
        <f t="array" ref="BG8">IFERROR(_xlfn.XLOOKUP($C8,Query[Code], _xlfn.XLOOKUP('Promo Form'!BF$3,Query[[#Headers],[Code]:[Bing Lee]],Query[[Code]:[Bing Lee]])),"")</f>
        <v/>
      </c>
      <c r="BH8" s="16" t="str">
        <f t="shared" si="24"/>
        <v/>
      </c>
      <c r="BI8" s="16" t="str">
        <f t="shared" si="25"/>
        <v/>
      </c>
      <c r="BJ8" s="17" t="str">
        <f t="shared" si="50"/>
        <v/>
      </c>
      <c r="BK8" s="18" t="str">
        <f t="shared" si="26"/>
        <v/>
      </c>
      <c r="BL8" s="18" t="str">
        <f t="shared" si="27"/>
        <v/>
      </c>
      <c r="BM8" s="109" t="str" cm="1">
        <f t="array" ref="BM8">IFERROR(_xlfn._xlws.FILTER(ST[SOH],(ST[Code]=$C8) * (ST[Customer Name]=BF$3),"" ),"")</f>
        <v/>
      </c>
      <c r="BN8" s="109" t="str" cm="1">
        <f t="array" ref="BN8">IFERROR(
    _xlfn.LET(
        _xlpm.result, INDEX(_xlfn._xlws.FILTER(ST[6wk avg], (ST[Code]=$C8)*(ST[Customer Name]=BF$3), ""), 1),
        IF(_xlpm.result=0, "", _xlpm.result)
    ),
"")</f>
        <v/>
      </c>
      <c r="BO8" s="102" t="str">
        <f t="shared" si="51"/>
        <v/>
      </c>
      <c r="BP8" s="70" t="str">
        <f t="shared" si="28"/>
        <v/>
      </c>
      <c r="BQ8" s="83" t="str">
        <f t="shared" si="29"/>
        <v/>
      </c>
      <c r="BR8" s="77"/>
      <c r="BS8" s="108" t="str" cm="1">
        <f t="array" ref="BS8">IFERROR(_xlfn._xlws.FILTER(ST[Customer Code],(ST[Code]=$C8) * (ST[Customer Name]=BS$3),"" ),"")</f>
        <v/>
      </c>
      <c r="BT8" s="68" t="str" cm="1">
        <f t="array" ref="BT8">IFERROR(_xlfn.XLOOKUP($C8,Query[Code], _xlfn.XLOOKUP('Promo Form'!BS$3,Query[[#Headers],[Code]:[Bing Lee]],Query[[Code]:[Bing Lee]])),"")</f>
        <v/>
      </c>
      <c r="BU8" s="16" t="str">
        <f t="shared" si="30"/>
        <v/>
      </c>
      <c r="BV8" s="16" t="str">
        <f t="shared" si="31"/>
        <v/>
      </c>
      <c r="BW8" s="17" t="str">
        <f t="shared" si="52"/>
        <v/>
      </c>
      <c r="BX8" s="18" t="str">
        <f t="shared" si="32"/>
        <v/>
      </c>
      <c r="BY8" s="18" t="str">
        <f t="shared" si="33"/>
        <v/>
      </c>
      <c r="BZ8" s="109" t="str" cm="1">
        <f t="array" ref="BZ8">IFERROR(_xlfn._xlws.FILTER(ST[SOH],(ST[Code]=$C8) * (ST[Customer Name]=BS$3),"" ),"")</f>
        <v/>
      </c>
      <c r="CA8" s="109" t="str" cm="1">
        <f t="array" ref="CA8">IFERROR(
    _xlfn.LET(
        _xlpm.result, INDEX(_xlfn._xlws.FILTER(ST[6wk avg], (ST[Code]=$C8)*(ST[Customer Name]=BS$3), ""), 1),
        IF(_xlpm.result=0, "", _xlpm.result)
    ),
"")</f>
        <v/>
      </c>
      <c r="CB8" s="102" t="str">
        <f t="shared" si="53"/>
        <v/>
      </c>
      <c r="CC8" s="70" t="str">
        <f t="shared" si="34"/>
        <v/>
      </c>
      <c r="CD8" s="83" t="str">
        <f t="shared" si="35"/>
        <v/>
      </c>
      <c r="CE8" s="77"/>
      <c r="CF8" s="108" t="str" cm="1">
        <f t="array" ref="CF8">IFERROR(_xlfn._xlws.FILTER(ST[Customer Code],(ST[Code]=$C8) * (ST[Customer Name]=CF$3),"" ),"")</f>
        <v/>
      </c>
      <c r="CG8" s="68" t="str" cm="1">
        <f t="array" ref="CG8">IFERROR(_xlfn.XLOOKUP($C8,Query[Code], _xlfn.XLOOKUP('Promo Form'!CF$3,Query[[#Headers],[Code]:[Bing Lee]],Query[[Code]:[Bing Lee]])),"")</f>
        <v/>
      </c>
      <c r="CH8" s="16" t="str">
        <f t="shared" si="36"/>
        <v/>
      </c>
      <c r="CI8" s="16" t="str">
        <f t="shared" si="37"/>
        <v/>
      </c>
      <c r="CJ8" s="17" t="str">
        <f t="shared" si="54"/>
        <v/>
      </c>
      <c r="CK8" s="18" t="str">
        <f t="shared" si="38"/>
        <v/>
      </c>
      <c r="CL8" s="18" t="str">
        <f t="shared" si="39"/>
        <v/>
      </c>
      <c r="CM8" s="109" t="str" cm="1">
        <f t="array" ref="CM8">IFERROR(_xlfn._xlws.FILTER(ST[SOH],(ST[Code]=$C8) * (ST[Customer Name]=CF$3),"" ),"")</f>
        <v/>
      </c>
      <c r="CN8" s="109" t="str" cm="1">
        <f t="array" ref="CN8">IFERROR(
    _xlfn.LET(
        _xlpm.result, INDEX(_xlfn._xlws.FILTER(ST[6wk avg], (ST[Code]=$C8)*(ST[Customer Name]=CF$3), ""), 1),
        IF(_xlpm.result=0, "", _xlpm.result)
    ),
"")</f>
        <v/>
      </c>
      <c r="CO8" s="102" t="str">
        <f t="shared" si="55"/>
        <v/>
      </c>
      <c r="CP8" s="70" t="str">
        <f t="shared" si="40"/>
        <v/>
      </c>
      <c r="CQ8" s="83" t="str">
        <f t="shared" si="41"/>
        <v/>
      </c>
      <c r="CR8" s="77"/>
      <c r="CS8" s="17" t="str">
        <f>IFERROR(_xlfn.XLOOKUP(C8,Query[Code],Query[Base (RRP Inc)]),"")</f>
        <v/>
      </c>
      <c r="CT8" s="17" t="str">
        <f t="shared" si="56"/>
        <v/>
      </c>
      <c r="CU8" s="107" t="str">
        <f t="shared" si="57"/>
        <v/>
      </c>
      <c r="CV8" s="17" t="str">
        <f t="shared" si="58"/>
        <v/>
      </c>
      <c r="CW8" s="98"/>
    </row>
    <row r="9" spans="1:101" x14ac:dyDescent="0.2">
      <c r="A9" s="106" t="str">
        <f t="shared" si="59"/>
        <v/>
      </c>
      <c r="B9" s="106" t="str">
        <f t="shared" si="60"/>
        <v/>
      </c>
      <c r="C9" s="13"/>
      <c r="D9" s="14" t="str">
        <f>IF(C9="", "",_xlfn.XLOOKUP(C9,'Master Price Level'!C:C,'Master Price Level'!D:D))</f>
        <v/>
      </c>
      <c r="E9" s="15"/>
      <c r="F9" s="108" t="str" cm="1">
        <f t="array" ref="F9">IFERROR(_xlfn._xlws.FILTER(ST[Customer Code],(ST[Code]=$C9) * (ST[Customer Name]=F$3),"" ),"")</f>
        <v/>
      </c>
      <c r="G9" s="68" t="str" cm="1">
        <f t="array" ref="G9">IFERROR(_xlfn.XLOOKUP($C9,Query[Code], _xlfn.XLOOKUP('Promo Form'!F$3,Query[[#Headers],[Code]:[Bing Lee]],Query[[Code]:[Bing Lee]])),"")</f>
        <v/>
      </c>
      <c r="H9" s="16" t="str">
        <f t="shared" si="0"/>
        <v/>
      </c>
      <c r="I9" s="16" t="str">
        <f t="shared" si="1"/>
        <v/>
      </c>
      <c r="J9" s="17" t="str">
        <f t="shared" si="42"/>
        <v/>
      </c>
      <c r="K9" s="18" t="str">
        <f t="shared" si="2"/>
        <v/>
      </c>
      <c r="L9" s="18" t="str">
        <f t="shared" si="3"/>
        <v/>
      </c>
      <c r="M9" s="109" t="str" cm="1">
        <f t="array" ref="M9">IFERROR(_xlfn._xlws.FILTER(ST[SOH],(ST[Code]=$C9) * (ST[Customer Name]=F$3),"" ),"")</f>
        <v/>
      </c>
      <c r="N9" s="109" t="str" cm="1">
        <f t="array" ref="N9">IFERROR(
    _xlfn.LET(
        _xlpm.result, INDEX(_xlfn._xlws.FILTER(ST[6wk avg], (ST[Code]=$C9)*(ST[Customer Name]=F$3), ""), 1),
        IF(_xlpm.result=0, "", _xlpm.result)
    ),
"")</f>
        <v/>
      </c>
      <c r="O9" s="102" t="str">
        <f t="shared" si="43"/>
        <v/>
      </c>
      <c r="P9" s="70" t="str">
        <f t="shared" si="4"/>
        <v/>
      </c>
      <c r="Q9" s="83" t="str">
        <f t="shared" si="5"/>
        <v/>
      </c>
      <c r="R9" s="77"/>
      <c r="S9" s="108" t="str" cm="1">
        <f t="array" ref="S9">IFERROR(_xlfn._xlws.FILTER(ST[Customer Code],(ST[Code]=$C9) * (ST[Customer Name]=S$3),"" ),"")</f>
        <v/>
      </c>
      <c r="T9" s="68" t="str" cm="1">
        <f t="array" ref="T9">IFERROR(_xlfn.XLOOKUP($C9,Query[Code], _xlfn.XLOOKUP('Promo Form'!S$3,Query[[#Headers],[Code]:[Bing Lee]],Query[[Code]:[Bing Lee]])),"")</f>
        <v/>
      </c>
      <c r="U9" s="16" t="str">
        <f t="shared" si="6"/>
        <v/>
      </c>
      <c r="V9" s="16" t="str">
        <f t="shared" si="7"/>
        <v/>
      </c>
      <c r="W9" s="17" t="str">
        <f t="shared" si="44"/>
        <v/>
      </c>
      <c r="X9" s="18" t="str">
        <f t="shared" si="8"/>
        <v/>
      </c>
      <c r="Y9" s="18" t="str">
        <f t="shared" si="9"/>
        <v/>
      </c>
      <c r="Z9" s="109" t="str" cm="1">
        <f t="array" ref="Z9">IFERROR(_xlfn._xlws.FILTER(ST[SOH],(ST[Code]=$C9) * (ST[Customer Name]=S$3),"" ),"")</f>
        <v/>
      </c>
      <c r="AA9" s="109" t="str" cm="1">
        <f t="array" ref="AA9">IFERROR(
    _xlfn.LET(
        _xlpm.result, INDEX(_xlfn._xlws.FILTER(ST[6wk avg], (ST[Code]=$C9)*(ST[Customer Name]=S$3), ""), 1),
        IF(_xlpm.result=0, "", _xlpm.result)
    ),
"")</f>
        <v/>
      </c>
      <c r="AB9" s="102" t="str">
        <f t="shared" si="45"/>
        <v/>
      </c>
      <c r="AC9" s="70" t="str">
        <f t="shared" si="10"/>
        <v/>
      </c>
      <c r="AD9" s="83" t="str">
        <f t="shared" si="11"/>
        <v/>
      </c>
      <c r="AE9" s="77"/>
      <c r="AF9" s="108" t="str" cm="1">
        <f t="array" ref="AF9">IFERROR(_xlfn._xlws.FILTER(ST[Customer Code],(ST[Code]=$C9) * (ST[Customer Name]=AF$3),"" ),"")</f>
        <v/>
      </c>
      <c r="AG9" s="68" t="str" cm="1">
        <f t="array" ref="AG9">IFERROR(_xlfn.XLOOKUP($C9,Query[Code], _xlfn.XLOOKUP('Promo Form'!AF$3,Query[[#Headers],[Code]:[Bing Lee]],Query[[Code]:[Bing Lee]])),"")</f>
        <v/>
      </c>
      <c r="AH9" s="16" t="str">
        <f t="shared" si="12"/>
        <v/>
      </c>
      <c r="AI9" s="16" t="str">
        <f t="shared" si="13"/>
        <v/>
      </c>
      <c r="AJ9" s="17" t="str">
        <f t="shared" si="46"/>
        <v/>
      </c>
      <c r="AK9" s="18" t="str">
        <f t="shared" si="14"/>
        <v/>
      </c>
      <c r="AL9" s="18" t="str">
        <f t="shared" si="15"/>
        <v/>
      </c>
      <c r="AM9" s="109" t="str" cm="1">
        <f t="array" ref="AM9">IFERROR(_xlfn._xlws.FILTER(ST[SOH],(ST[Code]=$C9) * (ST[Customer Name]=AF$3),"" ),"")</f>
        <v/>
      </c>
      <c r="AN9" s="109" t="str" cm="1">
        <f t="array" ref="AN9">IFERROR(
    _xlfn.LET(
        _xlpm.result, INDEX(_xlfn._xlws.FILTER(ST[6wk avg], (ST[Code]=$C9)*(ST[Customer Name]=AF$3), ""), 1),
        IF(_xlpm.result=0, "", _xlpm.result)
    ),
"")</f>
        <v/>
      </c>
      <c r="AO9" s="102" t="str">
        <f t="shared" si="47"/>
        <v/>
      </c>
      <c r="AP9" s="70" t="str">
        <f t="shared" si="16"/>
        <v/>
      </c>
      <c r="AQ9" s="83" t="str">
        <f t="shared" si="17"/>
        <v/>
      </c>
      <c r="AR9" s="77"/>
      <c r="AS9" s="108" t="str" cm="1">
        <f t="array" ref="AS9">IFERROR(_xlfn._xlws.FILTER(ST[Customer Code],(ST[Code]=$C9) * (ST[Customer Name]=AS$3),"" ),"")</f>
        <v/>
      </c>
      <c r="AT9" s="68" t="str" cm="1">
        <f t="array" ref="AT9">IFERROR(_xlfn.XLOOKUP($C9,Query[Code], _xlfn.XLOOKUP('Promo Form'!AS$3,Query[[#Headers],[Code]:[Bing Lee]],Query[[Code]:[Bing Lee]])),"")</f>
        <v/>
      </c>
      <c r="AU9" s="16" t="str">
        <f t="shared" si="18"/>
        <v/>
      </c>
      <c r="AV9" s="16" t="str">
        <f t="shared" si="19"/>
        <v/>
      </c>
      <c r="AW9" s="17" t="str">
        <f t="shared" si="48"/>
        <v/>
      </c>
      <c r="AX9" s="18" t="str">
        <f t="shared" si="20"/>
        <v/>
      </c>
      <c r="AY9" s="18" t="str">
        <f t="shared" si="21"/>
        <v/>
      </c>
      <c r="AZ9" s="109" t="str" cm="1">
        <f t="array" ref="AZ9">IFERROR(_xlfn._xlws.FILTER(ST[SOH],(ST[Code]=$C9) * (ST[Customer Name]=AS$3),"" ),"")</f>
        <v/>
      </c>
      <c r="BA9" s="109" t="str" cm="1">
        <f t="array" ref="BA9">IFERROR(
    _xlfn.LET(
        _xlpm.result, INDEX(_xlfn._xlws.FILTER(ST[6wk avg], (ST[Code]=$C9)*(ST[Customer Name]=AS$3), ""), 1),
        IF(_xlpm.result=0, "", _xlpm.result)
    ),
"")</f>
        <v/>
      </c>
      <c r="BB9" s="102" t="str">
        <f t="shared" si="49"/>
        <v/>
      </c>
      <c r="BC9" s="70" t="str">
        <f t="shared" si="22"/>
        <v/>
      </c>
      <c r="BD9" s="83" t="str">
        <f t="shared" si="23"/>
        <v/>
      </c>
      <c r="BE9" s="77"/>
      <c r="BF9" s="108" t="str" cm="1">
        <f t="array" ref="BF9">IFERROR(_xlfn._xlws.FILTER(ST[Customer Code],(ST[Code]=$C9) * (ST[Customer Name]=BF$3),"" ),"")</f>
        <v/>
      </c>
      <c r="BG9" s="68" t="str" cm="1">
        <f t="array" ref="BG9">IFERROR(_xlfn.XLOOKUP($C9,Query[Code], _xlfn.XLOOKUP('Promo Form'!BF$3,Query[[#Headers],[Code]:[Bing Lee]],Query[[Code]:[Bing Lee]])),"")</f>
        <v/>
      </c>
      <c r="BH9" s="16" t="str">
        <f t="shared" si="24"/>
        <v/>
      </c>
      <c r="BI9" s="16" t="str">
        <f t="shared" si="25"/>
        <v/>
      </c>
      <c r="BJ9" s="17" t="str">
        <f t="shared" si="50"/>
        <v/>
      </c>
      <c r="BK9" s="18" t="str">
        <f t="shared" si="26"/>
        <v/>
      </c>
      <c r="BL9" s="18" t="str">
        <f t="shared" si="27"/>
        <v/>
      </c>
      <c r="BM9" s="109" t="str" cm="1">
        <f t="array" ref="BM9">IFERROR(_xlfn._xlws.FILTER(ST[SOH],(ST[Code]=$C9) * (ST[Customer Name]=BF$3),"" ),"")</f>
        <v/>
      </c>
      <c r="BN9" s="109" t="str" cm="1">
        <f t="array" ref="BN9">IFERROR(
    _xlfn.LET(
        _xlpm.result, INDEX(_xlfn._xlws.FILTER(ST[6wk avg], (ST[Code]=$C9)*(ST[Customer Name]=BF$3), ""), 1),
        IF(_xlpm.result=0, "", _xlpm.result)
    ),
"")</f>
        <v/>
      </c>
      <c r="BO9" s="102" t="str">
        <f t="shared" si="51"/>
        <v/>
      </c>
      <c r="BP9" s="70" t="str">
        <f t="shared" si="28"/>
        <v/>
      </c>
      <c r="BQ9" s="83" t="str">
        <f t="shared" si="29"/>
        <v/>
      </c>
      <c r="BR9" s="77"/>
      <c r="BS9" s="108" t="str" cm="1">
        <f t="array" ref="BS9">IFERROR(_xlfn._xlws.FILTER(ST[Customer Code],(ST[Code]=$C9) * (ST[Customer Name]=BS$3),"" ),"")</f>
        <v/>
      </c>
      <c r="BT9" s="68" t="str" cm="1">
        <f t="array" ref="BT9">IFERROR(_xlfn.XLOOKUP($C9,Query[Code], _xlfn.XLOOKUP('Promo Form'!BS$3,Query[[#Headers],[Code]:[Bing Lee]],Query[[Code]:[Bing Lee]])),"")</f>
        <v/>
      </c>
      <c r="BU9" s="16" t="str">
        <f t="shared" si="30"/>
        <v/>
      </c>
      <c r="BV9" s="16" t="str">
        <f t="shared" si="31"/>
        <v/>
      </c>
      <c r="BW9" s="17" t="str">
        <f t="shared" si="52"/>
        <v/>
      </c>
      <c r="BX9" s="18" t="str">
        <f t="shared" si="32"/>
        <v/>
      </c>
      <c r="BY9" s="18" t="str">
        <f t="shared" si="33"/>
        <v/>
      </c>
      <c r="BZ9" s="109" t="str" cm="1">
        <f t="array" ref="BZ9">IFERROR(_xlfn._xlws.FILTER(ST[SOH],(ST[Code]=$C9) * (ST[Customer Name]=BS$3),"" ),"")</f>
        <v/>
      </c>
      <c r="CA9" s="109" t="str" cm="1">
        <f t="array" ref="CA9">IFERROR(
    _xlfn.LET(
        _xlpm.result, INDEX(_xlfn._xlws.FILTER(ST[6wk avg], (ST[Code]=$C9)*(ST[Customer Name]=BS$3), ""), 1),
        IF(_xlpm.result=0, "", _xlpm.result)
    ),
"")</f>
        <v/>
      </c>
      <c r="CB9" s="102" t="str">
        <f t="shared" si="53"/>
        <v/>
      </c>
      <c r="CC9" s="70" t="str">
        <f t="shared" si="34"/>
        <v/>
      </c>
      <c r="CD9" s="83" t="str">
        <f t="shared" si="35"/>
        <v/>
      </c>
      <c r="CE9" s="77"/>
      <c r="CF9" s="108" t="str" cm="1">
        <f t="array" ref="CF9">IFERROR(_xlfn._xlws.FILTER(ST[Customer Code],(ST[Code]=$C9) * (ST[Customer Name]=CF$3),"" ),"")</f>
        <v/>
      </c>
      <c r="CG9" s="68" t="str" cm="1">
        <f t="array" ref="CG9">IFERROR(_xlfn.XLOOKUP($C9,Query[Code], _xlfn.XLOOKUP('Promo Form'!CF$3,Query[[#Headers],[Code]:[Bing Lee]],Query[[Code]:[Bing Lee]])),"")</f>
        <v/>
      </c>
      <c r="CH9" s="16" t="str">
        <f t="shared" si="36"/>
        <v/>
      </c>
      <c r="CI9" s="16" t="str">
        <f t="shared" si="37"/>
        <v/>
      </c>
      <c r="CJ9" s="17" t="str">
        <f t="shared" si="54"/>
        <v/>
      </c>
      <c r="CK9" s="18" t="str">
        <f t="shared" si="38"/>
        <v/>
      </c>
      <c r="CL9" s="18" t="str">
        <f t="shared" si="39"/>
        <v/>
      </c>
      <c r="CM9" s="109" t="str" cm="1">
        <f t="array" ref="CM9">IFERROR(_xlfn._xlws.FILTER(ST[SOH],(ST[Code]=$C9) * (ST[Customer Name]=CF$3),"" ),"")</f>
        <v/>
      </c>
      <c r="CN9" s="109" t="str" cm="1">
        <f t="array" ref="CN9">IFERROR(
    _xlfn.LET(
        _xlpm.result, INDEX(_xlfn._xlws.FILTER(ST[6wk avg], (ST[Code]=$C9)*(ST[Customer Name]=CF$3), ""), 1),
        IF(_xlpm.result=0, "", _xlpm.result)
    ),
"")</f>
        <v/>
      </c>
      <c r="CO9" s="102" t="str">
        <f t="shared" si="55"/>
        <v/>
      </c>
      <c r="CP9" s="70" t="str">
        <f t="shared" si="40"/>
        <v/>
      </c>
      <c r="CQ9" s="83" t="str">
        <f t="shared" si="41"/>
        <v/>
      </c>
      <c r="CR9" s="77"/>
      <c r="CS9" s="17" t="str">
        <f>IFERROR(_xlfn.XLOOKUP(C9,Query[Code],Query[Base (RRP Inc)]),"")</f>
        <v/>
      </c>
      <c r="CT9" s="17" t="str">
        <f t="shared" si="56"/>
        <v/>
      </c>
      <c r="CU9" s="107" t="str">
        <f t="shared" si="57"/>
        <v/>
      </c>
      <c r="CV9" s="17" t="str">
        <f t="shared" si="58"/>
        <v/>
      </c>
      <c r="CW9" s="17"/>
    </row>
    <row r="10" spans="1:101" x14ac:dyDescent="0.2">
      <c r="A10" s="106" t="str">
        <f t="shared" si="59"/>
        <v/>
      </c>
      <c r="B10" s="106" t="str">
        <f t="shared" si="60"/>
        <v/>
      </c>
      <c r="C10" s="13"/>
      <c r="D10" s="14" t="str">
        <f>IF(C10="", "",_xlfn.XLOOKUP(C10,'Master Price Level'!C:C,'Master Price Level'!D:D))</f>
        <v/>
      </c>
      <c r="E10" s="15"/>
      <c r="F10" s="108" t="str" cm="1">
        <f t="array" ref="F10">IFERROR(_xlfn._xlws.FILTER(ST[Customer Code],(ST[Code]=$C10) * (ST[Customer Name]=F$3),"" ),"")</f>
        <v/>
      </c>
      <c r="G10" s="68" t="str" cm="1">
        <f t="array" ref="G10">IFERROR(_xlfn.XLOOKUP($C10,Query[Code], _xlfn.XLOOKUP('Promo Form'!F$3,Query[[#Headers],[Code]:[Bing Lee]],Query[[Code]:[Bing Lee]])),"")</f>
        <v/>
      </c>
      <c r="H10" s="16" t="str">
        <f t="shared" si="0"/>
        <v/>
      </c>
      <c r="I10" s="16" t="str">
        <f t="shared" si="1"/>
        <v/>
      </c>
      <c r="J10" s="17" t="str">
        <f t="shared" si="42"/>
        <v/>
      </c>
      <c r="K10" s="18" t="str">
        <f t="shared" si="2"/>
        <v/>
      </c>
      <c r="L10" s="18" t="str">
        <f t="shared" si="3"/>
        <v/>
      </c>
      <c r="M10" s="109" t="str" cm="1">
        <f t="array" ref="M10">IFERROR(_xlfn._xlws.FILTER(ST[SOH],(ST[Code]=$C10) * (ST[Customer Name]=F$3),"" ),"")</f>
        <v/>
      </c>
      <c r="N10" s="109" t="str" cm="1">
        <f t="array" ref="N10">IFERROR(
    _xlfn.LET(
        _xlpm.result, INDEX(_xlfn._xlws.FILTER(ST[6wk avg], (ST[Code]=$C10)*(ST[Customer Name]=F$3), ""), 1),
        IF(_xlpm.result=0, "", _xlpm.result)
    ),
"")</f>
        <v/>
      </c>
      <c r="O10" s="102" t="str">
        <f t="shared" si="43"/>
        <v/>
      </c>
      <c r="P10" s="70" t="str">
        <f t="shared" si="4"/>
        <v/>
      </c>
      <c r="Q10" s="83" t="str">
        <f t="shared" si="5"/>
        <v/>
      </c>
      <c r="R10" s="77"/>
      <c r="S10" s="108" t="str" cm="1">
        <f t="array" ref="S10">IFERROR(_xlfn._xlws.FILTER(ST[Customer Code],(ST[Code]=$C10) * (ST[Customer Name]=S$3),"" ),"")</f>
        <v/>
      </c>
      <c r="T10" s="68" t="str" cm="1">
        <f t="array" ref="T10">IFERROR(_xlfn.XLOOKUP($C10,Query[Code], _xlfn.XLOOKUP('Promo Form'!S$3,Query[[#Headers],[Code]:[Bing Lee]],Query[[Code]:[Bing Lee]])),"")</f>
        <v/>
      </c>
      <c r="U10" s="16" t="str">
        <f t="shared" si="6"/>
        <v/>
      </c>
      <c r="V10" s="16" t="str">
        <f t="shared" si="7"/>
        <v/>
      </c>
      <c r="W10" s="17" t="str">
        <f t="shared" si="44"/>
        <v/>
      </c>
      <c r="X10" s="18" t="str">
        <f t="shared" si="8"/>
        <v/>
      </c>
      <c r="Y10" s="18" t="str">
        <f t="shared" si="9"/>
        <v/>
      </c>
      <c r="Z10" s="109" t="str" cm="1">
        <f t="array" ref="Z10">IFERROR(_xlfn._xlws.FILTER(ST[SOH],(ST[Code]=$C10) * (ST[Customer Name]=S$3),"" ),"")</f>
        <v/>
      </c>
      <c r="AA10" s="109" t="str" cm="1">
        <f t="array" ref="AA10">IFERROR(
    _xlfn.LET(
        _xlpm.result, INDEX(_xlfn._xlws.FILTER(ST[6wk avg], (ST[Code]=$C10)*(ST[Customer Name]=S$3), ""), 1),
        IF(_xlpm.result=0, "", _xlpm.result)
    ),
"")</f>
        <v/>
      </c>
      <c r="AB10" s="102" t="str">
        <f t="shared" si="45"/>
        <v/>
      </c>
      <c r="AC10" s="70" t="str">
        <f t="shared" si="10"/>
        <v/>
      </c>
      <c r="AD10" s="83" t="str">
        <f t="shared" si="11"/>
        <v/>
      </c>
      <c r="AE10" s="77"/>
      <c r="AF10" s="108" t="str" cm="1">
        <f t="array" ref="AF10">IFERROR(_xlfn._xlws.FILTER(ST[Customer Code],(ST[Code]=$C10) * (ST[Customer Name]=AF$3),"" ),"")</f>
        <v/>
      </c>
      <c r="AG10" s="68" t="str" cm="1">
        <f t="array" ref="AG10">IFERROR(_xlfn.XLOOKUP($C10,Query[Code], _xlfn.XLOOKUP('Promo Form'!AF$3,Query[[#Headers],[Code]:[Bing Lee]],Query[[Code]:[Bing Lee]])),"")</f>
        <v/>
      </c>
      <c r="AH10" s="16" t="str">
        <f t="shared" si="12"/>
        <v/>
      </c>
      <c r="AI10" s="16" t="str">
        <f t="shared" si="13"/>
        <v/>
      </c>
      <c r="AJ10" s="17" t="str">
        <f t="shared" si="46"/>
        <v/>
      </c>
      <c r="AK10" s="18" t="str">
        <f t="shared" si="14"/>
        <v/>
      </c>
      <c r="AL10" s="18" t="str">
        <f t="shared" si="15"/>
        <v/>
      </c>
      <c r="AM10" s="109" t="str" cm="1">
        <f t="array" ref="AM10">IFERROR(_xlfn._xlws.FILTER(ST[SOH],(ST[Code]=$C10) * (ST[Customer Name]=AF$3),"" ),"")</f>
        <v/>
      </c>
      <c r="AN10" s="109" t="str" cm="1">
        <f t="array" ref="AN10">IFERROR(
    _xlfn.LET(
        _xlpm.result, INDEX(_xlfn._xlws.FILTER(ST[6wk avg], (ST[Code]=$C10)*(ST[Customer Name]=AF$3), ""), 1),
        IF(_xlpm.result=0, "", _xlpm.result)
    ),
"")</f>
        <v/>
      </c>
      <c r="AO10" s="102" t="str">
        <f t="shared" si="47"/>
        <v/>
      </c>
      <c r="AP10" s="70" t="str">
        <f t="shared" si="16"/>
        <v/>
      </c>
      <c r="AQ10" s="83" t="str">
        <f t="shared" si="17"/>
        <v/>
      </c>
      <c r="AR10" s="77"/>
      <c r="AS10" s="108" t="str" cm="1">
        <f t="array" ref="AS10">IFERROR(_xlfn._xlws.FILTER(ST[Customer Code],(ST[Code]=$C10) * (ST[Customer Name]=AS$3),"" ),"")</f>
        <v/>
      </c>
      <c r="AT10" s="68" t="str" cm="1">
        <f t="array" ref="AT10">IFERROR(_xlfn.XLOOKUP($C10,Query[Code], _xlfn.XLOOKUP('Promo Form'!AS$3,Query[[#Headers],[Code]:[Bing Lee]],Query[[Code]:[Bing Lee]])),"")</f>
        <v/>
      </c>
      <c r="AU10" s="16" t="str">
        <f t="shared" si="18"/>
        <v/>
      </c>
      <c r="AV10" s="16" t="str">
        <f t="shared" si="19"/>
        <v/>
      </c>
      <c r="AW10" s="17" t="str">
        <f t="shared" si="48"/>
        <v/>
      </c>
      <c r="AX10" s="18" t="str">
        <f t="shared" si="20"/>
        <v/>
      </c>
      <c r="AY10" s="18" t="str">
        <f t="shared" si="21"/>
        <v/>
      </c>
      <c r="AZ10" s="109" t="str" cm="1">
        <f t="array" ref="AZ10">IFERROR(_xlfn._xlws.FILTER(ST[SOH],(ST[Code]=$C10) * (ST[Customer Name]=AS$3),"" ),"")</f>
        <v/>
      </c>
      <c r="BA10" s="109" t="str" cm="1">
        <f t="array" ref="BA10">IFERROR(
    _xlfn.LET(
        _xlpm.result, INDEX(_xlfn._xlws.FILTER(ST[6wk avg], (ST[Code]=$C10)*(ST[Customer Name]=AS$3), ""), 1),
        IF(_xlpm.result=0, "", _xlpm.result)
    ),
"")</f>
        <v/>
      </c>
      <c r="BB10" s="102" t="str">
        <f t="shared" si="49"/>
        <v/>
      </c>
      <c r="BC10" s="70" t="str">
        <f t="shared" si="22"/>
        <v/>
      </c>
      <c r="BD10" s="83" t="str">
        <f t="shared" si="23"/>
        <v/>
      </c>
      <c r="BE10" s="77"/>
      <c r="BF10" s="108" t="str" cm="1">
        <f t="array" ref="BF10">IFERROR(_xlfn._xlws.FILTER(ST[Customer Code],(ST[Code]=$C10) * (ST[Customer Name]=BF$3),"" ),"")</f>
        <v/>
      </c>
      <c r="BG10" s="68" t="str" cm="1">
        <f t="array" ref="BG10">IFERROR(_xlfn.XLOOKUP($C10,Query[Code], _xlfn.XLOOKUP('Promo Form'!BF$3,Query[[#Headers],[Code]:[Bing Lee]],Query[[Code]:[Bing Lee]])),"")</f>
        <v/>
      </c>
      <c r="BH10" s="16" t="str">
        <f t="shared" si="24"/>
        <v/>
      </c>
      <c r="BI10" s="16" t="str">
        <f t="shared" si="25"/>
        <v/>
      </c>
      <c r="BJ10" s="17" t="str">
        <f t="shared" si="50"/>
        <v/>
      </c>
      <c r="BK10" s="18" t="str">
        <f t="shared" si="26"/>
        <v/>
      </c>
      <c r="BL10" s="18" t="str">
        <f t="shared" si="27"/>
        <v/>
      </c>
      <c r="BM10" s="109" t="str" cm="1">
        <f t="array" ref="BM10">IFERROR(_xlfn._xlws.FILTER(ST[SOH],(ST[Code]=$C10) * (ST[Customer Name]=BF$3),"" ),"")</f>
        <v/>
      </c>
      <c r="BN10" s="109" t="str" cm="1">
        <f t="array" ref="BN10">IFERROR(
    _xlfn.LET(
        _xlpm.result, INDEX(_xlfn._xlws.FILTER(ST[6wk avg], (ST[Code]=$C10)*(ST[Customer Name]=BF$3), ""), 1),
        IF(_xlpm.result=0, "", _xlpm.result)
    ),
"")</f>
        <v/>
      </c>
      <c r="BO10" s="102" t="str">
        <f t="shared" si="51"/>
        <v/>
      </c>
      <c r="BP10" s="70" t="str">
        <f t="shared" si="28"/>
        <v/>
      </c>
      <c r="BQ10" s="83" t="str">
        <f t="shared" si="29"/>
        <v/>
      </c>
      <c r="BR10" s="77"/>
      <c r="BS10" s="108" t="str" cm="1">
        <f t="array" ref="BS10">IFERROR(_xlfn._xlws.FILTER(ST[Customer Code],(ST[Code]=$C10) * (ST[Customer Name]=BS$3),"" ),"")</f>
        <v/>
      </c>
      <c r="BT10" s="68" t="str" cm="1">
        <f t="array" ref="BT10">IFERROR(_xlfn.XLOOKUP($C10,Query[Code], _xlfn.XLOOKUP('Promo Form'!BS$3,Query[[#Headers],[Code]:[Bing Lee]],Query[[Code]:[Bing Lee]])),"")</f>
        <v/>
      </c>
      <c r="BU10" s="16" t="str">
        <f t="shared" si="30"/>
        <v/>
      </c>
      <c r="BV10" s="16" t="str">
        <f t="shared" si="31"/>
        <v/>
      </c>
      <c r="BW10" s="17" t="str">
        <f t="shared" si="52"/>
        <v/>
      </c>
      <c r="BX10" s="18" t="str">
        <f t="shared" si="32"/>
        <v/>
      </c>
      <c r="BY10" s="18" t="str">
        <f t="shared" si="33"/>
        <v/>
      </c>
      <c r="BZ10" s="109" t="str" cm="1">
        <f t="array" ref="BZ10">IFERROR(_xlfn._xlws.FILTER(ST[SOH],(ST[Code]=$C10) * (ST[Customer Name]=BS$3),"" ),"")</f>
        <v/>
      </c>
      <c r="CA10" s="109" t="str" cm="1">
        <f t="array" ref="CA10">IFERROR(
    _xlfn.LET(
        _xlpm.result, INDEX(_xlfn._xlws.FILTER(ST[6wk avg], (ST[Code]=$C10)*(ST[Customer Name]=BS$3), ""), 1),
        IF(_xlpm.result=0, "", _xlpm.result)
    ),
"")</f>
        <v/>
      </c>
      <c r="CB10" s="102" t="str">
        <f t="shared" si="53"/>
        <v/>
      </c>
      <c r="CC10" s="70" t="str">
        <f t="shared" si="34"/>
        <v/>
      </c>
      <c r="CD10" s="83" t="str">
        <f t="shared" si="35"/>
        <v/>
      </c>
      <c r="CE10" s="77"/>
      <c r="CF10" s="108" t="str" cm="1">
        <f t="array" ref="CF10">IFERROR(_xlfn._xlws.FILTER(ST[Customer Code],(ST[Code]=$C10) * (ST[Customer Name]=CF$3),"" ),"")</f>
        <v/>
      </c>
      <c r="CG10" s="68" t="str" cm="1">
        <f t="array" ref="CG10">IFERROR(_xlfn.XLOOKUP($C10,Query[Code], _xlfn.XLOOKUP('Promo Form'!CF$3,Query[[#Headers],[Code]:[Bing Lee]],Query[[Code]:[Bing Lee]])),"")</f>
        <v/>
      </c>
      <c r="CH10" s="16" t="str">
        <f t="shared" si="36"/>
        <v/>
      </c>
      <c r="CI10" s="16" t="str">
        <f t="shared" si="37"/>
        <v/>
      </c>
      <c r="CJ10" s="17" t="str">
        <f t="shared" si="54"/>
        <v/>
      </c>
      <c r="CK10" s="18" t="str">
        <f t="shared" si="38"/>
        <v/>
      </c>
      <c r="CL10" s="18" t="str">
        <f t="shared" si="39"/>
        <v/>
      </c>
      <c r="CM10" s="109" t="str" cm="1">
        <f t="array" ref="CM10">IFERROR(_xlfn._xlws.FILTER(ST[SOH],(ST[Code]=$C10) * (ST[Customer Name]=CF$3),"" ),"")</f>
        <v/>
      </c>
      <c r="CN10" s="109" t="str" cm="1">
        <f t="array" ref="CN10">IFERROR(
    _xlfn.LET(
        _xlpm.result, INDEX(_xlfn._xlws.FILTER(ST[6wk avg], (ST[Code]=$C10)*(ST[Customer Name]=CF$3), ""), 1),
        IF(_xlpm.result=0, "", _xlpm.result)
    ),
"")</f>
        <v/>
      </c>
      <c r="CO10" s="102" t="str">
        <f t="shared" si="55"/>
        <v/>
      </c>
      <c r="CP10" s="70" t="str">
        <f t="shared" si="40"/>
        <v/>
      </c>
      <c r="CQ10" s="83" t="str">
        <f t="shared" si="41"/>
        <v/>
      </c>
      <c r="CR10" s="77"/>
      <c r="CS10" s="17" t="str">
        <f>IFERROR(_xlfn.XLOOKUP(C10,Query[Code],Query[Base (RRP Inc)]),"")</f>
        <v/>
      </c>
      <c r="CT10" s="17" t="str">
        <f t="shared" si="56"/>
        <v/>
      </c>
      <c r="CU10" s="107" t="str">
        <f t="shared" si="57"/>
        <v/>
      </c>
      <c r="CV10" s="17" t="str">
        <f t="shared" si="58"/>
        <v/>
      </c>
      <c r="CW10" s="17"/>
    </row>
    <row r="11" spans="1:101" x14ac:dyDescent="0.2">
      <c r="A11" s="106" t="str">
        <f t="shared" si="59"/>
        <v/>
      </c>
      <c r="B11" s="106" t="str">
        <f t="shared" si="60"/>
        <v/>
      </c>
      <c r="C11" s="13"/>
      <c r="D11" s="14" t="str">
        <f>IF(C11="", "",_xlfn.XLOOKUP(C11,'Master Price Level'!C:C,'Master Price Level'!D:D))</f>
        <v/>
      </c>
      <c r="E11" s="15"/>
      <c r="F11" s="108" t="str" cm="1">
        <f t="array" ref="F11">IFERROR(_xlfn._xlws.FILTER(ST[Customer Code],(ST[Code]=$C11) * (ST[Customer Name]=F$3),"" ),"")</f>
        <v/>
      </c>
      <c r="G11" s="68" t="str" cm="1">
        <f t="array" ref="G11">IFERROR(_xlfn.XLOOKUP($C11,Query[Code], _xlfn.XLOOKUP('Promo Form'!F$3,Query[[#Headers],[Code]:[Bing Lee]],Query[[Code]:[Bing Lee]])),"")</f>
        <v/>
      </c>
      <c r="H11" s="16" t="str">
        <f t="shared" si="0"/>
        <v/>
      </c>
      <c r="I11" s="16" t="str">
        <f t="shared" si="1"/>
        <v/>
      </c>
      <c r="J11" s="17" t="str">
        <f t="shared" si="42"/>
        <v/>
      </c>
      <c r="K11" s="18" t="str">
        <f t="shared" si="2"/>
        <v/>
      </c>
      <c r="L11" s="18" t="str">
        <f t="shared" si="3"/>
        <v/>
      </c>
      <c r="M11" s="109" t="str" cm="1">
        <f t="array" ref="M11">IFERROR(_xlfn._xlws.FILTER(ST[SOH],(ST[Code]=$C11) * (ST[Customer Name]=F$3),"" ),"")</f>
        <v/>
      </c>
      <c r="N11" s="109" t="str" cm="1">
        <f t="array" ref="N11">IFERROR(
    _xlfn.LET(
        _xlpm.result, INDEX(_xlfn._xlws.FILTER(ST[6wk avg], (ST[Code]=$C11)*(ST[Customer Name]=F$3), ""), 1),
        IF(_xlpm.result=0, "", _xlpm.result)
    ),
"")</f>
        <v/>
      </c>
      <c r="O11" s="102" t="str">
        <f t="shared" si="43"/>
        <v/>
      </c>
      <c r="P11" s="70" t="str">
        <f t="shared" si="4"/>
        <v/>
      </c>
      <c r="Q11" s="83" t="str">
        <f t="shared" si="5"/>
        <v/>
      </c>
      <c r="R11" s="77"/>
      <c r="S11" s="108" t="str" cm="1">
        <f t="array" ref="S11">IFERROR(_xlfn._xlws.FILTER(ST[Customer Code],(ST[Code]=$C11) * (ST[Customer Name]=S$3),"" ),"")</f>
        <v/>
      </c>
      <c r="T11" s="68" t="str" cm="1">
        <f t="array" ref="T11">IFERROR(_xlfn.XLOOKUP($C11,Query[Code], _xlfn.XLOOKUP('Promo Form'!S$3,Query[[#Headers],[Code]:[Bing Lee]],Query[[Code]:[Bing Lee]])),"")</f>
        <v/>
      </c>
      <c r="U11" s="16" t="str">
        <f t="shared" si="6"/>
        <v/>
      </c>
      <c r="V11" s="16" t="str">
        <f t="shared" si="7"/>
        <v/>
      </c>
      <c r="W11" s="17" t="str">
        <f t="shared" si="44"/>
        <v/>
      </c>
      <c r="X11" s="18" t="str">
        <f t="shared" si="8"/>
        <v/>
      </c>
      <c r="Y11" s="18" t="str">
        <f t="shared" si="9"/>
        <v/>
      </c>
      <c r="Z11" s="109" t="str" cm="1">
        <f t="array" ref="Z11">IFERROR(_xlfn._xlws.FILTER(ST[SOH],(ST[Code]=$C11) * (ST[Customer Name]=S$3),"" ),"")</f>
        <v/>
      </c>
      <c r="AA11" s="109" t="str" cm="1">
        <f t="array" ref="AA11">IFERROR(
    _xlfn.LET(
        _xlpm.result, INDEX(_xlfn._xlws.FILTER(ST[6wk avg], (ST[Code]=$C11)*(ST[Customer Name]=S$3), ""), 1),
        IF(_xlpm.result=0, "", _xlpm.result)
    ),
"")</f>
        <v/>
      </c>
      <c r="AB11" s="102" t="str">
        <f t="shared" si="45"/>
        <v/>
      </c>
      <c r="AC11" s="70" t="str">
        <f t="shared" si="10"/>
        <v/>
      </c>
      <c r="AD11" s="83" t="str">
        <f t="shared" si="11"/>
        <v/>
      </c>
      <c r="AE11" s="77"/>
      <c r="AF11" s="108" t="str" cm="1">
        <f t="array" ref="AF11">IFERROR(_xlfn._xlws.FILTER(ST[Customer Code],(ST[Code]=$C11) * (ST[Customer Name]=AF$3),"" ),"")</f>
        <v/>
      </c>
      <c r="AG11" s="68" t="str" cm="1">
        <f t="array" ref="AG11">IFERROR(_xlfn.XLOOKUP($C11,Query[Code], _xlfn.XLOOKUP('Promo Form'!AF$3,Query[[#Headers],[Code]:[Bing Lee]],Query[[Code]:[Bing Lee]])),"")</f>
        <v/>
      </c>
      <c r="AH11" s="16" t="str">
        <f t="shared" si="12"/>
        <v/>
      </c>
      <c r="AI11" s="16" t="str">
        <f t="shared" si="13"/>
        <v/>
      </c>
      <c r="AJ11" s="17" t="str">
        <f t="shared" si="46"/>
        <v/>
      </c>
      <c r="AK11" s="18" t="str">
        <f t="shared" si="14"/>
        <v/>
      </c>
      <c r="AL11" s="18" t="str">
        <f t="shared" si="15"/>
        <v/>
      </c>
      <c r="AM11" s="109" t="str" cm="1">
        <f t="array" ref="AM11">IFERROR(_xlfn._xlws.FILTER(ST[SOH],(ST[Code]=$C11) * (ST[Customer Name]=AF$3),"" ),"")</f>
        <v/>
      </c>
      <c r="AN11" s="109" t="str" cm="1">
        <f t="array" ref="AN11">IFERROR(
    _xlfn.LET(
        _xlpm.result, INDEX(_xlfn._xlws.FILTER(ST[6wk avg], (ST[Code]=$C11)*(ST[Customer Name]=AF$3), ""), 1),
        IF(_xlpm.result=0, "", _xlpm.result)
    ),
"")</f>
        <v/>
      </c>
      <c r="AO11" s="102" t="str">
        <f t="shared" si="47"/>
        <v/>
      </c>
      <c r="AP11" s="70" t="str">
        <f t="shared" si="16"/>
        <v/>
      </c>
      <c r="AQ11" s="83" t="str">
        <f t="shared" si="17"/>
        <v/>
      </c>
      <c r="AR11" s="77"/>
      <c r="AS11" s="108" t="str" cm="1">
        <f t="array" ref="AS11">IFERROR(_xlfn._xlws.FILTER(ST[Customer Code],(ST[Code]=$C11) * (ST[Customer Name]=AS$3),"" ),"")</f>
        <v/>
      </c>
      <c r="AT11" s="68" t="str" cm="1">
        <f t="array" ref="AT11">IFERROR(_xlfn.XLOOKUP($C11,Query[Code], _xlfn.XLOOKUP('Promo Form'!AS$3,Query[[#Headers],[Code]:[Bing Lee]],Query[[Code]:[Bing Lee]])),"")</f>
        <v/>
      </c>
      <c r="AU11" s="16" t="str">
        <f t="shared" si="18"/>
        <v/>
      </c>
      <c r="AV11" s="16" t="str">
        <f t="shared" si="19"/>
        <v/>
      </c>
      <c r="AW11" s="17" t="str">
        <f t="shared" si="48"/>
        <v/>
      </c>
      <c r="AX11" s="18" t="str">
        <f t="shared" si="20"/>
        <v/>
      </c>
      <c r="AY11" s="18" t="str">
        <f t="shared" si="21"/>
        <v/>
      </c>
      <c r="AZ11" s="109" t="str" cm="1">
        <f t="array" ref="AZ11">IFERROR(_xlfn._xlws.FILTER(ST[SOH],(ST[Code]=$C11) * (ST[Customer Name]=AS$3),"" ),"")</f>
        <v/>
      </c>
      <c r="BA11" s="109" t="str" cm="1">
        <f t="array" ref="BA11">IFERROR(
    _xlfn.LET(
        _xlpm.result, INDEX(_xlfn._xlws.FILTER(ST[6wk avg], (ST[Code]=$C11)*(ST[Customer Name]=AS$3), ""), 1),
        IF(_xlpm.result=0, "", _xlpm.result)
    ),
"")</f>
        <v/>
      </c>
      <c r="BB11" s="102" t="str">
        <f t="shared" si="49"/>
        <v/>
      </c>
      <c r="BC11" s="70" t="str">
        <f t="shared" si="22"/>
        <v/>
      </c>
      <c r="BD11" s="83" t="str">
        <f t="shared" si="23"/>
        <v/>
      </c>
      <c r="BE11" s="77"/>
      <c r="BF11" s="108" t="str" cm="1">
        <f t="array" ref="BF11">IFERROR(_xlfn._xlws.FILTER(ST[Customer Code],(ST[Code]=$C11) * (ST[Customer Name]=BF$3),"" ),"")</f>
        <v/>
      </c>
      <c r="BG11" s="68" t="str" cm="1">
        <f t="array" ref="BG11">IFERROR(_xlfn.XLOOKUP($C11,Query[Code], _xlfn.XLOOKUP('Promo Form'!BF$3,Query[[#Headers],[Code]:[Bing Lee]],Query[[Code]:[Bing Lee]])),"")</f>
        <v/>
      </c>
      <c r="BH11" s="16" t="str">
        <f t="shared" si="24"/>
        <v/>
      </c>
      <c r="BI11" s="16" t="str">
        <f t="shared" si="25"/>
        <v/>
      </c>
      <c r="BJ11" s="17" t="str">
        <f t="shared" si="50"/>
        <v/>
      </c>
      <c r="BK11" s="18" t="str">
        <f t="shared" si="26"/>
        <v/>
      </c>
      <c r="BL11" s="18" t="str">
        <f t="shared" si="27"/>
        <v/>
      </c>
      <c r="BM11" s="109" t="str" cm="1">
        <f t="array" ref="BM11">IFERROR(_xlfn._xlws.FILTER(ST[SOH],(ST[Code]=$C11) * (ST[Customer Name]=BF$3),"" ),"")</f>
        <v/>
      </c>
      <c r="BN11" s="109" t="str" cm="1">
        <f t="array" ref="BN11">IFERROR(
    _xlfn.LET(
        _xlpm.result, INDEX(_xlfn._xlws.FILTER(ST[6wk avg], (ST[Code]=$C11)*(ST[Customer Name]=BF$3), ""), 1),
        IF(_xlpm.result=0, "", _xlpm.result)
    ),
"")</f>
        <v/>
      </c>
      <c r="BO11" s="102" t="str">
        <f t="shared" si="51"/>
        <v/>
      </c>
      <c r="BP11" s="70" t="str">
        <f t="shared" si="28"/>
        <v/>
      </c>
      <c r="BQ11" s="83" t="str">
        <f t="shared" si="29"/>
        <v/>
      </c>
      <c r="BR11" s="77"/>
      <c r="BS11" s="108" t="str" cm="1">
        <f t="array" ref="BS11">IFERROR(_xlfn._xlws.FILTER(ST[Customer Code],(ST[Code]=$C11) * (ST[Customer Name]=BS$3),"" ),"")</f>
        <v/>
      </c>
      <c r="BT11" s="68" t="str" cm="1">
        <f t="array" ref="BT11">IFERROR(_xlfn.XLOOKUP($C11,Query[Code], _xlfn.XLOOKUP('Promo Form'!BS$3,Query[[#Headers],[Code]:[Bing Lee]],Query[[Code]:[Bing Lee]])),"")</f>
        <v/>
      </c>
      <c r="BU11" s="16" t="str">
        <f t="shared" si="30"/>
        <v/>
      </c>
      <c r="BV11" s="16" t="str">
        <f t="shared" si="31"/>
        <v/>
      </c>
      <c r="BW11" s="17" t="str">
        <f t="shared" si="52"/>
        <v/>
      </c>
      <c r="BX11" s="18" t="str">
        <f t="shared" si="32"/>
        <v/>
      </c>
      <c r="BY11" s="18" t="str">
        <f t="shared" si="33"/>
        <v/>
      </c>
      <c r="BZ11" s="109" t="str" cm="1">
        <f t="array" ref="BZ11">IFERROR(_xlfn._xlws.FILTER(ST[SOH],(ST[Code]=$C11) * (ST[Customer Name]=BS$3),"" ),"")</f>
        <v/>
      </c>
      <c r="CA11" s="109" t="str" cm="1">
        <f t="array" ref="CA11">IFERROR(
    _xlfn.LET(
        _xlpm.result, INDEX(_xlfn._xlws.FILTER(ST[6wk avg], (ST[Code]=$C11)*(ST[Customer Name]=BS$3), ""), 1),
        IF(_xlpm.result=0, "", _xlpm.result)
    ),
"")</f>
        <v/>
      </c>
      <c r="CB11" s="102" t="str">
        <f t="shared" si="53"/>
        <v/>
      </c>
      <c r="CC11" s="70" t="str">
        <f t="shared" si="34"/>
        <v/>
      </c>
      <c r="CD11" s="83" t="str">
        <f t="shared" si="35"/>
        <v/>
      </c>
      <c r="CE11" s="77"/>
      <c r="CF11" s="108" t="str" cm="1">
        <f t="array" ref="CF11">IFERROR(_xlfn._xlws.FILTER(ST[Customer Code],(ST[Code]=$C11) * (ST[Customer Name]=CF$3),"" ),"")</f>
        <v/>
      </c>
      <c r="CG11" s="68" t="str" cm="1">
        <f t="array" ref="CG11">IFERROR(_xlfn.XLOOKUP($C11,Query[Code], _xlfn.XLOOKUP('Promo Form'!CF$3,Query[[#Headers],[Code]:[Bing Lee]],Query[[Code]:[Bing Lee]])),"")</f>
        <v/>
      </c>
      <c r="CH11" s="16" t="str">
        <f t="shared" si="36"/>
        <v/>
      </c>
      <c r="CI11" s="16" t="str">
        <f t="shared" si="37"/>
        <v/>
      </c>
      <c r="CJ11" s="17" t="str">
        <f t="shared" si="54"/>
        <v/>
      </c>
      <c r="CK11" s="18" t="str">
        <f t="shared" si="38"/>
        <v/>
      </c>
      <c r="CL11" s="18" t="str">
        <f t="shared" si="39"/>
        <v/>
      </c>
      <c r="CM11" s="109" t="str" cm="1">
        <f t="array" ref="CM11">IFERROR(_xlfn._xlws.FILTER(ST[SOH],(ST[Code]=$C11) * (ST[Customer Name]=CF$3),"" ),"")</f>
        <v/>
      </c>
      <c r="CN11" s="109" t="str" cm="1">
        <f t="array" ref="CN11">IFERROR(
    _xlfn.LET(
        _xlpm.result, INDEX(_xlfn._xlws.FILTER(ST[6wk avg], (ST[Code]=$C11)*(ST[Customer Name]=CF$3), ""), 1),
        IF(_xlpm.result=0, "", _xlpm.result)
    ),
"")</f>
        <v/>
      </c>
      <c r="CO11" s="102" t="str">
        <f t="shared" si="55"/>
        <v/>
      </c>
      <c r="CP11" s="70" t="str">
        <f t="shared" si="40"/>
        <v/>
      </c>
      <c r="CQ11" s="83" t="str">
        <f t="shared" si="41"/>
        <v/>
      </c>
      <c r="CR11" s="77"/>
      <c r="CS11" s="17" t="str">
        <f>IFERROR(_xlfn.XLOOKUP(C11,Query[Code],Query[Base (RRP Inc)]),"")</f>
        <v/>
      </c>
      <c r="CT11" s="17" t="str">
        <f t="shared" si="56"/>
        <v/>
      </c>
      <c r="CU11" s="107" t="str">
        <f t="shared" si="57"/>
        <v/>
      </c>
      <c r="CV11" s="17" t="str">
        <f t="shared" si="58"/>
        <v/>
      </c>
      <c r="CW11" s="17"/>
    </row>
    <row r="12" spans="1:101" x14ac:dyDescent="0.2">
      <c r="A12" s="106" t="str">
        <f t="shared" ref="A12:A49" si="61">IF(C12="","",A11)</f>
        <v/>
      </c>
      <c r="B12" s="106" t="str">
        <f t="shared" ref="B12:B49" si="62">IF(C12="","",B11)</f>
        <v/>
      </c>
      <c r="C12" s="13"/>
      <c r="D12" s="14" t="str">
        <f>IF(C12="", "",_xlfn.XLOOKUP(C12,'Master Price Level'!C:C,'Master Price Level'!D:D))</f>
        <v/>
      </c>
      <c r="E12" s="15"/>
      <c r="F12" s="108" t="str" cm="1">
        <f t="array" ref="F12">IFERROR(_xlfn._xlws.FILTER(ST[Customer Code],(ST[Code]=$C12) * (ST[Customer Name]=F$3),"" ),"")</f>
        <v/>
      </c>
      <c r="G12" s="68" t="str" cm="1">
        <f t="array" ref="G12">IFERROR(_xlfn.XLOOKUP($C12,Query[Code], _xlfn.XLOOKUP('Promo Form'!F$3,Query[[#Headers],[Code]:[Bing Lee]],Query[[Code]:[Bing Lee]])),"")</f>
        <v/>
      </c>
      <c r="H12" s="16" t="str">
        <f t="shared" ref="H12:H49" si="63">IFERROR(((G12*(1-F$2))*$CU12)*F$61,"")</f>
        <v/>
      </c>
      <c r="I12" s="16" t="str">
        <f t="shared" ref="I12:I49" si="64">IFERROR(((G12*(1-F$2))*$CU12)*F$60,"")</f>
        <v/>
      </c>
      <c r="J12" s="17" t="str">
        <f t="shared" ref="J12:J49" si="65">IFERROR(IF(H12+I12=0,"",H12+I12),"")</f>
        <v/>
      </c>
      <c r="K12" s="18" t="str">
        <f t="shared" ref="K12:K49" si="66">IFERROR((($CS12/1.1)-(G12-(G12*F$2)))/($CS12/1.1),"")</f>
        <v/>
      </c>
      <c r="L12" s="18" t="str">
        <f t="shared" ref="L12:L49" si="67">IFERROR((($CT12/1.1)+(H12+I12)-(G12-(G12*F$2)))/($CT12/1.1),"")</f>
        <v/>
      </c>
      <c r="M12" s="109" t="str" cm="1">
        <f t="array" ref="M12">IFERROR(_xlfn._xlws.FILTER(ST[SOH],(ST[Code]=$C12) * (ST[Customer Name]=F$3),"" ),"")</f>
        <v/>
      </c>
      <c r="N12" s="109" t="str" cm="1">
        <f t="array" ref="N12">IFERROR(
    _xlfn.LET(
        _xlpm.result, INDEX(_xlfn._xlws.FILTER(ST[6wk avg], (ST[Code]=$C12)*(ST[Customer Name]=F$3), ""), 1),
        IF(_xlpm.result=0, "", _xlpm.result)
    ),
"")</f>
        <v/>
      </c>
      <c r="O12" s="102" t="str">
        <f t="shared" ref="O12:O49" si="68">IFERROR(IF(CEILING(N12 + (N12 * $O$2), 1) = 0, "", CEILING(N12 + (N12 * $O$2), 1))*$B$3, "")</f>
        <v/>
      </c>
      <c r="P12" s="70" t="str">
        <f t="shared" ref="P12:P49" si="69">IFERROR((O12*H12),"")</f>
        <v/>
      </c>
      <c r="Q12" s="83" t="str">
        <f t="shared" ref="Q12:Q49" si="70">IFERROR((O12*I12),"")</f>
        <v/>
      </c>
      <c r="R12" s="77"/>
      <c r="S12" s="108" t="str" cm="1">
        <f t="array" ref="S12">IFERROR(_xlfn._xlws.FILTER(ST[Customer Code],(ST[Code]=$C12) * (ST[Customer Name]=S$3),"" ),"")</f>
        <v/>
      </c>
      <c r="T12" s="68" t="str" cm="1">
        <f t="array" ref="T12">IFERROR(_xlfn.XLOOKUP($C12,Query[Code], _xlfn.XLOOKUP('Promo Form'!S$3,Query[[#Headers],[Code]:[Bing Lee]],Query[[Code]:[Bing Lee]])),"")</f>
        <v/>
      </c>
      <c r="U12" s="16" t="str">
        <f t="shared" ref="U12:U49" si="71">IFERROR(((T12*(1-S$2))*$CU12)*S$61,"")</f>
        <v/>
      </c>
      <c r="V12" s="16" t="str">
        <f t="shared" ref="V12:V49" si="72">IFERROR(((T12*(1-S$2))*$CU12)*S$60,"")</f>
        <v/>
      </c>
      <c r="W12" s="17" t="str">
        <f t="shared" ref="W12:W49" si="73">IFERROR(IF(U12+V12=0,"",U12+V12),"")</f>
        <v/>
      </c>
      <c r="X12" s="18" t="str">
        <f t="shared" ref="X12:X49" si="74">IFERROR((($CS12/1.1)-(T12-(T12*S$2)))/($CS12/1.1),"")</f>
        <v/>
      </c>
      <c r="Y12" s="18" t="str">
        <f t="shared" ref="Y12:Y49" si="75">IFERROR((($CT12/1.1)+(U12+V12)-(T12-(T12*S$2)))/($CT12/1.1),"")</f>
        <v/>
      </c>
      <c r="Z12" s="109" t="str" cm="1">
        <f t="array" ref="Z12">IFERROR(_xlfn._xlws.FILTER(ST[SOH],(ST[Code]=$C12) * (ST[Customer Name]=S$3),"" ),"")</f>
        <v/>
      </c>
      <c r="AA12" s="109" t="str" cm="1">
        <f t="array" ref="AA12">IFERROR(
    _xlfn.LET(
        _xlpm.result, INDEX(_xlfn._xlws.FILTER(ST[6wk avg], (ST[Code]=$C12)*(ST[Customer Name]=S$3), ""), 1),
        IF(_xlpm.result=0, "", _xlpm.result)
    ),
"")</f>
        <v/>
      </c>
      <c r="AB12" s="102" t="str">
        <f t="shared" ref="AB12:AB49" si="76">IFERROR(IF(CEILING(AA12 + (AA12 * $AB$2), 1) = 0, "", CEILING(AA12 + (AA12 * $AB$2), 1))*$B$3, "")</f>
        <v/>
      </c>
      <c r="AC12" s="70" t="str">
        <f t="shared" ref="AC12:AC49" si="77">IFERROR((AB12*U12),"")</f>
        <v/>
      </c>
      <c r="AD12" s="83" t="str">
        <f t="shared" ref="AD12:AD49" si="78">IFERROR((AB12*V12),"")</f>
        <v/>
      </c>
      <c r="AE12" s="77"/>
      <c r="AF12" s="108" t="str" cm="1">
        <f t="array" ref="AF12">IFERROR(_xlfn._xlws.FILTER(ST[Customer Code],(ST[Code]=$C12) * (ST[Customer Name]=AF$3),"" ),"")</f>
        <v/>
      </c>
      <c r="AG12" s="68" t="str" cm="1">
        <f t="array" ref="AG12">IFERROR(_xlfn.XLOOKUP($C12,Query[Code], _xlfn.XLOOKUP('Promo Form'!AF$3,Query[[#Headers],[Code]:[Bing Lee]],Query[[Code]:[Bing Lee]])),"")</f>
        <v/>
      </c>
      <c r="AH12" s="16" t="str">
        <f t="shared" ref="AH12:AH49" si="79">IFERROR(((AG12*(1-AF$2))*$CU12)*AF$61,"")</f>
        <v/>
      </c>
      <c r="AI12" s="16" t="str">
        <f t="shared" ref="AI12:AI49" si="80">IFERROR(((AG12*(1-AF$2))*$CU12)*AF$60,"")</f>
        <v/>
      </c>
      <c r="AJ12" s="17" t="str">
        <f t="shared" ref="AJ12:AJ49" si="81">IFERROR(IF(AH12+AI12=0,"",AH12+AI12),"")</f>
        <v/>
      </c>
      <c r="AK12" s="18" t="str">
        <f t="shared" ref="AK12:AK49" si="82">IFERROR((($CS12/1.1)-(AG12-(AG12*AF$2)))/($CS12/1.1),"")</f>
        <v/>
      </c>
      <c r="AL12" s="18" t="str">
        <f t="shared" ref="AL12:AL49" si="83">IFERROR((($CT12/1.1)+(AH12+AI12)-(AG12-(AG12*AF$2)))/($CT12/1.1),"")</f>
        <v/>
      </c>
      <c r="AM12" s="109" t="str" cm="1">
        <f t="array" ref="AM12">IFERROR(_xlfn._xlws.FILTER(ST[SOH],(ST[Code]=$C12) * (ST[Customer Name]=AF$3),"" ),"")</f>
        <v/>
      </c>
      <c r="AN12" s="109" t="str" cm="1">
        <f t="array" ref="AN12">IFERROR(
    _xlfn.LET(
        _xlpm.result, INDEX(_xlfn._xlws.FILTER(ST[6wk avg], (ST[Code]=$C12)*(ST[Customer Name]=AF$3), ""), 1),
        IF(_xlpm.result=0, "", _xlpm.result)
    ),
"")</f>
        <v/>
      </c>
      <c r="AO12" s="102" t="str">
        <f t="shared" ref="AO12:AO49" si="84">IFERROR(IF(CEILING(AN12 + (AN12 * $AO$2), 1) = 0, "", CEILING(AN12 + (AN12 * $AO$2), 1))*$B$3, "")</f>
        <v/>
      </c>
      <c r="AP12" s="70" t="str">
        <f t="shared" ref="AP12:AP49" si="85">IFERROR((AO12*AH12),"")</f>
        <v/>
      </c>
      <c r="AQ12" s="83" t="str">
        <f t="shared" ref="AQ12:AQ49" si="86">IFERROR((AO12*AI12),"")</f>
        <v/>
      </c>
      <c r="AR12" s="77"/>
      <c r="AS12" s="108" t="str" cm="1">
        <f t="array" ref="AS12">IFERROR(_xlfn._xlws.FILTER(ST[Customer Code],(ST[Code]=$C12) * (ST[Customer Name]=AS$3),"" ),"")</f>
        <v/>
      </c>
      <c r="AT12" s="68" t="str" cm="1">
        <f t="array" ref="AT12">IFERROR(_xlfn.XLOOKUP($C12,Query[Code], _xlfn.XLOOKUP('Promo Form'!AS$3,Query[[#Headers],[Code]:[Bing Lee]],Query[[Code]:[Bing Lee]])),"")</f>
        <v/>
      </c>
      <c r="AU12" s="16" t="str">
        <f t="shared" ref="AU12:AU49" si="87">IFERROR(((AT12*(1-AS$2))*$CU12)*AS$61,"")</f>
        <v/>
      </c>
      <c r="AV12" s="16" t="str">
        <f t="shared" ref="AV12:AV49" si="88">IFERROR(((AT12*(1-AS$2))*$CU12)*AS$60,"")</f>
        <v/>
      </c>
      <c r="AW12" s="17" t="str">
        <f t="shared" ref="AW12:AW49" si="89">IFERROR(IF(AU12+AV12=0,"",AU12+AV12),"")</f>
        <v/>
      </c>
      <c r="AX12" s="18" t="str">
        <f t="shared" ref="AX12:AX49" si="90">IFERROR((($CS12/1.1)-(AT12-(AT12*AS$2)))/($CS12/1.1),"")</f>
        <v/>
      </c>
      <c r="AY12" s="18" t="str">
        <f t="shared" ref="AY12:AY49" si="91">IFERROR((($CT12/1.1)+(AU12+AV12)-(AT12-(AT12*AS$2)))/($CT12/1.1),"")</f>
        <v/>
      </c>
      <c r="AZ12" s="109" t="str" cm="1">
        <f t="array" ref="AZ12">IFERROR(_xlfn._xlws.FILTER(ST[SOH],(ST[Code]=$C12) * (ST[Customer Name]=AS$3),"" ),"")</f>
        <v/>
      </c>
      <c r="BA12" s="109" t="str" cm="1">
        <f t="array" ref="BA12">IFERROR(
    _xlfn.LET(
        _xlpm.result, INDEX(_xlfn._xlws.FILTER(ST[6wk avg], (ST[Code]=$C12)*(ST[Customer Name]=AS$3), ""), 1),
        IF(_xlpm.result=0, "", _xlpm.result)
    ),
"")</f>
        <v/>
      </c>
      <c r="BB12" s="102" t="str">
        <f t="shared" ref="BB12:BB49" si="92">IFERROR(IF(CEILING(BA12 + (BA12 * $BB$2), 1) = 0, "", CEILING(BA12 + (BA12 * $BB$2), 1))*$B$3, "")</f>
        <v/>
      </c>
      <c r="BC12" s="70" t="str">
        <f t="shared" ref="BC12:BC49" si="93">IFERROR((BB12*AU12),"")</f>
        <v/>
      </c>
      <c r="BD12" s="83" t="str">
        <f t="shared" ref="BD12:BD49" si="94">IFERROR((BB12*AV12),"")</f>
        <v/>
      </c>
      <c r="BE12" s="77"/>
      <c r="BF12" s="108" t="str" cm="1">
        <f t="array" ref="BF12">IFERROR(_xlfn._xlws.FILTER(ST[Customer Code],(ST[Code]=$C12) * (ST[Customer Name]=BF$3),"" ),"")</f>
        <v/>
      </c>
      <c r="BG12" s="68" t="str" cm="1">
        <f t="array" ref="BG12">IFERROR(_xlfn.XLOOKUP($C12,Query[Code], _xlfn.XLOOKUP('Promo Form'!BF$3,Query[[#Headers],[Code]:[Bing Lee]],Query[[Code]:[Bing Lee]])),"")</f>
        <v/>
      </c>
      <c r="BH12" s="16" t="str">
        <f t="shared" ref="BH12:BH49" si="95">IFERROR(((BG12*(1-BF$2))*$CU12)*BF$61,"")</f>
        <v/>
      </c>
      <c r="BI12" s="16" t="str">
        <f t="shared" ref="BI12:BI49" si="96">IFERROR(((BG12*(1-BF$2))*$CU12)*BF$60,"")</f>
        <v/>
      </c>
      <c r="BJ12" s="17" t="str">
        <f t="shared" ref="BJ12:BJ49" si="97">IFERROR(IF(BH12+BI12=0,"",BH12+BI12),"")</f>
        <v/>
      </c>
      <c r="BK12" s="18" t="str">
        <f t="shared" ref="BK12:BK49" si="98">IFERROR((($CS12/1.1)-(BG12-(BG12*BF$2)))/($CS12/1.1),"")</f>
        <v/>
      </c>
      <c r="BL12" s="18" t="str">
        <f t="shared" ref="BL12:BL49" si="99">IFERROR((($CT12/1.1)+(BH12+BI12)-(BG12-(BG12*BF$2)))/($CT12/1.1),"")</f>
        <v/>
      </c>
      <c r="BM12" s="109" t="str" cm="1">
        <f t="array" ref="BM12">IFERROR(_xlfn._xlws.FILTER(ST[SOH],(ST[Code]=$C12) * (ST[Customer Name]=BF$3),"" ),"")</f>
        <v/>
      </c>
      <c r="BN12" s="109" t="str" cm="1">
        <f t="array" ref="BN12">IFERROR(
    _xlfn.LET(
        _xlpm.result, INDEX(_xlfn._xlws.FILTER(ST[6wk avg], (ST[Code]=$C12)*(ST[Customer Name]=BF$3), ""), 1),
        IF(_xlpm.result=0, "", _xlpm.result)
    ),
"")</f>
        <v/>
      </c>
      <c r="BO12" s="102" t="str">
        <f t="shared" ref="BO12:BO49" si="100">IFERROR(IF(CEILING(BN12 + (BN12 * $BO$2), 1) = 0, "", CEILING(BN12 + (BN12 * $BO$2), 1))*$B$3, "")</f>
        <v/>
      </c>
      <c r="BP12" s="70" t="str">
        <f t="shared" ref="BP12:BP49" si="101">IFERROR((BO12*BH12),"")</f>
        <v/>
      </c>
      <c r="BQ12" s="83" t="str">
        <f t="shared" ref="BQ12:BQ49" si="102">IFERROR((BO12*BI12),"")</f>
        <v/>
      </c>
      <c r="BR12" s="77"/>
      <c r="BS12" s="108" t="str" cm="1">
        <f t="array" ref="BS12">IFERROR(_xlfn._xlws.FILTER(ST[Customer Code],(ST[Code]=$C12) * (ST[Customer Name]=BS$3),"" ),"")</f>
        <v/>
      </c>
      <c r="BT12" s="68" t="str" cm="1">
        <f t="array" ref="BT12">IFERROR(_xlfn.XLOOKUP($C12,Query[Code], _xlfn.XLOOKUP('Promo Form'!BS$3,Query[[#Headers],[Code]:[Bing Lee]],Query[[Code]:[Bing Lee]])),"")</f>
        <v/>
      </c>
      <c r="BU12" s="16" t="str">
        <f t="shared" ref="BU12:BU49" si="103">IFERROR(((BT12*(1-BS$2))*$CU12)*BS$61,"")</f>
        <v/>
      </c>
      <c r="BV12" s="16" t="str">
        <f t="shared" ref="BV12:BV49" si="104">IFERROR(((BT12*(1-BS$2))*$CU12)*BS$60,"")</f>
        <v/>
      </c>
      <c r="BW12" s="17" t="str">
        <f t="shared" ref="BW12:BW49" si="105">IFERROR(IF(BU12+BV12=0,"",BU12+BV12),"")</f>
        <v/>
      </c>
      <c r="BX12" s="18" t="str">
        <f t="shared" ref="BX12:BX49" si="106">IFERROR((($CS12/1.1)-(BT12-(BT12*BS$2)))/($CS12/1.1),"")</f>
        <v/>
      </c>
      <c r="BY12" s="18" t="str">
        <f t="shared" ref="BY12:BY49" si="107">IFERROR((($CT12/1.1)+(BU12+BV12)-(BT12-(BT12*BS$2)))/($CT12/1.1),"")</f>
        <v/>
      </c>
      <c r="BZ12" s="109" t="str" cm="1">
        <f t="array" ref="BZ12">IFERROR(_xlfn._xlws.FILTER(ST[SOH],(ST[Code]=$C12) * (ST[Customer Name]=BS$3),"" ),"")</f>
        <v/>
      </c>
      <c r="CA12" s="109" t="str" cm="1">
        <f t="array" ref="CA12">IFERROR(
    _xlfn.LET(
        _xlpm.result, INDEX(_xlfn._xlws.FILTER(ST[6wk avg], (ST[Code]=$C12)*(ST[Customer Name]=BS$3), ""), 1),
        IF(_xlpm.result=0, "", _xlpm.result)
    ),
"")</f>
        <v/>
      </c>
      <c r="CB12" s="102" t="str">
        <f t="shared" ref="CB12:CB49" si="108">IFERROR(IF(CEILING(CA12 + (CA12 * $CB$2), 1) = 0, "", CEILING(CA12 + (CA12 * $CB$2), 1))*$B$3, "")</f>
        <v/>
      </c>
      <c r="CC12" s="70" t="str">
        <f t="shared" ref="CC12:CC49" si="109">IFERROR((CB12*BU12),"")</f>
        <v/>
      </c>
      <c r="CD12" s="83" t="str">
        <f t="shared" ref="CD12:CD49" si="110">IFERROR((CB12*BV12),"")</f>
        <v/>
      </c>
      <c r="CE12" s="77"/>
      <c r="CF12" s="108" t="str" cm="1">
        <f t="array" ref="CF12">IFERROR(_xlfn._xlws.FILTER(ST[Customer Code],(ST[Code]=$C12) * (ST[Customer Name]=CF$3),"" ),"")</f>
        <v/>
      </c>
      <c r="CG12" s="68" t="str" cm="1">
        <f t="array" ref="CG12">IFERROR(_xlfn.XLOOKUP($C12,Query[Code], _xlfn.XLOOKUP('Promo Form'!CF$3,Query[[#Headers],[Code]:[Bing Lee]],Query[[Code]:[Bing Lee]])),"")</f>
        <v/>
      </c>
      <c r="CH12" s="16" t="str">
        <f t="shared" ref="CH12:CH49" si="111">IFERROR(((CG12*(1-CF$2))*$CU12)*CF$61,"")</f>
        <v/>
      </c>
      <c r="CI12" s="16" t="str">
        <f t="shared" ref="CI12:CI49" si="112">IFERROR(((CG12*(1-CF$2))*$CU12)*CF$60,"")</f>
        <v/>
      </c>
      <c r="CJ12" s="17" t="str">
        <f t="shared" ref="CJ12:CJ49" si="113">IFERROR(IF(CH12+CI12=0,"",CH12+CI12),"")</f>
        <v/>
      </c>
      <c r="CK12" s="18" t="str">
        <f t="shared" ref="CK12:CK49" si="114">IFERROR((($CS12/1.1)-(CG12-(CG12*CF$2)))/($CS12/1.1),"")</f>
        <v/>
      </c>
      <c r="CL12" s="18" t="str">
        <f t="shared" ref="CL12:CL49" si="115">IFERROR((($CT12/1.1)+(CH12+CI12)-(CG12-(CG12*CF$2)))/($CT12/1.1),"")</f>
        <v/>
      </c>
      <c r="CM12" s="109" t="str" cm="1">
        <f t="array" ref="CM12">IFERROR(_xlfn._xlws.FILTER(ST[SOH],(ST[Code]=$C12) * (ST[Customer Name]=CF$3),"" ),"")</f>
        <v/>
      </c>
      <c r="CN12" s="109" t="str" cm="1">
        <f t="array" ref="CN12">IFERROR(
    _xlfn.LET(
        _xlpm.result, INDEX(_xlfn._xlws.FILTER(ST[6wk avg], (ST[Code]=$C12)*(ST[Customer Name]=CF$3), ""), 1),
        IF(_xlpm.result=0, "", _xlpm.result)
    ),
"")</f>
        <v/>
      </c>
      <c r="CO12" s="102" t="str">
        <f t="shared" ref="CO12:CO49" si="116">IFERROR(IF(CEILING(CN12 + (CN12 * $CO$2), 1) = 0, "", CEILING(CN12 + (CN12 * $CO$2), 1))*$B$3, "")</f>
        <v/>
      </c>
      <c r="CP12" s="70" t="str">
        <f t="shared" ref="CP12:CP49" si="117">IFERROR((CO12*CH12),"")</f>
        <v/>
      </c>
      <c r="CQ12" s="83" t="str">
        <f t="shared" ref="CQ12:CQ49" si="118">IFERROR((CO12*CI12),"")</f>
        <v/>
      </c>
      <c r="CR12" s="77"/>
      <c r="CS12" s="17" t="str">
        <f>IFERROR(_xlfn.XLOOKUP(C12,Query[Code],Query[Base (RRP Inc)]),"")</f>
        <v/>
      </c>
      <c r="CT12" s="17" t="str">
        <f t="shared" ref="CT12:CT49" si="119">IFERROR(CS12-(CS12*CU12),"")</f>
        <v/>
      </c>
      <c r="CU12" s="107" t="str">
        <f t="shared" ref="CU12:CU49" si="120">IF(C12="", "",CU11)</f>
        <v/>
      </c>
      <c r="CV12" s="17" t="str">
        <f t="shared" ref="CV12:CV49" si="121">IFERROR((CS12-CT12),"")</f>
        <v/>
      </c>
      <c r="CW12" s="17"/>
    </row>
    <row r="13" spans="1:101" x14ac:dyDescent="0.2">
      <c r="A13" s="106" t="str">
        <f t="shared" si="61"/>
        <v/>
      </c>
      <c r="B13" s="106" t="str">
        <f t="shared" si="62"/>
        <v/>
      </c>
      <c r="C13" s="13"/>
      <c r="D13" s="14" t="str">
        <f>IF(C13="", "",_xlfn.XLOOKUP(C13,'Master Price Level'!C:C,'Master Price Level'!D:D))</f>
        <v/>
      </c>
      <c r="E13" s="15"/>
      <c r="F13" s="108" t="str" cm="1">
        <f t="array" ref="F13">IFERROR(_xlfn._xlws.FILTER(ST[Customer Code],(ST[Code]=$C13) * (ST[Customer Name]=F$3),"" ),"")</f>
        <v/>
      </c>
      <c r="G13" s="68" t="str" cm="1">
        <f t="array" ref="G13">IFERROR(_xlfn.XLOOKUP($C13,Query[Code], _xlfn.XLOOKUP('Promo Form'!F$3,Query[[#Headers],[Code]:[Bing Lee]],Query[[Code]:[Bing Lee]])),"")</f>
        <v/>
      </c>
      <c r="H13" s="16" t="str">
        <f t="shared" si="63"/>
        <v/>
      </c>
      <c r="I13" s="16" t="str">
        <f t="shared" si="64"/>
        <v/>
      </c>
      <c r="J13" s="17" t="str">
        <f t="shared" si="65"/>
        <v/>
      </c>
      <c r="K13" s="18" t="str">
        <f t="shared" si="66"/>
        <v/>
      </c>
      <c r="L13" s="18" t="str">
        <f t="shared" si="67"/>
        <v/>
      </c>
      <c r="M13" s="109" t="str" cm="1">
        <f t="array" ref="M13">IFERROR(_xlfn._xlws.FILTER(ST[SOH],(ST[Code]=$C13) * (ST[Customer Name]=F$3),"" ),"")</f>
        <v/>
      </c>
      <c r="N13" s="109" t="str" cm="1">
        <f t="array" ref="N13">IFERROR(
    _xlfn.LET(
        _xlpm.result, INDEX(_xlfn._xlws.FILTER(ST[6wk avg], (ST[Code]=$C13)*(ST[Customer Name]=F$3), ""), 1),
        IF(_xlpm.result=0, "", _xlpm.result)
    ),
"")</f>
        <v/>
      </c>
      <c r="O13" s="102" t="str">
        <f t="shared" si="68"/>
        <v/>
      </c>
      <c r="P13" s="70" t="str">
        <f t="shared" si="69"/>
        <v/>
      </c>
      <c r="Q13" s="83" t="str">
        <f t="shared" si="70"/>
        <v/>
      </c>
      <c r="R13" s="77"/>
      <c r="S13" s="108" t="str" cm="1">
        <f t="array" ref="S13">IFERROR(_xlfn._xlws.FILTER(ST[Customer Code],(ST[Code]=$C13) * (ST[Customer Name]=S$3),"" ),"")</f>
        <v/>
      </c>
      <c r="T13" s="68" t="str" cm="1">
        <f t="array" ref="T13">IFERROR(_xlfn.XLOOKUP($C13,Query[Code], _xlfn.XLOOKUP('Promo Form'!S$3,Query[[#Headers],[Code]:[Bing Lee]],Query[[Code]:[Bing Lee]])),"")</f>
        <v/>
      </c>
      <c r="U13" s="16" t="str">
        <f t="shared" si="71"/>
        <v/>
      </c>
      <c r="V13" s="16" t="str">
        <f t="shared" si="72"/>
        <v/>
      </c>
      <c r="W13" s="17" t="str">
        <f t="shared" si="73"/>
        <v/>
      </c>
      <c r="X13" s="18" t="str">
        <f t="shared" si="74"/>
        <v/>
      </c>
      <c r="Y13" s="18" t="str">
        <f t="shared" si="75"/>
        <v/>
      </c>
      <c r="Z13" s="109" t="str" cm="1">
        <f t="array" ref="Z13">IFERROR(_xlfn._xlws.FILTER(ST[SOH],(ST[Code]=$C13) * (ST[Customer Name]=S$3),"" ),"")</f>
        <v/>
      </c>
      <c r="AA13" s="109" t="str" cm="1">
        <f t="array" ref="AA13">IFERROR(
    _xlfn.LET(
        _xlpm.result, INDEX(_xlfn._xlws.FILTER(ST[6wk avg], (ST[Code]=$C13)*(ST[Customer Name]=S$3), ""), 1),
        IF(_xlpm.result=0, "", _xlpm.result)
    ),
"")</f>
        <v/>
      </c>
      <c r="AB13" s="102" t="str">
        <f t="shared" si="76"/>
        <v/>
      </c>
      <c r="AC13" s="70" t="str">
        <f t="shared" si="77"/>
        <v/>
      </c>
      <c r="AD13" s="83" t="str">
        <f t="shared" si="78"/>
        <v/>
      </c>
      <c r="AE13" s="77"/>
      <c r="AF13" s="108" t="str" cm="1">
        <f t="array" ref="AF13">IFERROR(_xlfn._xlws.FILTER(ST[Customer Code],(ST[Code]=$C13) * (ST[Customer Name]=AF$3),"" ),"")</f>
        <v/>
      </c>
      <c r="AG13" s="68" t="str" cm="1">
        <f t="array" ref="AG13">IFERROR(_xlfn.XLOOKUP($C13,Query[Code], _xlfn.XLOOKUP('Promo Form'!AF$3,Query[[#Headers],[Code]:[Bing Lee]],Query[[Code]:[Bing Lee]])),"")</f>
        <v/>
      </c>
      <c r="AH13" s="16" t="str">
        <f t="shared" si="79"/>
        <v/>
      </c>
      <c r="AI13" s="16" t="str">
        <f t="shared" si="80"/>
        <v/>
      </c>
      <c r="AJ13" s="17" t="str">
        <f t="shared" si="81"/>
        <v/>
      </c>
      <c r="AK13" s="18" t="str">
        <f t="shared" si="82"/>
        <v/>
      </c>
      <c r="AL13" s="18" t="str">
        <f t="shared" si="83"/>
        <v/>
      </c>
      <c r="AM13" s="109" t="str" cm="1">
        <f t="array" ref="AM13">IFERROR(_xlfn._xlws.FILTER(ST[SOH],(ST[Code]=$C13) * (ST[Customer Name]=AF$3),"" ),"")</f>
        <v/>
      </c>
      <c r="AN13" s="109" t="str" cm="1">
        <f t="array" ref="AN13">IFERROR(
    _xlfn.LET(
        _xlpm.result, INDEX(_xlfn._xlws.FILTER(ST[6wk avg], (ST[Code]=$C13)*(ST[Customer Name]=AF$3), ""), 1),
        IF(_xlpm.result=0, "", _xlpm.result)
    ),
"")</f>
        <v/>
      </c>
      <c r="AO13" s="102" t="str">
        <f t="shared" si="84"/>
        <v/>
      </c>
      <c r="AP13" s="70" t="str">
        <f t="shared" si="85"/>
        <v/>
      </c>
      <c r="AQ13" s="83" t="str">
        <f t="shared" si="86"/>
        <v/>
      </c>
      <c r="AR13" s="77"/>
      <c r="AS13" s="108" t="str" cm="1">
        <f t="array" ref="AS13">IFERROR(_xlfn._xlws.FILTER(ST[Customer Code],(ST[Code]=$C13) * (ST[Customer Name]=AS$3),"" ),"")</f>
        <v/>
      </c>
      <c r="AT13" s="68" t="str" cm="1">
        <f t="array" ref="AT13">IFERROR(_xlfn.XLOOKUP($C13,Query[Code], _xlfn.XLOOKUP('Promo Form'!AS$3,Query[[#Headers],[Code]:[Bing Lee]],Query[[Code]:[Bing Lee]])),"")</f>
        <v/>
      </c>
      <c r="AU13" s="16" t="str">
        <f t="shared" si="87"/>
        <v/>
      </c>
      <c r="AV13" s="16" t="str">
        <f t="shared" si="88"/>
        <v/>
      </c>
      <c r="AW13" s="17" t="str">
        <f t="shared" si="89"/>
        <v/>
      </c>
      <c r="AX13" s="18" t="str">
        <f t="shared" si="90"/>
        <v/>
      </c>
      <c r="AY13" s="18" t="str">
        <f t="shared" si="91"/>
        <v/>
      </c>
      <c r="AZ13" s="109" t="str" cm="1">
        <f t="array" ref="AZ13">IFERROR(_xlfn._xlws.FILTER(ST[SOH],(ST[Code]=$C13) * (ST[Customer Name]=AS$3),"" ),"")</f>
        <v/>
      </c>
      <c r="BA13" s="109" t="str" cm="1">
        <f t="array" ref="BA13">IFERROR(
    _xlfn.LET(
        _xlpm.result, INDEX(_xlfn._xlws.FILTER(ST[6wk avg], (ST[Code]=$C13)*(ST[Customer Name]=AS$3), ""), 1),
        IF(_xlpm.result=0, "", _xlpm.result)
    ),
"")</f>
        <v/>
      </c>
      <c r="BB13" s="102" t="str">
        <f t="shared" si="92"/>
        <v/>
      </c>
      <c r="BC13" s="70" t="str">
        <f t="shared" si="93"/>
        <v/>
      </c>
      <c r="BD13" s="83" t="str">
        <f t="shared" si="94"/>
        <v/>
      </c>
      <c r="BE13" s="77"/>
      <c r="BF13" s="108" t="str" cm="1">
        <f t="array" ref="BF13">IFERROR(_xlfn._xlws.FILTER(ST[Customer Code],(ST[Code]=$C13) * (ST[Customer Name]=BF$3),"" ),"")</f>
        <v/>
      </c>
      <c r="BG13" s="68" t="str" cm="1">
        <f t="array" ref="BG13">IFERROR(_xlfn.XLOOKUP($C13,Query[Code], _xlfn.XLOOKUP('Promo Form'!BF$3,Query[[#Headers],[Code]:[Bing Lee]],Query[[Code]:[Bing Lee]])),"")</f>
        <v/>
      </c>
      <c r="BH13" s="16" t="str">
        <f t="shared" si="95"/>
        <v/>
      </c>
      <c r="BI13" s="16" t="str">
        <f t="shared" si="96"/>
        <v/>
      </c>
      <c r="BJ13" s="17" t="str">
        <f t="shared" si="97"/>
        <v/>
      </c>
      <c r="BK13" s="18" t="str">
        <f t="shared" si="98"/>
        <v/>
      </c>
      <c r="BL13" s="18" t="str">
        <f t="shared" si="99"/>
        <v/>
      </c>
      <c r="BM13" s="109" t="str" cm="1">
        <f t="array" ref="BM13">IFERROR(_xlfn._xlws.FILTER(ST[SOH],(ST[Code]=$C13) * (ST[Customer Name]=BF$3),"" ),"")</f>
        <v/>
      </c>
      <c r="BN13" s="109" t="str" cm="1">
        <f t="array" ref="BN13">IFERROR(
    _xlfn.LET(
        _xlpm.result, INDEX(_xlfn._xlws.FILTER(ST[6wk avg], (ST[Code]=$C13)*(ST[Customer Name]=BF$3), ""), 1),
        IF(_xlpm.result=0, "", _xlpm.result)
    ),
"")</f>
        <v/>
      </c>
      <c r="BO13" s="102" t="str">
        <f t="shared" si="100"/>
        <v/>
      </c>
      <c r="BP13" s="70" t="str">
        <f t="shared" si="101"/>
        <v/>
      </c>
      <c r="BQ13" s="83" t="str">
        <f t="shared" si="102"/>
        <v/>
      </c>
      <c r="BR13" s="77"/>
      <c r="BS13" s="108" t="str" cm="1">
        <f t="array" ref="BS13">IFERROR(_xlfn._xlws.FILTER(ST[Customer Code],(ST[Code]=$C13) * (ST[Customer Name]=BS$3),"" ),"")</f>
        <v/>
      </c>
      <c r="BT13" s="68" t="str" cm="1">
        <f t="array" ref="BT13">IFERROR(_xlfn.XLOOKUP($C13,Query[Code], _xlfn.XLOOKUP('Promo Form'!BS$3,Query[[#Headers],[Code]:[Bing Lee]],Query[[Code]:[Bing Lee]])),"")</f>
        <v/>
      </c>
      <c r="BU13" s="16" t="str">
        <f t="shared" si="103"/>
        <v/>
      </c>
      <c r="BV13" s="16" t="str">
        <f t="shared" si="104"/>
        <v/>
      </c>
      <c r="BW13" s="17" t="str">
        <f t="shared" si="105"/>
        <v/>
      </c>
      <c r="BX13" s="18" t="str">
        <f t="shared" si="106"/>
        <v/>
      </c>
      <c r="BY13" s="18" t="str">
        <f t="shared" si="107"/>
        <v/>
      </c>
      <c r="BZ13" s="109" t="str" cm="1">
        <f t="array" ref="BZ13">IFERROR(_xlfn._xlws.FILTER(ST[SOH],(ST[Code]=$C13) * (ST[Customer Name]=BS$3),"" ),"")</f>
        <v/>
      </c>
      <c r="CA13" s="109" t="str" cm="1">
        <f t="array" ref="CA13">IFERROR(
    _xlfn.LET(
        _xlpm.result, INDEX(_xlfn._xlws.FILTER(ST[6wk avg], (ST[Code]=$C13)*(ST[Customer Name]=BS$3), ""), 1),
        IF(_xlpm.result=0, "", _xlpm.result)
    ),
"")</f>
        <v/>
      </c>
      <c r="CB13" s="102" t="str">
        <f t="shared" si="108"/>
        <v/>
      </c>
      <c r="CC13" s="70" t="str">
        <f t="shared" si="109"/>
        <v/>
      </c>
      <c r="CD13" s="83" t="str">
        <f t="shared" si="110"/>
        <v/>
      </c>
      <c r="CE13" s="77"/>
      <c r="CF13" s="108" t="str" cm="1">
        <f t="array" ref="CF13">IFERROR(_xlfn._xlws.FILTER(ST[Customer Code],(ST[Code]=$C13) * (ST[Customer Name]=CF$3),"" ),"")</f>
        <v/>
      </c>
      <c r="CG13" s="68" t="str" cm="1">
        <f t="array" ref="CG13">IFERROR(_xlfn.XLOOKUP($C13,Query[Code], _xlfn.XLOOKUP('Promo Form'!CF$3,Query[[#Headers],[Code]:[Bing Lee]],Query[[Code]:[Bing Lee]])),"")</f>
        <v/>
      </c>
      <c r="CH13" s="16" t="str">
        <f t="shared" si="111"/>
        <v/>
      </c>
      <c r="CI13" s="16" t="str">
        <f t="shared" si="112"/>
        <v/>
      </c>
      <c r="CJ13" s="17" t="str">
        <f t="shared" si="113"/>
        <v/>
      </c>
      <c r="CK13" s="18" t="str">
        <f t="shared" si="114"/>
        <v/>
      </c>
      <c r="CL13" s="18" t="str">
        <f t="shared" si="115"/>
        <v/>
      </c>
      <c r="CM13" s="109" t="str" cm="1">
        <f t="array" ref="CM13">IFERROR(_xlfn._xlws.FILTER(ST[SOH],(ST[Code]=$C13) * (ST[Customer Name]=CF$3),"" ),"")</f>
        <v/>
      </c>
      <c r="CN13" s="109" t="str" cm="1">
        <f t="array" ref="CN13">IFERROR(
    _xlfn.LET(
        _xlpm.result, INDEX(_xlfn._xlws.FILTER(ST[6wk avg], (ST[Code]=$C13)*(ST[Customer Name]=CF$3), ""), 1),
        IF(_xlpm.result=0, "", _xlpm.result)
    ),
"")</f>
        <v/>
      </c>
      <c r="CO13" s="102" t="str">
        <f t="shared" si="116"/>
        <v/>
      </c>
      <c r="CP13" s="70" t="str">
        <f t="shared" si="117"/>
        <v/>
      </c>
      <c r="CQ13" s="83" t="str">
        <f t="shared" si="118"/>
        <v/>
      </c>
      <c r="CR13" s="77"/>
      <c r="CS13" s="17" t="str">
        <f>IFERROR(_xlfn.XLOOKUP(C13,Query[Code],Query[Base (RRP Inc)]),"")</f>
        <v/>
      </c>
      <c r="CT13" s="17" t="str">
        <f t="shared" si="119"/>
        <v/>
      </c>
      <c r="CU13" s="107" t="str">
        <f t="shared" si="120"/>
        <v/>
      </c>
      <c r="CV13" s="17" t="str">
        <f t="shared" si="121"/>
        <v/>
      </c>
      <c r="CW13" s="17"/>
    </row>
    <row r="14" spans="1:101" x14ac:dyDescent="0.2">
      <c r="A14" s="106" t="str">
        <f t="shared" si="61"/>
        <v/>
      </c>
      <c r="B14" s="106" t="str">
        <f t="shared" si="62"/>
        <v/>
      </c>
      <c r="C14" s="13"/>
      <c r="D14" s="14" t="str">
        <f>IF(C14="", "",_xlfn.XLOOKUP(C14,'Master Price Level'!C:C,'Master Price Level'!D:D))</f>
        <v/>
      </c>
      <c r="E14" s="15"/>
      <c r="F14" s="108" t="str" cm="1">
        <f t="array" ref="F14">IFERROR(_xlfn._xlws.FILTER(ST[Customer Code],(ST[Code]=$C14) * (ST[Customer Name]=F$3),"" ),"")</f>
        <v/>
      </c>
      <c r="G14" s="68" t="str" cm="1">
        <f t="array" ref="G14">IFERROR(_xlfn.XLOOKUP($C14,Query[Code], _xlfn.XLOOKUP('Promo Form'!F$3,Query[[#Headers],[Code]:[Bing Lee]],Query[[Code]:[Bing Lee]])),"")</f>
        <v/>
      </c>
      <c r="H14" s="16" t="str">
        <f t="shared" si="63"/>
        <v/>
      </c>
      <c r="I14" s="16" t="str">
        <f t="shared" si="64"/>
        <v/>
      </c>
      <c r="J14" s="17" t="str">
        <f t="shared" si="65"/>
        <v/>
      </c>
      <c r="K14" s="18" t="str">
        <f t="shared" si="66"/>
        <v/>
      </c>
      <c r="L14" s="18" t="str">
        <f t="shared" si="67"/>
        <v/>
      </c>
      <c r="M14" s="109" t="str" cm="1">
        <f t="array" ref="M14">IFERROR(_xlfn._xlws.FILTER(ST[SOH],(ST[Code]=$C14) * (ST[Customer Name]=F$3),"" ),"")</f>
        <v/>
      </c>
      <c r="N14" s="109" t="str" cm="1">
        <f t="array" ref="N14">IFERROR(
    _xlfn.LET(
        _xlpm.result, INDEX(_xlfn._xlws.FILTER(ST[6wk avg], (ST[Code]=$C14)*(ST[Customer Name]=F$3), ""), 1),
        IF(_xlpm.result=0, "", _xlpm.result)
    ),
"")</f>
        <v/>
      </c>
      <c r="O14" s="102" t="str">
        <f t="shared" si="68"/>
        <v/>
      </c>
      <c r="P14" s="70" t="str">
        <f t="shared" si="69"/>
        <v/>
      </c>
      <c r="Q14" s="83" t="str">
        <f t="shared" si="70"/>
        <v/>
      </c>
      <c r="R14" s="77"/>
      <c r="S14" s="108" t="str" cm="1">
        <f t="array" ref="S14">IFERROR(_xlfn._xlws.FILTER(ST[Customer Code],(ST[Code]=$C14) * (ST[Customer Name]=S$3),"" ),"")</f>
        <v/>
      </c>
      <c r="T14" s="68" t="str" cm="1">
        <f t="array" ref="T14">IFERROR(_xlfn.XLOOKUP($C14,Query[Code], _xlfn.XLOOKUP('Promo Form'!S$3,Query[[#Headers],[Code]:[Bing Lee]],Query[[Code]:[Bing Lee]])),"")</f>
        <v/>
      </c>
      <c r="U14" s="16" t="str">
        <f t="shared" si="71"/>
        <v/>
      </c>
      <c r="V14" s="16" t="str">
        <f t="shared" si="72"/>
        <v/>
      </c>
      <c r="W14" s="17" t="str">
        <f t="shared" si="73"/>
        <v/>
      </c>
      <c r="X14" s="18" t="str">
        <f t="shared" si="74"/>
        <v/>
      </c>
      <c r="Y14" s="18" t="str">
        <f t="shared" si="75"/>
        <v/>
      </c>
      <c r="Z14" s="109" t="str" cm="1">
        <f t="array" ref="Z14">IFERROR(_xlfn._xlws.FILTER(ST[SOH],(ST[Code]=$C14) * (ST[Customer Name]=S$3),"" ),"")</f>
        <v/>
      </c>
      <c r="AA14" s="109" t="str" cm="1">
        <f t="array" ref="AA14">IFERROR(
    _xlfn.LET(
        _xlpm.result, INDEX(_xlfn._xlws.FILTER(ST[6wk avg], (ST[Code]=$C14)*(ST[Customer Name]=S$3), ""), 1),
        IF(_xlpm.result=0, "", _xlpm.result)
    ),
"")</f>
        <v/>
      </c>
      <c r="AB14" s="102" t="str">
        <f t="shared" si="76"/>
        <v/>
      </c>
      <c r="AC14" s="70" t="str">
        <f t="shared" si="77"/>
        <v/>
      </c>
      <c r="AD14" s="83" t="str">
        <f t="shared" si="78"/>
        <v/>
      </c>
      <c r="AE14" s="77"/>
      <c r="AF14" s="108" t="str" cm="1">
        <f t="array" ref="AF14">IFERROR(_xlfn._xlws.FILTER(ST[Customer Code],(ST[Code]=$C14) * (ST[Customer Name]=AF$3),"" ),"")</f>
        <v/>
      </c>
      <c r="AG14" s="68" t="str" cm="1">
        <f t="array" ref="AG14">IFERROR(_xlfn.XLOOKUP($C14,Query[Code], _xlfn.XLOOKUP('Promo Form'!AF$3,Query[[#Headers],[Code]:[Bing Lee]],Query[[Code]:[Bing Lee]])),"")</f>
        <v/>
      </c>
      <c r="AH14" s="16" t="str">
        <f t="shared" si="79"/>
        <v/>
      </c>
      <c r="AI14" s="16" t="str">
        <f t="shared" si="80"/>
        <v/>
      </c>
      <c r="AJ14" s="17" t="str">
        <f t="shared" si="81"/>
        <v/>
      </c>
      <c r="AK14" s="18" t="str">
        <f t="shared" si="82"/>
        <v/>
      </c>
      <c r="AL14" s="18" t="str">
        <f t="shared" si="83"/>
        <v/>
      </c>
      <c r="AM14" s="109" t="str" cm="1">
        <f t="array" ref="AM14">IFERROR(_xlfn._xlws.FILTER(ST[SOH],(ST[Code]=$C14) * (ST[Customer Name]=AF$3),"" ),"")</f>
        <v/>
      </c>
      <c r="AN14" s="109" t="str" cm="1">
        <f t="array" ref="AN14">IFERROR(
    _xlfn.LET(
        _xlpm.result, INDEX(_xlfn._xlws.FILTER(ST[6wk avg], (ST[Code]=$C14)*(ST[Customer Name]=AF$3), ""), 1),
        IF(_xlpm.result=0, "", _xlpm.result)
    ),
"")</f>
        <v/>
      </c>
      <c r="AO14" s="102" t="str">
        <f t="shared" si="84"/>
        <v/>
      </c>
      <c r="AP14" s="70" t="str">
        <f t="shared" si="85"/>
        <v/>
      </c>
      <c r="AQ14" s="83" t="str">
        <f t="shared" si="86"/>
        <v/>
      </c>
      <c r="AR14" s="77"/>
      <c r="AS14" s="108" t="str" cm="1">
        <f t="array" ref="AS14">IFERROR(_xlfn._xlws.FILTER(ST[Customer Code],(ST[Code]=$C14) * (ST[Customer Name]=AS$3),"" ),"")</f>
        <v/>
      </c>
      <c r="AT14" s="68" t="str" cm="1">
        <f t="array" ref="AT14">IFERROR(_xlfn.XLOOKUP($C14,Query[Code], _xlfn.XLOOKUP('Promo Form'!AS$3,Query[[#Headers],[Code]:[Bing Lee]],Query[[Code]:[Bing Lee]])),"")</f>
        <v/>
      </c>
      <c r="AU14" s="16" t="str">
        <f t="shared" si="87"/>
        <v/>
      </c>
      <c r="AV14" s="16" t="str">
        <f t="shared" si="88"/>
        <v/>
      </c>
      <c r="AW14" s="17" t="str">
        <f t="shared" si="89"/>
        <v/>
      </c>
      <c r="AX14" s="18" t="str">
        <f t="shared" si="90"/>
        <v/>
      </c>
      <c r="AY14" s="18" t="str">
        <f t="shared" si="91"/>
        <v/>
      </c>
      <c r="AZ14" s="109" t="str" cm="1">
        <f t="array" ref="AZ14">IFERROR(_xlfn._xlws.FILTER(ST[SOH],(ST[Code]=$C14) * (ST[Customer Name]=AS$3),"" ),"")</f>
        <v/>
      </c>
      <c r="BA14" s="109" t="str" cm="1">
        <f t="array" ref="BA14">IFERROR(
    _xlfn.LET(
        _xlpm.result, INDEX(_xlfn._xlws.FILTER(ST[6wk avg], (ST[Code]=$C14)*(ST[Customer Name]=AS$3), ""), 1),
        IF(_xlpm.result=0, "", _xlpm.result)
    ),
"")</f>
        <v/>
      </c>
      <c r="BB14" s="102" t="str">
        <f t="shared" si="92"/>
        <v/>
      </c>
      <c r="BC14" s="70" t="str">
        <f t="shared" si="93"/>
        <v/>
      </c>
      <c r="BD14" s="83" t="str">
        <f t="shared" si="94"/>
        <v/>
      </c>
      <c r="BE14" s="77"/>
      <c r="BF14" s="108" t="str" cm="1">
        <f t="array" ref="BF14">IFERROR(_xlfn._xlws.FILTER(ST[Customer Code],(ST[Code]=$C14) * (ST[Customer Name]=BF$3),"" ),"")</f>
        <v/>
      </c>
      <c r="BG14" s="68" t="str" cm="1">
        <f t="array" ref="BG14">IFERROR(_xlfn.XLOOKUP($C14,Query[Code], _xlfn.XLOOKUP('Promo Form'!BF$3,Query[[#Headers],[Code]:[Bing Lee]],Query[[Code]:[Bing Lee]])),"")</f>
        <v/>
      </c>
      <c r="BH14" s="16" t="str">
        <f t="shared" si="95"/>
        <v/>
      </c>
      <c r="BI14" s="16" t="str">
        <f t="shared" si="96"/>
        <v/>
      </c>
      <c r="BJ14" s="17" t="str">
        <f t="shared" si="97"/>
        <v/>
      </c>
      <c r="BK14" s="18" t="str">
        <f t="shared" si="98"/>
        <v/>
      </c>
      <c r="BL14" s="18" t="str">
        <f t="shared" si="99"/>
        <v/>
      </c>
      <c r="BM14" s="109" t="str" cm="1">
        <f t="array" ref="BM14">IFERROR(_xlfn._xlws.FILTER(ST[SOH],(ST[Code]=$C14) * (ST[Customer Name]=BF$3),"" ),"")</f>
        <v/>
      </c>
      <c r="BN14" s="109" t="str" cm="1">
        <f t="array" ref="BN14">IFERROR(
    _xlfn.LET(
        _xlpm.result, INDEX(_xlfn._xlws.FILTER(ST[6wk avg], (ST[Code]=$C14)*(ST[Customer Name]=BF$3), ""), 1),
        IF(_xlpm.result=0, "", _xlpm.result)
    ),
"")</f>
        <v/>
      </c>
      <c r="BO14" s="102" t="str">
        <f t="shared" si="100"/>
        <v/>
      </c>
      <c r="BP14" s="70" t="str">
        <f t="shared" si="101"/>
        <v/>
      </c>
      <c r="BQ14" s="83" t="str">
        <f t="shared" si="102"/>
        <v/>
      </c>
      <c r="BR14" s="77"/>
      <c r="BS14" s="108" t="str" cm="1">
        <f t="array" ref="BS14">IFERROR(_xlfn._xlws.FILTER(ST[Customer Code],(ST[Code]=$C14) * (ST[Customer Name]=BS$3),"" ),"")</f>
        <v/>
      </c>
      <c r="BT14" s="68" t="str" cm="1">
        <f t="array" ref="BT14">IFERROR(_xlfn.XLOOKUP($C14,Query[Code], _xlfn.XLOOKUP('Promo Form'!BS$3,Query[[#Headers],[Code]:[Bing Lee]],Query[[Code]:[Bing Lee]])),"")</f>
        <v/>
      </c>
      <c r="BU14" s="16" t="str">
        <f t="shared" si="103"/>
        <v/>
      </c>
      <c r="BV14" s="16" t="str">
        <f t="shared" si="104"/>
        <v/>
      </c>
      <c r="BW14" s="17" t="str">
        <f t="shared" si="105"/>
        <v/>
      </c>
      <c r="BX14" s="18" t="str">
        <f t="shared" si="106"/>
        <v/>
      </c>
      <c r="BY14" s="18" t="str">
        <f t="shared" si="107"/>
        <v/>
      </c>
      <c r="BZ14" s="109" t="str" cm="1">
        <f t="array" ref="BZ14">IFERROR(_xlfn._xlws.FILTER(ST[SOH],(ST[Code]=$C14) * (ST[Customer Name]=BS$3),"" ),"")</f>
        <v/>
      </c>
      <c r="CA14" s="109" t="str" cm="1">
        <f t="array" ref="CA14">IFERROR(
    _xlfn.LET(
        _xlpm.result, INDEX(_xlfn._xlws.FILTER(ST[6wk avg], (ST[Code]=$C14)*(ST[Customer Name]=BS$3), ""), 1),
        IF(_xlpm.result=0, "", _xlpm.result)
    ),
"")</f>
        <v/>
      </c>
      <c r="CB14" s="102" t="str">
        <f t="shared" si="108"/>
        <v/>
      </c>
      <c r="CC14" s="70" t="str">
        <f t="shared" si="109"/>
        <v/>
      </c>
      <c r="CD14" s="83" t="str">
        <f t="shared" si="110"/>
        <v/>
      </c>
      <c r="CE14" s="77"/>
      <c r="CF14" s="108" t="str" cm="1">
        <f t="array" ref="CF14">IFERROR(_xlfn._xlws.FILTER(ST[Customer Code],(ST[Code]=$C14) * (ST[Customer Name]=CF$3),"" ),"")</f>
        <v/>
      </c>
      <c r="CG14" s="68" t="str" cm="1">
        <f t="array" ref="CG14">IFERROR(_xlfn.XLOOKUP($C14,Query[Code], _xlfn.XLOOKUP('Promo Form'!CF$3,Query[[#Headers],[Code]:[Bing Lee]],Query[[Code]:[Bing Lee]])),"")</f>
        <v/>
      </c>
      <c r="CH14" s="16" t="str">
        <f t="shared" si="111"/>
        <v/>
      </c>
      <c r="CI14" s="16" t="str">
        <f t="shared" si="112"/>
        <v/>
      </c>
      <c r="CJ14" s="17" t="str">
        <f t="shared" si="113"/>
        <v/>
      </c>
      <c r="CK14" s="18" t="str">
        <f t="shared" si="114"/>
        <v/>
      </c>
      <c r="CL14" s="18" t="str">
        <f t="shared" si="115"/>
        <v/>
      </c>
      <c r="CM14" s="109" t="str" cm="1">
        <f t="array" ref="CM14">IFERROR(_xlfn._xlws.FILTER(ST[SOH],(ST[Code]=$C14) * (ST[Customer Name]=CF$3),"" ),"")</f>
        <v/>
      </c>
      <c r="CN14" s="109" t="str" cm="1">
        <f t="array" ref="CN14">IFERROR(
    _xlfn.LET(
        _xlpm.result, INDEX(_xlfn._xlws.FILTER(ST[6wk avg], (ST[Code]=$C14)*(ST[Customer Name]=CF$3), ""), 1),
        IF(_xlpm.result=0, "", _xlpm.result)
    ),
"")</f>
        <v/>
      </c>
      <c r="CO14" s="102" t="str">
        <f t="shared" si="116"/>
        <v/>
      </c>
      <c r="CP14" s="70" t="str">
        <f t="shared" si="117"/>
        <v/>
      </c>
      <c r="CQ14" s="83" t="str">
        <f t="shared" si="118"/>
        <v/>
      </c>
      <c r="CR14" s="77"/>
      <c r="CS14" s="17" t="str">
        <f>IFERROR(_xlfn.XLOOKUP(C14,Query[Code],Query[Base (RRP Inc)]),"")</f>
        <v/>
      </c>
      <c r="CT14" s="17" t="str">
        <f t="shared" si="119"/>
        <v/>
      </c>
      <c r="CU14" s="107" t="str">
        <f t="shared" si="120"/>
        <v/>
      </c>
      <c r="CV14" s="17" t="str">
        <f t="shared" si="121"/>
        <v/>
      </c>
      <c r="CW14" s="17"/>
    </row>
    <row r="15" spans="1:101" x14ac:dyDescent="0.2">
      <c r="A15" s="106" t="str">
        <f t="shared" si="61"/>
        <v/>
      </c>
      <c r="B15" s="106" t="str">
        <f t="shared" si="62"/>
        <v/>
      </c>
      <c r="C15" s="13"/>
      <c r="D15" s="14" t="str">
        <f>IF(C15="", "",_xlfn.XLOOKUP(C15,'Master Price Level'!C:C,'Master Price Level'!D:D))</f>
        <v/>
      </c>
      <c r="E15" s="15"/>
      <c r="F15" s="108" t="str" cm="1">
        <f t="array" ref="F15">IFERROR(_xlfn._xlws.FILTER(ST[Customer Code],(ST[Code]=$C15) * (ST[Customer Name]=F$3),"" ),"")</f>
        <v/>
      </c>
      <c r="G15" s="68" t="str" cm="1">
        <f t="array" ref="G15">IFERROR(_xlfn.XLOOKUP($C15,Query[Code], _xlfn.XLOOKUP('Promo Form'!F$3,Query[[#Headers],[Code]:[Bing Lee]],Query[[Code]:[Bing Lee]])),"")</f>
        <v/>
      </c>
      <c r="H15" s="16" t="str">
        <f t="shared" si="63"/>
        <v/>
      </c>
      <c r="I15" s="16" t="str">
        <f t="shared" si="64"/>
        <v/>
      </c>
      <c r="J15" s="17" t="str">
        <f t="shared" si="65"/>
        <v/>
      </c>
      <c r="K15" s="18" t="str">
        <f t="shared" si="66"/>
        <v/>
      </c>
      <c r="L15" s="18" t="str">
        <f t="shared" si="67"/>
        <v/>
      </c>
      <c r="M15" s="109" t="str" cm="1">
        <f t="array" ref="M15">IFERROR(_xlfn._xlws.FILTER(ST[SOH],(ST[Code]=$C15) * (ST[Customer Name]=F$3),"" ),"")</f>
        <v/>
      </c>
      <c r="N15" s="109" t="str" cm="1">
        <f t="array" ref="N15">IFERROR(
    _xlfn.LET(
        _xlpm.result, INDEX(_xlfn._xlws.FILTER(ST[6wk avg], (ST[Code]=$C15)*(ST[Customer Name]=F$3), ""), 1),
        IF(_xlpm.result=0, "", _xlpm.result)
    ),
"")</f>
        <v/>
      </c>
      <c r="O15" s="102" t="str">
        <f t="shared" si="68"/>
        <v/>
      </c>
      <c r="P15" s="70" t="str">
        <f t="shared" si="69"/>
        <v/>
      </c>
      <c r="Q15" s="83" t="str">
        <f t="shared" si="70"/>
        <v/>
      </c>
      <c r="R15" s="77"/>
      <c r="S15" s="108" t="str" cm="1">
        <f t="array" ref="S15">IFERROR(_xlfn._xlws.FILTER(ST[Customer Code],(ST[Code]=$C15) * (ST[Customer Name]=S$3),"" ),"")</f>
        <v/>
      </c>
      <c r="T15" s="68" t="str" cm="1">
        <f t="array" ref="T15">IFERROR(_xlfn.XLOOKUP($C15,Query[Code], _xlfn.XLOOKUP('Promo Form'!S$3,Query[[#Headers],[Code]:[Bing Lee]],Query[[Code]:[Bing Lee]])),"")</f>
        <v/>
      </c>
      <c r="U15" s="16" t="str">
        <f t="shared" si="71"/>
        <v/>
      </c>
      <c r="V15" s="16" t="str">
        <f t="shared" si="72"/>
        <v/>
      </c>
      <c r="W15" s="17" t="str">
        <f t="shared" si="73"/>
        <v/>
      </c>
      <c r="X15" s="18" t="str">
        <f t="shared" si="74"/>
        <v/>
      </c>
      <c r="Y15" s="18" t="str">
        <f t="shared" si="75"/>
        <v/>
      </c>
      <c r="Z15" s="109" t="str" cm="1">
        <f t="array" ref="Z15">IFERROR(_xlfn._xlws.FILTER(ST[SOH],(ST[Code]=$C15) * (ST[Customer Name]=S$3),"" ),"")</f>
        <v/>
      </c>
      <c r="AA15" s="109" t="str" cm="1">
        <f t="array" ref="AA15">IFERROR(
    _xlfn.LET(
        _xlpm.result, INDEX(_xlfn._xlws.FILTER(ST[6wk avg], (ST[Code]=$C15)*(ST[Customer Name]=S$3), ""), 1),
        IF(_xlpm.result=0, "", _xlpm.result)
    ),
"")</f>
        <v/>
      </c>
      <c r="AB15" s="102" t="str">
        <f t="shared" si="76"/>
        <v/>
      </c>
      <c r="AC15" s="70" t="str">
        <f t="shared" si="77"/>
        <v/>
      </c>
      <c r="AD15" s="83" t="str">
        <f t="shared" si="78"/>
        <v/>
      </c>
      <c r="AE15" s="77"/>
      <c r="AF15" s="108" t="str" cm="1">
        <f t="array" ref="AF15">IFERROR(_xlfn._xlws.FILTER(ST[Customer Code],(ST[Code]=$C15) * (ST[Customer Name]=AF$3),"" ),"")</f>
        <v/>
      </c>
      <c r="AG15" s="68" t="str" cm="1">
        <f t="array" ref="AG15">IFERROR(_xlfn.XLOOKUP($C15,Query[Code], _xlfn.XLOOKUP('Promo Form'!AF$3,Query[[#Headers],[Code]:[Bing Lee]],Query[[Code]:[Bing Lee]])),"")</f>
        <v/>
      </c>
      <c r="AH15" s="16" t="str">
        <f t="shared" si="79"/>
        <v/>
      </c>
      <c r="AI15" s="16" t="str">
        <f t="shared" si="80"/>
        <v/>
      </c>
      <c r="AJ15" s="17" t="str">
        <f t="shared" si="81"/>
        <v/>
      </c>
      <c r="AK15" s="18" t="str">
        <f t="shared" si="82"/>
        <v/>
      </c>
      <c r="AL15" s="18" t="str">
        <f t="shared" si="83"/>
        <v/>
      </c>
      <c r="AM15" s="109" t="str" cm="1">
        <f t="array" ref="AM15">IFERROR(_xlfn._xlws.FILTER(ST[SOH],(ST[Code]=$C15) * (ST[Customer Name]=AF$3),"" ),"")</f>
        <v/>
      </c>
      <c r="AN15" s="109" t="str" cm="1">
        <f t="array" ref="AN15">IFERROR(
    _xlfn.LET(
        _xlpm.result, INDEX(_xlfn._xlws.FILTER(ST[6wk avg], (ST[Code]=$C15)*(ST[Customer Name]=AF$3), ""), 1),
        IF(_xlpm.result=0, "", _xlpm.result)
    ),
"")</f>
        <v/>
      </c>
      <c r="AO15" s="102" t="str">
        <f t="shared" si="84"/>
        <v/>
      </c>
      <c r="AP15" s="70" t="str">
        <f t="shared" si="85"/>
        <v/>
      </c>
      <c r="AQ15" s="83" t="str">
        <f t="shared" si="86"/>
        <v/>
      </c>
      <c r="AR15" s="77"/>
      <c r="AS15" s="108" t="str" cm="1">
        <f t="array" ref="AS15">IFERROR(_xlfn._xlws.FILTER(ST[Customer Code],(ST[Code]=$C15) * (ST[Customer Name]=AS$3),"" ),"")</f>
        <v/>
      </c>
      <c r="AT15" s="68" t="str" cm="1">
        <f t="array" ref="AT15">IFERROR(_xlfn.XLOOKUP($C15,Query[Code], _xlfn.XLOOKUP('Promo Form'!AS$3,Query[[#Headers],[Code]:[Bing Lee]],Query[[Code]:[Bing Lee]])),"")</f>
        <v/>
      </c>
      <c r="AU15" s="16" t="str">
        <f t="shared" si="87"/>
        <v/>
      </c>
      <c r="AV15" s="16" t="str">
        <f t="shared" si="88"/>
        <v/>
      </c>
      <c r="AW15" s="17" t="str">
        <f t="shared" si="89"/>
        <v/>
      </c>
      <c r="AX15" s="18" t="str">
        <f t="shared" si="90"/>
        <v/>
      </c>
      <c r="AY15" s="18" t="str">
        <f t="shared" si="91"/>
        <v/>
      </c>
      <c r="AZ15" s="109" t="str" cm="1">
        <f t="array" ref="AZ15">IFERROR(_xlfn._xlws.FILTER(ST[SOH],(ST[Code]=$C15) * (ST[Customer Name]=AS$3),"" ),"")</f>
        <v/>
      </c>
      <c r="BA15" s="109" t="str" cm="1">
        <f t="array" ref="BA15">IFERROR(
    _xlfn.LET(
        _xlpm.result, INDEX(_xlfn._xlws.FILTER(ST[6wk avg], (ST[Code]=$C15)*(ST[Customer Name]=AS$3), ""), 1),
        IF(_xlpm.result=0, "", _xlpm.result)
    ),
"")</f>
        <v/>
      </c>
      <c r="BB15" s="102" t="str">
        <f t="shared" si="92"/>
        <v/>
      </c>
      <c r="BC15" s="70" t="str">
        <f t="shared" si="93"/>
        <v/>
      </c>
      <c r="BD15" s="83" t="str">
        <f t="shared" si="94"/>
        <v/>
      </c>
      <c r="BE15" s="77"/>
      <c r="BF15" s="108" t="str" cm="1">
        <f t="array" ref="BF15">IFERROR(_xlfn._xlws.FILTER(ST[Customer Code],(ST[Code]=$C15) * (ST[Customer Name]=BF$3),"" ),"")</f>
        <v/>
      </c>
      <c r="BG15" s="68" t="str" cm="1">
        <f t="array" ref="BG15">IFERROR(_xlfn.XLOOKUP($C15,Query[Code], _xlfn.XLOOKUP('Promo Form'!BF$3,Query[[#Headers],[Code]:[Bing Lee]],Query[[Code]:[Bing Lee]])),"")</f>
        <v/>
      </c>
      <c r="BH15" s="16" t="str">
        <f t="shared" si="95"/>
        <v/>
      </c>
      <c r="BI15" s="16" t="str">
        <f t="shared" si="96"/>
        <v/>
      </c>
      <c r="BJ15" s="17" t="str">
        <f t="shared" si="97"/>
        <v/>
      </c>
      <c r="BK15" s="18" t="str">
        <f t="shared" si="98"/>
        <v/>
      </c>
      <c r="BL15" s="18" t="str">
        <f t="shared" si="99"/>
        <v/>
      </c>
      <c r="BM15" s="109" t="str" cm="1">
        <f t="array" ref="BM15">IFERROR(_xlfn._xlws.FILTER(ST[SOH],(ST[Code]=$C15) * (ST[Customer Name]=BF$3),"" ),"")</f>
        <v/>
      </c>
      <c r="BN15" s="109" t="str" cm="1">
        <f t="array" ref="BN15">IFERROR(
    _xlfn.LET(
        _xlpm.result, INDEX(_xlfn._xlws.FILTER(ST[6wk avg], (ST[Code]=$C15)*(ST[Customer Name]=BF$3), ""), 1),
        IF(_xlpm.result=0, "", _xlpm.result)
    ),
"")</f>
        <v/>
      </c>
      <c r="BO15" s="102" t="str">
        <f t="shared" si="100"/>
        <v/>
      </c>
      <c r="BP15" s="70" t="str">
        <f t="shared" si="101"/>
        <v/>
      </c>
      <c r="BQ15" s="83" t="str">
        <f t="shared" si="102"/>
        <v/>
      </c>
      <c r="BR15" s="77"/>
      <c r="BS15" s="108" t="str" cm="1">
        <f t="array" ref="BS15">IFERROR(_xlfn._xlws.FILTER(ST[Customer Code],(ST[Code]=$C15) * (ST[Customer Name]=BS$3),"" ),"")</f>
        <v/>
      </c>
      <c r="BT15" s="68" t="str" cm="1">
        <f t="array" ref="BT15">IFERROR(_xlfn.XLOOKUP($C15,Query[Code], _xlfn.XLOOKUP('Promo Form'!BS$3,Query[[#Headers],[Code]:[Bing Lee]],Query[[Code]:[Bing Lee]])),"")</f>
        <v/>
      </c>
      <c r="BU15" s="16" t="str">
        <f t="shared" si="103"/>
        <v/>
      </c>
      <c r="BV15" s="16" t="str">
        <f t="shared" si="104"/>
        <v/>
      </c>
      <c r="BW15" s="17" t="str">
        <f t="shared" si="105"/>
        <v/>
      </c>
      <c r="BX15" s="18" t="str">
        <f t="shared" si="106"/>
        <v/>
      </c>
      <c r="BY15" s="18" t="str">
        <f t="shared" si="107"/>
        <v/>
      </c>
      <c r="BZ15" s="109" t="str" cm="1">
        <f t="array" ref="BZ15">IFERROR(_xlfn._xlws.FILTER(ST[SOH],(ST[Code]=$C15) * (ST[Customer Name]=BS$3),"" ),"")</f>
        <v/>
      </c>
      <c r="CA15" s="109" t="str" cm="1">
        <f t="array" ref="CA15">IFERROR(
    _xlfn.LET(
        _xlpm.result, INDEX(_xlfn._xlws.FILTER(ST[6wk avg], (ST[Code]=$C15)*(ST[Customer Name]=BS$3), ""), 1),
        IF(_xlpm.result=0, "", _xlpm.result)
    ),
"")</f>
        <v/>
      </c>
      <c r="CB15" s="102" t="str">
        <f t="shared" si="108"/>
        <v/>
      </c>
      <c r="CC15" s="70" t="str">
        <f t="shared" si="109"/>
        <v/>
      </c>
      <c r="CD15" s="83" t="str">
        <f t="shared" si="110"/>
        <v/>
      </c>
      <c r="CE15" s="77"/>
      <c r="CF15" s="108" t="str" cm="1">
        <f t="array" ref="CF15">IFERROR(_xlfn._xlws.FILTER(ST[Customer Code],(ST[Code]=$C15) * (ST[Customer Name]=CF$3),"" ),"")</f>
        <v/>
      </c>
      <c r="CG15" s="68" t="str" cm="1">
        <f t="array" ref="CG15">IFERROR(_xlfn.XLOOKUP($C15,Query[Code], _xlfn.XLOOKUP('Promo Form'!CF$3,Query[[#Headers],[Code]:[Bing Lee]],Query[[Code]:[Bing Lee]])),"")</f>
        <v/>
      </c>
      <c r="CH15" s="16" t="str">
        <f t="shared" si="111"/>
        <v/>
      </c>
      <c r="CI15" s="16" t="str">
        <f t="shared" si="112"/>
        <v/>
      </c>
      <c r="CJ15" s="17" t="str">
        <f t="shared" si="113"/>
        <v/>
      </c>
      <c r="CK15" s="18" t="str">
        <f t="shared" si="114"/>
        <v/>
      </c>
      <c r="CL15" s="18" t="str">
        <f t="shared" si="115"/>
        <v/>
      </c>
      <c r="CM15" s="109" t="str" cm="1">
        <f t="array" ref="CM15">IFERROR(_xlfn._xlws.FILTER(ST[SOH],(ST[Code]=$C15) * (ST[Customer Name]=CF$3),"" ),"")</f>
        <v/>
      </c>
      <c r="CN15" s="109" t="str" cm="1">
        <f t="array" ref="CN15">IFERROR(
    _xlfn.LET(
        _xlpm.result, INDEX(_xlfn._xlws.FILTER(ST[6wk avg], (ST[Code]=$C15)*(ST[Customer Name]=CF$3), ""), 1),
        IF(_xlpm.result=0, "", _xlpm.result)
    ),
"")</f>
        <v/>
      </c>
      <c r="CO15" s="102" t="str">
        <f t="shared" si="116"/>
        <v/>
      </c>
      <c r="CP15" s="70" t="str">
        <f t="shared" si="117"/>
        <v/>
      </c>
      <c r="CQ15" s="83" t="str">
        <f t="shared" si="118"/>
        <v/>
      </c>
      <c r="CR15" s="77"/>
      <c r="CS15" s="17" t="str">
        <f>IFERROR(_xlfn.XLOOKUP(C15,Query[Code],Query[Base (RRP Inc)]),"")</f>
        <v/>
      </c>
      <c r="CT15" s="17" t="str">
        <f t="shared" si="119"/>
        <v/>
      </c>
      <c r="CU15" s="107" t="str">
        <f t="shared" si="120"/>
        <v/>
      </c>
      <c r="CV15" s="17" t="str">
        <f t="shared" si="121"/>
        <v/>
      </c>
      <c r="CW15" s="17"/>
    </row>
    <row r="16" spans="1:101" x14ac:dyDescent="0.2">
      <c r="A16" s="106" t="str">
        <f t="shared" si="61"/>
        <v/>
      </c>
      <c r="B16" s="106" t="str">
        <f t="shared" si="62"/>
        <v/>
      </c>
      <c r="C16" s="13"/>
      <c r="D16" s="14" t="str">
        <f>IF(C16="", "",_xlfn.XLOOKUP(C16,'Master Price Level'!C:C,'Master Price Level'!D:D))</f>
        <v/>
      </c>
      <c r="E16" s="15"/>
      <c r="F16" s="108" t="str" cm="1">
        <f t="array" ref="F16">IFERROR(_xlfn._xlws.FILTER(ST[Customer Code],(ST[Code]=$C16) * (ST[Customer Name]=F$3),"" ),"")</f>
        <v/>
      </c>
      <c r="G16" s="68" t="str" cm="1">
        <f t="array" ref="G16">IFERROR(_xlfn.XLOOKUP($C16,Query[Code], _xlfn.XLOOKUP('Promo Form'!F$3,Query[[#Headers],[Code]:[Bing Lee]],Query[[Code]:[Bing Lee]])),"")</f>
        <v/>
      </c>
      <c r="H16" s="16" t="str">
        <f t="shared" si="63"/>
        <v/>
      </c>
      <c r="I16" s="16" t="str">
        <f t="shared" si="64"/>
        <v/>
      </c>
      <c r="J16" s="17" t="str">
        <f t="shared" si="65"/>
        <v/>
      </c>
      <c r="K16" s="18" t="str">
        <f t="shared" si="66"/>
        <v/>
      </c>
      <c r="L16" s="18" t="str">
        <f t="shared" si="67"/>
        <v/>
      </c>
      <c r="M16" s="109" t="str" cm="1">
        <f t="array" ref="M16">IFERROR(_xlfn._xlws.FILTER(ST[SOH],(ST[Code]=$C16) * (ST[Customer Name]=F$3),"" ),"")</f>
        <v/>
      </c>
      <c r="N16" s="109" t="str" cm="1">
        <f t="array" ref="N16">IFERROR(
    _xlfn.LET(
        _xlpm.result, INDEX(_xlfn._xlws.FILTER(ST[6wk avg], (ST[Code]=$C16)*(ST[Customer Name]=F$3), ""), 1),
        IF(_xlpm.result=0, "", _xlpm.result)
    ),
"")</f>
        <v/>
      </c>
      <c r="O16" s="102" t="str">
        <f t="shared" si="68"/>
        <v/>
      </c>
      <c r="P16" s="70" t="str">
        <f t="shared" si="69"/>
        <v/>
      </c>
      <c r="Q16" s="83" t="str">
        <f t="shared" si="70"/>
        <v/>
      </c>
      <c r="R16" s="77"/>
      <c r="S16" s="108" t="str" cm="1">
        <f t="array" ref="S16">IFERROR(_xlfn._xlws.FILTER(ST[Customer Code],(ST[Code]=$C16) * (ST[Customer Name]=S$3),"" ),"")</f>
        <v/>
      </c>
      <c r="T16" s="68" t="str" cm="1">
        <f t="array" ref="T16">IFERROR(_xlfn.XLOOKUP($C16,Query[Code], _xlfn.XLOOKUP('Promo Form'!S$3,Query[[#Headers],[Code]:[Bing Lee]],Query[[Code]:[Bing Lee]])),"")</f>
        <v/>
      </c>
      <c r="U16" s="16" t="str">
        <f t="shared" si="71"/>
        <v/>
      </c>
      <c r="V16" s="16" t="str">
        <f t="shared" si="72"/>
        <v/>
      </c>
      <c r="W16" s="17" t="str">
        <f t="shared" si="73"/>
        <v/>
      </c>
      <c r="X16" s="18" t="str">
        <f t="shared" si="74"/>
        <v/>
      </c>
      <c r="Y16" s="18" t="str">
        <f t="shared" si="75"/>
        <v/>
      </c>
      <c r="Z16" s="109" t="str" cm="1">
        <f t="array" ref="Z16">IFERROR(_xlfn._xlws.FILTER(ST[SOH],(ST[Code]=$C16) * (ST[Customer Name]=S$3),"" ),"")</f>
        <v/>
      </c>
      <c r="AA16" s="109" t="str" cm="1">
        <f t="array" ref="AA16">IFERROR(
    _xlfn.LET(
        _xlpm.result, INDEX(_xlfn._xlws.FILTER(ST[6wk avg], (ST[Code]=$C16)*(ST[Customer Name]=S$3), ""), 1),
        IF(_xlpm.result=0, "", _xlpm.result)
    ),
"")</f>
        <v/>
      </c>
      <c r="AB16" s="102" t="str">
        <f t="shared" si="76"/>
        <v/>
      </c>
      <c r="AC16" s="70" t="str">
        <f t="shared" si="77"/>
        <v/>
      </c>
      <c r="AD16" s="83" t="str">
        <f t="shared" si="78"/>
        <v/>
      </c>
      <c r="AE16" s="77"/>
      <c r="AF16" s="108" t="str" cm="1">
        <f t="array" ref="AF16">IFERROR(_xlfn._xlws.FILTER(ST[Customer Code],(ST[Code]=$C16) * (ST[Customer Name]=AF$3),"" ),"")</f>
        <v/>
      </c>
      <c r="AG16" s="68" t="str" cm="1">
        <f t="array" ref="AG16">IFERROR(_xlfn.XLOOKUP($C16,Query[Code], _xlfn.XLOOKUP('Promo Form'!AF$3,Query[[#Headers],[Code]:[Bing Lee]],Query[[Code]:[Bing Lee]])),"")</f>
        <v/>
      </c>
      <c r="AH16" s="16" t="str">
        <f t="shared" si="79"/>
        <v/>
      </c>
      <c r="AI16" s="16" t="str">
        <f t="shared" si="80"/>
        <v/>
      </c>
      <c r="AJ16" s="17" t="str">
        <f t="shared" si="81"/>
        <v/>
      </c>
      <c r="AK16" s="18" t="str">
        <f t="shared" si="82"/>
        <v/>
      </c>
      <c r="AL16" s="18" t="str">
        <f t="shared" si="83"/>
        <v/>
      </c>
      <c r="AM16" s="109" t="str" cm="1">
        <f t="array" ref="AM16">IFERROR(_xlfn._xlws.FILTER(ST[SOH],(ST[Code]=$C16) * (ST[Customer Name]=AF$3),"" ),"")</f>
        <v/>
      </c>
      <c r="AN16" s="109" t="str" cm="1">
        <f t="array" ref="AN16">IFERROR(
    _xlfn.LET(
        _xlpm.result, INDEX(_xlfn._xlws.FILTER(ST[6wk avg], (ST[Code]=$C16)*(ST[Customer Name]=AF$3), ""), 1),
        IF(_xlpm.result=0, "", _xlpm.result)
    ),
"")</f>
        <v/>
      </c>
      <c r="AO16" s="102" t="str">
        <f t="shared" si="84"/>
        <v/>
      </c>
      <c r="AP16" s="70" t="str">
        <f t="shared" si="85"/>
        <v/>
      </c>
      <c r="AQ16" s="83" t="str">
        <f t="shared" si="86"/>
        <v/>
      </c>
      <c r="AR16" s="77"/>
      <c r="AS16" s="108" t="str" cm="1">
        <f t="array" ref="AS16">IFERROR(_xlfn._xlws.FILTER(ST[Customer Code],(ST[Code]=$C16) * (ST[Customer Name]=AS$3),"" ),"")</f>
        <v/>
      </c>
      <c r="AT16" s="68" t="str" cm="1">
        <f t="array" ref="AT16">IFERROR(_xlfn.XLOOKUP($C16,Query[Code], _xlfn.XLOOKUP('Promo Form'!AS$3,Query[[#Headers],[Code]:[Bing Lee]],Query[[Code]:[Bing Lee]])),"")</f>
        <v/>
      </c>
      <c r="AU16" s="16" t="str">
        <f t="shared" si="87"/>
        <v/>
      </c>
      <c r="AV16" s="16" t="str">
        <f t="shared" si="88"/>
        <v/>
      </c>
      <c r="AW16" s="17" t="str">
        <f t="shared" si="89"/>
        <v/>
      </c>
      <c r="AX16" s="18" t="str">
        <f t="shared" si="90"/>
        <v/>
      </c>
      <c r="AY16" s="18" t="str">
        <f t="shared" si="91"/>
        <v/>
      </c>
      <c r="AZ16" s="109" t="str" cm="1">
        <f t="array" ref="AZ16">IFERROR(_xlfn._xlws.FILTER(ST[SOH],(ST[Code]=$C16) * (ST[Customer Name]=AS$3),"" ),"")</f>
        <v/>
      </c>
      <c r="BA16" s="109" t="str" cm="1">
        <f t="array" ref="BA16">IFERROR(
    _xlfn.LET(
        _xlpm.result, INDEX(_xlfn._xlws.FILTER(ST[6wk avg], (ST[Code]=$C16)*(ST[Customer Name]=AS$3), ""), 1),
        IF(_xlpm.result=0, "", _xlpm.result)
    ),
"")</f>
        <v/>
      </c>
      <c r="BB16" s="102" t="str">
        <f t="shared" si="92"/>
        <v/>
      </c>
      <c r="BC16" s="70" t="str">
        <f t="shared" si="93"/>
        <v/>
      </c>
      <c r="BD16" s="83" t="str">
        <f t="shared" si="94"/>
        <v/>
      </c>
      <c r="BE16" s="77"/>
      <c r="BF16" s="108" t="str" cm="1">
        <f t="array" ref="BF16">IFERROR(_xlfn._xlws.FILTER(ST[Customer Code],(ST[Code]=$C16) * (ST[Customer Name]=BF$3),"" ),"")</f>
        <v/>
      </c>
      <c r="BG16" s="68" t="str" cm="1">
        <f t="array" ref="BG16">IFERROR(_xlfn.XLOOKUP($C16,Query[Code], _xlfn.XLOOKUP('Promo Form'!BF$3,Query[[#Headers],[Code]:[Bing Lee]],Query[[Code]:[Bing Lee]])),"")</f>
        <v/>
      </c>
      <c r="BH16" s="16" t="str">
        <f t="shared" si="95"/>
        <v/>
      </c>
      <c r="BI16" s="16" t="str">
        <f t="shared" si="96"/>
        <v/>
      </c>
      <c r="BJ16" s="17" t="str">
        <f t="shared" si="97"/>
        <v/>
      </c>
      <c r="BK16" s="18" t="str">
        <f t="shared" si="98"/>
        <v/>
      </c>
      <c r="BL16" s="18" t="str">
        <f t="shared" si="99"/>
        <v/>
      </c>
      <c r="BM16" s="109" t="str" cm="1">
        <f t="array" ref="BM16">IFERROR(_xlfn._xlws.FILTER(ST[SOH],(ST[Code]=$C16) * (ST[Customer Name]=BF$3),"" ),"")</f>
        <v/>
      </c>
      <c r="BN16" s="109" t="str" cm="1">
        <f t="array" ref="BN16">IFERROR(
    _xlfn.LET(
        _xlpm.result, INDEX(_xlfn._xlws.FILTER(ST[6wk avg], (ST[Code]=$C16)*(ST[Customer Name]=BF$3), ""), 1),
        IF(_xlpm.result=0, "", _xlpm.result)
    ),
"")</f>
        <v/>
      </c>
      <c r="BO16" s="102" t="str">
        <f t="shared" si="100"/>
        <v/>
      </c>
      <c r="BP16" s="70" t="str">
        <f t="shared" si="101"/>
        <v/>
      </c>
      <c r="BQ16" s="83" t="str">
        <f t="shared" si="102"/>
        <v/>
      </c>
      <c r="BR16" s="77"/>
      <c r="BS16" s="108" t="str" cm="1">
        <f t="array" ref="BS16">IFERROR(_xlfn._xlws.FILTER(ST[Customer Code],(ST[Code]=$C16) * (ST[Customer Name]=BS$3),"" ),"")</f>
        <v/>
      </c>
      <c r="BT16" s="68" t="str" cm="1">
        <f t="array" ref="BT16">IFERROR(_xlfn.XLOOKUP($C16,Query[Code], _xlfn.XLOOKUP('Promo Form'!BS$3,Query[[#Headers],[Code]:[Bing Lee]],Query[[Code]:[Bing Lee]])),"")</f>
        <v/>
      </c>
      <c r="BU16" s="16" t="str">
        <f t="shared" si="103"/>
        <v/>
      </c>
      <c r="BV16" s="16" t="str">
        <f t="shared" si="104"/>
        <v/>
      </c>
      <c r="BW16" s="17" t="str">
        <f t="shared" si="105"/>
        <v/>
      </c>
      <c r="BX16" s="18" t="str">
        <f t="shared" si="106"/>
        <v/>
      </c>
      <c r="BY16" s="18" t="str">
        <f t="shared" si="107"/>
        <v/>
      </c>
      <c r="BZ16" s="109" t="str" cm="1">
        <f t="array" ref="BZ16">IFERROR(_xlfn._xlws.FILTER(ST[SOH],(ST[Code]=$C16) * (ST[Customer Name]=BS$3),"" ),"")</f>
        <v/>
      </c>
      <c r="CA16" s="109" t="str" cm="1">
        <f t="array" ref="CA16">IFERROR(
    _xlfn.LET(
        _xlpm.result, INDEX(_xlfn._xlws.FILTER(ST[6wk avg], (ST[Code]=$C16)*(ST[Customer Name]=BS$3), ""), 1),
        IF(_xlpm.result=0, "", _xlpm.result)
    ),
"")</f>
        <v/>
      </c>
      <c r="CB16" s="102" t="str">
        <f t="shared" si="108"/>
        <v/>
      </c>
      <c r="CC16" s="70" t="str">
        <f t="shared" si="109"/>
        <v/>
      </c>
      <c r="CD16" s="83" t="str">
        <f t="shared" si="110"/>
        <v/>
      </c>
      <c r="CE16" s="77"/>
      <c r="CF16" s="108" t="str" cm="1">
        <f t="array" ref="CF16">IFERROR(_xlfn._xlws.FILTER(ST[Customer Code],(ST[Code]=$C16) * (ST[Customer Name]=CF$3),"" ),"")</f>
        <v/>
      </c>
      <c r="CG16" s="68" t="str" cm="1">
        <f t="array" ref="CG16">IFERROR(_xlfn.XLOOKUP($C16,Query[Code], _xlfn.XLOOKUP('Promo Form'!CF$3,Query[[#Headers],[Code]:[Bing Lee]],Query[[Code]:[Bing Lee]])),"")</f>
        <v/>
      </c>
      <c r="CH16" s="16" t="str">
        <f t="shared" si="111"/>
        <v/>
      </c>
      <c r="CI16" s="16" t="str">
        <f t="shared" si="112"/>
        <v/>
      </c>
      <c r="CJ16" s="17" t="str">
        <f t="shared" si="113"/>
        <v/>
      </c>
      <c r="CK16" s="18" t="str">
        <f t="shared" si="114"/>
        <v/>
      </c>
      <c r="CL16" s="18" t="str">
        <f t="shared" si="115"/>
        <v/>
      </c>
      <c r="CM16" s="109" t="str" cm="1">
        <f t="array" ref="CM16">IFERROR(_xlfn._xlws.FILTER(ST[SOH],(ST[Code]=$C16) * (ST[Customer Name]=CF$3),"" ),"")</f>
        <v/>
      </c>
      <c r="CN16" s="109" t="str" cm="1">
        <f t="array" ref="CN16">IFERROR(
    _xlfn.LET(
        _xlpm.result, INDEX(_xlfn._xlws.FILTER(ST[6wk avg], (ST[Code]=$C16)*(ST[Customer Name]=CF$3), ""), 1),
        IF(_xlpm.result=0, "", _xlpm.result)
    ),
"")</f>
        <v/>
      </c>
      <c r="CO16" s="102" t="str">
        <f t="shared" si="116"/>
        <v/>
      </c>
      <c r="CP16" s="70" t="str">
        <f t="shared" si="117"/>
        <v/>
      </c>
      <c r="CQ16" s="83" t="str">
        <f t="shared" si="118"/>
        <v/>
      </c>
      <c r="CR16" s="77"/>
      <c r="CS16" s="17" t="str">
        <f>IFERROR(_xlfn.XLOOKUP(C16,Query[Code],Query[Base (RRP Inc)]),"")</f>
        <v/>
      </c>
      <c r="CT16" s="17" t="str">
        <f t="shared" si="119"/>
        <v/>
      </c>
      <c r="CU16" s="107" t="str">
        <f t="shared" si="120"/>
        <v/>
      </c>
      <c r="CV16" s="17" t="str">
        <f t="shared" si="121"/>
        <v/>
      </c>
      <c r="CW16" s="17"/>
    </row>
    <row r="17" spans="1:101" x14ac:dyDescent="0.2">
      <c r="A17" s="106" t="str">
        <f t="shared" si="61"/>
        <v/>
      </c>
      <c r="B17" s="106" t="str">
        <f t="shared" si="62"/>
        <v/>
      </c>
      <c r="C17" s="13"/>
      <c r="D17" s="14" t="str">
        <f>IF(C17="", "",_xlfn.XLOOKUP(C17,'Master Price Level'!C:C,'Master Price Level'!D:D))</f>
        <v/>
      </c>
      <c r="E17" s="15"/>
      <c r="F17" s="108" t="str" cm="1">
        <f t="array" ref="F17">IFERROR(_xlfn._xlws.FILTER(ST[Customer Code],(ST[Code]=$C17) * (ST[Customer Name]=F$3),"" ),"")</f>
        <v/>
      </c>
      <c r="G17" s="68" t="str" cm="1">
        <f t="array" ref="G17">IFERROR(_xlfn.XLOOKUP($C17,Query[Code], _xlfn.XLOOKUP('Promo Form'!F$3,Query[[#Headers],[Code]:[Bing Lee]],Query[[Code]:[Bing Lee]])),"")</f>
        <v/>
      </c>
      <c r="H17" s="16" t="str">
        <f t="shared" si="63"/>
        <v/>
      </c>
      <c r="I17" s="16" t="str">
        <f t="shared" si="64"/>
        <v/>
      </c>
      <c r="J17" s="17" t="str">
        <f t="shared" si="65"/>
        <v/>
      </c>
      <c r="K17" s="18" t="str">
        <f t="shared" si="66"/>
        <v/>
      </c>
      <c r="L17" s="18" t="str">
        <f t="shared" si="67"/>
        <v/>
      </c>
      <c r="M17" s="109" t="str" cm="1">
        <f t="array" ref="M17">IFERROR(_xlfn._xlws.FILTER(ST[SOH],(ST[Code]=$C17) * (ST[Customer Name]=F$3),"" ),"")</f>
        <v/>
      </c>
      <c r="N17" s="109" t="str" cm="1">
        <f t="array" ref="N17">IFERROR(
    _xlfn.LET(
        _xlpm.result, INDEX(_xlfn._xlws.FILTER(ST[6wk avg], (ST[Code]=$C17)*(ST[Customer Name]=F$3), ""), 1),
        IF(_xlpm.result=0, "", _xlpm.result)
    ),
"")</f>
        <v/>
      </c>
      <c r="O17" s="102" t="str">
        <f t="shared" si="68"/>
        <v/>
      </c>
      <c r="P17" s="70" t="str">
        <f t="shared" si="69"/>
        <v/>
      </c>
      <c r="Q17" s="83" t="str">
        <f t="shared" si="70"/>
        <v/>
      </c>
      <c r="R17" s="77"/>
      <c r="S17" s="108" t="str" cm="1">
        <f t="array" ref="S17">IFERROR(_xlfn._xlws.FILTER(ST[Customer Code],(ST[Code]=$C17) * (ST[Customer Name]=S$3),"" ),"")</f>
        <v/>
      </c>
      <c r="T17" s="68" t="str" cm="1">
        <f t="array" ref="T17">IFERROR(_xlfn.XLOOKUP($C17,Query[Code], _xlfn.XLOOKUP('Promo Form'!S$3,Query[[#Headers],[Code]:[Bing Lee]],Query[[Code]:[Bing Lee]])),"")</f>
        <v/>
      </c>
      <c r="U17" s="16" t="str">
        <f t="shared" si="71"/>
        <v/>
      </c>
      <c r="V17" s="16" t="str">
        <f t="shared" si="72"/>
        <v/>
      </c>
      <c r="W17" s="17" t="str">
        <f t="shared" si="73"/>
        <v/>
      </c>
      <c r="X17" s="18" t="str">
        <f t="shared" si="74"/>
        <v/>
      </c>
      <c r="Y17" s="18" t="str">
        <f t="shared" si="75"/>
        <v/>
      </c>
      <c r="Z17" s="109" t="str" cm="1">
        <f t="array" ref="Z17">IFERROR(_xlfn._xlws.FILTER(ST[SOH],(ST[Code]=$C17) * (ST[Customer Name]=S$3),"" ),"")</f>
        <v/>
      </c>
      <c r="AA17" s="109" t="str" cm="1">
        <f t="array" ref="AA17">IFERROR(
    _xlfn.LET(
        _xlpm.result, INDEX(_xlfn._xlws.FILTER(ST[6wk avg], (ST[Code]=$C17)*(ST[Customer Name]=S$3), ""), 1),
        IF(_xlpm.result=0, "", _xlpm.result)
    ),
"")</f>
        <v/>
      </c>
      <c r="AB17" s="102" t="str">
        <f t="shared" si="76"/>
        <v/>
      </c>
      <c r="AC17" s="70" t="str">
        <f t="shared" si="77"/>
        <v/>
      </c>
      <c r="AD17" s="83" t="str">
        <f t="shared" si="78"/>
        <v/>
      </c>
      <c r="AE17" s="77"/>
      <c r="AF17" s="108" t="str" cm="1">
        <f t="array" ref="AF17">IFERROR(_xlfn._xlws.FILTER(ST[Customer Code],(ST[Code]=$C17) * (ST[Customer Name]=AF$3),"" ),"")</f>
        <v/>
      </c>
      <c r="AG17" s="68" t="str" cm="1">
        <f t="array" ref="AG17">IFERROR(_xlfn.XLOOKUP($C17,Query[Code], _xlfn.XLOOKUP('Promo Form'!AF$3,Query[[#Headers],[Code]:[Bing Lee]],Query[[Code]:[Bing Lee]])),"")</f>
        <v/>
      </c>
      <c r="AH17" s="16" t="str">
        <f t="shared" si="79"/>
        <v/>
      </c>
      <c r="AI17" s="16" t="str">
        <f t="shared" si="80"/>
        <v/>
      </c>
      <c r="AJ17" s="17" t="str">
        <f t="shared" si="81"/>
        <v/>
      </c>
      <c r="AK17" s="18" t="str">
        <f t="shared" si="82"/>
        <v/>
      </c>
      <c r="AL17" s="18" t="str">
        <f t="shared" si="83"/>
        <v/>
      </c>
      <c r="AM17" s="109" t="str" cm="1">
        <f t="array" ref="AM17">IFERROR(_xlfn._xlws.FILTER(ST[SOH],(ST[Code]=$C17) * (ST[Customer Name]=AF$3),"" ),"")</f>
        <v/>
      </c>
      <c r="AN17" s="109" t="str" cm="1">
        <f t="array" ref="AN17">IFERROR(
    _xlfn.LET(
        _xlpm.result, INDEX(_xlfn._xlws.FILTER(ST[6wk avg], (ST[Code]=$C17)*(ST[Customer Name]=AF$3), ""), 1),
        IF(_xlpm.result=0, "", _xlpm.result)
    ),
"")</f>
        <v/>
      </c>
      <c r="AO17" s="102" t="str">
        <f t="shared" si="84"/>
        <v/>
      </c>
      <c r="AP17" s="70" t="str">
        <f t="shared" si="85"/>
        <v/>
      </c>
      <c r="AQ17" s="83" t="str">
        <f t="shared" si="86"/>
        <v/>
      </c>
      <c r="AR17" s="77"/>
      <c r="AS17" s="108" t="str" cm="1">
        <f t="array" ref="AS17">IFERROR(_xlfn._xlws.FILTER(ST[Customer Code],(ST[Code]=$C17) * (ST[Customer Name]=AS$3),"" ),"")</f>
        <v/>
      </c>
      <c r="AT17" s="68" t="str" cm="1">
        <f t="array" ref="AT17">IFERROR(_xlfn.XLOOKUP($C17,Query[Code], _xlfn.XLOOKUP('Promo Form'!AS$3,Query[[#Headers],[Code]:[Bing Lee]],Query[[Code]:[Bing Lee]])),"")</f>
        <v/>
      </c>
      <c r="AU17" s="16" t="str">
        <f t="shared" si="87"/>
        <v/>
      </c>
      <c r="AV17" s="16" t="str">
        <f t="shared" si="88"/>
        <v/>
      </c>
      <c r="AW17" s="17" t="str">
        <f t="shared" si="89"/>
        <v/>
      </c>
      <c r="AX17" s="18" t="str">
        <f t="shared" si="90"/>
        <v/>
      </c>
      <c r="AY17" s="18" t="str">
        <f t="shared" si="91"/>
        <v/>
      </c>
      <c r="AZ17" s="109" t="str" cm="1">
        <f t="array" ref="AZ17">IFERROR(_xlfn._xlws.FILTER(ST[SOH],(ST[Code]=$C17) * (ST[Customer Name]=AS$3),"" ),"")</f>
        <v/>
      </c>
      <c r="BA17" s="109" t="str" cm="1">
        <f t="array" ref="BA17">IFERROR(
    _xlfn.LET(
        _xlpm.result, INDEX(_xlfn._xlws.FILTER(ST[6wk avg], (ST[Code]=$C17)*(ST[Customer Name]=AS$3), ""), 1),
        IF(_xlpm.result=0, "", _xlpm.result)
    ),
"")</f>
        <v/>
      </c>
      <c r="BB17" s="102" t="str">
        <f t="shared" si="92"/>
        <v/>
      </c>
      <c r="BC17" s="70" t="str">
        <f t="shared" si="93"/>
        <v/>
      </c>
      <c r="BD17" s="83" t="str">
        <f t="shared" si="94"/>
        <v/>
      </c>
      <c r="BE17" s="77"/>
      <c r="BF17" s="108" t="str" cm="1">
        <f t="array" ref="BF17">IFERROR(_xlfn._xlws.FILTER(ST[Customer Code],(ST[Code]=$C17) * (ST[Customer Name]=BF$3),"" ),"")</f>
        <v/>
      </c>
      <c r="BG17" s="68" t="str" cm="1">
        <f t="array" ref="BG17">IFERROR(_xlfn.XLOOKUP($C17,Query[Code], _xlfn.XLOOKUP('Promo Form'!BF$3,Query[[#Headers],[Code]:[Bing Lee]],Query[[Code]:[Bing Lee]])),"")</f>
        <v/>
      </c>
      <c r="BH17" s="16" t="str">
        <f t="shared" si="95"/>
        <v/>
      </c>
      <c r="BI17" s="16" t="str">
        <f t="shared" si="96"/>
        <v/>
      </c>
      <c r="BJ17" s="17" t="str">
        <f t="shared" si="97"/>
        <v/>
      </c>
      <c r="BK17" s="18" t="str">
        <f t="shared" si="98"/>
        <v/>
      </c>
      <c r="BL17" s="18" t="str">
        <f t="shared" si="99"/>
        <v/>
      </c>
      <c r="BM17" s="109" t="str" cm="1">
        <f t="array" ref="BM17">IFERROR(_xlfn._xlws.FILTER(ST[SOH],(ST[Code]=$C17) * (ST[Customer Name]=BF$3),"" ),"")</f>
        <v/>
      </c>
      <c r="BN17" s="109" t="str" cm="1">
        <f t="array" ref="BN17">IFERROR(
    _xlfn.LET(
        _xlpm.result, INDEX(_xlfn._xlws.FILTER(ST[6wk avg], (ST[Code]=$C17)*(ST[Customer Name]=BF$3), ""), 1),
        IF(_xlpm.result=0, "", _xlpm.result)
    ),
"")</f>
        <v/>
      </c>
      <c r="BO17" s="102" t="str">
        <f t="shared" si="100"/>
        <v/>
      </c>
      <c r="BP17" s="70" t="str">
        <f t="shared" si="101"/>
        <v/>
      </c>
      <c r="BQ17" s="83" t="str">
        <f t="shared" si="102"/>
        <v/>
      </c>
      <c r="BR17" s="77"/>
      <c r="BS17" s="108" t="str" cm="1">
        <f t="array" ref="BS17">IFERROR(_xlfn._xlws.FILTER(ST[Customer Code],(ST[Code]=$C17) * (ST[Customer Name]=BS$3),"" ),"")</f>
        <v/>
      </c>
      <c r="BT17" s="68" t="str" cm="1">
        <f t="array" ref="BT17">IFERROR(_xlfn.XLOOKUP($C17,Query[Code], _xlfn.XLOOKUP('Promo Form'!BS$3,Query[[#Headers],[Code]:[Bing Lee]],Query[[Code]:[Bing Lee]])),"")</f>
        <v/>
      </c>
      <c r="BU17" s="16" t="str">
        <f t="shared" si="103"/>
        <v/>
      </c>
      <c r="BV17" s="16" t="str">
        <f t="shared" si="104"/>
        <v/>
      </c>
      <c r="BW17" s="17" t="str">
        <f t="shared" si="105"/>
        <v/>
      </c>
      <c r="BX17" s="18" t="str">
        <f t="shared" si="106"/>
        <v/>
      </c>
      <c r="BY17" s="18" t="str">
        <f t="shared" si="107"/>
        <v/>
      </c>
      <c r="BZ17" s="109" t="str" cm="1">
        <f t="array" ref="BZ17">IFERROR(_xlfn._xlws.FILTER(ST[SOH],(ST[Code]=$C17) * (ST[Customer Name]=BS$3),"" ),"")</f>
        <v/>
      </c>
      <c r="CA17" s="109" t="str" cm="1">
        <f t="array" ref="CA17">IFERROR(
    _xlfn.LET(
        _xlpm.result, INDEX(_xlfn._xlws.FILTER(ST[6wk avg], (ST[Code]=$C17)*(ST[Customer Name]=BS$3), ""), 1),
        IF(_xlpm.result=0, "", _xlpm.result)
    ),
"")</f>
        <v/>
      </c>
      <c r="CB17" s="102" t="str">
        <f t="shared" si="108"/>
        <v/>
      </c>
      <c r="CC17" s="70" t="str">
        <f t="shared" si="109"/>
        <v/>
      </c>
      <c r="CD17" s="83" t="str">
        <f t="shared" si="110"/>
        <v/>
      </c>
      <c r="CE17" s="77"/>
      <c r="CF17" s="108" t="str" cm="1">
        <f t="array" ref="CF17">IFERROR(_xlfn._xlws.FILTER(ST[Customer Code],(ST[Code]=$C17) * (ST[Customer Name]=CF$3),"" ),"")</f>
        <v/>
      </c>
      <c r="CG17" s="68" t="str" cm="1">
        <f t="array" ref="CG17">IFERROR(_xlfn.XLOOKUP($C17,Query[Code], _xlfn.XLOOKUP('Promo Form'!CF$3,Query[[#Headers],[Code]:[Bing Lee]],Query[[Code]:[Bing Lee]])),"")</f>
        <v/>
      </c>
      <c r="CH17" s="16" t="str">
        <f t="shared" si="111"/>
        <v/>
      </c>
      <c r="CI17" s="16" t="str">
        <f t="shared" si="112"/>
        <v/>
      </c>
      <c r="CJ17" s="17" t="str">
        <f t="shared" si="113"/>
        <v/>
      </c>
      <c r="CK17" s="18" t="str">
        <f t="shared" si="114"/>
        <v/>
      </c>
      <c r="CL17" s="18" t="str">
        <f t="shared" si="115"/>
        <v/>
      </c>
      <c r="CM17" s="109" t="str" cm="1">
        <f t="array" ref="CM17">IFERROR(_xlfn._xlws.FILTER(ST[SOH],(ST[Code]=$C17) * (ST[Customer Name]=CF$3),"" ),"")</f>
        <v/>
      </c>
      <c r="CN17" s="109" t="str" cm="1">
        <f t="array" ref="CN17">IFERROR(
    _xlfn.LET(
        _xlpm.result, INDEX(_xlfn._xlws.FILTER(ST[6wk avg], (ST[Code]=$C17)*(ST[Customer Name]=CF$3), ""), 1),
        IF(_xlpm.result=0, "", _xlpm.result)
    ),
"")</f>
        <v/>
      </c>
      <c r="CO17" s="102" t="str">
        <f t="shared" si="116"/>
        <v/>
      </c>
      <c r="CP17" s="70" t="str">
        <f t="shared" si="117"/>
        <v/>
      </c>
      <c r="CQ17" s="83" t="str">
        <f t="shared" si="118"/>
        <v/>
      </c>
      <c r="CR17" s="77"/>
      <c r="CS17" s="17" t="str">
        <f>IFERROR(_xlfn.XLOOKUP(C17,Query[Code],Query[Base (RRP Inc)]),"")</f>
        <v/>
      </c>
      <c r="CT17" s="17" t="str">
        <f t="shared" si="119"/>
        <v/>
      </c>
      <c r="CU17" s="107" t="str">
        <f t="shared" si="120"/>
        <v/>
      </c>
      <c r="CV17" s="17" t="str">
        <f t="shared" si="121"/>
        <v/>
      </c>
      <c r="CW17" s="17"/>
    </row>
    <row r="18" spans="1:101" x14ac:dyDescent="0.2">
      <c r="A18" s="106" t="str">
        <f t="shared" si="61"/>
        <v/>
      </c>
      <c r="B18" s="106" t="str">
        <f t="shared" si="62"/>
        <v/>
      </c>
      <c r="C18" s="13"/>
      <c r="D18" s="14" t="str">
        <f>IF(C18="", "",_xlfn.XLOOKUP(C18,'Master Price Level'!C:C,'Master Price Level'!D:D))</f>
        <v/>
      </c>
      <c r="E18" s="15"/>
      <c r="F18" s="108" t="str" cm="1">
        <f t="array" ref="F18">IFERROR(_xlfn._xlws.FILTER(ST[Customer Code],(ST[Code]=$C18) * (ST[Customer Name]=F$3),"" ),"")</f>
        <v/>
      </c>
      <c r="G18" s="68" t="str" cm="1">
        <f t="array" ref="G18">IFERROR(_xlfn.XLOOKUP($C18,Query[Code], _xlfn.XLOOKUP('Promo Form'!F$3,Query[[#Headers],[Code]:[Bing Lee]],Query[[Code]:[Bing Lee]])),"")</f>
        <v/>
      </c>
      <c r="H18" s="16" t="str">
        <f t="shared" si="63"/>
        <v/>
      </c>
      <c r="I18" s="16" t="str">
        <f t="shared" si="64"/>
        <v/>
      </c>
      <c r="J18" s="17" t="str">
        <f t="shared" si="65"/>
        <v/>
      </c>
      <c r="K18" s="18" t="str">
        <f t="shared" si="66"/>
        <v/>
      </c>
      <c r="L18" s="18" t="str">
        <f t="shared" si="67"/>
        <v/>
      </c>
      <c r="M18" s="109" t="str" cm="1">
        <f t="array" ref="M18">IFERROR(_xlfn._xlws.FILTER(ST[SOH],(ST[Code]=$C18) * (ST[Customer Name]=F$3),"" ),"")</f>
        <v/>
      </c>
      <c r="N18" s="109" t="str" cm="1">
        <f t="array" ref="N18">IFERROR(
    _xlfn.LET(
        _xlpm.result, INDEX(_xlfn._xlws.FILTER(ST[6wk avg], (ST[Code]=$C18)*(ST[Customer Name]=F$3), ""), 1),
        IF(_xlpm.result=0, "", _xlpm.result)
    ),
"")</f>
        <v/>
      </c>
      <c r="O18" s="102" t="str">
        <f t="shared" si="68"/>
        <v/>
      </c>
      <c r="P18" s="70" t="str">
        <f t="shared" si="69"/>
        <v/>
      </c>
      <c r="Q18" s="83" t="str">
        <f t="shared" si="70"/>
        <v/>
      </c>
      <c r="R18" s="77"/>
      <c r="S18" s="108" t="str" cm="1">
        <f t="array" ref="S18">IFERROR(_xlfn._xlws.FILTER(ST[Customer Code],(ST[Code]=$C18) * (ST[Customer Name]=S$3),"" ),"")</f>
        <v/>
      </c>
      <c r="T18" s="68" t="str" cm="1">
        <f t="array" ref="T18">IFERROR(_xlfn.XLOOKUP($C18,Query[Code], _xlfn.XLOOKUP('Promo Form'!S$3,Query[[#Headers],[Code]:[Bing Lee]],Query[[Code]:[Bing Lee]])),"")</f>
        <v/>
      </c>
      <c r="U18" s="16" t="str">
        <f t="shared" si="71"/>
        <v/>
      </c>
      <c r="V18" s="16" t="str">
        <f t="shared" si="72"/>
        <v/>
      </c>
      <c r="W18" s="17" t="str">
        <f t="shared" si="73"/>
        <v/>
      </c>
      <c r="X18" s="18" t="str">
        <f t="shared" si="74"/>
        <v/>
      </c>
      <c r="Y18" s="18" t="str">
        <f t="shared" si="75"/>
        <v/>
      </c>
      <c r="Z18" s="109" t="str" cm="1">
        <f t="array" ref="Z18">IFERROR(_xlfn._xlws.FILTER(ST[SOH],(ST[Code]=$C18) * (ST[Customer Name]=S$3),"" ),"")</f>
        <v/>
      </c>
      <c r="AA18" s="109" t="str" cm="1">
        <f t="array" ref="AA18">IFERROR(
    _xlfn.LET(
        _xlpm.result, INDEX(_xlfn._xlws.FILTER(ST[6wk avg], (ST[Code]=$C18)*(ST[Customer Name]=S$3), ""), 1),
        IF(_xlpm.result=0, "", _xlpm.result)
    ),
"")</f>
        <v/>
      </c>
      <c r="AB18" s="102" t="str">
        <f t="shared" si="76"/>
        <v/>
      </c>
      <c r="AC18" s="70" t="str">
        <f t="shared" si="77"/>
        <v/>
      </c>
      <c r="AD18" s="83" t="str">
        <f t="shared" si="78"/>
        <v/>
      </c>
      <c r="AE18" s="77"/>
      <c r="AF18" s="108" t="str" cm="1">
        <f t="array" ref="AF18">IFERROR(_xlfn._xlws.FILTER(ST[Customer Code],(ST[Code]=$C18) * (ST[Customer Name]=AF$3),"" ),"")</f>
        <v/>
      </c>
      <c r="AG18" s="68" t="str" cm="1">
        <f t="array" ref="AG18">IFERROR(_xlfn.XLOOKUP($C18,Query[Code], _xlfn.XLOOKUP('Promo Form'!AF$3,Query[[#Headers],[Code]:[Bing Lee]],Query[[Code]:[Bing Lee]])),"")</f>
        <v/>
      </c>
      <c r="AH18" s="16" t="str">
        <f t="shared" si="79"/>
        <v/>
      </c>
      <c r="AI18" s="16" t="str">
        <f t="shared" si="80"/>
        <v/>
      </c>
      <c r="AJ18" s="17" t="str">
        <f t="shared" si="81"/>
        <v/>
      </c>
      <c r="AK18" s="18" t="str">
        <f t="shared" si="82"/>
        <v/>
      </c>
      <c r="AL18" s="18" t="str">
        <f t="shared" si="83"/>
        <v/>
      </c>
      <c r="AM18" s="109" t="str" cm="1">
        <f t="array" ref="AM18">IFERROR(_xlfn._xlws.FILTER(ST[SOH],(ST[Code]=$C18) * (ST[Customer Name]=AF$3),"" ),"")</f>
        <v/>
      </c>
      <c r="AN18" s="109" t="str" cm="1">
        <f t="array" ref="AN18">IFERROR(
    _xlfn.LET(
        _xlpm.result, INDEX(_xlfn._xlws.FILTER(ST[6wk avg], (ST[Code]=$C18)*(ST[Customer Name]=AF$3), ""), 1),
        IF(_xlpm.result=0, "", _xlpm.result)
    ),
"")</f>
        <v/>
      </c>
      <c r="AO18" s="102" t="str">
        <f t="shared" si="84"/>
        <v/>
      </c>
      <c r="AP18" s="70" t="str">
        <f t="shared" si="85"/>
        <v/>
      </c>
      <c r="AQ18" s="83" t="str">
        <f t="shared" si="86"/>
        <v/>
      </c>
      <c r="AR18" s="77"/>
      <c r="AS18" s="108" t="str" cm="1">
        <f t="array" ref="AS18">IFERROR(_xlfn._xlws.FILTER(ST[Customer Code],(ST[Code]=$C18) * (ST[Customer Name]=AS$3),"" ),"")</f>
        <v/>
      </c>
      <c r="AT18" s="68" t="str" cm="1">
        <f t="array" ref="AT18">IFERROR(_xlfn.XLOOKUP($C18,Query[Code], _xlfn.XLOOKUP('Promo Form'!AS$3,Query[[#Headers],[Code]:[Bing Lee]],Query[[Code]:[Bing Lee]])),"")</f>
        <v/>
      </c>
      <c r="AU18" s="16" t="str">
        <f t="shared" si="87"/>
        <v/>
      </c>
      <c r="AV18" s="16" t="str">
        <f t="shared" si="88"/>
        <v/>
      </c>
      <c r="AW18" s="17" t="str">
        <f t="shared" si="89"/>
        <v/>
      </c>
      <c r="AX18" s="18" t="str">
        <f t="shared" si="90"/>
        <v/>
      </c>
      <c r="AY18" s="18" t="str">
        <f t="shared" si="91"/>
        <v/>
      </c>
      <c r="AZ18" s="109" t="str" cm="1">
        <f t="array" ref="AZ18">IFERROR(_xlfn._xlws.FILTER(ST[SOH],(ST[Code]=$C18) * (ST[Customer Name]=AS$3),"" ),"")</f>
        <v/>
      </c>
      <c r="BA18" s="109" t="str" cm="1">
        <f t="array" ref="BA18">IFERROR(
    _xlfn.LET(
        _xlpm.result, INDEX(_xlfn._xlws.FILTER(ST[6wk avg], (ST[Code]=$C18)*(ST[Customer Name]=AS$3), ""), 1),
        IF(_xlpm.result=0, "", _xlpm.result)
    ),
"")</f>
        <v/>
      </c>
      <c r="BB18" s="102" t="str">
        <f t="shared" si="92"/>
        <v/>
      </c>
      <c r="BC18" s="70" t="str">
        <f t="shared" si="93"/>
        <v/>
      </c>
      <c r="BD18" s="83" t="str">
        <f t="shared" si="94"/>
        <v/>
      </c>
      <c r="BE18" s="77"/>
      <c r="BF18" s="108" t="str" cm="1">
        <f t="array" ref="BF18">IFERROR(_xlfn._xlws.FILTER(ST[Customer Code],(ST[Code]=$C18) * (ST[Customer Name]=BF$3),"" ),"")</f>
        <v/>
      </c>
      <c r="BG18" s="68" t="str" cm="1">
        <f t="array" ref="BG18">IFERROR(_xlfn.XLOOKUP($C18,Query[Code], _xlfn.XLOOKUP('Promo Form'!BF$3,Query[[#Headers],[Code]:[Bing Lee]],Query[[Code]:[Bing Lee]])),"")</f>
        <v/>
      </c>
      <c r="BH18" s="16" t="str">
        <f t="shared" si="95"/>
        <v/>
      </c>
      <c r="BI18" s="16" t="str">
        <f t="shared" si="96"/>
        <v/>
      </c>
      <c r="BJ18" s="17" t="str">
        <f t="shared" si="97"/>
        <v/>
      </c>
      <c r="BK18" s="18" t="str">
        <f t="shared" si="98"/>
        <v/>
      </c>
      <c r="BL18" s="18" t="str">
        <f t="shared" si="99"/>
        <v/>
      </c>
      <c r="BM18" s="109" t="str" cm="1">
        <f t="array" ref="BM18">IFERROR(_xlfn._xlws.FILTER(ST[SOH],(ST[Code]=$C18) * (ST[Customer Name]=BF$3),"" ),"")</f>
        <v/>
      </c>
      <c r="BN18" s="109" t="str" cm="1">
        <f t="array" ref="BN18">IFERROR(
    _xlfn.LET(
        _xlpm.result, INDEX(_xlfn._xlws.FILTER(ST[6wk avg], (ST[Code]=$C18)*(ST[Customer Name]=BF$3), ""), 1),
        IF(_xlpm.result=0, "", _xlpm.result)
    ),
"")</f>
        <v/>
      </c>
      <c r="BO18" s="102" t="str">
        <f t="shared" si="100"/>
        <v/>
      </c>
      <c r="BP18" s="70" t="str">
        <f t="shared" si="101"/>
        <v/>
      </c>
      <c r="BQ18" s="83" t="str">
        <f t="shared" si="102"/>
        <v/>
      </c>
      <c r="BR18" s="77"/>
      <c r="BS18" s="108" t="str" cm="1">
        <f t="array" ref="BS18">IFERROR(_xlfn._xlws.FILTER(ST[Customer Code],(ST[Code]=$C18) * (ST[Customer Name]=BS$3),"" ),"")</f>
        <v/>
      </c>
      <c r="BT18" s="68" t="str" cm="1">
        <f t="array" ref="BT18">IFERROR(_xlfn.XLOOKUP($C18,Query[Code], _xlfn.XLOOKUP('Promo Form'!BS$3,Query[[#Headers],[Code]:[Bing Lee]],Query[[Code]:[Bing Lee]])),"")</f>
        <v/>
      </c>
      <c r="BU18" s="16" t="str">
        <f t="shared" si="103"/>
        <v/>
      </c>
      <c r="BV18" s="16" t="str">
        <f t="shared" si="104"/>
        <v/>
      </c>
      <c r="BW18" s="17" t="str">
        <f t="shared" si="105"/>
        <v/>
      </c>
      <c r="BX18" s="18" t="str">
        <f t="shared" si="106"/>
        <v/>
      </c>
      <c r="BY18" s="18" t="str">
        <f t="shared" si="107"/>
        <v/>
      </c>
      <c r="BZ18" s="109" t="str" cm="1">
        <f t="array" ref="BZ18">IFERROR(_xlfn._xlws.FILTER(ST[SOH],(ST[Code]=$C18) * (ST[Customer Name]=BS$3),"" ),"")</f>
        <v/>
      </c>
      <c r="CA18" s="109" t="str" cm="1">
        <f t="array" ref="CA18">IFERROR(
    _xlfn.LET(
        _xlpm.result, INDEX(_xlfn._xlws.FILTER(ST[6wk avg], (ST[Code]=$C18)*(ST[Customer Name]=BS$3), ""), 1),
        IF(_xlpm.result=0, "", _xlpm.result)
    ),
"")</f>
        <v/>
      </c>
      <c r="CB18" s="102" t="str">
        <f t="shared" si="108"/>
        <v/>
      </c>
      <c r="CC18" s="70" t="str">
        <f t="shared" si="109"/>
        <v/>
      </c>
      <c r="CD18" s="83" t="str">
        <f t="shared" si="110"/>
        <v/>
      </c>
      <c r="CE18" s="77"/>
      <c r="CF18" s="108" t="str" cm="1">
        <f t="array" ref="CF18">IFERROR(_xlfn._xlws.FILTER(ST[Customer Code],(ST[Code]=$C18) * (ST[Customer Name]=CF$3),"" ),"")</f>
        <v/>
      </c>
      <c r="CG18" s="68" t="str" cm="1">
        <f t="array" ref="CG18">IFERROR(_xlfn.XLOOKUP($C18,Query[Code], _xlfn.XLOOKUP('Promo Form'!CF$3,Query[[#Headers],[Code]:[Bing Lee]],Query[[Code]:[Bing Lee]])),"")</f>
        <v/>
      </c>
      <c r="CH18" s="16" t="str">
        <f t="shared" si="111"/>
        <v/>
      </c>
      <c r="CI18" s="16" t="str">
        <f t="shared" si="112"/>
        <v/>
      </c>
      <c r="CJ18" s="17" t="str">
        <f t="shared" si="113"/>
        <v/>
      </c>
      <c r="CK18" s="18" t="str">
        <f t="shared" si="114"/>
        <v/>
      </c>
      <c r="CL18" s="18" t="str">
        <f t="shared" si="115"/>
        <v/>
      </c>
      <c r="CM18" s="109" t="str" cm="1">
        <f t="array" ref="CM18">IFERROR(_xlfn._xlws.FILTER(ST[SOH],(ST[Code]=$C18) * (ST[Customer Name]=CF$3),"" ),"")</f>
        <v/>
      </c>
      <c r="CN18" s="109" t="str" cm="1">
        <f t="array" ref="CN18">IFERROR(
    _xlfn.LET(
        _xlpm.result, INDEX(_xlfn._xlws.FILTER(ST[6wk avg], (ST[Code]=$C18)*(ST[Customer Name]=CF$3), ""), 1),
        IF(_xlpm.result=0, "", _xlpm.result)
    ),
"")</f>
        <v/>
      </c>
      <c r="CO18" s="102" t="str">
        <f t="shared" si="116"/>
        <v/>
      </c>
      <c r="CP18" s="70" t="str">
        <f t="shared" si="117"/>
        <v/>
      </c>
      <c r="CQ18" s="83" t="str">
        <f t="shared" si="118"/>
        <v/>
      </c>
      <c r="CR18" s="77"/>
      <c r="CS18" s="17" t="str">
        <f>IFERROR(_xlfn.XLOOKUP(C18,Query[Code],Query[Base (RRP Inc)]),"")</f>
        <v/>
      </c>
      <c r="CT18" s="17" t="str">
        <f t="shared" si="119"/>
        <v/>
      </c>
      <c r="CU18" s="107" t="str">
        <f t="shared" si="120"/>
        <v/>
      </c>
      <c r="CV18" s="17" t="str">
        <f t="shared" si="121"/>
        <v/>
      </c>
      <c r="CW18" s="17"/>
    </row>
    <row r="19" spans="1:101" x14ac:dyDescent="0.2">
      <c r="A19" s="106" t="str">
        <f t="shared" si="61"/>
        <v/>
      </c>
      <c r="B19" s="106" t="str">
        <f t="shared" si="62"/>
        <v/>
      </c>
      <c r="C19" s="13"/>
      <c r="D19" s="14" t="str">
        <f>IF(C19="", "",_xlfn.XLOOKUP(C19,'Master Price Level'!C:C,'Master Price Level'!D:D))</f>
        <v/>
      </c>
      <c r="E19" s="15"/>
      <c r="F19" s="108" t="str" cm="1">
        <f t="array" ref="F19">IFERROR(_xlfn._xlws.FILTER(ST[Customer Code],(ST[Code]=$C19) * (ST[Customer Name]=F$3),"" ),"")</f>
        <v/>
      </c>
      <c r="G19" s="68" t="str" cm="1">
        <f t="array" ref="G19">IFERROR(_xlfn.XLOOKUP($C19,Query[Code], _xlfn.XLOOKUP('Promo Form'!F$3,Query[[#Headers],[Code]:[Bing Lee]],Query[[Code]:[Bing Lee]])),"")</f>
        <v/>
      </c>
      <c r="H19" s="16" t="str">
        <f t="shared" si="63"/>
        <v/>
      </c>
      <c r="I19" s="16" t="str">
        <f t="shared" si="64"/>
        <v/>
      </c>
      <c r="J19" s="17" t="str">
        <f t="shared" si="65"/>
        <v/>
      </c>
      <c r="K19" s="18" t="str">
        <f t="shared" si="66"/>
        <v/>
      </c>
      <c r="L19" s="18" t="str">
        <f t="shared" si="67"/>
        <v/>
      </c>
      <c r="M19" s="109" t="str" cm="1">
        <f t="array" ref="M19">IFERROR(_xlfn._xlws.FILTER(ST[SOH],(ST[Code]=$C19) * (ST[Customer Name]=F$3),"" ),"")</f>
        <v/>
      </c>
      <c r="N19" s="109" t="str" cm="1">
        <f t="array" ref="N19">IFERROR(
    _xlfn.LET(
        _xlpm.result, INDEX(_xlfn._xlws.FILTER(ST[6wk avg], (ST[Code]=$C19)*(ST[Customer Name]=F$3), ""), 1),
        IF(_xlpm.result=0, "", _xlpm.result)
    ),
"")</f>
        <v/>
      </c>
      <c r="O19" s="102" t="str">
        <f t="shared" si="68"/>
        <v/>
      </c>
      <c r="P19" s="70" t="str">
        <f t="shared" si="69"/>
        <v/>
      </c>
      <c r="Q19" s="83" t="str">
        <f t="shared" si="70"/>
        <v/>
      </c>
      <c r="R19" s="77"/>
      <c r="S19" s="108" t="str" cm="1">
        <f t="array" ref="S19">IFERROR(_xlfn._xlws.FILTER(ST[Customer Code],(ST[Code]=$C19) * (ST[Customer Name]=S$3),"" ),"")</f>
        <v/>
      </c>
      <c r="T19" s="68" t="str" cm="1">
        <f t="array" ref="T19">IFERROR(_xlfn.XLOOKUP($C19,Query[Code], _xlfn.XLOOKUP('Promo Form'!S$3,Query[[#Headers],[Code]:[Bing Lee]],Query[[Code]:[Bing Lee]])),"")</f>
        <v/>
      </c>
      <c r="U19" s="16" t="str">
        <f t="shared" si="71"/>
        <v/>
      </c>
      <c r="V19" s="16" t="str">
        <f t="shared" si="72"/>
        <v/>
      </c>
      <c r="W19" s="17" t="str">
        <f t="shared" si="73"/>
        <v/>
      </c>
      <c r="X19" s="18" t="str">
        <f t="shared" si="74"/>
        <v/>
      </c>
      <c r="Y19" s="18" t="str">
        <f t="shared" si="75"/>
        <v/>
      </c>
      <c r="Z19" s="109" t="str" cm="1">
        <f t="array" ref="Z19">IFERROR(_xlfn._xlws.FILTER(ST[SOH],(ST[Code]=$C19) * (ST[Customer Name]=S$3),"" ),"")</f>
        <v/>
      </c>
      <c r="AA19" s="109" t="str" cm="1">
        <f t="array" ref="AA19">IFERROR(
    _xlfn.LET(
        _xlpm.result, INDEX(_xlfn._xlws.FILTER(ST[6wk avg], (ST[Code]=$C19)*(ST[Customer Name]=S$3), ""), 1),
        IF(_xlpm.result=0, "", _xlpm.result)
    ),
"")</f>
        <v/>
      </c>
      <c r="AB19" s="102" t="str">
        <f t="shared" si="76"/>
        <v/>
      </c>
      <c r="AC19" s="70" t="str">
        <f t="shared" si="77"/>
        <v/>
      </c>
      <c r="AD19" s="83" t="str">
        <f t="shared" si="78"/>
        <v/>
      </c>
      <c r="AE19" s="77"/>
      <c r="AF19" s="108" t="str" cm="1">
        <f t="array" ref="AF19">IFERROR(_xlfn._xlws.FILTER(ST[Customer Code],(ST[Code]=$C19) * (ST[Customer Name]=AF$3),"" ),"")</f>
        <v/>
      </c>
      <c r="AG19" s="68" t="str" cm="1">
        <f t="array" ref="AG19">IFERROR(_xlfn.XLOOKUP($C19,Query[Code], _xlfn.XLOOKUP('Promo Form'!AF$3,Query[[#Headers],[Code]:[Bing Lee]],Query[[Code]:[Bing Lee]])),"")</f>
        <v/>
      </c>
      <c r="AH19" s="16" t="str">
        <f t="shared" si="79"/>
        <v/>
      </c>
      <c r="AI19" s="16" t="str">
        <f t="shared" si="80"/>
        <v/>
      </c>
      <c r="AJ19" s="17" t="str">
        <f t="shared" si="81"/>
        <v/>
      </c>
      <c r="AK19" s="18" t="str">
        <f t="shared" si="82"/>
        <v/>
      </c>
      <c r="AL19" s="18" t="str">
        <f t="shared" si="83"/>
        <v/>
      </c>
      <c r="AM19" s="109" t="str" cm="1">
        <f t="array" ref="AM19">IFERROR(_xlfn._xlws.FILTER(ST[SOH],(ST[Code]=$C19) * (ST[Customer Name]=AF$3),"" ),"")</f>
        <v/>
      </c>
      <c r="AN19" s="109" t="str" cm="1">
        <f t="array" ref="AN19">IFERROR(
    _xlfn.LET(
        _xlpm.result, INDEX(_xlfn._xlws.FILTER(ST[6wk avg], (ST[Code]=$C19)*(ST[Customer Name]=AF$3), ""), 1),
        IF(_xlpm.result=0, "", _xlpm.result)
    ),
"")</f>
        <v/>
      </c>
      <c r="AO19" s="102" t="str">
        <f t="shared" si="84"/>
        <v/>
      </c>
      <c r="AP19" s="70" t="str">
        <f t="shared" si="85"/>
        <v/>
      </c>
      <c r="AQ19" s="83" t="str">
        <f t="shared" si="86"/>
        <v/>
      </c>
      <c r="AR19" s="77"/>
      <c r="AS19" s="108" t="str" cm="1">
        <f t="array" ref="AS19">IFERROR(_xlfn._xlws.FILTER(ST[Customer Code],(ST[Code]=$C19) * (ST[Customer Name]=AS$3),"" ),"")</f>
        <v/>
      </c>
      <c r="AT19" s="68" t="str" cm="1">
        <f t="array" ref="AT19">IFERROR(_xlfn.XLOOKUP($C19,Query[Code], _xlfn.XLOOKUP('Promo Form'!AS$3,Query[[#Headers],[Code]:[Bing Lee]],Query[[Code]:[Bing Lee]])),"")</f>
        <v/>
      </c>
      <c r="AU19" s="16" t="str">
        <f t="shared" si="87"/>
        <v/>
      </c>
      <c r="AV19" s="16" t="str">
        <f t="shared" si="88"/>
        <v/>
      </c>
      <c r="AW19" s="17" t="str">
        <f t="shared" si="89"/>
        <v/>
      </c>
      <c r="AX19" s="18" t="str">
        <f t="shared" si="90"/>
        <v/>
      </c>
      <c r="AY19" s="18" t="str">
        <f t="shared" si="91"/>
        <v/>
      </c>
      <c r="AZ19" s="109" t="str" cm="1">
        <f t="array" ref="AZ19">IFERROR(_xlfn._xlws.FILTER(ST[SOH],(ST[Code]=$C19) * (ST[Customer Name]=AS$3),"" ),"")</f>
        <v/>
      </c>
      <c r="BA19" s="109" t="str" cm="1">
        <f t="array" ref="BA19">IFERROR(
    _xlfn.LET(
        _xlpm.result, INDEX(_xlfn._xlws.FILTER(ST[6wk avg], (ST[Code]=$C19)*(ST[Customer Name]=AS$3), ""), 1),
        IF(_xlpm.result=0, "", _xlpm.result)
    ),
"")</f>
        <v/>
      </c>
      <c r="BB19" s="102" t="str">
        <f t="shared" si="92"/>
        <v/>
      </c>
      <c r="BC19" s="70" t="str">
        <f t="shared" si="93"/>
        <v/>
      </c>
      <c r="BD19" s="83" t="str">
        <f t="shared" si="94"/>
        <v/>
      </c>
      <c r="BE19" s="77"/>
      <c r="BF19" s="108" t="str" cm="1">
        <f t="array" ref="BF19">IFERROR(_xlfn._xlws.FILTER(ST[Customer Code],(ST[Code]=$C19) * (ST[Customer Name]=BF$3),"" ),"")</f>
        <v/>
      </c>
      <c r="BG19" s="68" t="str" cm="1">
        <f t="array" ref="BG19">IFERROR(_xlfn.XLOOKUP($C19,Query[Code], _xlfn.XLOOKUP('Promo Form'!BF$3,Query[[#Headers],[Code]:[Bing Lee]],Query[[Code]:[Bing Lee]])),"")</f>
        <v/>
      </c>
      <c r="BH19" s="16" t="str">
        <f t="shared" si="95"/>
        <v/>
      </c>
      <c r="BI19" s="16" t="str">
        <f t="shared" si="96"/>
        <v/>
      </c>
      <c r="BJ19" s="17" t="str">
        <f t="shared" si="97"/>
        <v/>
      </c>
      <c r="BK19" s="18" t="str">
        <f t="shared" si="98"/>
        <v/>
      </c>
      <c r="BL19" s="18" t="str">
        <f t="shared" si="99"/>
        <v/>
      </c>
      <c r="BM19" s="109" t="str" cm="1">
        <f t="array" ref="BM19">IFERROR(_xlfn._xlws.FILTER(ST[SOH],(ST[Code]=$C19) * (ST[Customer Name]=BF$3),"" ),"")</f>
        <v/>
      </c>
      <c r="BN19" s="109" t="str" cm="1">
        <f t="array" ref="BN19">IFERROR(
    _xlfn.LET(
        _xlpm.result, INDEX(_xlfn._xlws.FILTER(ST[6wk avg], (ST[Code]=$C19)*(ST[Customer Name]=BF$3), ""), 1),
        IF(_xlpm.result=0, "", _xlpm.result)
    ),
"")</f>
        <v/>
      </c>
      <c r="BO19" s="102" t="str">
        <f t="shared" si="100"/>
        <v/>
      </c>
      <c r="BP19" s="70" t="str">
        <f t="shared" si="101"/>
        <v/>
      </c>
      <c r="BQ19" s="83" t="str">
        <f t="shared" si="102"/>
        <v/>
      </c>
      <c r="BR19" s="77"/>
      <c r="BS19" s="108" t="str" cm="1">
        <f t="array" ref="BS19">IFERROR(_xlfn._xlws.FILTER(ST[Customer Code],(ST[Code]=$C19) * (ST[Customer Name]=BS$3),"" ),"")</f>
        <v/>
      </c>
      <c r="BT19" s="68" t="str" cm="1">
        <f t="array" ref="BT19">IFERROR(_xlfn.XLOOKUP($C19,Query[Code], _xlfn.XLOOKUP('Promo Form'!BS$3,Query[[#Headers],[Code]:[Bing Lee]],Query[[Code]:[Bing Lee]])),"")</f>
        <v/>
      </c>
      <c r="BU19" s="16" t="str">
        <f t="shared" si="103"/>
        <v/>
      </c>
      <c r="BV19" s="16" t="str">
        <f t="shared" si="104"/>
        <v/>
      </c>
      <c r="BW19" s="17" t="str">
        <f t="shared" si="105"/>
        <v/>
      </c>
      <c r="BX19" s="18" t="str">
        <f t="shared" si="106"/>
        <v/>
      </c>
      <c r="BY19" s="18" t="str">
        <f t="shared" si="107"/>
        <v/>
      </c>
      <c r="BZ19" s="109" t="str" cm="1">
        <f t="array" ref="BZ19">IFERROR(_xlfn._xlws.FILTER(ST[SOH],(ST[Code]=$C19) * (ST[Customer Name]=BS$3),"" ),"")</f>
        <v/>
      </c>
      <c r="CA19" s="109" t="str" cm="1">
        <f t="array" ref="CA19">IFERROR(
    _xlfn.LET(
        _xlpm.result, INDEX(_xlfn._xlws.FILTER(ST[6wk avg], (ST[Code]=$C19)*(ST[Customer Name]=BS$3), ""), 1),
        IF(_xlpm.result=0, "", _xlpm.result)
    ),
"")</f>
        <v/>
      </c>
      <c r="CB19" s="102" t="str">
        <f t="shared" si="108"/>
        <v/>
      </c>
      <c r="CC19" s="70" t="str">
        <f t="shared" si="109"/>
        <v/>
      </c>
      <c r="CD19" s="83" t="str">
        <f t="shared" si="110"/>
        <v/>
      </c>
      <c r="CE19" s="77"/>
      <c r="CF19" s="108" t="str" cm="1">
        <f t="array" ref="CF19">IFERROR(_xlfn._xlws.FILTER(ST[Customer Code],(ST[Code]=$C19) * (ST[Customer Name]=CF$3),"" ),"")</f>
        <v/>
      </c>
      <c r="CG19" s="68" t="str" cm="1">
        <f t="array" ref="CG19">IFERROR(_xlfn.XLOOKUP($C19,Query[Code], _xlfn.XLOOKUP('Promo Form'!CF$3,Query[[#Headers],[Code]:[Bing Lee]],Query[[Code]:[Bing Lee]])),"")</f>
        <v/>
      </c>
      <c r="CH19" s="16" t="str">
        <f t="shared" si="111"/>
        <v/>
      </c>
      <c r="CI19" s="16" t="str">
        <f t="shared" si="112"/>
        <v/>
      </c>
      <c r="CJ19" s="17" t="str">
        <f t="shared" si="113"/>
        <v/>
      </c>
      <c r="CK19" s="18" t="str">
        <f t="shared" si="114"/>
        <v/>
      </c>
      <c r="CL19" s="18" t="str">
        <f t="shared" si="115"/>
        <v/>
      </c>
      <c r="CM19" s="109" t="str" cm="1">
        <f t="array" ref="CM19">IFERROR(_xlfn._xlws.FILTER(ST[SOH],(ST[Code]=$C19) * (ST[Customer Name]=CF$3),"" ),"")</f>
        <v/>
      </c>
      <c r="CN19" s="109" t="str" cm="1">
        <f t="array" ref="CN19">IFERROR(
    _xlfn.LET(
        _xlpm.result, INDEX(_xlfn._xlws.FILTER(ST[6wk avg], (ST[Code]=$C19)*(ST[Customer Name]=CF$3), ""), 1),
        IF(_xlpm.result=0, "", _xlpm.result)
    ),
"")</f>
        <v/>
      </c>
      <c r="CO19" s="102" t="str">
        <f t="shared" si="116"/>
        <v/>
      </c>
      <c r="CP19" s="70" t="str">
        <f t="shared" si="117"/>
        <v/>
      </c>
      <c r="CQ19" s="83" t="str">
        <f t="shared" si="118"/>
        <v/>
      </c>
      <c r="CR19" s="77"/>
      <c r="CS19" s="17" t="str">
        <f>IFERROR(_xlfn.XLOOKUP(C19,Query[Code],Query[Base (RRP Inc)]),"")</f>
        <v/>
      </c>
      <c r="CT19" s="17" t="str">
        <f t="shared" si="119"/>
        <v/>
      </c>
      <c r="CU19" s="107" t="str">
        <f t="shared" si="120"/>
        <v/>
      </c>
      <c r="CV19" s="17" t="str">
        <f t="shared" si="121"/>
        <v/>
      </c>
      <c r="CW19" s="17"/>
    </row>
    <row r="20" spans="1:101" x14ac:dyDescent="0.2">
      <c r="A20" s="106" t="str">
        <f t="shared" si="61"/>
        <v/>
      </c>
      <c r="B20" s="106" t="str">
        <f t="shared" si="62"/>
        <v/>
      </c>
      <c r="C20" s="13"/>
      <c r="D20" s="14" t="str">
        <f>IF(C20="", "",_xlfn.XLOOKUP(C20,'Master Price Level'!C:C,'Master Price Level'!D:D))</f>
        <v/>
      </c>
      <c r="E20" s="15"/>
      <c r="F20" s="108" t="str" cm="1">
        <f t="array" ref="F20">IFERROR(_xlfn._xlws.FILTER(ST[Customer Code],(ST[Code]=$C20) * (ST[Customer Name]=F$3),"" ),"")</f>
        <v/>
      </c>
      <c r="G20" s="68" t="str" cm="1">
        <f t="array" ref="G20">IFERROR(_xlfn.XLOOKUP($C20,Query[Code], _xlfn.XLOOKUP('Promo Form'!F$3,Query[[#Headers],[Code]:[Bing Lee]],Query[[Code]:[Bing Lee]])),"")</f>
        <v/>
      </c>
      <c r="H20" s="16" t="str">
        <f t="shared" si="63"/>
        <v/>
      </c>
      <c r="I20" s="16" t="str">
        <f t="shared" si="64"/>
        <v/>
      </c>
      <c r="J20" s="17" t="str">
        <f t="shared" si="65"/>
        <v/>
      </c>
      <c r="K20" s="18" t="str">
        <f t="shared" si="66"/>
        <v/>
      </c>
      <c r="L20" s="18" t="str">
        <f t="shared" si="67"/>
        <v/>
      </c>
      <c r="M20" s="109" t="str" cm="1">
        <f t="array" ref="M20">IFERROR(_xlfn._xlws.FILTER(ST[SOH],(ST[Code]=$C20) * (ST[Customer Name]=F$3),"" ),"")</f>
        <v/>
      </c>
      <c r="N20" s="109" t="str" cm="1">
        <f t="array" ref="N20">IFERROR(
    _xlfn.LET(
        _xlpm.result, INDEX(_xlfn._xlws.FILTER(ST[6wk avg], (ST[Code]=$C20)*(ST[Customer Name]=F$3), ""), 1),
        IF(_xlpm.result=0, "", _xlpm.result)
    ),
"")</f>
        <v/>
      </c>
      <c r="O20" s="102" t="str">
        <f t="shared" si="68"/>
        <v/>
      </c>
      <c r="P20" s="70" t="str">
        <f t="shared" si="69"/>
        <v/>
      </c>
      <c r="Q20" s="83" t="str">
        <f t="shared" si="70"/>
        <v/>
      </c>
      <c r="R20" s="77"/>
      <c r="S20" s="108" t="str" cm="1">
        <f t="array" ref="S20">IFERROR(_xlfn._xlws.FILTER(ST[Customer Code],(ST[Code]=$C20) * (ST[Customer Name]=S$3),"" ),"")</f>
        <v/>
      </c>
      <c r="T20" s="68" t="str" cm="1">
        <f t="array" ref="T20">IFERROR(_xlfn.XLOOKUP($C20,Query[Code], _xlfn.XLOOKUP('Promo Form'!S$3,Query[[#Headers],[Code]:[Bing Lee]],Query[[Code]:[Bing Lee]])),"")</f>
        <v/>
      </c>
      <c r="U20" s="16" t="str">
        <f t="shared" si="71"/>
        <v/>
      </c>
      <c r="V20" s="16" t="str">
        <f t="shared" si="72"/>
        <v/>
      </c>
      <c r="W20" s="17" t="str">
        <f t="shared" si="73"/>
        <v/>
      </c>
      <c r="X20" s="18" t="str">
        <f t="shared" si="74"/>
        <v/>
      </c>
      <c r="Y20" s="18" t="str">
        <f t="shared" si="75"/>
        <v/>
      </c>
      <c r="Z20" s="109" t="str" cm="1">
        <f t="array" ref="Z20">IFERROR(_xlfn._xlws.FILTER(ST[SOH],(ST[Code]=$C20) * (ST[Customer Name]=S$3),"" ),"")</f>
        <v/>
      </c>
      <c r="AA20" s="109" t="str" cm="1">
        <f t="array" ref="AA20">IFERROR(
    _xlfn.LET(
        _xlpm.result, INDEX(_xlfn._xlws.FILTER(ST[6wk avg], (ST[Code]=$C20)*(ST[Customer Name]=S$3), ""), 1),
        IF(_xlpm.result=0, "", _xlpm.result)
    ),
"")</f>
        <v/>
      </c>
      <c r="AB20" s="102" t="str">
        <f t="shared" si="76"/>
        <v/>
      </c>
      <c r="AC20" s="70" t="str">
        <f t="shared" si="77"/>
        <v/>
      </c>
      <c r="AD20" s="83" t="str">
        <f t="shared" si="78"/>
        <v/>
      </c>
      <c r="AE20" s="77"/>
      <c r="AF20" s="108" t="str" cm="1">
        <f t="array" ref="AF20">IFERROR(_xlfn._xlws.FILTER(ST[Customer Code],(ST[Code]=$C20) * (ST[Customer Name]=AF$3),"" ),"")</f>
        <v/>
      </c>
      <c r="AG20" s="68" t="str" cm="1">
        <f t="array" ref="AG20">IFERROR(_xlfn.XLOOKUP($C20,Query[Code], _xlfn.XLOOKUP('Promo Form'!AF$3,Query[[#Headers],[Code]:[Bing Lee]],Query[[Code]:[Bing Lee]])),"")</f>
        <v/>
      </c>
      <c r="AH20" s="16" t="str">
        <f t="shared" si="79"/>
        <v/>
      </c>
      <c r="AI20" s="16" t="str">
        <f t="shared" si="80"/>
        <v/>
      </c>
      <c r="AJ20" s="17" t="str">
        <f t="shared" si="81"/>
        <v/>
      </c>
      <c r="AK20" s="18" t="str">
        <f t="shared" si="82"/>
        <v/>
      </c>
      <c r="AL20" s="18" t="str">
        <f t="shared" si="83"/>
        <v/>
      </c>
      <c r="AM20" s="109" t="str" cm="1">
        <f t="array" ref="AM20">IFERROR(_xlfn._xlws.FILTER(ST[SOH],(ST[Code]=$C20) * (ST[Customer Name]=AF$3),"" ),"")</f>
        <v/>
      </c>
      <c r="AN20" s="109" t="str" cm="1">
        <f t="array" ref="AN20">IFERROR(
    _xlfn.LET(
        _xlpm.result, INDEX(_xlfn._xlws.FILTER(ST[6wk avg], (ST[Code]=$C20)*(ST[Customer Name]=AF$3), ""), 1),
        IF(_xlpm.result=0, "", _xlpm.result)
    ),
"")</f>
        <v/>
      </c>
      <c r="AO20" s="102" t="str">
        <f t="shared" si="84"/>
        <v/>
      </c>
      <c r="AP20" s="70" t="str">
        <f t="shared" si="85"/>
        <v/>
      </c>
      <c r="AQ20" s="83" t="str">
        <f t="shared" si="86"/>
        <v/>
      </c>
      <c r="AR20" s="77"/>
      <c r="AS20" s="108" t="str" cm="1">
        <f t="array" ref="AS20">IFERROR(_xlfn._xlws.FILTER(ST[Customer Code],(ST[Code]=$C20) * (ST[Customer Name]=AS$3),"" ),"")</f>
        <v/>
      </c>
      <c r="AT20" s="68" t="str" cm="1">
        <f t="array" ref="AT20">IFERROR(_xlfn.XLOOKUP($C20,Query[Code], _xlfn.XLOOKUP('Promo Form'!AS$3,Query[[#Headers],[Code]:[Bing Lee]],Query[[Code]:[Bing Lee]])),"")</f>
        <v/>
      </c>
      <c r="AU20" s="16" t="str">
        <f t="shared" si="87"/>
        <v/>
      </c>
      <c r="AV20" s="16" t="str">
        <f t="shared" si="88"/>
        <v/>
      </c>
      <c r="AW20" s="17" t="str">
        <f t="shared" si="89"/>
        <v/>
      </c>
      <c r="AX20" s="18" t="str">
        <f t="shared" si="90"/>
        <v/>
      </c>
      <c r="AY20" s="18" t="str">
        <f t="shared" si="91"/>
        <v/>
      </c>
      <c r="AZ20" s="109" t="str" cm="1">
        <f t="array" ref="AZ20">IFERROR(_xlfn._xlws.FILTER(ST[SOH],(ST[Code]=$C20) * (ST[Customer Name]=AS$3),"" ),"")</f>
        <v/>
      </c>
      <c r="BA20" s="109" t="str" cm="1">
        <f t="array" ref="BA20">IFERROR(
    _xlfn.LET(
        _xlpm.result, INDEX(_xlfn._xlws.FILTER(ST[6wk avg], (ST[Code]=$C20)*(ST[Customer Name]=AS$3), ""), 1),
        IF(_xlpm.result=0, "", _xlpm.result)
    ),
"")</f>
        <v/>
      </c>
      <c r="BB20" s="102" t="str">
        <f t="shared" si="92"/>
        <v/>
      </c>
      <c r="BC20" s="70" t="str">
        <f t="shared" si="93"/>
        <v/>
      </c>
      <c r="BD20" s="83" t="str">
        <f t="shared" si="94"/>
        <v/>
      </c>
      <c r="BE20" s="77"/>
      <c r="BF20" s="108" t="str" cm="1">
        <f t="array" ref="BF20">IFERROR(_xlfn._xlws.FILTER(ST[Customer Code],(ST[Code]=$C20) * (ST[Customer Name]=BF$3),"" ),"")</f>
        <v/>
      </c>
      <c r="BG20" s="68" t="str" cm="1">
        <f t="array" ref="BG20">IFERROR(_xlfn.XLOOKUP($C20,Query[Code], _xlfn.XLOOKUP('Promo Form'!BF$3,Query[[#Headers],[Code]:[Bing Lee]],Query[[Code]:[Bing Lee]])),"")</f>
        <v/>
      </c>
      <c r="BH20" s="16" t="str">
        <f t="shared" si="95"/>
        <v/>
      </c>
      <c r="BI20" s="16" t="str">
        <f t="shared" si="96"/>
        <v/>
      </c>
      <c r="BJ20" s="17" t="str">
        <f t="shared" si="97"/>
        <v/>
      </c>
      <c r="BK20" s="18" t="str">
        <f t="shared" si="98"/>
        <v/>
      </c>
      <c r="BL20" s="18" t="str">
        <f t="shared" si="99"/>
        <v/>
      </c>
      <c r="BM20" s="109" t="str" cm="1">
        <f t="array" ref="BM20">IFERROR(_xlfn._xlws.FILTER(ST[SOH],(ST[Code]=$C20) * (ST[Customer Name]=BF$3),"" ),"")</f>
        <v/>
      </c>
      <c r="BN20" s="109" t="str" cm="1">
        <f t="array" ref="BN20">IFERROR(
    _xlfn.LET(
        _xlpm.result, INDEX(_xlfn._xlws.FILTER(ST[6wk avg], (ST[Code]=$C20)*(ST[Customer Name]=BF$3), ""), 1),
        IF(_xlpm.result=0, "", _xlpm.result)
    ),
"")</f>
        <v/>
      </c>
      <c r="BO20" s="102" t="str">
        <f t="shared" si="100"/>
        <v/>
      </c>
      <c r="BP20" s="70" t="str">
        <f t="shared" si="101"/>
        <v/>
      </c>
      <c r="BQ20" s="83" t="str">
        <f t="shared" si="102"/>
        <v/>
      </c>
      <c r="BR20" s="77"/>
      <c r="BS20" s="108" t="str" cm="1">
        <f t="array" ref="BS20">IFERROR(_xlfn._xlws.FILTER(ST[Customer Code],(ST[Code]=$C20) * (ST[Customer Name]=BS$3),"" ),"")</f>
        <v/>
      </c>
      <c r="BT20" s="68" t="str" cm="1">
        <f t="array" ref="BT20">IFERROR(_xlfn.XLOOKUP($C20,Query[Code], _xlfn.XLOOKUP('Promo Form'!BS$3,Query[[#Headers],[Code]:[Bing Lee]],Query[[Code]:[Bing Lee]])),"")</f>
        <v/>
      </c>
      <c r="BU20" s="16" t="str">
        <f t="shared" si="103"/>
        <v/>
      </c>
      <c r="BV20" s="16" t="str">
        <f t="shared" si="104"/>
        <v/>
      </c>
      <c r="BW20" s="17" t="str">
        <f t="shared" si="105"/>
        <v/>
      </c>
      <c r="BX20" s="18" t="str">
        <f t="shared" si="106"/>
        <v/>
      </c>
      <c r="BY20" s="18" t="str">
        <f t="shared" si="107"/>
        <v/>
      </c>
      <c r="BZ20" s="109" t="str" cm="1">
        <f t="array" ref="BZ20">IFERROR(_xlfn._xlws.FILTER(ST[SOH],(ST[Code]=$C20) * (ST[Customer Name]=BS$3),"" ),"")</f>
        <v/>
      </c>
      <c r="CA20" s="109" t="str" cm="1">
        <f t="array" ref="CA20">IFERROR(
    _xlfn.LET(
        _xlpm.result, INDEX(_xlfn._xlws.FILTER(ST[6wk avg], (ST[Code]=$C20)*(ST[Customer Name]=BS$3), ""), 1),
        IF(_xlpm.result=0, "", _xlpm.result)
    ),
"")</f>
        <v/>
      </c>
      <c r="CB20" s="102" t="str">
        <f t="shared" si="108"/>
        <v/>
      </c>
      <c r="CC20" s="70" t="str">
        <f t="shared" si="109"/>
        <v/>
      </c>
      <c r="CD20" s="83" t="str">
        <f t="shared" si="110"/>
        <v/>
      </c>
      <c r="CE20" s="77"/>
      <c r="CF20" s="108" t="str" cm="1">
        <f t="array" ref="CF20">IFERROR(_xlfn._xlws.FILTER(ST[Customer Code],(ST[Code]=$C20) * (ST[Customer Name]=CF$3),"" ),"")</f>
        <v/>
      </c>
      <c r="CG20" s="68" t="str" cm="1">
        <f t="array" ref="CG20">IFERROR(_xlfn.XLOOKUP($C20,Query[Code], _xlfn.XLOOKUP('Promo Form'!CF$3,Query[[#Headers],[Code]:[Bing Lee]],Query[[Code]:[Bing Lee]])),"")</f>
        <v/>
      </c>
      <c r="CH20" s="16" t="str">
        <f t="shared" si="111"/>
        <v/>
      </c>
      <c r="CI20" s="16" t="str">
        <f t="shared" si="112"/>
        <v/>
      </c>
      <c r="CJ20" s="17" t="str">
        <f t="shared" si="113"/>
        <v/>
      </c>
      <c r="CK20" s="18" t="str">
        <f t="shared" si="114"/>
        <v/>
      </c>
      <c r="CL20" s="18" t="str">
        <f t="shared" si="115"/>
        <v/>
      </c>
      <c r="CM20" s="109" t="str" cm="1">
        <f t="array" ref="CM20">IFERROR(_xlfn._xlws.FILTER(ST[SOH],(ST[Code]=$C20) * (ST[Customer Name]=CF$3),"" ),"")</f>
        <v/>
      </c>
      <c r="CN20" s="109" t="str" cm="1">
        <f t="array" ref="CN20">IFERROR(
    _xlfn.LET(
        _xlpm.result, INDEX(_xlfn._xlws.FILTER(ST[6wk avg], (ST[Code]=$C20)*(ST[Customer Name]=CF$3), ""), 1),
        IF(_xlpm.result=0, "", _xlpm.result)
    ),
"")</f>
        <v/>
      </c>
      <c r="CO20" s="102" t="str">
        <f t="shared" si="116"/>
        <v/>
      </c>
      <c r="CP20" s="70" t="str">
        <f t="shared" si="117"/>
        <v/>
      </c>
      <c r="CQ20" s="83" t="str">
        <f t="shared" si="118"/>
        <v/>
      </c>
      <c r="CR20" s="77"/>
      <c r="CS20" s="17" t="str">
        <f>IFERROR(_xlfn.XLOOKUP(C20,Query[Code],Query[Base (RRP Inc)]),"")</f>
        <v/>
      </c>
      <c r="CT20" s="17" t="str">
        <f t="shared" si="119"/>
        <v/>
      </c>
      <c r="CU20" s="107" t="str">
        <f t="shared" si="120"/>
        <v/>
      </c>
      <c r="CV20" s="17" t="str">
        <f t="shared" si="121"/>
        <v/>
      </c>
      <c r="CW20" s="17"/>
    </row>
    <row r="21" spans="1:101" x14ac:dyDescent="0.2">
      <c r="A21" s="106" t="str">
        <f t="shared" si="61"/>
        <v/>
      </c>
      <c r="B21" s="106" t="str">
        <f t="shared" si="62"/>
        <v/>
      </c>
      <c r="C21" s="13"/>
      <c r="D21" s="14" t="str">
        <f>IF(C21="", "",_xlfn.XLOOKUP(C21,'Master Price Level'!C:C,'Master Price Level'!D:D))</f>
        <v/>
      </c>
      <c r="E21" s="15"/>
      <c r="F21" s="108" t="str" cm="1">
        <f t="array" ref="F21">IFERROR(_xlfn._xlws.FILTER(ST[Customer Code],(ST[Code]=$C21) * (ST[Customer Name]=F$3),"" ),"")</f>
        <v/>
      </c>
      <c r="G21" s="68" t="str" cm="1">
        <f t="array" ref="G21">IFERROR(_xlfn.XLOOKUP($C21,Query[Code], _xlfn.XLOOKUP('Promo Form'!F$3,Query[[#Headers],[Code]:[Bing Lee]],Query[[Code]:[Bing Lee]])),"")</f>
        <v/>
      </c>
      <c r="H21" s="16" t="str">
        <f t="shared" si="63"/>
        <v/>
      </c>
      <c r="I21" s="16" t="str">
        <f t="shared" si="64"/>
        <v/>
      </c>
      <c r="J21" s="17" t="str">
        <f t="shared" si="65"/>
        <v/>
      </c>
      <c r="K21" s="18" t="str">
        <f t="shared" si="66"/>
        <v/>
      </c>
      <c r="L21" s="18" t="str">
        <f t="shared" si="67"/>
        <v/>
      </c>
      <c r="M21" s="109" t="str" cm="1">
        <f t="array" ref="M21">IFERROR(_xlfn._xlws.FILTER(ST[SOH],(ST[Code]=$C21) * (ST[Customer Name]=F$3),"" ),"")</f>
        <v/>
      </c>
      <c r="N21" s="109" t="str" cm="1">
        <f t="array" ref="N21">IFERROR(
    _xlfn.LET(
        _xlpm.result, INDEX(_xlfn._xlws.FILTER(ST[6wk avg], (ST[Code]=$C21)*(ST[Customer Name]=F$3), ""), 1),
        IF(_xlpm.result=0, "", _xlpm.result)
    ),
"")</f>
        <v/>
      </c>
      <c r="O21" s="102" t="str">
        <f t="shared" si="68"/>
        <v/>
      </c>
      <c r="P21" s="70" t="str">
        <f t="shared" si="69"/>
        <v/>
      </c>
      <c r="Q21" s="83" t="str">
        <f t="shared" si="70"/>
        <v/>
      </c>
      <c r="R21" s="77"/>
      <c r="S21" s="108" t="str" cm="1">
        <f t="array" ref="S21">IFERROR(_xlfn._xlws.FILTER(ST[Customer Code],(ST[Code]=$C21) * (ST[Customer Name]=S$3),"" ),"")</f>
        <v/>
      </c>
      <c r="T21" s="68" t="str" cm="1">
        <f t="array" ref="T21">IFERROR(_xlfn.XLOOKUP($C21,Query[Code], _xlfn.XLOOKUP('Promo Form'!S$3,Query[[#Headers],[Code]:[Bing Lee]],Query[[Code]:[Bing Lee]])),"")</f>
        <v/>
      </c>
      <c r="U21" s="16" t="str">
        <f t="shared" si="71"/>
        <v/>
      </c>
      <c r="V21" s="16" t="str">
        <f t="shared" si="72"/>
        <v/>
      </c>
      <c r="W21" s="17" t="str">
        <f t="shared" si="73"/>
        <v/>
      </c>
      <c r="X21" s="18" t="str">
        <f t="shared" si="74"/>
        <v/>
      </c>
      <c r="Y21" s="18" t="str">
        <f t="shared" si="75"/>
        <v/>
      </c>
      <c r="Z21" s="109" t="str" cm="1">
        <f t="array" ref="Z21">IFERROR(_xlfn._xlws.FILTER(ST[SOH],(ST[Code]=$C21) * (ST[Customer Name]=S$3),"" ),"")</f>
        <v/>
      </c>
      <c r="AA21" s="109" t="str" cm="1">
        <f t="array" ref="AA21">IFERROR(
    _xlfn.LET(
        _xlpm.result, INDEX(_xlfn._xlws.FILTER(ST[6wk avg], (ST[Code]=$C21)*(ST[Customer Name]=S$3), ""), 1),
        IF(_xlpm.result=0, "", _xlpm.result)
    ),
"")</f>
        <v/>
      </c>
      <c r="AB21" s="102" t="str">
        <f t="shared" si="76"/>
        <v/>
      </c>
      <c r="AC21" s="70" t="str">
        <f t="shared" si="77"/>
        <v/>
      </c>
      <c r="AD21" s="83" t="str">
        <f t="shared" si="78"/>
        <v/>
      </c>
      <c r="AE21" s="77"/>
      <c r="AF21" s="108" t="str" cm="1">
        <f t="array" ref="AF21">IFERROR(_xlfn._xlws.FILTER(ST[Customer Code],(ST[Code]=$C21) * (ST[Customer Name]=AF$3),"" ),"")</f>
        <v/>
      </c>
      <c r="AG21" s="68" t="str" cm="1">
        <f t="array" ref="AG21">IFERROR(_xlfn.XLOOKUP($C21,Query[Code], _xlfn.XLOOKUP('Promo Form'!AF$3,Query[[#Headers],[Code]:[Bing Lee]],Query[[Code]:[Bing Lee]])),"")</f>
        <v/>
      </c>
      <c r="AH21" s="16" t="str">
        <f t="shared" si="79"/>
        <v/>
      </c>
      <c r="AI21" s="16" t="str">
        <f t="shared" si="80"/>
        <v/>
      </c>
      <c r="AJ21" s="17" t="str">
        <f t="shared" si="81"/>
        <v/>
      </c>
      <c r="AK21" s="18" t="str">
        <f t="shared" si="82"/>
        <v/>
      </c>
      <c r="AL21" s="18" t="str">
        <f t="shared" si="83"/>
        <v/>
      </c>
      <c r="AM21" s="109" t="str" cm="1">
        <f t="array" ref="AM21">IFERROR(_xlfn._xlws.FILTER(ST[SOH],(ST[Code]=$C21) * (ST[Customer Name]=AF$3),"" ),"")</f>
        <v/>
      </c>
      <c r="AN21" s="109" t="str" cm="1">
        <f t="array" ref="AN21">IFERROR(
    _xlfn.LET(
        _xlpm.result, INDEX(_xlfn._xlws.FILTER(ST[6wk avg], (ST[Code]=$C21)*(ST[Customer Name]=AF$3), ""), 1),
        IF(_xlpm.result=0, "", _xlpm.result)
    ),
"")</f>
        <v/>
      </c>
      <c r="AO21" s="102" t="str">
        <f t="shared" si="84"/>
        <v/>
      </c>
      <c r="AP21" s="70" t="str">
        <f t="shared" si="85"/>
        <v/>
      </c>
      <c r="AQ21" s="83" t="str">
        <f t="shared" si="86"/>
        <v/>
      </c>
      <c r="AR21" s="77"/>
      <c r="AS21" s="108" t="str" cm="1">
        <f t="array" ref="AS21">IFERROR(_xlfn._xlws.FILTER(ST[Customer Code],(ST[Code]=$C21) * (ST[Customer Name]=AS$3),"" ),"")</f>
        <v/>
      </c>
      <c r="AT21" s="68" t="str" cm="1">
        <f t="array" ref="AT21">IFERROR(_xlfn.XLOOKUP($C21,Query[Code], _xlfn.XLOOKUP('Promo Form'!AS$3,Query[[#Headers],[Code]:[Bing Lee]],Query[[Code]:[Bing Lee]])),"")</f>
        <v/>
      </c>
      <c r="AU21" s="16" t="str">
        <f t="shared" si="87"/>
        <v/>
      </c>
      <c r="AV21" s="16" t="str">
        <f t="shared" si="88"/>
        <v/>
      </c>
      <c r="AW21" s="17" t="str">
        <f t="shared" si="89"/>
        <v/>
      </c>
      <c r="AX21" s="18" t="str">
        <f t="shared" si="90"/>
        <v/>
      </c>
      <c r="AY21" s="18" t="str">
        <f t="shared" si="91"/>
        <v/>
      </c>
      <c r="AZ21" s="109" t="str" cm="1">
        <f t="array" ref="AZ21">IFERROR(_xlfn._xlws.FILTER(ST[SOH],(ST[Code]=$C21) * (ST[Customer Name]=AS$3),"" ),"")</f>
        <v/>
      </c>
      <c r="BA21" s="109" t="str" cm="1">
        <f t="array" ref="BA21">IFERROR(
    _xlfn.LET(
        _xlpm.result, INDEX(_xlfn._xlws.FILTER(ST[6wk avg], (ST[Code]=$C21)*(ST[Customer Name]=AS$3), ""), 1),
        IF(_xlpm.result=0, "", _xlpm.result)
    ),
"")</f>
        <v/>
      </c>
      <c r="BB21" s="102" t="str">
        <f t="shared" si="92"/>
        <v/>
      </c>
      <c r="BC21" s="70" t="str">
        <f t="shared" si="93"/>
        <v/>
      </c>
      <c r="BD21" s="83" t="str">
        <f t="shared" si="94"/>
        <v/>
      </c>
      <c r="BE21" s="77"/>
      <c r="BF21" s="108" t="str" cm="1">
        <f t="array" ref="BF21">IFERROR(_xlfn._xlws.FILTER(ST[Customer Code],(ST[Code]=$C21) * (ST[Customer Name]=BF$3),"" ),"")</f>
        <v/>
      </c>
      <c r="BG21" s="68" t="str" cm="1">
        <f t="array" ref="BG21">IFERROR(_xlfn.XLOOKUP($C21,Query[Code], _xlfn.XLOOKUP('Promo Form'!BF$3,Query[[#Headers],[Code]:[Bing Lee]],Query[[Code]:[Bing Lee]])),"")</f>
        <v/>
      </c>
      <c r="BH21" s="16" t="str">
        <f t="shared" si="95"/>
        <v/>
      </c>
      <c r="BI21" s="16" t="str">
        <f t="shared" si="96"/>
        <v/>
      </c>
      <c r="BJ21" s="17" t="str">
        <f t="shared" si="97"/>
        <v/>
      </c>
      <c r="BK21" s="18" t="str">
        <f t="shared" si="98"/>
        <v/>
      </c>
      <c r="BL21" s="18" t="str">
        <f t="shared" si="99"/>
        <v/>
      </c>
      <c r="BM21" s="109" t="str" cm="1">
        <f t="array" ref="BM21">IFERROR(_xlfn._xlws.FILTER(ST[SOH],(ST[Code]=$C21) * (ST[Customer Name]=BF$3),"" ),"")</f>
        <v/>
      </c>
      <c r="BN21" s="109" t="str" cm="1">
        <f t="array" ref="BN21">IFERROR(
    _xlfn.LET(
        _xlpm.result, INDEX(_xlfn._xlws.FILTER(ST[6wk avg], (ST[Code]=$C21)*(ST[Customer Name]=BF$3), ""), 1),
        IF(_xlpm.result=0, "", _xlpm.result)
    ),
"")</f>
        <v/>
      </c>
      <c r="BO21" s="102" t="str">
        <f t="shared" si="100"/>
        <v/>
      </c>
      <c r="BP21" s="70" t="str">
        <f t="shared" si="101"/>
        <v/>
      </c>
      <c r="BQ21" s="83" t="str">
        <f t="shared" si="102"/>
        <v/>
      </c>
      <c r="BR21" s="77"/>
      <c r="BS21" s="108" t="str" cm="1">
        <f t="array" ref="BS21">IFERROR(_xlfn._xlws.FILTER(ST[Customer Code],(ST[Code]=$C21) * (ST[Customer Name]=BS$3),"" ),"")</f>
        <v/>
      </c>
      <c r="BT21" s="68" t="str" cm="1">
        <f t="array" ref="BT21">IFERROR(_xlfn.XLOOKUP($C21,Query[Code], _xlfn.XLOOKUP('Promo Form'!BS$3,Query[[#Headers],[Code]:[Bing Lee]],Query[[Code]:[Bing Lee]])),"")</f>
        <v/>
      </c>
      <c r="BU21" s="16" t="str">
        <f t="shared" si="103"/>
        <v/>
      </c>
      <c r="BV21" s="16" t="str">
        <f t="shared" si="104"/>
        <v/>
      </c>
      <c r="BW21" s="17" t="str">
        <f t="shared" si="105"/>
        <v/>
      </c>
      <c r="BX21" s="18" t="str">
        <f t="shared" si="106"/>
        <v/>
      </c>
      <c r="BY21" s="18" t="str">
        <f t="shared" si="107"/>
        <v/>
      </c>
      <c r="BZ21" s="109" t="str" cm="1">
        <f t="array" ref="BZ21">IFERROR(_xlfn._xlws.FILTER(ST[SOH],(ST[Code]=$C21) * (ST[Customer Name]=BS$3),"" ),"")</f>
        <v/>
      </c>
      <c r="CA21" s="109" t="str" cm="1">
        <f t="array" ref="CA21">IFERROR(
    _xlfn.LET(
        _xlpm.result, INDEX(_xlfn._xlws.FILTER(ST[6wk avg], (ST[Code]=$C21)*(ST[Customer Name]=BS$3), ""), 1),
        IF(_xlpm.result=0, "", _xlpm.result)
    ),
"")</f>
        <v/>
      </c>
      <c r="CB21" s="102" t="str">
        <f t="shared" si="108"/>
        <v/>
      </c>
      <c r="CC21" s="70" t="str">
        <f t="shared" si="109"/>
        <v/>
      </c>
      <c r="CD21" s="83" t="str">
        <f t="shared" si="110"/>
        <v/>
      </c>
      <c r="CE21" s="77"/>
      <c r="CF21" s="108" t="str" cm="1">
        <f t="array" ref="CF21">IFERROR(_xlfn._xlws.FILTER(ST[Customer Code],(ST[Code]=$C21) * (ST[Customer Name]=CF$3),"" ),"")</f>
        <v/>
      </c>
      <c r="CG21" s="68" t="str" cm="1">
        <f t="array" ref="CG21">IFERROR(_xlfn.XLOOKUP($C21,Query[Code], _xlfn.XLOOKUP('Promo Form'!CF$3,Query[[#Headers],[Code]:[Bing Lee]],Query[[Code]:[Bing Lee]])),"")</f>
        <v/>
      </c>
      <c r="CH21" s="16" t="str">
        <f t="shared" si="111"/>
        <v/>
      </c>
      <c r="CI21" s="16" t="str">
        <f t="shared" si="112"/>
        <v/>
      </c>
      <c r="CJ21" s="17" t="str">
        <f t="shared" si="113"/>
        <v/>
      </c>
      <c r="CK21" s="18" t="str">
        <f t="shared" si="114"/>
        <v/>
      </c>
      <c r="CL21" s="18" t="str">
        <f t="shared" si="115"/>
        <v/>
      </c>
      <c r="CM21" s="109" t="str" cm="1">
        <f t="array" ref="CM21">IFERROR(_xlfn._xlws.FILTER(ST[SOH],(ST[Code]=$C21) * (ST[Customer Name]=CF$3),"" ),"")</f>
        <v/>
      </c>
      <c r="CN21" s="109" t="str" cm="1">
        <f t="array" ref="CN21">IFERROR(
    _xlfn.LET(
        _xlpm.result, INDEX(_xlfn._xlws.FILTER(ST[6wk avg], (ST[Code]=$C21)*(ST[Customer Name]=CF$3), ""), 1),
        IF(_xlpm.result=0, "", _xlpm.result)
    ),
"")</f>
        <v/>
      </c>
      <c r="CO21" s="102" t="str">
        <f t="shared" si="116"/>
        <v/>
      </c>
      <c r="CP21" s="70" t="str">
        <f t="shared" si="117"/>
        <v/>
      </c>
      <c r="CQ21" s="83" t="str">
        <f t="shared" si="118"/>
        <v/>
      </c>
      <c r="CR21" s="77"/>
      <c r="CS21" s="17" t="str">
        <f>IFERROR(_xlfn.XLOOKUP(C21,Query[Code],Query[Base (RRP Inc)]),"")</f>
        <v/>
      </c>
      <c r="CT21" s="17" t="str">
        <f t="shared" si="119"/>
        <v/>
      </c>
      <c r="CU21" s="107" t="str">
        <f t="shared" si="120"/>
        <v/>
      </c>
      <c r="CV21" s="17" t="str">
        <f t="shared" si="121"/>
        <v/>
      </c>
      <c r="CW21" s="17"/>
    </row>
    <row r="22" spans="1:101" x14ac:dyDescent="0.2">
      <c r="A22" s="106" t="str">
        <f t="shared" si="61"/>
        <v/>
      </c>
      <c r="B22" s="106" t="str">
        <f t="shared" si="62"/>
        <v/>
      </c>
      <c r="C22" s="13"/>
      <c r="D22" s="14" t="str">
        <f>IF(C22="", "",_xlfn.XLOOKUP(C22,'Master Price Level'!C:C,'Master Price Level'!D:D))</f>
        <v/>
      </c>
      <c r="E22" s="15"/>
      <c r="F22" s="108" t="str" cm="1">
        <f t="array" ref="F22">IFERROR(_xlfn._xlws.FILTER(ST[Customer Code],(ST[Code]=$C22) * (ST[Customer Name]=F$3),"" ),"")</f>
        <v/>
      </c>
      <c r="G22" s="68" t="str" cm="1">
        <f t="array" ref="G22">IFERROR(_xlfn.XLOOKUP($C22,Query[Code], _xlfn.XLOOKUP('Promo Form'!F$3,Query[[#Headers],[Code]:[Bing Lee]],Query[[Code]:[Bing Lee]])),"")</f>
        <v/>
      </c>
      <c r="H22" s="16" t="str">
        <f t="shared" si="63"/>
        <v/>
      </c>
      <c r="I22" s="16" t="str">
        <f t="shared" si="64"/>
        <v/>
      </c>
      <c r="J22" s="17" t="str">
        <f t="shared" si="65"/>
        <v/>
      </c>
      <c r="K22" s="18" t="str">
        <f t="shared" si="66"/>
        <v/>
      </c>
      <c r="L22" s="18" t="str">
        <f t="shared" si="67"/>
        <v/>
      </c>
      <c r="M22" s="109" t="str" cm="1">
        <f t="array" ref="M22">IFERROR(_xlfn._xlws.FILTER(ST[SOH],(ST[Code]=$C22) * (ST[Customer Name]=F$3),"" ),"")</f>
        <v/>
      </c>
      <c r="N22" s="109" t="str" cm="1">
        <f t="array" ref="N22">IFERROR(
    _xlfn.LET(
        _xlpm.result, INDEX(_xlfn._xlws.FILTER(ST[6wk avg], (ST[Code]=$C22)*(ST[Customer Name]=F$3), ""), 1),
        IF(_xlpm.result=0, "", _xlpm.result)
    ),
"")</f>
        <v/>
      </c>
      <c r="O22" s="102" t="str">
        <f t="shared" si="68"/>
        <v/>
      </c>
      <c r="P22" s="70" t="str">
        <f t="shared" si="69"/>
        <v/>
      </c>
      <c r="Q22" s="83" t="str">
        <f t="shared" si="70"/>
        <v/>
      </c>
      <c r="R22" s="77"/>
      <c r="S22" s="108" t="str" cm="1">
        <f t="array" ref="S22">IFERROR(_xlfn._xlws.FILTER(ST[Customer Code],(ST[Code]=$C22) * (ST[Customer Name]=S$3),"" ),"")</f>
        <v/>
      </c>
      <c r="T22" s="68" t="str" cm="1">
        <f t="array" ref="T22">IFERROR(_xlfn.XLOOKUP($C22,Query[Code], _xlfn.XLOOKUP('Promo Form'!S$3,Query[[#Headers],[Code]:[Bing Lee]],Query[[Code]:[Bing Lee]])),"")</f>
        <v/>
      </c>
      <c r="U22" s="16" t="str">
        <f t="shared" si="71"/>
        <v/>
      </c>
      <c r="V22" s="16" t="str">
        <f t="shared" si="72"/>
        <v/>
      </c>
      <c r="W22" s="17" t="str">
        <f t="shared" si="73"/>
        <v/>
      </c>
      <c r="X22" s="18" t="str">
        <f t="shared" si="74"/>
        <v/>
      </c>
      <c r="Y22" s="18" t="str">
        <f t="shared" si="75"/>
        <v/>
      </c>
      <c r="Z22" s="109" t="str" cm="1">
        <f t="array" ref="Z22">IFERROR(_xlfn._xlws.FILTER(ST[SOH],(ST[Code]=$C22) * (ST[Customer Name]=S$3),"" ),"")</f>
        <v/>
      </c>
      <c r="AA22" s="109" t="str" cm="1">
        <f t="array" ref="AA22">IFERROR(
    _xlfn.LET(
        _xlpm.result, INDEX(_xlfn._xlws.FILTER(ST[6wk avg], (ST[Code]=$C22)*(ST[Customer Name]=S$3), ""), 1),
        IF(_xlpm.result=0, "", _xlpm.result)
    ),
"")</f>
        <v/>
      </c>
      <c r="AB22" s="102" t="str">
        <f t="shared" si="76"/>
        <v/>
      </c>
      <c r="AC22" s="70" t="str">
        <f t="shared" si="77"/>
        <v/>
      </c>
      <c r="AD22" s="83" t="str">
        <f t="shared" si="78"/>
        <v/>
      </c>
      <c r="AE22" s="77"/>
      <c r="AF22" s="108" t="str" cm="1">
        <f t="array" ref="AF22">IFERROR(_xlfn._xlws.FILTER(ST[Customer Code],(ST[Code]=$C22) * (ST[Customer Name]=AF$3),"" ),"")</f>
        <v/>
      </c>
      <c r="AG22" s="68" t="str" cm="1">
        <f t="array" ref="AG22">IFERROR(_xlfn.XLOOKUP($C22,Query[Code], _xlfn.XLOOKUP('Promo Form'!AF$3,Query[[#Headers],[Code]:[Bing Lee]],Query[[Code]:[Bing Lee]])),"")</f>
        <v/>
      </c>
      <c r="AH22" s="16" t="str">
        <f t="shared" si="79"/>
        <v/>
      </c>
      <c r="AI22" s="16" t="str">
        <f t="shared" si="80"/>
        <v/>
      </c>
      <c r="AJ22" s="17" t="str">
        <f t="shared" si="81"/>
        <v/>
      </c>
      <c r="AK22" s="18" t="str">
        <f t="shared" si="82"/>
        <v/>
      </c>
      <c r="AL22" s="18" t="str">
        <f t="shared" si="83"/>
        <v/>
      </c>
      <c r="AM22" s="109" t="str" cm="1">
        <f t="array" ref="AM22">IFERROR(_xlfn._xlws.FILTER(ST[SOH],(ST[Code]=$C22) * (ST[Customer Name]=AF$3),"" ),"")</f>
        <v/>
      </c>
      <c r="AN22" s="109" t="str" cm="1">
        <f t="array" ref="AN22">IFERROR(
    _xlfn.LET(
        _xlpm.result, INDEX(_xlfn._xlws.FILTER(ST[6wk avg], (ST[Code]=$C22)*(ST[Customer Name]=AF$3), ""), 1),
        IF(_xlpm.result=0, "", _xlpm.result)
    ),
"")</f>
        <v/>
      </c>
      <c r="AO22" s="102" t="str">
        <f t="shared" si="84"/>
        <v/>
      </c>
      <c r="AP22" s="70" t="str">
        <f t="shared" si="85"/>
        <v/>
      </c>
      <c r="AQ22" s="83" t="str">
        <f t="shared" si="86"/>
        <v/>
      </c>
      <c r="AR22" s="77"/>
      <c r="AS22" s="108" t="str" cm="1">
        <f t="array" ref="AS22">IFERROR(_xlfn._xlws.FILTER(ST[Customer Code],(ST[Code]=$C22) * (ST[Customer Name]=AS$3),"" ),"")</f>
        <v/>
      </c>
      <c r="AT22" s="68" t="str" cm="1">
        <f t="array" ref="AT22">IFERROR(_xlfn.XLOOKUP($C22,Query[Code], _xlfn.XLOOKUP('Promo Form'!AS$3,Query[[#Headers],[Code]:[Bing Lee]],Query[[Code]:[Bing Lee]])),"")</f>
        <v/>
      </c>
      <c r="AU22" s="16" t="str">
        <f t="shared" si="87"/>
        <v/>
      </c>
      <c r="AV22" s="16" t="str">
        <f t="shared" si="88"/>
        <v/>
      </c>
      <c r="AW22" s="17" t="str">
        <f t="shared" si="89"/>
        <v/>
      </c>
      <c r="AX22" s="18" t="str">
        <f t="shared" si="90"/>
        <v/>
      </c>
      <c r="AY22" s="18" t="str">
        <f t="shared" si="91"/>
        <v/>
      </c>
      <c r="AZ22" s="109" t="str" cm="1">
        <f t="array" ref="AZ22">IFERROR(_xlfn._xlws.FILTER(ST[SOH],(ST[Code]=$C22) * (ST[Customer Name]=AS$3),"" ),"")</f>
        <v/>
      </c>
      <c r="BA22" s="109" t="str" cm="1">
        <f t="array" ref="BA22">IFERROR(
    _xlfn.LET(
        _xlpm.result, INDEX(_xlfn._xlws.FILTER(ST[6wk avg], (ST[Code]=$C22)*(ST[Customer Name]=AS$3), ""), 1),
        IF(_xlpm.result=0, "", _xlpm.result)
    ),
"")</f>
        <v/>
      </c>
      <c r="BB22" s="102" t="str">
        <f t="shared" si="92"/>
        <v/>
      </c>
      <c r="BC22" s="70" t="str">
        <f t="shared" si="93"/>
        <v/>
      </c>
      <c r="BD22" s="83" t="str">
        <f t="shared" si="94"/>
        <v/>
      </c>
      <c r="BE22" s="77"/>
      <c r="BF22" s="108" t="str" cm="1">
        <f t="array" ref="BF22">IFERROR(_xlfn._xlws.FILTER(ST[Customer Code],(ST[Code]=$C22) * (ST[Customer Name]=BF$3),"" ),"")</f>
        <v/>
      </c>
      <c r="BG22" s="68" t="str" cm="1">
        <f t="array" ref="BG22">IFERROR(_xlfn.XLOOKUP($C22,Query[Code], _xlfn.XLOOKUP('Promo Form'!BF$3,Query[[#Headers],[Code]:[Bing Lee]],Query[[Code]:[Bing Lee]])),"")</f>
        <v/>
      </c>
      <c r="BH22" s="16" t="str">
        <f t="shared" si="95"/>
        <v/>
      </c>
      <c r="BI22" s="16" t="str">
        <f t="shared" si="96"/>
        <v/>
      </c>
      <c r="BJ22" s="17" t="str">
        <f t="shared" si="97"/>
        <v/>
      </c>
      <c r="BK22" s="18" t="str">
        <f t="shared" si="98"/>
        <v/>
      </c>
      <c r="BL22" s="18" t="str">
        <f t="shared" si="99"/>
        <v/>
      </c>
      <c r="BM22" s="109" t="str" cm="1">
        <f t="array" ref="BM22">IFERROR(_xlfn._xlws.FILTER(ST[SOH],(ST[Code]=$C22) * (ST[Customer Name]=BF$3),"" ),"")</f>
        <v/>
      </c>
      <c r="BN22" s="109" t="str" cm="1">
        <f t="array" ref="BN22">IFERROR(
    _xlfn.LET(
        _xlpm.result, INDEX(_xlfn._xlws.FILTER(ST[6wk avg], (ST[Code]=$C22)*(ST[Customer Name]=BF$3), ""), 1),
        IF(_xlpm.result=0, "", _xlpm.result)
    ),
"")</f>
        <v/>
      </c>
      <c r="BO22" s="102" t="str">
        <f t="shared" si="100"/>
        <v/>
      </c>
      <c r="BP22" s="70" t="str">
        <f t="shared" si="101"/>
        <v/>
      </c>
      <c r="BQ22" s="83" t="str">
        <f t="shared" si="102"/>
        <v/>
      </c>
      <c r="BR22" s="77"/>
      <c r="BS22" s="108" t="str" cm="1">
        <f t="array" ref="BS22">IFERROR(_xlfn._xlws.FILTER(ST[Customer Code],(ST[Code]=$C22) * (ST[Customer Name]=BS$3),"" ),"")</f>
        <v/>
      </c>
      <c r="BT22" s="68" t="str" cm="1">
        <f t="array" ref="BT22">IFERROR(_xlfn.XLOOKUP($C22,Query[Code], _xlfn.XLOOKUP('Promo Form'!BS$3,Query[[#Headers],[Code]:[Bing Lee]],Query[[Code]:[Bing Lee]])),"")</f>
        <v/>
      </c>
      <c r="BU22" s="16" t="str">
        <f t="shared" si="103"/>
        <v/>
      </c>
      <c r="BV22" s="16" t="str">
        <f t="shared" si="104"/>
        <v/>
      </c>
      <c r="BW22" s="17" t="str">
        <f t="shared" si="105"/>
        <v/>
      </c>
      <c r="BX22" s="18" t="str">
        <f t="shared" si="106"/>
        <v/>
      </c>
      <c r="BY22" s="18" t="str">
        <f t="shared" si="107"/>
        <v/>
      </c>
      <c r="BZ22" s="109" t="str" cm="1">
        <f t="array" ref="BZ22">IFERROR(_xlfn._xlws.FILTER(ST[SOH],(ST[Code]=$C22) * (ST[Customer Name]=BS$3),"" ),"")</f>
        <v/>
      </c>
      <c r="CA22" s="109" t="str" cm="1">
        <f t="array" ref="CA22">IFERROR(
    _xlfn.LET(
        _xlpm.result, INDEX(_xlfn._xlws.FILTER(ST[6wk avg], (ST[Code]=$C22)*(ST[Customer Name]=BS$3), ""), 1),
        IF(_xlpm.result=0, "", _xlpm.result)
    ),
"")</f>
        <v/>
      </c>
      <c r="CB22" s="102" t="str">
        <f t="shared" si="108"/>
        <v/>
      </c>
      <c r="CC22" s="70" t="str">
        <f t="shared" si="109"/>
        <v/>
      </c>
      <c r="CD22" s="83" t="str">
        <f t="shared" si="110"/>
        <v/>
      </c>
      <c r="CE22" s="77"/>
      <c r="CF22" s="108" t="str" cm="1">
        <f t="array" ref="CF22">IFERROR(_xlfn._xlws.FILTER(ST[Customer Code],(ST[Code]=$C22) * (ST[Customer Name]=CF$3),"" ),"")</f>
        <v/>
      </c>
      <c r="CG22" s="68" t="str" cm="1">
        <f t="array" ref="CG22">IFERROR(_xlfn.XLOOKUP($C22,Query[Code], _xlfn.XLOOKUP('Promo Form'!CF$3,Query[[#Headers],[Code]:[Bing Lee]],Query[[Code]:[Bing Lee]])),"")</f>
        <v/>
      </c>
      <c r="CH22" s="16" t="str">
        <f t="shared" si="111"/>
        <v/>
      </c>
      <c r="CI22" s="16" t="str">
        <f t="shared" si="112"/>
        <v/>
      </c>
      <c r="CJ22" s="17" t="str">
        <f t="shared" si="113"/>
        <v/>
      </c>
      <c r="CK22" s="18" t="str">
        <f t="shared" si="114"/>
        <v/>
      </c>
      <c r="CL22" s="18" t="str">
        <f t="shared" si="115"/>
        <v/>
      </c>
      <c r="CM22" s="109" t="str" cm="1">
        <f t="array" ref="CM22">IFERROR(_xlfn._xlws.FILTER(ST[SOH],(ST[Code]=$C22) * (ST[Customer Name]=CF$3),"" ),"")</f>
        <v/>
      </c>
      <c r="CN22" s="109" t="str" cm="1">
        <f t="array" ref="CN22">IFERROR(
    _xlfn.LET(
        _xlpm.result, INDEX(_xlfn._xlws.FILTER(ST[6wk avg], (ST[Code]=$C22)*(ST[Customer Name]=CF$3), ""), 1),
        IF(_xlpm.result=0, "", _xlpm.result)
    ),
"")</f>
        <v/>
      </c>
      <c r="CO22" s="102" t="str">
        <f t="shared" si="116"/>
        <v/>
      </c>
      <c r="CP22" s="70" t="str">
        <f t="shared" si="117"/>
        <v/>
      </c>
      <c r="CQ22" s="83" t="str">
        <f t="shared" si="118"/>
        <v/>
      </c>
      <c r="CR22" s="77"/>
      <c r="CS22" s="17" t="str">
        <f>IFERROR(_xlfn.XLOOKUP(C22,Query[Code],Query[Base (RRP Inc)]),"")</f>
        <v/>
      </c>
      <c r="CT22" s="17" t="str">
        <f t="shared" si="119"/>
        <v/>
      </c>
      <c r="CU22" s="107" t="str">
        <f t="shared" si="120"/>
        <v/>
      </c>
      <c r="CV22" s="17" t="str">
        <f t="shared" si="121"/>
        <v/>
      </c>
      <c r="CW22" s="17"/>
    </row>
    <row r="23" spans="1:101" x14ac:dyDescent="0.2">
      <c r="A23" s="106" t="str">
        <f t="shared" si="61"/>
        <v/>
      </c>
      <c r="B23" s="106" t="str">
        <f t="shared" si="62"/>
        <v/>
      </c>
      <c r="C23" s="13"/>
      <c r="D23" s="14" t="str">
        <f>IF(C23="", "",_xlfn.XLOOKUP(C23,'Master Price Level'!C:C,'Master Price Level'!D:D))</f>
        <v/>
      </c>
      <c r="E23" s="15"/>
      <c r="F23" s="108" t="str" cm="1">
        <f t="array" ref="F23">IFERROR(_xlfn._xlws.FILTER(ST[Customer Code],(ST[Code]=$C23) * (ST[Customer Name]=F$3),"" ),"")</f>
        <v/>
      </c>
      <c r="G23" s="68" t="str" cm="1">
        <f t="array" ref="G23">IFERROR(_xlfn.XLOOKUP($C23,Query[Code], _xlfn.XLOOKUP('Promo Form'!F$3,Query[[#Headers],[Code]:[Bing Lee]],Query[[Code]:[Bing Lee]])),"")</f>
        <v/>
      </c>
      <c r="H23" s="16" t="str">
        <f t="shared" si="63"/>
        <v/>
      </c>
      <c r="I23" s="16" t="str">
        <f t="shared" si="64"/>
        <v/>
      </c>
      <c r="J23" s="17" t="str">
        <f t="shared" si="65"/>
        <v/>
      </c>
      <c r="K23" s="18" t="str">
        <f t="shared" si="66"/>
        <v/>
      </c>
      <c r="L23" s="18" t="str">
        <f t="shared" si="67"/>
        <v/>
      </c>
      <c r="M23" s="109" t="str" cm="1">
        <f t="array" ref="M23">IFERROR(_xlfn._xlws.FILTER(ST[SOH],(ST[Code]=$C23) * (ST[Customer Name]=F$3),"" ),"")</f>
        <v/>
      </c>
      <c r="N23" s="109" t="str" cm="1">
        <f t="array" ref="N23">IFERROR(
    _xlfn.LET(
        _xlpm.result, INDEX(_xlfn._xlws.FILTER(ST[6wk avg], (ST[Code]=$C23)*(ST[Customer Name]=F$3), ""), 1),
        IF(_xlpm.result=0, "", _xlpm.result)
    ),
"")</f>
        <v/>
      </c>
      <c r="O23" s="102" t="str">
        <f t="shared" si="68"/>
        <v/>
      </c>
      <c r="P23" s="70" t="str">
        <f t="shared" si="69"/>
        <v/>
      </c>
      <c r="Q23" s="83" t="str">
        <f t="shared" si="70"/>
        <v/>
      </c>
      <c r="R23" s="77"/>
      <c r="S23" s="108" t="str" cm="1">
        <f t="array" ref="S23">IFERROR(_xlfn._xlws.FILTER(ST[Customer Code],(ST[Code]=$C23) * (ST[Customer Name]=S$3),"" ),"")</f>
        <v/>
      </c>
      <c r="T23" s="68" t="str" cm="1">
        <f t="array" ref="T23">IFERROR(_xlfn.XLOOKUP($C23,Query[Code], _xlfn.XLOOKUP('Promo Form'!S$3,Query[[#Headers],[Code]:[Bing Lee]],Query[[Code]:[Bing Lee]])),"")</f>
        <v/>
      </c>
      <c r="U23" s="16" t="str">
        <f t="shared" si="71"/>
        <v/>
      </c>
      <c r="V23" s="16" t="str">
        <f t="shared" si="72"/>
        <v/>
      </c>
      <c r="W23" s="17" t="str">
        <f t="shared" si="73"/>
        <v/>
      </c>
      <c r="X23" s="18" t="str">
        <f t="shared" si="74"/>
        <v/>
      </c>
      <c r="Y23" s="18" t="str">
        <f t="shared" si="75"/>
        <v/>
      </c>
      <c r="Z23" s="109" t="str" cm="1">
        <f t="array" ref="Z23">IFERROR(_xlfn._xlws.FILTER(ST[SOH],(ST[Code]=$C23) * (ST[Customer Name]=S$3),"" ),"")</f>
        <v/>
      </c>
      <c r="AA23" s="109" t="str" cm="1">
        <f t="array" ref="AA23">IFERROR(
    _xlfn.LET(
        _xlpm.result, INDEX(_xlfn._xlws.FILTER(ST[6wk avg], (ST[Code]=$C23)*(ST[Customer Name]=S$3), ""), 1),
        IF(_xlpm.result=0, "", _xlpm.result)
    ),
"")</f>
        <v/>
      </c>
      <c r="AB23" s="102" t="str">
        <f t="shared" si="76"/>
        <v/>
      </c>
      <c r="AC23" s="70" t="str">
        <f t="shared" si="77"/>
        <v/>
      </c>
      <c r="AD23" s="83" t="str">
        <f t="shared" si="78"/>
        <v/>
      </c>
      <c r="AE23" s="77"/>
      <c r="AF23" s="108" t="str" cm="1">
        <f t="array" ref="AF23">IFERROR(_xlfn._xlws.FILTER(ST[Customer Code],(ST[Code]=$C23) * (ST[Customer Name]=AF$3),"" ),"")</f>
        <v/>
      </c>
      <c r="AG23" s="68" t="str" cm="1">
        <f t="array" ref="AG23">IFERROR(_xlfn.XLOOKUP($C23,Query[Code], _xlfn.XLOOKUP('Promo Form'!AF$3,Query[[#Headers],[Code]:[Bing Lee]],Query[[Code]:[Bing Lee]])),"")</f>
        <v/>
      </c>
      <c r="AH23" s="16" t="str">
        <f t="shared" si="79"/>
        <v/>
      </c>
      <c r="AI23" s="16" t="str">
        <f t="shared" si="80"/>
        <v/>
      </c>
      <c r="AJ23" s="17" t="str">
        <f t="shared" si="81"/>
        <v/>
      </c>
      <c r="AK23" s="18" t="str">
        <f t="shared" si="82"/>
        <v/>
      </c>
      <c r="AL23" s="18" t="str">
        <f t="shared" si="83"/>
        <v/>
      </c>
      <c r="AM23" s="109" t="str" cm="1">
        <f t="array" ref="AM23">IFERROR(_xlfn._xlws.FILTER(ST[SOH],(ST[Code]=$C23) * (ST[Customer Name]=AF$3),"" ),"")</f>
        <v/>
      </c>
      <c r="AN23" s="109" t="str" cm="1">
        <f t="array" ref="AN23">IFERROR(
    _xlfn.LET(
        _xlpm.result, INDEX(_xlfn._xlws.FILTER(ST[6wk avg], (ST[Code]=$C23)*(ST[Customer Name]=AF$3), ""), 1),
        IF(_xlpm.result=0, "", _xlpm.result)
    ),
"")</f>
        <v/>
      </c>
      <c r="AO23" s="102" t="str">
        <f t="shared" si="84"/>
        <v/>
      </c>
      <c r="AP23" s="70" t="str">
        <f t="shared" si="85"/>
        <v/>
      </c>
      <c r="AQ23" s="83" t="str">
        <f t="shared" si="86"/>
        <v/>
      </c>
      <c r="AR23" s="77"/>
      <c r="AS23" s="108" t="str" cm="1">
        <f t="array" ref="AS23">IFERROR(_xlfn._xlws.FILTER(ST[Customer Code],(ST[Code]=$C23) * (ST[Customer Name]=AS$3),"" ),"")</f>
        <v/>
      </c>
      <c r="AT23" s="68" t="str" cm="1">
        <f t="array" ref="AT23">IFERROR(_xlfn.XLOOKUP($C23,Query[Code], _xlfn.XLOOKUP('Promo Form'!AS$3,Query[[#Headers],[Code]:[Bing Lee]],Query[[Code]:[Bing Lee]])),"")</f>
        <v/>
      </c>
      <c r="AU23" s="16" t="str">
        <f t="shared" si="87"/>
        <v/>
      </c>
      <c r="AV23" s="16" t="str">
        <f t="shared" si="88"/>
        <v/>
      </c>
      <c r="AW23" s="17" t="str">
        <f t="shared" si="89"/>
        <v/>
      </c>
      <c r="AX23" s="18" t="str">
        <f t="shared" si="90"/>
        <v/>
      </c>
      <c r="AY23" s="18" t="str">
        <f t="shared" si="91"/>
        <v/>
      </c>
      <c r="AZ23" s="109" t="str" cm="1">
        <f t="array" ref="AZ23">IFERROR(_xlfn._xlws.FILTER(ST[SOH],(ST[Code]=$C23) * (ST[Customer Name]=AS$3),"" ),"")</f>
        <v/>
      </c>
      <c r="BA23" s="109" t="str" cm="1">
        <f t="array" ref="BA23">IFERROR(
    _xlfn.LET(
        _xlpm.result, INDEX(_xlfn._xlws.FILTER(ST[6wk avg], (ST[Code]=$C23)*(ST[Customer Name]=AS$3), ""), 1),
        IF(_xlpm.result=0, "", _xlpm.result)
    ),
"")</f>
        <v/>
      </c>
      <c r="BB23" s="102" t="str">
        <f t="shared" si="92"/>
        <v/>
      </c>
      <c r="BC23" s="70" t="str">
        <f t="shared" si="93"/>
        <v/>
      </c>
      <c r="BD23" s="83" t="str">
        <f t="shared" si="94"/>
        <v/>
      </c>
      <c r="BE23" s="77"/>
      <c r="BF23" s="108" t="str" cm="1">
        <f t="array" ref="BF23">IFERROR(_xlfn._xlws.FILTER(ST[Customer Code],(ST[Code]=$C23) * (ST[Customer Name]=BF$3),"" ),"")</f>
        <v/>
      </c>
      <c r="BG23" s="68" t="str" cm="1">
        <f t="array" ref="BG23">IFERROR(_xlfn.XLOOKUP($C23,Query[Code], _xlfn.XLOOKUP('Promo Form'!BF$3,Query[[#Headers],[Code]:[Bing Lee]],Query[[Code]:[Bing Lee]])),"")</f>
        <v/>
      </c>
      <c r="BH23" s="16" t="str">
        <f t="shared" si="95"/>
        <v/>
      </c>
      <c r="BI23" s="16" t="str">
        <f t="shared" si="96"/>
        <v/>
      </c>
      <c r="BJ23" s="17" t="str">
        <f t="shared" si="97"/>
        <v/>
      </c>
      <c r="BK23" s="18" t="str">
        <f t="shared" si="98"/>
        <v/>
      </c>
      <c r="BL23" s="18" t="str">
        <f t="shared" si="99"/>
        <v/>
      </c>
      <c r="BM23" s="109" t="str" cm="1">
        <f t="array" ref="BM23">IFERROR(_xlfn._xlws.FILTER(ST[SOH],(ST[Code]=$C23) * (ST[Customer Name]=BF$3),"" ),"")</f>
        <v/>
      </c>
      <c r="BN23" s="109" t="str" cm="1">
        <f t="array" ref="BN23">IFERROR(
    _xlfn.LET(
        _xlpm.result, INDEX(_xlfn._xlws.FILTER(ST[6wk avg], (ST[Code]=$C23)*(ST[Customer Name]=BF$3), ""), 1),
        IF(_xlpm.result=0, "", _xlpm.result)
    ),
"")</f>
        <v/>
      </c>
      <c r="BO23" s="102" t="str">
        <f t="shared" si="100"/>
        <v/>
      </c>
      <c r="BP23" s="70" t="str">
        <f t="shared" si="101"/>
        <v/>
      </c>
      <c r="BQ23" s="83" t="str">
        <f t="shared" si="102"/>
        <v/>
      </c>
      <c r="BR23" s="77"/>
      <c r="BS23" s="108" t="str" cm="1">
        <f t="array" ref="BS23">IFERROR(_xlfn._xlws.FILTER(ST[Customer Code],(ST[Code]=$C23) * (ST[Customer Name]=BS$3),"" ),"")</f>
        <v/>
      </c>
      <c r="BT23" s="68" t="str" cm="1">
        <f t="array" ref="BT23">IFERROR(_xlfn.XLOOKUP($C23,Query[Code], _xlfn.XLOOKUP('Promo Form'!BS$3,Query[[#Headers],[Code]:[Bing Lee]],Query[[Code]:[Bing Lee]])),"")</f>
        <v/>
      </c>
      <c r="BU23" s="16" t="str">
        <f t="shared" si="103"/>
        <v/>
      </c>
      <c r="BV23" s="16" t="str">
        <f t="shared" si="104"/>
        <v/>
      </c>
      <c r="BW23" s="17" t="str">
        <f t="shared" si="105"/>
        <v/>
      </c>
      <c r="BX23" s="18" t="str">
        <f t="shared" si="106"/>
        <v/>
      </c>
      <c r="BY23" s="18" t="str">
        <f t="shared" si="107"/>
        <v/>
      </c>
      <c r="BZ23" s="109" t="str" cm="1">
        <f t="array" ref="BZ23">IFERROR(_xlfn._xlws.FILTER(ST[SOH],(ST[Code]=$C23) * (ST[Customer Name]=BS$3),"" ),"")</f>
        <v/>
      </c>
      <c r="CA23" s="109" t="str" cm="1">
        <f t="array" ref="CA23">IFERROR(
    _xlfn.LET(
        _xlpm.result, INDEX(_xlfn._xlws.FILTER(ST[6wk avg], (ST[Code]=$C23)*(ST[Customer Name]=BS$3), ""), 1),
        IF(_xlpm.result=0, "", _xlpm.result)
    ),
"")</f>
        <v/>
      </c>
      <c r="CB23" s="102" t="str">
        <f t="shared" si="108"/>
        <v/>
      </c>
      <c r="CC23" s="70" t="str">
        <f t="shared" si="109"/>
        <v/>
      </c>
      <c r="CD23" s="83" t="str">
        <f t="shared" si="110"/>
        <v/>
      </c>
      <c r="CE23" s="77"/>
      <c r="CF23" s="108" t="str" cm="1">
        <f t="array" ref="CF23">IFERROR(_xlfn._xlws.FILTER(ST[Customer Code],(ST[Code]=$C23) * (ST[Customer Name]=CF$3),"" ),"")</f>
        <v/>
      </c>
      <c r="CG23" s="68" t="str" cm="1">
        <f t="array" ref="CG23">IFERROR(_xlfn.XLOOKUP($C23,Query[Code], _xlfn.XLOOKUP('Promo Form'!CF$3,Query[[#Headers],[Code]:[Bing Lee]],Query[[Code]:[Bing Lee]])),"")</f>
        <v/>
      </c>
      <c r="CH23" s="16" t="str">
        <f t="shared" si="111"/>
        <v/>
      </c>
      <c r="CI23" s="16" t="str">
        <f t="shared" si="112"/>
        <v/>
      </c>
      <c r="CJ23" s="17" t="str">
        <f t="shared" si="113"/>
        <v/>
      </c>
      <c r="CK23" s="18" t="str">
        <f t="shared" si="114"/>
        <v/>
      </c>
      <c r="CL23" s="18" t="str">
        <f t="shared" si="115"/>
        <v/>
      </c>
      <c r="CM23" s="109" t="str" cm="1">
        <f t="array" ref="CM23">IFERROR(_xlfn._xlws.FILTER(ST[SOH],(ST[Code]=$C23) * (ST[Customer Name]=CF$3),"" ),"")</f>
        <v/>
      </c>
      <c r="CN23" s="109" t="str" cm="1">
        <f t="array" ref="CN23">IFERROR(
    _xlfn.LET(
        _xlpm.result, INDEX(_xlfn._xlws.FILTER(ST[6wk avg], (ST[Code]=$C23)*(ST[Customer Name]=CF$3), ""), 1),
        IF(_xlpm.result=0, "", _xlpm.result)
    ),
"")</f>
        <v/>
      </c>
      <c r="CO23" s="102" t="str">
        <f t="shared" si="116"/>
        <v/>
      </c>
      <c r="CP23" s="70" t="str">
        <f t="shared" si="117"/>
        <v/>
      </c>
      <c r="CQ23" s="83" t="str">
        <f t="shared" si="118"/>
        <v/>
      </c>
      <c r="CR23" s="77"/>
      <c r="CS23" s="17" t="str">
        <f>IFERROR(_xlfn.XLOOKUP(C23,Query[Code],Query[Base (RRP Inc)]),"")</f>
        <v/>
      </c>
      <c r="CT23" s="17" t="str">
        <f t="shared" si="119"/>
        <v/>
      </c>
      <c r="CU23" s="107" t="str">
        <f t="shared" si="120"/>
        <v/>
      </c>
      <c r="CV23" s="17" t="str">
        <f t="shared" si="121"/>
        <v/>
      </c>
      <c r="CW23" s="17"/>
    </row>
    <row r="24" spans="1:101" x14ac:dyDescent="0.2">
      <c r="A24" s="106" t="str">
        <f t="shared" si="61"/>
        <v/>
      </c>
      <c r="B24" s="106" t="str">
        <f t="shared" si="62"/>
        <v/>
      </c>
      <c r="C24" s="13"/>
      <c r="D24" s="14" t="str">
        <f>IF(C24="", "",_xlfn.XLOOKUP(C24,'Master Price Level'!C:C,'Master Price Level'!D:D))</f>
        <v/>
      </c>
      <c r="E24" s="15"/>
      <c r="F24" s="108" t="str" cm="1">
        <f t="array" ref="F24">IFERROR(_xlfn._xlws.FILTER(ST[Customer Code],(ST[Code]=$C24) * (ST[Customer Name]=F$3),"" ),"")</f>
        <v/>
      </c>
      <c r="G24" s="68" t="str" cm="1">
        <f t="array" ref="G24">IFERROR(_xlfn.XLOOKUP($C24,Query[Code], _xlfn.XLOOKUP('Promo Form'!F$3,Query[[#Headers],[Code]:[Bing Lee]],Query[[Code]:[Bing Lee]])),"")</f>
        <v/>
      </c>
      <c r="H24" s="16" t="str">
        <f t="shared" si="63"/>
        <v/>
      </c>
      <c r="I24" s="16" t="str">
        <f t="shared" si="64"/>
        <v/>
      </c>
      <c r="J24" s="17" t="str">
        <f t="shared" si="65"/>
        <v/>
      </c>
      <c r="K24" s="18" t="str">
        <f t="shared" si="66"/>
        <v/>
      </c>
      <c r="L24" s="18" t="str">
        <f t="shared" si="67"/>
        <v/>
      </c>
      <c r="M24" s="109" t="str" cm="1">
        <f t="array" ref="M24">IFERROR(_xlfn._xlws.FILTER(ST[SOH],(ST[Code]=$C24) * (ST[Customer Name]=F$3),"" ),"")</f>
        <v/>
      </c>
      <c r="N24" s="109" t="str" cm="1">
        <f t="array" ref="N24">IFERROR(
    _xlfn.LET(
        _xlpm.result, INDEX(_xlfn._xlws.FILTER(ST[6wk avg], (ST[Code]=$C24)*(ST[Customer Name]=F$3), ""), 1),
        IF(_xlpm.result=0, "", _xlpm.result)
    ),
"")</f>
        <v/>
      </c>
      <c r="O24" s="102" t="str">
        <f t="shared" si="68"/>
        <v/>
      </c>
      <c r="P24" s="70" t="str">
        <f t="shared" si="69"/>
        <v/>
      </c>
      <c r="Q24" s="83" t="str">
        <f t="shared" si="70"/>
        <v/>
      </c>
      <c r="R24" s="77"/>
      <c r="S24" s="108" t="str" cm="1">
        <f t="array" ref="S24">IFERROR(_xlfn._xlws.FILTER(ST[Customer Code],(ST[Code]=$C24) * (ST[Customer Name]=S$3),"" ),"")</f>
        <v/>
      </c>
      <c r="T24" s="68" t="str" cm="1">
        <f t="array" ref="T24">IFERROR(_xlfn.XLOOKUP($C24,Query[Code], _xlfn.XLOOKUP('Promo Form'!S$3,Query[[#Headers],[Code]:[Bing Lee]],Query[[Code]:[Bing Lee]])),"")</f>
        <v/>
      </c>
      <c r="U24" s="16" t="str">
        <f t="shared" si="71"/>
        <v/>
      </c>
      <c r="V24" s="16" t="str">
        <f t="shared" si="72"/>
        <v/>
      </c>
      <c r="W24" s="17" t="str">
        <f t="shared" si="73"/>
        <v/>
      </c>
      <c r="X24" s="18" t="str">
        <f t="shared" si="74"/>
        <v/>
      </c>
      <c r="Y24" s="18" t="str">
        <f t="shared" si="75"/>
        <v/>
      </c>
      <c r="Z24" s="109" t="str" cm="1">
        <f t="array" ref="Z24">IFERROR(_xlfn._xlws.FILTER(ST[SOH],(ST[Code]=$C24) * (ST[Customer Name]=S$3),"" ),"")</f>
        <v/>
      </c>
      <c r="AA24" s="109" t="str" cm="1">
        <f t="array" ref="AA24">IFERROR(
    _xlfn.LET(
        _xlpm.result, INDEX(_xlfn._xlws.FILTER(ST[6wk avg], (ST[Code]=$C24)*(ST[Customer Name]=S$3), ""), 1),
        IF(_xlpm.result=0, "", _xlpm.result)
    ),
"")</f>
        <v/>
      </c>
      <c r="AB24" s="102" t="str">
        <f t="shared" si="76"/>
        <v/>
      </c>
      <c r="AC24" s="70" t="str">
        <f t="shared" si="77"/>
        <v/>
      </c>
      <c r="AD24" s="83" t="str">
        <f t="shared" si="78"/>
        <v/>
      </c>
      <c r="AE24" s="77"/>
      <c r="AF24" s="108" t="str" cm="1">
        <f t="array" ref="AF24">IFERROR(_xlfn._xlws.FILTER(ST[Customer Code],(ST[Code]=$C24) * (ST[Customer Name]=AF$3),"" ),"")</f>
        <v/>
      </c>
      <c r="AG24" s="68" t="str" cm="1">
        <f t="array" ref="AG24">IFERROR(_xlfn.XLOOKUP($C24,Query[Code], _xlfn.XLOOKUP('Promo Form'!AF$3,Query[[#Headers],[Code]:[Bing Lee]],Query[[Code]:[Bing Lee]])),"")</f>
        <v/>
      </c>
      <c r="AH24" s="16" t="str">
        <f t="shared" si="79"/>
        <v/>
      </c>
      <c r="AI24" s="16" t="str">
        <f t="shared" si="80"/>
        <v/>
      </c>
      <c r="AJ24" s="17" t="str">
        <f t="shared" si="81"/>
        <v/>
      </c>
      <c r="AK24" s="18" t="str">
        <f t="shared" si="82"/>
        <v/>
      </c>
      <c r="AL24" s="18" t="str">
        <f t="shared" si="83"/>
        <v/>
      </c>
      <c r="AM24" s="109" t="str" cm="1">
        <f t="array" ref="AM24">IFERROR(_xlfn._xlws.FILTER(ST[SOH],(ST[Code]=$C24) * (ST[Customer Name]=AF$3),"" ),"")</f>
        <v/>
      </c>
      <c r="AN24" s="109" t="str" cm="1">
        <f t="array" ref="AN24">IFERROR(
    _xlfn.LET(
        _xlpm.result, INDEX(_xlfn._xlws.FILTER(ST[6wk avg], (ST[Code]=$C24)*(ST[Customer Name]=AF$3), ""), 1),
        IF(_xlpm.result=0, "", _xlpm.result)
    ),
"")</f>
        <v/>
      </c>
      <c r="AO24" s="102" t="str">
        <f t="shared" si="84"/>
        <v/>
      </c>
      <c r="AP24" s="70" t="str">
        <f t="shared" si="85"/>
        <v/>
      </c>
      <c r="AQ24" s="83" t="str">
        <f t="shared" si="86"/>
        <v/>
      </c>
      <c r="AR24" s="77"/>
      <c r="AS24" s="108" t="str" cm="1">
        <f t="array" ref="AS24">IFERROR(_xlfn._xlws.FILTER(ST[Customer Code],(ST[Code]=$C24) * (ST[Customer Name]=AS$3),"" ),"")</f>
        <v/>
      </c>
      <c r="AT24" s="68" t="str" cm="1">
        <f t="array" ref="AT24">IFERROR(_xlfn.XLOOKUP($C24,Query[Code], _xlfn.XLOOKUP('Promo Form'!AS$3,Query[[#Headers],[Code]:[Bing Lee]],Query[[Code]:[Bing Lee]])),"")</f>
        <v/>
      </c>
      <c r="AU24" s="16" t="str">
        <f t="shared" si="87"/>
        <v/>
      </c>
      <c r="AV24" s="16" t="str">
        <f t="shared" si="88"/>
        <v/>
      </c>
      <c r="AW24" s="17" t="str">
        <f t="shared" si="89"/>
        <v/>
      </c>
      <c r="AX24" s="18" t="str">
        <f t="shared" si="90"/>
        <v/>
      </c>
      <c r="AY24" s="18" t="str">
        <f t="shared" si="91"/>
        <v/>
      </c>
      <c r="AZ24" s="109" t="str" cm="1">
        <f t="array" ref="AZ24">IFERROR(_xlfn._xlws.FILTER(ST[SOH],(ST[Code]=$C24) * (ST[Customer Name]=AS$3),"" ),"")</f>
        <v/>
      </c>
      <c r="BA24" s="109" t="str" cm="1">
        <f t="array" ref="BA24">IFERROR(
    _xlfn.LET(
        _xlpm.result, INDEX(_xlfn._xlws.FILTER(ST[6wk avg], (ST[Code]=$C24)*(ST[Customer Name]=AS$3), ""), 1),
        IF(_xlpm.result=0, "", _xlpm.result)
    ),
"")</f>
        <v/>
      </c>
      <c r="BB24" s="102" t="str">
        <f t="shared" si="92"/>
        <v/>
      </c>
      <c r="BC24" s="70" t="str">
        <f t="shared" si="93"/>
        <v/>
      </c>
      <c r="BD24" s="83" t="str">
        <f t="shared" si="94"/>
        <v/>
      </c>
      <c r="BE24" s="77"/>
      <c r="BF24" s="108" t="str" cm="1">
        <f t="array" ref="BF24">IFERROR(_xlfn._xlws.FILTER(ST[Customer Code],(ST[Code]=$C24) * (ST[Customer Name]=BF$3),"" ),"")</f>
        <v/>
      </c>
      <c r="BG24" s="68" t="str" cm="1">
        <f t="array" ref="BG24">IFERROR(_xlfn.XLOOKUP($C24,Query[Code], _xlfn.XLOOKUP('Promo Form'!BF$3,Query[[#Headers],[Code]:[Bing Lee]],Query[[Code]:[Bing Lee]])),"")</f>
        <v/>
      </c>
      <c r="BH24" s="16" t="str">
        <f t="shared" si="95"/>
        <v/>
      </c>
      <c r="BI24" s="16" t="str">
        <f t="shared" si="96"/>
        <v/>
      </c>
      <c r="BJ24" s="17" t="str">
        <f t="shared" si="97"/>
        <v/>
      </c>
      <c r="BK24" s="18" t="str">
        <f t="shared" si="98"/>
        <v/>
      </c>
      <c r="BL24" s="18" t="str">
        <f t="shared" si="99"/>
        <v/>
      </c>
      <c r="BM24" s="109" t="str" cm="1">
        <f t="array" ref="BM24">IFERROR(_xlfn._xlws.FILTER(ST[SOH],(ST[Code]=$C24) * (ST[Customer Name]=BF$3),"" ),"")</f>
        <v/>
      </c>
      <c r="BN24" s="109" t="str" cm="1">
        <f t="array" ref="BN24">IFERROR(
    _xlfn.LET(
        _xlpm.result, INDEX(_xlfn._xlws.FILTER(ST[6wk avg], (ST[Code]=$C24)*(ST[Customer Name]=BF$3), ""), 1),
        IF(_xlpm.result=0, "", _xlpm.result)
    ),
"")</f>
        <v/>
      </c>
      <c r="BO24" s="102" t="str">
        <f t="shared" si="100"/>
        <v/>
      </c>
      <c r="BP24" s="70" t="str">
        <f t="shared" si="101"/>
        <v/>
      </c>
      <c r="BQ24" s="83" t="str">
        <f t="shared" si="102"/>
        <v/>
      </c>
      <c r="BR24" s="77"/>
      <c r="BS24" s="108" t="str" cm="1">
        <f t="array" ref="BS24">IFERROR(_xlfn._xlws.FILTER(ST[Customer Code],(ST[Code]=$C24) * (ST[Customer Name]=BS$3),"" ),"")</f>
        <v/>
      </c>
      <c r="BT24" s="68" t="str" cm="1">
        <f t="array" ref="BT24">IFERROR(_xlfn.XLOOKUP($C24,Query[Code], _xlfn.XLOOKUP('Promo Form'!BS$3,Query[[#Headers],[Code]:[Bing Lee]],Query[[Code]:[Bing Lee]])),"")</f>
        <v/>
      </c>
      <c r="BU24" s="16" t="str">
        <f t="shared" si="103"/>
        <v/>
      </c>
      <c r="BV24" s="16" t="str">
        <f t="shared" si="104"/>
        <v/>
      </c>
      <c r="BW24" s="17" t="str">
        <f t="shared" si="105"/>
        <v/>
      </c>
      <c r="BX24" s="18" t="str">
        <f t="shared" si="106"/>
        <v/>
      </c>
      <c r="BY24" s="18" t="str">
        <f t="shared" si="107"/>
        <v/>
      </c>
      <c r="BZ24" s="109" t="str" cm="1">
        <f t="array" ref="BZ24">IFERROR(_xlfn._xlws.FILTER(ST[SOH],(ST[Code]=$C24) * (ST[Customer Name]=BS$3),"" ),"")</f>
        <v/>
      </c>
      <c r="CA24" s="109" t="str" cm="1">
        <f t="array" ref="CA24">IFERROR(
    _xlfn.LET(
        _xlpm.result, INDEX(_xlfn._xlws.FILTER(ST[6wk avg], (ST[Code]=$C24)*(ST[Customer Name]=BS$3), ""), 1),
        IF(_xlpm.result=0, "", _xlpm.result)
    ),
"")</f>
        <v/>
      </c>
      <c r="CB24" s="102" t="str">
        <f t="shared" si="108"/>
        <v/>
      </c>
      <c r="CC24" s="70" t="str">
        <f t="shared" si="109"/>
        <v/>
      </c>
      <c r="CD24" s="83" t="str">
        <f t="shared" si="110"/>
        <v/>
      </c>
      <c r="CE24" s="77"/>
      <c r="CF24" s="108" t="str" cm="1">
        <f t="array" ref="CF24">IFERROR(_xlfn._xlws.FILTER(ST[Customer Code],(ST[Code]=$C24) * (ST[Customer Name]=CF$3),"" ),"")</f>
        <v/>
      </c>
      <c r="CG24" s="68" t="str" cm="1">
        <f t="array" ref="CG24">IFERROR(_xlfn.XLOOKUP($C24,Query[Code], _xlfn.XLOOKUP('Promo Form'!CF$3,Query[[#Headers],[Code]:[Bing Lee]],Query[[Code]:[Bing Lee]])),"")</f>
        <v/>
      </c>
      <c r="CH24" s="16" t="str">
        <f t="shared" si="111"/>
        <v/>
      </c>
      <c r="CI24" s="16" t="str">
        <f t="shared" si="112"/>
        <v/>
      </c>
      <c r="CJ24" s="17" t="str">
        <f t="shared" si="113"/>
        <v/>
      </c>
      <c r="CK24" s="18" t="str">
        <f t="shared" si="114"/>
        <v/>
      </c>
      <c r="CL24" s="18" t="str">
        <f t="shared" si="115"/>
        <v/>
      </c>
      <c r="CM24" s="109" t="str" cm="1">
        <f t="array" ref="CM24">IFERROR(_xlfn._xlws.FILTER(ST[SOH],(ST[Code]=$C24) * (ST[Customer Name]=CF$3),"" ),"")</f>
        <v/>
      </c>
      <c r="CN24" s="109" t="str" cm="1">
        <f t="array" ref="CN24">IFERROR(
    _xlfn.LET(
        _xlpm.result, INDEX(_xlfn._xlws.FILTER(ST[6wk avg], (ST[Code]=$C24)*(ST[Customer Name]=CF$3), ""), 1),
        IF(_xlpm.result=0, "", _xlpm.result)
    ),
"")</f>
        <v/>
      </c>
      <c r="CO24" s="102" t="str">
        <f t="shared" si="116"/>
        <v/>
      </c>
      <c r="CP24" s="70" t="str">
        <f t="shared" si="117"/>
        <v/>
      </c>
      <c r="CQ24" s="83" t="str">
        <f t="shared" si="118"/>
        <v/>
      </c>
      <c r="CR24" s="77"/>
      <c r="CS24" s="17" t="str">
        <f>IFERROR(_xlfn.XLOOKUP(C24,Query[Code],Query[Base (RRP Inc)]),"")</f>
        <v/>
      </c>
      <c r="CT24" s="17" t="str">
        <f t="shared" si="119"/>
        <v/>
      </c>
      <c r="CU24" s="107" t="str">
        <f t="shared" si="120"/>
        <v/>
      </c>
      <c r="CV24" s="17" t="str">
        <f t="shared" si="121"/>
        <v/>
      </c>
      <c r="CW24" s="17"/>
    </row>
    <row r="25" spans="1:101" x14ac:dyDescent="0.2">
      <c r="A25" s="106" t="str">
        <f t="shared" si="61"/>
        <v/>
      </c>
      <c r="B25" s="106" t="str">
        <f t="shared" si="62"/>
        <v/>
      </c>
      <c r="C25" s="13"/>
      <c r="D25" s="14" t="str">
        <f>IF(C25="", "",_xlfn.XLOOKUP(C25,'Master Price Level'!C:C,'Master Price Level'!D:D))</f>
        <v/>
      </c>
      <c r="E25" s="15"/>
      <c r="F25" s="108" t="str" cm="1">
        <f t="array" ref="F25">IFERROR(_xlfn._xlws.FILTER(ST[Customer Code],(ST[Code]=$C25) * (ST[Customer Name]=F$3),"" ),"")</f>
        <v/>
      </c>
      <c r="G25" s="68" t="str" cm="1">
        <f t="array" ref="G25">IFERROR(_xlfn.XLOOKUP($C25,Query[Code], _xlfn.XLOOKUP('Promo Form'!F$3,Query[[#Headers],[Code]:[Bing Lee]],Query[[Code]:[Bing Lee]])),"")</f>
        <v/>
      </c>
      <c r="H25" s="16" t="str">
        <f t="shared" si="63"/>
        <v/>
      </c>
      <c r="I25" s="16" t="str">
        <f t="shared" si="64"/>
        <v/>
      </c>
      <c r="J25" s="17" t="str">
        <f t="shared" si="65"/>
        <v/>
      </c>
      <c r="K25" s="18" t="str">
        <f t="shared" si="66"/>
        <v/>
      </c>
      <c r="L25" s="18" t="str">
        <f t="shared" si="67"/>
        <v/>
      </c>
      <c r="M25" s="109" t="str" cm="1">
        <f t="array" ref="M25">IFERROR(_xlfn._xlws.FILTER(ST[SOH],(ST[Code]=$C25) * (ST[Customer Name]=F$3),"" ),"")</f>
        <v/>
      </c>
      <c r="N25" s="109" t="str" cm="1">
        <f t="array" ref="N25">IFERROR(
    _xlfn.LET(
        _xlpm.result, INDEX(_xlfn._xlws.FILTER(ST[6wk avg], (ST[Code]=$C25)*(ST[Customer Name]=F$3), ""), 1),
        IF(_xlpm.result=0, "", _xlpm.result)
    ),
"")</f>
        <v/>
      </c>
      <c r="O25" s="102" t="str">
        <f t="shared" si="68"/>
        <v/>
      </c>
      <c r="P25" s="70" t="str">
        <f t="shared" si="69"/>
        <v/>
      </c>
      <c r="Q25" s="83" t="str">
        <f t="shared" si="70"/>
        <v/>
      </c>
      <c r="R25" s="77"/>
      <c r="S25" s="108" t="str" cm="1">
        <f t="array" ref="S25">IFERROR(_xlfn._xlws.FILTER(ST[Customer Code],(ST[Code]=$C25) * (ST[Customer Name]=S$3),"" ),"")</f>
        <v/>
      </c>
      <c r="T25" s="68" t="str" cm="1">
        <f t="array" ref="T25">IFERROR(_xlfn.XLOOKUP($C25,Query[Code], _xlfn.XLOOKUP('Promo Form'!S$3,Query[[#Headers],[Code]:[Bing Lee]],Query[[Code]:[Bing Lee]])),"")</f>
        <v/>
      </c>
      <c r="U25" s="16" t="str">
        <f t="shared" si="71"/>
        <v/>
      </c>
      <c r="V25" s="16" t="str">
        <f t="shared" si="72"/>
        <v/>
      </c>
      <c r="W25" s="17" t="str">
        <f t="shared" si="73"/>
        <v/>
      </c>
      <c r="X25" s="18" t="str">
        <f t="shared" si="74"/>
        <v/>
      </c>
      <c r="Y25" s="18" t="str">
        <f t="shared" si="75"/>
        <v/>
      </c>
      <c r="Z25" s="109" t="str" cm="1">
        <f t="array" ref="Z25">IFERROR(_xlfn._xlws.FILTER(ST[SOH],(ST[Code]=$C25) * (ST[Customer Name]=S$3),"" ),"")</f>
        <v/>
      </c>
      <c r="AA25" s="109" t="str" cm="1">
        <f t="array" ref="AA25">IFERROR(
    _xlfn.LET(
        _xlpm.result, INDEX(_xlfn._xlws.FILTER(ST[6wk avg], (ST[Code]=$C25)*(ST[Customer Name]=S$3), ""), 1),
        IF(_xlpm.result=0, "", _xlpm.result)
    ),
"")</f>
        <v/>
      </c>
      <c r="AB25" s="102" t="str">
        <f t="shared" si="76"/>
        <v/>
      </c>
      <c r="AC25" s="70" t="str">
        <f t="shared" si="77"/>
        <v/>
      </c>
      <c r="AD25" s="83" t="str">
        <f t="shared" si="78"/>
        <v/>
      </c>
      <c r="AE25" s="77"/>
      <c r="AF25" s="108" t="str" cm="1">
        <f t="array" ref="AF25">IFERROR(_xlfn._xlws.FILTER(ST[Customer Code],(ST[Code]=$C25) * (ST[Customer Name]=AF$3),"" ),"")</f>
        <v/>
      </c>
      <c r="AG25" s="68" t="str" cm="1">
        <f t="array" ref="AG25">IFERROR(_xlfn.XLOOKUP($C25,Query[Code], _xlfn.XLOOKUP('Promo Form'!AF$3,Query[[#Headers],[Code]:[Bing Lee]],Query[[Code]:[Bing Lee]])),"")</f>
        <v/>
      </c>
      <c r="AH25" s="16" t="str">
        <f t="shared" si="79"/>
        <v/>
      </c>
      <c r="AI25" s="16" t="str">
        <f t="shared" si="80"/>
        <v/>
      </c>
      <c r="AJ25" s="17" t="str">
        <f t="shared" si="81"/>
        <v/>
      </c>
      <c r="AK25" s="18" t="str">
        <f t="shared" si="82"/>
        <v/>
      </c>
      <c r="AL25" s="18" t="str">
        <f t="shared" si="83"/>
        <v/>
      </c>
      <c r="AM25" s="109" t="str" cm="1">
        <f t="array" ref="AM25">IFERROR(_xlfn._xlws.FILTER(ST[SOH],(ST[Code]=$C25) * (ST[Customer Name]=AF$3),"" ),"")</f>
        <v/>
      </c>
      <c r="AN25" s="109" t="str" cm="1">
        <f t="array" ref="AN25">IFERROR(
    _xlfn.LET(
        _xlpm.result, INDEX(_xlfn._xlws.FILTER(ST[6wk avg], (ST[Code]=$C25)*(ST[Customer Name]=AF$3), ""), 1),
        IF(_xlpm.result=0, "", _xlpm.result)
    ),
"")</f>
        <v/>
      </c>
      <c r="AO25" s="102" t="str">
        <f t="shared" si="84"/>
        <v/>
      </c>
      <c r="AP25" s="70" t="str">
        <f t="shared" si="85"/>
        <v/>
      </c>
      <c r="AQ25" s="83" t="str">
        <f t="shared" si="86"/>
        <v/>
      </c>
      <c r="AR25" s="77"/>
      <c r="AS25" s="108" t="str" cm="1">
        <f t="array" ref="AS25">IFERROR(_xlfn._xlws.FILTER(ST[Customer Code],(ST[Code]=$C25) * (ST[Customer Name]=AS$3),"" ),"")</f>
        <v/>
      </c>
      <c r="AT25" s="68" t="str" cm="1">
        <f t="array" ref="AT25">IFERROR(_xlfn.XLOOKUP($C25,Query[Code], _xlfn.XLOOKUP('Promo Form'!AS$3,Query[[#Headers],[Code]:[Bing Lee]],Query[[Code]:[Bing Lee]])),"")</f>
        <v/>
      </c>
      <c r="AU25" s="16" t="str">
        <f t="shared" si="87"/>
        <v/>
      </c>
      <c r="AV25" s="16" t="str">
        <f t="shared" si="88"/>
        <v/>
      </c>
      <c r="AW25" s="17" t="str">
        <f t="shared" si="89"/>
        <v/>
      </c>
      <c r="AX25" s="18" t="str">
        <f t="shared" si="90"/>
        <v/>
      </c>
      <c r="AY25" s="18" t="str">
        <f t="shared" si="91"/>
        <v/>
      </c>
      <c r="AZ25" s="109" t="str" cm="1">
        <f t="array" ref="AZ25">IFERROR(_xlfn._xlws.FILTER(ST[SOH],(ST[Code]=$C25) * (ST[Customer Name]=AS$3),"" ),"")</f>
        <v/>
      </c>
      <c r="BA25" s="109" t="str" cm="1">
        <f t="array" ref="BA25">IFERROR(
    _xlfn.LET(
        _xlpm.result, INDEX(_xlfn._xlws.FILTER(ST[6wk avg], (ST[Code]=$C25)*(ST[Customer Name]=AS$3), ""), 1),
        IF(_xlpm.result=0, "", _xlpm.result)
    ),
"")</f>
        <v/>
      </c>
      <c r="BB25" s="102" t="str">
        <f t="shared" si="92"/>
        <v/>
      </c>
      <c r="BC25" s="70" t="str">
        <f t="shared" si="93"/>
        <v/>
      </c>
      <c r="BD25" s="83" t="str">
        <f t="shared" si="94"/>
        <v/>
      </c>
      <c r="BE25" s="77"/>
      <c r="BF25" s="108" t="str" cm="1">
        <f t="array" ref="BF25">IFERROR(_xlfn._xlws.FILTER(ST[Customer Code],(ST[Code]=$C25) * (ST[Customer Name]=BF$3),"" ),"")</f>
        <v/>
      </c>
      <c r="BG25" s="68" t="str" cm="1">
        <f t="array" ref="BG25">IFERROR(_xlfn.XLOOKUP($C25,Query[Code], _xlfn.XLOOKUP('Promo Form'!BF$3,Query[[#Headers],[Code]:[Bing Lee]],Query[[Code]:[Bing Lee]])),"")</f>
        <v/>
      </c>
      <c r="BH25" s="16" t="str">
        <f t="shared" si="95"/>
        <v/>
      </c>
      <c r="BI25" s="16" t="str">
        <f t="shared" si="96"/>
        <v/>
      </c>
      <c r="BJ25" s="17" t="str">
        <f t="shared" si="97"/>
        <v/>
      </c>
      <c r="BK25" s="18" t="str">
        <f t="shared" si="98"/>
        <v/>
      </c>
      <c r="BL25" s="18" t="str">
        <f t="shared" si="99"/>
        <v/>
      </c>
      <c r="BM25" s="109" t="str" cm="1">
        <f t="array" ref="BM25">IFERROR(_xlfn._xlws.FILTER(ST[SOH],(ST[Code]=$C25) * (ST[Customer Name]=BF$3),"" ),"")</f>
        <v/>
      </c>
      <c r="BN25" s="109" t="str" cm="1">
        <f t="array" ref="BN25">IFERROR(
    _xlfn.LET(
        _xlpm.result, INDEX(_xlfn._xlws.FILTER(ST[6wk avg], (ST[Code]=$C25)*(ST[Customer Name]=BF$3), ""), 1),
        IF(_xlpm.result=0, "", _xlpm.result)
    ),
"")</f>
        <v/>
      </c>
      <c r="BO25" s="102" t="str">
        <f t="shared" si="100"/>
        <v/>
      </c>
      <c r="BP25" s="70" t="str">
        <f t="shared" si="101"/>
        <v/>
      </c>
      <c r="BQ25" s="83" t="str">
        <f t="shared" si="102"/>
        <v/>
      </c>
      <c r="BR25" s="77"/>
      <c r="BS25" s="108" t="str" cm="1">
        <f t="array" ref="BS25">IFERROR(_xlfn._xlws.FILTER(ST[Customer Code],(ST[Code]=$C25) * (ST[Customer Name]=BS$3),"" ),"")</f>
        <v/>
      </c>
      <c r="BT25" s="68" t="str" cm="1">
        <f t="array" ref="BT25">IFERROR(_xlfn.XLOOKUP($C25,Query[Code], _xlfn.XLOOKUP('Promo Form'!BS$3,Query[[#Headers],[Code]:[Bing Lee]],Query[[Code]:[Bing Lee]])),"")</f>
        <v/>
      </c>
      <c r="BU25" s="16" t="str">
        <f t="shared" si="103"/>
        <v/>
      </c>
      <c r="BV25" s="16" t="str">
        <f t="shared" si="104"/>
        <v/>
      </c>
      <c r="BW25" s="17" t="str">
        <f t="shared" si="105"/>
        <v/>
      </c>
      <c r="BX25" s="18" t="str">
        <f t="shared" si="106"/>
        <v/>
      </c>
      <c r="BY25" s="18" t="str">
        <f t="shared" si="107"/>
        <v/>
      </c>
      <c r="BZ25" s="109" t="str" cm="1">
        <f t="array" ref="BZ25">IFERROR(_xlfn._xlws.FILTER(ST[SOH],(ST[Code]=$C25) * (ST[Customer Name]=BS$3),"" ),"")</f>
        <v/>
      </c>
      <c r="CA25" s="109" t="str" cm="1">
        <f t="array" ref="CA25">IFERROR(
    _xlfn.LET(
        _xlpm.result, INDEX(_xlfn._xlws.FILTER(ST[6wk avg], (ST[Code]=$C25)*(ST[Customer Name]=BS$3), ""), 1),
        IF(_xlpm.result=0, "", _xlpm.result)
    ),
"")</f>
        <v/>
      </c>
      <c r="CB25" s="102" t="str">
        <f t="shared" si="108"/>
        <v/>
      </c>
      <c r="CC25" s="70" t="str">
        <f t="shared" si="109"/>
        <v/>
      </c>
      <c r="CD25" s="83" t="str">
        <f t="shared" si="110"/>
        <v/>
      </c>
      <c r="CE25" s="77"/>
      <c r="CF25" s="108" t="str" cm="1">
        <f t="array" ref="CF25">IFERROR(_xlfn._xlws.FILTER(ST[Customer Code],(ST[Code]=$C25) * (ST[Customer Name]=CF$3),"" ),"")</f>
        <v/>
      </c>
      <c r="CG25" s="68" t="str" cm="1">
        <f t="array" ref="CG25">IFERROR(_xlfn.XLOOKUP($C25,Query[Code], _xlfn.XLOOKUP('Promo Form'!CF$3,Query[[#Headers],[Code]:[Bing Lee]],Query[[Code]:[Bing Lee]])),"")</f>
        <v/>
      </c>
      <c r="CH25" s="16" t="str">
        <f t="shared" si="111"/>
        <v/>
      </c>
      <c r="CI25" s="16" t="str">
        <f t="shared" si="112"/>
        <v/>
      </c>
      <c r="CJ25" s="17" t="str">
        <f t="shared" si="113"/>
        <v/>
      </c>
      <c r="CK25" s="18" t="str">
        <f t="shared" si="114"/>
        <v/>
      </c>
      <c r="CL25" s="18" t="str">
        <f t="shared" si="115"/>
        <v/>
      </c>
      <c r="CM25" s="109" t="str" cm="1">
        <f t="array" ref="CM25">IFERROR(_xlfn._xlws.FILTER(ST[SOH],(ST[Code]=$C25) * (ST[Customer Name]=CF$3),"" ),"")</f>
        <v/>
      </c>
      <c r="CN25" s="109" t="str" cm="1">
        <f t="array" ref="CN25">IFERROR(
    _xlfn.LET(
        _xlpm.result, INDEX(_xlfn._xlws.FILTER(ST[6wk avg], (ST[Code]=$C25)*(ST[Customer Name]=CF$3), ""), 1),
        IF(_xlpm.result=0, "", _xlpm.result)
    ),
"")</f>
        <v/>
      </c>
      <c r="CO25" s="102" t="str">
        <f t="shared" si="116"/>
        <v/>
      </c>
      <c r="CP25" s="70" t="str">
        <f t="shared" si="117"/>
        <v/>
      </c>
      <c r="CQ25" s="83" t="str">
        <f t="shared" si="118"/>
        <v/>
      </c>
      <c r="CR25" s="77"/>
      <c r="CS25" s="17" t="str">
        <f>IFERROR(_xlfn.XLOOKUP(C25,Query[Code],Query[Base (RRP Inc)]),"")</f>
        <v/>
      </c>
      <c r="CT25" s="17" t="str">
        <f t="shared" si="119"/>
        <v/>
      </c>
      <c r="CU25" s="107" t="str">
        <f t="shared" si="120"/>
        <v/>
      </c>
      <c r="CV25" s="17" t="str">
        <f t="shared" si="121"/>
        <v/>
      </c>
      <c r="CW25" s="17"/>
    </row>
    <row r="26" spans="1:101" x14ac:dyDescent="0.2">
      <c r="A26" s="106" t="str">
        <f t="shared" si="61"/>
        <v/>
      </c>
      <c r="B26" s="106" t="str">
        <f t="shared" si="62"/>
        <v/>
      </c>
      <c r="C26" s="13"/>
      <c r="D26" s="14" t="str">
        <f>IF(C26="", "",_xlfn.XLOOKUP(C26,'Master Price Level'!C:C,'Master Price Level'!D:D))</f>
        <v/>
      </c>
      <c r="E26" s="15"/>
      <c r="F26" s="108" t="str" cm="1">
        <f t="array" ref="F26">IFERROR(_xlfn._xlws.FILTER(ST[Customer Code],(ST[Code]=$C26) * (ST[Customer Name]=F$3),"" ),"")</f>
        <v/>
      </c>
      <c r="G26" s="68" t="str" cm="1">
        <f t="array" ref="G26">IFERROR(_xlfn.XLOOKUP($C26,Query[Code], _xlfn.XLOOKUP('Promo Form'!F$3,Query[[#Headers],[Code]:[Bing Lee]],Query[[Code]:[Bing Lee]])),"")</f>
        <v/>
      </c>
      <c r="H26" s="16" t="str">
        <f t="shared" si="63"/>
        <v/>
      </c>
      <c r="I26" s="16" t="str">
        <f t="shared" si="64"/>
        <v/>
      </c>
      <c r="J26" s="17" t="str">
        <f t="shared" si="65"/>
        <v/>
      </c>
      <c r="K26" s="18" t="str">
        <f t="shared" si="66"/>
        <v/>
      </c>
      <c r="L26" s="18" t="str">
        <f t="shared" si="67"/>
        <v/>
      </c>
      <c r="M26" s="109" t="str" cm="1">
        <f t="array" ref="M26">IFERROR(_xlfn._xlws.FILTER(ST[SOH],(ST[Code]=$C26) * (ST[Customer Name]=F$3),"" ),"")</f>
        <v/>
      </c>
      <c r="N26" s="109" t="str" cm="1">
        <f t="array" ref="N26">IFERROR(
    _xlfn.LET(
        _xlpm.result, INDEX(_xlfn._xlws.FILTER(ST[6wk avg], (ST[Code]=$C26)*(ST[Customer Name]=F$3), ""), 1),
        IF(_xlpm.result=0, "", _xlpm.result)
    ),
"")</f>
        <v/>
      </c>
      <c r="O26" s="102" t="str">
        <f t="shared" si="68"/>
        <v/>
      </c>
      <c r="P26" s="70" t="str">
        <f t="shared" si="69"/>
        <v/>
      </c>
      <c r="Q26" s="83" t="str">
        <f t="shared" si="70"/>
        <v/>
      </c>
      <c r="R26" s="77"/>
      <c r="S26" s="108" t="str" cm="1">
        <f t="array" ref="S26">IFERROR(_xlfn._xlws.FILTER(ST[Customer Code],(ST[Code]=$C26) * (ST[Customer Name]=S$3),"" ),"")</f>
        <v/>
      </c>
      <c r="T26" s="68" t="str" cm="1">
        <f t="array" ref="T26">IFERROR(_xlfn.XLOOKUP($C26,Query[Code], _xlfn.XLOOKUP('Promo Form'!S$3,Query[[#Headers],[Code]:[Bing Lee]],Query[[Code]:[Bing Lee]])),"")</f>
        <v/>
      </c>
      <c r="U26" s="16" t="str">
        <f t="shared" si="71"/>
        <v/>
      </c>
      <c r="V26" s="16" t="str">
        <f t="shared" si="72"/>
        <v/>
      </c>
      <c r="W26" s="17" t="str">
        <f t="shared" si="73"/>
        <v/>
      </c>
      <c r="X26" s="18" t="str">
        <f t="shared" si="74"/>
        <v/>
      </c>
      <c r="Y26" s="18" t="str">
        <f t="shared" si="75"/>
        <v/>
      </c>
      <c r="Z26" s="109" t="str" cm="1">
        <f t="array" ref="Z26">IFERROR(_xlfn._xlws.FILTER(ST[SOH],(ST[Code]=$C26) * (ST[Customer Name]=S$3),"" ),"")</f>
        <v/>
      </c>
      <c r="AA26" s="109" t="str" cm="1">
        <f t="array" ref="AA26">IFERROR(
    _xlfn.LET(
        _xlpm.result, INDEX(_xlfn._xlws.FILTER(ST[6wk avg], (ST[Code]=$C26)*(ST[Customer Name]=S$3), ""), 1),
        IF(_xlpm.result=0, "", _xlpm.result)
    ),
"")</f>
        <v/>
      </c>
      <c r="AB26" s="102" t="str">
        <f t="shared" si="76"/>
        <v/>
      </c>
      <c r="AC26" s="70" t="str">
        <f t="shared" si="77"/>
        <v/>
      </c>
      <c r="AD26" s="83" t="str">
        <f t="shared" si="78"/>
        <v/>
      </c>
      <c r="AE26" s="77"/>
      <c r="AF26" s="108" t="str" cm="1">
        <f t="array" ref="AF26">IFERROR(_xlfn._xlws.FILTER(ST[Customer Code],(ST[Code]=$C26) * (ST[Customer Name]=AF$3),"" ),"")</f>
        <v/>
      </c>
      <c r="AG26" s="68" t="str" cm="1">
        <f t="array" ref="AG26">IFERROR(_xlfn.XLOOKUP($C26,Query[Code], _xlfn.XLOOKUP('Promo Form'!AF$3,Query[[#Headers],[Code]:[Bing Lee]],Query[[Code]:[Bing Lee]])),"")</f>
        <v/>
      </c>
      <c r="AH26" s="16" t="str">
        <f t="shared" si="79"/>
        <v/>
      </c>
      <c r="AI26" s="16" t="str">
        <f t="shared" si="80"/>
        <v/>
      </c>
      <c r="AJ26" s="17" t="str">
        <f t="shared" si="81"/>
        <v/>
      </c>
      <c r="AK26" s="18" t="str">
        <f t="shared" si="82"/>
        <v/>
      </c>
      <c r="AL26" s="18" t="str">
        <f t="shared" si="83"/>
        <v/>
      </c>
      <c r="AM26" s="109" t="str" cm="1">
        <f t="array" ref="AM26">IFERROR(_xlfn._xlws.FILTER(ST[SOH],(ST[Code]=$C26) * (ST[Customer Name]=AF$3),"" ),"")</f>
        <v/>
      </c>
      <c r="AN26" s="109" t="str" cm="1">
        <f t="array" ref="AN26">IFERROR(
    _xlfn.LET(
        _xlpm.result, INDEX(_xlfn._xlws.FILTER(ST[6wk avg], (ST[Code]=$C26)*(ST[Customer Name]=AF$3), ""), 1),
        IF(_xlpm.result=0, "", _xlpm.result)
    ),
"")</f>
        <v/>
      </c>
      <c r="AO26" s="102" t="str">
        <f t="shared" si="84"/>
        <v/>
      </c>
      <c r="AP26" s="70" t="str">
        <f t="shared" si="85"/>
        <v/>
      </c>
      <c r="AQ26" s="83" t="str">
        <f t="shared" si="86"/>
        <v/>
      </c>
      <c r="AR26" s="77"/>
      <c r="AS26" s="108" t="str" cm="1">
        <f t="array" ref="AS26">IFERROR(_xlfn._xlws.FILTER(ST[Customer Code],(ST[Code]=$C26) * (ST[Customer Name]=AS$3),"" ),"")</f>
        <v/>
      </c>
      <c r="AT26" s="68" t="str" cm="1">
        <f t="array" ref="AT26">IFERROR(_xlfn.XLOOKUP($C26,Query[Code], _xlfn.XLOOKUP('Promo Form'!AS$3,Query[[#Headers],[Code]:[Bing Lee]],Query[[Code]:[Bing Lee]])),"")</f>
        <v/>
      </c>
      <c r="AU26" s="16" t="str">
        <f t="shared" si="87"/>
        <v/>
      </c>
      <c r="AV26" s="16" t="str">
        <f t="shared" si="88"/>
        <v/>
      </c>
      <c r="AW26" s="17" t="str">
        <f t="shared" si="89"/>
        <v/>
      </c>
      <c r="AX26" s="18" t="str">
        <f t="shared" si="90"/>
        <v/>
      </c>
      <c r="AY26" s="18" t="str">
        <f t="shared" si="91"/>
        <v/>
      </c>
      <c r="AZ26" s="109" t="str" cm="1">
        <f t="array" ref="AZ26">IFERROR(_xlfn._xlws.FILTER(ST[SOH],(ST[Code]=$C26) * (ST[Customer Name]=AS$3),"" ),"")</f>
        <v/>
      </c>
      <c r="BA26" s="109" t="str" cm="1">
        <f t="array" ref="BA26">IFERROR(
    _xlfn.LET(
        _xlpm.result, INDEX(_xlfn._xlws.FILTER(ST[6wk avg], (ST[Code]=$C26)*(ST[Customer Name]=AS$3), ""), 1),
        IF(_xlpm.result=0, "", _xlpm.result)
    ),
"")</f>
        <v/>
      </c>
      <c r="BB26" s="102" t="str">
        <f t="shared" si="92"/>
        <v/>
      </c>
      <c r="BC26" s="70" t="str">
        <f t="shared" si="93"/>
        <v/>
      </c>
      <c r="BD26" s="83" t="str">
        <f t="shared" si="94"/>
        <v/>
      </c>
      <c r="BE26" s="77"/>
      <c r="BF26" s="108" t="str" cm="1">
        <f t="array" ref="BF26">IFERROR(_xlfn._xlws.FILTER(ST[Customer Code],(ST[Code]=$C26) * (ST[Customer Name]=BF$3),"" ),"")</f>
        <v/>
      </c>
      <c r="BG26" s="68" t="str" cm="1">
        <f t="array" ref="BG26">IFERROR(_xlfn.XLOOKUP($C26,Query[Code], _xlfn.XLOOKUP('Promo Form'!BF$3,Query[[#Headers],[Code]:[Bing Lee]],Query[[Code]:[Bing Lee]])),"")</f>
        <v/>
      </c>
      <c r="BH26" s="16" t="str">
        <f t="shared" si="95"/>
        <v/>
      </c>
      <c r="BI26" s="16" t="str">
        <f t="shared" si="96"/>
        <v/>
      </c>
      <c r="BJ26" s="17" t="str">
        <f t="shared" si="97"/>
        <v/>
      </c>
      <c r="BK26" s="18" t="str">
        <f t="shared" si="98"/>
        <v/>
      </c>
      <c r="BL26" s="18" t="str">
        <f t="shared" si="99"/>
        <v/>
      </c>
      <c r="BM26" s="109" t="str" cm="1">
        <f t="array" ref="BM26">IFERROR(_xlfn._xlws.FILTER(ST[SOH],(ST[Code]=$C26) * (ST[Customer Name]=BF$3),"" ),"")</f>
        <v/>
      </c>
      <c r="BN26" s="109" t="str" cm="1">
        <f t="array" ref="BN26">IFERROR(
    _xlfn.LET(
        _xlpm.result, INDEX(_xlfn._xlws.FILTER(ST[6wk avg], (ST[Code]=$C26)*(ST[Customer Name]=BF$3), ""), 1),
        IF(_xlpm.result=0, "", _xlpm.result)
    ),
"")</f>
        <v/>
      </c>
      <c r="BO26" s="102" t="str">
        <f t="shared" si="100"/>
        <v/>
      </c>
      <c r="BP26" s="70" t="str">
        <f t="shared" si="101"/>
        <v/>
      </c>
      <c r="BQ26" s="83" t="str">
        <f t="shared" si="102"/>
        <v/>
      </c>
      <c r="BR26" s="77"/>
      <c r="BS26" s="108" t="str" cm="1">
        <f t="array" ref="BS26">IFERROR(_xlfn._xlws.FILTER(ST[Customer Code],(ST[Code]=$C26) * (ST[Customer Name]=BS$3),"" ),"")</f>
        <v/>
      </c>
      <c r="BT26" s="68" t="str" cm="1">
        <f t="array" ref="BT26">IFERROR(_xlfn.XLOOKUP($C26,Query[Code], _xlfn.XLOOKUP('Promo Form'!BS$3,Query[[#Headers],[Code]:[Bing Lee]],Query[[Code]:[Bing Lee]])),"")</f>
        <v/>
      </c>
      <c r="BU26" s="16" t="str">
        <f t="shared" si="103"/>
        <v/>
      </c>
      <c r="BV26" s="16" t="str">
        <f t="shared" si="104"/>
        <v/>
      </c>
      <c r="BW26" s="17" t="str">
        <f t="shared" si="105"/>
        <v/>
      </c>
      <c r="BX26" s="18" t="str">
        <f t="shared" si="106"/>
        <v/>
      </c>
      <c r="BY26" s="18" t="str">
        <f t="shared" si="107"/>
        <v/>
      </c>
      <c r="BZ26" s="109" t="str" cm="1">
        <f t="array" ref="BZ26">IFERROR(_xlfn._xlws.FILTER(ST[SOH],(ST[Code]=$C26) * (ST[Customer Name]=BS$3),"" ),"")</f>
        <v/>
      </c>
      <c r="CA26" s="109" t="str" cm="1">
        <f t="array" ref="CA26">IFERROR(
    _xlfn.LET(
        _xlpm.result, INDEX(_xlfn._xlws.FILTER(ST[6wk avg], (ST[Code]=$C26)*(ST[Customer Name]=BS$3), ""), 1),
        IF(_xlpm.result=0, "", _xlpm.result)
    ),
"")</f>
        <v/>
      </c>
      <c r="CB26" s="102" t="str">
        <f t="shared" si="108"/>
        <v/>
      </c>
      <c r="CC26" s="70" t="str">
        <f t="shared" si="109"/>
        <v/>
      </c>
      <c r="CD26" s="83" t="str">
        <f t="shared" si="110"/>
        <v/>
      </c>
      <c r="CE26" s="77"/>
      <c r="CF26" s="108" t="str" cm="1">
        <f t="array" ref="CF26">IFERROR(_xlfn._xlws.FILTER(ST[Customer Code],(ST[Code]=$C26) * (ST[Customer Name]=CF$3),"" ),"")</f>
        <v/>
      </c>
      <c r="CG26" s="68" t="str" cm="1">
        <f t="array" ref="CG26">IFERROR(_xlfn.XLOOKUP($C26,Query[Code], _xlfn.XLOOKUP('Promo Form'!CF$3,Query[[#Headers],[Code]:[Bing Lee]],Query[[Code]:[Bing Lee]])),"")</f>
        <v/>
      </c>
      <c r="CH26" s="16" t="str">
        <f t="shared" si="111"/>
        <v/>
      </c>
      <c r="CI26" s="16" t="str">
        <f t="shared" si="112"/>
        <v/>
      </c>
      <c r="CJ26" s="17" t="str">
        <f t="shared" si="113"/>
        <v/>
      </c>
      <c r="CK26" s="18" t="str">
        <f t="shared" si="114"/>
        <v/>
      </c>
      <c r="CL26" s="18" t="str">
        <f t="shared" si="115"/>
        <v/>
      </c>
      <c r="CM26" s="109" t="str" cm="1">
        <f t="array" ref="CM26">IFERROR(_xlfn._xlws.FILTER(ST[SOH],(ST[Code]=$C26) * (ST[Customer Name]=CF$3),"" ),"")</f>
        <v/>
      </c>
      <c r="CN26" s="109" t="str" cm="1">
        <f t="array" ref="CN26">IFERROR(
    _xlfn.LET(
        _xlpm.result, INDEX(_xlfn._xlws.FILTER(ST[6wk avg], (ST[Code]=$C26)*(ST[Customer Name]=CF$3), ""), 1),
        IF(_xlpm.result=0, "", _xlpm.result)
    ),
"")</f>
        <v/>
      </c>
      <c r="CO26" s="102" t="str">
        <f t="shared" si="116"/>
        <v/>
      </c>
      <c r="CP26" s="70" t="str">
        <f t="shared" si="117"/>
        <v/>
      </c>
      <c r="CQ26" s="83" t="str">
        <f t="shared" si="118"/>
        <v/>
      </c>
      <c r="CR26" s="77"/>
      <c r="CS26" s="17" t="str">
        <f>IFERROR(_xlfn.XLOOKUP(C26,Query[Code],Query[Base (RRP Inc)]),"")</f>
        <v/>
      </c>
      <c r="CT26" s="17" t="str">
        <f t="shared" si="119"/>
        <v/>
      </c>
      <c r="CU26" s="107" t="str">
        <f t="shared" si="120"/>
        <v/>
      </c>
      <c r="CV26" s="17" t="str">
        <f t="shared" si="121"/>
        <v/>
      </c>
      <c r="CW26" s="17"/>
    </row>
    <row r="27" spans="1:101" x14ac:dyDescent="0.2">
      <c r="A27" s="106" t="str">
        <f t="shared" si="61"/>
        <v/>
      </c>
      <c r="B27" s="106" t="str">
        <f t="shared" si="62"/>
        <v/>
      </c>
      <c r="C27" s="13"/>
      <c r="D27" s="14" t="str">
        <f>IF(C27="", "",_xlfn.XLOOKUP(C27,'Master Price Level'!C:C,'Master Price Level'!D:D))</f>
        <v/>
      </c>
      <c r="E27" s="15"/>
      <c r="F27" s="108" t="str" cm="1">
        <f t="array" ref="F27">IFERROR(_xlfn._xlws.FILTER(ST[Customer Code],(ST[Code]=$C27) * (ST[Customer Name]=F$3),"" ),"")</f>
        <v/>
      </c>
      <c r="G27" s="68" t="str" cm="1">
        <f t="array" ref="G27">IFERROR(_xlfn.XLOOKUP($C27,Query[Code], _xlfn.XLOOKUP('Promo Form'!F$3,Query[[#Headers],[Code]:[Bing Lee]],Query[[Code]:[Bing Lee]])),"")</f>
        <v/>
      </c>
      <c r="H27" s="16" t="str">
        <f t="shared" si="63"/>
        <v/>
      </c>
      <c r="I27" s="16" t="str">
        <f t="shared" si="64"/>
        <v/>
      </c>
      <c r="J27" s="17" t="str">
        <f t="shared" si="65"/>
        <v/>
      </c>
      <c r="K27" s="18" t="str">
        <f t="shared" si="66"/>
        <v/>
      </c>
      <c r="L27" s="18" t="str">
        <f t="shared" si="67"/>
        <v/>
      </c>
      <c r="M27" s="109" t="str" cm="1">
        <f t="array" ref="M27">IFERROR(_xlfn._xlws.FILTER(ST[SOH],(ST[Code]=$C27) * (ST[Customer Name]=F$3),"" ),"")</f>
        <v/>
      </c>
      <c r="N27" s="109" t="str" cm="1">
        <f t="array" ref="N27">IFERROR(
    _xlfn.LET(
        _xlpm.result, INDEX(_xlfn._xlws.FILTER(ST[6wk avg], (ST[Code]=$C27)*(ST[Customer Name]=F$3), ""), 1),
        IF(_xlpm.result=0, "", _xlpm.result)
    ),
"")</f>
        <v/>
      </c>
      <c r="O27" s="102" t="str">
        <f t="shared" si="68"/>
        <v/>
      </c>
      <c r="P27" s="70" t="str">
        <f t="shared" si="69"/>
        <v/>
      </c>
      <c r="Q27" s="83" t="str">
        <f t="shared" si="70"/>
        <v/>
      </c>
      <c r="R27" s="77"/>
      <c r="S27" s="108" t="str" cm="1">
        <f t="array" ref="S27">IFERROR(_xlfn._xlws.FILTER(ST[Customer Code],(ST[Code]=$C27) * (ST[Customer Name]=S$3),"" ),"")</f>
        <v/>
      </c>
      <c r="T27" s="68" t="str" cm="1">
        <f t="array" ref="T27">IFERROR(_xlfn.XLOOKUP($C27,Query[Code], _xlfn.XLOOKUP('Promo Form'!S$3,Query[[#Headers],[Code]:[Bing Lee]],Query[[Code]:[Bing Lee]])),"")</f>
        <v/>
      </c>
      <c r="U27" s="16" t="str">
        <f t="shared" si="71"/>
        <v/>
      </c>
      <c r="V27" s="16" t="str">
        <f t="shared" si="72"/>
        <v/>
      </c>
      <c r="W27" s="17" t="str">
        <f t="shared" si="73"/>
        <v/>
      </c>
      <c r="X27" s="18" t="str">
        <f t="shared" si="74"/>
        <v/>
      </c>
      <c r="Y27" s="18" t="str">
        <f t="shared" si="75"/>
        <v/>
      </c>
      <c r="Z27" s="109" t="str" cm="1">
        <f t="array" ref="Z27">IFERROR(_xlfn._xlws.FILTER(ST[SOH],(ST[Code]=$C27) * (ST[Customer Name]=S$3),"" ),"")</f>
        <v/>
      </c>
      <c r="AA27" s="109" t="str" cm="1">
        <f t="array" ref="AA27">IFERROR(
    _xlfn.LET(
        _xlpm.result, INDEX(_xlfn._xlws.FILTER(ST[6wk avg], (ST[Code]=$C27)*(ST[Customer Name]=S$3), ""), 1),
        IF(_xlpm.result=0, "", _xlpm.result)
    ),
"")</f>
        <v/>
      </c>
      <c r="AB27" s="102" t="str">
        <f t="shared" si="76"/>
        <v/>
      </c>
      <c r="AC27" s="70" t="str">
        <f t="shared" si="77"/>
        <v/>
      </c>
      <c r="AD27" s="83" t="str">
        <f t="shared" si="78"/>
        <v/>
      </c>
      <c r="AE27" s="77"/>
      <c r="AF27" s="108" t="str" cm="1">
        <f t="array" ref="AF27">IFERROR(_xlfn._xlws.FILTER(ST[Customer Code],(ST[Code]=$C27) * (ST[Customer Name]=AF$3),"" ),"")</f>
        <v/>
      </c>
      <c r="AG27" s="68" t="str" cm="1">
        <f t="array" ref="AG27">IFERROR(_xlfn.XLOOKUP($C27,Query[Code], _xlfn.XLOOKUP('Promo Form'!AF$3,Query[[#Headers],[Code]:[Bing Lee]],Query[[Code]:[Bing Lee]])),"")</f>
        <v/>
      </c>
      <c r="AH27" s="16" t="str">
        <f t="shared" si="79"/>
        <v/>
      </c>
      <c r="AI27" s="16" t="str">
        <f t="shared" si="80"/>
        <v/>
      </c>
      <c r="AJ27" s="17" t="str">
        <f t="shared" si="81"/>
        <v/>
      </c>
      <c r="AK27" s="18" t="str">
        <f t="shared" si="82"/>
        <v/>
      </c>
      <c r="AL27" s="18" t="str">
        <f t="shared" si="83"/>
        <v/>
      </c>
      <c r="AM27" s="109" t="str" cm="1">
        <f t="array" ref="AM27">IFERROR(_xlfn._xlws.FILTER(ST[SOH],(ST[Code]=$C27) * (ST[Customer Name]=AF$3),"" ),"")</f>
        <v/>
      </c>
      <c r="AN27" s="109" t="str" cm="1">
        <f t="array" ref="AN27">IFERROR(
    _xlfn.LET(
        _xlpm.result, INDEX(_xlfn._xlws.FILTER(ST[6wk avg], (ST[Code]=$C27)*(ST[Customer Name]=AF$3), ""), 1),
        IF(_xlpm.result=0, "", _xlpm.result)
    ),
"")</f>
        <v/>
      </c>
      <c r="AO27" s="102" t="str">
        <f t="shared" si="84"/>
        <v/>
      </c>
      <c r="AP27" s="70" t="str">
        <f t="shared" si="85"/>
        <v/>
      </c>
      <c r="AQ27" s="83" t="str">
        <f t="shared" si="86"/>
        <v/>
      </c>
      <c r="AR27" s="77"/>
      <c r="AS27" s="108" t="str" cm="1">
        <f t="array" ref="AS27">IFERROR(_xlfn._xlws.FILTER(ST[Customer Code],(ST[Code]=$C27) * (ST[Customer Name]=AS$3),"" ),"")</f>
        <v/>
      </c>
      <c r="AT27" s="68" t="str" cm="1">
        <f t="array" ref="AT27">IFERROR(_xlfn.XLOOKUP($C27,Query[Code], _xlfn.XLOOKUP('Promo Form'!AS$3,Query[[#Headers],[Code]:[Bing Lee]],Query[[Code]:[Bing Lee]])),"")</f>
        <v/>
      </c>
      <c r="AU27" s="16" t="str">
        <f t="shared" si="87"/>
        <v/>
      </c>
      <c r="AV27" s="16" t="str">
        <f t="shared" si="88"/>
        <v/>
      </c>
      <c r="AW27" s="17" t="str">
        <f t="shared" si="89"/>
        <v/>
      </c>
      <c r="AX27" s="18" t="str">
        <f t="shared" si="90"/>
        <v/>
      </c>
      <c r="AY27" s="18" t="str">
        <f t="shared" si="91"/>
        <v/>
      </c>
      <c r="AZ27" s="109" t="str" cm="1">
        <f t="array" ref="AZ27">IFERROR(_xlfn._xlws.FILTER(ST[SOH],(ST[Code]=$C27) * (ST[Customer Name]=AS$3),"" ),"")</f>
        <v/>
      </c>
      <c r="BA27" s="109" t="str" cm="1">
        <f t="array" ref="BA27">IFERROR(
    _xlfn.LET(
        _xlpm.result, INDEX(_xlfn._xlws.FILTER(ST[6wk avg], (ST[Code]=$C27)*(ST[Customer Name]=AS$3), ""), 1),
        IF(_xlpm.result=0, "", _xlpm.result)
    ),
"")</f>
        <v/>
      </c>
      <c r="BB27" s="102" t="str">
        <f t="shared" si="92"/>
        <v/>
      </c>
      <c r="BC27" s="70" t="str">
        <f t="shared" si="93"/>
        <v/>
      </c>
      <c r="BD27" s="83" t="str">
        <f t="shared" si="94"/>
        <v/>
      </c>
      <c r="BE27" s="77"/>
      <c r="BF27" s="108" t="str" cm="1">
        <f t="array" ref="BF27">IFERROR(_xlfn._xlws.FILTER(ST[Customer Code],(ST[Code]=$C27) * (ST[Customer Name]=BF$3),"" ),"")</f>
        <v/>
      </c>
      <c r="BG27" s="68" t="str" cm="1">
        <f t="array" ref="BG27">IFERROR(_xlfn.XLOOKUP($C27,Query[Code], _xlfn.XLOOKUP('Promo Form'!BF$3,Query[[#Headers],[Code]:[Bing Lee]],Query[[Code]:[Bing Lee]])),"")</f>
        <v/>
      </c>
      <c r="BH27" s="16" t="str">
        <f t="shared" si="95"/>
        <v/>
      </c>
      <c r="BI27" s="16" t="str">
        <f t="shared" si="96"/>
        <v/>
      </c>
      <c r="BJ27" s="17" t="str">
        <f t="shared" si="97"/>
        <v/>
      </c>
      <c r="BK27" s="18" t="str">
        <f t="shared" si="98"/>
        <v/>
      </c>
      <c r="BL27" s="18" t="str">
        <f t="shared" si="99"/>
        <v/>
      </c>
      <c r="BM27" s="109" t="str" cm="1">
        <f t="array" ref="BM27">IFERROR(_xlfn._xlws.FILTER(ST[SOH],(ST[Code]=$C27) * (ST[Customer Name]=BF$3),"" ),"")</f>
        <v/>
      </c>
      <c r="BN27" s="109" t="str" cm="1">
        <f t="array" ref="BN27">IFERROR(
    _xlfn.LET(
        _xlpm.result, INDEX(_xlfn._xlws.FILTER(ST[6wk avg], (ST[Code]=$C27)*(ST[Customer Name]=BF$3), ""), 1),
        IF(_xlpm.result=0, "", _xlpm.result)
    ),
"")</f>
        <v/>
      </c>
      <c r="BO27" s="102" t="str">
        <f t="shared" si="100"/>
        <v/>
      </c>
      <c r="BP27" s="70" t="str">
        <f t="shared" si="101"/>
        <v/>
      </c>
      <c r="BQ27" s="83" t="str">
        <f t="shared" si="102"/>
        <v/>
      </c>
      <c r="BR27" s="77"/>
      <c r="BS27" s="108" t="str" cm="1">
        <f t="array" ref="BS27">IFERROR(_xlfn._xlws.FILTER(ST[Customer Code],(ST[Code]=$C27) * (ST[Customer Name]=BS$3),"" ),"")</f>
        <v/>
      </c>
      <c r="BT27" s="68" t="str" cm="1">
        <f t="array" ref="BT27">IFERROR(_xlfn.XLOOKUP($C27,Query[Code], _xlfn.XLOOKUP('Promo Form'!BS$3,Query[[#Headers],[Code]:[Bing Lee]],Query[[Code]:[Bing Lee]])),"")</f>
        <v/>
      </c>
      <c r="BU27" s="16" t="str">
        <f t="shared" si="103"/>
        <v/>
      </c>
      <c r="BV27" s="16" t="str">
        <f t="shared" si="104"/>
        <v/>
      </c>
      <c r="BW27" s="17" t="str">
        <f t="shared" si="105"/>
        <v/>
      </c>
      <c r="BX27" s="18" t="str">
        <f t="shared" si="106"/>
        <v/>
      </c>
      <c r="BY27" s="18" t="str">
        <f t="shared" si="107"/>
        <v/>
      </c>
      <c r="BZ27" s="109" t="str" cm="1">
        <f t="array" ref="BZ27">IFERROR(_xlfn._xlws.FILTER(ST[SOH],(ST[Code]=$C27) * (ST[Customer Name]=BS$3),"" ),"")</f>
        <v/>
      </c>
      <c r="CA27" s="109" t="str" cm="1">
        <f t="array" ref="CA27">IFERROR(
    _xlfn.LET(
        _xlpm.result, INDEX(_xlfn._xlws.FILTER(ST[6wk avg], (ST[Code]=$C27)*(ST[Customer Name]=BS$3), ""), 1),
        IF(_xlpm.result=0, "", _xlpm.result)
    ),
"")</f>
        <v/>
      </c>
      <c r="CB27" s="102" t="str">
        <f t="shared" si="108"/>
        <v/>
      </c>
      <c r="CC27" s="70" t="str">
        <f t="shared" si="109"/>
        <v/>
      </c>
      <c r="CD27" s="83" t="str">
        <f t="shared" si="110"/>
        <v/>
      </c>
      <c r="CE27" s="77"/>
      <c r="CF27" s="108" t="str" cm="1">
        <f t="array" ref="CF27">IFERROR(_xlfn._xlws.FILTER(ST[Customer Code],(ST[Code]=$C27) * (ST[Customer Name]=CF$3),"" ),"")</f>
        <v/>
      </c>
      <c r="CG27" s="68" t="str" cm="1">
        <f t="array" ref="CG27">IFERROR(_xlfn.XLOOKUP($C27,Query[Code], _xlfn.XLOOKUP('Promo Form'!CF$3,Query[[#Headers],[Code]:[Bing Lee]],Query[[Code]:[Bing Lee]])),"")</f>
        <v/>
      </c>
      <c r="CH27" s="16" t="str">
        <f t="shared" si="111"/>
        <v/>
      </c>
      <c r="CI27" s="16" t="str">
        <f t="shared" si="112"/>
        <v/>
      </c>
      <c r="CJ27" s="17" t="str">
        <f t="shared" si="113"/>
        <v/>
      </c>
      <c r="CK27" s="18" t="str">
        <f t="shared" si="114"/>
        <v/>
      </c>
      <c r="CL27" s="18" t="str">
        <f t="shared" si="115"/>
        <v/>
      </c>
      <c r="CM27" s="109" t="str" cm="1">
        <f t="array" ref="CM27">IFERROR(_xlfn._xlws.FILTER(ST[SOH],(ST[Code]=$C27) * (ST[Customer Name]=CF$3),"" ),"")</f>
        <v/>
      </c>
      <c r="CN27" s="109" t="str" cm="1">
        <f t="array" ref="CN27">IFERROR(
    _xlfn.LET(
        _xlpm.result, INDEX(_xlfn._xlws.FILTER(ST[6wk avg], (ST[Code]=$C27)*(ST[Customer Name]=CF$3), ""), 1),
        IF(_xlpm.result=0, "", _xlpm.result)
    ),
"")</f>
        <v/>
      </c>
      <c r="CO27" s="102" t="str">
        <f t="shared" si="116"/>
        <v/>
      </c>
      <c r="CP27" s="70" t="str">
        <f t="shared" si="117"/>
        <v/>
      </c>
      <c r="CQ27" s="83" t="str">
        <f t="shared" si="118"/>
        <v/>
      </c>
      <c r="CR27" s="77"/>
      <c r="CS27" s="17" t="str">
        <f>IFERROR(_xlfn.XLOOKUP(C27,Query[Code],Query[Base (RRP Inc)]),"")</f>
        <v/>
      </c>
      <c r="CT27" s="17" t="str">
        <f t="shared" si="119"/>
        <v/>
      </c>
      <c r="CU27" s="107" t="str">
        <f t="shared" si="120"/>
        <v/>
      </c>
      <c r="CV27" s="17" t="str">
        <f t="shared" si="121"/>
        <v/>
      </c>
      <c r="CW27" s="17"/>
    </row>
    <row r="28" spans="1:101" x14ac:dyDescent="0.2">
      <c r="A28" s="106" t="str">
        <f t="shared" si="61"/>
        <v/>
      </c>
      <c r="B28" s="106" t="str">
        <f t="shared" si="62"/>
        <v/>
      </c>
      <c r="C28" s="13"/>
      <c r="D28" s="14" t="str">
        <f>IF(C28="", "",_xlfn.XLOOKUP(C28,'Master Price Level'!C:C,'Master Price Level'!D:D))</f>
        <v/>
      </c>
      <c r="E28" s="15"/>
      <c r="F28" s="108" t="str" cm="1">
        <f t="array" ref="F28">IFERROR(_xlfn._xlws.FILTER(ST[Customer Code],(ST[Code]=$C28) * (ST[Customer Name]=F$3),"" ),"")</f>
        <v/>
      </c>
      <c r="G28" s="68" t="str" cm="1">
        <f t="array" ref="G28">IFERROR(_xlfn.XLOOKUP($C28,Query[Code], _xlfn.XLOOKUP('Promo Form'!F$3,Query[[#Headers],[Code]:[Bing Lee]],Query[[Code]:[Bing Lee]])),"")</f>
        <v/>
      </c>
      <c r="H28" s="16" t="str">
        <f t="shared" si="63"/>
        <v/>
      </c>
      <c r="I28" s="16" t="str">
        <f t="shared" si="64"/>
        <v/>
      </c>
      <c r="J28" s="17" t="str">
        <f t="shared" si="65"/>
        <v/>
      </c>
      <c r="K28" s="18" t="str">
        <f t="shared" si="66"/>
        <v/>
      </c>
      <c r="L28" s="18" t="str">
        <f t="shared" si="67"/>
        <v/>
      </c>
      <c r="M28" s="109" t="str" cm="1">
        <f t="array" ref="M28">IFERROR(_xlfn._xlws.FILTER(ST[SOH],(ST[Code]=$C28) * (ST[Customer Name]=F$3),"" ),"")</f>
        <v/>
      </c>
      <c r="N28" s="109" t="str" cm="1">
        <f t="array" ref="N28">IFERROR(
    _xlfn.LET(
        _xlpm.result, INDEX(_xlfn._xlws.FILTER(ST[6wk avg], (ST[Code]=$C28)*(ST[Customer Name]=F$3), ""), 1),
        IF(_xlpm.result=0, "", _xlpm.result)
    ),
"")</f>
        <v/>
      </c>
      <c r="O28" s="102" t="str">
        <f t="shared" si="68"/>
        <v/>
      </c>
      <c r="P28" s="70" t="str">
        <f t="shared" si="69"/>
        <v/>
      </c>
      <c r="Q28" s="83" t="str">
        <f t="shared" si="70"/>
        <v/>
      </c>
      <c r="R28" s="77"/>
      <c r="S28" s="108" t="str" cm="1">
        <f t="array" ref="S28">IFERROR(_xlfn._xlws.FILTER(ST[Customer Code],(ST[Code]=$C28) * (ST[Customer Name]=S$3),"" ),"")</f>
        <v/>
      </c>
      <c r="T28" s="68" t="str" cm="1">
        <f t="array" ref="T28">IFERROR(_xlfn.XLOOKUP($C28,Query[Code], _xlfn.XLOOKUP('Promo Form'!S$3,Query[[#Headers],[Code]:[Bing Lee]],Query[[Code]:[Bing Lee]])),"")</f>
        <v/>
      </c>
      <c r="U28" s="16" t="str">
        <f t="shared" si="71"/>
        <v/>
      </c>
      <c r="V28" s="16" t="str">
        <f t="shared" si="72"/>
        <v/>
      </c>
      <c r="W28" s="17" t="str">
        <f t="shared" si="73"/>
        <v/>
      </c>
      <c r="X28" s="18" t="str">
        <f t="shared" si="74"/>
        <v/>
      </c>
      <c r="Y28" s="18" t="str">
        <f t="shared" si="75"/>
        <v/>
      </c>
      <c r="Z28" s="109" t="str" cm="1">
        <f t="array" ref="Z28">IFERROR(_xlfn._xlws.FILTER(ST[SOH],(ST[Code]=$C28) * (ST[Customer Name]=S$3),"" ),"")</f>
        <v/>
      </c>
      <c r="AA28" s="109" t="str" cm="1">
        <f t="array" ref="AA28">IFERROR(
    _xlfn.LET(
        _xlpm.result, INDEX(_xlfn._xlws.FILTER(ST[6wk avg], (ST[Code]=$C28)*(ST[Customer Name]=S$3), ""), 1),
        IF(_xlpm.result=0, "", _xlpm.result)
    ),
"")</f>
        <v/>
      </c>
      <c r="AB28" s="102" t="str">
        <f t="shared" si="76"/>
        <v/>
      </c>
      <c r="AC28" s="70" t="str">
        <f t="shared" si="77"/>
        <v/>
      </c>
      <c r="AD28" s="83" t="str">
        <f t="shared" si="78"/>
        <v/>
      </c>
      <c r="AE28" s="77"/>
      <c r="AF28" s="108" t="str" cm="1">
        <f t="array" ref="AF28">IFERROR(_xlfn._xlws.FILTER(ST[Customer Code],(ST[Code]=$C28) * (ST[Customer Name]=AF$3),"" ),"")</f>
        <v/>
      </c>
      <c r="AG28" s="68" t="str" cm="1">
        <f t="array" ref="AG28">IFERROR(_xlfn.XLOOKUP($C28,Query[Code], _xlfn.XLOOKUP('Promo Form'!AF$3,Query[[#Headers],[Code]:[Bing Lee]],Query[[Code]:[Bing Lee]])),"")</f>
        <v/>
      </c>
      <c r="AH28" s="16" t="str">
        <f t="shared" si="79"/>
        <v/>
      </c>
      <c r="AI28" s="16" t="str">
        <f t="shared" si="80"/>
        <v/>
      </c>
      <c r="AJ28" s="17" t="str">
        <f t="shared" si="81"/>
        <v/>
      </c>
      <c r="AK28" s="18" t="str">
        <f t="shared" si="82"/>
        <v/>
      </c>
      <c r="AL28" s="18" t="str">
        <f t="shared" si="83"/>
        <v/>
      </c>
      <c r="AM28" s="109" t="str" cm="1">
        <f t="array" ref="AM28">IFERROR(_xlfn._xlws.FILTER(ST[SOH],(ST[Code]=$C28) * (ST[Customer Name]=AF$3),"" ),"")</f>
        <v/>
      </c>
      <c r="AN28" s="109" t="str" cm="1">
        <f t="array" ref="AN28">IFERROR(
    _xlfn.LET(
        _xlpm.result, INDEX(_xlfn._xlws.FILTER(ST[6wk avg], (ST[Code]=$C28)*(ST[Customer Name]=AF$3), ""), 1),
        IF(_xlpm.result=0, "", _xlpm.result)
    ),
"")</f>
        <v/>
      </c>
      <c r="AO28" s="102" t="str">
        <f t="shared" si="84"/>
        <v/>
      </c>
      <c r="AP28" s="70" t="str">
        <f t="shared" si="85"/>
        <v/>
      </c>
      <c r="AQ28" s="83" t="str">
        <f t="shared" si="86"/>
        <v/>
      </c>
      <c r="AR28" s="77"/>
      <c r="AS28" s="108" t="str" cm="1">
        <f t="array" ref="AS28">IFERROR(_xlfn._xlws.FILTER(ST[Customer Code],(ST[Code]=$C28) * (ST[Customer Name]=AS$3),"" ),"")</f>
        <v/>
      </c>
      <c r="AT28" s="68" t="str" cm="1">
        <f t="array" ref="AT28">IFERROR(_xlfn.XLOOKUP($C28,Query[Code], _xlfn.XLOOKUP('Promo Form'!AS$3,Query[[#Headers],[Code]:[Bing Lee]],Query[[Code]:[Bing Lee]])),"")</f>
        <v/>
      </c>
      <c r="AU28" s="16" t="str">
        <f t="shared" si="87"/>
        <v/>
      </c>
      <c r="AV28" s="16" t="str">
        <f t="shared" si="88"/>
        <v/>
      </c>
      <c r="AW28" s="17" t="str">
        <f t="shared" si="89"/>
        <v/>
      </c>
      <c r="AX28" s="18" t="str">
        <f t="shared" si="90"/>
        <v/>
      </c>
      <c r="AY28" s="18" t="str">
        <f t="shared" si="91"/>
        <v/>
      </c>
      <c r="AZ28" s="109" t="str" cm="1">
        <f t="array" ref="AZ28">IFERROR(_xlfn._xlws.FILTER(ST[SOH],(ST[Code]=$C28) * (ST[Customer Name]=AS$3),"" ),"")</f>
        <v/>
      </c>
      <c r="BA28" s="109" t="str" cm="1">
        <f t="array" ref="BA28">IFERROR(
    _xlfn.LET(
        _xlpm.result, INDEX(_xlfn._xlws.FILTER(ST[6wk avg], (ST[Code]=$C28)*(ST[Customer Name]=AS$3), ""), 1),
        IF(_xlpm.result=0, "", _xlpm.result)
    ),
"")</f>
        <v/>
      </c>
      <c r="BB28" s="102" t="str">
        <f t="shared" si="92"/>
        <v/>
      </c>
      <c r="BC28" s="70" t="str">
        <f t="shared" si="93"/>
        <v/>
      </c>
      <c r="BD28" s="83" t="str">
        <f t="shared" si="94"/>
        <v/>
      </c>
      <c r="BE28" s="77"/>
      <c r="BF28" s="108" t="str" cm="1">
        <f t="array" ref="BF28">IFERROR(_xlfn._xlws.FILTER(ST[Customer Code],(ST[Code]=$C28) * (ST[Customer Name]=BF$3),"" ),"")</f>
        <v/>
      </c>
      <c r="BG28" s="68" t="str" cm="1">
        <f t="array" ref="BG28">IFERROR(_xlfn.XLOOKUP($C28,Query[Code], _xlfn.XLOOKUP('Promo Form'!BF$3,Query[[#Headers],[Code]:[Bing Lee]],Query[[Code]:[Bing Lee]])),"")</f>
        <v/>
      </c>
      <c r="BH28" s="16" t="str">
        <f t="shared" si="95"/>
        <v/>
      </c>
      <c r="BI28" s="16" t="str">
        <f t="shared" si="96"/>
        <v/>
      </c>
      <c r="BJ28" s="17" t="str">
        <f t="shared" si="97"/>
        <v/>
      </c>
      <c r="BK28" s="18" t="str">
        <f t="shared" si="98"/>
        <v/>
      </c>
      <c r="BL28" s="18" t="str">
        <f t="shared" si="99"/>
        <v/>
      </c>
      <c r="BM28" s="109" t="str" cm="1">
        <f t="array" ref="BM28">IFERROR(_xlfn._xlws.FILTER(ST[SOH],(ST[Code]=$C28) * (ST[Customer Name]=BF$3),"" ),"")</f>
        <v/>
      </c>
      <c r="BN28" s="109" t="str" cm="1">
        <f t="array" ref="BN28">IFERROR(
    _xlfn.LET(
        _xlpm.result, INDEX(_xlfn._xlws.FILTER(ST[6wk avg], (ST[Code]=$C28)*(ST[Customer Name]=BF$3), ""), 1),
        IF(_xlpm.result=0, "", _xlpm.result)
    ),
"")</f>
        <v/>
      </c>
      <c r="BO28" s="102" t="str">
        <f t="shared" si="100"/>
        <v/>
      </c>
      <c r="BP28" s="70" t="str">
        <f t="shared" si="101"/>
        <v/>
      </c>
      <c r="BQ28" s="83" t="str">
        <f t="shared" si="102"/>
        <v/>
      </c>
      <c r="BR28" s="77"/>
      <c r="BS28" s="108" t="str" cm="1">
        <f t="array" ref="BS28">IFERROR(_xlfn._xlws.FILTER(ST[Customer Code],(ST[Code]=$C28) * (ST[Customer Name]=BS$3),"" ),"")</f>
        <v/>
      </c>
      <c r="BT28" s="68" t="str" cm="1">
        <f t="array" ref="BT28">IFERROR(_xlfn.XLOOKUP($C28,Query[Code], _xlfn.XLOOKUP('Promo Form'!BS$3,Query[[#Headers],[Code]:[Bing Lee]],Query[[Code]:[Bing Lee]])),"")</f>
        <v/>
      </c>
      <c r="BU28" s="16" t="str">
        <f t="shared" si="103"/>
        <v/>
      </c>
      <c r="BV28" s="16" t="str">
        <f t="shared" si="104"/>
        <v/>
      </c>
      <c r="BW28" s="17" t="str">
        <f t="shared" si="105"/>
        <v/>
      </c>
      <c r="BX28" s="18" t="str">
        <f t="shared" si="106"/>
        <v/>
      </c>
      <c r="BY28" s="18" t="str">
        <f t="shared" si="107"/>
        <v/>
      </c>
      <c r="BZ28" s="109" t="str" cm="1">
        <f t="array" ref="BZ28">IFERROR(_xlfn._xlws.FILTER(ST[SOH],(ST[Code]=$C28) * (ST[Customer Name]=BS$3),"" ),"")</f>
        <v/>
      </c>
      <c r="CA28" s="109" t="str" cm="1">
        <f t="array" ref="CA28">IFERROR(
    _xlfn.LET(
        _xlpm.result, INDEX(_xlfn._xlws.FILTER(ST[6wk avg], (ST[Code]=$C28)*(ST[Customer Name]=BS$3), ""), 1),
        IF(_xlpm.result=0, "", _xlpm.result)
    ),
"")</f>
        <v/>
      </c>
      <c r="CB28" s="102" t="str">
        <f t="shared" si="108"/>
        <v/>
      </c>
      <c r="CC28" s="70" t="str">
        <f t="shared" si="109"/>
        <v/>
      </c>
      <c r="CD28" s="83" t="str">
        <f t="shared" si="110"/>
        <v/>
      </c>
      <c r="CE28" s="77"/>
      <c r="CF28" s="108" t="str" cm="1">
        <f t="array" ref="CF28">IFERROR(_xlfn._xlws.FILTER(ST[Customer Code],(ST[Code]=$C28) * (ST[Customer Name]=CF$3),"" ),"")</f>
        <v/>
      </c>
      <c r="CG28" s="68" t="str" cm="1">
        <f t="array" ref="CG28">IFERROR(_xlfn.XLOOKUP($C28,Query[Code], _xlfn.XLOOKUP('Promo Form'!CF$3,Query[[#Headers],[Code]:[Bing Lee]],Query[[Code]:[Bing Lee]])),"")</f>
        <v/>
      </c>
      <c r="CH28" s="16" t="str">
        <f t="shared" si="111"/>
        <v/>
      </c>
      <c r="CI28" s="16" t="str">
        <f t="shared" si="112"/>
        <v/>
      </c>
      <c r="CJ28" s="17" t="str">
        <f t="shared" si="113"/>
        <v/>
      </c>
      <c r="CK28" s="18" t="str">
        <f t="shared" si="114"/>
        <v/>
      </c>
      <c r="CL28" s="18" t="str">
        <f t="shared" si="115"/>
        <v/>
      </c>
      <c r="CM28" s="109" t="str" cm="1">
        <f t="array" ref="CM28">IFERROR(_xlfn._xlws.FILTER(ST[SOH],(ST[Code]=$C28) * (ST[Customer Name]=CF$3),"" ),"")</f>
        <v/>
      </c>
      <c r="CN28" s="109" t="str" cm="1">
        <f t="array" ref="CN28">IFERROR(
    _xlfn.LET(
        _xlpm.result, INDEX(_xlfn._xlws.FILTER(ST[6wk avg], (ST[Code]=$C28)*(ST[Customer Name]=CF$3), ""), 1),
        IF(_xlpm.result=0, "", _xlpm.result)
    ),
"")</f>
        <v/>
      </c>
      <c r="CO28" s="102" t="str">
        <f t="shared" si="116"/>
        <v/>
      </c>
      <c r="CP28" s="70" t="str">
        <f t="shared" si="117"/>
        <v/>
      </c>
      <c r="CQ28" s="83" t="str">
        <f t="shared" si="118"/>
        <v/>
      </c>
      <c r="CR28" s="77"/>
      <c r="CS28" s="17" t="str">
        <f>IFERROR(_xlfn.XLOOKUP(C28,Query[Code],Query[Base (RRP Inc)]),"")</f>
        <v/>
      </c>
      <c r="CT28" s="17" t="str">
        <f t="shared" si="119"/>
        <v/>
      </c>
      <c r="CU28" s="107" t="str">
        <f t="shared" si="120"/>
        <v/>
      </c>
      <c r="CV28" s="17" t="str">
        <f t="shared" si="121"/>
        <v/>
      </c>
      <c r="CW28" s="17"/>
    </row>
    <row r="29" spans="1:101" x14ac:dyDescent="0.2">
      <c r="A29" s="106" t="str">
        <f t="shared" si="61"/>
        <v/>
      </c>
      <c r="B29" s="106" t="str">
        <f t="shared" si="62"/>
        <v/>
      </c>
      <c r="C29" s="13"/>
      <c r="D29" s="14" t="str">
        <f>IF(C29="", "",_xlfn.XLOOKUP(C29,'Master Price Level'!C:C,'Master Price Level'!D:D))</f>
        <v/>
      </c>
      <c r="E29" s="15"/>
      <c r="F29" s="108" t="str" cm="1">
        <f t="array" ref="F29">IFERROR(_xlfn._xlws.FILTER(ST[Customer Code],(ST[Code]=$C29) * (ST[Customer Name]=F$3),"" ),"")</f>
        <v/>
      </c>
      <c r="G29" s="68" t="str" cm="1">
        <f t="array" ref="G29">IFERROR(_xlfn.XLOOKUP($C29,Query[Code], _xlfn.XLOOKUP('Promo Form'!F$3,Query[[#Headers],[Code]:[Bing Lee]],Query[[Code]:[Bing Lee]])),"")</f>
        <v/>
      </c>
      <c r="H29" s="16" t="str">
        <f t="shared" si="63"/>
        <v/>
      </c>
      <c r="I29" s="16" t="str">
        <f t="shared" si="64"/>
        <v/>
      </c>
      <c r="J29" s="17" t="str">
        <f t="shared" si="65"/>
        <v/>
      </c>
      <c r="K29" s="18" t="str">
        <f t="shared" si="66"/>
        <v/>
      </c>
      <c r="L29" s="18" t="str">
        <f t="shared" si="67"/>
        <v/>
      </c>
      <c r="M29" s="109" t="str" cm="1">
        <f t="array" ref="M29">IFERROR(_xlfn._xlws.FILTER(ST[SOH],(ST[Code]=$C29) * (ST[Customer Name]=F$3),"" ),"")</f>
        <v/>
      </c>
      <c r="N29" s="109" t="str" cm="1">
        <f t="array" ref="N29">IFERROR(
    _xlfn.LET(
        _xlpm.result, INDEX(_xlfn._xlws.FILTER(ST[6wk avg], (ST[Code]=$C29)*(ST[Customer Name]=F$3), ""), 1),
        IF(_xlpm.result=0, "", _xlpm.result)
    ),
"")</f>
        <v/>
      </c>
      <c r="O29" s="102" t="str">
        <f t="shared" si="68"/>
        <v/>
      </c>
      <c r="P29" s="70" t="str">
        <f t="shared" si="69"/>
        <v/>
      </c>
      <c r="Q29" s="83" t="str">
        <f t="shared" si="70"/>
        <v/>
      </c>
      <c r="R29" s="77"/>
      <c r="S29" s="108" t="str" cm="1">
        <f t="array" ref="S29">IFERROR(_xlfn._xlws.FILTER(ST[Customer Code],(ST[Code]=$C29) * (ST[Customer Name]=S$3),"" ),"")</f>
        <v/>
      </c>
      <c r="T29" s="68" t="str" cm="1">
        <f t="array" ref="T29">IFERROR(_xlfn.XLOOKUP($C29,Query[Code], _xlfn.XLOOKUP('Promo Form'!S$3,Query[[#Headers],[Code]:[Bing Lee]],Query[[Code]:[Bing Lee]])),"")</f>
        <v/>
      </c>
      <c r="U29" s="16" t="str">
        <f t="shared" si="71"/>
        <v/>
      </c>
      <c r="V29" s="16" t="str">
        <f t="shared" si="72"/>
        <v/>
      </c>
      <c r="W29" s="17" t="str">
        <f t="shared" si="73"/>
        <v/>
      </c>
      <c r="X29" s="18" t="str">
        <f t="shared" si="74"/>
        <v/>
      </c>
      <c r="Y29" s="18" t="str">
        <f t="shared" si="75"/>
        <v/>
      </c>
      <c r="Z29" s="109" t="str" cm="1">
        <f t="array" ref="Z29">IFERROR(_xlfn._xlws.FILTER(ST[SOH],(ST[Code]=$C29) * (ST[Customer Name]=S$3),"" ),"")</f>
        <v/>
      </c>
      <c r="AA29" s="109" t="str" cm="1">
        <f t="array" ref="AA29">IFERROR(
    _xlfn.LET(
        _xlpm.result, INDEX(_xlfn._xlws.FILTER(ST[6wk avg], (ST[Code]=$C29)*(ST[Customer Name]=S$3), ""), 1),
        IF(_xlpm.result=0, "", _xlpm.result)
    ),
"")</f>
        <v/>
      </c>
      <c r="AB29" s="102" t="str">
        <f t="shared" si="76"/>
        <v/>
      </c>
      <c r="AC29" s="70" t="str">
        <f t="shared" si="77"/>
        <v/>
      </c>
      <c r="AD29" s="83" t="str">
        <f t="shared" si="78"/>
        <v/>
      </c>
      <c r="AE29" s="77"/>
      <c r="AF29" s="108" t="str" cm="1">
        <f t="array" ref="AF29">IFERROR(_xlfn._xlws.FILTER(ST[Customer Code],(ST[Code]=$C29) * (ST[Customer Name]=AF$3),"" ),"")</f>
        <v/>
      </c>
      <c r="AG29" s="68" t="str" cm="1">
        <f t="array" ref="AG29">IFERROR(_xlfn.XLOOKUP($C29,Query[Code], _xlfn.XLOOKUP('Promo Form'!AF$3,Query[[#Headers],[Code]:[Bing Lee]],Query[[Code]:[Bing Lee]])),"")</f>
        <v/>
      </c>
      <c r="AH29" s="16" t="str">
        <f t="shared" si="79"/>
        <v/>
      </c>
      <c r="AI29" s="16" t="str">
        <f t="shared" si="80"/>
        <v/>
      </c>
      <c r="AJ29" s="17" t="str">
        <f t="shared" si="81"/>
        <v/>
      </c>
      <c r="AK29" s="18" t="str">
        <f t="shared" si="82"/>
        <v/>
      </c>
      <c r="AL29" s="18" t="str">
        <f t="shared" si="83"/>
        <v/>
      </c>
      <c r="AM29" s="109" t="str" cm="1">
        <f t="array" ref="AM29">IFERROR(_xlfn._xlws.FILTER(ST[SOH],(ST[Code]=$C29) * (ST[Customer Name]=AF$3),"" ),"")</f>
        <v/>
      </c>
      <c r="AN29" s="109" t="str" cm="1">
        <f t="array" ref="AN29">IFERROR(
    _xlfn.LET(
        _xlpm.result, INDEX(_xlfn._xlws.FILTER(ST[6wk avg], (ST[Code]=$C29)*(ST[Customer Name]=AF$3), ""), 1),
        IF(_xlpm.result=0, "", _xlpm.result)
    ),
"")</f>
        <v/>
      </c>
      <c r="AO29" s="102" t="str">
        <f t="shared" si="84"/>
        <v/>
      </c>
      <c r="AP29" s="70" t="str">
        <f t="shared" si="85"/>
        <v/>
      </c>
      <c r="AQ29" s="83" t="str">
        <f t="shared" si="86"/>
        <v/>
      </c>
      <c r="AR29" s="77"/>
      <c r="AS29" s="108" t="str" cm="1">
        <f t="array" ref="AS29">IFERROR(_xlfn._xlws.FILTER(ST[Customer Code],(ST[Code]=$C29) * (ST[Customer Name]=AS$3),"" ),"")</f>
        <v/>
      </c>
      <c r="AT29" s="68" t="str" cm="1">
        <f t="array" ref="AT29">IFERROR(_xlfn.XLOOKUP($C29,Query[Code], _xlfn.XLOOKUP('Promo Form'!AS$3,Query[[#Headers],[Code]:[Bing Lee]],Query[[Code]:[Bing Lee]])),"")</f>
        <v/>
      </c>
      <c r="AU29" s="16" t="str">
        <f t="shared" si="87"/>
        <v/>
      </c>
      <c r="AV29" s="16" t="str">
        <f t="shared" si="88"/>
        <v/>
      </c>
      <c r="AW29" s="17" t="str">
        <f t="shared" si="89"/>
        <v/>
      </c>
      <c r="AX29" s="18" t="str">
        <f t="shared" si="90"/>
        <v/>
      </c>
      <c r="AY29" s="18" t="str">
        <f t="shared" si="91"/>
        <v/>
      </c>
      <c r="AZ29" s="109" t="str" cm="1">
        <f t="array" ref="AZ29">IFERROR(_xlfn._xlws.FILTER(ST[SOH],(ST[Code]=$C29) * (ST[Customer Name]=AS$3),"" ),"")</f>
        <v/>
      </c>
      <c r="BA29" s="109" t="str" cm="1">
        <f t="array" ref="BA29">IFERROR(
    _xlfn.LET(
        _xlpm.result, INDEX(_xlfn._xlws.FILTER(ST[6wk avg], (ST[Code]=$C29)*(ST[Customer Name]=AS$3), ""), 1),
        IF(_xlpm.result=0, "", _xlpm.result)
    ),
"")</f>
        <v/>
      </c>
      <c r="BB29" s="102" t="str">
        <f t="shared" si="92"/>
        <v/>
      </c>
      <c r="BC29" s="70" t="str">
        <f t="shared" si="93"/>
        <v/>
      </c>
      <c r="BD29" s="83" t="str">
        <f t="shared" si="94"/>
        <v/>
      </c>
      <c r="BE29" s="77"/>
      <c r="BF29" s="108" t="str" cm="1">
        <f t="array" ref="BF29">IFERROR(_xlfn._xlws.FILTER(ST[Customer Code],(ST[Code]=$C29) * (ST[Customer Name]=BF$3),"" ),"")</f>
        <v/>
      </c>
      <c r="BG29" s="68" t="str" cm="1">
        <f t="array" ref="BG29">IFERROR(_xlfn.XLOOKUP($C29,Query[Code], _xlfn.XLOOKUP('Promo Form'!BF$3,Query[[#Headers],[Code]:[Bing Lee]],Query[[Code]:[Bing Lee]])),"")</f>
        <v/>
      </c>
      <c r="BH29" s="16" t="str">
        <f t="shared" si="95"/>
        <v/>
      </c>
      <c r="BI29" s="16" t="str">
        <f t="shared" si="96"/>
        <v/>
      </c>
      <c r="BJ29" s="17" t="str">
        <f t="shared" si="97"/>
        <v/>
      </c>
      <c r="BK29" s="18" t="str">
        <f t="shared" si="98"/>
        <v/>
      </c>
      <c r="BL29" s="18" t="str">
        <f t="shared" si="99"/>
        <v/>
      </c>
      <c r="BM29" s="109" t="str" cm="1">
        <f t="array" ref="BM29">IFERROR(_xlfn._xlws.FILTER(ST[SOH],(ST[Code]=$C29) * (ST[Customer Name]=BF$3),"" ),"")</f>
        <v/>
      </c>
      <c r="BN29" s="109" t="str" cm="1">
        <f t="array" ref="BN29">IFERROR(
    _xlfn.LET(
        _xlpm.result, INDEX(_xlfn._xlws.FILTER(ST[6wk avg], (ST[Code]=$C29)*(ST[Customer Name]=BF$3), ""), 1),
        IF(_xlpm.result=0, "", _xlpm.result)
    ),
"")</f>
        <v/>
      </c>
      <c r="BO29" s="102" t="str">
        <f t="shared" si="100"/>
        <v/>
      </c>
      <c r="BP29" s="70" t="str">
        <f t="shared" si="101"/>
        <v/>
      </c>
      <c r="BQ29" s="83" t="str">
        <f t="shared" si="102"/>
        <v/>
      </c>
      <c r="BR29" s="77"/>
      <c r="BS29" s="108" t="str" cm="1">
        <f t="array" ref="BS29">IFERROR(_xlfn._xlws.FILTER(ST[Customer Code],(ST[Code]=$C29) * (ST[Customer Name]=BS$3),"" ),"")</f>
        <v/>
      </c>
      <c r="BT29" s="68" t="str" cm="1">
        <f t="array" ref="BT29">IFERROR(_xlfn.XLOOKUP($C29,Query[Code], _xlfn.XLOOKUP('Promo Form'!BS$3,Query[[#Headers],[Code]:[Bing Lee]],Query[[Code]:[Bing Lee]])),"")</f>
        <v/>
      </c>
      <c r="BU29" s="16" t="str">
        <f t="shared" si="103"/>
        <v/>
      </c>
      <c r="BV29" s="16" t="str">
        <f t="shared" si="104"/>
        <v/>
      </c>
      <c r="BW29" s="17" t="str">
        <f t="shared" si="105"/>
        <v/>
      </c>
      <c r="BX29" s="18" t="str">
        <f t="shared" si="106"/>
        <v/>
      </c>
      <c r="BY29" s="18" t="str">
        <f t="shared" si="107"/>
        <v/>
      </c>
      <c r="BZ29" s="109" t="str" cm="1">
        <f t="array" ref="BZ29">IFERROR(_xlfn._xlws.FILTER(ST[SOH],(ST[Code]=$C29) * (ST[Customer Name]=BS$3),"" ),"")</f>
        <v/>
      </c>
      <c r="CA29" s="109" t="str" cm="1">
        <f t="array" ref="CA29">IFERROR(
    _xlfn.LET(
        _xlpm.result, INDEX(_xlfn._xlws.FILTER(ST[6wk avg], (ST[Code]=$C29)*(ST[Customer Name]=BS$3), ""), 1),
        IF(_xlpm.result=0, "", _xlpm.result)
    ),
"")</f>
        <v/>
      </c>
      <c r="CB29" s="102" t="str">
        <f t="shared" si="108"/>
        <v/>
      </c>
      <c r="CC29" s="70" t="str">
        <f t="shared" si="109"/>
        <v/>
      </c>
      <c r="CD29" s="83" t="str">
        <f t="shared" si="110"/>
        <v/>
      </c>
      <c r="CE29" s="77"/>
      <c r="CF29" s="108" t="str" cm="1">
        <f t="array" ref="CF29">IFERROR(_xlfn._xlws.FILTER(ST[Customer Code],(ST[Code]=$C29) * (ST[Customer Name]=CF$3),"" ),"")</f>
        <v/>
      </c>
      <c r="CG29" s="68" t="str" cm="1">
        <f t="array" ref="CG29">IFERROR(_xlfn.XLOOKUP($C29,Query[Code], _xlfn.XLOOKUP('Promo Form'!CF$3,Query[[#Headers],[Code]:[Bing Lee]],Query[[Code]:[Bing Lee]])),"")</f>
        <v/>
      </c>
      <c r="CH29" s="16" t="str">
        <f t="shared" si="111"/>
        <v/>
      </c>
      <c r="CI29" s="16" t="str">
        <f t="shared" si="112"/>
        <v/>
      </c>
      <c r="CJ29" s="17" t="str">
        <f t="shared" si="113"/>
        <v/>
      </c>
      <c r="CK29" s="18" t="str">
        <f t="shared" si="114"/>
        <v/>
      </c>
      <c r="CL29" s="18" t="str">
        <f t="shared" si="115"/>
        <v/>
      </c>
      <c r="CM29" s="109" t="str" cm="1">
        <f t="array" ref="CM29">IFERROR(_xlfn._xlws.FILTER(ST[SOH],(ST[Code]=$C29) * (ST[Customer Name]=CF$3),"" ),"")</f>
        <v/>
      </c>
      <c r="CN29" s="109" t="str" cm="1">
        <f t="array" ref="CN29">IFERROR(
    _xlfn.LET(
        _xlpm.result, INDEX(_xlfn._xlws.FILTER(ST[6wk avg], (ST[Code]=$C29)*(ST[Customer Name]=CF$3), ""), 1),
        IF(_xlpm.result=0, "", _xlpm.result)
    ),
"")</f>
        <v/>
      </c>
      <c r="CO29" s="102" t="str">
        <f t="shared" si="116"/>
        <v/>
      </c>
      <c r="CP29" s="70" t="str">
        <f t="shared" si="117"/>
        <v/>
      </c>
      <c r="CQ29" s="83" t="str">
        <f t="shared" si="118"/>
        <v/>
      </c>
      <c r="CR29" s="77"/>
      <c r="CS29" s="17" t="str">
        <f>IFERROR(_xlfn.XLOOKUP(C29,Query[Code],Query[Base (RRP Inc)]),"")</f>
        <v/>
      </c>
      <c r="CT29" s="17" t="str">
        <f t="shared" si="119"/>
        <v/>
      </c>
      <c r="CU29" s="107" t="str">
        <f t="shared" si="120"/>
        <v/>
      </c>
      <c r="CV29" s="17" t="str">
        <f t="shared" si="121"/>
        <v/>
      </c>
      <c r="CW29" s="17"/>
    </row>
    <row r="30" spans="1:101" x14ac:dyDescent="0.2">
      <c r="A30" s="106" t="str">
        <f t="shared" si="61"/>
        <v/>
      </c>
      <c r="B30" s="106" t="str">
        <f t="shared" si="62"/>
        <v/>
      </c>
      <c r="C30" s="13"/>
      <c r="D30" s="14" t="str">
        <f>IF(C30="", "",_xlfn.XLOOKUP(C30,'Master Price Level'!C:C,'Master Price Level'!D:D))</f>
        <v/>
      </c>
      <c r="E30" s="15"/>
      <c r="F30" s="108" t="str" cm="1">
        <f t="array" ref="F30">IFERROR(_xlfn._xlws.FILTER(ST[Customer Code],(ST[Code]=$C30) * (ST[Customer Name]=F$3),"" ),"")</f>
        <v/>
      </c>
      <c r="G30" s="68" t="str" cm="1">
        <f t="array" ref="G30">IFERROR(_xlfn.XLOOKUP($C30,Query[Code], _xlfn.XLOOKUP('Promo Form'!F$3,Query[[#Headers],[Code]:[Bing Lee]],Query[[Code]:[Bing Lee]])),"")</f>
        <v/>
      </c>
      <c r="H30" s="16" t="str">
        <f t="shared" si="63"/>
        <v/>
      </c>
      <c r="I30" s="16" t="str">
        <f t="shared" si="64"/>
        <v/>
      </c>
      <c r="J30" s="17" t="str">
        <f t="shared" si="65"/>
        <v/>
      </c>
      <c r="K30" s="18" t="str">
        <f t="shared" si="66"/>
        <v/>
      </c>
      <c r="L30" s="18" t="str">
        <f t="shared" si="67"/>
        <v/>
      </c>
      <c r="M30" s="109" t="str" cm="1">
        <f t="array" ref="M30">IFERROR(_xlfn._xlws.FILTER(ST[SOH],(ST[Code]=$C30) * (ST[Customer Name]=F$3),"" ),"")</f>
        <v/>
      </c>
      <c r="N30" s="109" t="str" cm="1">
        <f t="array" ref="N30">IFERROR(
    _xlfn.LET(
        _xlpm.result, INDEX(_xlfn._xlws.FILTER(ST[6wk avg], (ST[Code]=$C30)*(ST[Customer Name]=F$3), ""), 1),
        IF(_xlpm.result=0, "", _xlpm.result)
    ),
"")</f>
        <v/>
      </c>
      <c r="O30" s="102" t="str">
        <f t="shared" si="68"/>
        <v/>
      </c>
      <c r="P30" s="70" t="str">
        <f t="shared" si="69"/>
        <v/>
      </c>
      <c r="Q30" s="83" t="str">
        <f t="shared" si="70"/>
        <v/>
      </c>
      <c r="R30" s="77"/>
      <c r="S30" s="108" t="str" cm="1">
        <f t="array" ref="S30">IFERROR(_xlfn._xlws.FILTER(ST[Customer Code],(ST[Code]=$C30) * (ST[Customer Name]=S$3),"" ),"")</f>
        <v/>
      </c>
      <c r="T30" s="68" t="str" cm="1">
        <f t="array" ref="T30">IFERROR(_xlfn.XLOOKUP($C30,Query[Code], _xlfn.XLOOKUP('Promo Form'!S$3,Query[[#Headers],[Code]:[Bing Lee]],Query[[Code]:[Bing Lee]])),"")</f>
        <v/>
      </c>
      <c r="U30" s="16" t="str">
        <f t="shared" si="71"/>
        <v/>
      </c>
      <c r="V30" s="16" t="str">
        <f t="shared" si="72"/>
        <v/>
      </c>
      <c r="W30" s="17" t="str">
        <f t="shared" si="73"/>
        <v/>
      </c>
      <c r="X30" s="18" t="str">
        <f t="shared" si="74"/>
        <v/>
      </c>
      <c r="Y30" s="18" t="str">
        <f t="shared" si="75"/>
        <v/>
      </c>
      <c r="Z30" s="109" t="str" cm="1">
        <f t="array" ref="Z30">IFERROR(_xlfn._xlws.FILTER(ST[SOH],(ST[Code]=$C30) * (ST[Customer Name]=S$3),"" ),"")</f>
        <v/>
      </c>
      <c r="AA30" s="109" t="str" cm="1">
        <f t="array" ref="AA30">IFERROR(
    _xlfn.LET(
        _xlpm.result, INDEX(_xlfn._xlws.FILTER(ST[6wk avg], (ST[Code]=$C30)*(ST[Customer Name]=S$3), ""), 1),
        IF(_xlpm.result=0, "", _xlpm.result)
    ),
"")</f>
        <v/>
      </c>
      <c r="AB30" s="102" t="str">
        <f t="shared" si="76"/>
        <v/>
      </c>
      <c r="AC30" s="70" t="str">
        <f t="shared" si="77"/>
        <v/>
      </c>
      <c r="AD30" s="83" t="str">
        <f t="shared" si="78"/>
        <v/>
      </c>
      <c r="AE30" s="77"/>
      <c r="AF30" s="108" t="str" cm="1">
        <f t="array" ref="AF30">IFERROR(_xlfn._xlws.FILTER(ST[Customer Code],(ST[Code]=$C30) * (ST[Customer Name]=AF$3),"" ),"")</f>
        <v/>
      </c>
      <c r="AG30" s="68" t="str" cm="1">
        <f t="array" ref="AG30">IFERROR(_xlfn.XLOOKUP($C30,Query[Code], _xlfn.XLOOKUP('Promo Form'!AF$3,Query[[#Headers],[Code]:[Bing Lee]],Query[[Code]:[Bing Lee]])),"")</f>
        <v/>
      </c>
      <c r="AH30" s="16" t="str">
        <f t="shared" si="79"/>
        <v/>
      </c>
      <c r="AI30" s="16" t="str">
        <f t="shared" si="80"/>
        <v/>
      </c>
      <c r="AJ30" s="17" t="str">
        <f t="shared" si="81"/>
        <v/>
      </c>
      <c r="AK30" s="18" t="str">
        <f t="shared" si="82"/>
        <v/>
      </c>
      <c r="AL30" s="18" t="str">
        <f t="shared" si="83"/>
        <v/>
      </c>
      <c r="AM30" s="109" t="str" cm="1">
        <f t="array" ref="AM30">IFERROR(_xlfn._xlws.FILTER(ST[SOH],(ST[Code]=$C30) * (ST[Customer Name]=AF$3),"" ),"")</f>
        <v/>
      </c>
      <c r="AN30" s="109" t="str" cm="1">
        <f t="array" ref="AN30">IFERROR(
    _xlfn.LET(
        _xlpm.result, INDEX(_xlfn._xlws.FILTER(ST[6wk avg], (ST[Code]=$C30)*(ST[Customer Name]=AF$3), ""), 1),
        IF(_xlpm.result=0, "", _xlpm.result)
    ),
"")</f>
        <v/>
      </c>
      <c r="AO30" s="102" t="str">
        <f t="shared" si="84"/>
        <v/>
      </c>
      <c r="AP30" s="70" t="str">
        <f t="shared" si="85"/>
        <v/>
      </c>
      <c r="AQ30" s="83" t="str">
        <f t="shared" si="86"/>
        <v/>
      </c>
      <c r="AR30" s="77"/>
      <c r="AS30" s="108" t="str" cm="1">
        <f t="array" ref="AS30">IFERROR(_xlfn._xlws.FILTER(ST[Customer Code],(ST[Code]=$C30) * (ST[Customer Name]=AS$3),"" ),"")</f>
        <v/>
      </c>
      <c r="AT30" s="68" t="str" cm="1">
        <f t="array" ref="AT30">IFERROR(_xlfn.XLOOKUP($C30,Query[Code], _xlfn.XLOOKUP('Promo Form'!AS$3,Query[[#Headers],[Code]:[Bing Lee]],Query[[Code]:[Bing Lee]])),"")</f>
        <v/>
      </c>
      <c r="AU30" s="16" t="str">
        <f t="shared" si="87"/>
        <v/>
      </c>
      <c r="AV30" s="16" t="str">
        <f t="shared" si="88"/>
        <v/>
      </c>
      <c r="AW30" s="17" t="str">
        <f t="shared" si="89"/>
        <v/>
      </c>
      <c r="AX30" s="18" t="str">
        <f t="shared" si="90"/>
        <v/>
      </c>
      <c r="AY30" s="18" t="str">
        <f t="shared" si="91"/>
        <v/>
      </c>
      <c r="AZ30" s="109" t="str" cm="1">
        <f t="array" ref="AZ30">IFERROR(_xlfn._xlws.FILTER(ST[SOH],(ST[Code]=$C30) * (ST[Customer Name]=AS$3),"" ),"")</f>
        <v/>
      </c>
      <c r="BA30" s="109" t="str" cm="1">
        <f t="array" ref="BA30">IFERROR(
    _xlfn.LET(
        _xlpm.result, INDEX(_xlfn._xlws.FILTER(ST[6wk avg], (ST[Code]=$C30)*(ST[Customer Name]=AS$3), ""), 1),
        IF(_xlpm.result=0, "", _xlpm.result)
    ),
"")</f>
        <v/>
      </c>
      <c r="BB30" s="102" t="str">
        <f t="shared" si="92"/>
        <v/>
      </c>
      <c r="BC30" s="70" t="str">
        <f t="shared" si="93"/>
        <v/>
      </c>
      <c r="BD30" s="83" t="str">
        <f t="shared" si="94"/>
        <v/>
      </c>
      <c r="BE30" s="77"/>
      <c r="BF30" s="108" t="str" cm="1">
        <f t="array" ref="BF30">IFERROR(_xlfn._xlws.FILTER(ST[Customer Code],(ST[Code]=$C30) * (ST[Customer Name]=BF$3),"" ),"")</f>
        <v/>
      </c>
      <c r="BG30" s="68" t="str" cm="1">
        <f t="array" ref="BG30">IFERROR(_xlfn.XLOOKUP($C30,Query[Code], _xlfn.XLOOKUP('Promo Form'!BF$3,Query[[#Headers],[Code]:[Bing Lee]],Query[[Code]:[Bing Lee]])),"")</f>
        <v/>
      </c>
      <c r="BH30" s="16" t="str">
        <f t="shared" si="95"/>
        <v/>
      </c>
      <c r="BI30" s="16" t="str">
        <f t="shared" si="96"/>
        <v/>
      </c>
      <c r="BJ30" s="17" t="str">
        <f t="shared" si="97"/>
        <v/>
      </c>
      <c r="BK30" s="18" t="str">
        <f t="shared" si="98"/>
        <v/>
      </c>
      <c r="BL30" s="18" t="str">
        <f t="shared" si="99"/>
        <v/>
      </c>
      <c r="BM30" s="109" t="str" cm="1">
        <f t="array" ref="BM30">IFERROR(_xlfn._xlws.FILTER(ST[SOH],(ST[Code]=$C30) * (ST[Customer Name]=BF$3),"" ),"")</f>
        <v/>
      </c>
      <c r="BN30" s="109" t="str" cm="1">
        <f t="array" ref="BN30">IFERROR(
    _xlfn.LET(
        _xlpm.result, INDEX(_xlfn._xlws.FILTER(ST[6wk avg], (ST[Code]=$C30)*(ST[Customer Name]=BF$3), ""), 1),
        IF(_xlpm.result=0, "", _xlpm.result)
    ),
"")</f>
        <v/>
      </c>
      <c r="BO30" s="102" t="str">
        <f t="shared" si="100"/>
        <v/>
      </c>
      <c r="BP30" s="70" t="str">
        <f t="shared" si="101"/>
        <v/>
      </c>
      <c r="BQ30" s="83" t="str">
        <f t="shared" si="102"/>
        <v/>
      </c>
      <c r="BR30" s="77"/>
      <c r="BS30" s="108" t="str" cm="1">
        <f t="array" ref="BS30">IFERROR(_xlfn._xlws.FILTER(ST[Customer Code],(ST[Code]=$C30) * (ST[Customer Name]=BS$3),"" ),"")</f>
        <v/>
      </c>
      <c r="BT30" s="68" t="str" cm="1">
        <f t="array" ref="BT30">IFERROR(_xlfn.XLOOKUP($C30,Query[Code], _xlfn.XLOOKUP('Promo Form'!BS$3,Query[[#Headers],[Code]:[Bing Lee]],Query[[Code]:[Bing Lee]])),"")</f>
        <v/>
      </c>
      <c r="BU30" s="16" t="str">
        <f t="shared" si="103"/>
        <v/>
      </c>
      <c r="BV30" s="16" t="str">
        <f t="shared" si="104"/>
        <v/>
      </c>
      <c r="BW30" s="17" t="str">
        <f t="shared" si="105"/>
        <v/>
      </c>
      <c r="BX30" s="18" t="str">
        <f t="shared" si="106"/>
        <v/>
      </c>
      <c r="BY30" s="18" t="str">
        <f t="shared" si="107"/>
        <v/>
      </c>
      <c r="BZ30" s="109" t="str" cm="1">
        <f t="array" ref="BZ30">IFERROR(_xlfn._xlws.FILTER(ST[SOH],(ST[Code]=$C30) * (ST[Customer Name]=BS$3),"" ),"")</f>
        <v/>
      </c>
      <c r="CA30" s="109" t="str" cm="1">
        <f t="array" ref="CA30">IFERROR(
    _xlfn.LET(
        _xlpm.result, INDEX(_xlfn._xlws.FILTER(ST[6wk avg], (ST[Code]=$C30)*(ST[Customer Name]=BS$3), ""), 1),
        IF(_xlpm.result=0, "", _xlpm.result)
    ),
"")</f>
        <v/>
      </c>
      <c r="CB30" s="102" t="str">
        <f t="shared" si="108"/>
        <v/>
      </c>
      <c r="CC30" s="70" t="str">
        <f t="shared" si="109"/>
        <v/>
      </c>
      <c r="CD30" s="83" t="str">
        <f t="shared" si="110"/>
        <v/>
      </c>
      <c r="CE30" s="77"/>
      <c r="CF30" s="108" t="str" cm="1">
        <f t="array" ref="CF30">IFERROR(_xlfn._xlws.FILTER(ST[Customer Code],(ST[Code]=$C30) * (ST[Customer Name]=CF$3),"" ),"")</f>
        <v/>
      </c>
      <c r="CG30" s="68" t="str" cm="1">
        <f t="array" ref="CG30">IFERROR(_xlfn.XLOOKUP($C30,Query[Code], _xlfn.XLOOKUP('Promo Form'!CF$3,Query[[#Headers],[Code]:[Bing Lee]],Query[[Code]:[Bing Lee]])),"")</f>
        <v/>
      </c>
      <c r="CH30" s="16" t="str">
        <f t="shared" si="111"/>
        <v/>
      </c>
      <c r="CI30" s="16" t="str">
        <f t="shared" si="112"/>
        <v/>
      </c>
      <c r="CJ30" s="17" t="str">
        <f t="shared" si="113"/>
        <v/>
      </c>
      <c r="CK30" s="18" t="str">
        <f t="shared" si="114"/>
        <v/>
      </c>
      <c r="CL30" s="18" t="str">
        <f t="shared" si="115"/>
        <v/>
      </c>
      <c r="CM30" s="109" t="str" cm="1">
        <f t="array" ref="CM30">IFERROR(_xlfn._xlws.FILTER(ST[SOH],(ST[Code]=$C30) * (ST[Customer Name]=CF$3),"" ),"")</f>
        <v/>
      </c>
      <c r="CN30" s="109" t="str" cm="1">
        <f t="array" ref="CN30">IFERROR(
    _xlfn.LET(
        _xlpm.result, INDEX(_xlfn._xlws.FILTER(ST[6wk avg], (ST[Code]=$C30)*(ST[Customer Name]=CF$3), ""), 1),
        IF(_xlpm.result=0, "", _xlpm.result)
    ),
"")</f>
        <v/>
      </c>
      <c r="CO30" s="102" t="str">
        <f t="shared" si="116"/>
        <v/>
      </c>
      <c r="CP30" s="70" t="str">
        <f t="shared" si="117"/>
        <v/>
      </c>
      <c r="CQ30" s="83" t="str">
        <f t="shared" si="118"/>
        <v/>
      </c>
      <c r="CR30" s="77"/>
      <c r="CS30" s="17" t="str">
        <f>IFERROR(_xlfn.XLOOKUP(C30,Query[Code],Query[Base (RRP Inc)]),"")</f>
        <v/>
      </c>
      <c r="CT30" s="17" t="str">
        <f t="shared" si="119"/>
        <v/>
      </c>
      <c r="CU30" s="107" t="str">
        <f t="shared" si="120"/>
        <v/>
      </c>
      <c r="CV30" s="17" t="str">
        <f t="shared" si="121"/>
        <v/>
      </c>
      <c r="CW30" s="17"/>
    </row>
    <row r="31" spans="1:101" x14ac:dyDescent="0.2">
      <c r="A31" s="106" t="str">
        <f t="shared" si="61"/>
        <v/>
      </c>
      <c r="B31" s="106" t="str">
        <f t="shared" si="62"/>
        <v/>
      </c>
      <c r="C31" s="13"/>
      <c r="D31" s="14" t="str">
        <f>IF(C31="", "",_xlfn.XLOOKUP(C31,'Master Price Level'!C:C,'Master Price Level'!D:D))</f>
        <v/>
      </c>
      <c r="E31" s="15"/>
      <c r="F31" s="108" t="str" cm="1">
        <f t="array" ref="F31">IFERROR(_xlfn._xlws.FILTER(ST[Customer Code],(ST[Code]=$C31) * (ST[Customer Name]=F$3),"" ),"")</f>
        <v/>
      </c>
      <c r="G31" s="68" t="str" cm="1">
        <f t="array" ref="G31">IFERROR(_xlfn.XLOOKUP($C31,Query[Code], _xlfn.XLOOKUP('Promo Form'!F$3,Query[[#Headers],[Code]:[Bing Lee]],Query[[Code]:[Bing Lee]])),"")</f>
        <v/>
      </c>
      <c r="H31" s="16" t="str">
        <f t="shared" si="63"/>
        <v/>
      </c>
      <c r="I31" s="16" t="str">
        <f t="shared" si="64"/>
        <v/>
      </c>
      <c r="J31" s="17" t="str">
        <f t="shared" si="65"/>
        <v/>
      </c>
      <c r="K31" s="18" t="str">
        <f t="shared" si="66"/>
        <v/>
      </c>
      <c r="L31" s="18" t="str">
        <f t="shared" si="67"/>
        <v/>
      </c>
      <c r="M31" s="109" t="str" cm="1">
        <f t="array" ref="M31">IFERROR(_xlfn._xlws.FILTER(ST[SOH],(ST[Code]=$C31) * (ST[Customer Name]=F$3),"" ),"")</f>
        <v/>
      </c>
      <c r="N31" s="109" t="str" cm="1">
        <f t="array" ref="N31">IFERROR(
    _xlfn.LET(
        _xlpm.result, INDEX(_xlfn._xlws.FILTER(ST[6wk avg], (ST[Code]=$C31)*(ST[Customer Name]=F$3), ""), 1),
        IF(_xlpm.result=0, "", _xlpm.result)
    ),
"")</f>
        <v/>
      </c>
      <c r="O31" s="102" t="str">
        <f t="shared" si="68"/>
        <v/>
      </c>
      <c r="P31" s="70" t="str">
        <f t="shared" si="69"/>
        <v/>
      </c>
      <c r="Q31" s="83" t="str">
        <f t="shared" si="70"/>
        <v/>
      </c>
      <c r="R31" s="77"/>
      <c r="S31" s="108" t="str" cm="1">
        <f t="array" ref="S31">IFERROR(_xlfn._xlws.FILTER(ST[Customer Code],(ST[Code]=$C31) * (ST[Customer Name]=S$3),"" ),"")</f>
        <v/>
      </c>
      <c r="T31" s="68" t="str" cm="1">
        <f t="array" ref="T31">IFERROR(_xlfn.XLOOKUP($C31,Query[Code], _xlfn.XLOOKUP('Promo Form'!S$3,Query[[#Headers],[Code]:[Bing Lee]],Query[[Code]:[Bing Lee]])),"")</f>
        <v/>
      </c>
      <c r="U31" s="16" t="str">
        <f t="shared" si="71"/>
        <v/>
      </c>
      <c r="V31" s="16" t="str">
        <f t="shared" si="72"/>
        <v/>
      </c>
      <c r="W31" s="17" t="str">
        <f t="shared" si="73"/>
        <v/>
      </c>
      <c r="X31" s="18" t="str">
        <f t="shared" si="74"/>
        <v/>
      </c>
      <c r="Y31" s="18" t="str">
        <f t="shared" si="75"/>
        <v/>
      </c>
      <c r="Z31" s="109" t="str" cm="1">
        <f t="array" ref="Z31">IFERROR(_xlfn._xlws.FILTER(ST[SOH],(ST[Code]=$C31) * (ST[Customer Name]=S$3),"" ),"")</f>
        <v/>
      </c>
      <c r="AA31" s="109" t="str" cm="1">
        <f t="array" ref="AA31">IFERROR(
    _xlfn.LET(
        _xlpm.result, INDEX(_xlfn._xlws.FILTER(ST[6wk avg], (ST[Code]=$C31)*(ST[Customer Name]=S$3), ""), 1),
        IF(_xlpm.result=0, "", _xlpm.result)
    ),
"")</f>
        <v/>
      </c>
      <c r="AB31" s="102" t="str">
        <f t="shared" si="76"/>
        <v/>
      </c>
      <c r="AC31" s="70" t="str">
        <f t="shared" si="77"/>
        <v/>
      </c>
      <c r="AD31" s="83" t="str">
        <f t="shared" si="78"/>
        <v/>
      </c>
      <c r="AE31" s="77"/>
      <c r="AF31" s="108" t="str" cm="1">
        <f t="array" ref="AF31">IFERROR(_xlfn._xlws.FILTER(ST[Customer Code],(ST[Code]=$C31) * (ST[Customer Name]=AF$3),"" ),"")</f>
        <v/>
      </c>
      <c r="AG31" s="68" t="str" cm="1">
        <f t="array" ref="AG31">IFERROR(_xlfn.XLOOKUP($C31,Query[Code], _xlfn.XLOOKUP('Promo Form'!AF$3,Query[[#Headers],[Code]:[Bing Lee]],Query[[Code]:[Bing Lee]])),"")</f>
        <v/>
      </c>
      <c r="AH31" s="16" t="str">
        <f t="shared" si="79"/>
        <v/>
      </c>
      <c r="AI31" s="16" t="str">
        <f t="shared" si="80"/>
        <v/>
      </c>
      <c r="AJ31" s="17" t="str">
        <f t="shared" si="81"/>
        <v/>
      </c>
      <c r="AK31" s="18" t="str">
        <f t="shared" si="82"/>
        <v/>
      </c>
      <c r="AL31" s="18" t="str">
        <f t="shared" si="83"/>
        <v/>
      </c>
      <c r="AM31" s="109" t="str" cm="1">
        <f t="array" ref="AM31">IFERROR(_xlfn._xlws.FILTER(ST[SOH],(ST[Code]=$C31) * (ST[Customer Name]=AF$3),"" ),"")</f>
        <v/>
      </c>
      <c r="AN31" s="109" t="str" cm="1">
        <f t="array" ref="AN31">IFERROR(
    _xlfn.LET(
        _xlpm.result, INDEX(_xlfn._xlws.FILTER(ST[6wk avg], (ST[Code]=$C31)*(ST[Customer Name]=AF$3), ""), 1),
        IF(_xlpm.result=0, "", _xlpm.result)
    ),
"")</f>
        <v/>
      </c>
      <c r="AO31" s="102" t="str">
        <f t="shared" si="84"/>
        <v/>
      </c>
      <c r="AP31" s="70" t="str">
        <f t="shared" si="85"/>
        <v/>
      </c>
      <c r="AQ31" s="83" t="str">
        <f t="shared" si="86"/>
        <v/>
      </c>
      <c r="AR31" s="77"/>
      <c r="AS31" s="108" t="str" cm="1">
        <f t="array" ref="AS31">IFERROR(_xlfn._xlws.FILTER(ST[Customer Code],(ST[Code]=$C31) * (ST[Customer Name]=AS$3),"" ),"")</f>
        <v/>
      </c>
      <c r="AT31" s="68" t="str" cm="1">
        <f t="array" ref="AT31">IFERROR(_xlfn.XLOOKUP($C31,Query[Code], _xlfn.XLOOKUP('Promo Form'!AS$3,Query[[#Headers],[Code]:[Bing Lee]],Query[[Code]:[Bing Lee]])),"")</f>
        <v/>
      </c>
      <c r="AU31" s="16" t="str">
        <f t="shared" si="87"/>
        <v/>
      </c>
      <c r="AV31" s="16" t="str">
        <f t="shared" si="88"/>
        <v/>
      </c>
      <c r="AW31" s="17" t="str">
        <f t="shared" si="89"/>
        <v/>
      </c>
      <c r="AX31" s="18" t="str">
        <f t="shared" si="90"/>
        <v/>
      </c>
      <c r="AY31" s="18" t="str">
        <f t="shared" si="91"/>
        <v/>
      </c>
      <c r="AZ31" s="109" t="str" cm="1">
        <f t="array" ref="AZ31">IFERROR(_xlfn._xlws.FILTER(ST[SOH],(ST[Code]=$C31) * (ST[Customer Name]=AS$3),"" ),"")</f>
        <v/>
      </c>
      <c r="BA31" s="109" t="str" cm="1">
        <f t="array" ref="BA31">IFERROR(
    _xlfn.LET(
        _xlpm.result, INDEX(_xlfn._xlws.FILTER(ST[6wk avg], (ST[Code]=$C31)*(ST[Customer Name]=AS$3), ""), 1),
        IF(_xlpm.result=0, "", _xlpm.result)
    ),
"")</f>
        <v/>
      </c>
      <c r="BB31" s="102" t="str">
        <f t="shared" si="92"/>
        <v/>
      </c>
      <c r="BC31" s="70" t="str">
        <f t="shared" si="93"/>
        <v/>
      </c>
      <c r="BD31" s="83" t="str">
        <f t="shared" si="94"/>
        <v/>
      </c>
      <c r="BE31" s="77"/>
      <c r="BF31" s="108" t="str" cm="1">
        <f t="array" ref="BF31">IFERROR(_xlfn._xlws.FILTER(ST[Customer Code],(ST[Code]=$C31) * (ST[Customer Name]=BF$3),"" ),"")</f>
        <v/>
      </c>
      <c r="BG31" s="68" t="str" cm="1">
        <f t="array" ref="BG31">IFERROR(_xlfn.XLOOKUP($C31,Query[Code], _xlfn.XLOOKUP('Promo Form'!BF$3,Query[[#Headers],[Code]:[Bing Lee]],Query[[Code]:[Bing Lee]])),"")</f>
        <v/>
      </c>
      <c r="BH31" s="16" t="str">
        <f t="shared" si="95"/>
        <v/>
      </c>
      <c r="BI31" s="16" t="str">
        <f t="shared" si="96"/>
        <v/>
      </c>
      <c r="BJ31" s="17" t="str">
        <f t="shared" si="97"/>
        <v/>
      </c>
      <c r="BK31" s="18" t="str">
        <f t="shared" si="98"/>
        <v/>
      </c>
      <c r="BL31" s="18" t="str">
        <f t="shared" si="99"/>
        <v/>
      </c>
      <c r="BM31" s="109" t="str" cm="1">
        <f t="array" ref="BM31">IFERROR(_xlfn._xlws.FILTER(ST[SOH],(ST[Code]=$C31) * (ST[Customer Name]=BF$3),"" ),"")</f>
        <v/>
      </c>
      <c r="BN31" s="109" t="str" cm="1">
        <f t="array" ref="BN31">IFERROR(
    _xlfn.LET(
        _xlpm.result, INDEX(_xlfn._xlws.FILTER(ST[6wk avg], (ST[Code]=$C31)*(ST[Customer Name]=BF$3), ""), 1),
        IF(_xlpm.result=0, "", _xlpm.result)
    ),
"")</f>
        <v/>
      </c>
      <c r="BO31" s="102" t="str">
        <f t="shared" si="100"/>
        <v/>
      </c>
      <c r="BP31" s="70" t="str">
        <f t="shared" si="101"/>
        <v/>
      </c>
      <c r="BQ31" s="83" t="str">
        <f t="shared" si="102"/>
        <v/>
      </c>
      <c r="BR31" s="77"/>
      <c r="BS31" s="108" t="str" cm="1">
        <f t="array" ref="BS31">IFERROR(_xlfn._xlws.FILTER(ST[Customer Code],(ST[Code]=$C31) * (ST[Customer Name]=BS$3),"" ),"")</f>
        <v/>
      </c>
      <c r="BT31" s="68" t="str" cm="1">
        <f t="array" ref="BT31">IFERROR(_xlfn.XLOOKUP($C31,Query[Code], _xlfn.XLOOKUP('Promo Form'!BS$3,Query[[#Headers],[Code]:[Bing Lee]],Query[[Code]:[Bing Lee]])),"")</f>
        <v/>
      </c>
      <c r="BU31" s="16" t="str">
        <f t="shared" si="103"/>
        <v/>
      </c>
      <c r="BV31" s="16" t="str">
        <f t="shared" si="104"/>
        <v/>
      </c>
      <c r="BW31" s="17" t="str">
        <f t="shared" si="105"/>
        <v/>
      </c>
      <c r="BX31" s="18" t="str">
        <f t="shared" si="106"/>
        <v/>
      </c>
      <c r="BY31" s="18" t="str">
        <f t="shared" si="107"/>
        <v/>
      </c>
      <c r="BZ31" s="109" t="str" cm="1">
        <f t="array" ref="BZ31">IFERROR(_xlfn._xlws.FILTER(ST[SOH],(ST[Code]=$C31) * (ST[Customer Name]=BS$3),"" ),"")</f>
        <v/>
      </c>
      <c r="CA31" s="109" t="str" cm="1">
        <f t="array" ref="CA31">IFERROR(
    _xlfn.LET(
        _xlpm.result, INDEX(_xlfn._xlws.FILTER(ST[6wk avg], (ST[Code]=$C31)*(ST[Customer Name]=BS$3), ""), 1),
        IF(_xlpm.result=0, "", _xlpm.result)
    ),
"")</f>
        <v/>
      </c>
      <c r="CB31" s="102" t="str">
        <f t="shared" si="108"/>
        <v/>
      </c>
      <c r="CC31" s="70" t="str">
        <f t="shared" si="109"/>
        <v/>
      </c>
      <c r="CD31" s="83" t="str">
        <f t="shared" si="110"/>
        <v/>
      </c>
      <c r="CE31" s="77"/>
      <c r="CF31" s="108" t="str" cm="1">
        <f t="array" ref="CF31">IFERROR(_xlfn._xlws.FILTER(ST[Customer Code],(ST[Code]=$C31) * (ST[Customer Name]=CF$3),"" ),"")</f>
        <v/>
      </c>
      <c r="CG31" s="68" t="str" cm="1">
        <f t="array" ref="CG31">IFERROR(_xlfn.XLOOKUP($C31,Query[Code], _xlfn.XLOOKUP('Promo Form'!CF$3,Query[[#Headers],[Code]:[Bing Lee]],Query[[Code]:[Bing Lee]])),"")</f>
        <v/>
      </c>
      <c r="CH31" s="16" t="str">
        <f t="shared" si="111"/>
        <v/>
      </c>
      <c r="CI31" s="16" t="str">
        <f t="shared" si="112"/>
        <v/>
      </c>
      <c r="CJ31" s="17" t="str">
        <f t="shared" si="113"/>
        <v/>
      </c>
      <c r="CK31" s="18" t="str">
        <f t="shared" si="114"/>
        <v/>
      </c>
      <c r="CL31" s="18" t="str">
        <f t="shared" si="115"/>
        <v/>
      </c>
      <c r="CM31" s="109" t="str" cm="1">
        <f t="array" ref="CM31">IFERROR(_xlfn._xlws.FILTER(ST[SOH],(ST[Code]=$C31) * (ST[Customer Name]=CF$3),"" ),"")</f>
        <v/>
      </c>
      <c r="CN31" s="109" t="str" cm="1">
        <f t="array" ref="CN31">IFERROR(
    _xlfn.LET(
        _xlpm.result, INDEX(_xlfn._xlws.FILTER(ST[6wk avg], (ST[Code]=$C31)*(ST[Customer Name]=CF$3), ""), 1),
        IF(_xlpm.result=0, "", _xlpm.result)
    ),
"")</f>
        <v/>
      </c>
      <c r="CO31" s="102" t="str">
        <f t="shared" si="116"/>
        <v/>
      </c>
      <c r="CP31" s="70" t="str">
        <f t="shared" si="117"/>
        <v/>
      </c>
      <c r="CQ31" s="83" t="str">
        <f t="shared" si="118"/>
        <v/>
      </c>
      <c r="CR31" s="77"/>
      <c r="CS31" s="17" t="str">
        <f>IFERROR(_xlfn.XLOOKUP(C31,Query[Code],Query[Base (RRP Inc)]),"")</f>
        <v/>
      </c>
      <c r="CT31" s="17" t="str">
        <f t="shared" si="119"/>
        <v/>
      </c>
      <c r="CU31" s="107" t="str">
        <f t="shared" si="120"/>
        <v/>
      </c>
      <c r="CV31" s="17" t="str">
        <f t="shared" si="121"/>
        <v/>
      </c>
      <c r="CW31" s="17"/>
    </row>
    <row r="32" spans="1:101" x14ac:dyDescent="0.2">
      <c r="A32" s="106" t="str">
        <f t="shared" si="61"/>
        <v/>
      </c>
      <c r="B32" s="106" t="str">
        <f t="shared" si="62"/>
        <v/>
      </c>
      <c r="C32" s="13"/>
      <c r="D32" s="14" t="str">
        <f>IF(C32="", "",_xlfn.XLOOKUP(C32,'Master Price Level'!C:C,'Master Price Level'!D:D))</f>
        <v/>
      </c>
      <c r="E32" s="15"/>
      <c r="F32" s="108" t="str" cm="1">
        <f t="array" ref="F32">IFERROR(_xlfn._xlws.FILTER(ST[Customer Code],(ST[Code]=$C32) * (ST[Customer Name]=F$3),"" ),"")</f>
        <v/>
      </c>
      <c r="G32" s="68" t="str" cm="1">
        <f t="array" ref="G32">IFERROR(_xlfn.XLOOKUP($C32,Query[Code], _xlfn.XLOOKUP('Promo Form'!F$3,Query[[#Headers],[Code]:[Bing Lee]],Query[[Code]:[Bing Lee]])),"")</f>
        <v/>
      </c>
      <c r="H32" s="16" t="str">
        <f t="shared" si="63"/>
        <v/>
      </c>
      <c r="I32" s="16" t="str">
        <f t="shared" si="64"/>
        <v/>
      </c>
      <c r="J32" s="17" t="str">
        <f t="shared" si="65"/>
        <v/>
      </c>
      <c r="K32" s="18" t="str">
        <f t="shared" si="66"/>
        <v/>
      </c>
      <c r="L32" s="18" t="str">
        <f t="shared" si="67"/>
        <v/>
      </c>
      <c r="M32" s="109" t="str" cm="1">
        <f t="array" ref="M32">IFERROR(_xlfn._xlws.FILTER(ST[SOH],(ST[Code]=$C32) * (ST[Customer Name]=F$3),"" ),"")</f>
        <v/>
      </c>
      <c r="N32" s="109" t="str" cm="1">
        <f t="array" ref="N32">IFERROR(
    _xlfn.LET(
        _xlpm.result, INDEX(_xlfn._xlws.FILTER(ST[6wk avg], (ST[Code]=$C32)*(ST[Customer Name]=F$3), ""), 1),
        IF(_xlpm.result=0, "", _xlpm.result)
    ),
"")</f>
        <v/>
      </c>
      <c r="O32" s="102" t="str">
        <f t="shared" si="68"/>
        <v/>
      </c>
      <c r="P32" s="70" t="str">
        <f t="shared" si="69"/>
        <v/>
      </c>
      <c r="Q32" s="83" t="str">
        <f t="shared" si="70"/>
        <v/>
      </c>
      <c r="R32" s="77"/>
      <c r="S32" s="108" t="str" cm="1">
        <f t="array" ref="S32">IFERROR(_xlfn._xlws.FILTER(ST[Customer Code],(ST[Code]=$C32) * (ST[Customer Name]=S$3),"" ),"")</f>
        <v/>
      </c>
      <c r="T32" s="68" t="str" cm="1">
        <f t="array" ref="T32">IFERROR(_xlfn.XLOOKUP($C32,Query[Code], _xlfn.XLOOKUP('Promo Form'!S$3,Query[[#Headers],[Code]:[Bing Lee]],Query[[Code]:[Bing Lee]])),"")</f>
        <v/>
      </c>
      <c r="U32" s="16" t="str">
        <f t="shared" si="71"/>
        <v/>
      </c>
      <c r="V32" s="16" t="str">
        <f t="shared" si="72"/>
        <v/>
      </c>
      <c r="W32" s="17" t="str">
        <f t="shared" si="73"/>
        <v/>
      </c>
      <c r="X32" s="18" t="str">
        <f t="shared" si="74"/>
        <v/>
      </c>
      <c r="Y32" s="18" t="str">
        <f t="shared" si="75"/>
        <v/>
      </c>
      <c r="Z32" s="109" t="str" cm="1">
        <f t="array" ref="Z32">IFERROR(_xlfn._xlws.FILTER(ST[SOH],(ST[Code]=$C32) * (ST[Customer Name]=S$3),"" ),"")</f>
        <v/>
      </c>
      <c r="AA32" s="109" t="str" cm="1">
        <f t="array" ref="AA32">IFERROR(
    _xlfn.LET(
        _xlpm.result, INDEX(_xlfn._xlws.FILTER(ST[6wk avg], (ST[Code]=$C32)*(ST[Customer Name]=S$3), ""), 1),
        IF(_xlpm.result=0, "", _xlpm.result)
    ),
"")</f>
        <v/>
      </c>
      <c r="AB32" s="102" t="str">
        <f t="shared" si="76"/>
        <v/>
      </c>
      <c r="AC32" s="70" t="str">
        <f t="shared" si="77"/>
        <v/>
      </c>
      <c r="AD32" s="83" t="str">
        <f t="shared" si="78"/>
        <v/>
      </c>
      <c r="AE32" s="77"/>
      <c r="AF32" s="108" t="str" cm="1">
        <f t="array" ref="AF32">IFERROR(_xlfn._xlws.FILTER(ST[Customer Code],(ST[Code]=$C32) * (ST[Customer Name]=AF$3),"" ),"")</f>
        <v/>
      </c>
      <c r="AG32" s="68" t="str" cm="1">
        <f t="array" ref="AG32">IFERROR(_xlfn.XLOOKUP($C32,Query[Code], _xlfn.XLOOKUP('Promo Form'!AF$3,Query[[#Headers],[Code]:[Bing Lee]],Query[[Code]:[Bing Lee]])),"")</f>
        <v/>
      </c>
      <c r="AH32" s="16" t="str">
        <f t="shared" si="79"/>
        <v/>
      </c>
      <c r="AI32" s="16" t="str">
        <f t="shared" si="80"/>
        <v/>
      </c>
      <c r="AJ32" s="17" t="str">
        <f t="shared" si="81"/>
        <v/>
      </c>
      <c r="AK32" s="18" t="str">
        <f t="shared" si="82"/>
        <v/>
      </c>
      <c r="AL32" s="18" t="str">
        <f t="shared" si="83"/>
        <v/>
      </c>
      <c r="AM32" s="109" t="str" cm="1">
        <f t="array" ref="AM32">IFERROR(_xlfn._xlws.FILTER(ST[SOH],(ST[Code]=$C32) * (ST[Customer Name]=AF$3),"" ),"")</f>
        <v/>
      </c>
      <c r="AN32" s="109" t="str" cm="1">
        <f t="array" ref="AN32">IFERROR(
    _xlfn.LET(
        _xlpm.result, INDEX(_xlfn._xlws.FILTER(ST[6wk avg], (ST[Code]=$C32)*(ST[Customer Name]=AF$3), ""), 1),
        IF(_xlpm.result=0, "", _xlpm.result)
    ),
"")</f>
        <v/>
      </c>
      <c r="AO32" s="102" t="str">
        <f t="shared" si="84"/>
        <v/>
      </c>
      <c r="AP32" s="70" t="str">
        <f t="shared" si="85"/>
        <v/>
      </c>
      <c r="AQ32" s="83" t="str">
        <f t="shared" si="86"/>
        <v/>
      </c>
      <c r="AR32" s="77"/>
      <c r="AS32" s="108" t="str" cm="1">
        <f t="array" ref="AS32">IFERROR(_xlfn._xlws.FILTER(ST[Customer Code],(ST[Code]=$C32) * (ST[Customer Name]=AS$3),"" ),"")</f>
        <v/>
      </c>
      <c r="AT32" s="68" t="str" cm="1">
        <f t="array" ref="AT32">IFERROR(_xlfn.XLOOKUP($C32,Query[Code], _xlfn.XLOOKUP('Promo Form'!AS$3,Query[[#Headers],[Code]:[Bing Lee]],Query[[Code]:[Bing Lee]])),"")</f>
        <v/>
      </c>
      <c r="AU32" s="16" t="str">
        <f t="shared" si="87"/>
        <v/>
      </c>
      <c r="AV32" s="16" t="str">
        <f t="shared" si="88"/>
        <v/>
      </c>
      <c r="AW32" s="17" t="str">
        <f t="shared" si="89"/>
        <v/>
      </c>
      <c r="AX32" s="18" t="str">
        <f t="shared" si="90"/>
        <v/>
      </c>
      <c r="AY32" s="18" t="str">
        <f t="shared" si="91"/>
        <v/>
      </c>
      <c r="AZ32" s="109" t="str" cm="1">
        <f t="array" ref="AZ32">IFERROR(_xlfn._xlws.FILTER(ST[SOH],(ST[Code]=$C32) * (ST[Customer Name]=AS$3),"" ),"")</f>
        <v/>
      </c>
      <c r="BA32" s="109" t="str" cm="1">
        <f t="array" ref="BA32">IFERROR(
    _xlfn.LET(
        _xlpm.result, INDEX(_xlfn._xlws.FILTER(ST[6wk avg], (ST[Code]=$C32)*(ST[Customer Name]=AS$3), ""), 1),
        IF(_xlpm.result=0, "", _xlpm.result)
    ),
"")</f>
        <v/>
      </c>
      <c r="BB32" s="102" t="str">
        <f t="shared" si="92"/>
        <v/>
      </c>
      <c r="BC32" s="70" t="str">
        <f t="shared" si="93"/>
        <v/>
      </c>
      <c r="BD32" s="83" t="str">
        <f t="shared" si="94"/>
        <v/>
      </c>
      <c r="BE32" s="77"/>
      <c r="BF32" s="108" t="str" cm="1">
        <f t="array" ref="BF32">IFERROR(_xlfn._xlws.FILTER(ST[Customer Code],(ST[Code]=$C32) * (ST[Customer Name]=BF$3),"" ),"")</f>
        <v/>
      </c>
      <c r="BG32" s="68" t="str" cm="1">
        <f t="array" ref="BG32">IFERROR(_xlfn.XLOOKUP($C32,Query[Code], _xlfn.XLOOKUP('Promo Form'!BF$3,Query[[#Headers],[Code]:[Bing Lee]],Query[[Code]:[Bing Lee]])),"")</f>
        <v/>
      </c>
      <c r="BH32" s="16" t="str">
        <f t="shared" si="95"/>
        <v/>
      </c>
      <c r="BI32" s="16" t="str">
        <f t="shared" si="96"/>
        <v/>
      </c>
      <c r="BJ32" s="17" t="str">
        <f t="shared" si="97"/>
        <v/>
      </c>
      <c r="BK32" s="18" t="str">
        <f t="shared" si="98"/>
        <v/>
      </c>
      <c r="BL32" s="18" t="str">
        <f t="shared" si="99"/>
        <v/>
      </c>
      <c r="BM32" s="109" t="str" cm="1">
        <f t="array" ref="BM32">IFERROR(_xlfn._xlws.FILTER(ST[SOH],(ST[Code]=$C32) * (ST[Customer Name]=BF$3),"" ),"")</f>
        <v/>
      </c>
      <c r="BN32" s="109" t="str" cm="1">
        <f t="array" ref="BN32">IFERROR(
    _xlfn.LET(
        _xlpm.result, INDEX(_xlfn._xlws.FILTER(ST[6wk avg], (ST[Code]=$C32)*(ST[Customer Name]=BF$3), ""), 1),
        IF(_xlpm.result=0, "", _xlpm.result)
    ),
"")</f>
        <v/>
      </c>
      <c r="BO32" s="102" t="str">
        <f t="shared" si="100"/>
        <v/>
      </c>
      <c r="BP32" s="70" t="str">
        <f t="shared" si="101"/>
        <v/>
      </c>
      <c r="BQ32" s="83" t="str">
        <f t="shared" si="102"/>
        <v/>
      </c>
      <c r="BR32" s="77"/>
      <c r="BS32" s="108" t="str" cm="1">
        <f t="array" ref="BS32">IFERROR(_xlfn._xlws.FILTER(ST[Customer Code],(ST[Code]=$C32) * (ST[Customer Name]=BS$3),"" ),"")</f>
        <v/>
      </c>
      <c r="BT32" s="68" t="str" cm="1">
        <f t="array" ref="BT32">IFERROR(_xlfn.XLOOKUP($C32,Query[Code], _xlfn.XLOOKUP('Promo Form'!BS$3,Query[[#Headers],[Code]:[Bing Lee]],Query[[Code]:[Bing Lee]])),"")</f>
        <v/>
      </c>
      <c r="BU32" s="16" t="str">
        <f t="shared" si="103"/>
        <v/>
      </c>
      <c r="BV32" s="16" t="str">
        <f t="shared" si="104"/>
        <v/>
      </c>
      <c r="BW32" s="17" t="str">
        <f t="shared" si="105"/>
        <v/>
      </c>
      <c r="BX32" s="18" t="str">
        <f t="shared" si="106"/>
        <v/>
      </c>
      <c r="BY32" s="18" t="str">
        <f t="shared" si="107"/>
        <v/>
      </c>
      <c r="BZ32" s="109" t="str" cm="1">
        <f t="array" ref="BZ32">IFERROR(_xlfn._xlws.FILTER(ST[SOH],(ST[Code]=$C32) * (ST[Customer Name]=BS$3),"" ),"")</f>
        <v/>
      </c>
      <c r="CA32" s="109" t="str" cm="1">
        <f t="array" ref="CA32">IFERROR(
    _xlfn.LET(
        _xlpm.result, INDEX(_xlfn._xlws.FILTER(ST[6wk avg], (ST[Code]=$C32)*(ST[Customer Name]=BS$3), ""), 1),
        IF(_xlpm.result=0, "", _xlpm.result)
    ),
"")</f>
        <v/>
      </c>
      <c r="CB32" s="102" t="str">
        <f t="shared" si="108"/>
        <v/>
      </c>
      <c r="CC32" s="70" t="str">
        <f t="shared" si="109"/>
        <v/>
      </c>
      <c r="CD32" s="83" t="str">
        <f t="shared" si="110"/>
        <v/>
      </c>
      <c r="CE32" s="77"/>
      <c r="CF32" s="108" t="str" cm="1">
        <f t="array" ref="CF32">IFERROR(_xlfn._xlws.FILTER(ST[Customer Code],(ST[Code]=$C32) * (ST[Customer Name]=CF$3),"" ),"")</f>
        <v/>
      </c>
      <c r="CG32" s="68" t="str" cm="1">
        <f t="array" ref="CG32">IFERROR(_xlfn.XLOOKUP($C32,Query[Code], _xlfn.XLOOKUP('Promo Form'!CF$3,Query[[#Headers],[Code]:[Bing Lee]],Query[[Code]:[Bing Lee]])),"")</f>
        <v/>
      </c>
      <c r="CH32" s="16" t="str">
        <f t="shared" si="111"/>
        <v/>
      </c>
      <c r="CI32" s="16" t="str">
        <f t="shared" si="112"/>
        <v/>
      </c>
      <c r="CJ32" s="17" t="str">
        <f t="shared" si="113"/>
        <v/>
      </c>
      <c r="CK32" s="18" t="str">
        <f t="shared" si="114"/>
        <v/>
      </c>
      <c r="CL32" s="18" t="str">
        <f t="shared" si="115"/>
        <v/>
      </c>
      <c r="CM32" s="109" t="str" cm="1">
        <f t="array" ref="CM32">IFERROR(_xlfn._xlws.FILTER(ST[SOH],(ST[Code]=$C32) * (ST[Customer Name]=CF$3),"" ),"")</f>
        <v/>
      </c>
      <c r="CN32" s="109" t="str" cm="1">
        <f t="array" ref="CN32">IFERROR(
    _xlfn.LET(
        _xlpm.result, INDEX(_xlfn._xlws.FILTER(ST[6wk avg], (ST[Code]=$C32)*(ST[Customer Name]=CF$3), ""), 1),
        IF(_xlpm.result=0, "", _xlpm.result)
    ),
"")</f>
        <v/>
      </c>
      <c r="CO32" s="102" t="str">
        <f t="shared" si="116"/>
        <v/>
      </c>
      <c r="CP32" s="70" t="str">
        <f t="shared" si="117"/>
        <v/>
      </c>
      <c r="CQ32" s="83" t="str">
        <f t="shared" si="118"/>
        <v/>
      </c>
      <c r="CR32" s="77"/>
      <c r="CS32" s="17" t="str">
        <f>IFERROR(_xlfn.XLOOKUP(C32,Query[Code],Query[Base (RRP Inc)]),"")</f>
        <v/>
      </c>
      <c r="CT32" s="17" t="str">
        <f t="shared" si="119"/>
        <v/>
      </c>
      <c r="CU32" s="107" t="str">
        <f t="shared" si="120"/>
        <v/>
      </c>
      <c r="CV32" s="17" t="str">
        <f t="shared" si="121"/>
        <v/>
      </c>
      <c r="CW32" s="17"/>
    </row>
    <row r="33" spans="1:101" x14ac:dyDescent="0.2">
      <c r="A33" s="106" t="str">
        <f t="shared" si="61"/>
        <v/>
      </c>
      <c r="B33" s="106" t="str">
        <f t="shared" si="62"/>
        <v/>
      </c>
      <c r="C33" s="13"/>
      <c r="D33" s="14" t="str">
        <f>IF(C33="", "",_xlfn.XLOOKUP(C33,'Master Price Level'!C:C,'Master Price Level'!D:D))</f>
        <v/>
      </c>
      <c r="E33" s="15"/>
      <c r="F33" s="108" t="str" cm="1">
        <f t="array" ref="F33">IFERROR(_xlfn._xlws.FILTER(ST[Customer Code],(ST[Code]=$C33) * (ST[Customer Name]=F$3),"" ),"")</f>
        <v/>
      </c>
      <c r="G33" s="68" t="str" cm="1">
        <f t="array" ref="G33">IFERROR(_xlfn.XLOOKUP($C33,Query[Code], _xlfn.XLOOKUP('Promo Form'!F$3,Query[[#Headers],[Code]:[Bing Lee]],Query[[Code]:[Bing Lee]])),"")</f>
        <v/>
      </c>
      <c r="H33" s="16" t="str">
        <f t="shared" si="63"/>
        <v/>
      </c>
      <c r="I33" s="16" t="str">
        <f t="shared" si="64"/>
        <v/>
      </c>
      <c r="J33" s="17" t="str">
        <f t="shared" si="65"/>
        <v/>
      </c>
      <c r="K33" s="18" t="str">
        <f t="shared" si="66"/>
        <v/>
      </c>
      <c r="L33" s="18" t="str">
        <f t="shared" si="67"/>
        <v/>
      </c>
      <c r="M33" s="109" t="str" cm="1">
        <f t="array" ref="M33">IFERROR(_xlfn._xlws.FILTER(ST[SOH],(ST[Code]=$C33) * (ST[Customer Name]=F$3),"" ),"")</f>
        <v/>
      </c>
      <c r="N33" s="109" t="str" cm="1">
        <f t="array" ref="N33">IFERROR(
    _xlfn.LET(
        _xlpm.result, INDEX(_xlfn._xlws.FILTER(ST[6wk avg], (ST[Code]=$C33)*(ST[Customer Name]=F$3), ""), 1),
        IF(_xlpm.result=0, "", _xlpm.result)
    ),
"")</f>
        <v/>
      </c>
      <c r="O33" s="102" t="str">
        <f t="shared" si="68"/>
        <v/>
      </c>
      <c r="P33" s="70" t="str">
        <f t="shared" si="69"/>
        <v/>
      </c>
      <c r="Q33" s="83" t="str">
        <f t="shared" si="70"/>
        <v/>
      </c>
      <c r="R33" s="77"/>
      <c r="S33" s="108" t="str" cm="1">
        <f t="array" ref="S33">IFERROR(_xlfn._xlws.FILTER(ST[Customer Code],(ST[Code]=$C33) * (ST[Customer Name]=S$3),"" ),"")</f>
        <v/>
      </c>
      <c r="T33" s="68" t="str" cm="1">
        <f t="array" ref="T33">IFERROR(_xlfn.XLOOKUP($C33,Query[Code], _xlfn.XLOOKUP('Promo Form'!S$3,Query[[#Headers],[Code]:[Bing Lee]],Query[[Code]:[Bing Lee]])),"")</f>
        <v/>
      </c>
      <c r="U33" s="16" t="str">
        <f t="shared" si="71"/>
        <v/>
      </c>
      <c r="V33" s="16" t="str">
        <f t="shared" si="72"/>
        <v/>
      </c>
      <c r="W33" s="17" t="str">
        <f t="shared" si="73"/>
        <v/>
      </c>
      <c r="X33" s="18" t="str">
        <f t="shared" si="74"/>
        <v/>
      </c>
      <c r="Y33" s="18" t="str">
        <f t="shared" si="75"/>
        <v/>
      </c>
      <c r="Z33" s="109" t="str" cm="1">
        <f t="array" ref="Z33">IFERROR(_xlfn._xlws.FILTER(ST[SOH],(ST[Code]=$C33) * (ST[Customer Name]=S$3),"" ),"")</f>
        <v/>
      </c>
      <c r="AA33" s="109" t="str" cm="1">
        <f t="array" ref="AA33">IFERROR(
    _xlfn.LET(
        _xlpm.result, INDEX(_xlfn._xlws.FILTER(ST[6wk avg], (ST[Code]=$C33)*(ST[Customer Name]=S$3), ""), 1),
        IF(_xlpm.result=0, "", _xlpm.result)
    ),
"")</f>
        <v/>
      </c>
      <c r="AB33" s="102" t="str">
        <f t="shared" si="76"/>
        <v/>
      </c>
      <c r="AC33" s="70" t="str">
        <f t="shared" si="77"/>
        <v/>
      </c>
      <c r="AD33" s="83" t="str">
        <f t="shared" si="78"/>
        <v/>
      </c>
      <c r="AE33" s="77"/>
      <c r="AF33" s="108" t="str" cm="1">
        <f t="array" ref="AF33">IFERROR(_xlfn._xlws.FILTER(ST[Customer Code],(ST[Code]=$C33) * (ST[Customer Name]=AF$3),"" ),"")</f>
        <v/>
      </c>
      <c r="AG33" s="68" t="str" cm="1">
        <f t="array" ref="AG33">IFERROR(_xlfn.XLOOKUP($C33,Query[Code], _xlfn.XLOOKUP('Promo Form'!AF$3,Query[[#Headers],[Code]:[Bing Lee]],Query[[Code]:[Bing Lee]])),"")</f>
        <v/>
      </c>
      <c r="AH33" s="16" t="str">
        <f t="shared" si="79"/>
        <v/>
      </c>
      <c r="AI33" s="16" t="str">
        <f t="shared" si="80"/>
        <v/>
      </c>
      <c r="AJ33" s="17" t="str">
        <f t="shared" si="81"/>
        <v/>
      </c>
      <c r="AK33" s="18" t="str">
        <f t="shared" si="82"/>
        <v/>
      </c>
      <c r="AL33" s="18" t="str">
        <f t="shared" si="83"/>
        <v/>
      </c>
      <c r="AM33" s="109" t="str" cm="1">
        <f t="array" ref="AM33">IFERROR(_xlfn._xlws.FILTER(ST[SOH],(ST[Code]=$C33) * (ST[Customer Name]=AF$3),"" ),"")</f>
        <v/>
      </c>
      <c r="AN33" s="109" t="str" cm="1">
        <f t="array" ref="AN33">IFERROR(
    _xlfn.LET(
        _xlpm.result, INDEX(_xlfn._xlws.FILTER(ST[6wk avg], (ST[Code]=$C33)*(ST[Customer Name]=AF$3), ""), 1),
        IF(_xlpm.result=0, "", _xlpm.result)
    ),
"")</f>
        <v/>
      </c>
      <c r="AO33" s="102" t="str">
        <f t="shared" si="84"/>
        <v/>
      </c>
      <c r="AP33" s="70" t="str">
        <f t="shared" si="85"/>
        <v/>
      </c>
      <c r="AQ33" s="83" t="str">
        <f t="shared" si="86"/>
        <v/>
      </c>
      <c r="AR33" s="77"/>
      <c r="AS33" s="108" t="str" cm="1">
        <f t="array" ref="AS33">IFERROR(_xlfn._xlws.FILTER(ST[Customer Code],(ST[Code]=$C33) * (ST[Customer Name]=AS$3),"" ),"")</f>
        <v/>
      </c>
      <c r="AT33" s="68" t="str" cm="1">
        <f t="array" ref="AT33">IFERROR(_xlfn.XLOOKUP($C33,Query[Code], _xlfn.XLOOKUP('Promo Form'!AS$3,Query[[#Headers],[Code]:[Bing Lee]],Query[[Code]:[Bing Lee]])),"")</f>
        <v/>
      </c>
      <c r="AU33" s="16" t="str">
        <f t="shared" si="87"/>
        <v/>
      </c>
      <c r="AV33" s="16" t="str">
        <f t="shared" si="88"/>
        <v/>
      </c>
      <c r="AW33" s="17" t="str">
        <f t="shared" si="89"/>
        <v/>
      </c>
      <c r="AX33" s="18" t="str">
        <f t="shared" si="90"/>
        <v/>
      </c>
      <c r="AY33" s="18" t="str">
        <f t="shared" si="91"/>
        <v/>
      </c>
      <c r="AZ33" s="109" t="str" cm="1">
        <f t="array" ref="AZ33">IFERROR(_xlfn._xlws.FILTER(ST[SOH],(ST[Code]=$C33) * (ST[Customer Name]=AS$3),"" ),"")</f>
        <v/>
      </c>
      <c r="BA33" s="109" t="str" cm="1">
        <f t="array" ref="BA33">IFERROR(
    _xlfn.LET(
        _xlpm.result, INDEX(_xlfn._xlws.FILTER(ST[6wk avg], (ST[Code]=$C33)*(ST[Customer Name]=AS$3), ""), 1),
        IF(_xlpm.result=0, "", _xlpm.result)
    ),
"")</f>
        <v/>
      </c>
      <c r="BB33" s="102" t="str">
        <f t="shared" si="92"/>
        <v/>
      </c>
      <c r="BC33" s="70" t="str">
        <f t="shared" si="93"/>
        <v/>
      </c>
      <c r="BD33" s="83" t="str">
        <f t="shared" si="94"/>
        <v/>
      </c>
      <c r="BE33" s="77"/>
      <c r="BF33" s="108" t="str" cm="1">
        <f t="array" ref="BF33">IFERROR(_xlfn._xlws.FILTER(ST[Customer Code],(ST[Code]=$C33) * (ST[Customer Name]=BF$3),"" ),"")</f>
        <v/>
      </c>
      <c r="BG33" s="68" t="str" cm="1">
        <f t="array" ref="BG33">IFERROR(_xlfn.XLOOKUP($C33,Query[Code], _xlfn.XLOOKUP('Promo Form'!BF$3,Query[[#Headers],[Code]:[Bing Lee]],Query[[Code]:[Bing Lee]])),"")</f>
        <v/>
      </c>
      <c r="BH33" s="16" t="str">
        <f t="shared" si="95"/>
        <v/>
      </c>
      <c r="BI33" s="16" t="str">
        <f t="shared" si="96"/>
        <v/>
      </c>
      <c r="BJ33" s="17" t="str">
        <f t="shared" si="97"/>
        <v/>
      </c>
      <c r="BK33" s="18" t="str">
        <f t="shared" si="98"/>
        <v/>
      </c>
      <c r="BL33" s="18" t="str">
        <f t="shared" si="99"/>
        <v/>
      </c>
      <c r="BM33" s="109" t="str" cm="1">
        <f t="array" ref="BM33">IFERROR(_xlfn._xlws.FILTER(ST[SOH],(ST[Code]=$C33) * (ST[Customer Name]=BF$3),"" ),"")</f>
        <v/>
      </c>
      <c r="BN33" s="109" t="str" cm="1">
        <f t="array" ref="BN33">IFERROR(
    _xlfn.LET(
        _xlpm.result, INDEX(_xlfn._xlws.FILTER(ST[6wk avg], (ST[Code]=$C33)*(ST[Customer Name]=BF$3), ""), 1),
        IF(_xlpm.result=0, "", _xlpm.result)
    ),
"")</f>
        <v/>
      </c>
      <c r="BO33" s="102" t="str">
        <f t="shared" si="100"/>
        <v/>
      </c>
      <c r="BP33" s="70" t="str">
        <f t="shared" si="101"/>
        <v/>
      </c>
      <c r="BQ33" s="83" t="str">
        <f t="shared" si="102"/>
        <v/>
      </c>
      <c r="BR33" s="77"/>
      <c r="BS33" s="108" t="str" cm="1">
        <f t="array" ref="BS33">IFERROR(_xlfn._xlws.FILTER(ST[Customer Code],(ST[Code]=$C33) * (ST[Customer Name]=BS$3),"" ),"")</f>
        <v/>
      </c>
      <c r="BT33" s="68" t="str" cm="1">
        <f t="array" ref="BT33">IFERROR(_xlfn.XLOOKUP($C33,Query[Code], _xlfn.XLOOKUP('Promo Form'!BS$3,Query[[#Headers],[Code]:[Bing Lee]],Query[[Code]:[Bing Lee]])),"")</f>
        <v/>
      </c>
      <c r="BU33" s="16" t="str">
        <f t="shared" si="103"/>
        <v/>
      </c>
      <c r="BV33" s="16" t="str">
        <f t="shared" si="104"/>
        <v/>
      </c>
      <c r="BW33" s="17" t="str">
        <f t="shared" si="105"/>
        <v/>
      </c>
      <c r="BX33" s="18" t="str">
        <f t="shared" si="106"/>
        <v/>
      </c>
      <c r="BY33" s="18" t="str">
        <f t="shared" si="107"/>
        <v/>
      </c>
      <c r="BZ33" s="109" t="str" cm="1">
        <f t="array" ref="BZ33">IFERROR(_xlfn._xlws.FILTER(ST[SOH],(ST[Code]=$C33) * (ST[Customer Name]=BS$3),"" ),"")</f>
        <v/>
      </c>
      <c r="CA33" s="109" t="str" cm="1">
        <f t="array" ref="CA33">IFERROR(
    _xlfn.LET(
        _xlpm.result, INDEX(_xlfn._xlws.FILTER(ST[6wk avg], (ST[Code]=$C33)*(ST[Customer Name]=BS$3), ""), 1),
        IF(_xlpm.result=0, "", _xlpm.result)
    ),
"")</f>
        <v/>
      </c>
      <c r="CB33" s="102" t="str">
        <f t="shared" si="108"/>
        <v/>
      </c>
      <c r="CC33" s="70" t="str">
        <f t="shared" si="109"/>
        <v/>
      </c>
      <c r="CD33" s="83" t="str">
        <f t="shared" si="110"/>
        <v/>
      </c>
      <c r="CE33" s="77"/>
      <c r="CF33" s="108" t="str" cm="1">
        <f t="array" ref="CF33">IFERROR(_xlfn._xlws.FILTER(ST[Customer Code],(ST[Code]=$C33) * (ST[Customer Name]=CF$3),"" ),"")</f>
        <v/>
      </c>
      <c r="CG33" s="68" t="str" cm="1">
        <f t="array" ref="CG33">IFERROR(_xlfn.XLOOKUP($C33,Query[Code], _xlfn.XLOOKUP('Promo Form'!CF$3,Query[[#Headers],[Code]:[Bing Lee]],Query[[Code]:[Bing Lee]])),"")</f>
        <v/>
      </c>
      <c r="CH33" s="16" t="str">
        <f t="shared" si="111"/>
        <v/>
      </c>
      <c r="CI33" s="16" t="str">
        <f t="shared" si="112"/>
        <v/>
      </c>
      <c r="CJ33" s="17" t="str">
        <f t="shared" si="113"/>
        <v/>
      </c>
      <c r="CK33" s="18" t="str">
        <f t="shared" si="114"/>
        <v/>
      </c>
      <c r="CL33" s="18" t="str">
        <f t="shared" si="115"/>
        <v/>
      </c>
      <c r="CM33" s="109" t="str" cm="1">
        <f t="array" ref="CM33">IFERROR(_xlfn._xlws.FILTER(ST[SOH],(ST[Code]=$C33) * (ST[Customer Name]=CF$3),"" ),"")</f>
        <v/>
      </c>
      <c r="CN33" s="109" t="str" cm="1">
        <f t="array" ref="CN33">IFERROR(
    _xlfn.LET(
        _xlpm.result, INDEX(_xlfn._xlws.FILTER(ST[6wk avg], (ST[Code]=$C33)*(ST[Customer Name]=CF$3), ""), 1),
        IF(_xlpm.result=0, "", _xlpm.result)
    ),
"")</f>
        <v/>
      </c>
      <c r="CO33" s="102" t="str">
        <f t="shared" si="116"/>
        <v/>
      </c>
      <c r="CP33" s="70" t="str">
        <f t="shared" si="117"/>
        <v/>
      </c>
      <c r="CQ33" s="83" t="str">
        <f t="shared" si="118"/>
        <v/>
      </c>
      <c r="CR33" s="77"/>
      <c r="CS33" s="17" t="str">
        <f>IFERROR(_xlfn.XLOOKUP(C33,Query[Code],Query[Base (RRP Inc)]),"")</f>
        <v/>
      </c>
      <c r="CT33" s="17" t="str">
        <f t="shared" si="119"/>
        <v/>
      </c>
      <c r="CU33" s="107" t="str">
        <f t="shared" si="120"/>
        <v/>
      </c>
      <c r="CV33" s="17" t="str">
        <f t="shared" si="121"/>
        <v/>
      </c>
      <c r="CW33" s="17"/>
    </row>
    <row r="34" spans="1:101" x14ac:dyDescent="0.2">
      <c r="A34" s="106" t="str">
        <f t="shared" si="61"/>
        <v/>
      </c>
      <c r="B34" s="106" t="str">
        <f t="shared" si="62"/>
        <v/>
      </c>
      <c r="C34" s="13"/>
      <c r="D34" s="14" t="str">
        <f>IF(C34="", "",_xlfn.XLOOKUP(C34,'Master Price Level'!C:C,'Master Price Level'!D:D))</f>
        <v/>
      </c>
      <c r="E34" s="15"/>
      <c r="F34" s="108" t="str" cm="1">
        <f t="array" ref="F34">IFERROR(_xlfn._xlws.FILTER(ST[Customer Code],(ST[Code]=$C34) * (ST[Customer Name]=F$3),"" ),"")</f>
        <v/>
      </c>
      <c r="G34" s="68" t="str" cm="1">
        <f t="array" ref="G34">IFERROR(_xlfn.XLOOKUP($C34,Query[Code], _xlfn.XLOOKUP('Promo Form'!F$3,Query[[#Headers],[Code]:[Bing Lee]],Query[[Code]:[Bing Lee]])),"")</f>
        <v/>
      </c>
      <c r="H34" s="16" t="str">
        <f t="shared" si="63"/>
        <v/>
      </c>
      <c r="I34" s="16" t="str">
        <f t="shared" si="64"/>
        <v/>
      </c>
      <c r="J34" s="17" t="str">
        <f t="shared" si="65"/>
        <v/>
      </c>
      <c r="K34" s="18" t="str">
        <f t="shared" si="66"/>
        <v/>
      </c>
      <c r="L34" s="18" t="str">
        <f t="shared" si="67"/>
        <v/>
      </c>
      <c r="M34" s="109" t="str" cm="1">
        <f t="array" ref="M34">IFERROR(_xlfn._xlws.FILTER(ST[SOH],(ST[Code]=$C34) * (ST[Customer Name]=F$3),"" ),"")</f>
        <v/>
      </c>
      <c r="N34" s="109" t="str" cm="1">
        <f t="array" ref="N34">IFERROR(
    _xlfn.LET(
        _xlpm.result, INDEX(_xlfn._xlws.FILTER(ST[6wk avg], (ST[Code]=$C34)*(ST[Customer Name]=F$3), ""), 1),
        IF(_xlpm.result=0, "", _xlpm.result)
    ),
"")</f>
        <v/>
      </c>
      <c r="O34" s="102" t="str">
        <f t="shared" si="68"/>
        <v/>
      </c>
      <c r="P34" s="70" t="str">
        <f t="shared" si="69"/>
        <v/>
      </c>
      <c r="Q34" s="83" t="str">
        <f t="shared" si="70"/>
        <v/>
      </c>
      <c r="R34" s="77"/>
      <c r="S34" s="108" t="str" cm="1">
        <f t="array" ref="S34">IFERROR(_xlfn._xlws.FILTER(ST[Customer Code],(ST[Code]=$C34) * (ST[Customer Name]=S$3),"" ),"")</f>
        <v/>
      </c>
      <c r="T34" s="68" t="str" cm="1">
        <f t="array" ref="T34">IFERROR(_xlfn.XLOOKUP($C34,Query[Code], _xlfn.XLOOKUP('Promo Form'!S$3,Query[[#Headers],[Code]:[Bing Lee]],Query[[Code]:[Bing Lee]])),"")</f>
        <v/>
      </c>
      <c r="U34" s="16" t="str">
        <f t="shared" si="71"/>
        <v/>
      </c>
      <c r="V34" s="16" t="str">
        <f t="shared" si="72"/>
        <v/>
      </c>
      <c r="W34" s="17" t="str">
        <f t="shared" si="73"/>
        <v/>
      </c>
      <c r="X34" s="18" t="str">
        <f t="shared" si="74"/>
        <v/>
      </c>
      <c r="Y34" s="18" t="str">
        <f t="shared" si="75"/>
        <v/>
      </c>
      <c r="Z34" s="109" t="str" cm="1">
        <f t="array" ref="Z34">IFERROR(_xlfn._xlws.FILTER(ST[SOH],(ST[Code]=$C34) * (ST[Customer Name]=S$3),"" ),"")</f>
        <v/>
      </c>
      <c r="AA34" s="109" t="str" cm="1">
        <f t="array" ref="AA34">IFERROR(
    _xlfn.LET(
        _xlpm.result, INDEX(_xlfn._xlws.FILTER(ST[6wk avg], (ST[Code]=$C34)*(ST[Customer Name]=S$3), ""), 1),
        IF(_xlpm.result=0, "", _xlpm.result)
    ),
"")</f>
        <v/>
      </c>
      <c r="AB34" s="102" t="str">
        <f t="shared" si="76"/>
        <v/>
      </c>
      <c r="AC34" s="70" t="str">
        <f t="shared" si="77"/>
        <v/>
      </c>
      <c r="AD34" s="83" t="str">
        <f t="shared" si="78"/>
        <v/>
      </c>
      <c r="AE34" s="77"/>
      <c r="AF34" s="108" t="str" cm="1">
        <f t="array" ref="AF34">IFERROR(_xlfn._xlws.FILTER(ST[Customer Code],(ST[Code]=$C34) * (ST[Customer Name]=AF$3),"" ),"")</f>
        <v/>
      </c>
      <c r="AG34" s="68" t="str" cm="1">
        <f t="array" ref="AG34">IFERROR(_xlfn.XLOOKUP($C34,Query[Code], _xlfn.XLOOKUP('Promo Form'!AF$3,Query[[#Headers],[Code]:[Bing Lee]],Query[[Code]:[Bing Lee]])),"")</f>
        <v/>
      </c>
      <c r="AH34" s="16" t="str">
        <f t="shared" si="79"/>
        <v/>
      </c>
      <c r="AI34" s="16" t="str">
        <f t="shared" si="80"/>
        <v/>
      </c>
      <c r="AJ34" s="17" t="str">
        <f t="shared" si="81"/>
        <v/>
      </c>
      <c r="AK34" s="18" t="str">
        <f t="shared" si="82"/>
        <v/>
      </c>
      <c r="AL34" s="18" t="str">
        <f t="shared" si="83"/>
        <v/>
      </c>
      <c r="AM34" s="109" t="str" cm="1">
        <f t="array" ref="AM34">IFERROR(_xlfn._xlws.FILTER(ST[SOH],(ST[Code]=$C34) * (ST[Customer Name]=AF$3),"" ),"")</f>
        <v/>
      </c>
      <c r="AN34" s="109" t="str" cm="1">
        <f t="array" ref="AN34">IFERROR(
    _xlfn.LET(
        _xlpm.result, INDEX(_xlfn._xlws.FILTER(ST[6wk avg], (ST[Code]=$C34)*(ST[Customer Name]=AF$3), ""), 1),
        IF(_xlpm.result=0, "", _xlpm.result)
    ),
"")</f>
        <v/>
      </c>
      <c r="AO34" s="102" t="str">
        <f t="shared" si="84"/>
        <v/>
      </c>
      <c r="AP34" s="70" t="str">
        <f t="shared" si="85"/>
        <v/>
      </c>
      <c r="AQ34" s="83" t="str">
        <f t="shared" si="86"/>
        <v/>
      </c>
      <c r="AR34" s="77"/>
      <c r="AS34" s="108" t="str" cm="1">
        <f t="array" ref="AS34">IFERROR(_xlfn._xlws.FILTER(ST[Customer Code],(ST[Code]=$C34) * (ST[Customer Name]=AS$3),"" ),"")</f>
        <v/>
      </c>
      <c r="AT34" s="68" t="str" cm="1">
        <f t="array" ref="AT34">IFERROR(_xlfn.XLOOKUP($C34,Query[Code], _xlfn.XLOOKUP('Promo Form'!AS$3,Query[[#Headers],[Code]:[Bing Lee]],Query[[Code]:[Bing Lee]])),"")</f>
        <v/>
      </c>
      <c r="AU34" s="16" t="str">
        <f t="shared" si="87"/>
        <v/>
      </c>
      <c r="AV34" s="16" t="str">
        <f t="shared" si="88"/>
        <v/>
      </c>
      <c r="AW34" s="17" t="str">
        <f t="shared" si="89"/>
        <v/>
      </c>
      <c r="AX34" s="18" t="str">
        <f t="shared" si="90"/>
        <v/>
      </c>
      <c r="AY34" s="18" t="str">
        <f t="shared" si="91"/>
        <v/>
      </c>
      <c r="AZ34" s="109" t="str" cm="1">
        <f t="array" ref="AZ34">IFERROR(_xlfn._xlws.FILTER(ST[SOH],(ST[Code]=$C34) * (ST[Customer Name]=AS$3),"" ),"")</f>
        <v/>
      </c>
      <c r="BA34" s="109" t="str" cm="1">
        <f t="array" ref="BA34">IFERROR(
    _xlfn.LET(
        _xlpm.result, INDEX(_xlfn._xlws.FILTER(ST[6wk avg], (ST[Code]=$C34)*(ST[Customer Name]=AS$3), ""), 1),
        IF(_xlpm.result=0, "", _xlpm.result)
    ),
"")</f>
        <v/>
      </c>
      <c r="BB34" s="102" t="str">
        <f t="shared" si="92"/>
        <v/>
      </c>
      <c r="BC34" s="70" t="str">
        <f t="shared" si="93"/>
        <v/>
      </c>
      <c r="BD34" s="83" t="str">
        <f t="shared" si="94"/>
        <v/>
      </c>
      <c r="BE34" s="77"/>
      <c r="BF34" s="108" t="str" cm="1">
        <f t="array" ref="BF34">IFERROR(_xlfn._xlws.FILTER(ST[Customer Code],(ST[Code]=$C34) * (ST[Customer Name]=BF$3),"" ),"")</f>
        <v/>
      </c>
      <c r="BG34" s="68" t="str" cm="1">
        <f t="array" ref="BG34">IFERROR(_xlfn.XLOOKUP($C34,Query[Code], _xlfn.XLOOKUP('Promo Form'!BF$3,Query[[#Headers],[Code]:[Bing Lee]],Query[[Code]:[Bing Lee]])),"")</f>
        <v/>
      </c>
      <c r="BH34" s="16" t="str">
        <f t="shared" si="95"/>
        <v/>
      </c>
      <c r="BI34" s="16" t="str">
        <f t="shared" si="96"/>
        <v/>
      </c>
      <c r="BJ34" s="17" t="str">
        <f t="shared" si="97"/>
        <v/>
      </c>
      <c r="BK34" s="18" t="str">
        <f t="shared" si="98"/>
        <v/>
      </c>
      <c r="BL34" s="18" t="str">
        <f t="shared" si="99"/>
        <v/>
      </c>
      <c r="BM34" s="109" t="str" cm="1">
        <f t="array" ref="BM34">IFERROR(_xlfn._xlws.FILTER(ST[SOH],(ST[Code]=$C34) * (ST[Customer Name]=BF$3),"" ),"")</f>
        <v/>
      </c>
      <c r="BN34" s="109" t="str" cm="1">
        <f t="array" ref="BN34">IFERROR(
    _xlfn.LET(
        _xlpm.result, INDEX(_xlfn._xlws.FILTER(ST[6wk avg], (ST[Code]=$C34)*(ST[Customer Name]=BF$3), ""), 1),
        IF(_xlpm.result=0, "", _xlpm.result)
    ),
"")</f>
        <v/>
      </c>
      <c r="BO34" s="102" t="str">
        <f t="shared" si="100"/>
        <v/>
      </c>
      <c r="BP34" s="70" t="str">
        <f t="shared" si="101"/>
        <v/>
      </c>
      <c r="BQ34" s="83" t="str">
        <f t="shared" si="102"/>
        <v/>
      </c>
      <c r="BR34" s="77"/>
      <c r="BS34" s="108" t="str" cm="1">
        <f t="array" ref="BS34">IFERROR(_xlfn._xlws.FILTER(ST[Customer Code],(ST[Code]=$C34) * (ST[Customer Name]=BS$3),"" ),"")</f>
        <v/>
      </c>
      <c r="BT34" s="68" t="str" cm="1">
        <f t="array" ref="BT34">IFERROR(_xlfn.XLOOKUP($C34,Query[Code], _xlfn.XLOOKUP('Promo Form'!BS$3,Query[[#Headers],[Code]:[Bing Lee]],Query[[Code]:[Bing Lee]])),"")</f>
        <v/>
      </c>
      <c r="BU34" s="16" t="str">
        <f t="shared" si="103"/>
        <v/>
      </c>
      <c r="BV34" s="16" t="str">
        <f t="shared" si="104"/>
        <v/>
      </c>
      <c r="BW34" s="17" t="str">
        <f t="shared" si="105"/>
        <v/>
      </c>
      <c r="BX34" s="18" t="str">
        <f t="shared" si="106"/>
        <v/>
      </c>
      <c r="BY34" s="18" t="str">
        <f t="shared" si="107"/>
        <v/>
      </c>
      <c r="BZ34" s="109" t="str" cm="1">
        <f t="array" ref="BZ34">IFERROR(_xlfn._xlws.FILTER(ST[SOH],(ST[Code]=$C34) * (ST[Customer Name]=BS$3),"" ),"")</f>
        <v/>
      </c>
      <c r="CA34" s="109" t="str" cm="1">
        <f t="array" ref="CA34">IFERROR(
    _xlfn.LET(
        _xlpm.result, INDEX(_xlfn._xlws.FILTER(ST[6wk avg], (ST[Code]=$C34)*(ST[Customer Name]=BS$3), ""), 1),
        IF(_xlpm.result=0, "", _xlpm.result)
    ),
"")</f>
        <v/>
      </c>
      <c r="CB34" s="102" t="str">
        <f t="shared" si="108"/>
        <v/>
      </c>
      <c r="CC34" s="70" t="str">
        <f t="shared" si="109"/>
        <v/>
      </c>
      <c r="CD34" s="83" t="str">
        <f t="shared" si="110"/>
        <v/>
      </c>
      <c r="CE34" s="77"/>
      <c r="CF34" s="108" t="str" cm="1">
        <f t="array" ref="CF34">IFERROR(_xlfn._xlws.FILTER(ST[Customer Code],(ST[Code]=$C34) * (ST[Customer Name]=CF$3),"" ),"")</f>
        <v/>
      </c>
      <c r="CG34" s="68" t="str" cm="1">
        <f t="array" ref="CG34">IFERROR(_xlfn.XLOOKUP($C34,Query[Code], _xlfn.XLOOKUP('Promo Form'!CF$3,Query[[#Headers],[Code]:[Bing Lee]],Query[[Code]:[Bing Lee]])),"")</f>
        <v/>
      </c>
      <c r="CH34" s="16" t="str">
        <f t="shared" si="111"/>
        <v/>
      </c>
      <c r="CI34" s="16" t="str">
        <f t="shared" si="112"/>
        <v/>
      </c>
      <c r="CJ34" s="17" t="str">
        <f t="shared" si="113"/>
        <v/>
      </c>
      <c r="CK34" s="18" t="str">
        <f t="shared" si="114"/>
        <v/>
      </c>
      <c r="CL34" s="18" t="str">
        <f t="shared" si="115"/>
        <v/>
      </c>
      <c r="CM34" s="109" t="str" cm="1">
        <f t="array" ref="CM34">IFERROR(_xlfn._xlws.FILTER(ST[SOH],(ST[Code]=$C34) * (ST[Customer Name]=CF$3),"" ),"")</f>
        <v/>
      </c>
      <c r="CN34" s="109" t="str" cm="1">
        <f t="array" ref="CN34">IFERROR(
    _xlfn.LET(
        _xlpm.result, INDEX(_xlfn._xlws.FILTER(ST[6wk avg], (ST[Code]=$C34)*(ST[Customer Name]=CF$3), ""), 1),
        IF(_xlpm.result=0, "", _xlpm.result)
    ),
"")</f>
        <v/>
      </c>
      <c r="CO34" s="102" t="str">
        <f t="shared" si="116"/>
        <v/>
      </c>
      <c r="CP34" s="70" t="str">
        <f t="shared" si="117"/>
        <v/>
      </c>
      <c r="CQ34" s="83" t="str">
        <f t="shared" si="118"/>
        <v/>
      </c>
      <c r="CR34" s="77"/>
      <c r="CS34" s="17" t="str">
        <f>IFERROR(_xlfn.XLOOKUP(C34,Query[Code],Query[Base (RRP Inc)]),"")</f>
        <v/>
      </c>
      <c r="CT34" s="17" t="str">
        <f t="shared" si="119"/>
        <v/>
      </c>
      <c r="CU34" s="107" t="str">
        <f t="shared" si="120"/>
        <v/>
      </c>
      <c r="CV34" s="17" t="str">
        <f t="shared" si="121"/>
        <v/>
      </c>
      <c r="CW34" s="17"/>
    </row>
    <row r="35" spans="1:101" x14ac:dyDescent="0.2">
      <c r="A35" s="106" t="str">
        <f t="shared" si="61"/>
        <v/>
      </c>
      <c r="B35" s="106" t="str">
        <f t="shared" si="62"/>
        <v/>
      </c>
      <c r="C35" s="13"/>
      <c r="D35" s="14" t="str">
        <f>IF(C35="", "",_xlfn.XLOOKUP(C35,'Master Price Level'!C:C,'Master Price Level'!D:D))</f>
        <v/>
      </c>
      <c r="E35" s="15"/>
      <c r="F35" s="108" t="str" cm="1">
        <f t="array" ref="F35">IFERROR(_xlfn._xlws.FILTER(ST[Customer Code],(ST[Code]=$C35) * (ST[Customer Name]=F$3),"" ),"")</f>
        <v/>
      </c>
      <c r="G35" s="68" t="str" cm="1">
        <f t="array" ref="G35">IFERROR(_xlfn.XLOOKUP($C35,Query[Code], _xlfn.XLOOKUP('Promo Form'!F$3,Query[[#Headers],[Code]:[Bing Lee]],Query[[Code]:[Bing Lee]])),"")</f>
        <v/>
      </c>
      <c r="H35" s="16" t="str">
        <f t="shared" si="63"/>
        <v/>
      </c>
      <c r="I35" s="16" t="str">
        <f t="shared" si="64"/>
        <v/>
      </c>
      <c r="J35" s="17" t="str">
        <f t="shared" si="65"/>
        <v/>
      </c>
      <c r="K35" s="18" t="str">
        <f t="shared" si="66"/>
        <v/>
      </c>
      <c r="L35" s="18" t="str">
        <f t="shared" si="67"/>
        <v/>
      </c>
      <c r="M35" s="109" t="str" cm="1">
        <f t="array" ref="M35">IFERROR(_xlfn._xlws.FILTER(ST[SOH],(ST[Code]=$C35) * (ST[Customer Name]=F$3),"" ),"")</f>
        <v/>
      </c>
      <c r="N35" s="109" t="str" cm="1">
        <f t="array" ref="N35">IFERROR(
    _xlfn.LET(
        _xlpm.result, INDEX(_xlfn._xlws.FILTER(ST[6wk avg], (ST[Code]=$C35)*(ST[Customer Name]=F$3), ""), 1),
        IF(_xlpm.result=0, "", _xlpm.result)
    ),
"")</f>
        <v/>
      </c>
      <c r="O35" s="102" t="str">
        <f t="shared" si="68"/>
        <v/>
      </c>
      <c r="P35" s="70" t="str">
        <f t="shared" si="69"/>
        <v/>
      </c>
      <c r="Q35" s="83" t="str">
        <f t="shared" si="70"/>
        <v/>
      </c>
      <c r="R35" s="77"/>
      <c r="S35" s="108" t="str" cm="1">
        <f t="array" ref="S35">IFERROR(_xlfn._xlws.FILTER(ST[Customer Code],(ST[Code]=$C35) * (ST[Customer Name]=S$3),"" ),"")</f>
        <v/>
      </c>
      <c r="T35" s="68" t="str" cm="1">
        <f t="array" ref="T35">IFERROR(_xlfn.XLOOKUP($C35,Query[Code], _xlfn.XLOOKUP('Promo Form'!S$3,Query[[#Headers],[Code]:[Bing Lee]],Query[[Code]:[Bing Lee]])),"")</f>
        <v/>
      </c>
      <c r="U35" s="16" t="str">
        <f t="shared" si="71"/>
        <v/>
      </c>
      <c r="V35" s="16" t="str">
        <f t="shared" si="72"/>
        <v/>
      </c>
      <c r="W35" s="17" t="str">
        <f t="shared" si="73"/>
        <v/>
      </c>
      <c r="X35" s="18" t="str">
        <f t="shared" si="74"/>
        <v/>
      </c>
      <c r="Y35" s="18" t="str">
        <f t="shared" si="75"/>
        <v/>
      </c>
      <c r="Z35" s="109" t="str" cm="1">
        <f t="array" ref="Z35">IFERROR(_xlfn._xlws.FILTER(ST[SOH],(ST[Code]=$C35) * (ST[Customer Name]=S$3),"" ),"")</f>
        <v/>
      </c>
      <c r="AA35" s="109" t="str" cm="1">
        <f t="array" ref="AA35">IFERROR(
    _xlfn.LET(
        _xlpm.result, INDEX(_xlfn._xlws.FILTER(ST[6wk avg], (ST[Code]=$C35)*(ST[Customer Name]=S$3), ""), 1),
        IF(_xlpm.result=0, "", _xlpm.result)
    ),
"")</f>
        <v/>
      </c>
      <c r="AB35" s="102" t="str">
        <f t="shared" si="76"/>
        <v/>
      </c>
      <c r="AC35" s="70" t="str">
        <f t="shared" si="77"/>
        <v/>
      </c>
      <c r="AD35" s="83" t="str">
        <f t="shared" si="78"/>
        <v/>
      </c>
      <c r="AE35" s="77"/>
      <c r="AF35" s="108" t="str" cm="1">
        <f t="array" ref="AF35">IFERROR(_xlfn._xlws.FILTER(ST[Customer Code],(ST[Code]=$C35) * (ST[Customer Name]=AF$3),"" ),"")</f>
        <v/>
      </c>
      <c r="AG35" s="68" t="str" cm="1">
        <f t="array" ref="AG35">IFERROR(_xlfn.XLOOKUP($C35,Query[Code], _xlfn.XLOOKUP('Promo Form'!AF$3,Query[[#Headers],[Code]:[Bing Lee]],Query[[Code]:[Bing Lee]])),"")</f>
        <v/>
      </c>
      <c r="AH35" s="16" t="str">
        <f t="shared" si="79"/>
        <v/>
      </c>
      <c r="AI35" s="16" t="str">
        <f t="shared" si="80"/>
        <v/>
      </c>
      <c r="AJ35" s="17" t="str">
        <f t="shared" si="81"/>
        <v/>
      </c>
      <c r="AK35" s="18" t="str">
        <f t="shared" si="82"/>
        <v/>
      </c>
      <c r="AL35" s="18" t="str">
        <f t="shared" si="83"/>
        <v/>
      </c>
      <c r="AM35" s="109" t="str" cm="1">
        <f t="array" ref="AM35">IFERROR(_xlfn._xlws.FILTER(ST[SOH],(ST[Code]=$C35) * (ST[Customer Name]=AF$3),"" ),"")</f>
        <v/>
      </c>
      <c r="AN35" s="109" t="str" cm="1">
        <f t="array" ref="AN35">IFERROR(
    _xlfn.LET(
        _xlpm.result, INDEX(_xlfn._xlws.FILTER(ST[6wk avg], (ST[Code]=$C35)*(ST[Customer Name]=AF$3), ""), 1),
        IF(_xlpm.result=0, "", _xlpm.result)
    ),
"")</f>
        <v/>
      </c>
      <c r="AO35" s="102" t="str">
        <f t="shared" si="84"/>
        <v/>
      </c>
      <c r="AP35" s="70" t="str">
        <f t="shared" si="85"/>
        <v/>
      </c>
      <c r="AQ35" s="83" t="str">
        <f t="shared" si="86"/>
        <v/>
      </c>
      <c r="AR35" s="77"/>
      <c r="AS35" s="108" t="str" cm="1">
        <f t="array" ref="AS35">IFERROR(_xlfn._xlws.FILTER(ST[Customer Code],(ST[Code]=$C35) * (ST[Customer Name]=AS$3),"" ),"")</f>
        <v/>
      </c>
      <c r="AT35" s="68" t="str" cm="1">
        <f t="array" ref="AT35">IFERROR(_xlfn.XLOOKUP($C35,Query[Code], _xlfn.XLOOKUP('Promo Form'!AS$3,Query[[#Headers],[Code]:[Bing Lee]],Query[[Code]:[Bing Lee]])),"")</f>
        <v/>
      </c>
      <c r="AU35" s="16" t="str">
        <f t="shared" si="87"/>
        <v/>
      </c>
      <c r="AV35" s="16" t="str">
        <f t="shared" si="88"/>
        <v/>
      </c>
      <c r="AW35" s="17" t="str">
        <f t="shared" si="89"/>
        <v/>
      </c>
      <c r="AX35" s="18" t="str">
        <f t="shared" si="90"/>
        <v/>
      </c>
      <c r="AY35" s="18" t="str">
        <f t="shared" si="91"/>
        <v/>
      </c>
      <c r="AZ35" s="109" t="str" cm="1">
        <f t="array" ref="AZ35">IFERROR(_xlfn._xlws.FILTER(ST[SOH],(ST[Code]=$C35) * (ST[Customer Name]=AS$3),"" ),"")</f>
        <v/>
      </c>
      <c r="BA35" s="109" t="str" cm="1">
        <f t="array" ref="BA35">IFERROR(
    _xlfn.LET(
        _xlpm.result, INDEX(_xlfn._xlws.FILTER(ST[6wk avg], (ST[Code]=$C35)*(ST[Customer Name]=AS$3), ""), 1),
        IF(_xlpm.result=0, "", _xlpm.result)
    ),
"")</f>
        <v/>
      </c>
      <c r="BB35" s="102" t="str">
        <f t="shared" si="92"/>
        <v/>
      </c>
      <c r="BC35" s="70" t="str">
        <f t="shared" si="93"/>
        <v/>
      </c>
      <c r="BD35" s="83" t="str">
        <f t="shared" si="94"/>
        <v/>
      </c>
      <c r="BE35" s="77"/>
      <c r="BF35" s="108" t="str" cm="1">
        <f t="array" ref="BF35">IFERROR(_xlfn._xlws.FILTER(ST[Customer Code],(ST[Code]=$C35) * (ST[Customer Name]=BF$3),"" ),"")</f>
        <v/>
      </c>
      <c r="BG35" s="68" t="str" cm="1">
        <f t="array" ref="BG35">IFERROR(_xlfn.XLOOKUP($C35,Query[Code], _xlfn.XLOOKUP('Promo Form'!BF$3,Query[[#Headers],[Code]:[Bing Lee]],Query[[Code]:[Bing Lee]])),"")</f>
        <v/>
      </c>
      <c r="BH35" s="16" t="str">
        <f t="shared" si="95"/>
        <v/>
      </c>
      <c r="BI35" s="16" t="str">
        <f t="shared" si="96"/>
        <v/>
      </c>
      <c r="BJ35" s="17" t="str">
        <f t="shared" si="97"/>
        <v/>
      </c>
      <c r="BK35" s="18" t="str">
        <f t="shared" si="98"/>
        <v/>
      </c>
      <c r="BL35" s="18" t="str">
        <f t="shared" si="99"/>
        <v/>
      </c>
      <c r="BM35" s="109" t="str" cm="1">
        <f t="array" ref="BM35">IFERROR(_xlfn._xlws.FILTER(ST[SOH],(ST[Code]=$C35) * (ST[Customer Name]=BF$3),"" ),"")</f>
        <v/>
      </c>
      <c r="BN35" s="109" t="str" cm="1">
        <f t="array" ref="BN35">IFERROR(
    _xlfn.LET(
        _xlpm.result, INDEX(_xlfn._xlws.FILTER(ST[6wk avg], (ST[Code]=$C35)*(ST[Customer Name]=BF$3), ""), 1),
        IF(_xlpm.result=0, "", _xlpm.result)
    ),
"")</f>
        <v/>
      </c>
      <c r="BO35" s="102" t="str">
        <f t="shared" si="100"/>
        <v/>
      </c>
      <c r="BP35" s="70" t="str">
        <f t="shared" si="101"/>
        <v/>
      </c>
      <c r="BQ35" s="83" t="str">
        <f t="shared" si="102"/>
        <v/>
      </c>
      <c r="BR35" s="77"/>
      <c r="BS35" s="108" t="str" cm="1">
        <f t="array" ref="BS35">IFERROR(_xlfn._xlws.FILTER(ST[Customer Code],(ST[Code]=$C35) * (ST[Customer Name]=BS$3),"" ),"")</f>
        <v/>
      </c>
      <c r="BT35" s="68" t="str" cm="1">
        <f t="array" ref="BT35">IFERROR(_xlfn.XLOOKUP($C35,Query[Code], _xlfn.XLOOKUP('Promo Form'!BS$3,Query[[#Headers],[Code]:[Bing Lee]],Query[[Code]:[Bing Lee]])),"")</f>
        <v/>
      </c>
      <c r="BU35" s="16" t="str">
        <f t="shared" si="103"/>
        <v/>
      </c>
      <c r="BV35" s="16" t="str">
        <f t="shared" si="104"/>
        <v/>
      </c>
      <c r="BW35" s="17" t="str">
        <f t="shared" si="105"/>
        <v/>
      </c>
      <c r="BX35" s="18" t="str">
        <f t="shared" si="106"/>
        <v/>
      </c>
      <c r="BY35" s="18" t="str">
        <f t="shared" si="107"/>
        <v/>
      </c>
      <c r="BZ35" s="109" t="str" cm="1">
        <f t="array" ref="BZ35">IFERROR(_xlfn._xlws.FILTER(ST[SOH],(ST[Code]=$C35) * (ST[Customer Name]=BS$3),"" ),"")</f>
        <v/>
      </c>
      <c r="CA35" s="109" t="str" cm="1">
        <f t="array" ref="CA35">IFERROR(
    _xlfn.LET(
        _xlpm.result, INDEX(_xlfn._xlws.FILTER(ST[6wk avg], (ST[Code]=$C35)*(ST[Customer Name]=BS$3), ""), 1),
        IF(_xlpm.result=0, "", _xlpm.result)
    ),
"")</f>
        <v/>
      </c>
      <c r="CB35" s="102" t="str">
        <f t="shared" si="108"/>
        <v/>
      </c>
      <c r="CC35" s="70" t="str">
        <f t="shared" si="109"/>
        <v/>
      </c>
      <c r="CD35" s="83" t="str">
        <f t="shared" si="110"/>
        <v/>
      </c>
      <c r="CE35" s="77"/>
      <c r="CF35" s="108" t="str" cm="1">
        <f t="array" ref="CF35">IFERROR(_xlfn._xlws.FILTER(ST[Customer Code],(ST[Code]=$C35) * (ST[Customer Name]=CF$3),"" ),"")</f>
        <v/>
      </c>
      <c r="CG35" s="68" t="str" cm="1">
        <f t="array" ref="CG35">IFERROR(_xlfn.XLOOKUP($C35,Query[Code], _xlfn.XLOOKUP('Promo Form'!CF$3,Query[[#Headers],[Code]:[Bing Lee]],Query[[Code]:[Bing Lee]])),"")</f>
        <v/>
      </c>
      <c r="CH35" s="16" t="str">
        <f t="shared" si="111"/>
        <v/>
      </c>
      <c r="CI35" s="16" t="str">
        <f t="shared" si="112"/>
        <v/>
      </c>
      <c r="CJ35" s="17" t="str">
        <f t="shared" si="113"/>
        <v/>
      </c>
      <c r="CK35" s="18" t="str">
        <f t="shared" si="114"/>
        <v/>
      </c>
      <c r="CL35" s="18" t="str">
        <f t="shared" si="115"/>
        <v/>
      </c>
      <c r="CM35" s="109" t="str" cm="1">
        <f t="array" ref="CM35">IFERROR(_xlfn._xlws.FILTER(ST[SOH],(ST[Code]=$C35) * (ST[Customer Name]=CF$3),"" ),"")</f>
        <v/>
      </c>
      <c r="CN35" s="109" t="str" cm="1">
        <f t="array" ref="CN35">IFERROR(
    _xlfn.LET(
        _xlpm.result, INDEX(_xlfn._xlws.FILTER(ST[6wk avg], (ST[Code]=$C35)*(ST[Customer Name]=CF$3), ""), 1),
        IF(_xlpm.result=0, "", _xlpm.result)
    ),
"")</f>
        <v/>
      </c>
      <c r="CO35" s="102" t="str">
        <f t="shared" si="116"/>
        <v/>
      </c>
      <c r="CP35" s="70" t="str">
        <f t="shared" si="117"/>
        <v/>
      </c>
      <c r="CQ35" s="83" t="str">
        <f t="shared" si="118"/>
        <v/>
      </c>
      <c r="CR35" s="77"/>
      <c r="CS35" s="17" t="str">
        <f>IFERROR(_xlfn.XLOOKUP(C35,Query[Code],Query[Base (RRP Inc)]),"")</f>
        <v/>
      </c>
      <c r="CT35" s="17" t="str">
        <f t="shared" si="119"/>
        <v/>
      </c>
      <c r="CU35" s="107" t="str">
        <f t="shared" si="120"/>
        <v/>
      </c>
      <c r="CV35" s="17" t="str">
        <f t="shared" si="121"/>
        <v/>
      </c>
      <c r="CW35" s="17"/>
    </row>
    <row r="36" spans="1:101" x14ac:dyDescent="0.2">
      <c r="A36" s="106" t="str">
        <f t="shared" si="61"/>
        <v/>
      </c>
      <c r="B36" s="106" t="str">
        <f t="shared" si="62"/>
        <v/>
      </c>
      <c r="C36" s="13"/>
      <c r="D36" s="14" t="str">
        <f>IF(C36="", "",_xlfn.XLOOKUP(C36,'Master Price Level'!C:C,'Master Price Level'!D:D))</f>
        <v/>
      </c>
      <c r="E36" s="15"/>
      <c r="F36" s="108" t="str" cm="1">
        <f t="array" ref="F36">IFERROR(_xlfn._xlws.FILTER(ST[Customer Code],(ST[Code]=$C36) * (ST[Customer Name]=F$3),"" ),"")</f>
        <v/>
      </c>
      <c r="G36" s="68" t="str" cm="1">
        <f t="array" ref="G36">IFERROR(_xlfn.XLOOKUP($C36,Query[Code], _xlfn.XLOOKUP('Promo Form'!F$3,Query[[#Headers],[Code]:[Bing Lee]],Query[[Code]:[Bing Lee]])),"")</f>
        <v/>
      </c>
      <c r="H36" s="16" t="str">
        <f t="shared" si="63"/>
        <v/>
      </c>
      <c r="I36" s="16" t="str">
        <f t="shared" si="64"/>
        <v/>
      </c>
      <c r="J36" s="17" t="str">
        <f t="shared" si="65"/>
        <v/>
      </c>
      <c r="K36" s="18" t="str">
        <f t="shared" si="66"/>
        <v/>
      </c>
      <c r="L36" s="18" t="str">
        <f t="shared" si="67"/>
        <v/>
      </c>
      <c r="M36" s="109" t="str" cm="1">
        <f t="array" ref="M36">IFERROR(_xlfn._xlws.FILTER(ST[SOH],(ST[Code]=$C36) * (ST[Customer Name]=F$3),"" ),"")</f>
        <v/>
      </c>
      <c r="N36" s="109" t="str" cm="1">
        <f t="array" ref="N36">IFERROR(
    _xlfn.LET(
        _xlpm.result, INDEX(_xlfn._xlws.FILTER(ST[6wk avg], (ST[Code]=$C36)*(ST[Customer Name]=F$3), ""), 1),
        IF(_xlpm.result=0, "", _xlpm.result)
    ),
"")</f>
        <v/>
      </c>
      <c r="O36" s="102" t="str">
        <f t="shared" si="68"/>
        <v/>
      </c>
      <c r="P36" s="70" t="str">
        <f t="shared" si="69"/>
        <v/>
      </c>
      <c r="Q36" s="83" t="str">
        <f t="shared" si="70"/>
        <v/>
      </c>
      <c r="R36" s="77"/>
      <c r="S36" s="108" t="str" cm="1">
        <f t="array" ref="S36">IFERROR(_xlfn._xlws.FILTER(ST[Customer Code],(ST[Code]=$C36) * (ST[Customer Name]=S$3),"" ),"")</f>
        <v/>
      </c>
      <c r="T36" s="68" t="str" cm="1">
        <f t="array" ref="T36">IFERROR(_xlfn.XLOOKUP($C36,Query[Code], _xlfn.XLOOKUP('Promo Form'!S$3,Query[[#Headers],[Code]:[Bing Lee]],Query[[Code]:[Bing Lee]])),"")</f>
        <v/>
      </c>
      <c r="U36" s="16" t="str">
        <f t="shared" si="71"/>
        <v/>
      </c>
      <c r="V36" s="16" t="str">
        <f t="shared" si="72"/>
        <v/>
      </c>
      <c r="W36" s="17" t="str">
        <f t="shared" si="73"/>
        <v/>
      </c>
      <c r="X36" s="18" t="str">
        <f t="shared" si="74"/>
        <v/>
      </c>
      <c r="Y36" s="18" t="str">
        <f t="shared" si="75"/>
        <v/>
      </c>
      <c r="Z36" s="109" t="str" cm="1">
        <f t="array" ref="Z36">IFERROR(_xlfn._xlws.FILTER(ST[SOH],(ST[Code]=$C36) * (ST[Customer Name]=S$3),"" ),"")</f>
        <v/>
      </c>
      <c r="AA36" s="109" t="str" cm="1">
        <f t="array" ref="AA36">IFERROR(
    _xlfn.LET(
        _xlpm.result, INDEX(_xlfn._xlws.FILTER(ST[6wk avg], (ST[Code]=$C36)*(ST[Customer Name]=S$3), ""), 1),
        IF(_xlpm.result=0, "", _xlpm.result)
    ),
"")</f>
        <v/>
      </c>
      <c r="AB36" s="102" t="str">
        <f t="shared" si="76"/>
        <v/>
      </c>
      <c r="AC36" s="70" t="str">
        <f t="shared" si="77"/>
        <v/>
      </c>
      <c r="AD36" s="83" t="str">
        <f t="shared" si="78"/>
        <v/>
      </c>
      <c r="AE36" s="77"/>
      <c r="AF36" s="108" t="str" cm="1">
        <f t="array" ref="AF36">IFERROR(_xlfn._xlws.FILTER(ST[Customer Code],(ST[Code]=$C36) * (ST[Customer Name]=AF$3),"" ),"")</f>
        <v/>
      </c>
      <c r="AG36" s="68" t="str" cm="1">
        <f t="array" ref="AG36">IFERROR(_xlfn.XLOOKUP($C36,Query[Code], _xlfn.XLOOKUP('Promo Form'!AF$3,Query[[#Headers],[Code]:[Bing Lee]],Query[[Code]:[Bing Lee]])),"")</f>
        <v/>
      </c>
      <c r="AH36" s="16" t="str">
        <f t="shared" si="79"/>
        <v/>
      </c>
      <c r="AI36" s="16" t="str">
        <f t="shared" si="80"/>
        <v/>
      </c>
      <c r="AJ36" s="17" t="str">
        <f t="shared" si="81"/>
        <v/>
      </c>
      <c r="AK36" s="18" t="str">
        <f t="shared" si="82"/>
        <v/>
      </c>
      <c r="AL36" s="18" t="str">
        <f t="shared" si="83"/>
        <v/>
      </c>
      <c r="AM36" s="109" t="str" cm="1">
        <f t="array" ref="AM36">IFERROR(_xlfn._xlws.FILTER(ST[SOH],(ST[Code]=$C36) * (ST[Customer Name]=AF$3),"" ),"")</f>
        <v/>
      </c>
      <c r="AN36" s="109" t="str" cm="1">
        <f t="array" ref="AN36">IFERROR(
    _xlfn.LET(
        _xlpm.result, INDEX(_xlfn._xlws.FILTER(ST[6wk avg], (ST[Code]=$C36)*(ST[Customer Name]=AF$3), ""), 1),
        IF(_xlpm.result=0, "", _xlpm.result)
    ),
"")</f>
        <v/>
      </c>
      <c r="AO36" s="102" t="str">
        <f t="shared" si="84"/>
        <v/>
      </c>
      <c r="AP36" s="70" t="str">
        <f t="shared" si="85"/>
        <v/>
      </c>
      <c r="AQ36" s="83" t="str">
        <f t="shared" si="86"/>
        <v/>
      </c>
      <c r="AR36" s="77"/>
      <c r="AS36" s="108" t="str" cm="1">
        <f t="array" ref="AS36">IFERROR(_xlfn._xlws.FILTER(ST[Customer Code],(ST[Code]=$C36) * (ST[Customer Name]=AS$3),"" ),"")</f>
        <v/>
      </c>
      <c r="AT36" s="68" t="str" cm="1">
        <f t="array" ref="AT36">IFERROR(_xlfn.XLOOKUP($C36,Query[Code], _xlfn.XLOOKUP('Promo Form'!AS$3,Query[[#Headers],[Code]:[Bing Lee]],Query[[Code]:[Bing Lee]])),"")</f>
        <v/>
      </c>
      <c r="AU36" s="16" t="str">
        <f t="shared" si="87"/>
        <v/>
      </c>
      <c r="AV36" s="16" t="str">
        <f t="shared" si="88"/>
        <v/>
      </c>
      <c r="AW36" s="17" t="str">
        <f t="shared" si="89"/>
        <v/>
      </c>
      <c r="AX36" s="18" t="str">
        <f t="shared" si="90"/>
        <v/>
      </c>
      <c r="AY36" s="18" t="str">
        <f t="shared" si="91"/>
        <v/>
      </c>
      <c r="AZ36" s="109" t="str" cm="1">
        <f t="array" ref="AZ36">IFERROR(_xlfn._xlws.FILTER(ST[SOH],(ST[Code]=$C36) * (ST[Customer Name]=AS$3),"" ),"")</f>
        <v/>
      </c>
      <c r="BA36" s="109" t="str" cm="1">
        <f t="array" ref="BA36">IFERROR(
    _xlfn.LET(
        _xlpm.result, INDEX(_xlfn._xlws.FILTER(ST[6wk avg], (ST[Code]=$C36)*(ST[Customer Name]=AS$3), ""), 1),
        IF(_xlpm.result=0, "", _xlpm.result)
    ),
"")</f>
        <v/>
      </c>
      <c r="BB36" s="102" t="str">
        <f t="shared" si="92"/>
        <v/>
      </c>
      <c r="BC36" s="70" t="str">
        <f t="shared" si="93"/>
        <v/>
      </c>
      <c r="BD36" s="83" t="str">
        <f t="shared" si="94"/>
        <v/>
      </c>
      <c r="BE36" s="77"/>
      <c r="BF36" s="108" t="str" cm="1">
        <f t="array" ref="BF36">IFERROR(_xlfn._xlws.FILTER(ST[Customer Code],(ST[Code]=$C36) * (ST[Customer Name]=BF$3),"" ),"")</f>
        <v/>
      </c>
      <c r="BG36" s="68" t="str" cm="1">
        <f t="array" ref="BG36">IFERROR(_xlfn.XLOOKUP($C36,Query[Code], _xlfn.XLOOKUP('Promo Form'!BF$3,Query[[#Headers],[Code]:[Bing Lee]],Query[[Code]:[Bing Lee]])),"")</f>
        <v/>
      </c>
      <c r="BH36" s="16" t="str">
        <f t="shared" si="95"/>
        <v/>
      </c>
      <c r="BI36" s="16" t="str">
        <f t="shared" si="96"/>
        <v/>
      </c>
      <c r="BJ36" s="17" t="str">
        <f t="shared" si="97"/>
        <v/>
      </c>
      <c r="BK36" s="18" t="str">
        <f t="shared" si="98"/>
        <v/>
      </c>
      <c r="BL36" s="18" t="str">
        <f t="shared" si="99"/>
        <v/>
      </c>
      <c r="BM36" s="109" t="str" cm="1">
        <f t="array" ref="BM36">IFERROR(_xlfn._xlws.FILTER(ST[SOH],(ST[Code]=$C36) * (ST[Customer Name]=BF$3),"" ),"")</f>
        <v/>
      </c>
      <c r="BN36" s="109" t="str" cm="1">
        <f t="array" ref="BN36">IFERROR(
    _xlfn.LET(
        _xlpm.result, INDEX(_xlfn._xlws.FILTER(ST[6wk avg], (ST[Code]=$C36)*(ST[Customer Name]=BF$3), ""), 1),
        IF(_xlpm.result=0, "", _xlpm.result)
    ),
"")</f>
        <v/>
      </c>
      <c r="BO36" s="102" t="str">
        <f t="shared" si="100"/>
        <v/>
      </c>
      <c r="BP36" s="70" t="str">
        <f t="shared" si="101"/>
        <v/>
      </c>
      <c r="BQ36" s="83" t="str">
        <f t="shared" si="102"/>
        <v/>
      </c>
      <c r="BR36" s="77"/>
      <c r="BS36" s="108" t="str" cm="1">
        <f t="array" ref="BS36">IFERROR(_xlfn._xlws.FILTER(ST[Customer Code],(ST[Code]=$C36) * (ST[Customer Name]=BS$3),"" ),"")</f>
        <v/>
      </c>
      <c r="BT36" s="68" t="str" cm="1">
        <f t="array" ref="BT36">IFERROR(_xlfn.XLOOKUP($C36,Query[Code], _xlfn.XLOOKUP('Promo Form'!BS$3,Query[[#Headers],[Code]:[Bing Lee]],Query[[Code]:[Bing Lee]])),"")</f>
        <v/>
      </c>
      <c r="BU36" s="16" t="str">
        <f t="shared" si="103"/>
        <v/>
      </c>
      <c r="BV36" s="16" t="str">
        <f t="shared" si="104"/>
        <v/>
      </c>
      <c r="BW36" s="17" t="str">
        <f t="shared" si="105"/>
        <v/>
      </c>
      <c r="BX36" s="18" t="str">
        <f t="shared" si="106"/>
        <v/>
      </c>
      <c r="BY36" s="18" t="str">
        <f t="shared" si="107"/>
        <v/>
      </c>
      <c r="BZ36" s="109" t="str" cm="1">
        <f t="array" ref="BZ36">IFERROR(_xlfn._xlws.FILTER(ST[SOH],(ST[Code]=$C36) * (ST[Customer Name]=BS$3),"" ),"")</f>
        <v/>
      </c>
      <c r="CA36" s="109" t="str" cm="1">
        <f t="array" ref="CA36">IFERROR(
    _xlfn.LET(
        _xlpm.result, INDEX(_xlfn._xlws.FILTER(ST[6wk avg], (ST[Code]=$C36)*(ST[Customer Name]=BS$3), ""), 1),
        IF(_xlpm.result=0, "", _xlpm.result)
    ),
"")</f>
        <v/>
      </c>
      <c r="CB36" s="102" t="str">
        <f t="shared" si="108"/>
        <v/>
      </c>
      <c r="CC36" s="70" t="str">
        <f t="shared" si="109"/>
        <v/>
      </c>
      <c r="CD36" s="83" t="str">
        <f t="shared" si="110"/>
        <v/>
      </c>
      <c r="CE36" s="77"/>
      <c r="CF36" s="108" t="str" cm="1">
        <f t="array" ref="CF36">IFERROR(_xlfn._xlws.FILTER(ST[Customer Code],(ST[Code]=$C36) * (ST[Customer Name]=CF$3),"" ),"")</f>
        <v/>
      </c>
      <c r="CG36" s="68" t="str" cm="1">
        <f t="array" ref="CG36">IFERROR(_xlfn.XLOOKUP($C36,Query[Code], _xlfn.XLOOKUP('Promo Form'!CF$3,Query[[#Headers],[Code]:[Bing Lee]],Query[[Code]:[Bing Lee]])),"")</f>
        <v/>
      </c>
      <c r="CH36" s="16" t="str">
        <f t="shared" si="111"/>
        <v/>
      </c>
      <c r="CI36" s="16" t="str">
        <f t="shared" si="112"/>
        <v/>
      </c>
      <c r="CJ36" s="17" t="str">
        <f t="shared" si="113"/>
        <v/>
      </c>
      <c r="CK36" s="18" t="str">
        <f t="shared" si="114"/>
        <v/>
      </c>
      <c r="CL36" s="18" t="str">
        <f t="shared" si="115"/>
        <v/>
      </c>
      <c r="CM36" s="109" t="str" cm="1">
        <f t="array" ref="CM36">IFERROR(_xlfn._xlws.FILTER(ST[SOH],(ST[Code]=$C36) * (ST[Customer Name]=CF$3),"" ),"")</f>
        <v/>
      </c>
      <c r="CN36" s="109" t="str" cm="1">
        <f t="array" ref="CN36">IFERROR(
    _xlfn.LET(
        _xlpm.result, INDEX(_xlfn._xlws.FILTER(ST[6wk avg], (ST[Code]=$C36)*(ST[Customer Name]=CF$3), ""), 1),
        IF(_xlpm.result=0, "", _xlpm.result)
    ),
"")</f>
        <v/>
      </c>
      <c r="CO36" s="102" t="str">
        <f t="shared" si="116"/>
        <v/>
      </c>
      <c r="CP36" s="70" t="str">
        <f t="shared" si="117"/>
        <v/>
      </c>
      <c r="CQ36" s="83" t="str">
        <f t="shared" si="118"/>
        <v/>
      </c>
      <c r="CR36" s="77"/>
      <c r="CS36" s="17" t="str">
        <f>IFERROR(_xlfn.XLOOKUP(C36,Query[Code],Query[Base (RRP Inc)]),"")</f>
        <v/>
      </c>
      <c r="CT36" s="17" t="str">
        <f t="shared" si="119"/>
        <v/>
      </c>
      <c r="CU36" s="107" t="str">
        <f t="shared" si="120"/>
        <v/>
      </c>
      <c r="CV36" s="17" t="str">
        <f t="shared" si="121"/>
        <v/>
      </c>
      <c r="CW36" s="17"/>
    </row>
    <row r="37" spans="1:101" x14ac:dyDescent="0.2">
      <c r="A37" s="106" t="str">
        <f t="shared" si="61"/>
        <v/>
      </c>
      <c r="B37" s="106" t="str">
        <f t="shared" si="62"/>
        <v/>
      </c>
      <c r="C37" s="13"/>
      <c r="D37" s="14" t="str">
        <f>IF(C37="", "",_xlfn.XLOOKUP(C37,'Master Price Level'!C:C,'Master Price Level'!D:D))</f>
        <v/>
      </c>
      <c r="E37" s="15"/>
      <c r="F37" s="108" t="str" cm="1">
        <f t="array" ref="F37">IFERROR(_xlfn._xlws.FILTER(ST[Customer Code],(ST[Code]=$C37) * (ST[Customer Name]=F$3),"" ),"")</f>
        <v/>
      </c>
      <c r="G37" s="68" t="str" cm="1">
        <f t="array" ref="G37">IFERROR(_xlfn.XLOOKUP($C37,Query[Code], _xlfn.XLOOKUP('Promo Form'!F$3,Query[[#Headers],[Code]:[Bing Lee]],Query[[Code]:[Bing Lee]])),"")</f>
        <v/>
      </c>
      <c r="H37" s="16" t="str">
        <f t="shared" si="63"/>
        <v/>
      </c>
      <c r="I37" s="16" t="str">
        <f t="shared" si="64"/>
        <v/>
      </c>
      <c r="J37" s="17" t="str">
        <f t="shared" si="65"/>
        <v/>
      </c>
      <c r="K37" s="18" t="str">
        <f t="shared" si="66"/>
        <v/>
      </c>
      <c r="L37" s="18" t="str">
        <f t="shared" si="67"/>
        <v/>
      </c>
      <c r="M37" s="109" t="str" cm="1">
        <f t="array" ref="M37">IFERROR(_xlfn._xlws.FILTER(ST[SOH],(ST[Code]=$C37) * (ST[Customer Name]=F$3),"" ),"")</f>
        <v/>
      </c>
      <c r="N37" s="109" t="str" cm="1">
        <f t="array" ref="N37">IFERROR(
    _xlfn.LET(
        _xlpm.result, INDEX(_xlfn._xlws.FILTER(ST[6wk avg], (ST[Code]=$C37)*(ST[Customer Name]=F$3), ""), 1),
        IF(_xlpm.result=0, "", _xlpm.result)
    ),
"")</f>
        <v/>
      </c>
      <c r="O37" s="102" t="str">
        <f t="shared" si="68"/>
        <v/>
      </c>
      <c r="P37" s="70" t="str">
        <f t="shared" si="69"/>
        <v/>
      </c>
      <c r="Q37" s="83" t="str">
        <f t="shared" si="70"/>
        <v/>
      </c>
      <c r="R37" s="77"/>
      <c r="S37" s="108" t="str" cm="1">
        <f t="array" ref="S37">IFERROR(_xlfn._xlws.FILTER(ST[Customer Code],(ST[Code]=$C37) * (ST[Customer Name]=S$3),"" ),"")</f>
        <v/>
      </c>
      <c r="T37" s="68" t="str" cm="1">
        <f t="array" ref="T37">IFERROR(_xlfn.XLOOKUP($C37,Query[Code], _xlfn.XLOOKUP('Promo Form'!S$3,Query[[#Headers],[Code]:[Bing Lee]],Query[[Code]:[Bing Lee]])),"")</f>
        <v/>
      </c>
      <c r="U37" s="16" t="str">
        <f t="shared" si="71"/>
        <v/>
      </c>
      <c r="V37" s="16" t="str">
        <f t="shared" si="72"/>
        <v/>
      </c>
      <c r="W37" s="17" t="str">
        <f t="shared" si="73"/>
        <v/>
      </c>
      <c r="X37" s="18" t="str">
        <f t="shared" si="74"/>
        <v/>
      </c>
      <c r="Y37" s="18" t="str">
        <f t="shared" si="75"/>
        <v/>
      </c>
      <c r="Z37" s="109" t="str" cm="1">
        <f t="array" ref="Z37">IFERROR(_xlfn._xlws.FILTER(ST[SOH],(ST[Code]=$C37) * (ST[Customer Name]=S$3),"" ),"")</f>
        <v/>
      </c>
      <c r="AA37" s="109" t="str" cm="1">
        <f t="array" ref="AA37">IFERROR(
    _xlfn.LET(
        _xlpm.result, INDEX(_xlfn._xlws.FILTER(ST[6wk avg], (ST[Code]=$C37)*(ST[Customer Name]=S$3), ""), 1),
        IF(_xlpm.result=0, "", _xlpm.result)
    ),
"")</f>
        <v/>
      </c>
      <c r="AB37" s="102" t="str">
        <f t="shared" si="76"/>
        <v/>
      </c>
      <c r="AC37" s="70" t="str">
        <f t="shared" si="77"/>
        <v/>
      </c>
      <c r="AD37" s="83" t="str">
        <f t="shared" si="78"/>
        <v/>
      </c>
      <c r="AE37" s="77"/>
      <c r="AF37" s="108" t="str" cm="1">
        <f t="array" ref="AF37">IFERROR(_xlfn._xlws.FILTER(ST[Customer Code],(ST[Code]=$C37) * (ST[Customer Name]=AF$3),"" ),"")</f>
        <v/>
      </c>
      <c r="AG37" s="68" t="str" cm="1">
        <f t="array" ref="AG37">IFERROR(_xlfn.XLOOKUP($C37,Query[Code], _xlfn.XLOOKUP('Promo Form'!AF$3,Query[[#Headers],[Code]:[Bing Lee]],Query[[Code]:[Bing Lee]])),"")</f>
        <v/>
      </c>
      <c r="AH37" s="16" t="str">
        <f t="shared" si="79"/>
        <v/>
      </c>
      <c r="AI37" s="16" t="str">
        <f t="shared" si="80"/>
        <v/>
      </c>
      <c r="AJ37" s="17" t="str">
        <f t="shared" si="81"/>
        <v/>
      </c>
      <c r="AK37" s="18" t="str">
        <f t="shared" si="82"/>
        <v/>
      </c>
      <c r="AL37" s="18" t="str">
        <f t="shared" si="83"/>
        <v/>
      </c>
      <c r="AM37" s="109" t="str" cm="1">
        <f t="array" ref="AM37">IFERROR(_xlfn._xlws.FILTER(ST[SOH],(ST[Code]=$C37) * (ST[Customer Name]=AF$3),"" ),"")</f>
        <v/>
      </c>
      <c r="AN37" s="109" t="str" cm="1">
        <f t="array" ref="AN37">IFERROR(
    _xlfn.LET(
        _xlpm.result, INDEX(_xlfn._xlws.FILTER(ST[6wk avg], (ST[Code]=$C37)*(ST[Customer Name]=AF$3), ""), 1),
        IF(_xlpm.result=0, "", _xlpm.result)
    ),
"")</f>
        <v/>
      </c>
      <c r="AO37" s="102" t="str">
        <f t="shared" si="84"/>
        <v/>
      </c>
      <c r="AP37" s="70" t="str">
        <f t="shared" si="85"/>
        <v/>
      </c>
      <c r="AQ37" s="83" t="str">
        <f t="shared" si="86"/>
        <v/>
      </c>
      <c r="AR37" s="77"/>
      <c r="AS37" s="108" t="str" cm="1">
        <f t="array" ref="AS37">IFERROR(_xlfn._xlws.FILTER(ST[Customer Code],(ST[Code]=$C37) * (ST[Customer Name]=AS$3),"" ),"")</f>
        <v/>
      </c>
      <c r="AT37" s="68" t="str" cm="1">
        <f t="array" ref="AT37">IFERROR(_xlfn.XLOOKUP($C37,Query[Code], _xlfn.XLOOKUP('Promo Form'!AS$3,Query[[#Headers],[Code]:[Bing Lee]],Query[[Code]:[Bing Lee]])),"")</f>
        <v/>
      </c>
      <c r="AU37" s="16" t="str">
        <f t="shared" si="87"/>
        <v/>
      </c>
      <c r="AV37" s="16" t="str">
        <f t="shared" si="88"/>
        <v/>
      </c>
      <c r="AW37" s="17" t="str">
        <f t="shared" si="89"/>
        <v/>
      </c>
      <c r="AX37" s="18" t="str">
        <f t="shared" si="90"/>
        <v/>
      </c>
      <c r="AY37" s="18" t="str">
        <f t="shared" si="91"/>
        <v/>
      </c>
      <c r="AZ37" s="109" t="str" cm="1">
        <f t="array" ref="AZ37">IFERROR(_xlfn._xlws.FILTER(ST[SOH],(ST[Code]=$C37) * (ST[Customer Name]=AS$3),"" ),"")</f>
        <v/>
      </c>
      <c r="BA37" s="109" t="str" cm="1">
        <f t="array" ref="BA37">IFERROR(
    _xlfn.LET(
        _xlpm.result, INDEX(_xlfn._xlws.FILTER(ST[6wk avg], (ST[Code]=$C37)*(ST[Customer Name]=AS$3), ""), 1),
        IF(_xlpm.result=0, "", _xlpm.result)
    ),
"")</f>
        <v/>
      </c>
      <c r="BB37" s="102" t="str">
        <f t="shared" si="92"/>
        <v/>
      </c>
      <c r="BC37" s="70" t="str">
        <f t="shared" si="93"/>
        <v/>
      </c>
      <c r="BD37" s="83" t="str">
        <f t="shared" si="94"/>
        <v/>
      </c>
      <c r="BE37" s="77"/>
      <c r="BF37" s="108" t="str" cm="1">
        <f t="array" ref="BF37">IFERROR(_xlfn._xlws.FILTER(ST[Customer Code],(ST[Code]=$C37) * (ST[Customer Name]=BF$3),"" ),"")</f>
        <v/>
      </c>
      <c r="BG37" s="68" t="str" cm="1">
        <f t="array" ref="BG37">IFERROR(_xlfn.XLOOKUP($C37,Query[Code], _xlfn.XLOOKUP('Promo Form'!BF$3,Query[[#Headers],[Code]:[Bing Lee]],Query[[Code]:[Bing Lee]])),"")</f>
        <v/>
      </c>
      <c r="BH37" s="16" t="str">
        <f t="shared" si="95"/>
        <v/>
      </c>
      <c r="BI37" s="16" t="str">
        <f t="shared" si="96"/>
        <v/>
      </c>
      <c r="BJ37" s="17" t="str">
        <f t="shared" si="97"/>
        <v/>
      </c>
      <c r="BK37" s="18" t="str">
        <f t="shared" si="98"/>
        <v/>
      </c>
      <c r="BL37" s="18" t="str">
        <f t="shared" si="99"/>
        <v/>
      </c>
      <c r="BM37" s="109" t="str" cm="1">
        <f t="array" ref="BM37">IFERROR(_xlfn._xlws.FILTER(ST[SOH],(ST[Code]=$C37) * (ST[Customer Name]=BF$3),"" ),"")</f>
        <v/>
      </c>
      <c r="BN37" s="109" t="str" cm="1">
        <f t="array" ref="BN37">IFERROR(
    _xlfn.LET(
        _xlpm.result, INDEX(_xlfn._xlws.FILTER(ST[6wk avg], (ST[Code]=$C37)*(ST[Customer Name]=BF$3), ""), 1),
        IF(_xlpm.result=0, "", _xlpm.result)
    ),
"")</f>
        <v/>
      </c>
      <c r="BO37" s="102" t="str">
        <f t="shared" si="100"/>
        <v/>
      </c>
      <c r="BP37" s="70" t="str">
        <f t="shared" si="101"/>
        <v/>
      </c>
      <c r="BQ37" s="83" t="str">
        <f t="shared" si="102"/>
        <v/>
      </c>
      <c r="BR37" s="77"/>
      <c r="BS37" s="108" t="str" cm="1">
        <f t="array" ref="BS37">IFERROR(_xlfn._xlws.FILTER(ST[Customer Code],(ST[Code]=$C37) * (ST[Customer Name]=BS$3),"" ),"")</f>
        <v/>
      </c>
      <c r="BT37" s="68" t="str" cm="1">
        <f t="array" ref="BT37">IFERROR(_xlfn.XLOOKUP($C37,Query[Code], _xlfn.XLOOKUP('Promo Form'!BS$3,Query[[#Headers],[Code]:[Bing Lee]],Query[[Code]:[Bing Lee]])),"")</f>
        <v/>
      </c>
      <c r="BU37" s="16" t="str">
        <f t="shared" si="103"/>
        <v/>
      </c>
      <c r="BV37" s="16" t="str">
        <f t="shared" si="104"/>
        <v/>
      </c>
      <c r="BW37" s="17" t="str">
        <f t="shared" si="105"/>
        <v/>
      </c>
      <c r="BX37" s="18" t="str">
        <f t="shared" si="106"/>
        <v/>
      </c>
      <c r="BY37" s="18" t="str">
        <f t="shared" si="107"/>
        <v/>
      </c>
      <c r="BZ37" s="109" t="str" cm="1">
        <f t="array" ref="BZ37">IFERROR(_xlfn._xlws.FILTER(ST[SOH],(ST[Code]=$C37) * (ST[Customer Name]=BS$3),"" ),"")</f>
        <v/>
      </c>
      <c r="CA37" s="109" t="str" cm="1">
        <f t="array" ref="CA37">IFERROR(
    _xlfn.LET(
        _xlpm.result, INDEX(_xlfn._xlws.FILTER(ST[6wk avg], (ST[Code]=$C37)*(ST[Customer Name]=BS$3), ""), 1),
        IF(_xlpm.result=0, "", _xlpm.result)
    ),
"")</f>
        <v/>
      </c>
      <c r="CB37" s="102" t="str">
        <f t="shared" si="108"/>
        <v/>
      </c>
      <c r="CC37" s="70" t="str">
        <f t="shared" si="109"/>
        <v/>
      </c>
      <c r="CD37" s="83" t="str">
        <f t="shared" si="110"/>
        <v/>
      </c>
      <c r="CE37" s="77"/>
      <c r="CF37" s="108" t="str" cm="1">
        <f t="array" ref="CF37">IFERROR(_xlfn._xlws.FILTER(ST[Customer Code],(ST[Code]=$C37) * (ST[Customer Name]=CF$3),"" ),"")</f>
        <v/>
      </c>
      <c r="CG37" s="68" t="str" cm="1">
        <f t="array" ref="CG37">IFERROR(_xlfn.XLOOKUP($C37,Query[Code], _xlfn.XLOOKUP('Promo Form'!CF$3,Query[[#Headers],[Code]:[Bing Lee]],Query[[Code]:[Bing Lee]])),"")</f>
        <v/>
      </c>
      <c r="CH37" s="16" t="str">
        <f t="shared" si="111"/>
        <v/>
      </c>
      <c r="CI37" s="16" t="str">
        <f t="shared" si="112"/>
        <v/>
      </c>
      <c r="CJ37" s="17" t="str">
        <f t="shared" si="113"/>
        <v/>
      </c>
      <c r="CK37" s="18" t="str">
        <f t="shared" si="114"/>
        <v/>
      </c>
      <c r="CL37" s="18" t="str">
        <f t="shared" si="115"/>
        <v/>
      </c>
      <c r="CM37" s="109" t="str" cm="1">
        <f t="array" ref="CM37">IFERROR(_xlfn._xlws.FILTER(ST[SOH],(ST[Code]=$C37) * (ST[Customer Name]=CF$3),"" ),"")</f>
        <v/>
      </c>
      <c r="CN37" s="109" t="str" cm="1">
        <f t="array" ref="CN37">IFERROR(
    _xlfn.LET(
        _xlpm.result, INDEX(_xlfn._xlws.FILTER(ST[6wk avg], (ST[Code]=$C37)*(ST[Customer Name]=CF$3), ""), 1),
        IF(_xlpm.result=0, "", _xlpm.result)
    ),
"")</f>
        <v/>
      </c>
      <c r="CO37" s="102" t="str">
        <f t="shared" si="116"/>
        <v/>
      </c>
      <c r="CP37" s="70" t="str">
        <f t="shared" si="117"/>
        <v/>
      </c>
      <c r="CQ37" s="83" t="str">
        <f t="shared" si="118"/>
        <v/>
      </c>
      <c r="CR37" s="77"/>
      <c r="CS37" s="17" t="str">
        <f>IFERROR(_xlfn.XLOOKUP(C37,Query[Code],Query[Base (RRP Inc)]),"")</f>
        <v/>
      </c>
      <c r="CT37" s="17" t="str">
        <f t="shared" si="119"/>
        <v/>
      </c>
      <c r="CU37" s="107" t="str">
        <f t="shared" si="120"/>
        <v/>
      </c>
      <c r="CV37" s="17" t="str">
        <f t="shared" si="121"/>
        <v/>
      </c>
      <c r="CW37" s="17"/>
    </row>
    <row r="38" spans="1:101" x14ac:dyDescent="0.2">
      <c r="A38" s="106" t="str">
        <f t="shared" si="61"/>
        <v/>
      </c>
      <c r="B38" s="106" t="str">
        <f t="shared" si="62"/>
        <v/>
      </c>
      <c r="C38" s="13"/>
      <c r="D38" s="14" t="str">
        <f>IF(C38="", "",_xlfn.XLOOKUP(C38,'Master Price Level'!C:C,'Master Price Level'!D:D))</f>
        <v/>
      </c>
      <c r="E38" s="15"/>
      <c r="F38" s="108" t="str" cm="1">
        <f t="array" ref="F38">IFERROR(_xlfn._xlws.FILTER(ST[Customer Code],(ST[Code]=$C38) * (ST[Customer Name]=F$3),"" ),"")</f>
        <v/>
      </c>
      <c r="G38" s="68" t="str" cm="1">
        <f t="array" ref="G38">IFERROR(_xlfn.XLOOKUP($C38,Query[Code], _xlfn.XLOOKUP('Promo Form'!F$3,Query[[#Headers],[Code]:[Bing Lee]],Query[[Code]:[Bing Lee]])),"")</f>
        <v/>
      </c>
      <c r="H38" s="16" t="str">
        <f t="shared" si="63"/>
        <v/>
      </c>
      <c r="I38" s="16" t="str">
        <f t="shared" si="64"/>
        <v/>
      </c>
      <c r="J38" s="17" t="str">
        <f t="shared" si="65"/>
        <v/>
      </c>
      <c r="K38" s="18" t="str">
        <f t="shared" si="66"/>
        <v/>
      </c>
      <c r="L38" s="18" t="str">
        <f t="shared" si="67"/>
        <v/>
      </c>
      <c r="M38" s="109" t="str" cm="1">
        <f t="array" ref="M38">IFERROR(_xlfn._xlws.FILTER(ST[SOH],(ST[Code]=$C38) * (ST[Customer Name]=F$3),"" ),"")</f>
        <v/>
      </c>
      <c r="N38" s="109" t="str" cm="1">
        <f t="array" ref="N38">IFERROR(
    _xlfn.LET(
        _xlpm.result, INDEX(_xlfn._xlws.FILTER(ST[6wk avg], (ST[Code]=$C38)*(ST[Customer Name]=F$3), ""), 1),
        IF(_xlpm.result=0, "", _xlpm.result)
    ),
"")</f>
        <v/>
      </c>
      <c r="O38" s="102" t="str">
        <f t="shared" si="68"/>
        <v/>
      </c>
      <c r="P38" s="70" t="str">
        <f t="shared" si="69"/>
        <v/>
      </c>
      <c r="Q38" s="83" t="str">
        <f t="shared" si="70"/>
        <v/>
      </c>
      <c r="R38" s="77"/>
      <c r="S38" s="108" t="str" cm="1">
        <f t="array" ref="S38">IFERROR(_xlfn._xlws.FILTER(ST[Customer Code],(ST[Code]=$C38) * (ST[Customer Name]=S$3),"" ),"")</f>
        <v/>
      </c>
      <c r="T38" s="68" t="str" cm="1">
        <f t="array" ref="T38">IFERROR(_xlfn.XLOOKUP($C38,Query[Code], _xlfn.XLOOKUP('Promo Form'!S$3,Query[[#Headers],[Code]:[Bing Lee]],Query[[Code]:[Bing Lee]])),"")</f>
        <v/>
      </c>
      <c r="U38" s="16" t="str">
        <f t="shared" si="71"/>
        <v/>
      </c>
      <c r="V38" s="16" t="str">
        <f t="shared" si="72"/>
        <v/>
      </c>
      <c r="W38" s="17" t="str">
        <f t="shared" si="73"/>
        <v/>
      </c>
      <c r="X38" s="18" t="str">
        <f t="shared" si="74"/>
        <v/>
      </c>
      <c r="Y38" s="18" t="str">
        <f t="shared" si="75"/>
        <v/>
      </c>
      <c r="Z38" s="109" t="str" cm="1">
        <f t="array" ref="Z38">IFERROR(_xlfn._xlws.FILTER(ST[SOH],(ST[Code]=$C38) * (ST[Customer Name]=S$3),"" ),"")</f>
        <v/>
      </c>
      <c r="AA38" s="109" t="str" cm="1">
        <f t="array" ref="AA38">IFERROR(
    _xlfn.LET(
        _xlpm.result, INDEX(_xlfn._xlws.FILTER(ST[6wk avg], (ST[Code]=$C38)*(ST[Customer Name]=S$3), ""), 1),
        IF(_xlpm.result=0, "", _xlpm.result)
    ),
"")</f>
        <v/>
      </c>
      <c r="AB38" s="102" t="str">
        <f t="shared" si="76"/>
        <v/>
      </c>
      <c r="AC38" s="70" t="str">
        <f t="shared" si="77"/>
        <v/>
      </c>
      <c r="AD38" s="83" t="str">
        <f t="shared" si="78"/>
        <v/>
      </c>
      <c r="AE38" s="77"/>
      <c r="AF38" s="108" t="str" cm="1">
        <f t="array" ref="AF38">IFERROR(_xlfn._xlws.FILTER(ST[Customer Code],(ST[Code]=$C38) * (ST[Customer Name]=AF$3),"" ),"")</f>
        <v/>
      </c>
      <c r="AG38" s="68" t="str" cm="1">
        <f t="array" ref="AG38">IFERROR(_xlfn.XLOOKUP($C38,Query[Code], _xlfn.XLOOKUP('Promo Form'!AF$3,Query[[#Headers],[Code]:[Bing Lee]],Query[[Code]:[Bing Lee]])),"")</f>
        <v/>
      </c>
      <c r="AH38" s="16" t="str">
        <f t="shared" si="79"/>
        <v/>
      </c>
      <c r="AI38" s="16" t="str">
        <f t="shared" si="80"/>
        <v/>
      </c>
      <c r="AJ38" s="17" t="str">
        <f t="shared" si="81"/>
        <v/>
      </c>
      <c r="AK38" s="18" t="str">
        <f t="shared" si="82"/>
        <v/>
      </c>
      <c r="AL38" s="18" t="str">
        <f t="shared" si="83"/>
        <v/>
      </c>
      <c r="AM38" s="109" t="str" cm="1">
        <f t="array" ref="AM38">IFERROR(_xlfn._xlws.FILTER(ST[SOH],(ST[Code]=$C38) * (ST[Customer Name]=AF$3),"" ),"")</f>
        <v/>
      </c>
      <c r="AN38" s="109" t="str" cm="1">
        <f t="array" ref="AN38">IFERROR(
    _xlfn.LET(
        _xlpm.result, INDEX(_xlfn._xlws.FILTER(ST[6wk avg], (ST[Code]=$C38)*(ST[Customer Name]=AF$3), ""), 1),
        IF(_xlpm.result=0, "", _xlpm.result)
    ),
"")</f>
        <v/>
      </c>
      <c r="AO38" s="102" t="str">
        <f t="shared" si="84"/>
        <v/>
      </c>
      <c r="AP38" s="70" t="str">
        <f t="shared" si="85"/>
        <v/>
      </c>
      <c r="AQ38" s="83" t="str">
        <f t="shared" si="86"/>
        <v/>
      </c>
      <c r="AR38" s="77"/>
      <c r="AS38" s="108" t="str" cm="1">
        <f t="array" ref="AS38">IFERROR(_xlfn._xlws.FILTER(ST[Customer Code],(ST[Code]=$C38) * (ST[Customer Name]=AS$3),"" ),"")</f>
        <v/>
      </c>
      <c r="AT38" s="68" t="str" cm="1">
        <f t="array" ref="AT38">IFERROR(_xlfn.XLOOKUP($C38,Query[Code], _xlfn.XLOOKUP('Promo Form'!AS$3,Query[[#Headers],[Code]:[Bing Lee]],Query[[Code]:[Bing Lee]])),"")</f>
        <v/>
      </c>
      <c r="AU38" s="16" t="str">
        <f t="shared" si="87"/>
        <v/>
      </c>
      <c r="AV38" s="16" t="str">
        <f t="shared" si="88"/>
        <v/>
      </c>
      <c r="AW38" s="17" t="str">
        <f t="shared" si="89"/>
        <v/>
      </c>
      <c r="AX38" s="18" t="str">
        <f t="shared" si="90"/>
        <v/>
      </c>
      <c r="AY38" s="18" t="str">
        <f t="shared" si="91"/>
        <v/>
      </c>
      <c r="AZ38" s="109" t="str" cm="1">
        <f t="array" ref="AZ38">IFERROR(_xlfn._xlws.FILTER(ST[SOH],(ST[Code]=$C38) * (ST[Customer Name]=AS$3),"" ),"")</f>
        <v/>
      </c>
      <c r="BA38" s="109" t="str" cm="1">
        <f t="array" ref="BA38">IFERROR(
    _xlfn.LET(
        _xlpm.result, INDEX(_xlfn._xlws.FILTER(ST[6wk avg], (ST[Code]=$C38)*(ST[Customer Name]=AS$3), ""), 1),
        IF(_xlpm.result=0, "", _xlpm.result)
    ),
"")</f>
        <v/>
      </c>
      <c r="BB38" s="102" t="str">
        <f t="shared" si="92"/>
        <v/>
      </c>
      <c r="BC38" s="70" t="str">
        <f t="shared" si="93"/>
        <v/>
      </c>
      <c r="BD38" s="83" t="str">
        <f t="shared" si="94"/>
        <v/>
      </c>
      <c r="BE38" s="77"/>
      <c r="BF38" s="108" t="str" cm="1">
        <f t="array" ref="BF38">IFERROR(_xlfn._xlws.FILTER(ST[Customer Code],(ST[Code]=$C38) * (ST[Customer Name]=BF$3),"" ),"")</f>
        <v/>
      </c>
      <c r="BG38" s="68" t="str" cm="1">
        <f t="array" ref="BG38">IFERROR(_xlfn.XLOOKUP($C38,Query[Code], _xlfn.XLOOKUP('Promo Form'!BF$3,Query[[#Headers],[Code]:[Bing Lee]],Query[[Code]:[Bing Lee]])),"")</f>
        <v/>
      </c>
      <c r="BH38" s="16" t="str">
        <f t="shared" si="95"/>
        <v/>
      </c>
      <c r="BI38" s="16" t="str">
        <f t="shared" si="96"/>
        <v/>
      </c>
      <c r="BJ38" s="17" t="str">
        <f t="shared" si="97"/>
        <v/>
      </c>
      <c r="BK38" s="18" t="str">
        <f t="shared" si="98"/>
        <v/>
      </c>
      <c r="BL38" s="18" t="str">
        <f t="shared" si="99"/>
        <v/>
      </c>
      <c r="BM38" s="109" t="str" cm="1">
        <f t="array" ref="BM38">IFERROR(_xlfn._xlws.FILTER(ST[SOH],(ST[Code]=$C38) * (ST[Customer Name]=BF$3),"" ),"")</f>
        <v/>
      </c>
      <c r="BN38" s="109" t="str" cm="1">
        <f t="array" ref="BN38">IFERROR(
    _xlfn.LET(
        _xlpm.result, INDEX(_xlfn._xlws.FILTER(ST[6wk avg], (ST[Code]=$C38)*(ST[Customer Name]=BF$3), ""), 1),
        IF(_xlpm.result=0, "", _xlpm.result)
    ),
"")</f>
        <v/>
      </c>
      <c r="BO38" s="102" t="str">
        <f t="shared" si="100"/>
        <v/>
      </c>
      <c r="BP38" s="70" t="str">
        <f t="shared" si="101"/>
        <v/>
      </c>
      <c r="BQ38" s="83" t="str">
        <f t="shared" si="102"/>
        <v/>
      </c>
      <c r="BR38" s="77"/>
      <c r="BS38" s="108" t="str" cm="1">
        <f t="array" ref="BS38">IFERROR(_xlfn._xlws.FILTER(ST[Customer Code],(ST[Code]=$C38) * (ST[Customer Name]=BS$3),"" ),"")</f>
        <v/>
      </c>
      <c r="BT38" s="68" t="str" cm="1">
        <f t="array" ref="BT38">IFERROR(_xlfn.XLOOKUP($C38,Query[Code], _xlfn.XLOOKUP('Promo Form'!BS$3,Query[[#Headers],[Code]:[Bing Lee]],Query[[Code]:[Bing Lee]])),"")</f>
        <v/>
      </c>
      <c r="BU38" s="16" t="str">
        <f t="shared" si="103"/>
        <v/>
      </c>
      <c r="BV38" s="16" t="str">
        <f t="shared" si="104"/>
        <v/>
      </c>
      <c r="BW38" s="17" t="str">
        <f t="shared" si="105"/>
        <v/>
      </c>
      <c r="BX38" s="18" t="str">
        <f t="shared" si="106"/>
        <v/>
      </c>
      <c r="BY38" s="18" t="str">
        <f t="shared" si="107"/>
        <v/>
      </c>
      <c r="BZ38" s="109" t="str" cm="1">
        <f t="array" ref="BZ38">IFERROR(_xlfn._xlws.FILTER(ST[SOH],(ST[Code]=$C38) * (ST[Customer Name]=BS$3),"" ),"")</f>
        <v/>
      </c>
      <c r="CA38" s="109" t="str" cm="1">
        <f t="array" ref="CA38">IFERROR(
    _xlfn.LET(
        _xlpm.result, INDEX(_xlfn._xlws.FILTER(ST[6wk avg], (ST[Code]=$C38)*(ST[Customer Name]=BS$3), ""), 1),
        IF(_xlpm.result=0, "", _xlpm.result)
    ),
"")</f>
        <v/>
      </c>
      <c r="CB38" s="102" t="str">
        <f t="shared" si="108"/>
        <v/>
      </c>
      <c r="CC38" s="70" t="str">
        <f t="shared" si="109"/>
        <v/>
      </c>
      <c r="CD38" s="83" t="str">
        <f t="shared" si="110"/>
        <v/>
      </c>
      <c r="CE38" s="77"/>
      <c r="CF38" s="108" t="str" cm="1">
        <f t="array" ref="CF38">IFERROR(_xlfn._xlws.FILTER(ST[Customer Code],(ST[Code]=$C38) * (ST[Customer Name]=CF$3),"" ),"")</f>
        <v/>
      </c>
      <c r="CG38" s="68" t="str" cm="1">
        <f t="array" ref="CG38">IFERROR(_xlfn.XLOOKUP($C38,Query[Code], _xlfn.XLOOKUP('Promo Form'!CF$3,Query[[#Headers],[Code]:[Bing Lee]],Query[[Code]:[Bing Lee]])),"")</f>
        <v/>
      </c>
      <c r="CH38" s="16" t="str">
        <f t="shared" si="111"/>
        <v/>
      </c>
      <c r="CI38" s="16" t="str">
        <f t="shared" si="112"/>
        <v/>
      </c>
      <c r="CJ38" s="17" t="str">
        <f t="shared" si="113"/>
        <v/>
      </c>
      <c r="CK38" s="18" t="str">
        <f t="shared" si="114"/>
        <v/>
      </c>
      <c r="CL38" s="18" t="str">
        <f t="shared" si="115"/>
        <v/>
      </c>
      <c r="CM38" s="109" t="str" cm="1">
        <f t="array" ref="CM38">IFERROR(_xlfn._xlws.FILTER(ST[SOH],(ST[Code]=$C38) * (ST[Customer Name]=CF$3),"" ),"")</f>
        <v/>
      </c>
      <c r="CN38" s="109" t="str" cm="1">
        <f t="array" ref="CN38">IFERROR(
    _xlfn.LET(
        _xlpm.result, INDEX(_xlfn._xlws.FILTER(ST[6wk avg], (ST[Code]=$C38)*(ST[Customer Name]=CF$3), ""), 1),
        IF(_xlpm.result=0, "", _xlpm.result)
    ),
"")</f>
        <v/>
      </c>
      <c r="CO38" s="102" t="str">
        <f t="shared" si="116"/>
        <v/>
      </c>
      <c r="CP38" s="70" t="str">
        <f t="shared" si="117"/>
        <v/>
      </c>
      <c r="CQ38" s="83" t="str">
        <f t="shared" si="118"/>
        <v/>
      </c>
      <c r="CR38" s="77"/>
      <c r="CS38" s="17" t="str">
        <f>IFERROR(_xlfn.XLOOKUP(C38,Query[Code],Query[Base (RRP Inc)]),"")</f>
        <v/>
      </c>
      <c r="CT38" s="17" t="str">
        <f t="shared" si="119"/>
        <v/>
      </c>
      <c r="CU38" s="107" t="str">
        <f t="shared" si="120"/>
        <v/>
      </c>
      <c r="CV38" s="17" t="str">
        <f t="shared" si="121"/>
        <v/>
      </c>
      <c r="CW38" s="17"/>
    </row>
    <row r="39" spans="1:101" x14ac:dyDescent="0.2">
      <c r="A39" s="106" t="str">
        <f t="shared" si="61"/>
        <v/>
      </c>
      <c r="B39" s="106" t="str">
        <f t="shared" si="62"/>
        <v/>
      </c>
      <c r="C39" s="13"/>
      <c r="D39" s="14" t="str">
        <f>IF(C39="", "",_xlfn.XLOOKUP(C39,'Master Price Level'!C:C,'Master Price Level'!D:D))</f>
        <v/>
      </c>
      <c r="E39" s="15"/>
      <c r="F39" s="108" t="str" cm="1">
        <f t="array" ref="F39">IFERROR(_xlfn._xlws.FILTER(ST[Customer Code],(ST[Code]=$C39) * (ST[Customer Name]=F$3),"" ),"")</f>
        <v/>
      </c>
      <c r="G39" s="68" t="str" cm="1">
        <f t="array" ref="G39">IFERROR(_xlfn.XLOOKUP($C39,Query[Code], _xlfn.XLOOKUP('Promo Form'!F$3,Query[[#Headers],[Code]:[Bing Lee]],Query[[Code]:[Bing Lee]])),"")</f>
        <v/>
      </c>
      <c r="H39" s="16" t="str">
        <f t="shared" si="63"/>
        <v/>
      </c>
      <c r="I39" s="16" t="str">
        <f t="shared" si="64"/>
        <v/>
      </c>
      <c r="J39" s="17" t="str">
        <f t="shared" si="65"/>
        <v/>
      </c>
      <c r="K39" s="18" t="str">
        <f t="shared" si="66"/>
        <v/>
      </c>
      <c r="L39" s="18" t="str">
        <f t="shared" si="67"/>
        <v/>
      </c>
      <c r="M39" s="109" t="str" cm="1">
        <f t="array" ref="M39">IFERROR(_xlfn._xlws.FILTER(ST[SOH],(ST[Code]=$C39) * (ST[Customer Name]=F$3),"" ),"")</f>
        <v/>
      </c>
      <c r="N39" s="109" t="str" cm="1">
        <f t="array" ref="N39">IFERROR(
    _xlfn.LET(
        _xlpm.result, INDEX(_xlfn._xlws.FILTER(ST[6wk avg], (ST[Code]=$C39)*(ST[Customer Name]=F$3), ""), 1),
        IF(_xlpm.result=0, "", _xlpm.result)
    ),
"")</f>
        <v/>
      </c>
      <c r="O39" s="102" t="str">
        <f t="shared" si="68"/>
        <v/>
      </c>
      <c r="P39" s="70" t="str">
        <f t="shared" si="69"/>
        <v/>
      </c>
      <c r="Q39" s="83" t="str">
        <f t="shared" si="70"/>
        <v/>
      </c>
      <c r="R39" s="77"/>
      <c r="S39" s="108" t="str" cm="1">
        <f t="array" ref="S39">IFERROR(_xlfn._xlws.FILTER(ST[Customer Code],(ST[Code]=$C39) * (ST[Customer Name]=S$3),"" ),"")</f>
        <v/>
      </c>
      <c r="T39" s="68" t="str" cm="1">
        <f t="array" ref="T39">IFERROR(_xlfn.XLOOKUP($C39,Query[Code], _xlfn.XLOOKUP('Promo Form'!S$3,Query[[#Headers],[Code]:[Bing Lee]],Query[[Code]:[Bing Lee]])),"")</f>
        <v/>
      </c>
      <c r="U39" s="16" t="str">
        <f t="shared" si="71"/>
        <v/>
      </c>
      <c r="V39" s="16" t="str">
        <f t="shared" si="72"/>
        <v/>
      </c>
      <c r="W39" s="17" t="str">
        <f t="shared" si="73"/>
        <v/>
      </c>
      <c r="X39" s="18" t="str">
        <f t="shared" si="74"/>
        <v/>
      </c>
      <c r="Y39" s="18" t="str">
        <f t="shared" si="75"/>
        <v/>
      </c>
      <c r="Z39" s="109" t="str" cm="1">
        <f t="array" ref="Z39">IFERROR(_xlfn._xlws.FILTER(ST[SOH],(ST[Code]=$C39) * (ST[Customer Name]=S$3),"" ),"")</f>
        <v/>
      </c>
      <c r="AA39" s="109" t="str" cm="1">
        <f t="array" ref="AA39">IFERROR(
    _xlfn.LET(
        _xlpm.result, INDEX(_xlfn._xlws.FILTER(ST[6wk avg], (ST[Code]=$C39)*(ST[Customer Name]=S$3), ""), 1),
        IF(_xlpm.result=0, "", _xlpm.result)
    ),
"")</f>
        <v/>
      </c>
      <c r="AB39" s="102" t="str">
        <f t="shared" si="76"/>
        <v/>
      </c>
      <c r="AC39" s="70" t="str">
        <f t="shared" si="77"/>
        <v/>
      </c>
      <c r="AD39" s="83" t="str">
        <f t="shared" si="78"/>
        <v/>
      </c>
      <c r="AE39" s="77"/>
      <c r="AF39" s="108" t="str" cm="1">
        <f t="array" ref="AF39">IFERROR(_xlfn._xlws.FILTER(ST[Customer Code],(ST[Code]=$C39) * (ST[Customer Name]=AF$3),"" ),"")</f>
        <v/>
      </c>
      <c r="AG39" s="68" t="str" cm="1">
        <f t="array" ref="AG39">IFERROR(_xlfn.XLOOKUP($C39,Query[Code], _xlfn.XLOOKUP('Promo Form'!AF$3,Query[[#Headers],[Code]:[Bing Lee]],Query[[Code]:[Bing Lee]])),"")</f>
        <v/>
      </c>
      <c r="AH39" s="16" t="str">
        <f t="shared" si="79"/>
        <v/>
      </c>
      <c r="AI39" s="16" t="str">
        <f t="shared" si="80"/>
        <v/>
      </c>
      <c r="AJ39" s="17" t="str">
        <f t="shared" si="81"/>
        <v/>
      </c>
      <c r="AK39" s="18" t="str">
        <f t="shared" si="82"/>
        <v/>
      </c>
      <c r="AL39" s="18" t="str">
        <f t="shared" si="83"/>
        <v/>
      </c>
      <c r="AM39" s="109" t="str" cm="1">
        <f t="array" ref="AM39">IFERROR(_xlfn._xlws.FILTER(ST[SOH],(ST[Code]=$C39) * (ST[Customer Name]=AF$3),"" ),"")</f>
        <v/>
      </c>
      <c r="AN39" s="109" t="str" cm="1">
        <f t="array" ref="AN39">IFERROR(
    _xlfn.LET(
        _xlpm.result, INDEX(_xlfn._xlws.FILTER(ST[6wk avg], (ST[Code]=$C39)*(ST[Customer Name]=AF$3), ""), 1),
        IF(_xlpm.result=0, "", _xlpm.result)
    ),
"")</f>
        <v/>
      </c>
      <c r="AO39" s="102" t="str">
        <f t="shared" si="84"/>
        <v/>
      </c>
      <c r="AP39" s="70" t="str">
        <f t="shared" si="85"/>
        <v/>
      </c>
      <c r="AQ39" s="83" t="str">
        <f t="shared" si="86"/>
        <v/>
      </c>
      <c r="AR39" s="77"/>
      <c r="AS39" s="108" t="str" cm="1">
        <f t="array" ref="AS39">IFERROR(_xlfn._xlws.FILTER(ST[Customer Code],(ST[Code]=$C39) * (ST[Customer Name]=AS$3),"" ),"")</f>
        <v/>
      </c>
      <c r="AT39" s="68" t="str" cm="1">
        <f t="array" ref="AT39">IFERROR(_xlfn.XLOOKUP($C39,Query[Code], _xlfn.XLOOKUP('Promo Form'!AS$3,Query[[#Headers],[Code]:[Bing Lee]],Query[[Code]:[Bing Lee]])),"")</f>
        <v/>
      </c>
      <c r="AU39" s="16" t="str">
        <f t="shared" si="87"/>
        <v/>
      </c>
      <c r="AV39" s="16" t="str">
        <f t="shared" si="88"/>
        <v/>
      </c>
      <c r="AW39" s="17" t="str">
        <f t="shared" si="89"/>
        <v/>
      </c>
      <c r="AX39" s="18" t="str">
        <f t="shared" si="90"/>
        <v/>
      </c>
      <c r="AY39" s="18" t="str">
        <f t="shared" si="91"/>
        <v/>
      </c>
      <c r="AZ39" s="109" t="str" cm="1">
        <f t="array" ref="AZ39">IFERROR(_xlfn._xlws.FILTER(ST[SOH],(ST[Code]=$C39) * (ST[Customer Name]=AS$3),"" ),"")</f>
        <v/>
      </c>
      <c r="BA39" s="109" t="str" cm="1">
        <f t="array" ref="BA39">IFERROR(
    _xlfn.LET(
        _xlpm.result, INDEX(_xlfn._xlws.FILTER(ST[6wk avg], (ST[Code]=$C39)*(ST[Customer Name]=AS$3), ""), 1),
        IF(_xlpm.result=0, "", _xlpm.result)
    ),
"")</f>
        <v/>
      </c>
      <c r="BB39" s="102" t="str">
        <f t="shared" si="92"/>
        <v/>
      </c>
      <c r="BC39" s="70" t="str">
        <f t="shared" si="93"/>
        <v/>
      </c>
      <c r="BD39" s="83" t="str">
        <f t="shared" si="94"/>
        <v/>
      </c>
      <c r="BE39" s="77"/>
      <c r="BF39" s="108" t="str" cm="1">
        <f t="array" ref="BF39">IFERROR(_xlfn._xlws.FILTER(ST[Customer Code],(ST[Code]=$C39) * (ST[Customer Name]=BF$3),"" ),"")</f>
        <v/>
      </c>
      <c r="BG39" s="68" t="str" cm="1">
        <f t="array" ref="BG39">IFERROR(_xlfn.XLOOKUP($C39,Query[Code], _xlfn.XLOOKUP('Promo Form'!BF$3,Query[[#Headers],[Code]:[Bing Lee]],Query[[Code]:[Bing Lee]])),"")</f>
        <v/>
      </c>
      <c r="BH39" s="16" t="str">
        <f t="shared" si="95"/>
        <v/>
      </c>
      <c r="BI39" s="16" t="str">
        <f t="shared" si="96"/>
        <v/>
      </c>
      <c r="BJ39" s="17" t="str">
        <f t="shared" si="97"/>
        <v/>
      </c>
      <c r="BK39" s="18" t="str">
        <f t="shared" si="98"/>
        <v/>
      </c>
      <c r="BL39" s="18" t="str">
        <f t="shared" si="99"/>
        <v/>
      </c>
      <c r="BM39" s="109" t="str" cm="1">
        <f t="array" ref="BM39">IFERROR(_xlfn._xlws.FILTER(ST[SOH],(ST[Code]=$C39) * (ST[Customer Name]=BF$3),"" ),"")</f>
        <v/>
      </c>
      <c r="BN39" s="109" t="str" cm="1">
        <f t="array" ref="BN39">IFERROR(
    _xlfn.LET(
        _xlpm.result, INDEX(_xlfn._xlws.FILTER(ST[6wk avg], (ST[Code]=$C39)*(ST[Customer Name]=BF$3), ""), 1),
        IF(_xlpm.result=0, "", _xlpm.result)
    ),
"")</f>
        <v/>
      </c>
      <c r="BO39" s="102" t="str">
        <f t="shared" si="100"/>
        <v/>
      </c>
      <c r="BP39" s="70" t="str">
        <f t="shared" si="101"/>
        <v/>
      </c>
      <c r="BQ39" s="83" t="str">
        <f t="shared" si="102"/>
        <v/>
      </c>
      <c r="BR39" s="77"/>
      <c r="BS39" s="108" t="str" cm="1">
        <f t="array" ref="BS39">IFERROR(_xlfn._xlws.FILTER(ST[Customer Code],(ST[Code]=$C39) * (ST[Customer Name]=BS$3),"" ),"")</f>
        <v/>
      </c>
      <c r="BT39" s="68" t="str" cm="1">
        <f t="array" ref="BT39">IFERROR(_xlfn.XLOOKUP($C39,Query[Code], _xlfn.XLOOKUP('Promo Form'!BS$3,Query[[#Headers],[Code]:[Bing Lee]],Query[[Code]:[Bing Lee]])),"")</f>
        <v/>
      </c>
      <c r="BU39" s="16" t="str">
        <f t="shared" si="103"/>
        <v/>
      </c>
      <c r="BV39" s="16" t="str">
        <f t="shared" si="104"/>
        <v/>
      </c>
      <c r="BW39" s="17" t="str">
        <f t="shared" si="105"/>
        <v/>
      </c>
      <c r="BX39" s="18" t="str">
        <f t="shared" si="106"/>
        <v/>
      </c>
      <c r="BY39" s="18" t="str">
        <f t="shared" si="107"/>
        <v/>
      </c>
      <c r="BZ39" s="109" t="str" cm="1">
        <f t="array" ref="BZ39">IFERROR(_xlfn._xlws.FILTER(ST[SOH],(ST[Code]=$C39) * (ST[Customer Name]=BS$3),"" ),"")</f>
        <v/>
      </c>
      <c r="CA39" s="109" t="str" cm="1">
        <f t="array" ref="CA39">IFERROR(
    _xlfn.LET(
        _xlpm.result, INDEX(_xlfn._xlws.FILTER(ST[6wk avg], (ST[Code]=$C39)*(ST[Customer Name]=BS$3), ""), 1),
        IF(_xlpm.result=0, "", _xlpm.result)
    ),
"")</f>
        <v/>
      </c>
      <c r="CB39" s="102" t="str">
        <f t="shared" si="108"/>
        <v/>
      </c>
      <c r="CC39" s="70" t="str">
        <f t="shared" si="109"/>
        <v/>
      </c>
      <c r="CD39" s="83" t="str">
        <f t="shared" si="110"/>
        <v/>
      </c>
      <c r="CE39" s="77"/>
      <c r="CF39" s="108" t="str" cm="1">
        <f t="array" ref="CF39">IFERROR(_xlfn._xlws.FILTER(ST[Customer Code],(ST[Code]=$C39) * (ST[Customer Name]=CF$3),"" ),"")</f>
        <v/>
      </c>
      <c r="CG39" s="68" t="str" cm="1">
        <f t="array" ref="CG39">IFERROR(_xlfn.XLOOKUP($C39,Query[Code], _xlfn.XLOOKUP('Promo Form'!CF$3,Query[[#Headers],[Code]:[Bing Lee]],Query[[Code]:[Bing Lee]])),"")</f>
        <v/>
      </c>
      <c r="CH39" s="16" t="str">
        <f t="shared" si="111"/>
        <v/>
      </c>
      <c r="CI39" s="16" t="str">
        <f t="shared" si="112"/>
        <v/>
      </c>
      <c r="CJ39" s="17" t="str">
        <f t="shared" si="113"/>
        <v/>
      </c>
      <c r="CK39" s="18" t="str">
        <f t="shared" si="114"/>
        <v/>
      </c>
      <c r="CL39" s="18" t="str">
        <f t="shared" si="115"/>
        <v/>
      </c>
      <c r="CM39" s="109" t="str" cm="1">
        <f t="array" ref="CM39">IFERROR(_xlfn._xlws.FILTER(ST[SOH],(ST[Code]=$C39) * (ST[Customer Name]=CF$3),"" ),"")</f>
        <v/>
      </c>
      <c r="CN39" s="109" t="str" cm="1">
        <f t="array" ref="CN39">IFERROR(
    _xlfn.LET(
        _xlpm.result, INDEX(_xlfn._xlws.FILTER(ST[6wk avg], (ST[Code]=$C39)*(ST[Customer Name]=CF$3), ""), 1),
        IF(_xlpm.result=0, "", _xlpm.result)
    ),
"")</f>
        <v/>
      </c>
      <c r="CO39" s="102" t="str">
        <f t="shared" si="116"/>
        <v/>
      </c>
      <c r="CP39" s="70" t="str">
        <f t="shared" si="117"/>
        <v/>
      </c>
      <c r="CQ39" s="83" t="str">
        <f t="shared" si="118"/>
        <v/>
      </c>
      <c r="CR39" s="77"/>
      <c r="CS39" s="17" t="str">
        <f>IFERROR(_xlfn.XLOOKUP(C39,Query[Code],Query[Base (RRP Inc)]),"")</f>
        <v/>
      </c>
      <c r="CT39" s="17" t="str">
        <f t="shared" si="119"/>
        <v/>
      </c>
      <c r="CU39" s="107" t="str">
        <f t="shared" si="120"/>
        <v/>
      </c>
      <c r="CV39" s="17" t="str">
        <f t="shared" si="121"/>
        <v/>
      </c>
      <c r="CW39" s="17"/>
    </row>
    <row r="40" spans="1:101" x14ac:dyDescent="0.2">
      <c r="A40" s="106" t="str">
        <f t="shared" si="61"/>
        <v/>
      </c>
      <c r="B40" s="106" t="str">
        <f t="shared" si="62"/>
        <v/>
      </c>
      <c r="C40" s="13"/>
      <c r="D40" s="14" t="str">
        <f>IF(C40="", "",_xlfn.XLOOKUP(C40,'Master Price Level'!C:C,'Master Price Level'!D:D))</f>
        <v/>
      </c>
      <c r="E40" s="15"/>
      <c r="F40" s="108" t="str" cm="1">
        <f t="array" ref="F40">IFERROR(_xlfn._xlws.FILTER(ST[Customer Code],(ST[Code]=$C40) * (ST[Customer Name]=F$3),"" ),"")</f>
        <v/>
      </c>
      <c r="G40" s="68" t="str" cm="1">
        <f t="array" ref="G40">IFERROR(_xlfn.XLOOKUP($C40,Query[Code], _xlfn.XLOOKUP('Promo Form'!F$3,Query[[#Headers],[Code]:[Bing Lee]],Query[[Code]:[Bing Lee]])),"")</f>
        <v/>
      </c>
      <c r="H40" s="16" t="str">
        <f t="shared" si="63"/>
        <v/>
      </c>
      <c r="I40" s="16" t="str">
        <f t="shared" si="64"/>
        <v/>
      </c>
      <c r="J40" s="17" t="str">
        <f t="shared" si="65"/>
        <v/>
      </c>
      <c r="K40" s="18" t="str">
        <f t="shared" si="66"/>
        <v/>
      </c>
      <c r="L40" s="18" t="str">
        <f t="shared" si="67"/>
        <v/>
      </c>
      <c r="M40" s="109" t="str" cm="1">
        <f t="array" ref="M40">IFERROR(_xlfn._xlws.FILTER(ST[SOH],(ST[Code]=$C40) * (ST[Customer Name]=F$3),"" ),"")</f>
        <v/>
      </c>
      <c r="N40" s="109" t="str" cm="1">
        <f t="array" ref="N40">IFERROR(
    _xlfn.LET(
        _xlpm.result, INDEX(_xlfn._xlws.FILTER(ST[6wk avg], (ST[Code]=$C40)*(ST[Customer Name]=F$3), ""), 1),
        IF(_xlpm.result=0, "", _xlpm.result)
    ),
"")</f>
        <v/>
      </c>
      <c r="O40" s="102" t="str">
        <f t="shared" si="68"/>
        <v/>
      </c>
      <c r="P40" s="70" t="str">
        <f t="shared" si="69"/>
        <v/>
      </c>
      <c r="Q40" s="83" t="str">
        <f t="shared" si="70"/>
        <v/>
      </c>
      <c r="R40" s="77"/>
      <c r="S40" s="108" t="str" cm="1">
        <f t="array" ref="S40">IFERROR(_xlfn._xlws.FILTER(ST[Customer Code],(ST[Code]=$C40) * (ST[Customer Name]=S$3),"" ),"")</f>
        <v/>
      </c>
      <c r="T40" s="68" t="str" cm="1">
        <f t="array" ref="T40">IFERROR(_xlfn.XLOOKUP($C40,Query[Code], _xlfn.XLOOKUP('Promo Form'!S$3,Query[[#Headers],[Code]:[Bing Lee]],Query[[Code]:[Bing Lee]])),"")</f>
        <v/>
      </c>
      <c r="U40" s="16" t="str">
        <f t="shared" si="71"/>
        <v/>
      </c>
      <c r="V40" s="16" t="str">
        <f t="shared" si="72"/>
        <v/>
      </c>
      <c r="W40" s="17" t="str">
        <f t="shared" si="73"/>
        <v/>
      </c>
      <c r="X40" s="18" t="str">
        <f t="shared" si="74"/>
        <v/>
      </c>
      <c r="Y40" s="18" t="str">
        <f t="shared" si="75"/>
        <v/>
      </c>
      <c r="Z40" s="109" t="str" cm="1">
        <f t="array" ref="Z40">IFERROR(_xlfn._xlws.FILTER(ST[SOH],(ST[Code]=$C40) * (ST[Customer Name]=S$3),"" ),"")</f>
        <v/>
      </c>
      <c r="AA40" s="109" t="str" cm="1">
        <f t="array" ref="AA40">IFERROR(
    _xlfn.LET(
        _xlpm.result, INDEX(_xlfn._xlws.FILTER(ST[6wk avg], (ST[Code]=$C40)*(ST[Customer Name]=S$3), ""), 1),
        IF(_xlpm.result=0, "", _xlpm.result)
    ),
"")</f>
        <v/>
      </c>
      <c r="AB40" s="102" t="str">
        <f t="shared" si="76"/>
        <v/>
      </c>
      <c r="AC40" s="70" t="str">
        <f t="shared" si="77"/>
        <v/>
      </c>
      <c r="AD40" s="83" t="str">
        <f t="shared" si="78"/>
        <v/>
      </c>
      <c r="AE40" s="77"/>
      <c r="AF40" s="108" t="str" cm="1">
        <f t="array" ref="AF40">IFERROR(_xlfn._xlws.FILTER(ST[Customer Code],(ST[Code]=$C40) * (ST[Customer Name]=AF$3),"" ),"")</f>
        <v/>
      </c>
      <c r="AG40" s="68" t="str" cm="1">
        <f t="array" ref="AG40">IFERROR(_xlfn.XLOOKUP($C40,Query[Code], _xlfn.XLOOKUP('Promo Form'!AF$3,Query[[#Headers],[Code]:[Bing Lee]],Query[[Code]:[Bing Lee]])),"")</f>
        <v/>
      </c>
      <c r="AH40" s="16" t="str">
        <f t="shared" si="79"/>
        <v/>
      </c>
      <c r="AI40" s="16" t="str">
        <f t="shared" si="80"/>
        <v/>
      </c>
      <c r="AJ40" s="17" t="str">
        <f t="shared" si="81"/>
        <v/>
      </c>
      <c r="AK40" s="18" t="str">
        <f t="shared" si="82"/>
        <v/>
      </c>
      <c r="AL40" s="18" t="str">
        <f t="shared" si="83"/>
        <v/>
      </c>
      <c r="AM40" s="109" t="str" cm="1">
        <f t="array" ref="AM40">IFERROR(_xlfn._xlws.FILTER(ST[SOH],(ST[Code]=$C40) * (ST[Customer Name]=AF$3),"" ),"")</f>
        <v/>
      </c>
      <c r="AN40" s="109" t="str" cm="1">
        <f t="array" ref="AN40">IFERROR(
    _xlfn.LET(
        _xlpm.result, INDEX(_xlfn._xlws.FILTER(ST[6wk avg], (ST[Code]=$C40)*(ST[Customer Name]=AF$3), ""), 1),
        IF(_xlpm.result=0, "", _xlpm.result)
    ),
"")</f>
        <v/>
      </c>
      <c r="AO40" s="102" t="str">
        <f t="shared" si="84"/>
        <v/>
      </c>
      <c r="AP40" s="70" t="str">
        <f t="shared" si="85"/>
        <v/>
      </c>
      <c r="AQ40" s="83" t="str">
        <f t="shared" si="86"/>
        <v/>
      </c>
      <c r="AR40" s="77"/>
      <c r="AS40" s="108" t="str" cm="1">
        <f t="array" ref="AS40">IFERROR(_xlfn._xlws.FILTER(ST[Customer Code],(ST[Code]=$C40) * (ST[Customer Name]=AS$3),"" ),"")</f>
        <v/>
      </c>
      <c r="AT40" s="68" t="str" cm="1">
        <f t="array" ref="AT40">IFERROR(_xlfn.XLOOKUP($C40,Query[Code], _xlfn.XLOOKUP('Promo Form'!AS$3,Query[[#Headers],[Code]:[Bing Lee]],Query[[Code]:[Bing Lee]])),"")</f>
        <v/>
      </c>
      <c r="AU40" s="16" t="str">
        <f t="shared" si="87"/>
        <v/>
      </c>
      <c r="AV40" s="16" t="str">
        <f t="shared" si="88"/>
        <v/>
      </c>
      <c r="AW40" s="17" t="str">
        <f t="shared" si="89"/>
        <v/>
      </c>
      <c r="AX40" s="18" t="str">
        <f t="shared" si="90"/>
        <v/>
      </c>
      <c r="AY40" s="18" t="str">
        <f t="shared" si="91"/>
        <v/>
      </c>
      <c r="AZ40" s="109" t="str" cm="1">
        <f t="array" ref="AZ40">IFERROR(_xlfn._xlws.FILTER(ST[SOH],(ST[Code]=$C40) * (ST[Customer Name]=AS$3),"" ),"")</f>
        <v/>
      </c>
      <c r="BA40" s="109" t="str" cm="1">
        <f t="array" ref="BA40">IFERROR(
    _xlfn.LET(
        _xlpm.result, INDEX(_xlfn._xlws.FILTER(ST[6wk avg], (ST[Code]=$C40)*(ST[Customer Name]=AS$3), ""), 1),
        IF(_xlpm.result=0, "", _xlpm.result)
    ),
"")</f>
        <v/>
      </c>
      <c r="BB40" s="102" t="str">
        <f t="shared" si="92"/>
        <v/>
      </c>
      <c r="BC40" s="70" t="str">
        <f t="shared" si="93"/>
        <v/>
      </c>
      <c r="BD40" s="83" t="str">
        <f t="shared" si="94"/>
        <v/>
      </c>
      <c r="BE40" s="77"/>
      <c r="BF40" s="108" t="str" cm="1">
        <f t="array" ref="BF40">IFERROR(_xlfn._xlws.FILTER(ST[Customer Code],(ST[Code]=$C40) * (ST[Customer Name]=BF$3),"" ),"")</f>
        <v/>
      </c>
      <c r="BG40" s="68" t="str" cm="1">
        <f t="array" ref="BG40">IFERROR(_xlfn.XLOOKUP($C40,Query[Code], _xlfn.XLOOKUP('Promo Form'!BF$3,Query[[#Headers],[Code]:[Bing Lee]],Query[[Code]:[Bing Lee]])),"")</f>
        <v/>
      </c>
      <c r="BH40" s="16" t="str">
        <f t="shared" si="95"/>
        <v/>
      </c>
      <c r="BI40" s="16" t="str">
        <f t="shared" si="96"/>
        <v/>
      </c>
      <c r="BJ40" s="17" t="str">
        <f t="shared" si="97"/>
        <v/>
      </c>
      <c r="BK40" s="18" t="str">
        <f t="shared" si="98"/>
        <v/>
      </c>
      <c r="BL40" s="18" t="str">
        <f t="shared" si="99"/>
        <v/>
      </c>
      <c r="BM40" s="109" t="str" cm="1">
        <f t="array" ref="BM40">IFERROR(_xlfn._xlws.FILTER(ST[SOH],(ST[Code]=$C40) * (ST[Customer Name]=BF$3),"" ),"")</f>
        <v/>
      </c>
      <c r="BN40" s="109" t="str" cm="1">
        <f t="array" ref="BN40">IFERROR(
    _xlfn.LET(
        _xlpm.result, INDEX(_xlfn._xlws.FILTER(ST[6wk avg], (ST[Code]=$C40)*(ST[Customer Name]=BF$3), ""), 1),
        IF(_xlpm.result=0, "", _xlpm.result)
    ),
"")</f>
        <v/>
      </c>
      <c r="BO40" s="102" t="str">
        <f t="shared" si="100"/>
        <v/>
      </c>
      <c r="BP40" s="70" t="str">
        <f t="shared" si="101"/>
        <v/>
      </c>
      <c r="BQ40" s="83" t="str">
        <f t="shared" si="102"/>
        <v/>
      </c>
      <c r="BR40" s="77"/>
      <c r="BS40" s="108" t="str" cm="1">
        <f t="array" ref="BS40">IFERROR(_xlfn._xlws.FILTER(ST[Customer Code],(ST[Code]=$C40) * (ST[Customer Name]=BS$3),"" ),"")</f>
        <v/>
      </c>
      <c r="BT40" s="68" t="str" cm="1">
        <f t="array" ref="BT40">IFERROR(_xlfn.XLOOKUP($C40,Query[Code], _xlfn.XLOOKUP('Promo Form'!BS$3,Query[[#Headers],[Code]:[Bing Lee]],Query[[Code]:[Bing Lee]])),"")</f>
        <v/>
      </c>
      <c r="BU40" s="16" t="str">
        <f t="shared" si="103"/>
        <v/>
      </c>
      <c r="BV40" s="16" t="str">
        <f t="shared" si="104"/>
        <v/>
      </c>
      <c r="BW40" s="17" t="str">
        <f t="shared" si="105"/>
        <v/>
      </c>
      <c r="BX40" s="18" t="str">
        <f t="shared" si="106"/>
        <v/>
      </c>
      <c r="BY40" s="18" t="str">
        <f t="shared" si="107"/>
        <v/>
      </c>
      <c r="BZ40" s="109" t="str" cm="1">
        <f t="array" ref="BZ40">IFERROR(_xlfn._xlws.FILTER(ST[SOH],(ST[Code]=$C40) * (ST[Customer Name]=BS$3),"" ),"")</f>
        <v/>
      </c>
      <c r="CA40" s="109" t="str" cm="1">
        <f t="array" ref="CA40">IFERROR(
    _xlfn.LET(
        _xlpm.result, INDEX(_xlfn._xlws.FILTER(ST[6wk avg], (ST[Code]=$C40)*(ST[Customer Name]=BS$3), ""), 1),
        IF(_xlpm.result=0, "", _xlpm.result)
    ),
"")</f>
        <v/>
      </c>
      <c r="CB40" s="102" t="str">
        <f t="shared" si="108"/>
        <v/>
      </c>
      <c r="CC40" s="70" t="str">
        <f t="shared" si="109"/>
        <v/>
      </c>
      <c r="CD40" s="83" t="str">
        <f t="shared" si="110"/>
        <v/>
      </c>
      <c r="CE40" s="77"/>
      <c r="CF40" s="108" t="str" cm="1">
        <f t="array" ref="CF40">IFERROR(_xlfn._xlws.FILTER(ST[Customer Code],(ST[Code]=$C40) * (ST[Customer Name]=CF$3),"" ),"")</f>
        <v/>
      </c>
      <c r="CG40" s="68" t="str" cm="1">
        <f t="array" ref="CG40">IFERROR(_xlfn.XLOOKUP($C40,Query[Code], _xlfn.XLOOKUP('Promo Form'!CF$3,Query[[#Headers],[Code]:[Bing Lee]],Query[[Code]:[Bing Lee]])),"")</f>
        <v/>
      </c>
      <c r="CH40" s="16" t="str">
        <f t="shared" si="111"/>
        <v/>
      </c>
      <c r="CI40" s="16" t="str">
        <f t="shared" si="112"/>
        <v/>
      </c>
      <c r="CJ40" s="17" t="str">
        <f t="shared" si="113"/>
        <v/>
      </c>
      <c r="CK40" s="18" t="str">
        <f t="shared" si="114"/>
        <v/>
      </c>
      <c r="CL40" s="18" t="str">
        <f t="shared" si="115"/>
        <v/>
      </c>
      <c r="CM40" s="109" t="str" cm="1">
        <f t="array" ref="CM40">IFERROR(_xlfn._xlws.FILTER(ST[SOH],(ST[Code]=$C40) * (ST[Customer Name]=CF$3),"" ),"")</f>
        <v/>
      </c>
      <c r="CN40" s="109" t="str" cm="1">
        <f t="array" ref="CN40">IFERROR(
    _xlfn.LET(
        _xlpm.result, INDEX(_xlfn._xlws.FILTER(ST[6wk avg], (ST[Code]=$C40)*(ST[Customer Name]=CF$3), ""), 1),
        IF(_xlpm.result=0, "", _xlpm.result)
    ),
"")</f>
        <v/>
      </c>
      <c r="CO40" s="102" t="str">
        <f t="shared" si="116"/>
        <v/>
      </c>
      <c r="CP40" s="70" t="str">
        <f t="shared" si="117"/>
        <v/>
      </c>
      <c r="CQ40" s="83" t="str">
        <f t="shared" si="118"/>
        <v/>
      </c>
      <c r="CR40" s="77"/>
      <c r="CS40" s="17" t="str">
        <f>IFERROR(_xlfn.XLOOKUP(C40,Query[Code],Query[Base (RRP Inc)]),"")</f>
        <v/>
      </c>
      <c r="CT40" s="17" t="str">
        <f t="shared" si="119"/>
        <v/>
      </c>
      <c r="CU40" s="107" t="str">
        <f t="shared" si="120"/>
        <v/>
      </c>
      <c r="CV40" s="17" t="str">
        <f t="shared" si="121"/>
        <v/>
      </c>
      <c r="CW40" s="17"/>
    </row>
    <row r="41" spans="1:101" x14ac:dyDescent="0.2">
      <c r="A41" s="106" t="str">
        <f t="shared" si="61"/>
        <v/>
      </c>
      <c r="B41" s="106" t="str">
        <f t="shared" si="62"/>
        <v/>
      </c>
      <c r="C41" s="13"/>
      <c r="D41" s="14" t="str">
        <f>IF(C41="", "",_xlfn.XLOOKUP(C41,'Master Price Level'!C:C,'Master Price Level'!D:D))</f>
        <v/>
      </c>
      <c r="E41" s="15"/>
      <c r="F41" s="108" t="str" cm="1">
        <f t="array" ref="F41">IFERROR(_xlfn._xlws.FILTER(ST[Customer Code],(ST[Code]=$C41) * (ST[Customer Name]=F$3),"" ),"")</f>
        <v/>
      </c>
      <c r="G41" s="68" t="str" cm="1">
        <f t="array" ref="G41">IFERROR(_xlfn.XLOOKUP($C41,Query[Code], _xlfn.XLOOKUP('Promo Form'!F$3,Query[[#Headers],[Code]:[Bing Lee]],Query[[Code]:[Bing Lee]])),"")</f>
        <v/>
      </c>
      <c r="H41" s="16" t="str">
        <f t="shared" si="63"/>
        <v/>
      </c>
      <c r="I41" s="16" t="str">
        <f t="shared" si="64"/>
        <v/>
      </c>
      <c r="J41" s="17" t="str">
        <f t="shared" si="65"/>
        <v/>
      </c>
      <c r="K41" s="18" t="str">
        <f t="shared" si="66"/>
        <v/>
      </c>
      <c r="L41" s="18" t="str">
        <f t="shared" si="67"/>
        <v/>
      </c>
      <c r="M41" s="109" t="str" cm="1">
        <f t="array" ref="M41">IFERROR(_xlfn._xlws.FILTER(ST[SOH],(ST[Code]=$C41) * (ST[Customer Name]=F$3),"" ),"")</f>
        <v/>
      </c>
      <c r="N41" s="109" t="str" cm="1">
        <f t="array" ref="N41">IFERROR(
    _xlfn.LET(
        _xlpm.result, INDEX(_xlfn._xlws.FILTER(ST[6wk avg], (ST[Code]=$C41)*(ST[Customer Name]=F$3), ""), 1),
        IF(_xlpm.result=0, "", _xlpm.result)
    ),
"")</f>
        <v/>
      </c>
      <c r="O41" s="102" t="str">
        <f t="shared" si="68"/>
        <v/>
      </c>
      <c r="P41" s="70" t="str">
        <f t="shared" si="69"/>
        <v/>
      </c>
      <c r="Q41" s="83" t="str">
        <f t="shared" si="70"/>
        <v/>
      </c>
      <c r="R41" s="77"/>
      <c r="S41" s="108" t="str" cm="1">
        <f t="array" ref="S41">IFERROR(_xlfn._xlws.FILTER(ST[Customer Code],(ST[Code]=$C41) * (ST[Customer Name]=S$3),"" ),"")</f>
        <v/>
      </c>
      <c r="T41" s="68" t="str" cm="1">
        <f t="array" ref="T41">IFERROR(_xlfn.XLOOKUP($C41,Query[Code], _xlfn.XLOOKUP('Promo Form'!S$3,Query[[#Headers],[Code]:[Bing Lee]],Query[[Code]:[Bing Lee]])),"")</f>
        <v/>
      </c>
      <c r="U41" s="16" t="str">
        <f t="shared" si="71"/>
        <v/>
      </c>
      <c r="V41" s="16" t="str">
        <f t="shared" si="72"/>
        <v/>
      </c>
      <c r="W41" s="17" t="str">
        <f t="shared" si="73"/>
        <v/>
      </c>
      <c r="X41" s="18" t="str">
        <f t="shared" si="74"/>
        <v/>
      </c>
      <c r="Y41" s="18" t="str">
        <f t="shared" si="75"/>
        <v/>
      </c>
      <c r="Z41" s="109" t="str" cm="1">
        <f t="array" ref="Z41">IFERROR(_xlfn._xlws.FILTER(ST[SOH],(ST[Code]=$C41) * (ST[Customer Name]=S$3),"" ),"")</f>
        <v/>
      </c>
      <c r="AA41" s="109" t="str" cm="1">
        <f t="array" ref="AA41">IFERROR(
    _xlfn.LET(
        _xlpm.result, INDEX(_xlfn._xlws.FILTER(ST[6wk avg], (ST[Code]=$C41)*(ST[Customer Name]=S$3), ""), 1),
        IF(_xlpm.result=0, "", _xlpm.result)
    ),
"")</f>
        <v/>
      </c>
      <c r="AB41" s="102" t="str">
        <f t="shared" si="76"/>
        <v/>
      </c>
      <c r="AC41" s="70" t="str">
        <f t="shared" si="77"/>
        <v/>
      </c>
      <c r="AD41" s="83" t="str">
        <f t="shared" si="78"/>
        <v/>
      </c>
      <c r="AE41" s="77"/>
      <c r="AF41" s="108" t="str" cm="1">
        <f t="array" ref="AF41">IFERROR(_xlfn._xlws.FILTER(ST[Customer Code],(ST[Code]=$C41) * (ST[Customer Name]=AF$3),"" ),"")</f>
        <v/>
      </c>
      <c r="AG41" s="68" t="str" cm="1">
        <f t="array" ref="AG41">IFERROR(_xlfn.XLOOKUP($C41,Query[Code], _xlfn.XLOOKUP('Promo Form'!AF$3,Query[[#Headers],[Code]:[Bing Lee]],Query[[Code]:[Bing Lee]])),"")</f>
        <v/>
      </c>
      <c r="AH41" s="16" t="str">
        <f t="shared" si="79"/>
        <v/>
      </c>
      <c r="AI41" s="16" t="str">
        <f t="shared" si="80"/>
        <v/>
      </c>
      <c r="AJ41" s="17" t="str">
        <f t="shared" si="81"/>
        <v/>
      </c>
      <c r="AK41" s="18" t="str">
        <f t="shared" si="82"/>
        <v/>
      </c>
      <c r="AL41" s="18" t="str">
        <f t="shared" si="83"/>
        <v/>
      </c>
      <c r="AM41" s="109" t="str" cm="1">
        <f t="array" ref="AM41">IFERROR(_xlfn._xlws.FILTER(ST[SOH],(ST[Code]=$C41) * (ST[Customer Name]=AF$3),"" ),"")</f>
        <v/>
      </c>
      <c r="AN41" s="109" t="str" cm="1">
        <f t="array" ref="AN41">IFERROR(
    _xlfn.LET(
        _xlpm.result, INDEX(_xlfn._xlws.FILTER(ST[6wk avg], (ST[Code]=$C41)*(ST[Customer Name]=AF$3), ""), 1),
        IF(_xlpm.result=0, "", _xlpm.result)
    ),
"")</f>
        <v/>
      </c>
      <c r="AO41" s="102" t="str">
        <f t="shared" si="84"/>
        <v/>
      </c>
      <c r="AP41" s="70" t="str">
        <f t="shared" si="85"/>
        <v/>
      </c>
      <c r="AQ41" s="83" t="str">
        <f t="shared" si="86"/>
        <v/>
      </c>
      <c r="AR41" s="77"/>
      <c r="AS41" s="108" t="str" cm="1">
        <f t="array" ref="AS41">IFERROR(_xlfn._xlws.FILTER(ST[Customer Code],(ST[Code]=$C41) * (ST[Customer Name]=AS$3),"" ),"")</f>
        <v/>
      </c>
      <c r="AT41" s="68" t="str" cm="1">
        <f t="array" ref="AT41">IFERROR(_xlfn.XLOOKUP($C41,Query[Code], _xlfn.XLOOKUP('Promo Form'!AS$3,Query[[#Headers],[Code]:[Bing Lee]],Query[[Code]:[Bing Lee]])),"")</f>
        <v/>
      </c>
      <c r="AU41" s="16" t="str">
        <f t="shared" si="87"/>
        <v/>
      </c>
      <c r="AV41" s="16" t="str">
        <f t="shared" si="88"/>
        <v/>
      </c>
      <c r="AW41" s="17" t="str">
        <f t="shared" si="89"/>
        <v/>
      </c>
      <c r="AX41" s="18" t="str">
        <f t="shared" si="90"/>
        <v/>
      </c>
      <c r="AY41" s="18" t="str">
        <f t="shared" si="91"/>
        <v/>
      </c>
      <c r="AZ41" s="109" t="str" cm="1">
        <f t="array" ref="AZ41">IFERROR(_xlfn._xlws.FILTER(ST[SOH],(ST[Code]=$C41) * (ST[Customer Name]=AS$3),"" ),"")</f>
        <v/>
      </c>
      <c r="BA41" s="109" t="str" cm="1">
        <f t="array" ref="BA41">IFERROR(
    _xlfn.LET(
        _xlpm.result, INDEX(_xlfn._xlws.FILTER(ST[6wk avg], (ST[Code]=$C41)*(ST[Customer Name]=AS$3), ""), 1),
        IF(_xlpm.result=0, "", _xlpm.result)
    ),
"")</f>
        <v/>
      </c>
      <c r="BB41" s="102" t="str">
        <f t="shared" si="92"/>
        <v/>
      </c>
      <c r="BC41" s="70" t="str">
        <f t="shared" si="93"/>
        <v/>
      </c>
      <c r="BD41" s="83" t="str">
        <f t="shared" si="94"/>
        <v/>
      </c>
      <c r="BE41" s="77"/>
      <c r="BF41" s="108" t="str" cm="1">
        <f t="array" ref="BF41">IFERROR(_xlfn._xlws.FILTER(ST[Customer Code],(ST[Code]=$C41) * (ST[Customer Name]=BF$3),"" ),"")</f>
        <v/>
      </c>
      <c r="BG41" s="68" t="str" cm="1">
        <f t="array" ref="BG41">IFERROR(_xlfn.XLOOKUP($C41,Query[Code], _xlfn.XLOOKUP('Promo Form'!BF$3,Query[[#Headers],[Code]:[Bing Lee]],Query[[Code]:[Bing Lee]])),"")</f>
        <v/>
      </c>
      <c r="BH41" s="16" t="str">
        <f t="shared" si="95"/>
        <v/>
      </c>
      <c r="BI41" s="16" t="str">
        <f t="shared" si="96"/>
        <v/>
      </c>
      <c r="BJ41" s="17" t="str">
        <f t="shared" si="97"/>
        <v/>
      </c>
      <c r="BK41" s="18" t="str">
        <f t="shared" si="98"/>
        <v/>
      </c>
      <c r="BL41" s="18" t="str">
        <f t="shared" si="99"/>
        <v/>
      </c>
      <c r="BM41" s="109" t="str" cm="1">
        <f t="array" ref="BM41">IFERROR(_xlfn._xlws.FILTER(ST[SOH],(ST[Code]=$C41) * (ST[Customer Name]=BF$3),"" ),"")</f>
        <v/>
      </c>
      <c r="BN41" s="109" t="str" cm="1">
        <f t="array" ref="BN41">IFERROR(
    _xlfn.LET(
        _xlpm.result, INDEX(_xlfn._xlws.FILTER(ST[6wk avg], (ST[Code]=$C41)*(ST[Customer Name]=BF$3), ""), 1),
        IF(_xlpm.result=0, "", _xlpm.result)
    ),
"")</f>
        <v/>
      </c>
      <c r="BO41" s="102" t="str">
        <f t="shared" si="100"/>
        <v/>
      </c>
      <c r="BP41" s="70" t="str">
        <f t="shared" si="101"/>
        <v/>
      </c>
      <c r="BQ41" s="83" t="str">
        <f t="shared" si="102"/>
        <v/>
      </c>
      <c r="BR41" s="77"/>
      <c r="BS41" s="108" t="str" cm="1">
        <f t="array" ref="BS41">IFERROR(_xlfn._xlws.FILTER(ST[Customer Code],(ST[Code]=$C41) * (ST[Customer Name]=BS$3),"" ),"")</f>
        <v/>
      </c>
      <c r="BT41" s="68" t="str" cm="1">
        <f t="array" ref="BT41">IFERROR(_xlfn.XLOOKUP($C41,Query[Code], _xlfn.XLOOKUP('Promo Form'!BS$3,Query[[#Headers],[Code]:[Bing Lee]],Query[[Code]:[Bing Lee]])),"")</f>
        <v/>
      </c>
      <c r="BU41" s="16" t="str">
        <f t="shared" si="103"/>
        <v/>
      </c>
      <c r="BV41" s="16" t="str">
        <f t="shared" si="104"/>
        <v/>
      </c>
      <c r="BW41" s="17" t="str">
        <f t="shared" si="105"/>
        <v/>
      </c>
      <c r="BX41" s="18" t="str">
        <f t="shared" si="106"/>
        <v/>
      </c>
      <c r="BY41" s="18" t="str">
        <f t="shared" si="107"/>
        <v/>
      </c>
      <c r="BZ41" s="109" t="str" cm="1">
        <f t="array" ref="BZ41">IFERROR(_xlfn._xlws.FILTER(ST[SOH],(ST[Code]=$C41) * (ST[Customer Name]=BS$3),"" ),"")</f>
        <v/>
      </c>
      <c r="CA41" s="109" t="str" cm="1">
        <f t="array" ref="CA41">IFERROR(
    _xlfn.LET(
        _xlpm.result, INDEX(_xlfn._xlws.FILTER(ST[6wk avg], (ST[Code]=$C41)*(ST[Customer Name]=BS$3), ""), 1),
        IF(_xlpm.result=0, "", _xlpm.result)
    ),
"")</f>
        <v/>
      </c>
      <c r="CB41" s="102" t="str">
        <f t="shared" si="108"/>
        <v/>
      </c>
      <c r="CC41" s="70" t="str">
        <f t="shared" si="109"/>
        <v/>
      </c>
      <c r="CD41" s="83" t="str">
        <f t="shared" si="110"/>
        <v/>
      </c>
      <c r="CE41" s="77"/>
      <c r="CF41" s="108" t="str" cm="1">
        <f t="array" ref="CF41">IFERROR(_xlfn._xlws.FILTER(ST[Customer Code],(ST[Code]=$C41) * (ST[Customer Name]=CF$3),"" ),"")</f>
        <v/>
      </c>
      <c r="CG41" s="68" t="str" cm="1">
        <f t="array" ref="CG41">IFERROR(_xlfn.XLOOKUP($C41,Query[Code], _xlfn.XLOOKUP('Promo Form'!CF$3,Query[[#Headers],[Code]:[Bing Lee]],Query[[Code]:[Bing Lee]])),"")</f>
        <v/>
      </c>
      <c r="CH41" s="16" t="str">
        <f t="shared" si="111"/>
        <v/>
      </c>
      <c r="CI41" s="16" t="str">
        <f t="shared" si="112"/>
        <v/>
      </c>
      <c r="CJ41" s="17" t="str">
        <f t="shared" si="113"/>
        <v/>
      </c>
      <c r="CK41" s="18" t="str">
        <f t="shared" si="114"/>
        <v/>
      </c>
      <c r="CL41" s="18" t="str">
        <f t="shared" si="115"/>
        <v/>
      </c>
      <c r="CM41" s="109" t="str" cm="1">
        <f t="array" ref="CM41">IFERROR(_xlfn._xlws.FILTER(ST[SOH],(ST[Code]=$C41) * (ST[Customer Name]=CF$3),"" ),"")</f>
        <v/>
      </c>
      <c r="CN41" s="109" t="str" cm="1">
        <f t="array" ref="CN41">IFERROR(
    _xlfn.LET(
        _xlpm.result, INDEX(_xlfn._xlws.FILTER(ST[6wk avg], (ST[Code]=$C41)*(ST[Customer Name]=CF$3), ""), 1),
        IF(_xlpm.result=0, "", _xlpm.result)
    ),
"")</f>
        <v/>
      </c>
      <c r="CO41" s="102" t="str">
        <f t="shared" si="116"/>
        <v/>
      </c>
      <c r="CP41" s="70" t="str">
        <f t="shared" si="117"/>
        <v/>
      </c>
      <c r="CQ41" s="83" t="str">
        <f t="shared" si="118"/>
        <v/>
      </c>
      <c r="CR41" s="77"/>
      <c r="CS41" s="17" t="str">
        <f>IFERROR(_xlfn.XLOOKUP(C41,Query[Code],Query[Base (RRP Inc)]),"")</f>
        <v/>
      </c>
      <c r="CT41" s="17" t="str">
        <f t="shared" si="119"/>
        <v/>
      </c>
      <c r="CU41" s="107" t="str">
        <f t="shared" si="120"/>
        <v/>
      </c>
      <c r="CV41" s="17" t="str">
        <f t="shared" si="121"/>
        <v/>
      </c>
      <c r="CW41" s="17"/>
    </row>
    <row r="42" spans="1:101" x14ac:dyDescent="0.2">
      <c r="A42" s="106" t="str">
        <f t="shared" si="61"/>
        <v/>
      </c>
      <c r="B42" s="106" t="str">
        <f t="shared" si="62"/>
        <v/>
      </c>
      <c r="C42" s="13"/>
      <c r="D42" s="14" t="str">
        <f>IF(C42="", "",_xlfn.XLOOKUP(C42,'Master Price Level'!C:C,'Master Price Level'!D:D))</f>
        <v/>
      </c>
      <c r="E42" s="15"/>
      <c r="F42" s="108" t="str" cm="1">
        <f t="array" ref="F42">IFERROR(_xlfn._xlws.FILTER(ST[Customer Code],(ST[Code]=$C42) * (ST[Customer Name]=F$3),"" ),"")</f>
        <v/>
      </c>
      <c r="G42" s="68" t="str" cm="1">
        <f t="array" ref="G42">IFERROR(_xlfn.XLOOKUP($C42,Query[Code], _xlfn.XLOOKUP('Promo Form'!F$3,Query[[#Headers],[Code]:[Bing Lee]],Query[[Code]:[Bing Lee]])),"")</f>
        <v/>
      </c>
      <c r="H42" s="16" t="str">
        <f t="shared" si="63"/>
        <v/>
      </c>
      <c r="I42" s="16" t="str">
        <f t="shared" si="64"/>
        <v/>
      </c>
      <c r="J42" s="17" t="str">
        <f t="shared" si="65"/>
        <v/>
      </c>
      <c r="K42" s="18" t="str">
        <f t="shared" si="66"/>
        <v/>
      </c>
      <c r="L42" s="18" t="str">
        <f t="shared" si="67"/>
        <v/>
      </c>
      <c r="M42" s="109" t="str" cm="1">
        <f t="array" ref="M42">IFERROR(_xlfn._xlws.FILTER(ST[SOH],(ST[Code]=$C42) * (ST[Customer Name]=F$3),"" ),"")</f>
        <v/>
      </c>
      <c r="N42" s="109" t="str" cm="1">
        <f t="array" ref="N42">IFERROR(
    _xlfn.LET(
        _xlpm.result, INDEX(_xlfn._xlws.FILTER(ST[6wk avg], (ST[Code]=$C42)*(ST[Customer Name]=F$3), ""), 1),
        IF(_xlpm.result=0, "", _xlpm.result)
    ),
"")</f>
        <v/>
      </c>
      <c r="O42" s="102" t="str">
        <f t="shared" si="68"/>
        <v/>
      </c>
      <c r="P42" s="70" t="str">
        <f t="shared" si="69"/>
        <v/>
      </c>
      <c r="Q42" s="83" t="str">
        <f t="shared" si="70"/>
        <v/>
      </c>
      <c r="R42" s="77"/>
      <c r="S42" s="108" t="str" cm="1">
        <f t="array" ref="S42">IFERROR(_xlfn._xlws.FILTER(ST[Customer Code],(ST[Code]=$C42) * (ST[Customer Name]=S$3),"" ),"")</f>
        <v/>
      </c>
      <c r="T42" s="68" t="str" cm="1">
        <f t="array" ref="T42">IFERROR(_xlfn.XLOOKUP($C42,Query[Code], _xlfn.XLOOKUP('Promo Form'!S$3,Query[[#Headers],[Code]:[Bing Lee]],Query[[Code]:[Bing Lee]])),"")</f>
        <v/>
      </c>
      <c r="U42" s="16" t="str">
        <f t="shared" si="71"/>
        <v/>
      </c>
      <c r="V42" s="16" t="str">
        <f t="shared" si="72"/>
        <v/>
      </c>
      <c r="W42" s="17" t="str">
        <f t="shared" si="73"/>
        <v/>
      </c>
      <c r="X42" s="18" t="str">
        <f t="shared" si="74"/>
        <v/>
      </c>
      <c r="Y42" s="18" t="str">
        <f t="shared" si="75"/>
        <v/>
      </c>
      <c r="Z42" s="109" t="str" cm="1">
        <f t="array" ref="Z42">IFERROR(_xlfn._xlws.FILTER(ST[SOH],(ST[Code]=$C42) * (ST[Customer Name]=S$3),"" ),"")</f>
        <v/>
      </c>
      <c r="AA42" s="109" t="str" cm="1">
        <f t="array" ref="AA42">IFERROR(
    _xlfn.LET(
        _xlpm.result, INDEX(_xlfn._xlws.FILTER(ST[6wk avg], (ST[Code]=$C42)*(ST[Customer Name]=S$3), ""), 1),
        IF(_xlpm.result=0, "", _xlpm.result)
    ),
"")</f>
        <v/>
      </c>
      <c r="AB42" s="102" t="str">
        <f t="shared" si="76"/>
        <v/>
      </c>
      <c r="AC42" s="70" t="str">
        <f t="shared" si="77"/>
        <v/>
      </c>
      <c r="AD42" s="83" t="str">
        <f t="shared" si="78"/>
        <v/>
      </c>
      <c r="AE42" s="77"/>
      <c r="AF42" s="108" t="str" cm="1">
        <f t="array" ref="AF42">IFERROR(_xlfn._xlws.FILTER(ST[Customer Code],(ST[Code]=$C42) * (ST[Customer Name]=AF$3),"" ),"")</f>
        <v/>
      </c>
      <c r="AG42" s="68" t="str" cm="1">
        <f t="array" ref="AG42">IFERROR(_xlfn.XLOOKUP($C42,Query[Code], _xlfn.XLOOKUP('Promo Form'!AF$3,Query[[#Headers],[Code]:[Bing Lee]],Query[[Code]:[Bing Lee]])),"")</f>
        <v/>
      </c>
      <c r="AH42" s="16" t="str">
        <f t="shared" si="79"/>
        <v/>
      </c>
      <c r="AI42" s="16" t="str">
        <f t="shared" si="80"/>
        <v/>
      </c>
      <c r="AJ42" s="17" t="str">
        <f t="shared" si="81"/>
        <v/>
      </c>
      <c r="AK42" s="18" t="str">
        <f t="shared" si="82"/>
        <v/>
      </c>
      <c r="AL42" s="18" t="str">
        <f t="shared" si="83"/>
        <v/>
      </c>
      <c r="AM42" s="109" t="str" cm="1">
        <f t="array" ref="AM42">IFERROR(_xlfn._xlws.FILTER(ST[SOH],(ST[Code]=$C42) * (ST[Customer Name]=AF$3),"" ),"")</f>
        <v/>
      </c>
      <c r="AN42" s="109" t="str" cm="1">
        <f t="array" ref="AN42">IFERROR(
    _xlfn.LET(
        _xlpm.result, INDEX(_xlfn._xlws.FILTER(ST[6wk avg], (ST[Code]=$C42)*(ST[Customer Name]=AF$3), ""), 1),
        IF(_xlpm.result=0, "", _xlpm.result)
    ),
"")</f>
        <v/>
      </c>
      <c r="AO42" s="102" t="str">
        <f t="shared" si="84"/>
        <v/>
      </c>
      <c r="AP42" s="70" t="str">
        <f t="shared" si="85"/>
        <v/>
      </c>
      <c r="AQ42" s="83" t="str">
        <f t="shared" si="86"/>
        <v/>
      </c>
      <c r="AR42" s="77"/>
      <c r="AS42" s="108" t="str" cm="1">
        <f t="array" ref="AS42">IFERROR(_xlfn._xlws.FILTER(ST[Customer Code],(ST[Code]=$C42) * (ST[Customer Name]=AS$3),"" ),"")</f>
        <v/>
      </c>
      <c r="AT42" s="68" t="str" cm="1">
        <f t="array" ref="AT42">IFERROR(_xlfn.XLOOKUP($C42,Query[Code], _xlfn.XLOOKUP('Promo Form'!AS$3,Query[[#Headers],[Code]:[Bing Lee]],Query[[Code]:[Bing Lee]])),"")</f>
        <v/>
      </c>
      <c r="AU42" s="16" t="str">
        <f t="shared" si="87"/>
        <v/>
      </c>
      <c r="AV42" s="16" t="str">
        <f t="shared" si="88"/>
        <v/>
      </c>
      <c r="AW42" s="17" t="str">
        <f t="shared" si="89"/>
        <v/>
      </c>
      <c r="AX42" s="18" t="str">
        <f t="shared" si="90"/>
        <v/>
      </c>
      <c r="AY42" s="18" t="str">
        <f t="shared" si="91"/>
        <v/>
      </c>
      <c r="AZ42" s="109" t="str" cm="1">
        <f t="array" ref="AZ42">IFERROR(_xlfn._xlws.FILTER(ST[SOH],(ST[Code]=$C42) * (ST[Customer Name]=AS$3),"" ),"")</f>
        <v/>
      </c>
      <c r="BA42" s="109" t="str" cm="1">
        <f t="array" ref="BA42">IFERROR(
    _xlfn.LET(
        _xlpm.result, INDEX(_xlfn._xlws.FILTER(ST[6wk avg], (ST[Code]=$C42)*(ST[Customer Name]=AS$3), ""), 1),
        IF(_xlpm.result=0, "", _xlpm.result)
    ),
"")</f>
        <v/>
      </c>
      <c r="BB42" s="102" t="str">
        <f t="shared" si="92"/>
        <v/>
      </c>
      <c r="BC42" s="70" t="str">
        <f t="shared" si="93"/>
        <v/>
      </c>
      <c r="BD42" s="83" t="str">
        <f t="shared" si="94"/>
        <v/>
      </c>
      <c r="BE42" s="77"/>
      <c r="BF42" s="108" t="str" cm="1">
        <f t="array" ref="BF42">IFERROR(_xlfn._xlws.FILTER(ST[Customer Code],(ST[Code]=$C42) * (ST[Customer Name]=BF$3),"" ),"")</f>
        <v/>
      </c>
      <c r="BG42" s="68" t="str" cm="1">
        <f t="array" ref="BG42">IFERROR(_xlfn.XLOOKUP($C42,Query[Code], _xlfn.XLOOKUP('Promo Form'!BF$3,Query[[#Headers],[Code]:[Bing Lee]],Query[[Code]:[Bing Lee]])),"")</f>
        <v/>
      </c>
      <c r="BH42" s="16" t="str">
        <f t="shared" si="95"/>
        <v/>
      </c>
      <c r="BI42" s="16" t="str">
        <f t="shared" si="96"/>
        <v/>
      </c>
      <c r="BJ42" s="17" t="str">
        <f t="shared" si="97"/>
        <v/>
      </c>
      <c r="BK42" s="18" t="str">
        <f t="shared" si="98"/>
        <v/>
      </c>
      <c r="BL42" s="18" t="str">
        <f t="shared" si="99"/>
        <v/>
      </c>
      <c r="BM42" s="109" t="str" cm="1">
        <f t="array" ref="BM42">IFERROR(_xlfn._xlws.FILTER(ST[SOH],(ST[Code]=$C42) * (ST[Customer Name]=BF$3),"" ),"")</f>
        <v/>
      </c>
      <c r="BN42" s="109" t="str" cm="1">
        <f t="array" ref="BN42">IFERROR(
    _xlfn.LET(
        _xlpm.result, INDEX(_xlfn._xlws.FILTER(ST[6wk avg], (ST[Code]=$C42)*(ST[Customer Name]=BF$3), ""), 1),
        IF(_xlpm.result=0, "", _xlpm.result)
    ),
"")</f>
        <v/>
      </c>
      <c r="BO42" s="102" t="str">
        <f t="shared" si="100"/>
        <v/>
      </c>
      <c r="BP42" s="70" t="str">
        <f t="shared" si="101"/>
        <v/>
      </c>
      <c r="BQ42" s="83" t="str">
        <f t="shared" si="102"/>
        <v/>
      </c>
      <c r="BR42" s="77"/>
      <c r="BS42" s="108" t="str" cm="1">
        <f t="array" ref="BS42">IFERROR(_xlfn._xlws.FILTER(ST[Customer Code],(ST[Code]=$C42) * (ST[Customer Name]=BS$3),"" ),"")</f>
        <v/>
      </c>
      <c r="BT42" s="68" t="str" cm="1">
        <f t="array" ref="BT42">IFERROR(_xlfn.XLOOKUP($C42,Query[Code], _xlfn.XLOOKUP('Promo Form'!BS$3,Query[[#Headers],[Code]:[Bing Lee]],Query[[Code]:[Bing Lee]])),"")</f>
        <v/>
      </c>
      <c r="BU42" s="16" t="str">
        <f t="shared" si="103"/>
        <v/>
      </c>
      <c r="BV42" s="16" t="str">
        <f t="shared" si="104"/>
        <v/>
      </c>
      <c r="BW42" s="17" t="str">
        <f t="shared" si="105"/>
        <v/>
      </c>
      <c r="BX42" s="18" t="str">
        <f t="shared" si="106"/>
        <v/>
      </c>
      <c r="BY42" s="18" t="str">
        <f t="shared" si="107"/>
        <v/>
      </c>
      <c r="BZ42" s="109" t="str" cm="1">
        <f t="array" ref="BZ42">IFERROR(_xlfn._xlws.FILTER(ST[SOH],(ST[Code]=$C42) * (ST[Customer Name]=BS$3),"" ),"")</f>
        <v/>
      </c>
      <c r="CA42" s="109" t="str" cm="1">
        <f t="array" ref="CA42">IFERROR(
    _xlfn.LET(
        _xlpm.result, INDEX(_xlfn._xlws.FILTER(ST[6wk avg], (ST[Code]=$C42)*(ST[Customer Name]=BS$3), ""), 1),
        IF(_xlpm.result=0, "", _xlpm.result)
    ),
"")</f>
        <v/>
      </c>
      <c r="CB42" s="102" t="str">
        <f t="shared" si="108"/>
        <v/>
      </c>
      <c r="CC42" s="70" t="str">
        <f t="shared" si="109"/>
        <v/>
      </c>
      <c r="CD42" s="83" t="str">
        <f t="shared" si="110"/>
        <v/>
      </c>
      <c r="CE42" s="77"/>
      <c r="CF42" s="108" t="str" cm="1">
        <f t="array" ref="CF42">IFERROR(_xlfn._xlws.FILTER(ST[Customer Code],(ST[Code]=$C42) * (ST[Customer Name]=CF$3),"" ),"")</f>
        <v/>
      </c>
      <c r="CG42" s="68" t="str" cm="1">
        <f t="array" ref="CG42">IFERROR(_xlfn.XLOOKUP($C42,Query[Code], _xlfn.XLOOKUP('Promo Form'!CF$3,Query[[#Headers],[Code]:[Bing Lee]],Query[[Code]:[Bing Lee]])),"")</f>
        <v/>
      </c>
      <c r="CH42" s="16" t="str">
        <f t="shared" si="111"/>
        <v/>
      </c>
      <c r="CI42" s="16" t="str">
        <f t="shared" si="112"/>
        <v/>
      </c>
      <c r="CJ42" s="17" t="str">
        <f t="shared" si="113"/>
        <v/>
      </c>
      <c r="CK42" s="18" t="str">
        <f t="shared" si="114"/>
        <v/>
      </c>
      <c r="CL42" s="18" t="str">
        <f t="shared" si="115"/>
        <v/>
      </c>
      <c r="CM42" s="109" t="str" cm="1">
        <f t="array" ref="CM42">IFERROR(_xlfn._xlws.FILTER(ST[SOH],(ST[Code]=$C42) * (ST[Customer Name]=CF$3),"" ),"")</f>
        <v/>
      </c>
      <c r="CN42" s="109" t="str" cm="1">
        <f t="array" ref="CN42">IFERROR(
    _xlfn.LET(
        _xlpm.result, INDEX(_xlfn._xlws.FILTER(ST[6wk avg], (ST[Code]=$C42)*(ST[Customer Name]=CF$3), ""), 1),
        IF(_xlpm.result=0, "", _xlpm.result)
    ),
"")</f>
        <v/>
      </c>
      <c r="CO42" s="102" t="str">
        <f t="shared" si="116"/>
        <v/>
      </c>
      <c r="CP42" s="70" t="str">
        <f t="shared" si="117"/>
        <v/>
      </c>
      <c r="CQ42" s="83" t="str">
        <f t="shared" si="118"/>
        <v/>
      </c>
      <c r="CR42" s="77"/>
      <c r="CS42" s="17" t="str">
        <f>IFERROR(_xlfn.XLOOKUP(C42,Query[Code],Query[Base (RRP Inc)]),"")</f>
        <v/>
      </c>
      <c r="CT42" s="17" t="str">
        <f t="shared" si="119"/>
        <v/>
      </c>
      <c r="CU42" s="107" t="str">
        <f t="shared" si="120"/>
        <v/>
      </c>
      <c r="CV42" s="17" t="str">
        <f t="shared" si="121"/>
        <v/>
      </c>
      <c r="CW42" s="17"/>
    </row>
    <row r="43" spans="1:101" x14ac:dyDescent="0.2">
      <c r="A43" s="106" t="str">
        <f t="shared" si="61"/>
        <v/>
      </c>
      <c r="B43" s="106" t="str">
        <f t="shared" si="62"/>
        <v/>
      </c>
      <c r="C43" s="13"/>
      <c r="D43" s="14" t="str">
        <f>IF(C43="", "",_xlfn.XLOOKUP(C43,'Master Price Level'!C:C,'Master Price Level'!D:D))</f>
        <v/>
      </c>
      <c r="E43" s="15"/>
      <c r="F43" s="108" t="str" cm="1">
        <f t="array" ref="F43">IFERROR(_xlfn._xlws.FILTER(ST[Customer Code],(ST[Code]=$C43) * (ST[Customer Name]=F$3),"" ),"")</f>
        <v/>
      </c>
      <c r="G43" s="68" t="str" cm="1">
        <f t="array" ref="G43">IFERROR(_xlfn.XLOOKUP($C43,Query[Code], _xlfn.XLOOKUP('Promo Form'!F$3,Query[[#Headers],[Code]:[Bing Lee]],Query[[Code]:[Bing Lee]])),"")</f>
        <v/>
      </c>
      <c r="H43" s="16" t="str">
        <f t="shared" si="63"/>
        <v/>
      </c>
      <c r="I43" s="16" t="str">
        <f t="shared" si="64"/>
        <v/>
      </c>
      <c r="J43" s="17" t="str">
        <f t="shared" si="65"/>
        <v/>
      </c>
      <c r="K43" s="18" t="str">
        <f t="shared" si="66"/>
        <v/>
      </c>
      <c r="L43" s="18" t="str">
        <f t="shared" si="67"/>
        <v/>
      </c>
      <c r="M43" s="109" t="str" cm="1">
        <f t="array" ref="M43">IFERROR(_xlfn._xlws.FILTER(ST[SOH],(ST[Code]=$C43) * (ST[Customer Name]=F$3),"" ),"")</f>
        <v/>
      </c>
      <c r="N43" s="109" t="str" cm="1">
        <f t="array" ref="N43">IFERROR(
    _xlfn.LET(
        _xlpm.result, INDEX(_xlfn._xlws.FILTER(ST[6wk avg], (ST[Code]=$C43)*(ST[Customer Name]=F$3), ""), 1),
        IF(_xlpm.result=0, "", _xlpm.result)
    ),
"")</f>
        <v/>
      </c>
      <c r="O43" s="102" t="str">
        <f t="shared" si="68"/>
        <v/>
      </c>
      <c r="P43" s="70" t="str">
        <f t="shared" si="69"/>
        <v/>
      </c>
      <c r="Q43" s="83" t="str">
        <f t="shared" si="70"/>
        <v/>
      </c>
      <c r="R43" s="77"/>
      <c r="S43" s="108" t="str" cm="1">
        <f t="array" ref="S43">IFERROR(_xlfn._xlws.FILTER(ST[Customer Code],(ST[Code]=$C43) * (ST[Customer Name]=S$3),"" ),"")</f>
        <v/>
      </c>
      <c r="T43" s="68" t="str" cm="1">
        <f t="array" ref="T43">IFERROR(_xlfn.XLOOKUP($C43,Query[Code], _xlfn.XLOOKUP('Promo Form'!S$3,Query[[#Headers],[Code]:[Bing Lee]],Query[[Code]:[Bing Lee]])),"")</f>
        <v/>
      </c>
      <c r="U43" s="16" t="str">
        <f t="shared" si="71"/>
        <v/>
      </c>
      <c r="V43" s="16" t="str">
        <f t="shared" si="72"/>
        <v/>
      </c>
      <c r="W43" s="17" t="str">
        <f t="shared" si="73"/>
        <v/>
      </c>
      <c r="X43" s="18" t="str">
        <f t="shared" si="74"/>
        <v/>
      </c>
      <c r="Y43" s="18" t="str">
        <f t="shared" si="75"/>
        <v/>
      </c>
      <c r="Z43" s="109" t="str" cm="1">
        <f t="array" ref="Z43">IFERROR(_xlfn._xlws.FILTER(ST[SOH],(ST[Code]=$C43) * (ST[Customer Name]=S$3),"" ),"")</f>
        <v/>
      </c>
      <c r="AA43" s="109" t="str" cm="1">
        <f t="array" ref="AA43">IFERROR(
    _xlfn.LET(
        _xlpm.result, INDEX(_xlfn._xlws.FILTER(ST[6wk avg], (ST[Code]=$C43)*(ST[Customer Name]=S$3), ""), 1),
        IF(_xlpm.result=0, "", _xlpm.result)
    ),
"")</f>
        <v/>
      </c>
      <c r="AB43" s="102" t="str">
        <f t="shared" si="76"/>
        <v/>
      </c>
      <c r="AC43" s="70" t="str">
        <f t="shared" si="77"/>
        <v/>
      </c>
      <c r="AD43" s="83" t="str">
        <f t="shared" si="78"/>
        <v/>
      </c>
      <c r="AE43" s="77"/>
      <c r="AF43" s="108" t="str" cm="1">
        <f t="array" ref="AF43">IFERROR(_xlfn._xlws.FILTER(ST[Customer Code],(ST[Code]=$C43) * (ST[Customer Name]=AF$3),"" ),"")</f>
        <v/>
      </c>
      <c r="AG43" s="68" t="str" cm="1">
        <f t="array" ref="AG43">IFERROR(_xlfn.XLOOKUP($C43,Query[Code], _xlfn.XLOOKUP('Promo Form'!AF$3,Query[[#Headers],[Code]:[Bing Lee]],Query[[Code]:[Bing Lee]])),"")</f>
        <v/>
      </c>
      <c r="AH43" s="16" t="str">
        <f t="shared" si="79"/>
        <v/>
      </c>
      <c r="AI43" s="16" t="str">
        <f t="shared" si="80"/>
        <v/>
      </c>
      <c r="AJ43" s="17" t="str">
        <f t="shared" si="81"/>
        <v/>
      </c>
      <c r="AK43" s="18" t="str">
        <f t="shared" si="82"/>
        <v/>
      </c>
      <c r="AL43" s="18" t="str">
        <f t="shared" si="83"/>
        <v/>
      </c>
      <c r="AM43" s="109" t="str" cm="1">
        <f t="array" ref="AM43">IFERROR(_xlfn._xlws.FILTER(ST[SOH],(ST[Code]=$C43) * (ST[Customer Name]=AF$3),"" ),"")</f>
        <v/>
      </c>
      <c r="AN43" s="109" t="str" cm="1">
        <f t="array" ref="AN43">IFERROR(
    _xlfn.LET(
        _xlpm.result, INDEX(_xlfn._xlws.FILTER(ST[6wk avg], (ST[Code]=$C43)*(ST[Customer Name]=AF$3), ""), 1),
        IF(_xlpm.result=0, "", _xlpm.result)
    ),
"")</f>
        <v/>
      </c>
      <c r="AO43" s="102" t="str">
        <f t="shared" si="84"/>
        <v/>
      </c>
      <c r="AP43" s="70" t="str">
        <f t="shared" si="85"/>
        <v/>
      </c>
      <c r="AQ43" s="83" t="str">
        <f t="shared" si="86"/>
        <v/>
      </c>
      <c r="AR43" s="77"/>
      <c r="AS43" s="108" t="str" cm="1">
        <f t="array" ref="AS43">IFERROR(_xlfn._xlws.FILTER(ST[Customer Code],(ST[Code]=$C43) * (ST[Customer Name]=AS$3),"" ),"")</f>
        <v/>
      </c>
      <c r="AT43" s="68" t="str" cm="1">
        <f t="array" ref="AT43">IFERROR(_xlfn.XLOOKUP($C43,Query[Code], _xlfn.XLOOKUP('Promo Form'!AS$3,Query[[#Headers],[Code]:[Bing Lee]],Query[[Code]:[Bing Lee]])),"")</f>
        <v/>
      </c>
      <c r="AU43" s="16" t="str">
        <f t="shared" si="87"/>
        <v/>
      </c>
      <c r="AV43" s="16" t="str">
        <f t="shared" si="88"/>
        <v/>
      </c>
      <c r="AW43" s="17" t="str">
        <f t="shared" si="89"/>
        <v/>
      </c>
      <c r="AX43" s="18" t="str">
        <f t="shared" si="90"/>
        <v/>
      </c>
      <c r="AY43" s="18" t="str">
        <f t="shared" si="91"/>
        <v/>
      </c>
      <c r="AZ43" s="109" t="str" cm="1">
        <f t="array" ref="AZ43">IFERROR(_xlfn._xlws.FILTER(ST[SOH],(ST[Code]=$C43) * (ST[Customer Name]=AS$3),"" ),"")</f>
        <v/>
      </c>
      <c r="BA43" s="109" t="str" cm="1">
        <f t="array" ref="BA43">IFERROR(
    _xlfn.LET(
        _xlpm.result, INDEX(_xlfn._xlws.FILTER(ST[6wk avg], (ST[Code]=$C43)*(ST[Customer Name]=AS$3), ""), 1),
        IF(_xlpm.result=0, "", _xlpm.result)
    ),
"")</f>
        <v/>
      </c>
      <c r="BB43" s="102" t="str">
        <f t="shared" si="92"/>
        <v/>
      </c>
      <c r="BC43" s="70" t="str">
        <f t="shared" si="93"/>
        <v/>
      </c>
      <c r="BD43" s="83" t="str">
        <f t="shared" si="94"/>
        <v/>
      </c>
      <c r="BE43" s="77"/>
      <c r="BF43" s="108" t="str" cm="1">
        <f t="array" ref="BF43">IFERROR(_xlfn._xlws.FILTER(ST[Customer Code],(ST[Code]=$C43) * (ST[Customer Name]=BF$3),"" ),"")</f>
        <v/>
      </c>
      <c r="BG43" s="68" t="str" cm="1">
        <f t="array" ref="BG43">IFERROR(_xlfn.XLOOKUP($C43,Query[Code], _xlfn.XLOOKUP('Promo Form'!BF$3,Query[[#Headers],[Code]:[Bing Lee]],Query[[Code]:[Bing Lee]])),"")</f>
        <v/>
      </c>
      <c r="BH43" s="16" t="str">
        <f t="shared" si="95"/>
        <v/>
      </c>
      <c r="BI43" s="16" t="str">
        <f t="shared" si="96"/>
        <v/>
      </c>
      <c r="BJ43" s="17" t="str">
        <f t="shared" si="97"/>
        <v/>
      </c>
      <c r="BK43" s="18" t="str">
        <f t="shared" si="98"/>
        <v/>
      </c>
      <c r="BL43" s="18" t="str">
        <f t="shared" si="99"/>
        <v/>
      </c>
      <c r="BM43" s="109" t="str" cm="1">
        <f t="array" ref="BM43">IFERROR(_xlfn._xlws.FILTER(ST[SOH],(ST[Code]=$C43) * (ST[Customer Name]=BF$3),"" ),"")</f>
        <v/>
      </c>
      <c r="BN43" s="109" t="str" cm="1">
        <f t="array" ref="BN43">IFERROR(
    _xlfn.LET(
        _xlpm.result, INDEX(_xlfn._xlws.FILTER(ST[6wk avg], (ST[Code]=$C43)*(ST[Customer Name]=BF$3), ""), 1),
        IF(_xlpm.result=0, "", _xlpm.result)
    ),
"")</f>
        <v/>
      </c>
      <c r="BO43" s="102" t="str">
        <f t="shared" si="100"/>
        <v/>
      </c>
      <c r="BP43" s="70" t="str">
        <f t="shared" si="101"/>
        <v/>
      </c>
      <c r="BQ43" s="83" t="str">
        <f t="shared" si="102"/>
        <v/>
      </c>
      <c r="BR43" s="77"/>
      <c r="BS43" s="108" t="str" cm="1">
        <f t="array" ref="BS43">IFERROR(_xlfn._xlws.FILTER(ST[Customer Code],(ST[Code]=$C43) * (ST[Customer Name]=BS$3),"" ),"")</f>
        <v/>
      </c>
      <c r="BT43" s="68" t="str" cm="1">
        <f t="array" ref="BT43">IFERROR(_xlfn.XLOOKUP($C43,Query[Code], _xlfn.XLOOKUP('Promo Form'!BS$3,Query[[#Headers],[Code]:[Bing Lee]],Query[[Code]:[Bing Lee]])),"")</f>
        <v/>
      </c>
      <c r="BU43" s="16" t="str">
        <f t="shared" si="103"/>
        <v/>
      </c>
      <c r="BV43" s="16" t="str">
        <f t="shared" si="104"/>
        <v/>
      </c>
      <c r="BW43" s="17" t="str">
        <f t="shared" si="105"/>
        <v/>
      </c>
      <c r="BX43" s="18" t="str">
        <f t="shared" si="106"/>
        <v/>
      </c>
      <c r="BY43" s="18" t="str">
        <f t="shared" si="107"/>
        <v/>
      </c>
      <c r="BZ43" s="109" t="str" cm="1">
        <f t="array" ref="BZ43">IFERROR(_xlfn._xlws.FILTER(ST[SOH],(ST[Code]=$C43) * (ST[Customer Name]=BS$3),"" ),"")</f>
        <v/>
      </c>
      <c r="CA43" s="109" t="str" cm="1">
        <f t="array" ref="CA43">IFERROR(
    _xlfn.LET(
        _xlpm.result, INDEX(_xlfn._xlws.FILTER(ST[6wk avg], (ST[Code]=$C43)*(ST[Customer Name]=BS$3), ""), 1),
        IF(_xlpm.result=0, "", _xlpm.result)
    ),
"")</f>
        <v/>
      </c>
      <c r="CB43" s="102" t="str">
        <f t="shared" si="108"/>
        <v/>
      </c>
      <c r="CC43" s="70" t="str">
        <f t="shared" si="109"/>
        <v/>
      </c>
      <c r="CD43" s="83" t="str">
        <f t="shared" si="110"/>
        <v/>
      </c>
      <c r="CE43" s="77"/>
      <c r="CF43" s="108" t="str" cm="1">
        <f t="array" ref="CF43">IFERROR(_xlfn._xlws.FILTER(ST[Customer Code],(ST[Code]=$C43) * (ST[Customer Name]=CF$3),"" ),"")</f>
        <v/>
      </c>
      <c r="CG43" s="68" t="str" cm="1">
        <f t="array" ref="CG43">IFERROR(_xlfn.XLOOKUP($C43,Query[Code], _xlfn.XLOOKUP('Promo Form'!CF$3,Query[[#Headers],[Code]:[Bing Lee]],Query[[Code]:[Bing Lee]])),"")</f>
        <v/>
      </c>
      <c r="CH43" s="16" t="str">
        <f t="shared" si="111"/>
        <v/>
      </c>
      <c r="CI43" s="16" t="str">
        <f t="shared" si="112"/>
        <v/>
      </c>
      <c r="CJ43" s="17" t="str">
        <f t="shared" si="113"/>
        <v/>
      </c>
      <c r="CK43" s="18" t="str">
        <f t="shared" si="114"/>
        <v/>
      </c>
      <c r="CL43" s="18" t="str">
        <f t="shared" si="115"/>
        <v/>
      </c>
      <c r="CM43" s="109" t="str" cm="1">
        <f t="array" ref="CM43">IFERROR(_xlfn._xlws.FILTER(ST[SOH],(ST[Code]=$C43) * (ST[Customer Name]=CF$3),"" ),"")</f>
        <v/>
      </c>
      <c r="CN43" s="109" t="str" cm="1">
        <f t="array" ref="CN43">IFERROR(
    _xlfn.LET(
        _xlpm.result, INDEX(_xlfn._xlws.FILTER(ST[6wk avg], (ST[Code]=$C43)*(ST[Customer Name]=CF$3), ""), 1),
        IF(_xlpm.result=0, "", _xlpm.result)
    ),
"")</f>
        <v/>
      </c>
      <c r="CO43" s="102" t="str">
        <f t="shared" si="116"/>
        <v/>
      </c>
      <c r="CP43" s="70" t="str">
        <f t="shared" si="117"/>
        <v/>
      </c>
      <c r="CQ43" s="83" t="str">
        <f t="shared" si="118"/>
        <v/>
      </c>
      <c r="CR43" s="77"/>
      <c r="CS43" s="17" t="str">
        <f>IFERROR(_xlfn.XLOOKUP(C43,Query[Code],Query[Base (RRP Inc)]),"")</f>
        <v/>
      </c>
      <c r="CT43" s="17" t="str">
        <f t="shared" si="119"/>
        <v/>
      </c>
      <c r="CU43" s="107" t="str">
        <f t="shared" si="120"/>
        <v/>
      </c>
      <c r="CV43" s="17" t="str">
        <f t="shared" si="121"/>
        <v/>
      </c>
      <c r="CW43" s="17"/>
    </row>
    <row r="44" spans="1:101" x14ac:dyDescent="0.2">
      <c r="A44" s="106" t="str">
        <f t="shared" si="61"/>
        <v/>
      </c>
      <c r="B44" s="106" t="str">
        <f t="shared" si="62"/>
        <v/>
      </c>
      <c r="C44" s="13"/>
      <c r="D44" s="14" t="str">
        <f>IF(C44="", "",_xlfn.XLOOKUP(C44,'Master Price Level'!C:C,'Master Price Level'!D:D))</f>
        <v/>
      </c>
      <c r="E44" s="15"/>
      <c r="F44" s="108" t="str" cm="1">
        <f t="array" ref="F44">IFERROR(_xlfn._xlws.FILTER(ST[Customer Code],(ST[Code]=$C44) * (ST[Customer Name]=F$3),"" ),"")</f>
        <v/>
      </c>
      <c r="G44" s="68" t="str" cm="1">
        <f t="array" ref="G44">IFERROR(_xlfn.XLOOKUP($C44,Query[Code], _xlfn.XLOOKUP('Promo Form'!F$3,Query[[#Headers],[Code]:[Bing Lee]],Query[[Code]:[Bing Lee]])),"")</f>
        <v/>
      </c>
      <c r="H44" s="16" t="str">
        <f t="shared" si="63"/>
        <v/>
      </c>
      <c r="I44" s="16" t="str">
        <f t="shared" si="64"/>
        <v/>
      </c>
      <c r="J44" s="17" t="str">
        <f t="shared" si="65"/>
        <v/>
      </c>
      <c r="K44" s="18" t="str">
        <f t="shared" si="66"/>
        <v/>
      </c>
      <c r="L44" s="18" t="str">
        <f t="shared" si="67"/>
        <v/>
      </c>
      <c r="M44" s="109" t="str" cm="1">
        <f t="array" ref="M44">IFERROR(_xlfn._xlws.FILTER(ST[SOH],(ST[Code]=$C44) * (ST[Customer Name]=F$3),"" ),"")</f>
        <v/>
      </c>
      <c r="N44" s="109" t="str" cm="1">
        <f t="array" ref="N44">IFERROR(
    _xlfn.LET(
        _xlpm.result, INDEX(_xlfn._xlws.FILTER(ST[6wk avg], (ST[Code]=$C44)*(ST[Customer Name]=F$3), ""), 1),
        IF(_xlpm.result=0, "", _xlpm.result)
    ),
"")</f>
        <v/>
      </c>
      <c r="O44" s="102" t="str">
        <f t="shared" si="68"/>
        <v/>
      </c>
      <c r="P44" s="70" t="str">
        <f t="shared" si="69"/>
        <v/>
      </c>
      <c r="Q44" s="83" t="str">
        <f t="shared" si="70"/>
        <v/>
      </c>
      <c r="R44" s="77"/>
      <c r="S44" s="108" t="str" cm="1">
        <f t="array" ref="S44">IFERROR(_xlfn._xlws.FILTER(ST[Customer Code],(ST[Code]=$C44) * (ST[Customer Name]=S$3),"" ),"")</f>
        <v/>
      </c>
      <c r="T44" s="68" t="str" cm="1">
        <f t="array" ref="T44">IFERROR(_xlfn.XLOOKUP($C44,Query[Code], _xlfn.XLOOKUP('Promo Form'!S$3,Query[[#Headers],[Code]:[Bing Lee]],Query[[Code]:[Bing Lee]])),"")</f>
        <v/>
      </c>
      <c r="U44" s="16" t="str">
        <f t="shared" si="71"/>
        <v/>
      </c>
      <c r="V44" s="16" t="str">
        <f t="shared" si="72"/>
        <v/>
      </c>
      <c r="W44" s="17" t="str">
        <f t="shared" si="73"/>
        <v/>
      </c>
      <c r="X44" s="18" t="str">
        <f t="shared" si="74"/>
        <v/>
      </c>
      <c r="Y44" s="18" t="str">
        <f t="shared" si="75"/>
        <v/>
      </c>
      <c r="Z44" s="109" t="str" cm="1">
        <f t="array" ref="Z44">IFERROR(_xlfn._xlws.FILTER(ST[SOH],(ST[Code]=$C44) * (ST[Customer Name]=S$3),"" ),"")</f>
        <v/>
      </c>
      <c r="AA44" s="109" t="str" cm="1">
        <f t="array" ref="AA44">IFERROR(
    _xlfn.LET(
        _xlpm.result, INDEX(_xlfn._xlws.FILTER(ST[6wk avg], (ST[Code]=$C44)*(ST[Customer Name]=S$3), ""), 1),
        IF(_xlpm.result=0, "", _xlpm.result)
    ),
"")</f>
        <v/>
      </c>
      <c r="AB44" s="102" t="str">
        <f t="shared" si="76"/>
        <v/>
      </c>
      <c r="AC44" s="70" t="str">
        <f t="shared" si="77"/>
        <v/>
      </c>
      <c r="AD44" s="83" t="str">
        <f t="shared" si="78"/>
        <v/>
      </c>
      <c r="AE44" s="77"/>
      <c r="AF44" s="108" t="str" cm="1">
        <f t="array" ref="AF44">IFERROR(_xlfn._xlws.FILTER(ST[Customer Code],(ST[Code]=$C44) * (ST[Customer Name]=AF$3),"" ),"")</f>
        <v/>
      </c>
      <c r="AG44" s="68" t="str" cm="1">
        <f t="array" ref="AG44">IFERROR(_xlfn.XLOOKUP($C44,Query[Code], _xlfn.XLOOKUP('Promo Form'!AF$3,Query[[#Headers],[Code]:[Bing Lee]],Query[[Code]:[Bing Lee]])),"")</f>
        <v/>
      </c>
      <c r="AH44" s="16" t="str">
        <f t="shared" si="79"/>
        <v/>
      </c>
      <c r="AI44" s="16" t="str">
        <f t="shared" si="80"/>
        <v/>
      </c>
      <c r="AJ44" s="17" t="str">
        <f t="shared" si="81"/>
        <v/>
      </c>
      <c r="AK44" s="18" t="str">
        <f t="shared" si="82"/>
        <v/>
      </c>
      <c r="AL44" s="18" t="str">
        <f t="shared" si="83"/>
        <v/>
      </c>
      <c r="AM44" s="109" t="str" cm="1">
        <f t="array" ref="AM44">IFERROR(_xlfn._xlws.FILTER(ST[SOH],(ST[Code]=$C44) * (ST[Customer Name]=AF$3),"" ),"")</f>
        <v/>
      </c>
      <c r="AN44" s="109" t="str" cm="1">
        <f t="array" ref="AN44">IFERROR(
    _xlfn.LET(
        _xlpm.result, INDEX(_xlfn._xlws.FILTER(ST[6wk avg], (ST[Code]=$C44)*(ST[Customer Name]=AF$3), ""), 1),
        IF(_xlpm.result=0, "", _xlpm.result)
    ),
"")</f>
        <v/>
      </c>
      <c r="AO44" s="102" t="str">
        <f t="shared" si="84"/>
        <v/>
      </c>
      <c r="AP44" s="70" t="str">
        <f t="shared" si="85"/>
        <v/>
      </c>
      <c r="AQ44" s="83" t="str">
        <f t="shared" si="86"/>
        <v/>
      </c>
      <c r="AR44" s="77"/>
      <c r="AS44" s="108" t="str" cm="1">
        <f t="array" ref="AS44">IFERROR(_xlfn._xlws.FILTER(ST[Customer Code],(ST[Code]=$C44) * (ST[Customer Name]=AS$3),"" ),"")</f>
        <v/>
      </c>
      <c r="AT44" s="68" t="str" cm="1">
        <f t="array" ref="AT44">IFERROR(_xlfn.XLOOKUP($C44,Query[Code], _xlfn.XLOOKUP('Promo Form'!AS$3,Query[[#Headers],[Code]:[Bing Lee]],Query[[Code]:[Bing Lee]])),"")</f>
        <v/>
      </c>
      <c r="AU44" s="16" t="str">
        <f t="shared" si="87"/>
        <v/>
      </c>
      <c r="AV44" s="16" t="str">
        <f t="shared" si="88"/>
        <v/>
      </c>
      <c r="AW44" s="17" t="str">
        <f t="shared" si="89"/>
        <v/>
      </c>
      <c r="AX44" s="18" t="str">
        <f t="shared" si="90"/>
        <v/>
      </c>
      <c r="AY44" s="18" t="str">
        <f t="shared" si="91"/>
        <v/>
      </c>
      <c r="AZ44" s="109" t="str" cm="1">
        <f t="array" ref="AZ44">IFERROR(_xlfn._xlws.FILTER(ST[SOH],(ST[Code]=$C44) * (ST[Customer Name]=AS$3),"" ),"")</f>
        <v/>
      </c>
      <c r="BA44" s="109" t="str" cm="1">
        <f t="array" ref="BA44">IFERROR(
    _xlfn.LET(
        _xlpm.result, INDEX(_xlfn._xlws.FILTER(ST[6wk avg], (ST[Code]=$C44)*(ST[Customer Name]=AS$3), ""), 1),
        IF(_xlpm.result=0, "", _xlpm.result)
    ),
"")</f>
        <v/>
      </c>
      <c r="BB44" s="102" t="str">
        <f t="shared" si="92"/>
        <v/>
      </c>
      <c r="BC44" s="70" t="str">
        <f t="shared" si="93"/>
        <v/>
      </c>
      <c r="BD44" s="83" t="str">
        <f t="shared" si="94"/>
        <v/>
      </c>
      <c r="BE44" s="77"/>
      <c r="BF44" s="108" t="str" cm="1">
        <f t="array" ref="BF44">IFERROR(_xlfn._xlws.FILTER(ST[Customer Code],(ST[Code]=$C44) * (ST[Customer Name]=BF$3),"" ),"")</f>
        <v/>
      </c>
      <c r="BG44" s="68" t="str" cm="1">
        <f t="array" ref="BG44">IFERROR(_xlfn.XLOOKUP($C44,Query[Code], _xlfn.XLOOKUP('Promo Form'!BF$3,Query[[#Headers],[Code]:[Bing Lee]],Query[[Code]:[Bing Lee]])),"")</f>
        <v/>
      </c>
      <c r="BH44" s="16" t="str">
        <f t="shared" si="95"/>
        <v/>
      </c>
      <c r="BI44" s="16" t="str">
        <f t="shared" si="96"/>
        <v/>
      </c>
      <c r="BJ44" s="17" t="str">
        <f t="shared" si="97"/>
        <v/>
      </c>
      <c r="BK44" s="18" t="str">
        <f t="shared" si="98"/>
        <v/>
      </c>
      <c r="BL44" s="18" t="str">
        <f t="shared" si="99"/>
        <v/>
      </c>
      <c r="BM44" s="109" t="str" cm="1">
        <f t="array" ref="BM44">IFERROR(_xlfn._xlws.FILTER(ST[SOH],(ST[Code]=$C44) * (ST[Customer Name]=BF$3),"" ),"")</f>
        <v/>
      </c>
      <c r="BN44" s="109" t="str" cm="1">
        <f t="array" ref="BN44">IFERROR(
    _xlfn.LET(
        _xlpm.result, INDEX(_xlfn._xlws.FILTER(ST[6wk avg], (ST[Code]=$C44)*(ST[Customer Name]=BF$3), ""), 1),
        IF(_xlpm.result=0, "", _xlpm.result)
    ),
"")</f>
        <v/>
      </c>
      <c r="BO44" s="102" t="str">
        <f t="shared" si="100"/>
        <v/>
      </c>
      <c r="BP44" s="70" t="str">
        <f t="shared" si="101"/>
        <v/>
      </c>
      <c r="BQ44" s="83" t="str">
        <f t="shared" si="102"/>
        <v/>
      </c>
      <c r="BR44" s="77"/>
      <c r="BS44" s="108" t="str" cm="1">
        <f t="array" ref="BS44">IFERROR(_xlfn._xlws.FILTER(ST[Customer Code],(ST[Code]=$C44) * (ST[Customer Name]=BS$3),"" ),"")</f>
        <v/>
      </c>
      <c r="BT44" s="68" t="str" cm="1">
        <f t="array" ref="BT44">IFERROR(_xlfn.XLOOKUP($C44,Query[Code], _xlfn.XLOOKUP('Promo Form'!BS$3,Query[[#Headers],[Code]:[Bing Lee]],Query[[Code]:[Bing Lee]])),"")</f>
        <v/>
      </c>
      <c r="BU44" s="16" t="str">
        <f t="shared" si="103"/>
        <v/>
      </c>
      <c r="BV44" s="16" t="str">
        <f t="shared" si="104"/>
        <v/>
      </c>
      <c r="BW44" s="17" t="str">
        <f t="shared" si="105"/>
        <v/>
      </c>
      <c r="BX44" s="18" t="str">
        <f t="shared" si="106"/>
        <v/>
      </c>
      <c r="BY44" s="18" t="str">
        <f t="shared" si="107"/>
        <v/>
      </c>
      <c r="BZ44" s="109" t="str" cm="1">
        <f t="array" ref="BZ44">IFERROR(_xlfn._xlws.FILTER(ST[SOH],(ST[Code]=$C44) * (ST[Customer Name]=BS$3),"" ),"")</f>
        <v/>
      </c>
      <c r="CA44" s="109" t="str" cm="1">
        <f t="array" ref="CA44">IFERROR(
    _xlfn.LET(
        _xlpm.result, INDEX(_xlfn._xlws.FILTER(ST[6wk avg], (ST[Code]=$C44)*(ST[Customer Name]=BS$3), ""), 1),
        IF(_xlpm.result=0, "", _xlpm.result)
    ),
"")</f>
        <v/>
      </c>
      <c r="CB44" s="102" t="str">
        <f t="shared" si="108"/>
        <v/>
      </c>
      <c r="CC44" s="70" t="str">
        <f t="shared" si="109"/>
        <v/>
      </c>
      <c r="CD44" s="83" t="str">
        <f t="shared" si="110"/>
        <v/>
      </c>
      <c r="CE44" s="77"/>
      <c r="CF44" s="108" t="str" cm="1">
        <f t="array" ref="CF44">IFERROR(_xlfn._xlws.FILTER(ST[Customer Code],(ST[Code]=$C44) * (ST[Customer Name]=CF$3),"" ),"")</f>
        <v/>
      </c>
      <c r="CG44" s="68" t="str" cm="1">
        <f t="array" ref="CG44">IFERROR(_xlfn.XLOOKUP($C44,Query[Code], _xlfn.XLOOKUP('Promo Form'!CF$3,Query[[#Headers],[Code]:[Bing Lee]],Query[[Code]:[Bing Lee]])),"")</f>
        <v/>
      </c>
      <c r="CH44" s="16" t="str">
        <f t="shared" si="111"/>
        <v/>
      </c>
      <c r="CI44" s="16" t="str">
        <f t="shared" si="112"/>
        <v/>
      </c>
      <c r="CJ44" s="17" t="str">
        <f t="shared" si="113"/>
        <v/>
      </c>
      <c r="CK44" s="18" t="str">
        <f t="shared" si="114"/>
        <v/>
      </c>
      <c r="CL44" s="18" t="str">
        <f t="shared" si="115"/>
        <v/>
      </c>
      <c r="CM44" s="109" t="str" cm="1">
        <f t="array" ref="CM44">IFERROR(_xlfn._xlws.FILTER(ST[SOH],(ST[Code]=$C44) * (ST[Customer Name]=CF$3),"" ),"")</f>
        <v/>
      </c>
      <c r="CN44" s="109" t="str" cm="1">
        <f t="array" ref="CN44">IFERROR(
    _xlfn.LET(
        _xlpm.result, INDEX(_xlfn._xlws.FILTER(ST[6wk avg], (ST[Code]=$C44)*(ST[Customer Name]=CF$3), ""), 1),
        IF(_xlpm.result=0, "", _xlpm.result)
    ),
"")</f>
        <v/>
      </c>
      <c r="CO44" s="102" t="str">
        <f t="shared" si="116"/>
        <v/>
      </c>
      <c r="CP44" s="70" t="str">
        <f t="shared" si="117"/>
        <v/>
      </c>
      <c r="CQ44" s="83" t="str">
        <f t="shared" si="118"/>
        <v/>
      </c>
      <c r="CR44" s="77"/>
      <c r="CS44" s="17" t="str">
        <f>IFERROR(_xlfn.XLOOKUP(C44,Query[Code],Query[Base (RRP Inc)]),"")</f>
        <v/>
      </c>
      <c r="CT44" s="17" t="str">
        <f t="shared" si="119"/>
        <v/>
      </c>
      <c r="CU44" s="107" t="str">
        <f t="shared" si="120"/>
        <v/>
      </c>
      <c r="CV44" s="17" t="str">
        <f t="shared" si="121"/>
        <v/>
      </c>
      <c r="CW44" s="17"/>
    </row>
    <row r="45" spans="1:101" x14ac:dyDescent="0.2">
      <c r="A45" s="106" t="str">
        <f t="shared" si="61"/>
        <v/>
      </c>
      <c r="B45" s="106" t="str">
        <f t="shared" si="62"/>
        <v/>
      </c>
      <c r="C45" s="13"/>
      <c r="D45" s="14" t="str">
        <f>IF(C45="", "",_xlfn.XLOOKUP(C45,'Master Price Level'!C:C,'Master Price Level'!D:D))</f>
        <v/>
      </c>
      <c r="E45" s="15"/>
      <c r="F45" s="108" t="str" cm="1">
        <f t="array" ref="F45">IFERROR(_xlfn._xlws.FILTER(ST[Customer Code],(ST[Code]=$C45) * (ST[Customer Name]=F$3),"" ),"")</f>
        <v/>
      </c>
      <c r="G45" s="68" t="str" cm="1">
        <f t="array" ref="G45">IFERROR(_xlfn.XLOOKUP($C45,Query[Code], _xlfn.XLOOKUP('Promo Form'!F$3,Query[[#Headers],[Code]:[Bing Lee]],Query[[Code]:[Bing Lee]])),"")</f>
        <v/>
      </c>
      <c r="H45" s="16" t="str">
        <f t="shared" si="63"/>
        <v/>
      </c>
      <c r="I45" s="16" t="str">
        <f t="shared" si="64"/>
        <v/>
      </c>
      <c r="J45" s="17" t="str">
        <f t="shared" si="65"/>
        <v/>
      </c>
      <c r="K45" s="18" t="str">
        <f t="shared" si="66"/>
        <v/>
      </c>
      <c r="L45" s="18" t="str">
        <f t="shared" si="67"/>
        <v/>
      </c>
      <c r="M45" s="109" t="str" cm="1">
        <f t="array" ref="M45">IFERROR(_xlfn._xlws.FILTER(ST[SOH],(ST[Code]=$C45) * (ST[Customer Name]=F$3),"" ),"")</f>
        <v/>
      </c>
      <c r="N45" s="109" t="str" cm="1">
        <f t="array" ref="N45">IFERROR(
    _xlfn.LET(
        _xlpm.result, INDEX(_xlfn._xlws.FILTER(ST[6wk avg], (ST[Code]=$C45)*(ST[Customer Name]=F$3), ""), 1),
        IF(_xlpm.result=0, "", _xlpm.result)
    ),
"")</f>
        <v/>
      </c>
      <c r="O45" s="102" t="str">
        <f t="shared" si="68"/>
        <v/>
      </c>
      <c r="P45" s="70" t="str">
        <f t="shared" si="69"/>
        <v/>
      </c>
      <c r="Q45" s="83" t="str">
        <f t="shared" si="70"/>
        <v/>
      </c>
      <c r="R45" s="77"/>
      <c r="S45" s="108" t="str" cm="1">
        <f t="array" ref="S45">IFERROR(_xlfn._xlws.FILTER(ST[Customer Code],(ST[Code]=$C45) * (ST[Customer Name]=S$3),"" ),"")</f>
        <v/>
      </c>
      <c r="T45" s="68" t="str" cm="1">
        <f t="array" ref="T45">IFERROR(_xlfn.XLOOKUP($C45,Query[Code], _xlfn.XLOOKUP('Promo Form'!S$3,Query[[#Headers],[Code]:[Bing Lee]],Query[[Code]:[Bing Lee]])),"")</f>
        <v/>
      </c>
      <c r="U45" s="16" t="str">
        <f t="shared" si="71"/>
        <v/>
      </c>
      <c r="V45" s="16" t="str">
        <f t="shared" si="72"/>
        <v/>
      </c>
      <c r="W45" s="17" t="str">
        <f t="shared" si="73"/>
        <v/>
      </c>
      <c r="X45" s="18" t="str">
        <f t="shared" si="74"/>
        <v/>
      </c>
      <c r="Y45" s="18" t="str">
        <f t="shared" si="75"/>
        <v/>
      </c>
      <c r="Z45" s="109" t="str" cm="1">
        <f t="array" ref="Z45">IFERROR(_xlfn._xlws.FILTER(ST[SOH],(ST[Code]=$C45) * (ST[Customer Name]=S$3),"" ),"")</f>
        <v/>
      </c>
      <c r="AA45" s="109" t="str" cm="1">
        <f t="array" ref="AA45">IFERROR(
    _xlfn.LET(
        _xlpm.result, INDEX(_xlfn._xlws.FILTER(ST[6wk avg], (ST[Code]=$C45)*(ST[Customer Name]=S$3), ""), 1),
        IF(_xlpm.result=0, "", _xlpm.result)
    ),
"")</f>
        <v/>
      </c>
      <c r="AB45" s="102" t="str">
        <f t="shared" si="76"/>
        <v/>
      </c>
      <c r="AC45" s="70" t="str">
        <f t="shared" si="77"/>
        <v/>
      </c>
      <c r="AD45" s="83" t="str">
        <f t="shared" si="78"/>
        <v/>
      </c>
      <c r="AE45" s="77"/>
      <c r="AF45" s="108" t="str" cm="1">
        <f t="array" ref="AF45">IFERROR(_xlfn._xlws.FILTER(ST[Customer Code],(ST[Code]=$C45) * (ST[Customer Name]=AF$3),"" ),"")</f>
        <v/>
      </c>
      <c r="AG45" s="68" t="str" cm="1">
        <f t="array" ref="AG45">IFERROR(_xlfn.XLOOKUP($C45,Query[Code], _xlfn.XLOOKUP('Promo Form'!AF$3,Query[[#Headers],[Code]:[Bing Lee]],Query[[Code]:[Bing Lee]])),"")</f>
        <v/>
      </c>
      <c r="AH45" s="16" t="str">
        <f t="shared" si="79"/>
        <v/>
      </c>
      <c r="AI45" s="16" t="str">
        <f t="shared" si="80"/>
        <v/>
      </c>
      <c r="AJ45" s="17" t="str">
        <f t="shared" si="81"/>
        <v/>
      </c>
      <c r="AK45" s="18" t="str">
        <f t="shared" si="82"/>
        <v/>
      </c>
      <c r="AL45" s="18" t="str">
        <f t="shared" si="83"/>
        <v/>
      </c>
      <c r="AM45" s="109" t="str" cm="1">
        <f t="array" ref="AM45">IFERROR(_xlfn._xlws.FILTER(ST[SOH],(ST[Code]=$C45) * (ST[Customer Name]=AF$3),"" ),"")</f>
        <v/>
      </c>
      <c r="AN45" s="109" t="str" cm="1">
        <f t="array" ref="AN45">IFERROR(
    _xlfn.LET(
        _xlpm.result, INDEX(_xlfn._xlws.FILTER(ST[6wk avg], (ST[Code]=$C45)*(ST[Customer Name]=AF$3), ""), 1),
        IF(_xlpm.result=0, "", _xlpm.result)
    ),
"")</f>
        <v/>
      </c>
      <c r="AO45" s="102" t="str">
        <f t="shared" si="84"/>
        <v/>
      </c>
      <c r="AP45" s="70" t="str">
        <f t="shared" si="85"/>
        <v/>
      </c>
      <c r="AQ45" s="83" t="str">
        <f t="shared" si="86"/>
        <v/>
      </c>
      <c r="AR45" s="77"/>
      <c r="AS45" s="108" t="str" cm="1">
        <f t="array" ref="AS45">IFERROR(_xlfn._xlws.FILTER(ST[Customer Code],(ST[Code]=$C45) * (ST[Customer Name]=AS$3),"" ),"")</f>
        <v/>
      </c>
      <c r="AT45" s="68" t="str" cm="1">
        <f t="array" ref="AT45">IFERROR(_xlfn.XLOOKUP($C45,Query[Code], _xlfn.XLOOKUP('Promo Form'!AS$3,Query[[#Headers],[Code]:[Bing Lee]],Query[[Code]:[Bing Lee]])),"")</f>
        <v/>
      </c>
      <c r="AU45" s="16" t="str">
        <f t="shared" si="87"/>
        <v/>
      </c>
      <c r="AV45" s="16" t="str">
        <f t="shared" si="88"/>
        <v/>
      </c>
      <c r="AW45" s="17" t="str">
        <f t="shared" si="89"/>
        <v/>
      </c>
      <c r="AX45" s="18" t="str">
        <f t="shared" si="90"/>
        <v/>
      </c>
      <c r="AY45" s="18" t="str">
        <f t="shared" si="91"/>
        <v/>
      </c>
      <c r="AZ45" s="109" t="str" cm="1">
        <f t="array" ref="AZ45">IFERROR(_xlfn._xlws.FILTER(ST[SOH],(ST[Code]=$C45) * (ST[Customer Name]=AS$3),"" ),"")</f>
        <v/>
      </c>
      <c r="BA45" s="109" t="str" cm="1">
        <f t="array" ref="BA45">IFERROR(
    _xlfn.LET(
        _xlpm.result, INDEX(_xlfn._xlws.FILTER(ST[6wk avg], (ST[Code]=$C45)*(ST[Customer Name]=AS$3), ""), 1),
        IF(_xlpm.result=0, "", _xlpm.result)
    ),
"")</f>
        <v/>
      </c>
      <c r="BB45" s="102" t="str">
        <f t="shared" si="92"/>
        <v/>
      </c>
      <c r="BC45" s="70" t="str">
        <f t="shared" si="93"/>
        <v/>
      </c>
      <c r="BD45" s="83" t="str">
        <f t="shared" si="94"/>
        <v/>
      </c>
      <c r="BE45" s="77"/>
      <c r="BF45" s="108" t="str" cm="1">
        <f t="array" ref="BF45">IFERROR(_xlfn._xlws.FILTER(ST[Customer Code],(ST[Code]=$C45) * (ST[Customer Name]=BF$3),"" ),"")</f>
        <v/>
      </c>
      <c r="BG45" s="68" t="str" cm="1">
        <f t="array" ref="BG45">IFERROR(_xlfn.XLOOKUP($C45,Query[Code], _xlfn.XLOOKUP('Promo Form'!BF$3,Query[[#Headers],[Code]:[Bing Lee]],Query[[Code]:[Bing Lee]])),"")</f>
        <v/>
      </c>
      <c r="BH45" s="16" t="str">
        <f t="shared" si="95"/>
        <v/>
      </c>
      <c r="BI45" s="16" t="str">
        <f t="shared" si="96"/>
        <v/>
      </c>
      <c r="BJ45" s="17" t="str">
        <f t="shared" si="97"/>
        <v/>
      </c>
      <c r="BK45" s="18" t="str">
        <f t="shared" si="98"/>
        <v/>
      </c>
      <c r="BL45" s="18" t="str">
        <f t="shared" si="99"/>
        <v/>
      </c>
      <c r="BM45" s="109" t="str" cm="1">
        <f t="array" ref="BM45">IFERROR(_xlfn._xlws.FILTER(ST[SOH],(ST[Code]=$C45) * (ST[Customer Name]=BF$3),"" ),"")</f>
        <v/>
      </c>
      <c r="BN45" s="109" t="str" cm="1">
        <f t="array" ref="BN45">IFERROR(
    _xlfn.LET(
        _xlpm.result, INDEX(_xlfn._xlws.FILTER(ST[6wk avg], (ST[Code]=$C45)*(ST[Customer Name]=BF$3), ""), 1),
        IF(_xlpm.result=0, "", _xlpm.result)
    ),
"")</f>
        <v/>
      </c>
      <c r="BO45" s="102" t="str">
        <f t="shared" si="100"/>
        <v/>
      </c>
      <c r="BP45" s="70" t="str">
        <f t="shared" si="101"/>
        <v/>
      </c>
      <c r="BQ45" s="83" t="str">
        <f t="shared" si="102"/>
        <v/>
      </c>
      <c r="BR45" s="77"/>
      <c r="BS45" s="108" t="str" cm="1">
        <f t="array" ref="BS45">IFERROR(_xlfn._xlws.FILTER(ST[Customer Code],(ST[Code]=$C45) * (ST[Customer Name]=BS$3),"" ),"")</f>
        <v/>
      </c>
      <c r="BT45" s="68" t="str" cm="1">
        <f t="array" ref="BT45">IFERROR(_xlfn.XLOOKUP($C45,Query[Code], _xlfn.XLOOKUP('Promo Form'!BS$3,Query[[#Headers],[Code]:[Bing Lee]],Query[[Code]:[Bing Lee]])),"")</f>
        <v/>
      </c>
      <c r="BU45" s="16" t="str">
        <f t="shared" si="103"/>
        <v/>
      </c>
      <c r="BV45" s="16" t="str">
        <f t="shared" si="104"/>
        <v/>
      </c>
      <c r="BW45" s="17" t="str">
        <f t="shared" si="105"/>
        <v/>
      </c>
      <c r="BX45" s="18" t="str">
        <f t="shared" si="106"/>
        <v/>
      </c>
      <c r="BY45" s="18" t="str">
        <f t="shared" si="107"/>
        <v/>
      </c>
      <c r="BZ45" s="109" t="str" cm="1">
        <f t="array" ref="BZ45">IFERROR(_xlfn._xlws.FILTER(ST[SOH],(ST[Code]=$C45) * (ST[Customer Name]=BS$3),"" ),"")</f>
        <v/>
      </c>
      <c r="CA45" s="109" t="str" cm="1">
        <f t="array" ref="CA45">IFERROR(
    _xlfn.LET(
        _xlpm.result, INDEX(_xlfn._xlws.FILTER(ST[6wk avg], (ST[Code]=$C45)*(ST[Customer Name]=BS$3), ""), 1),
        IF(_xlpm.result=0, "", _xlpm.result)
    ),
"")</f>
        <v/>
      </c>
      <c r="CB45" s="102" t="str">
        <f t="shared" si="108"/>
        <v/>
      </c>
      <c r="CC45" s="70" t="str">
        <f t="shared" si="109"/>
        <v/>
      </c>
      <c r="CD45" s="83" t="str">
        <f t="shared" si="110"/>
        <v/>
      </c>
      <c r="CE45" s="77"/>
      <c r="CF45" s="108" t="str" cm="1">
        <f t="array" ref="CF45">IFERROR(_xlfn._xlws.FILTER(ST[Customer Code],(ST[Code]=$C45) * (ST[Customer Name]=CF$3),"" ),"")</f>
        <v/>
      </c>
      <c r="CG45" s="68" t="str" cm="1">
        <f t="array" ref="CG45">IFERROR(_xlfn.XLOOKUP($C45,Query[Code], _xlfn.XLOOKUP('Promo Form'!CF$3,Query[[#Headers],[Code]:[Bing Lee]],Query[[Code]:[Bing Lee]])),"")</f>
        <v/>
      </c>
      <c r="CH45" s="16" t="str">
        <f t="shared" si="111"/>
        <v/>
      </c>
      <c r="CI45" s="16" t="str">
        <f t="shared" si="112"/>
        <v/>
      </c>
      <c r="CJ45" s="17" t="str">
        <f t="shared" si="113"/>
        <v/>
      </c>
      <c r="CK45" s="18" t="str">
        <f t="shared" si="114"/>
        <v/>
      </c>
      <c r="CL45" s="18" t="str">
        <f t="shared" si="115"/>
        <v/>
      </c>
      <c r="CM45" s="109" t="str" cm="1">
        <f t="array" ref="CM45">IFERROR(_xlfn._xlws.FILTER(ST[SOH],(ST[Code]=$C45) * (ST[Customer Name]=CF$3),"" ),"")</f>
        <v/>
      </c>
      <c r="CN45" s="109" t="str" cm="1">
        <f t="array" ref="CN45">IFERROR(
    _xlfn.LET(
        _xlpm.result, INDEX(_xlfn._xlws.FILTER(ST[6wk avg], (ST[Code]=$C45)*(ST[Customer Name]=CF$3), ""), 1),
        IF(_xlpm.result=0, "", _xlpm.result)
    ),
"")</f>
        <v/>
      </c>
      <c r="CO45" s="102" t="str">
        <f t="shared" si="116"/>
        <v/>
      </c>
      <c r="CP45" s="70" t="str">
        <f t="shared" si="117"/>
        <v/>
      </c>
      <c r="CQ45" s="83" t="str">
        <f t="shared" si="118"/>
        <v/>
      </c>
      <c r="CR45" s="77"/>
      <c r="CS45" s="17" t="str">
        <f>IFERROR(_xlfn.XLOOKUP(C45,Query[Code],Query[Base (RRP Inc)]),"")</f>
        <v/>
      </c>
      <c r="CT45" s="17" t="str">
        <f t="shared" si="119"/>
        <v/>
      </c>
      <c r="CU45" s="107" t="str">
        <f t="shared" si="120"/>
        <v/>
      </c>
      <c r="CV45" s="17" t="str">
        <f t="shared" si="121"/>
        <v/>
      </c>
      <c r="CW45" s="17"/>
    </row>
    <row r="46" spans="1:101" x14ac:dyDescent="0.2">
      <c r="A46" s="106" t="str">
        <f t="shared" si="61"/>
        <v/>
      </c>
      <c r="B46" s="106" t="str">
        <f t="shared" si="62"/>
        <v/>
      </c>
      <c r="C46" s="13"/>
      <c r="D46" s="14" t="str">
        <f>IF(C46="", "",_xlfn.XLOOKUP(C46,'Master Price Level'!C:C,'Master Price Level'!D:D))</f>
        <v/>
      </c>
      <c r="E46" s="15"/>
      <c r="F46" s="108" t="str" cm="1">
        <f t="array" ref="F46">IFERROR(_xlfn._xlws.FILTER(ST[Customer Code],(ST[Code]=$C46) * (ST[Customer Name]=F$3),"" ),"")</f>
        <v/>
      </c>
      <c r="G46" s="68" t="str" cm="1">
        <f t="array" ref="G46">IFERROR(_xlfn.XLOOKUP($C46,Query[Code], _xlfn.XLOOKUP('Promo Form'!F$3,Query[[#Headers],[Code]:[Bing Lee]],Query[[Code]:[Bing Lee]])),"")</f>
        <v/>
      </c>
      <c r="H46" s="16" t="str">
        <f t="shared" si="63"/>
        <v/>
      </c>
      <c r="I46" s="16" t="str">
        <f t="shared" si="64"/>
        <v/>
      </c>
      <c r="J46" s="17" t="str">
        <f t="shared" si="65"/>
        <v/>
      </c>
      <c r="K46" s="18" t="str">
        <f t="shared" si="66"/>
        <v/>
      </c>
      <c r="L46" s="18" t="str">
        <f t="shared" si="67"/>
        <v/>
      </c>
      <c r="M46" s="109" t="str" cm="1">
        <f t="array" ref="M46">IFERROR(_xlfn._xlws.FILTER(ST[SOH],(ST[Code]=$C46) * (ST[Customer Name]=F$3),"" ),"")</f>
        <v/>
      </c>
      <c r="N46" s="109" t="str" cm="1">
        <f t="array" ref="N46">IFERROR(
    _xlfn.LET(
        _xlpm.result, INDEX(_xlfn._xlws.FILTER(ST[6wk avg], (ST[Code]=$C46)*(ST[Customer Name]=F$3), ""), 1),
        IF(_xlpm.result=0, "", _xlpm.result)
    ),
"")</f>
        <v/>
      </c>
      <c r="O46" s="102" t="str">
        <f t="shared" si="68"/>
        <v/>
      </c>
      <c r="P46" s="70" t="str">
        <f t="shared" si="69"/>
        <v/>
      </c>
      <c r="Q46" s="83" t="str">
        <f t="shared" si="70"/>
        <v/>
      </c>
      <c r="R46" s="77"/>
      <c r="S46" s="108" t="str" cm="1">
        <f t="array" ref="S46">IFERROR(_xlfn._xlws.FILTER(ST[Customer Code],(ST[Code]=$C46) * (ST[Customer Name]=S$3),"" ),"")</f>
        <v/>
      </c>
      <c r="T46" s="68" t="str" cm="1">
        <f t="array" ref="T46">IFERROR(_xlfn.XLOOKUP($C46,Query[Code], _xlfn.XLOOKUP('Promo Form'!S$3,Query[[#Headers],[Code]:[Bing Lee]],Query[[Code]:[Bing Lee]])),"")</f>
        <v/>
      </c>
      <c r="U46" s="16" t="str">
        <f t="shared" si="71"/>
        <v/>
      </c>
      <c r="V46" s="16" t="str">
        <f t="shared" si="72"/>
        <v/>
      </c>
      <c r="W46" s="17" t="str">
        <f t="shared" si="73"/>
        <v/>
      </c>
      <c r="X46" s="18" t="str">
        <f t="shared" si="74"/>
        <v/>
      </c>
      <c r="Y46" s="18" t="str">
        <f t="shared" si="75"/>
        <v/>
      </c>
      <c r="Z46" s="109" t="str" cm="1">
        <f t="array" ref="Z46">IFERROR(_xlfn._xlws.FILTER(ST[SOH],(ST[Code]=$C46) * (ST[Customer Name]=S$3),"" ),"")</f>
        <v/>
      </c>
      <c r="AA46" s="109" t="str" cm="1">
        <f t="array" ref="AA46">IFERROR(
    _xlfn.LET(
        _xlpm.result, INDEX(_xlfn._xlws.FILTER(ST[6wk avg], (ST[Code]=$C46)*(ST[Customer Name]=S$3), ""), 1),
        IF(_xlpm.result=0, "", _xlpm.result)
    ),
"")</f>
        <v/>
      </c>
      <c r="AB46" s="102" t="str">
        <f t="shared" si="76"/>
        <v/>
      </c>
      <c r="AC46" s="70" t="str">
        <f t="shared" si="77"/>
        <v/>
      </c>
      <c r="AD46" s="83" t="str">
        <f t="shared" si="78"/>
        <v/>
      </c>
      <c r="AE46" s="77"/>
      <c r="AF46" s="108" t="str" cm="1">
        <f t="array" ref="AF46">IFERROR(_xlfn._xlws.FILTER(ST[Customer Code],(ST[Code]=$C46) * (ST[Customer Name]=AF$3),"" ),"")</f>
        <v/>
      </c>
      <c r="AG46" s="68" t="str" cm="1">
        <f t="array" ref="AG46">IFERROR(_xlfn.XLOOKUP($C46,Query[Code], _xlfn.XLOOKUP('Promo Form'!AF$3,Query[[#Headers],[Code]:[Bing Lee]],Query[[Code]:[Bing Lee]])),"")</f>
        <v/>
      </c>
      <c r="AH46" s="16" t="str">
        <f t="shared" si="79"/>
        <v/>
      </c>
      <c r="AI46" s="16" t="str">
        <f t="shared" si="80"/>
        <v/>
      </c>
      <c r="AJ46" s="17" t="str">
        <f t="shared" si="81"/>
        <v/>
      </c>
      <c r="AK46" s="18" t="str">
        <f t="shared" si="82"/>
        <v/>
      </c>
      <c r="AL46" s="18" t="str">
        <f t="shared" si="83"/>
        <v/>
      </c>
      <c r="AM46" s="109" t="str" cm="1">
        <f t="array" ref="AM46">IFERROR(_xlfn._xlws.FILTER(ST[SOH],(ST[Code]=$C46) * (ST[Customer Name]=AF$3),"" ),"")</f>
        <v/>
      </c>
      <c r="AN46" s="109" t="str" cm="1">
        <f t="array" ref="AN46">IFERROR(
    _xlfn.LET(
        _xlpm.result, INDEX(_xlfn._xlws.FILTER(ST[6wk avg], (ST[Code]=$C46)*(ST[Customer Name]=AF$3), ""), 1),
        IF(_xlpm.result=0, "", _xlpm.result)
    ),
"")</f>
        <v/>
      </c>
      <c r="AO46" s="102" t="str">
        <f t="shared" si="84"/>
        <v/>
      </c>
      <c r="AP46" s="70" t="str">
        <f t="shared" si="85"/>
        <v/>
      </c>
      <c r="AQ46" s="83" t="str">
        <f t="shared" si="86"/>
        <v/>
      </c>
      <c r="AR46" s="77"/>
      <c r="AS46" s="108" t="str" cm="1">
        <f t="array" ref="AS46">IFERROR(_xlfn._xlws.FILTER(ST[Customer Code],(ST[Code]=$C46) * (ST[Customer Name]=AS$3),"" ),"")</f>
        <v/>
      </c>
      <c r="AT46" s="68" t="str" cm="1">
        <f t="array" ref="AT46">IFERROR(_xlfn.XLOOKUP($C46,Query[Code], _xlfn.XLOOKUP('Promo Form'!AS$3,Query[[#Headers],[Code]:[Bing Lee]],Query[[Code]:[Bing Lee]])),"")</f>
        <v/>
      </c>
      <c r="AU46" s="16" t="str">
        <f t="shared" si="87"/>
        <v/>
      </c>
      <c r="AV46" s="16" t="str">
        <f t="shared" si="88"/>
        <v/>
      </c>
      <c r="AW46" s="17" t="str">
        <f t="shared" si="89"/>
        <v/>
      </c>
      <c r="AX46" s="18" t="str">
        <f t="shared" si="90"/>
        <v/>
      </c>
      <c r="AY46" s="18" t="str">
        <f t="shared" si="91"/>
        <v/>
      </c>
      <c r="AZ46" s="109" t="str" cm="1">
        <f t="array" ref="AZ46">IFERROR(_xlfn._xlws.FILTER(ST[SOH],(ST[Code]=$C46) * (ST[Customer Name]=AS$3),"" ),"")</f>
        <v/>
      </c>
      <c r="BA46" s="109" t="str" cm="1">
        <f t="array" ref="BA46">IFERROR(
    _xlfn.LET(
        _xlpm.result, INDEX(_xlfn._xlws.FILTER(ST[6wk avg], (ST[Code]=$C46)*(ST[Customer Name]=AS$3), ""), 1),
        IF(_xlpm.result=0, "", _xlpm.result)
    ),
"")</f>
        <v/>
      </c>
      <c r="BB46" s="102" t="str">
        <f t="shared" si="92"/>
        <v/>
      </c>
      <c r="BC46" s="70" t="str">
        <f t="shared" si="93"/>
        <v/>
      </c>
      <c r="BD46" s="83" t="str">
        <f t="shared" si="94"/>
        <v/>
      </c>
      <c r="BE46" s="77"/>
      <c r="BF46" s="108" t="str" cm="1">
        <f t="array" ref="BF46">IFERROR(_xlfn._xlws.FILTER(ST[Customer Code],(ST[Code]=$C46) * (ST[Customer Name]=BF$3),"" ),"")</f>
        <v/>
      </c>
      <c r="BG46" s="68" t="str" cm="1">
        <f t="array" ref="BG46">IFERROR(_xlfn.XLOOKUP($C46,Query[Code], _xlfn.XLOOKUP('Promo Form'!BF$3,Query[[#Headers],[Code]:[Bing Lee]],Query[[Code]:[Bing Lee]])),"")</f>
        <v/>
      </c>
      <c r="BH46" s="16" t="str">
        <f t="shared" si="95"/>
        <v/>
      </c>
      <c r="BI46" s="16" t="str">
        <f t="shared" si="96"/>
        <v/>
      </c>
      <c r="BJ46" s="17" t="str">
        <f t="shared" si="97"/>
        <v/>
      </c>
      <c r="BK46" s="18" t="str">
        <f t="shared" si="98"/>
        <v/>
      </c>
      <c r="BL46" s="18" t="str">
        <f t="shared" si="99"/>
        <v/>
      </c>
      <c r="BM46" s="109" t="str" cm="1">
        <f t="array" ref="BM46">IFERROR(_xlfn._xlws.FILTER(ST[SOH],(ST[Code]=$C46) * (ST[Customer Name]=BF$3),"" ),"")</f>
        <v/>
      </c>
      <c r="BN46" s="109" t="str" cm="1">
        <f t="array" ref="BN46">IFERROR(
    _xlfn.LET(
        _xlpm.result, INDEX(_xlfn._xlws.FILTER(ST[6wk avg], (ST[Code]=$C46)*(ST[Customer Name]=BF$3), ""), 1),
        IF(_xlpm.result=0, "", _xlpm.result)
    ),
"")</f>
        <v/>
      </c>
      <c r="BO46" s="102" t="str">
        <f t="shared" si="100"/>
        <v/>
      </c>
      <c r="BP46" s="70" t="str">
        <f t="shared" si="101"/>
        <v/>
      </c>
      <c r="BQ46" s="83" t="str">
        <f t="shared" si="102"/>
        <v/>
      </c>
      <c r="BR46" s="77"/>
      <c r="BS46" s="108" t="str" cm="1">
        <f t="array" ref="BS46">IFERROR(_xlfn._xlws.FILTER(ST[Customer Code],(ST[Code]=$C46) * (ST[Customer Name]=BS$3),"" ),"")</f>
        <v/>
      </c>
      <c r="BT46" s="68" t="str" cm="1">
        <f t="array" ref="BT46">IFERROR(_xlfn.XLOOKUP($C46,Query[Code], _xlfn.XLOOKUP('Promo Form'!BS$3,Query[[#Headers],[Code]:[Bing Lee]],Query[[Code]:[Bing Lee]])),"")</f>
        <v/>
      </c>
      <c r="BU46" s="16" t="str">
        <f t="shared" si="103"/>
        <v/>
      </c>
      <c r="BV46" s="16" t="str">
        <f t="shared" si="104"/>
        <v/>
      </c>
      <c r="BW46" s="17" t="str">
        <f t="shared" si="105"/>
        <v/>
      </c>
      <c r="BX46" s="18" t="str">
        <f t="shared" si="106"/>
        <v/>
      </c>
      <c r="BY46" s="18" t="str">
        <f t="shared" si="107"/>
        <v/>
      </c>
      <c r="BZ46" s="109" t="str" cm="1">
        <f t="array" ref="BZ46">IFERROR(_xlfn._xlws.FILTER(ST[SOH],(ST[Code]=$C46) * (ST[Customer Name]=BS$3),"" ),"")</f>
        <v/>
      </c>
      <c r="CA46" s="109" t="str" cm="1">
        <f t="array" ref="CA46">IFERROR(
    _xlfn.LET(
        _xlpm.result, INDEX(_xlfn._xlws.FILTER(ST[6wk avg], (ST[Code]=$C46)*(ST[Customer Name]=BS$3), ""), 1),
        IF(_xlpm.result=0, "", _xlpm.result)
    ),
"")</f>
        <v/>
      </c>
      <c r="CB46" s="102" t="str">
        <f t="shared" si="108"/>
        <v/>
      </c>
      <c r="CC46" s="70" t="str">
        <f t="shared" si="109"/>
        <v/>
      </c>
      <c r="CD46" s="83" t="str">
        <f t="shared" si="110"/>
        <v/>
      </c>
      <c r="CE46" s="77"/>
      <c r="CF46" s="108" t="str" cm="1">
        <f t="array" ref="CF46">IFERROR(_xlfn._xlws.FILTER(ST[Customer Code],(ST[Code]=$C46) * (ST[Customer Name]=CF$3),"" ),"")</f>
        <v/>
      </c>
      <c r="CG46" s="68" t="str" cm="1">
        <f t="array" ref="CG46">IFERROR(_xlfn.XLOOKUP($C46,Query[Code], _xlfn.XLOOKUP('Promo Form'!CF$3,Query[[#Headers],[Code]:[Bing Lee]],Query[[Code]:[Bing Lee]])),"")</f>
        <v/>
      </c>
      <c r="CH46" s="16" t="str">
        <f t="shared" si="111"/>
        <v/>
      </c>
      <c r="CI46" s="16" t="str">
        <f t="shared" si="112"/>
        <v/>
      </c>
      <c r="CJ46" s="17" t="str">
        <f t="shared" si="113"/>
        <v/>
      </c>
      <c r="CK46" s="18" t="str">
        <f t="shared" si="114"/>
        <v/>
      </c>
      <c r="CL46" s="18" t="str">
        <f t="shared" si="115"/>
        <v/>
      </c>
      <c r="CM46" s="109" t="str" cm="1">
        <f t="array" ref="CM46">IFERROR(_xlfn._xlws.FILTER(ST[SOH],(ST[Code]=$C46) * (ST[Customer Name]=CF$3),"" ),"")</f>
        <v/>
      </c>
      <c r="CN46" s="109" t="str" cm="1">
        <f t="array" ref="CN46">IFERROR(
    _xlfn.LET(
        _xlpm.result, INDEX(_xlfn._xlws.FILTER(ST[6wk avg], (ST[Code]=$C46)*(ST[Customer Name]=CF$3), ""), 1),
        IF(_xlpm.result=0, "", _xlpm.result)
    ),
"")</f>
        <v/>
      </c>
      <c r="CO46" s="102" t="str">
        <f t="shared" si="116"/>
        <v/>
      </c>
      <c r="CP46" s="70" t="str">
        <f t="shared" si="117"/>
        <v/>
      </c>
      <c r="CQ46" s="83" t="str">
        <f t="shared" si="118"/>
        <v/>
      </c>
      <c r="CR46" s="77"/>
      <c r="CS46" s="17" t="str">
        <f>IFERROR(_xlfn.XLOOKUP(C46,Query[Code],Query[Base (RRP Inc)]),"")</f>
        <v/>
      </c>
      <c r="CT46" s="17" t="str">
        <f t="shared" si="119"/>
        <v/>
      </c>
      <c r="CU46" s="107" t="str">
        <f t="shared" si="120"/>
        <v/>
      </c>
      <c r="CV46" s="17" t="str">
        <f t="shared" si="121"/>
        <v/>
      </c>
      <c r="CW46" s="17"/>
    </row>
    <row r="47" spans="1:101" x14ac:dyDescent="0.2">
      <c r="A47" s="106" t="str">
        <f t="shared" si="61"/>
        <v/>
      </c>
      <c r="B47" s="106" t="str">
        <f t="shared" si="62"/>
        <v/>
      </c>
      <c r="C47" s="13"/>
      <c r="D47" s="14" t="str">
        <f>IF(C47="", "",_xlfn.XLOOKUP(C47,'Master Price Level'!C:C,'Master Price Level'!D:D))</f>
        <v/>
      </c>
      <c r="E47" s="15"/>
      <c r="F47" s="108" t="str" cm="1">
        <f t="array" ref="F47">IFERROR(_xlfn._xlws.FILTER(ST[Customer Code],(ST[Code]=$C47) * (ST[Customer Name]=F$3),"" ),"")</f>
        <v/>
      </c>
      <c r="G47" s="68" t="str" cm="1">
        <f t="array" ref="G47">IFERROR(_xlfn.XLOOKUP($C47,Query[Code], _xlfn.XLOOKUP('Promo Form'!F$3,Query[[#Headers],[Code]:[Bing Lee]],Query[[Code]:[Bing Lee]])),"")</f>
        <v/>
      </c>
      <c r="H47" s="16" t="str">
        <f t="shared" si="63"/>
        <v/>
      </c>
      <c r="I47" s="16" t="str">
        <f t="shared" si="64"/>
        <v/>
      </c>
      <c r="J47" s="17" t="str">
        <f t="shared" si="65"/>
        <v/>
      </c>
      <c r="K47" s="18" t="str">
        <f t="shared" si="66"/>
        <v/>
      </c>
      <c r="L47" s="18" t="str">
        <f t="shared" si="67"/>
        <v/>
      </c>
      <c r="M47" s="109" t="str" cm="1">
        <f t="array" ref="M47">IFERROR(_xlfn._xlws.FILTER(ST[SOH],(ST[Code]=$C47) * (ST[Customer Name]=F$3),"" ),"")</f>
        <v/>
      </c>
      <c r="N47" s="109" t="str" cm="1">
        <f t="array" ref="N47">IFERROR(
    _xlfn.LET(
        _xlpm.result, INDEX(_xlfn._xlws.FILTER(ST[6wk avg], (ST[Code]=$C47)*(ST[Customer Name]=F$3), ""), 1),
        IF(_xlpm.result=0, "", _xlpm.result)
    ),
"")</f>
        <v/>
      </c>
      <c r="O47" s="102" t="str">
        <f t="shared" si="68"/>
        <v/>
      </c>
      <c r="P47" s="70" t="str">
        <f t="shared" si="69"/>
        <v/>
      </c>
      <c r="Q47" s="83" t="str">
        <f t="shared" si="70"/>
        <v/>
      </c>
      <c r="R47" s="77"/>
      <c r="S47" s="108" t="str" cm="1">
        <f t="array" ref="S47">IFERROR(_xlfn._xlws.FILTER(ST[Customer Code],(ST[Code]=$C47) * (ST[Customer Name]=S$3),"" ),"")</f>
        <v/>
      </c>
      <c r="T47" s="68" t="str" cm="1">
        <f t="array" ref="T47">IFERROR(_xlfn.XLOOKUP($C47,Query[Code], _xlfn.XLOOKUP('Promo Form'!S$3,Query[[#Headers],[Code]:[Bing Lee]],Query[[Code]:[Bing Lee]])),"")</f>
        <v/>
      </c>
      <c r="U47" s="16" t="str">
        <f t="shared" si="71"/>
        <v/>
      </c>
      <c r="V47" s="16" t="str">
        <f t="shared" si="72"/>
        <v/>
      </c>
      <c r="W47" s="17" t="str">
        <f t="shared" si="73"/>
        <v/>
      </c>
      <c r="X47" s="18" t="str">
        <f t="shared" si="74"/>
        <v/>
      </c>
      <c r="Y47" s="18" t="str">
        <f t="shared" si="75"/>
        <v/>
      </c>
      <c r="Z47" s="109" t="str" cm="1">
        <f t="array" ref="Z47">IFERROR(_xlfn._xlws.FILTER(ST[SOH],(ST[Code]=$C47) * (ST[Customer Name]=S$3),"" ),"")</f>
        <v/>
      </c>
      <c r="AA47" s="109" t="str" cm="1">
        <f t="array" ref="AA47">IFERROR(
    _xlfn.LET(
        _xlpm.result, INDEX(_xlfn._xlws.FILTER(ST[6wk avg], (ST[Code]=$C47)*(ST[Customer Name]=S$3), ""), 1),
        IF(_xlpm.result=0, "", _xlpm.result)
    ),
"")</f>
        <v/>
      </c>
      <c r="AB47" s="102" t="str">
        <f t="shared" si="76"/>
        <v/>
      </c>
      <c r="AC47" s="70" t="str">
        <f t="shared" si="77"/>
        <v/>
      </c>
      <c r="AD47" s="83" t="str">
        <f t="shared" si="78"/>
        <v/>
      </c>
      <c r="AE47" s="77"/>
      <c r="AF47" s="108" t="str" cm="1">
        <f t="array" ref="AF47">IFERROR(_xlfn._xlws.FILTER(ST[Customer Code],(ST[Code]=$C47) * (ST[Customer Name]=AF$3),"" ),"")</f>
        <v/>
      </c>
      <c r="AG47" s="68" t="str" cm="1">
        <f t="array" ref="AG47">IFERROR(_xlfn.XLOOKUP($C47,Query[Code], _xlfn.XLOOKUP('Promo Form'!AF$3,Query[[#Headers],[Code]:[Bing Lee]],Query[[Code]:[Bing Lee]])),"")</f>
        <v/>
      </c>
      <c r="AH47" s="16" t="str">
        <f t="shared" si="79"/>
        <v/>
      </c>
      <c r="AI47" s="16" t="str">
        <f t="shared" si="80"/>
        <v/>
      </c>
      <c r="AJ47" s="17" t="str">
        <f t="shared" si="81"/>
        <v/>
      </c>
      <c r="AK47" s="18" t="str">
        <f t="shared" si="82"/>
        <v/>
      </c>
      <c r="AL47" s="18" t="str">
        <f t="shared" si="83"/>
        <v/>
      </c>
      <c r="AM47" s="109" t="str" cm="1">
        <f t="array" ref="AM47">IFERROR(_xlfn._xlws.FILTER(ST[SOH],(ST[Code]=$C47) * (ST[Customer Name]=AF$3),"" ),"")</f>
        <v/>
      </c>
      <c r="AN47" s="109" t="str" cm="1">
        <f t="array" ref="AN47">IFERROR(
    _xlfn.LET(
        _xlpm.result, INDEX(_xlfn._xlws.FILTER(ST[6wk avg], (ST[Code]=$C47)*(ST[Customer Name]=AF$3), ""), 1),
        IF(_xlpm.result=0, "", _xlpm.result)
    ),
"")</f>
        <v/>
      </c>
      <c r="AO47" s="102" t="str">
        <f t="shared" si="84"/>
        <v/>
      </c>
      <c r="AP47" s="70" t="str">
        <f t="shared" si="85"/>
        <v/>
      </c>
      <c r="AQ47" s="83" t="str">
        <f t="shared" si="86"/>
        <v/>
      </c>
      <c r="AR47" s="77"/>
      <c r="AS47" s="108" t="str" cm="1">
        <f t="array" ref="AS47">IFERROR(_xlfn._xlws.FILTER(ST[Customer Code],(ST[Code]=$C47) * (ST[Customer Name]=AS$3),"" ),"")</f>
        <v/>
      </c>
      <c r="AT47" s="68" t="str" cm="1">
        <f t="array" ref="AT47">IFERROR(_xlfn.XLOOKUP($C47,Query[Code], _xlfn.XLOOKUP('Promo Form'!AS$3,Query[[#Headers],[Code]:[Bing Lee]],Query[[Code]:[Bing Lee]])),"")</f>
        <v/>
      </c>
      <c r="AU47" s="16" t="str">
        <f t="shared" si="87"/>
        <v/>
      </c>
      <c r="AV47" s="16" t="str">
        <f t="shared" si="88"/>
        <v/>
      </c>
      <c r="AW47" s="17" t="str">
        <f t="shared" si="89"/>
        <v/>
      </c>
      <c r="AX47" s="18" t="str">
        <f t="shared" si="90"/>
        <v/>
      </c>
      <c r="AY47" s="18" t="str">
        <f t="shared" si="91"/>
        <v/>
      </c>
      <c r="AZ47" s="109" t="str" cm="1">
        <f t="array" ref="AZ47">IFERROR(_xlfn._xlws.FILTER(ST[SOH],(ST[Code]=$C47) * (ST[Customer Name]=AS$3),"" ),"")</f>
        <v/>
      </c>
      <c r="BA47" s="109" t="str" cm="1">
        <f t="array" ref="BA47">IFERROR(
    _xlfn.LET(
        _xlpm.result, INDEX(_xlfn._xlws.FILTER(ST[6wk avg], (ST[Code]=$C47)*(ST[Customer Name]=AS$3), ""), 1),
        IF(_xlpm.result=0, "", _xlpm.result)
    ),
"")</f>
        <v/>
      </c>
      <c r="BB47" s="102" t="str">
        <f t="shared" si="92"/>
        <v/>
      </c>
      <c r="BC47" s="70" t="str">
        <f t="shared" si="93"/>
        <v/>
      </c>
      <c r="BD47" s="83" t="str">
        <f t="shared" si="94"/>
        <v/>
      </c>
      <c r="BE47" s="77"/>
      <c r="BF47" s="108" t="str" cm="1">
        <f t="array" ref="BF47">IFERROR(_xlfn._xlws.FILTER(ST[Customer Code],(ST[Code]=$C47) * (ST[Customer Name]=BF$3),"" ),"")</f>
        <v/>
      </c>
      <c r="BG47" s="68" t="str" cm="1">
        <f t="array" ref="BG47">IFERROR(_xlfn.XLOOKUP($C47,Query[Code], _xlfn.XLOOKUP('Promo Form'!BF$3,Query[[#Headers],[Code]:[Bing Lee]],Query[[Code]:[Bing Lee]])),"")</f>
        <v/>
      </c>
      <c r="BH47" s="16" t="str">
        <f t="shared" si="95"/>
        <v/>
      </c>
      <c r="BI47" s="16" t="str">
        <f t="shared" si="96"/>
        <v/>
      </c>
      <c r="BJ47" s="17" t="str">
        <f t="shared" si="97"/>
        <v/>
      </c>
      <c r="BK47" s="18" t="str">
        <f t="shared" si="98"/>
        <v/>
      </c>
      <c r="BL47" s="18" t="str">
        <f t="shared" si="99"/>
        <v/>
      </c>
      <c r="BM47" s="109" t="str" cm="1">
        <f t="array" ref="BM47">IFERROR(_xlfn._xlws.FILTER(ST[SOH],(ST[Code]=$C47) * (ST[Customer Name]=BF$3),"" ),"")</f>
        <v/>
      </c>
      <c r="BN47" s="109" t="str" cm="1">
        <f t="array" ref="BN47">IFERROR(
    _xlfn.LET(
        _xlpm.result, INDEX(_xlfn._xlws.FILTER(ST[6wk avg], (ST[Code]=$C47)*(ST[Customer Name]=BF$3), ""), 1),
        IF(_xlpm.result=0, "", _xlpm.result)
    ),
"")</f>
        <v/>
      </c>
      <c r="BO47" s="102" t="str">
        <f t="shared" si="100"/>
        <v/>
      </c>
      <c r="BP47" s="70" t="str">
        <f t="shared" si="101"/>
        <v/>
      </c>
      <c r="BQ47" s="83" t="str">
        <f t="shared" si="102"/>
        <v/>
      </c>
      <c r="BR47" s="77"/>
      <c r="BS47" s="108" t="str" cm="1">
        <f t="array" ref="BS47">IFERROR(_xlfn._xlws.FILTER(ST[Customer Code],(ST[Code]=$C47) * (ST[Customer Name]=BS$3),"" ),"")</f>
        <v/>
      </c>
      <c r="BT47" s="68" t="str" cm="1">
        <f t="array" ref="BT47">IFERROR(_xlfn.XLOOKUP($C47,Query[Code], _xlfn.XLOOKUP('Promo Form'!BS$3,Query[[#Headers],[Code]:[Bing Lee]],Query[[Code]:[Bing Lee]])),"")</f>
        <v/>
      </c>
      <c r="BU47" s="16" t="str">
        <f t="shared" si="103"/>
        <v/>
      </c>
      <c r="BV47" s="16" t="str">
        <f t="shared" si="104"/>
        <v/>
      </c>
      <c r="BW47" s="17" t="str">
        <f t="shared" si="105"/>
        <v/>
      </c>
      <c r="BX47" s="18" t="str">
        <f t="shared" si="106"/>
        <v/>
      </c>
      <c r="BY47" s="18" t="str">
        <f t="shared" si="107"/>
        <v/>
      </c>
      <c r="BZ47" s="109" t="str" cm="1">
        <f t="array" ref="BZ47">IFERROR(_xlfn._xlws.FILTER(ST[SOH],(ST[Code]=$C47) * (ST[Customer Name]=BS$3),"" ),"")</f>
        <v/>
      </c>
      <c r="CA47" s="109" t="str" cm="1">
        <f t="array" ref="CA47">IFERROR(
    _xlfn.LET(
        _xlpm.result, INDEX(_xlfn._xlws.FILTER(ST[6wk avg], (ST[Code]=$C47)*(ST[Customer Name]=BS$3), ""), 1),
        IF(_xlpm.result=0, "", _xlpm.result)
    ),
"")</f>
        <v/>
      </c>
      <c r="CB47" s="102" t="str">
        <f t="shared" si="108"/>
        <v/>
      </c>
      <c r="CC47" s="70" t="str">
        <f t="shared" si="109"/>
        <v/>
      </c>
      <c r="CD47" s="83" t="str">
        <f t="shared" si="110"/>
        <v/>
      </c>
      <c r="CE47" s="77"/>
      <c r="CF47" s="108" t="str" cm="1">
        <f t="array" ref="CF47">IFERROR(_xlfn._xlws.FILTER(ST[Customer Code],(ST[Code]=$C47) * (ST[Customer Name]=CF$3),"" ),"")</f>
        <v/>
      </c>
      <c r="CG47" s="68" t="str" cm="1">
        <f t="array" ref="CG47">IFERROR(_xlfn.XLOOKUP($C47,Query[Code], _xlfn.XLOOKUP('Promo Form'!CF$3,Query[[#Headers],[Code]:[Bing Lee]],Query[[Code]:[Bing Lee]])),"")</f>
        <v/>
      </c>
      <c r="CH47" s="16" t="str">
        <f t="shared" si="111"/>
        <v/>
      </c>
      <c r="CI47" s="16" t="str">
        <f t="shared" si="112"/>
        <v/>
      </c>
      <c r="CJ47" s="17" t="str">
        <f t="shared" si="113"/>
        <v/>
      </c>
      <c r="CK47" s="18" t="str">
        <f t="shared" si="114"/>
        <v/>
      </c>
      <c r="CL47" s="18" t="str">
        <f t="shared" si="115"/>
        <v/>
      </c>
      <c r="CM47" s="109" t="str" cm="1">
        <f t="array" ref="CM47">IFERROR(_xlfn._xlws.FILTER(ST[SOH],(ST[Code]=$C47) * (ST[Customer Name]=CF$3),"" ),"")</f>
        <v/>
      </c>
      <c r="CN47" s="109" t="str" cm="1">
        <f t="array" ref="CN47">IFERROR(
    _xlfn.LET(
        _xlpm.result, INDEX(_xlfn._xlws.FILTER(ST[6wk avg], (ST[Code]=$C47)*(ST[Customer Name]=CF$3), ""), 1),
        IF(_xlpm.result=0, "", _xlpm.result)
    ),
"")</f>
        <v/>
      </c>
      <c r="CO47" s="102" t="str">
        <f t="shared" si="116"/>
        <v/>
      </c>
      <c r="CP47" s="70" t="str">
        <f t="shared" si="117"/>
        <v/>
      </c>
      <c r="CQ47" s="83" t="str">
        <f t="shared" si="118"/>
        <v/>
      </c>
      <c r="CR47" s="77"/>
      <c r="CS47" s="17" t="str">
        <f>IFERROR(_xlfn.XLOOKUP(C47,Query[Code],Query[Base (RRP Inc)]),"")</f>
        <v/>
      </c>
      <c r="CT47" s="17" t="str">
        <f t="shared" si="119"/>
        <v/>
      </c>
      <c r="CU47" s="107" t="str">
        <f t="shared" si="120"/>
        <v/>
      </c>
      <c r="CV47" s="17" t="str">
        <f t="shared" si="121"/>
        <v/>
      </c>
      <c r="CW47" s="17"/>
    </row>
    <row r="48" spans="1:101" x14ac:dyDescent="0.2">
      <c r="A48" s="106" t="str">
        <f t="shared" si="61"/>
        <v/>
      </c>
      <c r="B48" s="106" t="str">
        <f t="shared" si="62"/>
        <v/>
      </c>
      <c r="C48" s="13"/>
      <c r="D48" s="14" t="str">
        <f>IF(C48="", "",_xlfn.XLOOKUP(C48,'Master Price Level'!C:C,'Master Price Level'!D:D))</f>
        <v/>
      </c>
      <c r="E48" s="15"/>
      <c r="F48" s="108" t="str" cm="1">
        <f t="array" ref="F48">IFERROR(_xlfn._xlws.FILTER(ST[Customer Code],(ST[Code]=$C48) * (ST[Customer Name]=F$3),"" ),"")</f>
        <v/>
      </c>
      <c r="G48" s="68" t="str" cm="1">
        <f t="array" ref="G48">IFERROR(_xlfn.XLOOKUP($C48,Query[Code], _xlfn.XLOOKUP('Promo Form'!F$3,Query[[#Headers],[Code]:[Bing Lee]],Query[[Code]:[Bing Lee]])),"")</f>
        <v/>
      </c>
      <c r="H48" s="16" t="str">
        <f t="shared" si="63"/>
        <v/>
      </c>
      <c r="I48" s="16" t="str">
        <f t="shared" si="64"/>
        <v/>
      </c>
      <c r="J48" s="17" t="str">
        <f t="shared" si="65"/>
        <v/>
      </c>
      <c r="K48" s="18" t="str">
        <f t="shared" si="66"/>
        <v/>
      </c>
      <c r="L48" s="18" t="str">
        <f t="shared" si="67"/>
        <v/>
      </c>
      <c r="M48" s="109" t="str" cm="1">
        <f t="array" ref="M48">IFERROR(_xlfn._xlws.FILTER(ST[SOH],(ST[Code]=$C48) * (ST[Customer Name]=F$3),"" ),"")</f>
        <v/>
      </c>
      <c r="N48" s="109" t="str" cm="1">
        <f t="array" ref="N48">IFERROR(
    _xlfn.LET(
        _xlpm.result, INDEX(_xlfn._xlws.FILTER(ST[6wk avg], (ST[Code]=$C48)*(ST[Customer Name]=F$3), ""), 1),
        IF(_xlpm.result=0, "", _xlpm.result)
    ),
"")</f>
        <v/>
      </c>
      <c r="O48" s="102" t="str">
        <f t="shared" si="68"/>
        <v/>
      </c>
      <c r="P48" s="70" t="str">
        <f t="shared" si="69"/>
        <v/>
      </c>
      <c r="Q48" s="83" t="str">
        <f t="shared" si="70"/>
        <v/>
      </c>
      <c r="R48" s="77"/>
      <c r="S48" s="108" t="str" cm="1">
        <f t="array" ref="S48">IFERROR(_xlfn._xlws.FILTER(ST[Customer Code],(ST[Code]=$C48) * (ST[Customer Name]=S$3),"" ),"")</f>
        <v/>
      </c>
      <c r="T48" s="68" t="str" cm="1">
        <f t="array" ref="T48">IFERROR(_xlfn.XLOOKUP($C48,Query[Code], _xlfn.XLOOKUP('Promo Form'!S$3,Query[[#Headers],[Code]:[Bing Lee]],Query[[Code]:[Bing Lee]])),"")</f>
        <v/>
      </c>
      <c r="U48" s="16" t="str">
        <f t="shared" si="71"/>
        <v/>
      </c>
      <c r="V48" s="16" t="str">
        <f t="shared" si="72"/>
        <v/>
      </c>
      <c r="W48" s="17" t="str">
        <f t="shared" si="73"/>
        <v/>
      </c>
      <c r="X48" s="18" t="str">
        <f t="shared" si="74"/>
        <v/>
      </c>
      <c r="Y48" s="18" t="str">
        <f t="shared" si="75"/>
        <v/>
      </c>
      <c r="Z48" s="109" t="str" cm="1">
        <f t="array" ref="Z48">IFERROR(_xlfn._xlws.FILTER(ST[SOH],(ST[Code]=$C48) * (ST[Customer Name]=S$3),"" ),"")</f>
        <v/>
      </c>
      <c r="AA48" s="109" t="str" cm="1">
        <f t="array" ref="AA48">IFERROR(
    _xlfn.LET(
        _xlpm.result, INDEX(_xlfn._xlws.FILTER(ST[6wk avg], (ST[Code]=$C48)*(ST[Customer Name]=S$3), ""), 1),
        IF(_xlpm.result=0, "", _xlpm.result)
    ),
"")</f>
        <v/>
      </c>
      <c r="AB48" s="102" t="str">
        <f t="shared" si="76"/>
        <v/>
      </c>
      <c r="AC48" s="70" t="str">
        <f t="shared" si="77"/>
        <v/>
      </c>
      <c r="AD48" s="83" t="str">
        <f t="shared" si="78"/>
        <v/>
      </c>
      <c r="AE48" s="77"/>
      <c r="AF48" s="108" t="str" cm="1">
        <f t="array" ref="AF48">IFERROR(_xlfn._xlws.FILTER(ST[Customer Code],(ST[Code]=$C48) * (ST[Customer Name]=AF$3),"" ),"")</f>
        <v/>
      </c>
      <c r="AG48" s="68" t="str" cm="1">
        <f t="array" ref="AG48">IFERROR(_xlfn.XLOOKUP($C48,Query[Code], _xlfn.XLOOKUP('Promo Form'!AF$3,Query[[#Headers],[Code]:[Bing Lee]],Query[[Code]:[Bing Lee]])),"")</f>
        <v/>
      </c>
      <c r="AH48" s="16" t="str">
        <f t="shared" si="79"/>
        <v/>
      </c>
      <c r="AI48" s="16" t="str">
        <f t="shared" si="80"/>
        <v/>
      </c>
      <c r="AJ48" s="17" t="str">
        <f t="shared" si="81"/>
        <v/>
      </c>
      <c r="AK48" s="18" t="str">
        <f t="shared" si="82"/>
        <v/>
      </c>
      <c r="AL48" s="18" t="str">
        <f t="shared" si="83"/>
        <v/>
      </c>
      <c r="AM48" s="109" t="str" cm="1">
        <f t="array" ref="AM48">IFERROR(_xlfn._xlws.FILTER(ST[SOH],(ST[Code]=$C48) * (ST[Customer Name]=AF$3),"" ),"")</f>
        <v/>
      </c>
      <c r="AN48" s="109" t="str" cm="1">
        <f t="array" ref="AN48">IFERROR(
    _xlfn.LET(
        _xlpm.result, INDEX(_xlfn._xlws.FILTER(ST[6wk avg], (ST[Code]=$C48)*(ST[Customer Name]=AF$3), ""), 1),
        IF(_xlpm.result=0, "", _xlpm.result)
    ),
"")</f>
        <v/>
      </c>
      <c r="AO48" s="102" t="str">
        <f t="shared" si="84"/>
        <v/>
      </c>
      <c r="AP48" s="70" t="str">
        <f t="shared" si="85"/>
        <v/>
      </c>
      <c r="AQ48" s="83" t="str">
        <f t="shared" si="86"/>
        <v/>
      </c>
      <c r="AR48" s="77"/>
      <c r="AS48" s="108" t="str" cm="1">
        <f t="array" ref="AS48">IFERROR(_xlfn._xlws.FILTER(ST[Customer Code],(ST[Code]=$C48) * (ST[Customer Name]=AS$3),"" ),"")</f>
        <v/>
      </c>
      <c r="AT48" s="68" t="str" cm="1">
        <f t="array" ref="AT48">IFERROR(_xlfn.XLOOKUP($C48,Query[Code], _xlfn.XLOOKUP('Promo Form'!AS$3,Query[[#Headers],[Code]:[Bing Lee]],Query[[Code]:[Bing Lee]])),"")</f>
        <v/>
      </c>
      <c r="AU48" s="16" t="str">
        <f t="shared" si="87"/>
        <v/>
      </c>
      <c r="AV48" s="16" t="str">
        <f t="shared" si="88"/>
        <v/>
      </c>
      <c r="AW48" s="17" t="str">
        <f t="shared" si="89"/>
        <v/>
      </c>
      <c r="AX48" s="18" t="str">
        <f t="shared" si="90"/>
        <v/>
      </c>
      <c r="AY48" s="18" t="str">
        <f t="shared" si="91"/>
        <v/>
      </c>
      <c r="AZ48" s="109" t="str" cm="1">
        <f t="array" ref="AZ48">IFERROR(_xlfn._xlws.FILTER(ST[SOH],(ST[Code]=$C48) * (ST[Customer Name]=AS$3),"" ),"")</f>
        <v/>
      </c>
      <c r="BA48" s="109" t="str" cm="1">
        <f t="array" ref="BA48">IFERROR(
    _xlfn.LET(
        _xlpm.result, INDEX(_xlfn._xlws.FILTER(ST[6wk avg], (ST[Code]=$C48)*(ST[Customer Name]=AS$3), ""), 1),
        IF(_xlpm.result=0, "", _xlpm.result)
    ),
"")</f>
        <v/>
      </c>
      <c r="BB48" s="102" t="str">
        <f t="shared" si="92"/>
        <v/>
      </c>
      <c r="BC48" s="70" t="str">
        <f t="shared" si="93"/>
        <v/>
      </c>
      <c r="BD48" s="83" t="str">
        <f t="shared" si="94"/>
        <v/>
      </c>
      <c r="BE48" s="77"/>
      <c r="BF48" s="108" t="str" cm="1">
        <f t="array" ref="BF48">IFERROR(_xlfn._xlws.FILTER(ST[Customer Code],(ST[Code]=$C48) * (ST[Customer Name]=BF$3),"" ),"")</f>
        <v/>
      </c>
      <c r="BG48" s="68" t="str" cm="1">
        <f t="array" ref="BG48">IFERROR(_xlfn.XLOOKUP($C48,Query[Code], _xlfn.XLOOKUP('Promo Form'!BF$3,Query[[#Headers],[Code]:[Bing Lee]],Query[[Code]:[Bing Lee]])),"")</f>
        <v/>
      </c>
      <c r="BH48" s="16" t="str">
        <f t="shared" si="95"/>
        <v/>
      </c>
      <c r="BI48" s="16" t="str">
        <f t="shared" si="96"/>
        <v/>
      </c>
      <c r="BJ48" s="17" t="str">
        <f t="shared" si="97"/>
        <v/>
      </c>
      <c r="BK48" s="18" t="str">
        <f t="shared" si="98"/>
        <v/>
      </c>
      <c r="BL48" s="18" t="str">
        <f t="shared" si="99"/>
        <v/>
      </c>
      <c r="BM48" s="109" t="str" cm="1">
        <f t="array" ref="BM48">IFERROR(_xlfn._xlws.FILTER(ST[SOH],(ST[Code]=$C48) * (ST[Customer Name]=BF$3),"" ),"")</f>
        <v/>
      </c>
      <c r="BN48" s="109" t="str" cm="1">
        <f t="array" ref="BN48">IFERROR(
    _xlfn.LET(
        _xlpm.result, INDEX(_xlfn._xlws.FILTER(ST[6wk avg], (ST[Code]=$C48)*(ST[Customer Name]=BF$3), ""), 1),
        IF(_xlpm.result=0, "", _xlpm.result)
    ),
"")</f>
        <v/>
      </c>
      <c r="BO48" s="102" t="str">
        <f t="shared" si="100"/>
        <v/>
      </c>
      <c r="BP48" s="70" t="str">
        <f t="shared" si="101"/>
        <v/>
      </c>
      <c r="BQ48" s="83" t="str">
        <f t="shared" si="102"/>
        <v/>
      </c>
      <c r="BR48" s="77"/>
      <c r="BS48" s="108" t="str" cm="1">
        <f t="array" ref="BS48">IFERROR(_xlfn._xlws.FILTER(ST[Customer Code],(ST[Code]=$C48) * (ST[Customer Name]=BS$3),"" ),"")</f>
        <v/>
      </c>
      <c r="BT48" s="68" t="str" cm="1">
        <f t="array" ref="BT48">IFERROR(_xlfn.XLOOKUP($C48,Query[Code], _xlfn.XLOOKUP('Promo Form'!BS$3,Query[[#Headers],[Code]:[Bing Lee]],Query[[Code]:[Bing Lee]])),"")</f>
        <v/>
      </c>
      <c r="BU48" s="16" t="str">
        <f t="shared" si="103"/>
        <v/>
      </c>
      <c r="BV48" s="16" t="str">
        <f t="shared" si="104"/>
        <v/>
      </c>
      <c r="BW48" s="17" t="str">
        <f t="shared" si="105"/>
        <v/>
      </c>
      <c r="BX48" s="18" t="str">
        <f t="shared" si="106"/>
        <v/>
      </c>
      <c r="BY48" s="18" t="str">
        <f t="shared" si="107"/>
        <v/>
      </c>
      <c r="BZ48" s="109" t="str" cm="1">
        <f t="array" ref="BZ48">IFERROR(_xlfn._xlws.FILTER(ST[SOH],(ST[Code]=$C48) * (ST[Customer Name]=BS$3),"" ),"")</f>
        <v/>
      </c>
      <c r="CA48" s="109" t="str" cm="1">
        <f t="array" ref="CA48">IFERROR(
    _xlfn.LET(
        _xlpm.result, INDEX(_xlfn._xlws.FILTER(ST[6wk avg], (ST[Code]=$C48)*(ST[Customer Name]=BS$3), ""), 1),
        IF(_xlpm.result=0, "", _xlpm.result)
    ),
"")</f>
        <v/>
      </c>
      <c r="CB48" s="102" t="str">
        <f t="shared" si="108"/>
        <v/>
      </c>
      <c r="CC48" s="70" t="str">
        <f t="shared" si="109"/>
        <v/>
      </c>
      <c r="CD48" s="83" t="str">
        <f t="shared" si="110"/>
        <v/>
      </c>
      <c r="CE48" s="77"/>
      <c r="CF48" s="108" t="str" cm="1">
        <f t="array" ref="CF48">IFERROR(_xlfn._xlws.FILTER(ST[Customer Code],(ST[Code]=$C48) * (ST[Customer Name]=CF$3),"" ),"")</f>
        <v/>
      </c>
      <c r="CG48" s="68" t="str" cm="1">
        <f t="array" ref="CG48">IFERROR(_xlfn.XLOOKUP($C48,Query[Code], _xlfn.XLOOKUP('Promo Form'!CF$3,Query[[#Headers],[Code]:[Bing Lee]],Query[[Code]:[Bing Lee]])),"")</f>
        <v/>
      </c>
      <c r="CH48" s="16" t="str">
        <f t="shared" si="111"/>
        <v/>
      </c>
      <c r="CI48" s="16" t="str">
        <f t="shared" si="112"/>
        <v/>
      </c>
      <c r="CJ48" s="17" t="str">
        <f t="shared" si="113"/>
        <v/>
      </c>
      <c r="CK48" s="18" t="str">
        <f t="shared" si="114"/>
        <v/>
      </c>
      <c r="CL48" s="18" t="str">
        <f t="shared" si="115"/>
        <v/>
      </c>
      <c r="CM48" s="109" t="str" cm="1">
        <f t="array" ref="CM48">IFERROR(_xlfn._xlws.FILTER(ST[SOH],(ST[Code]=$C48) * (ST[Customer Name]=CF$3),"" ),"")</f>
        <v/>
      </c>
      <c r="CN48" s="109" t="str" cm="1">
        <f t="array" ref="CN48">IFERROR(
    _xlfn.LET(
        _xlpm.result, INDEX(_xlfn._xlws.FILTER(ST[6wk avg], (ST[Code]=$C48)*(ST[Customer Name]=CF$3), ""), 1),
        IF(_xlpm.result=0, "", _xlpm.result)
    ),
"")</f>
        <v/>
      </c>
      <c r="CO48" s="102" t="str">
        <f t="shared" si="116"/>
        <v/>
      </c>
      <c r="CP48" s="70" t="str">
        <f t="shared" si="117"/>
        <v/>
      </c>
      <c r="CQ48" s="83" t="str">
        <f t="shared" si="118"/>
        <v/>
      </c>
      <c r="CR48" s="77"/>
      <c r="CS48" s="17" t="str">
        <f>IFERROR(_xlfn.XLOOKUP(C48,Query[Code],Query[Base (RRP Inc)]),"")</f>
        <v/>
      </c>
      <c r="CT48" s="17" t="str">
        <f t="shared" si="119"/>
        <v/>
      </c>
      <c r="CU48" s="107" t="str">
        <f t="shared" si="120"/>
        <v/>
      </c>
      <c r="CV48" s="17" t="str">
        <f t="shared" si="121"/>
        <v/>
      </c>
      <c r="CW48" s="17"/>
    </row>
    <row r="49" spans="1:101" x14ac:dyDescent="0.2">
      <c r="A49" s="106" t="str">
        <f t="shared" si="61"/>
        <v/>
      </c>
      <c r="B49" s="106" t="str">
        <f t="shared" si="62"/>
        <v/>
      </c>
      <c r="C49" s="13"/>
      <c r="D49" s="14" t="str">
        <f>IF(C49="", "",_xlfn.XLOOKUP(C49,'Master Price Level'!C:C,'Master Price Level'!D:D))</f>
        <v/>
      </c>
      <c r="E49" s="15"/>
      <c r="F49" s="108" t="str" cm="1">
        <f t="array" ref="F49">IFERROR(_xlfn._xlws.FILTER(ST[Customer Code],(ST[Code]=$C49) * (ST[Customer Name]=F$3),"" ),"")</f>
        <v/>
      </c>
      <c r="G49" s="68" t="str" cm="1">
        <f t="array" ref="G49">IFERROR(_xlfn.XLOOKUP($C49,Query[Code], _xlfn.XLOOKUP('Promo Form'!F$3,Query[[#Headers],[Code]:[Bing Lee]],Query[[Code]:[Bing Lee]])),"")</f>
        <v/>
      </c>
      <c r="H49" s="16" t="str">
        <f t="shared" si="63"/>
        <v/>
      </c>
      <c r="I49" s="16" t="str">
        <f t="shared" si="64"/>
        <v/>
      </c>
      <c r="J49" s="17" t="str">
        <f t="shared" si="65"/>
        <v/>
      </c>
      <c r="K49" s="18" t="str">
        <f t="shared" si="66"/>
        <v/>
      </c>
      <c r="L49" s="18" t="str">
        <f t="shared" si="67"/>
        <v/>
      </c>
      <c r="M49" s="109" t="str" cm="1">
        <f t="array" ref="M49">IFERROR(_xlfn._xlws.FILTER(ST[SOH],(ST[Code]=$C49) * (ST[Customer Name]=F$3),"" ),"")</f>
        <v/>
      </c>
      <c r="N49" s="109" t="str" cm="1">
        <f t="array" ref="N49">IFERROR(
    _xlfn.LET(
        _xlpm.result, INDEX(_xlfn._xlws.FILTER(ST[6wk avg], (ST[Code]=$C49)*(ST[Customer Name]=F$3), ""), 1),
        IF(_xlpm.result=0, "", _xlpm.result)
    ),
"")</f>
        <v/>
      </c>
      <c r="O49" s="102" t="str">
        <f t="shared" si="68"/>
        <v/>
      </c>
      <c r="P49" s="70" t="str">
        <f t="shared" si="69"/>
        <v/>
      </c>
      <c r="Q49" s="83" t="str">
        <f t="shared" si="70"/>
        <v/>
      </c>
      <c r="R49" s="77"/>
      <c r="S49" s="108" t="str" cm="1">
        <f t="array" ref="S49">IFERROR(_xlfn._xlws.FILTER(ST[Customer Code],(ST[Code]=$C49) * (ST[Customer Name]=S$3),"" ),"")</f>
        <v/>
      </c>
      <c r="T49" s="68" t="str" cm="1">
        <f t="array" ref="T49">IFERROR(_xlfn.XLOOKUP($C49,Query[Code], _xlfn.XLOOKUP('Promo Form'!S$3,Query[[#Headers],[Code]:[Bing Lee]],Query[[Code]:[Bing Lee]])),"")</f>
        <v/>
      </c>
      <c r="U49" s="16" t="str">
        <f t="shared" si="71"/>
        <v/>
      </c>
      <c r="V49" s="16" t="str">
        <f t="shared" si="72"/>
        <v/>
      </c>
      <c r="W49" s="17" t="str">
        <f t="shared" si="73"/>
        <v/>
      </c>
      <c r="X49" s="18" t="str">
        <f t="shared" si="74"/>
        <v/>
      </c>
      <c r="Y49" s="18" t="str">
        <f t="shared" si="75"/>
        <v/>
      </c>
      <c r="Z49" s="109" t="str" cm="1">
        <f t="array" ref="Z49">IFERROR(_xlfn._xlws.FILTER(ST[SOH],(ST[Code]=$C49) * (ST[Customer Name]=S$3),"" ),"")</f>
        <v/>
      </c>
      <c r="AA49" s="109" t="str" cm="1">
        <f t="array" ref="AA49">IFERROR(
    _xlfn.LET(
        _xlpm.result, INDEX(_xlfn._xlws.FILTER(ST[6wk avg], (ST[Code]=$C49)*(ST[Customer Name]=S$3), ""), 1),
        IF(_xlpm.result=0, "", _xlpm.result)
    ),
"")</f>
        <v/>
      </c>
      <c r="AB49" s="102" t="str">
        <f t="shared" si="76"/>
        <v/>
      </c>
      <c r="AC49" s="70" t="str">
        <f t="shared" si="77"/>
        <v/>
      </c>
      <c r="AD49" s="83" t="str">
        <f t="shared" si="78"/>
        <v/>
      </c>
      <c r="AE49" s="77"/>
      <c r="AF49" s="108" t="str" cm="1">
        <f t="array" ref="AF49">IFERROR(_xlfn._xlws.FILTER(ST[Customer Code],(ST[Code]=$C49) * (ST[Customer Name]=AF$3),"" ),"")</f>
        <v/>
      </c>
      <c r="AG49" s="68" t="str" cm="1">
        <f t="array" ref="AG49">IFERROR(_xlfn.XLOOKUP($C49,Query[Code], _xlfn.XLOOKUP('Promo Form'!AF$3,Query[[#Headers],[Code]:[Bing Lee]],Query[[Code]:[Bing Lee]])),"")</f>
        <v/>
      </c>
      <c r="AH49" s="16" t="str">
        <f t="shared" si="79"/>
        <v/>
      </c>
      <c r="AI49" s="16" t="str">
        <f t="shared" si="80"/>
        <v/>
      </c>
      <c r="AJ49" s="17" t="str">
        <f t="shared" si="81"/>
        <v/>
      </c>
      <c r="AK49" s="18" t="str">
        <f t="shared" si="82"/>
        <v/>
      </c>
      <c r="AL49" s="18" t="str">
        <f t="shared" si="83"/>
        <v/>
      </c>
      <c r="AM49" s="109" t="str" cm="1">
        <f t="array" ref="AM49">IFERROR(_xlfn._xlws.FILTER(ST[SOH],(ST[Code]=$C49) * (ST[Customer Name]=AF$3),"" ),"")</f>
        <v/>
      </c>
      <c r="AN49" s="109" t="str" cm="1">
        <f t="array" ref="AN49">IFERROR(
    _xlfn.LET(
        _xlpm.result, INDEX(_xlfn._xlws.FILTER(ST[6wk avg], (ST[Code]=$C49)*(ST[Customer Name]=AF$3), ""), 1),
        IF(_xlpm.result=0, "", _xlpm.result)
    ),
"")</f>
        <v/>
      </c>
      <c r="AO49" s="102" t="str">
        <f t="shared" si="84"/>
        <v/>
      </c>
      <c r="AP49" s="70" t="str">
        <f t="shared" si="85"/>
        <v/>
      </c>
      <c r="AQ49" s="83" t="str">
        <f t="shared" si="86"/>
        <v/>
      </c>
      <c r="AR49" s="77"/>
      <c r="AS49" s="108" t="str" cm="1">
        <f t="array" ref="AS49">IFERROR(_xlfn._xlws.FILTER(ST[Customer Code],(ST[Code]=$C49) * (ST[Customer Name]=AS$3),"" ),"")</f>
        <v/>
      </c>
      <c r="AT49" s="68" t="str" cm="1">
        <f t="array" ref="AT49">IFERROR(_xlfn.XLOOKUP($C49,Query[Code], _xlfn.XLOOKUP('Promo Form'!AS$3,Query[[#Headers],[Code]:[Bing Lee]],Query[[Code]:[Bing Lee]])),"")</f>
        <v/>
      </c>
      <c r="AU49" s="16" t="str">
        <f t="shared" si="87"/>
        <v/>
      </c>
      <c r="AV49" s="16" t="str">
        <f t="shared" si="88"/>
        <v/>
      </c>
      <c r="AW49" s="17" t="str">
        <f t="shared" si="89"/>
        <v/>
      </c>
      <c r="AX49" s="18" t="str">
        <f t="shared" si="90"/>
        <v/>
      </c>
      <c r="AY49" s="18" t="str">
        <f t="shared" si="91"/>
        <v/>
      </c>
      <c r="AZ49" s="109" t="str" cm="1">
        <f t="array" ref="AZ49">IFERROR(_xlfn._xlws.FILTER(ST[SOH],(ST[Code]=$C49) * (ST[Customer Name]=AS$3),"" ),"")</f>
        <v/>
      </c>
      <c r="BA49" s="109" t="str" cm="1">
        <f t="array" ref="BA49">IFERROR(
    _xlfn.LET(
        _xlpm.result, INDEX(_xlfn._xlws.FILTER(ST[6wk avg], (ST[Code]=$C49)*(ST[Customer Name]=AS$3), ""), 1),
        IF(_xlpm.result=0, "", _xlpm.result)
    ),
"")</f>
        <v/>
      </c>
      <c r="BB49" s="102" t="str">
        <f t="shared" si="92"/>
        <v/>
      </c>
      <c r="BC49" s="70" t="str">
        <f t="shared" si="93"/>
        <v/>
      </c>
      <c r="BD49" s="83" t="str">
        <f t="shared" si="94"/>
        <v/>
      </c>
      <c r="BE49" s="77"/>
      <c r="BF49" s="108" t="str" cm="1">
        <f t="array" ref="BF49">IFERROR(_xlfn._xlws.FILTER(ST[Customer Code],(ST[Code]=$C49) * (ST[Customer Name]=BF$3),"" ),"")</f>
        <v/>
      </c>
      <c r="BG49" s="68" t="str" cm="1">
        <f t="array" ref="BG49">IFERROR(_xlfn.XLOOKUP($C49,Query[Code], _xlfn.XLOOKUP('Promo Form'!BF$3,Query[[#Headers],[Code]:[Bing Lee]],Query[[Code]:[Bing Lee]])),"")</f>
        <v/>
      </c>
      <c r="BH49" s="16" t="str">
        <f t="shared" si="95"/>
        <v/>
      </c>
      <c r="BI49" s="16" t="str">
        <f t="shared" si="96"/>
        <v/>
      </c>
      <c r="BJ49" s="17" t="str">
        <f t="shared" si="97"/>
        <v/>
      </c>
      <c r="BK49" s="18" t="str">
        <f t="shared" si="98"/>
        <v/>
      </c>
      <c r="BL49" s="18" t="str">
        <f t="shared" si="99"/>
        <v/>
      </c>
      <c r="BM49" s="109" t="str" cm="1">
        <f t="array" ref="BM49">IFERROR(_xlfn._xlws.FILTER(ST[SOH],(ST[Code]=$C49) * (ST[Customer Name]=BF$3),"" ),"")</f>
        <v/>
      </c>
      <c r="BN49" s="109" t="str" cm="1">
        <f t="array" ref="BN49">IFERROR(
    _xlfn.LET(
        _xlpm.result, INDEX(_xlfn._xlws.FILTER(ST[6wk avg], (ST[Code]=$C49)*(ST[Customer Name]=BF$3), ""), 1),
        IF(_xlpm.result=0, "", _xlpm.result)
    ),
"")</f>
        <v/>
      </c>
      <c r="BO49" s="102" t="str">
        <f t="shared" si="100"/>
        <v/>
      </c>
      <c r="BP49" s="70" t="str">
        <f t="shared" si="101"/>
        <v/>
      </c>
      <c r="BQ49" s="83" t="str">
        <f t="shared" si="102"/>
        <v/>
      </c>
      <c r="BR49" s="77"/>
      <c r="BS49" s="108" t="str" cm="1">
        <f t="array" ref="BS49">IFERROR(_xlfn._xlws.FILTER(ST[Customer Code],(ST[Code]=$C49) * (ST[Customer Name]=BS$3),"" ),"")</f>
        <v/>
      </c>
      <c r="BT49" s="68" t="str" cm="1">
        <f t="array" ref="BT49">IFERROR(_xlfn.XLOOKUP($C49,Query[Code], _xlfn.XLOOKUP('Promo Form'!BS$3,Query[[#Headers],[Code]:[Bing Lee]],Query[[Code]:[Bing Lee]])),"")</f>
        <v/>
      </c>
      <c r="BU49" s="16" t="str">
        <f t="shared" si="103"/>
        <v/>
      </c>
      <c r="BV49" s="16" t="str">
        <f t="shared" si="104"/>
        <v/>
      </c>
      <c r="BW49" s="17" t="str">
        <f t="shared" si="105"/>
        <v/>
      </c>
      <c r="BX49" s="18" t="str">
        <f t="shared" si="106"/>
        <v/>
      </c>
      <c r="BY49" s="18" t="str">
        <f t="shared" si="107"/>
        <v/>
      </c>
      <c r="BZ49" s="109" t="str" cm="1">
        <f t="array" ref="BZ49">IFERROR(_xlfn._xlws.FILTER(ST[SOH],(ST[Code]=$C49) * (ST[Customer Name]=BS$3),"" ),"")</f>
        <v/>
      </c>
      <c r="CA49" s="109" t="str" cm="1">
        <f t="array" ref="CA49">IFERROR(
    _xlfn.LET(
        _xlpm.result, INDEX(_xlfn._xlws.FILTER(ST[6wk avg], (ST[Code]=$C49)*(ST[Customer Name]=BS$3), ""), 1),
        IF(_xlpm.result=0, "", _xlpm.result)
    ),
"")</f>
        <v/>
      </c>
      <c r="CB49" s="102" t="str">
        <f t="shared" si="108"/>
        <v/>
      </c>
      <c r="CC49" s="70" t="str">
        <f t="shared" si="109"/>
        <v/>
      </c>
      <c r="CD49" s="83" t="str">
        <f t="shared" si="110"/>
        <v/>
      </c>
      <c r="CE49" s="77"/>
      <c r="CF49" s="108" t="str" cm="1">
        <f t="array" ref="CF49">IFERROR(_xlfn._xlws.FILTER(ST[Customer Code],(ST[Code]=$C49) * (ST[Customer Name]=CF$3),"" ),"")</f>
        <v/>
      </c>
      <c r="CG49" s="68" t="str" cm="1">
        <f t="array" ref="CG49">IFERROR(_xlfn.XLOOKUP($C49,Query[Code], _xlfn.XLOOKUP('Promo Form'!CF$3,Query[[#Headers],[Code]:[Bing Lee]],Query[[Code]:[Bing Lee]])),"")</f>
        <v/>
      </c>
      <c r="CH49" s="16" t="str">
        <f t="shared" si="111"/>
        <v/>
      </c>
      <c r="CI49" s="16" t="str">
        <f t="shared" si="112"/>
        <v/>
      </c>
      <c r="CJ49" s="17" t="str">
        <f t="shared" si="113"/>
        <v/>
      </c>
      <c r="CK49" s="18" t="str">
        <f t="shared" si="114"/>
        <v/>
      </c>
      <c r="CL49" s="18" t="str">
        <f t="shared" si="115"/>
        <v/>
      </c>
      <c r="CM49" s="109" t="str" cm="1">
        <f t="array" ref="CM49">IFERROR(_xlfn._xlws.FILTER(ST[SOH],(ST[Code]=$C49) * (ST[Customer Name]=CF$3),"" ),"")</f>
        <v/>
      </c>
      <c r="CN49" s="109" t="str" cm="1">
        <f t="array" ref="CN49">IFERROR(
    _xlfn.LET(
        _xlpm.result, INDEX(_xlfn._xlws.FILTER(ST[6wk avg], (ST[Code]=$C49)*(ST[Customer Name]=CF$3), ""), 1),
        IF(_xlpm.result=0, "", _xlpm.result)
    ),
"")</f>
        <v/>
      </c>
      <c r="CO49" s="102" t="str">
        <f t="shared" si="116"/>
        <v/>
      </c>
      <c r="CP49" s="70" t="str">
        <f t="shared" si="117"/>
        <v/>
      </c>
      <c r="CQ49" s="83" t="str">
        <f t="shared" si="118"/>
        <v/>
      </c>
      <c r="CR49" s="77"/>
      <c r="CS49" s="17" t="str">
        <f>IFERROR(_xlfn.XLOOKUP(C49,Query[Code],Query[Base (RRP Inc)]),"")</f>
        <v/>
      </c>
      <c r="CT49" s="17" t="str">
        <f t="shared" si="119"/>
        <v/>
      </c>
      <c r="CU49" s="107" t="str">
        <f t="shared" si="120"/>
        <v/>
      </c>
      <c r="CV49" s="17" t="str">
        <f t="shared" si="121"/>
        <v/>
      </c>
      <c r="CW49" s="17"/>
    </row>
    <row r="50" spans="1:101" ht="18" x14ac:dyDescent="0.2">
      <c r="A50" s="162" t="s">
        <v>35</v>
      </c>
      <c r="B50" s="163"/>
      <c r="C50" s="164"/>
      <c r="D50" s="90">
        <f>B5+14</f>
        <v>45836</v>
      </c>
      <c r="E50" s="15"/>
      <c r="F50" s="22"/>
      <c r="G50" s="20"/>
      <c r="H50" s="20"/>
      <c r="I50" s="20"/>
      <c r="J50" s="21"/>
      <c r="K50" s="21"/>
      <c r="L50" s="18" t="str">
        <f>IFERROR((($FD50/1.1)+(H50+I50)-(G50-(G50*F$2)))/($FD50/1.1),"")</f>
        <v/>
      </c>
      <c r="M50" s="18"/>
      <c r="N50" s="18"/>
      <c r="O50" s="74" t="str">
        <f>IFERROR((($FD50/1.1)+(I50+J50)-(H50-(H50*G$2)))/($FD50/1.1),"")</f>
        <v/>
      </c>
      <c r="P50" s="19"/>
      <c r="Q50" s="84"/>
      <c r="R50" s="77"/>
      <c r="S50" s="22"/>
      <c r="T50" s="20"/>
      <c r="U50" s="20"/>
      <c r="V50" s="20"/>
      <c r="W50" s="21"/>
      <c r="X50" s="21"/>
      <c r="Y50" s="18" t="str">
        <f>IFERROR((($FD50/1.1)+(U50+V50)-(T50-(T50*S$2)))/($FD50/1.1),"")</f>
        <v/>
      </c>
      <c r="Z50" s="18"/>
      <c r="AA50" s="18"/>
      <c r="AB50" s="74" t="str">
        <f>IFERROR((($FD50/1.1)+(V50+W50)-(U50-(U50*T$2)))/($FD50/1.1),"")</f>
        <v/>
      </c>
      <c r="AC50" s="19"/>
      <c r="AD50" s="84"/>
      <c r="AE50" s="77"/>
      <c r="AF50" s="22"/>
      <c r="AG50" s="20"/>
      <c r="AH50" s="20"/>
      <c r="AI50" s="20"/>
      <c r="AJ50" s="21"/>
      <c r="AK50" s="21"/>
      <c r="AL50" s="18" t="str">
        <f>IFERROR((($FD50/1.1)+(AH50+AI50)-(AG50-(AG50*AF$2)))/($FD50/1.1),"")</f>
        <v/>
      </c>
      <c r="AM50" s="18"/>
      <c r="AN50" s="18"/>
      <c r="AO50" s="74" t="str">
        <f>IFERROR((($FD50/1.1)+(AI50+AJ50)-(AH50-(AH50*AG$2)))/($FD50/1.1),"")</f>
        <v/>
      </c>
      <c r="AP50" s="19"/>
      <c r="AQ50" s="84"/>
      <c r="AR50" s="77"/>
      <c r="AS50" s="22"/>
      <c r="AT50" s="20"/>
      <c r="AU50" s="20"/>
      <c r="AV50" s="20"/>
      <c r="AW50" s="21"/>
      <c r="AX50" s="21"/>
      <c r="AY50" s="18" t="str">
        <f>IFERROR((($FD50/1.1)+(AU50+AV50)-(AT50-(AT50*AS$2)))/($FD50/1.1),"")</f>
        <v/>
      </c>
      <c r="AZ50" s="18"/>
      <c r="BA50" s="18"/>
      <c r="BB50" s="74" t="str">
        <f>IFERROR((($FD50/1.1)+(AV50+AW50)-(AU50-(AU50*AT$2)))/($FD50/1.1),"")</f>
        <v/>
      </c>
      <c r="BC50" s="19"/>
      <c r="BD50" s="84"/>
      <c r="BE50" s="77"/>
      <c r="BF50" s="22"/>
      <c r="BG50" s="20"/>
      <c r="BH50" s="20"/>
      <c r="BI50" s="20"/>
      <c r="BJ50" s="21"/>
      <c r="BK50" s="21"/>
      <c r="BL50" s="18" t="str">
        <f>IFERROR((($FD50/1.1)+(BH50+BI50)-(BG50-(BG50*BF$2)))/($FD50/1.1),"")</f>
        <v/>
      </c>
      <c r="BM50" s="18"/>
      <c r="BN50" s="18"/>
      <c r="BO50" s="74" t="str">
        <f>IFERROR((($FD50/1.1)+(BI50+BJ50)-(BH50-(BH50*BG$2)))/($FD50/1.1),"")</f>
        <v/>
      </c>
      <c r="BP50" s="19"/>
      <c r="BQ50" s="84"/>
      <c r="BR50" s="77"/>
      <c r="BS50" s="22"/>
      <c r="BT50" s="20"/>
      <c r="BU50" s="20"/>
      <c r="BV50" s="20"/>
      <c r="BW50" s="21"/>
      <c r="BX50" s="21"/>
      <c r="BY50" s="18" t="str">
        <f>IFERROR((($FD50/1.1)+(BU50+BV50)-(BT50-(BT50*BS$2)))/($FD50/1.1),"")</f>
        <v/>
      </c>
      <c r="BZ50" s="18"/>
      <c r="CA50" s="18"/>
      <c r="CB50" s="74" t="str">
        <f>IFERROR((($FD50/1.1)+(BV50+BW50)-(BU50-(BU50*BT$2)))/($FD50/1.1),"")</f>
        <v/>
      </c>
      <c r="CC50" s="19"/>
      <c r="CD50" s="84"/>
      <c r="CE50" s="77"/>
      <c r="CF50" s="22"/>
      <c r="CG50" s="20"/>
      <c r="CH50" s="20"/>
      <c r="CI50" s="20"/>
      <c r="CJ50" s="21"/>
      <c r="CK50" s="21"/>
      <c r="CL50" s="18" t="str">
        <f>IFERROR((($FD50/1.1)+(CH50+CI50)-(CG50-(CG50*CF$2)))/($FD50/1.1),"")</f>
        <v/>
      </c>
      <c r="CM50" s="18"/>
      <c r="CN50" s="18"/>
      <c r="CO50" s="74" t="str">
        <f>IFERROR((($FD50/1.1)+(CI50+CJ50)-(CH50-(CH50*CG$2)))/($FD50/1.1),"")</f>
        <v/>
      </c>
      <c r="CP50" s="19"/>
      <c r="CQ50" s="84"/>
      <c r="CR50" s="77"/>
    </row>
    <row r="51" spans="1:101" x14ac:dyDescent="0.2">
      <c r="A51" s="6"/>
      <c r="B51" s="6"/>
      <c r="C51" s="6"/>
      <c r="D51" s="6"/>
      <c r="E51" s="15"/>
      <c r="F51" s="104" t="b">
        <v>1</v>
      </c>
      <c r="G51" s="3"/>
      <c r="H51" s="3"/>
      <c r="I51" s="3"/>
      <c r="J51" s="3"/>
      <c r="K51" s="3"/>
      <c r="L51" s="3"/>
      <c r="M51" s="3"/>
      <c r="N51" s="3"/>
      <c r="O51" s="161" t="s">
        <v>36</v>
      </c>
      <c r="P51" s="76" t="s">
        <v>37</v>
      </c>
      <c r="Q51" s="85" t="s">
        <v>38</v>
      </c>
      <c r="R51" s="77" t="s">
        <v>39</v>
      </c>
      <c r="S51" s="104" t="b">
        <v>0</v>
      </c>
      <c r="T51" s="3"/>
      <c r="U51" s="3"/>
      <c r="V51" s="3"/>
      <c r="W51" s="3"/>
      <c r="X51" s="3"/>
      <c r="Y51" s="3"/>
      <c r="Z51" s="3"/>
      <c r="AA51" s="3"/>
      <c r="AB51" s="131" t="s">
        <v>36</v>
      </c>
      <c r="AC51" s="76" t="s">
        <v>37</v>
      </c>
      <c r="AD51" s="85" t="s">
        <v>38</v>
      </c>
      <c r="AE51" s="77" t="s">
        <v>39</v>
      </c>
      <c r="AF51" s="104" t="b">
        <v>0</v>
      </c>
      <c r="AG51" s="3"/>
      <c r="AH51" s="3"/>
      <c r="AI51" s="3"/>
      <c r="AJ51" s="3"/>
      <c r="AK51" s="3"/>
      <c r="AL51" s="3"/>
      <c r="AM51" s="3"/>
      <c r="AN51" s="3"/>
      <c r="AO51" s="131" t="s">
        <v>36</v>
      </c>
      <c r="AP51" s="76" t="s">
        <v>37</v>
      </c>
      <c r="AQ51" s="85" t="s">
        <v>38</v>
      </c>
      <c r="AR51" s="77" t="s">
        <v>39</v>
      </c>
      <c r="AS51" s="104" t="b">
        <v>0</v>
      </c>
      <c r="AT51" s="3"/>
      <c r="AU51" s="3"/>
      <c r="AV51" s="3"/>
      <c r="AW51" s="3"/>
      <c r="AX51" s="3"/>
      <c r="AY51" s="3"/>
      <c r="AZ51" s="3"/>
      <c r="BA51" s="3"/>
      <c r="BB51" s="131" t="s">
        <v>36</v>
      </c>
      <c r="BC51" s="76" t="s">
        <v>37</v>
      </c>
      <c r="BD51" s="85" t="s">
        <v>38</v>
      </c>
      <c r="BE51" s="77" t="s">
        <v>39</v>
      </c>
      <c r="BF51" s="104" t="b">
        <v>0</v>
      </c>
      <c r="BG51" s="3"/>
      <c r="BH51" s="3"/>
      <c r="BI51" s="3"/>
      <c r="BJ51" s="3"/>
      <c r="BK51" s="3"/>
      <c r="BL51" s="3"/>
      <c r="BM51" s="3"/>
      <c r="BN51" s="3"/>
      <c r="BO51" s="131" t="s">
        <v>36</v>
      </c>
      <c r="BP51" s="76" t="s">
        <v>37</v>
      </c>
      <c r="BQ51" s="85" t="s">
        <v>38</v>
      </c>
      <c r="BR51" s="77" t="s">
        <v>39</v>
      </c>
      <c r="BS51" s="104" t="b">
        <v>0</v>
      </c>
      <c r="BT51" s="3"/>
      <c r="BU51" s="3"/>
      <c r="BV51" s="3"/>
      <c r="BW51" s="3"/>
      <c r="BX51" s="3"/>
      <c r="BY51" s="3"/>
      <c r="BZ51" s="3"/>
      <c r="CA51" s="3"/>
      <c r="CB51" s="131" t="s">
        <v>36</v>
      </c>
      <c r="CC51" s="76" t="s">
        <v>37</v>
      </c>
      <c r="CD51" s="85" t="s">
        <v>38</v>
      </c>
      <c r="CE51" s="77"/>
      <c r="CF51" s="104" t="b">
        <v>0</v>
      </c>
      <c r="CG51" s="3"/>
      <c r="CH51" s="3"/>
      <c r="CI51" s="3"/>
      <c r="CJ51" s="3"/>
      <c r="CK51" s="3"/>
      <c r="CL51" s="3"/>
      <c r="CM51" s="3"/>
      <c r="CN51" s="3"/>
      <c r="CO51" s="131" t="s">
        <v>36</v>
      </c>
      <c r="CP51" s="76" t="s">
        <v>37</v>
      </c>
      <c r="CQ51" s="85" t="s">
        <v>38</v>
      </c>
      <c r="CR51" s="77"/>
    </row>
    <row r="52" spans="1:101" x14ac:dyDescent="0.2">
      <c r="A52" s="155" t="s">
        <v>40</v>
      </c>
      <c r="B52" s="156"/>
      <c r="C52" s="157"/>
      <c r="D52" s="24">
        <f>SUM(Q52,AD52,AQ52,BD52,BQ52,CD52,CQ52)</f>
        <v>0</v>
      </c>
      <c r="E52" s="15"/>
      <c r="F52" s="23" t="str">
        <f>IF(F51,"ACTIVE","INACTIVE")</f>
        <v>ACTIVE</v>
      </c>
      <c r="G52" s="3"/>
      <c r="H52" s="3"/>
      <c r="I52" s="3"/>
      <c r="J52" s="3"/>
      <c r="K52" s="3"/>
      <c r="L52" s="3"/>
      <c r="M52" s="3"/>
      <c r="N52" s="3"/>
      <c r="O52" s="161"/>
      <c r="P52" s="75">
        <f>SUM(P5:P49)</f>
        <v>0</v>
      </c>
      <c r="Q52" s="86">
        <f>SUM(Q5:Q49)</f>
        <v>0</v>
      </c>
      <c r="R52" s="81"/>
      <c r="S52" s="23" t="str">
        <f>IF(S51,"ACTIVE","INACTIVE")</f>
        <v>INACTIVE</v>
      </c>
      <c r="T52" s="3"/>
      <c r="U52" s="3"/>
      <c r="V52" s="3"/>
      <c r="W52" s="3"/>
      <c r="X52" s="3"/>
      <c r="Y52" s="3"/>
      <c r="Z52" s="3"/>
      <c r="AA52" s="3"/>
      <c r="AB52" s="132"/>
      <c r="AC52" s="75">
        <f>SUM(AC5:AC49)</f>
        <v>0</v>
      </c>
      <c r="AD52" s="86">
        <f>SUM(AD5:AD49)</f>
        <v>0</v>
      </c>
      <c r="AE52" s="81"/>
      <c r="AF52" s="23" t="str">
        <f>IF(AF51,"ACTIVE","INACTIVE")</f>
        <v>INACTIVE</v>
      </c>
      <c r="AG52" s="3"/>
      <c r="AH52" s="3"/>
      <c r="AI52" s="3"/>
      <c r="AJ52" s="3"/>
      <c r="AK52" s="3"/>
      <c r="AL52" s="3"/>
      <c r="AM52" s="3"/>
      <c r="AN52" s="3"/>
      <c r="AO52" s="132"/>
      <c r="AP52" s="75">
        <f>SUM(AP5:AP49)</f>
        <v>0</v>
      </c>
      <c r="AQ52" s="86">
        <f>SUM(AQ5:AQ49)</f>
        <v>0</v>
      </c>
      <c r="AR52" s="81"/>
      <c r="AS52" s="23" t="str">
        <f>IF(AS51,"ACTIVE","INACTIVE")</f>
        <v>INACTIVE</v>
      </c>
      <c r="AT52" s="3"/>
      <c r="AU52" s="3"/>
      <c r="AV52" s="3"/>
      <c r="AW52" s="3"/>
      <c r="AX52" s="3"/>
      <c r="AY52" s="3"/>
      <c r="AZ52" s="3"/>
      <c r="BA52" s="3"/>
      <c r="BB52" s="132"/>
      <c r="BC52" s="75">
        <f>SUM(BC5:BC49)</f>
        <v>0</v>
      </c>
      <c r="BD52" s="86">
        <f>SUM(BD5:BD49)</f>
        <v>0</v>
      </c>
      <c r="BE52" s="81"/>
      <c r="BF52" s="23" t="str">
        <f>IF(BF51,"ACTIVE","INACTIVE")</f>
        <v>INACTIVE</v>
      </c>
      <c r="BG52" s="3"/>
      <c r="BH52" s="3"/>
      <c r="BI52" s="3"/>
      <c r="BJ52" s="3"/>
      <c r="BK52" s="3"/>
      <c r="BL52" s="3"/>
      <c r="BM52" s="3"/>
      <c r="BN52" s="3"/>
      <c r="BO52" s="132"/>
      <c r="BP52" s="75">
        <f>SUM(BP5:BP49)</f>
        <v>0</v>
      </c>
      <c r="BQ52" s="86">
        <f>SUM(BQ5:BQ49)</f>
        <v>0</v>
      </c>
      <c r="BR52" s="81"/>
      <c r="BS52" s="23" t="str">
        <f>IF(BS51,"ACTIVE","INACTIVE")</f>
        <v>INACTIVE</v>
      </c>
      <c r="BT52" s="3"/>
      <c r="BU52" s="3"/>
      <c r="BV52" s="3"/>
      <c r="BW52" s="3"/>
      <c r="BX52" s="3"/>
      <c r="BY52" s="3"/>
      <c r="BZ52" s="3"/>
      <c r="CA52" s="3"/>
      <c r="CB52" s="132"/>
      <c r="CC52" s="75">
        <f>SUM(CC5:CC49)</f>
        <v>0</v>
      </c>
      <c r="CD52" s="86">
        <f>SUM(CD5:CD49)</f>
        <v>0</v>
      </c>
      <c r="CE52" s="81"/>
      <c r="CF52" s="23" t="str">
        <f>IF(CF51,"ACTIVE","INACTIVE")</f>
        <v>INACTIVE</v>
      </c>
      <c r="CG52" s="3"/>
      <c r="CH52" s="3"/>
      <c r="CI52" s="3"/>
      <c r="CJ52" s="3"/>
      <c r="CK52" s="3"/>
      <c r="CL52" s="3"/>
      <c r="CM52" s="3"/>
      <c r="CN52" s="3"/>
      <c r="CO52" s="132"/>
      <c r="CP52" s="75">
        <f>SUM(CP5:CP49)</f>
        <v>0</v>
      </c>
      <c r="CQ52" s="86">
        <f>SUM(CQ5:CQ49)</f>
        <v>0</v>
      </c>
      <c r="CR52" s="81"/>
    </row>
    <row r="53" spans="1:101" x14ac:dyDescent="0.2">
      <c r="A53" s="155" t="s">
        <v>41</v>
      </c>
      <c r="B53" s="156"/>
      <c r="C53" s="157"/>
      <c r="D53" s="24">
        <f>SUM(P52,AC52,AP52,BC52,BP52,CC52,CP52)</f>
        <v>0</v>
      </c>
      <c r="E53" s="15"/>
      <c r="F53" s="23"/>
      <c r="G53" s="3"/>
      <c r="H53" s="3"/>
      <c r="I53" s="3"/>
      <c r="J53" s="25"/>
      <c r="K53" s="25"/>
      <c r="L53" s="25"/>
      <c r="M53" s="25"/>
      <c r="N53" s="25"/>
      <c r="R53" s="82"/>
      <c r="S53" s="23"/>
      <c r="T53" s="3"/>
      <c r="U53" s="3"/>
      <c r="V53" s="3"/>
      <c r="W53" s="25"/>
      <c r="X53" s="25"/>
      <c r="Y53" s="25"/>
      <c r="Z53" s="25"/>
      <c r="AA53" s="25"/>
      <c r="AE53" s="82"/>
      <c r="AF53" s="23"/>
      <c r="AG53" s="3"/>
      <c r="AH53" s="3"/>
      <c r="AI53" s="3"/>
      <c r="AJ53" s="25"/>
      <c r="AK53" s="25"/>
      <c r="AL53" s="25"/>
      <c r="AM53" s="25"/>
      <c r="AN53" s="25"/>
      <c r="AR53" s="82"/>
      <c r="AS53" s="23"/>
      <c r="AT53" s="3"/>
      <c r="AU53" s="3"/>
      <c r="AV53" s="3"/>
      <c r="AW53" s="25"/>
      <c r="AX53" s="25"/>
      <c r="AY53" s="25"/>
      <c r="AZ53" s="25"/>
      <c r="BA53" s="25"/>
      <c r="BE53" s="82"/>
      <c r="BF53" s="23"/>
      <c r="BG53" s="3"/>
      <c r="BH53" s="3"/>
      <c r="BI53" s="3"/>
      <c r="BJ53" s="25"/>
      <c r="BK53" s="25"/>
      <c r="BL53" s="25"/>
      <c r="BM53" s="25"/>
      <c r="BN53" s="25"/>
      <c r="BR53" s="82"/>
      <c r="BS53" s="23"/>
      <c r="BT53" s="3"/>
      <c r="BU53" s="3"/>
      <c r="BV53" s="3"/>
      <c r="BW53" s="25"/>
      <c r="BX53" s="25"/>
      <c r="BY53" s="25"/>
      <c r="BZ53" s="25"/>
      <c r="CA53" s="25"/>
      <c r="CE53" s="82"/>
      <c r="CF53" s="23"/>
      <c r="CG53" s="3"/>
      <c r="CH53" s="3"/>
      <c r="CI53" s="3"/>
      <c r="CJ53" s="25"/>
      <c r="CK53" s="25"/>
      <c r="CL53" s="25"/>
      <c r="CM53" s="25"/>
      <c r="CN53" s="25"/>
      <c r="CR53" s="82"/>
    </row>
    <row r="54" spans="1:101" x14ac:dyDescent="0.2">
      <c r="A54" s="155" t="s">
        <v>42</v>
      </c>
      <c r="B54" s="156"/>
      <c r="C54" s="157"/>
      <c r="D54" s="24">
        <f>D53*D55</f>
        <v>0</v>
      </c>
      <c r="E54" s="15"/>
      <c r="F54" s="23"/>
      <c r="G54" s="3"/>
      <c r="H54" s="3"/>
      <c r="I54" s="3"/>
      <c r="J54" s="3"/>
      <c r="K54" s="3"/>
      <c r="L54" s="3"/>
      <c r="M54" s="3"/>
      <c r="N54" s="3"/>
      <c r="O54" s="3"/>
      <c r="P54" s="6"/>
      <c r="Q54" s="3"/>
      <c r="R54" s="77"/>
      <c r="S54" s="23"/>
      <c r="T54" s="3"/>
      <c r="U54" s="3"/>
      <c r="V54" s="3"/>
      <c r="W54" s="3"/>
      <c r="X54" s="3"/>
      <c r="Y54" s="3"/>
      <c r="Z54" s="3"/>
      <c r="AA54" s="3"/>
      <c r="AB54" s="3"/>
      <c r="AC54" s="6"/>
      <c r="AD54" s="3"/>
      <c r="AE54" s="77"/>
      <c r="AF54" s="23"/>
      <c r="AG54" s="3"/>
      <c r="AH54" s="3"/>
      <c r="AI54" s="3"/>
      <c r="AJ54" s="3"/>
      <c r="AK54" s="3"/>
      <c r="AL54" s="3"/>
      <c r="AM54" s="3"/>
      <c r="AN54" s="3"/>
      <c r="AO54" s="3"/>
      <c r="AP54" s="6"/>
      <c r="AQ54" s="3"/>
      <c r="AR54" s="77"/>
      <c r="AS54" s="23"/>
      <c r="AT54" s="3"/>
      <c r="AU54" s="3"/>
      <c r="AV54" s="3"/>
      <c r="AW54" s="3"/>
      <c r="AX54" s="3"/>
      <c r="AY54" s="3"/>
      <c r="AZ54" s="3"/>
      <c r="BA54" s="3"/>
      <c r="BB54" s="3"/>
      <c r="BC54" s="6"/>
      <c r="BD54" s="3"/>
      <c r="BE54" s="77"/>
      <c r="BF54" s="23"/>
      <c r="BG54" s="3"/>
      <c r="BH54" s="3"/>
      <c r="BI54" s="3"/>
      <c r="BJ54" s="3"/>
      <c r="BK54" s="3"/>
      <c r="BL54" s="3"/>
      <c r="BM54" s="3"/>
      <c r="BN54" s="3"/>
      <c r="BO54" s="3"/>
      <c r="BP54" s="6"/>
      <c r="BQ54" s="3"/>
      <c r="BR54" s="77"/>
      <c r="BS54" s="23"/>
      <c r="BT54" s="3"/>
      <c r="BU54" s="3"/>
      <c r="BV54" s="3"/>
      <c r="BW54" s="3"/>
      <c r="BX54" s="3"/>
      <c r="BY54" s="3"/>
      <c r="BZ54" s="3"/>
      <c r="CA54" s="3"/>
      <c r="CB54" s="3"/>
      <c r="CC54" s="6"/>
      <c r="CD54" s="3"/>
      <c r="CE54" s="77"/>
      <c r="CF54" s="23"/>
      <c r="CG54" s="3"/>
      <c r="CH54" s="3"/>
      <c r="CI54" s="3"/>
      <c r="CJ54" s="3"/>
      <c r="CK54" s="3"/>
      <c r="CL54" s="3"/>
      <c r="CM54" s="3"/>
      <c r="CN54" s="3"/>
      <c r="CO54" s="3"/>
      <c r="CP54" s="6"/>
      <c r="CQ54" s="3"/>
      <c r="CR54" s="77"/>
    </row>
    <row r="55" spans="1:101" x14ac:dyDescent="0.2">
      <c r="A55" s="26" t="s">
        <v>43</v>
      </c>
      <c r="B55" s="27" t="s">
        <v>44</v>
      </c>
      <c r="C55" s="28" t="s">
        <v>45</v>
      </c>
      <c r="D55" s="29">
        <v>0.65</v>
      </c>
      <c r="E55" s="15"/>
      <c r="F55" s="23"/>
      <c r="G55" s="3"/>
      <c r="H55" s="3"/>
      <c r="I55" s="6"/>
      <c r="J55" s="6"/>
      <c r="K55" s="6"/>
      <c r="L55" s="6"/>
      <c r="M55" s="6"/>
      <c r="N55" s="6"/>
      <c r="O55" s="6"/>
      <c r="P55" s="3"/>
      <c r="Q55" s="3"/>
      <c r="R55" s="77"/>
      <c r="S55" s="23"/>
      <c r="T55" s="3"/>
      <c r="U55" s="3"/>
      <c r="V55" s="6"/>
      <c r="W55" s="6"/>
      <c r="X55" s="6"/>
      <c r="Y55" s="6"/>
      <c r="Z55" s="6"/>
      <c r="AA55" s="6"/>
      <c r="AB55" s="6"/>
      <c r="AC55" s="3"/>
      <c r="AD55" s="3"/>
      <c r="AE55" s="77"/>
      <c r="AF55" s="23"/>
      <c r="AG55" s="3"/>
      <c r="AH55" s="3"/>
      <c r="AI55" s="6"/>
      <c r="AJ55" s="6"/>
      <c r="AK55" s="6"/>
      <c r="AL55" s="6"/>
      <c r="AM55" s="6"/>
      <c r="AN55" s="6"/>
      <c r="AO55" s="6"/>
      <c r="AP55" s="3"/>
      <c r="AQ55" s="3"/>
      <c r="AR55" s="77"/>
      <c r="AS55" s="23"/>
      <c r="AT55" s="3"/>
      <c r="AU55" s="3"/>
      <c r="AV55" s="6"/>
      <c r="AW55" s="6"/>
      <c r="AX55" s="6"/>
      <c r="AY55" s="6"/>
      <c r="AZ55" s="6"/>
      <c r="BA55" s="6"/>
      <c r="BB55" s="6"/>
      <c r="BC55" s="3"/>
      <c r="BD55" s="3"/>
      <c r="BE55" s="77"/>
      <c r="BF55" s="23"/>
      <c r="BG55" s="3"/>
      <c r="BH55" s="3"/>
      <c r="BI55" s="6"/>
      <c r="BJ55" s="6"/>
      <c r="BK55" s="6"/>
      <c r="BL55" s="6"/>
      <c r="BM55" s="6"/>
      <c r="BN55" s="6"/>
      <c r="BO55" s="6"/>
      <c r="BP55" s="3"/>
      <c r="BQ55" s="3"/>
      <c r="BR55" s="77"/>
      <c r="BS55" s="23"/>
      <c r="BT55" s="3"/>
      <c r="BU55" s="3"/>
      <c r="BV55" s="6"/>
      <c r="BW55" s="6"/>
      <c r="BX55" s="6"/>
      <c r="BY55" s="6"/>
      <c r="BZ55" s="6"/>
      <c r="CA55" s="6"/>
      <c r="CB55" s="6"/>
      <c r="CC55" s="3"/>
      <c r="CD55" s="3"/>
      <c r="CE55" s="77"/>
      <c r="CF55" s="23"/>
      <c r="CG55" s="3"/>
      <c r="CH55" s="3"/>
      <c r="CI55" s="6"/>
      <c r="CJ55" s="6"/>
      <c r="CK55" s="6"/>
      <c r="CL55" s="6"/>
      <c r="CM55" s="6"/>
      <c r="CN55" s="6"/>
      <c r="CO55" s="6"/>
      <c r="CP55" s="3"/>
      <c r="CQ55" s="3"/>
      <c r="CR55" s="77"/>
    </row>
    <row r="56" spans="1:101" x14ac:dyDescent="0.2">
      <c r="A56" s="26" t="s">
        <v>46</v>
      </c>
      <c r="B56" s="27"/>
      <c r="C56" s="92" t="e" vm="1">
        <v>#VALUE!</v>
      </c>
      <c r="D56" s="91" cm="1">
        <f t="array" aca="1" ref="D56" ca="1">_FV(C56,"Price")</f>
        <v>0.70420000000000005</v>
      </c>
      <c r="E56" s="15" t="e" cm="1" vm="2">
        <f t="array" ref="E56">_FV(C56,"Exchange")</f>
        <v>#VALUE!</v>
      </c>
      <c r="F56" s="93"/>
      <c r="G56" s="30"/>
      <c r="H56" s="3"/>
      <c r="I56" s="6"/>
      <c r="J56" s="6"/>
      <c r="K56" s="6"/>
      <c r="L56" s="6"/>
      <c r="M56" s="6"/>
      <c r="N56" s="6"/>
      <c r="O56" s="6"/>
      <c r="P56" s="3"/>
      <c r="Q56" s="3"/>
      <c r="R56" s="77"/>
      <c r="S56" s="93"/>
      <c r="T56" s="30"/>
      <c r="U56" s="3"/>
      <c r="V56" s="6"/>
      <c r="W56" s="6"/>
      <c r="X56" s="6"/>
      <c r="Y56" s="6"/>
      <c r="Z56" s="6"/>
      <c r="AA56" s="6"/>
      <c r="AB56" s="6"/>
      <c r="AC56" s="3"/>
      <c r="AD56" s="3"/>
      <c r="AE56" s="77"/>
      <c r="AF56" s="93"/>
      <c r="AG56" s="30"/>
      <c r="AH56" s="3"/>
      <c r="AI56" s="6"/>
      <c r="AJ56" s="6"/>
      <c r="AK56" s="6"/>
      <c r="AL56" s="6"/>
      <c r="AM56" s="6"/>
      <c r="AN56" s="6"/>
      <c r="AO56" s="6"/>
      <c r="AP56" s="3"/>
      <c r="AQ56" s="3"/>
      <c r="AR56" s="77"/>
      <c r="AS56" s="93"/>
      <c r="AT56" s="30"/>
      <c r="AU56" s="3"/>
      <c r="AV56" s="6"/>
      <c r="AW56" s="6"/>
      <c r="AX56" s="6"/>
      <c r="AY56" s="6"/>
      <c r="AZ56" s="6"/>
      <c r="BA56" s="6"/>
      <c r="BB56" s="6"/>
      <c r="BC56" s="3"/>
      <c r="BD56" s="3"/>
      <c r="BE56" s="77"/>
      <c r="BF56" s="93"/>
      <c r="BG56" s="30"/>
      <c r="BH56" s="3"/>
      <c r="BI56" s="6"/>
      <c r="BJ56" s="6"/>
      <c r="BK56" s="6"/>
      <c r="BL56" s="6"/>
      <c r="BM56" s="6"/>
      <c r="BN56" s="6"/>
      <c r="BO56" s="6"/>
      <c r="BP56" s="3"/>
      <c r="BQ56" s="3"/>
      <c r="BR56" s="77"/>
      <c r="BS56" s="93"/>
      <c r="BT56" s="30"/>
      <c r="BU56" s="3"/>
      <c r="BV56" s="6"/>
      <c r="BW56" s="6"/>
      <c r="BX56" s="6"/>
      <c r="BY56" s="6"/>
      <c r="BZ56" s="6"/>
      <c r="CA56" s="6"/>
      <c r="CB56" s="6"/>
      <c r="CC56" s="3"/>
      <c r="CD56" s="3"/>
      <c r="CE56" s="77"/>
      <c r="CF56" s="93"/>
      <c r="CG56" s="30"/>
      <c r="CH56" s="3"/>
      <c r="CI56" s="6"/>
      <c r="CJ56" s="6"/>
      <c r="CK56" s="6"/>
      <c r="CL56" s="6"/>
      <c r="CM56" s="6"/>
      <c r="CN56" s="6"/>
      <c r="CO56" s="6"/>
      <c r="CP56" s="3"/>
      <c r="CQ56" s="3"/>
      <c r="CR56" s="77"/>
    </row>
    <row r="57" spans="1:101" x14ac:dyDescent="0.2">
      <c r="A57" s="3" t="s">
        <v>47</v>
      </c>
      <c r="B57" s="27"/>
      <c r="C57" s="31"/>
      <c r="D57" s="94"/>
      <c r="E57" s="95" t="e" cm="1" vm="3">
        <f t="array" ref="E57">_FV(C57,"Change (%)",TRUE)</f>
        <v>#VALUE!</v>
      </c>
      <c r="F57" s="26"/>
      <c r="G57" s="32"/>
      <c r="H57" s="3"/>
      <c r="I57" s="3"/>
      <c r="J57" s="6"/>
      <c r="K57" s="6"/>
      <c r="L57" s="6"/>
      <c r="M57" s="6"/>
      <c r="N57" s="6"/>
      <c r="O57" s="6"/>
      <c r="P57" s="3"/>
      <c r="Q57" s="3"/>
      <c r="R57" s="77"/>
      <c r="S57" s="26"/>
      <c r="T57" s="32"/>
      <c r="U57" s="3"/>
      <c r="V57" s="3"/>
      <c r="W57" s="6"/>
      <c r="X57" s="6"/>
      <c r="Y57" s="6"/>
      <c r="Z57" s="6"/>
      <c r="AA57" s="6"/>
      <c r="AB57" s="6"/>
      <c r="AC57" s="3"/>
      <c r="AD57" s="3"/>
      <c r="AE57" s="77"/>
      <c r="AF57" s="26"/>
      <c r="AG57" s="32"/>
      <c r="AH57" s="3"/>
      <c r="AI57" s="3"/>
      <c r="AJ57" s="6"/>
      <c r="AK57" s="6"/>
      <c r="AL57" s="6"/>
      <c r="AM57" s="6"/>
      <c r="AN57" s="6"/>
      <c r="AO57" s="6"/>
      <c r="AP57" s="3"/>
      <c r="AQ57" s="3"/>
      <c r="AR57" s="77"/>
      <c r="AS57" s="26"/>
      <c r="AT57" s="32"/>
      <c r="AU57" s="3"/>
      <c r="AV57" s="3"/>
      <c r="AW57" s="6"/>
      <c r="AX57" s="6"/>
      <c r="AY57" s="6"/>
      <c r="AZ57" s="6"/>
      <c r="BA57" s="6"/>
      <c r="BB57" s="6"/>
      <c r="BC57" s="3"/>
      <c r="BD57" s="3"/>
      <c r="BE57" s="77"/>
      <c r="BF57" s="26"/>
      <c r="BG57" s="32"/>
      <c r="BH57" s="3"/>
      <c r="BI57" s="3"/>
      <c r="BJ57" s="6"/>
      <c r="BK57" s="6"/>
      <c r="BL57" s="6"/>
      <c r="BM57" s="6"/>
      <c r="BN57" s="6"/>
      <c r="BO57" s="6"/>
      <c r="BP57" s="3"/>
      <c r="BQ57" s="3"/>
      <c r="BR57" s="77"/>
      <c r="BS57" s="26"/>
      <c r="BT57" s="32"/>
      <c r="BU57" s="3"/>
      <c r="BV57" s="3"/>
      <c r="BW57" s="6"/>
      <c r="BX57" s="6"/>
      <c r="BY57" s="6"/>
      <c r="BZ57" s="6"/>
      <c r="CA57" s="6"/>
      <c r="CB57" s="6"/>
      <c r="CC57" s="3"/>
      <c r="CD57" s="3"/>
      <c r="CE57" s="77"/>
      <c r="CF57" s="26"/>
      <c r="CG57" s="32"/>
      <c r="CH57" s="3"/>
      <c r="CI57" s="3"/>
      <c r="CJ57" s="6"/>
      <c r="CK57" s="6"/>
      <c r="CL57" s="6"/>
      <c r="CM57" s="6"/>
      <c r="CN57" s="6"/>
      <c r="CO57" s="6"/>
      <c r="CP57" s="3"/>
      <c r="CQ57" s="3"/>
      <c r="CR57" s="77"/>
    </row>
    <row r="58" spans="1:101" x14ac:dyDescent="0.2">
      <c r="A58" s="158" t="s">
        <v>48</v>
      </c>
      <c r="B58" s="156"/>
      <c r="C58" s="156"/>
      <c r="D58" s="156"/>
      <c r="E58" s="15"/>
      <c r="F58" s="33" t="s">
        <v>49</v>
      </c>
      <c r="G58" s="34" t="s">
        <v>50</v>
      </c>
      <c r="H58" s="3"/>
      <c r="I58" s="3"/>
      <c r="J58" s="6"/>
      <c r="K58" s="6"/>
      <c r="L58" s="6"/>
      <c r="M58" s="6"/>
      <c r="N58" s="6"/>
      <c r="O58" s="6"/>
      <c r="P58" s="3"/>
      <c r="Q58" s="3"/>
      <c r="R58" s="77"/>
      <c r="S58" s="33" t="s">
        <v>49</v>
      </c>
      <c r="T58" s="34" t="s">
        <v>50</v>
      </c>
      <c r="U58" s="3"/>
      <c r="V58" s="3"/>
      <c r="W58" s="6"/>
      <c r="X58" s="6"/>
      <c r="Y58" s="6"/>
      <c r="Z58" s="6"/>
      <c r="AA58" s="6"/>
      <c r="AB58" s="6"/>
      <c r="AC58" s="3"/>
      <c r="AD58" s="3"/>
      <c r="AE58" s="77"/>
      <c r="AF58" s="33" t="s">
        <v>49</v>
      </c>
      <c r="AG58" s="34" t="s">
        <v>50</v>
      </c>
      <c r="AH58" s="3"/>
      <c r="AI58" s="3"/>
      <c r="AJ58" s="6"/>
      <c r="AK58" s="6"/>
      <c r="AL58" s="6"/>
      <c r="AM58" s="6"/>
      <c r="AN58" s="6"/>
      <c r="AO58" s="6"/>
      <c r="AP58" s="3"/>
      <c r="AQ58" s="3"/>
      <c r="AR58" s="77"/>
      <c r="AS58" s="33" t="s">
        <v>49</v>
      </c>
      <c r="AT58" s="34" t="s">
        <v>50</v>
      </c>
      <c r="AU58" s="3"/>
      <c r="AV58" s="3"/>
      <c r="AW58" s="6"/>
      <c r="AX58" s="6"/>
      <c r="AY58" s="6"/>
      <c r="AZ58" s="6"/>
      <c r="BA58" s="6"/>
      <c r="BB58" s="6"/>
      <c r="BC58" s="3"/>
      <c r="BD58" s="3"/>
      <c r="BE58" s="77"/>
      <c r="BF58" s="33" t="s">
        <v>49</v>
      </c>
      <c r="BG58" s="34" t="s">
        <v>50</v>
      </c>
      <c r="BH58" s="3"/>
      <c r="BI58" s="3"/>
      <c r="BJ58" s="6"/>
      <c r="BK58" s="6"/>
      <c r="BL58" s="6"/>
      <c r="BM58" s="6"/>
      <c r="BN58" s="6"/>
      <c r="BO58" s="6"/>
      <c r="BP58" s="3"/>
      <c r="BQ58" s="3"/>
      <c r="BR58" s="77"/>
      <c r="BS58" s="33" t="s">
        <v>49</v>
      </c>
      <c r="BT58" s="34" t="s">
        <v>50</v>
      </c>
      <c r="BU58" s="3"/>
      <c r="BV58" s="3"/>
      <c r="BW58" s="6"/>
      <c r="BX58" s="6"/>
      <c r="BY58" s="6"/>
      <c r="BZ58" s="6"/>
      <c r="CA58" s="6"/>
      <c r="CB58" s="6"/>
      <c r="CC58" s="3"/>
      <c r="CD58" s="3"/>
      <c r="CE58" s="77"/>
      <c r="CF58" s="33" t="s">
        <v>49</v>
      </c>
      <c r="CG58" s="34" t="s">
        <v>50</v>
      </c>
      <c r="CH58" s="3"/>
      <c r="CI58" s="3"/>
      <c r="CJ58" s="6"/>
      <c r="CK58" s="6"/>
      <c r="CL58" s="6"/>
      <c r="CM58" s="6"/>
      <c r="CN58" s="6"/>
      <c r="CO58" s="6"/>
      <c r="CP58" s="3"/>
      <c r="CQ58" s="3"/>
      <c r="CR58" s="77"/>
    </row>
    <row r="59" spans="1:101" x14ac:dyDescent="0.2">
      <c r="A59" s="159" t="s">
        <v>51</v>
      </c>
      <c r="B59" s="142"/>
      <c r="C59" s="143"/>
      <c r="D59" s="35" t="s">
        <v>52</v>
      </c>
      <c r="E59" s="15"/>
      <c r="F59" s="36">
        <v>0.33300000000000002</v>
      </c>
      <c r="G59" s="37" t="s">
        <v>52</v>
      </c>
      <c r="H59" s="38"/>
      <c r="I59" s="38"/>
      <c r="J59" s="6"/>
      <c r="K59" s="6"/>
      <c r="L59" s="6"/>
      <c r="M59" s="6"/>
      <c r="N59" s="6"/>
      <c r="O59" s="6"/>
      <c r="P59" s="3"/>
      <c r="Q59" s="3"/>
      <c r="R59" s="77"/>
      <c r="S59" s="36">
        <v>0.33300000000000002</v>
      </c>
      <c r="T59" s="37" t="s">
        <v>52</v>
      </c>
      <c r="U59" s="38"/>
      <c r="V59" s="38"/>
      <c r="W59" s="6"/>
      <c r="X59" s="6"/>
      <c r="Y59" s="6"/>
      <c r="Z59" s="6"/>
      <c r="AA59" s="6"/>
      <c r="AB59" s="6"/>
      <c r="AC59" s="3"/>
      <c r="AD59" s="3"/>
      <c r="AE59" s="77"/>
      <c r="AF59" s="36">
        <v>0.33300000000000002</v>
      </c>
      <c r="AG59" s="37" t="s">
        <v>52</v>
      </c>
      <c r="AH59" s="38"/>
      <c r="AI59" s="38"/>
      <c r="AJ59" s="6"/>
      <c r="AK59" s="6"/>
      <c r="AL59" s="6"/>
      <c r="AM59" s="6"/>
      <c r="AN59" s="6"/>
      <c r="AO59" s="6"/>
      <c r="AP59" s="3"/>
      <c r="AQ59" s="3"/>
      <c r="AR59" s="77"/>
      <c r="AS59" s="36">
        <v>0.33300000000000002</v>
      </c>
      <c r="AT59" s="37" t="s">
        <v>52</v>
      </c>
      <c r="AU59" s="38"/>
      <c r="AV59" s="38"/>
      <c r="AW59" s="6"/>
      <c r="AX59" s="6"/>
      <c r="AY59" s="6"/>
      <c r="AZ59" s="6"/>
      <c r="BA59" s="6"/>
      <c r="BB59" s="6"/>
      <c r="BC59" s="3"/>
      <c r="BD59" s="3"/>
      <c r="BE59" s="77"/>
      <c r="BF59" s="36">
        <v>0.33300000000000002</v>
      </c>
      <c r="BG59" s="37" t="s">
        <v>52</v>
      </c>
      <c r="BH59" s="38"/>
      <c r="BI59" s="38"/>
      <c r="BJ59" s="6"/>
      <c r="BK59" s="6"/>
      <c r="BL59" s="6"/>
      <c r="BM59" s="6"/>
      <c r="BN59" s="6"/>
      <c r="BO59" s="6"/>
      <c r="BP59" s="3"/>
      <c r="BQ59" s="3"/>
      <c r="BR59" s="77"/>
      <c r="BS59" s="36">
        <v>0.33300000000000002</v>
      </c>
      <c r="BT59" s="37" t="s">
        <v>52</v>
      </c>
      <c r="BU59" s="38"/>
      <c r="BV59" s="38"/>
      <c r="BW59" s="6"/>
      <c r="BX59" s="6"/>
      <c r="BY59" s="6"/>
      <c r="BZ59" s="6"/>
      <c r="CA59" s="6"/>
      <c r="CB59" s="6"/>
      <c r="CC59" s="3"/>
      <c r="CD59" s="3"/>
      <c r="CE59" s="77"/>
      <c r="CF59" s="36">
        <v>0.33300000000000002</v>
      </c>
      <c r="CG59" s="37" t="s">
        <v>52</v>
      </c>
      <c r="CH59" s="38"/>
      <c r="CI59" s="38"/>
      <c r="CJ59" s="6"/>
      <c r="CK59" s="6"/>
      <c r="CL59" s="6"/>
      <c r="CM59" s="6"/>
      <c r="CN59" s="6"/>
      <c r="CO59" s="6"/>
      <c r="CP59" s="3"/>
      <c r="CQ59" s="3"/>
      <c r="CR59" s="77"/>
    </row>
    <row r="60" spans="1:101" x14ac:dyDescent="0.2">
      <c r="A60" s="144"/>
      <c r="B60" s="145"/>
      <c r="C60" s="146"/>
      <c r="D60" s="39" t="s">
        <v>53</v>
      </c>
      <c r="E60" s="15"/>
      <c r="F60" s="36">
        <v>0.33300000000000002</v>
      </c>
      <c r="G60" s="37" t="s">
        <v>53</v>
      </c>
      <c r="H60" s="38"/>
      <c r="I60" s="38"/>
      <c r="J60" s="6"/>
      <c r="K60" s="6"/>
      <c r="L60" s="6"/>
      <c r="M60" s="6"/>
      <c r="N60" s="6"/>
      <c r="O60" s="6"/>
      <c r="P60" s="6"/>
      <c r="Q60" s="3"/>
      <c r="R60" s="77"/>
      <c r="S60" s="36">
        <v>0.33300000000000002</v>
      </c>
      <c r="T60" s="37" t="s">
        <v>53</v>
      </c>
      <c r="U60" s="38"/>
      <c r="V60" s="38"/>
      <c r="W60" s="6"/>
      <c r="X60" s="6"/>
      <c r="Y60" s="6"/>
      <c r="Z60" s="6"/>
      <c r="AA60" s="6"/>
      <c r="AB60" s="6"/>
      <c r="AC60" s="6"/>
      <c r="AD60" s="3"/>
      <c r="AE60" s="77"/>
      <c r="AF60" s="36">
        <v>0.33300000000000002</v>
      </c>
      <c r="AG60" s="37" t="s">
        <v>53</v>
      </c>
      <c r="AH60" s="38"/>
      <c r="AI60" s="38"/>
      <c r="AJ60" s="6"/>
      <c r="AK60" s="6"/>
      <c r="AL60" s="6"/>
      <c r="AM60" s="6"/>
      <c r="AN60" s="6"/>
      <c r="AO60" s="6"/>
      <c r="AP60" s="6"/>
      <c r="AQ60" s="3"/>
      <c r="AR60" s="77"/>
      <c r="AS60" s="36">
        <v>0.33300000000000002</v>
      </c>
      <c r="AT60" s="37" t="s">
        <v>53</v>
      </c>
      <c r="AU60" s="38"/>
      <c r="AV60" s="38"/>
      <c r="AW60" s="6"/>
      <c r="AX60" s="6"/>
      <c r="AY60" s="6"/>
      <c r="AZ60" s="6"/>
      <c r="BA60" s="6"/>
      <c r="BB60" s="6"/>
      <c r="BC60" s="6"/>
      <c r="BD60" s="3"/>
      <c r="BE60" s="77"/>
      <c r="BF60" s="36">
        <v>0.33300000000000002</v>
      </c>
      <c r="BG60" s="37" t="s">
        <v>53</v>
      </c>
      <c r="BH60" s="38"/>
      <c r="BI60" s="38"/>
      <c r="BJ60" s="6"/>
      <c r="BK60" s="6"/>
      <c r="BL60" s="6"/>
      <c r="BM60" s="6"/>
      <c r="BN60" s="6"/>
      <c r="BO60" s="6"/>
      <c r="BP60" s="6"/>
      <c r="BQ60" s="3"/>
      <c r="BR60" s="77"/>
      <c r="BS60" s="36">
        <v>0.33300000000000002</v>
      </c>
      <c r="BT60" s="37" t="s">
        <v>53</v>
      </c>
      <c r="BU60" s="38"/>
      <c r="BV60" s="38"/>
      <c r="BW60" s="6"/>
      <c r="BX60" s="6"/>
      <c r="BY60" s="6"/>
      <c r="BZ60" s="6"/>
      <c r="CA60" s="6"/>
      <c r="CB60" s="6"/>
      <c r="CC60" s="6"/>
      <c r="CD60" s="3"/>
      <c r="CE60" s="77"/>
      <c r="CF60" s="36">
        <v>0.33300000000000002</v>
      </c>
      <c r="CG60" s="37" t="s">
        <v>53</v>
      </c>
      <c r="CH60" s="38"/>
      <c r="CI60" s="38"/>
      <c r="CJ60" s="6"/>
      <c r="CK60" s="6"/>
      <c r="CL60" s="6"/>
      <c r="CM60" s="6"/>
      <c r="CN60" s="6"/>
      <c r="CO60" s="6"/>
      <c r="CP60" s="6"/>
      <c r="CQ60" s="3"/>
      <c r="CR60" s="77"/>
    </row>
    <row r="61" spans="1:101" ht="17" thickBot="1" x14ac:dyDescent="0.25">
      <c r="A61" s="160"/>
      <c r="B61" s="153"/>
      <c r="C61" s="154"/>
      <c r="D61" s="40" t="s">
        <v>3</v>
      </c>
      <c r="E61" s="15"/>
      <c r="F61" s="36">
        <v>0.33300000000000002</v>
      </c>
      <c r="G61" s="37" t="s">
        <v>37</v>
      </c>
      <c r="H61" s="38"/>
      <c r="I61" s="38"/>
      <c r="J61" s="6"/>
      <c r="K61" s="6"/>
      <c r="L61" s="6"/>
      <c r="M61" s="6"/>
      <c r="N61" s="6"/>
      <c r="O61" s="6"/>
      <c r="P61" s="3"/>
      <c r="Q61" s="3"/>
      <c r="R61" s="77"/>
      <c r="S61" s="36">
        <v>0.33300000000000002</v>
      </c>
      <c r="T61" s="37" t="s">
        <v>37</v>
      </c>
      <c r="U61" s="38"/>
      <c r="V61" s="38"/>
      <c r="W61" s="6"/>
      <c r="X61" s="6"/>
      <c r="Y61" s="6"/>
      <c r="Z61" s="6"/>
      <c r="AA61" s="6"/>
      <c r="AB61" s="6"/>
      <c r="AC61" s="3"/>
      <c r="AD61" s="3"/>
      <c r="AE61" s="77"/>
      <c r="AF61" s="36">
        <v>0.33300000000000002</v>
      </c>
      <c r="AG61" s="37" t="s">
        <v>37</v>
      </c>
      <c r="AH61" s="38"/>
      <c r="AI61" s="38"/>
      <c r="AJ61" s="6"/>
      <c r="AK61" s="6"/>
      <c r="AL61" s="6"/>
      <c r="AM61" s="6"/>
      <c r="AN61" s="6"/>
      <c r="AO61" s="6"/>
      <c r="AP61" s="3"/>
      <c r="AQ61" s="3"/>
      <c r="AR61" s="77"/>
      <c r="AS61" s="36">
        <v>0.33300000000000002</v>
      </c>
      <c r="AT61" s="37" t="s">
        <v>37</v>
      </c>
      <c r="AU61" s="38"/>
      <c r="AV61" s="38"/>
      <c r="AW61" s="6"/>
      <c r="AX61" s="6"/>
      <c r="AY61" s="6"/>
      <c r="AZ61" s="6"/>
      <c r="BA61" s="6"/>
      <c r="BB61" s="6"/>
      <c r="BC61" s="3"/>
      <c r="BD61" s="3"/>
      <c r="BE61" s="77"/>
      <c r="BF61" s="36">
        <v>0.33300000000000002</v>
      </c>
      <c r="BG61" s="37" t="s">
        <v>37</v>
      </c>
      <c r="BH61" s="38"/>
      <c r="BI61" s="38"/>
      <c r="BJ61" s="6"/>
      <c r="BK61" s="6"/>
      <c r="BL61" s="6"/>
      <c r="BM61" s="6"/>
      <c r="BN61" s="6"/>
      <c r="BO61" s="6"/>
      <c r="BP61" s="3"/>
      <c r="BQ61" s="3"/>
      <c r="BR61" s="77"/>
      <c r="BS61" s="36">
        <v>0.33300000000000002</v>
      </c>
      <c r="BT61" s="37" t="s">
        <v>37</v>
      </c>
      <c r="BU61" s="38"/>
      <c r="BV61" s="38"/>
      <c r="BW61" s="6"/>
      <c r="BX61" s="6"/>
      <c r="BY61" s="6"/>
      <c r="BZ61" s="6"/>
      <c r="CA61" s="6"/>
      <c r="CB61" s="6"/>
      <c r="CC61" s="3"/>
      <c r="CD61" s="3"/>
      <c r="CE61" s="77"/>
      <c r="CF61" s="36">
        <v>0.33300000000000002</v>
      </c>
      <c r="CG61" s="37" t="s">
        <v>37</v>
      </c>
      <c r="CH61" s="38"/>
      <c r="CI61" s="38"/>
      <c r="CJ61" s="6"/>
      <c r="CK61" s="6"/>
      <c r="CL61" s="6"/>
      <c r="CM61" s="6"/>
      <c r="CN61" s="6"/>
      <c r="CO61" s="6"/>
      <c r="CP61" s="3"/>
      <c r="CQ61" s="3"/>
      <c r="CR61" s="77"/>
    </row>
    <row r="62" spans="1:101" ht="17" thickTop="1" x14ac:dyDescent="0.2">
      <c r="A62" s="41"/>
      <c r="B62" s="42"/>
      <c r="C62" s="43"/>
      <c r="D62" s="44"/>
      <c r="E62" s="15"/>
      <c r="F62" s="45">
        <f>SUM(F59:F61)</f>
        <v>0.99900000000000011</v>
      </c>
      <c r="G62" s="46" t="s">
        <v>54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77"/>
      <c r="S62" s="45">
        <f>SUM(S59:S61)</f>
        <v>0.99900000000000011</v>
      </c>
      <c r="T62" s="46" t="s">
        <v>54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77"/>
      <c r="AF62" s="45">
        <f>SUM(AF59:AF61)</f>
        <v>0.99900000000000011</v>
      </c>
      <c r="AG62" s="46" t="s">
        <v>54</v>
      </c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77"/>
      <c r="AS62" s="45">
        <f>SUM(AS59:AS61)</f>
        <v>0.99900000000000011</v>
      </c>
      <c r="AT62" s="46" t="s">
        <v>54</v>
      </c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77"/>
      <c r="BF62" s="45">
        <f>SUM(BF59:BF61)</f>
        <v>0.99900000000000011</v>
      </c>
      <c r="BG62" s="46" t="s">
        <v>54</v>
      </c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77"/>
      <c r="BS62" s="45">
        <f>SUM(BS59:BS61)</f>
        <v>0.99900000000000011</v>
      </c>
      <c r="BT62" s="46" t="s">
        <v>54</v>
      </c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77"/>
      <c r="CF62" s="45">
        <f>SUM(CF59:CF61)</f>
        <v>0.99900000000000011</v>
      </c>
      <c r="CG62" s="46" t="s">
        <v>54</v>
      </c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77"/>
    </row>
    <row r="63" spans="1:101" x14ac:dyDescent="0.2">
      <c r="A63" s="41"/>
      <c r="B63" s="42"/>
      <c r="C63" s="43"/>
      <c r="D63" s="47"/>
      <c r="E63" s="15"/>
      <c r="F63" s="23"/>
      <c r="G63" s="3"/>
      <c r="H63" s="48" t="s">
        <v>55</v>
      </c>
      <c r="I63" s="3"/>
      <c r="J63" s="3"/>
      <c r="K63" s="3"/>
      <c r="L63" s="3"/>
      <c r="M63" s="3"/>
      <c r="N63" s="3"/>
      <c r="O63" s="6"/>
      <c r="P63" s="3"/>
      <c r="Q63" s="3"/>
      <c r="R63" s="77"/>
      <c r="S63" s="23"/>
      <c r="T63" s="3"/>
      <c r="U63" s="48" t="s">
        <v>55</v>
      </c>
      <c r="V63" s="3"/>
      <c r="W63" s="3"/>
      <c r="X63" s="3"/>
      <c r="Y63" s="3"/>
      <c r="Z63" s="3"/>
      <c r="AA63" s="3"/>
      <c r="AB63" s="6"/>
      <c r="AC63" s="3"/>
      <c r="AD63" s="3"/>
      <c r="AE63" s="77"/>
      <c r="AF63" s="23"/>
      <c r="AG63" s="3"/>
      <c r="AH63" s="48" t="s">
        <v>55</v>
      </c>
      <c r="AI63" s="3"/>
      <c r="AJ63" s="3"/>
      <c r="AK63" s="3"/>
      <c r="AL63" s="3"/>
      <c r="AM63" s="3"/>
      <c r="AN63" s="3"/>
      <c r="AO63" s="6"/>
      <c r="AP63" s="3"/>
      <c r="AQ63" s="3"/>
      <c r="AR63" s="77"/>
      <c r="AS63" s="23"/>
      <c r="AT63" s="3"/>
      <c r="AU63" s="48" t="s">
        <v>55</v>
      </c>
      <c r="AV63" s="3"/>
      <c r="AW63" s="3"/>
      <c r="AX63" s="3"/>
      <c r="AY63" s="3"/>
      <c r="AZ63" s="3"/>
      <c r="BA63" s="3"/>
      <c r="BB63" s="6"/>
      <c r="BC63" s="3"/>
      <c r="BD63" s="3"/>
      <c r="BE63" s="77"/>
      <c r="BF63" s="23"/>
      <c r="BG63" s="3"/>
      <c r="BH63" s="48" t="s">
        <v>55</v>
      </c>
      <c r="BI63" s="3"/>
      <c r="BJ63" s="3"/>
      <c r="BK63" s="3"/>
      <c r="BL63" s="3"/>
      <c r="BM63" s="3"/>
      <c r="BN63" s="3"/>
      <c r="BO63" s="6"/>
      <c r="BP63" s="3"/>
      <c r="BQ63" s="3"/>
      <c r="BR63" s="77"/>
      <c r="BS63" s="23"/>
      <c r="BT63" s="3"/>
      <c r="BU63" s="48" t="s">
        <v>55</v>
      </c>
      <c r="BV63" s="3"/>
      <c r="BW63" s="3"/>
      <c r="BX63" s="3"/>
      <c r="BY63" s="3"/>
      <c r="BZ63" s="3"/>
      <c r="CA63" s="3"/>
      <c r="CB63" s="6"/>
      <c r="CC63" s="3"/>
      <c r="CD63" s="3"/>
      <c r="CE63" s="77"/>
      <c r="CF63" s="23"/>
      <c r="CG63" s="3"/>
      <c r="CH63" s="48" t="s">
        <v>55</v>
      </c>
      <c r="CI63" s="3"/>
      <c r="CJ63" s="3"/>
      <c r="CK63" s="3"/>
      <c r="CL63" s="3"/>
      <c r="CM63" s="3"/>
      <c r="CN63" s="3"/>
      <c r="CO63" s="6"/>
      <c r="CP63" s="3"/>
      <c r="CQ63" s="3"/>
      <c r="CR63" s="77"/>
    </row>
    <row r="64" spans="1:101" ht="17" thickBot="1" x14ac:dyDescent="0.25">
      <c r="A64" s="41"/>
      <c r="B64" s="42"/>
      <c r="C64" s="43"/>
      <c r="D64" s="47"/>
      <c r="E64" s="15"/>
      <c r="F64" s="49" t="s">
        <v>56</v>
      </c>
      <c r="G64" s="50"/>
      <c r="H64" s="133"/>
      <c r="I64" s="142"/>
      <c r="J64" s="142"/>
      <c r="K64" s="142"/>
      <c r="L64" s="143"/>
      <c r="M64" s="66"/>
      <c r="N64" s="66"/>
      <c r="O64" s="6"/>
      <c r="P64" s="3"/>
      <c r="Q64" s="3"/>
      <c r="R64" s="77"/>
      <c r="S64" s="49" t="s">
        <v>56</v>
      </c>
      <c r="T64" s="50"/>
      <c r="U64" s="133"/>
      <c r="V64" s="134"/>
      <c r="W64" s="134"/>
      <c r="X64" s="134"/>
      <c r="Y64" s="135"/>
      <c r="Z64" s="122"/>
      <c r="AA64" s="66"/>
      <c r="AB64" s="6"/>
      <c r="AC64" s="3"/>
      <c r="AD64" s="3"/>
      <c r="AE64" s="77"/>
      <c r="AF64" s="49" t="s">
        <v>56</v>
      </c>
      <c r="AG64" s="50"/>
      <c r="AH64" s="133"/>
      <c r="AI64" s="134"/>
      <c r="AJ64" s="134"/>
      <c r="AK64" s="134"/>
      <c r="AL64" s="135"/>
      <c r="AM64" s="122"/>
      <c r="AN64" s="66"/>
      <c r="AO64" s="6"/>
      <c r="AP64" s="3"/>
      <c r="AQ64" s="3"/>
      <c r="AR64" s="77"/>
      <c r="AS64" s="49" t="s">
        <v>56</v>
      </c>
      <c r="AT64" s="50"/>
      <c r="AU64" s="133"/>
      <c r="AV64" s="134"/>
      <c r="AW64" s="134"/>
      <c r="AX64" s="134"/>
      <c r="AY64" s="135"/>
      <c r="AZ64" s="122"/>
      <c r="BA64" s="66"/>
      <c r="BB64" s="6"/>
      <c r="BC64" s="3"/>
      <c r="BD64" s="3"/>
      <c r="BE64" s="77"/>
      <c r="BF64" s="49" t="s">
        <v>56</v>
      </c>
      <c r="BG64" s="50"/>
      <c r="BH64" s="133"/>
      <c r="BI64" s="134"/>
      <c r="BJ64" s="134"/>
      <c r="BK64" s="134"/>
      <c r="BL64" s="135"/>
      <c r="BM64" s="122"/>
      <c r="BN64" s="66"/>
      <c r="BO64" s="6"/>
      <c r="BP64" s="3"/>
      <c r="BQ64" s="3"/>
      <c r="BR64" s="77"/>
      <c r="BS64" s="49" t="s">
        <v>56</v>
      </c>
      <c r="BT64" s="50"/>
      <c r="BU64" s="133"/>
      <c r="BV64" s="134"/>
      <c r="BW64" s="134"/>
      <c r="BX64" s="134"/>
      <c r="BY64" s="135"/>
      <c r="BZ64" s="122"/>
      <c r="CA64" s="66"/>
      <c r="CB64" s="6"/>
      <c r="CC64" s="3"/>
      <c r="CD64" s="3"/>
      <c r="CE64" s="77"/>
      <c r="CF64" s="49" t="s">
        <v>56</v>
      </c>
      <c r="CG64" s="50"/>
      <c r="CH64" s="133"/>
      <c r="CI64" s="134"/>
      <c r="CJ64" s="134"/>
      <c r="CK64" s="134"/>
      <c r="CL64" s="135"/>
      <c r="CM64" s="122"/>
      <c r="CN64" s="66"/>
      <c r="CO64" s="6"/>
      <c r="CP64" s="3"/>
      <c r="CQ64" s="3"/>
      <c r="CR64" s="77"/>
    </row>
    <row r="65" spans="1:96" ht="17" thickTop="1" x14ac:dyDescent="0.2">
      <c r="A65" s="150" t="s">
        <v>57</v>
      </c>
      <c r="B65" s="142"/>
      <c r="C65" s="143"/>
      <c r="D65" s="51" t="s">
        <v>58</v>
      </c>
      <c r="E65" s="15"/>
      <c r="F65" s="52"/>
      <c r="G65" s="53" t="s">
        <v>58</v>
      </c>
      <c r="H65" s="144"/>
      <c r="I65" s="145"/>
      <c r="J65" s="145"/>
      <c r="K65" s="145"/>
      <c r="L65" s="146"/>
      <c r="M65" s="66"/>
      <c r="N65" s="66"/>
      <c r="O65" s="6"/>
      <c r="P65" s="3"/>
      <c r="Q65" s="3"/>
      <c r="R65" s="77"/>
      <c r="S65" s="52"/>
      <c r="T65" s="53" t="s">
        <v>58</v>
      </c>
      <c r="U65" s="136"/>
      <c r="V65" s="137"/>
      <c r="W65" s="137"/>
      <c r="X65" s="137"/>
      <c r="Y65" s="138"/>
      <c r="Z65" s="122"/>
      <c r="AA65" s="66"/>
      <c r="AB65" s="6"/>
      <c r="AC65" s="3"/>
      <c r="AD65" s="3"/>
      <c r="AE65" s="77"/>
      <c r="AF65" s="52"/>
      <c r="AG65" s="53" t="s">
        <v>58</v>
      </c>
      <c r="AH65" s="136"/>
      <c r="AI65" s="137"/>
      <c r="AJ65" s="137"/>
      <c r="AK65" s="137"/>
      <c r="AL65" s="138"/>
      <c r="AM65" s="122"/>
      <c r="AN65" s="66"/>
      <c r="AO65" s="6"/>
      <c r="AP65" s="3"/>
      <c r="AQ65" s="3"/>
      <c r="AR65" s="77"/>
      <c r="AS65" s="52"/>
      <c r="AT65" s="53" t="s">
        <v>58</v>
      </c>
      <c r="AU65" s="136"/>
      <c r="AV65" s="137"/>
      <c r="AW65" s="137"/>
      <c r="AX65" s="137"/>
      <c r="AY65" s="138"/>
      <c r="AZ65" s="122"/>
      <c r="BA65" s="66"/>
      <c r="BB65" s="6"/>
      <c r="BC65" s="3"/>
      <c r="BD65" s="3"/>
      <c r="BE65" s="77"/>
      <c r="BF65" s="52"/>
      <c r="BG65" s="53" t="s">
        <v>58</v>
      </c>
      <c r="BH65" s="136"/>
      <c r="BI65" s="137"/>
      <c r="BJ65" s="137"/>
      <c r="BK65" s="137"/>
      <c r="BL65" s="138"/>
      <c r="BM65" s="122"/>
      <c r="BN65" s="66"/>
      <c r="BO65" s="6"/>
      <c r="BP65" s="3"/>
      <c r="BQ65" s="3"/>
      <c r="BR65" s="77"/>
      <c r="BS65" s="52"/>
      <c r="BT65" s="53" t="s">
        <v>58</v>
      </c>
      <c r="BU65" s="136"/>
      <c r="BV65" s="137"/>
      <c r="BW65" s="137"/>
      <c r="BX65" s="137"/>
      <c r="BY65" s="138"/>
      <c r="BZ65" s="122"/>
      <c r="CA65" s="66"/>
      <c r="CB65" s="6"/>
      <c r="CC65" s="3"/>
      <c r="CD65" s="3"/>
      <c r="CE65" s="77"/>
      <c r="CF65" s="52"/>
      <c r="CG65" s="53" t="s">
        <v>58</v>
      </c>
      <c r="CH65" s="136"/>
      <c r="CI65" s="137"/>
      <c r="CJ65" s="137"/>
      <c r="CK65" s="137"/>
      <c r="CL65" s="138"/>
      <c r="CM65" s="122"/>
      <c r="CN65" s="66"/>
      <c r="CO65" s="6"/>
      <c r="CP65" s="3"/>
      <c r="CQ65" s="3"/>
      <c r="CR65" s="77"/>
    </row>
    <row r="66" spans="1:96" x14ac:dyDescent="0.2">
      <c r="A66" s="151" t="s">
        <v>59</v>
      </c>
      <c r="B66" s="145"/>
      <c r="C66" s="145"/>
      <c r="D66" s="39" t="s">
        <v>60</v>
      </c>
      <c r="E66" s="15"/>
      <c r="F66" s="54"/>
      <c r="G66" s="53" t="s">
        <v>61</v>
      </c>
      <c r="H66" s="144"/>
      <c r="I66" s="145"/>
      <c r="J66" s="145"/>
      <c r="K66" s="145"/>
      <c r="L66" s="146"/>
      <c r="M66" s="66"/>
      <c r="N66" s="66"/>
      <c r="O66" s="6"/>
      <c r="P66" s="3"/>
      <c r="Q66" s="3"/>
      <c r="R66" s="77"/>
      <c r="S66" s="54"/>
      <c r="T66" s="53" t="s">
        <v>61</v>
      </c>
      <c r="U66" s="136"/>
      <c r="V66" s="137"/>
      <c r="W66" s="137"/>
      <c r="X66" s="137"/>
      <c r="Y66" s="138"/>
      <c r="Z66" s="122"/>
      <c r="AA66" s="66"/>
      <c r="AB66" s="6"/>
      <c r="AC66" s="3"/>
      <c r="AD66" s="3"/>
      <c r="AE66" s="77"/>
      <c r="AF66" s="54"/>
      <c r="AG66" s="53" t="s">
        <v>61</v>
      </c>
      <c r="AH66" s="136"/>
      <c r="AI66" s="137"/>
      <c r="AJ66" s="137"/>
      <c r="AK66" s="137"/>
      <c r="AL66" s="138"/>
      <c r="AM66" s="122"/>
      <c r="AN66" s="66"/>
      <c r="AO66" s="6"/>
      <c r="AP66" s="3"/>
      <c r="AQ66" s="3"/>
      <c r="AR66" s="77"/>
      <c r="AS66" s="54"/>
      <c r="AT66" s="53" t="s">
        <v>61</v>
      </c>
      <c r="AU66" s="136"/>
      <c r="AV66" s="137"/>
      <c r="AW66" s="137"/>
      <c r="AX66" s="137"/>
      <c r="AY66" s="138"/>
      <c r="AZ66" s="122"/>
      <c r="BA66" s="66"/>
      <c r="BB66" s="6"/>
      <c r="BC66" s="3"/>
      <c r="BD66" s="3"/>
      <c r="BE66" s="77"/>
      <c r="BF66" s="54"/>
      <c r="BG66" s="53" t="s">
        <v>61</v>
      </c>
      <c r="BH66" s="136"/>
      <c r="BI66" s="137"/>
      <c r="BJ66" s="137"/>
      <c r="BK66" s="137"/>
      <c r="BL66" s="138"/>
      <c r="BM66" s="122"/>
      <c r="BN66" s="66"/>
      <c r="BO66" s="6"/>
      <c r="BP66" s="3"/>
      <c r="BQ66" s="3"/>
      <c r="BR66" s="77"/>
      <c r="BS66" s="54"/>
      <c r="BT66" s="53" t="s">
        <v>61</v>
      </c>
      <c r="BU66" s="136"/>
      <c r="BV66" s="137"/>
      <c r="BW66" s="137"/>
      <c r="BX66" s="137"/>
      <c r="BY66" s="138"/>
      <c r="BZ66" s="122"/>
      <c r="CA66" s="66"/>
      <c r="CB66" s="6"/>
      <c r="CC66" s="3"/>
      <c r="CD66" s="3"/>
      <c r="CE66" s="77"/>
      <c r="CF66" s="54"/>
      <c r="CG66" s="53" t="s">
        <v>61</v>
      </c>
      <c r="CH66" s="136"/>
      <c r="CI66" s="137"/>
      <c r="CJ66" s="137"/>
      <c r="CK66" s="137"/>
      <c r="CL66" s="138"/>
      <c r="CM66" s="122"/>
      <c r="CN66" s="66"/>
      <c r="CO66" s="6"/>
      <c r="CP66" s="3"/>
      <c r="CQ66" s="3"/>
      <c r="CR66" s="77"/>
    </row>
    <row r="67" spans="1:96" x14ac:dyDescent="0.2">
      <c r="A67" s="151" t="s">
        <v>62</v>
      </c>
      <c r="B67" s="145"/>
      <c r="C67" s="146"/>
      <c r="D67" s="39" t="s">
        <v>62</v>
      </c>
      <c r="E67" s="15"/>
      <c r="F67" s="55">
        <f>P52+Q52</f>
        <v>0</v>
      </c>
      <c r="G67" s="53" t="s">
        <v>62</v>
      </c>
      <c r="H67" s="144"/>
      <c r="I67" s="145"/>
      <c r="J67" s="145"/>
      <c r="K67" s="145"/>
      <c r="L67" s="146"/>
      <c r="M67" s="66"/>
      <c r="N67" s="66"/>
      <c r="O67" s="6"/>
      <c r="P67" s="3"/>
      <c r="Q67" s="3"/>
      <c r="R67" s="77"/>
      <c r="S67" s="55">
        <f>AC52+AD52</f>
        <v>0</v>
      </c>
      <c r="T67" s="53" t="s">
        <v>62</v>
      </c>
      <c r="U67" s="136"/>
      <c r="V67" s="137"/>
      <c r="W67" s="137"/>
      <c r="X67" s="137"/>
      <c r="Y67" s="138"/>
      <c r="Z67" s="122"/>
      <c r="AA67" s="66"/>
      <c r="AB67" s="6"/>
      <c r="AC67" s="3"/>
      <c r="AD67" s="3"/>
      <c r="AE67" s="77"/>
      <c r="AF67" s="55">
        <f>AP52+AQ52</f>
        <v>0</v>
      </c>
      <c r="AG67" s="53" t="s">
        <v>62</v>
      </c>
      <c r="AH67" s="136"/>
      <c r="AI67" s="137"/>
      <c r="AJ67" s="137"/>
      <c r="AK67" s="137"/>
      <c r="AL67" s="138"/>
      <c r="AM67" s="122"/>
      <c r="AN67" s="66"/>
      <c r="AO67" s="6"/>
      <c r="AP67" s="3"/>
      <c r="AQ67" s="3"/>
      <c r="AR67" s="77"/>
      <c r="AS67" s="55">
        <f>BC52+BD52</f>
        <v>0</v>
      </c>
      <c r="AT67" s="53" t="s">
        <v>62</v>
      </c>
      <c r="AU67" s="136"/>
      <c r="AV67" s="137"/>
      <c r="AW67" s="137"/>
      <c r="AX67" s="137"/>
      <c r="AY67" s="138"/>
      <c r="AZ67" s="122"/>
      <c r="BA67" s="66"/>
      <c r="BB67" s="6"/>
      <c r="BC67" s="3"/>
      <c r="BD67" s="3"/>
      <c r="BE67" s="77"/>
      <c r="BF67" s="55">
        <f>BP52+BQ52</f>
        <v>0</v>
      </c>
      <c r="BG67" s="53" t="s">
        <v>62</v>
      </c>
      <c r="BH67" s="136"/>
      <c r="BI67" s="137"/>
      <c r="BJ67" s="137"/>
      <c r="BK67" s="137"/>
      <c r="BL67" s="138"/>
      <c r="BM67" s="122"/>
      <c r="BN67" s="66"/>
      <c r="BO67" s="6"/>
      <c r="BP67" s="3"/>
      <c r="BQ67" s="3"/>
      <c r="BR67" s="77"/>
      <c r="BS67" s="55">
        <f>CC52+CD52</f>
        <v>0</v>
      </c>
      <c r="BT67" s="53" t="s">
        <v>62</v>
      </c>
      <c r="BU67" s="136"/>
      <c r="BV67" s="137"/>
      <c r="BW67" s="137"/>
      <c r="BX67" s="137"/>
      <c r="BY67" s="138"/>
      <c r="BZ67" s="122"/>
      <c r="CA67" s="66"/>
      <c r="CB67" s="6"/>
      <c r="CC67" s="3"/>
      <c r="CD67" s="3"/>
      <c r="CE67" s="77"/>
      <c r="CF67" s="55">
        <f>CP52+CQ52</f>
        <v>0</v>
      </c>
      <c r="CG67" s="53" t="s">
        <v>62</v>
      </c>
      <c r="CH67" s="136"/>
      <c r="CI67" s="137"/>
      <c r="CJ67" s="137"/>
      <c r="CK67" s="137"/>
      <c r="CL67" s="138"/>
      <c r="CM67" s="122"/>
      <c r="CN67" s="66"/>
      <c r="CO67" s="6"/>
      <c r="CP67" s="3"/>
      <c r="CQ67" s="3"/>
      <c r="CR67" s="77"/>
    </row>
    <row r="68" spans="1:96" ht="17" thickBot="1" x14ac:dyDescent="0.25">
      <c r="A68" s="152" t="s">
        <v>63</v>
      </c>
      <c r="B68" s="153"/>
      <c r="C68" s="154"/>
      <c r="D68" s="56" t="s">
        <v>64</v>
      </c>
      <c r="E68" s="15"/>
      <c r="F68" s="57" t="s">
        <v>65</v>
      </c>
      <c r="G68" s="58" t="s">
        <v>64</v>
      </c>
      <c r="H68" s="147"/>
      <c r="I68" s="148"/>
      <c r="J68" s="148"/>
      <c r="K68" s="148"/>
      <c r="L68" s="149"/>
      <c r="M68" s="59"/>
      <c r="N68" s="59"/>
      <c r="O68" s="60"/>
      <c r="P68" s="61"/>
      <c r="Q68" s="61"/>
      <c r="R68" s="77"/>
      <c r="S68" s="57" t="s">
        <v>65</v>
      </c>
      <c r="T68" s="58" t="s">
        <v>64</v>
      </c>
      <c r="U68" s="139"/>
      <c r="V68" s="140"/>
      <c r="W68" s="140"/>
      <c r="X68" s="140"/>
      <c r="Y68" s="141"/>
      <c r="Z68" s="121"/>
      <c r="AA68" s="59"/>
      <c r="AB68" s="60"/>
      <c r="AC68" s="61"/>
      <c r="AD68" s="61"/>
      <c r="AE68" s="77"/>
      <c r="AF68" s="57" t="s">
        <v>65</v>
      </c>
      <c r="AG68" s="58" t="s">
        <v>64</v>
      </c>
      <c r="AH68" s="139"/>
      <c r="AI68" s="140"/>
      <c r="AJ68" s="140"/>
      <c r="AK68" s="140"/>
      <c r="AL68" s="141"/>
      <c r="AM68" s="121"/>
      <c r="AN68" s="59"/>
      <c r="AO68" s="60"/>
      <c r="AP68" s="61"/>
      <c r="AQ68" s="61"/>
      <c r="AR68" s="77"/>
      <c r="AS68" s="57" t="s">
        <v>65</v>
      </c>
      <c r="AT68" s="58" t="s">
        <v>64</v>
      </c>
      <c r="AU68" s="139"/>
      <c r="AV68" s="140"/>
      <c r="AW68" s="140"/>
      <c r="AX68" s="140"/>
      <c r="AY68" s="141"/>
      <c r="AZ68" s="121"/>
      <c r="BA68" s="59"/>
      <c r="BB68" s="60"/>
      <c r="BC68" s="61"/>
      <c r="BD68" s="61"/>
      <c r="BE68" s="77"/>
      <c r="BF68" s="57" t="s">
        <v>65</v>
      </c>
      <c r="BG68" s="58" t="s">
        <v>64</v>
      </c>
      <c r="BH68" s="139"/>
      <c r="BI68" s="140"/>
      <c r="BJ68" s="140"/>
      <c r="BK68" s="140"/>
      <c r="BL68" s="141"/>
      <c r="BM68" s="121"/>
      <c r="BN68" s="59"/>
      <c r="BO68" s="60"/>
      <c r="BP68" s="61"/>
      <c r="BQ68" s="61"/>
      <c r="BR68" s="77"/>
      <c r="BS68" s="57" t="s">
        <v>65</v>
      </c>
      <c r="BT68" s="58" t="s">
        <v>64</v>
      </c>
      <c r="BU68" s="139"/>
      <c r="BV68" s="140"/>
      <c r="BW68" s="140"/>
      <c r="BX68" s="140"/>
      <c r="BY68" s="141"/>
      <c r="BZ68" s="121"/>
      <c r="CA68" s="59"/>
      <c r="CB68" s="60"/>
      <c r="CC68" s="61"/>
      <c r="CD68" s="61"/>
      <c r="CE68" s="77"/>
      <c r="CF68" s="57" t="s">
        <v>65</v>
      </c>
      <c r="CG68" s="58" t="s">
        <v>64</v>
      </c>
      <c r="CH68" s="139"/>
      <c r="CI68" s="140"/>
      <c r="CJ68" s="140"/>
      <c r="CK68" s="140"/>
      <c r="CL68" s="141"/>
      <c r="CM68" s="121"/>
      <c r="CN68" s="59"/>
      <c r="CO68" s="60"/>
      <c r="CP68" s="61"/>
      <c r="CQ68" s="61"/>
      <c r="CR68" s="77"/>
    </row>
    <row r="69" spans="1:96" ht="17" thickTop="1" x14ac:dyDescent="0.2"/>
  </sheetData>
  <mergeCells count="35">
    <mergeCell ref="J3:N3"/>
    <mergeCell ref="A50:C50"/>
    <mergeCell ref="A52:C52"/>
    <mergeCell ref="A1:B1"/>
    <mergeCell ref="A2:B2"/>
    <mergeCell ref="C3:C4"/>
    <mergeCell ref="D3:D4"/>
    <mergeCell ref="U64:Y68"/>
    <mergeCell ref="W3:AA3"/>
    <mergeCell ref="AH64:AL68"/>
    <mergeCell ref="AW3:BA3"/>
    <mergeCell ref="BB51:BB52"/>
    <mergeCell ref="AU64:AY68"/>
    <mergeCell ref="AJ3:AN3"/>
    <mergeCell ref="AB51:AB52"/>
    <mergeCell ref="A53:C53"/>
    <mergeCell ref="A54:C54"/>
    <mergeCell ref="A58:D58"/>
    <mergeCell ref="A59:C61"/>
    <mergeCell ref="AO51:AO52"/>
    <mergeCell ref="O51:O52"/>
    <mergeCell ref="H64:L68"/>
    <mergeCell ref="A65:C65"/>
    <mergeCell ref="A66:C66"/>
    <mergeCell ref="A67:C67"/>
    <mergeCell ref="A68:C68"/>
    <mergeCell ref="CJ3:CN3"/>
    <mergeCell ref="CO51:CO52"/>
    <mergeCell ref="CH64:CL68"/>
    <mergeCell ref="BJ3:BN3"/>
    <mergeCell ref="BO51:BO52"/>
    <mergeCell ref="BH64:BL68"/>
    <mergeCell ref="BW3:CA3"/>
    <mergeCell ref="CB51:CB52"/>
    <mergeCell ref="BU64:BY68"/>
  </mergeCells>
  <conditionalFormatting sqref="B55">
    <cfRule type="containsText" dxfId="40" priority="51" operator="containsText" text="Sent to Vendor">
      <formula>NOT(ISERROR(SEARCH(("Sent to Vendor"),(B55))))</formula>
    </cfRule>
  </conditionalFormatting>
  <conditionalFormatting sqref="B56:B57">
    <cfRule type="expression" dxfId="39" priority="53">
      <formula>B55="Sent to Vendor"</formula>
    </cfRule>
  </conditionalFormatting>
  <conditionalFormatting sqref="B57">
    <cfRule type="expression" dxfId="38" priority="55">
      <formula>B55="Sent to Vendor"</formula>
    </cfRule>
  </conditionalFormatting>
  <conditionalFormatting sqref="D54">
    <cfRule type="expression" dxfId="37" priority="52">
      <formula>B55="Sent to Vendor"</formula>
    </cfRule>
  </conditionalFormatting>
  <conditionalFormatting sqref="F52">
    <cfRule type="cellIs" dxfId="36" priority="23" operator="equal">
      <formula>"ACTIVE"</formula>
    </cfRule>
    <cfRule type="cellIs" dxfId="35" priority="22" operator="equal">
      <formula>"INACTIVE"</formula>
    </cfRule>
  </conditionalFormatting>
  <conditionalFormatting sqref="F66">
    <cfRule type="expression" dxfId="34" priority="54">
      <formula>F68="approved"</formula>
    </cfRule>
  </conditionalFormatting>
  <conditionalFormatting sqref="F68">
    <cfRule type="containsText" dxfId="33" priority="46" operator="containsText" text="Pending">
      <formula>NOT(ISERROR(SEARCH(("Pending"),(F68))))</formula>
    </cfRule>
    <cfRule type="containsText" dxfId="32" priority="45" operator="containsText" text="Approved">
      <formula>NOT(ISERROR(SEARCH(("Approved"),(F68))))</formula>
    </cfRule>
  </conditionalFormatting>
  <conditionalFormatting sqref="S52">
    <cfRule type="cellIs" dxfId="31" priority="20" operator="equal">
      <formula>"INACTIVE"</formula>
    </cfRule>
    <cfRule type="cellIs" dxfId="30" priority="21" operator="equal">
      <formula>"ACTIVE"</formula>
    </cfRule>
  </conditionalFormatting>
  <conditionalFormatting sqref="S66">
    <cfRule type="expression" dxfId="29" priority="32">
      <formula>S68="approved"</formula>
    </cfRule>
  </conditionalFormatting>
  <conditionalFormatting sqref="S68">
    <cfRule type="containsText" dxfId="28" priority="31" operator="containsText" text="Pending">
      <formula>NOT(ISERROR(SEARCH(("Pending"),(S68))))</formula>
    </cfRule>
    <cfRule type="containsText" dxfId="27" priority="30" operator="containsText" text="Approved">
      <formula>NOT(ISERROR(SEARCH(("Approved"),(S68))))</formula>
    </cfRule>
  </conditionalFormatting>
  <conditionalFormatting sqref="AF52">
    <cfRule type="cellIs" dxfId="26" priority="18" operator="equal">
      <formula>"INACTIVE"</formula>
    </cfRule>
    <cfRule type="cellIs" dxfId="25" priority="19" operator="equal">
      <formula>"ACTIVE"</formula>
    </cfRule>
  </conditionalFormatting>
  <conditionalFormatting sqref="AF66">
    <cfRule type="expression" dxfId="24" priority="29">
      <formula>AF68="approved"</formula>
    </cfRule>
  </conditionalFormatting>
  <conditionalFormatting sqref="AF68">
    <cfRule type="containsText" dxfId="23" priority="28" operator="containsText" text="Pending">
      <formula>NOT(ISERROR(SEARCH(("Pending"),(AF68))))</formula>
    </cfRule>
    <cfRule type="containsText" dxfId="22" priority="27" operator="containsText" text="Approved">
      <formula>NOT(ISERROR(SEARCH(("Approved"),(AF68))))</formula>
    </cfRule>
  </conditionalFormatting>
  <conditionalFormatting sqref="AS52">
    <cfRule type="cellIs" dxfId="21" priority="16" operator="equal">
      <formula>"INACTIVE"</formula>
    </cfRule>
    <cfRule type="cellIs" dxfId="20" priority="17" operator="equal">
      <formula>"ACTIVE"</formula>
    </cfRule>
  </conditionalFormatting>
  <conditionalFormatting sqref="AS66">
    <cfRule type="expression" dxfId="19" priority="26">
      <formula>AS68="approved"</formula>
    </cfRule>
  </conditionalFormatting>
  <conditionalFormatting sqref="AS68">
    <cfRule type="containsText" dxfId="18" priority="25" operator="containsText" text="Pending">
      <formula>NOT(ISERROR(SEARCH(("Pending"),(AS68))))</formula>
    </cfRule>
    <cfRule type="containsText" dxfId="17" priority="24" operator="containsText" text="Approved">
      <formula>NOT(ISERROR(SEARCH(("Approved"),(AS68))))</formula>
    </cfRule>
  </conditionalFormatting>
  <conditionalFormatting sqref="BF52">
    <cfRule type="cellIs" dxfId="16" priority="11" operator="equal">
      <formula>"INACTIVE"</formula>
    </cfRule>
    <cfRule type="cellIs" dxfId="15" priority="12" operator="equal">
      <formula>"ACTIVE"</formula>
    </cfRule>
  </conditionalFormatting>
  <conditionalFormatting sqref="BF66">
    <cfRule type="expression" dxfId="14" priority="15">
      <formula>BF68="approved"</formula>
    </cfRule>
  </conditionalFormatting>
  <conditionalFormatting sqref="BF68">
    <cfRule type="containsText" dxfId="13" priority="14" operator="containsText" text="Pending">
      <formula>NOT(ISERROR(SEARCH(("Pending"),(BF68))))</formula>
    </cfRule>
    <cfRule type="containsText" dxfId="12" priority="13" operator="containsText" text="Approved">
      <formula>NOT(ISERROR(SEARCH(("Approved"),(BF68))))</formula>
    </cfRule>
  </conditionalFormatting>
  <conditionalFormatting sqref="BS52">
    <cfRule type="cellIs" dxfId="11" priority="7" operator="equal">
      <formula>"ACTIVE"</formula>
    </cfRule>
    <cfRule type="cellIs" dxfId="10" priority="6" operator="equal">
      <formula>"INACTIVE"</formula>
    </cfRule>
  </conditionalFormatting>
  <conditionalFormatting sqref="BS66">
    <cfRule type="expression" dxfId="9" priority="10">
      <formula>BS68="approved"</formula>
    </cfRule>
  </conditionalFormatting>
  <conditionalFormatting sqref="BS68">
    <cfRule type="containsText" dxfId="8" priority="8" operator="containsText" text="Approved">
      <formula>NOT(ISERROR(SEARCH(("Approved"),(BS68))))</formula>
    </cfRule>
    <cfRule type="containsText" dxfId="7" priority="9" operator="containsText" text="Pending">
      <formula>NOT(ISERROR(SEARCH(("Pending"),(BS68))))</formula>
    </cfRule>
  </conditionalFormatting>
  <conditionalFormatting sqref="CF52">
    <cfRule type="cellIs" dxfId="6" priority="2" operator="equal">
      <formula>"ACTIVE"</formula>
    </cfRule>
    <cfRule type="cellIs" dxfId="5" priority="1" operator="equal">
      <formula>"INACTIVE"</formula>
    </cfRule>
  </conditionalFormatting>
  <conditionalFormatting sqref="CF66">
    <cfRule type="expression" dxfId="4" priority="5">
      <formula>CF68="approved"</formula>
    </cfRule>
  </conditionalFormatting>
  <conditionalFormatting sqref="CF68">
    <cfRule type="containsText" dxfId="3" priority="4" operator="containsText" text="Pending">
      <formula>NOT(ISERROR(SEARCH(("Pending"),(CF68))))</formula>
    </cfRule>
    <cfRule type="containsText" dxfId="2" priority="3" operator="containsText" text="Approved">
      <formula>NOT(ISERROR(SEARCH(("Approved"),(CF68))))</formula>
    </cfRule>
  </conditionalFormatting>
  <dataValidations disablePrompts="1" count="2">
    <dataValidation type="list" allowBlank="1" showErrorMessage="1" sqref="B55" xr:uid="{B9F329EC-90DD-0347-A92B-B8865A276394}">
      <formula1>"Not Sent,Sent to Vendor"</formula1>
    </dataValidation>
    <dataValidation type="list" allowBlank="1" showErrorMessage="1" sqref="F68 S68 AF68 AS68 BF68 BS68 CF68" xr:uid="{D1B00CC0-A2BF-CA4D-956B-919406BD0A63}">
      <formula1>"Not Received,Approved,Rejected"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979201C-FF0A-FA4E-B1D0-C965CFB79BC0}">
          <x14:formula1>
            <xm:f>'Data Validation'!$A$3:$A$13</xm:f>
          </x14:formula1>
          <xm:sqref>F3 S3 AF3 AS3 BF3 BS3 CF3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57778-EF74-1C4C-A3D9-AD8241D78CCD}">
  <dimension ref="A1:BN58"/>
  <sheetViews>
    <sheetView topLeftCell="AQ1" workbookViewId="0">
      <selection activeCell="BN1" sqref="BN1:BN1048576"/>
    </sheetView>
  </sheetViews>
  <sheetFormatPr baseColWidth="10" defaultColWidth="11" defaultRowHeight="16" outlineLevelCol="1" x14ac:dyDescent="0.2"/>
  <cols>
    <col min="1" max="1" width="15.33203125" customWidth="1"/>
    <col min="2" max="2" width="15.1640625" customWidth="1"/>
    <col min="3" max="3" width="26" customWidth="1"/>
    <col min="4" max="4" width="68.6640625" bestFit="1" customWidth="1"/>
    <col min="5" max="5" width="1" customWidth="1"/>
    <col min="6" max="6" width="12.83203125" customWidth="1"/>
    <col min="7" max="7" width="14.6640625" customWidth="1" outlineLevel="1"/>
    <col min="8" max="12" width="10.83203125" customWidth="1" outlineLevel="1"/>
    <col min="13" max="13" width="1.33203125" customWidth="1"/>
    <col min="14" max="14" width="12.83203125" customWidth="1"/>
    <col min="15" max="15" width="14.6640625" customWidth="1" outlineLevel="1"/>
    <col min="16" max="20" width="10.83203125" customWidth="1" outlineLevel="1"/>
    <col min="21" max="21" width="1.33203125" customWidth="1"/>
    <col min="22" max="22" width="12.83203125" customWidth="1"/>
    <col min="23" max="23" width="14.6640625" customWidth="1" outlineLevel="1"/>
    <col min="24" max="28" width="10.83203125" customWidth="1" outlineLevel="1"/>
    <col min="29" max="29" width="1.33203125" customWidth="1"/>
    <col min="30" max="30" width="12.83203125" customWidth="1"/>
    <col min="31" max="31" width="14.6640625" customWidth="1" outlineLevel="1"/>
    <col min="32" max="36" width="10.83203125" customWidth="1" outlineLevel="1"/>
    <col min="37" max="37" width="1.33203125" customWidth="1"/>
    <col min="38" max="38" width="12.83203125" customWidth="1"/>
    <col min="39" max="39" width="14.6640625" customWidth="1" outlineLevel="1"/>
    <col min="40" max="44" width="10.83203125" customWidth="1" outlineLevel="1"/>
    <col min="45" max="45" width="1.33203125" customWidth="1"/>
    <col min="46" max="46" width="12.83203125" customWidth="1"/>
    <col min="47" max="47" width="14.6640625" customWidth="1" outlineLevel="1"/>
    <col min="48" max="52" width="10.83203125" customWidth="1" outlineLevel="1"/>
    <col min="53" max="53" width="1.33203125" customWidth="1"/>
    <col min="54" max="54" width="12.83203125" customWidth="1"/>
    <col min="55" max="55" width="14.6640625" customWidth="1" outlineLevel="1"/>
    <col min="56" max="60" width="10.83203125" customWidth="1" outlineLevel="1"/>
    <col min="61" max="61" width="1.33203125" customWidth="1"/>
    <col min="62" max="65" width="15.6640625" customWidth="1"/>
    <col min="66" max="66" width="49.5" customWidth="1"/>
  </cols>
  <sheetData>
    <row r="1" spans="1:66" x14ac:dyDescent="0.2">
      <c r="A1" s="165" t="s">
        <v>0</v>
      </c>
      <c r="B1" s="166"/>
      <c r="C1" s="1">
        <f>'Promo Form'!C1</f>
        <v>0</v>
      </c>
      <c r="D1" s="89" t="s">
        <v>66</v>
      </c>
      <c r="E1" s="2"/>
      <c r="F1" s="3"/>
      <c r="G1" s="65"/>
      <c r="H1" s="3"/>
      <c r="I1" s="3"/>
      <c r="J1" s="3"/>
      <c r="K1" s="3"/>
      <c r="L1" s="3"/>
      <c r="M1" s="77"/>
      <c r="N1" s="3"/>
      <c r="O1" s="65"/>
      <c r="P1" s="3"/>
      <c r="Q1" s="3"/>
      <c r="R1" s="3"/>
      <c r="S1" s="3"/>
      <c r="T1" s="3"/>
      <c r="U1" s="77"/>
      <c r="V1" s="3"/>
      <c r="W1" s="65"/>
      <c r="X1" s="3"/>
      <c r="Y1" s="3"/>
      <c r="Z1" s="3"/>
      <c r="AA1" s="3"/>
      <c r="AB1" s="3"/>
      <c r="AC1" s="77"/>
      <c r="AD1" s="3"/>
      <c r="AE1" s="65"/>
      <c r="AF1" s="3"/>
      <c r="AG1" s="3"/>
      <c r="AH1" s="3"/>
      <c r="AI1" s="3"/>
      <c r="AJ1" s="3"/>
      <c r="AK1" s="77"/>
      <c r="AL1" s="3"/>
      <c r="AM1" s="65"/>
      <c r="AN1" s="3"/>
      <c r="AO1" s="3"/>
      <c r="AP1" s="3"/>
      <c r="AQ1" s="3"/>
      <c r="AR1" s="3"/>
      <c r="AS1" s="77"/>
      <c r="AT1" s="3"/>
      <c r="AU1" s="65"/>
      <c r="AV1" s="3"/>
      <c r="AW1" s="3"/>
      <c r="AX1" s="3"/>
      <c r="AY1" s="3"/>
      <c r="AZ1" s="3"/>
      <c r="BA1" s="77"/>
      <c r="BB1" s="3"/>
      <c r="BC1" s="65"/>
      <c r="BD1" s="3"/>
      <c r="BE1" s="3"/>
      <c r="BF1" s="3"/>
      <c r="BG1" s="3"/>
      <c r="BH1" s="3"/>
      <c r="BI1" s="77"/>
    </row>
    <row r="2" spans="1:66" ht="18" x14ac:dyDescent="0.2">
      <c r="A2" s="167" t="s">
        <v>3</v>
      </c>
      <c r="B2" s="168"/>
      <c r="C2" s="4">
        <f>'Promo Form'!C2</f>
        <v>0</v>
      </c>
      <c r="D2" s="5">
        <f>'Promo Form'!D2</f>
        <v>0</v>
      </c>
      <c r="E2" s="2"/>
      <c r="F2" s="120"/>
      <c r="G2" s="6"/>
      <c r="H2" s="3"/>
      <c r="I2" s="3"/>
      <c r="J2" s="3"/>
      <c r="K2" s="3"/>
      <c r="L2" s="67"/>
      <c r="M2" s="77"/>
      <c r="N2" s="120"/>
      <c r="O2" s="6"/>
      <c r="P2" s="3"/>
      <c r="Q2" s="3"/>
      <c r="R2" s="3"/>
      <c r="S2" s="3"/>
      <c r="T2" s="67"/>
      <c r="U2" s="77"/>
      <c r="V2" s="120"/>
      <c r="W2" s="6"/>
      <c r="X2" s="3"/>
      <c r="Y2" s="3"/>
      <c r="Z2" s="3"/>
      <c r="AA2" s="3"/>
      <c r="AB2" s="67"/>
      <c r="AC2" s="77"/>
      <c r="AD2" s="120"/>
      <c r="AE2" s="6"/>
      <c r="AF2" s="3"/>
      <c r="AG2" s="3"/>
      <c r="AH2" s="3"/>
      <c r="AI2" s="3"/>
      <c r="AJ2" s="67"/>
      <c r="AK2" s="77"/>
      <c r="AL2" s="120"/>
      <c r="AM2" s="6"/>
      <c r="AN2" s="3"/>
      <c r="AO2" s="3"/>
      <c r="AP2" s="3"/>
      <c r="AQ2" s="3"/>
      <c r="AR2" s="67"/>
      <c r="AS2" s="77"/>
      <c r="AT2" s="120"/>
      <c r="AU2" s="6"/>
      <c r="AV2" s="3"/>
      <c r="AW2" s="3"/>
      <c r="AX2" s="3"/>
      <c r="AY2" s="3"/>
      <c r="AZ2" s="67"/>
      <c r="BA2" s="77"/>
      <c r="BB2" s="120"/>
      <c r="BC2" s="6"/>
      <c r="BD2" s="3"/>
      <c r="BE2" s="3"/>
      <c r="BF2" s="3"/>
      <c r="BG2" s="3"/>
      <c r="BH2" s="67"/>
      <c r="BI2" s="77"/>
    </row>
    <row r="3" spans="1:66" x14ac:dyDescent="0.2">
      <c r="A3" s="188" t="s">
        <v>5</v>
      </c>
      <c r="B3" s="154"/>
      <c r="C3" s="169" t="s">
        <v>6</v>
      </c>
      <c r="D3" s="171" t="s">
        <v>7</v>
      </c>
      <c r="E3" s="63"/>
      <c r="F3" s="126"/>
      <c r="G3" s="184" t="str">
        <f>'Promo Form'!F3</f>
        <v>AU - Officeworks</v>
      </c>
      <c r="H3" s="184"/>
      <c r="I3" s="184"/>
      <c r="J3" s="184"/>
      <c r="K3" s="184"/>
      <c r="L3" s="184"/>
      <c r="M3" s="78"/>
      <c r="N3" s="126"/>
      <c r="O3" s="184" t="str">
        <f>'Promo Form'!S3</f>
        <v>JB HIFI</v>
      </c>
      <c r="P3" s="184"/>
      <c r="Q3" s="184"/>
      <c r="R3" s="184"/>
      <c r="S3" s="184"/>
      <c r="T3" s="184"/>
      <c r="U3" s="78"/>
      <c r="V3" s="126"/>
      <c r="W3" s="184" t="str">
        <f>'Promo Form'!AF3</f>
        <v>AU - Amazon</v>
      </c>
      <c r="X3" s="184"/>
      <c r="Y3" s="184"/>
      <c r="Z3" s="184"/>
      <c r="AA3" s="184"/>
      <c r="AB3" s="184"/>
      <c r="AC3" s="78"/>
      <c r="AD3" s="126"/>
      <c r="AE3" s="184" t="str">
        <f>'Promo Form'!AS3</f>
        <v>AU - The Good Guys</v>
      </c>
      <c r="AF3" s="184"/>
      <c r="AG3" s="184"/>
      <c r="AH3" s="184"/>
      <c r="AI3" s="184"/>
      <c r="AJ3" s="184"/>
      <c r="AK3" s="78"/>
      <c r="AL3" s="126"/>
      <c r="AM3" s="184" t="str">
        <f>'Promo Form'!BF3</f>
        <v>Bing Lee</v>
      </c>
      <c r="AN3" s="184"/>
      <c r="AO3" s="184"/>
      <c r="AP3" s="184"/>
      <c r="AQ3" s="184"/>
      <c r="AR3" s="184"/>
      <c r="AS3" s="78"/>
      <c r="AT3" s="126"/>
      <c r="AU3" s="184" t="str">
        <f>'Promo Form'!BS3</f>
        <v>Harvey Norman</v>
      </c>
      <c r="AV3" s="184"/>
      <c r="AW3" s="184"/>
      <c r="AX3" s="184"/>
      <c r="AY3" s="184"/>
      <c r="AZ3" s="184"/>
      <c r="BA3" s="78"/>
      <c r="BB3" s="126"/>
      <c r="BC3" s="184" t="str">
        <f>'Promo Form'!CF3</f>
        <v>Harvey Norman</v>
      </c>
      <c r="BD3" s="184"/>
      <c r="BE3" s="184"/>
      <c r="BF3" s="184"/>
      <c r="BG3" s="184"/>
      <c r="BH3" s="184"/>
      <c r="BI3" s="78"/>
      <c r="BL3" s="97"/>
    </row>
    <row r="4" spans="1:66" ht="56" x14ac:dyDescent="0.2">
      <c r="A4" s="7" t="s">
        <v>15</v>
      </c>
      <c r="B4" s="7" t="s">
        <v>16</v>
      </c>
      <c r="C4" s="170"/>
      <c r="D4" s="160"/>
      <c r="E4" s="8"/>
      <c r="F4" s="10" t="s">
        <v>17</v>
      </c>
      <c r="G4" s="10" t="s">
        <v>18</v>
      </c>
      <c r="H4" s="10" t="s">
        <v>21</v>
      </c>
      <c r="I4" s="11" t="s">
        <v>22</v>
      </c>
      <c r="J4" s="11" t="s">
        <v>23</v>
      </c>
      <c r="K4" s="11" t="s">
        <v>67</v>
      </c>
      <c r="L4" s="10" t="s">
        <v>26</v>
      </c>
      <c r="M4" s="79"/>
      <c r="N4" s="111" t="s">
        <v>17</v>
      </c>
      <c r="O4" s="111" t="s">
        <v>18</v>
      </c>
      <c r="P4" s="111" t="s">
        <v>21</v>
      </c>
      <c r="Q4" s="112" t="s">
        <v>22</v>
      </c>
      <c r="R4" s="112" t="s">
        <v>23</v>
      </c>
      <c r="S4" s="11" t="s">
        <v>67</v>
      </c>
      <c r="T4" s="111" t="s">
        <v>26</v>
      </c>
      <c r="U4" s="79"/>
      <c r="V4" s="10" t="s">
        <v>17</v>
      </c>
      <c r="W4" s="10" t="s">
        <v>18</v>
      </c>
      <c r="X4" s="10" t="s">
        <v>21</v>
      </c>
      <c r="Y4" s="11" t="s">
        <v>22</v>
      </c>
      <c r="Z4" s="11" t="s">
        <v>23</v>
      </c>
      <c r="AA4" s="11" t="s">
        <v>67</v>
      </c>
      <c r="AB4" s="10" t="s">
        <v>26</v>
      </c>
      <c r="AC4" s="79"/>
      <c r="AD4" s="10" t="s">
        <v>17</v>
      </c>
      <c r="AE4" s="10" t="s">
        <v>18</v>
      </c>
      <c r="AF4" s="10" t="s">
        <v>21</v>
      </c>
      <c r="AG4" s="11" t="s">
        <v>22</v>
      </c>
      <c r="AH4" s="11" t="s">
        <v>23</v>
      </c>
      <c r="AI4" s="11" t="s">
        <v>67</v>
      </c>
      <c r="AJ4" s="10" t="s">
        <v>26</v>
      </c>
      <c r="AK4" s="79"/>
      <c r="AL4" s="10" t="s">
        <v>17</v>
      </c>
      <c r="AM4" s="10" t="s">
        <v>18</v>
      </c>
      <c r="AN4" s="10" t="s">
        <v>21</v>
      </c>
      <c r="AO4" s="11" t="s">
        <v>22</v>
      </c>
      <c r="AP4" s="11" t="s">
        <v>23</v>
      </c>
      <c r="AQ4" s="11" t="s">
        <v>67</v>
      </c>
      <c r="AR4" s="10" t="s">
        <v>26</v>
      </c>
      <c r="AS4" s="79"/>
      <c r="AT4" s="10" t="s">
        <v>17</v>
      </c>
      <c r="AU4" s="10" t="s">
        <v>18</v>
      </c>
      <c r="AV4" s="10" t="s">
        <v>21</v>
      </c>
      <c r="AW4" s="11" t="s">
        <v>22</v>
      </c>
      <c r="AX4" s="11" t="s">
        <v>23</v>
      </c>
      <c r="AY4" s="11" t="s">
        <v>67</v>
      </c>
      <c r="AZ4" s="10" t="s">
        <v>26</v>
      </c>
      <c r="BA4" s="79"/>
      <c r="BB4" s="10" t="s">
        <v>17</v>
      </c>
      <c r="BC4" s="10" t="s">
        <v>18</v>
      </c>
      <c r="BD4" s="10" t="s">
        <v>21</v>
      </c>
      <c r="BE4" s="11" t="s">
        <v>22</v>
      </c>
      <c r="BF4" s="11" t="s">
        <v>23</v>
      </c>
      <c r="BG4" s="11" t="s">
        <v>67</v>
      </c>
      <c r="BH4" s="10" t="s">
        <v>26</v>
      </c>
      <c r="BI4" s="79"/>
      <c r="BJ4" s="100" t="s">
        <v>29</v>
      </c>
      <c r="BK4" s="100" t="s">
        <v>30</v>
      </c>
      <c r="BL4" s="100" t="s">
        <v>31</v>
      </c>
      <c r="BM4" s="100" t="s">
        <v>32</v>
      </c>
      <c r="BN4" s="100" t="s">
        <v>33</v>
      </c>
    </row>
    <row r="5" spans="1:66" x14ac:dyDescent="0.2">
      <c r="A5" s="12">
        <f>'Promo Form'!A5</f>
        <v>45809</v>
      </c>
      <c r="B5" s="12">
        <f>'Promo Form'!B5</f>
        <v>45822</v>
      </c>
      <c r="C5" s="13" t="str">
        <f>'Promo Form'!C5</f>
        <v>A1902T11</v>
      </c>
      <c r="D5" s="14" t="str">
        <f>'Promo Form'!D5</f>
        <v>ANKER 100W Charging Base for ANKER Prime Power Bank</v>
      </c>
      <c r="E5" s="15"/>
      <c r="F5" s="96" t="str">
        <f>'Promo Form'!F5</f>
        <v/>
      </c>
      <c r="G5" s="68">
        <f>'Promo Form'!G5</f>
        <v>84.98</v>
      </c>
      <c r="H5" s="17">
        <f>'Promo Form'!J5</f>
        <v>9.7912256400000022</v>
      </c>
      <c r="I5" s="18">
        <f>'Promo Form'!K5</f>
        <v>0.52422200647249184</v>
      </c>
      <c r="J5" s="18">
        <f>'Promo Form'!L5</f>
        <v>0.48449454401294478</v>
      </c>
      <c r="K5" s="101" t="str">
        <f>'Promo Form'!N5</f>
        <v/>
      </c>
      <c r="L5" s="102" t="str">
        <f>'Promo Form'!O5</f>
        <v/>
      </c>
      <c r="M5" s="80"/>
      <c r="N5" s="96" t="str">
        <f>'Promo Form'!S5</f>
        <v/>
      </c>
      <c r="O5" s="68">
        <f>'Promo Form'!T5</f>
        <v>0</v>
      </c>
      <c r="P5" s="17" t="str">
        <f>'Promo Form'!W5</f>
        <v/>
      </c>
      <c r="Q5" s="18">
        <f>'Promo Form'!X5</f>
        <v>1</v>
      </c>
      <c r="R5" s="18">
        <f>'Promo Form'!Y5</f>
        <v>1</v>
      </c>
      <c r="S5" s="101" t="str">
        <f>'Promo Form'!AA5</f>
        <v/>
      </c>
      <c r="T5" s="102" t="str">
        <f>'Promo Form'!AB5</f>
        <v/>
      </c>
      <c r="U5" s="80"/>
      <c r="V5" s="96" t="str">
        <f>'Promo Form'!AF5</f>
        <v/>
      </c>
      <c r="W5" s="68">
        <f>'Promo Form'!AG5</f>
        <v>0</v>
      </c>
      <c r="X5" s="17" t="str">
        <f>'Promo Form'!AJ5</f>
        <v/>
      </c>
      <c r="Y5" s="18">
        <f>'Promo Form'!AK5</f>
        <v>1</v>
      </c>
      <c r="Z5" s="18">
        <f>'Promo Form'!AL5</f>
        <v>1</v>
      </c>
      <c r="AA5" s="101" t="str">
        <f>'Promo Form'!AN5</f>
        <v/>
      </c>
      <c r="AB5" s="102" t="str">
        <f>'Promo Form'!AO5</f>
        <v/>
      </c>
      <c r="AC5" s="80"/>
      <c r="AD5" s="96" t="str">
        <f>'Promo Form'!AS5</f>
        <v/>
      </c>
      <c r="AE5" s="68">
        <f>'Promo Form'!AT5</f>
        <v>0</v>
      </c>
      <c r="AF5" s="17" t="str">
        <f>'Promo Form'!AW5</f>
        <v/>
      </c>
      <c r="AG5" s="18">
        <f>'Promo Form'!AX5</f>
        <v>1</v>
      </c>
      <c r="AH5" s="18">
        <f>'Promo Form'!AY5</f>
        <v>1</v>
      </c>
      <c r="AI5" s="101" t="str">
        <f>'Promo Form'!BA5</f>
        <v/>
      </c>
      <c r="AJ5" s="102" t="str">
        <f>'Promo Form'!BB5</f>
        <v/>
      </c>
      <c r="AK5" s="80"/>
      <c r="AL5" s="96" t="str">
        <f>'Promo Form'!BF5</f>
        <v/>
      </c>
      <c r="AM5" s="68">
        <f>'Promo Form'!BG5</f>
        <v>0</v>
      </c>
      <c r="AN5" s="17" t="str">
        <f>'Promo Form'!BJ5</f>
        <v/>
      </c>
      <c r="AO5" s="18">
        <f>'Promo Form'!BK5</f>
        <v>1</v>
      </c>
      <c r="AP5" s="18">
        <f>'Promo Form'!BL5</f>
        <v>1</v>
      </c>
      <c r="AQ5" s="101" t="str">
        <f>'Promo Form'!BN5</f>
        <v/>
      </c>
      <c r="AR5" s="102" t="str">
        <f>'Promo Form'!BO5</f>
        <v/>
      </c>
      <c r="AS5" s="80"/>
      <c r="AT5" s="96" t="str">
        <f>'Promo Form'!BS5</f>
        <v/>
      </c>
      <c r="AU5" s="68">
        <f>'Promo Form'!BT5</f>
        <v>92.7</v>
      </c>
      <c r="AV5" s="17">
        <f>'Promo Form'!BW5</f>
        <v>10.248541200000002</v>
      </c>
      <c r="AW5" s="18">
        <f>'Promo Form'!BX5</f>
        <v>0.50199999999999989</v>
      </c>
      <c r="AX5" s="18">
        <f>'Promo Form'!BY5</f>
        <v>0.46041699999999985</v>
      </c>
      <c r="AY5" s="101" t="str">
        <f>'Promo Form'!CA5</f>
        <v/>
      </c>
      <c r="AZ5" s="102" t="str">
        <f>'Promo Form'!CB5</f>
        <v/>
      </c>
      <c r="BA5" s="80"/>
      <c r="BB5" s="96" t="str">
        <f>'Promo Form'!CF5</f>
        <v/>
      </c>
      <c r="BC5" s="68">
        <f>'Promo Form'!CG5</f>
        <v>92.7</v>
      </c>
      <c r="BD5" s="17">
        <f>'Promo Form'!CJ5</f>
        <v>10.248541200000002</v>
      </c>
      <c r="BE5" s="18">
        <f>'Promo Form'!CK5</f>
        <v>0.50199999999999989</v>
      </c>
      <c r="BF5" s="18">
        <f>'Promo Form'!CL5</f>
        <v>0.46041699999999985</v>
      </c>
      <c r="BG5" s="101" t="str">
        <f>'Promo Form'!CN5</f>
        <v/>
      </c>
      <c r="BH5" s="102" t="str">
        <f>'Promo Form'!CO5</f>
        <v/>
      </c>
      <c r="BI5" s="80"/>
      <c r="BJ5" s="17">
        <f>'Promo Form'!CS5</f>
        <v>169.95</v>
      </c>
      <c r="BK5" s="17">
        <f>'Promo Form'!CT5</f>
        <v>135.95999999999998</v>
      </c>
      <c r="BL5" s="99">
        <f>'Promo Form'!CU5</f>
        <v>0.2</v>
      </c>
      <c r="BM5" s="17">
        <f>'Promo Form'!CV5</f>
        <v>33.990000000000009</v>
      </c>
      <c r="BN5" s="98">
        <f>'Promo Form'!CW5</f>
        <v>0</v>
      </c>
    </row>
    <row r="6" spans="1:66" x14ac:dyDescent="0.2">
      <c r="A6" s="12" t="str">
        <f>'Promo Form'!A6</f>
        <v/>
      </c>
      <c r="B6" s="12" t="str">
        <f>'Promo Form'!B6</f>
        <v/>
      </c>
      <c r="C6" s="13">
        <f>'Promo Form'!C6</f>
        <v>0</v>
      </c>
      <c r="D6" s="14" t="str">
        <f>'Promo Form'!D6</f>
        <v/>
      </c>
      <c r="E6" s="15"/>
      <c r="F6" s="96" t="str">
        <f>'Promo Form'!F6</f>
        <v/>
      </c>
      <c r="G6" s="68" t="str">
        <f>'Promo Form'!G6</f>
        <v/>
      </c>
      <c r="H6" s="17" t="str">
        <f>'Promo Form'!J6</f>
        <v/>
      </c>
      <c r="I6" s="18" t="str">
        <f>'Promo Form'!K6</f>
        <v/>
      </c>
      <c r="J6" s="18" t="str">
        <f>'Promo Form'!L6</f>
        <v/>
      </c>
      <c r="K6" s="101" t="str">
        <f>'Promo Form'!N6</f>
        <v/>
      </c>
      <c r="L6" s="102" t="str">
        <f>'Promo Form'!O6</f>
        <v/>
      </c>
      <c r="M6" s="80"/>
      <c r="N6" s="96" t="str">
        <f>'Promo Form'!S6</f>
        <v/>
      </c>
      <c r="O6" s="68" t="str">
        <f>'Promo Form'!T6</f>
        <v/>
      </c>
      <c r="P6" s="17" t="str">
        <f>'Promo Form'!W6</f>
        <v/>
      </c>
      <c r="Q6" s="18" t="str">
        <f>'Promo Form'!X6</f>
        <v/>
      </c>
      <c r="R6" s="18" t="str">
        <f>'Promo Form'!Y6</f>
        <v/>
      </c>
      <c r="S6" s="101" t="str">
        <f>'Promo Form'!AA6</f>
        <v/>
      </c>
      <c r="T6" s="102" t="str">
        <f>'Promo Form'!AB6</f>
        <v/>
      </c>
      <c r="U6" s="80"/>
      <c r="V6" s="96" t="str">
        <f>'Promo Form'!AF6</f>
        <v/>
      </c>
      <c r="W6" s="68" t="str">
        <f>'Promo Form'!AG6</f>
        <v/>
      </c>
      <c r="X6" s="17" t="str">
        <f>'Promo Form'!AJ6</f>
        <v/>
      </c>
      <c r="Y6" s="18" t="str">
        <f>'Promo Form'!AK6</f>
        <v/>
      </c>
      <c r="Z6" s="18" t="str">
        <f>'Promo Form'!AL6</f>
        <v/>
      </c>
      <c r="AA6" s="101" t="str">
        <f>'Promo Form'!AN6</f>
        <v/>
      </c>
      <c r="AB6" s="102" t="str">
        <f>'Promo Form'!AO6</f>
        <v/>
      </c>
      <c r="AC6" s="80"/>
      <c r="AD6" s="96" t="str">
        <f>'Promo Form'!AS6</f>
        <v/>
      </c>
      <c r="AE6" s="68" t="str">
        <f>'Promo Form'!AT6</f>
        <v/>
      </c>
      <c r="AF6" s="17" t="str">
        <f>'Promo Form'!AW6</f>
        <v/>
      </c>
      <c r="AG6" s="18" t="str">
        <f>'Promo Form'!AX6</f>
        <v/>
      </c>
      <c r="AH6" s="18" t="str">
        <f>'Promo Form'!AY6</f>
        <v/>
      </c>
      <c r="AI6" s="101" t="str">
        <f>'Promo Form'!BA6</f>
        <v/>
      </c>
      <c r="AJ6" s="102" t="str">
        <f>'Promo Form'!BB6</f>
        <v/>
      </c>
      <c r="AK6" s="77"/>
      <c r="AL6" s="96" t="str">
        <f>'Promo Form'!BF6</f>
        <v/>
      </c>
      <c r="AM6" s="68" t="str">
        <f>'Promo Form'!BG6</f>
        <v/>
      </c>
      <c r="AN6" s="17" t="str">
        <f>'Promo Form'!BJ6</f>
        <v/>
      </c>
      <c r="AO6" s="18" t="str">
        <f>'Promo Form'!BK6</f>
        <v/>
      </c>
      <c r="AP6" s="18" t="str">
        <f>'Promo Form'!BL6</f>
        <v/>
      </c>
      <c r="AQ6" s="101" t="str">
        <f>'Promo Form'!BN6</f>
        <v/>
      </c>
      <c r="AR6" s="102" t="str">
        <f>'Promo Form'!BO6</f>
        <v/>
      </c>
      <c r="AS6" s="77"/>
      <c r="AT6" s="96" t="str">
        <f>'Promo Form'!BS6</f>
        <v/>
      </c>
      <c r="AU6" s="68" t="str">
        <f>'Promo Form'!BT6</f>
        <v/>
      </c>
      <c r="AV6" s="17" t="str">
        <f>'Promo Form'!BW6</f>
        <v/>
      </c>
      <c r="AW6" s="18" t="str">
        <f>'Promo Form'!BX6</f>
        <v/>
      </c>
      <c r="AX6" s="18" t="str">
        <f>'Promo Form'!BY6</f>
        <v/>
      </c>
      <c r="AY6" s="101" t="str">
        <f>'Promo Form'!CA6</f>
        <v/>
      </c>
      <c r="AZ6" s="102" t="str">
        <f>'Promo Form'!CB6</f>
        <v/>
      </c>
      <c r="BA6" s="77"/>
      <c r="BB6" s="96" t="str">
        <f>'Promo Form'!CF6</f>
        <v/>
      </c>
      <c r="BC6" s="68" t="str">
        <f>'Promo Form'!CG6</f>
        <v/>
      </c>
      <c r="BD6" s="17" t="str">
        <f>'Promo Form'!CJ6</f>
        <v/>
      </c>
      <c r="BE6" s="18" t="str">
        <f>'Promo Form'!CK6</f>
        <v/>
      </c>
      <c r="BF6" s="18" t="str">
        <f>'Promo Form'!CL6</f>
        <v/>
      </c>
      <c r="BG6" s="101" t="str">
        <f>'Promo Form'!CN6</f>
        <v/>
      </c>
      <c r="BH6" s="102" t="str">
        <f>'Promo Form'!CO6</f>
        <v/>
      </c>
      <c r="BI6" s="77"/>
      <c r="BJ6" s="17" t="str">
        <f>'Promo Form'!CS6</f>
        <v/>
      </c>
      <c r="BK6" s="17" t="str">
        <f>'Promo Form'!CT6</f>
        <v/>
      </c>
      <c r="BL6" s="99" t="str">
        <f>'Promo Form'!CU6</f>
        <v/>
      </c>
      <c r="BM6" s="17" t="str">
        <f>'Promo Form'!CV6</f>
        <v/>
      </c>
      <c r="BN6" s="98">
        <f>'Promo Form'!CW6</f>
        <v>0</v>
      </c>
    </row>
    <row r="7" spans="1:66" x14ac:dyDescent="0.2">
      <c r="A7" s="12" t="str">
        <f>'Promo Form'!A7</f>
        <v/>
      </c>
      <c r="B7" s="12" t="str">
        <f>'Promo Form'!B7</f>
        <v/>
      </c>
      <c r="C7" s="13">
        <f>'Promo Form'!C7</f>
        <v>0</v>
      </c>
      <c r="D7" s="14" t="str">
        <f>'Promo Form'!D7</f>
        <v/>
      </c>
      <c r="E7" s="15"/>
      <c r="F7" s="96" t="str">
        <f>'Promo Form'!F7</f>
        <v/>
      </c>
      <c r="G7" s="68" t="str">
        <f>'Promo Form'!G7</f>
        <v/>
      </c>
      <c r="H7" s="17" t="str">
        <f>'Promo Form'!J7</f>
        <v/>
      </c>
      <c r="I7" s="18" t="str">
        <f>'Promo Form'!K7</f>
        <v/>
      </c>
      <c r="J7" s="18" t="str">
        <f>'Promo Form'!L7</f>
        <v/>
      </c>
      <c r="K7" s="101" t="str">
        <f>'Promo Form'!N7</f>
        <v/>
      </c>
      <c r="L7" s="102" t="str">
        <f>'Promo Form'!O7</f>
        <v/>
      </c>
      <c r="M7" s="80"/>
      <c r="N7" s="96" t="str">
        <f>'Promo Form'!S7</f>
        <v/>
      </c>
      <c r="O7" s="68" t="str">
        <f>'Promo Form'!T7</f>
        <v/>
      </c>
      <c r="P7" s="17" t="str">
        <f>'Promo Form'!W7</f>
        <v/>
      </c>
      <c r="Q7" s="18" t="str">
        <f>'Promo Form'!X7</f>
        <v/>
      </c>
      <c r="R7" s="18" t="str">
        <f>'Promo Form'!Y7</f>
        <v/>
      </c>
      <c r="S7" s="101" t="str">
        <f>'Promo Form'!AA7</f>
        <v/>
      </c>
      <c r="T7" s="102" t="str">
        <f>'Promo Form'!AB7</f>
        <v/>
      </c>
      <c r="U7" s="80"/>
      <c r="V7" s="96" t="str">
        <f>'Promo Form'!AF7</f>
        <v/>
      </c>
      <c r="W7" s="68" t="str">
        <f>'Promo Form'!AG7</f>
        <v/>
      </c>
      <c r="X7" s="17" t="str">
        <f>'Promo Form'!AJ7</f>
        <v/>
      </c>
      <c r="Y7" s="18" t="str">
        <f>'Promo Form'!AK7</f>
        <v/>
      </c>
      <c r="Z7" s="18" t="str">
        <f>'Promo Form'!AL7</f>
        <v/>
      </c>
      <c r="AA7" s="101" t="str">
        <f>'Promo Form'!AN7</f>
        <v/>
      </c>
      <c r="AB7" s="102" t="str">
        <f>'Promo Form'!AO7</f>
        <v/>
      </c>
      <c r="AC7" s="80"/>
      <c r="AD7" s="96" t="str">
        <f>'Promo Form'!AS7</f>
        <v/>
      </c>
      <c r="AE7" s="68" t="str">
        <f>'Promo Form'!AT7</f>
        <v/>
      </c>
      <c r="AF7" s="17" t="str">
        <f>'Promo Form'!AW7</f>
        <v/>
      </c>
      <c r="AG7" s="18" t="str">
        <f>'Promo Form'!AX7</f>
        <v/>
      </c>
      <c r="AH7" s="18" t="str">
        <f>'Promo Form'!AY7</f>
        <v/>
      </c>
      <c r="AI7" s="101" t="str">
        <f>'Promo Form'!BA7</f>
        <v/>
      </c>
      <c r="AJ7" s="102" t="str">
        <f>'Promo Form'!BB7</f>
        <v/>
      </c>
      <c r="AK7" s="77"/>
      <c r="AL7" s="96" t="str">
        <f>'Promo Form'!BF7</f>
        <v/>
      </c>
      <c r="AM7" s="68" t="str">
        <f>'Promo Form'!BG7</f>
        <v/>
      </c>
      <c r="AN7" s="17" t="str">
        <f>'Promo Form'!BJ7</f>
        <v/>
      </c>
      <c r="AO7" s="18" t="str">
        <f>'Promo Form'!BK7</f>
        <v/>
      </c>
      <c r="AP7" s="18" t="str">
        <f>'Promo Form'!BL7</f>
        <v/>
      </c>
      <c r="AQ7" s="101" t="str">
        <f>'Promo Form'!BN7</f>
        <v/>
      </c>
      <c r="AR7" s="102" t="str">
        <f>'Promo Form'!BO7</f>
        <v/>
      </c>
      <c r="AS7" s="77"/>
      <c r="AT7" s="96" t="str">
        <f>'Promo Form'!BS7</f>
        <v/>
      </c>
      <c r="AU7" s="68" t="str">
        <f>'Promo Form'!BT7</f>
        <v/>
      </c>
      <c r="AV7" s="17" t="str">
        <f>'Promo Form'!BW7</f>
        <v/>
      </c>
      <c r="AW7" s="18" t="str">
        <f>'Promo Form'!BX7</f>
        <v/>
      </c>
      <c r="AX7" s="18" t="str">
        <f>'Promo Form'!BY7</f>
        <v/>
      </c>
      <c r="AY7" s="101" t="str">
        <f>'Promo Form'!CA7</f>
        <v/>
      </c>
      <c r="AZ7" s="102" t="str">
        <f>'Promo Form'!CB7</f>
        <v/>
      </c>
      <c r="BA7" s="77"/>
      <c r="BB7" s="96" t="str">
        <f>'Promo Form'!CF7</f>
        <v/>
      </c>
      <c r="BC7" s="68" t="str">
        <f>'Promo Form'!CG7</f>
        <v/>
      </c>
      <c r="BD7" s="17" t="str">
        <f>'Promo Form'!CJ7</f>
        <v/>
      </c>
      <c r="BE7" s="18" t="str">
        <f>'Promo Form'!CK7</f>
        <v/>
      </c>
      <c r="BF7" s="18" t="str">
        <f>'Promo Form'!CL7</f>
        <v/>
      </c>
      <c r="BG7" s="101" t="str">
        <f>'Promo Form'!CN7</f>
        <v/>
      </c>
      <c r="BH7" s="102" t="str">
        <f>'Promo Form'!CO7</f>
        <v/>
      </c>
      <c r="BI7" s="77"/>
      <c r="BJ7" s="17" t="str">
        <f>'Promo Form'!CS7</f>
        <v/>
      </c>
      <c r="BK7" s="17" t="str">
        <f>'Promo Form'!CT7</f>
        <v/>
      </c>
      <c r="BL7" s="99" t="str">
        <f>'Promo Form'!CU7</f>
        <v/>
      </c>
      <c r="BM7" s="17" t="str">
        <f>'Promo Form'!CV7</f>
        <v/>
      </c>
      <c r="BN7" s="98">
        <f>'Promo Form'!CW7</f>
        <v>0</v>
      </c>
    </row>
    <row r="8" spans="1:66" x14ac:dyDescent="0.2">
      <c r="A8" s="12" t="str">
        <f>'Promo Form'!A8</f>
        <v/>
      </c>
      <c r="B8" s="12" t="str">
        <f>'Promo Form'!B8</f>
        <v/>
      </c>
      <c r="C8" s="13">
        <f>'Promo Form'!C8</f>
        <v>0</v>
      </c>
      <c r="D8" s="14" t="str">
        <f>'Promo Form'!D8</f>
        <v/>
      </c>
      <c r="E8" s="15"/>
      <c r="F8" s="96" t="str">
        <f>'Promo Form'!F8</f>
        <v/>
      </c>
      <c r="G8" s="68" t="str">
        <f>'Promo Form'!G8</f>
        <v/>
      </c>
      <c r="H8" s="17" t="str">
        <f>'Promo Form'!J8</f>
        <v/>
      </c>
      <c r="I8" s="18" t="str">
        <f>'Promo Form'!K8</f>
        <v/>
      </c>
      <c r="J8" s="18" t="str">
        <f>'Promo Form'!L8</f>
        <v/>
      </c>
      <c r="K8" s="101" t="str">
        <f>'Promo Form'!N8</f>
        <v/>
      </c>
      <c r="L8" s="102" t="str">
        <f>'Promo Form'!O8</f>
        <v/>
      </c>
      <c r="M8" s="80"/>
      <c r="N8" s="96" t="str">
        <f>'Promo Form'!S8</f>
        <v/>
      </c>
      <c r="O8" s="68" t="str">
        <f>'Promo Form'!T8</f>
        <v/>
      </c>
      <c r="P8" s="17" t="str">
        <f>'Promo Form'!W8</f>
        <v/>
      </c>
      <c r="Q8" s="18" t="str">
        <f>'Promo Form'!X8</f>
        <v/>
      </c>
      <c r="R8" s="18" t="str">
        <f>'Promo Form'!Y8</f>
        <v/>
      </c>
      <c r="S8" s="101" t="str">
        <f>'Promo Form'!AA8</f>
        <v/>
      </c>
      <c r="T8" s="102" t="str">
        <f>'Promo Form'!AB8</f>
        <v/>
      </c>
      <c r="U8" s="80"/>
      <c r="V8" s="96" t="str">
        <f>'Promo Form'!AF8</f>
        <v/>
      </c>
      <c r="W8" s="68" t="str">
        <f>'Promo Form'!AG8</f>
        <v/>
      </c>
      <c r="X8" s="17" t="str">
        <f>'Promo Form'!AJ8</f>
        <v/>
      </c>
      <c r="Y8" s="18" t="str">
        <f>'Promo Form'!AK8</f>
        <v/>
      </c>
      <c r="Z8" s="18" t="str">
        <f>'Promo Form'!AL8</f>
        <v/>
      </c>
      <c r="AA8" s="101" t="str">
        <f>'Promo Form'!AN8</f>
        <v/>
      </c>
      <c r="AB8" s="102" t="str">
        <f>'Promo Form'!AO8</f>
        <v/>
      </c>
      <c r="AC8" s="80"/>
      <c r="AD8" s="96" t="str">
        <f>'Promo Form'!AS8</f>
        <v/>
      </c>
      <c r="AE8" s="68" t="str">
        <f>'Promo Form'!AT8</f>
        <v/>
      </c>
      <c r="AF8" s="17" t="str">
        <f>'Promo Form'!AW8</f>
        <v/>
      </c>
      <c r="AG8" s="18" t="str">
        <f>'Promo Form'!AX8</f>
        <v/>
      </c>
      <c r="AH8" s="18" t="str">
        <f>'Promo Form'!AY8</f>
        <v/>
      </c>
      <c r="AI8" s="101" t="str">
        <f>'Promo Form'!BA8</f>
        <v/>
      </c>
      <c r="AJ8" s="102" t="str">
        <f>'Promo Form'!BB8</f>
        <v/>
      </c>
      <c r="AK8" s="77"/>
      <c r="AL8" s="96" t="str">
        <f>'Promo Form'!BF8</f>
        <v/>
      </c>
      <c r="AM8" s="68" t="str">
        <f>'Promo Form'!BG8</f>
        <v/>
      </c>
      <c r="AN8" s="17" t="str">
        <f>'Promo Form'!BJ8</f>
        <v/>
      </c>
      <c r="AO8" s="18" t="str">
        <f>'Promo Form'!BK8</f>
        <v/>
      </c>
      <c r="AP8" s="18" t="str">
        <f>'Promo Form'!BL8</f>
        <v/>
      </c>
      <c r="AQ8" s="101" t="str">
        <f>'Promo Form'!BN8</f>
        <v/>
      </c>
      <c r="AR8" s="102" t="str">
        <f>'Promo Form'!BO8</f>
        <v/>
      </c>
      <c r="AS8" s="77"/>
      <c r="AT8" s="96" t="str">
        <f>'Promo Form'!BS8</f>
        <v/>
      </c>
      <c r="AU8" s="68" t="str">
        <f>'Promo Form'!BT8</f>
        <v/>
      </c>
      <c r="AV8" s="17" t="str">
        <f>'Promo Form'!BW8</f>
        <v/>
      </c>
      <c r="AW8" s="18" t="str">
        <f>'Promo Form'!BX8</f>
        <v/>
      </c>
      <c r="AX8" s="18" t="str">
        <f>'Promo Form'!BY8</f>
        <v/>
      </c>
      <c r="AY8" s="101" t="str">
        <f>'Promo Form'!CA8</f>
        <v/>
      </c>
      <c r="AZ8" s="102" t="str">
        <f>'Promo Form'!CB8</f>
        <v/>
      </c>
      <c r="BA8" s="77"/>
      <c r="BB8" s="96" t="str">
        <f>'Promo Form'!CF8</f>
        <v/>
      </c>
      <c r="BC8" s="68" t="str">
        <f>'Promo Form'!CG8</f>
        <v/>
      </c>
      <c r="BD8" s="17" t="str">
        <f>'Promo Form'!CJ8</f>
        <v/>
      </c>
      <c r="BE8" s="18" t="str">
        <f>'Promo Form'!CK8</f>
        <v/>
      </c>
      <c r="BF8" s="18" t="str">
        <f>'Promo Form'!CL8</f>
        <v/>
      </c>
      <c r="BG8" s="101" t="str">
        <f>'Promo Form'!CN8</f>
        <v/>
      </c>
      <c r="BH8" s="102" t="str">
        <f>'Promo Form'!CO8</f>
        <v/>
      </c>
      <c r="BI8" s="77"/>
      <c r="BJ8" s="17" t="str">
        <f>'Promo Form'!CS8</f>
        <v/>
      </c>
      <c r="BK8" s="17" t="str">
        <f>'Promo Form'!CT8</f>
        <v/>
      </c>
      <c r="BL8" s="99" t="str">
        <f>'Promo Form'!CU8</f>
        <v/>
      </c>
      <c r="BM8" s="17" t="str">
        <f>'Promo Form'!CV8</f>
        <v/>
      </c>
      <c r="BN8" s="98">
        <f>'Promo Form'!CW8</f>
        <v>0</v>
      </c>
    </row>
    <row r="9" spans="1:66" x14ac:dyDescent="0.2">
      <c r="A9" s="12" t="str">
        <f>'Promo Form'!A9</f>
        <v/>
      </c>
      <c r="B9" s="12" t="str">
        <f>'Promo Form'!B9</f>
        <v/>
      </c>
      <c r="C9" s="13">
        <f>'Promo Form'!C9</f>
        <v>0</v>
      </c>
      <c r="D9" s="14" t="str">
        <f>'Promo Form'!D9</f>
        <v/>
      </c>
      <c r="E9" s="15"/>
      <c r="F9" s="96" t="str">
        <f>'Promo Form'!F9</f>
        <v/>
      </c>
      <c r="G9" s="68" t="str">
        <f>'Promo Form'!G9</f>
        <v/>
      </c>
      <c r="H9" s="17" t="str">
        <f>'Promo Form'!J9</f>
        <v/>
      </c>
      <c r="I9" s="18" t="str">
        <f>'Promo Form'!K9</f>
        <v/>
      </c>
      <c r="J9" s="18" t="str">
        <f>'Promo Form'!L9</f>
        <v/>
      </c>
      <c r="K9" s="101" t="str">
        <f>'Promo Form'!N9</f>
        <v/>
      </c>
      <c r="L9" s="102" t="str">
        <f>'Promo Form'!O9</f>
        <v/>
      </c>
      <c r="M9" s="80"/>
      <c r="N9" s="96" t="str">
        <f>'Promo Form'!S9</f>
        <v/>
      </c>
      <c r="O9" s="68" t="str">
        <f>'Promo Form'!T9</f>
        <v/>
      </c>
      <c r="P9" s="17" t="str">
        <f>'Promo Form'!W9</f>
        <v/>
      </c>
      <c r="Q9" s="18" t="str">
        <f>'Promo Form'!X9</f>
        <v/>
      </c>
      <c r="R9" s="18" t="str">
        <f>'Promo Form'!Y9</f>
        <v/>
      </c>
      <c r="S9" s="101" t="str">
        <f>'Promo Form'!AA9</f>
        <v/>
      </c>
      <c r="T9" s="102" t="str">
        <f>'Promo Form'!AB9</f>
        <v/>
      </c>
      <c r="U9" s="80"/>
      <c r="V9" s="96" t="str">
        <f>'Promo Form'!AF9</f>
        <v/>
      </c>
      <c r="W9" s="68" t="str">
        <f>'Promo Form'!AG9</f>
        <v/>
      </c>
      <c r="X9" s="17" t="str">
        <f>'Promo Form'!AJ9</f>
        <v/>
      </c>
      <c r="Y9" s="18" t="str">
        <f>'Promo Form'!AK9</f>
        <v/>
      </c>
      <c r="Z9" s="18" t="str">
        <f>'Promo Form'!AL9</f>
        <v/>
      </c>
      <c r="AA9" s="101" t="str">
        <f>'Promo Form'!AN9</f>
        <v/>
      </c>
      <c r="AB9" s="102" t="str">
        <f>'Promo Form'!AO9</f>
        <v/>
      </c>
      <c r="AC9" s="80"/>
      <c r="AD9" s="96" t="str">
        <f>'Promo Form'!AS9</f>
        <v/>
      </c>
      <c r="AE9" s="68" t="str">
        <f>'Promo Form'!AT9</f>
        <v/>
      </c>
      <c r="AF9" s="17" t="str">
        <f>'Promo Form'!AW9</f>
        <v/>
      </c>
      <c r="AG9" s="18" t="str">
        <f>'Promo Form'!AX9</f>
        <v/>
      </c>
      <c r="AH9" s="18" t="str">
        <f>'Promo Form'!AY9</f>
        <v/>
      </c>
      <c r="AI9" s="101" t="str">
        <f>'Promo Form'!BA9</f>
        <v/>
      </c>
      <c r="AJ9" s="102" t="str">
        <f>'Promo Form'!BB9</f>
        <v/>
      </c>
      <c r="AK9" s="77"/>
      <c r="AL9" s="96" t="str">
        <f>'Promo Form'!BF9</f>
        <v/>
      </c>
      <c r="AM9" s="68" t="str">
        <f>'Promo Form'!BG9</f>
        <v/>
      </c>
      <c r="AN9" s="17" t="str">
        <f>'Promo Form'!BJ9</f>
        <v/>
      </c>
      <c r="AO9" s="18" t="str">
        <f>'Promo Form'!BK9</f>
        <v/>
      </c>
      <c r="AP9" s="18" t="str">
        <f>'Promo Form'!BL9</f>
        <v/>
      </c>
      <c r="AQ9" s="101" t="str">
        <f>'Promo Form'!BN9</f>
        <v/>
      </c>
      <c r="AR9" s="102" t="str">
        <f>'Promo Form'!BO9</f>
        <v/>
      </c>
      <c r="AS9" s="77"/>
      <c r="AT9" s="96" t="str">
        <f>'Promo Form'!BS9</f>
        <v/>
      </c>
      <c r="AU9" s="68" t="str">
        <f>'Promo Form'!BT9</f>
        <v/>
      </c>
      <c r="AV9" s="17" t="str">
        <f>'Promo Form'!BW9</f>
        <v/>
      </c>
      <c r="AW9" s="18" t="str">
        <f>'Promo Form'!BX9</f>
        <v/>
      </c>
      <c r="AX9" s="18" t="str">
        <f>'Promo Form'!BY9</f>
        <v/>
      </c>
      <c r="AY9" s="101" t="str">
        <f>'Promo Form'!CA9</f>
        <v/>
      </c>
      <c r="AZ9" s="102" t="str">
        <f>'Promo Form'!CB9</f>
        <v/>
      </c>
      <c r="BA9" s="77"/>
      <c r="BB9" s="96" t="str">
        <f>'Promo Form'!CF9</f>
        <v/>
      </c>
      <c r="BC9" s="68" t="str">
        <f>'Promo Form'!CG9</f>
        <v/>
      </c>
      <c r="BD9" s="17" t="str">
        <f>'Promo Form'!CJ9</f>
        <v/>
      </c>
      <c r="BE9" s="18" t="str">
        <f>'Promo Form'!CK9</f>
        <v/>
      </c>
      <c r="BF9" s="18" t="str">
        <f>'Promo Form'!CL9</f>
        <v/>
      </c>
      <c r="BG9" s="101" t="str">
        <f>'Promo Form'!CN9</f>
        <v/>
      </c>
      <c r="BH9" s="102" t="str">
        <f>'Promo Form'!CO9</f>
        <v/>
      </c>
      <c r="BI9" s="77"/>
      <c r="BJ9" s="17" t="str">
        <f>'Promo Form'!CS9</f>
        <v/>
      </c>
      <c r="BK9" s="17" t="str">
        <f>'Promo Form'!CT9</f>
        <v/>
      </c>
      <c r="BL9" s="99" t="str">
        <f>'Promo Form'!CU9</f>
        <v/>
      </c>
      <c r="BM9" s="17" t="str">
        <f>'Promo Form'!CV9</f>
        <v/>
      </c>
      <c r="BN9" s="98">
        <f>'Promo Form'!CW9</f>
        <v>0</v>
      </c>
    </row>
    <row r="10" spans="1:66" x14ac:dyDescent="0.2">
      <c r="A10" s="12" t="str">
        <f>'Promo Form'!A10</f>
        <v/>
      </c>
      <c r="B10" s="12" t="str">
        <f>'Promo Form'!B10</f>
        <v/>
      </c>
      <c r="C10" s="13">
        <f>'Promo Form'!C10</f>
        <v>0</v>
      </c>
      <c r="D10" s="14" t="str">
        <f>'Promo Form'!D10</f>
        <v/>
      </c>
      <c r="E10" s="15"/>
      <c r="F10" s="96" t="str">
        <f>'Promo Form'!F10</f>
        <v/>
      </c>
      <c r="G10" s="68" t="str">
        <f>'Promo Form'!G10</f>
        <v/>
      </c>
      <c r="H10" s="17" t="str">
        <f>'Promo Form'!J10</f>
        <v/>
      </c>
      <c r="I10" s="18" t="str">
        <f>'Promo Form'!K10</f>
        <v/>
      </c>
      <c r="J10" s="18" t="str">
        <f>'Promo Form'!L10</f>
        <v/>
      </c>
      <c r="K10" s="101" t="str">
        <f>'Promo Form'!N10</f>
        <v/>
      </c>
      <c r="L10" s="102" t="str">
        <f>'Promo Form'!O10</f>
        <v/>
      </c>
      <c r="M10" s="80"/>
      <c r="N10" s="96" t="str">
        <f>'Promo Form'!S10</f>
        <v/>
      </c>
      <c r="O10" s="68" t="str">
        <f>'Promo Form'!T10</f>
        <v/>
      </c>
      <c r="P10" s="17" t="str">
        <f>'Promo Form'!W10</f>
        <v/>
      </c>
      <c r="Q10" s="18" t="str">
        <f>'Promo Form'!X10</f>
        <v/>
      </c>
      <c r="R10" s="18" t="str">
        <f>'Promo Form'!Y10</f>
        <v/>
      </c>
      <c r="S10" s="101" t="str">
        <f>'Promo Form'!AA10</f>
        <v/>
      </c>
      <c r="T10" s="102" t="str">
        <f>'Promo Form'!AB10</f>
        <v/>
      </c>
      <c r="U10" s="80"/>
      <c r="V10" s="96" t="str">
        <f>'Promo Form'!AF10</f>
        <v/>
      </c>
      <c r="W10" s="68" t="str">
        <f>'Promo Form'!AG10</f>
        <v/>
      </c>
      <c r="X10" s="17" t="str">
        <f>'Promo Form'!AJ10</f>
        <v/>
      </c>
      <c r="Y10" s="18" t="str">
        <f>'Promo Form'!AK10</f>
        <v/>
      </c>
      <c r="Z10" s="18" t="str">
        <f>'Promo Form'!AL10</f>
        <v/>
      </c>
      <c r="AA10" s="101" t="str">
        <f>'Promo Form'!AN10</f>
        <v/>
      </c>
      <c r="AB10" s="102" t="str">
        <f>'Promo Form'!AO10</f>
        <v/>
      </c>
      <c r="AC10" s="80"/>
      <c r="AD10" s="96" t="str">
        <f>'Promo Form'!AS10</f>
        <v/>
      </c>
      <c r="AE10" s="68" t="str">
        <f>'Promo Form'!AT10</f>
        <v/>
      </c>
      <c r="AF10" s="17" t="str">
        <f>'Promo Form'!AW10</f>
        <v/>
      </c>
      <c r="AG10" s="18" t="str">
        <f>'Promo Form'!AX10</f>
        <v/>
      </c>
      <c r="AH10" s="18" t="str">
        <f>'Promo Form'!AY10</f>
        <v/>
      </c>
      <c r="AI10" s="101" t="str">
        <f>'Promo Form'!BA10</f>
        <v/>
      </c>
      <c r="AJ10" s="102" t="str">
        <f>'Promo Form'!BB10</f>
        <v/>
      </c>
      <c r="AK10" s="77"/>
      <c r="AL10" s="96" t="str">
        <f>'Promo Form'!BF10</f>
        <v/>
      </c>
      <c r="AM10" s="68" t="str">
        <f>'Promo Form'!BG10</f>
        <v/>
      </c>
      <c r="AN10" s="17" t="str">
        <f>'Promo Form'!BJ10</f>
        <v/>
      </c>
      <c r="AO10" s="18" t="str">
        <f>'Promo Form'!BK10</f>
        <v/>
      </c>
      <c r="AP10" s="18" t="str">
        <f>'Promo Form'!BL10</f>
        <v/>
      </c>
      <c r="AQ10" s="101" t="str">
        <f>'Promo Form'!BN10</f>
        <v/>
      </c>
      <c r="AR10" s="102" t="str">
        <f>'Promo Form'!BO10</f>
        <v/>
      </c>
      <c r="AS10" s="77"/>
      <c r="AT10" s="96" t="str">
        <f>'Promo Form'!BS10</f>
        <v/>
      </c>
      <c r="AU10" s="68" t="str">
        <f>'Promo Form'!BT10</f>
        <v/>
      </c>
      <c r="AV10" s="17" t="str">
        <f>'Promo Form'!BW10</f>
        <v/>
      </c>
      <c r="AW10" s="18" t="str">
        <f>'Promo Form'!BX10</f>
        <v/>
      </c>
      <c r="AX10" s="18" t="str">
        <f>'Promo Form'!BY10</f>
        <v/>
      </c>
      <c r="AY10" s="101" t="str">
        <f>'Promo Form'!CA10</f>
        <v/>
      </c>
      <c r="AZ10" s="102" t="str">
        <f>'Promo Form'!CB10</f>
        <v/>
      </c>
      <c r="BA10" s="77"/>
      <c r="BB10" s="96" t="str">
        <f>'Promo Form'!CF10</f>
        <v/>
      </c>
      <c r="BC10" s="68" t="str">
        <f>'Promo Form'!CG10</f>
        <v/>
      </c>
      <c r="BD10" s="17" t="str">
        <f>'Promo Form'!CJ10</f>
        <v/>
      </c>
      <c r="BE10" s="18" t="str">
        <f>'Promo Form'!CK10</f>
        <v/>
      </c>
      <c r="BF10" s="18" t="str">
        <f>'Promo Form'!CL10</f>
        <v/>
      </c>
      <c r="BG10" s="101" t="str">
        <f>'Promo Form'!CN10</f>
        <v/>
      </c>
      <c r="BH10" s="102" t="str">
        <f>'Promo Form'!CO10</f>
        <v/>
      </c>
      <c r="BI10" s="77"/>
      <c r="BJ10" s="17" t="str">
        <f>'Promo Form'!CS10</f>
        <v/>
      </c>
      <c r="BK10" s="17" t="str">
        <f>'Promo Form'!CT10</f>
        <v/>
      </c>
      <c r="BL10" s="99" t="str">
        <f>'Promo Form'!CU10</f>
        <v/>
      </c>
      <c r="BM10" s="17" t="str">
        <f>'Promo Form'!CV10</f>
        <v/>
      </c>
      <c r="BN10" s="98">
        <f>'Promo Form'!CW10</f>
        <v>0</v>
      </c>
    </row>
    <row r="11" spans="1:66" x14ac:dyDescent="0.2">
      <c r="A11" s="12" t="str">
        <f>'Promo Form'!A11</f>
        <v/>
      </c>
      <c r="B11" s="12" t="str">
        <f>'Promo Form'!B11</f>
        <v/>
      </c>
      <c r="C11" s="13">
        <f>'Promo Form'!C11</f>
        <v>0</v>
      </c>
      <c r="D11" s="14" t="str">
        <f>'Promo Form'!D11</f>
        <v/>
      </c>
      <c r="E11" s="15"/>
      <c r="F11" s="96" t="str">
        <f>'Promo Form'!F11</f>
        <v/>
      </c>
      <c r="G11" s="68" t="str">
        <f>'Promo Form'!G11</f>
        <v/>
      </c>
      <c r="H11" s="17" t="str">
        <f>'Promo Form'!J11</f>
        <v/>
      </c>
      <c r="I11" s="18" t="str">
        <f>'Promo Form'!K11</f>
        <v/>
      </c>
      <c r="J11" s="18" t="str">
        <f>'Promo Form'!L11</f>
        <v/>
      </c>
      <c r="K11" s="101" t="str">
        <f>'Promo Form'!N11</f>
        <v/>
      </c>
      <c r="L11" s="102" t="str">
        <f>'Promo Form'!O11</f>
        <v/>
      </c>
      <c r="M11" s="80"/>
      <c r="N11" s="96" t="str">
        <f>'Promo Form'!S11</f>
        <v/>
      </c>
      <c r="O11" s="68" t="str">
        <f>'Promo Form'!T11</f>
        <v/>
      </c>
      <c r="P11" s="17" t="str">
        <f>'Promo Form'!W11</f>
        <v/>
      </c>
      <c r="Q11" s="18" t="str">
        <f>'Promo Form'!X11</f>
        <v/>
      </c>
      <c r="R11" s="18" t="str">
        <f>'Promo Form'!Y11</f>
        <v/>
      </c>
      <c r="S11" s="101" t="str">
        <f>'Promo Form'!AA11</f>
        <v/>
      </c>
      <c r="T11" s="102" t="str">
        <f>'Promo Form'!AB11</f>
        <v/>
      </c>
      <c r="U11" s="80"/>
      <c r="V11" s="96" t="str">
        <f>'Promo Form'!AF11</f>
        <v/>
      </c>
      <c r="W11" s="68" t="str">
        <f>'Promo Form'!AG11</f>
        <v/>
      </c>
      <c r="X11" s="17" t="str">
        <f>'Promo Form'!AJ11</f>
        <v/>
      </c>
      <c r="Y11" s="18" t="str">
        <f>'Promo Form'!AK11</f>
        <v/>
      </c>
      <c r="Z11" s="18" t="str">
        <f>'Promo Form'!AL11</f>
        <v/>
      </c>
      <c r="AA11" s="101" t="str">
        <f>'Promo Form'!AN11</f>
        <v/>
      </c>
      <c r="AB11" s="102" t="str">
        <f>'Promo Form'!AO11</f>
        <v/>
      </c>
      <c r="AC11" s="80"/>
      <c r="AD11" s="96" t="str">
        <f>'Promo Form'!AS11</f>
        <v/>
      </c>
      <c r="AE11" s="68" t="str">
        <f>'Promo Form'!AT11</f>
        <v/>
      </c>
      <c r="AF11" s="17" t="str">
        <f>'Promo Form'!AW11</f>
        <v/>
      </c>
      <c r="AG11" s="18" t="str">
        <f>'Promo Form'!AX11</f>
        <v/>
      </c>
      <c r="AH11" s="18" t="str">
        <f>'Promo Form'!AY11</f>
        <v/>
      </c>
      <c r="AI11" s="101" t="str">
        <f>'Promo Form'!BA11</f>
        <v/>
      </c>
      <c r="AJ11" s="102" t="str">
        <f>'Promo Form'!BB11</f>
        <v/>
      </c>
      <c r="AK11" s="77"/>
      <c r="AL11" s="96" t="str">
        <f>'Promo Form'!BF11</f>
        <v/>
      </c>
      <c r="AM11" s="68" t="str">
        <f>'Promo Form'!BG11</f>
        <v/>
      </c>
      <c r="AN11" s="17" t="str">
        <f>'Promo Form'!BJ11</f>
        <v/>
      </c>
      <c r="AO11" s="18" t="str">
        <f>'Promo Form'!BK11</f>
        <v/>
      </c>
      <c r="AP11" s="18" t="str">
        <f>'Promo Form'!BL11</f>
        <v/>
      </c>
      <c r="AQ11" s="101" t="str">
        <f>'Promo Form'!BN11</f>
        <v/>
      </c>
      <c r="AR11" s="102" t="str">
        <f>'Promo Form'!BO11</f>
        <v/>
      </c>
      <c r="AS11" s="77"/>
      <c r="AT11" s="96" t="str">
        <f>'Promo Form'!BS11</f>
        <v/>
      </c>
      <c r="AU11" s="68" t="str">
        <f>'Promo Form'!BT11</f>
        <v/>
      </c>
      <c r="AV11" s="17" t="str">
        <f>'Promo Form'!BW11</f>
        <v/>
      </c>
      <c r="AW11" s="18" t="str">
        <f>'Promo Form'!BX11</f>
        <v/>
      </c>
      <c r="AX11" s="18" t="str">
        <f>'Promo Form'!BY11</f>
        <v/>
      </c>
      <c r="AY11" s="101" t="str">
        <f>'Promo Form'!CA11</f>
        <v/>
      </c>
      <c r="AZ11" s="102" t="str">
        <f>'Promo Form'!CB11</f>
        <v/>
      </c>
      <c r="BA11" s="77"/>
      <c r="BB11" s="96" t="str">
        <f>'Promo Form'!CF11</f>
        <v/>
      </c>
      <c r="BC11" s="68" t="str">
        <f>'Promo Form'!CG11</f>
        <v/>
      </c>
      <c r="BD11" s="17" t="str">
        <f>'Promo Form'!CJ11</f>
        <v/>
      </c>
      <c r="BE11" s="18" t="str">
        <f>'Promo Form'!CK11</f>
        <v/>
      </c>
      <c r="BF11" s="18" t="str">
        <f>'Promo Form'!CL11</f>
        <v/>
      </c>
      <c r="BG11" s="101" t="str">
        <f>'Promo Form'!CN11</f>
        <v/>
      </c>
      <c r="BH11" s="102" t="str">
        <f>'Promo Form'!CO11</f>
        <v/>
      </c>
      <c r="BI11" s="77"/>
      <c r="BJ11" s="17" t="str">
        <f>'Promo Form'!CS11</f>
        <v/>
      </c>
      <c r="BK11" s="17" t="str">
        <f>'Promo Form'!CT11</f>
        <v/>
      </c>
      <c r="BL11" s="99" t="str">
        <f>'Promo Form'!CU11</f>
        <v/>
      </c>
      <c r="BM11" s="17" t="str">
        <f>'Promo Form'!CV11</f>
        <v/>
      </c>
      <c r="BN11" s="98">
        <f>'Promo Form'!CW11</f>
        <v>0</v>
      </c>
    </row>
    <row r="12" spans="1:66" x14ac:dyDescent="0.2">
      <c r="A12" s="12" t="str">
        <f>'Promo Form'!A12</f>
        <v/>
      </c>
      <c r="B12" s="12" t="str">
        <f>'Promo Form'!B12</f>
        <v/>
      </c>
      <c r="C12" s="13">
        <f>'Promo Form'!C12</f>
        <v>0</v>
      </c>
      <c r="D12" s="14" t="str">
        <f>'Promo Form'!D12</f>
        <v/>
      </c>
      <c r="E12" s="15"/>
      <c r="F12" s="96" t="str">
        <f>'Promo Form'!F12</f>
        <v/>
      </c>
      <c r="G12" s="68" t="str">
        <f>'Promo Form'!G12</f>
        <v/>
      </c>
      <c r="H12" s="17" t="str">
        <f>'Promo Form'!J12</f>
        <v/>
      </c>
      <c r="I12" s="18" t="str">
        <f>'Promo Form'!K12</f>
        <v/>
      </c>
      <c r="J12" s="18" t="str">
        <f>'Promo Form'!L12</f>
        <v/>
      </c>
      <c r="K12" s="101" t="str">
        <f>'Promo Form'!N12</f>
        <v/>
      </c>
      <c r="L12" s="102" t="str">
        <f>'Promo Form'!O12</f>
        <v/>
      </c>
      <c r="M12" s="80"/>
      <c r="N12" s="96" t="str">
        <f>'Promo Form'!S12</f>
        <v/>
      </c>
      <c r="O12" s="68" t="str">
        <f>'Promo Form'!T12</f>
        <v/>
      </c>
      <c r="P12" s="17" t="str">
        <f>'Promo Form'!W12</f>
        <v/>
      </c>
      <c r="Q12" s="18" t="str">
        <f>'Promo Form'!X12</f>
        <v/>
      </c>
      <c r="R12" s="18" t="str">
        <f>'Promo Form'!Y12</f>
        <v/>
      </c>
      <c r="S12" s="101" t="str">
        <f>'Promo Form'!AA12</f>
        <v/>
      </c>
      <c r="T12" s="102" t="str">
        <f>'Promo Form'!AB12</f>
        <v/>
      </c>
      <c r="U12" s="80"/>
      <c r="V12" s="96" t="str">
        <f>'Promo Form'!AF12</f>
        <v/>
      </c>
      <c r="W12" s="68" t="str">
        <f>'Promo Form'!AG12</f>
        <v/>
      </c>
      <c r="X12" s="17" t="str">
        <f>'Promo Form'!AJ12</f>
        <v/>
      </c>
      <c r="Y12" s="18" t="str">
        <f>'Promo Form'!AK12</f>
        <v/>
      </c>
      <c r="Z12" s="18" t="str">
        <f>'Promo Form'!AL12</f>
        <v/>
      </c>
      <c r="AA12" s="101" t="str">
        <f>'Promo Form'!AN12</f>
        <v/>
      </c>
      <c r="AB12" s="102" t="str">
        <f>'Promo Form'!AO12</f>
        <v/>
      </c>
      <c r="AC12" s="80"/>
      <c r="AD12" s="96" t="str">
        <f>'Promo Form'!AS12</f>
        <v/>
      </c>
      <c r="AE12" s="68" t="str">
        <f>'Promo Form'!AT12</f>
        <v/>
      </c>
      <c r="AF12" s="17" t="str">
        <f>'Promo Form'!AW12</f>
        <v/>
      </c>
      <c r="AG12" s="18" t="str">
        <f>'Promo Form'!AX12</f>
        <v/>
      </c>
      <c r="AH12" s="18" t="str">
        <f>'Promo Form'!AY12</f>
        <v/>
      </c>
      <c r="AI12" s="101" t="str">
        <f>'Promo Form'!BA12</f>
        <v/>
      </c>
      <c r="AJ12" s="102" t="str">
        <f>'Promo Form'!BB12</f>
        <v/>
      </c>
      <c r="AK12" s="77"/>
      <c r="AL12" s="96" t="str">
        <f>'Promo Form'!BF12</f>
        <v/>
      </c>
      <c r="AM12" s="68" t="str">
        <f>'Promo Form'!BG12</f>
        <v/>
      </c>
      <c r="AN12" s="17" t="str">
        <f>'Promo Form'!BJ12</f>
        <v/>
      </c>
      <c r="AO12" s="18" t="str">
        <f>'Promo Form'!BK12</f>
        <v/>
      </c>
      <c r="AP12" s="18" t="str">
        <f>'Promo Form'!BL12</f>
        <v/>
      </c>
      <c r="AQ12" s="101" t="str">
        <f>'Promo Form'!BN12</f>
        <v/>
      </c>
      <c r="AR12" s="102" t="str">
        <f>'Promo Form'!BO12</f>
        <v/>
      </c>
      <c r="AS12" s="77"/>
      <c r="AT12" s="96" t="str">
        <f>'Promo Form'!BS12</f>
        <v/>
      </c>
      <c r="AU12" s="68" t="str">
        <f>'Promo Form'!BT12</f>
        <v/>
      </c>
      <c r="AV12" s="17" t="str">
        <f>'Promo Form'!BW12</f>
        <v/>
      </c>
      <c r="AW12" s="18" t="str">
        <f>'Promo Form'!BX12</f>
        <v/>
      </c>
      <c r="AX12" s="18" t="str">
        <f>'Promo Form'!BY12</f>
        <v/>
      </c>
      <c r="AY12" s="101" t="str">
        <f>'Promo Form'!CA12</f>
        <v/>
      </c>
      <c r="AZ12" s="102" t="str">
        <f>'Promo Form'!CB12</f>
        <v/>
      </c>
      <c r="BA12" s="77"/>
      <c r="BB12" s="96" t="str">
        <f>'Promo Form'!CF12</f>
        <v/>
      </c>
      <c r="BC12" s="68" t="str">
        <f>'Promo Form'!CG12</f>
        <v/>
      </c>
      <c r="BD12" s="17" t="str">
        <f>'Promo Form'!CJ12</f>
        <v/>
      </c>
      <c r="BE12" s="18" t="str">
        <f>'Promo Form'!CK12</f>
        <v/>
      </c>
      <c r="BF12" s="18" t="str">
        <f>'Promo Form'!CL12</f>
        <v/>
      </c>
      <c r="BG12" s="101" t="str">
        <f>'Promo Form'!CN12</f>
        <v/>
      </c>
      <c r="BH12" s="102" t="str">
        <f>'Promo Form'!CO12</f>
        <v/>
      </c>
      <c r="BI12" s="77"/>
      <c r="BJ12" s="17" t="str">
        <f>'Promo Form'!CS12</f>
        <v/>
      </c>
      <c r="BK12" s="17" t="str">
        <f>'Promo Form'!CT12</f>
        <v/>
      </c>
      <c r="BL12" s="99" t="str">
        <f>'Promo Form'!CU12</f>
        <v/>
      </c>
      <c r="BM12" s="17" t="str">
        <f>'Promo Form'!CV12</f>
        <v/>
      </c>
      <c r="BN12" s="98">
        <f>'Promo Form'!CW12</f>
        <v>0</v>
      </c>
    </row>
    <row r="13" spans="1:66" x14ac:dyDescent="0.2">
      <c r="A13" s="12" t="str">
        <f>'Promo Form'!A13</f>
        <v/>
      </c>
      <c r="B13" s="12" t="str">
        <f>'Promo Form'!B13</f>
        <v/>
      </c>
      <c r="C13" s="13">
        <f>'Promo Form'!C13</f>
        <v>0</v>
      </c>
      <c r="D13" s="14" t="str">
        <f>'Promo Form'!D13</f>
        <v/>
      </c>
      <c r="E13" s="15"/>
      <c r="F13" s="96" t="str">
        <f>'Promo Form'!F13</f>
        <v/>
      </c>
      <c r="G13" s="68" t="str">
        <f>'Promo Form'!G13</f>
        <v/>
      </c>
      <c r="H13" s="17" t="str">
        <f>'Promo Form'!J13</f>
        <v/>
      </c>
      <c r="I13" s="18" t="str">
        <f>'Promo Form'!K13</f>
        <v/>
      </c>
      <c r="J13" s="18" t="str">
        <f>'Promo Form'!L13</f>
        <v/>
      </c>
      <c r="K13" s="101" t="str">
        <f>'Promo Form'!N13</f>
        <v/>
      </c>
      <c r="L13" s="102" t="str">
        <f>'Promo Form'!O13</f>
        <v/>
      </c>
      <c r="M13" s="80"/>
      <c r="N13" s="96" t="str">
        <f>'Promo Form'!S13</f>
        <v/>
      </c>
      <c r="O13" s="68" t="str">
        <f>'Promo Form'!T13</f>
        <v/>
      </c>
      <c r="P13" s="17" t="str">
        <f>'Promo Form'!W13</f>
        <v/>
      </c>
      <c r="Q13" s="18" t="str">
        <f>'Promo Form'!X13</f>
        <v/>
      </c>
      <c r="R13" s="18" t="str">
        <f>'Promo Form'!Y13</f>
        <v/>
      </c>
      <c r="S13" s="101" t="str">
        <f>'Promo Form'!AA13</f>
        <v/>
      </c>
      <c r="T13" s="102" t="str">
        <f>'Promo Form'!AB13</f>
        <v/>
      </c>
      <c r="U13" s="80"/>
      <c r="V13" s="96" t="str">
        <f>'Promo Form'!AF13</f>
        <v/>
      </c>
      <c r="W13" s="68" t="str">
        <f>'Promo Form'!AG13</f>
        <v/>
      </c>
      <c r="X13" s="17" t="str">
        <f>'Promo Form'!AJ13</f>
        <v/>
      </c>
      <c r="Y13" s="18" t="str">
        <f>'Promo Form'!AK13</f>
        <v/>
      </c>
      <c r="Z13" s="18" t="str">
        <f>'Promo Form'!AL13</f>
        <v/>
      </c>
      <c r="AA13" s="101" t="str">
        <f>'Promo Form'!AN13</f>
        <v/>
      </c>
      <c r="AB13" s="102" t="str">
        <f>'Promo Form'!AO13</f>
        <v/>
      </c>
      <c r="AC13" s="80"/>
      <c r="AD13" s="96" t="str">
        <f>'Promo Form'!AS13</f>
        <v/>
      </c>
      <c r="AE13" s="68" t="str">
        <f>'Promo Form'!AT13</f>
        <v/>
      </c>
      <c r="AF13" s="17" t="str">
        <f>'Promo Form'!AW13</f>
        <v/>
      </c>
      <c r="AG13" s="18" t="str">
        <f>'Promo Form'!AX13</f>
        <v/>
      </c>
      <c r="AH13" s="18" t="str">
        <f>'Promo Form'!AY13</f>
        <v/>
      </c>
      <c r="AI13" s="101" t="str">
        <f>'Promo Form'!BA13</f>
        <v/>
      </c>
      <c r="AJ13" s="102" t="str">
        <f>'Promo Form'!BB13</f>
        <v/>
      </c>
      <c r="AK13" s="77"/>
      <c r="AL13" s="96" t="str">
        <f>'Promo Form'!BF13</f>
        <v/>
      </c>
      <c r="AM13" s="68" t="str">
        <f>'Promo Form'!BG13</f>
        <v/>
      </c>
      <c r="AN13" s="17" t="str">
        <f>'Promo Form'!BJ13</f>
        <v/>
      </c>
      <c r="AO13" s="18" t="str">
        <f>'Promo Form'!BK13</f>
        <v/>
      </c>
      <c r="AP13" s="18" t="str">
        <f>'Promo Form'!BL13</f>
        <v/>
      </c>
      <c r="AQ13" s="101" t="str">
        <f>'Promo Form'!BN13</f>
        <v/>
      </c>
      <c r="AR13" s="102" t="str">
        <f>'Promo Form'!BO13</f>
        <v/>
      </c>
      <c r="AS13" s="77"/>
      <c r="AT13" s="96" t="str">
        <f>'Promo Form'!BS13</f>
        <v/>
      </c>
      <c r="AU13" s="68" t="str">
        <f>'Promo Form'!BT13</f>
        <v/>
      </c>
      <c r="AV13" s="17" t="str">
        <f>'Promo Form'!BW13</f>
        <v/>
      </c>
      <c r="AW13" s="18" t="str">
        <f>'Promo Form'!BX13</f>
        <v/>
      </c>
      <c r="AX13" s="18" t="str">
        <f>'Promo Form'!BY13</f>
        <v/>
      </c>
      <c r="AY13" s="101" t="str">
        <f>'Promo Form'!CA13</f>
        <v/>
      </c>
      <c r="AZ13" s="102" t="str">
        <f>'Promo Form'!CB13</f>
        <v/>
      </c>
      <c r="BA13" s="77"/>
      <c r="BB13" s="96" t="str">
        <f>'Promo Form'!CF13</f>
        <v/>
      </c>
      <c r="BC13" s="68" t="str">
        <f>'Promo Form'!CG13</f>
        <v/>
      </c>
      <c r="BD13" s="17" t="str">
        <f>'Promo Form'!CJ13</f>
        <v/>
      </c>
      <c r="BE13" s="18" t="str">
        <f>'Promo Form'!CK13</f>
        <v/>
      </c>
      <c r="BF13" s="18" t="str">
        <f>'Promo Form'!CL13</f>
        <v/>
      </c>
      <c r="BG13" s="101" t="str">
        <f>'Promo Form'!CN13</f>
        <v/>
      </c>
      <c r="BH13" s="102" t="str">
        <f>'Promo Form'!CO13</f>
        <v/>
      </c>
      <c r="BI13" s="77"/>
      <c r="BJ13" s="17" t="str">
        <f>'Promo Form'!CS13</f>
        <v/>
      </c>
      <c r="BK13" s="17" t="str">
        <f>'Promo Form'!CT13</f>
        <v/>
      </c>
      <c r="BL13" s="99" t="str">
        <f>'Promo Form'!CU13</f>
        <v/>
      </c>
      <c r="BM13" s="17" t="str">
        <f>'Promo Form'!CV13</f>
        <v/>
      </c>
      <c r="BN13" s="98">
        <f>'Promo Form'!CW13</f>
        <v>0</v>
      </c>
    </row>
    <row r="14" spans="1:66" x14ac:dyDescent="0.2">
      <c r="A14" s="12" t="str">
        <f>'Promo Form'!A14</f>
        <v/>
      </c>
      <c r="B14" s="12" t="str">
        <f>'Promo Form'!B14</f>
        <v/>
      </c>
      <c r="C14" s="13">
        <f>'Promo Form'!C14</f>
        <v>0</v>
      </c>
      <c r="D14" s="14" t="str">
        <f>'Promo Form'!D14</f>
        <v/>
      </c>
      <c r="E14" s="15"/>
      <c r="F14" s="96" t="str">
        <f>'Promo Form'!F14</f>
        <v/>
      </c>
      <c r="G14" s="68" t="str">
        <f>'Promo Form'!G14</f>
        <v/>
      </c>
      <c r="H14" s="17" t="str">
        <f>'Promo Form'!J14</f>
        <v/>
      </c>
      <c r="I14" s="18" t="str">
        <f>'Promo Form'!K14</f>
        <v/>
      </c>
      <c r="J14" s="18" t="str">
        <f>'Promo Form'!L14</f>
        <v/>
      </c>
      <c r="K14" s="101" t="str">
        <f>'Promo Form'!N14</f>
        <v/>
      </c>
      <c r="L14" s="102" t="str">
        <f>'Promo Form'!O14</f>
        <v/>
      </c>
      <c r="M14" s="80"/>
      <c r="N14" s="96" t="str">
        <f>'Promo Form'!S14</f>
        <v/>
      </c>
      <c r="O14" s="68" t="str">
        <f>'Promo Form'!T14</f>
        <v/>
      </c>
      <c r="P14" s="17" t="str">
        <f>'Promo Form'!W14</f>
        <v/>
      </c>
      <c r="Q14" s="18" t="str">
        <f>'Promo Form'!X14</f>
        <v/>
      </c>
      <c r="R14" s="18" t="str">
        <f>'Promo Form'!Y14</f>
        <v/>
      </c>
      <c r="S14" s="101" t="str">
        <f>'Promo Form'!AA14</f>
        <v/>
      </c>
      <c r="T14" s="102" t="str">
        <f>'Promo Form'!AB14</f>
        <v/>
      </c>
      <c r="U14" s="80"/>
      <c r="V14" s="96" t="str">
        <f>'Promo Form'!AF14</f>
        <v/>
      </c>
      <c r="W14" s="68" t="str">
        <f>'Promo Form'!AG14</f>
        <v/>
      </c>
      <c r="X14" s="17" t="str">
        <f>'Promo Form'!AJ14</f>
        <v/>
      </c>
      <c r="Y14" s="18" t="str">
        <f>'Promo Form'!AK14</f>
        <v/>
      </c>
      <c r="Z14" s="18" t="str">
        <f>'Promo Form'!AL14</f>
        <v/>
      </c>
      <c r="AA14" s="101" t="str">
        <f>'Promo Form'!AN14</f>
        <v/>
      </c>
      <c r="AB14" s="102" t="str">
        <f>'Promo Form'!AO14</f>
        <v/>
      </c>
      <c r="AC14" s="80"/>
      <c r="AD14" s="96" t="str">
        <f>'Promo Form'!AS14</f>
        <v/>
      </c>
      <c r="AE14" s="68" t="str">
        <f>'Promo Form'!AT14</f>
        <v/>
      </c>
      <c r="AF14" s="17" t="str">
        <f>'Promo Form'!AW14</f>
        <v/>
      </c>
      <c r="AG14" s="18" t="str">
        <f>'Promo Form'!AX14</f>
        <v/>
      </c>
      <c r="AH14" s="18" t="str">
        <f>'Promo Form'!AY14</f>
        <v/>
      </c>
      <c r="AI14" s="101" t="str">
        <f>'Promo Form'!BA14</f>
        <v/>
      </c>
      <c r="AJ14" s="102" t="str">
        <f>'Promo Form'!BB14</f>
        <v/>
      </c>
      <c r="AK14" s="77"/>
      <c r="AL14" s="96" t="str">
        <f>'Promo Form'!BF14</f>
        <v/>
      </c>
      <c r="AM14" s="68" t="str">
        <f>'Promo Form'!BG14</f>
        <v/>
      </c>
      <c r="AN14" s="17" t="str">
        <f>'Promo Form'!BJ14</f>
        <v/>
      </c>
      <c r="AO14" s="18" t="str">
        <f>'Promo Form'!BK14</f>
        <v/>
      </c>
      <c r="AP14" s="18" t="str">
        <f>'Promo Form'!BL14</f>
        <v/>
      </c>
      <c r="AQ14" s="101" t="str">
        <f>'Promo Form'!BN14</f>
        <v/>
      </c>
      <c r="AR14" s="102" t="str">
        <f>'Promo Form'!BO14</f>
        <v/>
      </c>
      <c r="AS14" s="77"/>
      <c r="AT14" s="96" t="str">
        <f>'Promo Form'!BS14</f>
        <v/>
      </c>
      <c r="AU14" s="68" t="str">
        <f>'Promo Form'!BT14</f>
        <v/>
      </c>
      <c r="AV14" s="17" t="str">
        <f>'Promo Form'!BW14</f>
        <v/>
      </c>
      <c r="AW14" s="18" t="str">
        <f>'Promo Form'!BX14</f>
        <v/>
      </c>
      <c r="AX14" s="18" t="str">
        <f>'Promo Form'!BY14</f>
        <v/>
      </c>
      <c r="AY14" s="101" t="str">
        <f>'Promo Form'!CA14</f>
        <v/>
      </c>
      <c r="AZ14" s="102" t="str">
        <f>'Promo Form'!CB14</f>
        <v/>
      </c>
      <c r="BA14" s="77"/>
      <c r="BB14" s="96" t="str">
        <f>'Promo Form'!CF14</f>
        <v/>
      </c>
      <c r="BC14" s="68" t="str">
        <f>'Promo Form'!CG14</f>
        <v/>
      </c>
      <c r="BD14" s="17" t="str">
        <f>'Promo Form'!CJ14</f>
        <v/>
      </c>
      <c r="BE14" s="18" t="str">
        <f>'Promo Form'!CK14</f>
        <v/>
      </c>
      <c r="BF14" s="18" t="str">
        <f>'Promo Form'!CL14</f>
        <v/>
      </c>
      <c r="BG14" s="101" t="str">
        <f>'Promo Form'!CN14</f>
        <v/>
      </c>
      <c r="BH14" s="102" t="str">
        <f>'Promo Form'!CO14</f>
        <v/>
      </c>
      <c r="BI14" s="77"/>
      <c r="BJ14" s="17" t="str">
        <f>'Promo Form'!CS14</f>
        <v/>
      </c>
      <c r="BK14" s="17" t="str">
        <f>'Promo Form'!CT14</f>
        <v/>
      </c>
      <c r="BL14" s="99" t="str">
        <f>'Promo Form'!CU14</f>
        <v/>
      </c>
      <c r="BM14" s="17" t="str">
        <f>'Promo Form'!CV14</f>
        <v/>
      </c>
      <c r="BN14" s="98">
        <f>'Promo Form'!CW14</f>
        <v>0</v>
      </c>
    </row>
    <row r="15" spans="1:66" x14ac:dyDescent="0.2">
      <c r="A15" s="12" t="str">
        <f>'Promo Form'!A15</f>
        <v/>
      </c>
      <c r="B15" s="12" t="str">
        <f>'Promo Form'!B15</f>
        <v/>
      </c>
      <c r="C15" s="13">
        <f>'Promo Form'!C15</f>
        <v>0</v>
      </c>
      <c r="D15" s="14" t="str">
        <f>'Promo Form'!D15</f>
        <v/>
      </c>
      <c r="E15" s="15"/>
      <c r="F15" s="96" t="str">
        <f>'Promo Form'!F15</f>
        <v/>
      </c>
      <c r="G15" s="68" t="str">
        <f>'Promo Form'!G15</f>
        <v/>
      </c>
      <c r="H15" s="17" t="str">
        <f>'Promo Form'!J15</f>
        <v/>
      </c>
      <c r="I15" s="18" t="str">
        <f>'Promo Form'!K15</f>
        <v/>
      </c>
      <c r="J15" s="18" t="str">
        <f>'Promo Form'!L15</f>
        <v/>
      </c>
      <c r="K15" s="101" t="str">
        <f>'Promo Form'!N15</f>
        <v/>
      </c>
      <c r="L15" s="102" t="str">
        <f>'Promo Form'!O15</f>
        <v/>
      </c>
      <c r="M15" s="80"/>
      <c r="N15" s="96" t="str">
        <f>'Promo Form'!S15</f>
        <v/>
      </c>
      <c r="O15" s="68" t="str">
        <f>'Promo Form'!T15</f>
        <v/>
      </c>
      <c r="P15" s="17" t="str">
        <f>'Promo Form'!W15</f>
        <v/>
      </c>
      <c r="Q15" s="18" t="str">
        <f>'Promo Form'!X15</f>
        <v/>
      </c>
      <c r="R15" s="18" t="str">
        <f>'Promo Form'!Y15</f>
        <v/>
      </c>
      <c r="S15" s="101" t="str">
        <f>'Promo Form'!AA15</f>
        <v/>
      </c>
      <c r="T15" s="102" t="str">
        <f>'Promo Form'!AB15</f>
        <v/>
      </c>
      <c r="U15" s="80"/>
      <c r="V15" s="96" t="str">
        <f>'Promo Form'!AF15</f>
        <v/>
      </c>
      <c r="W15" s="68" t="str">
        <f>'Promo Form'!AG15</f>
        <v/>
      </c>
      <c r="X15" s="17" t="str">
        <f>'Promo Form'!AJ15</f>
        <v/>
      </c>
      <c r="Y15" s="18" t="str">
        <f>'Promo Form'!AK15</f>
        <v/>
      </c>
      <c r="Z15" s="18" t="str">
        <f>'Promo Form'!AL15</f>
        <v/>
      </c>
      <c r="AA15" s="101" t="str">
        <f>'Promo Form'!AN15</f>
        <v/>
      </c>
      <c r="AB15" s="102" t="str">
        <f>'Promo Form'!AO15</f>
        <v/>
      </c>
      <c r="AC15" s="80"/>
      <c r="AD15" s="96" t="str">
        <f>'Promo Form'!AS15</f>
        <v/>
      </c>
      <c r="AE15" s="68" t="str">
        <f>'Promo Form'!AT15</f>
        <v/>
      </c>
      <c r="AF15" s="17" t="str">
        <f>'Promo Form'!AW15</f>
        <v/>
      </c>
      <c r="AG15" s="18" t="str">
        <f>'Promo Form'!AX15</f>
        <v/>
      </c>
      <c r="AH15" s="18" t="str">
        <f>'Promo Form'!AY15</f>
        <v/>
      </c>
      <c r="AI15" s="101" t="str">
        <f>'Promo Form'!BA15</f>
        <v/>
      </c>
      <c r="AJ15" s="102" t="str">
        <f>'Promo Form'!BB15</f>
        <v/>
      </c>
      <c r="AK15" s="77"/>
      <c r="AL15" s="96" t="str">
        <f>'Promo Form'!BF15</f>
        <v/>
      </c>
      <c r="AM15" s="68" t="str">
        <f>'Promo Form'!BG15</f>
        <v/>
      </c>
      <c r="AN15" s="17" t="str">
        <f>'Promo Form'!BJ15</f>
        <v/>
      </c>
      <c r="AO15" s="18" t="str">
        <f>'Promo Form'!BK15</f>
        <v/>
      </c>
      <c r="AP15" s="18" t="str">
        <f>'Promo Form'!BL15</f>
        <v/>
      </c>
      <c r="AQ15" s="101" t="str">
        <f>'Promo Form'!BN15</f>
        <v/>
      </c>
      <c r="AR15" s="102" t="str">
        <f>'Promo Form'!BO15</f>
        <v/>
      </c>
      <c r="AS15" s="77"/>
      <c r="AT15" s="96" t="str">
        <f>'Promo Form'!BS15</f>
        <v/>
      </c>
      <c r="AU15" s="68" t="str">
        <f>'Promo Form'!BT15</f>
        <v/>
      </c>
      <c r="AV15" s="17" t="str">
        <f>'Promo Form'!BW15</f>
        <v/>
      </c>
      <c r="AW15" s="18" t="str">
        <f>'Promo Form'!BX15</f>
        <v/>
      </c>
      <c r="AX15" s="18" t="str">
        <f>'Promo Form'!BY15</f>
        <v/>
      </c>
      <c r="AY15" s="101" t="str">
        <f>'Promo Form'!CA15</f>
        <v/>
      </c>
      <c r="AZ15" s="102" t="str">
        <f>'Promo Form'!CB15</f>
        <v/>
      </c>
      <c r="BA15" s="77"/>
      <c r="BB15" s="96" t="str">
        <f>'Promo Form'!CF15</f>
        <v/>
      </c>
      <c r="BC15" s="68" t="str">
        <f>'Promo Form'!CG15</f>
        <v/>
      </c>
      <c r="BD15" s="17" t="str">
        <f>'Promo Form'!CJ15</f>
        <v/>
      </c>
      <c r="BE15" s="18" t="str">
        <f>'Promo Form'!CK15</f>
        <v/>
      </c>
      <c r="BF15" s="18" t="str">
        <f>'Promo Form'!CL15</f>
        <v/>
      </c>
      <c r="BG15" s="101" t="str">
        <f>'Promo Form'!CN15</f>
        <v/>
      </c>
      <c r="BH15" s="102" t="str">
        <f>'Promo Form'!CO15</f>
        <v/>
      </c>
      <c r="BI15" s="77"/>
      <c r="BJ15" s="17" t="str">
        <f>'Promo Form'!CS15</f>
        <v/>
      </c>
      <c r="BK15" s="17" t="str">
        <f>'Promo Form'!CT15</f>
        <v/>
      </c>
      <c r="BL15" s="99" t="str">
        <f>'Promo Form'!CU15</f>
        <v/>
      </c>
      <c r="BM15" s="17" t="str">
        <f>'Promo Form'!CV15</f>
        <v/>
      </c>
      <c r="BN15" s="98">
        <f>'Promo Form'!CW15</f>
        <v>0</v>
      </c>
    </row>
    <row r="16" spans="1:66" x14ac:dyDescent="0.2">
      <c r="A16" s="12" t="str">
        <f>'Promo Form'!A16</f>
        <v/>
      </c>
      <c r="B16" s="12" t="str">
        <f>'Promo Form'!B16</f>
        <v/>
      </c>
      <c r="C16" s="13">
        <f>'Promo Form'!C16</f>
        <v>0</v>
      </c>
      <c r="D16" s="14" t="str">
        <f>'Promo Form'!D16</f>
        <v/>
      </c>
      <c r="E16" s="15"/>
      <c r="F16" s="96" t="str">
        <f>'Promo Form'!F16</f>
        <v/>
      </c>
      <c r="G16" s="68" t="str">
        <f>'Promo Form'!G16</f>
        <v/>
      </c>
      <c r="H16" s="17" t="str">
        <f>'Promo Form'!J16</f>
        <v/>
      </c>
      <c r="I16" s="18" t="str">
        <f>'Promo Form'!K16</f>
        <v/>
      </c>
      <c r="J16" s="18" t="str">
        <f>'Promo Form'!L16</f>
        <v/>
      </c>
      <c r="K16" s="101" t="str">
        <f>'Promo Form'!N16</f>
        <v/>
      </c>
      <c r="L16" s="102" t="str">
        <f>'Promo Form'!O16</f>
        <v/>
      </c>
      <c r="M16" s="80"/>
      <c r="N16" s="96" t="str">
        <f>'Promo Form'!S16</f>
        <v/>
      </c>
      <c r="O16" s="68" t="str">
        <f>'Promo Form'!T16</f>
        <v/>
      </c>
      <c r="P16" s="17" t="str">
        <f>'Promo Form'!W16</f>
        <v/>
      </c>
      <c r="Q16" s="18" t="str">
        <f>'Promo Form'!X16</f>
        <v/>
      </c>
      <c r="R16" s="18" t="str">
        <f>'Promo Form'!Y16</f>
        <v/>
      </c>
      <c r="S16" s="101" t="str">
        <f>'Promo Form'!AA16</f>
        <v/>
      </c>
      <c r="T16" s="102" t="str">
        <f>'Promo Form'!AB16</f>
        <v/>
      </c>
      <c r="U16" s="80"/>
      <c r="V16" s="96" t="str">
        <f>'Promo Form'!AF16</f>
        <v/>
      </c>
      <c r="W16" s="68" t="str">
        <f>'Promo Form'!AG16</f>
        <v/>
      </c>
      <c r="X16" s="17" t="str">
        <f>'Promo Form'!AJ16</f>
        <v/>
      </c>
      <c r="Y16" s="18" t="str">
        <f>'Promo Form'!AK16</f>
        <v/>
      </c>
      <c r="Z16" s="18" t="str">
        <f>'Promo Form'!AL16</f>
        <v/>
      </c>
      <c r="AA16" s="101" t="str">
        <f>'Promo Form'!AN16</f>
        <v/>
      </c>
      <c r="AB16" s="102" t="str">
        <f>'Promo Form'!AO16</f>
        <v/>
      </c>
      <c r="AC16" s="80"/>
      <c r="AD16" s="96" t="str">
        <f>'Promo Form'!AS16</f>
        <v/>
      </c>
      <c r="AE16" s="68" t="str">
        <f>'Promo Form'!AT16</f>
        <v/>
      </c>
      <c r="AF16" s="17" t="str">
        <f>'Promo Form'!AW16</f>
        <v/>
      </c>
      <c r="AG16" s="18" t="str">
        <f>'Promo Form'!AX16</f>
        <v/>
      </c>
      <c r="AH16" s="18" t="str">
        <f>'Promo Form'!AY16</f>
        <v/>
      </c>
      <c r="AI16" s="101" t="str">
        <f>'Promo Form'!BA16</f>
        <v/>
      </c>
      <c r="AJ16" s="102" t="str">
        <f>'Promo Form'!BB16</f>
        <v/>
      </c>
      <c r="AK16" s="77"/>
      <c r="AL16" s="96" t="str">
        <f>'Promo Form'!BF16</f>
        <v/>
      </c>
      <c r="AM16" s="68" t="str">
        <f>'Promo Form'!BG16</f>
        <v/>
      </c>
      <c r="AN16" s="17" t="str">
        <f>'Promo Form'!BJ16</f>
        <v/>
      </c>
      <c r="AO16" s="18" t="str">
        <f>'Promo Form'!BK16</f>
        <v/>
      </c>
      <c r="AP16" s="18" t="str">
        <f>'Promo Form'!BL16</f>
        <v/>
      </c>
      <c r="AQ16" s="101" t="str">
        <f>'Promo Form'!BN16</f>
        <v/>
      </c>
      <c r="AR16" s="102" t="str">
        <f>'Promo Form'!BO16</f>
        <v/>
      </c>
      <c r="AS16" s="77"/>
      <c r="AT16" s="96" t="str">
        <f>'Promo Form'!BS16</f>
        <v/>
      </c>
      <c r="AU16" s="68" t="str">
        <f>'Promo Form'!BT16</f>
        <v/>
      </c>
      <c r="AV16" s="17" t="str">
        <f>'Promo Form'!BW16</f>
        <v/>
      </c>
      <c r="AW16" s="18" t="str">
        <f>'Promo Form'!BX16</f>
        <v/>
      </c>
      <c r="AX16" s="18" t="str">
        <f>'Promo Form'!BY16</f>
        <v/>
      </c>
      <c r="AY16" s="101" t="str">
        <f>'Promo Form'!CA16</f>
        <v/>
      </c>
      <c r="AZ16" s="102" t="str">
        <f>'Promo Form'!CB16</f>
        <v/>
      </c>
      <c r="BA16" s="77"/>
      <c r="BB16" s="96" t="str">
        <f>'Promo Form'!CF16</f>
        <v/>
      </c>
      <c r="BC16" s="68" t="str">
        <f>'Promo Form'!CG16</f>
        <v/>
      </c>
      <c r="BD16" s="17" t="str">
        <f>'Promo Form'!CJ16</f>
        <v/>
      </c>
      <c r="BE16" s="18" t="str">
        <f>'Promo Form'!CK16</f>
        <v/>
      </c>
      <c r="BF16" s="18" t="str">
        <f>'Promo Form'!CL16</f>
        <v/>
      </c>
      <c r="BG16" s="101" t="str">
        <f>'Promo Form'!CN16</f>
        <v/>
      </c>
      <c r="BH16" s="102" t="str">
        <f>'Promo Form'!CO16</f>
        <v/>
      </c>
      <c r="BI16" s="77"/>
      <c r="BJ16" s="17" t="str">
        <f>'Promo Form'!CS16</f>
        <v/>
      </c>
      <c r="BK16" s="17" t="str">
        <f>'Promo Form'!CT16</f>
        <v/>
      </c>
      <c r="BL16" s="99" t="str">
        <f>'Promo Form'!CU16</f>
        <v/>
      </c>
      <c r="BM16" s="17" t="str">
        <f>'Promo Form'!CV16</f>
        <v/>
      </c>
      <c r="BN16" s="98">
        <f>'Promo Form'!CW16</f>
        <v>0</v>
      </c>
    </row>
    <row r="17" spans="1:66" x14ac:dyDescent="0.2">
      <c r="A17" s="12" t="str">
        <f>'Promo Form'!A17</f>
        <v/>
      </c>
      <c r="B17" s="12" t="str">
        <f>'Promo Form'!B17</f>
        <v/>
      </c>
      <c r="C17" s="13">
        <f>'Promo Form'!C17</f>
        <v>0</v>
      </c>
      <c r="D17" s="14" t="str">
        <f>'Promo Form'!D17</f>
        <v/>
      </c>
      <c r="E17" s="15"/>
      <c r="F17" s="96" t="str">
        <f>'Promo Form'!F17</f>
        <v/>
      </c>
      <c r="G17" s="68" t="str">
        <f>'Promo Form'!G17</f>
        <v/>
      </c>
      <c r="H17" s="17" t="str">
        <f>'Promo Form'!J17</f>
        <v/>
      </c>
      <c r="I17" s="18" t="str">
        <f>'Promo Form'!K17</f>
        <v/>
      </c>
      <c r="J17" s="18" t="str">
        <f>'Promo Form'!L17</f>
        <v/>
      </c>
      <c r="K17" s="101" t="str">
        <f>'Promo Form'!N17</f>
        <v/>
      </c>
      <c r="L17" s="102" t="str">
        <f>'Promo Form'!O17</f>
        <v/>
      </c>
      <c r="M17" s="80"/>
      <c r="N17" s="96" t="str">
        <f>'Promo Form'!S17</f>
        <v/>
      </c>
      <c r="O17" s="68" t="str">
        <f>'Promo Form'!T17</f>
        <v/>
      </c>
      <c r="P17" s="17" t="str">
        <f>'Promo Form'!W17</f>
        <v/>
      </c>
      <c r="Q17" s="18" t="str">
        <f>'Promo Form'!X17</f>
        <v/>
      </c>
      <c r="R17" s="18" t="str">
        <f>'Promo Form'!Y17</f>
        <v/>
      </c>
      <c r="S17" s="101" t="str">
        <f>'Promo Form'!AA17</f>
        <v/>
      </c>
      <c r="T17" s="102" t="str">
        <f>'Promo Form'!AB17</f>
        <v/>
      </c>
      <c r="U17" s="80"/>
      <c r="V17" s="96" t="str">
        <f>'Promo Form'!AF17</f>
        <v/>
      </c>
      <c r="W17" s="68" t="str">
        <f>'Promo Form'!AG17</f>
        <v/>
      </c>
      <c r="X17" s="17" t="str">
        <f>'Promo Form'!AJ17</f>
        <v/>
      </c>
      <c r="Y17" s="18" t="str">
        <f>'Promo Form'!AK17</f>
        <v/>
      </c>
      <c r="Z17" s="18" t="str">
        <f>'Promo Form'!AL17</f>
        <v/>
      </c>
      <c r="AA17" s="101" t="str">
        <f>'Promo Form'!AN17</f>
        <v/>
      </c>
      <c r="AB17" s="102" t="str">
        <f>'Promo Form'!AO17</f>
        <v/>
      </c>
      <c r="AC17" s="80"/>
      <c r="AD17" s="96" t="str">
        <f>'Promo Form'!AS17</f>
        <v/>
      </c>
      <c r="AE17" s="68" t="str">
        <f>'Promo Form'!AT17</f>
        <v/>
      </c>
      <c r="AF17" s="17" t="str">
        <f>'Promo Form'!AW17</f>
        <v/>
      </c>
      <c r="AG17" s="18" t="str">
        <f>'Promo Form'!AX17</f>
        <v/>
      </c>
      <c r="AH17" s="18" t="str">
        <f>'Promo Form'!AY17</f>
        <v/>
      </c>
      <c r="AI17" s="101" t="str">
        <f>'Promo Form'!BA17</f>
        <v/>
      </c>
      <c r="AJ17" s="102" t="str">
        <f>'Promo Form'!BB17</f>
        <v/>
      </c>
      <c r="AK17" s="77"/>
      <c r="AL17" s="96" t="str">
        <f>'Promo Form'!BF17</f>
        <v/>
      </c>
      <c r="AM17" s="68" t="str">
        <f>'Promo Form'!BG17</f>
        <v/>
      </c>
      <c r="AN17" s="17" t="str">
        <f>'Promo Form'!BJ17</f>
        <v/>
      </c>
      <c r="AO17" s="18" t="str">
        <f>'Promo Form'!BK17</f>
        <v/>
      </c>
      <c r="AP17" s="18" t="str">
        <f>'Promo Form'!BL17</f>
        <v/>
      </c>
      <c r="AQ17" s="101" t="str">
        <f>'Promo Form'!BN17</f>
        <v/>
      </c>
      <c r="AR17" s="102" t="str">
        <f>'Promo Form'!BO17</f>
        <v/>
      </c>
      <c r="AS17" s="77"/>
      <c r="AT17" s="96" t="str">
        <f>'Promo Form'!BS17</f>
        <v/>
      </c>
      <c r="AU17" s="68" t="str">
        <f>'Promo Form'!BT17</f>
        <v/>
      </c>
      <c r="AV17" s="17" t="str">
        <f>'Promo Form'!BW17</f>
        <v/>
      </c>
      <c r="AW17" s="18" t="str">
        <f>'Promo Form'!BX17</f>
        <v/>
      </c>
      <c r="AX17" s="18" t="str">
        <f>'Promo Form'!BY17</f>
        <v/>
      </c>
      <c r="AY17" s="101" t="str">
        <f>'Promo Form'!CA17</f>
        <v/>
      </c>
      <c r="AZ17" s="102" t="str">
        <f>'Promo Form'!CB17</f>
        <v/>
      </c>
      <c r="BA17" s="77"/>
      <c r="BB17" s="96" t="str">
        <f>'Promo Form'!CF17</f>
        <v/>
      </c>
      <c r="BC17" s="68" t="str">
        <f>'Promo Form'!CG17</f>
        <v/>
      </c>
      <c r="BD17" s="17" t="str">
        <f>'Promo Form'!CJ17</f>
        <v/>
      </c>
      <c r="BE17" s="18" t="str">
        <f>'Promo Form'!CK17</f>
        <v/>
      </c>
      <c r="BF17" s="18" t="str">
        <f>'Promo Form'!CL17</f>
        <v/>
      </c>
      <c r="BG17" s="101" t="str">
        <f>'Promo Form'!CN17</f>
        <v/>
      </c>
      <c r="BH17" s="102" t="str">
        <f>'Promo Form'!CO17</f>
        <v/>
      </c>
      <c r="BI17" s="77"/>
      <c r="BJ17" s="17" t="str">
        <f>'Promo Form'!CS17</f>
        <v/>
      </c>
      <c r="BK17" s="17" t="str">
        <f>'Promo Form'!CT17</f>
        <v/>
      </c>
      <c r="BL17" s="99" t="str">
        <f>'Promo Form'!CU17</f>
        <v/>
      </c>
      <c r="BM17" s="17" t="str">
        <f>'Promo Form'!CV17</f>
        <v/>
      </c>
      <c r="BN17" s="98">
        <f>'Promo Form'!CW17</f>
        <v>0</v>
      </c>
    </row>
    <row r="18" spans="1:66" x14ac:dyDescent="0.2">
      <c r="A18" s="12" t="str">
        <f>'Promo Form'!A18</f>
        <v/>
      </c>
      <c r="B18" s="12" t="str">
        <f>'Promo Form'!B18</f>
        <v/>
      </c>
      <c r="C18" s="13">
        <f>'Promo Form'!C18</f>
        <v>0</v>
      </c>
      <c r="D18" s="14" t="str">
        <f>'Promo Form'!D18</f>
        <v/>
      </c>
      <c r="E18" s="15"/>
      <c r="F18" s="96" t="str">
        <f>'Promo Form'!F18</f>
        <v/>
      </c>
      <c r="G18" s="68" t="str">
        <f>'Promo Form'!G18</f>
        <v/>
      </c>
      <c r="H18" s="17" t="str">
        <f>'Promo Form'!J18</f>
        <v/>
      </c>
      <c r="I18" s="18" t="str">
        <f>'Promo Form'!K18</f>
        <v/>
      </c>
      <c r="J18" s="18" t="str">
        <f>'Promo Form'!L18</f>
        <v/>
      </c>
      <c r="K18" s="101" t="str">
        <f>'Promo Form'!N18</f>
        <v/>
      </c>
      <c r="L18" s="102" t="str">
        <f>'Promo Form'!O18</f>
        <v/>
      </c>
      <c r="M18" s="80"/>
      <c r="N18" s="96" t="str">
        <f>'Promo Form'!S18</f>
        <v/>
      </c>
      <c r="O18" s="68" t="str">
        <f>'Promo Form'!T18</f>
        <v/>
      </c>
      <c r="P18" s="17" t="str">
        <f>'Promo Form'!W18</f>
        <v/>
      </c>
      <c r="Q18" s="18" t="str">
        <f>'Promo Form'!X18</f>
        <v/>
      </c>
      <c r="R18" s="18" t="str">
        <f>'Promo Form'!Y18</f>
        <v/>
      </c>
      <c r="S18" s="101" t="str">
        <f>'Promo Form'!AA18</f>
        <v/>
      </c>
      <c r="T18" s="102" t="str">
        <f>'Promo Form'!AB18</f>
        <v/>
      </c>
      <c r="U18" s="80"/>
      <c r="V18" s="96" t="str">
        <f>'Promo Form'!AF18</f>
        <v/>
      </c>
      <c r="W18" s="68" t="str">
        <f>'Promo Form'!AG18</f>
        <v/>
      </c>
      <c r="X18" s="17" t="str">
        <f>'Promo Form'!AJ18</f>
        <v/>
      </c>
      <c r="Y18" s="18" t="str">
        <f>'Promo Form'!AK18</f>
        <v/>
      </c>
      <c r="Z18" s="18" t="str">
        <f>'Promo Form'!AL18</f>
        <v/>
      </c>
      <c r="AA18" s="101" t="str">
        <f>'Promo Form'!AN18</f>
        <v/>
      </c>
      <c r="AB18" s="102" t="str">
        <f>'Promo Form'!AO18</f>
        <v/>
      </c>
      <c r="AC18" s="80"/>
      <c r="AD18" s="96" t="str">
        <f>'Promo Form'!AS18</f>
        <v/>
      </c>
      <c r="AE18" s="68" t="str">
        <f>'Promo Form'!AT18</f>
        <v/>
      </c>
      <c r="AF18" s="17" t="str">
        <f>'Promo Form'!AW18</f>
        <v/>
      </c>
      <c r="AG18" s="18" t="str">
        <f>'Promo Form'!AX18</f>
        <v/>
      </c>
      <c r="AH18" s="18" t="str">
        <f>'Promo Form'!AY18</f>
        <v/>
      </c>
      <c r="AI18" s="101" t="str">
        <f>'Promo Form'!BA18</f>
        <v/>
      </c>
      <c r="AJ18" s="102" t="str">
        <f>'Promo Form'!BB18</f>
        <v/>
      </c>
      <c r="AK18" s="77"/>
      <c r="AL18" s="96" t="str">
        <f>'Promo Form'!BF18</f>
        <v/>
      </c>
      <c r="AM18" s="68" t="str">
        <f>'Promo Form'!BG18</f>
        <v/>
      </c>
      <c r="AN18" s="17" t="str">
        <f>'Promo Form'!BJ18</f>
        <v/>
      </c>
      <c r="AO18" s="18" t="str">
        <f>'Promo Form'!BK18</f>
        <v/>
      </c>
      <c r="AP18" s="18" t="str">
        <f>'Promo Form'!BL18</f>
        <v/>
      </c>
      <c r="AQ18" s="101" t="str">
        <f>'Promo Form'!BN18</f>
        <v/>
      </c>
      <c r="AR18" s="102" t="str">
        <f>'Promo Form'!BO18</f>
        <v/>
      </c>
      <c r="AS18" s="77"/>
      <c r="AT18" s="96" t="str">
        <f>'Promo Form'!BS18</f>
        <v/>
      </c>
      <c r="AU18" s="68" t="str">
        <f>'Promo Form'!BT18</f>
        <v/>
      </c>
      <c r="AV18" s="17" t="str">
        <f>'Promo Form'!BW18</f>
        <v/>
      </c>
      <c r="AW18" s="18" t="str">
        <f>'Promo Form'!BX18</f>
        <v/>
      </c>
      <c r="AX18" s="18" t="str">
        <f>'Promo Form'!BY18</f>
        <v/>
      </c>
      <c r="AY18" s="101" t="str">
        <f>'Promo Form'!CA18</f>
        <v/>
      </c>
      <c r="AZ18" s="102" t="str">
        <f>'Promo Form'!CB18</f>
        <v/>
      </c>
      <c r="BA18" s="77"/>
      <c r="BB18" s="96" t="str">
        <f>'Promo Form'!CF18</f>
        <v/>
      </c>
      <c r="BC18" s="68" t="str">
        <f>'Promo Form'!CG18</f>
        <v/>
      </c>
      <c r="BD18" s="17" t="str">
        <f>'Promo Form'!CJ18</f>
        <v/>
      </c>
      <c r="BE18" s="18" t="str">
        <f>'Promo Form'!CK18</f>
        <v/>
      </c>
      <c r="BF18" s="18" t="str">
        <f>'Promo Form'!CL18</f>
        <v/>
      </c>
      <c r="BG18" s="101" t="str">
        <f>'Promo Form'!CN18</f>
        <v/>
      </c>
      <c r="BH18" s="102" t="str">
        <f>'Promo Form'!CO18</f>
        <v/>
      </c>
      <c r="BI18" s="77"/>
      <c r="BJ18" s="17" t="str">
        <f>'Promo Form'!CS18</f>
        <v/>
      </c>
      <c r="BK18" s="17" t="str">
        <f>'Promo Form'!CT18</f>
        <v/>
      </c>
      <c r="BL18" s="99" t="str">
        <f>'Promo Form'!CU18</f>
        <v/>
      </c>
      <c r="BM18" s="17" t="str">
        <f>'Promo Form'!CV18</f>
        <v/>
      </c>
      <c r="BN18" s="98">
        <f>'Promo Form'!CW18</f>
        <v>0</v>
      </c>
    </row>
    <row r="19" spans="1:66" x14ac:dyDescent="0.2">
      <c r="A19" s="12" t="str">
        <f>'Promo Form'!A19</f>
        <v/>
      </c>
      <c r="B19" s="12" t="str">
        <f>'Promo Form'!B19</f>
        <v/>
      </c>
      <c r="C19" s="13">
        <f>'Promo Form'!C19</f>
        <v>0</v>
      </c>
      <c r="D19" s="14" t="str">
        <f>'Promo Form'!D19</f>
        <v/>
      </c>
      <c r="E19" s="15"/>
      <c r="F19" s="96" t="str">
        <f>'Promo Form'!F19</f>
        <v/>
      </c>
      <c r="G19" s="68" t="str">
        <f>'Promo Form'!G19</f>
        <v/>
      </c>
      <c r="H19" s="17" t="str">
        <f>'Promo Form'!J19</f>
        <v/>
      </c>
      <c r="I19" s="18" t="str">
        <f>'Promo Form'!K19</f>
        <v/>
      </c>
      <c r="J19" s="18" t="str">
        <f>'Promo Form'!L19</f>
        <v/>
      </c>
      <c r="K19" s="101" t="str">
        <f>'Promo Form'!N19</f>
        <v/>
      </c>
      <c r="L19" s="102" t="str">
        <f>'Promo Form'!O19</f>
        <v/>
      </c>
      <c r="M19" s="80"/>
      <c r="N19" s="96" t="str">
        <f>'Promo Form'!S19</f>
        <v/>
      </c>
      <c r="O19" s="68" t="str">
        <f>'Promo Form'!T19</f>
        <v/>
      </c>
      <c r="P19" s="17" t="str">
        <f>'Promo Form'!W19</f>
        <v/>
      </c>
      <c r="Q19" s="18" t="str">
        <f>'Promo Form'!X19</f>
        <v/>
      </c>
      <c r="R19" s="18" t="str">
        <f>'Promo Form'!Y19</f>
        <v/>
      </c>
      <c r="S19" s="101" t="str">
        <f>'Promo Form'!AA19</f>
        <v/>
      </c>
      <c r="T19" s="102" t="str">
        <f>'Promo Form'!AB19</f>
        <v/>
      </c>
      <c r="U19" s="80"/>
      <c r="V19" s="96" t="str">
        <f>'Promo Form'!AF19</f>
        <v/>
      </c>
      <c r="W19" s="68" t="str">
        <f>'Promo Form'!AG19</f>
        <v/>
      </c>
      <c r="X19" s="17" t="str">
        <f>'Promo Form'!AJ19</f>
        <v/>
      </c>
      <c r="Y19" s="18" t="str">
        <f>'Promo Form'!AK19</f>
        <v/>
      </c>
      <c r="Z19" s="18" t="str">
        <f>'Promo Form'!AL19</f>
        <v/>
      </c>
      <c r="AA19" s="101" t="str">
        <f>'Promo Form'!AN19</f>
        <v/>
      </c>
      <c r="AB19" s="102" t="str">
        <f>'Promo Form'!AO19</f>
        <v/>
      </c>
      <c r="AC19" s="80"/>
      <c r="AD19" s="96" t="str">
        <f>'Promo Form'!AS19</f>
        <v/>
      </c>
      <c r="AE19" s="68" t="str">
        <f>'Promo Form'!AT19</f>
        <v/>
      </c>
      <c r="AF19" s="17" t="str">
        <f>'Promo Form'!AW19</f>
        <v/>
      </c>
      <c r="AG19" s="18" t="str">
        <f>'Promo Form'!AX19</f>
        <v/>
      </c>
      <c r="AH19" s="18" t="str">
        <f>'Promo Form'!AY19</f>
        <v/>
      </c>
      <c r="AI19" s="101" t="str">
        <f>'Promo Form'!BA19</f>
        <v/>
      </c>
      <c r="AJ19" s="102" t="str">
        <f>'Promo Form'!BB19</f>
        <v/>
      </c>
      <c r="AK19" s="77"/>
      <c r="AL19" s="96" t="str">
        <f>'Promo Form'!BF19</f>
        <v/>
      </c>
      <c r="AM19" s="68" t="str">
        <f>'Promo Form'!BG19</f>
        <v/>
      </c>
      <c r="AN19" s="17" t="str">
        <f>'Promo Form'!BJ19</f>
        <v/>
      </c>
      <c r="AO19" s="18" t="str">
        <f>'Promo Form'!BK19</f>
        <v/>
      </c>
      <c r="AP19" s="18" t="str">
        <f>'Promo Form'!BL19</f>
        <v/>
      </c>
      <c r="AQ19" s="101" t="str">
        <f>'Promo Form'!BN19</f>
        <v/>
      </c>
      <c r="AR19" s="102" t="str">
        <f>'Promo Form'!BO19</f>
        <v/>
      </c>
      <c r="AS19" s="77"/>
      <c r="AT19" s="96" t="str">
        <f>'Promo Form'!BS19</f>
        <v/>
      </c>
      <c r="AU19" s="68" t="str">
        <f>'Promo Form'!BT19</f>
        <v/>
      </c>
      <c r="AV19" s="17" t="str">
        <f>'Promo Form'!BW19</f>
        <v/>
      </c>
      <c r="AW19" s="18" t="str">
        <f>'Promo Form'!BX19</f>
        <v/>
      </c>
      <c r="AX19" s="18" t="str">
        <f>'Promo Form'!BY19</f>
        <v/>
      </c>
      <c r="AY19" s="101" t="str">
        <f>'Promo Form'!CA19</f>
        <v/>
      </c>
      <c r="AZ19" s="102" t="str">
        <f>'Promo Form'!CB19</f>
        <v/>
      </c>
      <c r="BA19" s="77"/>
      <c r="BB19" s="96" t="str">
        <f>'Promo Form'!CF19</f>
        <v/>
      </c>
      <c r="BC19" s="68" t="str">
        <f>'Promo Form'!CG19</f>
        <v/>
      </c>
      <c r="BD19" s="17" t="str">
        <f>'Promo Form'!CJ19</f>
        <v/>
      </c>
      <c r="BE19" s="18" t="str">
        <f>'Promo Form'!CK19</f>
        <v/>
      </c>
      <c r="BF19" s="18" t="str">
        <f>'Promo Form'!CL19</f>
        <v/>
      </c>
      <c r="BG19" s="101" t="str">
        <f>'Promo Form'!CN19</f>
        <v/>
      </c>
      <c r="BH19" s="102" t="str">
        <f>'Promo Form'!CO19</f>
        <v/>
      </c>
      <c r="BI19" s="77"/>
      <c r="BJ19" s="17" t="str">
        <f>'Promo Form'!CS19</f>
        <v/>
      </c>
      <c r="BK19" s="17" t="str">
        <f>'Promo Form'!CT19</f>
        <v/>
      </c>
      <c r="BL19" s="99" t="str">
        <f>'Promo Form'!CU19</f>
        <v/>
      </c>
      <c r="BM19" s="17" t="str">
        <f>'Promo Form'!CV19</f>
        <v/>
      </c>
      <c r="BN19" s="98">
        <f>'Promo Form'!CW19</f>
        <v>0</v>
      </c>
    </row>
    <row r="20" spans="1:66" x14ac:dyDescent="0.2">
      <c r="A20" s="12" t="str">
        <f>'Promo Form'!A20</f>
        <v/>
      </c>
      <c r="B20" s="12" t="str">
        <f>'Promo Form'!B20</f>
        <v/>
      </c>
      <c r="C20" s="13">
        <f>'Promo Form'!C20</f>
        <v>0</v>
      </c>
      <c r="D20" s="14" t="str">
        <f>'Promo Form'!D20</f>
        <v/>
      </c>
      <c r="E20" s="15"/>
      <c r="F20" s="96" t="str">
        <f>'Promo Form'!F20</f>
        <v/>
      </c>
      <c r="G20" s="68" t="str">
        <f>'Promo Form'!G20</f>
        <v/>
      </c>
      <c r="H20" s="17" t="str">
        <f>'Promo Form'!J20</f>
        <v/>
      </c>
      <c r="I20" s="18" t="str">
        <f>'Promo Form'!K20</f>
        <v/>
      </c>
      <c r="J20" s="18" t="str">
        <f>'Promo Form'!L20</f>
        <v/>
      </c>
      <c r="K20" s="101" t="str">
        <f>'Promo Form'!N20</f>
        <v/>
      </c>
      <c r="L20" s="102" t="str">
        <f>'Promo Form'!O20</f>
        <v/>
      </c>
      <c r="M20" s="80"/>
      <c r="N20" s="96" t="str">
        <f>'Promo Form'!S20</f>
        <v/>
      </c>
      <c r="O20" s="68" t="str">
        <f>'Promo Form'!T20</f>
        <v/>
      </c>
      <c r="P20" s="17" t="str">
        <f>'Promo Form'!W20</f>
        <v/>
      </c>
      <c r="Q20" s="18" t="str">
        <f>'Promo Form'!X20</f>
        <v/>
      </c>
      <c r="R20" s="18" t="str">
        <f>'Promo Form'!Y20</f>
        <v/>
      </c>
      <c r="S20" s="101" t="str">
        <f>'Promo Form'!AA20</f>
        <v/>
      </c>
      <c r="T20" s="102" t="str">
        <f>'Promo Form'!AB20</f>
        <v/>
      </c>
      <c r="U20" s="80"/>
      <c r="V20" s="96" t="str">
        <f>'Promo Form'!AF20</f>
        <v/>
      </c>
      <c r="W20" s="68" t="str">
        <f>'Promo Form'!AG20</f>
        <v/>
      </c>
      <c r="X20" s="17" t="str">
        <f>'Promo Form'!AJ20</f>
        <v/>
      </c>
      <c r="Y20" s="18" t="str">
        <f>'Promo Form'!AK20</f>
        <v/>
      </c>
      <c r="Z20" s="18" t="str">
        <f>'Promo Form'!AL20</f>
        <v/>
      </c>
      <c r="AA20" s="101" t="str">
        <f>'Promo Form'!AN20</f>
        <v/>
      </c>
      <c r="AB20" s="102" t="str">
        <f>'Promo Form'!AO20</f>
        <v/>
      </c>
      <c r="AC20" s="80"/>
      <c r="AD20" s="96" t="str">
        <f>'Promo Form'!AS20</f>
        <v/>
      </c>
      <c r="AE20" s="68" t="str">
        <f>'Promo Form'!AT20</f>
        <v/>
      </c>
      <c r="AF20" s="17" t="str">
        <f>'Promo Form'!AW20</f>
        <v/>
      </c>
      <c r="AG20" s="18" t="str">
        <f>'Promo Form'!AX20</f>
        <v/>
      </c>
      <c r="AH20" s="18" t="str">
        <f>'Promo Form'!AY20</f>
        <v/>
      </c>
      <c r="AI20" s="101" t="str">
        <f>'Promo Form'!BA20</f>
        <v/>
      </c>
      <c r="AJ20" s="102" t="str">
        <f>'Promo Form'!BB20</f>
        <v/>
      </c>
      <c r="AK20" s="77"/>
      <c r="AL20" s="96" t="str">
        <f>'Promo Form'!BF20</f>
        <v/>
      </c>
      <c r="AM20" s="68" t="str">
        <f>'Promo Form'!BG20</f>
        <v/>
      </c>
      <c r="AN20" s="17" t="str">
        <f>'Promo Form'!BJ20</f>
        <v/>
      </c>
      <c r="AO20" s="18" t="str">
        <f>'Promo Form'!BK20</f>
        <v/>
      </c>
      <c r="AP20" s="18" t="str">
        <f>'Promo Form'!BL20</f>
        <v/>
      </c>
      <c r="AQ20" s="101" t="str">
        <f>'Promo Form'!BN20</f>
        <v/>
      </c>
      <c r="AR20" s="102" t="str">
        <f>'Promo Form'!BO20</f>
        <v/>
      </c>
      <c r="AS20" s="77"/>
      <c r="AT20" s="96" t="str">
        <f>'Promo Form'!BS20</f>
        <v/>
      </c>
      <c r="AU20" s="68" t="str">
        <f>'Promo Form'!BT20</f>
        <v/>
      </c>
      <c r="AV20" s="17" t="str">
        <f>'Promo Form'!BW20</f>
        <v/>
      </c>
      <c r="AW20" s="18" t="str">
        <f>'Promo Form'!BX20</f>
        <v/>
      </c>
      <c r="AX20" s="18" t="str">
        <f>'Promo Form'!BY20</f>
        <v/>
      </c>
      <c r="AY20" s="101" t="str">
        <f>'Promo Form'!CA20</f>
        <v/>
      </c>
      <c r="AZ20" s="102" t="str">
        <f>'Promo Form'!CB20</f>
        <v/>
      </c>
      <c r="BA20" s="77"/>
      <c r="BB20" s="96" t="str">
        <f>'Promo Form'!CF20</f>
        <v/>
      </c>
      <c r="BC20" s="68" t="str">
        <f>'Promo Form'!CG20</f>
        <v/>
      </c>
      <c r="BD20" s="17" t="str">
        <f>'Promo Form'!CJ20</f>
        <v/>
      </c>
      <c r="BE20" s="18" t="str">
        <f>'Promo Form'!CK20</f>
        <v/>
      </c>
      <c r="BF20" s="18" t="str">
        <f>'Promo Form'!CL20</f>
        <v/>
      </c>
      <c r="BG20" s="101" t="str">
        <f>'Promo Form'!CN20</f>
        <v/>
      </c>
      <c r="BH20" s="102" t="str">
        <f>'Promo Form'!CO20</f>
        <v/>
      </c>
      <c r="BI20" s="77"/>
      <c r="BJ20" s="17" t="str">
        <f>'Promo Form'!CS20</f>
        <v/>
      </c>
      <c r="BK20" s="17" t="str">
        <f>'Promo Form'!CT20</f>
        <v/>
      </c>
      <c r="BL20" s="99" t="str">
        <f>'Promo Form'!CU20</f>
        <v/>
      </c>
      <c r="BM20" s="17" t="str">
        <f>'Promo Form'!CV20</f>
        <v/>
      </c>
      <c r="BN20" s="98">
        <f>'Promo Form'!CW20</f>
        <v>0</v>
      </c>
    </row>
    <row r="21" spans="1:66" x14ac:dyDescent="0.2">
      <c r="A21" s="12" t="str">
        <f>'Promo Form'!A21</f>
        <v/>
      </c>
      <c r="B21" s="12" t="str">
        <f>'Promo Form'!B21</f>
        <v/>
      </c>
      <c r="C21" s="13">
        <f>'Promo Form'!C21</f>
        <v>0</v>
      </c>
      <c r="D21" s="14" t="str">
        <f>'Promo Form'!D21</f>
        <v/>
      </c>
      <c r="E21" s="15"/>
      <c r="F21" s="96" t="str">
        <f>'Promo Form'!F21</f>
        <v/>
      </c>
      <c r="G21" s="68" t="str">
        <f>'Promo Form'!G21</f>
        <v/>
      </c>
      <c r="H21" s="17" t="str">
        <f>'Promo Form'!J21</f>
        <v/>
      </c>
      <c r="I21" s="18" t="str">
        <f>'Promo Form'!K21</f>
        <v/>
      </c>
      <c r="J21" s="18" t="str">
        <f>'Promo Form'!L21</f>
        <v/>
      </c>
      <c r="K21" s="101" t="str">
        <f>'Promo Form'!N21</f>
        <v/>
      </c>
      <c r="L21" s="102" t="str">
        <f>'Promo Form'!O21</f>
        <v/>
      </c>
      <c r="M21" s="80"/>
      <c r="N21" s="96" t="str">
        <f>'Promo Form'!S21</f>
        <v/>
      </c>
      <c r="O21" s="68" t="str">
        <f>'Promo Form'!T21</f>
        <v/>
      </c>
      <c r="P21" s="17" t="str">
        <f>'Promo Form'!W21</f>
        <v/>
      </c>
      <c r="Q21" s="18" t="str">
        <f>'Promo Form'!X21</f>
        <v/>
      </c>
      <c r="R21" s="18" t="str">
        <f>'Promo Form'!Y21</f>
        <v/>
      </c>
      <c r="S21" s="101" t="str">
        <f>'Promo Form'!AA21</f>
        <v/>
      </c>
      <c r="T21" s="102" t="str">
        <f>'Promo Form'!AB21</f>
        <v/>
      </c>
      <c r="U21" s="80"/>
      <c r="V21" s="96" t="str">
        <f>'Promo Form'!AF21</f>
        <v/>
      </c>
      <c r="W21" s="68" t="str">
        <f>'Promo Form'!AG21</f>
        <v/>
      </c>
      <c r="X21" s="17" t="str">
        <f>'Promo Form'!AJ21</f>
        <v/>
      </c>
      <c r="Y21" s="18" t="str">
        <f>'Promo Form'!AK21</f>
        <v/>
      </c>
      <c r="Z21" s="18" t="str">
        <f>'Promo Form'!AL21</f>
        <v/>
      </c>
      <c r="AA21" s="101" t="str">
        <f>'Promo Form'!AN21</f>
        <v/>
      </c>
      <c r="AB21" s="102" t="str">
        <f>'Promo Form'!AO21</f>
        <v/>
      </c>
      <c r="AC21" s="80"/>
      <c r="AD21" s="96" t="str">
        <f>'Promo Form'!AS21</f>
        <v/>
      </c>
      <c r="AE21" s="68" t="str">
        <f>'Promo Form'!AT21</f>
        <v/>
      </c>
      <c r="AF21" s="17" t="str">
        <f>'Promo Form'!AW21</f>
        <v/>
      </c>
      <c r="AG21" s="18" t="str">
        <f>'Promo Form'!AX21</f>
        <v/>
      </c>
      <c r="AH21" s="18" t="str">
        <f>'Promo Form'!AY21</f>
        <v/>
      </c>
      <c r="AI21" s="101" t="str">
        <f>'Promo Form'!BA21</f>
        <v/>
      </c>
      <c r="AJ21" s="102" t="str">
        <f>'Promo Form'!BB21</f>
        <v/>
      </c>
      <c r="AK21" s="77"/>
      <c r="AL21" s="96" t="str">
        <f>'Promo Form'!BF21</f>
        <v/>
      </c>
      <c r="AM21" s="68" t="str">
        <f>'Promo Form'!BG21</f>
        <v/>
      </c>
      <c r="AN21" s="17" t="str">
        <f>'Promo Form'!BJ21</f>
        <v/>
      </c>
      <c r="AO21" s="18" t="str">
        <f>'Promo Form'!BK21</f>
        <v/>
      </c>
      <c r="AP21" s="18" t="str">
        <f>'Promo Form'!BL21</f>
        <v/>
      </c>
      <c r="AQ21" s="101" t="str">
        <f>'Promo Form'!BN21</f>
        <v/>
      </c>
      <c r="AR21" s="102" t="str">
        <f>'Promo Form'!BO21</f>
        <v/>
      </c>
      <c r="AS21" s="77"/>
      <c r="AT21" s="96" t="str">
        <f>'Promo Form'!BS21</f>
        <v/>
      </c>
      <c r="AU21" s="68" t="str">
        <f>'Promo Form'!BT21</f>
        <v/>
      </c>
      <c r="AV21" s="17" t="str">
        <f>'Promo Form'!BW21</f>
        <v/>
      </c>
      <c r="AW21" s="18" t="str">
        <f>'Promo Form'!BX21</f>
        <v/>
      </c>
      <c r="AX21" s="18" t="str">
        <f>'Promo Form'!BY21</f>
        <v/>
      </c>
      <c r="AY21" s="101" t="str">
        <f>'Promo Form'!CA21</f>
        <v/>
      </c>
      <c r="AZ21" s="102" t="str">
        <f>'Promo Form'!CB21</f>
        <v/>
      </c>
      <c r="BA21" s="77"/>
      <c r="BB21" s="96" t="str">
        <f>'Promo Form'!CF21</f>
        <v/>
      </c>
      <c r="BC21" s="68" t="str">
        <f>'Promo Form'!CG21</f>
        <v/>
      </c>
      <c r="BD21" s="17" t="str">
        <f>'Promo Form'!CJ21</f>
        <v/>
      </c>
      <c r="BE21" s="18" t="str">
        <f>'Promo Form'!CK21</f>
        <v/>
      </c>
      <c r="BF21" s="18" t="str">
        <f>'Promo Form'!CL21</f>
        <v/>
      </c>
      <c r="BG21" s="101" t="str">
        <f>'Promo Form'!CN21</f>
        <v/>
      </c>
      <c r="BH21" s="102" t="str">
        <f>'Promo Form'!CO21</f>
        <v/>
      </c>
      <c r="BI21" s="77"/>
      <c r="BJ21" s="17" t="str">
        <f>'Promo Form'!CS21</f>
        <v/>
      </c>
      <c r="BK21" s="17" t="str">
        <f>'Promo Form'!CT21</f>
        <v/>
      </c>
      <c r="BL21" s="99" t="str">
        <f>'Promo Form'!CU21</f>
        <v/>
      </c>
      <c r="BM21" s="17" t="str">
        <f>'Promo Form'!CV21</f>
        <v/>
      </c>
      <c r="BN21" s="98">
        <f>'Promo Form'!CW21</f>
        <v>0</v>
      </c>
    </row>
    <row r="22" spans="1:66" x14ac:dyDescent="0.2">
      <c r="A22" s="12" t="str">
        <f>'Promo Form'!A22</f>
        <v/>
      </c>
      <c r="B22" s="12" t="str">
        <f>'Promo Form'!B22</f>
        <v/>
      </c>
      <c r="C22" s="13">
        <f>'Promo Form'!C22</f>
        <v>0</v>
      </c>
      <c r="D22" s="14" t="str">
        <f>'Promo Form'!D22</f>
        <v/>
      </c>
      <c r="E22" s="15"/>
      <c r="F22" s="96" t="str">
        <f>'Promo Form'!F22</f>
        <v/>
      </c>
      <c r="G22" s="68" t="str">
        <f>'Promo Form'!G22</f>
        <v/>
      </c>
      <c r="H22" s="17" t="str">
        <f>'Promo Form'!J22</f>
        <v/>
      </c>
      <c r="I22" s="18" t="str">
        <f>'Promo Form'!K22</f>
        <v/>
      </c>
      <c r="J22" s="18" t="str">
        <f>'Promo Form'!L22</f>
        <v/>
      </c>
      <c r="K22" s="101" t="str">
        <f>'Promo Form'!N22</f>
        <v/>
      </c>
      <c r="L22" s="102" t="str">
        <f>'Promo Form'!O22</f>
        <v/>
      </c>
      <c r="M22" s="80"/>
      <c r="N22" s="96" t="str">
        <f>'Promo Form'!S22</f>
        <v/>
      </c>
      <c r="O22" s="68" t="str">
        <f>'Promo Form'!T22</f>
        <v/>
      </c>
      <c r="P22" s="17" t="str">
        <f>'Promo Form'!W22</f>
        <v/>
      </c>
      <c r="Q22" s="18" t="str">
        <f>'Promo Form'!X22</f>
        <v/>
      </c>
      <c r="R22" s="18" t="str">
        <f>'Promo Form'!Y22</f>
        <v/>
      </c>
      <c r="S22" s="101" t="str">
        <f>'Promo Form'!AA22</f>
        <v/>
      </c>
      <c r="T22" s="102" t="str">
        <f>'Promo Form'!AB22</f>
        <v/>
      </c>
      <c r="U22" s="80"/>
      <c r="V22" s="96" t="str">
        <f>'Promo Form'!AF22</f>
        <v/>
      </c>
      <c r="W22" s="68" t="str">
        <f>'Promo Form'!AG22</f>
        <v/>
      </c>
      <c r="X22" s="17" t="str">
        <f>'Promo Form'!AJ22</f>
        <v/>
      </c>
      <c r="Y22" s="18" t="str">
        <f>'Promo Form'!AK22</f>
        <v/>
      </c>
      <c r="Z22" s="18" t="str">
        <f>'Promo Form'!AL22</f>
        <v/>
      </c>
      <c r="AA22" s="101" t="str">
        <f>'Promo Form'!AN22</f>
        <v/>
      </c>
      <c r="AB22" s="102" t="str">
        <f>'Promo Form'!AO22</f>
        <v/>
      </c>
      <c r="AC22" s="80"/>
      <c r="AD22" s="96" t="str">
        <f>'Promo Form'!AS22</f>
        <v/>
      </c>
      <c r="AE22" s="68" t="str">
        <f>'Promo Form'!AT22</f>
        <v/>
      </c>
      <c r="AF22" s="17" t="str">
        <f>'Promo Form'!AW22</f>
        <v/>
      </c>
      <c r="AG22" s="18" t="str">
        <f>'Promo Form'!AX22</f>
        <v/>
      </c>
      <c r="AH22" s="18" t="str">
        <f>'Promo Form'!AY22</f>
        <v/>
      </c>
      <c r="AI22" s="101" t="str">
        <f>'Promo Form'!BA22</f>
        <v/>
      </c>
      <c r="AJ22" s="102" t="str">
        <f>'Promo Form'!BB22</f>
        <v/>
      </c>
      <c r="AK22" s="77"/>
      <c r="AL22" s="96" t="str">
        <f>'Promo Form'!BF22</f>
        <v/>
      </c>
      <c r="AM22" s="68" t="str">
        <f>'Promo Form'!BG22</f>
        <v/>
      </c>
      <c r="AN22" s="17" t="str">
        <f>'Promo Form'!BJ22</f>
        <v/>
      </c>
      <c r="AO22" s="18" t="str">
        <f>'Promo Form'!BK22</f>
        <v/>
      </c>
      <c r="AP22" s="18" t="str">
        <f>'Promo Form'!BL22</f>
        <v/>
      </c>
      <c r="AQ22" s="101" t="str">
        <f>'Promo Form'!BN22</f>
        <v/>
      </c>
      <c r="AR22" s="102" t="str">
        <f>'Promo Form'!BO22</f>
        <v/>
      </c>
      <c r="AS22" s="77"/>
      <c r="AT22" s="96" t="str">
        <f>'Promo Form'!BS22</f>
        <v/>
      </c>
      <c r="AU22" s="68" t="str">
        <f>'Promo Form'!BT22</f>
        <v/>
      </c>
      <c r="AV22" s="17" t="str">
        <f>'Promo Form'!BW22</f>
        <v/>
      </c>
      <c r="AW22" s="18" t="str">
        <f>'Promo Form'!BX22</f>
        <v/>
      </c>
      <c r="AX22" s="18" t="str">
        <f>'Promo Form'!BY22</f>
        <v/>
      </c>
      <c r="AY22" s="101" t="str">
        <f>'Promo Form'!CA22</f>
        <v/>
      </c>
      <c r="AZ22" s="102" t="str">
        <f>'Promo Form'!CB22</f>
        <v/>
      </c>
      <c r="BA22" s="77"/>
      <c r="BB22" s="96" t="str">
        <f>'Promo Form'!CF22</f>
        <v/>
      </c>
      <c r="BC22" s="68" t="str">
        <f>'Promo Form'!CG22</f>
        <v/>
      </c>
      <c r="BD22" s="17" t="str">
        <f>'Promo Form'!CJ22</f>
        <v/>
      </c>
      <c r="BE22" s="18" t="str">
        <f>'Promo Form'!CK22</f>
        <v/>
      </c>
      <c r="BF22" s="18" t="str">
        <f>'Promo Form'!CL22</f>
        <v/>
      </c>
      <c r="BG22" s="101" t="str">
        <f>'Promo Form'!CN22</f>
        <v/>
      </c>
      <c r="BH22" s="102" t="str">
        <f>'Promo Form'!CO22</f>
        <v/>
      </c>
      <c r="BI22" s="77"/>
      <c r="BJ22" s="17" t="str">
        <f>'Promo Form'!CS22</f>
        <v/>
      </c>
      <c r="BK22" s="17" t="str">
        <f>'Promo Form'!CT22</f>
        <v/>
      </c>
      <c r="BL22" s="99" t="str">
        <f>'Promo Form'!CU22</f>
        <v/>
      </c>
      <c r="BM22" s="17" t="str">
        <f>'Promo Form'!CV22</f>
        <v/>
      </c>
      <c r="BN22" s="98">
        <f>'Promo Form'!CW22</f>
        <v>0</v>
      </c>
    </row>
    <row r="23" spans="1:66" x14ac:dyDescent="0.2">
      <c r="A23" s="12" t="str">
        <f>'Promo Form'!A23</f>
        <v/>
      </c>
      <c r="B23" s="12" t="str">
        <f>'Promo Form'!B23</f>
        <v/>
      </c>
      <c r="C23" s="13">
        <f>'Promo Form'!C23</f>
        <v>0</v>
      </c>
      <c r="D23" s="14" t="str">
        <f>'Promo Form'!D23</f>
        <v/>
      </c>
      <c r="E23" s="15"/>
      <c r="F23" s="96" t="str">
        <f>'Promo Form'!F23</f>
        <v/>
      </c>
      <c r="G23" s="68" t="str">
        <f>'Promo Form'!G23</f>
        <v/>
      </c>
      <c r="H23" s="17" t="str">
        <f>'Promo Form'!J23</f>
        <v/>
      </c>
      <c r="I23" s="18" t="str">
        <f>'Promo Form'!K23</f>
        <v/>
      </c>
      <c r="J23" s="18" t="str">
        <f>'Promo Form'!L23</f>
        <v/>
      </c>
      <c r="K23" s="101" t="str">
        <f>'Promo Form'!N23</f>
        <v/>
      </c>
      <c r="L23" s="102" t="str">
        <f>'Promo Form'!O23</f>
        <v/>
      </c>
      <c r="M23" s="80"/>
      <c r="N23" s="96" t="str">
        <f>'Promo Form'!S23</f>
        <v/>
      </c>
      <c r="O23" s="68" t="str">
        <f>'Promo Form'!T23</f>
        <v/>
      </c>
      <c r="P23" s="17" t="str">
        <f>'Promo Form'!W23</f>
        <v/>
      </c>
      <c r="Q23" s="18" t="str">
        <f>'Promo Form'!X23</f>
        <v/>
      </c>
      <c r="R23" s="18" t="str">
        <f>'Promo Form'!Y23</f>
        <v/>
      </c>
      <c r="S23" s="101" t="str">
        <f>'Promo Form'!AA23</f>
        <v/>
      </c>
      <c r="T23" s="102" t="str">
        <f>'Promo Form'!AB23</f>
        <v/>
      </c>
      <c r="U23" s="80"/>
      <c r="V23" s="96" t="str">
        <f>'Promo Form'!AF23</f>
        <v/>
      </c>
      <c r="W23" s="68" t="str">
        <f>'Promo Form'!AG23</f>
        <v/>
      </c>
      <c r="X23" s="17" t="str">
        <f>'Promo Form'!AJ23</f>
        <v/>
      </c>
      <c r="Y23" s="18" t="str">
        <f>'Promo Form'!AK23</f>
        <v/>
      </c>
      <c r="Z23" s="18" t="str">
        <f>'Promo Form'!AL23</f>
        <v/>
      </c>
      <c r="AA23" s="101" t="str">
        <f>'Promo Form'!AN23</f>
        <v/>
      </c>
      <c r="AB23" s="102" t="str">
        <f>'Promo Form'!AO23</f>
        <v/>
      </c>
      <c r="AC23" s="80"/>
      <c r="AD23" s="96" t="str">
        <f>'Promo Form'!AS23</f>
        <v/>
      </c>
      <c r="AE23" s="68" t="str">
        <f>'Promo Form'!AT23</f>
        <v/>
      </c>
      <c r="AF23" s="17" t="str">
        <f>'Promo Form'!AW23</f>
        <v/>
      </c>
      <c r="AG23" s="18" t="str">
        <f>'Promo Form'!AX23</f>
        <v/>
      </c>
      <c r="AH23" s="18" t="str">
        <f>'Promo Form'!AY23</f>
        <v/>
      </c>
      <c r="AI23" s="101" t="str">
        <f>'Promo Form'!BA23</f>
        <v/>
      </c>
      <c r="AJ23" s="102" t="str">
        <f>'Promo Form'!BB23</f>
        <v/>
      </c>
      <c r="AK23" s="77"/>
      <c r="AL23" s="96" t="str">
        <f>'Promo Form'!BF23</f>
        <v/>
      </c>
      <c r="AM23" s="68" t="str">
        <f>'Promo Form'!BG23</f>
        <v/>
      </c>
      <c r="AN23" s="17" t="str">
        <f>'Promo Form'!BJ23</f>
        <v/>
      </c>
      <c r="AO23" s="18" t="str">
        <f>'Promo Form'!BK23</f>
        <v/>
      </c>
      <c r="AP23" s="18" t="str">
        <f>'Promo Form'!BL23</f>
        <v/>
      </c>
      <c r="AQ23" s="101" t="str">
        <f>'Promo Form'!BN23</f>
        <v/>
      </c>
      <c r="AR23" s="102" t="str">
        <f>'Promo Form'!BO23</f>
        <v/>
      </c>
      <c r="AS23" s="77"/>
      <c r="AT23" s="96" t="str">
        <f>'Promo Form'!BS23</f>
        <v/>
      </c>
      <c r="AU23" s="68" t="str">
        <f>'Promo Form'!BT23</f>
        <v/>
      </c>
      <c r="AV23" s="17" t="str">
        <f>'Promo Form'!BW23</f>
        <v/>
      </c>
      <c r="AW23" s="18" t="str">
        <f>'Promo Form'!BX23</f>
        <v/>
      </c>
      <c r="AX23" s="18" t="str">
        <f>'Promo Form'!BY23</f>
        <v/>
      </c>
      <c r="AY23" s="101" t="str">
        <f>'Promo Form'!CA23</f>
        <v/>
      </c>
      <c r="AZ23" s="102" t="str">
        <f>'Promo Form'!CB23</f>
        <v/>
      </c>
      <c r="BA23" s="77"/>
      <c r="BB23" s="96" t="str">
        <f>'Promo Form'!CF23</f>
        <v/>
      </c>
      <c r="BC23" s="68" t="str">
        <f>'Promo Form'!CG23</f>
        <v/>
      </c>
      <c r="BD23" s="17" t="str">
        <f>'Promo Form'!CJ23</f>
        <v/>
      </c>
      <c r="BE23" s="18" t="str">
        <f>'Promo Form'!CK23</f>
        <v/>
      </c>
      <c r="BF23" s="18" t="str">
        <f>'Promo Form'!CL23</f>
        <v/>
      </c>
      <c r="BG23" s="101" t="str">
        <f>'Promo Form'!CN23</f>
        <v/>
      </c>
      <c r="BH23" s="102" t="str">
        <f>'Promo Form'!CO23</f>
        <v/>
      </c>
      <c r="BI23" s="77"/>
      <c r="BJ23" s="17" t="str">
        <f>'Promo Form'!CS23</f>
        <v/>
      </c>
      <c r="BK23" s="17" t="str">
        <f>'Promo Form'!CT23</f>
        <v/>
      </c>
      <c r="BL23" s="99" t="str">
        <f>'Promo Form'!CU23</f>
        <v/>
      </c>
      <c r="BM23" s="17" t="str">
        <f>'Promo Form'!CV23</f>
        <v/>
      </c>
      <c r="BN23" s="98">
        <f>'Promo Form'!CW23</f>
        <v>0</v>
      </c>
    </row>
    <row r="24" spans="1:66" x14ac:dyDescent="0.2">
      <c r="A24" s="12" t="str">
        <f>'Promo Form'!A24</f>
        <v/>
      </c>
      <c r="B24" s="12" t="str">
        <f>'Promo Form'!B24</f>
        <v/>
      </c>
      <c r="C24" s="13">
        <f>'Promo Form'!C24</f>
        <v>0</v>
      </c>
      <c r="D24" s="14" t="str">
        <f>'Promo Form'!D24</f>
        <v/>
      </c>
      <c r="E24" s="15"/>
      <c r="F24" s="96" t="str">
        <f>'Promo Form'!F24</f>
        <v/>
      </c>
      <c r="G24" s="68" t="str">
        <f>'Promo Form'!G24</f>
        <v/>
      </c>
      <c r="H24" s="17" t="str">
        <f>'Promo Form'!J24</f>
        <v/>
      </c>
      <c r="I24" s="18" t="str">
        <f>'Promo Form'!K24</f>
        <v/>
      </c>
      <c r="J24" s="18" t="str">
        <f>'Promo Form'!L24</f>
        <v/>
      </c>
      <c r="K24" s="101" t="str">
        <f>'Promo Form'!N24</f>
        <v/>
      </c>
      <c r="L24" s="102" t="str">
        <f>'Promo Form'!O24</f>
        <v/>
      </c>
      <c r="M24" s="80"/>
      <c r="N24" s="96" t="str">
        <f>'Promo Form'!S24</f>
        <v/>
      </c>
      <c r="O24" s="68" t="str">
        <f>'Promo Form'!T24</f>
        <v/>
      </c>
      <c r="P24" s="17" t="str">
        <f>'Promo Form'!W24</f>
        <v/>
      </c>
      <c r="Q24" s="18" t="str">
        <f>'Promo Form'!X24</f>
        <v/>
      </c>
      <c r="R24" s="18" t="str">
        <f>'Promo Form'!Y24</f>
        <v/>
      </c>
      <c r="S24" s="101" t="str">
        <f>'Promo Form'!AA24</f>
        <v/>
      </c>
      <c r="T24" s="102" t="str">
        <f>'Promo Form'!AB24</f>
        <v/>
      </c>
      <c r="U24" s="80"/>
      <c r="V24" s="96" t="str">
        <f>'Promo Form'!AF24</f>
        <v/>
      </c>
      <c r="W24" s="68" t="str">
        <f>'Promo Form'!AG24</f>
        <v/>
      </c>
      <c r="X24" s="17" t="str">
        <f>'Promo Form'!AJ24</f>
        <v/>
      </c>
      <c r="Y24" s="18" t="str">
        <f>'Promo Form'!AK24</f>
        <v/>
      </c>
      <c r="Z24" s="18" t="str">
        <f>'Promo Form'!AL24</f>
        <v/>
      </c>
      <c r="AA24" s="101" t="str">
        <f>'Promo Form'!AN24</f>
        <v/>
      </c>
      <c r="AB24" s="102" t="str">
        <f>'Promo Form'!AO24</f>
        <v/>
      </c>
      <c r="AC24" s="80"/>
      <c r="AD24" s="96" t="str">
        <f>'Promo Form'!AS24</f>
        <v/>
      </c>
      <c r="AE24" s="68" t="str">
        <f>'Promo Form'!AT24</f>
        <v/>
      </c>
      <c r="AF24" s="17" t="str">
        <f>'Promo Form'!AW24</f>
        <v/>
      </c>
      <c r="AG24" s="18" t="str">
        <f>'Promo Form'!AX24</f>
        <v/>
      </c>
      <c r="AH24" s="18" t="str">
        <f>'Promo Form'!AY24</f>
        <v/>
      </c>
      <c r="AI24" s="101" t="str">
        <f>'Promo Form'!BA24</f>
        <v/>
      </c>
      <c r="AJ24" s="102" t="str">
        <f>'Promo Form'!BB24</f>
        <v/>
      </c>
      <c r="AK24" s="77"/>
      <c r="AL24" s="96" t="str">
        <f>'Promo Form'!BF24</f>
        <v/>
      </c>
      <c r="AM24" s="68" t="str">
        <f>'Promo Form'!BG24</f>
        <v/>
      </c>
      <c r="AN24" s="17" t="str">
        <f>'Promo Form'!BJ24</f>
        <v/>
      </c>
      <c r="AO24" s="18" t="str">
        <f>'Promo Form'!BK24</f>
        <v/>
      </c>
      <c r="AP24" s="18" t="str">
        <f>'Promo Form'!BL24</f>
        <v/>
      </c>
      <c r="AQ24" s="101" t="str">
        <f>'Promo Form'!BN24</f>
        <v/>
      </c>
      <c r="AR24" s="102" t="str">
        <f>'Promo Form'!BO24</f>
        <v/>
      </c>
      <c r="AS24" s="77"/>
      <c r="AT24" s="96" t="str">
        <f>'Promo Form'!BS24</f>
        <v/>
      </c>
      <c r="AU24" s="68" t="str">
        <f>'Promo Form'!BT24</f>
        <v/>
      </c>
      <c r="AV24" s="17" t="str">
        <f>'Promo Form'!BW24</f>
        <v/>
      </c>
      <c r="AW24" s="18" t="str">
        <f>'Promo Form'!BX24</f>
        <v/>
      </c>
      <c r="AX24" s="18" t="str">
        <f>'Promo Form'!BY24</f>
        <v/>
      </c>
      <c r="AY24" s="101" t="str">
        <f>'Promo Form'!CA24</f>
        <v/>
      </c>
      <c r="AZ24" s="102" t="str">
        <f>'Promo Form'!CB24</f>
        <v/>
      </c>
      <c r="BA24" s="77"/>
      <c r="BB24" s="96" t="str">
        <f>'Promo Form'!CF24</f>
        <v/>
      </c>
      <c r="BC24" s="68" t="str">
        <f>'Promo Form'!CG24</f>
        <v/>
      </c>
      <c r="BD24" s="17" t="str">
        <f>'Promo Form'!CJ24</f>
        <v/>
      </c>
      <c r="BE24" s="18" t="str">
        <f>'Promo Form'!CK24</f>
        <v/>
      </c>
      <c r="BF24" s="18" t="str">
        <f>'Promo Form'!CL24</f>
        <v/>
      </c>
      <c r="BG24" s="101" t="str">
        <f>'Promo Form'!CN24</f>
        <v/>
      </c>
      <c r="BH24" s="102" t="str">
        <f>'Promo Form'!CO24</f>
        <v/>
      </c>
      <c r="BI24" s="77"/>
      <c r="BJ24" s="17" t="str">
        <f>'Promo Form'!CS24</f>
        <v/>
      </c>
      <c r="BK24" s="17" t="str">
        <f>'Promo Form'!CT24</f>
        <v/>
      </c>
      <c r="BL24" s="99" t="str">
        <f>'Promo Form'!CU24</f>
        <v/>
      </c>
      <c r="BM24" s="17" t="str">
        <f>'Promo Form'!CV24</f>
        <v/>
      </c>
      <c r="BN24" s="98">
        <f>'Promo Form'!CW24</f>
        <v>0</v>
      </c>
    </row>
    <row r="25" spans="1:66" x14ac:dyDescent="0.2">
      <c r="A25" s="12" t="str">
        <f>'Promo Form'!A25</f>
        <v/>
      </c>
      <c r="B25" s="12" t="str">
        <f>'Promo Form'!B25</f>
        <v/>
      </c>
      <c r="C25" s="13">
        <f>'Promo Form'!C25</f>
        <v>0</v>
      </c>
      <c r="D25" s="14" t="str">
        <f>'Promo Form'!D25</f>
        <v/>
      </c>
      <c r="E25" s="15"/>
      <c r="F25" s="96" t="str">
        <f>'Promo Form'!F25</f>
        <v/>
      </c>
      <c r="G25" s="68" t="str">
        <f>'Promo Form'!G25</f>
        <v/>
      </c>
      <c r="H25" s="17" t="str">
        <f>'Promo Form'!J25</f>
        <v/>
      </c>
      <c r="I25" s="18" t="str">
        <f>'Promo Form'!K25</f>
        <v/>
      </c>
      <c r="J25" s="18" t="str">
        <f>'Promo Form'!L25</f>
        <v/>
      </c>
      <c r="K25" s="101" t="str">
        <f>'Promo Form'!N25</f>
        <v/>
      </c>
      <c r="L25" s="102" t="str">
        <f>'Promo Form'!O25</f>
        <v/>
      </c>
      <c r="M25" s="80"/>
      <c r="N25" s="96" t="str">
        <f>'Promo Form'!S25</f>
        <v/>
      </c>
      <c r="O25" s="68" t="str">
        <f>'Promo Form'!T25</f>
        <v/>
      </c>
      <c r="P25" s="17" t="str">
        <f>'Promo Form'!W25</f>
        <v/>
      </c>
      <c r="Q25" s="18" t="str">
        <f>'Promo Form'!X25</f>
        <v/>
      </c>
      <c r="R25" s="18" t="str">
        <f>'Promo Form'!Y25</f>
        <v/>
      </c>
      <c r="S25" s="101" t="str">
        <f>'Promo Form'!AA25</f>
        <v/>
      </c>
      <c r="T25" s="102" t="str">
        <f>'Promo Form'!AB25</f>
        <v/>
      </c>
      <c r="U25" s="80"/>
      <c r="V25" s="96" t="str">
        <f>'Promo Form'!AF25</f>
        <v/>
      </c>
      <c r="W25" s="68" t="str">
        <f>'Promo Form'!AG25</f>
        <v/>
      </c>
      <c r="X25" s="17" t="str">
        <f>'Promo Form'!AJ25</f>
        <v/>
      </c>
      <c r="Y25" s="18" t="str">
        <f>'Promo Form'!AK25</f>
        <v/>
      </c>
      <c r="Z25" s="18" t="str">
        <f>'Promo Form'!AL25</f>
        <v/>
      </c>
      <c r="AA25" s="101" t="str">
        <f>'Promo Form'!AN25</f>
        <v/>
      </c>
      <c r="AB25" s="102" t="str">
        <f>'Promo Form'!AO25</f>
        <v/>
      </c>
      <c r="AC25" s="80"/>
      <c r="AD25" s="96" t="str">
        <f>'Promo Form'!AS25</f>
        <v/>
      </c>
      <c r="AE25" s="68" t="str">
        <f>'Promo Form'!AT25</f>
        <v/>
      </c>
      <c r="AF25" s="17" t="str">
        <f>'Promo Form'!AW25</f>
        <v/>
      </c>
      <c r="AG25" s="18" t="str">
        <f>'Promo Form'!AX25</f>
        <v/>
      </c>
      <c r="AH25" s="18" t="str">
        <f>'Promo Form'!AY25</f>
        <v/>
      </c>
      <c r="AI25" s="101" t="str">
        <f>'Promo Form'!BA25</f>
        <v/>
      </c>
      <c r="AJ25" s="102" t="str">
        <f>'Promo Form'!BB25</f>
        <v/>
      </c>
      <c r="AK25" s="77"/>
      <c r="AL25" s="96" t="str">
        <f>'Promo Form'!BF25</f>
        <v/>
      </c>
      <c r="AM25" s="68" t="str">
        <f>'Promo Form'!BG25</f>
        <v/>
      </c>
      <c r="AN25" s="17" t="str">
        <f>'Promo Form'!BJ25</f>
        <v/>
      </c>
      <c r="AO25" s="18" t="str">
        <f>'Promo Form'!BK25</f>
        <v/>
      </c>
      <c r="AP25" s="18" t="str">
        <f>'Promo Form'!BL25</f>
        <v/>
      </c>
      <c r="AQ25" s="101" t="str">
        <f>'Promo Form'!BN25</f>
        <v/>
      </c>
      <c r="AR25" s="102" t="str">
        <f>'Promo Form'!BO25</f>
        <v/>
      </c>
      <c r="AS25" s="77"/>
      <c r="AT25" s="96" t="str">
        <f>'Promo Form'!BS25</f>
        <v/>
      </c>
      <c r="AU25" s="68" t="str">
        <f>'Promo Form'!BT25</f>
        <v/>
      </c>
      <c r="AV25" s="17" t="str">
        <f>'Promo Form'!BW25</f>
        <v/>
      </c>
      <c r="AW25" s="18" t="str">
        <f>'Promo Form'!BX25</f>
        <v/>
      </c>
      <c r="AX25" s="18" t="str">
        <f>'Promo Form'!BY25</f>
        <v/>
      </c>
      <c r="AY25" s="101" t="str">
        <f>'Promo Form'!CA25</f>
        <v/>
      </c>
      <c r="AZ25" s="102" t="str">
        <f>'Promo Form'!CB25</f>
        <v/>
      </c>
      <c r="BA25" s="77"/>
      <c r="BB25" s="96" t="str">
        <f>'Promo Form'!CF25</f>
        <v/>
      </c>
      <c r="BC25" s="68" t="str">
        <f>'Promo Form'!CG25</f>
        <v/>
      </c>
      <c r="BD25" s="17" t="str">
        <f>'Promo Form'!CJ25</f>
        <v/>
      </c>
      <c r="BE25" s="18" t="str">
        <f>'Promo Form'!CK25</f>
        <v/>
      </c>
      <c r="BF25" s="18" t="str">
        <f>'Promo Form'!CL25</f>
        <v/>
      </c>
      <c r="BG25" s="101" t="str">
        <f>'Promo Form'!CN25</f>
        <v/>
      </c>
      <c r="BH25" s="102" t="str">
        <f>'Promo Form'!CO25</f>
        <v/>
      </c>
      <c r="BI25" s="77"/>
      <c r="BJ25" s="17" t="str">
        <f>'Promo Form'!CS25</f>
        <v/>
      </c>
      <c r="BK25" s="17" t="str">
        <f>'Promo Form'!CT25</f>
        <v/>
      </c>
      <c r="BL25" s="99" t="str">
        <f>'Promo Form'!CU25</f>
        <v/>
      </c>
      <c r="BM25" s="17" t="str">
        <f>'Promo Form'!CV25</f>
        <v/>
      </c>
      <c r="BN25" s="98">
        <f>'Promo Form'!CW25</f>
        <v>0</v>
      </c>
    </row>
    <row r="26" spans="1:66" x14ac:dyDescent="0.2">
      <c r="A26" s="12" t="str">
        <f>'Promo Form'!A26</f>
        <v/>
      </c>
      <c r="B26" s="12" t="str">
        <f>'Promo Form'!B26</f>
        <v/>
      </c>
      <c r="C26" s="13">
        <f>'Promo Form'!C26</f>
        <v>0</v>
      </c>
      <c r="D26" s="14" t="str">
        <f>'Promo Form'!D26</f>
        <v/>
      </c>
      <c r="E26" s="15"/>
      <c r="F26" s="96" t="str">
        <f>'Promo Form'!F26</f>
        <v/>
      </c>
      <c r="G26" s="68" t="str">
        <f>'Promo Form'!G26</f>
        <v/>
      </c>
      <c r="H26" s="17" t="str">
        <f>'Promo Form'!J26</f>
        <v/>
      </c>
      <c r="I26" s="18" t="str">
        <f>'Promo Form'!K26</f>
        <v/>
      </c>
      <c r="J26" s="18" t="str">
        <f>'Promo Form'!L26</f>
        <v/>
      </c>
      <c r="K26" s="101" t="str">
        <f>'Promo Form'!N26</f>
        <v/>
      </c>
      <c r="L26" s="102" t="str">
        <f>'Promo Form'!O26</f>
        <v/>
      </c>
      <c r="M26" s="80"/>
      <c r="N26" s="96" t="str">
        <f>'Promo Form'!S26</f>
        <v/>
      </c>
      <c r="O26" s="68" t="str">
        <f>'Promo Form'!T26</f>
        <v/>
      </c>
      <c r="P26" s="17" t="str">
        <f>'Promo Form'!W26</f>
        <v/>
      </c>
      <c r="Q26" s="18" t="str">
        <f>'Promo Form'!X26</f>
        <v/>
      </c>
      <c r="R26" s="18" t="str">
        <f>'Promo Form'!Y26</f>
        <v/>
      </c>
      <c r="S26" s="101" t="str">
        <f>'Promo Form'!AA26</f>
        <v/>
      </c>
      <c r="T26" s="102" t="str">
        <f>'Promo Form'!AB26</f>
        <v/>
      </c>
      <c r="U26" s="80"/>
      <c r="V26" s="96" t="str">
        <f>'Promo Form'!AF26</f>
        <v/>
      </c>
      <c r="W26" s="68" t="str">
        <f>'Promo Form'!AG26</f>
        <v/>
      </c>
      <c r="X26" s="17" t="str">
        <f>'Promo Form'!AJ26</f>
        <v/>
      </c>
      <c r="Y26" s="18" t="str">
        <f>'Promo Form'!AK26</f>
        <v/>
      </c>
      <c r="Z26" s="18" t="str">
        <f>'Promo Form'!AL26</f>
        <v/>
      </c>
      <c r="AA26" s="101" t="str">
        <f>'Promo Form'!AN26</f>
        <v/>
      </c>
      <c r="AB26" s="102" t="str">
        <f>'Promo Form'!AO26</f>
        <v/>
      </c>
      <c r="AC26" s="80"/>
      <c r="AD26" s="96" t="str">
        <f>'Promo Form'!AS26</f>
        <v/>
      </c>
      <c r="AE26" s="68" t="str">
        <f>'Promo Form'!AT26</f>
        <v/>
      </c>
      <c r="AF26" s="17" t="str">
        <f>'Promo Form'!AW26</f>
        <v/>
      </c>
      <c r="AG26" s="18" t="str">
        <f>'Promo Form'!AX26</f>
        <v/>
      </c>
      <c r="AH26" s="18" t="str">
        <f>'Promo Form'!AY26</f>
        <v/>
      </c>
      <c r="AI26" s="101" t="str">
        <f>'Promo Form'!BA26</f>
        <v/>
      </c>
      <c r="AJ26" s="102" t="str">
        <f>'Promo Form'!BB26</f>
        <v/>
      </c>
      <c r="AK26" s="77"/>
      <c r="AL26" s="96" t="str">
        <f>'Promo Form'!BF26</f>
        <v/>
      </c>
      <c r="AM26" s="68" t="str">
        <f>'Promo Form'!BG26</f>
        <v/>
      </c>
      <c r="AN26" s="17" t="str">
        <f>'Promo Form'!BJ26</f>
        <v/>
      </c>
      <c r="AO26" s="18" t="str">
        <f>'Promo Form'!BK26</f>
        <v/>
      </c>
      <c r="AP26" s="18" t="str">
        <f>'Promo Form'!BL26</f>
        <v/>
      </c>
      <c r="AQ26" s="101" t="str">
        <f>'Promo Form'!BN26</f>
        <v/>
      </c>
      <c r="AR26" s="102" t="str">
        <f>'Promo Form'!BO26</f>
        <v/>
      </c>
      <c r="AS26" s="77"/>
      <c r="AT26" s="96" t="str">
        <f>'Promo Form'!BS26</f>
        <v/>
      </c>
      <c r="AU26" s="68" t="str">
        <f>'Promo Form'!BT26</f>
        <v/>
      </c>
      <c r="AV26" s="17" t="str">
        <f>'Promo Form'!BW26</f>
        <v/>
      </c>
      <c r="AW26" s="18" t="str">
        <f>'Promo Form'!BX26</f>
        <v/>
      </c>
      <c r="AX26" s="18" t="str">
        <f>'Promo Form'!BY26</f>
        <v/>
      </c>
      <c r="AY26" s="101" t="str">
        <f>'Promo Form'!CA26</f>
        <v/>
      </c>
      <c r="AZ26" s="102" t="str">
        <f>'Promo Form'!CB26</f>
        <v/>
      </c>
      <c r="BA26" s="77"/>
      <c r="BB26" s="96" t="str">
        <f>'Promo Form'!CF26</f>
        <v/>
      </c>
      <c r="BC26" s="68" t="str">
        <f>'Promo Form'!CG26</f>
        <v/>
      </c>
      <c r="BD26" s="17" t="str">
        <f>'Promo Form'!CJ26</f>
        <v/>
      </c>
      <c r="BE26" s="18" t="str">
        <f>'Promo Form'!CK26</f>
        <v/>
      </c>
      <c r="BF26" s="18" t="str">
        <f>'Promo Form'!CL26</f>
        <v/>
      </c>
      <c r="BG26" s="101" t="str">
        <f>'Promo Form'!CN26</f>
        <v/>
      </c>
      <c r="BH26" s="102" t="str">
        <f>'Promo Form'!CO26</f>
        <v/>
      </c>
      <c r="BI26" s="77"/>
      <c r="BJ26" s="17" t="str">
        <f>'Promo Form'!CS26</f>
        <v/>
      </c>
      <c r="BK26" s="17" t="str">
        <f>'Promo Form'!CT26</f>
        <v/>
      </c>
      <c r="BL26" s="99" t="str">
        <f>'Promo Form'!CU26</f>
        <v/>
      </c>
      <c r="BM26" s="17" t="str">
        <f>'Promo Form'!CV26</f>
        <v/>
      </c>
      <c r="BN26" s="98">
        <f>'Promo Form'!CW26</f>
        <v>0</v>
      </c>
    </row>
    <row r="27" spans="1:66" x14ac:dyDescent="0.2">
      <c r="A27" s="12" t="str">
        <f>'Promo Form'!A27</f>
        <v/>
      </c>
      <c r="B27" s="12" t="str">
        <f>'Promo Form'!B27</f>
        <v/>
      </c>
      <c r="C27" s="13">
        <f>'Promo Form'!C27</f>
        <v>0</v>
      </c>
      <c r="D27" s="14" t="str">
        <f>'Promo Form'!D27</f>
        <v/>
      </c>
      <c r="E27" s="15"/>
      <c r="F27" s="96" t="str">
        <f>'Promo Form'!F27</f>
        <v/>
      </c>
      <c r="G27" s="68" t="str">
        <f>'Promo Form'!G27</f>
        <v/>
      </c>
      <c r="H27" s="17" t="str">
        <f>'Promo Form'!J27</f>
        <v/>
      </c>
      <c r="I27" s="18" t="str">
        <f>'Promo Form'!K27</f>
        <v/>
      </c>
      <c r="J27" s="18" t="str">
        <f>'Promo Form'!L27</f>
        <v/>
      </c>
      <c r="K27" s="101" t="str">
        <f>'Promo Form'!N27</f>
        <v/>
      </c>
      <c r="L27" s="102" t="str">
        <f>'Promo Form'!O27</f>
        <v/>
      </c>
      <c r="M27" s="80"/>
      <c r="N27" s="96" t="str">
        <f>'Promo Form'!S27</f>
        <v/>
      </c>
      <c r="O27" s="68" t="str">
        <f>'Promo Form'!T27</f>
        <v/>
      </c>
      <c r="P27" s="17" t="str">
        <f>'Promo Form'!W27</f>
        <v/>
      </c>
      <c r="Q27" s="18" t="str">
        <f>'Promo Form'!X27</f>
        <v/>
      </c>
      <c r="R27" s="18" t="str">
        <f>'Promo Form'!Y27</f>
        <v/>
      </c>
      <c r="S27" s="101" t="str">
        <f>'Promo Form'!AA27</f>
        <v/>
      </c>
      <c r="T27" s="102" t="str">
        <f>'Promo Form'!AB27</f>
        <v/>
      </c>
      <c r="U27" s="80"/>
      <c r="V27" s="96" t="str">
        <f>'Promo Form'!AF27</f>
        <v/>
      </c>
      <c r="W27" s="68" t="str">
        <f>'Promo Form'!AG27</f>
        <v/>
      </c>
      <c r="X27" s="17" t="str">
        <f>'Promo Form'!AJ27</f>
        <v/>
      </c>
      <c r="Y27" s="18" t="str">
        <f>'Promo Form'!AK27</f>
        <v/>
      </c>
      <c r="Z27" s="18" t="str">
        <f>'Promo Form'!AL27</f>
        <v/>
      </c>
      <c r="AA27" s="101" t="str">
        <f>'Promo Form'!AN27</f>
        <v/>
      </c>
      <c r="AB27" s="102" t="str">
        <f>'Promo Form'!AO27</f>
        <v/>
      </c>
      <c r="AC27" s="80"/>
      <c r="AD27" s="96" t="str">
        <f>'Promo Form'!AS27</f>
        <v/>
      </c>
      <c r="AE27" s="68" t="str">
        <f>'Promo Form'!AT27</f>
        <v/>
      </c>
      <c r="AF27" s="17" t="str">
        <f>'Promo Form'!AW27</f>
        <v/>
      </c>
      <c r="AG27" s="18" t="str">
        <f>'Promo Form'!AX27</f>
        <v/>
      </c>
      <c r="AH27" s="18" t="str">
        <f>'Promo Form'!AY27</f>
        <v/>
      </c>
      <c r="AI27" s="101" t="str">
        <f>'Promo Form'!BA27</f>
        <v/>
      </c>
      <c r="AJ27" s="102" t="str">
        <f>'Promo Form'!BB27</f>
        <v/>
      </c>
      <c r="AK27" s="77"/>
      <c r="AL27" s="96" t="str">
        <f>'Promo Form'!BF27</f>
        <v/>
      </c>
      <c r="AM27" s="68" t="str">
        <f>'Promo Form'!BG27</f>
        <v/>
      </c>
      <c r="AN27" s="17" t="str">
        <f>'Promo Form'!BJ27</f>
        <v/>
      </c>
      <c r="AO27" s="18" t="str">
        <f>'Promo Form'!BK27</f>
        <v/>
      </c>
      <c r="AP27" s="18" t="str">
        <f>'Promo Form'!BL27</f>
        <v/>
      </c>
      <c r="AQ27" s="101" t="str">
        <f>'Promo Form'!BN27</f>
        <v/>
      </c>
      <c r="AR27" s="102" t="str">
        <f>'Promo Form'!BO27</f>
        <v/>
      </c>
      <c r="AS27" s="77"/>
      <c r="AT27" s="96" t="str">
        <f>'Promo Form'!BS27</f>
        <v/>
      </c>
      <c r="AU27" s="68" t="str">
        <f>'Promo Form'!BT27</f>
        <v/>
      </c>
      <c r="AV27" s="17" t="str">
        <f>'Promo Form'!BW27</f>
        <v/>
      </c>
      <c r="AW27" s="18" t="str">
        <f>'Promo Form'!BX27</f>
        <v/>
      </c>
      <c r="AX27" s="18" t="str">
        <f>'Promo Form'!BY27</f>
        <v/>
      </c>
      <c r="AY27" s="101" t="str">
        <f>'Promo Form'!CA27</f>
        <v/>
      </c>
      <c r="AZ27" s="102" t="str">
        <f>'Promo Form'!CB27</f>
        <v/>
      </c>
      <c r="BA27" s="77"/>
      <c r="BB27" s="96" t="str">
        <f>'Promo Form'!CF27</f>
        <v/>
      </c>
      <c r="BC27" s="68" t="str">
        <f>'Promo Form'!CG27</f>
        <v/>
      </c>
      <c r="BD27" s="17" t="str">
        <f>'Promo Form'!CJ27</f>
        <v/>
      </c>
      <c r="BE27" s="18" t="str">
        <f>'Promo Form'!CK27</f>
        <v/>
      </c>
      <c r="BF27" s="18" t="str">
        <f>'Promo Form'!CL27</f>
        <v/>
      </c>
      <c r="BG27" s="101" t="str">
        <f>'Promo Form'!CN27</f>
        <v/>
      </c>
      <c r="BH27" s="102" t="str">
        <f>'Promo Form'!CO27</f>
        <v/>
      </c>
      <c r="BI27" s="77"/>
      <c r="BJ27" s="17" t="str">
        <f>'Promo Form'!CS27</f>
        <v/>
      </c>
      <c r="BK27" s="17" t="str">
        <f>'Promo Form'!CT27</f>
        <v/>
      </c>
      <c r="BL27" s="99" t="str">
        <f>'Promo Form'!CU27</f>
        <v/>
      </c>
      <c r="BM27" s="17" t="str">
        <f>'Promo Form'!CV27</f>
        <v/>
      </c>
      <c r="BN27" s="98">
        <f>'Promo Form'!CW27</f>
        <v>0</v>
      </c>
    </row>
    <row r="28" spans="1:66" x14ac:dyDescent="0.2">
      <c r="A28" s="12" t="str">
        <f>'Promo Form'!A28</f>
        <v/>
      </c>
      <c r="B28" s="12" t="str">
        <f>'Promo Form'!B28</f>
        <v/>
      </c>
      <c r="C28" s="13">
        <f>'Promo Form'!C28</f>
        <v>0</v>
      </c>
      <c r="D28" s="14" t="str">
        <f>'Promo Form'!D28</f>
        <v/>
      </c>
      <c r="E28" s="15"/>
      <c r="F28" s="96" t="str">
        <f>'Promo Form'!F28</f>
        <v/>
      </c>
      <c r="G28" s="68" t="str">
        <f>'Promo Form'!G28</f>
        <v/>
      </c>
      <c r="H28" s="17" t="str">
        <f>'Promo Form'!J28</f>
        <v/>
      </c>
      <c r="I28" s="18" t="str">
        <f>'Promo Form'!K28</f>
        <v/>
      </c>
      <c r="J28" s="18" t="str">
        <f>'Promo Form'!L28</f>
        <v/>
      </c>
      <c r="K28" s="101" t="str">
        <f>'Promo Form'!N28</f>
        <v/>
      </c>
      <c r="L28" s="102" t="str">
        <f>'Promo Form'!O28</f>
        <v/>
      </c>
      <c r="M28" s="80"/>
      <c r="N28" s="96" t="str">
        <f>'Promo Form'!S28</f>
        <v/>
      </c>
      <c r="O28" s="68" t="str">
        <f>'Promo Form'!T28</f>
        <v/>
      </c>
      <c r="P28" s="17" t="str">
        <f>'Promo Form'!W28</f>
        <v/>
      </c>
      <c r="Q28" s="18" t="str">
        <f>'Promo Form'!X28</f>
        <v/>
      </c>
      <c r="R28" s="18" t="str">
        <f>'Promo Form'!Y28</f>
        <v/>
      </c>
      <c r="S28" s="101" t="str">
        <f>'Promo Form'!AA28</f>
        <v/>
      </c>
      <c r="T28" s="102" t="str">
        <f>'Promo Form'!AB28</f>
        <v/>
      </c>
      <c r="U28" s="80"/>
      <c r="V28" s="96" t="str">
        <f>'Promo Form'!AF28</f>
        <v/>
      </c>
      <c r="W28" s="68" t="str">
        <f>'Promo Form'!AG28</f>
        <v/>
      </c>
      <c r="X28" s="17" t="str">
        <f>'Promo Form'!AJ28</f>
        <v/>
      </c>
      <c r="Y28" s="18" t="str">
        <f>'Promo Form'!AK28</f>
        <v/>
      </c>
      <c r="Z28" s="18" t="str">
        <f>'Promo Form'!AL28</f>
        <v/>
      </c>
      <c r="AA28" s="101" t="str">
        <f>'Promo Form'!AN28</f>
        <v/>
      </c>
      <c r="AB28" s="102" t="str">
        <f>'Promo Form'!AO28</f>
        <v/>
      </c>
      <c r="AC28" s="80"/>
      <c r="AD28" s="96" t="str">
        <f>'Promo Form'!AS28</f>
        <v/>
      </c>
      <c r="AE28" s="68" t="str">
        <f>'Promo Form'!AT28</f>
        <v/>
      </c>
      <c r="AF28" s="17" t="str">
        <f>'Promo Form'!AW28</f>
        <v/>
      </c>
      <c r="AG28" s="18" t="str">
        <f>'Promo Form'!AX28</f>
        <v/>
      </c>
      <c r="AH28" s="18" t="str">
        <f>'Promo Form'!AY28</f>
        <v/>
      </c>
      <c r="AI28" s="101" t="str">
        <f>'Promo Form'!BA28</f>
        <v/>
      </c>
      <c r="AJ28" s="102" t="str">
        <f>'Promo Form'!BB28</f>
        <v/>
      </c>
      <c r="AK28" s="77"/>
      <c r="AL28" s="96" t="str">
        <f>'Promo Form'!BF28</f>
        <v/>
      </c>
      <c r="AM28" s="68" t="str">
        <f>'Promo Form'!BG28</f>
        <v/>
      </c>
      <c r="AN28" s="17" t="str">
        <f>'Promo Form'!BJ28</f>
        <v/>
      </c>
      <c r="AO28" s="18" t="str">
        <f>'Promo Form'!BK28</f>
        <v/>
      </c>
      <c r="AP28" s="18" t="str">
        <f>'Promo Form'!BL28</f>
        <v/>
      </c>
      <c r="AQ28" s="101" t="str">
        <f>'Promo Form'!BN28</f>
        <v/>
      </c>
      <c r="AR28" s="102" t="str">
        <f>'Promo Form'!BO28</f>
        <v/>
      </c>
      <c r="AS28" s="77"/>
      <c r="AT28" s="96" t="str">
        <f>'Promo Form'!BS28</f>
        <v/>
      </c>
      <c r="AU28" s="68" t="str">
        <f>'Promo Form'!BT28</f>
        <v/>
      </c>
      <c r="AV28" s="17" t="str">
        <f>'Promo Form'!BW28</f>
        <v/>
      </c>
      <c r="AW28" s="18" t="str">
        <f>'Promo Form'!BX28</f>
        <v/>
      </c>
      <c r="AX28" s="18" t="str">
        <f>'Promo Form'!BY28</f>
        <v/>
      </c>
      <c r="AY28" s="101" t="str">
        <f>'Promo Form'!CA28</f>
        <v/>
      </c>
      <c r="AZ28" s="102" t="str">
        <f>'Promo Form'!CB28</f>
        <v/>
      </c>
      <c r="BA28" s="77"/>
      <c r="BB28" s="96" t="str">
        <f>'Promo Form'!CF28</f>
        <v/>
      </c>
      <c r="BC28" s="68" t="str">
        <f>'Promo Form'!CG28</f>
        <v/>
      </c>
      <c r="BD28" s="17" t="str">
        <f>'Promo Form'!CJ28</f>
        <v/>
      </c>
      <c r="BE28" s="18" t="str">
        <f>'Promo Form'!CK28</f>
        <v/>
      </c>
      <c r="BF28" s="18" t="str">
        <f>'Promo Form'!CL28</f>
        <v/>
      </c>
      <c r="BG28" s="101" t="str">
        <f>'Promo Form'!CN28</f>
        <v/>
      </c>
      <c r="BH28" s="102" t="str">
        <f>'Promo Form'!CO28</f>
        <v/>
      </c>
      <c r="BI28" s="77"/>
      <c r="BJ28" s="17" t="str">
        <f>'Promo Form'!CS28</f>
        <v/>
      </c>
      <c r="BK28" s="17" t="str">
        <f>'Promo Form'!CT28</f>
        <v/>
      </c>
      <c r="BL28" s="99" t="str">
        <f>'Promo Form'!CU28</f>
        <v/>
      </c>
      <c r="BM28" s="17" t="str">
        <f>'Promo Form'!CV28</f>
        <v/>
      </c>
      <c r="BN28" s="98">
        <f>'Promo Form'!CW28</f>
        <v>0</v>
      </c>
    </row>
    <row r="29" spans="1:66" x14ac:dyDescent="0.2">
      <c r="A29" s="12" t="str">
        <f>'Promo Form'!A29</f>
        <v/>
      </c>
      <c r="B29" s="12" t="str">
        <f>'Promo Form'!B29</f>
        <v/>
      </c>
      <c r="C29" s="13">
        <f>'Promo Form'!C29</f>
        <v>0</v>
      </c>
      <c r="D29" s="14" t="str">
        <f>'Promo Form'!D29</f>
        <v/>
      </c>
      <c r="E29" s="15"/>
      <c r="F29" s="96" t="str">
        <f>'Promo Form'!F29</f>
        <v/>
      </c>
      <c r="G29" s="68" t="str">
        <f>'Promo Form'!G29</f>
        <v/>
      </c>
      <c r="H29" s="17" t="str">
        <f>'Promo Form'!J29</f>
        <v/>
      </c>
      <c r="I29" s="18" t="str">
        <f>'Promo Form'!K29</f>
        <v/>
      </c>
      <c r="J29" s="18" t="str">
        <f>'Promo Form'!L29</f>
        <v/>
      </c>
      <c r="K29" s="101" t="str">
        <f>'Promo Form'!N29</f>
        <v/>
      </c>
      <c r="L29" s="102" t="str">
        <f>'Promo Form'!O29</f>
        <v/>
      </c>
      <c r="M29" s="80"/>
      <c r="N29" s="96" t="str">
        <f>'Promo Form'!S29</f>
        <v/>
      </c>
      <c r="O29" s="68" t="str">
        <f>'Promo Form'!T29</f>
        <v/>
      </c>
      <c r="P29" s="17" t="str">
        <f>'Promo Form'!W29</f>
        <v/>
      </c>
      <c r="Q29" s="18" t="str">
        <f>'Promo Form'!X29</f>
        <v/>
      </c>
      <c r="R29" s="18" t="str">
        <f>'Promo Form'!Y29</f>
        <v/>
      </c>
      <c r="S29" s="101" t="str">
        <f>'Promo Form'!AA29</f>
        <v/>
      </c>
      <c r="T29" s="102" t="str">
        <f>'Promo Form'!AB29</f>
        <v/>
      </c>
      <c r="U29" s="80"/>
      <c r="V29" s="96" t="str">
        <f>'Promo Form'!AF29</f>
        <v/>
      </c>
      <c r="W29" s="68" t="str">
        <f>'Promo Form'!AG29</f>
        <v/>
      </c>
      <c r="X29" s="17" t="str">
        <f>'Promo Form'!AJ29</f>
        <v/>
      </c>
      <c r="Y29" s="18" t="str">
        <f>'Promo Form'!AK29</f>
        <v/>
      </c>
      <c r="Z29" s="18" t="str">
        <f>'Promo Form'!AL29</f>
        <v/>
      </c>
      <c r="AA29" s="101" t="str">
        <f>'Promo Form'!AN29</f>
        <v/>
      </c>
      <c r="AB29" s="102" t="str">
        <f>'Promo Form'!AO29</f>
        <v/>
      </c>
      <c r="AC29" s="80"/>
      <c r="AD29" s="96" t="str">
        <f>'Promo Form'!AS29</f>
        <v/>
      </c>
      <c r="AE29" s="68" t="str">
        <f>'Promo Form'!AT29</f>
        <v/>
      </c>
      <c r="AF29" s="17" t="str">
        <f>'Promo Form'!AW29</f>
        <v/>
      </c>
      <c r="AG29" s="18" t="str">
        <f>'Promo Form'!AX29</f>
        <v/>
      </c>
      <c r="AH29" s="18" t="str">
        <f>'Promo Form'!AY29</f>
        <v/>
      </c>
      <c r="AI29" s="101" t="str">
        <f>'Promo Form'!BA29</f>
        <v/>
      </c>
      <c r="AJ29" s="102" t="str">
        <f>'Promo Form'!BB29</f>
        <v/>
      </c>
      <c r="AK29" s="77"/>
      <c r="AL29" s="96" t="str">
        <f>'Promo Form'!BF29</f>
        <v/>
      </c>
      <c r="AM29" s="68" t="str">
        <f>'Promo Form'!BG29</f>
        <v/>
      </c>
      <c r="AN29" s="17" t="str">
        <f>'Promo Form'!BJ29</f>
        <v/>
      </c>
      <c r="AO29" s="18" t="str">
        <f>'Promo Form'!BK29</f>
        <v/>
      </c>
      <c r="AP29" s="18" t="str">
        <f>'Promo Form'!BL29</f>
        <v/>
      </c>
      <c r="AQ29" s="101" t="str">
        <f>'Promo Form'!BN29</f>
        <v/>
      </c>
      <c r="AR29" s="102" t="str">
        <f>'Promo Form'!BO29</f>
        <v/>
      </c>
      <c r="AS29" s="77"/>
      <c r="AT29" s="96" t="str">
        <f>'Promo Form'!BS29</f>
        <v/>
      </c>
      <c r="AU29" s="68" t="str">
        <f>'Promo Form'!BT29</f>
        <v/>
      </c>
      <c r="AV29" s="17" t="str">
        <f>'Promo Form'!BW29</f>
        <v/>
      </c>
      <c r="AW29" s="18" t="str">
        <f>'Promo Form'!BX29</f>
        <v/>
      </c>
      <c r="AX29" s="18" t="str">
        <f>'Promo Form'!BY29</f>
        <v/>
      </c>
      <c r="AY29" s="101" t="str">
        <f>'Promo Form'!CA29</f>
        <v/>
      </c>
      <c r="AZ29" s="102" t="str">
        <f>'Promo Form'!CB29</f>
        <v/>
      </c>
      <c r="BA29" s="77"/>
      <c r="BB29" s="96" t="str">
        <f>'Promo Form'!CF29</f>
        <v/>
      </c>
      <c r="BC29" s="68" t="str">
        <f>'Promo Form'!CG29</f>
        <v/>
      </c>
      <c r="BD29" s="17" t="str">
        <f>'Promo Form'!CJ29</f>
        <v/>
      </c>
      <c r="BE29" s="18" t="str">
        <f>'Promo Form'!CK29</f>
        <v/>
      </c>
      <c r="BF29" s="18" t="str">
        <f>'Promo Form'!CL29</f>
        <v/>
      </c>
      <c r="BG29" s="101" t="str">
        <f>'Promo Form'!CN29</f>
        <v/>
      </c>
      <c r="BH29" s="102" t="str">
        <f>'Promo Form'!CO29</f>
        <v/>
      </c>
      <c r="BI29" s="77"/>
      <c r="BJ29" s="17" t="str">
        <f>'Promo Form'!CS29</f>
        <v/>
      </c>
      <c r="BK29" s="17" t="str">
        <f>'Promo Form'!CT29</f>
        <v/>
      </c>
      <c r="BL29" s="99" t="str">
        <f>'Promo Form'!CU29</f>
        <v/>
      </c>
      <c r="BM29" s="17" t="str">
        <f>'Promo Form'!CV29</f>
        <v/>
      </c>
      <c r="BN29" s="98">
        <f>'Promo Form'!CW29</f>
        <v>0</v>
      </c>
    </row>
    <row r="30" spans="1:66" x14ac:dyDescent="0.2">
      <c r="A30" s="12" t="str">
        <f>'Promo Form'!A30</f>
        <v/>
      </c>
      <c r="B30" s="12" t="str">
        <f>'Promo Form'!B30</f>
        <v/>
      </c>
      <c r="C30" s="13">
        <f>'Promo Form'!C30</f>
        <v>0</v>
      </c>
      <c r="D30" s="14" t="str">
        <f>'Promo Form'!D30</f>
        <v/>
      </c>
      <c r="E30" s="15"/>
      <c r="F30" s="96" t="str">
        <f>'Promo Form'!F30</f>
        <v/>
      </c>
      <c r="G30" s="68" t="str">
        <f>'Promo Form'!G30</f>
        <v/>
      </c>
      <c r="H30" s="17" t="str">
        <f>'Promo Form'!J30</f>
        <v/>
      </c>
      <c r="I30" s="18" t="str">
        <f>'Promo Form'!K30</f>
        <v/>
      </c>
      <c r="J30" s="18" t="str">
        <f>'Promo Form'!L30</f>
        <v/>
      </c>
      <c r="K30" s="101" t="str">
        <f>'Promo Form'!N30</f>
        <v/>
      </c>
      <c r="L30" s="102" t="str">
        <f>'Promo Form'!O30</f>
        <v/>
      </c>
      <c r="M30" s="80"/>
      <c r="N30" s="96" t="str">
        <f>'Promo Form'!S30</f>
        <v/>
      </c>
      <c r="O30" s="68" t="str">
        <f>'Promo Form'!T30</f>
        <v/>
      </c>
      <c r="P30" s="17" t="str">
        <f>'Promo Form'!W30</f>
        <v/>
      </c>
      <c r="Q30" s="18" t="str">
        <f>'Promo Form'!X30</f>
        <v/>
      </c>
      <c r="R30" s="18" t="str">
        <f>'Promo Form'!Y30</f>
        <v/>
      </c>
      <c r="S30" s="101" t="str">
        <f>'Promo Form'!AA30</f>
        <v/>
      </c>
      <c r="T30" s="102" t="str">
        <f>'Promo Form'!AB30</f>
        <v/>
      </c>
      <c r="U30" s="80"/>
      <c r="V30" s="96" t="str">
        <f>'Promo Form'!AF30</f>
        <v/>
      </c>
      <c r="W30" s="68" t="str">
        <f>'Promo Form'!AG30</f>
        <v/>
      </c>
      <c r="X30" s="17" t="str">
        <f>'Promo Form'!AJ30</f>
        <v/>
      </c>
      <c r="Y30" s="18" t="str">
        <f>'Promo Form'!AK30</f>
        <v/>
      </c>
      <c r="Z30" s="18" t="str">
        <f>'Promo Form'!AL30</f>
        <v/>
      </c>
      <c r="AA30" s="101" t="str">
        <f>'Promo Form'!AN30</f>
        <v/>
      </c>
      <c r="AB30" s="102" t="str">
        <f>'Promo Form'!AO30</f>
        <v/>
      </c>
      <c r="AC30" s="80"/>
      <c r="AD30" s="96" t="str">
        <f>'Promo Form'!AS30</f>
        <v/>
      </c>
      <c r="AE30" s="68" t="str">
        <f>'Promo Form'!AT30</f>
        <v/>
      </c>
      <c r="AF30" s="17" t="str">
        <f>'Promo Form'!AW30</f>
        <v/>
      </c>
      <c r="AG30" s="18" t="str">
        <f>'Promo Form'!AX30</f>
        <v/>
      </c>
      <c r="AH30" s="18" t="str">
        <f>'Promo Form'!AY30</f>
        <v/>
      </c>
      <c r="AI30" s="101" t="str">
        <f>'Promo Form'!BA30</f>
        <v/>
      </c>
      <c r="AJ30" s="102" t="str">
        <f>'Promo Form'!BB30</f>
        <v/>
      </c>
      <c r="AK30" s="77"/>
      <c r="AL30" s="96" t="str">
        <f>'Promo Form'!BF30</f>
        <v/>
      </c>
      <c r="AM30" s="68" t="str">
        <f>'Promo Form'!BG30</f>
        <v/>
      </c>
      <c r="AN30" s="17" t="str">
        <f>'Promo Form'!BJ30</f>
        <v/>
      </c>
      <c r="AO30" s="18" t="str">
        <f>'Promo Form'!BK30</f>
        <v/>
      </c>
      <c r="AP30" s="18" t="str">
        <f>'Promo Form'!BL30</f>
        <v/>
      </c>
      <c r="AQ30" s="101" t="str">
        <f>'Promo Form'!BN30</f>
        <v/>
      </c>
      <c r="AR30" s="102" t="str">
        <f>'Promo Form'!BO30</f>
        <v/>
      </c>
      <c r="AS30" s="77"/>
      <c r="AT30" s="96" t="str">
        <f>'Promo Form'!BS30</f>
        <v/>
      </c>
      <c r="AU30" s="68" t="str">
        <f>'Promo Form'!BT30</f>
        <v/>
      </c>
      <c r="AV30" s="17" t="str">
        <f>'Promo Form'!BW30</f>
        <v/>
      </c>
      <c r="AW30" s="18" t="str">
        <f>'Promo Form'!BX30</f>
        <v/>
      </c>
      <c r="AX30" s="18" t="str">
        <f>'Promo Form'!BY30</f>
        <v/>
      </c>
      <c r="AY30" s="101" t="str">
        <f>'Promo Form'!CA30</f>
        <v/>
      </c>
      <c r="AZ30" s="102" t="str">
        <f>'Promo Form'!CB30</f>
        <v/>
      </c>
      <c r="BA30" s="77"/>
      <c r="BB30" s="96" t="str">
        <f>'Promo Form'!CF30</f>
        <v/>
      </c>
      <c r="BC30" s="68" t="str">
        <f>'Promo Form'!CG30</f>
        <v/>
      </c>
      <c r="BD30" s="17" t="str">
        <f>'Promo Form'!CJ30</f>
        <v/>
      </c>
      <c r="BE30" s="18" t="str">
        <f>'Promo Form'!CK30</f>
        <v/>
      </c>
      <c r="BF30" s="18" t="str">
        <f>'Promo Form'!CL30</f>
        <v/>
      </c>
      <c r="BG30" s="101" t="str">
        <f>'Promo Form'!CN30</f>
        <v/>
      </c>
      <c r="BH30" s="102" t="str">
        <f>'Promo Form'!CO30</f>
        <v/>
      </c>
      <c r="BI30" s="77"/>
      <c r="BJ30" s="17" t="str">
        <f>'Promo Form'!CS30</f>
        <v/>
      </c>
      <c r="BK30" s="17" t="str">
        <f>'Promo Form'!CT30</f>
        <v/>
      </c>
      <c r="BL30" s="99" t="str">
        <f>'Promo Form'!CU30</f>
        <v/>
      </c>
      <c r="BM30" s="17" t="str">
        <f>'Promo Form'!CV30</f>
        <v/>
      </c>
      <c r="BN30" s="98">
        <f>'Promo Form'!CW30</f>
        <v>0</v>
      </c>
    </row>
    <row r="31" spans="1:66" x14ac:dyDescent="0.2">
      <c r="A31" s="12" t="str">
        <f>'Promo Form'!A31</f>
        <v/>
      </c>
      <c r="B31" s="12" t="str">
        <f>'Promo Form'!B31</f>
        <v/>
      </c>
      <c r="C31" s="13">
        <f>'Promo Form'!C31</f>
        <v>0</v>
      </c>
      <c r="D31" s="14" t="str">
        <f>'Promo Form'!D31</f>
        <v/>
      </c>
      <c r="E31" s="15"/>
      <c r="F31" s="96" t="str">
        <f>'Promo Form'!F31</f>
        <v/>
      </c>
      <c r="G31" s="68" t="str">
        <f>'Promo Form'!G31</f>
        <v/>
      </c>
      <c r="H31" s="17" t="str">
        <f>'Promo Form'!J31</f>
        <v/>
      </c>
      <c r="I31" s="18" t="str">
        <f>'Promo Form'!K31</f>
        <v/>
      </c>
      <c r="J31" s="18" t="str">
        <f>'Promo Form'!L31</f>
        <v/>
      </c>
      <c r="K31" s="101" t="str">
        <f>'Promo Form'!N31</f>
        <v/>
      </c>
      <c r="L31" s="102" t="str">
        <f>'Promo Form'!O31</f>
        <v/>
      </c>
      <c r="M31" s="80"/>
      <c r="N31" s="96" t="str">
        <f>'Promo Form'!S31</f>
        <v/>
      </c>
      <c r="O31" s="68" t="str">
        <f>'Promo Form'!T31</f>
        <v/>
      </c>
      <c r="P31" s="17" t="str">
        <f>'Promo Form'!W31</f>
        <v/>
      </c>
      <c r="Q31" s="18" t="str">
        <f>'Promo Form'!X31</f>
        <v/>
      </c>
      <c r="R31" s="18" t="str">
        <f>'Promo Form'!Y31</f>
        <v/>
      </c>
      <c r="S31" s="101" t="str">
        <f>'Promo Form'!AA31</f>
        <v/>
      </c>
      <c r="T31" s="102" t="str">
        <f>'Promo Form'!AB31</f>
        <v/>
      </c>
      <c r="U31" s="80"/>
      <c r="V31" s="96" t="str">
        <f>'Promo Form'!AF31</f>
        <v/>
      </c>
      <c r="W31" s="68" t="str">
        <f>'Promo Form'!AG31</f>
        <v/>
      </c>
      <c r="X31" s="17" t="str">
        <f>'Promo Form'!AJ31</f>
        <v/>
      </c>
      <c r="Y31" s="18" t="str">
        <f>'Promo Form'!AK31</f>
        <v/>
      </c>
      <c r="Z31" s="18" t="str">
        <f>'Promo Form'!AL31</f>
        <v/>
      </c>
      <c r="AA31" s="101" t="str">
        <f>'Promo Form'!AN31</f>
        <v/>
      </c>
      <c r="AB31" s="102" t="str">
        <f>'Promo Form'!AO31</f>
        <v/>
      </c>
      <c r="AC31" s="80"/>
      <c r="AD31" s="96" t="str">
        <f>'Promo Form'!AS31</f>
        <v/>
      </c>
      <c r="AE31" s="68" t="str">
        <f>'Promo Form'!AT31</f>
        <v/>
      </c>
      <c r="AF31" s="17" t="str">
        <f>'Promo Form'!AW31</f>
        <v/>
      </c>
      <c r="AG31" s="18" t="str">
        <f>'Promo Form'!AX31</f>
        <v/>
      </c>
      <c r="AH31" s="18" t="str">
        <f>'Promo Form'!AY31</f>
        <v/>
      </c>
      <c r="AI31" s="101" t="str">
        <f>'Promo Form'!BA31</f>
        <v/>
      </c>
      <c r="AJ31" s="102" t="str">
        <f>'Promo Form'!BB31</f>
        <v/>
      </c>
      <c r="AK31" s="77"/>
      <c r="AL31" s="96" t="str">
        <f>'Promo Form'!BF31</f>
        <v/>
      </c>
      <c r="AM31" s="68" t="str">
        <f>'Promo Form'!BG31</f>
        <v/>
      </c>
      <c r="AN31" s="17" t="str">
        <f>'Promo Form'!BJ31</f>
        <v/>
      </c>
      <c r="AO31" s="18" t="str">
        <f>'Promo Form'!BK31</f>
        <v/>
      </c>
      <c r="AP31" s="18" t="str">
        <f>'Promo Form'!BL31</f>
        <v/>
      </c>
      <c r="AQ31" s="101" t="str">
        <f>'Promo Form'!BN31</f>
        <v/>
      </c>
      <c r="AR31" s="102" t="str">
        <f>'Promo Form'!BO31</f>
        <v/>
      </c>
      <c r="AS31" s="77"/>
      <c r="AT31" s="96" t="str">
        <f>'Promo Form'!BS31</f>
        <v/>
      </c>
      <c r="AU31" s="68" t="str">
        <f>'Promo Form'!BT31</f>
        <v/>
      </c>
      <c r="AV31" s="17" t="str">
        <f>'Promo Form'!BW31</f>
        <v/>
      </c>
      <c r="AW31" s="18" t="str">
        <f>'Promo Form'!BX31</f>
        <v/>
      </c>
      <c r="AX31" s="18" t="str">
        <f>'Promo Form'!BY31</f>
        <v/>
      </c>
      <c r="AY31" s="101" t="str">
        <f>'Promo Form'!CA31</f>
        <v/>
      </c>
      <c r="AZ31" s="102" t="str">
        <f>'Promo Form'!CB31</f>
        <v/>
      </c>
      <c r="BA31" s="77"/>
      <c r="BB31" s="96" t="str">
        <f>'Promo Form'!CF31</f>
        <v/>
      </c>
      <c r="BC31" s="68" t="str">
        <f>'Promo Form'!CG31</f>
        <v/>
      </c>
      <c r="BD31" s="17" t="str">
        <f>'Promo Form'!CJ31</f>
        <v/>
      </c>
      <c r="BE31" s="18" t="str">
        <f>'Promo Form'!CK31</f>
        <v/>
      </c>
      <c r="BF31" s="18" t="str">
        <f>'Promo Form'!CL31</f>
        <v/>
      </c>
      <c r="BG31" s="101" t="str">
        <f>'Promo Form'!CN31</f>
        <v/>
      </c>
      <c r="BH31" s="102" t="str">
        <f>'Promo Form'!CO31</f>
        <v/>
      </c>
      <c r="BI31" s="77"/>
      <c r="BJ31" s="17" t="str">
        <f>'Promo Form'!CS31</f>
        <v/>
      </c>
      <c r="BK31" s="17" t="str">
        <f>'Promo Form'!CT31</f>
        <v/>
      </c>
      <c r="BL31" s="99" t="str">
        <f>'Promo Form'!CU31</f>
        <v/>
      </c>
      <c r="BM31" s="17" t="str">
        <f>'Promo Form'!CV31</f>
        <v/>
      </c>
      <c r="BN31" s="98">
        <f>'Promo Form'!CW31</f>
        <v>0</v>
      </c>
    </row>
    <row r="32" spans="1:66" x14ac:dyDescent="0.2">
      <c r="A32" s="12" t="str">
        <f>'Promo Form'!A32</f>
        <v/>
      </c>
      <c r="B32" s="12" t="str">
        <f>'Promo Form'!B32</f>
        <v/>
      </c>
      <c r="C32" s="13">
        <f>'Promo Form'!C32</f>
        <v>0</v>
      </c>
      <c r="D32" s="14" t="str">
        <f>'Promo Form'!D32</f>
        <v/>
      </c>
      <c r="E32" s="15"/>
      <c r="F32" s="96" t="str">
        <f>'Promo Form'!F32</f>
        <v/>
      </c>
      <c r="G32" s="68" t="str">
        <f>'Promo Form'!G32</f>
        <v/>
      </c>
      <c r="H32" s="17" t="str">
        <f>'Promo Form'!J32</f>
        <v/>
      </c>
      <c r="I32" s="18" t="str">
        <f>'Promo Form'!K32</f>
        <v/>
      </c>
      <c r="J32" s="18" t="str">
        <f>'Promo Form'!L32</f>
        <v/>
      </c>
      <c r="K32" s="101" t="str">
        <f>'Promo Form'!N32</f>
        <v/>
      </c>
      <c r="L32" s="102" t="str">
        <f>'Promo Form'!O32</f>
        <v/>
      </c>
      <c r="M32" s="80"/>
      <c r="N32" s="96" t="str">
        <f>'Promo Form'!S32</f>
        <v/>
      </c>
      <c r="O32" s="68" t="str">
        <f>'Promo Form'!T32</f>
        <v/>
      </c>
      <c r="P32" s="17" t="str">
        <f>'Promo Form'!W32</f>
        <v/>
      </c>
      <c r="Q32" s="18" t="str">
        <f>'Promo Form'!X32</f>
        <v/>
      </c>
      <c r="R32" s="18" t="str">
        <f>'Promo Form'!Y32</f>
        <v/>
      </c>
      <c r="S32" s="101" t="str">
        <f>'Promo Form'!AA32</f>
        <v/>
      </c>
      <c r="T32" s="102" t="str">
        <f>'Promo Form'!AB32</f>
        <v/>
      </c>
      <c r="U32" s="80"/>
      <c r="V32" s="96" t="str">
        <f>'Promo Form'!AF32</f>
        <v/>
      </c>
      <c r="W32" s="68" t="str">
        <f>'Promo Form'!AG32</f>
        <v/>
      </c>
      <c r="X32" s="17" t="str">
        <f>'Promo Form'!AJ32</f>
        <v/>
      </c>
      <c r="Y32" s="18" t="str">
        <f>'Promo Form'!AK32</f>
        <v/>
      </c>
      <c r="Z32" s="18" t="str">
        <f>'Promo Form'!AL32</f>
        <v/>
      </c>
      <c r="AA32" s="101" t="str">
        <f>'Promo Form'!AN32</f>
        <v/>
      </c>
      <c r="AB32" s="102" t="str">
        <f>'Promo Form'!AO32</f>
        <v/>
      </c>
      <c r="AC32" s="80"/>
      <c r="AD32" s="96" t="str">
        <f>'Promo Form'!AS32</f>
        <v/>
      </c>
      <c r="AE32" s="68" t="str">
        <f>'Promo Form'!AT32</f>
        <v/>
      </c>
      <c r="AF32" s="17" t="str">
        <f>'Promo Form'!AW32</f>
        <v/>
      </c>
      <c r="AG32" s="18" t="str">
        <f>'Promo Form'!AX32</f>
        <v/>
      </c>
      <c r="AH32" s="18" t="str">
        <f>'Promo Form'!AY32</f>
        <v/>
      </c>
      <c r="AI32" s="101" t="str">
        <f>'Promo Form'!BA32</f>
        <v/>
      </c>
      <c r="AJ32" s="102" t="str">
        <f>'Promo Form'!BB32</f>
        <v/>
      </c>
      <c r="AK32" s="77"/>
      <c r="AL32" s="96" t="str">
        <f>'Promo Form'!BF32</f>
        <v/>
      </c>
      <c r="AM32" s="68" t="str">
        <f>'Promo Form'!BG32</f>
        <v/>
      </c>
      <c r="AN32" s="17" t="str">
        <f>'Promo Form'!BJ32</f>
        <v/>
      </c>
      <c r="AO32" s="18" t="str">
        <f>'Promo Form'!BK32</f>
        <v/>
      </c>
      <c r="AP32" s="18" t="str">
        <f>'Promo Form'!BL32</f>
        <v/>
      </c>
      <c r="AQ32" s="101" t="str">
        <f>'Promo Form'!BN32</f>
        <v/>
      </c>
      <c r="AR32" s="102" t="str">
        <f>'Promo Form'!BO32</f>
        <v/>
      </c>
      <c r="AS32" s="77"/>
      <c r="AT32" s="96" t="str">
        <f>'Promo Form'!BS32</f>
        <v/>
      </c>
      <c r="AU32" s="68" t="str">
        <f>'Promo Form'!BT32</f>
        <v/>
      </c>
      <c r="AV32" s="17" t="str">
        <f>'Promo Form'!BW32</f>
        <v/>
      </c>
      <c r="AW32" s="18" t="str">
        <f>'Promo Form'!BX32</f>
        <v/>
      </c>
      <c r="AX32" s="18" t="str">
        <f>'Promo Form'!BY32</f>
        <v/>
      </c>
      <c r="AY32" s="101" t="str">
        <f>'Promo Form'!CA32</f>
        <v/>
      </c>
      <c r="AZ32" s="102" t="str">
        <f>'Promo Form'!CB32</f>
        <v/>
      </c>
      <c r="BA32" s="77"/>
      <c r="BB32" s="96" t="str">
        <f>'Promo Form'!CF32</f>
        <v/>
      </c>
      <c r="BC32" s="68" t="str">
        <f>'Promo Form'!CG32</f>
        <v/>
      </c>
      <c r="BD32" s="17" t="str">
        <f>'Promo Form'!CJ32</f>
        <v/>
      </c>
      <c r="BE32" s="18" t="str">
        <f>'Promo Form'!CK32</f>
        <v/>
      </c>
      <c r="BF32" s="18" t="str">
        <f>'Promo Form'!CL32</f>
        <v/>
      </c>
      <c r="BG32" s="101" t="str">
        <f>'Promo Form'!CN32</f>
        <v/>
      </c>
      <c r="BH32" s="102" t="str">
        <f>'Promo Form'!CO32</f>
        <v/>
      </c>
      <c r="BI32" s="77"/>
      <c r="BJ32" s="17" t="str">
        <f>'Promo Form'!CS32</f>
        <v/>
      </c>
      <c r="BK32" s="17" t="str">
        <f>'Promo Form'!CT32</f>
        <v/>
      </c>
      <c r="BL32" s="99" t="str">
        <f>'Promo Form'!CU32</f>
        <v/>
      </c>
      <c r="BM32" s="17" t="str">
        <f>'Promo Form'!CV32</f>
        <v/>
      </c>
      <c r="BN32" s="98">
        <f>'Promo Form'!CW32</f>
        <v>0</v>
      </c>
    </row>
    <row r="33" spans="1:66" x14ac:dyDescent="0.2">
      <c r="A33" s="12" t="str">
        <f>'Promo Form'!A33</f>
        <v/>
      </c>
      <c r="B33" s="12" t="str">
        <f>'Promo Form'!B33</f>
        <v/>
      </c>
      <c r="C33" s="13">
        <f>'Promo Form'!C33</f>
        <v>0</v>
      </c>
      <c r="D33" s="14" t="str">
        <f>'Promo Form'!D33</f>
        <v/>
      </c>
      <c r="E33" s="15"/>
      <c r="F33" s="96" t="str">
        <f>'Promo Form'!F33</f>
        <v/>
      </c>
      <c r="G33" s="68" t="str">
        <f>'Promo Form'!G33</f>
        <v/>
      </c>
      <c r="H33" s="17" t="str">
        <f>'Promo Form'!J33</f>
        <v/>
      </c>
      <c r="I33" s="18" t="str">
        <f>'Promo Form'!K33</f>
        <v/>
      </c>
      <c r="J33" s="18" t="str">
        <f>'Promo Form'!L33</f>
        <v/>
      </c>
      <c r="K33" s="101" t="str">
        <f>'Promo Form'!N33</f>
        <v/>
      </c>
      <c r="L33" s="102" t="str">
        <f>'Promo Form'!O33</f>
        <v/>
      </c>
      <c r="M33" s="80"/>
      <c r="N33" s="96" t="str">
        <f>'Promo Form'!S33</f>
        <v/>
      </c>
      <c r="O33" s="68" t="str">
        <f>'Promo Form'!T33</f>
        <v/>
      </c>
      <c r="P33" s="17" t="str">
        <f>'Promo Form'!W33</f>
        <v/>
      </c>
      <c r="Q33" s="18" t="str">
        <f>'Promo Form'!X33</f>
        <v/>
      </c>
      <c r="R33" s="18" t="str">
        <f>'Promo Form'!Y33</f>
        <v/>
      </c>
      <c r="S33" s="101" t="str">
        <f>'Promo Form'!AA33</f>
        <v/>
      </c>
      <c r="T33" s="102" t="str">
        <f>'Promo Form'!AB33</f>
        <v/>
      </c>
      <c r="U33" s="80"/>
      <c r="V33" s="96" t="str">
        <f>'Promo Form'!AF33</f>
        <v/>
      </c>
      <c r="W33" s="68" t="str">
        <f>'Promo Form'!AG33</f>
        <v/>
      </c>
      <c r="X33" s="17" t="str">
        <f>'Promo Form'!AJ33</f>
        <v/>
      </c>
      <c r="Y33" s="18" t="str">
        <f>'Promo Form'!AK33</f>
        <v/>
      </c>
      <c r="Z33" s="18" t="str">
        <f>'Promo Form'!AL33</f>
        <v/>
      </c>
      <c r="AA33" s="101" t="str">
        <f>'Promo Form'!AN33</f>
        <v/>
      </c>
      <c r="AB33" s="102" t="str">
        <f>'Promo Form'!AO33</f>
        <v/>
      </c>
      <c r="AC33" s="80"/>
      <c r="AD33" s="96" t="str">
        <f>'Promo Form'!AS33</f>
        <v/>
      </c>
      <c r="AE33" s="68" t="str">
        <f>'Promo Form'!AT33</f>
        <v/>
      </c>
      <c r="AF33" s="17" t="str">
        <f>'Promo Form'!AW33</f>
        <v/>
      </c>
      <c r="AG33" s="18" t="str">
        <f>'Promo Form'!AX33</f>
        <v/>
      </c>
      <c r="AH33" s="18" t="str">
        <f>'Promo Form'!AY33</f>
        <v/>
      </c>
      <c r="AI33" s="101" t="str">
        <f>'Promo Form'!BA33</f>
        <v/>
      </c>
      <c r="AJ33" s="102" t="str">
        <f>'Promo Form'!BB33</f>
        <v/>
      </c>
      <c r="AK33" s="77"/>
      <c r="AL33" s="96" t="str">
        <f>'Promo Form'!BF33</f>
        <v/>
      </c>
      <c r="AM33" s="68" t="str">
        <f>'Promo Form'!BG33</f>
        <v/>
      </c>
      <c r="AN33" s="17" t="str">
        <f>'Promo Form'!BJ33</f>
        <v/>
      </c>
      <c r="AO33" s="18" t="str">
        <f>'Promo Form'!BK33</f>
        <v/>
      </c>
      <c r="AP33" s="18" t="str">
        <f>'Promo Form'!BL33</f>
        <v/>
      </c>
      <c r="AQ33" s="101" t="str">
        <f>'Promo Form'!BN33</f>
        <v/>
      </c>
      <c r="AR33" s="102" t="str">
        <f>'Promo Form'!BO33</f>
        <v/>
      </c>
      <c r="AS33" s="77"/>
      <c r="AT33" s="96" t="str">
        <f>'Promo Form'!BS33</f>
        <v/>
      </c>
      <c r="AU33" s="68" t="str">
        <f>'Promo Form'!BT33</f>
        <v/>
      </c>
      <c r="AV33" s="17" t="str">
        <f>'Promo Form'!BW33</f>
        <v/>
      </c>
      <c r="AW33" s="18" t="str">
        <f>'Promo Form'!BX33</f>
        <v/>
      </c>
      <c r="AX33" s="18" t="str">
        <f>'Promo Form'!BY33</f>
        <v/>
      </c>
      <c r="AY33" s="101" t="str">
        <f>'Promo Form'!CA33</f>
        <v/>
      </c>
      <c r="AZ33" s="102" t="str">
        <f>'Promo Form'!CB33</f>
        <v/>
      </c>
      <c r="BA33" s="77"/>
      <c r="BB33" s="96" t="str">
        <f>'Promo Form'!CF33</f>
        <v/>
      </c>
      <c r="BC33" s="68" t="str">
        <f>'Promo Form'!CG33</f>
        <v/>
      </c>
      <c r="BD33" s="17" t="str">
        <f>'Promo Form'!CJ33</f>
        <v/>
      </c>
      <c r="BE33" s="18" t="str">
        <f>'Promo Form'!CK33</f>
        <v/>
      </c>
      <c r="BF33" s="18" t="str">
        <f>'Promo Form'!CL33</f>
        <v/>
      </c>
      <c r="BG33" s="101" t="str">
        <f>'Promo Form'!CN33</f>
        <v/>
      </c>
      <c r="BH33" s="102" t="str">
        <f>'Promo Form'!CO33</f>
        <v/>
      </c>
      <c r="BI33" s="77"/>
      <c r="BJ33" s="17" t="str">
        <f>'Promo Form'!CS33</f>
        <v/>
      </c>
      <c r="BK33" s="17" t="str">
        <f>'Promo Form'!CT33</f>
        <v/>
      </c>
      <c r="BL33" s="99" t="str">
        <f>'Promo Form'!CU33</f>
        <v/>
      </c>
      <c r="BM33" s="17" t="str">
        <f>'Promo Form'!CV33</f>
        <v/>
      </c>
      <c r="BN33" s="98">
        <f>'Promo Form'!CW33</f>
        <v>0</v>
      </c>
    </row>
    <row r="34" spans="1:66" x14ac:dyDescent="0.2">
      <c r="A34" s="12" t="str">
        <f>'Promo Form'!A34</f>
        <v/>
      </c>
      <c r="B34" s="12" t="str">
        <f>'Promo Form'!B34</f>
        <v/>
      </c>
      <c r="C34" s="13">
        <f>'Promo Form'!C34</f>
        <v>0</v>
      </c>
      <c r="D34" s="14" t="str">
        <f>'Promo Form'!D34</f>
        <v/>
      </c>
      <c r="E34" s="15"/>
      <c r="F34" s="96" t="str">
        <f>'Promo Form'!F34</f>
        <v/>
      </c>
      <c r="G34" s="68" t="str">
        <f>'Promo Form'!G34</f>
        <v/>
      </c>
      <c r="H34" s="17" t="str">
        <f>'Promo Form'!J34</f>
        <v/>
      </c>
      <c r="I34" s="18" t="str">
        <f>'Promo Form'!K34</f>
        <v/>
      </c>
      <c r="J34" s="18" t="str">
        <f>'Promo Form'!L34</f>
        <v/>
      </c>
      <c r="K34" s="101" t="str">
        <f>'Promo Form'!N34</f>
        <v/>
      </c>
      <c r="L34" s="102" t="str">
        <f>'Promo Form'!O34</f>
        <v/>
      </c>
      <c r="M34" s="80"/>
      <c r="N34" s="96" t="str">
        <f>'Promo Form'!S34</f>
        <v/>
      </c>
      <c r="O34" s="68" t="str">
        <f>'Promo Form'!T34</f>
        <v/>
      </c>
      <c r="P34" s="17" t="str">
        <f>'Promo Form'!W34</f>
        <v/>
      </c>
      <c r="Q34" s="18" t="str">
        <f>'Promo Form'!X34</f>
        <v/>
      </c>
      <c r="R34" s="18" t="str">
        <f>'Promo Form'!Y34</f>
        <v/>
      </c>
      <c r="S34" s="101" t="str">
        <f>'Promo Form'!AA34</f>
        <v/>
      </c>
      <c r="T34" s="102" t="str">
        <f>'Promo Form'!AB34</f>
        <v/>
      </c>
      <c r="U34" s="80"/>
      <c r="V34" s="96" t="str">
        <f>'Promo Form'!AF34</f>
        <v/>
      </c>
      <c r="W34" s="68" t="str">
        <f>'Promo Form'!AG34</f>
        <v/>
      </c>
      <c r="X34" s="17" t="str">
        <f>'Promo Form'!AJ34</f>
        <v/>
      </c>
      <c r="Y34" s="18" t="str">
        <f>'Promo Form'!AK34</f>
        <v/>
      </c>
      <c r="Z34" s="18" t="str">
        <f>'Promo Form'!AL34</f>
        <v/>
      </c>
      <c r="AA34" s="101" t="str">
        <f>'Promo Form'!AN34</f>
        <v/>
      </c>
      <c r="AB34" s="102" t="str">
        <f>'Promo Form'!AO34</f>
        <v/>
      </c>
      <c r="AC34" s="80"/>
      <c r="AD34" s="96" t="str">
        <f>'Promo Form'!AS34</f>
        <v/>
      </c>
      <c r="AE34" s="68" t="str">
        <f>'Promo Form'!AT34</f>
        <v/>
      </c>
      <c r="AF34" s="17" t="str">
        <f>'Promo Form'!AW34</f>
        <v/>
      </c>
      <c r="AG34" s="18" t="str">
        <f>'Promo Form'!AX34</f>
        <v/>
      </c>
      <c r="AH34" s="18" t="str">
        <f>'Promo Form'!AY34</f>
        <v/>
      </c>
      <c r="AI34" s="101" t="str">
        <f>'Promo Form'!BA34</f>
        <v/>
      </c>
      <c r="AJ34" s="102" t="str">
        <f>'Promo Form'!BB34</f>
        <v/>
      </c>
      <c r="AK34" s="77"/>
      <c r="AL34" s="96" t="str">
        <f>'Promo Form'!BF34</f>
        <v/>
      </c>
      <c r="AM34" s="68" t="str">
        <f>'Promo Form'!BG34</f>
        <v/>
      </c>
      <c r="AN34" s="17" t="str">
        <f>'Promo Form'!BJ34</f>
        <v/>
      </c>
      <c r="AO34" s="18" t="str">
        <f>'Promo Form'!BK34</f>
        <v/>
      </c>
      <c r="AP34" s="18" t="str">
        <f>'Promo Form'!BL34</f>
        <v/>
      </c>
      <c r="AQ34" s="101" t="str">
        <f>'Promo Form'!BN34</f>
        <v/>
      </c>
      <c r="AR34" s="102" t="str">
        <f>'Promo Form'!BO34</f>
        <v/>
      </c>
      <c r="AS34" s="77"/>
      <c r="AT34" s="96" t="str">
        <f>'Promo Form'!BS34</f>
        <v/>
      </c>
      <c r="AU34" s="68" t="str">
        <f>'Promo Form'!BT34</f>
        <v/>
      </c>
      <c r="AV34" s="17" t="str">
        <f>'Promo Form'!BW34</f>
        <v/>
      </c>
      <c r="AW34" s="18" t="str">
        <f>'Promo Form'!BX34</f>
        <v/>
      </c>
      <c r="AX34" s="18" t="str">
        <f>'Promo Form'!BY34</f>
        <v/>
      </c>
      <c r="AY34" s="101" t="str">
        <f>'Promo Form'!CA34</f>
        <v/>
      </c>
      <c r="AZ34" s="102" t="str">
        <f>'Promo Form'!CB34</f>
        <v/>
      </c>
      <c r="BA34" s="77"/>
      <c r="BB34" s="96" t="str">
        <f>'Promo Form'!CF34</f>
        <v/>
      </c>
      <c r="BC34" s="68" t="str">
        <f>'Promo Form'!CG34</f>
        <v/>
      </c>
      <c r="BD34" s="17" t="str">
        <f>'Promo Form'!CJ34</f>
        <v/>
      </c>
      <c r="BE34" s="18" t="str">
        <f>'Promo Form'!CK34</f>
        <v/>
      </c>
      <c r="BF34" s="18" t="str">
        <f>'Promo Form'!CL34</f>
        <v/>
      </c>
      <c r="BG34" s="101" t="str">
        <f>'Promo Form'!CN34</f>
        <v/>
      </c>
      <c r="BH34" s="102" t="str">
        <f>'Promo Form'!CO34</f>
        <v/>
      </c>
      <c r="BI34" s="77"/>
      <c r="BJ34" s="17" t="str">
        <f>'Promo Form'!CS34</f>
        <v/>
      </c>
      <c r="BK34" s="17" t="str">
        <f>'Promo Form'!CT34</f>
        <v/>
      </c>
      <c r="BL34" s="99" t="str">
        <f>'Promo Form'!CU34</f>
        <v/>
      </c>
      <c r="BM34" s="17" t="str">
        <f>'Promo Form'!CV34</f>
        <v/>
      </c>
      <c r="BN34" s="98">
        <f>'Promo Form'!CW34</f>
        <v>0</v>
      </c>
    </row>
    <row r="35" spans="1:66" x14ac:dyDescent="0.2">
      <c r="A35" s="12" t="str">
        <f>'Promo Form'!A35</f>
        <v/>
      </c>
      <c r="B35" s="12" t="str">
        <f>'Promo Form'!B35</f>
        <v/>
      </c>
      <c r="C35" s="13">
        <f>'Promo Form'!C35</f>
        <v>0</v>
      </c>
      <c r="D35" s="14" t="str">
        <f>'Promo Form'!D35</f>
        <v/>
      </c>
      <c r="E35" s="15"/>
      <c r="F35" s="96" t="str">
        <f>'Promo Form'!F35</f>
        <v/>
      </c>
      <c r="G35" s="68" t="str">
        <f>'Promo Form'!G35</f>
        <v/>
      </c>
      <c r="H35" s="17" t="str">
        <f>'Promo Form'!J35</f>
        <v/>
      </c>
      <c r="I35" s="18" t="str">
        <f>'Promo Form'!K35</f>
        <v/>
      </c>
      <c r="J35" s="18" t="str">
        <f>'Promo Form'!L35</f>
        <v/>
      </c>
      <c r="K35" s="101" t="str">
        <f>'Promo Form'!N35</f>
        <v/>
      </c>
      <c r="L35" s="102" t="str">
        <f>'Promo Form'!O35</f>
        <v/>
      </c>
      <c r="M35" s="80"/>
      <c r="N35" s="96" t="str">
        <f>'Promo Form'!S35</f>
        <v/>
      </c>
      <c r="O35" s="68" t="str">
        <f>'Promo Form'!T35</f>
        <v/>
      </c>
      <c r="P35" s="17" t="str">
        <f>'Promo Form'!W35</f>
        <v/>
      </c>
      <c r="Q35" s="18" t="str">
        <f>'Promo Form'!X35</f>
        <v/>
      </c>
      <c r="R35" s="18" t="str">
        <f>'Promo Form'!Y35</f>
        <v/>
      </c>
      <c r="S35" s="101" t="str">
        <f>'Promo Form'!AA35</f>
        <v/>
      </c>
      <c r="T35" s="102" t="str">
        <f>'Promo Form'!AB35</f>
        <v/>
      </c>
      <c r="U35" s="80"/>
      <c r="V35" s="96" t="str">
        <f>'Promo Form'!AF35</f>
        <v/>
      </c>
      <c r="W35" s="68" t="str">
        <f>'Promo Form'!AG35</f>
        <v/>
      </c>
      <c r="X35" s="17" t="str">
        <f>'Promo Form'!AJ35</f>
        <v/>
      </c>
      <c r="Y35" s="18" t="str">
        <f>'Promo Form'!AK35</f>
        <v/>
      </c>
      <c r="Z35" s="18" t="str">
        <f>'Promo Form'!AL35</f>
        <v/>
      </c>
      <c r="AA35" s="101" t="str">
        <f>'Promo Form'!AN35</f>
        <v/>
      </c>
      <c r="AB35" s="102" t="str">
        <f>'Promo Form'!AO35</f>
        <v/>
      </c>
      <c r="AC35" s="80"/>
      <c r="AD35" s="96" t="str">
        <f>'Promo Form'!AS35</f>
        <v/>
      </c>
      <c r="AE35" s="68" t="str">
        <f>'Promo Form'!AT35</f>
        <v/>
      </c>
      <c r="AF35" s="17" t="str">
        <f>'Promo Form'!AW35</f>
        <v/>
      </c>
      <c r="AG35" s="18" t="str">
        <f>'Promo Form'!AX35</f>
        <v/>
      </c>
      <c r="AH35" s="18" t="str">
        <f>'Promo Form'!AY35</f>
        <v/>
      </c>
      <c r="AI35" s="101" t="str">
        <f>'Promo Form'!BA35</f>
        <v/>
      </c>
      <c r="AJ35" s="102" t="str">
        <f>'Promo Form'!BB35</f>
        <v/>
      </c>
      <c r="AK35" s="77"/>
      <c r="AL35" s="96" t="str">
        <f>'Promo Form'!BF35</f>
        <v/>
      </c>
      <c r="AM35" s="68" t="str">
        <f>'Promo Form'!BG35</f>
        <v/>
      </c>
      <c r="AN35" s="17" t="str">
        <f>'Promo Form'!BJ35</f>
        <v/>
      </c>
      <c r="AO35" s="18" t="str">
        <f>'Promo Form'!BK35</f>
        <v/>
      </c>
      <c r="AP35" s="18" t="str">
        <f>'Promo Form'!BL35</f>
        <v/>
      </c>
      <c r="AQ35" s="101" t="str">
        <f>'Promo Form'!BN35</f>
        <v/>
      </c>
      <c r="AR35" s="102" t="str">
        <f>'Promo Form'!BO35</f>
        <v/>
      </c>
      <c r="AS35" s="77"/>
      <c r="AT35" s="96" t="str">
        <f>'Promo Form'!BS35</f>
        <v/>
      </c>
      <c r="AU35" s="68" t="str">
        <f>'Promo Form'!BT35</f>
        <v/>
      </c>
      <c r="AV35" s="17" t="str">
        <f>'Promo Form'!BW35</f>
        <v/>
      </c>
      <c r="AW35" s="18" t="str">
        <f>'Promo Form'!BX35</f>
        <v/>
      </c>
      <c r="AX35" s="18" t="str">
        <f>'Promo Form'!BY35</f>
        <v/>
      </c>
      <c r="AY35" s="101" t="str">
        <f>'Promo Form'!CA35</f>
        <v/>
      </c>
      <c r="AZ35" s="102" t="str">
        <f>'Promo Form'!CB35</f>
        <v/>
      </c>
      <c r="BA35" s="77"/>
      <c r="BB35" s="96" t="str">
        <f>'Promo Form'!CF35</f>
        <v/>
      </c>
      <c r="BC35" s="68" t="str">
        <f>'Promo Form'!CG35</f>
        <v/>
      </c>
      <c r="BD35" s="17" t="str">
        <f>'Promo Form'!CJ35</f>
        <v/>
      </c>
      <c r="BE35" s="18" t="str">
        <f>'Promo Form'!CK35</f>
        <v/>
      </c>
      <c r="BF35" s="18" t="str">
        <f>'Promo Form'!CL35</f>
        <v/>
      </c>
      <c r="BG35" s="101" t="str">
        <f>'Promo Form'!CN35</f>
        <v/>
      </c>
      <c r="BH35" s="102" t="str">
        <f>'Promo Form'!CO35</f>
        <v/>
      </c>
      <c r="BI35" s="77"/>
      <c r="BJ35" s="17" t="str">
        <f>'Promo Form'!CS35</f>
        <v/>
      </c>
      <c r="BK35" s="17" t="str">
        <f>'Promo Form'!CT35</f>
        <v/>
      </c>
      <c r="BL35" s="99" t="str">
        <f>'Promo Form'!CU35</f>
        <v/>
      </c>
      <c r="BM35" s="17" t="str">
        <f>'Promo Form'!CV35</f>
        <v/>
      </c>
      <c r="BN35" s="98">
        <f>'Promo Form'!CW35</f>
        <v>0</v>
      </c>
    </row>
    <row r="36" spans="1:66" x14ac:dyDescent="0.2">
      <c r="A36" s="12" t="str">
        <f>'Promo Form'!A36</f>
        <v/>
      </c>
      <c r="B36" s="12" t="str">
        <f>'Promo Form'!B36</f>
        <v/>
      </c>
      <c r="C36" s="13">
        <f>'Promo Form'!C36</f>
        <v>0</v>
      </c>
      <c r="D36" s="14" t="str">
        <f>'Promo Form'!D36</f>
        <v/>
      </c>
      <c r="E36" s="15"/>
      <c r="F36" s="96" t="str">
        <f>'Promo Form'!F36</f>
        <v/>
      </c>
      <c r="G36" s="68" t="str">
        <f>'Promo Form'!G36</f>
        <v/>
      </c>
      <c r="H36" s="17" t="str">
        <f>'Promo Form'!J36</f>
        <v/>
      </c>
      <c r="I36" s="18" t="str">
        <f>'Promo Form'!K36</f>
        <v/>
      </c>
      <c r="J36" s="18" t="str">
        <f>'Promo Form'!L36</f>
        <v/>
      </c>
      <c r="K36" s="101" t="str">
        <f>'Promo Form'!N36</f>
        <v/>
      </c>
      <c r="L36" s="102" t="str">
        <f>'Promo Form'!O36</f>
        <v/>
      </c>
      <c r="M36" s="80"/>
      <c r="N36" s="96" t="str">
        <f>'Promo Form'!S36</f>
        <v/>
      </c>
      <c r="O36" s="68" t="str">
        <f>'Promo Form'!T36</f>
        <v/>
      </c>
      <c r="P36" s="17" t="str">
        <f>'Promo Form'!W36</f>
        <v/>
      </c>
      <c r="Q36" s="18" t="str">
        <f>'Promo Form'!X36</f>
        <v/>
      </c>
      <c r="R36" s="18" t="str">
        <f>'Promo Form'!Y36</f>
        <v/>
      </c>
      <c r="S36" s="101" t="str">
        <f>'Promo Form'!AA36</f>
        <v/>
      </c>
      <c r="T36" s="102" t="str">
        <f>'Promo Form'!AB36</f>
        <v/>
      </c>
      <c r="U36" s="80"/>
      <c r="V36" s="96" t="str">
        <f>'Promo Form'!AF36</f>
        <v/>
      </c>
      <c r="W36" s="68" t="str">
        <f>'Promo Form'!AG36</f>
        <v/>
      </c>
      <c r="X36" s="17" t="str">
        <f>'Promo Form'!AJ36</f>
        <v/>
      </c>
      <c r="Y36" s="18" t="str">
        <f>'Promo Form'!AK36</f>
        <v/>
      </c>
      <c r="Z36" s="18" t="str">
        <f>'Promo Form'!AL36</f>
        <v/>
      </c>
      <c r="AA36" s="101" t="str">
        <f>'Promo Form'!AN36</f>
        <v/>
      </c>
      <c r="AB36" s="102" t="str">
        <f>'Promo Form'!AO36</f>
        <v/>
      </c>
      <c r="AC36" s="80"/>
      <c r="AD36" s="96" t="str">
        <f>'Promo Form'!AS36</f>
        <v/>
      </c>
      <c r="AE36" s="68" t="str">
        <f>'Promo Form'!AT36</f>
        <v/>
      </c>
      <c r="AF36" s="17" t="str">
        <f>'Promo Form'!AW36</f>
        <v/>
      </c>
      <c r="AG36" s="18" t="str">
        <f>'Promo Form'!AX36</f>
        <v/>
      </c>
      <c r="AH36" s="18" t="str">
        <f>'Promo Form'!AY36</f>
        <v/>
      </c>
      <c r="AI36" s="101" t="str">
        <f>'Promo Form'!BA36</f>
        <v/>
      </c>
      <c r="AJ36" s="102" t="str">
        <f>'Promo Form'!BB36</f>
        <v/>
      </c>
      <c r="AK36" s="77"/>
      <c r="AL36" s="96" t="str">
        <f>'Promo Form'!BF36</f>
        <v/>
      </c>
      <c r="AM36" s="68" t="str">
        <f>'Promo Form'!BG36</f>
        <v/>
      </c>
      <c r="AN36" s="17" t="str">
        <f>'Promo Form'!BJ36</f>
        <v/>
      </c>
      <c r="AO36" s="18" t="str">
        <f>'Promo Form'!BK36</f>
        <v/>
      </c>
      <c r="AP36" s="18" t="str">
        <f>'Promo Form'!BL36</f>
        <v/>
      </c>
      <c r="AQ36" s="101" t="str">
        <f>'Promo Form'!BN36</f>
        <v/>
      </c>
      <c r="AR36" s="102" t="str">
        <f>'Promo Form'!BO36</f>
        <v/>
      </c>
      <c r="AS36" s="77"/>
      <c r="AT36" s="96" t="str">
        <f>'Promo Form'!BS36</f>
        <v/>
      </c>
      <c r="AU36" s="68" t="str">
        <f>'Promo Form'!BT36</f>
        <v/>
      </c>
      <c r="AV36" s="17" t="str">
        <f>'Promo Form'!BW36</f>
        <v/>
      </c>
      <c r="AW36" s="18" t="str">
        <f>'Promo Form'!BX36</f>
        <v/>
      </c>
      <c r="AX36" s="18" t="str">
        <f>'Promo Form'!BY36</f>
        <v/>
      </c>
      <c r="AY36" s="101" t="str">
        <f>'Promo Form'!CA36</f>
        <v/>
      </c>
      <c r="AZ36" s="102" t="str">
        <f>'Promo Form'!CB36</f>
        <v/>
      </c>
      <c r="BA36" s="77"/>
      <c r="BB36" s="96" t="str">
        <f>'Promo Form'!CF36</f>
        <v/>
      </c>
      <c r="BC36" s="68" t="str">
        <f>'Promo Form'!CG36</f>
        <v/>
      </c>
      <c r="BD36" s="17" t="str">
        <f>'Promo Form'!CJ36</f>
        <v/>
      </c>
      <c r="BE36" s="18" t="str">
        <f>'Promo Form'!CK36</f>
        <v/>
      </c>
      <c r="BF36" s="18" t="str">
        <f>'Promo Form'!CL36</f>
        <v/>
      </c>
      <c r="BG36" s="101" t="str">
        <f>'Promo Form'!CN36</f>
        <v/>
      </c>
      <c r="BH36" s="102" t="str">
        <f>'Promo Form'!CO36</f>
        <v/>
      </c>
      <c r="BI36" s="77"/>
      <c r="BJ36" s="17" t="str">
        <f>'Promo Form'!CS36</f>
        <v/>
      </c>
      <c r="BK36" s="17" t="str">
        <f>'Promo Form'!CT36</f>
        <v/>
      </c>
      <c r="BL36" s="99" t="str">
        <f>'Promo Form'!CU36</f>
        <v/>
      </c>
      <c r="BM36" s="17" t="str">
        <f>'Promo Form'!CV36</f>
        <v/>
      </c>
      <c r="BN36" s="98">
        <f>'Promo Form'!CW36</f>
        <v>0</v>
      </c>
    </row>
    <row r="37" spans="1:66" x14ac:dyDescent="0.2">
      <c r="A37" s="12" t="str">
        <f>'Promo Form'!A37</f>
        <v/>
      </c>
      <c r="B37" s="12" t="str">
        <f>'Promo Form'!B37</f>
        <v/>
      </c>
      <c r="C37" s="13">
        <f>'Promo Form'!C37</f>
        <v>0</v>
      </c>
      <c r="D37" s="14" t="str">
        <f>'Promo Form'!D37</f>
        <v/>
      </c>
      <c r="E37" s="15"/>
      <c r="F37" s="96" t="str">
        <f>'Promo Form'!F37</f>
        <v/>
      </c>
      <c r="G37" s="68" t="str">
        <f>'Promo Form'!G37</f>
        <v/>
      </c>
      <c r="H37" s="17" t="str">
        <f>'Promo Form'!J37</f>
        <v/>
      </c>
      <c r="I37" s="18" t="str">
        <f>'Promo Form'!K37</f>
        <v/>
      </c>
      <c r="J37" s="18" t="str">
        <f>'Promo Form'!L37</f>
        <v/>
      </c>
      <c r="K37" s="101" t="str">
        <f>'Promo Form'!N37</f>
        <v/>
      </c>
      <c r="L37" s="102" t="str">
        <f>'Promo Form'!O37</f>
        <v/>
      </c>
      <c r="M37" s="80"/>
      <c r="N37" s="96" t="str">
        <f>'Promo Form'!S37</f>
        <v/>
      </c>
      <c r="O37" s="68" t="str">
        <f>'Promo Form'!T37</f>
        <v/>
      </c>
      <c r="P37" s="17" t="str">
        <f>'Promo Form'!W37</f>
        <v/>
      </c>
      <c r="Q37" s="18" t="str">
        <f>'Promo Form'!X37</f>
        <v/>
      </c>
      <c r="R37" s="18" t="str">
        <f>'Promo Form'!Y37</f>
        <v/>
      </c>
      <c r="S37" s="101" t="str">
        <f>'Promo Form'!AA37</f>
        <v/>
      </c>
      <c r="T37" s="102" t="str">
        <f>'Promo Form'!AB37</f>
        <v/>
      </c>
      <c r="U37" s="80"/>
      <c r="V37" s="96" t="str">
        <f>'Promo Form'!AF37</f>
        <v/>
      </c>
      <c r="W37" s="68" t="str">
        <f>'Promo Form'!AG37</f>
        <v/>
      </c>
      <c r="X37" s="17" t="str">
        <f>'Promo Form'!AJ37</f>
        <v/>
      </c>
      <c r="Y37" s="18" t="str">
        <f>'Promo Form'!AK37</f>
        <v/>
      </c>
      <c r="Z37" s="18" t="str">
        <f>'Promo Form'!AL37</f>
        <v/>
      </c>
      <c r="AA37" s="101" t="str">
        <f>'Promo Form'!AN37</f>
        <v/>
      </c>
      <c r="AB37" s="102" t="str">
        <f>'Promo Form'!AO37</f>
        <v/>
      </c>
      <c r="AC37" s="80"/>
      <c r="AD37" s="96" t="str">
        <f>'Promo Form'!AS37</f>
        <v/>
      </c>
      <c r="AE37" s="68" t="str">
        <f>'Promo Form'!AT37</f>
        <v/>
      </c>
      <c r="AF37" s="17" t="str">
        <f>'Promo Form'!AW37</f>
        <v/>
      </c>
      <c r="AG37" s="18" t="str">
        <f>'Promo Form'!AX37</f>
        <v/>
      </c>
      <c r="AH37" s="18" t="str">
        <f>'Promo Form'!AY37</f>
        <v/>
      </c>
      <c r="AI37" s="101" t="str">
        <f>'Promo Form'!BA37</f>
        <v/>
      </c>
      <c r="AJ37" s="102" t="str">
        <f>'Promo Form'!BB37</f>
        <v/>
      </c>
      <c r="AK37" s="77"/>
      <c r="AL37" s="96" t="str">
        <f>'Promo Form'!BF37</f>
        <v/>
      </c>
      <c r="AM37" s="68" t="str">
        <f>'Promo Form'!BG37</f>
        <v/>
      </c>
      <c r="AN37" s="17" t="str">
        <f>'Promo Form'!BJ37</f>
        <v/>
      </c>
      <c r="AO37" s="18" t="str">
        <f>'Promo Form'!BK37</f>
        <v/>
      </c>
      <c r="AP37" s="18" t="str">
        <f>'Promo Form'!BL37</f>
        <v/>
      </c>
      <c r="AQ37" s="101" t="str">
        <f>'Promo Form'!BN37</f>
        <v/>
      </c>
      <c r="AR37" s="102" t="str">
        <f>'Promo Form'!BO37</f>
        <v/>
      </c>
      <c r="AS37" s="77"/>
      <c r="AT37" s="96" t="str">
        <f>'Promo Form'!BS37</f>
        <v/>
      </c>
      <c r="AU37" s="68" t="str">
        <f>'Promo Form'!BT37</f>
        <v/>
      </c>
      <c r="AV37" s="17" t="str">
        <f>'Promo Form'!BW37</f>
        <v/>
      </c>
      <c r="AW37" s="18" t="str">
        <f>'Promo Form'!BX37</f>
        <v/>
      </c>
      <c r="AX37" s="18" t="str">
        <f>'Promo Form'!BY37</f>
        <v/>
      </c>
      <c r="AY37" s="101" t="str">
        <f>'Promo Form'!CA37</f>
        <v/>
      </c>
      <c r="AZ37" s="102" t="str">
        <f>'Promo Form'!CB37</f>
        <v/>
      </c>
      <c r="BA37" s="77"/>
      <c r="BB37" s="96" t="str">
        <f>'Promo Form'!CF37</f>
        <v/>
      </c>
      <c r="BC37" s="68" t="str">
        <f>'Promo Form'!CG37</f>
        <v/>
      </c>
      <c r="BD37" s="17" t="str">
        <f>'Promo Form'!CJ37</f>
        <v/>
      </c>
      <c r="BE37" s="18" t="str">
        <f>'Promo Form'!CK37</f>
        <v/>
      </c>
      <c r="BF37" s="18" t="str">
        <f>'Promo Form'!CL37</f>
        <v/>
      </c>
      <c r="BG37" s="101" t="str">
        <f>'Promo Form'!CN37</f>
        <v/>
      </c>
      <c r="BH37" s="102" t="str">
        <f>'Promo Form'!CO37</f>
        <v/>
      </c>
      <c r="BI37" s="77"/>
      <c r="BJ37" s="17" t="str">
        <f>'Promo Form'!CS37</f>
        <v/>
      </c>
      <c r="BK37" s="17" t="str">
        <f>'Promo Form'!CT37</f>
        <v/>
      </c>
      <c r="BL37" s="99" t="str">
        <f>'Promo Form'!CU37</f>
        <v/>
      </c>
      <c r="BM37" s="17" t="str">
        <f>'Promo Form'!CV37</f>
        <v/>
      </c>
      <c r="BN37" s="98">
        <f>'Promo Form'!CW37</f>
        <v>0</v>
      </c>
    </row>
    <row r="38" spans="1:66" x14ac:dyDescent="0.2">
      <c r="A38" s="12" t="str">
        <f>'Promo Form'!A38</f>
        <v/>
      </c>
      <c r="B38" s="12" t="str">
        <f>'Promo Form'!B38</f>
        <v/>
      </c>
      <c r="C38" s="13">
        <f>'Promo Form'!C38</f>
        <v>0</v>
      </c>
      <c r="D38" s="14" t="str">
        <f>'Promo Form'!D38</f>
        <v/>
      </c>
      <c r="E38" s="15"/>
      <c r="F38" s="96" t="str">
        <f>'Promo Form'!F38</f>
        <v/>
      </c>
      <c r="G38" s="68" t="str">
        <f>'Promo Form'!G38</f>
        <v/>
      </c>
      <c r="H38" s="17" t="str">
        <f>'Promo Form'!J38</f>
        <v/>
      </c>
      <c r="I38" s="18" t="str">
        <f>'Promo Form'!K38</f>
        <v/>
      </c>
      <c r="J38" s="18" t="str">
        <f>'Promo Form'!L38</f>
        <v/>
      </c>
      <c r="K38" s="101" t="str">
        <f>'Promo Form'!N38</f>
        <v/>
      </c>
      <c r="L38" s="102" t="str">
        <f>'Promo Form'!O38</f>
        <v/>
      </c>
      <c r="M38" s="80"/>
      <c r="N38" s="96" t="str">
        <f>'Promo Form'!S38</f>
        <v/>
      </c>
      <c r="O38" s="68" t="str">
        <f>'Promo Form'!T38</f>
        <v/>
      </c>
      <c r="P38" s="17" t="str">
        <f>'Promo Form'!W38</f>
        <v/>
      </c>
      <c r="Q38" s="18" t="str">
        <f>'Promo Form'!X38</f>
        <v/>
      </c>
      <c r="R38" s="18" t="str">
        <f>'Promo Form'!Y38</f>
        <v/>
      </c>
      <c r="S38" s="101" t="str">
        <f>'Promo Form'!AA38</f>
        <v/>
      </c>
      <c r="T38" s="102" t="str">
        <f>'Promo Form'!AB38</f>
        <v/>
      </c>
      <c r="U38" s="80"/>
      <c r="V38" s="96" t="str">
        <f>'Promo Form'!AF38</f>
        <v/>
      </c>
      <c r="W38" s="68" t="str">
        <f>'Promo Form'!AG38</f>
        <v/>
      </c>
      <c r="X38" s="17" t="str">
        <f>'Promo Form'!AJ38</f>
        <v/>
      </c>
      <c r="Y38" s="18" t="str">
        <f>'Promo Form'!AK38</f>
        <v/>
      </c>
      <c r="Z38" s="18" t="str">
        <f>'Promo Form'!AL38</f>
        <v/>
      </c>
      <c r="AA38" s="101" t="str">
        <f>'Promo Form'!AN38</f>
        <v/>
      </c>
      <c r="AB38" s="102" t="str">
        <f>'Promo Form'!AO38</f>
        <v/>
      </c>
      <c r="AC38" s="80"/>
      <c r="AD38" s="96" t="str">
        <f>'Promo Form'!AS38</f>
        <v/>
      </c>
      <c r="AE38" s="68" t="str">
        <f>'Promo Form'!AT38</f>
        <v/>
      </c>
      <c r="AF38" s="17" t="str">
        <f>'Promo Form'!AW38</f>
        <v/>
      </c>
      <c r="AG38" s="18" t="str">
        <f>'Promo Form'!AX38</f>
        <v/>
      </c>
      <c r="AH38" s="18" t="str">
        <f>'Promo Form'!AY38</f>
        <v/>
      </c>
      <c r="AI38" s="101" t="str">
        <f>'Promo Form'!BA38</f>
        <v/>
      </c>
      <c r="AJ38" s="102" t="str">
        <f>'Promo Form'!BB38</f>
        <v/>
      </c>
      <c r="AK38" s="77"/>
      <c r="AL38" s="96" t="str">
        <f>'Promo Form'!BF38</f>
        <v/>
      </c>
      <c r="AM38" s="68" t="str">
        <f>'Promo Form'!BG38</f>
        <v/>
      </c>
      <c r="AN38" s="17" t="str">
        <f>'Promo Form'!BJ38</f>
        <v/>
      </c>
      <c r="AO38" s="18" t="str">
        <f>'Promo Form'!BK38</f>
        <v/>
      </c>
      <c r="AP38" s="18" t="str">
        <f>'Promo Form'!BL38</f>
        <v/>
      </c>
      <c r="AQ38" s="101" t="str">
        <f>'Promo Form'!BN38</f>
        <v/>
      </c>
      <c r="AR38" s="102" t="str">
        <f>'Promo Form'!BO38</f>
        <v/>
      </c>
      <c r="AS38" s="77"/>
      <c r="AT38" s="96" t="str">
        <f>'Promo Form'!BS38</f>
        <v/>
      </c>
      <c r="AU38" s="68" t="str">
        <f>'Promo Form'!BT38</f>
        <v/>
      </c>
      <c r="AV38" s="17" t="str">
        <f>'Promo Form'!BW38</f>
        <v/>
      </c>
      <c r="AW38" s="18" t="str">
        <f>'Promo Form'!BX38</f>
        <v/>
      </c>
      <c r="AX38" s="18" t="str">
        <f>'Promo Form'!BY38</f>
        <v/>
      </c>
      <c r="AY38" s="101" t="str">
        <f>'Promo Form'!CA38</f>
        <v/>
      </c>
      <c r="AZ38" s="102" t="str">
        <f>'Promo Form'!CB38</f>
        <v/>
      </c>
      <c r="BA38" s="77"/>
      <c r="BB38" s="96" t="str">
        <f>'Promo Form'!CF38</f>
        <v/>
      </c>
      <c r="BC38" s="68" t="str">
        <f>'Promo Form'!CG38</f>
        <v/>
      </c>
      <c r="BD38" s="17" t="str">
        <f>'Promo Form'!CJ38</f>
        <v/>
      </c>
      <c r="BE38" s="18" t="str">
        <f>'Promo Form'!CK38</f>
        <v/>
      </c>
      <c r="BF38" s="18" t="str">
        <f>'Promo Form'!CL38</f>
        <v/>
      </c>
      <c r="BG38" s="101" t="str">
        <f>'Promo Form'!CN38</f>
        <v/>
      </c>
      <c r="BH38" s="102" t="str">
        <f>'Promo Form'!CO38</f>
        <v/>
      </c>
      <c r="BI38" s="77"/>
      <c r="BJ38" s="17" t="str">
        <f>'Promo Form'!CS38</f>
        <v/>
      </c>
      <c r="BK38" s="17" t="str">
        <f>'Promo Form'!CT38</f>
        <v/>
      </c>
      <c r="BL38" s="99" t="str">
        <f>'Promo Form'!CU38</f>
        <v/>
      </c>
      <c r="BM38" s="17" t="str">
        <f>'Promo Form'!CV38</f>
        <v/>
      </c>
      <c r="BN38" s="98">
        <f>'Promo Form'!CW38</f>
        <v>0</v>
      </c>
    </row>
    <row r="39" spans="1:66" x14ac:dyDescent="0.2">
      <c r="A39" s="12" t="str">
        <f>'Promo Form'!A39</f>
        <v/>
      </c>
      <c r="B39" s="12" t="str">
        <f>'Promo Form'!B39</f>
        <v/>
      </c>
      <c r="C39" s="13">
        <f>'Promo Form'!C39</f>
        <v>0</v>
      </c>
      <c r="D39" s="14" t="str">
        <f>'Promo Form'!D39</f>
        <v/>
      </c>
      <c r="E39" s="15"/>
      <c r="F39" s="96" t="str">
        <f>'Promo Form'!F39</f>
        <v/>
      </c>
      <c r="G39" s="68" t="str">
        <f>'Promo Form'!G39</f>
        <v/>
      </c>
      <c r="H39" s="17" t="str">
        <f>'Promo Form'!J39</f>
        <v/>
      </c>
      <c r="I39" s="18" t="str">
        <f>'Promo Form'!K39</f>
        <v/>
      </c>
      <c r="J39" s="18" t="str">
        <f>'Promo Form'!L39</f>
        <v/>
      </c>
      <c r="K39" s="101" t="str">
        <f>'Promo Form'!N39</f>
        <v/>
      </c>
      <c r="L39" s="102" t="str">
        <f>'Promo Form'!O39</f>
        <v/>
      </c>
      <c r="M39" s="80"/>
      <c r="N39" s="96" t="str">
        <f>'Promo Form'!S39</f>
        <v/>
      </c>
      <c r="O39" s="68" t="str">
        <f>'Promo Form'!T39</f>
        <v/>
      </c>
      <c r="P39" s="17" t="str">
        <f>'Promo Form'!W39</f>
        <v/>
      </c>
      <c r="Q39" s="18" t="str">
        <f>'Promo Form'!X39</f>
        <v/>
      </c>
      <c r="R39" s="18" t="str">
        <f>'Promo Form'!Y39</f>
        <v/>
      </c>
      <c r="S39" s="101" t="str">
        <f>'Promo Form'!AA39</f>
        <v/>
      </c>
      <c r="T39" s="102" t="str">
        <f>'Promo Form'!AB39</f>
        <v/>
      </c>
      <c r="U39" s="80"/>
      <c r="V39" s="96" t="str">
        <f>'Promo Form'!AF39</f>
        <v/>
      </c>
      <c r="W39" s="68" t="str">
        <f>'Promo Form'!AG39</f>
        <v/>
      </c>
      <c r="X39" s="17" t="str">
        <f>'Promo Form'!AJ39</f>
        <v/>
      </c>
      <c r="Y39" s="18" t="str">
        <f>'Promo Form'!AK39</f>
        <v/>
      </c>
      <c r="Z39" s="18" t="str">
        <f>'Promo Form'!AL39</f>
        <v/>
      </c>
      <c r="AA39" s="101" t="str">
        <f>'Promo Form'!AN39</f>
        <v/>
      </c>
      <c r="AB39" s="102" t="str">
        <f>'Promo Form'!AO39</f>
        <v/>
      </c>
      <c r="AC39" s="80"/>
      <c r="AD39" s="96" t="str">
        <f>'Promo Form'!AS39</f>
        <v/>
      </c>
      <c r="AE39" s="68" t="str">
        <f>'Promo Form'!AT39</f>
        <v/>
      </c>
      <c r="AF39" s="17" t="str">
        <f>'Promo Form'!AW39</f>
        <v/>
      </c>
      <c r="AG39" s="18" t="str">
        <f>'Promo Form'!AX39</f>
        <v/>
      </c>
      <c r="AH39" s="18" t="str">
        <f>'Promo Form'!AY39</f>
        <v/>
      </c>
      <c r="AI39" s="101" t="str">
        <f>'Promo Form'!BA39</f>
        <v/>
      </c>
      <c r="AJ39" s="102" t="str">
        <f>'Promo Form'!BB39</f>
        <v/>
      </c>
      <c r="AK39" s="77"/>
      <c r="AL39" s="96" t="str">
        <f>'Promo Form'!BF39</f>
        <v/>
      </c>
      <c r="AM39" s="68" t="str">
        <f>'Promo Form'!BG39</f>
        <v/>
      </c>
      <c r="AN39" s="17" t="str">
        <f>'Promo Form'!BJ39</f>
        <v/>
      </c>
      <c r="AO39" s="18" t="str">
        <f>'Promo Form'!BK39</f>
        <v/>
      </c>
      <c r="AP39" s="18" t="str">
        <f>'Promo Form'!BL39</f>
        <v/>
      </c>
      <c r="AQ39" s="101" t="str">
        <f>'Promo Form'!BN39</f>
        <v/>
      </c>
      <c r="AR39" s="102" t="str">
        <f>'Promo Form'!BO39</f>
        <v/>
      </c>
      <c r="AS39" s="77"/>
      <c r="AT39" s="96" t="str">
        <f>'Promo Form'!BS39</f>
        <v/>
      </c>
      <c r="AU39" s="68" t="str">
        <f>'Promo Form'!BT39</f>
        <v/>
      </c>
      <c r="AV39" s="17" t="str">
        <f>'Promo Form'!BW39</f>
        <v/>
      </c>
      <c r="AW39" s="18" t="str">
        <f>'Promo Form'!BX39</f>
        <v/>
      </c>
      <c r="AX39" s="18" t="str">
        <f>'Promo Form'!BY39</f>
        <v/>
      </c>
      <c r="AY39" s="101" t="str">
        <f>'Promo Form'!CA39</f>
        <v/>
      </c>
      <c r="AZ39" s="102" t="str">
        <f>'Promo Form'!CB39</f>
        <v/>
      </c>
      <c r="BA39" s="77"/>
      <c r="BB39" s="96" t="str">
        <f>'Promo Form'!CF39</f>
        <v/>
      </c>
      <c r="BC39" s="68" t="str">
        <f>'Promo Form'!CG39</f>
        <v/>
      </c>
      <c r="BD39" s="17" t="str">
        <f>'Promo Form'!CJ39</f>
        <v/>
      </c>
      <c r="BE39" s="18" t="str">
        <f>'Promo Form'!CK39</f>
        <v/>
      </c>
      <c r="BF39" s="18" t="str">
        <f>'Promo Form'!CL39</f>
        <v/>
      </c>
      <c r="BG39" s="101" t="str">
        <f>'Promo Form'!CN39</f>
        <v/>
      </c>
      <c r="BH39" s="102" t="str">
        <f>'Promo Form'!CO39</f>
        <v/>
      </c>
      <c r="BI39" s="77"/>
      <c r="BJ39" s="17" t="str">
        <f>'Promo Form'!CS39</f>
        <v/>
      </c>
      <c r="BK39" s="17" t="str">
        <f>'Promo Form'!CT39</f>
        <v/>
      </c>
      <c r="BL39" s="99" t="str">
        <f>'Promo Form'!CU39</f>
        <v/>
      </c>
      <c r="BM39" s="17" t="str">
        <f>'Promo Form'!CV39</f>
        <v/>
      </c>
      <c r="BN39" s="98">
        <f>'Promo Form'!CW39</f>
        <v>0</v>
      </c>
    </row>
    <row r="40" spans="1:66" x14ac:dyDescent="0.2">
      <c r="A40" s="12" t="str">
        <f>'Promo Form'!A40</f>
        <v/>
      </c>
      <c r="B40" s="12" t="str">
        <f>'Promo Form'!B40</f>
        <v/>
      </c>
      <c r="C40" s="13">
        <f>'Promo Form'!C40</f>
        <v>0</v>
      </c>
      <c r="D40" s="14" t="str">
        <f>'Promo Form'!D40</f>
        <v/>
      </c>
      <c r="E40" s="15"/>
      <c r="F40" s="96" t="str">
        <f>'Promo Form'!F40</f>
        <v/>
      </c>
      <c r="G40" s="68" t="str">
        <f>'Promo Form'!G40</f>
        <v/>
      </c>
      <c r="H40" s="17" t="str">
        <f>'Promo Form'!J40</f>
        <v/>
      </c>
      <c r="I40" s="18" t="str">
        <f>'Promo Form'!K40</f>
        <v/>
      </c>
      <c r="J40" s="18" t="str">
        <f>'Promo Form'!L40</f>
        <v/>
      </c>
      <c r="K40" s="101" t="str">
        <f>'Promo Form'!N40</f>
        <v/>
      </c>
      <c r="L40" s="102" t="str">
        <f>'Promo Form'!O40</f>
        <v/>
      </c>
      <c r="M40" s="80"/>
      <c r="N40" s="96" t="str">
        <f>'Promo Form'!S40</f>
        <v/>
      </c>
      <c r="O40" s="68" t="str">
        <f>'Promo Form'!T40</f>
        <v/>
      </c>
      <c r="P40" s="17" t="str">
        <f>'Promo Form'!W40</f>
        <v/>
      </c>
      <c r="Q40" s="18" t="str">
        <f>'Promo Form'!X40</f>
        <v/>
      </c>
      <c r="R40" s="18" t="str">
        <f>'Promo Form'!Y40</f>
        <v/>
      </c>
      <c r="S40" s="101" t="str">
        <f>'Promo Form'!AA40</f>
        <v/>
      </c>
      <c r="T40" s="102" t="str">
        <f>'Promo Form'!AB40</f>
        <v/>
      </c>
      <c r="U40" s="80"/>
      <c r="V40" s="96" t="str">
        <f>'Promo Form'!AF40</f>
        <v/>
      </c>
      <c r="W40" s="68" t="str">
        <f>'Promo Form'!AG40</f>
        <v/>
      </c>
      <c r="X40" s="17" t="str">
        <f>'Promo Form'!AJ40</f>
        <v/>
      </c>
      <c r="Y40" s="18" t="str">
        <f>'Promo Form'!AK40</f>
        <v/>
      </c>
      <c r="Z40" s="18" t="str">
        <f>'Promo Form'!AL40</f>
        <v/>
      </c>
      <c r="AA40" s="101" t="str">
        <f>'Promo Form'!AN40</f>
        <v/>
      </c>
      <c r="AB40" s="102" t="str">
        <f>'Promo Form'!AO40</f>
        <v/>
      </c>
      <c r="AC40" s="80"/>
      <c r="AD40" s="96" t="str">
        <f>'Promo Form'!AS40</f>
        <v/>
      </c>
      <c r="AE40" s="68" t="str">
        <f>'Promo Form'!AT40</f>
        <v/>
      </c>
      <c r="AF40" s="17" t="str">
        <f>'Promo Form'!AW40</f>
        <v/>
      </c>
      <c r="AG40" s="18" t="str">
        <f>'Promo Form'!AX40</f>
        <v/>
      </c>
      <c r="AH40" s="18" t="str">
        <f>'Promo Form'!AY40</f>
        <v/>
      </c>
      <c r="AI40" s="101" t="str">
        <f>'Promo Form'!BA40</f>
        <v/>
      </c>
      <c r="AJ40" s="102" t="str">
        <f>'Promo Form'!BB40</f>
        <v/>
      </c>
      <c r="AK40" s="77"/>
      <c r="AL40" s="96" t="str">
        <f>'Promo Form'!BF40</f>
        <v/>
      </c>
      <c r="AM40" s="68" t="str">
        <f>'Promo Form'!BG40</f>
        <v/>
      </c>
      <c r="AN40" s="17" t="str">
        <f>'Promo Form'!BJ40</f>
        <v/>
      </c>
      <c r="AO40" s="18" t="str">
        <f>'Promo Form'!BK40</f>
        <v/>
      </c>
      <c r="AP40" s="18" t="str">
        <f>'Promo Form'!BL40</f>
        <v/>
      </c>
      <c r="AQ40" s="101" t="str">
        <f>'Promo Form'!BN40</f>
        <v/>
      </c>
      <c r="AR40" s="102" t="str">
        <f>'Promo Form'!BO40</f>
        <v/>
      </c>
      <c r="AS40" s="77"/>
      <c r="AT40" s="96" t="str">
        <f>'Promo Form'!BS40</f>
        <v/>
      </c>
      <c r="AU40" s="68" t="str">
        <f>'Promo Form'!BT40</f>
        <v/>
      </c>
      <c r="AV40" s="17" t="str">
        <f>'Promo Form'!BW40</f>
        <v/>
      </c>
      <c r="AW40" s="18" t="str">
        <f>'Promo Form'!BX40</f>
        <v/>
      </c>
      <c r="AX40" s="18" t="str">
        <f>'Promo Form'!BY40</f>
        <v/>
      </c>
      <c r="AY40" s="101" t="str">
        <f>'Promo Form'!CA40</f>
        <v/>
      </c>
      <c r="AZ40" s="102" t="str">
        <f>'Promo Form'!CB40</f>
        <v/>
      </c>
      <c r="BA40" s="77"/>
      <c r="BB40" s="96" t="str">
        <f>'Promo Form'!CF40</f>
        <v/>
      </c>
      <c r="BC40" s="68" t="str">
        <f>'Promo Form'!CG40</f>
        <v/>
      </c>
      <c r="BD40" s="17" t="str">
        <f>'Promo Form'!CJ40</f>
        <v/>
      </c>
      <c r="BE40" s="18" t="str">
        <f>'Promo Form'!CK40</f>
        <v/>
      </c>
      <c r="BF40" s="18" t="str">
        <f>'Promo Form'!CL40</f>
        <v/>
      </c>
      <c r="BG40" s="101" t="str">
        <f>'Promo Form'!CN40</f>
        <v/>
      </c>
      <c r="BH40" s="102" t="str">
        <f>'Promo Form'!CO40</f>
        <v/>
      </c>
      <c r="BI40" s="77"/>
      <c r="BJ40" s="17" t="str">
        <f>'Promo Form'!CS40</f>
        <v/>
      </c>
      <c r="BK40" s="17" t="str">
        <f>'Promo Form'!CT40</f>
        <v/>
      </c>
      <c r="BL40" s="99" t="str">
        <f>'Promo Form'!CU40</f>
        <v/>
      </c>
      <c r="BM40" s="17" t="str">
        <f>'Promo Form'!CV40</f>
        <v/>
      </c>
      <c r="BN40" s="98">
        <f>'Promo Form'!CW40</f>
        <v>0</v>
      </c>
    </row>
    <row r="41" spans="1:66" x14ac:dyDescent="0.2">
      <c r="A41" s="12" t="str">
        <f>'Promo Form'!A41</f>
        <v/>
      </c>
      <c r="B41" s="12" t="str">
        <f>'Promo Form'!B41</f>
        <v/>
      </c>
      <c r="C41" s="13">
        <f>'Promo Form'!C41</f>
        <v>0</v>
      </c>
      <c r="D41" s="14" t="str">
        <f>'Promo Form'!D41</f>
        <v/>
      </c>
      <c r="E41" s="15"/>
      <c r="F41" s="96" t="str">
        <f>'Promo Form'!F41</f>
        <v/>
      </c>
      <c r="G41" s="68" t="str">
        <f>'Promo Form'!G41</f>
        <v/>
      </c>
      <c r="H41" s="17" t="str">
        <f>'Promo Form'!J41</f>
        <v/>
      </c>
      <c r="I41" s="18" t="str">
        <f>'Promo Form'!K41</f>
        <v/>
      </c>
      <c r="J41" s="18" t="str">
        <f>'Promo Form'!L41</f>
        <v/>
      </c>
      <c r="K41" s="101" t="str">
        <f>'Promo Form'!N41</f>
        <v/>
      </c>
      <c r="L41" s="102" t="str">
        <f>'Promo Form'!O41</f>
        <v/>
      </c>
      <c r="M41" s="80"/>
      <c r="N41" s="96" t="str">
        <f>'Promo Form'!S41</f>
        <v/>
      </c>
      <c r="O41" s="68" t="str">
        <f>'Promo Form'!T41</f>
        <v/>
      </c>
      <c r="P41" s="17" t="str">
        <f>'Promo Form'!W41</f>
        <v/>
      </c>
      <c r="Q41" s="18" t="str">
        <f>'Promo Form'!X41</f>
        <v/>
      </c>
      <c r="R41" s="18" t="str">
        <f>'Promo Form'!Y41</f>
        <v/>
      </c>
      <c r="S41" s="101" t="str">
        <f>'Promo Form'!AA41</f>
        <v/>
      </c>
      <c r="T41" s="102" t="str">
        <f>'Promo Form'!AB41</f>
        <v/>
      </c>
      <c r="U41" s="80"/>
      <c r="V41" s="96" t="str">
        <f>'Promo Form'!AF41</f>
        <v/>
      </c>
      <c r="W41" s="68" t="str">
        <f>'Promo Form'!AG41</f>
        <v/>
      </c>
      <c r="X41" s="17" t="str">
        <f>'Promo Form'!AJ41</f>
        <v/>
      </c>
      <c r="Y41" s="18" t="str">
        <f>'Promo Form'!AK41</f>
        <v/>
      </c>
      <c r="Z41" s="18" t="str">
        <f>'Promo Form'!AL41</f>
        <v/>
      </c>
      <c r="AA41" s="101" t="str">
        <f>'Promo Form'!AN41</f>
        <v/>
      </c>
      <c r="AB41" s="102" t="str">
        <f>'Promo Form'!AO41</f>
        <v/>
      </c>
      <c r="AC41" s="80"/>
      <c r="AD41" s="96" t="str">
        <f>'Promo Form'!AS41</f>
        <v/>
      </c>
      <c r="AE41" s="68" t="str">
        <f>'Promo Form'!AT41</f>
        <v/>
      </c>
      <c r="AF41" s="17" t="str">
        <f>'Promo Form'!AW41</f>
        <v/>
      </c>
      <c r="AG41" s="18" t="str">
        <f>'Promo Form'!AX41</f>
        <v/>
      </c>
      <c r="AH41" s="18" t="str">
        <f>'Promo Form'!AY41</f>
        <v/>
      </c>
      <c r="AI41" s="101" t="str">
        <f>'Promo Form'!BA41</f>
        <v/>
      </c>
      <c r="AJ41" s="102" t="str">
        <f>'Promo Form'!BB41</f>
        <v/>
      </c>
      <c r="AK41" s="77"/>
      <c r="AL41" s="96" t="str">
        <f>'Promo Form'!BF41</f>
        <v/>
      </c>
      <c r="AM41" s="68" t="str">
        <f>'Promo Form'!BG41</f>
        <v/>
      </c>
      <c r="AN41" s="17" t="str">
        <f>'Promo Form'!BJ41</f>
        <v/>
      </c>
      <c r="AO41" s="18" t="str">
        <f>'Promo Form'!BK41</f>
        <v/>
      </c>
      <c r="AP41" s="18" t="str">
        <f>'Promo Form'!BL41</f>
        <v/>
      </c>
      <c r="AQ41" s="101" t="str">
        <f>'Promo Form'!BN41</f>
        <v/>
      </c>
      <c r="AR41" s="102" t="str">
        <f>'Promo Form'!BO41</f>
        <v/>
      </c>
      <c r="AS41" s="77"/>
      <c r="AT41" s="96" t="str">
        <f>'Promo Form'!BS41</f>
        <v/>
      </c>
      <c r="AU41" s="68" t="str">
        <f>'Promo Form'!BT41</f>
        <v/>
      </c>
      <c r="AV41" s="17" t="str">
        <f>'Promo Form'!BW41</f>
        <v/>
      </c>
      <c r="AW41" s="18" t="str">
        <f>'Promo Form'!BX41</f>
        <v/>
      </c>
      <c r="AX41" s="18" t="str">
        <f>'Promo Form'!BY41</f>
        <v/>
      </c>
      <c r="AY41" s="101" t="str">
        <f>'Promo Form'!CA41</f>
        <v/>
      </c>
      <c r="AZ41" s="102" t="str">
        <f>'Promo Form'!CB41</f>
        <v/>
      </c>
      <c r="BA41" s="77"/>
      <c r="BB41" s="96" t="str">
        <f>'Promo Form'!CF41</f>
        <v/>
      </c>
      <c r="BC41" s="68" t="str">
        <f>'Promo Form'!CG41</f>
        <v/>
      </c>
      <c r="BD41" s="17" t="str">
        <f>'Promo Form'!CJ41</f>
        <v/>
      </c>
      <c r="BE41" s="18" t="str">
        <f>'Promo Form'!CK41</f>
        <v/>
      </c>
      <c r="BF41" s="18" t="str">
        <f>'Promo Form'!CL41</f>
        <v/>
      </c>
      <c r="BG41" s="101" t="str">
        <f>'Promo Form'!CN41</f>
        <v/>
      </c>
      <c r="BH41" s="102" t="str">
        <f>'Promo Form'!CO41</f>
        <v/>
      </c>
      <c r="BI41" s="77"/>
      <c r="BJ41" s="17" t="str">
        <f>'Promo Form'!CS41</f>
        <v/>
      </c>
      <c r="BK41" s="17" t="str">
        <f>'Promo Form'!CT41</f>
        <v/>
      </c>
      <c r="BL41" s="99" t="str">
        <f>'Promo Form'!CU41</f>
        <v/>
      </c>
      <c r="BM41" s="17" t="str">
        <f>'Promo Form'!CV41</f>
        <v/>
      </c>
      <c r="BN41" s="98">
        <f>'Promo Form'!CW41</f>
        <v>0</v>
      </c>
    </row>
    <row r="42" spans="1:66" x14ac:dyDescent="0.2">
      <c r="A42" s="12" t="str">
        <f>'Promo Form'!A42</f>
        <v/>
      </c>
      <c r="B42" s="12" t="str">
        <f>'Promo Form'!B42</f>
        <v/>
      </c>
      <c r="C42" s="13">
        <f>'Promo Form'!C42</f>
        <v>0</v>
      </c>
      <c r="D42" s="14" t="str">
        <f>'Promo Form'!D42</f>
        <v/>
      </c>
      <c r="E42" s="15"/>
      <c r="F42" s="96" t="str">
        <f>'Promo Form'!F42</f>
        <v/>
      </c>
      <c r="G42" s="68" t="str">
        <f>'Promo Form'!G42</f>
        <v/>
      </c>
      <c r="H42" s="17" t="str">
        <f>'Promo Form'!J42</f>
        <v/>
      </c>
      <c r="I42" s="18" t="str">
        <f>'Promo Form'!K42</f>
        <v/>
      </c>
      <c r="J42" s="18" t="str">
        <f>'Promo Form'!L42</f>
        <v/>
      </c>
      <c r="K42" s="101" t="str">
        <f>'Promo Form'!N42</f>
        <v/>
      </c>
      <c r="L42" s="102" t="str">
        <f>'Promo Form'!O42</f>
        <v/>
      </c>
      <c r="M42" s="80"/>
      <c r="N42" s="96" t="str">
        <f>'Promo Form'!S42</f>
        <v/>
      </c>
      <c r="O42" s="68" t="str">
        <f>'Promo Form'!T42</f>
        <v/>
      </c>
      <c r="P42" s="17" t="str">
        <f>'Promo Form'!W42</f>
        <v/>
      </c>
      <c r="Q42" s="18" t="str">
        <f>'Promo Form'!X42</f>
        <v/>
      </c>
      <c r="R42" s="18" t="str">
        <f>'Promo Form'!Y42</f>
        <v/>
      </c>
      <c r="S42" s="101" t="str">
        <f>'Promo Form'!AA42</f>
        <v/>
      </c>
      <c r="T42" s="102" t="str">
        <f>'Promo Form'!AB42</f>
        <v/>
      </c>
      <c r="U42" s="80"/>
      <c r="V42" s="96" t="str">
        <f>'Promo Form'!AF42</f>
        <v/>
      </c>
      <c r="W42" s="68" t="str">
        <f>'Promo Form'!AG42</f>
        <v/>
      </c>
      <c r="X42" s="17" t="str">
        <f>'Promo Form'!AJ42</f>
        <v/>
      </c>
      <c r="Y42" s="18" t="str">
        <f>'Promo Form'!AK42</f>
        <v/>
      </c>
      <c r="Z42" s="18" t="str">
        <f>'Promo Form'!AL42</f>
        <v/>
      </c>
      <c r="AA42" s="101" t="str">
        <f>'Promo Form'!AN42</f>
        <v/>
      </c>
      <c r="AB42" s="102" t="str">
        <f>'Promo Form'!AO42</f>
        <v/>
      </c>
      <c r="AC42" s="80"/>
      <c r="AD42" s="96" t="str">
        <f>'Promo Form'!AS42</f>
        <v/>
      </c>
      <c r="AE42" s="68" t="str">
        <f>'Promo Form'!AT42</f>
        <v/>
      </c>
      <c r="AF42" s="17" t="str">
        <f>'Promo Form'!AW42</f>
        <v/>
      </c>
      <c r="AG42" s="18" t="str">
        <f>'Promo Form'!AX42</f>
        <v/>
      </c>
      <c r="AH42" s="18" t="str">
        <f>'Promo Form'!AY42</f>
        <v/>
      </c>
      <c r="AI42" s="101" t="str">
        <f>'Promo Form'!BA42</f>
        <v/>
      </c>
      <c r="AJ42" s="102" t="str">
        <f>'Promo Form'!BB42</f>
        <v/>
      </c>
      <c r="AK42" s="77"/>
      <c r="AL42" s="96" t="str">
        <f>'Promo Form'!BF42</f>
        <v/>
      </c>
      <c r="AM42" s="68" t="str">
        <f>'Promo Form'!BG42</f>
        <v/>
      </c>
      <c r="AN42" s="17" t="str">
        <f>'Promo Form'!BJ42</f>
        <v/>
      </c>
      <c r="AO42" s="18" t="str">
        <f>'Promo Form'!BK42</f>
        <v/>
      </c>
      <c r="AP42" s="18" t="str">
        <f>'Promo Form'!BL42</f>
        <v/>
      </c>
      <c r="AQ42" s="101" t="str">
        <f>'Promo Form'!BN42</f>
        <v/>
      </c>
      <c r="AR42" s="102" t="str">
        <f>'Promo Form'!BO42</f>
        <v/>
      </c>
      <c r="AS42" s="77"/>
      <c r="AT42" s="96" t="str">
        <f>'Promo Form'!BS42</f>
        <v/>
      </c>
      <c r="AU42" s="68" t="str">
        <f>'Promo Form'!BT42</f>
        <v/>
      </c>
      <c r="AV42" s="17" t="str">
        <f>'Promo Form'!BW42</f>
        <v/>
      </c>
      <c r="AW42" s="18" t="str">
        <f>'Promo Form'!BX42</f>
        <v/>
      </c>
      <c r="AX42" s="18" t="str">
        <f>'Promo Form'!BY42</f>
        <v/>
      </c>
      <c r="AY42" s="101" t="str">
        <f>'Promo Form'!CA42</f>
        <v/>
      </c>
      <c r="AZ42" s="102" t="str">
        <f>'Promo Form'!CB42</f>
        <v/>
      </c>
      <c r="BA42" s="77"/>
      <c r="BB42" s="96" t="str">
        <f>'Promo Form'!CF42</f>
        <v/>
      </c>
      <c r="BC42" s="68" t="str">
        <f>'Promo Form'!CG42</f>
        <v/>
      </c>
      <c r="BD42" s="17" t="str">
        <f>'Promo Form'!CJ42</f>
        <v/>
      </c>
      <c r="BE42" s="18" t="str">
        <f>'Promo Form'!CK42</f>
        <v/>
      </c>
      <c r="BF42" s="18" t="str">
        <f>'Promo Form'!CL42</f>
        <v/>
      </c>
      <c r="BG42" s="101" t="str">
        <f>'Promo Form'!CN42</f>
        <v/>
      </c>
      <c r="BH42" s="102" t="str">
        <f>'Promo Form'!CO42</f>
        <v/>
      </c>
      <c r="BI42" s="77"/>
      <c r="BJ42" s="17" t="str">
        <f>'Promo Form'!CS42</f>
        <v/>
      </c>
      <c r="BK42" s="17" t="str">
        <f>'Promo Form'!CT42</f>
        <v/>
      </c>
      <c r="BL42" s="99" t="str">
        <f>'Promo Form'!CU42</f>
        <v/>
      </c>
      <c r="BM42" s="17" t="str">
        <f>'Promo Form'!CV42</f>
        <v/>
      </c>
      <c r="BN42" s="98">
        <f>'Promo Form'!CW42</f>
        <v>0</v>
      </c>
    </row>
    <row r="43" spans="1:66" x14ac:dyDescent="0.2">
      <c r="A43" s="12" t="str">
        <f>'Promo Form'!A43</f>
        <v/>
      </c>
      <c r="B43" s="12" t="str">
        <f>'Promo Form'!B43</f>
        <v/>
      </c>
      <c r="C43" s="13">
        <f>'Promo Form'!C43</f>
        <v>0</v>
      </c>
      <c r="D43" s="14" t="str">
        <f>'Promo Form'!D43</f>
        <v/>
      </c>
      <c r="E43" s="15"/>
      <c r="F43" s="96" t="str">
        <f>'Promo Form'!F43</f>
        <v/>
      </c>
      <c r="G43" s="68" t="str">
        <f>'Promo Form'!G43</f>
        <v/>
      </c>
      <c r="H43" s="17" t="str">
        <f>'Promo Form'!J43</f>
        <v/>
      </c>
      <c r="I43" s="18" t="str">
        <f>'Promo Form'!K43</f>
        <v/>
      </c>
      <c r="J43" s="18" t="str">
        <f>'Promo Form'!L43</f>
        <v/>
      </c>
      <c r="K43" s="101" t="str">
        <f>'Promo Form'!N43</f>
        <v/>
      </c>
      <c r="L43" s="102" t="str">
        <f>'Promo Form'!O43</f>
        <v/>
      </c>
      <c r="M43" s="80"/>
      <c r="N43" s="96" t="str">
        <f>'Promo Form'!S43</f>
        <v/>
      </c>
      <c r="O43" s="68" t="str">
        <f>'Promo Form'!T43</f>
        <v/>
      </c>
      <c r="P43" s="17" t="str">
        <f>'Promo Form'!W43</f>
        <v/>
      </c>
      <c r="Q43" s="18" t="str">
        <f>'Promo Form'!X43</f>
        <v/>
      </c>
      <c r="R43" s="18" t="str">
        <f>'Promo Form'!Y43</f>
        <v/>
      </c>
      <c r="S43" s="101" t="str">
        <f>'Promo Form'!AA43</f>
        <v/>
      </c>
      <c r="T43" s="102" t="str">
        <f>'Promo Form'!AB43</f>
        <v/>
      </c>
      <c r="U43" s="80"/>
      <c r="V43" s="96" t="str">
        <f>'Promo Form'!AF43</f>
        <v/>
      </c>
      <c r="W43" s="68" t="str">
        <f>'Promo Form'!AG43</f>
        <v/>
      </c>
      <c r="X43" s="17" t="str">
        <f>'Promo Form'!AJ43</f>
        <v/>
      </c>
      <c r="Y43" s="18" t="str">
        <f>'Promo Form'!AK43</f>
        <v/>
      </c>
      <c r="Z43" s="18" t="str">
        <f>'Promo Form'!AL43</f>
        <v/>
      </c>
      <c r="AA43" s="101" t="str">
        <f>'Promo Form'!AN43</f>
        <v/>
      </c>
      <c r="AB43" s="102" t="str">
        <f>'Promo Form'!AO43</f>
        <v/>
      </c>
      <c r="AC43" s="80"/>
      <c r="AD43" s="96" t="str">
        <f>'Promo Form'!AS43</f>
        <v/>
      </c>
      <c r="AE43" s="68" t="str">
        <f>'Promo Form'!AT43</f>
        <v/>
      </c>
      <c r="AF43" s="17" t="str">
        <f>'Promo Form'!AW43</f>
        <v/>
      </c>
      <c r="AG43" s="18" t="str">
        <f>'Promo Form'!AX43</f>
        <v/>
      </c>
      <c r="AH43" s="18" t="str">
        <f>'Promo Form'!AY43</f>
        <v/>
      </c>
      <c r="AI43" s="101" t="str">
        <f>'Promo Form'!BA43</f>
        <v/>
      </c>
      <c r="AJ43" s="102" t="str">
        <f>'Promo Form'!BB43</f>
        <v/>
      </c>
      <c r="AK43" s="77"/>
      <c r="AL43" s="96" t="str">
        <f>'Promo Form'!BF43</f>
        <v/>
      </c>
      <c r="AM43" s="68" t="str">
        <f>'Promo Form'!BG43</f>
        <v/>
      </c>
      <c r="AN43" s="17" t="str">
        <f>'Promo Form'!BJ43</f>
        <v/>
      </c>
      <c r="AO43" s="18" t="str">
        <f>'Promo Form'!BK43</f>
        <v/>
      </c>
      <c r="AP43" s="18" t="str">
        <f>'Promo Form'!BL43</f>
        <v/>
      </c>
      <c r="AQ43" s="101" t="str">
        <f>'Promo Form'!BN43</f>
        <v/>
      </c>
      <c r="AR43" s="102" t="str">
        <f>'Promo Form'!BO43</f>
        <v/>
      </c>
      <c r="AS43" s="77"/>
      <c r="AT43" s="96" t="str">
        <f>'Promo Form'!BS43</f>
        <v/>
      </c>
      <c r="AU43" s="68" t="str">
        <f>'Promo Form'!BT43</f>
        <v/>
      </c>
      <c r="AV43" s="17" t="str">
        <f>'Promo Form'!BW43</f>
        <v/>
      </c>
      <c r="AW43" s="18" t="str">
        <f>'Promo Form'!BX43</f>
        <v/>
      </c>
      <c r="AX43" s="18" t="str">
        <f>'Promo Form'!BY43</f>
        <v/>
      </c>
      <c r="AY43" s="101" t="str">
        <f>'Promo Form'!CA43</f>
        <v/>
      </c>
      <c r="AZ43" s="102" t="str">
        <f>'Promo Form'!CB43</f>
        <v/>
      </c>
      <c r="BA43" s="77"/>
      <c r="BB43" s="96" t="str">
        <f>'Promo Form'!CF43</f>
        <v/>
      </c>
      <c r="BC43" s="68" t="str">
        <f>'Promo Form'!CG43</f>
        <v/>
      </c>
      <c r="BD43" s="17" t="str">
        <f>'Promo Form'!CJ43</f>
        <v/>
      </c>
      <c r="BE43" s="18" t="str">
        <f>'Promo Form'!CK43</f>
        <v/>
      </c>
      <c r="BF43" s="18" t="str">
        <f>'Promo Form'!CL43</f>
        <v/>
      </c>
      <c r="BG43" s="101" t="str">
        <f>'Promo Form'!CN43</f>
        <v/>
      </c>
      <c r="BH43" s="102" t="str">
        <f>'Promo Form'!CO43</f>
        <v/>
      </c>
      <c r="BI43" s="77"/>
      <c r="BJ43" s="17" t="str">
        <f>'Promo Form'!CS43</f>
        <v/>
      </c>
      <c r="BK43" s="17" t="str">
        <f>'Promo Form'!CT43</f>
        <v/>
      </c>
      <c r="BL43" s="99" t="str">
        <f>'Promo Form'!CU43</f>
        <v/>
      </c>
      <c r="BM43" s="17" t="str">
        <f>'Promo Form'!CV43</f>
        <v/>
      </c>
      <c r="BN43" s="98">
        <f>'Promo Form'!CW43</f>
        <v>0</v>
      </c>
    </row>
    <row r="44" spans="1:66" x14ac:dyDescent="0.2">
      <c r="A44" s="12" t="str">
        <f>'Promo Form'!A44</f>
        <v/>
      </c>
      <c r="B44" s="12" t="str">
        <f>'Promo Form'!B44</f>
        <v/>
      </c>
      <c r="C44" s="13">
        <f>'Promo Form'!C44</f>
        <v>0</v>
      </c>
      <c r="D44" s="14" t="str">
        <f>'Promo Form'!D44</f>
        <v/>
      </c>
      <c r="E44" s="15"/>
      <c r="F44" s="96" t="str">
        <f>'Promo Form'!F44</f>
        <v/>
      </c>
      <c r="G44" s="68" t="str">
        <f>'Promo Form'!G44</f>
        <v/>
      </c>
      <c r="H44" s="17" t="str">
        <f>'Promo Form'!J44</f>
        <v/>
      </c>
      <c r="I44" s="18" t="str">
        <f>'Promo Form'!K44</f>
        <v/>
      </c>
      <c r="J44" s="18" t="str">
        <f>'Promo Form'!L44</f>
        <v/>
      </c>
      <c r="K44" s="101" t="str">
        <f>'Promo Form'!N44</f>
        <v/>
      </c>
      <c r="L44" s="102" t="str">
        <f>'Promo Form'!O44</f>
        <v/>
      </c>
      <c r="M44" s="80"/>
      <c r="N44" s="96" t="str">
        <f>'Promo Form'!S44</f>
        <v/>
      </c>
      <c r="O44" s="68" t="str">
        <f>'Promo Form'!T44</f>
        <v/>
      </c>
      <c r="P44" s="17" t="str">
        <f>'Promo Form'!W44</f>
        <v/>
      </c>
      <c r="Q44" s="18" t="str">
        <f>'Promo Form'!X44</f>
        <v/>
      </c>
      <c r="R44" s="18" t="str">
        <f>'Promo Form'!Y44</f>
        <v/>
      </c>
      <c r="S44" s="101" t="str">
        <f>'Promo Form'!AA44</f>
        <v/>
      </c>
      <c r="T44" s="102" t="str">
        <f>'Promo Form'!AB44</f>
        <v/>
      </c>
      <c r="U44" s="80"/>
      <c r="V44" s="96" t="str">
        <f>'Promo Form'!AF44</f>
        <v/>
      </c>
      <c r="W44" s="68" t="str">
        <f>'Promo Form'!AG44</f>
        <v/>
      </c>
      <c r="X44" s="17" t="str">
        <f>'Promo Form'!AJ44</f>
        <v/>
      </c>
      <c r="Y44" s="18" t="str">
        <f>'Promo Form'!AK44</f>
        <v/>
      </c>
      <c r="Z44" s="18" t="str">
        <f>'Promo Form'!AL44</f>
        <v/>
      </c>
      <c r="AA44" s="101" t="str">
        <f>'Promo Form'!AN44</f>
        <v/>
      </c>
      <c r="AB44" s="102" t="str">
        <f>'Promo Form'!AO44</f>
        <v/>
      </c>
      <c r="AC44" s="80"/>
      <c r="AD44" s="96" t="str">
        <f>'Promo Form'!AS44</f>
        <v/>
      </c>
      <c r="AE44" s="68" t="str">
        <f>'Promo Form'!AT44</f>
        <v/>
      </c>
      <c r="AF44" s="17" t="str">
        <f>'Promo Form'!AW44</f>
        <v/>
      </c>
      <c r="AG44" s="18" t="str">
        <f>'Promo Form'!AX44</f>
        <v/>
      </c>
      <c r="AH44" s="18" t="str">
        <f>'Promo Form'!AY44</f>
        <v/>
      </c>
      <c r="AI44" s="101" t="str">
        <f>'Promo Form'!BA44</f>
        <v/>
      </c>
      <c r="AJ44" s="102" t="str">
        <f>'Promo Form'!BB44</f>
        <v/>
      </c>
      <c r="AK44" s="77"/>
      <c r="AL44" s="96" t="str">
        <f>'Promo Form'!BF44</f>
        <v/>
      </c>
      <c r="AM44" s="68" t="str">
        <f>'Promo Form'!BG44</f>
        <v/>
      </c>
      <c r="AN44" s="17" t="str">
        <f>'Promo Form'!BJ44</f>
        <v/>
      </c>
      <c r="AO44" s="18" t="str">
        <f>'Promo Form'!BK44</f>
        <v/>
      </c>
      <c r="AP44" s="18" t="str">
        <f>'Promo Form'!BL44</f>
        <v/>
      </c>
      <c r="AQ44" s="101" t="str">
        <f>'Promo Form'!BN44</f>
        <v/>
      </c>
      <c r="AR44" s="102" t="str">
        <f>'Promo Form'!BO44</f>
        <v/>
      </c>
      <c r="AS44" s="77"/>
      <c r="AT44" s="96" t="str">
        <f>'Promo Form'!BS44</f>
        <v/>
      </c>
      <c r="AU44" s="68" t="str">
        <f>'Promo Form'!BT44</f>
        <v/>
      </c>
      <c r="AV44" s="17" t="str">
        <f>'Promo Form'!BW44</f>
        <v/>
      </c>
      <c r="AW44" s="18" t="str">
        <f>'Promo Form'!BX44</f>
        <v/>
      </c>
      <c r="AX44" s="18" t="str">
        <f>'Promo Form'!BY44</f>
        <v/>
      </c>
      <c r="AY44" s="101" t="str">
        <f>'Promo Form'!CA44</f>
        <v/>
      </c>
      <c r="AZ44" s="102" t="str">
        <f>'Promo Form'!CB44</f>
        <v/>
      </c>
      <c r="BA44" s="77"/>
      <c r="BB44" s="96" t="str">
        <f>'Promo Form'!CF44</f>
        <v/>
      </c>
      <c r="BC44" s="68" t="str">
        <f>'Promo Form'!CG44</f>
        <v/>
      </c>
      <c r="BD44" s="17" t="str">
        <f>'Promo Form'!CJ44</f>
        <v/>
      </c>
      <c r="BE44" s="18" t="str">
        <f>'Promo Form'!CK44</f>
        <v/>
      </c>
      <c r="BF44" s="18" t="str">
        <f>'Promo Form'!CL44</f>
        <v/>
      </c>
      <c r="BG44" s="101" t="str">
        <f>'Promo Form'!CN44</f>
        <v/>
      </c>
      <c r="BH44" s="102" t="str">
        <f>'Promo Form'!CO44</f>
        <v/>
      </c>
      <c r="BI44" s="77"/>
      <c r="BJ44" s="17" t="str">
        <f>'Promo Form'!CS44</f>
        <v/>
      </c>
      <c r="BK44" s="17" t="str">
        <f>'Promo Form'!CT44</f>
        <v/>
      </c>
      <c r="BL44" s="99" t="str">
        <f>'Promo Form'!CU44</f>
        <v/>
      </c>
      <c r="BM44" s="17" t="str">
        <f>'Promo Form'!CV44</f>
        <v/>
      </c>
      <c r="BN44" s="98">
        <f>'Promo Form'!CW44</f>
        <v>0</v>
      </c>
    </row>
    <row r="45" spans="1:66" x14ac:dyDescent="0.2">
      <c r="A45" s="12" t="str">
        <f>'Promo Form'!A45</f>
        <v/>
      </c>
      <c r="B45" s="12" t="str">
        <f>'Promo Form'!B45</f>
        <v/>
      </c>
      <c r="C45" s="13">
        <f>'Promo Form'!C45</f>
        <v>0</v>
      </c>
      <c r="D45" s="14" t="str">
        <f>'Promo Form'!D45</f>
        <v/>
      </c>
      <c r="E45" s="15"/>
      <c r="F45" s="96" t="str">
        <f>'Promo Form'!F45</f>
        <v/>
      </c>
      <c r="G45" s="68" t="str">
        <f>'Promo Form'!G45</f>
        <v/>
      </c>
      <c r="H45" s="17" t="str">
        <f>'Promo Form'!J45</f>
        <v/>
      </c>
      <c r="I45" s="18" t="str">
        <f>'Promo Form'!K45</f>
        <v/>
      </c>
      <c r="J45" s="18" t="str">
        <f>'Promo Form'!L45</f>
        <v/>
      </c>
      <c r="K45" s="101" t="str">
        <f>'Promo Form'!N45</f>
        <v/>
      </c>
      <c r="L45" s="102" t="str">
        <f>'Promo Form'!O45</f>
        <v/>
      </c>
      <c r="M45" s="80"/>
      <c r="N45" s="96" t="str">
        <f>'Promo Form'!S45</f>
        <v/>
      </c>
      <c r="O45" s="68" t="str">
        <f>'Promo Form'!T45</f>
        <v/>
      </c>
      <c r="P45" s="17" t="str">
        <f>'Promo Form'!W45</f>
        <v/>
      </c>
      <c r="Q45" s="18" t="str">
        <f>'Promo Form'!X45</f>
        <v/>
      </c>
      <c r="R45" s="18" t="str">
        <f>'Promo Form'!Y45</f>
        <v/>
      </c>
      <c r="S45" s="101" t="str">
        <f>'Promo Form'!AA45</f>
        <v/>
      </c>
      <c r="T45" s="102" t="str">
        <f>'Promo Form'!AB45</f>
        <v/>
      </c>
      <c r="U45" s="80"/>
      <c r="V45" s="96" t="str">
        <f>'Promo Form'!AF45</f>
        <v/>
      </c>
      <c r="W45" s="68" t="str">
        <f>'Promo Form'!AG45</f>
        <v/>
      </c>
      <c r="X45" s="17" t="str">
        <f>'Promo Form'!AJ45</f>
        <v/>
      </c>
      <c r="Y45" s="18" t="str">
        <f>'Promo Form'!AK45</f>
        <v/>
      </c>
      <c r="Z45" s="18" t="str">
        <f>'Promo Form'!AL45</f>
        <v/>
      </c>
      <c r="AA45" s="101" t="str">
        <f>'Promo Form'!AN45</f>
        <v/>
      </c>
      <c r="AB45" s="102" t="str">
        <f>'Promo Form'!AO45</f>
        <v/>
      </c>
      <c r="AC45" s="80"/>
      <c r="AD45" s="96" t="str">
        <f>'Promo Form'!AS45</f>
        <v/>
      </c>
      <c r="AE45" s="68" t="str">
        <f>'Promo Form'!AT45</f>
        <v/>
      </c>
      <c r="AF45" s="17" t="str">
        <f>'Promo Form'!AW45</f>
        <v/>
      </c>
      <c r="AG45" s="18" t="str">
        <f>'Promo Form'!AX45</f>
        <v/>
      </c>
      <c r="AH45" s="18" t="str">
        <f>'Promo Form'!AY45</f>
        <v/>
      </c>
      <c r="AI45" s="101" t="str">
        <f>'Promo Form'!BA45</f>
        <v/>
      </c>
      <c r="AJ45" s="102" t="str">
        <f>'Promo Form'!BB45</f>
        <v/>
      </c>
      <c r="AK45" s="77"/>
      <c r="AL45" s="96" t="str">
        <f>'Promo Form'!BF45</f>
        <v/>
      </c>
      <c r="AM45" s="68" t="str">
        <f>'Promo Form'!BG45</f>
        <v/>
      </c>
      <c r="AN45" s="17" t="str">
        <f>'Promo Form'!BJ45</f>
        <v/>
      </c>
      <c r="AO45" s="18" t="str">
        <f>'Promo Form'!BK45</f>
        <v/>
      </c>
      <c r="AP45" s="18" t="str">
        <f>'Promo Form'!BL45</f>
        <v/>
      </c>
      <c r="AQ45" s="101" t="str">
        <f>'Promo Form'!BN45</f>
        <v/>
      </c>
      <c r="AR45" s="102" t="str">
        <f>'Promo Form'!BO45</f>
        <v/>
      </c>
      <c r="AS45" s="77"/>
      <c r="AT45" s="96" t="str">
        <f>'Promo Form'!BS45</f>
        <v/>
      </c>
      <c r="AU45" s="68" t="str">
        <f>'Promo Form'!BT45</f>
        <v/>
      </c>
      <c r="AV45" s="17" t="str">
        <f>'Promo Form'!BW45</f>
        <v/>
      </c>
      <c r="AW45" s="18" t="str">
        <f>'Promo Form'!BX45</f>
        <v/>
      </c>
      <c r="AX45" s="18" t="str">
        <f>'Promo Form'!BY45</f>
        <v/>
      </c>
      <c r="AY45" s="101" t="str">
        <f>'Promo Form'!CA45</f>
        <v/>
      </c>
      <c r="AZ45" s="102" t="str">
        <f>'Promo Form'!CB45</f>
        <v/>
      </c>
      <c r="BA45" s="77"/>
      <c r="BB45" s="96" t="str">
        <f>'Promo Form'!CF45</f>
        <v/>
      </c>
      <c r="BC45" s="68" t="str">
        <f>'Promo Form'!CG45</f>
        <v/>
      </c>
      <c r="BD45" s="17" t="str">
        <f>'Promo Form'!CJ45</f>
        <v/>
      </c>
      <c r="BE45" s="18" t="str">
        <f>'Promo Form'!CK45</f>
        <v/>
      </c>
      <c r="BF45" s="18" t="str">
        <f>'Promo Form'!CL45</f>
        <v/>
      </c>
      <c r="BG45" s="101" t="str">
        <f>'Promo Form'!CN45</f>
        <v/>
      </c>
      <c r="BH45" s="102" t="str">
        <f>'Promo Form'!CO45</f>
        <v/>
      </c>
      <c r="BI45" s="77"/>
      <c r="BJ45" s="17" t="str">
        <f>'Promo Form'!CS45</f>
        <v/>
      </c>
      <c r="BK45" s="17" t="str">
        <f>'Promo Form'!CT45</f>
        <v/>
      </c>
      <c r="BL45" s="99" t="str">
        <f>'Promo Form'!CU45</f>
        <v/>
      </c>
      <c r="BM45" s="17" t="str">
        <f>'Promo Form'!CV45</f>
        <v/>
      </c>
      <c r="BN45" s="98">
        <f>'Promo Form'!CW45</f>
        <v>0</v>
      </c>
    </row>
    <row r="46" spans="1:66" x14ac:dyDescent="0.2">
      <c r="A46" s="12" t="str">
        <f>'Promo Form'!A46</f>
        <v/>
      </c>
      <c r="B46" s="12" t="str">
        <f>'Promo Form'!B46</f>
        <v/>
      </c>
      <c r="C46" s="13">
        <f>'Promo Form'!C46</f>
        <v>0</v>
      </c>
      <c r="D46" s="14" t="str">
        <f>'Promo Form'!D46</f>
        <v/>
      </c>
      <c r="E46" s="15"/>
      <c r="F46" s="96" t="str">
        <f>'Promo Form'!F46</f>
        <v/>
      </c>
      <c r="G46" s="68" t="str">
        <f>'Promo Form'!G46</f>
        <v/>
      </c>
      <c r="H46" s="17" t="str">
        <f>'Promo Form'!J46</f>
        <v/>
      </c>
      <c r="I46" s="18" t="str">
        <f>'Promo Form'!K46</f>
        <v/>
      </c>
      <c r="J46" s="18" t="str">
        <f>'Promo Form'!L46</f>
        <v/>
      </c>
      <c r="K46" s="101" t="str">
        <f>'Promo Form'!N46</f>
        <v/>
      </c>
      <c r="L46" s="102" t="str">
        <f>'Promo Form'!O46</f>
        <v/>
      </c>
      <c r="M46" s="80"/>
      <c r="N46" s="96" t="str">
        <f>'Promo Form'!S46</f>
        <v/>
      </c>
      <c r="O46" s="68" t="str">
        <f>'Promo Form'!T46</f>
        <v/>
      </c>
      <c r="P46" s="17" t="str">
        <f>'Promo Form'!W46</f>
        <v/>
      </c>
      <c r="Q46" s="18" t="str">
        <f>'Promo Form'!X46</f>
        <v/>
      </c>
      <c r="R46" s="18" t="str">
        <f>'Promo Form'!Y46</f>
        <v/>
      </c>
      <c r="S46" s="101" t="str">
        <f>'Promo Form'!AA46</f>
        <v/>
      </c>
      <c r="T46" s="102" t="str">
        <f>'Promo Form'!AB46</f>
        <v/>
      </c>
      <c r="U46" s="80"/>
      <c r="V46" s="96" t="str">
        <f>'Promo Form'!AF46</f>
        <v/>
      </c>
      <c r="W46" s="68" t="str">
        <f>'Promo Form'!AG46</f>
        <v/>
      </c>
      <c r="X46" s="17" t="str">
        <f>'Promo Form'!AJ46</f>
        <v/>
      </c>
      <c r="Y46" s="18" t="str">
        <f>'Promo Form'!AK46</f>
        <v/>
      </c>
      <c r="Z46" s="18" t="str">
        <f>'Promo Form'!AL46</f>
        <v/>
      </c>
      <c r="AA46" s="101" t="str">
        <f>'Promo Form'!AN46</f>
        <v/>
      </c>
      <c r="AB46" s="102" t="str">
        <f>'Promo Form'!AO46</f>
        <v/>
      </c>
      <c r="AC46" s="80"/>
      <c r="AD46" s="96" t="str">
        <f>'Promo Form'!AS46</f>
        <v/>
      </c>
      <c r="AE46" s="68" t="str">
        <f>'Promo Form'!AT46</f>
        <v/>
      </c>
      <c r="AF46" s="17" t="str">
        <f>'Promo Form'!AW46</f>
        <v/>
      </c>
      <c r="AG46" s="18" t="str">
        <f>'Promo Form'!AX46</f>
        <v/>
      </c>
      <c r="AH46" s="18" t="str">
        <f>'Promo Form'!AY46</f>
        <v/>
      </c>
      <c r="AI46" s="101" t="str">
        <f>'Promo Form'!BA46</f>
        <v/>
      </c>
      <c r="AJ46" s="102" t="str">
        <f>'Promo Form'!BB46</f>
        <v/>
      </c>
      <c r="AK46" s="77"/>
      <c r="AL46" s="96" t="str">
        <f>'Promo Form'!BF46</f>
        <v/>
      </c>
      <c r="AM46" s="68" t="str">
        <f>'Promo Form'!BG46</f>
        <v/>
      </c>
      <c r="AN46" s="17" t="str">
        <f>'Promo Form'!BJ46</f>
        <v/>
      </c>
      <c r="AO46" s="18" t="str">
        <f>'Promo Form'!BK46</f>
        <v/>
      </c>
      <c r="AP46" s="18" t="str">
        <f>'Promo Form'!BL46</f>
        <v/>
      </c>
      <c r="AQ46" s="101" t="str">
        <f>'Promo Form'!BN46</f>
        <v/>
      </c>
      <c r="AR46" s="102" t="str">
        <f>'Promo Form'!BO46</f>
        <v/>
      </c>
      <c r="AS46" s="77"/>
      <c r="AT46" s="96" t="str">
        <f>'Promo Form'!BS46</f>
        <v/>
      </c>
      <c r="AU46" s="68" t="str">
        <f>'Promo Form'!BT46</f>
        <v/>
      </c>
      <c r="AV46" s="17" t="str">
        <f>'Promo Form'!BW46</f>
        <v/>
      </c>
      <c r="AW46" s="18" t="str">
        <f>'Promo Form'!BX46</f>
        <v/>
      </c>
      <c r="AX46" s="18" t="str">
        <f>'Promo Form'!BY46</f>
        <v/>
      </c>
      <c r="AY46" s="101" t="str">
        <f>'Promo Form'!CA46</f>
        <v/>
      </c>
      <c r="AZ46" s="102" t="str">
        <f>'Promo Form'!CB46</f>
        <v/>
      </c>
      <c r="BA46" s="77"/>
      <c r="BB46" s="96" t="str">
        <f>'Promo Form'!CF46</f>
        <v/>
      </c>
      <c r="BC46" s="68" t="str">
        <f>'Promo Form'!CG46</f>
        <v/>
      </c>
      <c r="BD46" s="17" t="str">
        <f>'Promo Form'!CJ46</f>
        <v/>
      </c>
      <c r="BE46" s="18" t="str">
        <f>'Promo Form'!CK46</f>
        <v/>
      </c>
      <c r="BF46" s="18" t="str">
        <f>'Promo Form'!CL46</f>
        <v/>
      </c>
      <c r="BG46" s="101" t="str">
        <f>'Promo Form'!CN46</f>
        <v/>
      </c>
      <c r="BH46" s="102" t="str">
        <f>'Promo Form'!CO46</f>
        <v/>
      </c>
      <c r="BI46" s="77"/>
      <c r="BJ46" s="17" t="str">
        <f>'Promo Form'!CS46</f>
        <v/>
      </c>
      <c r="BK46" s="17" t="str">
        <f>'Promo Form'!CT46</f>
        <v/>
      </c>
      <c r="BL46" s="99" t="str">
        <f>'Promo Form'!CU46</f>
        <v/>
      </c>
      <c r="BM46" s="17" t="str">
        <f>'Promo Form'!CV46</f>
        <v/>
      </c>
      <c r="BN46" s="98">
        <f>'Promo Form'!CW46</f>
        <v>0</v>
      </c>
    </row>
    <row r="47" spans="1:66" x14ac:dyDescent="0.2">
      <c r="A47" s="12" t="str">
        <f>'Promo Form'!A47</f>
        <v/>
      </c>
      <c r="B47" s="12" t="str">
        <f>'Promo Form'!B47</f>
        <v/>
      </c>
      <c r="C47" s="13">
        <f>'Promo Form'!C47</f>
        <v>0</v>
      </c>
      <c r="D47" s="14" t="str">
        <f>'Promo Form'!D47</f>
        <v/>
      </c>
      <c r="E47" s="15"/>
      <c r="F47" s="96" t="str">
        <f>'Promo Form'!F47</f>
        <v/>
      </c>
      <c r="G47" s="68" t="str">
        <f>'Promo Form'!G47</f>
        <v/>
      </c>
      <c r="H47" s="17" t="str">
        <f>'Promo Form'!J47</f>
        <v/>
      </c>
      <c r="I47" s="18" t="str">
        <f>'Promo Form'!K47</f>
        <v/>
      </c>
      <c r="J47" s="18" t="str">
        <f>'Promo Form'!L47</f>
        <v/>
      </c>
      <c r="K47" s="101" t="str">
        <f>'Promo Form'!N47</f>
        <v/>
      </c>
      <c r="L47" s="102" t="str">
        <f>'Promo Form'!O47</f>
        <v/>
      </c>
      <c r="M47" s="80"/>
      <c r="N47" s="96" t="str">
        <f>'Promo Form'!S47</f>
        <v/>
      </c>
      <c r="O47" s="68" t="str">
        <f>'Promo Form'!T47</f>
        <v/>
      </c>
      <c r="P47" s="17" t="str">
        <f>'Promo Form'!W47</f>
        <v/>
      </c>
      <c r="Q47" s="18" t="str">
        <f>'Promo Form'!X47</f>
        <v/>
      </c>
      <c r="R47" s="18" t="str">
        <f>'Promo Form'!Y47</f>
        <v/>
      </c>
      <c r="S47" s="101" t="str">
        <f>'Promo Form'!AA47</f>
        <v/>
      </c>
      <c r="T47" s="102" t="str">
        <f>'Promo Form'!AB47</f>
        <v/>
      </c>
      <c r="U47" s="80"/>
      <c r="V47" s="96" t="str">
        <f>'Promo Form'!AF47</f>
        <v/>
      </c>
      <c r="W47" s="68" t="str">
        <f>'Promo Form'!AG47</f>
        <v/>
      </c>
      <c r="X47" s="17" t="str">
        <f>'Promo Form'!AJ47</f>
        <v/>
      </c>
      <c r="Y47" s="18" t="str">
        <f>'Promo Form'!AK47</f>
        <v/>
      </c>
      <c r="Z47" s="18" t="str">
        <f>'Promo Form'!AL47</f>
        <v/>
      </c>
      <c r="AA47" s="101" t="str">
        <f>'Promo Form'!AN47</f>
        <v/>
      </c>
      <c r="AB47" s="102" t="str">
        <f>'Promo Form'!AO47</f>
        <v/>
      </c>
      <c r="AC47" s="80"/>
      <c r="AD47" s="96" t="str">
        <f>'Promo Form'!AS47</f>
        <v/>
      </c>
      <c r="AE47" s="68" t="str">
        <f>'Promo Form'!AT47</f>
        <v/>
      </c>
      <c r="AF47" s="17" t="str">
        <f>'Promo Form'!AW47</f>
        <v/>
      </c>
      <c r="AG47" s="18" t="str">
        <f>'Promo Form'!AX47</f>
        <v/>
      </c>
      <c r="AH47" s="18" t="str">
        <f>'Promo Form'!AY47</f>
        <v/>
      </c>
      <c r="AI47" s="101" t="str">
        <f>'Promo Form'!BA47</f>
        <v/>
      </c>
      <c r="AJ47" s="102" t="str">
        <f>'Promo Form'!BB47</f>
        <v/>
      </c>
      <c r="AK47" s="77"/>
      <c r="AL47" s="96" t="str">
        <f>'Promo Form'!BF47</f>
        <v/>
      </c>
      <c r="AM47" s="68" t="str">
        <f>'Promo Form'!BG47</f>
        <v/>
      </c>
      <c r="AN47" s="17" t="str">
        <f>'Promo Form'!BJ47</f>
        <v/>
      </c>
      <c r="AO47" s="18" t="str">
        <f>'Promo Form'!BK47</f>
        <v/>
      </c>
      <c r="AP47" s="18" t="str">
        <f>'Promo Form'!BL47</f>
        <v/>
      </c>
      <c r="AQ47" s="101" t="str">
        <f>'Promo Form'!BN47</f>
        <v/>
      </c>
      <c r="AR47" s="102" t="str">
        <f>'Promo Form'!BO47</f>
        <v/>
      </c>
      <c r="AS47" s="77"/>
      <c r="AT47" s="96" t="str">
        <f>'Promo Form'!BS47</f>
        <v/>
      </c>
      <c r="AU47" s="68" t="str">
        <f>'Promo Form'!BT47</f>
        <v/>
      </c>
      <c r="AV47" s="17" t="str">
        <f>'Promo Form'!BW47</f>
        <v/>
      </c>
      <c r="AW47" s="18" t="str">
        <f>'Promo Form'!BX47</f>
        <v/>
      </c>
      <c r="AX47" s="18" t="str">
        <f>'Promo Form'!BY47</f>
        <v/>
      </c>
      <c r="AY47" s="101" t="str">
        <f>'Promo Form'!CA47</f>
        <v/>
      </c>
      <c r="AZ47" s="102" t="str">
        <f>'Promo Form'!CB47</f>
        <v/>
      </c>
      <c r="BA47" s="77"/>
      <c r="BB47" s="96" t="str">
        <f>'Promo Form'!CF47</f>
        <v/>
      </c>
      <c r="BC47" s="68" t="str">
        <f>'Promo Form'!CG47</f>
        <v/>
      </c>
      <c r="BD47" s="17" t="str">
        <f>'Promo Form'!CJ47</f>
        <v/>
      </c>
      <c r="BE47" s="18" t="str">
        <f>'Promo Form'!CK47</f>
        <v/>
      </c>
      <c r="BF47" s="18" t="str">
        <f>'Promo Form'!CL47</f>
        <v/>
      </c>
      <c r="BG47" s="101" t="str">
        <f>'Promo Form'!CN47</f>
        <v/>
      </c>
      <c r="BH47" s="102" t="str">
        <f>'Promo Form'!CO47</f>
        <v/>
      </c>
      <c r="BI47" s="77"/>
      <c r="BJ47" s="17" t="str">
        <f>'Promo Form'!CS47</f>
        <v/>
      </c>
      <c r="BK47" s="17" t="str">
        <f>'Promo Form'!CT47</f>
        <v/>
      </c>
      <c r="BL47" s="99" t="str">
        <f>'Promo Form'!CU47</f>
        <v/>
      </c>
      <c r="BM47" s="17" t="str">
        <f>'Promo Form'!CV47</f>
        <v/>
      </c>
      <c r="BN47" s="98">
        <f>'Promo Form'!CW47</f>
        <v>0</v>
      </c>
    </row>
    <row r="48" spans="1:66" x14ac:dyDescent="0.2">
      <c r="A48" s="12" t="str">
        <f>'Promo Form'!A48</f>
        <v/>
      </c>
      <c r="B48" s="12" t="str">
        <f>'Promo Form'!B48</f>
        <v/>
      </c>
      <c r="C48" s="13">
        <f>'Promo Form'!C48</f>
        <v>0</v>
      </c>
      <c r="D48" s="14" t="str">
        <f>'Promo Form'!D48</f>
        <v/>
      </c>
      <c r="E48" s="15"/>
      <c r="F48" s="96" t="str">
        <f>'Promo Form'!F48</f>
        <v/>
      </c>
      <c r="G48" s="68" t="str">
        <f>'Promo Form'!G48</f>
        <v/>
      </c>
      <c r="H48" s="17" t="str">
        <f>'Promo Form'!J48</f>
        <v/>
      </c>
      <c r="I48" s="18" t="str">
        <f>'Promo Form'!K48</f>
        <v/>
      </c>
      <c r="J48" s="18" t="str">
        <f>'Promo Form'!L48</f>
        <v/>
      </c>
      <c r="K48" s="101" t="str">
        <f>'Promo Form'!N48</f>
        <v/>
      </c>
      <c r="L48" s="102" t="str">
        <f>'Promo Form'!O48</f>
        <v/>
      </c>
      <c r="M48" s="80"/>
      <c r="N48" s="96" t="str">
        <f>'Promo Form'!S48</f>
        <v/>
      </c>
      <c r="O48" s="68" t="str">
        <f>'Promo Form'!T48</f>
        <v/>
      </c>
      <c r="P48" s="17" t="str">
        <f>'Promo Form'!W48</f>
        <v/>
      </c>
      <c r="Q48" s="18" t="str">
        <f>'Promo Form'!X48</f>
        <v/>
      </c>
      <c r="R48" s="18" t="str">
        <f>'Promo Form'!Y48</f>
        <v/>
      </c>
      <c r="S48" s="101" t="str">
        <f>'Promo Form'!AA48</f>
        <v/>
      </c>
      <c r="T48" s="102" t="str">
        <f>'Promo Form'!AB48</f>
        <v/>
      </c>
      <c r="U48" s="80"/>
      <c r="V48" s="96" t="str">
        <f>'Promo Form'!AF48</f>
        <v/>
      </c>
      <c r="W48" s="68" t="str">
        <f>'Promo Form'!AG48</f>
        <v/>
      </c>
      <c r="X48" s="17" t="str">
        <f>'Promo Form'!AJ48</f>
        <v/>
      </c>
      <c r="Y48" s="18" t="str">
        <f>'Promo Form'!AK48</f>
        <v/>
      </c>
      <c r="Z48" s="18" t="str">
        <f>'Promo Form'!AL48</f>
        <v/>
      </c>
      <c r="AA48" s="101" t="str">
        <f>'Promo Form'!AN48</f>
        <v/>
      </c>
      <c r="AB48" s="102" t="str">
        <f>'Promo Form'!AO48</f>
        <v/>
      </c>
      <c r="AC48" s="80"/>
      <c r="AD48" s="96" t="str">
        <f>'Promo Form'!AS48</f>
        <v/>
      </c>
      <c r="AE48" s="68" t="str">
        <f>'Promo Form'!AT48</f>
        <v/>
      </c>
      <c r="AF48" s="17" t="str">
        <f>'Promo Form'!AW48</f>
        <v/>
      </c>
      <c r="AG48" s="18" t="str">
        <f>'Promo Form'!AX48</f>
        <v/>
      </c>
      <c r="AH48" s="18" t="str">
        <f>'Promo Form'!AY48</f>
        <v/>
      </c>
      <c r="AI48" s="101" t="str">
        <f>'Promo Form'!BA48</f>
        <v/>
      </c>
      <c r="AJ48" s="102" t="str">
        <f>'Promo Form'!BB48</f>
        <v/>
      </c>
      <c r="AK48" s="77"/>
      <c r="AL48" s="96" t="str">
        <f>'Promo Form'!BF48</f>
        <v/>
      </c>
      <c r="AM48" s="68" t="str">
        <f>'Promo Form'!BG48</f>
        <v/>
      </c>
      <c r="AN48" s="17" t="str">
        <f>'Promo Form'!BJ48</f>
        <v/>
      </c>
      <c r="AO48" s="18" t="str">
        <f>'Promo Form'!BK48</f>
        <v/>
      </c>
      <c r="AP48" s="18" t="str">
        <f>'Promo Form'!BL48</f>
        <v/>
      </c>
      <c r="AQ48" s="101" t="str">
        <f>'Promo Form'!BN48</f>
        <v/>
      </c>
      <c r="AR48" s="102" t="str">
        <f>'Promo Form'!BO48</f>
        <v/>
      </c>
      <c r="AS48" s="77"/>
      <c r="AT48" s="96" t="str">
        <f>'Promo Form'!BS48</f>
        <v/>
      </c>
      <c r="AU48" s="68" t="str">
        <f>'Promo Form'!BT48</f>
        <v/>
      </c>
      <c r="AV48" s="17" t="str">
        <f>'Promo Form'!BW48</f>
        <v/>
      </c>
      <c r="AW48" s="18" t="str">
        <f>'Promo Form'!BX48</f>
        <v/>
      </c>
      <c r="AX48" s="18" t="str">
        <f>'Promo Form'!BY48</f>
        <v/>
      </c>
      <c r="AY48" s="101" t="str">
        <f>'Promo Form'!CA48</f>
        <v/>
      </c>
      <c r="AZ48" s="102" t="str">
        <f>'Promo Form'!CB48</f>
        <v/>
      </c>
      <c r="BA48" s="77"/>
      <c r="BB48" s="96" t="str">
        <f>'Promo Form'!CF48</f>
        <v/>
      </c>
      <c r="BC48" s="68" t="str">
        <f>'Promo Form'!CG48</f>
        <v/>
      </c>
      <c r="BD48" s="17" t="str">
        <f>'Promo Form'!CJ48</f>
        <v/>
      </c>
      <c r="BE48" s="18" t="str">
        <f>'Promo Form'!CK48</f>
        <v/>
      </c>
      <c r="BF48" s="18" t="str">
        <f>'Promo Form'!CL48</f>
        <v/>
      </c>
      <c r="BG48" s="101" t="str">
        <f>'Promo Form'!CN48</f>
        <v/>
      </c>
      <c r="BH48" s="102" t="str">
        <f>'Promo Form'!CO48</f>
        <v/>
      </c>
      <c r="BI48" s="77"/>
      <c r="BJ48" s="17" t="str">
        <f>'Promo Form'!CS48</f>
        <v/>
      </c>
      <c r="BK48" s="17" t="str">
        <f>'Promo Form'!CT48</f>
        <v/>
      </c>
      <c r="BL48" s="99" t="str">
        <f>'Promo Form'!CU48</f>
        <v/>
      </c>
      <c r="BM48" s="17" t="str">
        <f>'Promo Form'!CV48</f>
        <v/>
      </c>
      <c r="BN48" s="98">
        <f>'Promo Form'!CW48</f>
        <v>0</v>
      </c>
    </row>
    <row r="49" spans="1:66" x14ac:dyDescent="0.2">
      <c r="A49" s="12" t="str">
        <f>'Promo Form'!A49</f>
        <v/>
      </c>
      <c r="B49" s="12" t="str">
        <f>'Promo Form'!B49</f>
        <v/>
      </c>
      <c r="C49" s="13">
        <f>'Promo Form'!C49</f>
        <v>0</v>
      </c>
      <c r="D49" s="14" t="str">
        <f>'Promo Form'!D49</f>
        <v/>
      </c>
      <c r="E49" s="15"/>
      <c r="F49" s="96" t="str">
        <f>'Promo Form'!F49</f>
        <v/>
      </c>
      <c r="G49" s="68" t="str">
        <f>'Promo Form'!G49</f>
        <v/>
      </c>
      <c r="H49" s="17" t="str">
        <f>'Promo Form'!J49</f>
        <v/>
      </c>
      <c r="I49" s="18" t="str">
        <f>'Promo Form'!K49</f>
        <v/>
      </c>
      <c r="J49" s="18" t="str">
        <f>'Promo Form'!L49</f>
        <v/>
      </c>
      <c r="K49" s="101" t="str">
        <f>'Promo Form'!N49</f>
        <v/>
      </c>
      <c r="L49" s="102" t="str">
        <f>'Promo Form'!O49</f>
        <v/>
      </c>
      <c r="M49" s="80"/>
      <c r="N49" s="96" t="str">
        <f>'Promo Form'!S49</f>
        <v/>
      </c>
      <c r="O49" s="68" t="str">
        <f>'Promo Form'!T49</f>
        <v/>
      </c>
      <c r="P49" s="17" t="str">
        <f>'Promo Form'!W49</f>
        <v/>
      </c>
      <c r="Q49" s="18" t="str">
        <f>'Promo Form'!X49</f>
        <v/>
      </c>
      <c r="R49" s="18" t="str">
        <f>'Promo Form'!Y49</f>
        <v/>
      </c>
      <c r="S49" s="101" t="str">
        <f>'Promo Form'!AA49</f>
        <v/>
      </c>
      <c r="T49" s="102" t="str">
        <f>'Promo Form'!AB49</f>
        <v/>
      </c>
      <c r="U49" s="80"/>
      <c r="V49" s="96" t="str">
        <f>'Promo Form'!AF49</f>
        <v/>
      </c>
      <c r="W49" s="68" t="str">
        <f>'Promo Form'!AG49</f>
        <v/>
      </c>
      <c r="X49" s="17" t="str">
        <f>'Promo Form'!AJ49</f>
        <v/>
      </c>
      <c r="Y49" s="18" t="str">
        <f>'Promo Form'!AK49</f>
        <v/>
      </c>
      <c r="Z49" s="18" t="str">
        <f>'Promo Form'!AL49</f>
        <v/>
      </c>
      <c r="AA49" s="101" t="str">
        <f>'Promo Form'!AN49</f>
        <v/>
      </c>
      <c r="AB49" s="102" t="str">
        <f>'Promo Form'!AO49</f>
        <v/>
      </c>
      <c r="AC49" s="80"/>
      <c r="AD49" s="96" t="str">
        <f>'Promo Form'!AS49</f>
        <v/>
      </c>
      <c r="AE49" s="68" t="str">
        <f>'Promo Form'!AT49</f>
        <v/>
      </c>
      <c r="AF49" s="17" t="str">
        <f>'Promo Form'!AW49</f>
        <v/>
      </c>
      <c r="AG49" s="18" t="str">
        <f>'Promo Form'!AX49</f>
        <v/>
      </c>
      <c r="AH49" s="18" t="str">
        <f>'Promo Form'!AY49</f>
        <v/>
      </c>
      <c r="AI49" s="101" t="str">
        <f>'Promo Form'!BA49</f>
        <v/>
      </c>
      <c r="AJ49" s="102" t="str">
        <f>'Promo Form'!BB49</f>
        <v/>
      </c>
      <c r="AK49" s="77"/>
      <c r="AL49" s="96" t="str">
        <f>'Promo Form'!BF49</f>
        <v/>
      </c>
      <c r="AM49" s="68" t="str">
        <f>'Promo Form'!BG49</f>
        <v/>
      </c>
      <c r="AN49" s="17" t="str">
        <f>'Promo Form'!BJ49</f>
        <v/>
      </c>
      <c r="AO49" s="18" t="str">
        <f>'Promo Form'!BK49</f>
        <v/>
      </c>
      <c r="AP49" s="18" t="str">
        <f>'Promo Form'!BL49</f>
        <v/>
      </c>
      <c r="AQ49" s="101" t="str">
        <f>'Promo Form'!BN49</f>
        <v/>
      </c>
      <c r="AR49" s="102" t="str">
        <f>'Promo Form'!BO49</f>
        <v/>
      </c>
      <c r="AS49" s="77"/>
      <c r="AT49" s="96" t="str">
        <f>'Promo Form'!BS49</f>
        <v/>
      </c>
      <c r="AU49" s="68" t="str">
        <f>'Promo Form'!BT49</f>
        <v/>
      </c>
      <c r="AV49" s="17" t="str">
        <f>'Promo Form'!BW49</f>
        <v/>
      </c>
      <c r="AW49" s="18" t="str">
        <f>'Promo Form'!BX49</f>
        <v/>
      </c>
      <c r="AX49" s="18" t="str">
        <f>'Promo Form'!BY49</f>
        <v/>
      </c>
      <c r="AY49" s="101" t="str">
        <f>'Promo Form'!CA49</f>
        <v/>
      </c>
      <c r="AZ49" s="102" t="str">
        <f>'Promo Form'!CB49</f>
        <v/>
      </c>
      <c r="BA49" s="77"/>
      <c r="BB49" s="96" t="str">
        <f>'Promo Form'!CF49</f>
        <v/>
      </c>
      <c r="BC49" s="68" t="str">
        <f>'Promo Form'!CG49</f>
        <v/>
      </c>
      <c r="BD49" s="17" t="str">
        <f>'Promo Form'!CJ49</f>
        <v/>
      </c>
      <c r="BE49" s="18" t="str">
        <f>'Promo Form'!CK49</f>
        <v/>
      </c>
      <c r="BF49" s="18" t="str">
        <f>'Promo Form'!CL49</f>
        <v/>
      </c>
      <c r="BG49" s="101" t="str">
        <f>'Promo Form'!CN49</f>
        <v/>
      </c>
      <c r="BH49" s="102" t="str">
        <f>'Promo Form'!CO49</f>
        <v/>
      </c>
      <c r="BI49" s="77"/>
      <c r="BJ49" s="17" t="str">
        <f>'Promo Form'!CS49</f>
        <v/>
      </c>
      <c r="BK49" s="17" t="str">
        <f>'Promo Form'!CT49</f>
        <v/>
      </c>
      <c r="BL49" s="99" t="str">
        <f>'Promo Form'!CU49</f>
        <v/>
      </c>
      <c r="BM49" s="17" t="str">
        <f>'Promo Form'!CV49</f>
        <v/>
      </c>
      <c r="BN49" s="98">
        <f>'Promo Form'!CW49</f>
        <v>0</v>
      </c>
    </row>
    <row r="50" spans="1:66" ht="18" x14ac:dyDescent="0.2">
      <c r="A50" s="185" t="s">
        <v>35</v>
      </c>
      <c r="B50" s="186"/>
      <c r="C50" s="187"/>
      <c r="D50" s="90">
        <f>'Promo Form'!D50</f>
        <v>45836</v>
      </c>
      <c r="E50" s="15"/>
      <c r="F50" s="117"/>
      <c r="G50" s="118"/>
      <c r="H50" s="119"/>
      <c r="I50" s="119"/>
      <c r="J50" s="74" t="str">
        <f>IFERROR((($FR50/1.1)+(#REF!+#REF!)-(G50-(G50*F$2)))/($FR50/1.1),"")</f>
        <v/>
      </c>
      <c r="K50" s="74"/>
      <c r="L50" s="74" t="str">
        <f>IFERROR((($FR50/1.1)+(#REF!+H50)-(#REF!-(#REF!*G$2)))/($FR50/1.1),"")</f>
        <v/>
      </c>
      <c r="M50" s="77"/>
      <c r="N50" s="110"/>
      <c r="O50" s="113"/>
      <c r="P50" s="114"/>
      <c r="Q50" s="114"/>
      <c r="R50" s="115" t="str">
        <f>IFERROR((($FR50/1.1)+(#REF!+#REF!)-(O50-(O50*N$2)))/($FR50/1.1),"")</f>
        <v/>
      </c>
      <c r="S50" s="115"/>
      <c r="T50" s="116" t="str">
        <f>IFERROR((($FR50/1.1)+(#REF!+P50)-(#REF!-(#REF!*O$2)))/($FR50/1.1),"")</f>
        <v/>
      </c>
      <c r="U50" s="77"/>
      <c r="V50" s="22"/>
      <c r="W50" s="20"/>
      <c r="X50" s="21"/>
      <c r="Y50" s="21"/>
      <c r="Z50" s="18" t="str">
        <f>IFERROR((($FR50/1.1)+(#REF!+#REF!)-(W50-(W50*V$2)))/($FR50/1.1),"")</f>
        <v/>
      </c>
      <c r="AA50" s="18"/>
      <c r="AB50" s="74" t="str">
        <f>IFERROR((($FR50/1.1)+(#REF!+X50)-(#REF!-(#REF!*W$2)))/($FR50/1.1),"")</f>
        <v/>
      </c>
      <c r="AC50" s="77"/>
      <c r="AD50" s="22"/>
      <c r="AE50" s="20"/>
      <c r="AF50" s="21"/>
      <c r="AG50" s="21"/>
      <c r="AH50" s="18" t="str">
        <f>IFERROR((($FR50/1.1)+(#REF!+#REF!)-(AE50-(AE50*AD$2)))/($FR50/1.1),"")</f>
        <v/>
      </c>
      <c r="AI50" s="18"/>
      <c r="AJ50" s="74" t="str">
        <f>IFERROR((($FR50/1.1)+(#REF!+AF50)-(#REF!-(#REF!*AE$2)))/($FR50/1.1),"")</f>
        <v/>
      </c>
      <c r="AK50" s="77"/>
      <c r="AL50" s="22"/>
      <c r="AM50" s="20"/>
      <c r="AN50" s="21"/>
      <c r="AO50" s="21"/>
      <c r="AP50" s="18" t="str">
        <f>IFERROR((($FR50/1.1)+(#REF!+#REF!)-(AM50-(AM50*AL$2)))/($FR50/1.1),"")</f>
        <v/>
      </c>
      <c r="AQ50" s="18"/>
      <c r="AR50" s="74" t="str">
        <f>IFERROR((($FR50/1.1)+(#REF!+AN50)-(#REF!-(#REF!*AM$2)))/($FR50/1.1),"")</f>
        <v/>
      </c>
      <c r="AS50" s="77"/>
      <c r="AT50" s="22"/>
      <c r="AU50" s="20"/>
      <c r="AV50" s="21"/>
      <c r="AW50" s="21"/>
      <c r="AX50" s="18" t="str">
        <f>IFERROR((($FR50/1.1)+(#REF!+#REF!)-(AU50-(AU50*AT$2)))/($FR50/1.1),"")</f>
        <v/>
      </c>
      <c r="AY50" s="18"/>
      <c r="AZ50" s="74" t="str">
        <f>IFERROR((($FR50/1.1)+(#REF!+AV50)-(#REF!-(#REF!*AU$2)))/($FR50/1.1),"")</f>
        <v/>
      </c>
      <c r="BA50" s="77"/>
      <c r="BB50" s="22"/>
      <c r="BC50" s="20"/>
      <c r="BD50" s="21"/>
      <c r="BE50" s="21"/>
      <c r="BF50" s="18" t="str">
        <f>IFERROR((($FR50/1.1)+(#REF!+#REF!)-(BC50-(BC50*BB$2)))/($FR50/1.1),"")</f>
        <v/>
      </c>
      <c r="BG50" s="18"/>
      <c r="BH50" s="74" t="str">
        <f>IFERROR((($FR50/1.1)+(#REF!+BD50)-(#REF!-(#REF!*BC$2)))/($FR50/1.1),"")</f>
        <v/>
      </c>
      <c r="BI50" s="77"/>
    </row>
    <row r="51" spans="1:66" x14ac:dyDescent="0.2">
      <c r="F51" s="172" t="s">
        <v>68</v>
      </c>
      <c r="G51" s="173"/>
      <c r="H51" s="173"/>
      <c r="I51" s="173"/>
      <c r="J51" s="173"/>
      <c r="K51" s="173"/>
      <c r="L51" s="174"/>
      <c r="N51" s="172" t="s">
        <v>68</v>
      </c>
      <c r="O51" s="173"/>
      <c r="P51" s="173"/>
      <c r="Q51" s="173"/>
      <c r="R51" s="173"/>
      <c r="S51" s="173"/>
      <c r="T51" s="174"/>
      <c r="V51" s="172" t="s">
        <v>68</v>
      </c>
      <c r="W51" s="173"/>
      <c r="X51" s="173"/>
      <c r="Y51" s="173"/>
      <c r="Z51" s="173"/>
      <c r="AA51" s="173"/>
      <c r="AB51" s="174"/>
      <c r="AD51" s="172" t="s">
        <v>68</v>
      </c>
      <c r="AE51" s="173"/>
      <c r="AF51" s="173"/>
      <c r="AG51" s="173"/>
      <c r="AH51" s="173"/>
      <c r="AI51" s="173"/>
      <c r="AJ51" s="174"/>
      <c r="AL51" s="172" t="s">
        <v>68</v>
      </c>
      <c r="AM51" s="173"/>
      <c r="AN51" s="173"/>
      <c r="AO51" s="173"/>
      <c r="AP51" s="173"/>
      <c r="AQ51" s="173"/>
      <c r="AR51" s="174"/>
      <c r="AT51" s="172" t="s">
        <v>68</v>
      </c>
      <c r="AU51" s="173"/>
      <c r="AV51" s="173"/>
      <c r="AW51" s="173"/>
      <c r="AX51" s="173"/>
      <c r="AY51" s="173"/>
      <c r="AZ51" s="174"/>
      <c r="BB51" s="172" t="s">
        <v>68</v>
      </c>
      <c r="BC51" s="173"/>
      <c r="BD51" s="173"/>
      <c r="BE51" s="173"/>
      <c r="BF51" s="173"/>
      <c r="BG51" s="173"/>
      <c r="BH51" s="174"/>
    </row>
    <row r="52" spans="1:66" x14ac:dyDescent="0.2">
      <c r="F52" s="175">
        <f>'Promo Form'!H64</f>
        <v>0</v>
      </c>
      <c r="G52" s="176"/>
      <c r="H52" s="176"/>
      <c r="I52" s="176"/>
      <c r="J52" s="176"/>
      <c r="K52" s="176"/>
      <c r="L52" s="177"/>
      <c r="N52" s="175">
        <f>'Promo Form'!U64</f>
        <v>0</v>
      </c>
      <c r="O52" s="176"/>
      <c r="P52" s="176"/>
      <c r="Q52" s="176"/>
      <c r="R52" s="176"/>
      <c r="S52" s="176"/>
      <c r="T52" s="177"/>
      <c r="V52" s="175">
        <f>'Promo Form'!AH64</f>
        <v>0</v>
      </c>
      <c r="W52" s="176"/>
      <c r="X52" s="176"/>
      <c r="Y52" s="176"/>
      <c r="Z52" s="176"/>
      <c r="AA52" s="176"/>
      <c r="AB52" s="177"/>
      <c r="AD52" s="175">
        <f>'Promo Form'!AU64</f>
        <v>0</v>
      </c>
      <c r="AE52" s="176"/>
      <c r="AF52" s="176"/>
      <c r="AG52" s="176"/>
      <c r="AH52" s="176"/>
      <c r="AI52" s="176"/>
      <c r="AJ52" s="177"/>
      <c r="AL52" s="175">
        <f>'Promo Form'!BH64</f>
        <v>0</v>
      </c>
      <c r="AM52" s="176"/>
      <c r="AN52" s="176"/>
      <c r="AO52" s="176"/>
      <c r="AP52" s="176"/>
      <c r="AQ52" s="176"/>
      <c r="AR52" s="177"/>
      <c r="AT52" s="175">
        <f>'Promo Form'!BU64</f>
        <v>0</v>
      </c>
      <c r="AU52" s="176"/>
      <c r="AV52" s="176"/>
      <c r="AW52" s="176"/>
      <c r="AX52" s="176"/>
      <c r="AY52" s="176"/>
      <c r="AZ52" s="177"/>
      <c r="BB52" s="175">
        <f>'Promo Form'!CH64</f>
        <v>0</v>
      </c>
      <c r="BC52" s="176"/>
      <c r="BD52" s="176"/>
      <c r="BE52" s="176"/>
      <c r="BF52" s="176"/>
      <c r="BG52" s="176"/>
      <c r="BH52" s="177"/>
    </row>
    <row r="53" spans="1:66" x14ac:dyDescent="0.2">
      <c r="F53" s="178"/>
      <c r="G53" s="179"/>
      <c r="H53" s="179"/>
      <c r="I53" s="179"/>
      <c r="J53" s="179"/>
      <c r="K53" s="179"/>
      <c r="L53" s="180"/>
      <c r="N53" s="178"/>
      <c r="O53" s="179"/>
      <c r="P53" s="179"/>
      <c r="Q53" s="179"/>
      <c r="R53" s="179"/>
      <c r="S53" s="179"/>
      <c r="T53" s="180"/>
      <c r="V53" s="178"/>
      <c r="W53" s="179"/>
      <c r="X53" s="179"/>
      <c r="Y53" s="179"/>
      <c r="Z53" s="179"/>
      <c r="AA53" s="179"/>
      <c r="AB53" s="180"/>
      <c r="AD53" s="178"/>
      <c r="AE53" s="179"/>
      <c r="AF53" s="179"/>
      <c r="AG53" s="179"/>
      <c r="AH53" s="179"/>
      <c r="AI53" s="179"/>
      <c r="AJ53" s="180"/>
      <c r="AL53" s="178"/>
      <c r="AM53" s="179"/>
      <c r="AN53" s="179"/>
      <c r="AO53" s="179"/>
      <c r="AP53" s="179"/>
      <c r="AQ53" s="179"/>
      <c r="AR53" s="180"/>
      <c r="AT53" s="178"/>
      <c r="AU53" s="179"/>
      <c r="AV53" s="179"/>
      <c r="AW53" s="179"/>
      <c r="AX53" s="179"/>
      <c r="AY53" s="179"/>
      <c r="AZ53" s="180"/>
      <c r="BB53" s="178"/>
      <c r="BC53" s="179"/>
      <c r="BD53" s="179"/>
      <c r="BE53" s="179"/>
      <c r="BF53" s="179"/>
      <c r="BG53" s="179"/>
      <c r="BH53" s="180"/>
    </row>
    <row r="54" spans="1:66" x14ac:dyDescent="0.2">
      <c r="F54" s="178"/>
      <c r="G54" s="179"/>
      <c r="H54" s="179"/>
      <c r="I54" s="179"/>
      <c r="J54" s="179"/>
      <c r="K54" s="179"/>
      <c r="L54" s="180"/>
      <c r="N54" s="178"/>
      <c r="O54" s="179"/>
      <c r="P54" s="179"/>
      <c r="Q54" s="179"/>
      <c r="R54" s="179"/>
      <c r="S54" s="179"/>
      <c r="T54" s="180"/>
      <c r="V54" s="178"/>
      <c r="W54" s="179"/>
      <c r="X54" s="179"/>
      <c r="Y54" s="179"/>
      <c r="Z54" s="179"/>
      <c r="AA54" s="179"/>
      <c r="AB54" s="180"/>
      <c r="AD54" s="178"/>
      <c r="AE54" s="179"/>
      <c r="AF54" s="179"/>
      <c r="AG54" s="179"/>
      <c r="AH54" s="179"/>
      <c r="AI54" s="179"/>
      <c r="AJ54" s="180"/>
      <c r="AL54" s="178"/>
      <c r="AM54" s="179"/>
      <c r="AN54" s="179"/>
      <c r="AO54" s="179"/>
      <c r="AP54" s="179"/>
      <c r="AQ54" s="179"/>
      <c r="AR54" s="180"/>
      <c r="AT54" s="178"/>
      <c r="AU54" s="179"/>
      <c r="AV54" s="179"/>
      <c r="AW54" s="179"/>
      <c r="AX54" s="179"/>
      <c r="AY54" s="179"/>
      <c r="AZ54" s="180"/>
      <c r="BB54" s="178"/>
      <c r="BC54" s="179"/>
      <c r="BD54" s="179"/>
      <c r="BE54" s="179"/>
      <c r="BF54" s="179"/>
      <c r="BG54" s="179"/>
      <c r="BH54" s="180"/>
    </row>
    <row r="55" spans="1:66" x14ac:dyDescent="0.2">
      <c r="F55" s="178"/>
      <c r="G55" s="179"/>
      <c r="H55" s="179"/>
      <c r="I55" s="179"/>
      <c r="J55" s="179"/>
      <c r="K55" s="179"/>
      <c r="L55" s="180"/>
      <c r="N55" s="178"/>
      <c r="O55" s="179"/>
      <c r="P55" s="179"/>
      <c r="Q55" s="179"/>
      <c r="R55" s="179"/>
      <c r="S55" s="179"/>
      <c r="T55" s="180"/>
      <c r="V55" s="178"/>
      <c r="W55" s="179"/>
      <c r="X55" s="179"/>
      <c r="Y55" s="179"/>
      <c r="Z55" s="179"/>
      <c r="AA55" s="179"/>
      <c r="AB55" s="180"/>
      <c r="AD55" s="178"/>
      <c r="AE55" s="179"/>
      <c r="AF55" s="179"/>
      <c r="AG55" s="179"/>
      <c r="AH55" s="179"/>
      <c r="AI55" s="179"/>
      <c r="AJ55" s="180"/>
      <c r="AL55" s="178"/>
      <c r="AM55" s="179"/>
      <c r="AN55" s="179"/>
      <c r="AO55" s="179"/>
      <c r="AP55" s="179"/>
      <c r="AQ55" s="179"/>
      <c r="AR55" s="180"/>
      <c r="AT55" s="178"/>
      <c r="AU55" s="179"/>
      <c r="AV55" s="179"/>
      <c r="AW55" s="179"/>
      <c r="AX55" s="179"/>
      <c r="AY55" s="179"/>
      <c r="AZ55" s="180"/>
      <c r="BB55" s="178"/>
      <c r="BC55" s="179"/>
      <c r="BD55" s="179"/>
      <c r="BE55" s="179"/>
      <c r="BF55" s="179"/>
      <c r="BG55" s="179"/>
      <c r="BH55" s="180"/>
    </row>
    <row r="56" spans="1:66" x14ac:dyDescent="0.2">
      <c r="F56" s="178"/>
      <c r="G56" s="179"/>
      <c r="H56" s="179"/>
      <c r="I56" s="179"/>
      <c r="J56" s="179"/>
      <c r="K56" s="179"/>
      <c r="L56" s="180"/>
      <c r="N56" s="178"/>
      <c r="O56" s="179"/>
      <c r="P56" s="179"/>
      <c r="Q56" s="179"/>
      <c r="R56" s="179"/>
      <c r="S56" s="179"/>
      <c r="T56" s="180"/>
      <c r="V56" s="178"/>
      <c r="W56" s="179"/>
      <c r="X56" s="179"/>
      <c r="Y56" s="179"/>
      <c r="Z56" s="179"/>
      <c r="AA56" s="179"/>
      <c r="AB56" s="180"/>
      <c r="AD56" s="178"/>
      <c r="AE56" s="179"/>
      <c r="AF56" s="179"/>
      <c r="AG56" s="179"/>
      <c r="AH56" s="179"/>
      <c r="AI56" s="179"/>
      <c r="AJ56" s="180"/>
      <c r="AL56" s="178"/>
      <c r="AM56" s="179"/>
      <c r="AN56" s="179"/>
      <c r="AO56" s="179"/>
      <c r="AP56" s="179"/>
      <c r="AQ56" s="179"/>
      <c r="AR56" s="180"/>
      <c r="AT56" s="178"/>
      <c r="AU56" s="179"/>
      <c r="AV56" s="179"/>
      <c r="AW56" s="179"/>
      <c r="AX56" s="179"/>
      <c r="AY56" s="179"/>
      <c r="AZ56" s="180"/>
      <c r="BB56" s="178"/>
      <c r="BC56" s="179"/>
      <c r="BD56" s="179"/>
      <c r="BE56" s="179"/>
      <c r="BF56" s="179"/>
      <c r="BG56" s="179"/>
      <c r="BH56" s="180"/>
    </row>
    <row r="57" spans="1:66" x14ac:dyDescent="0.2">
      <c r="F57" s="178"/>
      <c r="G57" s="179"/>
      <c r="H57" s="179"/>
      <c r="I57" s="179"/>
      <c r="J57" s="179"/>
      <c r="K57" s="179"/>
      <c r="L57" s="180"/>
      <c r="N57" s="178"/>
      <c r="O57" s="179"/>
      <c r="P57" s="179"/>
      <c r="Q57" s="179"/>
      <c r="R57" s="179"/>
      <c r="S57" s="179"/>
      <c r="T57" s="180"/>
      <c r="V57" s="178"/>
      <c r="W57" s="179"/>
      <c r="X57" s="179"/>
      <c r="Y57" s="179"/>
      <c r="Z57" s="179"/>
      <c r="AA57" s="179"/>
      <c r="AB57" s="180"/>
      <c r="AD57" s="178"/>
      <c r="AE57" s="179"/>
      <c r="AF57" s="179"/>
      <c r="AG57" s="179"/>
      <c r="AH57" s="179"/>
      <c r="AI57" s="179"/>
      <c r="AJ57" s="180"/>
      <c r="AL57" s="178"/>
      <c r="AM57" s="179"/>
      <c r="AN57" s="179"/>
      <c r="AO57" s="179"/>
      <c r="AP57" s="179"/>
      <c r="AQ57" s="179"/>
      <c r="AR57" s="180"/>
      <c r="AT57" s="178"/>
      <c r="AU57" s="179"/>
      <c r="AV57" s="179"/>
      <c r="AW57" s="179"/>
      <c r="AX57" s="179"/>
      <c r="AY57" s="179"/>
      <c r="AZ57" s="180"/>
      <c r="BB57" s="178"/>
      <c r="BC57" s="179"/>
      <c r="BD57" s="179"/>
      <c r="BE57" s="179"/>
      <c r="BF57" s="179"/>
      <c r="BG57" s="179"/>
      <c r="BH57" s="180"/>
    </row>
    <row r="58" spans="1:66" x14ac:dyDescent="0.2">
      <c r="F58" s="181"/>
      <c r="G58" s="182"/>
      <c r="H58" s="182"/>
      <c r="I58" s="182"/>
      <c r="J58" s="182"/>
      <c r="K58" s="182"/>
      <c r="L58" s="183"/>
      <c r="N58" s="181"/>
      <c r="O58" s="182"/>
      <c r="P58" s="182"/>
      <c r="Q58" s="182"/>
      <c r="R58" s="182"/>
      <c r="S58" s="182"/>
      <c r="T58" s="183"/>
      <c r="V58" s="181"/>
      <c r="W58" s="182"/>
      <c r="X58" s="182"/>
      <c r="Y58" s="182"/>
      <c r="Z58" s="182"/>
      <c r="AA58" s="182"/>
      <c r="AB58" s="183"/>
      <c r="AD58" s="181"/>
      <c r="AE58" s="182"/>
      <c r="AF58" s="182"/>
      <c r="AG58" s="182"/>
      <c r="AH58" s="182"/>
      <c r="AI58" s="182"/>
      <c r="AJ58" s="183"/>
      <c r="AL58" s="181"/>
      <c r="AM58" s="182"/>
      <c r="AN58" s="182"/>
      <c r="AO58" s="182"/>
      <c r="AP58" s="182"/>
      <c r="AQ58" s="182"/>
      <c r="AR58" s="183"/>
      <c r="AT58" s="181"/>
      <c r="AU58" s="182"/>
      <c r="AV58" s="182"/>
      <c r="AW58" s="182"/>
      <c r="AX58" s="182"/>
      <c r="AY58" s="182"/>
      <c r="AZ58" s="183"/>
      <c r="BB58" s="181"/>
      <c r="BC58" s="182"/>
      <c r="BD58" s="182"/>
      <c r="BE58" s="182"/>
      <c r="BF58" s="182"/>
      <c r="BG58" s="182"/>
      <c r="BH58" s="183"/>
    </row>
  </sheetData>
  <mergeCells count="27">
    <mergeCell ref="D3:D4"/>
    <mergeCell ref="A50:C50"/>
    <mergeCell ref="A1:B1"/>
    <mergeCell ref="A2:B2"/>
    <mergeCell ref="A3:B3"/>
    <mergeCell ref="C3:C4"/>
    <mergeCell ref="BC3:BH3"/>
    <mergeCell ref="AU3:AZ3"/>
    <mergeCell ref="AM3:AR3"/>
    <mergeCell ref="AE3:AJ3"/>
    <mergeCell ref="W3:AB3"/>
    <mergeCell ref="O3:T3"/>
    <mergeCell ref="F51:L51"/>
    <mergeCell ref="F52:L58"/>
    <mergeCell ref="N51:T51"/>
    <mergeCell ref="N52:T58"/>
    <mergeCell ref="G3:L3"/>
    <mergeCell ref="AT51:AZ51"/>
    <mergeCell ref="AT52:AZ58"/>
    <mergeCell ref="BB51:BH51"/>
    <mergeCell ref="BB52:BH58"/>
    <mergeCell ref="V51:AB51"/>
    <mergeCell ref="V52:AB58"/>
    <mergeCell ref="AD51:AJ51"/>
    <mergeCell ref="AD52:AJ58"/>
    <mergeCell ref="AL51:AR51"/>
    <mergeCell ref="AL52:AR58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4DA2C-8F27-3F48-8C9B-BCE778FD958B}">
  <dimension ref="A1:AL59"/>
  <sheetViews>
    <sheetView workbookViewId="0">
      <selection activeCell="AM1" sqref="AM1:AM1048576"/>
    </sheetView>
  </sheetViews>
  <sheetFormatPr baseColWidth="10" defaultColWidth="11" defaultRowHeight="16" outlineLevelCol="1" x14ac:dyDescent="0.2"/>
  <cols>
    <col min="1" max="3" width="16.5" customWidth="1"/>
    <col min="4" max="4" width="68.6640625" bestFit="1" customWidth="1"/>
    <col min="5" max="5" width="1" customWidth="1"/>
    <col min="6" max="6" width="16.6640625" customWidth="1" outlineLevel="1"/>
    <col min="7" max="7" width="16.1640625" customWidth="1" outlineLevel="1"/>
    <col min="8" max="8" width="14.6640625" customWidth="1" outlineLevel="1"/>
    <col min="9" max="9" width="1.33203125" customWidth="1"/>
    <col min="10" max="10" width="16.6640625" customWidth="1"/>
    <col min="11" max="11" width="16.1640625" customWidth="1"/>
    <col min="12" max="12" width="14.6640625" customWidth="1"/>
    <col min="13" max="13" width="1.33203125" customWidth="1"/>
    <col min="14" max="14" width="16.6640625" customWidth="1"/>
    <col min="15" max="15" width="16.1640625" customWidth="1"/>
    <col min="16" max="16" width="14.6640625" customWidth="1"/>
    <col min="17" max="17" width="1.33203125" customWidth="1"/>
    <col min="18" max="18" width="16.6640625" customWidth="1"/>
    <col min="19" max="19" width="16.1640625" customWidth="1"/>
    <col min="20" max="20" width="14.6640625" customWidth="1"/>
    <col min="21" max="21" width="1.33203125" customWidth="1"/>
    <col min="22" max="22" width="16.6640625" customWidth="1"/>
    <col min="23" max="23" width="16.1640625" customWidth="1"/>
    <col min="24" max="24" width="14.6640625" customWidth="1"/>
    <col min="25" max="25" width="1.33203125" customWidth="1"/>
    <col min="26" max="26" width="16.6640625" customWidth="1"/>
    <col min="27" max="27" width="16.1640625" customWidth="1"/>
    <col min="28" max="28" width="14.6640625" customWidth="1"/>
    <col min="29" max="29" width="1.33203125" customWidth="1"/>
    <col min="30" max="30" width="16.6640625" customWidth="1"/>
    <col min="31" max="31" width="16.1640625" customWidth="1"/>
    <col min="32" max="32" width="14.6640625" customWidth="1"/>
    <col min="33" max="33" width="1.33203125" customWidth="1"/>
    <col min="34" max="37" width="17.1640625" customWidth="1"/>
    <col min="38" max="38" width="60.33203125" customWidth="1"/>
  </cols>
  <sheetData>
    <row r="1" spans="1:38" x14ac:dyDescent="0.2">
      <c r="A1" s="165" t="s">
        <v>0</v>
      </c>
      <c r="B1" s="166"/>
      <c r="C1" s="1">
        <f>'Promo Form'!C1</f>
        <v>0</v>
      </c>
      <c r="D1" s="89" t="s">
        <v>66</v>
      </c>
      <c r="E1" s="2"/>
      <c r="F1" s="3"/>
      <c r="G1" s="3"/>
      <c r="H1" s="3"/>
      <c r="I1" s="77"/>
      <c r="J1" s="3"/>
      <c r="K1" s="3"/>
      <c r="L1" s="3"/>
      <c r="M1" s="77"/>
      <c r="N1" s="3"/>
      <c r="O1" s="3"/>
      <c r="P1" s="3"/>
      <c r="Q1" s="77"/>
      <c r="R1" s="3"/>
      <c r="S1" s="3"/>
      <c r="T1" s="3"/>
      <c r="U1" s="77"/>
      <c r="V1" s="3"/>
      <c r="W1" s="3"/>
      <c r="X1" s="3"/>
      <c r="Y1" s="77"/>
      <c r="Z1" s="3"/>
      <c r="AA1" s="3"/>
      <c r="AB1" s="3"/>
      <c r="AC1" s="77"/>
      <c r="AD1" s="3"/>
      <c r="AE1" s="3"/>
      <c r="AF1" s="3"/>
      <c r="AG1" s="77"/>
    </row>
    <row r="2" spans="1:38" x14ac:dyDescent="0.2">
      <c r="A2" s="167" t="s">
        <v>3</v>
      </c>
      <c r="B2" s="168"/>
      <c r="C2" s="1">
        <f>'Promo Form'!C2</f>
        <v>0</v>
      </c>
      <c r="D2" s="1">
        <f>'Promo Form'!D2</f>
        <v>0</v>
      </c>
      <c r="E2" s="2"/>
      <c r="F2" s="6"/>
      <c r="G2" s="67"/>
      <c r="H2" s="3"/>
      <c r="I2" s="77"/>
      <c r="J2" s="6"/>
      <c r="K2" s="67"/>
      <c r="L2" s="3"/>
      <c r="M2" s="77"/>
      <c r="N2" s="6"/>
      <c r="O2" s="67"/>
      <c r="P2" s="3"/>
      <c r="Q2" s="77"/>
      <c r="R2" s="6"/>
      <c r="S2" s="67"/>
      <c r="T2" s="3"/>
      <c r="U2" s="77"/>
      <c r="V2" s="6"/>
      <c r="W2" s="67"/>
      <c r="X2" s="3"/>
      <c r="Y2" s="77"/>
      <c r="Z2" s="6"/>
      <c r="AA2" s="67"/>
      <c r="AB2" s="3"/>
      <c r="AC2" s="77"/>
      <c r="AD2" s="6"/>
      <c r="AE2" s="67"/>
      <c r="AF2" s="3"/>
      <c r="AG2" s="77"/>
    </row>
    <row r="3" spans="1:38" x14ac:dyDescent="0.2">
      <c r="A3" s="188" t="s">
        <v>5</v>
      </c>
      <c r="B3" s="154"/>
      <c r="C3" s="169" t="s">
        <v>6</v>
      </c>
      <c r="D3" s="171" t="s">
        <v>7</v>
      </c>
      <c r="E3" s="63"/>
      <c r="F3" s="189" t="str">
        <f>'Promo Form'!F3</f>
        <v>AU - Officeworks</v>
      </c>
      <c r="G3" s="189"/>
      <c r="H3" s="189"/>
      <c r="I3" s="78"/>
      <c r="J3" s="189" t="str">
        <f>'Promo Form'!S3</f>
        <v>JB HIFI</v>
      </c>
      <c r="K3" s="189"/>
      <c r="L3" s="189"/>
      <c r="M3" s="78"/>
      <c r="N3" s="189" t="str">
        <f>'Promo Form'!AF3</f>
        <v>AU - Amazon</v>
      </c>
      <c r="O3" s="189"/>
      <c r="P3" s="189"/>
      <c r="Q3" s="78"/>
      <c r="R3" s="189" t="str">
        <f>'Promo Form'!AS3</f>
        <v>AU - The Good Guys</v>
      </c>
      <c r="S3" s="189"/>
      <c r="T3" s="189"/>
      <c r="U3" s="78"/>
      <c r="V3" s="189" t="str">
        <f>'Promo Form'!BF3</f>
        <v>Bing Lee</v>
      </c>
      <c r="W3" s="189"/>
      <c r="X3" s="189"/>
      <c r="Y3" s="78"/>
      <c r="Z3" s="189" t="str">
        <f>'Promo Form'!BS3</f>
        <v>Harvey Norman</v>
      </c>
      <c r="AA3" s="189"/>
      <c r="AB3" s="189"/>
      <c r="AC3" s="78"/>
      <c r="AD3" s="189" t="str">
        <f>'Promo Form'!CF3</f>
        <v>Harvey Norman</v>
      </c>
      <c r="AE3" s="189"/>
      <c r="AF3" s="189"/>
      <c r="AG3" s="78"/>
      <c r="AJ3" s="97"/>
    </row>
    <row r="4" spans="1:38" ht="34" x14ac:dyDescent="0.2">
      <c r="A4" s="7" t="s">
        <v>15</v>
      </c>
      <c r="B4" s="7" t="s">
        <v>16</v>
      </c>
      <c r="C4" s="170"/>
      <c r="D4" s="160"/>
      <c r="E4" s="8"/>
      <c r="F4" s="10" t="s">
        <v>19</v>
      </c>
      <c r="G4" s="10" t="s">
        <v>26</v>
      </c>
      <c r="H4" s="10" t="s">
        <v>27</v>
      </c>
      <c r="I4" s="79"/>
      <c r="J4" s="10" t="s">
        <v>19</v>
      </c>
      <c r="K4" s="10" t="s">
        <v>26</v>
      </c>
      <c r="L4" s="10" t="s">
        <v>27</v>
      </c>
      <c r="M4" s="79"/>
      <c r="N4" s="10" t="s">
        <v>19</v>
      </c>
      <c r="O4" s="10" t="s">
        <v>26</v>
      </c>
      <c r="P4" s="10" t="s">
        <v>27</v>
      </c>
      <c r="Q4" s="79"/>
      <c r="R4" s="10" t="s">
        <v>19</v>
      </c>
      <c r="S4" s="10" t="s">
        <v>26</v>
      </c>
      <c r="T4" s="10" t="s">
        <v>27</v>
      </c>
      <c r="U4" s="79"/>
      <c r="V4" s="10" t="s">
        <v>19</v>
      </c>
      <c r="W4" s="10" t="s">
        <v>26</v>
      </c>
      <c r="X4" s="10" t="s">
        <v>27</v>
      </c>
      <c r="Y4" s="79"/>
      <c r="Z4" s="10" t="s">
        <v>19</v>
      </c>
      <c r="AA4" s="10" t="s">
        <v>26</v>
      </c>
      <c r="AB4" s="10" t="s">
        <v>27</v>
      </c>
      <c r="AC4" s="79"/>
      <c r="AD4" s="10" t="s">
        <v>19</v>
      </c>
      <c r="AE4" s="10" t="s">
        <v>26</v>
      </c>
      <c r="AF4" s="10" t="s">
        <v>27</v>
      </c>
      <c r="AG4" s="79"/>
      <c r="AH4" s="100" t="s">
        <v>29</v>
      </c>
      <c r="AI4" s="100" t="s">
        <v>30</v>
      </c>
      <c r="AJ4" s="100" t="s">
        <v>31</v>
      </c>
      <c r="AK4" s="100" t="s">
        <v>32</v>
      </c>
      <c r="AL4" s="100" t="s">
        <v>33</v>
      </c>
    </row>
    <row r="5" spans="1:38" x14ac:dyDescent="0.2">
      <c r="A5" s="12">
        <f>'Promo Form'!A5</f>
        <v>45809</v>
      </c>
      <c r="B5" s="12">
        <f>'Promo Form'!B5</f>
        <v>45822</v>
      </c>
      <c r="C5" s="13" t="str">
        <f>'Promo Form'!C5</f>
        <v>A1902T11</v>
      </c>
      <c r="D5" s="14" t="str">
        <f>'Promo Form'!D5</f>
        <v>ANKER 100W Charging Base for ANKER Prime Power Bank</v>
      </c>
      <c r="E5" s="15"/>
      <c r="F5" s="16">
        <f>'Promo Form'!H5</f>
        <v>4.8956128200000011</v>
      </c>
      <c r="G5" s="102" t="str">
        <f>'Promo Form'!O5</f>
        <v/>
      </c>
      <c r="H5" s="70" t="str">
        <f>'Promo Form'!P5</f>
        <v/>
      </c>
      <c r="I5" s="80"/>
      <c r="J5" s="16">
        <f>'Promo Form'!U5</f>
        <v>0</v>
      </c>
      <c r="K5" s="102" t="str">
        <f>'Promo Form'!AB5</f>
        <v/>
      </c>
      <c r="L5" s="70" t="str">
        <f>'Promo Form'!AC5</f>
        <v/>
      </c>
      <c r="M5" s="80"/>
      <c r="N5" s="16">
        <f>'Promo Form'!AH5</f>
        <v>0</v>
      </c>
      <c r="O5" s="102" t="str">
        <f>'Promo Form'!AO5</f>
        <v/>
      </c>
      <c r="P5" s="70" t="str">
        <f>'Promo Form'!AP5</f>
        <v/>
      </c>
      <c r="Q5" s="80"/>
      <c r="R5" s="16">
        <f>'Promo Form'!AU5</f>
        <v>0</v>
      </c>
      <c r="S5" s="102" t="str">
        <f>'Promo Form'!BB5</f>
        <v/>
      </c>
      <c r="T5" s="70" t="str">
        <f>'Promo Form'!BC5</f>
        <v/>
      </c>
      <c r="U5" s="80"/>
      <c r="V5" s="16">
        <f>'Promo Form'!BH5</f>
        <v>0</v>
      </c>
      <c r="W5" s="102" t="str">
        <f>'Promo Form'!BO5</f>
        <v/>
      </c>
      <c r="X5" s="70" t="str">
        <f>'Promo Form'!BP5</f>
        <v/>
      </c>
      <c r="Y5" s="80"/>
      <c r="Z5" s="16">
        <f>'Promo Form'!BU5</f>
        <v>5.1242706000000009</v>
      </c>
      <c r="AA5" s="102" t="str">
        <f>'Promo Form'!CB5</f>
        <v/>
      </c>
      <c r="AB5" s="70" t="str">
        <f>'Promo Form'!CC5</f>
        <v/>
      </c>
      <c r="AC5" s="80"/>
      <c r="AD5" s="16">
        <f>'Promo Form'!CH5</f>
        <v>5.1242706000000009</v>
      </c>
      <c r="AE5" s="102" t="str">
        <f>'Promo Form'!CO5</f>
        <v/>
      </c>
      <c r="AF5" s="70" t="str">
        <f>'Promo Form'!CP5</f>
        <v/>
      </c>
      <c r="AG5" s="80"/>
      <c r="AH5" s="17">
        <f>'Promo Form'!CS5</f>
        <v>169.95</v>
      </c>
      <c r="AI5" s="17">
        <f>'Promo Form'!CT5</f>
        <v>135.95999999999998</v>
      </c>
      <c r="AJ5" s="99">
        <f>'Promo Form'!CU5</f>
        <v>0.2</v>
      </c>
      <c r="AK5" s="17">
        <f>'Promo Form'!CV5</f>
        <v>33.990000000000009</v>
      </c>
      <c r="AL5" s="98">
        <f>'Promo Form'!CW5</f>
        <v>0</v>
      </c>
    </row>
    <row r="6" spans="1:38" x14ac:dyDescent="0.2">
      <c r="A6" s="12" t="str">
        <f>'Promo Form'!A6</f>
        <v/>
      </c>
      <c r="B6" s="12" t="str">
        <f>'Promo Form'!B6</f>
        <v/>
      </c>
      <c r="C6" s="13">
        <f>'Promo Form'!C6</f>
        <v>0</v>
      </c>
      <c r="D6" s="14" t="str">
        <f>'Promo Form'!D6</f>
        <v/>
      </c>
      <c r="E6" s="15"/>
      <c r="F6" s="16" t="str">
        <f>'Promo Form'!H6</f>
        <v/>
      </c>
      <c r="G6" s="102" t="str">
        <f>'Promo Form'!O6</f>
        <v/>
      </c>
      <c r="H6" s="70" t="str">
        <f>'Promo Form'!P6</f>
        <v/>
      </c>
      <c r="I6" s="80"/>
      <c r="J6" s="16" t="str">
        <f>'Promo Form'!U6</f>
        <v/>
      </c>
      <c r="K6" s="102" t="str">
        <f>'Promo Form'!AB6</f>
        <v/>
      </c>
      <c r="L6" s="70" t="str">
        <f>'Promo Form'!AC6</f>
        <v/>
      </c>
      <c r="M6" s="80"/>
      <c r="N6" s="16" t="str">
        <f>'Promo Form'!AH6</f>
        <v/>
      </c>
      <c r="O6" s="102" t="str">
        <f>'Promo Form'!AO6</f>
        <v/>
      </c>
      <c r="P6" s="70" t="str">
        <f>'Promo Form'!AP6</f>
        <v/>
      </c>
      <c r="Q6" s="80"/>
      <c r="R6" s="16" t="str">
        <f>'Promo Form'!AU6</f>
        <v/>
      </c>
      <c r="S6" s="102" t="str">
        <f>'Promo Form'!BB6</f>
        <v/>
      </c>
      <c r="T6" s="70" t="str">
        <f>'Promo Form'!BC6</f>
        <v/>
      </c>
      <c r="U6" s="80"/>
      <c r="V6" s="16" t="str">
        <f>'Promo Form'!BH6</f>
        <v/>
      </c>
      <c r="W6" s="102" t="str">
        <f>'Promo Form'!BO6</f>
        <v/>
      </c>
      <c r="X6" s="70" t="str">
        <f>'Promo Form'!BP6</f>
        <v/>
      </c>
      <c r="Y6" s="80"/>
      <c r="Z6" s="16" t="str">
        <f>'Promo Form'!BU6</f>
        <v/>
      </c>
      <c r="AA6" s="102" t="str">
        <f>'Promo Form'!CB6</f>
        <v/>
      </c>
      <c r="AB6" s="70" t="str">
        <f>'Promo Form'!CC6</f>
        <v/>
      </c>
      <c r="AC6" s="80"/>
      <c r="AD6" s="16" t="str">
        <f>'Promo Form'!CH6</f>
        <v/>
      </c>
      <c r="AE6" s="102" t="str">
        <f>'Promo Form'!CO6</f>
        <v/>
      </c>
      <c r="AF6" s="70" t="str">
        <f>'Promo Form'!CP6</f>
        <v/>
      </c>
      <c r="AG6" s="80"/>
      <c r="AH6" s="17" t="str">
        <f>'Promo Form'!CS6</f>
        <v/>
      </c>
      <c r="AI6" s="17" t="str">
        <f>'Promo Form'!CT6</f>
        <v/>
      </c>
      <c r="AJ6" s="99" t="str">
        <f>'Promo Form'!CU6</f>
        <v/>
      </c>
      <c r="AK6" s="17" t="str">
        <f>'Promo Form'!CV6</f>
        <v/>
      </c>
      <c r="AL6" s="98">
        <f>'Promo Form'!CW6</f>
        <v>0</v>
      </c>
    </row>
    <row r="7" spans="1:38" x14ac:dyDescent="0.2">
      <c r="A7" s="12" t="str">
        <f>'Promo Form'!A7</f>
        <v/>
      </c>
      <c r="B7" s="12" t="str">
        <f>'Promo Form'!B7</f>
        <v/>
      </c>
      <c r="C7" s="13">
        <f>'Promo Form'!C7</f>
        <v>0</v>
      </c>
      <c r="D7" s="14" t="str">
        <f>'Promo Form'!D7</f>
        <v/>
      </c>
      <c r="E7" s="15"/>
      <c r="F7" s="16" t="str">
        <f>'Promo Form'!H7</f>
        <v/>
      </c>
      <c r="G7" s="102" t="str">
        <f>'Promo Form'!O7</f>
        <v/>
      </c>
      <c r="H7" s="70" t="str">
        <f>'Promo Form'!P7</f>
        <v/>
      </c>
      <c r="I7" s="80"/>
      <c r="J7" s="16" t="str">
        <f>'Promo Form'!U7</f>
        <v/>
      </c>
      <c r="K7" s="102" t="str">
        <f>'Promo Form'!AB7</f>
        <v/>
      </c>
      <c r="L7" s="70" t="str">
        <f>'Promo Form'!AC7</f>
        <v/>
      </c>
      <c r="M7" s="80"/>
      <c r="N7" s="16" t="str">
        <f>'Promo Form'!AH7</f>
        <v/>
      </c>
      <c r="O7" s="102" t="str">
        <f>'Promo Form'!AO7</f>
        <v/>
      </c>
      <c r="P7" s="70" t="str">
        <f>'Promo Form'!AP7</f>
        <v/>
      </c>
      <c r="Q7" s="80"/>
      <c r="R7" s="16" t="str">
        <f>'Promo Form'!AU7</f>
        <v/>
      </c>
      <c r="S7" s="102" t="str">
        <f>'Promo Form'!BB7</f>
        <v/>
      </c>
      <c r="T7" s="70" t="str">
        <f>'Promo Form'!BC7</f>
        <v/>
      </c>
      <c r="U7" s="80"/>
      <c r="V7" s="16" t="str">
        <f>'Promo Form'!BH7</f>
        <v/>
      </c>
      <c r="W7" s="102" t="str">
        <f>'Promo Form'!BO7</f>
        <v/>
      </c>
      <c r="X7" s="70" t="str">
        <f>'Promo Form'!BP7</f>
        <v/>
      </c>
      <c r="Y7" s="80"/>
      <c r="Z7" s="16" t="str">
        <f>'Promo Form'!BU7</f>
        <v/>
      </c>
      <c r="AA7" s="102" t="str">
        <f>'Promo Form'!CB7</f>
        <v/>
      </c>
      <c r="AB7" s="70" t="str">
        <f>'Promo Form'!CC7</f>
        <v/>
      </c>
      <c r="AC7" s="80"/>
      <c r="AD7" s="16" t="str">
        <f>'Promo Form'!CH7</f>
        <v/>
      </c>
      <c r="AE7" s="102" t="str">
        <f>'Promo Form'!CO7</f>
        <v/>
      </c>
      <c r="AF7" s="70" t="str">
        <f>'Promo Form'!CP7</f>
        <v/>
      </c>
      <c r="AG7" s="80"/>
      <c r="AH7" s="17" t="str">
        <f>'Promo Form'!CS7</f>
        <v/>
      </c>
      <c r="AI7" s="17" t="str">
        <f>'Promo Form'!CT7</f>
        <v/>
      </c>
      <c r="AJ7" s="99" t="str">
        <f>'Promo Form'!CU7</f>
        <v/>
      </c>
      <c r="AK7" s="17" t="str">
        <f>'Promo Form'!CV7</f>
        <v/>
      </c>
      <c r="AL7" s="98">
        <f>'Promo Form'!CW7</f>
        <v>0</v>
      </c>
    </row>
    <row r="8" spans="1:38" x14ac:dyDescent="0.2">
      <c r="A8" s="12" t="str">
        <f>'Promo Form'!A8</f>
        <v/>
      </c>
      <c r="B8" s="12" t="str">
        <f>'Promo Form'!B8</f>
        <v/>
      </c>
      <c r="C8" s="13">
        <f>'Promo Form'!C8</f>
        <v>0</v>
      </c>
      <c r="D8" s="14" t="str">
        <f>'Promo Form'!D8</f>
        <v/>
      </c>
      <c r="E8" s="15"/>
      <c r="F8" s="16" t="str">
        <f>'Promo Form'!H8</f>
        <v/>
      </c>
      <c r="G8" s="102" t="str">
        <f>'Promo Form'!O8</f>
        <v/>
      </c>
      <c r="H8" s="70" t="str">
        <f>'Promo Form'!P8</f>
        <v/>
      </c>
      <c r="I8" s="80"/>
      <c r="J8" s="16" t="str">
        <f>'Promo Form'!U8</f>
        <v/>
      </c>
      <c r="K8" s="102" t="str">
        <f>'Promo Form'!AB8</f>
        <v/>
      </c>
      <c r="L8" s="70" t="str">
        <f>'Promo Form'!AC8</f>
        <v/>
      </c>
      <c r="M8" s="80"/>
      <c r="N8" s="16" t="str">
        <f>'Promo Form'!AH8</f>
        <v/>
      </c>
      <c r="O8" s="102" t="str">
        <f>'Promo Form'!AO8</f>
        <v/>
      </c>
      <c r="P8" s="70" t="str">
        <f>'Promo Form'!AP8</f>
        <v/>
      </c>
      <c r="Q8" s="80"/>
      <c r="R8" s="16" t="str">
        <f>'Promo Form'!AU8</f>
        <v/>
      </c>
      <c r="S8" s="102" t="str">
        <f>'Promo Form'!BB8</f>
        <v/>
      </c>
      <c r="T8" s="70" t="str">
        <f>'Promo Form'!BC8</f>
        <v/>
      </c>
      <c r="U8" s="80"/>
      <c r="V8" s="16" t="str">
        <f>'Promo Form'!BH8</f>
        <v/>
      </c>
      <c r="W8" s="102" t="str">
        <f>'Promo Form'!BO8</f>
        <v/>
      </c>
      <c r="X8" s="70" t="str">
        <f>'Promo Form'!BP8</f>
        <v/>
      </c>
      <c r="Y8" s="80"/>
      <c r="Z8" s="16" t="str">
        <f>'Promo Form'!BU8</f>
        <v/>
      </c>
      <c r="AA8" s="102" t="str">
        <f>'Promo Form'!CB8</f>
        <v/>
      </c>
      <c r="AB8" s="70" t="str">
        <f>'Promo Form'!CC8</f>
        <v/>
      </c>
      <c r="AC8" s="80"/>
      <c r="AD8" s="16" t="str">
        <f>'Promo Form'!CH8</f>
        <v/>
      </c>
      <c r="AE8" s="102" t="str">
        <f>'Promo Form'!CO8</f>
        <v/>
      </c>
      <c r="AF8" s="70" t="str">
        <f>'Promo Form'!CP8</f>
        <v/>
      </c>
      <c r="AG8" s="80"/>
      <c r="AH8" s="17" t="str">
        <f>'Promo Form'!CS8</f>
        <v/>
      </c>
      <c r="AI8" s="17" t="str">
        <f>'Promo Form'!CT8</f>
        <v/>
      </c>
      <c r="AJ8" s="99" t="str">
        <f>'Promo Form'!CU8</f>
        <v/>
      </c>
      <c r="AK8" s="17" t="str">
        <f>'Promo Form'!CV8</f>
        <v/>
      </c>
      <c r="AL8" s="98">
        <f>'Promo Form'!CW8</f>
        <v>0</v>
      </c>
    </row>
    <row r="9" spans="1:38" x14ac:dyDescent="0.2">
      <c r="A9" s="12" t="str">
        <f>'Promo Form'!A9</f>
        <v/>
      </c>
      <c r="B9" s="12" t="str">
        <f>'Promo Form'!B9</f>
        <v/>
      </c>
      <c r="C9" s="13">
        <f>'Promo Form'!C9</f>
        <v>0</v>
      </c>
      <c r="D9" s="14" t="str">
        <f>'Promo Form'!D9</f>
        <v/>
      </c>
      <c r="E9" s="15"/>
      <c r="F9" s="16" t="str">
        <f>'Promo Form'!H9</f>
        <v/>
      </c>
      <c r="G9" s="102" t="str">
        <f>'Promo Form'!O9</f>
        <v/>
      </c>
      <c r="H9" s="70" t="str">
        <f>'Promo Form'!P9</f>
        <v/>
      </c>
      <c r="I9" s="80"/>
      <c r="J9" s="16" t="str">
        <f>'Promo Form'!U9</f>
        <v/>
      </c>
      <c r="K9" s="102" t="str">
        <f>'Promo Form'!AB9</f>
        <v/>
      </c>
      <c r="L9" s="70" t="str">
        <f>'Promo Form'!AC9</f>
        <v/>
      </c>
      <c r="M9" s="80"/>
      <c r="N9" s="16" t="str">
        <f>'Promo Form'!AH9</f>
        <v/>
      </c>
      <c r="O9" s="102" t="str">
        <f>'Promo Form'!AO9</f>
        <v/>
      </c>
      <c r="P9" s="70" t="str">
        <f>'Promo Form'!AP9</f>
        <v/>
      </c>
      <c r="Q9" s="80"/>
      <c r="R9" s="16" t="str">
        <f>'Promo Form'!AU9</f>
        <v/>
      </c>
      <c r="S9" s="102" t="str">
        <f>'Promo Form'!BB9</f>
        <v/>
      </c>
      <c r="T9" s="70" t="str">
        <f>'Promo Form'!BC9</f>
        <v/>
      </c>
      <c r="U9" s="80"/>
      <c r="V9" s="16" t="str">
        <f>'Promo Form'!BH9</f>
        <v/>
      </c>
      <c r="W9" s="102" t="str">
        <f>'Promo Form'!BO9</f>
        <v/>
      </c>
      <c r="X9" s="70" t="str">
        <f>'Promo Form'!BP9</f>
        <v/>
      </c>
      <c r="Y9" s="80"/>
      <c r="Z9" s="16" t="str">
        <f>'Promo Form'!BU9</f>
        <v/>
      </c>
      <c r="AA9" s="102" t="str">
        <f>'Promo Form'!CB9</f>
        <v/>
      </c>
      <c r="AB9" s="70" t="str">
        <f>'Promo Form'!CC9</f>
        <v/>
      </c>
      <c r="AC9" s="80"/>
      <c r="AD9" s="16" t="str">
        <f>'Promo Form'!CH9</f>
        <v/>
      </c>
      <c r="AE9" s="102" t="str">
        <f>'Promo Form'!CO9</f>
        <v/>
      </c>
      <c r="AF9" s="70" t="str">
        <f>'Promo Form'!CP9</f>
        <v/>
      </c>
      <c r="AG9" s="80"/>
      <c r="AH9" s="17" t="str">
        <f>'Promo Form'!CS9</f>
        <v/>
      </c>
      <c r="AI9" s="17" t="str">
        <f>'Promo Form'!CT9</f>
        <v/>
      </c>
      <c r="AJ9" s="99" t="str">
        <f>'Promo Form'!CU9</f>
        <v/>
      </c>
      <c r="AK9" s="17" t="str">
        <f>'Promo Form'!CV9</f>
        <v/>
      </c>
      <c r="AL9" s="98">
        <f>'Promo Form'!CW9</f>
        <v>0</v>
      </c>
    </row>
    <row r="10" spans="1:38" x14ac:dyDescent="0.2">
      <c r="A10" s="12" t="str">
        <f>'Promo Form'!A10</f>
        <v/>
      </c>
      <c r="B10" s="12" t="str">
        <f>'Promo Form'!B10</f>
        <v/>
      </c>
      <c r="C10" s="13">
        <f>'Promo Form'!C10</f>
        <v>0</v>
      </c>
      <c r="D10" s="14" t="str">
        <f>'Promo Form'!D10</f>
        <v/>
      </c>
      <c r="E10" s="15"/>
      <c r="F10" s="16" t="str">
        <f>'Promo Form'!H10</f>
        <v/>
      </c>
      <c r="G10" s="102" t="str">
        <f>'Promo Form'!O10</f>
        <v/>
      </c>
      <c r="H10" s="70" t="str">
        <f>'Promo Form'!P10</f>
        <v/>
      </c>
      <c r="I10" s="80"/>
      <c r="J10" s="16" t="str">
        <f>'Promo Form'!U10</f>
        <v/>
      </c>
      <c r="K10" s="102" t="str">
        <f>'Promo Form'!AB10</f>
        <v/>
      </c>
      <c r="L10" s="70" t="str">
        <f>'Promo Form'!AC10</f>
        <v/>
      </c>
      <c r="M10" s="80"/>
      <c r="N10" s="16" t="str">
        <f>'Promo Form'!AH10</f>
        <v/>
      </c>
      <c r="O10" s="102" t="str">
        <f>'Promo Form'!AO10</f>
        <v/>
      </c>
      <c r="P10" s="70" t="str">
        <f>'Promo Form'!AP10</f>
        <v/>
      </c>
      <c r="Q10" s="80"/>
      <c r="R10" s="16" t="str">
        <f>'Promo Form'!AU10</f>
        <v/>
      </c>
      <c r="S10" s="102" t="str">
        <f>'Promo Form'!BB10</f>
        <v/>
      </c>
      <c r="T10" s="70" t="str">
        <f>'Promo Form'!BC10</f>
        <v/>
      </c>
      <c r="U10" s="80"/>
      <c r="V10" s="16" t="str">
        <f>'Promo Form'!BH10</f>
        <v/>
      </c>
      <c r="W10" s="102" t="str">
        <f>'Promo Form'!BO10</f>
        <v/>
      </c>
      <c r="X10" s="70" t="str">
        <f>'Promo Form'!BP10</f>
        <v/>
      </c>
      <c r="Y10" s="80"/>
      <c r="Z10" s="16" t="str">
        <f>'Promo Form'!BU10</f>
        <v/>
      </c>
      <c r="AA10" s="102" t="str">
        <f>'Promo Form'!CB10</f>
        <v/>
      </c>
      <c r="AB10" s="70" t="str">
        <f>'Promo Form'!CC10</f>
        <v/>
      </c>
      <c r="AC10" s="80"/>
      <c r="AD10" s="16" t="str">
        <f>'Promo Form'!CH10</f>
        <v/>
      </c>
      <c r="AE10" s="102" t="str">
        <f>'Promo Form'!CO10</f>
        <v/>
      </c>
      <c r="AF10" s="70" t="str">
        <f>'Promo Form'!CP10</f>
        <v/>
      </c>
      <c r="AG10" s="80"/>
      <c r="AH10" s="17" t="str">
        <f>'Promo Form'!CS10</f>
        <v/>
      </c>
      <c r="AI10" s="17" t="str">
        <f>'Promo Form'!CT10</f>
        <v/>
      </c>
      <c r="AJ10" s="99" t="str">
        <f>'Promo Form'!CU10</f>
        <v/>
      </c>
      <c r="AK10" s="17" t="str">
        <f>'Promo Form'!CV10</f>
        <v/>
      </c>
      <c r="AL10" s="98">
        <f>'Promo Form'!CW10</f>
        <v>0</v>
      </c>
    </row>
    <row r="11" spans="1:38" x14ac:dyDescent="0.2">
      <c r="A11" s="12" t="str">
        <f>'Promo Form'!A11</f>
        <v/>
      </c>
      <c r="B11" s="12" t="str">
        <f>'Promo Form'!B11</f>
        <v/>
      </c>
      <c r="C11" s="13">
        <f>'Promo Form'!C11</f>
        <v>0</v>
      </c>
      <c r="D11" s="14" t="str">
        <f>'Promo Form'!D11</f>
        <v/>
      </c>
      <c r="E11" s="15"/>
      <c r="F11" s="16" t="str">
        <f>'Promo Form'!H11</f>
        <v/>
      </c>
      <c r="G11" s="102" t="str">
        <f>'Promo Form'!O11</f>
        <v/>
      </c>
      <c r="H11" s="70" t="str">
        <f>'Promo Form'!P11</f>
        <v/>
      </c>
      <c r="I11" s="80"/>
      <c r="J11" s="16" t="str">
        <f>'Promo Form'!U11</f>
        <v/>
      </c>
      <c r="K11" s="102" t="str">
        <f>'Promo Form'!AB11</f>
        <v/>
      </c>
      <c r="L11" s="70" t="str">
        <f>'Promo Form'!AC11</f>
        <v/>
      </c>
      <c r="M11" s="80"/>
      <c r="N11" s="16" t="str">
        <f>'Promo Form'!AH11</f>
        <v/>
      </c>
      <c r="O11" s="102" t="str">
        <f>'Promo Form'!AO11</f>
        <v/>
      </c>
      <c r="P11" s="70" t="str">
        <f>'Promo Form'!AP11</f>
        <v/>
      </c>
      <c r="Q11" s="80"/>
      <c r="R11" s="16" t="str">
        <f>'Promo Form'!AU11</f>
        <v/>
      </c>
      <c r="S11" s="102" t="str">
        <f>'Promo Form'!BB11</f>
        <v/>
      </c>
      <c r="T11" s="70" t="str">
        <f>'Promo Form'!BC11</f>
        <v/>
      </c>
      <c r="U11" s="80"/>
      <c r="V11" s="16" t="str">
        <f>'Promo Form'!BH11</f>
        <v/>
      </c>
      <c r="W11" s="102" t="str">
        <f>'Promo Form'!BO11</f>
        <v/>
      </c>
      <c r="X11" s="70" t="str">
        <f>'Promo Form'!BP11</f>
        <v/>
      </c>
      <c r="Y11" s="80"/>
      <c r="Z11" s="16" t="str">
        <f>'Promo Form'!BU11</f>
        <v/>
      </c>
      <c r="AA11" s="102" t="str">
        <f>'Promo Form'!CB11</f>
        <v/>
      </c>
      <c r="AB11" s="70" t="str">
        <f>'Promo Form'!CC11</f>
        <v/>
      </c>
      <c r="AC11" s="80"/>
      <c r="AD11" s="16" t="str">
        <f>'Promo Form'!CH11</f>
        <v/>
      </c>
      <c r="AE11" s="102" t="str">
        <f>'Promo Form'!CO11</f>
        <v/>
      </c>
      <c r="AF11" s="70" t="str">
        <f>'Promo Form'!CP11</f>
        <v/>
      </c>
      <c r="AG11" s="80"/>
      <c r="AH11" s="17" t="str">
        <f>'Promo Form'!CS11</f>
        <v/>
      </c>
      <c r="AI11" s="17" t="str">
        <f>'Promo Form'!CT11</f>
        <v/>
      </c>
      <c r="AJ11" s="99" t="str">
        <f>'Promo Form'!CU11</f>
        <v/>
      </c>
      <c r="AK11" s="17" t="str">
        <f>'Promo Form'!CV11</f>
        <v/>
      </c>
      <c r="AL11" s="98">
        <f>'Promo Form'!CW11</f>
        <v>0</v>
      </c>
    </row>
    <row r="12" spans="1:38" x14ac:dyDescent="0.2">
      <c r="A12" s="12" t="str">
        <f>'Promo Form'!A12</f>
        <v/>
      </c>
      <c r="B12" s="12" t="str">
        <f>'Promo Form'!B12</f>
        <v/>
      </c>
      <c r="C12" s="13">
        <f>'Promo Form'!C12</f>
        <v>0</v>
      </c>
      <c r="D12" s="14" t="str">
        <f>'Promo Form'!D12</f>
        <v/>
      </c>
      <c r="E12" s="15"/>
      <c r="F12" s="16" t="str">
        <f>'Promo Form'!H12</f>
        <v/>
      </c>
      <c r="G12" s="102" t="str">
        <f>'Promo Form'!O12</f>
        <v/>
      </c>
      <c r="H12" s="70" t="str">
        <f>'Promo Form'!P12</f>
        <v/>
      </c>
      <c r="I12" s="80"/>
      <c r="J12" s="16" t="str">
        <f>'Promo Form'!U12</f>
        <v/>
      </c>
      <c r="K12" s="102" t="str">
        <f>'Promo Form'!AB12</f>
        <v/>
      </c>
      <c r="L12" s="70" t="str">
        <f>'Promo Form'!AC12</f>
        <v/>
      </c>
      <c r="M12" s="80"/>
      <c r="N12" s="16" t="str">
        <f>'Promo Form'!AH12</f>
        <v/>
      </c>
      <c r="O12" s="102" t="str">
        <f>'Promo Form'!AO12</f>
        <v/>
      </c>
      <c r="P12" s="70" t="str">
        <f>'Promo Form'!AP12</f>
        <v/>
      </c>
      <c r="Q12" s="80"/>
      <c r="R12" s="16" t="str">
        <f>'Promo Form'!AU12</f>
        <v/>
      </c>
      <c r="S12" s="102" t="str">
        <f>'Promo Form'!BB12</f>
        <v/>
      </c>
      <c r="T12" s="70" t="str">
        <f>'Promo Form'!BC12</f>
        <v/>
      </c>
      <c r="U12" s="80"/>
      <c r="V12" s="16" t="str">
        <f>'Promo Form'!BH12</f>
        <v/>
      </c>
      <c r="W12" s="102" t="str">
        <f>'Promo Form'!BO12</f>
        <v/>
      </c>
      <c r="X12" s="70" t="str">
        <f>'Promo Form'!BP12</f>
        <v/>
      </c>
      <c r="Y12" s="80"/>
      <c r="Z12" s="16" t="str">
        <f>'Promo Form'!BU12</f>
        <v/>
      </c>
      <c r="AA12" s="102" t="str">
        <f>'Promo Form'!CB12</f>
        <v/>
      </c>
      <c r="AB12" s="70" t="str">
        <f>'Promo Form'!CC12</f>
        <v/>
      </c>
      <c r="AC12" s="80"/>
      <c r="AD12" s="16" t="str">
        <f>'Promo Form'!CH12</f>
        <v/>
      </c>
      <c r="AE12" s="102" t="str">
        <f>'Promo Form'!CO12</f>
        <v/>
      </c>
      <c r="AF12" s="70" t="str">
        <f>'Promo Form'!CP12</f>
        <v/>
      </c>
      <c r="AG12" s="80"/>
      <c r="AH12" s="17" t="str">
        <f>'Promo Form'!CS12</f>
        <v/>
      </c>
      <c r="AI12" s="17" t="str">
        <f>'Promo Form'!CT12</f>
        <v/>
      </c>
      <c r="AJ12" s="99" t="str">
        <f>'Promo Form'!CU12</f>
        <v/>
      </c>
      <c r="AK12" s="17" t="str">
        <f>'Promo Form'!CV12</f>
        <v/>
      </c>
      <c r="AL12" s="98">
        <f>'Promo Form'!CW12</f>
        <v>0</v>
      </c>
    </row>
    <row r="13" spans="1:38" x14ac:dyDescent="0.2">
      <c r="A13" s="12" t="str">
        <f>'Promo Form'!A13</f>
        <v/>
      </c>
      <c r="B13" s="12" t="str">
        <f>'Promo Form'!B13</f>
        <v/>
      </c>
      <c r="C13" s="13">
        <f>'Promo Form'!C13</f>
        <v>0</v>
      </c>
      <c r="D13" s="14" t="str">
        <f>'Promo Form'!D13</f>
        <v/>
      </c>
      <c r="E13" s="15"/>
      <c r="F13" s="16" t="str">
        <f>'Promo Form'!H13</f>
        <v/>
      </c>
      <c r="G13" s="102" t="str">
        <f>'Promo Form'!O13</f>
        <v/>
      </c>
      <c r="H13" s="70" t="str">
        <f>'Promo Form'!P13</f>
        <v/>
      </c>
      <c r="I13" s="80"/>
      <c r="J13" s="16" t="str">
        <f>'Promo Form'!U13</f>
        <v/>
      </c>
      <c r="K13" s="102" t="str">
        <f>'Promo Form'!AB13</f>
        <v/>
      </c>
      <c r="L13" s="70" t="str">
        <f>'Promo Form'!AC13</f>
        <v/>
      </c>
      <c r="M13" s="80"/>
      <c r="N13" s="16" t="str">
        <f>'Promo Form'!AH13</f>
        <v/>
      </c>
      <c r="O13" s="102" t="str">
        <f>'Promo Form'!AO13</f>
        <v/>
      </c>
      <c r="P13" s="70" t="str">
        <f>'Promo Form'!AP13</f>
        <v/>
      </c>
      <c r="Q13" s="80"/>
      <c r="R13" s="16" t="str">
        <f>'Promo Form'!AU13</f>
        <v/>
      </c>
      <c r="S13" s="102" t="str">
        <f>'Promo Form'!BB13</f>
        <v/>
      </c>
      <c r="T13" s="70" t="str">
        <f>'Promo Form'!BC13</f>
        <v/>
      </c>
      <c r="U13" s="80"/>
      <c r="V13" s="16" t="str">
        <f>'Promo Form'!BH13</f>
        <v/>
      </c>
      <c r="W13" s="102" t="str">
        <f>'Promo Form'!BO13</f>
        <v/>
      </c>
      <c r="X13" s="70" t="str">
        <f>'Promo Form'!BP13</f>
        <v/>
      </c>
      <c r="Y13" s="80"/>
      <c r="Z13" s="16" t="str">
        <f>'Promo Form'!BU13</f>
        <v/>
      </c>
      <c r="AA13" s="102" t="str">
        <f>'Promo Form'!CB13</f>
        <v/>
      </c>
      <c r="AB13" s="70" t="str">
        <f>'Promo Form'!CC13</f>
        <v/>
      </c>
      <c r="AC13" s="80"/>
      <c r="AD13" s="16" t="str">
        <f>'Promo Form'!CH13</f>
        <v/>
      </c>
      <c r="AE13" s="102" t="str">
        <f>'Promo Form'!CO13</f>
        <v/>
      </c>
      <c r="AF13" s="70" t="str">
        <f>'Promo Form'!CP13</f>
        <v/>
      </c>
      <c r="AG13" s="80"/>
      <c r="AH13" s="17" t="str">
        <f>'Promo Form'!CS13</f>
        <v/>
      </c>
      <c r="AI13" s="17" t="str">
        <f>'Promo Form'!CT13</f>
        <v/>
      </c>
      <c r="AJ13" s="99" t="str">
        <f>'Promo Form'!CU13</f>
        <v/>
      </c>
      <c r="AK13" s="17" t="str">
        <f>'Promo Form'!CV13</f>
        <v/>
      </c>
      <c r="AL13" s="98">
        <f>'Promo Form'!CW13</f>
        <v>0</v>
      </c>
    </row>
    <row r="14" spans="1:38" x14ac:dyDescent="0.2">
      <c r="A14" s="12" t="str">
        <f>'Promo Form'!A14</f>
        <v/>
      </c>
      <c r="B14" s="12" t="str">
        <f>'Promo Form'!B14</f>
        <v/>
      </c>
      <c r="C14" s="13">
        <f>'Promo Form'!C14</f>
        <v>0</v>
      </c>
      <c r="D14" s="14" t="str">
        <f>'Promo Form'!D14</f>
        <v/>
      </c>
      <c r="E14" s="15"/>
      <c r="F14" s="16" t="str">
        <f>'Promo Form'!H14</f>
        <v/>
      </c>
      <c r="G14" s="102" t="str">
        <f>'Promo Form'!O14</f>
        <v/>
      </c>
      <c r="H14" s="70" t="str">
        <f>'Promo Form'!P14</f>
        <v/>
      </c>
      <c r="I14" s="80"/>
      <c r="J14" s="16" t="str">
        <f>'Promo Form'!U14</f>
        <v/>
      </c>
      <c r="K14" s="102" t="str">
        <f>'Promo Form'!AB14</f>
        <v/>
      </c>
      <c r="L14" s="70" t="str">
        <f>'Promo Form'!AC14</f>
        <v/>
      </c>
      <c r="M14" s="80"/>
      <c r="N14" s="16" t="str">
        <f>'Promo Form'!AH14</f>
        <v/>
      </c>
      <c r="O14" s="102" t="str">
        <f>'Promo Form'!AO14</f>
        <v/>
      </c>
      <c r="P14" s="70" t="str">
        <f>'Promo Form'!AP14</f>
        <v/>
      </c>
      <c r="Q14" s="80"/>
      <c r="R14" s="16" t="str">
        <f>'Promo Form'!AU14</f>
        <v/>
      </c>
      <c r="S14" s="102" t="str">
        <f>'Promo Form'!BB14</f>
        <v/>
      </c>
      <c r="T14" s="70" t="str">
        <f>'Promo Form'!BC14</f>
        <v/>
      </c>
      <c r="U14" s="80"/>
      <c r="V14" s="16" t="str">
        <f>'Promo Form'!BH14</f>
        <v/>
      </c>
      <c r="W14" s="102" t="str">
        <f>'Promo Form'!BO14</f>
        <v/>
      </c>
      <c r="X14" s="70" t="str">
        <f>'Promo Form'!BP14</f>
        <v/>
      </c>
      <c r="Y14" s="80"/>
      <c r="Z14" s="16" t="str">
        <f>'Promo Form'!BU14</f>
        <v/>
      </c>
      <c r="AA14" s="102" t="str">
        <f>'Promo Form'!CB14</f>
        <v/>
      </c>
      <c r="AB14" s="70" t="str">
        <f>'Promo Form'!CC14</f>
        <v/>
      </c>
      <c r="AC14" s="80"/>
      <c r="AD14" s="16" t="str">
        <f>'Promo Form'!CH14</f>
        <v/>
      </c>
      <c r="AE14" s="102" t="str">
        <f>'Promo Form'!CO14</f>
        <v/>
      </c>
      <c r="AF14" s="70" t="str">
        <f>'Promo Form'!CP14</f>
        <v/>
      </c>
      <c r="AG14" s="80"/>
      <c r="AH14" s="17" t="str">
        <f>'Promo Form'!CS14</f>
        <v/>
      </c>
      <c r="AI14" s="17" t="str">
        <f>'Promo Form'!CT14</f>
        <v/>
      </c>
      <c r="AJ14" s="99" t="str">
        <f>'Promo Form'!CU14</f>
        <v/>
      </c>
      <c r="AK14" s="17" t="str">
        <f>'Promo Form'!CV14</f>
        <v/>
      </c>
      <c r="AL14" s="98">
        <f>'Promo Form'!CW14</f>
        <v>0</v>
      </c>
    </row>
    <row r="15" spans="1:38" x14ac:dyDescent="0.2">
      <c r="A15" s="12" t="str">
        <f>'Promo Form'!A15</f>
        <v/>
      </c>
      <c r="B15" s="12" t="str">
        <f>'Promo Form'!B15</f>
        <v/>
      </c>
      <c r="C15" s="13">
        <f>'Promo Form'!C15</f>
        <v>0</v>
      </c>
      <c r="D15" s="14" t="str">
        <f>'Promo Form'!D15</f>
        <v/>
      </c>
      <c r="E15" s="15"/>
      <c r="F15" s="16" t="str">
        <f>'Promo Form'!H15</f>
        <v/>
      </c>
      <c r="G15" s="102" t="str">
        <f>'Promo Form'!O15</f>
        <v/>
      </c>
      <c r="H15" s="70" t="str">
        <f>'Promo Form'!P15</f>
        <v/>
      </c>
      <c r="I15" s="80"/>
      <c r="J15" s="16" t="str">
        <f>'Promo Form'!U15</f>
        <v/>
      </c>
      <c r="K15" s="102" t="str">
        <f>'Promo Form'!AB15</f>
        <v/>
      </c>
      <c r="L15" s="70" t="str">
        <f>'Promo Form'!AC15</f>
        <v/>
      </c>
      <c r="M15" s="80"/>
      <c r="N15" s="16" t="str">
        <f>'Promo Form'!AH15</f>
        <v/>
      </c>
      <c r="O15" s="102" t="str">
        <f>'Promo Form'!AO15</f>
        <v/>
      </c>
      <c r="P15" s="70" t="str">
        <f>'Promo Form'!AP15</f>
        <v/>
      </c>
      <c r="Q15" s="80"/>
      <c r="R15" s="16" t="str">
        <f>'Promo Form'!AU15</f>
        <v/>
      </c>
      <c r="S15" s="102" t="str">
        <f>'Promo Form'!BB15</f>
        <v/>
      </c>
      <c r="T15" s="70" t="str">
        <f>'Promo Form'!BC15</f>
        <v/>
      </c>
      <c r="U15" s="80"/>
      <c r="V15" s="16" t="str">
        <f>'Promo Form'!BH15</f>
        <v/>
      </c>
      <c r="W15" s="102" t="str">
        <f>'Promo Form'!BO15</f>
        <v/>
      </c>
      <c r="X15" s="70" t="str">
        <f>'Promo Form'!BP15</f>
        <v/>
      </c>
      <c r="Y15" s="80"/>
      <c r="Z15" s="16" t="str">
        <f>'Promo Form'!BU15</f>
        <v/>
      </c>
      <c r="AA15" s="102" t="str">
        <f>'Promo Form'!CB15</f>
        <v/>
      </c>
      <c r="AB15" s="70" t="str">
        <f>'Promo Form'!CC15</f>
        <v/>
      </c>
      <c r="AC15" s="80"/>
      <c r="AD15" s="16" t="str">
        <f>'Promo Form'!CH15</f>
        <v/>
      </c>
      <c r="AE15" s="102" t="str">
        <f>'Promo Form'!CO15</f>
        <v/>
      </c>
      <c r="AF15" s="70" t="str">
        <f>'Promo Form'!CP15</f>
        <v/>
      </c>
      <c r="AG15" s="80"/>
      <c r="AH15" s="17" t="str">
        <f>'Promo Form'!CS15</f>
        <v/>
      </c>
      <c r="AI15" s="17" t="str">
        <f>'Promo Form'!CT15</f>
        <v/>
      </c>
      <c r="AJ15" s="99" t="str">
        <f>'Promo Form'!CU15</f>
        <v/>
      </c>
      <c r="AK15" s="17" t="str">
        <f>'Promo Form'!CV15</f>
        <v/>
      </c>
      <c r="AL15" s="98">
        <f>'Promo Form'!CW15</f>
        <v>0</v>
      </c>
    </row>
    <row r="16" spans="1:38" x14ac:dyDescent="0.2">
      <c r="A16" s="12" t="str">
        <f>'Promo Form'!A16</f>
        <v/>
      </c>
      <c r="B16" s="12" t="str">
        <f>'Promo Form'!B16</f>
        <v/>
      </c>
      <c r="C16" s="13">
        <f>'Promo Form'!C16</f>
        <v>0</v>
      </c>
      <c r="D16" s="14" t="str">
        <f>'Promo Form'!D16</f>
        <v/>
      </c>
      <c r="E16" s="15"/>
      <c r="F16" s="16" t="str">
        <f>'Promo Form'!H16</f>
        <v/>
      </c>
      <c r="G16" s="102" t="str">
        <f>'Promo Form'!O16</f>
        <v/>
      </c>
      <c r="H16" s="70" t="str">
        <f>'Promo Form'!P16</f>
        <v/>
      </c>
      <c r="I16" s="80"/>
      <c r="J16" s="16" t="str">
        <f>'Promo Form'!U16</f>
        <v/>
      </c>
      <c r="K16" s="102" t="str">
        <f>'Promo Form'!AB16</f>
        <v/>
      </c>
      <c r="L16" s="70" t="str">
        <f>'Promo Form'!AC16</f>
        <v/>
      </c>
      <c r="M16" s="80"/>
      <c r="N16" s="16" t="str">
        <f>'Promo Form'!AH16</f>
        <v/>
      </c>
      <c r="O16" s="102" t="str">
        <f>'Promo Form'!AO16</f>
        <v/>
      </c>
      <c r="P16" s="70" t="str">
        <f>'Promo Form'!AP16</f>
        <v/>
      </c>
      <c r="Q16" s="80"/>
      <c r="R16" s="16" t="str">
        <f>'Promo Form'!AU16</f>
        <v/>
      </c>
      <c r="S16" s="102" t="str">
        <f>'Promo Form'!BB16</f>
        <v/>
      </c>
      <c r="T16" s="70" t="str">
        <f>'Promo Form'!BC16</f>
        <v/>
      </c>
      <c r="U16" s="80"/>
      <c r="V16" s="16" t="str">
        <f>'Promo Form'!BH16</f>
        <v/>
      </c>
      <c r="W16" s="102" t="str">
        <f>'Promo Form'!BO16</f>
        <v/>
      </c>
      <c r="X16" s="70" t="str">
        <f>'Promo Form'!BP16</f>
        <v/>
      </c>
      <c r="Y16" s="80"/>
      <c r="Z16" s="16" t="str">
        <f>'Promo Form'!BU16</f>
        <v/>
      </c>
      <c r="AA16" s="102" t="str">
        <f>'Promo Form'!CB16</f>
        <v/>
      </c>
      <c r="AB16" s="70" t="str">
        <f>'Promo Form'!CC16</f>
        <v/>
      </c>
      <c r="AC16" s="80"/>
      <c r="AD16" s="16" t="str">
        <f>'Promo Form'!CH16</f>
        <v/>
      </c>
      <c r="AE16" s="102" t="str">
        <f>'Promo Form'!CO16</f>
        <v/>
      </c>
      <c r="AF16" s="70" t="str">
        <f>'Promo Form'!CP16</f>
        <v/>
      </c>
      <c r="AG16" s="80"/>
      <c r="AH16" s="17" t="str">
        <f>'Promo Form'!CS16</f>
        <v/>
      </c>
      <c r="AI16" s="17" t="str">
        <f>'Promo Form'!CT16</f>
        <v/>
      </c>
      <c r="AJ16" s="99" t="str">
        <f>'Promo Form'!CU16</f>
        <v/>
      </c>
      <c r="AK16" s="17" t="str">
        <f>'Promo Form'!CV16</f>
        <v/>
      </c>
      <c r="AL16" s="98">
        <f>'Promo Form'!CW16</f>
        <v>0</v>
      </c>
    </row>
    <row r="17" spans="1:38" x14ac:dyDescent="0.2">
      <c r="A17" s="12" t="str">
        <f>'Promo Form'!A17</f>
        <v/>
      </c>
      <c r="B17" s="12" t="str">
        <f>'Promo Form'!B17</f>
        <v/>
      </c>
      <c r="C17" s="13">
        <f>'Promo Form'!C17</f>
        <v>0</v>
      </c>
      <c r="D17" s="14" t="str">
        <f>'Promo Form'!D17</f>
        <v/>
      </c>
      <c r="E17" s="15"/>
      <c r="F17" s="16" t="str">
        <f>'Promo Form'!H17</f>
        <v/>
      </c>
      <c r="G17" s="102" t="str">
        <f>'Promo Form'!O17</f>
        <v/>
      </c>
      <c r="H17" s="70" t="str">
        <f>'Promo Form'!P17</f>
        <v/>
      </c>
      <c r="I17" s="80"/>
      <c r="J17" s="16" t="str">
        <f>'Promo Form'!U17</f>
        <v/>
      </c>
      <c r="K17" s="102" t="str">
        <f>'Promo Form'!AB17</f>
        <v/>
      </c>
      <c r="L17" s="70" t="str">
        <f>'Promo Form'!AC17</f>
        <v/>
      </c>
      <c r="M17" s="80"/>
      <c r="N17" s="16" t="str">
        <f>'Promo Form'!AH17</f>
        <v/>
      </c>
      <c r="O17" s="102" t="str">
        <f>'Promo Form'!AO17</f>
        <v/>
      </c>
      <c r="P17" s="70" t="str">
        <f>'Promo Form'!AP17</f>
        <v/>
      </c>
      <c r="Q17" s="80"/>
      <c r="R17" s="16" t="str">
        <f>'Promo Form'!AU17</f>
        <v/>
      </c>
      <c r="S17" s="102" t="str">
        <f>'Promo Form'!BB17</f>
        <v/>
      </c>
      <c r="T17" s="70" t="str">
        <f>'Promo Form'!BC17</f>
        <v/>
      </c>
      <c r="U17" s="80"/>
      <c r="V17" s="16" t="str">
        <f>'Promo Form'!BH17</f>
        <v/>
      </c>
      <c r="W17" s="102" t="str">
        <f>'Promo Form'!BO17</f>
        <v/>
      </c>
      <c r="X17" s="70" t="str">
        <f>'Promo Form'!BP17</f>
        <v/>
      </c>
      <c r="Y17" s="80"/>
      <c r="Z17" s="16" t="str">
        <f>'Promo Form'!BU17</f>
        <v/>
      </c>
      <c r="AA17" s="102" t="str">
        <f>'Promo Form'!CB17</f>
        <v/>
      </c>
      <c r="AB17" s="70" t="str">
        <f>'Promo Form'!CC17</f>
        <v/>
      </c>
      <c r="AC17" s="80"/>
      <c r="AD17" s="16" t="str">
        <f>'Promo Form'!CH17</f>
        <v/>
      </c>
      <c r="AE17" s="102" t="str">
        <f>'Promo Form'!CO17</f>
        <v/>
      </c>
      <c r="AF17" s="70" t="str">
        <f>'Promo Form'!CP17</f>
        <v/>
      </c>
      <c r="AG17" s="80"/>
      <c r="AH17" s="17" t="str">
        <f>'Promo Form'!CS17</f>
        <v/>
      </c>
      <c r="AI17" s="17" t="str">
        <f>'Promo Form'!CT17</f>
        <v/>
      </c>
      <c r="AJ17" s="99" t="str">
        <f>'Promo Form'!CU17</f>
        <v/>
      </c>
      <c r="AK17" s="17" t="str">
        <f>'Promo Form'!CV17</f>
        <v/>
      </c>
      <c r="AL17" s="98">
        <f>'Promo Form'!CW17</f>
        <v>0</v>
      </c>
    </row>
    <row r="18" spans="1:38" x14ac:dyDescent="0.2">
      <c r="A18" s="12" t="str">
        <f>'Promo Form'!A18</f>
        <v/>
      </c>
      <c r="B18" s="12" t="str">
        <f>'Promo Form'!B18</f>
        <v/>
      </c>
      <c r="C18" s="13">
        <f>'Promo Form'!C18</f>
        <v>0</v>
      </c>
      <c r="D18" s="14" t="str">
        <f>'Promo Form'!D18</f>
        <v/>
      </c>
      <c r="E18" s="15"/>
      <c r="F18" s="16" t="str">
        <f>'Promo Form'!H18</f>
        <v/>
      </c>
      <c r="G18" s="102" t="str">
        <f>'Promo Form'!O18</f>
        <v/>
      </c>
      <c r="H18" s="70" t="str">
        <f>'Promo Form'!P18</f>
        <v/>
      </c>
      <c r="I18" s="80"/>
      <c r="J18" s="16" t="str">
        <f>'Promo Form'!U18</f>
        <v/>
      </c>
      <c r="K18" s="102" t="str">
        <f>'Promo Form'!AB18</f>
        <v/>
      </c>
      <c r="L18" s="70" t="str">
        <f>'Promo Form'!AC18</f>
        <v/>
      </c>
      <c r="M18" s="80"/>
      <c r="N18" s="16" t="str">
        <f>'Promo Form'!AH18</f>
        <v/>
      </c>
      <c r="O18" s="102" t="str">
        <f>'Promo Form'!AO18</f>
        <v/>
      </c>
      <c r="P18" s="70" t="str">
        <f>'Promo Form'!AP18</f>
        <v/>
      </c>
      <c r="Q18" s="80"/>
      <c r="R18" s="16" t="str">
        <f>'Promo Form'!AU18</f>
        <v/>
      </c>
      <c r="S18" s="102" t="str">
        <f>'Promo Form'!BB18</f>
        <v/>
      </c>
      <c r="T18" s="70" t="str">
        <f>'Promo Form'!BC18</f>
        <v/>
      </c>
      <c r="U18" s="80"/>
      <c r="V18" s="16" t="str">
        <f>'Promo Form'!BH18</f>
        <v/>
      </c>
      <c r="W18" s="102" t="str">
        <f>'Promo Form'!BO18</f>
        <v/>
      </c>
      <c r="X18" s="70" t="str">
        <f>'Promo Form'!BP18</f>
        <v/>
      </c>
      <c r="Y18" s="80"/>
      <c r="Z18" s="16" t="str">
        <f>'Promo Form'!BU18</f>
        <v/>
      </c>
      <c r="AA18" s="102" t="str">
        <f>'Promo Form'!CB18</f>
        <v/>
      </c>
      <c r="AB18" s="70" t="str">
        <f>'Promo Form'!CC18</f>
        <v/>
      </c>
      <c r="AC18" s="80"/>
      <c r="AD18" s="16" t="str">
        <f>'Promo Form'!CH18</f>
        <v/>
      </c>
      <c r="AE18" s="102" t="str">
        <f>'Promo Form'!CO18</f>
        <v/>
      </c>
      <c r="AF18" s="70" t="str">
        <f>'Promo Form'!CP18</f>
        <v/>
      </c>
      <c r="AG18" s="80"/>
      <c r="AH18" s="17" t="str">
        <f>'Promo Form'!CS18</f>
        <v/>
      </c>
      <c r="AI18" s="17" t="str">
        <f>'Promo Form'!CT18</f>
        <v/>
      </c>
      <c r="AJ18" s="99" t="str">
        <f>'Promo Form'!CU18</f>
        <v/>
      </c>
      <c r="AK18" s="17" t="str">
        <f>'Promo Form'!CV18</f>
        <v/>
      </c>
      <c r="AL18" s="98">
        <f>'Promo Form'!CW18</f>
        <v>0</v>
      </c>
    </row>
    <row r="19" spans="1:38" x14ac:dyDescent="0.2">
      <c r="A19" s="12" t="str">
        <f>'Promo Form'!A19</f>
        <v/>
      </c>
      <c r="B19" s="12" t="str">
        <f>'Promo Form'!B19</f>
        <v/>
      </c>
      <c r="C19" s="13">
        <f>'Promo Form'!C19</f>
        <v>0</v>
      </c>
      <c r="D19" s="14" t="str">
        <f>'Promo Form'!D19</f>
        <v/>
      </c>
      <c r="E19" s="15"/>
      <c r="F19" s="16" t="str">
        <f>'Promo Form'!H19</f>
        <v/>
      </c>
      <c r="G19" s="102" t="str">
        <f>'Promo Form'!O19</f>
        <v/>
      </c>
      <c r="H19" s="70" t="str">
        <f>'Promo Form'!P19</f>
        <v/>
      </c>
      <c r="I19" s="80"/>
      <c r="J19" s="16" t="str">
        <f>'Promo Form'!U19</f>
        <v/>
      </c>
      <c r="K19" s="102" t="str">
        <f>'Promo Form'!AB19</f>
        <v/>
      </c>
      <c r="L19" s="70" t="str">
        <f>'Promo Form'!AC19</f>
        <v/>
      </c>
      <c r="M19" s="80"/>
      <c r="N19" s="16" t="str">
        <f>'Promo Form'!AH19</f>
        <v/>
      </c>
      <c r="O19" s="102" t="str">
        <f>'Promo Form'!AO19</f>
        <v/>
      </c>
      <c r="P19" s="70" t="str">
        <f>'Promo Form'!AP19</f>
        <v/>
      </c>
      <c r="Q19" s="80"/>
      <c r="R19" s="16" t="str">
        <f>'Promo Form'!AU19</f>
        <v/>
      </c>
      <c r="S19" s="102" t="str">
        <f>'Promo Form'!BB19</f>
        <v/>
      </c>
      <c r="T19" s="70" t="str">
        <f>'Promo Form'!BC19</f>
        <v/>
      </c>
      <c r="U19" s="80"/>
      <c r="V19" s="16" t="str">
        <f>'Promo Form'!BH19</f>
        <v/>
      </c>
      <c r="W19" s="102" t="str">
        <f>'Promo Form'!BO19</f>
        <v/>
      </c>
      <c r="X19" s="70" t="str">
        <f>'Promo Form'!BP19</f>
        <v/>
      </c>
      <c r="Y19" s="80"/>
      <c r="Z19" s="16" t="str">
        <f>'Promo Form'!BU19</f>
        <v/>
      </c>
      <c r="AA19" s="102" t="str">
        <f>'Promo Form'!CB19</f>
        <v/>
      </c>
      <c r="AB19" s="70" t="str">
        <f>'Promo Form'!CC19</f>
        <v/>
      </c>
      <c r="AC19" s="80"/>
      <c r="AD19" s="16" t="str">
        <f>'Promo Form'!CH19</f>
        <v/>
      </c>
      <c r="AE19" s="102" t="str">
        <f>'Promo Form'!CO19</f>
        <v/>
      </c>
      <c r="AF19" s="70" t="str">
        <f>'Promo Form'!CP19</f>
        <v/>
      </c>
      <c r="AG19" s="80"/>
      <c r="AH19" s="17" t="str">
        <f>'Promo Form'!CS19</f>
        <v/>
      </c>
      <c r="AI19" s="17" t="str">
        <f>'Promo Form'!CT19</f>
        <v/>
      </c>
      <c r="AJ19" s="99" t="str">
        <f>'Promo Form'!CU19</f>
        <v/>
      </c>
      <c r="AK19" s="17" t="str">
        <f>'Promo Form'!CV19</f>
        <v/>
      </c>
      <c r="AL19" s="98">
        <f>'Promo Form'!CW19</f>
        <v>0</v>
      </c>
    </row>
    <row r="20" spans="1:38" x14ac:dyDescent="0.2">
      <c r="A20" s="12" t="str">
        <f>'Promo Form'!A20</f>
        <v/>
      </c>
      <c r="B20" s="12" t="str">
        <f>'Promo Form'!B20</f>
        <v/>
      </c>
      <c r="C20" s="13">
        <f>'Promo Form'!C20</f>
        <v>0</v>
      </c>
      <c r="D20" s="14" t="str">
        <f>'Promo Form'!D20</f>
        <v/>
      </c>
      <c r="E20" s="15"/>
      <c r="F20" s="16" t="str">
        <f>'Promo Form'!H20</f>
        <v/>
      </c>
      <c r="G20" s="102" t="str">
        <f>'Promo Form'!O20</f>
        <v/>
      </c>
      <c r="H20" s="70" t="str">
        <f>'Promo Form'!P20</f>
        <v/>
      </c>
      <c r="I20" s="80"/>
      <c r="J20" s="16" t="str">
        <f>'Promo Form'!U20</f>
        <v/>
      </c>
      <c r="K20" s="102" t="str">
        <f>'Promo Form'!AB20</f>
        <v/>
      </c>
      <c r="L20" s="70" t="str">
        <f>'Promo Form'!AC20</f>
        <v/>
      </c>
      <c r="M20" s="80"/>
      <c r="N20" s="16" t="str">
        <f>'Promo Form'!AH20</f>
        <v/>
      </c>
      <c r="O20" s="102" t="str">
        <f>'Promo Form'!AO20</f>
        <v/>
      </c>
      <c r="P20" s="70" t="str">
        <f>'Promo Form'!AP20</f>
        <v/>
      </c>
      <c r="Q20" s="80"/>
      <c r="R20" s="16" t="str">
        <f>'Promo Form'!AU20</f>
        <v/>
      </c>
      <c r="S20" s="102" t="str">
        <f>'Promo Form'!BB20</f>
        <v/>
      </c>
      <c r="T20" s="70" t="str">
        <f>'Promo Form'!BC20</f>
        <v/>
      </c>
      <c r="U20" s="80"/>
      <c r="V20" s="16" t="str">
        <f>'Promo Form'!BH20</f>
        <v/>
      </c>
      <c r="W20" s="102" t="str">
        <f>'Promo Form'!BO20</f>
        <v/>
      </c>
      <c r="X20" s="70" t="str">
        <f>'Promo Form'!BP20</f>
        <v/>
      </c>
      <c r="Y20" s="80"/>
      <c r="Z20" s="16" t="str">
        <f>'Promo Form'!BU20</f>
        <v/>
      </c>
      <c r="AA20" s="102" t="str">
        <f>'Promo Form'!CB20</f>
        <v/>
      </c>
      <c r="AB20" s="70" t="str">
        <f>'Promo Form'!CC20</f>
        <v/>
      </c>
      <c r="AC20" s="80"/>
      <c r="AD20" s="16" t="str">
        <f>'Promo Form'!CH20</f>
        <v/>
      </c>
      <c r="AE20" s="102" t="str">
        <f>'Promo Form'!CO20</f>
        <v/>
      </c>
      <c r="AF20" s="70" t="str">
        <f>'Promo Form'!CP20</f>
        <v/>
      </c>
      <c r="AG20" s="80"/>
      <c r="AH20" s="17" t="str">
        <f>'Promo Form'!CS20</f>
        <v/>
      </c>
      <c r="AI20" s="17" t="str">
        <f>'Promo Form'!CT20</f>
        <v/>
      </c>
      <c r="AJ20" s="99" t="str">
        <f>'Promo Form'!CU20</f>
        <v/>
      </c>
      <c r="AK20" s="17" t="str">
        <f>'Promo Form'!CV20</f>
        <v/>
      </c>
      <c r="AL20" s="98">
        <f>'Promo Form'!CW20</f>
        <v>0</v>
      </c>
    </row>
    <row r="21" spans="1:38" x14ac:dyDescent="0.2">
      <c r="A21" s="12" t="str">
        <f>'Promo Form'!A21</f>
        <v/>
      </c>
      <c r="B21" s="12" t="str">
        <f>'Promo Form'!B21</f>
        <v/>
      </c>
      <c r="C21" s="13">
        <f>'Promo Form'!C21</f>
        <v>0</v>
      </c>
      <c r="D21" s="14" t="str">
        <f>'Promo Form'!D21</f>
        <v/>
      </c>
      <c r="E21" s="15"/>
      <c r="F21" s="16" t="str">
        <f>'Promo Form'!H21</f>
        <v/>
      </c>
      <c r="G21" s="102" t="str">
        <f>'Promo Form'!O21</f>
        <v/>
      </c>
      <c r="H21" s="70" t="str">
        <f>'Promo Form'!P21</f>
        <v/>
      </c>
      <c r="I21" s="80"/>
      <c r="J21" s="16" t="str">
        <f>'Promo Form'!U21</f>
        <v/>
      </c>
      <c r="K21" s="102" t="str">
        <f>'Promo Form'!AB21</f>
        <v/>
      </c>
      <c r="L21" s="70" t="str">
        <f>'Promo Form'!AC21</f>
        <v/>
      </c>
      <c r="M21" s="80"/>
      <c r="N21" s="16" t="str">
        <f>'Promo Form'!AH21</f>
        <v/>
      </c>
      <c r="O21" s="102" t="str">
        <f>'Promo Form'!AO21</f>
        <v/>
      </c>
      <c r="P21" s="70" t="str">
        <f>'Promo Form'!AP21</f>
        <v/>
      </c>
      <c r="Q21" s="80"/>
      <c r="R21" s="16" t="str">
        <f>'Promo Form'!AU21</f>
        <v/>
      </c>
      <c r="S21" s="102" t="str">
        <f>'Promo Form'!BB21</f>
        <v/>
      </c>
      <c r="T21" s="70" t="str">
        <f>'Promo Form'!BC21</f>
        <v/>
      </c>
      <c r="U21" s="80"/>
      <c r="V21" s="16" t="str">
        <f>'Promo Form'!BH21</f>
        <v/>
      </c>
      <c r="W21" s="102" t="str">
        <f>'Promo Form'!BO21</f>
        <v/>
      </c>
      <c r="X21" s="70" t="str">
        <f>'Promo Form'!BP21</f>
        <v/>
      </c>
      <c r="Y21" s="80"/>
      <c r="Z21" s="16" t="str">
        <f>'Promo Form'!BU21</f>
        <v/>
      </c>
      <c r="AA21" s="102" t="str">
        <f>'Promo Form'!CB21</f>
        <v/>
      </c>
      <c r="AB21" s="70" t="str">
        <f>'Promo Form'!CC21</f>
        <v/>
      </c>
      <c r="AC21" s="80"/>
      <c r="AD21" s="16" t="str">
        <f>'Promo Form'!CH21</f>
        <v/>
      </c>
      <c r="AE21" s="102" t="str">
        <f>'Promo Form'!CO21</f>
        <v/>
      </c>
      <c r="AF21" s="70" t="str">
        <f>'Promo Form'!CP21</f>
        <v/>
      </c>
      <c r="AG21" s="80"/>
      <c r="AH21" s="17" t="str">
        <f>'Promo Form'!CS21</f>
        <v/>
      </c>
      <c r="AI21" s="17" t="str">
        <f>'Promo Form'!CT21</f>
        <v/>
      </c>
      <c r="AJ21" s="99" t="str">
        <f>'Promo Form'!CU21</f>
        <v/>
      </c>
      <c r="AK21" s="17" t="str">
        <f>'Promo Form'!CV21</f>
        <v/>
      </c>
      <c r="AL21" s="98">
        <f>'Promo Form'!CW21</f>
        <v>0</v>
      </c>
    </row>
    <row r="22" spans="1:38" x14ac:dyDescent="0.2">
      <c r="A22" s="12" t="str">
        <f>'Promo Form'!A22</f>
        <v/>
      </c>
      <c r="B22" s="12" t="str">
        <f>'Promo Form'!B22</f>
        <v/>
      </c>
      <c r="C22" s="13">
        <f>'Promo Form'!C22</f>
        <v>0</v>
      </c>
      <c r="D22" s="14" t="str">
        <f>'Promo Form'!D22</f>
        <v/>
      </c>
      <c r="E22" s="15"/>
      <c r="F22" s="16" t="str">
        <f>'Promo Form'!H22</f>
        <v/>
      </c>
      <c r="G22" s="102" t="str">
        <f>'Promo Form'!O22</f>
        <v/>
      </c>
      <c r="H22" s="70" t="str">
        <f>'Promo Form'!P22</f>
        <v/>
      </c>
      <c r="I22" s="80"/>
      <c r="J22" s="16" t="str">
        <f>'Promo Form'!U22</f>
        <v/>
      </c>
      <c r="K22" s="102" t="str">
        <f>'Promo Form'!AB22</f>
        <v/>
      </c>
      <c r="L22" s="70" t="str">
        <f>'Promo Form'!AC22</f>
        <v/>
      </c>
      <c r="M22" s="80"/>
      <c r="N22" s="16" t="str">
        <f>'Promo Form'!AH22</f>
        <v/>
      </c>
      <c r="O22" s="102" t="str">
        <f>'Promo Form'!AO22</f>
        <v/>
      </c>
      <c r="P22" s="70" t="str">
        <f>'Promo Form'!AP22</f>
        <v/>
      </c>
      <c r="Q22" s="80"/>
      <c r="R22" s="16" t="str">
        <f>'Promo Form'!AU22</f>
        <v/>
      </c>
      <c r="S22" s="102" t="str">
        <f>'Promo Form'!BB22</f>
        <v/>
      </c>
      <c r="T22" s="70" t="str">
        <f>'Promo Form'!BC22</f>
        <v/>
      </c>
      <c r="U22" s="80"/>
      <c r="V22" s="16" t="str">
        <f>'Promo Form'!BH22</f>
        <v/>
      </c>
      <c r="W22" s="102" t="str">
        <f>'Promo Form'!BO22</f>
        <v/>
      </c>
      <c r="X22" s="70" t="str">
        <f>'Promo Form'!BP22</f>
        <v/>
      </c>
      <c r="Y22" s="80"/>
      <c r="Z22" s="16" t="str">
        <f>'Promo Form'!BU22</f>
        <v/>
      </c>
      <c r="AA22" s="102" t="str">
        <f>'Promo Form'!CB22</f>
        <v/>
      </c>
      <c r="AB22" s="70" t="str">
        <f>'Promo Form'!CC22</f>
        <v/>
      </c>
      <c r="AC22" s="80"/>
      <c r="AD22" s="16" t="str">
        <f>'Promo Form'!CH22</f>
        <v/>
      </c>
      <c r="AE22" s="102" t="str">
        <f>'Promo Form'!CO22</f>
        <v/>
      </c>
      <c r="AF22" s="70" t="str">
        <f>'Promo Form'!CP22</f>
        <v/>
      </c>
      <c r="AG22" s="80"/>
      <c r="AH22" s="17" t="str">
        <f>'Promo Form'!CS22</f>
        <v/>
      </c>
      <c r="AI22" s="17" t="str">
        <f>'Promo Form'!CT22</f>
        <v/>
      </c>
      <c r="AJ22" s="99" t="str">
        <f>'Promo Form'!CU22</f>
        <v/>
      </c>
      <c r="AK22" s="17" t="str">
        <f>'Promo Form'!CV22</f>
        <v/>
      </c>
      <c r="AL22" s="98">
        <f>'Promo Form'!CW22</f>
        <v>0</v>
      </c>
    </row>
    <row r="23" spans="1:38" x14ac:dyDescent="0.2">
      <c r="A23" s="12" t="str">
        <f>'Promo Form'!A23</f>
        <v/>
      </c>
      <c r="B23" s="12" t="str">
        <f>'Promo Form'!B23</f>
        <v/>
      </c>
      <c r="C23" s="13">
        <f>'Promo Form'!C23</f>
        <v>0</v>
      </c>
      <c r="D23" s="14" t="str">
        <f>'Promo Form'!D23</f>
        <v/>
      </c>
      <c r="E23" s="15"/>
      <c r="F23" s="16" t="str">
        <f>'Promo Form'!H23</f>
        <v/>
      </c>
      <c r="G23" s="102" t="str">
        <f>'Promo Form'!O23</f>
        <v/>
      </c>
      <c r="H23" s="70" t="str">
        <f>'Promo Form'!P23</f>
        <v/>
      </c>
      <c r="I23" s="80"/>
      <c r="J23" s="16" t="str">
        <f>'Promo Form'!U23</f>
        <v/>
      </c>
      <c r="K23" s="102" t="str">
        <f>'Promo Form'!AB23</f>
        <v/>
      </c>
      <c r="L23" s="70" t="str">
        <f>'Promo Form'!AC23</f>
        <v/>
      </c>
      <c r="M23" s="80"/>
      <c r="N23" s="16" t="str">
        <f>'Promo Form'!AH23</f>
        <v/>
      </c>
      <c r="O23" s="102" t="str">
        <f>'Promo Form'!AO23</f>
        <v/>
      </c>
      <c r="P23" s="70" t="str">
        <f>'Promo Form'!AP23</f>
        <v/>
      </c>
      <c r="Q23" s="80"/>
      <c r="R23" s="16" t="str">
        <f>'Promo Form'!AU23</f>
        <v/>
      </c>
      <c r="S23" s="102" t="str">
        <f>'Promo Form'!BB23</f>
        <v/>
      </c>
      <c r="T23" s="70" t="str">
        <f>'Promo Form'!BC23</f>
        <v/>
      </c>
      <c r="U23" s="80"/>
      <c r="V23" s="16" t="str">
        <f>'Promo Form'!BH23</f>
        <v/>
      </c>
      <c r="W23" s="102" t="str">
        <f>'Promo Form'!BO23</f>
        <v/>
      </c>
      <c r="X23" s="70" t="str">
        <f>'Promo Form'!BP23</f>
        <v/>
      </c>
      <c r="Y23" s="80"/>
      <c r="Z23" s="16" t="str">
        <f>'Promo Form'!BU23</f>
        <v/>
      </c>
      <c r="AA23" s="102" t="str">
        <f>'Promo Form'!CB23</f>
        <v/>
      </c>
      <c r="AB23" s="70" t="str">
        <f>'Promo Form'!CC23</f>
        <v/>
      </c>
      <c r="AC23" s="80"/>
      <c r="AD23" s="16" t="str">
        <f>'Promo Form'!CH23</f>
        <v/>
      </c>
      <c r="AE23" s="102" t="str">
        <f>'Promo Form'!CO23</f>
        <v/>
      </c>
      <c r="AF23" s="70" t="str">
        <f>'Promo Form'!CP23</f>
        <v/>
      </c>
      <c r="AG23" s="80"/>
      <c r="AH23" s="17" t="str">
        <f>'Promo Form'!CS23</f>
        <v/>
      </c>
      <c r="AI23" s="17" t="str">
        <f>'Promo Form'!CT23</f>
        <v/>
      </c>
      <c r="AJ23" s="99" t="str">
        <f>'Promo Form'!CU23</f>
        <v/>
      </c>
      <c r="AK23" s="17" t="str">
        <f>'Promo Form'!CV23</f>
        <v/>
      </c>
      <c r="AL23" s="98">
        <f>'Promo Form'!CW23</f>
        <v>0</v>
      </c>
    </row>
    <row r="24" spans="1:38" x14ac:dyDescent="0.2">
      <c r="A24" s="12" t="str">
        <f>'Promo Form'!A24</f>
        <v/>
      </c>
      <c r="B24" s="12" t="str">
        <f>'Promo Form'!B24</f>
        <v/>
      </c>
      <c r="C24" s="13">
        <f>'Promo Form'!C24</f>
        <v>0</v>
      </c>
      <c r="D24" s="14" t="str">
        <f>'Promo Form'!D24</f>
        <v/>
      </c>
      <c r="E24" s="15"/>
      <c r="F24" s="16" t="str">
        <f>'Promo Form'!H24</f>
        <v/>
      </c>
      <c r="G24" s="102" t="str">
        <f>'Promo Form'!O24</f>
        <v/>
      </c>
      <c r="H24" s="70" t="str">
        <f>'Promo Form'!P24</f>
        <v/>
      </c>
      <c r="I24" s="80"/>
      <c r="J24" s="16" t="str">
        <f>'Promo Form'!U24</f>
        <v/>
      </c>
      <c r="K24" s="102" t="str">
        <f>'Promo Form'!AB24</f>
        <v/>
      </c>
      <c r="L24" s="70" t="str">
        <f>'Promo Form'!AC24</f>
        <v/>
      </c>
      <c r="M24" s="80"/>
      <c r="N24" s="16" t="str">
        <f>'Promo Form'!AH24</f>
        <v/>
      </c>
      <c r="O24" s="102" t="str">
        <f>'Promo Form'!AO24</f>
        <v/>
      </c>
      <c r="P24" s="70" t="str">
        <f>'Promo Form'!AP24</f>
        <v/>
      </c>
      <c r="Q24" s="80"/>
      <c r="R24" s="16" t="str">
        <f>'Promo Form'!AU24</f>
        <v/>
      </c>
      <c r="S24" s="102" t="str">
        <f>'Promo Form'!BB24</f>
        <v/>
      </c>
      <c r="T24" s="70" t="str">
        <f>'Promo Form'!BC24</f>
        <v/>
      </c>
      <c r="U24" s="80"/>
      <c r="V24" s="16" t="str">
        <f>'Promo Form'!BH24</f>
        <v/>
      </c>
      <c r="W24" s="102" t="str">
        <f>'Promo Form'!BO24</f>
        <v/>
      </c>
      <c r="X24" s="70" t="str">
        <f>'Promo Form'!BP24</f>
        <v/>
      </c>
      <c r="Y24" s="80"/>
      <c r="Z24" s="16" t="str">
        <f>'Promo Form'!BU24</f>
        <v/>
      </c>
      <c r="AA24" s="102" t="str">
        <f>'Promo Form'!CB24</f>
        <v/>
      </c>
      <c r="AB24" s="70" t="str">
        <f>'Promo Form'!CC24</f>
        <v/>
      </c>
      <c r="AC24" s="80"/>
      <c r="AD24" s="16" t="str">
        <f>'Promo Form'!CH24</f>
        <v/>
      </c>
      <c r="AE24" s="102" t="str">
        <f>'Promo Form'!CO24</f>
        <v/>
      </c>
      <c r="AF24" s="70" t="str">
        <f>'Promo Form'!CP24</f>
        <v/>
      </c>
      <c r="AG24" s="80"/>
      <c r="AH24" s="17" t="str">
        <f>'Promo Form'!CS24</f>
        <v/>
      </c>
      <c r="AI24" s="17" t="str">
        <f>'Promo Form'!CT24</f>
        <v/>
      </c>
      <c r="AJ24" s="99" t="str">
        <f>'Promo Form'!CU24</f>
        <v/>
      </c>
      <c r="AK24" s="17" t="str">
        <f>'Promo Form'!CV24</f>
        <v/>
      </c>
      <c r="AL24" s="98">
        <f>'Promo Form'!CW24</f>
        <v>0</v>
      </c>
    </row>
    <row r="25" spans="1:38" x14ac:dyDescent="0.2">
      <c r="A25" s="12" t="str">
        <f>'Promo Form'!A25</f>
        <v/>
      </c>
      <c r="B25" s="12" t="str">
        <f>'Promo Form'!B25</f>
        <v/>
      </c>
      <c r="C25" s="13">
        <f>'Promo Form'!C25</f>
        <v>0</v>
      </c>
      <c r="D25" s="14" t="str">
        <f>'Promo Form'!D25</f>
        <v/>
      </c>
      <c r="E25" s="15"/>
      <c r="F25" s="16" t="str">
        <f>'Promo Form'!H25</f>
        <v/>
      </c>
      <c r="G25" s="102" t="str">
        <f>'Promo Form'!O25</f>
        <v/>
      </c>
      <c r="H25" s="70" t="str">
        <f>'Promo Form'!P25</f>
        <v/>
      </c>
      <c r="I25" s="80"/>
      <c r="J25" s="16" t="str">
        <f>'Promo Form'!U25</f>
        <v/>
      </c>
      <c r="K25" s="102" t="str">
        <f>'Promo Form'!AB25</f>
        <v/>
      </c>
      <c r="L25" s="70" t="str">
        <f>'Promo Form'!AC25</f>
        <v/>
      </c>
      <c r="M25" s="80"/>
      <c r="N25" s="16" t="str">
        <f>'Promo Form'!AH25</f>
        <v/>
      </c>
      <c r="O25" s="102" t="str">
        <f>'Promo Form'!AO25</f>
        <v/>
      </c>
      <c r="P25" s="70" t="str">
        <f>'Promo Form'!AP25</f>
        <v/>
      </c>
      <c r="Q25" s="80"/>
      <c r="R25" s="16" t="str">
        <f>'Promo Form'!AU25</f>
        <v/>
      </c>
      <c r="S25" s="102" t="str">
        <f>'Promo Form'!BB25</f>
        <v/>
      </c>
      <c r="T25" s="70" t="str">
        <f>'Promo Form'!BC25</f>
        <v/>
      </c>
      <c r="U25" s="80"/>
      <c r="V25" s="16" t="str">
        <f>'Promo Form'!BH25</f>
        <v/>
      </c>
      <c r="W25" s="102" t="str">
        <f>'Promo Form'!BO25</f>
        <v/>
      </c>
      <c r="X25" s="70" t="str">
        <f>'Promo Form'!BP25</f>
        <v/>
      </c>
      <c r="Y25" s="80"/>
      <c r="Z25" s="16" t="str">
        <f>'Promo Form'!BU25</f>
        <v/>
      </c>
      <c r="AA25" s="102" t="str">
        <f>'Promo Form'!CB25</f>
        <v/>
      </c>
      <c r="AB25" s="70" t="str">
        <f>'Promo Form'!CC25</f>
        <v/>
      </c>
      <c r="AC25" s="80"/>
      <c r="AD25" s="16" t="str">
        <f>'Promo Form'!CH25</f>
        <v/>
      </c>
      <c r="AE25" s="102" t="str">
        <f>'Promo Form'!CO25</f>
        <v/>
      </c>
      <c r="AF25" s="70" t="str">
        <f>'Promo Form'!CP25</f>
        <v/>
      </c>
      <c r="AG25" s="80"/>
      <c r="AH25" s="17" t="str">
        <f>'Promo Form'!CS25</f>
        <v/>
      </c>
      <c r="AI25" s="17" t="str">
        <f>'Promo Form'!CT25</f>
        <v/>
      </c>
      <c r="AJ25" s="99" t="str">
        <f>'Promo Form'!CU25</f>
        <v/>
      </c>
      <c r="AK25" s="17" t="str">
        <f>'Promo Form'!CV25</f>
        <v/>
      </c>
      <c r="AL25" s="98">
        <f>'Promo Form'!CW25</f>
        <v>0</v>
      </c>
    </row>
    <row r="26" spans="1:38" x14ac:dyDescent="0.2">
      <c r="A26" s="12" t="str">
        <f>'Promo Form'!A26</f>
        <v/>
      </c>
      <c r="B26" s="12" t="str">
        <f>'Promo Form'!B26</f>
        <v/>
      </c>
      <c r="C26" s="13">
        <f>'Promo Form'!C26</f>
        <v>0</v>
      </c>
      <c r="D26" s="14" t="str">
        <f>'Promo Form'!D26</f>
        <v/>
      </c>
      <c r="E26" s="15"/>
      <c r="F26" s="16" t="str">
        <f>'Promo Form'!H26</f>
        <v/>
      </c>
      <c r="G26" s="102" t="str">
        <f>'Promo Form'!O26</f>
        <v/>
      </c>
      <c r="H26" s="70" t="str">
        <f>'Promo Form'!P26</f>
        <v/>
      </c>
      <c r="I26" s="80"/>
      <c r="J26" s="16" t="str">
        <f>'Promo Form'!U26</f>
        <v/>
      </c>
      <c r="K26" s="102" t="str">
        <f>'Promo Form'!AB26</f>
        <v/>
      </c>
      <c r="L26" s="70" t="str">
        <f>'Promo Form'!AC26</f>
        <v/>
      </c>
      <c r="M26" s="80"/>
      <c r="N26" s="16" t="str">
        <f>'Promo Form'!AH26</f>
        <v/>
      </c>
      <c r="O26" s="102" t="str">
        <f>'Promo Form'!AO26</f>
        <v/>
      </c>
      <c r="P26" s="70" t="str">
        <f>'Promo Form'!AP26</f>
        <v/>
      </c>
      <c r="Q26" s="80"/>
      <c r="R26" s="16" t="str">
        <f>'Promo Form'!AU26</f>
        <v/>
      </c>
      <c r="S26" s="102" t="str">
        <f>'Promo Form'!BB26</f>
        <v/>
      </c>
      <c r="T26" s="70" t="str">
        <f>'Promo Form'!BC26</f>
        <v/>
      </c>
      <c r="U26" s="80"/>
      <c r="V26" s="16" t="str">
        <f>'Promo Form'!BH26</f>
        <v/>
      </c>
      <c r="W26" s="102" t="str">
        <f>'Promo Form'!BO26</f>
        <v/>
      </c>
      <c r="X26" s="70" t="str">
        <f>'Promo Form'!BP26</f>
        <v/>
      </c>
      <c r="Y26" s="80"/>
      <c r="Z26" s="16" t="str">
        <f>'Promo Form'!BU26</f>
        <v/>
      </c>
      <c r="AA26" s="102" t="str">
        <f>'Promo Form'!CB26</f>
        <v/>
      </c>
      <c r="AB26" s="70" t="str">
        <f>'Promo Form'!CC26</f>
        <v/>
      </c>
      <c r="AC26" s="80"/>
      <c r="AD26" s="16" t="str">
        <f>'Promo Form'!CH26</f>
        <v/>
      </c>
      <c r="AE26" s="102" t="str">
        <f>'Promo Form'!CO26</f>
        <v/>
      </c>
      <c r="AF26" s="70" t="str">
        <f>'Promo Form'!CP26</f>
        <v/>
      </c>
      <c r="AG26" s="80"/>
      <c r="AH26" s="17" t="str">
        <f>'Promo Form'!CS26</f>
        <v/>
      </c>
      <c r="AI26" s="17" t="str">
        <f>'Promo Form'!CT26</f>
        <v/>
      </c>
      <c r="AJ26" s="99" t="str">
        <f>'Promo Form'!CU26</f>
        <v/>
      </c>
      <c r="AK26" s="17" t="str">
        <f>'Promo Form'!CV26</f>
        <v/>
      </c>
      <c r="AL26" s="98">
        <f>'Promo Form'!CW26</f>
        <v>0</v>
      </c>
    </row>
    <row r="27" spans="1:38" x14ac:dyDescent="0.2">
      <c r="A27" s="12" t="str">
        <f>'Promo Form'!A27</f>
        <v/>
      </c>
      <c r="B27" s="12" t="str">
        <f>'Promo Form'!B27</f>
        <v/>
      </c>
      <c r="C27" s="13">
        <f>'Promo Form'!C27</f>
        <v>0</v>
      </c>
      <c r="D27" s="14" t="str">
        <f>'Promo Form'!D27</f>
        <v/>
      </c>
      <c r="E27" s="15"/>
      <c r="F27" s="16" t="str">
        <f>'Promo Form'!H27</f>
        <v/>
      </c>
      <c r="G27" s="102" t="str">
        <f>'Promo Form'!O27</f>
        <v/>
      </c>
      <c r="H27" s="70" t="str">
        <f>'Promo Form'!P27</f>
        <v/>
      </c>
      <c r="I27" s="80"/>
      <c r="J27" s="16" t="str">
        <f>'Promo Form'!U27</f>
        <v/>
      </c>
      <c r="K27" s="102" t="str">
        <f>'Promo Form'!AB27</f>
        <v/>
      </c>
      <c r="L27" s="70" t="str">
        <f>'Promo Form'!AC27</f>
        <v/>
      </c>
      <c r="M27" s="80"/>
      <c r="N27" s="16" t="str">
        <f>'Promo Form'!AH27</f>
        <v/>
      </c>
      <c r="O27" s="102" t="str">
        <f>'Promo Form'!AO27</f>
        <v/>
      </c>
      <c r="P27" s="70" t="str">
        <f>'Promo Form'!AP27</f>
        <v/>
      </c>
      <c r="Q27" s="80"/>
      <c r="R27" s="16" t="str">
        <f>'Promo Form'!AU27</f>
        <v/>
      </c>
      <c r="S27" s="102" t="str">
        <f>'Promo Form'!BB27</f>
        <v/>
      </c>
      <c r="T27" s="70" t="str">
        <f>'Promo Form'!BC27</f>
        <v/>
      </c>
      <c r="U27" s="80"/>
      <c r="V27" s="16" t="str">
        <f>'Promo Form'!BH27</f>
        <v/>
      </c>
      <c r="W27" s="102" t="str">
        <f>'Promo Form'!BO27</f>
        <v/>
      </c>
      <c r="X27" s="70" t="str">
        <f>'Promo Form'!BP27</f>
        <v/>
      </c>
      <c r="Y27" s="80"/>
      <c r="Z27" s="16" t="str">
        <f>'Promo Form'!BU27</f>
        <v/>
      </c>
      <c r="AA27" s="102" t="str">
        <f>'Promo Form'!CB27</f>
        <v/>
      </c>
      <c r="AB27" s="70" t="str">
        <f>'Promo Form'!CC27</f>
        <v/>
      </c>
      <c r="AC27" s="80"/>
      <c r="AD27" s="16" t="str">
        <f>'Promo Form'!CH27</f>
        <v/>
      </c>
      <c r="AE27" s="102" t="str">
        <f>'Promo Form'!CO27</f>
        <v/>
      </c>
      <c r="AF27" s="70" t="str">
        <f>'Promo Form'!CP27</f>
        <v/>
      </c>
      <c r="AG27" s="80"/>
      <c r="AH27" s="17" t="str">
        <f>'Promo Form'!CS27</f>
        <v/>
      </c>
      <c r="AI27" s="17" t="str">
        <f>'Promo Form'!CT27</f>
        <v/>
      </c>
      <c r="AJ27" s="99" t="str">
        <f>'Promo Form'!CU27</f>
        <v/>
      </c>
      <c r="AK27" s="17" t="str">
        <f>'Promo Form'!CV27</f>
        <v/>
      </c>
      <c r="AL27" s="98">
        <f>'Promo Form'!CW27</f>
        <v>0</v>
      </c>
    </row>
    <row r="28" spans="1:38" x14ac:dyDescent="0.2">
      <c r="A28" s="12" t="str">
        <f>'Promo Form'!A28</f>
        <v/>
      </c>
      <c r="B28" s="12" t="str">
        <f>'Promo Form'!B28</f>
        <v/>
      </c>
      <c r="C28" s="13">
        <f>'Promo Form'!C28</f>
        <v>0</v>
      </c>
      <c r="D28" s="14" t="str">
        <f>'Promo Form'!D28</f>
        <v/>
      </c>
      <c r="E28" s="15"/>
      <c r="F28" s="16" t="str">
        <f>'Promo Form'!H28</f>
        <v/>
      </c>
      <c r="G28" s="102" t="str">
        <f>'Promo Form'!O28</f>
        <v/>
      </c>
      <c r="H28" s="70" t="str">
        <f>'Promo Form'!P28</f>
        <v/>
      </c>
      <c r="I28" s="80"/>
      <c r="J28" s="16" t="str">
        <f>'Promo Form'!U28</f>
        <v/>
      </c>
      <c r="K28" s="102" t="str">
        <f>'Promo Form'!AB28</f>
        <v/>
      </c>
      <c r="L28" s="70" t="str">
        <f>'Promo Form'!AC28</f>
        <v/>
      </c>
      <c r="M28" s="80"/>
      <c r="N28" s="16" t="str">
        <f>'Promo Form'!AH28</f>
        <v/>
      </c>
      <c r="O28" s="102" t="str">
        <f>'Promo Form'!AO28</f>
        <v/>
      </c>
      <c r="P28" s="70" t="str">
        <f>'Promo Form'!AP28</f>
        <v/>
      </c>
      <c r="Q28" s="80"/>
      <c r="R28" s="16" t="str">
        <f>'Promo Form'!AU28</f>
        <v/>
      </c>
      <c r="S28" s="102" t="str">
        <f>'Promo Form'!BB28</f>
        <v/>
      </c>
      <c r="T28" s="70" t="str">
        <f>'Promo Form'!BC28</f>
        <v/>
      </c>
      <c r="U28" s="80"/>
      <c r="V28" s="16" t="str">
        <f>'Promo Form'!BH28</f>
        <v/>
      </c>
      <c r="W28" s="102" t="str">
        <f>'Promo Form'!BO28</f>
        <v/>
      </c>
      <c r="X28" s="70" t="str">
        <f>'Promo Form'!BP28</f>
        <v/>
      </c>
      <c r="Y28" s="80"/>
      <c r="Z28" s="16" t="str">
        <f>'Promo Form'!BU28</f>
        <v/>
      </c>
      <c r="AA28" s="102" t="str">
        <f>'Promo Form'!CB28</f>
        <v/>
      </c>
      <c r="AB28" s="70" t="str">
        <f>'Promo Form'!CC28</f>
        <v/>
      </c>
      <c r="AC28" s="80"/>
      <c r="AD28" s="16" t="str">
        <f>'Promo Form'!CH28</f>
        <v/>
      </c>
      <c r="AE28" s="102" t="str">
        <f>'Promo Form'!CO28</f>
        <v/>
      </c>
      <c r="AF28" s="70" t="str">
        <f>'Promo Form'!CP28</f>
        <v/>
      </c>
      <c r="AG28" s="80"/>
      <c r="AH28" s="17" t="str">
        <f>'Promo Form'!CS28</f>
        <v/>
      </c>
      <c r="AI28" s="17" t="str">
        <f>'Promo Form'!CT28</f>
        <v/>
      </c>
      <c r="AJ28" s="99" t="str">
        <f>'Promo Form'!CU28</f>
        <v/>
      </c>
      <c r="AK28" s="17" t="str">
        <f>'Promo Form'!CV28</f>
        <v/>
      </c>
      <c r="AL28" s="98">
        <f>'Promo Form'!CW28</f>
        <v>0</v>
      </c>
    </row>
    <row r="29" spans="1:38" x14ac:dyDescent="0.2">
      <c r="A29" s="12" t="str">
        <f>'Promo Form'!A29</f>
        <v/>
      </c>
      <c r="B29" s="12" t="str">
        <f>'Promo Form'!B29</f>
        <v/>
      </c>
      <c r="C29" s="13">
        <f>'Promo Form'!C29</f>
        <v>0</v>
      </c>
      <c r="D29" s="14" t="str">
        <f>'Promo Form'!D29</f>
        <v/>
      </c>
      <c r="E29" s="15"/>
      <c r="F29" s="16" t="str">
        <f>'Promo Form'!H29</f>
        <v/>
      </c>
      <c r="G29" s="102" t="str">
        <f>'Promo Form'!O29</f>
        <v/>
      </c>
      <c r="H29" s="70" t="str">
        <f>'Promo Form'!P29</f>
        <v/>
      </c>
      <c r="I29" s="80"/>
      <c r="J29" s="16" t="str">
        <f>'Promo Form'!U29</f>
        <v/>
      </c>
      <c r="K29" s="102" t="str">
        <f>'Promo Form'!AB29</f>
        <v/>
      </c>
      <c r="L29" s="70" t="str">
        <f>'Promo Form'!AC29</f>
        <v/>
      </c>
      <c r="M29" s="80"/>
      <c r="N29" s="16" t="str">
        <f>'Promo Form'!AH29</f>
        <v/>
      </c>
      <c r="O29" s="102" t="str">
        <f>'Promo Form'!AO29</f>
        <v/>
      </c>
      <c r="P29" s="70" t="str">
        <f>'Promo Form'!AP29</f>
        <v/>
      </c>
      <c r="Q29" s="80"/>
      <c r="R29" s="16" t="str">
        <f>'Promo Form'!AU29</f>
        <v/>
      </c>
      <c r="S29" s="102" t="str">
        <f>'Promo Form'!BB29</f>
        <v/>
      </c>
      <c r="T29" s="70" t="str">
        <f>'Promo Form'!BC29</f>
        <v/>
      </c>
      <c r="U29" s="80"/>
      <c r="V29" s="16" t="str">
        <f>'Promo Form'!BH29</f>
        <v/>
      </c>
      <c r="W29" s="102" t="str">
        <f>'Promo Form'!BO29</f>
        <v/>
      </c>
      <c r="X29" s="70" t="str">
        <f>'Promo Form'!BP29</f>
        <v/>
      </c>
      <c r="Y29" s="80"/>
      <c r="Z29" s="16" t="str">
        <f>'Promo Form'!BU29</f>
        <v/>
      </c>
      <c r="AA29" s="102" t="str">
        <f>'Promo Form'!CB29</f>
        <v/>
      </c>
      <c r="AB29" s="70" t="str">
        <f>'Promo Form'!CC29</f>
        <v/>
      </c>
      <c r="AC29" s="80"/>
      <c r="AD29" s="16" t="str">
        <f>'Promo Form'!CH29</f>
        <v/>
      </c>
      <c r="AE29" s="102" t="str">
        <f>'Promo Form'!CO29</f>
        <v/>
      </c>
      <c r="AF29" s="70" t="str">
        <f>'Promo Form'!CP29</f>
        <v/>
      </c>
      <c r="AG29" s="80"/>
      <c r="AH29" s="17" t="str">
        <f>'Promo Form'!CS29</f>
        <v/>
      </c>
      <c r="AI29" s="17" t="str">
        <f>'Promo Form'!CT29</f>
        <v/>
      </c>
      <c r="AJ29" s="99" t="str">
        <f>'Promo Form'!CU29</f>
        <v/>
      </c>
      <c r="AK29" s="17" t="str">
        <f>'Promo Form'!CV29</f>
        <v/>
      </c>
      <c r="AL29" s="98">
        <f>'Promo Form'!CW29</f>
        <v>0</v>
      </c>
    </row>
    <row r="30" spans="1:38" x14ac:dyDescent="0.2">
      <c r="A30" s="12" t="str">
        <f>'Promo Form'!A30</f>
        <v/>
      </c>
      <c r="B30" s="12" t="str">
        <f>'Promo Form'!B30</f>
        <v/>
      </c>
      <c r="C30" s="13">
        <f>'Promo Form'!C30</f>
        <v>0</v>
      </c>
      <c r="D30" s="14" t="str">
        <f>'Promo Form'!D30</f>
        <v/>
      </c>
      <c r="E30" s="15"/>
      <c r="F30" s="16" t="str">
        <f>'Promo Form'!H30</f>
        <v/>
      </c>
      <c r="G30" s="102" t="str">
        <f>'Promo Form'!O30</f>
        <v/>
      </c>
      <c r="H30" s="70" t="str">
        <f>'Promo Form'!P30</f>
        <v/>
      </c>
      <c r="I30" s="80"/>
      <c r="J30" s="16" t="str">
        <f>'Promo Form'!U30</f>
        <v/>
      </c>
      <c r="K30" s="102" t="str">
        <f>'Promo Form'!AB30</f>
        <v/>
      </c>
      <c r="L30" s="70" t="str">
        <f>'Promo Form'!AC30</f>
        <v/>
      </c>
      <c r="M30" s="80"/>
      <c r="N30" s="16" t="str">
        <f>'Promo Form'!AH30</f>
        <v/>
      </c>
      <c r="O30" s="102" t="str">
        <f>'Promo Form'!AO30</f>
        <v/>
      </c>
      <c r="P30" s="70" t="str">
        <f>'Promo Form'!AP30</f>
        <v/>
      </c>
      <c r="Q30" s="80"/>
      <c r="R30" s="16" t="str">
        <f>'Promo Form'!AU30</f>
        <v/>
      </c>
      <c r="S30" s="102" t="str">
        <f>'Promo Form'!BB30</f>
        <v/>
      </c>
      <c r="T30" s="70" t="str">
        <f>'Promo Form'!BC30</f>
        <v/>
      </c>
      <c r="U30" s="80"/>
      <c r="V30" s="16" t="str">
        <f>'Promo Form'!BH30</f>
        <v/>
      </c>
      <c r="W30" s="102" t="str">
        <f>'Promo Form'!BO30</f>
        <v/>
      </c>
      <c r="X30" s="70" t="str">
        <f>'Promo Form'!BP30</f>
        <v/>
      </c>
      <c r="Y30" s="80"/>
      <c r="Z30" s="16" t="str">
        <f>'Promo Form'!BU30</f>
        <v/>
      </c>
      <c r="AA30" s="102" t="str">
        <f>'Promo Form'!CB30</f>
        <v/>
      </c>
      <c r="AB30" s="70" t="str">
        <f>'Promo Form'!CC30</f>
        <v/>
      </c>
      <c r="AC30" s="80"/>
      <c r="AD30" s="16" t="str">
        <f>'Promo Form'!CH30</f>
        <v/>
      </c>
      <c r="AE30" s="102" t="str">
        <f>'Promo Form'!CO30</f>
        <v/>
      </c>
      <c r="AF30" s="70" t="str">
        <f>'Promo Form'!CP30</f>
        <v/>
      </c>
      <c r="AG30" s="80"/>
      <c r="AH30" s="17" t="str">
        <f>'Promo Form'!CS30</f>
        <v/>
      </c>
      <c r="AI30" s="17" t="str">
        <f>'Promo Form'!CT30</f>
        <v/>
      </c>
      <c r="AJ30" s="99" t="str">
        <f>'Promo Form'!CU30</f>
        <v/>
      </c>
      <c r="AK30" s="17" t="str">
        <f>'Promo Form'!CV30</f>
        <v/>
      </c>
      <c r="AL30" s="98">
        <f>'Promo Form'!CW30</f>
        <v>0</v>
      </c>
    </row>
    <row r="31" spans="1:38" x14ac:dyDescent="0.2">
      <c r="A31" s="12" t="str">
        <f>'Promo Form'!A31</f>
        <v/>
      </c>
      <c r="B31" s="12" t="str">
        <f>'Promo Form'!B31</f>
        <v/>
      </c>
      <c r="C31" s="13">
        <f>'Promo Form'!C31</f>
        <v>0</v>
      </c>
      <c r="D31" s="14" t="str">
        <f>'Promo Form'!D31</f>
        <v/>
      </c>
      <c r="E31" s="15"/>
      <c r="F31" s="16" t="str">
        <f>'Promo Form'!H31</f>
        <v/>
      </c>
      <c r="G31" s="102" t="str">
        <f>'Promo Form'!O31</f>
        <v/>
      </c>
      <c r="H31" s="70" t="str">
        <f>'Promo Form'!P31</f>
        <v/>
      </c>
      <c r="I31" s="80"/>
      <c r="J31" s="16" t="str">
        <f>'Promo Form'!U31</f>
        <v/>
      </c>
      <c r="K31" s="102" t="str">
        <f>'Promo Form'!AB31</f>
        <v/>
      </c>
      <c r="L31" s="70" t="str">
        <f>'Promo Form'!AC31</f>
        <v/>
      </c>
      <c r="M31" s="80"/>
      <c r="N31" s="16" t="str">
        <f>'Promo Form'!AH31</f>
        <v/>
      </c>
      <c r="O31" s="102" t="str">
        <f>'Promo Form'!AO31</f>
        <v/>
      </c>
      <c r="P31" s="70" t="str">
        <f>'Promo Form'!AP31</f>
        <v/>
      </c>
      <c r="Q31" s="80"/>
      <c r="R31" s="16" t="str">
        <f>'Promo Form'!AU31</f>
        <v/>
      </c>
      <c r="S31" s="102" t="str">
        <f>'Promo Form'!BB31</f>
        <v/>
      </c>
      <c r="T31" s="70" t="str">
        <f>'Promo Form'!BC31</f>
        <v/>
      </c>
      <c r="U31" s="80"/>
      <c r="V31" s="16" t="str">
        <f>'Promo Form'!BH31</f>
        <v/>
      </c>
      <c r="W31" s="102" t="str">
        <f>'Promo Form'!BO31</f>
        <v/>
      </c>
      <c r="X31" s="70" t="str">
        <f>'Promo Form'!BP31</f>
        <v/>
      </c>
      <c r="Y31" s="80"/>
      <c r="Z31" s="16" t="str">
        <f>'Promo Form'!BU31</f>
        <v/>
      </c>
      <c r="AA31" s="102" t="str">
        <f>'Promo Form'!CB31</f>
        <v/>
      </c>
      <c r="AB31" s="70" t="str">
        <f>'Promo Form'!CC31</f>
        <v/>
      </c>
      <c r="AC31" s="80"/>
      <c r="AD31" s="16" t="str">
        <f>'Promo Form'!CH31</f>
        <v/>
      </c>
      <c r="AE31" s="102" t="str">
        <f>'Promo Form'!CO31</f>
        <v/>
      </c>
      <c r="AF31" s="70" t="str">
        <f>'Promo Form'!CP31</f>
        <v/>
      </c>
      <c r="AG31" s="80"/>
      <c r="AH31" s="17" t="str">
        <f>'Promo Form'!CS31</f>
        <v/>
      </c>
      <c r="AI31" s="17" t="str">
        <f>'Promo Form'!CT31</f>
        <v/>
      </c>
      <c r="AJ31" s="99" t="str">
        <f>'Promo Form'!CU31</f>
        <v/>
      </c>
      <c r="AK31" s="17" t="str">
        <f>'Promo Form'!CV31</f>
        <v/>
      </c>
      <c r="AL31" s="98">
        <f>'Promo Form'!CW31</f>
        <v>0</v>
      </c>
    </row>
    <row r="32" spans="1:38" x14ac:dyDescent="0.2">
      <c r="A32" s="12" t="str">
        <f>'Promo Form'!A32</f>
        <v/>
      </c>
      <c r="B32" s="12" t="str">
        <f>'Promo Form'!B32</f>
        <v/>
      </c>
      <c r="C32" s="13">
        <f>'Promo Form'!C32</f>
        <v>0</v>
      </c>
      <c r="D32" s="14" t="str">
        <f>'Promo Form'!D32</f>
        <v/>
      </c>
      <c r="E32" s="15"/>
      <c r="F32" s="16" t="str">
        <f>'Promo Form'!H32</f>
        <v/>
      </c>
      <c r="G32" s="102" t="str">
        <f>'Promo Form'!O32</f>
        <v/>
      </c>
      <c r="H32" s="70" t="str">
        <f>'Promo Form'!P32</f>
        <v/>
      </c>
      <c r="I32" s="80"/>
      <c r="J32" s="16" t="str">
        <f>'Promo Form'!U32</f>
        <v/>
      </c>
      <c r="K32" s="102" t="str">
        <f>'Promo Form'!AB32</f>
        <v/>
      </c>
      <c r="L32" s="70" t="str">
        <f>'Promo Form'!AC32</f>
        <v/>
      </c>
      <c r="M32" s="80"/>
      <c r="N32" s="16" t="str">
        <f>'Promo Form'!AH32</f>
        <v/>
      </c>
      <c r="O32" s="102" t="str">
        <f>'Promo Form'!AO32</f>
        <v/>
      </c>
      <c r="P32" s="70" t="str">
        <f>'Promo Form'!AP32</f>
        <v/>
      </c>
      <c r="Q32" s="80"/>
      <c r="R32" s="16" t="str">
        <f>'Promo Form'!AU32</f>
        <v/>
      </c>
      <c r="S32" s="102" t="str">
        <f>'Promo Form'!BB32</f>
        <v/>
      </c>
      <c r="T32" s="70" t="str">
        <f>'Promo Form'!BC32</f>
        <v/>
      </c>
      <c r="U32" s="80"/>
      <c r="V32" s="16" t="str">
        <f>'Promo Form'!BH32</f>
        <v/>
      </c>
      <c r="W32" s="102" t="str">
        <f>'Promo Form'!BO32</f>
        <v/>
      </c>
      <c r="X32" s="70" t="str">
        <f>'Promo Form'!BP32</f>
        <v/>
      </c>
      <c r="Y32" s="80"/>
      <c r="Z32" s="16" t="str">
        <f>'Promo Form'!BU32</f>
        <v/>
      </c>
      <c r="AA32" s="102" t="str">
        <f>'Promo Form'!CB32</f>
        <v/>
      </c>
      <c r="AB32" s="70" t="str">
        <f>'Promo Form'!CC32</f>
        <v/>
      </c>
      <c r="AC32" s="80"/>
      <c r="AD32" s="16" t="str">
        <f>'Promo Form'!CH32</f>
        <v/>
      </c>
      <c r="AE32" s="102" t="str">
        <f>'Promo Form'!CO32</f>
        <v/>
      </c>
      <c r="AF32" s="70" t="str">
        <f>'Promo Form'!CP32</f>
        <v/>
      </c>
      <c r="AG32" s="80"/>
      <c r="AH32" s="17" t="str">
        <f>'Promo Form'!CS32</f>
        <v/>
      </c>
      <c r="AI32" s="17" t="str">
        <f>'Promo Form'!CT32</f>
        <v/>
      </c>
      <c r="AJ32" s="99" t="str">
        <f>'Promo Form'!CU32</f>
        <v/>
      </c>
      <c r="AK32" s="17" t="str">
        <f>'Promo Form'!CV32</f>
        <v/>
      </c>
      <c r="AL32" s="98">
        <f>'Promo Form'!CW32</f>
        <v>0</v>
      </c>
    </row>
    <row r="33" spans="1:38" x14ac:dyDescent="0.2">
      <c r="A33" s="12" t="str">
        <f>'Promo Form'!A33</f>
        <v/>
      </c>
      <c r="B33" s="12" t="str">
        <f>'Promo Form'!B33</f>
        <v/>
      </c>
      <c r="C33" s="13">
        <f>'Promo Form'!C33</f>
        <v>0</v>
      </c>
      <c r="D33" s="14" t="str">
        <f>'Promo Form'!D33</f>
        <v/>
      </c>
      <c r="E33" s="15"/>
      <c r="F33" s="16" t="str">
        <f>'Promo Form'!H33</f>
        <v/>
      </c>
      <c r="G33" s="102" t="str">
        <f>'Promo Form'!O33</f>
        <v/>
      </c>
      <c r="H33" s="70" t="str">
        <f>'Promo Form'!P33</f>
        <v/>
      </c>
      <c r="I33" s="80"/>
      <c r="J33" s="16" t="str">
        <f>'Promo Form'!U33</f>
        <v/>
      </c>
      <c r="K33" s="102" t="str">
        <f>'Promo Form'!AB33</f>
        <v/>
      </c>
      <c r="L33" s="70" t="str">
        <f>'Promo Form'!AC33</f>
        <v/>
      </c>
      <c r="M33" s="80"/>
      <c r="N33" s="16" t="str">
        <f>'Promo Form'!AH33</f>
        <v/>
      </c>
      <c r="O33" s="102" t="str">
        <f>'Promo Form'!AO33</f>
        <v/>
      </c>
      <c r="P33" s="70" t="str">
        <f>'Promo Form'!AP33</f>
        <v/>
      </c>
      <c r="Q33" s="80"/>
      <c r="R33" s="16" t="str">
        <f>'Promo Form'!AU33</f>
        <v/>
      </c>
      <c r="S33" s="102" t="str">
        <f>'Promo Form'!BB33</f>
        <v/>
      </c>
      <c r="T33" s="70" t="str">
        <f>'Promo Form'!BC33</f>
        <v/>
      </c>
      <c r="U33" s="80"/>
      <c r="V33" s="16" t="str">
        <f>'Promo Form'!BH33</f>
        <v/>
      </c>
      <c r="W33" s="102" t="str">
        <f>'Promo Form'!BO33</f>
        <v/>
      </c>
      <c r="X33" s="70" t="str">
        <f>'Promo Form'!BP33</f>
        <v/>
      </c>
      <c r="Y33" s="80"/>
      <c r="Z33" s="16" t="str">
        <f>'Promo Form'!BU33</f>
        <v/>
      </c>
      <c r="AA33" s="102" t="str">
        <f>'Promo Form'!CB33</f>
        <v/>
      </c>
      <c r="AB33" s="70" t="str">
        <f>'Promo Form'!CC33</f>
        <v/>
      </c>
      <c r="AC33" s="80"/>
      <c r="AD33" s="16" t="str">
        <f>'Promo Form'!CH33</f>
        <v/>
      </c>
      <c r="AE33" s="102" t="str">
        <f>'Promo Form'!CO33</f>
        <v/>
      </c>
      <c r="AF33" s="70" t="str">
        <f>'Promo Form'!CP33</f>
        <v/>
      </c>
      <c r="AG33" s="80"/>
      <c r="AH33" s="17" t="str">
        <f>'Promo Form'!CS33</f>
        <v/>
      </c>
      <c r="AI33" s="17" t="str">
        <f>'Promo Form'!CT33</f>
        <v/>
      </c>
      <c r="AJ33" s="99" t="str">
        <f>'Promo Form'!CU33</f>
        <v/>
      </c>
      <c r="AK33" s="17" t="str">
        <f>'Promo Form'!CV33</f>
        <v/>
      </c>
      <c r="AL33" s="98">
        <f>'Promo Form'!CW33</f>
        <v>0</v>
      </c>
    </row>
    <row r="34" spans="1:38" x14ac:dyDescent="0.2">
      <c r="A34" s="12" t="str">
        <f>'Promo Form'!A34</f>
        <v/>
      </c>
      <c r="B34" s="12" t="str">
        <f>'Promo Form'!B34</f>
        <v/>
      </c>
      <c r="C34" s="13">
        <f>'Promo Form'!C34</f>
        <v>0</v>
      </c>
      <c r="D34" s="14" t="str">
        <f>'Promo Form'!D34</f>
        <v/>
      </c>
      <c r="E34" s="15"/>
      <c r="F34" s="16" t="str">
        <f>'Promo Form'!H34</f>
        <v/>
      </c>
      <c r="G34" s="102" t="str">
        <f>'Promo Form'!O34</f>
        <v/>
      </c>
      <c r="H34" s="70" t="str">
        <f>'Promo Form'!P34</f>
        <v/>
      </c>
      <c r="I34" s="80"/>
      <c r="J34" s="16" t="str">
        <f>'Promo Form'!U34</f>
        <v/>
      </c>
      <c r="K34" s="102" t="str">
        <f>'Promo Form'!AB34</f>
        <v/>
      </c>
      <c r="L34" s="70" t="str">
        <f>'Promo Form'!AC34</f>
        <v/>
      </c>
      <c r="M34" s="80"/>
      <c r="N34" s="16" t="str">
        <f>'Promo Form'!AH34</f>
        <v/>
      </c>
      <c r="O34" s="102" t="str">
        <f>'Promo Form'!AO34</f>
        <v/>
      </c>
      <c r="P34" s="70" t="str">
        <f>'Promo Form'!AP34</f>
        <v/>
      </c>
      <c r="Q34" s="80"/>
      <c r="R34" s="16" t="str">
        <f>'Promo Form'!AU34</f>
        <v/>
      </c>
      <c r="S34" s="102" t="str">
        <f>'Promo Form'!BB34</f>
        <v/>
      </c>
      <c r="T34" s="70" t="str">
        <f>'Promo Form'!BC34</f>
        <v/>
      </c>
      <c r="U34" s="80"/>
      <c r="V34" s="16" t="str">
        <f>'Promo Form'!BH34</f>
        <v/>
      </c>
      <c r="W34" s="102" t="str">
        <f>'Promo Form'!BO34</f>
        <v/>
      </c>
      <c r="X34" s="70" t="str">
        <f>'Promo Form'!BP34</f>
        <v/>
      </c>
      <c r="Y34" s="80"/>
      <c r="Z34" s="16" t="str">
        <f>'Promo Form'!BU34</f>
        <v/>
      </c>
      <c r="AA34" s="102" t="str">
        <f>'Promo Form'!CB34</f>
        <v/>
      </c>
      <c r="AB34" s="70" t="str">
        <f>'Promo Form'!CC34</f>
        <v/>
      </c>
      <c r="AC34" s="80"/>
      <c r="AD34" s="16" t="str">
        <f>'Promo Form'!CH34</f>
        <v/>
      </c>
      <c r="AE34" s="102" t="str">
        <f>'Promo Form'!CO34</f>
        <v/>
      </c>
      <c r="AF34" s="70" t="str">
        <f>'Promo Form'!CP34</f>
        <v/>
      </c>
      <c r="AG34" s="80"/>
      <c r="AH34" s="17" t="str">
        <f>'Promo Form'!CS34</f>
        <v/>
      </c>
      <c r="AI34" s="17" t="str">
        <f>'Promo Form'!CT34</f>
        <v/>
      </c>
      <c r="AJ34" s="99" t="str">
        <f>'Promo Form'!CU34</f>
        <v/>
      </c>
      <c r="AK34" s="17" t="str">
        <f>'Promo Form'!CV34</f>
        <v/>
      </c>
      <c r="AL34" s="98">
        <f>'Promo Form'!CW34</f>
        <v>0</v>
      </c>
    </row>
    <row r="35" spans="1:38" x14ac:dyDescent="0.2">
      <c r="A35" s="12" t="str">
        <f>'Promo Form'!A35</f>
        <v/>
      </c>
      <c r="B35" s="12" t="str">
        <f>'Promo Form'!B35</f>
        <v/>
      </c>
      <c r="C35" s="13">
        <f>'Promo Form'!C35</f>
        <v>0</v>
      </c>
      <c r="D35" s="14" t="str">
        <f>'Promo Form'!D35</f>
        <v/>
      </c>
      <c r="E35" s="15"/>
      <c r="F35" s="16" t="str">
        <f>'Promo Form'!H35</f>
        <v/>
      </c>
      <c r="G35" s="102" t="str">
        <f>'Promo Form'!O35</f>
        <v/>
      </c>
      <c r="H35" s="70" t="str">
        <f>'Promo Form'!P35</f>
        <v/>
      </c>
      <c r="I35" s="80"/>
      <c r="J35" s="16" t="str">
        <f>'Promo Form'!U35</f>
        <v/>
      </c>
      <c r="K35" s="102" t="str">
        <f>'Promo Form'!AB35</f>
        <v/>
      </c>
      <c r="L35" s="70" t="str">
        <f>'Promo Form'!AC35</f>
        <v/>
      </c>
      <c r="M35" s="80"/>
      <c r="N35" s="16" t="str">
        <f>'Promo Form'!AH35</f>
        <v/>
      </c>
      <c r="O35" s="102" t="str">
        <f>'Promo Form'!AO35</f>
        <v/>
      </c>
      <c r="P35" s="70" t="str">
        <f>'Promo Form'!AP35</f>
        <v/>
      </c>
      <c r="Q35" s="80"/>
      <c r="R35" s="16" t="str">
        <f>'Promo Form'!AU35</f>
        <v/>
      </c>
      <c r="S35" s="102" t="str">
        <f>'Promo Form'!BB35</f>
        <v/>
      </c>
      <c r="T35" s="70" t="str">
        <f>'Promo Form'!BC35</f>
        <v/>
      </c>
      <c r="U35" s="80"/>
      <c r="V35" s="16" t="str">
        <f>'Promo Form'!BH35</f>
        <v/>
      </c>
      <c r="W35" s="102" t="str">
        <f>'Promo Form'!BO35</f>
        <v/>
      </c>
      <c r="X35" s="70" t="str">
        <f>'Promo Form'!BP35</f>
        <v/>
      </c>
      <c r="Y35" s="80"/>
      <c r="Z35" s="16" t="str">
        <f>'Promo Form'!BU35</f>
        <v/>
      </c>
      <c r="AA35" s="102" t="str">
        <f>'Promo Form'!CB35</f>
        <v/>
      </c>
      <c r="AB35" s="70" t="str">
        <f>'Promo Form'!CC35</f>
        <v/>
      </c>
      <c r="AC35" s="80"/>
      <c r="AD35" s="16" t="str">
        <f>'Promo Form'!CH35</f>
        <v/>
      </c>
      <c r="AE35" s="102" t="str">
        <f>'Promo Form'!CO35</f>
        <v/>
      </c>
      <c r="AF35" s="70" t="str">
        <f>'Promo Form'!CP35</f>
        <v/>
      </c>
      <c r="AG35" s="80"/>
      <c r="AH35" s="17" t="str">
        <f>'Promo Form'!CS35</f>
        <v/>
      </c>
      <c r="AI35" s="17" t="str">
        <f>'Promo Form'!CT35</f>
        <v/>
      </c>
      <c r="AJ35" s="99" t="str">
        <f>'Promo Form'!CU35</f>
        <v/>
      </c>
      <c r="AK35" s="17" t="str">
        <f>'Promo Form'!CV35</f>
        <v/>
      </c>
      <c r="AL35" s="98">
        <f>'Promo Form'!CW35</f>
        <v>0</v>
      </c>
    </row>
    <row r="36" spans="1:38" x14ac:dyDescent="0.2">
      <c r="A36" s="12" t="str">
        <f>'Promo Form'!A36</f>
        <v/>
      </c>
      <c r="B36" s="12" t="str">
        <f>'Promo Form'!B36</f>
        <v/>
      </c>
      <c r="C36" s="13">
        <f>'Promo Form'!C36</f>
        <v>0</v>
      </c>
      <c r="D36" s="14" t="str">
        <f>'Promo Form'!D36</f>
        <v/>
      </c>
      <c r="E36" s="15"/>
      <c r="F36" s="16" t="str">
        <f>'Promo Form'!H36</f>
        <v/>
      </c>
      <c r="G36" s="102" t="str">
        <f>'Promo Form'!O36</f>
        <v/>
      </c>
      <c r="H36" s="70" t="str">
        <f>'Promo Form'!P36</f>
        <v/>
      </c>
      <c r="I36" s="80"/>
      <c r="J36" s="16" t="str">
        <f>'Promo Form'!U36</f>
        <v/>
      </c>
      <c r="K36" s="102" t="str">
        <f>'Promo Form'!AB36</f>
        <v/>
      </c>
      <c r="L36" s="70" t="str">
        <f>'Promo Form'!AC36</f>
        <v/>
      </c>
      <c r="M36" s="80"/>
      <c r="N36" s="16" t="str">
        <f>'Promo Form'!AH36</f>
        <v/>
      </c>
      <c r="O36" s="102" t="str">
        <f>'Promo Form'!AO36</f>
        <v/>
      </c>
      <c r="P36" s="70" t="str">
        <f>'Promo Form'!AP36</f>
        <v/>
      </c>
      <c r="Q36" s="80"/>
      <c r="R36" s="16" t="str">
        <f>'Promo Form'!AU36</f>
        <v/>
      </c>
      <c r="S36" s="102" t="str">
        <f>'Promo Form'!BB36</f>
        <v/>
      </c>
      <c r="T36" s="70" t="str">
        <f>'Promo Form'!BC36</f>
        <v/>
      </c>
      <c r="U36" s="80"/>
      <c r="V36" s="16" t="str">
        <f>'Promo Form'!BH36</f>
        <v/>
      </c>
      <c r="W36" s="102" t="str">
        <f>'Promo Form'!BO36</f>
        <v/>
      </c>
      <c r="X36" s="70" t="str">
        <f>'Promo Form'!BP36</f>
        <v/>
      </c>
      <c r="Y36" s="80"/>
      <c r="Z36" s="16" t="str">
        <f>'Promo Form'!BU36</f>
        <v/>
      </c>
      <c r="AA36" s="102" t="str">
        <f>'Promo Form'!CB36</f>
        <v/>
      </c>
      <c r="AB36" s="70" t="str">
        <f>'Promo Form'!CC36</f>
        <v/>
      </c>
      <c r="AC36" s="80"/>
      <c r="AD36" s="16" t="str">
        <f>'Promo Form'!CH36</f>
        <v/>
      </c>
      <c r="AE36" s="102" t="str">
        <f>'Promo Form'!CO36</f>
        <v/>
      </c>
      <c r="AF36" s="70" t="str">
        <f>'Promo Form'!CP36</f>
        <v/>
      </c>
      <c r="AG36" s="80"/>
      <c r="AH36" s="17" t="str">
        <f>'Promo Form'!CS36</f>
        <v/>
      </c>
      <c r="AI36" s="17" t="str">
        <f>'Promo Form'!CT36</f>
        <v/>
      </c>
      <c r="AJ36" s="99" t="str">
        <f>'Promo Form'!CU36</f>
        <v/>
      </c>
      <c r="AK36" s="17" t="str">
        <f>'Promo Form'!CV36</f>
        <v/>
      </c>
      <c r="AL36" s="98">
        <f>'Promo Form'!CW36</f>
        <v>0</v>
      </c>
    </row>
    <row r="37" spans="1:38" x14ac:dyDescent="0.2">
      <c r="A37" s="12" t="str">
        <f>'Promo Form'!A37</f>
        <v/>
      </c>
      <c r="B37" s="12" t="str">
        <f>'Promo Form'!B37</f>
        <v/>
      </c>
      <c r="C37" s="13">
        <f>'Promo Form'!C37</f>
        <v>0</v>
      </c>
      <c r="D37" s="14" t="str">
        <f>'Promo Form'!D37</f>
        <v/>
      </c>
      <c r="E37" s="15"/>
      <c r="F37" s="16" t="str">
        <f>'Promo Form'!H37</f>
        <v/>
      </c>
      <c r="G37" s="102" t="str">
        <f>'Promo Form'!O37</f>
        <v/>
      </c>
      <c r="H37" s="70" t="str">
        <f>'Promo Form'!P37</f>
        <v/>
      </c>
      <c r="I37" s="80"/>
      <c r="J37" s="16" t="str">
        <f>'Promo Form'!U37</f>
        <v/>
      </c>
      <c r="K37" s="102" t="str">
        <f>'Promo Form'!AB37</f>
        <v/>
      </c>
      <c r="L37" s="70" t="str">
        <f>'Promo Form'!AC37</f>
        <v/>
      </c>
      <c r="M37" s="80"/>
      <c r="N37" s="16" t="str">
        <f>'Promo Form'!AH37</f>
        <v/>
      </c>
      <c r="O37" s="102" t="str">
        <f>'Promo Form'!AO37</f>
        <v/>
      </c>
      <c r="P37" s="70" t="str">
        <f>'Promo Form'!AP37</f>
        <v/>
      </c>
      <c r="Q37" s="80"/>
      <c r="R37" s="16" t="str">
        <f>'Promo Form'!AU37</f>
        <v/>
      </c>
      <c r="S37" s="102" t="str">
        <f>'Promo Form'!BB37</f>
        <v/>
      </c>
      <c r="T37" s="70" t="str">
        <f>'Promo Form'!BC37</f>
        <v/>
      </c>
      <c r="U37" s="80"/>
      <c r="V37" s="16" t="str">
        <f>'Promo Form'!BH37</f>
        <v/>
      </c>
      <c r="W37" s="102" t="str">
        <f>'Promo Form'!BO37</f>
        <v/>
      </c>
      <c r="X37" s="70" t="str">
        <f>'Promo Form'!BP37</f>
        <v/>
      </c>
      <c r="Y37" s="80"/>
      <c r="Z37" s="16" t="str">
        <f>'Promo Form'!BU37</f>
        <v/>
      </c>
      <c r="AA37" s="102" t="str">
        <f>'Promo Form'!CB37</f>
        <v/>
      </c>
      <c r="AB37" s="70" t="str">
        <f>'Promo Form'!CC37</f>
        <v/>
      </c>
      <c r="AC37" s="80"/>
      <c r="AD37" s="16" t="str">
        <f>'Promo Form'!CH37</f>
        <v/>
      </c>
      <c r="AE37" s="102" t="str">
        <f>'Promo Form'!CO37</f>
        <v/>
      </c>
      <c r="AF37" s="70" t="str">
        <f>'Promo Form'!CP37</f>
        <v/>
      </c>
      <c r="AG37" s="80"/>
      <c r="AH37" s="17" t="str">
        <f>'Promo Form'!CS37</f>
        <v/>
      </c>
      <c r="AI37" s="17" t="str">
        <f>'Promo Form'!CT37</f>
        <v/>
      </c>
      <c r="AJ37" s="99" t="str">
        <f>'Promo Form'!CU37</f>
        <v/>
      </c>
      <c r="AK37" s="17" t="str">
        <f>'Promo Form'!CV37</f>
        <v/>
      </c>
      <c r="AL37" s="98">
        <f>'Promo Form'!CW37</f>
        <v>0</v>
      </c>
    </row>
    <row r="38" spans="1:38" x14ac:dyDescent="0.2">
      <c r="A38" s="12" t="str">
        <f>'Promo Form'!A38</f>
        <v/>
      </c>
      <c r="B38" s="12" t="str">
        <f>'Promo Form'!B38</f>
        <v/>
      </c>
      <c r="C38" s="13">
        <f>'Promo Form'!C38</f>
        <v>0</v>
      </c>
      <c r="D38" s="14" t="str">
        <f>'Promo Form'!D38</f>
        <v/>
      </c>
      <c r="E38" s="15"/>
      <c r="F38" s="16" t="str">
        <f>'Promo Form'!H38</f>
        <v/>
      </c>
      <c r="G38" s="102" t="str">
        <f>'Promo Form'!O38</f>
        <v/>
      </c>
      <c r="H38" s="70" t="str">
        <f>'Promo Form'!P38</f>
        <v/>
      </c>
      <c r="I38" s="80"/>
      <c r="J38" s="16" t="str">
        <f>'Promo Form'!U38</f>
        <v/>
      </c>
      <c r="K38" s="102" t="str">
        <f>'Promo Form'!AB38</f>
        <v/>
      </c>
      <c r="L38" s="70" t="str">
        <f>'Promo Form'!AC38</f>
        <v/>
      </c>
      <c r="M38" s="80"/>
      <c r="N38" s="16" t="str">
        <f>'Promo Form'!AH38</f>
        <v/>
      </c>
      <c r="O38" s="102" t="str">
        <f>'Promo Form'!AO38</f>
        <v/>
      </c>
      <c r="P38" s="70" t="str">
        <f>'Promo Form'!AP38</f>
        <v/>
      </c>
      <c r="Q38" s="80"/>
      <c r="R38" s="16" t="str">
        <f>'Promo Form'!AU38</f>
        <v/>
      </c>
      <c r="S38" s="102" t="str">
        <f>'Promo Form'!BB38</f>
        <v/>
      </c>
      <c r="T38" s="70" t="str">
        <f>'Promo Form'!BC38</f>
        <v/>
      </c>
      <c r="U38" s="80"/>
      <c r="V38" s="16" t="str">
        <f>'Promo Form'!BH38</f>
        <v/>
      </c>
      <c r="W38" s="102" t="str">
        <f>'Promo Form'!BO38</f>
        <v/>
      </c>
      <c r="X38" s="70" t="str">
        <f>'Promo Form'!BP38</f>
        <v/>
      </c>
      <c r="Y38" s="80"/>
      <c r="Z38" s="16" t="str">
        <f>'Promo Form'!BU38</f>
        <v/>
      </c>
      <c r="AA38" s="102" t="str">
        <f>'Promo Form'!CB38</f>
        <v/>
      </c>
      <c r="AB38" s="70" t="str">
        <f>'Promo Form'!CC38</f>
        <v/>
      </c>
      <c r="AC38" s="80"/>
      <c r="AD38" s="16" t="str">
        <f>'Promo Form'!CH38</f>
        <v/>
      </c>
      <c r="AE38" s="102" t="str">
        <f>'Promo Form'!CO38</f>
        <v/>
      </c>
      <c r="AF38" s="70" t="str">
        <f>'Promo Form'!CP38</f>
        <v/>
      </c>
      <c r="AG38" s="80"/>
      <c r="AH38" s="17" t="str">
        <f>'Promo Form'!CS38</f>
        <v/>
      </c>
      <c r="AI38" s="17" t="str">
        <f>'Promo Form'!CT38</f>
        <v/>
      </c>
      <c r="AJ38" s="99" t="str">
        <f>'Promo Form'!CU38</f>
        <v/>
      </c>
      <c r="AK38" s="17" t="str">
        <f>'Promo Form'!CV38</f>
        <v/>
      </c>
      <c r="AL38" s="98">
        <f>'Promo Form'!CW38</f>
        <v>0</v>
      </c>
    </row>
    <row r="39" spans="1:38" x14ac:dyDescent="0.2">
      <c r="A39" s="12" t="str">
        <f>'Promo Form'!A39</f>
        <v/>
      </c>
      <c r="B39" s="12" t="str">
        <f>'Promo Form'!B39</f>
        <v/>
      </c>
      <c r="C39" s="13">
        <f>'Promo Form'!C39</f>
        <v>0</v>
      </c>
      <c r="D39" s="14" t="str">
        <f>'Promo Form'!D39</f>
        <v/>
      </c>
      <c r="E39" s="15"/>
      <c r="F39" s="16" t="str">
        <f>'Promo Form'!H39</f>
        <v/>
      </c>
      <c r="G39" s="102" t="str">
        <f>'Promo Form'!O39</f>
        <v/>
      </c>
      <c r="H39" s="70" t="str">
        <f>'Promo Form'!P39</f>
        <v/>
      </c>
      <c r="I39" s="80"/>
      <c r="J39" s="16" t="str">
        <f>'Promo Form'!U39</f>
        <v/>
      </c>
      <c r="K39" s="102" t="str">
        <f>'Promo Form'!AB39</f>
        <v/>
      </c>
      <c r="L39" s="70" t="str">
        <f>'Promo Form'!AC39</f>
        <v/>
      </c>
      <c r="M39" s="80"/>
      <c r="N39" s="16" t="str">
        <f>'Promo Form'!AH39</f>
        <v/>
      </c>
      <c r="O39" s="102" t="str">
        <f>'Promo Form'!AO39</f>
        <v/>
      </c>
      <c r="P39" s="70" t="str">
        <f>'Promo Form'!AP39</f>
        <v/>
      </c>
      <c r="Q39" s="80"/>
      <c r="R39" s="16" t="str">
        <f>'Promo Form'!AU39</f>
        <v/>
      </c>
      <c r="S39" s="102" t="str">
        <f>'Promo Form'!BB39</f>
        <v/>
      </c>
      <c r="T39" s="70" t="str">
        <f>'Promo Form'!BC39</f>
        <v/>
      </c>
      <c r="U39" s="80"/>
      <c r="V39" s="16" t="str">
        <f>'Promo Form'!BH39</f>
        <v/>
      </c>
      <c r="W39" s="102" t="str">
        <f>'Promo Form'!BO39</f>
        <v/>
      </c>
      <c r="X39" s="70" t="str">
        <f>'Promo Form'!BP39</f>
        <v/>
      </c>
      <c r="Y39" s="80"/>
      <c r="Z39" s="16" t="str">
        <f>'Promo Form'!BU39</f>
        <v/>
      </c>
      <c r="AA39" s="102" t="str">
        <f>'Promo Form'!CB39</f>
        <v/>
      </c>
      <c r="AB39" s="70" t="str">
        <f>'Promo Form'!CC39</f>
        <v/>
      </c>
      <c r="AC39" s="80"/>
      <c r="AD39" s="16" t="str">
        <f>'Promo Form'!CH39</f>
        <v/>
      </c>
      <c r="AE39" s="102" t="str">
        <f>'Promo Form'!CO39</f>
        <v/>
      </c>
      <c r="AF39" s="70" t="str">
        <f>'Promo Form'!CP39</f>
        <v/>
      </c>
      <c r="AG39" s="80"/>
      <c r="AH39" s="17" t="str">
        <f>'Promo Form'!CS39</f>
        <v/>
      </c>
      <c r="AI39" s="17" t="str">
        <f>'Promo Form'!CT39</f>
        <v/>
      </c>
      <c r="AJ39" s="99" t="str">
        <f>'Promo Form'!CU39</f>
        <v/>
      </c>
      <c r="AK39" s="17" t="str">
        <f>'Promo Form'!CV39</f>
        <v/>
      </c>
      <c r="AL39" s="98">
        <f>'Promo Form'!CW39</f>
        <v>0</v>
      </c>
    </row>
    <row r="40" spans="1:38" x14ac:dyDescent="0.2">
      <c r="A40" s="12" t="str">
        <f>'Promo Form'!A40</f>
        <v/>
      </c>
      <c r="B40" s="12" t="str">
        <f>'Promo Form'!B40</f>
        <v/>
      </c>
      <c r="C40" s="13">
        <f>'Promo Form'!C40</f>
        <v>0</v>
      </c>
      <c r="D40" s="14" t="str">
        <f>'Promo Form'!D40</f>
        <v/>
      </c>
      <c r="E40" s="15"/>
      <c r="F40" s="16" t="str">
        <f>'Promo Form'!H40</f>
        <v/>
      </c>
      <c r="G40" s="102" t="str">
        <f>'Promo Form'!O40</f>
        <v/>
      </c>
      <c r="H40" s="70" t="str">
        <f>'Promo Form'!P40</f>
        <v/>
      </c>
      <c r="I40" s="80"/>
      <c r="J40" s="16" t="str">
        <f>'Promo Form'!U40</f>
        <v/>
      </c>
      <c r="K40" s="102" t="str">
        <f>'Promo Form'!AB40</f>
        <v/>
      </c>
      <c r="L40" s="70" t="str">
        <f>'Promo Form'!AC40</f>
        <v/>
      </c>
      <c r="M40" s="80"/>
      <c r="N40" s="16" t="str">
        <f>'Promo Form'!AH40</f>
        <v/>
      </c>
      <c r="O40" s="102" t="str">
        <f>'Promo Form'!AO40</f>
        <v/>
      </c>
      <c r="P40" s="70" t="str">
        <f>'Promo Form'!AP40</f>
        <v/>
      </c>
      <c r="Q40" s="80"/>
      <c r="R40" s="16" t="str">
        <f>'Promo Form'!AU40</f>
        <v/>
      </c>
      <c r="S40" s="102" t="str">
        <f>'Promo Form'!BB40</f>
        <v/>
      </c>
      <c r="T40" s="70" t="str">
        <f>'Promo Form'!BC40</f>
        <v/>
      </c>
      <c r="U40" s="80"/>
      <c r="V40" s="16" t="str">
        <f>'Promo Form'!BH40</f>
        <v/>
      </c>
      <c r="W40" s="102" t="str">
        <f>'Promo Form'!BO40</f>
        <v/>
      </c>
      <c r="X40" s="70" t="str">
        <f>'Promo Form'!BP40</f>
        <v/>
      </c>
      <c r="Y40" s="80"/>
      <c r="Z40" s="16" t="str">
        <f>'Promo Form'!BU40</f>
        <v/>
      </c>
      <c r="AA40" s="102" t="str">
        <f>'Promo Form'!CB40</f>
        <v/>
      </c>
      <c r="AB40" s="70" t="str">
        <f>'Promo Form'!CC40</f>
        <v/>
      </c>
      <c r="AC40" s="80"/>
      <c r="AD40" s="16" t="str">
        <f>'Promo Form'!CH40</f>
        <v/>
      </c>
      <c r="AE40" s="102" t="str">
        <f>'Promo Form'!CO40</f>
        <v/>
      </c>
      <c r="AF40" s="70" t="str">
        <f>'Promo Form'!CP40</f>
        <v/>
      </c>
      <c r="AG40" s="80"/>
      <c r="AH40" s="17" t="str">
        <f>'Promo Form'!CS40</f>
        <v/>
      </c>
      <c r="AI40" s="17" t="str">
        <f>'Promo Form'!CT40</f>
        <v/>
      </c>
      <c r="AJ40" s="99" t="str">
        <f>'Promo Form'!CU40</f>
        <v/>
      </c>
      <c r="AK40" s="17" t="str">
        <f>'Promo Form'!CV40</f>
        <v/>
      </c>
      <c r="AL40" s="98">
        <f>'Promo Form'!CW40</f>
        <v>0</v>
      </c>
    </row>
    <row r="41" spans="1:38" x14ac:dyDescent="0.2">
      <c r="A41" s="12" t="str">
        <f>'Promo Form'!A41</f>
        <v/>
      </c>
      <c r="B41" s="12" t="str">
        <f>'Promo Form'!B41</f>
        <v/>
      </c>
      <c r="C41" s="13">
        <f>'Promo Form'!C41</f>
        <v>0</v>
      </c>
      <c r="D41" s="14" t="str">
        <f>'Promo Form'!D41</f>
        <v/>
      </c>
      <c r="E41" s="15"/>
      <c r="F41" s="16" t="str">
        <f>'Promo Form'!H41</f>
        <v/>
      </c>
      <c r="G41" s="102" t="str">
        <f>'Promo Form'!O41</f>
        <v/>
      </c>
      <c r="H41" s="70" t="str">
        <f>'Promo Form'!P41</f>
        <v/>
      </c>
      <c r="I41" s="80"/>
      <c r="J41" s="16" t="str">
        <f>'Promo Form'!U41</f>
        <v/>
      </c>
      <c r="K41" s="102" t="str">
        <f>'Promo Form'!AB41</f>
        <v/>
      </c>
      <c r="L41" s="70" t="str">
        <f>'Promo Form'!AC41</f>
        <v/>
      </c>
      <c r="M41" s="80"/>
      <c r="N41" s="16" t="str">
        <f>'Promo Form'!AH41</f>
        <v/>
      </c>
      <c r="O41" s="102" t="str">
        <f>'Promo Form'!AO41</f>
        <v/>
      </c>
      <c r="P41" s="70" t="str">
        <f>'Promo Form'!AP41</f>
        <v/>
      </c>
      <c r="Q41" s="80"/>
      <c r="R41" s="16" t="str">
        <f>'Promo Form'!AU41</f>
        <v/>
      </c>
      <c r="S41" s="102" t="str">
        <f>'Promo Form'!BB41</f>
        <v/>
      </c>
      <c r="T41" s="70" t="str">
        <f>'Promo Form'!BC41</f>
        <v/>
      </c>
      <c r="U41" s="80"/>
      <c r="V41" s="16" t="str">
        <f>'Promo Form'!BH41</f>
        <v/>
      </c>
      <c r="W41" s="102" t="str">
        <f>'Promo Form'!BO41</f>
        <v/>
      </c>
      <c r="X41" s="70" t="str">
        <f>'Promo Form'!BP41</f>
        <v/>
      </c>
      <c r="Y41" s="80"/>
      <c r="Z41" s="16" t="str">
        <f>'Promo Form'!BU41</f>
        <v/>
      </c>
      <c r="AA41" s="102" t="str">
        <f>'Promo Form'!CB41</f>
        <v/>
      </c>
      <c r="AB41" s="70" t="str">
        <f>'Promo Form'!CC41</f>
        <v/>
      </c>
      <c r="AC41" s="80"/>
      <c r="AD41" s="16" t="str">
        <f>'Promo Form'!CH41</f>
        <v/>
      </c>
      <c r="AE41" s="102" t="str">
        <f>'Promo Form'!CO41</f>
        <v/>
      </c>
      <c r="AF41" s="70" t="str">
        <f>'Promo Form'!CP41</f>
        <v/>
      </c>
      <c r="AG41" s="80"/>
      <c r="AH41" s="17" t="str">
        <f>'Promo Form'!CS41</f>
        <v/>
      </c>
      <c r="AI41" s="17" t="str">
        <f>'Promo Form'!CT41</f>
        <v/>
      </c>
      <c r="AJ41" s="99" t="str">
        <f>'Promo Form'!CU41</f>
        <v/>
      </c>
      <c r="AK41" s="17" t="str">
        <f>'Promo Form'!CV41</f>
        <v/>
      </c>
      <c r="AL41" s="98">
        <f>'Promo Form'!CW41</f>
        <v>0</v>
      </c>
    </row>
    <row r="42" spans="1:38" x14ac:dyDescent="0.2">
      <c r="A42" s="12" t="str">
        <f>'Promo Form'!A42</f>
        <v/>
      </c>
      <c r="B42" s="12" t="str">
        <f>'Promo Form'!B42</f>
        <v/>
      </c>
      <c r="C42" s="13">
        <f>'Promo Form'!C42</f>
        <v>0</v>
      </c>
      <c r="D42" s="14" t="str">
        <f>'Promo Form'!D42</f>
        <v/>
      </c>
      <c r="E42" s="15"/>
      <c r="F42" s="16" t="str">
        <f>'Promo Form'!H42</f>
        <v/>
      </c>
      <c r="G42" s="102" t="str">
        <f>'Promo Form'!O42</f>
        <v/>
      </c>
      <c r="H42" s="70" t="str">
        <f>'Promo Form'!P42</f>
        <v/>
      </c>
      <c r="I42" s="80"/>
      <c r="J42" s="16" t="str">
        <f>'Promo Form'!U42</f>
        <v/>
      </c>
      <c r="K42" s="102" t="str">
        <f>'Promo Form'!AB42</f>
        <v/>
      </c>
      <c r="L42" s="70" t="str">
        <f>'Promo Form'!AC42</f>
        <v/>
      </c>
      <c r="M42" s="80"/>
      <c r="N42" s="16" t="str">
        <f>'Promo Form'!AH42</f>
        <v/>
      </c>
      <c r="O42" s="102" t="str">
        <f>'Promo Form'!AO42</f>
        <v/>
      </c>
      <c r="P42" s="70" t="str">
        <f>'Promo Form'!AP42</f>
        <v/>
      </c>
      <c r="Q42" s="80"/>
      <c r="R42" s="16" t="str">
        <f>'Promo Form'!AU42</f>
        <v/>
      </c>
      <c r="S42" s="102" t="str">
        <f>'Promo Form'!BB42</f>
        <v/>
      </c>
      <c r="T42" s="70" t="str">
        <f>'Promo Form'!BC42</f>
        <v/>
      </c>
      <c r="U42" s="80"/>
      <c r="V42" s="16" t="str">
        <f>'Promo Form'!BH42</f>
        <v/>
      </c>
      <c r="W42" s="102" t="str">
        <f>'Promo Form'!BO42</f>
        <v/>
      </c>
      <c r="X42" s="70" t="str">
        <f>'Promo Form'!BP42</f>
        <v/>
      </c>
      <c r="Y42" s="80"/>
      <c r="Z42" s="16" t="str">
        <f>'Promo Form'!BU42</f>
        <v/>
      </c>
      <c r="AA42" s="102" t="str">
        <f>'Promo Form'!CB42</f>
        <v/>
      </c>
      <c r="AB42" s="70" t="str">
        <f>'Promo Form'!CC42</f>
        <v/>
      </c>
      <c r="AC42" s="80"/>
      <c r="AD42" s="16" t="str">
        <f>'Promo Form'!CH42</f>
        <v/>
      </c>
      <c r="AE42" s="102" t="str">
        <f>'Promo Form'!CO42</f>
        <v/>
      </c>
      <c r="AF42" s="70" t="str">
        <f>'Promo Form'!CP42</f>
        <v/>
      </c>
      <c r="AG42" s="80"/>
      <c r="AH42" s="17" t="str">
        <f>'Promo Form'!CS42</f>
        <v/>
      </c>
      <c r="AI42" s="17" t="str">
        <f>'Promo Form'!CT42</f>
        <v/>
      </c>
      <c r="AJ42" s="99" t="str">
        <f>'Promo Form'!CU42</f>
        <v/>
      </c>
      <c r="AK42" s="17" t="str">
        <f>'Promo Form'!CV42</f>
        <v/>
      </c>
      <c r="AL42" s="98">
        <f>'Promo Form'!CW42</f>
        <v>0</v>
      </c>
    </row>
    <row r="43" spans="1:38" x14ac:dyDescent="0.2">
      <c r="A43" s="12" t="str">
        <f>'Promo Form'!A43</f>
        <v/>
      </c>
      <c r="B43" s="12" t="str">
        <f>'Promo Form'!B43</f>
        <v/>
      </c>
      <c r="C43" s="13">
        <f>'Promo Form'!C43</f>
        <v>0</v>
      </c>
      <c r="D43" s="14" t="str">
        <f>'Promo Form'!D43</f>
        <v/>
      </c>
      <c r="E43" s="15"/>
      <c r="F43" s="16" t="str">
        <f>'Promo Form'!H43</f>
        <v/>
      </c>
      <c r="G43" s="102" t="str">
        <f>'Promo Form'!O43</f>
        <v/>
      </c>
      <c r="H43" s="70" t="str">
        <f>'Promo Form'!P43</f>
        <v/>
      </c>
      <c r="I43" s="80"/>
      <c r="J43" s="16" t="str">
        <f>'Promo Form'!U43</f>
        <v/>
      </c>
      <c r="K43" s="102" t="str">
        <f>'Promo Form'!AB43</f>
        <v/>
      </c>
      <c r="L43" s="70" t="str">
        <f>'Promo Form'!AC43</f>
        <v/>
      </c>
      <c r="M43" s="80"/>
      <c r="N43" s="16" t="str">
        <f>'Promo Form'!AH43</f>
        <v/>
      </c>
      <c r="O43" s="102" t="str">
        <f>'Promo Form'!AO43</f>
        <v/>
      </c>
      <c r="P43" s="70" t="str">
        <f>'Promo Form'!AP43</f>
        <v/>
      </c>
      <c r="Q43" s="80"/>
      <c r="R43" s="16" t="str">
        <f>'Promo Form'!AU43</f>
        <v/>
      </c>
      <c r="S43" s="102" t="str">
        <f>'Promo Form'!BB43</f>
        <v/>
      </c>
      <c r="T43" s="70" t="str">
        <f>'Promo Form'!BC43</f>
        <v/>
      </c>
      <c r="U43" s="80"/>
      <c r="V43" s="16" t="str">
        <f>'Promo Form'!BH43</f>
        <v/>
      </c>
      <c r="W43" s="102" t="str">
        <f>'Promo Form'!BO43</f>
        <v/>
      </c>
      <c r="X43" s="70" t="str">
        <f>'Promo Form'!BP43</f>
        <v/>
      </c>
      <c r="Y43" s="80"/>
      <c r="Z43" s="16" t="str">
        <f>'Promo Form'!BU43</f>
        <v/>
      </c>
      <c r="AA43" s="102" t="str">
        <f>'Promo Form'!CB43</f>
        <v/>
      </c>
      <c r="AB43" s="70" t="str">
        <f>'Promo Form'!CC43</f>
        <v/>
      </c>
      <c r="AC43" s="80"/>
      <c r="AD43" s="16" t="str">
        <f>'Promo Form'!CH43</f>
        <v/>
      </c>
      <c r="AE43" s="102" t="str">
        <f>'Promo Form'!CO43</f>
        <v/>
      </c>
      <c r="AF43" s="70" t="str">
        <f>'Promo Form'!CP43</f>
        <v/>
      </c>
      <c r="AG43" s="80"/>
      <c r="AH43" s="17" t="str">
        <f>'Promo Form'!CS43</f>
        <v/>
      </c>
      <c r="AI43" s="17" t="str">
        <f>'Promo Form'!CT43</f>
        <v/>
      </c>
      <c r="AJ43" s="99" t="str">
        <f>'Promo Form'!CU43</f>
        <v/>
      </c>
      <c r="AK43" s="17" t="str">
        <f>'Promo Form'!CV43</f>
        <v/>
      </c>
      <c r="AL43" s="98">
        <f>'Promo Form'!CW43</f>
        <v>0</v>
      </c>
    </row>
    <row r="44" spans="1:38" x14ac:dyDescent="0.2">
      <c r="A44" s="12" t="str">
        <f>'Promo Form'!A44</f>
        <v/>
      </c>
      <c r="B44" s="12" t="str">
        <f>'Promo Form'!B44</f>
        <v/>
      </c>
      <c r="C44" s="13">
        <f>'Promo Form'!C44</f>
        <v>0</v>
      </c>
      <c r="D44" s="14" t="str">
        <f>'Promo Form'!D44</f>
        <v/>
      </c>
      <c r="E44" s="15"/>
      <c r="F44" s="16" t="str">
        <f>'Promo Form'!H44</f>
        <v/>
      </c>
      <c r="G44" s="102" t="str">
        <f>'Promo Form'!O44</f>
        <v/>
      </c>
      <c r="H44" s="70" t="str">
        <f>'Promo Form'!P44</f>
        <v/>
      </c>
      <c r="I44" s="80"/>
      <c r="J44" s="16" t="str">
        <f>'Promo Form'!U44</f>
        <v/>
      </c>
      <c r="K44" s="102" t="str">
        <f>'Promo Form'!AB44</f>
        <v/>
      </c>
      <c r="L44" s="70" t="str">
        <f>'Promo Form'!AC44</f>
        <v/>
      </c>
      <c r="M44" s="80"/>
      <c r="N44" s="16" t="str">
        <f>'Promo Form'!AH44</f>
        <v/>
      </c>
      <c r="O44" s="102" t="str">
        <f>'Promo Form'!AO44</f>
        <v/>
      </c>
      <c r="P44" s="70" t="str">
        <f>'Promo Form'!AP44</f>
        <v/>
      </c>
      <c r="Q44" s="80"/>
      <c r="R44" s="16" t="str">
        <f>'Promo Form'!AU44</f>
        <v/>
      </c>
      <c r="S44" s="102" t="str">
        <f>'Promo Form'!BB44</f>
        <v/>
      </c>
      <c r="T44" s="70" t="str">
        <f>'Promo Form'!BC44</f>
        <v/>
      </c>
      <c r="U44" s="80"/>
      <c r="V44" s="16" t="str">
        <f>'Promo Form'!BH44</f>
        <v/>
      </c>
      <c r="W44" s="102" t="str">
        <f>'Promo Form'!BO44</f>
        <v/>
      </c>
      <c r="X44" s="70" t="str">
        <f>'Promo Form'!BP44</f>
        <v/>
      </c>
      <c r="Y44" s="80"/>
      <c r="Z44" s="16" t="str">
        <f>'Promo Form'!BU44</f>
        <v/>
      </c>
      <c r="AA44" s="102" t="str">
        <f>'Promo Form'!CB44</f>
        <v/>
      </c>
      <c r="AB44" s="70" t="str">
        <f>'Promo Form'!CC44</f>
        <v/>
      </c>
      <c r="AC44" s="80"/>
      <c r="AD44" s="16" t="str">
        <f>'Promo Form'!CH44</f>
        <v/>
      </c>
      <c r="AE44" s="102" t="str">
        <f>'Promo Form'!CO44</f>
        <v/>
      </c>
      <c r="AF44" s="70" t="str">
        <f>'Promo Form'!CP44</f>
        <v/>
      </c>
      <c r="AG44" s="80"/>
      <c r="AH44" s="17" t="str">
        <f>'Promo Form'!CS44</f>
        <v/>
      </c>
      <c r="AI44" s="17" t="str">
        <f>'Promo Form'!CT44</f>
        <v/>
      </c>
      <c r="AJ44" s="99" t="str">
        <f>'Promo Form'!CU44</f>
        <v/>
      </c>
      <c r="AK44" s="17" t="str">
        <f>'Promo Form'!CV44</f>
        <v/>
      </c>
      <c r="AL44" s="98">
        <f>'Promo Form'!CW44</f>
        <v>0</v>
      </c>
    </row>
    <row r="45" spans="1:38" x14ac:dyDescent="0.2">
      <c r="A45" s="12" t="str">
        <f>'Promo Form'!A45</f>
        <v/>
      </c>
      <c r="B45" s="12" t="str">
        <f>'Promo Form'!B45</f>
        <v/>
      </c>
      <c r="C45" s="13">
        <f>'Promo Form'!C45</f>
        <v>0</v>
      </c>
      <c r="D45" s="14" t="str">
        <f>'Promo Form'!D45</f>
        <v/>
      </c>
      <c r="E45" s="15"/>
      <c r="F45" s="16" t="str">
        <f>'Promo Form'!H45</f>
        <v/>
      </c>
      <c r="G45" s="102" t="str">
        <f>'Promo Form'!O45</f>
        <v/>
      </c>
      <c r="H45" s="70" t="str">
        <f>'Promo Form'!P45</f>
        <v/>
      </c>
      <c r="I45" s="80"/>
      <c r="J45" s="16" t="str">
        <f>'Promo Form'!U45</f>
        <v/>
      </c>
      <c r="K45" s="102" t="str">
        <f>'Promo Form'!AB45</f>
        <v/>
      </c>
      <c r="L45" s="70" t="str">
        <f>'Promo Form'!AC45</f>
        <v/>
      </c>
      <c r="M45" s="80"/>
      <c r="N45" s="16" t="str">
        <f>'Promo Form'!AH45</f>
        <v/>
      </c>
      <c r="O45" s="102" t="str">
        <f>'Promo Form'!AO45</f>
        <v/>
      </c>
      <c r="P45" s="70" t="str">
        <f>'Promo Form'!AP45</f>
        <v/>
      </c>
      <c r="Q45" s="80"/>
      <c r="R45" s="16" t="str">
        <f>'Promo Form'!AU45</f>
        <v/>
      </c>
      <c r="S45" s="102" t="str">
        <f>'Promo Form'!BB45</f>
        <v/>
      </c>
      <c r="T45" s="70" t="str">
        <f>'Promo Form'!BC45</f>
        <v/>
      </c>
      <c r="U45" s="80"/>
      <c r="V45" s="16" t="str">
        <f>'Promo Form'!BH45</f>
        <v/>
      </c>
      <c r="W45" s="102" t="str">
        <f>'Promo Form'!BO45</f>
        <v/>
      </c>
      <c r="X45" s="70" t="str">
        <f>'Promo Form'!BP45</f>
        <v/>
      </c>
      <c r="Y45" s="80"/>
      <c r="Z45" s="16" t="str">
        <f>'Promo Form'!BU45</f>
        <v/>
      </c>
      <c r="AA45" s="102" t="str">
        <f>'Promo Form'!CB45</f>
        <v/>
      </c>
      <c r="AB45" s="70" t="str">
        <f>'Promo Form'!CC45</f>
        <v/>
      </c>
      <c r="AC45" s="80"/>
      <c r="AD45" s="16" t="str">
        <f>'Promo Form'!CH45</f>
        <v/>
      </c>
      <c r="AE45" s="102" t="str">
        <f>'Promo Form'!CO45</f>
        <v/>
      </c>
      <c r="AF45" s="70" t="str">
        <f>'Promo Form'!CP45</f>
        <v/>
      </c>
      <c r="AG45" s="80"/>
      <c r="AH45" s="17" t="str">
        <f>'Promo Form'!CS45</f>
        <v/>
      </c>
      <c r="AI45" s="17" t="str">
        <f>'Promo Form'!CT45</f>
        <v/>
      </c>
      <c r="AJ45" s="99" t="str">
        <f>'Promo Form'!CU45</f>
        <v/>
      </c>
      <c r="AK45" s="17" t="str">
        <f>'Promo Form'!CV45</f>
        <v/>
      </c>
      <c r="AL45" s="98">
        <f>'Promo Form'!CW45</f>
        <v>0</v>
      </c>
    </row>
    <row r="46" spans="1:38" x14ac:dyDescent="0.2">
      <c r="A46" s="12" t="str">
        <f>'Promo Form'!A46</f>
        <v/>
      </c>
      <c r="B46" s="12" t="str">
        <f>'Promo Form'!B46</f>
        <v/>
      </c>
      <c r="C46" s="13">
        <f>'Promo Form'!C46</f>
        <v>0</v>
      </c>
      <c r="D46" s="14" t="str">
        <f>'Promo Form'!D46</f>
        <v/>
      </c>
      <c r="E46" s="15"/>
      <c r="F46" s="16" t="str">
        <f>'Promo Form'!H46</f>
        <v/>
      </c>
      <c r="G46" s="102" t="str">
        <f>'Promo Form'!O46</f>
        <v/>
      </c>
      <c r="H46" s="70" t="str">
        <f>'Promo Form'!P46</f>
        <v/>
      </c>
      <c r="I46" s="80"/>
      <c r="J46" s="16" t="str">
        <f>'Promo Form'!U46</f>
        <v/>
      </c>
      <c r="K46" s="102" t="str">
        <f>'Promo Form'!AB46</f>
        <v/>
      </c>
      <c r="L46" s="70" t="str">
        <f>'Promo Form'!AC46</f>
        <v/>
      </c>
      <c r="M46" s="80"/>
      <c r="N46" s="16" t="str">
        <f>'Promo Form'!AH46</f>
        <v/>
      </c>
      <c r="O46" s="102" t="str">
        <f>'Promo Form'!AO46</f>
        <v/>
      </c>
      <c r="P46" s="70" t="str">
        <f>'Promo Form'!AP46</f>
        <v/>
      </c>
      <c r="Q46" s="80"/>
      <c r="R46" s="16" t="str">
        <f>'Promo Form'!AU46</f>
        <v/>
      </c>
      <c r="S46" s="102" t="str">
        <f>'Promo Form'!BB46</f>
        <v/>
      </c>
      <c r="T46" s="70" t="str">
        <f>'Promo Form'!BC46</f>
        <v/>
      </c>
      <c r="U46" s="80"/>
      <c r="V46" s="16" t="str">
        <f>'Promo Form'!BH46</f>
        <v/>
      </c>
      <c r="W46" s="102" t="str">
        <f>'Promo Form'!BO46</f>
        <v/>
      </c>
      <c r="X46" s="70" t="str">
        <f>'Promo Form'!BP46</f>
        <v/>
      </c>
      <c r="Y46" s="80"/>
      <c r="Z46" s="16" t="str">
        <f>'Promo Form'!BU46</f>
        <v/>
      </c>
      <c r="AA46" s="102" t="str">
        <f>'Promo Form'!CB46</f>
        <v/>
      </c>
      <c r="AB46" s="70" t="str">
        <f>'Promo Form'!CC46</f>
        <v/>
      </c>
      <c r="AC46" s="80"/>
      <c r="AD46" s="16" t="str">
        <f>'Promo Form'!CH46</f>
        <v/>
      </c>
      <c r="AE46" s="102" t="str">
        <f>'Promo Form'!CO46</f>
        <v/>
      </c>
      <c r="AF46" s="70" t="str">
        <f>'Promo Form'!CP46</f>
        <v/>
      </c>
      <c r="AG46" s="80"/>
      <c r="AH46" s="17" t="str">
        <f>'Promo Form'!CS46</f>
        <v/>
      </c>
      <c r="AI46" s="17" t="str">
        <f>'Promo Form'!CT46</f>
        <v/>
      </c>
      <c r="AJ46" s="99" t="str">
        <f>'Promo Form'!CU46</f>
        <v/>
      </c>
      <c r="AK46" s="17" t="str">
        <f>'Promo Form'!CV46</f>
        <v/>
      </c>
      <c r="AL46" s="98">
        <f>'Promo Form'!CW46</f>
        <v>0</v>
      </c>
    </row>
    <row r="47" spans="1:38" x14ac:dyDescent="0.2">
      <c r="A47" s="12" t="str">
        <f>'Promo Form'!A47</f>
        <v/>
      </c>
      <c r="B47" s="12" t="str">
        <f>'Promo Form'!B47</f>
        <v/>
      </c>
      <c r="C47" s="13">
        <f>'Promo Form'!C47</f>
        <v>0</v>
      </c>
      <c r="D47" s="14" t="str">
        <f>'Promo Form'!D47</f>
        <v/>
      </c>
      <c r="E47" s="15"/>
      <c r="F47" s="16" t="str">
        <f>'Promo Form'!H47</f>
        <v/>
      </c>
      <c r="G47" s="102" t="str">
        <f>'Promo Form'!O47</f>
        <v/>
      </c>
      <c r="H47" s="70" t="str">
        <f>'Promo Form'!P47</f>
        <v/>
      </c>
      <c r="I47" s="80"/>
      <c r="J47" s="16" t="str">
        <f>'Promo Form'!U47</f>
        <v/>
      </c>
      <c r="K47" s="102" t="str">
        <f>'Promo Form'!AB47</f>
        <v/>
      </c>
      <c r="L47" s="70" t="str">
        <f>'Promo Form'!AC47</f>
        <v/>
      </c>
      <c r="M47" s="80"/>
      <c r="N47" s="16" t="str">
        <f>'Promo Form'!AH47</f>
        <v/>
      </c>
      <c r="O47" s="102" t="str">
        <f>'Promo Form'!AO47</f>
        <v/>
      </c>
      <c r="P47" s="70" t="str">
        <f>'Promo Form'!AP47</f>
        <v/>
      </c>
      <c r="Q47" s="80"/>
      <c r="R47" s="16" t="str">
        <f>'Promo Form'!AU47</f>
        <v/>
      </c>
      <c r="S47" s="102" t="str">
        <f>'Promo Form'!BB47</f>
        <v/>
      </c>
      <c r="T47" s="70" t="str">
        <f>'Promo Form'!BC47</f>
        <v/>
      </c>
      <c r="U47" s="80"/>
      <c r="V47" s="16" t="str">
        <f>'Promo Form'!BH47</f>
        <v/>
      </c>
      <c r="W47" s="102" t="str">
        <f>'Promo Form'!BO47</f>
        <v/>
      </c>
      <c r="X47" s="70" t="str">
        <f>'Promo Form'!BP47</f>
        <v/>
      </c>
      <c r="Y47" s="80"/>
      <c r="Z47" s="16" t="str">
        <f>'Promo Form'!BU47</f>
        <v/>
      </c>
      <c r="AA47" s="102" t="str">
        <f>'Promo Form'!CB47</f>
        <v/>
      </c>
      <c r="AB47" s="70" t="str">
        <f>'Promo Form'!CC47</f>
        <v/>
      </c>
      <c r="AC47" s="80"/>
      <c r="AD47" s="16" t="str">
        <f>'Promo Form'!CH47</f>
        <v/>
      </c>
      <c r="AE47" s="102" t="str">
        <f>'Promo Form'!CO47</f>
        <v/>
      </c>
      <c r="AF47" s="70" t="str">
        <f>'Promo Form'!CP47</f>
        <v/>
      </c>
      <c r="AG47" s="80"/>
      <c r="AH47" s="17" t="str">
        <f>'Promo Form'!CS47</f>
        <v/>
      </c>
      <c r="AI47" s="17" t="str">
        <f>'Promo Form'!CT47</f>
        <v/>
      </c>
      <c r="AJ47" s="99" t="str">
        <f>'Promo Form'!CU47</f>
        <v/>
      </c>
      <c r="AK47" s="17" t="str">
        <f>'Promo Form'!CV47</f>
        <v/>
      </c>
      <c r="AL47" s="98">
        <f>'Promo Form'!CW47</f>
        <v>0</v>
      </c>
    </row>
    <row r="48" spans="1:38" x14ac:dyDescent="0.2">
      <c r="A48" s="12" t="str">
        <f>'Promo Form'!A48</f>
        <v/>
      </c>
      <c r="B48" s="12" t="str">
        <f>'Promo Form'!B48</f>
        <v/>
      </c>
      <c r="C48" s="13">
        <f>'Promo Form'!C48</f>
        <v>0</v>
      </c>
      <c r="D48" s="14" t="str">
        <f>'Promo Form'!D48</f>
        <v/>
      </c>
      <c r="E48" s="15"/>
      <c r="F48" s="16" t="str">
        <f>'Promo Form'!H48</f>
        <v/>
      </c>
      <c r="G48" s="102" t="str">
        <f>'Promo Form'!O48</f>
        <v/>
      </c>
      <c r="H48" s="70" t="str">
        <f>'Promo Form'!P48</f>
        <v/>
      </c>
      <c r="I48" s="80"/>
      <c r="J48" s="16" t="str">
        <f>'Promo Form'!U48</f>
        <v/>
      </c>
      <c r="K48" s="102" t="str">
        <f>'Promo Form'!AB48</f>
        <v/>
      </c>
      <c r="L48" s="70" t="str">
        <f>'Promo Form'!AC48</f>
        <v/>
      </c>
      <c r="M48" s="80"/>
      <c r="N48" s="16" t="str">
        <f>'Promo Form'!AH48</f>
        <v/>
      </c>
      <c r="O48" s="102" t="str">
        <f>'Promo Form'!AO48</f>
        <v/>
      </c>
      <c r="P48" s="70" t="str">
        <f>'Promo Form'!AP48</f>
        <v/>
      </c>
      <c r="Q48" s="80"/>
      <c r="R48" s="16" t="str">
        <f>'Promo Form'!AU48</f>
        <v/>
      </c>
      <c r="S48" s="102" t="str">
        <f>'Promo Form'!BB48</f>
        <v/>
      </c>
      <c r="T48" s="70" t="str">
        <f>'Promo Form'!BC48</f>
        <v/>
      </c>
      <c r="U48" s="80"/>
      <c r="V48" s="16" t="str">
        <f>'Promo Form'!BH48</f>
        <v/>
      </c>
      <c r="W48" s="102" t="str">
        <f>'Promo Form'!BO48</f>
        <v/>
      </c>
      <c r="X48" s="70" t="str">
        <f>'Promo Form'!BP48</f>
        <v/>
      </c>
      <c r="Y48" s="80"/>
      <c r="Z48" s="16" t="str">
        <f>'Promo Form'!BU48</f>
        <v/>
      </c>
      <c r="AA48" s="102" t="str">
        <f>'Promo Form'!CB48</f>
        <v/>
      </c>
      <c r="AB48" s="70" t="str">
        <f>'Promo Form'!CC48</f>
        <v/>
      </c>
      <c r="AC48" s="80"/>
      <c r="AD48" s="16" t="str">
        <f>'Promo Form'!CH48</f>
        <v/>
      </c>
      <c r="AE48" s="102" t="str">
        <f>'Promo Form'!CO48</f>
        <v/>
      </c>
      <c r="AF48" s="70" t="str">
        <f>'Promo Form'!CP48</f>
        <v/>
      </c>
      <c r="AG48" s="80"/>
      <c r="AH48" s="17" t="str">
        <f>'Promo Form'!CS48</f>
        <v/>
      </c>
      <c r="AI48" s="17" t="str">
        <f>'Promo Form'!CT48</f>
        <v/>
      </c>
      <c r="AJ48" s="99" t="str">
        <f>'Promo Form'!CU48</f>
        <v/>
      </c>
      <c r="AK48" s="17" t="str">
        <f>'Promo Form'!CV48</f>
        <v/>
      </c>
      <c r="AL48" s="98">
        <f>'Promo Form'!CW48</f>
        <v>0</v>
      </c>
    </row>
    <row r="49" spans="1:38" x14ac:dyDescent="0.2">
      <c r="A49" s="12" t="str">
        <f>'Promo Form'!A49</f>
        <v/>
      </c>
      <c r="B49" s="12" t="str">
        <f>'Promo Form'!B49</f>
        <v/>
      </c>
      <c r="C49" s="13">
        <f>'Promo Form'!C49</f>
        <v>0</v>
      </c>
      <c r="D49" s="14" t="str">
        <f>'Promo Form'!D49</f>
        <v/>
      </c>
      <c r="E49" s="15"/>
      <c r="F49" s="16" t="str">
        <f>'Promo Form'!H49</f>
        <v/>
      </c>
      <c r="G49" s="102" t="str">
        <f>'Promo Form'!O49</f>
        <v/>
      </c>
      <c r="H49" s="70" t="str">
        <f>'Promo Form'!P49</f>
        <v/>
      </c>
      <c r="I49" s="80"/>
      <c r="J49" s="16" t="str">
        <f>'Promo Form'!U49</f>
        <v/>
      </c>
      <c r="K49" s="102" t="str">
        <f>'Promo Form'!AB49</f>
        <v/>
      </c>
      <c r="L49" s="70" t="str">
        <f>'Promo Form'!AC49</f>
        <v/>
      </c>
      <c r="M49" s="80"/>
      <c r="N49" s="16" t="str">
        <f>'Promo Form'!AH49</f>
        <v/>
      </c>
      <c r="O49" s="102" t="str">
        <f>'Promo Form'!AO49</f>
        <v/>
      </c>
      <c r="P49" s="70" t="str">
        <f>'Promo Form'!AP49</f>
        <v/>
      </c>
      <c r="Q49" s="80"/>
      <c r="R49" s="16" t="str">
        <f>'Promo Form'!AU49</f>
        <v/>
      </c>
      <c r="S49" s="102" t="str">
        <f>'Promo Form'!BB49</f>
        <v/>
      </c>
      <c r="T49" s="70" t="str">
        <f>'Promo Form'!BC49</f>
        <v/>
      </c>
      <c r="U49" s="80"/>
      <c r="V49" s="16" t="str">
        <f>'Promo Form'!BH49</f>
        <v/>
      </c>
      <c r="W49" s="102" t="str">
        <f>'Promo Form'!BO49</f>
        <v/>
      </c>
      <c r="X49" s="70" t="str">
        <f>'Promo Form'!BP49</f>
        <v/>
      </c>
      <c r="Y49" s="80"/>
      <c r="Z49" s="16" t="str">
        <f>'Promo Form'!BU49</f>
        <v/>
      </c>
      <c r="AA49" s="102" t="str">
        <f>'Promo Form'!CB49</f>
        <v/>
      </c>
      <c r="AB49" s="70" t="str">
        <f>'Promo Form'!CC49</f>
        <v/>
      </c>
      <c r="AC49" s="80"/>
      <c r="AD49" s="16" t="str">
        <f>'Promo Form'!CH49</f>
        <v/>
      </c>
      <c r="AE49" s="102" t="str">
        <f>'Promo Form'!CO49</f>
        <v/>
      </c>
      <c r="AF49" s="70" t="str">
        <f>'Promo Form'!CP49</f>
        <v/>
      </c>
      <c r="AG49" s="80"/>
      <c r="AH49" s="17" t="str">
        <f>'Promo Form'!CS49</f>
        <v/>
      </c>
      <c r="AI49" s="17" t="str">
        <f>'Promo Form'!CT49</f>
        <v/>
      </c>
      <c r="AJ49" s="99" t="str">
        <f>'Promo Form'!CU49</f>
        <v/>
      </c>
      <c r="AK49" s="17" t="str">
        <f>'Promo Form'!CV49</f>
        <v/>
      </c>
      <c r="AL49" s="98">
        <f>'Promo Form'!CW49</f>
        <v>0</v>
      </c>
    </row>
    <row r="50" spans="1:38" ht="18" x14ac:dyDescent="0.2">
      <c r="A50" s="185" t="s">
        <v>35</v>
      </c>
      <c r="B50" s="186"/>
      <c r="C50" s="187"/>
      <c r="D50" s="90"/>
      <c r="E50" s="15"/>
      <c r="F50" s="20"/>
      <c r="G50" s="105" t="s">
        <v>36</v>
      </c>
      <c r="H50" s="76" t="s">
        <v>37</v>
      </c>
      <c r="I50" s="77"/>
      <c r="J50" s="20"/>
      <c r="K50" s="105" t="s">
        <v>36</v>
      </c>
      <c r="L50" s="76" t="s">
        <v>37</v>
      </c>
      <c r="M50" s="77"/>
      <c r="N50" s="20"/>
      <c r="O50" s="105" t="s">
        <v>36</v>
      </c>
      <c r="P50" s="76" t="s">
        <v>37</v>
      </c>
      <c r="Q50" s="77"/>
      <c r="R50" s="20"/>
      <c r="S50" s="105" t="s">
        <v>36</v>
      </c>
      <c r="T50" s="76" t="s">
        <v>37</v>
      </c>
      <c r="U50" s="77"/>
      <c r="V50" s="20"/>
      <c r="W50" s="105" t="s">
        <v>36</v>
      </c>
      <c r="X50" s="76" t="s">
        <v>37</v>
      </c>
      <c r="Y50" s="77"/>
      <c r="Z50" s="20"/>
      <c r="AA50" s="105" t="s">
        <v>36</v>
      </c>
      <c r="AB50" s="76" t="s">
        <v>37</v>
      </c>
      <c r="AC50" s="77"/>
      <c r="AD50" s="20"/>
      <c r="AE50" s="105" t="s">
        <v>36</v>
      </c>
      <c r="AF50" s="76" t="s">
        <v>37</v>
      </c>
      <c r="AG50" s="77"/>
    </row>
    <row r="51" spans="1:38" x14ac:dyDescent="0.2">
      <c r="A51" s="6"/>
      <c r="B51" s="6"/>
      <c r="C51" s="6"/>
      <c r="D51" s="6"/>
      <c r="E51" s="15"/>
      <c r="F51" s="3"/>
      <c r="G51" s="105"/>
      <c r="H51" s="75">
        <f>'Promo Form'!P52</f>
        <v>0</v>
      </c>
      <c r="I51" s="77" t="s">
        <v>39</v>
      </c>
      <c r="J51" s="3"/>
      <c r="K51" s="105"/>
      <c r="L51" s="75">
        <f>'Promo Form'!AC52</f>
        <v>0</v>
      </c>
      <c r="M51" s="77" t="s">
        <v>39</v>
      </c>
      <c r="N51" s="3"/>
      <c r="O51" s="105"/>
      <c r="P51" s="75">
        <f>'Promo Form'!AP52</f>
        <v>0</v>
      </c>
      <c r="Q51" s="77" t="s">
        <v>39</v>
      </c>
      <c r="R51" s="3"/>
      <c r="S51" s="105"/>
      <c r="T51" s="75">
        <f>'Promo Form'!BC52</f>
        <v>0</v>
      </c>
      <c r="U51" s="77" t="s">
        <v>39</v>
      </c>
      <c r="V51" s="3"/>
      <c r="W51" s="105"/>
      <c r="X51" s="75">
        <f>'Promo Form'!BP52</f>
        <v>0</v>
      </c>
      <c r="Y51" s="77" t="s">
        <v>39</v>
      </c>
      <c r="Z51" s="3"/>
      <c r="AA51" s="105"/>
      <c r="AB51" s="75">
        <f>'Promo Form'!CC52</f>
        <v>0</v>
      </c>
      <c r="AC51" s="77" t="s">
        <v>39</v>
      </c>
      <c r="AD51" s="3"/>
      <c r="AE51" s="105"/>
      <c r="AF51" s="75">
        <f>'Promo Form'!CP52</f>
        <v>0</v>
      </c>
      <c r="AG51" s="77" t="s">
        <v>39</v>
      </c>
    </row>
    <row r="52" spans="1:38" x14ac:dyDescent="0.2">
      <c r="A52" s="155" t="s">
        <v>41</v>
      </c>
      <c r="B52" s="156"/>
      <c r="C52" s="157"/>
      <c r="D52" s="24">
        <f>'Promo Form'!D53</f>
        <v>0</v>
      </c>
      <c r="E52" s="15"/>
      <c r="F52" s="3"/>
      <c r="I52" s="82"/>
      <c r="J52" s="3"/>
      <c r="M52" s="82"/>
      <c r="N52" s="3"/>
      <c r="Q52" s="82"/>
      <c r="R52" s="3"/>
      <c r="U52" s="82"/>
      <c r="V52" s="3"/>
      <c r="Y52" s="82"/>
      <c r="Z52" s="3"/>
      <c r="AC52" s="82"/>
      <c r="AD52" s="3"/>
      <c r="AG52" s="82"/>
    </row>
    <row r="53" spans="1:38" x14ac:dyDescent="0.2">
      <c r="A53" s="155" t="s">
        <v>42</v>
      </c>
      <c r="B53" s="156"/>
      <c r="C53" s="157"/>
      <c r="D53" s="24">
        <f>'Promo Form'!D54</f>
        <v>0</v>
      </c>
      <c r="E53" s="15"/>
      <c r="F53" s="3"/>
      <c r="G53" s="3"/>
      <c r="H53" s="6"/>
      <c r="I53" s="77"/>
      <c r="J53" s="3"/>
      <c r="K53" s="3"/>
      <c r="L53" s="6"/>
      <c r="M53" s="77"/>
      <c r="N53" s="3"/>
      <c r="O53" s="3"/>
      <c r="P53" s="6"/>
      <c r="Q53" s="77"/>
      <c r="R53" s="3"/>
      <c r="S53" s="3"/>
      <c r="T53" s="6"/>
      <c r="U53" s="77"/>
      <c r="V53" s="3"/>
      <c r="W53" s="3"/>
      <c r="X53" s="6"/>
      <c r="Y53" s="77"/>
      <c r="Z53" s="3"/>
      <c r="AA53" s="3"/>
      <c r="AB53" s="6"/>
      <c r="AC53" s="77"/>
      <c r="AD53" s="3"/>
      <c r="AE53" s="3"/>
      <c r="AF53" s="6"/>
      <c r="AG53" s="77"/>
    </row>
    <row r="54" spans="1:38" x14ac:dyDescent="0.2">
      <c r="A54" s="26"/>
      <c r="B54" s="27"/>
      <c r="C54" s="28" t="s">
        <v>45</v>
      </c>
      <c r="D54" s="29">
        <f>'Promo Form'!D55</f>
        <v>0.65</v>
      </c>
      <c r="E54" s="15"/>
      <c r="F54" s="3"/>
      <c r="G54" s="6"/>
      <c r="H54" s="3"/>
      <c r="I54" s="77"/>
      <c r="J54" s="3"/>
      <c r="K54" s="6"/>
      <c r="L54" s="3"/>
      <c r="M54" s="77"/>
      <c r="N54" s="3"/>
      <c r="O54" s="6"/>
      <c r="P54" s="3"/>
      <c r="Q54" s="77"/>
      <c r="R54" s="3"/>
      <c r="S54" s="6"/>
      <c r="T54" s="3"/>
      <c r="U54" s="77"/>
      <c r="V54" s="3"/>
      <c r="W54" s="6"/>
      <c r="X54" s="3"/>
      <c r="Y54" s="77"/>
      <c r="Z54" s="3"/>
      <c r="AA54" s="6"/>
      <c r="AB54" s="3"/>
      <c r="AC54" s="77"/>
      <c r="AD54" s="3"/>
      <c r="AE54" s="6"/>
      <c r="AF54" s="3"/>
      <c r="AG54" s="77"/>
    </row>
    <row r="57" spans="1:38" x14ac:dyDescent="0.2">
      <c r="B57" s="191" t="s">
        <v>69</v>
      </c>
      <c r="C57" s="191"/>
      <c r="D57" s="190" t="s">
        <v>70</v>
      </c>
    </row>
    <row r="58" spans="1:38" x14ac:dyDescent="0.2">
      <c r="B58" s="191"/>
      <c r="C58" s="191"/>
      <c r="D58" s="190"/>
    </row>
    <row r="59" spans="1:38" x14ac:dyDescent="0.2">
      <c r="B59" s="191"/>
      <c r="C59" s="191"/>
      <c r="D59" s="190"/>
    </row>
  </sheetData>
  <mergeCells count="17">
    <mergeCell ref="A1:B1"/>
    <mergeCell ref="A2:B2"/>
    <mergeCell ref="A3:B3"/>
    <mergeCell ref="C3:C4"/>
    <mergeCell ref="D3:D4"/>
    <mergeCell ref="F3:H3"/>
    <mergeCell ref="D57:D59"/>
    <mergeCell ref="B57:C59"/>
    <mergeCell ref="A50:C50"/>
    <mergeCell ref="A52:C52"/>
    <mergeCell ref="A53:C53"/>
    <mergeCell ref="AD3:AF3"/>
    <mergeCell ref="J3:L3"/>
    <mergeCell ref="N3:P3"/>
    <mergeCell ref="R3:T3"/>
    <mergeCell ref="V3:X3"/>
    <mergeCell ref="Z3:AB3"/>
  </mergeCells>
  <conditionalFormatting sqref="B54">
    <cfRule type="containsText" dxfId="1" priority="5" operator="containsText" text="Sent to Vendor">
      <formula>NOT(ISERROR(SEARCH(("Sent to Vendor"),(B54))))</formula>
    </cfRule>
  </conditionalFormatting>
  <conditionalFormatting sqref="D53">
    <cfRule type="expression" dxfId="0" priority="6">
      <formula>B54="Sent to Vendor"</formula>
    </cfRule>
  </conditionalFormatting>
  <dataValidations disablePrompts="1" count="1">
    <dataValidation type="list" allowBlank="1" showErrorMessage="1" sqref="B54" xr:uid="{3CA1120A-A830-CD4D-AD07-8FC9B2C07090}">
      <formula1>"Not Sent,Sent to Vendor"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DF7E-E91D-8348-80A8-AA4A2C3222EE}">
  <dimension ref="A2:B13"/>
  <sheetViews>
    <sheetView workbookViewId="0">
      <selection activeCell="E13" sqref="E13"/>
    </sheetView>
  </sheetViews>
  <sheetFormatPr baseColWidth="10" defaultColWidth="11" defaultRowHeight="16" x14ac:dyDescent="0.2"/>
  <cols>
    <col min="1" max="1" width="17.83203125" customWidth="1"/>
  </cols>
  <sheetData>
    <row r="2" spans="1:2" x14ac:dyDescent="0.2">
      <c r="B2" t="s">
        <v>2</v>
      </c>
    </row>
    <row r="3" spans="1:2" x14ac:dyDescent="0.2">
      <c r="A3" t="s">
        <v>71</v>
      </c>
      <c r="B3" s="62">
        <v>0</v>
      </c>
    </row>
    <row r="4" spans="1:2" x14ac:dyDescent="0.2">
      <c r="A4" t="s">
        <v>10</v>
      </c>
      <c r="B4" s="62">
        <v>0.19</v>
      </c>
    </row>
    <row r="5" spans="1:2" x14ac:dyDescent="0.2">
      <c r="A5" t="s">
        <v>8</v>
      </c>
      <c r="B5" s="62">
        <v>0.13500000000000001</v>
      </c>
    </row>
    <row r="6" spans="1:2" x14ac:dyDescent="0.2">
      <c r="A6" t="s">
        <v>14</v>
      </c>
      <c r="B6" s="62">
        <v>0.17</v>
      </c>
    </row>
    <row r="7" spans="1:2" x14ac:dyDescent="0.2">
      <c r="A7" t="s">
        <v>11</v>
      </c>
      <c r="B7" s="62">
        <v>0.125</v>
      </c>
    </row>
    <row r="8" spans="1:2" x14ac:dyDescent="0.2">
      <c r="A8" t="s">
        <v>72</v>
      </c>
      <c r="B8" s="62">
        <v>0</v>
      </c>
    </row>
    <row r="9" spans="1:2" x14ac:dyDescent="0.2">
      <c r="A9" t="s">
        <v>73</v>
      </c>
      <c r="B9" s="62">
        <v>0</v>
      </c>
    </row>
    <row r="10" spans="1:2" x14ac:dyDescent="0.2">
      <c r="A10" t="s">
        <v>74</v>
      </c>
      <c r="B10" s="62">
        <v>0.15</v>
      </c>
    </row>
    <row r="11" spans="1:2" x14ac:dyDescent="0.2">
      <c r="A11" t="s">
        <v>12</v>
      </c>
      <c r="B11" s="62">
        <v>0.15</v>
      </c>
    </row>
    <row r="12" spans="1:2" x14ac:dyDescent="0.2">
      <c r="A12" t="s">
        <v>13</v>
      </c>
      <c r="B12" s="62">
        <v>0.2</v>
      </c>
    </row>
    <row r="13" spans="1:2" x14ac:dyDescent="0.2">
      <c r="A13" t="s">
        <v>75</v>
      </c>
      <c r="B13" s="6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79EA-2251-A74D-A55C-FE7AA86549B9}">
  <dimension ref="A1:AC1761"/>
  <sheetViews>
    <sheetView zoomScale="70" zoomScaleNormal="70" workbookViewId="0">
      <selection activeCell="A2" sqref="A2"/>
    </sheetView>
  </sheetViews>
  <sheetFormatPr baseColWidth="10" defaultColWidth="11" defaultRowHeight="16" x14ac:dyDescent="0.2"/>
  <cols>
    <col min="1" max="1" width="21.6640625" bestFit="1" customWidth="1"/>
    <col min="2" max="2" width="20.6640625" bestFit="1" customWidth="1"/>
    <col min="3" max="3" width="25.6640625" bestFit="1" customWidth="1"/>
    <col min="4" max="4" width="80.6640625" bestFit="1" customWidth="1"/>
    <col min="5" max="5" width="12" bestFit="1" customWidth="1"/>
    <col min="6" max="6" width="16" bestFit="1" customWidth="1"/>
    <col min="7" max="7" width="33" bestFit="1" customWidth="1"/>
    <col min="8" max="10" width="11.1640625" bestFit="1" customWidth="1"/>
    <col min="11" max="11" width="12.33203125" bestFit="1" customWidth="1"/>
    <col min="12" max="12" width="9.5" bestFit="1" customWidth="1"/>
    <col min="13" max="13" width="17.1640625" bestFit="1" customWidth="1"/>
    <col min="14" max="14" width="10" bestFit="1" customWidth="1"/>
    <col min="15" max="15" width="14.33203125" bestFit="1" customWidth="1"/>
    <col min="16" max="16" width="11.1640625" bestFit="1" customWidth="1"/>
    <col min="17" max="17" width="17.83203125" bestFit="1" customWidth="1"/>
    <col min="18" max="18" width="20.33203125" bestFit="1" customWidth="1"/>
    <col min="19" max="19" width="15.83203125" bestFit="1" customWidth="1"/>
    <col min="20" max="20" width="12.1640625" bestFit="1" customWidth="1"/>
    <col min="21" max="21" width="15.33203125" bestFit="1" customWidth="1"/>
    <col min="22" max="22" width="24.6640625" bestFit="1" customWidth="1"/>
    <col min="23" max="23" width="22" bestFit="1" customWidth="1"/>
    <col min="24" max="24" width="17.33203125" bestFit="1" customWidth="1"/>
    <col min="25" max="25" width="16.1640625" bestFit="1" customWidth="1"/>
    <col min="26" max="26" width="29" bestFit="1" customWidth="1"/>
    <col min="27" max="27" width="22.83203125" bestFit="1" customWidth="1"/>
    <col min="28" max="28" width="27.83203125" bestFit="1" customWidth="1"/>
    <col min="29" max="30" width="11" bestFit="1" customWidth="1"/>
    <col min="31" max="31" width="9.6640625" bestFit="1" customWidth="1"/>
  </cols>
  <sheetData>
    <row r="1" spans="1:29" x14ac:dyDescent="0.2">
      <c r="A1" t="s">
        <v>76</v>
      </c>
      <c r="B1" t="s">
        <v>3</v>
      </c>
      <c r="C1" t="s">
        <v>6</v>
      </c>
      <c r="D1" t="s">
        <v>77</v>
      </c>
      <c r="E1" t="s">
        <v>78</v>
      </c>
      <c r="F1" t="s">
        <v>79</v>
      </c>
      <c r="G1" t="s">
        <v>80</v>
      </c>
      <c r="H1" t="s">
        <v>72</v>
      </c>
      <c r="I1" t="s">
        <v>73</v>
      </c>
      <c r="J1" t="s">
        <v>81</v>
      </c>
      <c r="K1" t="s">
        <v>75</v>
      </c>
      <c r="L1" t="s">
        <v>10</v>
      </c>
      <c r="M1" t="s">
        <v>14</v>
      </c>
      <c r="N1" t="s">
        <v>82</v>
      </c>
      <c r="O1" t="s">
        <v>11</v>
      </c>
      <c r="P1" t="s">
        <v>83</v>
      </c>
      <c r="Q1" t="s">
        <v>8</v>
      </c>
      <c r="R1" t="s">
        <v>12</v>
      </c>
      <c r="S1" t="s">
        <v>84</v>
      </c>
      <c r="T1" t="s">
        <v>85</v>
      </c>
      <c r="U1" t="s">
        <v>74</v>
      </c>
      <c r="V1" t="s">
        <v>8624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13</v>
      </c>
    </row>
    <row r="2" spans="1:29" x14ac:dyDescent="0.2">
      <c r="A2" t="s">
        <v>92</v>
      </c>
      <c r="B2" t="s">
        <v>93</v>
      </c>
      <c r="C2" t="s">
        <v>94</v>
      </c>
      <c r="D2" t="s">
        <v>95</v>
      </c>
      <c r="E2" t="s">
        <v>96</v>
      </c>
      <c r="F2">
        <v>169.99</v>
      </c>
      <c r="T2" t="s">
        <v>97</v>
      </c>
      <c r="Z2">
        <v>169.99</v>
      </c>
      <c r="AA2" t="s">
        <v>97</v>
      </c>
    </row>
    <row r="3" spans="1:29" x14ac:dyDescent="0.2">
      <c r="A3" t="s">
        <v>92</v>
      </c>
      <c r="B3" t="s">
        <v>93</v>
      </c>
      <c r="C3" t="s">
        <v>98</v>
      </c>
      <c r="D3" t="s">
        <v>99</v>
      </c>
      <c r="E3" t="s">
        <v>96</v>
      </c>
      <c r="F3">
        <v>169.99</v>
      </c>
      <c r="T3" t="s">
        <v>97</v>
      </c>
      <c r="Z3">
        <v>169.99</v>
      </c>
      <c r="AA3" t="s">
        <v>97</v>
      </c>
    </row>
    <row r="4" spans="1:29" x14ac:dyDescent="0.2">
      <c r="A4" t="s">
        <v>92</v>
      </c>
      <c r="B4" t="s">
        <v>93</v>
      </c>
      <c r="C4" t="s">
        <v>100</v>
      </c>
      <c r="D4" t="s">
        <v>101</v>
      </c>
      <c r="E4" t="s">
        <v>96</v>
      </c>
      <c r="F4">
        <v>169.99</v>
      </c>
      <c r="T4" t="s">
        <v>97</v>
      </c>
      <c r="Z4">
        <v>169.99</v>
      </c>
      <c r="AA4" t="s">
        <v>97</v>
      </c>
    </row>
    <row r="5" spans="1:29" x14ac:dyDescent="0.2">
      <c r="A5" t="s">
        <v>92</v>
      </c>
      <c r="B5" t="s">
        <v>93</v>
      </c>
      <c r="C5" t="s">
        <v>102</v>
      </c>
      <c r="D5" t="s">
        <v>103</v>
      </c>
      <c r="E5" t="s">
        <v>96</v>
      </c>
      <c r="F5">
        <v>169.99</v>
      </c>
      <c r="T5" t="s">
        <v>97</v>
      </c>
      <c r="Z5">
        <v>169.99</v>
      </c>
      <c r="AA5" t="s">
        <v>97</v>
      </c>
    </row>
    <row r="6" spans="1:29" x14ac:dyDescent="0.2">
      <c r="A6" t="s">
        <v>92</v>
      </c>
      <c r="B6" t="s">
        <v>93</v>
      </c>
      <c r="C6" t="s">
        <v>104</v>
      </c>
      <c r="D6" t="s">
        <v>105</v>
      </c>
      <c r="E6" t="s">
        <v>96</v>
      </c>
      <c r="F6">
        <v>169.99</v>
      </c>
      <c r="T6" t="s">
        <v>97</v>
      </c>
      <c r="Z6">
        <v>169.99</v>
      </c>
      <c r="AA6" t="s">
        <v>97</v>
      </c>
    </row>
    <row r="7" spans="1:29" x14ac:dyDescent="0.2">
      <c r="A7" t="s">
        <v>92</v>
      </c>
      <c r="B7" t="s">
        <v>93</v>
      </c>
      <c r="C7" t="s">
        <v>106</v>
      </c>
      <c r="D7" t="s">
        <v>107</v>
      </c>
      <c r="E7" t="s">
        <v>96</v>
      </c>
      <c r="F7">
        <v>169.99</v>
      </c>
      <c r="T7" t="s">
        <v>97</v>
      </c>
      <c r="Z7">
        <v>169.99</v>
      </c>
      <c r="AA7" t="s">
        <v>97</v>
      </c>
    </row>
    <row r="8" spans="1:29" x14ac:dyDescent="0.2">
      <c r="A8" t="s">
        <v>92</v>
      </c>
      <c r="B8" t="s">
        <v>93</v>
      </c>
      <c r="C8" t="s">
        <v>108</v>
      </c>
      <c r="D8" t="s">
        <v>109</v>
      </c>
      <c r="E8" t="s">
        <v>96</v>
      </c>
      <c r="F8">
        <v>169.99</v>
      </c>
      <c r="T8" t="s">
        <v>97</v>
      </c>
      <c r="Z8">
        <v>169.99</v>
      </c>
      <c r="AA8" t="s">
        <v>97</v>
      </c>
    </row>
    <row r="9" spans="1:29" x14ac:dyDescent="0.2">
      <c r="A9" t="s">
        <v>92</v>
      </c>
      <c r="B9" t="s">
        <v>93</v>
      </c>
      <c r="C9" t="s">
        <v>110</v>
      </c>
      <c r="D9" t="s">
        <v>111</v>
      </c>
      <c r="E9" t="s">
        <v>96</v>
      </c>
      <c r="F9">
        <v>169.99</v>
      </c>
      <c r="T9" t="s">
        <v>97</v>
      </c>
      <c r="Z9">
        <v>169.99</v>
      </c>
      <c r="AA9" t="s">
        <v>97</v>
      </c>
    </row>
    <row r="10" spans="1:29" x14ac:dyDescent="0.2">
      <c r="A10" t="s">
        <v>92</v>
      </c>
      <c r="B10" t="s">
        <v>93</v>
      </c>
      <c r="C10" t="s">
        <v>112</v>
      </c>
      <c r="D10" t="s">
        <v>113</v>
      </c>
      <c r="E10" t="s">
        <v>96</v>
      </c>
      <c r="F10">
        <v>169.99</v>
      </c>
      <c r="T10" t="s">
        <v>97</v>
      </c>
      <c r="Z10">
        <v>169.99</v>
      </c>
      <c r="AA10" t="s">
        <v>97</v>
      </c>
    </row>
    <row r="11" spans="1:29" x14ac:dyDescent="0.2">
      <c r="A11" t="s">
        <v>92</v>
      </c>
      <c r="B11" t="s">
        <v>93</v>
      </c>
      <c r="C11" t="s">
        <v>114</v>
      </c>
      <c r="D11" t="s">
        <v>115</v>
      </c>
      <c r="E11" t="s">
        <v>96</v>
      </c>
      <c r="F11">
        <v>169.99</v>
      </c>
      <c r="T11" t="s">
        <v>97</v>
      </c>
      <c r="Z11">
        <v>169.99</v>
      </c>
      <c r="AA11" t="s">
        <v>97</v>
      </c>
    </row>
    <row r="12" spans="1:29" x14ac:dyDescent="0.2">
      <c r="A12" t="s">
        <v>92</v>
      </c>
      <c r="B12" t="s">
        <v>93</v>
      </c>
      <c r="C12" t="s">
        <v>116</v>
      </c>
      <c r="D12" t="s">
        <v>117</v>
      </c>
      <c r="E12" t="s">
        <v>96</v>
      </c>
      <c r="F12">
        <v>169.99</v>
      </c>
      <c r="T12" t="s">
        <v>97</v>
      </c>
      <c r="Z12">
        <v>169.99</v>
      </c>
      <c r="AA12" t="s">
        <v>97</v>
      </c>
    </row>
    <row r="13" spans="1:29" x14ac:dyDescent="0.2">
      <c r="A13" t="s">
        <v>92</v>
      </c>
      <c r="B13" t="s">
        <v>93</v>
      </c>
      <c r="C13" t="s">
        <v>118</v>
      </c>
      <c r="D13" t="s">
        <v>119</v>
      </c>
      <c r="E13" t="s">
        <v>96</v>
      </c>
      <c r="F13">
        <v>169.99</v>
      </c>
      <c r="T13" t="s">
        <v>97</v>
      </c>
      <c r="Z13">
        <v>169.99</v>
      </c>
      <c r="AA13" t="s">
        <v>97</v>
      </c>
    </row>
    <row r="14" spans="1:29" x14ac:dyDescent="0.2">
      <c r="A14" t="s">
        <v>92</v>
      </c>
      <c r="B14" t="s">
        <v>93</v>
      </c>
      <c r="C14" t="s">
        <v>120</v>
      </c>
      <c r="D14" t="s">
        <v>121</v>
      </c>
      <c r="E14" t="s">
        <v>96</v>
      </c>
      <c r="F14">
        <v>169.99</v>
      </c>
      <c r="T14" t="s">
        <v>97</v>
      </c>
      <c r="Z14">
        <v>169.99</v>
      </c>
      <c r="AA14" t="s">
        <v>97</v>
      </c>
    </row>
    <row r="15" spans="1:29" x14ac:dyDescent="0.2">
      <c r="A15" t="s">
        <v>92</v>
      </c>
      <c r="B15" t="s">
        <v>93</v>
      </c>
      <c r="C15" t="s">
        <v>122</v>
      </c>
      <c r="D15" t="s">
        <v>123</v>
      </c>
      <c r="E15" t="s">
        <v>96</v>
      </c>
      <c r="F15">
        <v>169.99</v>
      </c>
      <c r="T15" t="s">
        <v>97</v>
      </c>
      <c r="Z15">
        <v>169.99</v>
      </c>
      <c r="AA15" t="s">
        <v>97</v>
      </c>
    </row>
    <row r="16" spans="1:29" x14ac:dyDescent="0.2">
      <c r="A16" t="s">
        <v>92</v>
      </c>
      <c r="B16" t="s">
        <v>93</v>
      </c>
      <c r="C16" t="s">
        <v>124</v>
      </c>
      <c r="D16" t="s">
        <v>125</v>
      </c>
      <c r="E16" t="s">
        <v>96</v>
      </c>
      <c r="F16">
        <v>169.99</v>
      </c>
      <c r="T16" t="s">
        <v>97</v>
      </c>
      <c r="Z16">
        <v>169.99</v>
      </c>
      <c r="AA16" t="s">
        <v>97</v>
      </c>
    </row>
    <row r="17" spans="1:27" x14ac:dyDescent="0.2">
      <c r="A17" t="s">
        <v>92</v>
      </c>
      <c r="B17" t="s">
        <v>93</v>
      </c>
      <c r="C17" t="s">
        <v>126</v>
      </c>
      <c r="D17" t="s">
        <v>127</v>
      </c>
      <c r="E17" t="s">
        <v>96</v>
      </c>
      <c r="F17">
        <v>169.99</v>
      </c>
      <c r="T17" t="s">
        <v>97</v>
      </c>
      <c r="Z17">
        <v>169.99</v>
      </c>
      <c r="AA17" t="s">
        <v>97</v>
      </c>
    </row>
    <row r="18" spans="1:27" x14ac:dyDescent="0.2">
      <c r="A18" t="s">
        <v>92</v>
      </c>
      <c r="B18" t="s">
        <v>93</v>
      </c>
      <c r="C18" t="s">
        <v>128</v>
      </c>
      <c r="D18" t="s">
        <v>129</v>
      </c>
      <c r="E18" t="s">
        <v>96</v>
      </c>
      <c r="F18">
        <v>169.99</v>
      </c>
      <c r="T18" t="s">
        <v>97</v>
      </c>
      <c r="Z18">
        <v>169.99</v>
      </c>
      <c r="AA18" t="s">
        <v>97</v>
      </c>
    </row>
    <row r="19" spans="1:27" x14ac:dyDescent="0.2">
      <c r="A19" t="s">
        <v>92</v>
      </c>
      <c r="B19" t="s">
        <v>93</v>
      </c>
      <c r="C19" t="s">
        <v>130</v>
      </c>
      <c r="D19" t="s">
        <v>131</v>
      </c>
      <c r="E19" t="s">
        <v>96</v>
      </c>
      <c r="F19">
        <v>169.99</v>
      </c>
      <c r="T19" t="s">
        <v>97</v>
      </c>
      <c r="Z19">
        <v>169.99</v>
      </c>
      <c r="AA19" t="s">
        <v>97</v>
      </c>
    </row>
    <row r="20" spans="1:27" x14ac:dyDescent="0.2">
      <c r="A20" t="s">
        <v>92</v>
      </c>
      <c r="B20" t="s">
        <v>93</v>
      </c>
      <c r="C20" t="s">
        <v>132</v>
      </c>
      <c r="D20" t="s">
        <v>133</v>
      </c>
      <c r="E20" t="s">
        <v>96</v>
      </c>
      <c r="F20">
        <v>169.99</v>
      </c>
      <c r="T20" t="s">
        <v>97</v>
      </c>
      <c r="Z20">
        <v>169.99</v>
      </c>
      <c r="AA20" t="s">
        <v>97</v>
      </c>
    </row>
    <row r="21" spans="1:27" x14ac:dyDescent="0.2">
      <c r="A21" t="s">
        <v>92</v>
      </c>
      <c r="B21" t="s">
        <v>93</v>
      </c>
      <c r="C21" t="s">
        <v>134</v>
      </c>
      <c r="D21" t="s">
        <v>135</v>
      </c>
      <c r="E21" t="s">
        <v>96</v>
      </c>
      <c r="F21">
        <v>169.99</v>
      </c>
      <c r="T21" t="s">
        <v>97</v>
      </c>
      <c r="Z21">
        <v>169.99</v>
      </c>
      <c r="AA21" t="s">
        <v>97</v>
      </c>
    </row>
    <row r="22" spans="1:27" x14ac:dyDescent="0.2">
      <c r="A22" t="s">
        <v>92</v>
      </c>
      <c r="B22" t="s">
        <v>93</v>
      </c>
      <c r="C22" t="s">
        <v>136</v>
      </c>
      <c r="D22" t="s">
        <v>137</v>
      </c>
      <c r="E22" t="s">
        <v>96</v>
      </c>
      <c r="F22">
        <v>169.99</v>
      </c>
      <c r="T22" t="s">
        <v>97</v>
      </c>
      <c r="Z22">
        <v>169.99</v>
      </c>
      <c r="AA22" t="s">
        <v>97</v>
      </c>
    </row>
    <row r="23" spans="1:27" x14ac:dyDescent="0.2">
      <c r="A23" t="s">
        <v>92</v>
      </c>
      <c r="B23" t="s">
        <v>93</v>
      </c>
      <c r="C23" t="s">
        <v>138</v>
      </c>
      <c r="D23" t="s">
        <v>139</v>
      </c>
      <c r="E23" t="s">
        <v>96</v>
      </c>
      <c r="F23">
        <v>169.99</v>
      </c>
      <c r="T23" t="s">
        <v>97</v>
      </c>
      <c r="Z23">
        <v>169.99</v>
      </c>
      <c r="AA23" t="s">
        <v>97</v>
      </c>
    </row>
    <row r="24" spans="1:27" x14ac:dyDescent="0.2">
      <c r="A24" t="s">
        <v>92</v>
      </c>
      <c r="B24" t="s">
        <v>93</v>
      </c>
      <c r="C24" t="s">
        <v>140</v>
      </c>
      <c r="D24" t="s">
        <v>141</v>
      </c>
      <c r="E24" t="s">
        <v>96</v>
      </c>
      <c r="F24">
        <v>169.99</v>
      </c>
      <c r="T24" t="s">
        <v>97</v>
      </c>
      <c r="Z24">
        <v>169.99</v>
      </c>
      <c r="AA24" t="s">
        <v>97</v>
      </c>
    </row>
    <row r="25" spans="1:27" x14ac:dyDescent="0.2">
      <c r="A25" t="s">
        <v>92</v>
      </c>
      <c r="B25" t="s">
        <v>93</v>
      </c>
      <c r="C25" t="s">
        <v>142</v>
      </c>
      <c r="D25" t="s">
        <v>143</v>
      </c>
      <c r="E25" t="s">
        <v>96</v>
      </c>
      <c r="F25">
        <v>169.99</v>
      </c>
      <c r="T25" t="s">
        <v>97</v>
      </c>
      <c r="AA25" t="s">
        <v>97</v>
      </c>
    </row>
    <row r="26" spans="1:27" x14ac:dyDescent="0.2">
      <c r="A26" t="s">
        <v>92</v>
      </c>
      <c r="B26" t="s">
        <v>93</v>
      </c>
      <c r="C26" t="s">
        <v>144</v>
      </c>
      <c r="D26" t="s">
        <v>145</v>
      </c>
      <c r="E26" t="s">
        <v>96</v>
      </c>
      <c r="F26">
        <v>169.99</v>
      </c>
      <c r="T26" t="s">
        <v>97</v>
      </c>
      <c r="Z26">
        <v>169.99</v>
      </c>
      <c r="AA26" t="s">
        <v>97</v>
      </c>
    </row>
    <row r="27" spans="1:27" x14ac:dyDescent="0.2">
      <c r="A27" t="s">
        <v>92</v>
      </c>
      <c r="B27" t="s">
        <v>93</v>
      </c>
      <c r="C27" t="s">
        <v>146</v>
      </c>
      <c r="D27" t="s">
        <v>147</v>
      </c>
      <c r="E27" t="s">
        <v>96</v>
      </c>
      <c r="F27">
        <v>169.99</v>
      </c>
      <c r="T27" t="s">
        <v>97</v>
      </c>
      <c r="Z27">
        <v>169.99</v>
      </c>
      <c r="AA27" t="s">
        <v>97</v>
      </c>
    </row>
    <row r="28" spans="1:27" x14ac:dyDescent="0.2">
      <c r="A28" t="s">
        <v>92</v>
      </c>
      <c r="B28" t="s">
        <v>93</v>
      </c>
      <c r="C28" t="s">
        <v>148</v>
      </c>
      <c r="D28" t="s">
        <v>149</v>
      </c>
      <c r="E28" t="s">
        <v>96</v>
      </c>
      <c r="F28">
        <v>169.99</v>
      </c>
      <c r="T28" t="s">
        <v>97</v>
      </c>
      <c r="Z28">
        <v>169.99</v>
      </c>
      <c r="AA28" t="s">
        <v>97</v>
      </c>
    </row>
    <row r="29" spans="1:27" x14ac:dyDescent="0.2">
      <c r="A29" t="s">
        <v>92</v>
      </c>
      <c r="B29" t="s">
        <v>93</v>
      </c>
      <c r="C29" t="s">
        <v>150</v>
      </c>
      <c r="D29" t="s">
        <v>151</v>
      </c>
      <c r="E29" t="s">
        <v>96</v>
      </c>
      <c r="F29">
        <v>169.99</v>
      </c>
      <c r="T29" t="s">
        <v>97</v>
      </c>
      <c r="Z29">
        <v>169.99</v>
      </c>
      <c r="AA29" t="s">
        <v>97</v>
      </c>
    </row>
    <row r="30" spans="1:27" x14ac:dyDescent="0.2">
      <c r="A30" t="s">
        <v>92</v>
      </c>
      <c r="B30" t="s">
        <v>93</v>
      </c>
      <c r="C30" t="s">
        <v>152</v>
      </c>
      <c r="D30" t="s">
        <v>153</v>
      </c>
      <c r="E30" t="s">
        <v>96</v>
      </c>
      <c r="F30">
        <v>169.99</v>
      </c>
      <c r="T30" t="s">
        <v>97</v>
      </c>
      <c r="Z30">
        <v>169.99</v>
      </c>
      <c r="AA30" t="s">
        <v>97</v>
      </c>
    </row>
    <row r="31" spans="1:27" x14ac:dyDescent="0.2">
      <c r="A31" t="s">
        <v>92</v>
      </c>
      <c r="B31" t="s">
        <v>93</v>
      </c>
      <c r="C31" t="s">
        <v>155</v>
      </c>
      <c r="D31" t="s">
        <v>156</v>
      </c>
      <c r="E31" t="s">
        <v>96</v>
      </c>
      <c r="F31">
        <v>169.99</v>
      </c>
      <c r="T31" t="s">
        <v>97</v>
      </c>
      <c r="Z31">
        <v>169.99</v>
      </c>
      <c r="AA31" t="s">
        <v>97</v>
      </c>
    </row>
    <row r="32" spans="1:27" x14ac:dyDescent="0.2">
      <c r="A32" t="s">
        <v>92</v>
      </c>
      <c r="B32" t="s">
        <v>93</v>
      </c>
      <c r="C32" t="s">
        <v>157</v>
      </c>
      <c r="D32" t="s">
        <v>158</v>
      </c>
      <c r="E32" t="s">
        <v>96</v>
      </c>
      <c r="F32">
        <v>169.99</v>
      </c>
      <c r="T32" t="s">
        <v>97</v>
      </c>
      <c r="Z32">
        <v>169.99</v>
      </c>
      <c r="AA32" t="s">
        <v>97</v>
      </c>
    </row>
    <row r="33" spans="1:27" x14ac:dyDescent="0.2">
      <c r="A33" t="s">
        <v>92</v>
      </c>
      <c r="B33" t="s">
        <v>93</v>
      </c>
      <c r="C33" t="s">
        <v>159</v>
      </c>
      <c r="D33" t="s">
        <v>160</v>
      </c>
      <c r="E33" t="s">
        <v>96</v>
      </c>
      <c r="F33">
        <v>169.99</v>
      </c>
      <c r="T33" t="s">
        <v>97</v>
      </c>
      <c r="Z33">
        <v>169.99</v>
      </c>
      <c r="AA33" t="s">
        <v>97</v>
      </c>
    </row>
    <row r="34" spans="1:27" x14ac:dyDescent="0.2">
      <c r="A34" t="s">
        <v>92</v>
      </c>
      <c r="B34" t="s">
        <v>93</v>
      </c>
      <c r="C34" t="s">
        <v>161</v>
      </c>
      <c r="D34" t="s">
        <v>162</v>
      </c>
      <c r="E34" t="s">
        <v>96</v>
      </c>
      <c r="F34">
        <v>169.99</v>
      </c>
      <c r="T34" t="s">
        <v>97</v>
      </c>
      <c r="Z34">
        <v>169.99</v>
      </c>
      <c r="AA34" t="s">
        <v>97</v>
      </c>
    </row>
    <row r="35" spans="1:27" x14ac:dyDescent="0.2">
      <c r="A35" t="s">
        <v>92</v>
      </c>
      <c r="B35" t="s">
        <v>93</v>
      </c>
      <c r="C35" t="s">
        <v>163</v>
      </c>
      <c r="D35" t="s">
        <v>164</v>
      </c>
      <c r="E35" t="s">
        <v>96</v>
      </c>
      <c r="F35">
        <v>169.99</v>
      </c>
      <c r="T35" t="s">
        <v>97</v>
      </c>
      <c r="Z35">
        <v>169.99</v>
      </c>
      <c r="AA35" t="s">
        <v>97</v>
      </c>
    </row>
    <row r="36" spans="1:27" x14ac:dyDescent="0.2">
      <c r="A36" t="s">
        <v>92</v>
      </c>
      <c r="B36" t="s">
        <v>93</v>
      </c>
      <c r="C36" t="s">
        <v>165</v>
      </c>
      <c r="D36" t="s">
        <v>166</v>
      </c>
      <c r="E36" t="s">
        <v>96</v>
      </c>
      <c r="F36">
        <v>169.99</v>
      </c>
      <c r="T36" t="s">
        <v>97</v>
      </c>
      <c r="Z36">
        <v>169.99</v>
      </c>
      <c r="AA36" t="s">
        <v>97</v>
      </c>
    </row>
    <row r="37" spans="1:27" x14ac:dyDescent="0.2">
      <c r="A37" t="s">
        <v>92</v>
      </c>
      <c r="B37" t="s">
        <v>93</v>
      </c>
      <c r="C37" t="s">
        <v>167</v>
      </c>
      <c r="D37" t="s">
        <v>168</v>
      </c>
      <c r="E37" t="s">
        <v>96</v>
      </c>
      <c r="F37">
        <v>169.99</v>
      </c>
      <c r="T37" t="s">
        <v>97</v>
      </c>
      <c r="Z37">
        <v>169.99</v>
      </c>
      <c r="AA37" t="s">
        <v>97</v>
      </c>
    </row>
    <row r="38" spans="1:27" x14ac:dyDescent="0.2">
      <c r="A38" t="s">
        <v>92</v>
      </c>
      <c r="B38" t="s">
        <v>93</v>
      </c>
      <c r="C38" t="s">
        <v>170</v>
      </c>
      <c r="D38" t="s">
        <v>171</v>
      </c>
      <c r="E38" t="s">
        <v>96</v>
      </c>
      <c r="F38">
        <v>169.99</v>
      </c>
      <c r="T38" t="s">
        <v>97</v>
      </c>
      <c r="Z38">
        <v>169.99</v>
      </c>
      <c r="AA38" t="s">
        <v>97</v>
      </c>
    </row>
    <row r="39" spans="1:27" x14ac:dyDescent="0.2">
      <c r="A39" t="s">
        <v>92</v>
      </c>
      <c r="B39" t="s">
        <v>93</v>
      </c>
      <c r="C39" t="s">
        <v>173</v>
      </c>
      <c r="D39" t="s">
        <v>174</v>
      </c>
      <c r="E39" t="s">
        <v>96</v>
      </c>
      <c r="F39">
        <v>169.99</v>
      </c>
      <c r="T39" t="s">
        <v>97</v>
      </c>
      <c r="Z39">
        <v>169.99</v>
      </c>
      <c r="AA39" t="s">
        <v>97</v>
      </c>
    </row>
    <row r="40" spans="1:27" x14ac:dyDescent="0.2">
      <c r="A40" t="s">
        <v>92</v>
      </c>
      <c r="B40" t="s">
        <v>93</v>
      </c>
      <c r="C40" t="s">
        <v>175</v>
      </c>
      <c r="D40" t="s">
        <v>176</v>
      </c>
      <c r="E40" t="s">
        <v>96</v>
      </c>
      <c r="F40">
        <v>169.99</v>
      </c>
      <c r="T40" t="s">
        <v>97</v>
      </c>
      <c r="Z40">
        <v>169.99</v>
      </c>
      <c r="AA40" t="s">
        <v>97</v>
      </c>
    </row>
    <row r="41" spans="1:27" x14ac:dyDescent="0.2">
      <c r="A41" t="s">
        <v>92</v>
      </c>
      <c r="B41" t="s">
        <v>93</v>
      </c>
      <c r="C41" t="s">
        <v>177</v>
      </c>
      <c r="D41" t="s">
        <v>178</v>
      </c>
      <c r="E41" t="s">
        <v>96</v>
      </c>
      <c r="F41">
        <v>169.99</v>
      </c>
      <c r="T41" t="s">
        <v>97</v>
      </c>
      <c r="Z41">
        <v>169.99</v>
      </c>
      <c r="AA41" t="s">
        <v>97</v>
      </c>
    </row>
    <row r="42" spans="1:27" x14ac:dyDescent="0.2">
      <c r="A42" t="s">
        <v>92</v>
      </c>
      <c r="B42" t="s">
        <v>93</v>
      </c>
      <c r="C42" t="s">
        <v>179</v>
      </c>
      <c r="D42" t="s">
        <v>180</v>
      </c>
      <c r="E42" t="s">
        <v>96</v>
      </c>
      <c r="F42">
        <v>169.99</v>
      </c>
      <c r="T42" t="s">
        <v>97</v>
      </c>
      <c r="Z42">
        <v>169.99</v>
      </c>
      <c r="AA42" t="s">
        <v>97</v>
      </c>
    </row>
    <row r="43" spans="1:27" x14ac:dyDescent="0.2">
      <c r="A43" t="s">
        <v>92</v>
      </c>
      <c r="B43" t="s">
        <v>93</v>
      </c>
      <c r="C43" t="s">
        <v>181</v>
      </c>
      <c r="D43" t="s">
        <v>182</v>
      </c>
      <c r="E43" t="s">
        <v>96</v>
      </c>
      <c r="F43">
        <v>169.99</v>
      </c>
      <c r="T43" t="s">
        <v>97</v>
      </c>
      <c r="Z43">
        <v>169.99</v>
      </c>
      <c r="AA43" t="s">
        <v>97</v>
      </c>
    </row>
    <row r="44" spans="1:27" x14ac:dyDescent="0.2">
      <c r="A44" t="s">
        <v>92</v>
      </c>
      <c r="B44" t="s">
        <v>93</v>
      </c>
      <c r="C44" t="s">
        <v>183</v>
      </c>
      <c r="D44" t="s">
        <v>184</v>
      </c>
      <c r="E44" t="s">
        <v>96</v>
      </c>
      <c r="F44">
        <v>169.99</v>
      </c>
      <c r="T44" t="s">
        <v>97</v>
      </c>
      <c r="Z44">
        <v>169.99</v>
      </c>
      <c r="AA44" t="s">
        <v>97</v>
      </c>
    </row>
    <row r="45" spans="1:27" x14ac:dyDescent="0.2">
      <c r="A45" t="s">
        <v>92</v>
      </c>
      <c r="B45" t="s">
        <v>93</v>
      </c>
      <c r="C45" t="s">
        <v>185</v>
      </c>
      <c r="D45" t="s">
        <v>186</v>
      </c>
      <c r="E45" t="s">
        <v>96</v>
      </c>
      <c r="F45">
        <v>169.99</v>
      </c>
      <c r="T45" t="s">
        <v>97</v>
      </c>
      <c r="Z45">
        <v>169.99</v>
      </c>
      <c r="AA45" t="s">
        <v>97</v>
      </c>
    </row>
    <row r="46" spans="1:27" x14ac:dyDescent="0.2">
      <c r="A46" t="s">
        <v>92</v>
      </c>
      <c r="B46" t="s">
        <v>93</v>
      </c>
      <c r="C46" t="s">
        <v>187</v>
      </c>
      <c r="D46" t="s">
        <v>188</v>
      </c>
      <c r="E46" t="s">
        <v>96</v>
      </c>
      <c r="F46">
        <v>169.99</v>
      </c>
      <c r="T46" t="s">
        <v>97</v>
      </c>
      <c r="Z46">
        <v>169.99</v>
      </c>
      <c r="AA46" t="s">
        <v>97</v>
      </c>
    </row>
    <row r="47" spans="1:27" x14ac:dyDescent="0.2">
      <c r="A47" t="s">
        <v>92</v>
      </c>
      <c r="B47" t="s">
        <v>93</v>
      </c>
      <c r="C47" t="s">
        <v>189</v>
      </c>
      <c r="D47" t="s">
        <v>190</v>
      </c>
      <c r="E47" t="s">
        <v>96</v>
      </c>
      <c r="F47">
        <v>169.99</v>
      </c>
      <c r="T47" t="s">
        <v>97</v>
      </c>
      <c r="Z47">
        <v>169.99</v>
      </c>
      <c r="AA47" t="s">
        <v>97</v>
      </c>
    </row>
    <row r="48" spans="1:27" x14ac:dyDescent="0.2">
      <c r="A48" t="s">
        <v>92</v>
      </c>
      <c r="B48" t="s">
        <v>93</v>
      </c>
      <c r="C48" t="s">
        <v>191</v>
      </c>
      <c r="D48" t="s">
        <v>192</v>
      </c>
      <c r="E48" t="s">
        <v>96</v>
      </c>
      <c r="F48">
        <v>169.99</v>
      </c>
      <c r="T48" t="s">
        <v>97</v>
      </c>
      <c r="Z48">
        <v>169.99</v>
      </c>
      <c r="AA48" t="s">
        <v>97</v>
      </c>
    </row>
    <row r="49" spans="1:27" x14ac:dyDescent="0.2">
      <c r="A49" t="s">
        <v>92</v>
      </c>
      <c r="B49" t="s">
        <v>93</v>
      </c>
      <c r="C49" t="s">
        <v>199</v>
      </c>
      <c r="D49" t="s">
        <v>194</v>
      </c>
      <c r="E49" t="s">
        <v>96</v>
      </c>
      <c r="F49">
        <v>169.99</v>
      </c>
      <c r="T49" t="s">
        <v>97</v>
      </c>
      <c r="Z49">
        <v>169.99</v>
      </c>
      <c r="AA49" t="s">
        <v>97</v>
      </c>
    </row>
    <row r="50" spans="1:27" x14ac:dyDescent="0.2">
      <c r="A50" t="s">
        <v>92</v>
      </c>
      <c r="B50" t="s">
        <v>93</v>
      </c>
      <c r="C50" t="s">
        <v>195</v>
      </c>
      <c r="D50" t="s">
        <v>194</v>
      </c>
      <c r="E50" t="s">
        <v>96</v>
      </c>
      <c r="F50">
        <v>169.99</v>
      </c>
      <c r="T50" t="s">
        <v>97</v>
      </c>
      <c r="Z50">
        <v>169.99</v>
      </c>
      <c r="AA50" t="s">
        <v>97</v>
      </c>
    </row>
    <row r="51" spans="1:27" x14ac:dyDescent="0.2">
      <c r="A51" t="s">
        <v>92</v>
      </c>
      <c r="B51" t="s">
        <v>93</v>
      </c>
      <c r="C51" t="s">
        <v>221</v>
      </c>
      <c r="D51" t="s">
        <v>194</v>
      </c>
      <c r="E51" t="s">
        <v>96</v>
      </c>
      <c r="F51">
        <v>169.99</v>
      </c>
      <c r="T51" t="s">
        <v>97</v>
      </c>
      <c r="Z51">
        <v>169.99</v>
      </c>
      <c r="AA51" t="s">
        <v>97</v>
      </c>
    </row>
    <row r="52" spans="1:27" x14ac:dyDescent="0.2">
      <c r="A52" t="s">
        <v>92</v>
      </c>
      <c r="B52" t="s">
        <v>93</v>
      </c>
      <c r="C52" t="s">
        <v>196</v>
      </c>
      <c r="D52" t="s">
        <v>194</v>
      </c>
      <c r="E52" t="s">
        <v>96</v>
      </c>
      <c r="F52">
        <v>169.99</v>
      </c>
      <c r="T52" t="s">
        <v>97</v>
      </c>
      <c r="Z52">
        <v>169.99</v>
      </c>
      <c r="AA52" t="s">
        <v>97</v>
      </c>
    </row>
    <row r="53" spans="1:27" x14ac:dyDescent="0.2">
      <c r="A53" t="s">
        <v>92</v>
      </c>
      <c r="B53" t="s">
        <v>93</v>
      </c>
      <c r="C53" t="s">
        <v>222</v>
      </c>
      <c r="D53" t="s">
        <v>194</v>
      </c>
      <c r="E53" t="s">
        <v>96</v>
      </c>
      <c r="F53">
        <v>169.99</v>
      </c>
      <c r="T53" t="s">
        <v>97</v>
      </c>
      <c r="Z53">
        <v>169.99</v>
      </c>
      <c r="AA53" t="s">
        <v>97</v>
      </c>
    </row>
    <row r="54" spans="1:27" x14ac:dyDescent="0.2">
      <c r="A54" t="s">
        <v>92</v>
      </c>
      <c r="B54" t="s">
        <v>93</v>
      </c>
      <c r="C54" t="s">
        <v>220</v>
      </c>
      <c r="D54" t="s">
        <v>194</v>
      </c>
      <c r="E54" t="s">
        <v>96</v>
      </c>
      <c r="F54">
        <v>169.99</v>
      </c>
      <c r="T54" t="s">
        <v>97</v>
      </c>
      <c r="Z54">
        <v>169.99</v>
      </c>
      <c r="AA54" t="s">
        <v>97</v>
      </c>
    </row>
    <row r="55" spans="1:27" x14ac:dyDescent="0.2">
      <c r="A55" t="s">
        <v>92</v>
      </c>
      <c r="B55" t="s">
        <v>93</v>
      </c>
      <c r="C55" t="s">
        <v>218</v>
      </c>
      <c r="D55" t="s">
        <v>194</v>
      </c>
      <c r="E55" t="s">
        <v>96</v>
      </c>
      <c r="F55">
        <v>169.99</v>
      </c>
      <c r="T55" t="s">
        <v>97</v>
      </c>
      <c r="Z55">
        <v>169.99</v>
      </c>
      <c r="AA55" t="s">
        <v>97</v>
      </c>
    </row>
    <row r="56" spans="1:27" x14ac:dyDescent="0.2">
      <c r="A56" t="s">
        <v>92</v>
      </c>
      <c r="B56" t="s">
        <v>93</v>
      </c>
      <c r="C56" t="s">
        <v>193</v>
      </c>
      <c r="D56" t="s">
        <v>194</v>
      </c>
      <c r="E56" t="s">
        <v>96</v>
      </c>
      <c r="F56">
        <v>169.99</v>
      </c>
      <c r="T56" t="s">
        <v>97</v>
      </c>
      <c r="Z56">
        <v>169.99</v>
      </c>
      <c r="AA56" t="s">
        <v>97</v>
      </c>
    </row>
    <row r="57" spans="1:27" x14ac:dyDescent="0.2">
      <c r="A57" t="s">
        <v>92</v>
      </c>
      <c r="B57" t="s">
        <v>93</v>
      </c>
      <c r="C57" t="s">
        <v>219</v>
      </c>
      <c r="D57" t="s">
        <v>194</v>
      </c>
      <c r="E57" t="s">
        <v>96</v>
      </c>
      <c r="F57">
        <v>169.99</v>
      </c>
      <c r="T57" t="s">
        <v>97</v>
      </c>
      <c r="Z57">
        <v>169.99</v>
      </c>
      <c r="AA57" t="s">
        <v>97</v>
      </c>
    </row>
    <row r="58" spans="1:27" x14ac:dyDescent="0.2">
      <c r="A58" t="s">
        <v>92</v>
      </c>
      <c r="B58" t="s">
        <v>93</v>
      </c>
      <c r="C58" t="s">
        <v>213</v>
      </c>
      <c r="D58" t="s">
        <v>194</v>
      </c>
      <c r="E58" t="s">
        <v>96</v>
      </c>
      <c r="F58">
        <v>169.99</v>
      </c>
      <c r="T58" t="s">
        <v>97</v>
      </c>
      <c r="Z58">
        <v>169.99</v>
      </c>
      <c r="AA58" t="s">
        <v>97</v>
      </c>
    </row>
    <row r="59" spans="1:27" x14ac:dyDescent="0.2">
      <c r="A59" t="s">
        <v>92</v>
      </c>
      <c r="B59" t="s">
        <v>93</v>
      </c>
      <c r="C59" t="s">
        <v>216</v>
      </c>
      <c r="D59" t="s">
        <v>194</v>
      </c>
      <c r="E59" t="s">
        <v>96</v>
      </c>
      <c r="F59">
        <v>169.99</v>
      </c>
      <c r="T59" t="s">
        <v>97</v>
      </c>
      <c r="Z59">
        <v>169.99</v>
      </c>
      <c r="AA59" t="s">
        <v>97</v>
      </c>
    </row>
    <row r="60" spans="1:27" x14ac:dyDescent="0.2">
      <c r="A60" t="s">
        <v>92</v>
      </c>
      <c r="B60" t="s">
        <v>93</v>
      </c>
      <c r="C60" t="s">
        <v>214</v>
      </c>
      <c r="D60" t="s">
        <v>194</v>
      </c>
      <c r="E60" t="s">
        <v>96</v>
      </c>
      <c r="F60">
        <v>169.99</v>
      </c>
      <c r="T60" t="s">
        <v>97</v>
      </c>
      <c r="Z60">
        <v>169.99</v>
      </c>
      <c r="AA60" t="s">
        <v>97</v>
      </c>
    </row>
    <row r="61" spans="1:27" x14ac:dyDescent="0.2">
      <c r="A61" t="s">
        <v>92</v>
      </c>
      <c r="B61" t="s">
        <v>93</v>
      </c>
      <c r="C61" t="s">
        <v>217</v>
      </c>
      <c r="D61" t="s">
        <v>194</v>
      </c>
      <c r="E61" t="s">
        <v>96</v>
      </c>
      <c r="F61">
        <v>169.99</v>
      </c>
      <c r="T61" t="s">
        <v>97</v>
      </c>
      <c r="Z61">
        <v>169.99</v>
      </c>
      <c r="AA61" t="s">
        <v>97</v>
      </c>
    </row>
    <row r="62" spans="1:27" x14ac:dyDescent="0.2">
      <c r="A62" t="s">
        <v>92</v>
      </c>
      <c r="B62" t="s">
        <v>93</v>
      </c>
      <c r="C62" t="s">
        <v>215</v>
      </c>
      <c r="D62" t="s">
        <v>194</v>
      </c>
      <c r="E62" t="s">
        <v>96</v>
      </c>
      <c r="F62">
        <v>169.99</v>
      </c>
      <c r="T62" t="s">
        <v>97</v>
      </c>
      <c r="Z62">
        <v>169.99</v>
      </c>
      <c r="AA62" t="s">
        <v>97</v>
      </c>
    </row>
    <row r="63" spans="1:27" x14ac:dyDescent="0.2">
      <c r="A63" t="s">
        <v>92</v>
      </c>
      <c r="B63" t="s">
        <v>93</v>
      </c>
      <c r="C63" t="s">
        <v>211</v>
      </c>
      <c r="D63" t="s">
        <v>194</v>
      </c>
      <c r="E63" t="s">
        <v>96</v>
      </c>
      <c r="F63">
        <v>169.99</v>
      </c>
      <c r="T63" t="s">
        <v>97</v>
      </c>
      <c r="Z63">
        <v>169.99</v>
      </c>
      <c r="AA63" t="s">
        <v>97</v>
      </c>
    </row>
    <row r="64" spans="1:27" x14ac:dyDescent="0.2">
      <c r="A64" t="s">
        <v>92</v>
      </c>
      <c r="B64" t="s">
        <v>93</v>
      </c>
      <c r="C64" t="s">
        <v>209</v>
      </c>
      <c r="D64" t="s">
        <v>194</v>
      </c>
      <c r="E64" t="s">
        <v>96</v>
      </c>
      <c r="F64">
        <v>169.99</v>
      </c>
      <c r="T64" t="s">
        <v>97</v>
      </c>
      <c r="Z64">
        <v>169.99</v>
      </c>
      <c r="AA64" t="s">
        <v>97</v>
      </c>
    </row>
    <row r="65" spans="1:27" x14ac:dyDescent="0.2">
      <c r="A65" t="s">
        <v>92</v>
      </c>
      <c r="B65" t="s">
        <v>93</v>
      </c>
      <c r="C65" t="s">
        <v>210</v>
      </c>
      <c r="D65" t="s">
        <v>194</v>
      </c>
      <c r="E65" t="s">
        <v>96</v>
      </c>
      <c r="F65">
        <v>169.99</v>
      </c>
      <c r="T65" t="s">
        <v>97</v>
      </c>
      <c r="Z65">
        <v>169.99</v>
      </c>
      <c r="AA65" t="s">
        <v>97</v>
      </c>
    </row>
    <row r="66" spans="1:27" x14ac:dyDescent="0.2">
      <c r="A66" t="s">
        <v>92</v>
      </c>
      <c r="B66" t="s">
        <v>93</v>
      </c>
      <c r="C66" t="s">
        <v>212</v>
      </c>
      <c r="D66" t="s">
        <v>194</v>
      </c>
      <c r="E66" t="s">
        <v>96</v>
      </c>
      <c r="F66">
        <v>169.99</v>
      </c>
      <c r="T66" t="s">
        <v>97</v>
      </c>
      <c r="Z66">
        <v>169.99</v>
      </c>
      <c r="AA66" t="s">
        <v>97</v>
      </c>
    </row>
    <row r="67" spans="1:27" x14ac:dyDescent="0.2">
      <c r="A67" t="s">
        <v>92</v>
      </c>
      <c r="B67" t="s">
        <v>93</v>
      </c>
      <c r="C67" t="s">
        <v>208</v>
      </c>
      <c r="D67" t="s">
        <v>194</v>
      </c>
      <c r="E67" t="s">
        <v>96</v>
      </c>
      <c r="F67">
        <v>169.99</v>
      </c>
      <c r="T67" t="s">
        <v>97</v>
      </c>
      <c r="Z67">
        <v>169.99</v>
      </c>
      <c r="AA67" t="s">
        <v>97</v>
      </c>
    </row>
    <row r="68" spans="1:27" x14ac:dyDescent="0.2">
      <c r="A68" t="s">
        <v>92</v>
      </c>
      <c r="B68" t="s">
        <v>93</v>
      </c>
      <c r="C68" t="s">
        <v>207</v>
      </c>
      <c r="D68" t="s">
        <v>194</v>
      </c>
      <c r="E68" t="s">
        <v>96</v>
      </c>
      <c r="F68">
        <v>169.99</v>
      </c>
      <c r="T68" t="s">
        <v>97</v>
      </c>
      <c r="Z68">
        <v>169.99</v>
      </c>
      <c r="AA68" t="s">
        <v>97</v>
      </c>
    </row>
    <row r="69" spans="1:27" x14ac:dyDescent="0.2">
      <c r="A69" t="s">
        <v>92</v>
      </c>
      <c r="B69" t="s">
        <v>93</v>
      </c>
      <c r="C69" t="s">
        <v>206</v>
      </c>
      <c r="D69" t="s">
        <v>194</v>
      </c>
      <c r="E69" t="s">
        <v>96</v>
      </c>
      <c r="F69">
        <v>169.99</v>
      </c>
      <c r="T69" t="s">
        <v>97</v>
      </c>
      <c r="Z69">
        <v>169.99</v>
      </c>
      <c r="AA69" t="s">
        <v>97</v>
      </c>
    </row>
    <row r="70" spans="1:27" x14ac:dyDescent="0.2">
      <c r="A70" t="s">
        <v>92</v>
      </c>
      <c r="B70" t="s">
        <v>93</v>
      </c>
      <c r="C70" t="s">
        <v>204</v>
      </c>
      <c r="D70" t="s">
        <v>194</v>
      </c>
      <c r="E70" t="s">
        <v>96</v>
      </c>
      <c r="F70">
        <v>169.99</v>
      </c>
      <c r="T70" t="s">
        <v>97</v>
      </c>
      <c r="Z70">
        <v>169.99</v>
      </c>
      <c r="AA70" t="s">
        <v>97</v>
      </c>
    </row>
    <row r="71" spans="1:27" x14ac:dyDescent="0.2">
      <c r="A71" t="s">
        <v>92</v>
      </c>
      <c r="B71" t="s">
        <v>93</v>
      </c>
      <c r="C71" t="s">
        <v>205</v>
      </c>
      <c r="D71" t="s">
        <v>194</v>
      </c>
      <c r="E71" t="s">
        <v>96</v>
      </c>
      <c r="F71">
        <v>169.99</v>
      </c>
      <c r="T71" t="s">
        <v>97</v>
      </c>
      <c r="Z71">
        <v>169.99</v>
      </c>
      <c r="AA71" t="s">
        <v>97</v>
      </c>
    </row>
    <row r="72" spans="1:27" x14ac:dyDescent="0.2">
      <c r="A72" t="s">
        <v>92</v>
      </c>
      <c r="B72" t="s">
        <v>93</v>
      </c>
      <c r="C72" t="s">
        <v>202</v>
      </c>
      <c r="D72" t="s">
        <v>194</v>
      </c>
      <c r="E72" t="s">
        <v>96</v>
      </c>
      <c r="F72">
        <v>169.99</v>
      </c>
      <c r="T72" t="s">
        <v>97</v>
      </c>
      <c r="Z72">
        <v>169.99</v>
      </c>
      <c r="AA72" t="s">
        <v>97</v>
      </c>
    </row>
    <row r="73" spans="1:27" x14ac:dyDescent="0.2">
      <c r="A73" t="s">
        <v>92</v>
      </c>
      <c r="B73" t="s">
        <v>93</v>
      </c>
      <c r="C73" t="s">
        <v>203</v>
      </c>
      <c r="D73" t="s">
        <v>194</v>
      </c>
      <c r="E73" t="s">
        <v>96</v>
      </c>
      <c r="F73">
        <v>169.99</v>
      </c>
      <c r="T73" t="s">
        <v>97</v>
      </c>
      <c r="Z73">
        <v>169.99</v>
      </c>
      <c r="AA73" t="s">
        <v>97</v>
      </c>
    </row>
    <row r="74" spans="1:27" x14ac:dyDescent="0.2">
      <c r="A74" t="s">
        <v>92</v>
      </c>
      <c r="B74" t="s">
        <v>93</v>
      </c>
      <c r="C74" t="s">
        <v>200</v>
      </c>
      <c r="D74" t="s">
        <v>194</v>
      </c>
      <c r="E74" t="s">
        <v>96</v>
      </c>
      <c r="F74">
        <v>169.99</v>
      </c>
      <c r="T74" t="s">
        <v>97</v>
      </c>
      <c r="Z74">
        <v>169.99</v>
      </c>
      <c r="AA74" t="s">
        <v>97</v>
      </c>
    </row>
    <row r="75" spans="1:27" x14ac:dyDescent="0.2">
      <c r="A75" t="s">
        <v>92</v>
      </c>
      <c r="B75" t="s">
        <v>93</v>
      </c>
      <c r="C75" t="s">
        <v>201</v>
      </c>
      <c r="D75" t="s">
        <v>194</v>
      </c>
      <c r="E75" t="s">
        <v>96</v>
      </c>
      <c r="F75">
        <v>169.99</v>
      </c>
      <c r="T75" t="s">
        <v>97</v>
      </c>
      <c r="Z75">
        <v>169.99</v>
      </c>
      <c r="AA75" t="s">
        <v>97</v>
      </c>
    </row>
    <row r="76" spans="1:27" x14ac:dyDescent="0.2">
      <c r="A76" t="s">
        <v>92</v>
      </c>
      <c r="B76" t="s">
        <v>93</v>
      </c>
      <c r="C76" t="s">
        <v>198</v>
      </c>
      <c r="D76" t="s">
        <v>194</v>
      </c>
      <c r="E76" t="s">
        <v>96</v>
      </c>
      <c r="F76">
        <v>169.99</v>
      </c>
      <c r="T76" t="s">
        <v>97</v>
      </c>
      <c r="Z76">
        <v>169.99</v>
      </c>
      <c r="AA76" t="s">
        <v>97</v>
      </c>
    </row>
    <row r="77" spans="1:27" x14ac:dyDescent="0.2">
      <c r="A77" t="s">
        <v>92</v>
      </c>
      <c r="B77" t="s">
        <v>93</v>
      </c>
      <c r="C77" t="s">
        <v>197</v>
      </c>
      <c r="D77" t="s">
        <v>194</v>
      </c>
      <c r="E77" t="s">
        <v>96</v>
      </c>
      <c r="F77">
        <v>169.99</v>
      </c>
      <c r="T77" t="s">
        <v>97</v>
      </c>
      <c r="Z77">
        <v>169.99</v>
      </c>
      <c r="AA77" t="s">
        <v>97</v>
      </c>
    </row>
    <row r="78" spans="1:27" x14ac:dyDescent="0.2">
      <c r="A78" t="s">
        <v>92</v>
      </c>
      <c r="B78" t="s">
        <v>223</v>
      </c>
      <c r="C78" t="s">
        <v>224</v>
      </c>
      <c r="D78" t="s">
        <v>225</v>
      </c>
      <c r="E78" t="s">
        <v>96</v>
      </c>
      <c r="F78">
        <v>149.99</v>
      </c>
      <c r="G78">
        <v>29.99</v>
      </c>
      <c r="H78">
        <v>88.63</v>
      </c>
      <c r="I78">
        <v>95.45</v>
      </c>
      <c r="J78">
        <v>123.95</v>
      </c>
      <c r="K78">
        <v>88.63</v>
      </c>
      <c r="L78">
        <v>102.27</v>
      </c>
      <c r="O78">
        <v>109.08</v>
      </c>
      <c r="Q78">
        <v>102.27</v>
      </c>
      <c r="T78" t="s">
        <v>97</v>
      </c>
      <c r="Y78">
        <v>115.9</v>
      </c>
      <c r="Z78">
        <v>149.99</v>
      </c>
      <c r="AA78" t="s">
        <v>97</v>
      </c>
    </row>
    <row r="79" spans="1:27" x14ac:dyDescent="0.2">
      <c r="A79" t="s">
        <v>92</v>
      </c>
      <c r="B79" t="s">
        <v>223</v>
      </c>
      <c r="C79" t="s">
        <v>226</v>
      </c>
      <c r="D79" t="s">
        <v>227</v>
      </c>
      <c r="E79" t="s">
        <v>228</v>
      </c>
      <c r="F79">
        <v>119.99</v>
      </c>
      <c r="H79">
        <v>65.45</v>
      </c>
      <c r="I79">
        <v>76.36</v>
      </c>
      <c r="J79">
        <v>98.17</v>
      </c>
      <c r="K79">
        <v>76.36</v>
      </c>
      <c r="L79">
        <v>70.900000000000006</v>
      </c>
      <c r="M79">
        <v>70.900000000000006</v>
      </c>
      <c r="O79">
        <v>87.27</v>
      </c>
      <c r="P79">
        <v>65.45</v>
      </c>
      <c r="Q79">
        <v>76.36</v>
      </c>
      <c r="R79">
        <v>81.81</v>
      </c>
      <c r="T79" t="s">
        <v>97</v>
      </c>
      <c r="Y79">
        <v>92.72</v>
      </c>
      <c r="Z79">
        <v>119.99</v>
      </c>
      <c r="AA79" t="s">
        <v>97</v>
      </c>
    </row>
    <row r="80" spans="1:27" x14ac:dyDescent="0.2">
      <c r="A80" t="s">
        <v>92</v>
      </c>
      <c r="B80" t="s">
        <v>223</v>
      </c>
      <c r="C80" t="s">
        <v>229</v>
      </c>
      <c r="D80" t="s">
        <v>230</v>
      </c>
      <c r="E80" t="s">
        <v>228</v>
      </c>
      <c r="F80">
        <v>119.99</v>
      </c>
      <c r="H80">
        <v>65.45</v>
      </c>
      <c r="I80">
        <v>76.36</v>
      </c>
      <c r="J80">
        <v>98.17</v>
      </c>
      <c r="K80">
        <v>76.36</v>
      </c>
      <c r="L80">
        <v>70.900000000000006</v>
      </c>
      <c r="M80">
        <v>70.900000000000006</v>
      </c>
      <c r="O80">
        <v>87.27</v>
      </c>
      <c r="P80">
        <v>65.45</v>
      </c>
      <c r="Q80">
        <v>76.36</v>
      </c>
      <c r="R80">
        <v>81.81</v>
      </c>
      <c r="T80" t="s">
        <v>97</v>
      </c>
      <c r="Y80">
        <v>92.72</v>
      </c>
      <c r="Z80">
        <v>119.99</v>
      </c>
      <c r="AA80" t="s">
        <v>97</v>
      </c>
    </row>
    <row r="81" spans="1:27" x14ac:dyDescent="0.2">
      <c r="A81" t="s">
        <v>92</v>
      </c>
      <c r="B81" t="s">
        <v>223</v>
      </c>
      <c r="C81" t="s">
        <v>231</v>
      </c>
      <c r="D81" t="s">
        <v>232</v>
      </c>
      <c r="E81" t="s">
        <v>96</v>
      </c>
      <c r="F81">
        <v>109.99</v>
      </c>
      <c r="G81">
        <v>59.99</v>
      </c>
      <c r="H81">
        <v>59.99</v>
      </c>
      <c r="I81">
        <v>69.989999999999995</v>
      </c>
      <c r="J81">
        <v>89.99</v>
      </c>
      <c r="K81">
        <v>59.99</v>
      </c>
      <c r="L81">
        <v>64.989999999999995</v>
      </c>
      <c r="M81">
        <v>64.989999999999995</v>
      </c>
      <c r="O81">
        <v>59.09</v>
      </c>
      <c r="P81">
        <v>54.54</v>
      </c>
      <c r="Q81">
        <v>69.989999999999995</v>
      </c>
      <c r="R81">
        <v>74.989999999999995</v>
      </c>
      <c r="T81" t="s">
        <v>97</v>
      </c>
      <c r="Y81">
        <v>84.99</v>
      </c>
      <c r="Z81">
        <v>109.99</v>
      </c>
      <c r="AA81" t="s">
        <v>97</v>
      </c>
    </row>
    <row r="82" spans="1:27" x14ac:dyDescent="0.2">
      <c r="A82" t="s">
        <v>92</v>
      </c>
      <c r="B82" t="s">
        <v>223</v>
      </c>
      <c r="C82" t="s">
        <v>233</v>
      </c>
      <c r="D82" t="s">
        <v>234</v>
      </c>
      <c r="E82" t="s">
        <v>96</v>
      </c>
      <c r="F82">
        <v>59.99</v>
      </c>
      <c r="G82">
        <v>29.99</v>
      </c>
      <c r="H82">
        <v>32.72</v>
      </c>
      <c r="I82">
        <v>38.18</v>
      </c>
      <c r="J82">
        <v>49.58</v>
      </c>
      <c r="K82">
        <v>32.72</v>
      </c>
      <c r="L82">
        <v>38.18</v>
      </c>
      <c r="M82">
        <v>40.9</v>
      </c>
      <c r="O82">
        <v>39.99</v>
      </c>
      <c r="Q82">
        <v>38.18</v>
      </c>
      <c r="T82" t="s">
        <v>97</v>
      </c>
      <c r="Y82">
        <v>46.36</v>
      </c>
      <c r="Z82">
        <v>59.99</v>
      </c>
      <c r="AA82" t="s">
        <v>97</v>
      </c>
    </row>
    <row r="83" spans="1:27" x14ac:dyDescent="0.2">
      <c r="A83" t="s">
        <v>92</v>
      </c>
      <c r="B83" t="s">
        <v>223</v>
      </c>
      <c r="C83" t="s">
        <v>235</v>
      </c>
      <c r="D83" t="s">
        <v>236</v>
      </c>
      <c r="E83" t="s">
        <v>96</v>
      </c>
      <c r="F83">
        <v>64.989999999999995</v>
      </c>
      <c r="G83">
        <v>29.99</v>
      </c>
      <c r="H83">
        <v>35.450000000000003</v>
      </c>
      <c r="I83">
        <v>41.36</v>
      </c>
      <c r="J83">
        <v>53.71</v>
      </c>
      <c r="K83">
        <v>35.450000000000003</v>
      </c>
      <c r="L83">
        <v>41.36</v>
      </c>
      <c r="M83">
        <v>44.31</v>
      </c>
      <c r="O83">
        <v>47.27</v>
      </c>
      <c r="Q83">
        <v>41.36</v>
      </c>
      <c r="T83" t="s">
        <v>97</v>
      </c>
      <c r="Y83">
        <v>50.22</v>
      </c>
      <c r="Z83">
        <v>64.989999999999995</v>
      </c>
      <c r="AA83" t="s">
        <v>97</v>
      </c>
    </row>
    <row r="84" spans="1:27" x14ac:dyDescent="0.2">
      <c r="A84" t="s">
        <v>92</v>
      </c>
      <c r="B84" t="s">
        <v>223</v>
      </c>
      <c r="C84" t="s">
        <v>237</v>
      </c>
      <c r="D84" t="s">
        <v>238</v>
      </c>
      <c r="E84" t="s">
        <v>96</v>
      </c>
      <c r="F84">
        <v>109.99</v>
      </c>
      <c r="G84">
        <v>79.989999999999995</v>
      </c>
      <c r="H84">
        <v>59.99</v>
      </c>
      <c r="I84">
        <v>69.989999999999995</v>
      </c>
      <c r="J84">
        <v>89.99</v>
      </c>
      <c r="K84">
        <v>59.99</v>
      </c>
      <c r="L84">
        <v>58</v>
      </c>
      <c r="M84">
        <v>64.989999999999995</v>
      </c>
      <c r="O84">
        <v>59.09</v>
      </c>
      <c r="P84">
        <v>54.54</v>
      </c>
      <c r="Q84">
        <v>57</v>
      </c>
      <c r="R84">
        <v>75.760000000000005</v>
      </c>
      <c r="T84" t="s">
        <v>97</v>
      </c>
      <c r="AA84" t="s">
        <v>97</v>
      </c>
    </row>
    <row r="85" spans="1:27" x14ac:dyDescent="0.2">
      <c r="A85" t="s">
        <v>92</v>
      </c>
      <c r="B85" t="s">
        <v>223</v>
      </c>
      <c r="C85" t="s">
        <v>239</v>
      </c>
      <c r="D85" t="s">
        <v>240</v>
      </c>
      <c r="E85" t="s">
        <v>96</v>
      </c>
      <c r="F85">
        <v>109.99</v>
      </c>
      <c r="G85">
        <v>79.989999999999995</v>
      </c>
      <c r="H85">
        <v>59.99</v>
      </c>
      <c r="I85">
        <v>69.989999999999995</v>
      </c>
      <c r="J85">
        <v>89.99</v>
      </c>
      <c r="K85">
        <v>59.99</v>
      </c>
      <c r="L85">
        <v>58</v>
      </c>
      <c r="M85">
        <v>64.989999999999995</v>
      </c>
      <c r="O85">
        <v>59.09</v>
      </c>
      <c r="P85">
        <v>54.54</v>
      </c>
      <c r="Q85">
        <v>57</v>
      </c>
      <c r="R85">
        <v>75.760000000000005</v>
      </c>
      <c r="T85" t="s">
        <v>97</v>
      </c>
      <c r="Y85">
        <v>84.99</v>
      </c>
      <c r="Z85">
        <v>109.99</v>
      </c>
      <c r="AA85" t="s">
        <v>97</v>
      </c>
    </row>
    <row r="86" spans="1:27" x14ac:dyDescent="0.2">
      <c r="A86" t="s">
        <v>92</v>
      </c>
      <c r="B86" t="s">
        <v>223</v>
      </c>
      <c r="C86" t="s">
        <v>241</v>
      </c>
      <c r="D86" t="s">
        <v>242</v>
      </c>
      <c r="E86" t="s">
        <v>96</v>
      </c>
      <c r="F86">
        <v>29.99</v>
      </c>
      <c r="G86">
        <v>29.99</v>
      </c>
      <c r="H86">
        <v>19.079999999999998</v>
      </c>
      <c r="I86">
        <v>19.079999999999998</v>
      </c>
      <c r="J86">
        <v>24.54</v>
      </c>
      <c r="K86">
        <v>19.079999999999998</v>
      </c>
      <c r="L86">
        <v>21.81</v>
      </c>
      <c r="M86">
        <v>15.9</v>
      </c>
      <c r="O86">
        <v>18.170000000000002</v>
      </c>
      <c r="Q86">
        <v>21.27</v>
      </c>
      <c r="R86">
        <v>20.38</v>
      </c>
      <c r="T86" t="s">
        <v>97</v>
      </c>
      <c r="Y86">
        <v>23.17</v>
      </c>
      <c r="Z86">
        <v>29.99</v>
      </c>
      <c r="AA86" t="s">
        <v>97</v>
      </c>
    </row>
    <row r="87" spans="1:27" x14ac:dyDescent="0.2">
      <c r="A87" t="s">
        <v>92</v>
      </c>
      <c r="B87" t="s">
        <v>223</v>
      </c>
      <c r="C87" t="s">
        <v>243</v>
      </c>
      <c r="D87" t="s">
        <v>244</v>
      </c>
      <c r="E87" t="s">
        <v>228</v>
      </c>
      <c r="F87">
        <v>29.99</v>
      </c>
      <c r="G87">
        <v>29.99</v>
      </c>
      <c r="H87">
        <v>16.36</v>
      </c>
      <c r="I87">
        <v>19.079999999999998</v>
      </c>
      <c r="J87">
        <v>24.54</v>
      </c>
      <c r="K87">
        <v>16.36</v>
      </c>
      <c r="L87">
        <v>16.36</v>
      </c>
      <c r="M87">
        <v>16.36</v>
      </c>
      <c r="O87">
        <v>16.54</v>
      </c>
      <c r="P87">
        <v>13.63</v>
      </c>
      <c r="Q87">
        <v>16.36</v>
      </c>
      <c r="R87">
        <v>20.45</v>
      </c>
      <c r="T87" t="s">
        <v>97</v>
      </c>
      <c r="Y87">
        <v>23.17</v>
      </c>
      <c r="Z87">
        <v>29.99</v>
      </c>
      <c r="AA87" t="s">
        <v>97</v>
      </c>
    </row>
    <row r="88" spans="1:27" x14ac:dyDescent="0.2">
      <c r="A88" t="s">
        <v>92</v>
      </c>
      <c r="B88" t="s">
        <v>223</v>
      </c>
      <c r="C88" t="s">
        <v>245</v>
      </c>
      <c r="D88" t="s">
        <v>246</v>
      </c>
      <c r="E88" t="s">
        <v>228</v>
      </c>
      <c r="F88">
        <v>29.99</v>
      </c>
      <c r="G88">
        <v>29.99</v>
      </c>
      <c r="H88">
        <v>16.36</v>
      </c>
      <c r="I88">
        <v>19.079999999999998</v>
      </c>
      <c r="J88">
        <v>24.54</v>
      </c>
      <c r="K88">
        <v>16.36</v>
      </c>
      <c r="L88">
        <v>16.36</v>
      </c>
      <c r="M88">
        <v>16.36</v>
      </c>
      <c r="O88">
        <v>16.54</v>
      </c>
      <c r="P88">
        <v>13.63</v>
      </c>
      <c r="Q88">
        <v>16.36</v>
      </c>
      <c r="R88">
        <v>20.45</v>
      </c>
      <c r="T88" t="s">
        <v>97</v>
      </c>
      <c r="Y88">
        <v>23.17</v>
      </c>
      <c r="Z88">
        <v>29.99</v>
      </c>
      <c r="AA88" t="s">
        <v>97</v>
      </c>
    </row>
    <row r="89" spans="1:27" x14ac:dyDescent="0.2">
      <c r="A89" t="s">
        <v>92</v>
      </c>
      <c r="B89" t="s">
        <v>223</v>
      </c>
      <c r="C89" t="s">
        <v>247</v>
      </c>
      <c r="D89" t="s">
        <v>248</v>
      </c>
      <c r="E89" t="s">
        <v>228</v>
      </c>
      <c r="F89">
        <v>39.99</v>
      </c>
      <c r="H89">
        <v>21.81</v>
      </c>
      <c r="I89">
        <v>25.45</v>
      </c>
      <c r="J89">
        <v>32.74</v>
      </c>
      <c r="K89">
        <v>25.45</v>
      </c>
      <c r="L89">
        <v>23.63</v>
      </c>
      <c r="M89">
        <v>23.63</v>
      </c>
      <c r="O89">
        <v>27.63</v>
      </c>
      <c r="P89">
        <v>18.18</v>
      </c>
      <c r="Q89">
        <v>21.81</v>
      </c>
      <c r="R89">
        <v>27.27</v>
      </c>
      <c r="T89" t="s">
        <v>97</v>
      </c>
      <c r="Y89">
        <v>33.22</v>
      </c>
      <c r="Z89">
        <v>42.99</v>
      </c>
      <c r="AA89" t="s">
        <v>97</v>
      </c>
    </row>
    <row r="90" spans="1:27" x14ac:dyDescent="0.2">
      <c r="A90" t="s">
        <v>92</v>
      </c>
      <c r="B90" t="s">
        <v>223</v>
      </c>
      <c r="C90" t="s">
        <v>249</v>
      </c>
      <c r="D90" t="s">
        <v>250</v>
      </c>
      <c r="E90" t="s">
        <v>228</v>
      </c>
      <c r="F90">
        <v>39.99</v>
      </c>
      <c r="H90">
        <v>21.81</v>
      </c>
      <c r="I90">
        <v>25.45</v>
      </c>
      <c r="J90">
        <v>32.74</v>
      </c>
      <c r="K90">
        <v>25.45</v>
      </c>
      <c r="L90">
        <v>23.63</v>
      </c>
      <c r="M90">
        <v>23.63</v>
      </c>
      <c r="O90">
        <v>27.63</v>
      </c>
      <c r="P90">
        <v>18.18</v>
      </c>
      <c r="Q90">
        <v>21.81</v>
      </c>
      <c r="R90">
        <v>27.27</v>
      </c>
      <c r="T90" t="s">
        <v>97</v>
      </c>
      <c r="Y90">
        <v>33.22</v>
      </c>
      <c r="Z90">
        <v>42.99</v>
      </c>
      <c r="AA90" t="s">
        <v>97</v>
      </c>
    </row>
    <row r="91" spans="1:27" x14ac:dyDescent="0.2">
      <c r="A91" t="s">
        <v>92</v>
      </c>
      <c r="B91" t="s">
        <v>223</v>
      </c>
      <c r="C91" t="s">
        <v>251</v>
      </c>
      <c r="D91" t="s">
        <v>252</v>
      </c>
      <c r="E91" t="s">
        <v>228</v>
      </c>
      <c r="F91">
        <v>79.989999999999995</v>
      </c>
      <c r="H91">
        <v>43.63</v>
      </c>
      <c r="I91">
        <v>50.9</v>
      </c>
      <c r="J91">
        <v>66.11</v>
      </c>
      <c r="K91">
        <v>43.63</v>
      </c>
      <c r="L91">
        <v>47.27</v>
      </c>
      <c r="M91">
        <v>50.9</v>
      </c>
      <c r="O91">
        <v>58.17</v>
      </c>
      <c r="Q91">
        <v>50.9</v>
      </c>
      <c r="R91">
        <v>54.54</v>
      </c>
      <c r="T91" t="s">
        <v>97</v>
      </c>
      <c r="AA91" t="s">
        <v>97</v>
      </c>
    </row>
    <row r="92" spans="1:27" x14ac:dyDescent="0.2">
      <c r="A92" t="s">
        <v>92</v>
      </c>
      <c r="B92" t="s">
        <v>223</v>
      </c>
      <c r="C92" t="s">
        <v>253</v>
      </c>
      <c r="D92" t="s">
        <v>254</v>
      </c>
      <c r="E92" t="s">
        <v>228</v>
      </c>
      <c r="F92">
        <v>89.99</v>
      </c>
      <c r="H92">
        <v>49.09</v>
      </c>
      <c r="I92">
        <v>57.27</v>
      </c>
      <c r="J92">
        <v>73.37</v>
      </c>
      <c r="K92">
        <v>49.09</v>
      </c>
      <c r="L92">
        <v>53.18</v>
      </c>
      <c r="M92">
        <v>57.27</v>
      </c>
      <c r="O92">
        <v>65.45</v>
      </c>
      <c r="Q92">
        <v>57.27</v>
      </c>
      <c r="R92">
        <v>61.36</v>
      </c>
      <c r="T92" t="s">
        <v>97</v>
      </c>
      <c r="AA92" t="s">
        <v>97</v>
      </c>
    </row>
    <row r="93" spans="1:27" x14ac:dyDescent="0.2">
      <c r="A93" t="s">
        <v>92</v>
      </c>
      <c r="B93" t="s">
        <v>223</v>
      </c>
      <c r="C93" t="s">
        <v>255</v>
      </c>
      <c r="D93" t="s">
        <v>256</v>
      </c>
      <c r="E93" t="s">
        <v>96</v>
      </c>
      <c r="F93">
        <v>59.99</v>
      </c>
      <c r="H93">
        <v>32.72</v>
      </c>
      <c r="I93">
        <v>38.18</v>
      </c>
      <c r="J93">
        <v>49.57</v>
      </c>
      <c r="K93">
        <v>32.72</v>
      </c>
      <c r="L93">
        <v>35.450000000000003</v>
      </c>
      <c r="M93">
        <v>35.450000000000003</v>
      </c>
      <c r="O93">
        <v>43.63</v>
      </c>
      <c r="P93">
        <v>30</v>
      </c>
      <c r="Q93">
        <v>34.090000000000003</v>
      </c>
      <c r="R93">
        <v>40.9</v>
      </c>
      <c r="T93" t="s">
        <v>97</v>
      </c>
      <c r="AA93" t="s">
        <v>97</v>
      </c>
    </row>
    <row r="94" spans="1:27" x14ac:dyDescent="0.2">
      <c r="A94" t="s">
        <v>92</v>
      </c>
      <c r="B94" t="s">
        <v>223</v>
      </c>
      <c r="C94" t="s">
        <v>257</v>
      </c>
      <c r="D94" t="s">
        <v>258</v>
      </c>
      <c r="E94" t="s">
        <v>96</v>
      </c>
      <c r="F94">
        <v>59.99</v>
      </c>
      <c r="H94">
        <v>32.72</v>
      </c>
      <c r="I94">
        <v>38.18</v>
      </c>
      <c r="J94">
        <v>49.57</v>
      </c>
      <c r="K94">
        <v>32.72</v>
      </c>
      <c r="L94">
        <v>35.450000000000003</v>
      </c>
      <c r="M94">
        <v>35.450000000000003</v>
      </c>
      <c r="O94">
        <v>43.63</v>
      </c>
      <c r="P94">
        <v>30</v>
      </c>
      <c r="Q94">
        <v>34.090000000000003</v>
      </c>
      <c r="R94">
        <v>40.9</v>
      </c>
      <c r="T94" t="s">
        <v>97</v>
      </c>
      <c r="AA94" t="s">
        <v>97</v>
      </c>
    </row>
    <row r="95" spans="1:27" x14ac:dyDescent="0.2">
      <c r="A95" t="s">
        <v>92</v>
      </c>
      <c r="B95" t="s">
        <v>223</v>
      </c>
      <c r="C95" t="s">
        <v>259</v>
      </c>
      <c r="D95" t="s">
        <v>260</v>
      </c>
      <c r="E95" t="s">
        <v>96</v>
      </c>
      <c r="F95">
        <v>99.99</v>
      </c>
      <c r="H95">
        <v>54.54</v>
      </c>
      <c r="I95">
        <v>63.63</v>
      </c>
      <c r="J95">
        <v>82.63</v>
      </c>
      <c r="K95">
        <v>54.54</v>
      </c>
      <c r="L95">
        <v>59.09</v>
      </c>
      <c r="M95">
        <v>63.63</v>
      </c>
      <c r="O95">
        <v>72.72</v>
      </c>
      <c r="Q95">
        <v>63.63</v>
      </c>
      <c r="R95">
        <v>68.180000000000007</v>
      </c>
      <c r="T95" t="s">
        <v>97</v>
      </c>
      <c r="AA95" t="s">
        <v>97</v>
      </c>
    </row>
    <row r="96" spans="1:27" x14ac:dyDescent="0.2">
      <c r="A96" t="s">
        <v>92</v>
      </c>
      <c r="B96" t="s">
        <v>223</v>
      </c>
      <c r="C96" t="s">
        <v>261</v>
      </c>
      <c r="D96" t="s">
        <v>262</v>
      </c>
      <c r="E96" t="s">
        <v>96</v>
      </c>
      <c r="F96">
        <v>79.989999999999995</v>
      </c>
      <c r="H96">
        <v>43.63</v>
      </c>
      <c r="I96">
        <v>50.9</v>
      </c>
      <c r="J96">
        <v>65.44</v>
      </c>
      <c r="K96">
        <v>50.9</v>
      </c>
      <c r="L96">
        <v>47.27</v>
      </c>
      <c r="M96">
        <v>50.9</v>
      </c>
      <c r="O96">
        <v>58.17</v>
      </c>
      <c r="P96">
        <v>40</v>
      </c>
      <c r="Q96">
        <v>50.9</v>
      </c>
      <c r="R96">
        <v>47.27</v>
      </c>
      <c r="T96" t="s">
        <v>97</v>
      </c>
      <c r="Y96">
        <v>61.81</v>
      </c>
      <c r="Z96">
        <v>79.989999999999995</v>
      </c>
      <c r="AA96" t="s">
        <v>97</v>
      </c>
    </row>
    <row r="97" spans="1:27" x14ac:dyDescent="0.2">
      <c r="A97" t="s">
        <v>92</v>
      </c>
      <c r="B97" t="s">
        <v>223</v>
      </c>
      <c r="C97" t="s">
        <v>263</v>
      </c>
      <c r="D97" t="s">
        <v>264</v>
      </c>
      <c r="E97" t="s">
        <v>96</v>
      </c>
      <c r="F97">
        <v>119.99</v>
      </c>
      <c r="G97">
        <v>89.99</v>
      </c>
      <c r="H97">
        <v>70.900000000000006</v>
      </c>
      <c r="I97">
        <v>76.36</v>
      </c>
      <c r="J97">
        <v>99.16</v>
      </c>
      <c r="K97">
        <v>70.900000000000006</v>
      </c>
      <c r="L97">
        <v>76.36</v>
      </c>
      <c r="M97">
        <v>87.27</v>
      </c>
      <c r="O97">
        <v>87.27</v>
      </c>
      <c r="Q97">
        <v>76.36</v>
      </c>
      <c r="R97">
        <v>70.900000000000006</v>
      </c>
      <c r="T97" t="s">
        <v>97</v>
      </c>
      <c r="Y97">
        <v>92.72</v>
      </c>
      <c r="Z97">
        <v>119.99</v>
      </c>
      <c r="AA97" t="s">
        <v>97</v>
      </c>
    </row>
    <row r="98" spans="1:27" x14ac:dyDescent="0.2">
      <c r="A98" t="s">
        <v>92</v>
      </c>
      <c r="B98" t="s">
        <v>223</v>
      </c>
      <c r="C98" t="s">
        <v>265</v>
      </c>
      <c r="D98" t="s">
        <v>266</v>
      </c>
      <c r="E98" t="s">
        <v>96</v>
      </c>
      <c r="F98">
        <v>22.99</v>
      </c>
      <c r="G98">
        <v>22.99</v>
      </c>
      <c r="H98">
        <v>13.59</v>
      </c>
      <c r="I98">
        <v>14.63</v>
      </c>
      <c r="J98">
        <v>18.809999999999999</v>
      </c>
      <c r="K98">
        <v>13.59</v>
      </c>
      <c r="L98">
        <v>14.63</v>
      </c>
      <c r="M98">
        <v>15.68</v>
      </c>
      <c r="O98">
        <v>16.72</v>
      </c>
      <c r="Q98">
        <v>14.63</v>
      </c>
      <c r="R98">
        <v>18.170000000000002</v>
      </c>
      <c r="T98" t="s">
        <v>97</v>
      </c>
      <c r="Y98">
        <v>17.77</v>
      </c>
      <c r="Z98">
        <v>22.99</v>
      </c>
      <c r="AA98" t="s">
        <v>97</v>
      </c>
    </row>
    <row r="99" spans="1:27" x14ac:dyDescent="0.2">
      <c r="A99" t="s">
        <v>92</v>
      </c>
      <c r="B99" t="s">
        <v>223</v>
      </c>
      <c r="C99" t="s">
        <v>267</v>
      </c>
      <c r="D99" t="s">
        <v>268</v>
      </c>
      <c r="E99" t="s">
        <v>96</v>
      </c>
      <c r="F99">
        <v>54.99</v>
      </c>
      <c r="G99">
        <v>9.99</v>
      </c>
      <c r="H99">
        <v>29.99</v>
      </c>
      <c r="I99">
        <v>34.99</v>
      </c>
      <c r="J99">
        <v>45.45</v>
      </c>
      <c r="K99">
        <v>29.99</v>
      </c>
      <c r="L99">
        <v>34.99</v>
      </c>
      <c r="M99">
        <v>37.49</v>
      </c>
      <c r="O99">
        <v>39.99</v>
      </c>
      <c r="Q99">
        <v>34.99</v>
      </c>
      <c r="T99" t="s">
        <v>97</v>
      </c>
      <c r="Y99">
        <v>42.49</v>
      </c>
      <c r="Z99">
        <v>54.99</v>
      </c>
      <c r="AA99" t="s">
        <v>97</v>
      </c>
    </row>
    <row r="100" spans="1:27" x14ac:dyDescent="0.2">
      <c r="A100" t="s">
        <v>92</v>
      </c>
      <c r="B100" t="s">
        <v>223</v>
      </c>
      <c r="C100" t="s">
        <v>269</v>
      </c>
      <c r="D100" t="s">
        <v>270</v>
      </c>
      <c r="E100" t="s">
        <v>96</v>
      </c>
      <c r="F100">
        <v>54.99</v>
      </c>
      <c r="G100">
        <v>9.99</v>
      </c>
      <c r="H100">
        <v>29.99</v>
      </c>
      <c r="I100">
        <v>34.99</v>
      </c>
      <c r="J100">
        <v>45.45</v>
      </c>
      <c r="K100">
        <v>29.99</v>
      </c>
      <c r="L100">
        <v>34.99</v>
      </c>
      <c r="M100">
        <v>37.49</v>
      </c>
      <c r="O100">
        <v>39.99</v>
      </c>
      <c r="Q100">
        <v>34.99</v>
      </c>
      <c r="T100" t="s">
        <v>97</v>
      </c>
      <c r="Y100">
        <v>42.49</v>
      </c>
      <c r="Z100">
        <v>54.99</v>
      </c>
      <c r="AA100" t="s">
        <v>97</v>
      </c>
    </row>
    <row r="101" spans="1:27" x14ac:dyDescent="0.2">
      <c r="A101" t="s">
        <v>92</v>
      </c>
      <c r="B101" t="s">
        <v>223</v>
      </c>
      <c r="C101" t="s">
        <v>271</v>
      </c>
      <c r="D101" t="s">
        <v>272</v>
      </c>
      <c r="E101" t="s">
        <v>96</v>
      </c>
      <c r="F101">
        <v>54.99</v>
      </c>
      <c r="G101">
        <v>9.99</v>
      </c>
      <c r="H101">
        <v>29.99</v>
      </c>
      <c r="I101">
        <v>34.99</v>
      </c>
      <c r="J101">
        <v>45.45</v>
      </c>
      <c r="K101">
        <v>29.99</v>
      </c>
      <c r="L101">
        <v>34.99</v>
      </c>
      <c r="M101">
        <v>37.49</v>
      </c>
      <c r="O101">
        <v>39.99</v>
      </c>
      <c r="Q101">
        <v>34.99</v>
      </c>
      <c r="T101" t="s">
        <v>97</v>
      </c>
      <c r="Y101">
        <v>42.49</v>
      </c>
      <c r="Z101">
        <v>54.99</v>
      </c>
      <c r="AA101" t="s">
        <v>97</v>
      </c>
    </row>
    <row r="102" spans="1:27" x14ac:dyDescent="0.2">
      <c r="A102" t="s">
        <v>92</v>
      </c>
      <c r="B102" t="s">
        <v>223</v>
      </c>
      <c r="C102" t="s">
        <v>273</v>
      </c>
      <c r="D102" t="s">
        <v>274</v>
      </c>
      <c r="E102" t="s">
        <v>228</v>
      </c>
      <c r="F102">
        <v>59.99</v>
      </c>
      <c r="H102">
        <v>32.72</v>
      </c>
      <c r="I102">
        <v>38.18</v>
      </c>
      <c r="J102">
        <v>49.11</v>
      </c>
      <c r="K102">
        <v>38.18</v>
      </c>
      <c r="L102">
        <v>35.450000000000003</v>
      </c>
      <c r="M102">
        <v>35.450000000000003</v>
      </c>
      <c r="O102">
        <v>45.81</v>
      </c>
      <c r="P102">
        <v>27.27</v>
      </c>
      <c r="Q102">
        <v>34.090000000000003</v>
      </c>
      <c r="R102">
        <v>40.9</v>
      </c>
      <c r="T102" t="s">
        <v>97</v>
      </c>
      <c r="Y102">
        <v>48.67</v>
      </c>
      <c r="Z102">
        <v>62.99</v>
      </c>
      <c r="AA102" t="s">
        <v>97</v>
      </c>
    </row>
    <row r="103" spans="1:27" x14ac:dyDescent="0.2">
      <c r="A103" t="s">
        <v>92</v>
      </c>
      <c r="B103" t="s">
        <v>223</v>
      </c>
      <c r="C103" t="s">
        <v>275</v>
      </c>
      <c r="D103" t="s">
        <v>276</v>
      </c>
      <c r="E103" t="s">
        <v>228</v>
      </c>
      <c r="F103">
        <v>59.99</v>
      </c>
      <c r="H103">
        <v>32.72</v>
      </c>
      <c r="I103">
        <v>38.18</v>
      </c>
      <c r="J103">
        <v>49.11</v>
      </c>
      <c r="K103">
        <v>38.18</v>
      </c>
      <c r="L103">
        <v>35.450000000000003</v>
      </c>
      <c r="M103">
        <v>35.450000000000003</v>
      </c>
      <c r="O103">
        <v>45.81</v>
      </c>
      <c r="P103">
        <v>27.27</v>
      </c>
      <c r="Q103">
        <v>34.090000000000003</v>
      </c>
      <c r="R103">
        <v>40.9</v>
      </c>
      <c r="T103" t="s">
        <v>97</v>
      </c>
      <c r="Y103">
        <v>48.67</v>
      </c>
      <c r="Z103">
        <v>62.99</v>
      </c>
      <c r="AA103" t="s">
        <v>97</v>
      </c>
    </row>
    <row r="104" spans="1:27" x14ac:dyDescent="0.2">
      <c r="A104" t="s">
        <v>92</v>
      </c>
      <c r="B104" t="s">
        <v>223</v>
      </c>
      <c r="C104" t="s">
        <v>277</v>
      </c>
      <c r="D104" t="s">
        <v>278</v>
      </c>
      <c r="E104" t="s">
        <v>228</v>
      </c>
      <c r="F104">
        <v>27.99</v>
      </c>
      <c r="G104">
        <v>27.99</v>
      </c>
      <c r="H104">
        <v>15.27</v>
      </c>
      <c r="I104">
        <v>17.809999999999999</v>
      </c>
      <c r="J104">
        <v>22.9</v>
      </c>
      <c r="K104">
        <v>15.27</v>
      </c>
      <c r="L104">
        <v>15.27</v>
      </c>
      <c r="M104">
        <v>15.27</v>
      </c>
      <c r="O104">
        <v>18.170000000000002</v>
      </c>
      <c r="Q104">
        <v>15.27</v>
      </c>
      <c r="R104">
        <v>19.079999999999998</v>
      </c>
      <c r="T104" t="s">
        <v>97</v>
      </c>
      <c r="Y104">
        <v>21.63</v>
      </c>
      <c r="Z104">
        <v>27.99</v>
      </c>
      <c r="AA104" t="s">
        <v>97</v>
      </c>
    </row>
    <row r="105" spans="1:27" x14ac:dyDescent="0.2">
      <c r="A105" t="s">
        <v>92</v>
      </c>
      <c r="B105" t="s">
        <v>223</v>
      </c>
      <c r="C105" t="s">
        <v>279</v>
      </c>
      <c r="D105" t="s">
        <v>280</v>
      </c>
      <c r="E105" t="s">
        <v>228</v>
      </c>
      <c r="F105">
        <v>24.99</v>
      </c>
      <c r="H105">
        <v>15.9</v>
      </c>
      <c r="I105">
        <v>15.9</v>
      </c>
      <c r="J105">
        <v>20.45</v>
      </c>
      <c r="K105">
        <v>15.9</v>
      </c>
      <c r="L105">
        <v>15.9</v>
      </c>
      <c r="M105">
        <v>18.170000000000002</v>
      </c>
      <c r="O105">
        <v>18.170000000000002</v>
      </c>
      <c r="Q105">
        <v>15.9</v>
      </c>
      <c r="R105">
        <v>17.04</v>
      </c>
      <c r="T105" t="s">
        <v>97</v>
      </c>
      <c r="Y105">
        <v>19.309999999999999</v>
      </c>
      <c r="Z105">
        <v>24.99</v>
      </c>
      <c r="AA105" t="s">
        <v>97</v>
      </c>
    </row>
    <row r="106" spans="1:27" x14ac:dyDescent="0.2">
      <c r="A106" t="s">
        <v>92</v>
      </c>
      <c r="B106" t="s">
        <v>223</v>
      </c>
      <c r="C106" t="s">
        <v>281</v>
      </c>
      <c r="D106" t="s">
        <v>282</v>
      </c>
      <c r="E106" t="s">
        <v>228</v>
      </c>
      <c r="F106">
        <v>29.99</v>
      </c>
      <c r="H106">
        <v>19.079999999999998</v>
      </c>
      <c r="I106">
        <v>19.079999999999998</v>
      </c>
      <c r="J106">
        <v>24.54</v>
      </c>
      <c r="K106">
        <v>19.079999999999998</v>
      </c>
      <c r="L106">
        <v>19.079999999999998</v>
      </c>
      <c r="M106">
        <v>21.81</v>
      </c>
      <c r="O106">
        <v>21.81</v>
      </c>
      <c r="Q106">
        <v>19.079999999999998</v>
      </c>
      <c r="R106">
        <v>20.45</v>
      </c>
      <c r="T106" t="s">
        <v>97</v>
      </c>
      <c r="Y106">
        <v>23.17</v>
      </c>
      <c r="Z106">
        <v>29.99</v>
      </c>
      <c r="AA106" t="s">
        <v>97</v>
      </c>
    </row>
    <row r="107" spans="1:27" x14ac:dyDescent="0.2">
      <c r="A107" t="s">
        <v>92</v>
      </c>
      <c r="B107" t="s">
        <v>223</v>
      </c>
      <c r="C107" t="s">
        <v>283</v>
      </c>
      <c r="D107" t="s">
        <v>284</v>
      </c>
      <c r="E107" t="s">
        <v>228</v>
      </c>
      <c r="F107">
        <v>59.99</v>
      </c>
      <c r="H107">
        <v>32.72</v>
      </c>
      <c r="I107">
        <v>38.18</v>
      </c>
      <c r="K107">
        <v>32.72</v>
      </c>
      <c r="L107">
        <v>35.450000000000003</v>
      </c>
      <c r="M107">
        <v>35.450000000000003</v>
      </c>
      <c r="O107">
        <v>43.63</v>
      </c>
      <c r="P107">
        <v>27.27</v>
      </c>
      <c r="Q107">
        <v>38.18</v>
      </c>
      <c r="T107" t="s">
        <v>97</v>
      </c>
      <c r="AA107" t="s">
        <v>97</v>
      </c>
    </row>
    <row r="108" spans="1:27" x14ac:dyDescent="0.2">
      <c r="A108" t="s">
        <v>92</v>
      </c>
      <c r="B108" t="s">
        <v>223</v>
      </c>
      <c r="C108" t="s">
        <v>8289</v>
      </c>
      <c r="D108" t="s">
        <v>8290</v>
      </c>
      <c r="E108" t="s">
        <v>96</v>
      </c>
      <c r="F108">
        <v>59.99</v>
      </c>
      <c r="H108">
        <v>32.72</v>
      </c>
      <c r="I108">
        <v>38.18</v>
      </c>
      <c r="L108">
        <v>35.450000000000003</v>
      </c>
      <c r="M108">
        <v>35.450000000000003</v>
      </c>
      <c r="O108">
        <v>43.63</v>
      </c>
      <c r="Q108">
        <v>38.18</v>
      </c>
      <c r="T108" t="s">
        <v>97</v>
      </c>
      <c r="AA108" t="s">
        <v>97</v>
      </c>
    </row>
    <row r="109" spans="1:27" x14ac:dyDescent="0.2">
      <c r="A109" t="s">
        <v>92</v>
      </c>
      <c r="B109" t="s">
        <v>223</v>
      </c>
      <c r="C109" t="s">
        <v>285</v>
      </c>
      <c r="D109" t="s">
        <v>286</v>
      </c>
      <c r="E109" t="s">
        <v>228</v>
      </c>
      <c r="F109">
        <v>59.99</v>
      </c>
      <c r="H109">
        <v>32.72</v>
      </c>
      <c r="I109">
        <v>38.18</v>
      </c>
      <c r="K109">
        <v>32.72</v>
      </c>
      <c r="L109">
        <v>35.450000000000003</v>
      </c>
      <c r="M109">
        <v>32.72</v>
      </c>
      <c r="O109">
        <v>43.63</v>
      </c>
      <c r="P109">
        <v>27.27</v>
      </c>
      <c r="Q109">
        <v>38.18</v>
      </c>
      <c r="T109" t="s">
        <v>97</v>
      </c>
      <c r="AA109" t="s">
        <v>97</v>
      </c>
    </row>
    <row r="110" spans="1:27" x14ac:dyDescent="0.2">
      <c r="A110" t="s">
        <v>92</v>
      </c>
      <c r="B110" t="s">
        <v>287</v>
      </c>
      <c r="C110" t="s">
        <v>288</v>
      </c>
      <c r="D110" t="s">
        <v>289</v>
      </c>
      <c r="E110" t="s">
        <v>290</v>
      </c>
      <c r="F110">
        <v>399.99</v>
      </c>
      <c r="G110">
        <v>148</v>
      </c>
      <c r="H110">
        <v>272.72000000000003</v>
      </c>
      <c r="I110">
        <v>290.89999999999998</v>
      </c>
      <c r="J110">
        <v>327.26</v>
      </c>
      <c r="K110">
        <v>272.72000000000003</v>
      </c>
      <c r="L110">
        <v>305.27</v>
      </c>
      <c r="M110">
        <v>327.26</v>
      </c>
      <c r="O110">
        <v>290.89999999999998</v>
      </c>
      <c r="Q110">
        <v>290.89999999999998</v>
      </c>
      <c r="R110">
        <v>290.89999999999998</v>
      </c>
      <c r="S110">
        <v>254.54</v>
      </c>
      <c r="T110" t="s">
        <v>97</v>
      </c>
      <c r="U110">
        <v>272.72000000000003</v>
      </c>
      <c r="AA110" t="s">
        <v>97</v>
      </c>
    </row>
    <row r="111" spans="1:27" x14ac:dyDescent="0.2">
      <c r="A111" t="s">
        <v>92</v>
      </c>
      <c r="B111" t="s">
        <v>287</v>
      </c>
      <c r="C111" t="s">
        <v>291</v>
      </c>
      <c r="D111" t="s">
        <v>292</v>
      </c>
      <c r="E111" t="s">
        <v>290</v>
      </c>
      <c r="F111">
        <v>329.99</v>
      </c>
      <c r="G111">
        <v>48</v>
      </c>
      <c r="H111">
        <v>224.99</v>
      </c>
      <c r="I111">
        <v>239.99</v>
      </c>
      <c r="J111">
        <v>269.99</v>
      </c>
      <c r="K111">
        <v>224.99</v>
      </c>
      <c r="L111">
        <v>251.84</v>
      </c>
      <c r="M111">
        <v>269.99</v>
      </c>
      <c r="O111">
        <v>239.99</v>
      </c>
      <c r="Q111">
        <v>239.99</v>
      </c>
      <c r="R111">
        <v>239.99</v>
      </c>
      <c r="S111">
        <v>209.99</v>
      </c>
      <c r="T111" t="s">
        <v>97</v>
      </c>
      <c r="U111">
        <v>239.99</v>
      </c>
      <c r="AA111" t="s">
        <v>97</v>
      </c>
    </row>
    <row r="112" spans="1:27" x14ac:dyDescent="0.2">
      <c r="A112" t="s">
        <v>92</v>
      </c>
      <c r="B112" t="s">
        <v>287</v>
      </c>
      <c r="C112" t="s">
        <v>293</v>
      </c>
      <c r="D112" t="s">
        <v>294</v>
      </c>
      <c r="E112" t="s">
        <v>290</v>
      </c>
      <c r="F112">
        <v>129.99</v>
      </c>
      <c r="G112">
        <v>38</v>
      </c>
      <c r="H112">
        <v>88.63</v>
      </c>
      <c r="I112">
        <v>94.54</v>
      </c>
      <c r="J112">
        <v>106.36</v>
      </c>
      <c r="K112">
        <v>88.63</v>
      </c>
      <c r="L112">
        <v>99.21</v>
      </c>
      <c r="M112">
        <v>106.36</v>
      </c>
      <c r="O112">
        <v>94.54</v>
      </c>
      <c r="Q112">
        <v>94.54</v>
      </c>
      <c r="R112">
        <v>94.54</v>
      </c>
      <c r="S112">
        <v>82.72</v>
      </c>
      <c r="T112" t="s">
        <v>97</v>
      </c>
      <c r="U112">
        <v>88.63</v>
      </c>
      <c r="AA112" t="s">
        <v>97</v>
      </c>
    </row>
    <row r="113" spans="1:27" x14ac:dyDescent="0.2">
      <c r="A113" t="s">
        <v>92</v>
      </c>
      <c r="B113" t="s">
        <v>287</v>
      </c>
      <c r="C113" t="s">
        <v>295</v>
      </c>
      <c r="D113" t="s">
        <v>296</v>
      </c>
      <c r="E113" t="s">
        <v>290</v>
      </c>
      <c r="F113">
        <v>329.99</v>
      </c>
      <c r="G113">
        <v>148</v>
      </c>
      <c r="H113">
        <v>224.99</v>
      </c>
      <c r="I113">
        <v>239.99</v>
      </c>
      <c r="J113">
        <v>269.99</v>
      </c>
      <c r="K113">
        <v>224.99</v>
      </c>
      <c r="L113">
        <v>251.84</v>
      </c>
      <c r="M113">
        <v>269.99</v>
      </c>
      <c r="O113">
        <v>239.99</v>
      </c>
      <c r="Q113">
        <v>239.99</v>
      </c>
      <c r="R113">
        <v>239.99</v>
      </c>
      <c r="S113">
        <v>209.99</v>
      </c>
      <c r="T113" t="s">
        <v>97</v>
      </c>
      <c r="U113">
        <v>239.99</v>
      </c>
      <c r="AA113" t="s">
        <v>97</v>
      </c>
    </row>
    <row r="114" spans="1:27" x14ac:dyDescent="0.2">
      <c r="A114" t="s">
        <v>92</v>
      </c>
      <c r="B114" t="s">
        <v>8709</v>
      </c>
      <c r="C114" t="s">
        <v>8710</v>
      </c>
      <c r="D114" t="s">
        <v>8711</v>
      </c>
      <c r="E114" t="s">
        <v>228</v>
      </c>
      <c r="F114">
        <v>169.95</v>
      </c>
      <c r="M114">
        <v>92.7</v>
      </c>
      <c r="Q114">
        <v>84.98</v>
      </c>
      <c r="T114" t="s">
        <v>97</v>
      </c>
      <c r="AA114" t="s">
        <v>97</v>
      </c>
    </row>
    <row r="115" spans="1:27" x14ac:dyDescent="0.2">
      <c r="A115" t="s">
        <v>92</v>
      </c>
      <c r="B115" t="s">
        <v>8709</v>
      </c>
      <c r="C115" t="s">
        <v>8712</v>
      </c>
      <c r="D115" t="s">
        <v>8713</v>
      </c>
      <c r="E115" t="s">
        <v>228</v>
      </c>
      <c r="F115">
        <v>59.95</v>
      </c>
      <c r="Q115">
        <v>29.98</v>
      </c>
      <c r="T115" t="s">
        <v>97</v>
      </c>
      <c r="AA115" t="s">
        <v>97</v>
      </c>
    </row>
    <row r="116" spans="1:27" x14ac:dyDescent="0.2">
      <c r="A116" t="s">
        <v>92</v>
      </c>
      <c r="B116" t="s">
        <v>8709</v>
      </c>
      <c r="C116" t="s">
        <v>8714</v>
      </c>
      <c r="D116" t="s">
        <v>8715</v>
      </c>
      <c r="E116" t="s">
        <v>228</v>
      </c>
      <c r="F116">
        <v>79.95</v>
      </c>
      <c r="Q116">
        <v>39.979999999999997</v>
      </c>
      <c r="T116" t="s">
        <v>97</v>
      </c>
      <c r="AA116" t="s">
        <v>97</v>
      </c>
    </row>
    <row r="117" spans="1:27" x14ac:dyDescent="0.2">
      <c r="A117" t="s">
        <v>92</v>
      </c>
      <c r="B117" t="s">
        <v>8709</v>
      </c>
      <c r="C117" t="s">
        <v>8716</v>
      </c>
      <c r="D117" t="s">
        <v>8717</v>
      </c>
      <c r="E117" t="s">
        <v>228</v>
      </c>
      <c r="F117">
        <v>39.950000000000003</v>
      </c>
      <c r="Q117">
        <v>19.98</v>
      </c>
      <c r="T117" t="s">
        <v>97</v>
      </c>
      <c r="AA117" t="s">
        <v>97</v>
      </c>
    </row>
    <row r="118" spans="1:27" x14ac:dyDescent="0.2">
      <c r="A118" t="s">
        <v>92</v>
      </c>
      <c r="B118" t="s">
        <v>8709</v>
      </c>
      <c r="C118" t="s">
        <v>8718</v>
      </c>
      <c r="D118" t="s">
        <v>8719</v>
      </c>
      <c r="E118" t="s">
        <v>228</v>
      </c>
      <c r="F118">
        <v>69.95</v>
      </c>
      <c r="Q118">
        <v>34.979999999999997</v>
      </c>
      <c r="T118" t="s">
        <v>97</v>
      </c>
      <c r="AA118" t="s">
        <v>97</v>
      </c>
    </row>
    <row r="119" spans="1:27" x14ac:dyDescent="0.2">
      <c r="A119" t="s">
        <v>92</v>
      </c>
      <c r="B119" t="s">
        <v>8709</v>
      </c>
      <c r="C119" t="s">
        <v>8720</v>
      </c>
      <c r="D119" t="s">
        <v>8721</v>
      </c>
      <c r="E119" t="s">
        <v>228</v>
      </c>
      <c r="F119">
        <v>119.95</v>
      </c>
      <c r="L119">
        <v>44.83</v>
      </c>
      <c r="T119" t="s">
        <v>97</v>
      </c>
      <c r="AA119" t="s">
        <v>97</v>
      </c>
    </row>
    <row r="120" spans="1:27" x14ac:dyDescent="0.2">
      <c r="A120" t="s">
        <v>92</v>
      </c>
      <c r="B120" t="s">
        <v>8709</v>
      </c>
      <c r="C120" t="s">
        <v>8722</v>
      </c>
      <c r="D120" t="s">
        <v>8723</v>
      </c>
      <c r="E120" t="s">
        <v>228</v>
      </c>
      <c r="F120">
        <v>34.950000000000003</v>
      </c>
      <c r="L120">
        <v>13.06</v>
      </c>
      <c r="T120" t="s">
        <v>97</v>
      </c>
      <c r="AA120" t="s">
        <v>97</v>
      </c>
    </row>
    <row r="121" spans="1:27" x14ac:dyDescent="0.2">
      <c r="A121" t="s">
        <v>92</v>
      </c>
      <c r="B121" t="s">
        <v>8709</v>
      </c>
      <c r="C121" t="s">
        <v>8724</v>
      </c>
      <c r="D121" t="s">
        <v>8725</v>
      </c>
      <c r="E121" t="s">
        <v>228</v>
      </c>
      <c r="F121">
        <v>34.950000000000003</v>
      </c>
      <c r="L121">
        <v>13.06</v>
      </c>
      <c r="T121" t="s">
        <v>97</v>
      </c>
      <c r="AA121" t="s">
        <v>97</v>
      </c>
    </row>
    <row r="122" spans="1:27" x14ac:dyDescent="0.2">
      <c r="A122" t="s">
        <v>92</v>
      </c>
      <c r="B122" t="s">
        <v>8709</v>
      </c>
      <c r="C122" t="s">
        <v>8726</v>
      </c>
      <c r="D122" t="s">
        <v>8727</v>
      </c>
      <c r="E122" t="s">
        <v>228</v>
      </c>
      <c r="F122">
        <v>159.94999999999999</v>
      </c>
      <c r="M122">
        <v>87.25</v>
      </c>
      <c r="Q122">
        <v>79.98</v>
      </c>
      <c r="T122" t="s">
        <v>97</v>
      </c>
      <c r="AA122" t="s">
        <v>97</v>
      </c>
    </row>
    <row r="123" spans="1:27" x14ac:dyDescent="0.2">
      <c r="A123" t="s">
        <v>92</v>
      </c>
      <c r="B123" t="s">
        <v>8709</v>
      </c>
      <c r="C123" t="s">
        <v>8728</v>
      </c>
      <c r="D123" t="s">
        <v>8729</v>
      </c>
      <c r="E123" t="s">
        <v>228</v>
      </c>
      <c r="F123">
        <v>99.95</v>
      </c>
      <c r="M123">
        <v>54.52</v>
      </c>
      <c r="Q123">
        <v>49.98</v>
      </c>
      <c r="T123" t="s">
        <v>97</v>
      </c>
      <c r="AA123" t="s">
        <v>97</v>
      </c>
    </row>
    <row r="124" spans="1:27" x14ac:dyDescent="0.2">
      <c r="A124" t="s">
        <v>92</v>
      </c>
      <c r="B124" t="s">
        <v>8709</v>
      </c>
      <c r="C124" t="s">
        <v>8730</v>
      </c>
      <c r="D124" t="s">
        <v>8731</v>
      </c>
      <c r="E124" t="s">
        <v>228</v>
      </c>
      <c r="F124">
        <v>149.94999999999999</v>
      </c>
      <c r="M124">
        <v>81.790000000000006</v>
      </c>
      <c r="T124" t="s">
        <v>97</v>
      </c>
      <c r="AA124" t="s">
        <v>97</v>
      </c>
    </row>
    <row r="125" spans="1:27" x14ac:dyDescent="0.2">
      <c r="A125" t="s">
        <v>92</v>
      </c>
      <c r="B125" t="s">
        <v>8709</v>
      </c>
      <c r="C125" t="s">
        <v>8732</v>
      </c>
      <c r="D125" t="s">
        <v>8733</v>
      </c>
      <c r="E125" t="s">
        <v>228</v>
      </c>
      <c r="F125">
        <v>99.95</v>
      </c>
      <c r="M125">
        <v>54.52</v>
      </c>
      <c r="T125" t="s">
        <v>97</v>
      </c>
      <c r="AA125" t="s">
        <v>97</v>
      </c>
    </row>
    <row r="126" spans="1:27" x14ac:dyDescent="0.2">
      <c r="A126" t="s">
        <v>92</v>
      </c>
      <c r="B126" t="s">
        <v>8709</v>
      </c>
      <c r="C126" t="s">
        <v>8734</v>
      </c>
      <c r="D126" t="s">
        <v>8735</v>
      </c>
      <c r="E126" t="s">
        <v>228</v>
      </c>
      <c r="F126">
        <v>89.95</v>
      </c>
      <c r="M126">
        <v>49.06</v>
      </c>
      <c r="Q126">
        <v>44.98</v>
      </c>
      <c r="T126" t="s">
        <v>97</v>
      </c>
      <c r="AA126" t="s">
        <v>97</v>
      </c>
    </row>
    <row r="127" spans="1:27" x14ac:dyDescent="0.2">
      <c r="A127" t="s">
        <v>92</v>
      </c>
      <c r="B127" t="s">
        <v>8709</v>
      </c>
      <c r="C127" t="s">
        <v>8736</v>
      </c>
      <c r="D127" t="s">
        <v>8737</v>
      </c>
      <c r="E127" t="s">
        <v>228</v>
      </c>
      <c r="F127">
        <v>54.95</v>
      </c>
      <c r="L127">
        <v>20.54</v>
      </c>
      <c r="T127" t="s">
        <v>97</v>
      </c>
      <c r="AA127" t="s">
        <v>97</v>
      </c>
    </row>
    <row r="128" spans="1:27" x14ac:dyDescent="0.2">
      <c r="A128" t="s">
        <v>92</v>
      </c>
      <c r="B128" t="s">
        <v>8709</v>
      </c>
      <c r="C128" t="s">
        <v>8738</v>
      </c>
      <c r="D128" t="s">
        <v>8739</v>
      </c>
      <c r="E128" t="s">
        <v>228</v>
      </c>
      <c r="F128">
        <v>79.95</v>
      </c>
      <c r="L128">
        <v>29.88</v>
      </c>
      <c r="T128" t="s">
        <v>97</v>
      </c>
      <c r="AA128" t="s">
        <v>97</v>
      </c>
    </row>
    <row r="129" spans="1:27" x14ac:dyDescent="0.2">
      <c r="A129" t="s">
        <v>92</v>
      </c>
      <c r="B129" t="s">
        <v>8709</v>
      </c>
      <c r="C129" t="s">
        <v>8740</v>
      </c>
      <c r="D129" t="s">
        <v>8741</v>
      </c>
      <c r="E129" t="s">
        <v>228</v>
      </c>
      <c r="F129">
        <v>99.95</v>
      </c>
      <c r="L129">
        <v>37.35</v>
      </c>
      <c r="T129" t="s">
        <v>97</v>
      </c>
      <c r="AA129" t="s">
        <v>97</v>
      </c>
    </row>
    <row r="130" spans="1:27" x14ac:dyDescent="0.2">
      <c r="A130" t="s">
        <v>92</v>
      </c>
      <c r="B130" t="s">
        <v>8709</v>
      </c>
      <c r="C130" t="s">
        <v>8742</v>
      </c>
      <c r="D130" t="s">
        <v>8743</v>
      </c>
      <c r="E130" t="s">
        <v>228</v>
      </c>
      <c r="F130">
        <v>99.95</v>
      </c>
      <c r="L130">
        <v>37.35</v>
      </c>
      <c r="T130" t="s">
        <v>97</v>
      </c>
      <c r="AA130" t="s">
        <v>97</v>
      </c>
    </row>
    <row r="131" spans="1:27" x14ac:dyDescent="0.2">
      <c r="A131" t="s">
        <v>92</v>
      </c>
      <c r="B131" t="s">
        <v>8709</v>
      </c>
      <c r="C131" t="s">
        <v>8744</v>
      </c>
      <c r="D131" t="s">
        <v>8745</v>
      </c>
      <c r="E131" t="s">
        <v>228</v>
      </c>
      <c r="F131">
        <v>199.95</v>
      </c>
      <c r="L131">
        <v>74.73</v>
      </c>
      <c r="T131" t="s">
        <v>97</v>
      </c>
      <c r="AA131" t="s">
        <v>97</v>
      </c>
    </row>
    <row r="132" spans="1:27" x14ac:dyDescent="0.2">
      <c r="A132" t="s">
        <v>92</v>
      </c>
      <c r="B132" t="s">
        <v>8709</v>
      </c>
      <c r="C132" t="s">
        <v>8746</v>
      </c>
      <c r="D132" t="s">
        <v>8747</v>
      </c>
      <c r="E132" t="s">
        <v>228</v>
      </c>
      <c r="F132">
        <v>199.95</v>
      </c>
      <c r="L132">
        <v>74.73</v>
      </c>
      <c r="T132" t="s">
        <v>97</v>
      </c>
      <c r="AA132" t="s">
        <v>97</v>
      </c>
    </row>
    <row r="133" spans="1:27" x14ac:dyDescent="0.2">
      <c r="A133" t="s">
        <v>92</v>
      </c>
      <c r="B133" t="s">
        <v>8709</v>
      </c>
      <c r="C133" t="s">
        <v>8748</v>
      </c>
      <c r="D133" t="s">
        <v>8749</v>
      </c>
      <c r="E133" t="s">
        <v>228</v>
      </c>
      <c r="F133">
        <v>169.95</v>
      </c>
      <c r="M133">
        <v>92.7</v>
      </c>
      <c r="Q133">
        <v>84.98</v>
      </c>
      <c r="T133" t="s">
        <v>97</v>
      </c>
      <c r="AA133" t="s">
        <v>97</v>
      </c>
    </row>
    <row r="134" spans="1:27" x14ac:dyDescent="0.2">
      <c r="A134" t="s">
        <v>92</v>
      </c>
      <c r="B134" t="s">
        <v>8709</v>
      </c>
      <c r="C134" t="s">
        <v>8750</v>
      </c>
      <c r="D134" t="s">
        <v>8751</v>
      </c>
      <c r="E134" t="s">
        <v>228</v>
      </c>
      <c r="F134">
        <v>229.95</v>
      </c>
      <c r="M134">
        <v>125.43</v>
      </c>
      <c r="Q134">
        <v>114.98</v>
      </c>
      <c r="T134" t="s">
        <v>97</v>
      </c>
      <c r="AA134" t="s">
        <v>97</v>
      </c>
    </row>
    <row r="135" spans="1:27" x14ac:dyDescent="0.2">
      <c r="A135" t="s">
        <v>92</v>
      </c>
      <c r="B135" t="s">
        <v>8709</v>
      </c>
      <c r="C135" t="s">
        <v>8752</v>
      </c>
      <c r="D135" t="s">
        <v>8753</v>
      </c>
      <c r="E135" t="s">
        <v>228</v>
      </c>
      <c r="F135">
        <v>299.95</v>
      </c>
      <c r="Q135">
        <v>149.97999999999999</v>
      </c>
      <c r="T135" t="s">
        <v>97</v>
      </c>
      <c r="AA135" t="s">
        <v>97</v>
      </c>
    </row>
    <row r="136" spans="1:27" x14ac:dyDescent="0.2">
      <c r="A136" t="s">
        <v>92</v>
      </c>
      <c r="B136" t="s">
        <v>8709</v>
      </c>
      <c r="C136" t="s">
        <v>8754</v>
      </c>
      <c r="D136" t="s">
        <v>8755</v>
      </c>
      <c r="E136" t="s">
        <v>228</v>
      </c>
      <c r="F136">
        <v>299.95</v>
      </c>
      <c r="M136">
        <v>163.61000000000001</v>
      </c>
      <c r="Q136">
        <v>149.97999999999999</v>
      </c>
      <c r="T136" t="s">
        <v>97</v>
      </c>
      <c r="AA136" t="s">
        <v>97</v>
      </c>
    </row>
    <row r="137" spans="1:27" x14ac:dyDescent="0.2">
      <c r="A137" t="s">
        <v>92</v>
      </c>
      <c r="B137" t="s">
        <v>297</v>
      </c>
      <c r="C137" t="s">
        <v>298</v>
      </c>
      <c r="D137" t="s">
        <v>299</v>
      </c>
      <c r="E137" t="s">
        <v>290</v>
      </c>
      <c r="F137">
        <v>54.99</v>
      </c>
      <c r="G137">
        <v>19.989999999999998</v>
      </c>
      <c r="H137">
        <v>16.36</v>
      </c>
      <c r="I137">
        <v>16.36</v>
      </c>
      <c r="J137">
        <v>44.99</v>
      </c>
      <c r="K137">
        <v>16.36</v>
      </c>
      <c r="L137">
        <v>37.49</v>
      </c>
      <c r="M137">
        <v>48.18</v>
      </c>
      <c r="O137">
        <v>45.99</v>
      </c>
      <c r="Q137">
        <v>51.27</v>
      </c>
      <c r="R137">
        <v>51.27</v>
      </c>
      <c r="T137" t="s">
        <v>97</v>
      </c>
      <c r="Y137">
        <v>42.49</v>
      </c>
      <c r="Z137">
        <v>54.99</v>
      </c>
      <c r="AA137" t="s">
        <v>97</v>
      </c>
    </row>
    <row r="138" spans="1:27" x14ac:dyDescent="0.2">
      <c r="A138" t="s">
        <v>92</v>
      </c>
      <c r="B138" t="s">
        <v>297</v>
      </c>
      <c r="C138" t="s">
        <v>300</v>
      </c>
      <c r="D138" t="s">
        <v>301</v>
      </c>
      <c r="E138" t="s">
        <v>290</v>
      </c>
      <c r="F138">
        <v>54.99</v>
      </c>
      <c r="G138">
        <v>14.99</v>
      </c>
      <c r="H138">
        <v>12.26</v>
      </c>
      <c r="I138">
        <v>12.26</v>
      </c>
      <c r="J138">
        <v>44.99</v>
      </c>
      <c r="K138">
        <v>12.26</v>
      </c>
      <c r="L138">
        <v>37.49</v>
      </c>
      <c r="M138">
        <v>54.47</v>
      </c>
      <c r="O138">
        <v>45.99</v>
      </c>
      <c r="Q138">
        <v>54.47</v>
      </c>
      <c r="R138">
        <v>54.47</v>
      </c>
      <c r="T138" t="s">
        <v>97</v>
      </c>
      <c r="Y138">
        <v>42.49</v>
      </c>
      <c r="Z138">
        <v>54.99</v>
      </c>
      <c r="AA138" t="s">
        <v>97</v>
      </c>
    </row>
    <row r="139" spans="1:27" x14ac:dyDescent="0.2">
      <c r="A139" t="s">
        <v>92</v>
      </c>
      <c r="B139" t="s">
        <v>297</v>
      </c>
      <c r="C139" t="s">
        <v>302</v>
      </c>
      <c r="D139" t="s">
        <v>303</v>
      </c>
      <c r="E139" t="s">
        <v>290</v>
      </c>
      <c r="F139">
        <v>1</v>
      </c>
      <c r="H139">
        <v>0.01</v>
      </c>
      <c r="M139">
        <v>0.01</v>
      </c>
      <c r="T139" t="s">
        <v>97</v>
      </c>
      <c r="AA139" t="s">
        <v>97</v>
      </c>
    </row>
    <row r="140" spans="1:27" x14ac:dyDescent="0.2">
      <c r="A140" t="s">
        <v>92</v>
      </c>
      <c r="B140" t="s">
        <v>304</v>
      </c>
      <c r="C140" t="s">
        <v>305</v>
      </c>
      <c r="D140" t="s">
        <v>306</v>
      </c>
      <c r="E140" t="s">
        <v>96</v>
      </c>
      <c r="F140">
        <v>179.99</v>
      </c>
      <c r="H140">
        <v>130.9</v>
      </c>
      <c r="I140">
        <v>139.08000000000001</v>
      </c>
      <c r="J140">
        <v>155.44999999999999</v>
      </c>
      <c r="K140">
        <v>130.9</v>
      </c>
      <c r="L140">
        <v>151.5</v>
      </c>
      <c r="M140">
        <v>155.44999999999999</v>
      </c>
      <c r="O140">
        <v>147.26</v>
      </c>
      <c r="P140">
        <v>120.9</v>
      </c>
      <c r="Q140">
        <v>147.26</v>
      </c>
      <c r="R140">
        <v>147.26</v>
      </c>
      <c r="S140">
        <v>120.9</v>
      </c>
      <c r="T140" t="s">
        <v>97</v>
      </c>
      <c r="Y140">
        <v>146.81</v>
      </c>
      <c r="Z140">
        <v>179.99</v>
      </c>
      <c r="AA140" t="s">
        <v>97</v>
      </c>
    </row>
    <row r="141" spans="1:27" x14ac:dyDescent="0.2">
      <c r="A141" t="s">
        <v>92</v>
      </c>
      <c r="B141" t="s">
        <v>309</v>
      </c>
      <c r="C141" t="s">
        <v>310</v>
      </c>
      <c r="D141" t="s">
        <v>311</v>
      </c>
      <c r="E141" t="s">
        <v>96</v>
      </c>
      <c r="F141">
        <v>2599</v>
      </c>
      <c r="H141">
        <v>90</v>
      </c>
      <c r="T141" t="s">
        <v>97</v>
      </c>
      <c r="V141">
        <v>2191.91</v>
      </c>
      <c r="W141">
        <v>2191.91</v>
      </c>
      <c r="X141">
        <v>2191.91</v>
      </c>
      <c r="Y141">
        <v>2191.91</v>
      </c>
      <c r="Z141">
        <v>2679</v>
      </c>
      <c r="AA141" t="s">
        <v>97</v>
      </c>
    </row>
    <row r="142" spans="1:27" x14ac:dyDescent="0.2">
      <c r="A142" t="s">
        <v>92</v>
      </c>
      <c r="B142" t="s">
        <v>309</v>
      </c>
      <c r="C142" t="s">
        <v>312</v>
      </c>
      <c r="D142" t="s">
        <v>313</v>
      </c>
      <c r="E142" t="s">
        <v>96</v>
      </c>
      <c r="F142">
        <v>249</v>
      </c>
      <c r="H142">
        <v>226.4</v>
      </c>
      <c r="T142" t="s">
        <v>97</v>
      </c>
      <c r="V142">
        <v>203.73</v>
      </c>
      <c r="W142">
        <v>203.73</v>
      </c>
      <c r="X142">
        <v>203.73</v>
      </c>
      <c r="Y142">
        <v>203.73</v>
      </c>
      <c r="Z142">
        <v>249</v>
      </c>
      <c r="AA142" t="s">
        <v>97</v>
      </c>
    </row>
    <row r="143" spans="1:27" x14ac:dyDescent="0.2">
      <c r="A143" t="s">
        <v>92</v>
      </c>
      <c r="B143" t="s">
        <v>309</v>
      </c>
      <c r="C143" t="s">
        <v>314</v>
      </c>
      <c r="D143" t="s">
        <v>315</v>
      </c>
      <c r="E143" t="s">
        <v>228</v>
      </c>
      <c r="F143">
        <v>209</v>
      </c>
      <c r="H143">
        <v>190</v>
      </c>
      <c r="T143" t="s">
        <v>97</v>
      </c>
      <c r="V143">
        <v>171</v>
      </c>
      <c r="W143">
        <v>171</v>
      </c>
      <c r="X143">
        <v>171</v>
      </c>
      <c r="Y143">
        <v>171</v>
      </c>
      <c r="Z143">
        <v>209</v>
      </c>
      <c r="AA143" t="s">
        <v>97</v>
      </c>
    </row>
    <row r="144" spans="1:27" x14ac:dyDescent="0.2">
      <c r="A144" t="s">
        <v>92</v>
      </c>
      <c r="B144" t="s">
        <v>309</v>
      </c>
      <c r="C144" t="s">
        <v>316</v>
      </c>
      <c r="D144" t="s">
        <v>317</v>
      </c>
      <c r="E144" t="s">
        <v>96</v>
      </c>
      <c r="F144">
        <v>39</v>
      </c>
      <c r="H144">
        <v>35.5</v>
      </c>
      <c r="T144" t="s">
        <v>97</v>
      </c>
      <c r="Y144">
        <v>31.91</v>
      </c>
      <c r="Z144">
        <v>39</v>
      </c>
      <c r="AA144" t="s">
        <v>97</v>
      </c>
    </row>
    <row r="145" spans="1:27" x14ac:dyDescent="0.2">
      <c r="A145" t="s">
        <v>92</v>
      </c>
      <c r="B145" t="s">
        <v>309</v>
      </c>
      <c r="C145" t="s">
        <v>318</v>
      </c>
      <c r="D145" t="s">
        <v>319</v>
      </c>
      <c r="E145" t="s">
        <v>96</v>
      </c>
      <c r="F145">
        <v>139</v>
      </c>
      <c r="H145">
        <v>126.4</v>
      </c>
      <c r="T145" t="s">
        <v>97</v>
      </c>
      <c r="Y145">
        <v>113.73</v>
      </c>
      <c r="Z145">
        <v>139</v>
      </c>
      <c r="AA145" t="s">
        <v>97</v>
      </c>
    </row>
    <row r="146" spans="1:27" x14ac:dyDescent="0.2">
      <c r="A146" t="s">
        <v>92</v>
      </c>
      <c r="B146" t="s">
        <v>320</v>
      </c>
      <c r="C146" t="s">
        <v>321</v>
      </c>
      <c r="D146" t="s">
        <v>322</v>
      </c>
      <c r="E146" t="s">
        <v>96</v>
      </c>
      <c r="F146">
        <v>99.95</v>
      </c>
      <c r="G146">
        <v>99.95</v>
      </c>
      <c r="T146" t="s">
        <v>97</v>
      </c>
      <c r="V146">
        <v>77.23</v>
      </c>
      <c r="W146">
        <v>72.69</v>
      </c>
      <c r="X146">
        <v>72.69</v>
      </c>
      <c r="Y146">
        <v>59.06</v>
      </c>
      <c r="Z146">
        <v>99.95</v>
      </c>
      <c r="AA146" t="s">
        <v>97</v>
      </c>
    </row>
    <row r="147" spans="1:27" x14ac:dyDescent="0.2">
      <c r="A147" t="s">
        <v>92</v>
      </c>
      <c r="B147" t="s">
        <v>320</v>
      </c>
      <c r="C147" t="s">
        <v>323</v>
      </c>
      <c r="D147" t="s">
        <v>324</v>
      </c>
      <c r="E147" t="s">
        <v>96</v>
      </c>
      <c r="F147">
        <v>59.95</v>
      </c>
      <c r="G147">
        <v>59.95</v>
      </c>
      <c r="T147" t="s">
        <v>97</v>
      </c>
      <c r="V147">
        <v>46.33</v>
      </c>
      <c r="W147">
        <v>43.6</v>
      </c>
      <c r="X147">
        <v>43.6</v>
      </c>
      <c r="Y147">
        <v>35.43</v>
      </c>
      <c r="Z147">
        <v>59.95</v>
      </c>
      <c r="AA147" t="s">
        <v>97</v>
      </c>
    </row>
    <row r="148" spans="1:27" x14ac:dyDescent="0.2">
      <c r="A148" t="s">
        <v>92</v>
      </c>
      <c r="B148" t="s">
        <v>320</v>
      </c>
      <c r="C148" t="s">
        <v>325</v>
      </c>
      <c r="D148" t="s">
        <v>326</v>
      </c>
      <c r="E148" t="s">
        <v>96</v>
      </c>
      <c r="F148">
        <v>74.95</v>
      </c>
      <c r="G148">
        <v>74.95</v>
      </c>
      <c r="T148" t="s">
        <v>97</v>
      </c>
      <c r="V148">
        <v>57.92</v>
      </c>
      <c r="W148">
        <v>54.51</v>
      </c>
      <c r="X148">
        <v>54.51</v>
      </c>
      <c r="Y148">
        <v>44.29</v>
      </c>
      <c r="Z148">
        <v>74.95</v>
      </c>
      <c r="AA148" t="s">
        <v>97</v>
      </c>
    </row>
    <row r="149" spans="1:27" x14ac:dyDescent="0.2">
      <c r="A149" t="s">
        <v>92</v>
      </c>
      <c r="B149" t="s">
        <v>320</v>
      </c>
      <c r="C149" t="s">
        <v>327</v>
      </c>
      <c r="D149" t="s">
        <v>328</v>
      </c>
      <c r="E149" t="s">
        <v>96</v>
      </c>
      <c r="G149">
        <v>94.95</v>
      </c>
      <c r="T149" t="s">
        <v>97</v>
      </c>
      <c r="V149">
        <v>77.23</v>
      </c>
      <c r="W149">
        <v>77.23</v>
      </c>
      <c r="X149">
        <v>77.23</v>
      </c>
      <c r="Y149">
        <v>77.23</v>
      </c>
      <c r="Z149">
        <v>94.95</v>
      </c>
      <c r="AA149" t="s">
        <v>97</v>
      </c>
    </row>
    <row r="150" spans="1:27" x14ac:dyDescent="0.2">
      <c r="A150" t="s">
        <v>92</v>
      </c>
      <c r="B150" t="s">
        <v>320</v>
      </c>
      <c r="C150" t="s">
        <v>329</v>
      </c>
      <c r="D150" t="s">
        <v>330</v>
      </c>
      <c r="E150" t="s">
        <v>96</v>
      </c>
      <c r="G150">
        <v>139.94999999999999</v>
      </c>
      <c r="T150" t="s">
        <v>97</v>
      </c>
      <c r="V150">
        <v>108.14</v>
      </c>
      <c r="W150">
        <v>108.14</v>
      </c>
      <c r="X150">
        <v>108.14</v>
      </c>
      <c r="Y150">
        <v>108.14</v>
      </c>
      <c r="Z150">
        <v>139.94999999999999</v>
      </c>
      <c r="AA150" t="s">
        <v>97</v>
      </c>
    </row>
    <row r="151" spans="1:27" x14ac:dyDescent="0.2">
      <c r="A151" t="s">
        <v>92</v>
      </c>
      <c r="B151" t="s">
        <v>320</v>
      </c>
      <c r="C151" t="s">
        <v>331</v>
      </c>
      <c r="D151" t="s">
        <v>332</v>
      </c>
      <c r="E151" t="s">
        <v>96</v>
      </c>
      <c r="G151">
        <v>139.94999999999999</v>
      </c>
      <c r="T151" t="s">
        <v>97</v>
      </c>
      <c r="V151">
        <v>108.14</v>
      </c>
      <c r="W151">
        <v>108.14</v>
      </c>
      <c r="X151">
        <v>108.14</v>
      </c>
      <c r="Y151">
        <v>108.14</v>
      </c>
      <c r="Z151">
        <v>139.94999999999999</v>
      </c>
      <c r="AA151" t="s">
        <v>97</v>
      </c>
    </row>
    <row r="152" spans="1:27" x14ac:dyDescent="0.2">
      <c r="A152" t="s">
        <v>92</v>
      </c>
      <c r="B152" t="s">
        <v>320</v>
      </c>
      <c r="C152" t="s">
        <v>333</v>
      </c>
      <c r="D152" t="s">
        <v>334</v>
      </c>
      <c r="E152" t="s">
        <v>96</v>
      </c>
      <c r="F152">
        <v>69.95</v>
      </c>
      <c r="G152">
        <v>69.95</v>
      </c>
      <c r="T152" t="s">
        <v>97</v>
      </c>
      <c r="V152">
        <v>54.05</v>
      </c>
      <c r="W152">
        <v>50.87</v>
      </c>
      <c r="X152">
        <v>50.87</v>
      </c>
      <c r="Y152">
        <v>41.33</v>
      </c>
      <c r="Z152">
        <v>69.95</v>
      </c>
      <c r="AA152" t="s">
        <v>97</v>
      </c>
    </row>
    <row r="153" spans="1:27" x14ac:dyDescent="0.2">
      <c r="A153" t="s">
        <v>92</v>
      </c>
      <c r="B153" t="s">
        <v>320</v>
      </c>
      <c r="C153" t="s">
        <v>335</v>
      </c>
      <c r="D153" t="s">
        <v>336</v>
      </c>
      <c r="E153" t="s">
        <v>96</v>
      </c>
      <c r="F153">
        <v>69.95</v>
      </c>
      <c r="G153">
        <v>69.95</v>
      </c>
      <c r="T153" t="s">
        <v>97</v>
      </c>
      <c r="V153">
        <v>54.05</v>
      </c>
      <c r="W153">
        <v>50.87</v>
      </c>
      <c r="X153">
        <v>50.87</v>
      </c>
      <c r="Y153">
        <v>41.33</v>
      </c>
      <c r="Z153">
        <v>69.95</v>
      </c>
      <c r="AA153" t="s">
        <v>97</v>
      </c>
    </row>
    <row r="154" spans="1:27" x14ac:dyDescent="0.2">
      <c r="A154" t="s">
        <v>92</v>
      </c>
      <c r="B154" t="s">
        <v>320</v>
      </c>
      <c r="C154" t="s">
        <v>337</v>
      </c>
      <c r="D154" t="s">
        <v>338</v>
      </c>
      <c r="E154" t="s">
        <v>96</v>
      </c>
      <c r="F154">
        <v>59.95</v>
      </c>
      <c r="G154">
        <v>59.95</v>
      </c>
      <c r="T154" t="s">
        <v>97</v>
      </c>
      <c r="V154">
        <v>46.33</v>
      </c>
      <c r="W154">
        <v>43.6</v>
      </c>
      <c r="X154">
        <v>43.6</v>
      </c>
      <c r="Y154">
        <v>35.43</v>
      </c>
      <c r="Z154">
        <v>59.95</v>
      </c>
      <c r="AA154" t="s">
        <v>97</v>
      </c>
    </row>
    <row r="155" spans="1:27" x14ac:dyDescent="0.2">
      <c r="A155" t="s">
        <v>92</v>
      </c>
      <c r="B155" t="s">
        <v>320</v>
      </c>
      <c r="C155" t="s">
        <v>339</v>
      </c>
      <c r="D155" t="s">
        <v>340</v>
      </c>
      <c r="E155" t="s">
        <v>96</v>
      </c>
      <c r="F155">
        <v>74.95</v>
      </c>
      <c r="G155">
        <v>74.95</v>
      </c>
      <c r="T155" t="s">
        <v>97</v>
      </c>
      <c r="V155">
        <v>57.92</v>
      </c>
      <c r="W155">
        <v>54.51</v>
      </c>
      <c r="X155">
        <v>54.51</v>
      </c>
      <c r="Y155">
        <v>44.29</v>
      </c>
      <c r="Z155">
        <v>74.95</v>
      </c>
      <c r="AA155" t="s">
        <v>97</v>
      </c>
    </row>
    <row r="156" spans="1:27" x14ac:dyDescent="0.2">
      <c r="A156" t="s">
        <v>92</v>
      </c>
      <c r="B156" t="s">
        <v>320</v>
      </c>
      <c r="C156" t="s">
        <v>341</v>
      </c>
      <c r="D156" t="s">
        <v>342</v>
      </c>
      <c r="E156" t="s">
        <v>96</v>
      </c>
      <c r="G156">
        <v>184.95</v>
      </c>
      <c r="T156" t="s">
        <v>97</v>
      </c>
      <c r="V156">
        <v>142.91999999999999</v>
      </c>
      <c r="W156">
        <v>142.91999999999999</v>
      </c>
      <c r="X156">
        <v>142.91999999999999</v>
      </c>
      <c r="Y156">
        <v>142.91999999999999</v>
      </c>
      <c r="Z156">
        <v>184.95</v>
      </c>
      <c r="AA156" t="s">
        <v>97</v>
      </c>
    </row>
    <row r="157" spans="1:27" x14ac:dyDescent="0.2">
      <c r="A157" t="s">
        <v>92</v>
      </c>
      <c r="B157" t="s">
        <v>320</v>
      </c>
      <c r="C157" t="s">
        <v>343</v>
      </c>
      <c r="D157" t="s">
        <v>344</v>
      </c>
      <c r="E157" t="s">
        <v>96</v>
      </c>
      <c r="G157">
        <v>64.95</v>
      </c>
      <c r="T157" t="s">
        <v>97</v>
      </c>
      <c r="V157">
        <v>54.05</v>
      </c>
      <c r="W157">
        <v>54.05</v>
      </c>
      <c r="X157">
        <v>54.05</v>
      </c>
      <c r="Y157">
        <v>54.05</v>
      </c>
      <c r="Z157">
        <v>64.95</v>
      </c>
      <c r="AA157" t="s">
        <v>97</v>
      </c>
    </row>
    <row r="158" spans="1:27" x14ac:dyDescent="0.2">
      <c r="A158" t="s">
        <v>92</v>
      </c>
      <c r="B158" t="s">
        <v>320</v>
      </c>
      <c r="C158" t="s">
        <v>345</v>
      </c>
      <c r="D158" t="s">
        <v>346</v>
      </c>
      <c r="E158" t="s">
        <v>96</v>
      </c>
      <c r="G158">
        <v>64.95</v>
      </c>
      <c r="T158" t="s">
        <v>97</v>
      </c>
      <c r="V158">
        <v>50.19</v>
      </c>
      <c r="W158">
        <v>50.19</v>
      </c>
      <c r="X158">
        <v>50.19</v>
      </c>
      <c r="Y158">
        <v>50.19</v>
      </c>
      <c r="Z158">
        <v>64.95</v>
      </c>
      <c r="AA158" t="s">
        <v>97</v>
      </c>
    </row>
    <row r="159" spans="1:27" x14ac:dyDescent="0.2">
      <c r="A159" t="s">
        <v>92</v>
      </c>
      <c r="B159" t="s">
        <v>320</v>
      </c>
      <c r="C159" t="s">
        <v>347</v>
      </c>
      <c r="D159" t="s">
        <v>348</v>
      </c>
      <c r="E159" t="s">
        <v>96</v>
      </c>
      <c r="G159">
        <v>74.95</v>
      </c>
      <c r="T159" t="s">
        <v>97</v>
      </c>
      <c r="V159">
        <v>61.78</v>
      </c>
      <c r="W159">
        <v>61.78</v>
      </c>
      <c r="X159">
        <v>61.78</v>
      </c>
      <c r="Y159">
        <v>61.78</v>
      </c>
      <c r="Z159">
        <v>74.95</v>
      </c>
      <c r="AA159" t="s">
        <v>97</v>
      </c>
    </row>
    <row r="160" spans="1:27" x14ac:dyDescent="0.2">
      <c r="A160" t="s">
        <v>92</v>
      </c>
      <c r="B160" t="s">
        <v>320</v>
      </c>
      <c r="C160" t="s">
        <v>349</v>
      </c>
      <c r="D160" t="s">
        <v>350</v>
      </c>
      <c r="E160" t="s">
        <v>96</v>
      </c>
      <c r="G160">
        <v>154.94999999999999</v>
      </c>
      <c r="T160" t="s">
        <v>97</v>
      </c>
      <c r="V160">
        <v>119.73</v>
      </c>
      <c r="W160">
        <v>119.73</v>
      </c>
      <c r="X160">
        <v>119.73</v>
      </c>
      <c r="Y160">
        <v>119.73</v>
      </c>
      <c r="Z160">
        <v>154.94999999999999</v>
      </c>
      <c r="AA160" t="s">
        <v>97</v>
      </c>
    </row>
    <row r="161" spans="1:27" x14ac:dyDescent="0.2">
      <c r="A161" t="s">
        <v>92</v>
      </c>
      <c r="B161" t="s">
        <v>320</v>
      </c>
      <c r="C161" t="s">
        <v>351</v>
      </c>
      <c r="D161" t="s">
        <v>352</v>
      </c>
      <c r="E161" t="s">
        <v>96</v>
      </c>
      <c r="F161">
        <v>74.95</v>
      </c>
      <c r="G161">
        <v>74.95</v>
      </c>
      <c r="T161" t="s">
        <v>97</v>
      </c>
      <c r="V161">
        <v>57.92</v>
      </c>
      <c r="W161">
        <v>54.51</v>
      </c>
      <c r="X161">
        <v>54.51</v>
      </c>
      <c r="Y161">
        <v>44.29</v>
      </c>
      <c r="Z161">
        <v>74.95</v>
      </c>
      <c r="AA161" t="s">
        <v>97</v>
      </c>
    </row>
    <row r="162" spans="1:27" x14ac:dyDescent="0.2">
      <c r="A162" t="s">
        <v>92</v>
      </c>
      <c r="B162" t="s">
        <v>320</v>
      </c>
      <c r="C162" t="s">
        <v>353</v>
      </c>
      <c r="D162" t="s">
        <v>354</v>
      </c>
      <c r="E162" t="s">
        <v>96</v>
      </c>
      <c r="F162">
        <v>74.95</v>
      </c>
      <c r="G162">
        <v>74.95</v>
      </c>
      <c r="T162" t="s">
        <v>97</v>
      </c>
      <c r="V162">
        <v>57.92</v>
      </c>
      <c r="W162">
        <v>54.51</v>
      </c>
      <c r="X162">
        <v>54.51</v>
      </c>
      <c r="Y162">
        <v>44.29</v>
      </c>
      <c r="Z162">
        <v>74.95</v>
      </c>
      <c r="AA162" t="s">
        <v>97</v>
      </c>
    </row>
    <row r="163" spans="1:27" x14ac:dyDescent="0.2">
      <c r="A163" t="s">
        <v>92</v>
      </c>
      <c r="B163" t="s">
        <v>320</v>
      </c>
      <c r="C163" t="s">
        <v>355</v>
      </c>
      <c r="D163" t="s">
        <v>356</v>
      </c>
      <c r="E163" t="s">
        <v>96</v>
      </c>
      <c r="F163">
        <v>44.95</v>
      </c>
      <c r="G163">
        <v>44.95</v>
      </c>
      <c r="T163" t="s">
        <v>97</v>
      </c>
      <c r="V163">
        <v>34.729999999999997</v>
      </c>
      <c r="W163">
        <v>32.69</v>
      </c>
      <c r="X163">
        <v>32.69</v>
      </c>
      <c r="Y163">
        <v>26.56</v>
      </c>
      <c r="Z163">
        <v>44.95</v>
      </c>
      <c r="AA163" t="s">
        <v>97</v>
      </c>
    </row>
    <row r="164" spans="1:27" x14ac:dyDescent="0.2">
      <c r="A164" t="s">
        <v>92</v>
      </c>
      <c r="B164" t="s">
        <v>320</v>
      </c>
      <c r="C164" t="s">
        <v>357</v>
      </c>
      <c r="D164" t="s">
        <v>358</v>
      </c>
      <c r="E164" t="s">
        <v>96</v>
      </c>
      <c r="F164">
        <v>44.95</v>
      </c>
      <c r="G164">
        <v>44.95</v>
      </c>
      <c r="T164" t="s">
        <v>97</v>
      </c>
      <c r="V164">
        <v>34.729999999999997</v>
      </c>
      <c r="W164">
        <v>32.69</v>
      </c>
      <c r="X164">
        <v>32.69</v>
      </c>
      <c r="Y164">
        <v>26.56</v>
      </c>
      <c r="Z164">
        <v>44.95</v>
      </c>
      <c r="AA164" t="s">
        <v>97</v>
      </c>
    </row>
    <row r="165" spans="1:27" x14ac:dyDescent="0.2">
      <c r="A165" t="s">
        <v>92</v>
      </c>
      <c r="B165" t="s">
        <v>320</v>
      </c>
      <c r="C165" t="s">
        <v>359</v>
      </c>
      <c r="D165" t="s">
        <v>360</v>
      </c>
      <c r="E165" t="s">
        <v>96</v>
      </c>
      <c r="F165">
        <v>119.95</v>
      </c>
      <c r="G165">
        <v>119.95</v>
      </c>
      <c r="T165" t="s">
        <v>97</v>
      </c>
      <c r="V165">
        <v>92.69</v>
      </c>
      <c r="W165">
        <v>87.24</v>
      </c>
      <c r="X165">
        <v>87.24</v>
      </c>
      <c r="Y165">
        <v>70.88</v>
      </c>
      <c r="Z165">
        <v>119.95</v>
      </c>
      <c r="AA165" t="s">
        <v>97</v>
      </c>
    </row>
    <row r="166" spans="1:27" x14ac:dyDescent="0.2">
      <c r="A166" t="s">
        <v>92</v>
      </c>
      <c r="B166" t="s">
        <v>320</v>
      </c>
      <c r="C166" t="s">
        <v>361</v>
      </c>
      <c r="D166" t="s">
        <v>362</v>
      </c>
      <c r="E166" t="s">
        <v>96</v>
      </c>
      <c r="F166">
        <v>59.95</v>
      </c>
      <c r="G166">
        <v>59.95</v>
      </c>
      <c r="T166" t="s">
        <v>97</v>
      </c>
      <c r="V166">
        <v>46.33</v>
      </c>
      <c r="W166">
        <v>43.6</v>
      </c>
      <c r="X166">
        <v>43.6</v>
      </c>
      <c r="Y166">
        <v>35.43</v>
      </c>
      <c r="Z166">
        <v>59.95</v>
      </c>
      <c r="AA166" t="s">
        <v>97</v>
      </c>
    </row>
    <row r="167" spans="1:27" x14ac:dyDescent="0.2">
      <c r="A167" t="s">
        <v>92</v>
      </c>
      <c r="B167" t="s">
        <v>320</v>
      </c>
      <c r="C167" t="s">
        <v>363</v>
      </c>
      <c r="D167" t="s">
        <v>364</v>
      </c>
      <c r="E167" t="s">
        <v>96</v>
      </c>
      <c r="F167">
        <v>149.94999999999999</v>
      </c>
      <c r="G167">
        <v>149.94999999999999</v>
      </c>
      <c r="T167" t="s">
        <v>97</v>
      </c>
      <c r="V167">
        <v>115.87</v>
      </c>
      <c r="W167">
        <v>109.05</v>
      </c>
      <c r="X167">
        <v>109.05</v>
      </c>
      <c r="Y167">
        <v>88.61</v>
      </c>
      <c r="Z167">
        <v>149.94999999999999</v>
      </c>
      <c r="AA167" t="s">
        <v>97</v>
      </c>
    </row>
    <row r="168" spans="1:27" x14ac:dyDescent="0.2">
      <c r="A168" t="s">
        <v>92</v>
      </c>
      <c r="B168" t="s">
        <v>320</v>
      </c>
      <c r="C168" t="s">
        <v>365</v>
      </c>
      <c r="D168" t="s">
        <v>366</v>
      </c>
      <c r="E168" t="s">
        <v>96</v>
      </c>
      <c r="F168">
        <v>49.95</v>
      </c>
      <c r="G168">
        <v>49.95</v>
      </c>
      <c r="T168" t="s">
        <v>97</v>
      </c>
      <c r="V168">
        <v>38.6</v>
      </c>
      <c r="W168">
        <v>36.33</v>
      </c>
      <c r="X168">
        <v>36.33</v>
      </c>
      <c r="Y168">
        <v>29.52</v>
      </c>
      <c r="Z168">
        <v>49.95</v>
      </c>
      <c r="AA168" t="s">
        <v>97</v>
      </c>
    </row>
    <row r="169" spans="1:27" x14ac:dyDescent="0.2">
      <c r="A169" t="s">
        <v>92</v>
      </c>
      <c r="B169" t="s">
        <v>320</v>
      </c>
      <c r="C169" t="s">
        <v>367</v>
      </c>
      <c r="D169" t="s">
        <v>368</v>
      </c>
      <c r="E169" t="s">
        <v>96</v>
      </c>
      <c r="F169">
        <v>74.95</v>
      </c>
      <c r="G169">
        <v>74.95</v>
      </c>
      <c r="T169" t="s">
        <v>97</v>
      </c>
      <c r="V169">
        <v>57.92</v>
      </c>
      <c r="W169">
        <v>54.51</v>
      </c>
      <c r="X169">
        <v>54.51</v>
      </c>
      <c r="Y169">
        <v>44.29</v>
      </c>
      <c r="Z169">
        <v>74.95</v>
      </c>
      <c r="AA169" t="s">
        <v>97</v>
      </c>
    </row>
    <row r="170" spans="1:27" x14ac:dyDescent="0.2">
      <c r="A170" t="s">
        <v>92</v>
      </c>
      <c r="B170" t="s">
        <v>320</v>
      </c>
      <c r="C170" t="s">
        <v>369</v>
      </c>
      <c r="D170" t="s">
        <v>370</v>
      </c>
      <c r="E170" t="s">
        <v>96</v>
      </c>
      <c r="F170">
        <v>59.95</v>
      </c>
      <c r="G170">
        <v>59.95</v>
      </c>
      <c r="T170" t="s">
        <v>97</v>
      </c>
      <c r="V170">
        <v>46.33</v>
      </c>
      <c r="W170">
        <v>43.6</v>
      </c>
      <c r="X170">
        <v>43.6</v>
      </c>
      <c r="Y170">
        <v>35.43</v>
      </c>
      <c r="Z170">
        <v>59.95</v>
      </c>
      <c r="AA170" t="s">
        <v>97</v>
      </c>
    </row>
    <row r="171" spans="1:27" x14ac:dyDescent="0.2">
      <c r="A171" t="s">
        <v>92</v>
      </c>
      <c r="B171" t="s">
        <v>320</v>
      </c>
      <c r="C171" t="s">
        <v>371</v>
      </c>
      <c r="D171" t="s">
        <v>372</v>
      </c>
      <c r="E171" t="s">
        <v>96</v>
      </c>
      <c r="F171">
        <v>114.95</v>
      </c>
      <c r="G171">
        <v>114.95</v>
      </c>
      <c r="T171" t="s">
        <v>97</v>
      </c>
      <c r="V171">
        <v>88.83</v>
      </c>
      <c r="W171">
        <v>83.6</v>
      </c>
      <c r="X171">
        <v>83.6</v>
      </c>
      <c r="Y171">
        <v>67.930000000000007</v>
      </c>
      <c r="Z171">
        <v>114.95</v>
      </c>
      <c r="AA171" t="s">
        <v>97</v>
      </c>
    </row>
    <row r="172" spans="1:27" x14ac:dyDescent="0.2">
      <c r="A172" t="s">
        <v>92</v>
      </c>
      <c r="B172" t="s">
        <v>320</v>
      </c>
      <c r="C172" t="s">
        <v>373</v>
      </c>
      <c r="D172" t="s">
        <v>374</v>
      </c>
      <c r="E172" t="s">
        <v>96</v>
      </c>
      <c r="F172">
        <v>99.95</v>
      </c>
      <c r="G172">
        <v>99.95</v>
      </c>
      <c r="T172" t="s">
        <v>97</v>
      </c>
      <c r="V172">
        <v>77.23</v>
      </c>
      <c r="W172">
        <v>72.69</v>
      </c>
      <c r="X172">
        <v>72.69</v>
      </c>
      <c r="Y172">
        <v>59.06</v>
      </c>
      <c r="Z172">
        <v>99.95</v>
      </c>
      <c r="AA172" t="s">
        <v>97</v>
      </c>
    </row>
    <row r="173" spans="1:27" x14ac:dyDescent="0.2">
      <c r="A173" t="s">
        <v>92</v>
      </c>
      <c r="B173" t="s">
        <v>320</v>
      </c>
      <c r="C173" t="s">
        <v>375</v>
      </c>
      <c r="D173" t="s">
        <v>376</v>
      </c>
      <c r="E173" t="s">
        <v>96</v>
      </c>
      <c r="F173">
        <v>99.95</v>
      </c>
      <c r="G173">
        <v>99.95</v>
      </c>
      <c r="T173" t="s">
        <v>97</v>
      </c>
      <c r="V173">
        <v>77.23</v>
      </c>
      <c r="W173">
        <v>72.69</v>
      </c>
      <c r="X173">
        <v>72.69</v>
      </c>
      <c r="Y173">
        <v>59.06</v>
      </c>
      <c r="Z173">
        <v>99.95</v>
      </c>
      <c r="AA173" t="s">
        <v>97</v>
      </c>
    </row>
    <row r="174" spans="1:27" x14ac:dyDescent="0.2">
      <c r="A174" t="s">
        <v>92</v>
      </c>
      <c r="B174" t="s">
        <v>320</v>
      </c>
      <c r="C174" t="s">
        <v>377</v>
      </c>
      <c r="D174" t="s">
        <v>378</v>
      </c>
      <c r="E174" t="s">
        <v>96</v>
      </c>
      <c r="F174">
        <v>59.95</v>
      </c>
      <c r="G174">
        <v>59.95</v>
      </c>
      <c r="T174" t="s">
        <v>97</v>
      </c>
      <c r="V174">
        <v>46.33</v>
      </c>
      <c r="W174">
        <v>43.6</v>
      </c>
      <c r="X174">
        <v>43.6</v>
      </c>
      <c r="Y174">
        <v>35.43</v>
      </c>
      <c r="Z174">
        <v>59.95</v>
      </c>
      <c r="AA174" t="s">
        <v>97</v>
      </c>
    </row>
    <row r="175" spans="1:27" x14ac:dyDescent="0.2">
      <c r="A175" t="s">
        <v>92</v>
      </c>
      <c r="B175" t="s">
        <v>320</v>
      </c>
      <c r="C175" t="s">
        <v>379</v>
      </c>
      <c r="D175" t="s">
        <v>380</v>
      </c>
      <c r="E175" t="s">
        <v>96</v>
      </c>
      <c r="F175">
        <v>169.95</v>
      </c>
      <c r="G175">
        <v>169.95</v>
      </c>
      <c r="T175" t="s">
        <v>97</v>
      </c>
      <c r="V175">
        <v>131.33000000000001</v>
      </c>
      <c r="W175">
        <v>123.6</v>
      </c>
      <c r="X175">
        <v>123.6</v>
      </c>
      <c r="Y175">
        <v>100.43</v>
      </c>
      <c r="Z175">
        <v>169.95</v>
      </c>
      <c r="AA175" t="s">
        <v>97</v>
      </c>
    </row>
    <row r="176" spans="1:27" x14ac:dyDescent="0.2">
      <c r="A176" t="s">
        <v>92</v>
      </c>
      <c r="B176" t="s">
        <v>320</v>
      </c>
      <c r="C176" t="s">
        <v>381</v>
      </c>
      <c r="D176" t="s">
        <v>382</v>
      </c>
      <c r="E176" t="s">
        <v>96</v>
      </c>
      <c r="F176">
        <v>129.94999999999999</v>
      </c>
      <c r="G176">
        <v>129.94999999999999</v>
      </c>
      <c r="T176" t="s">
        <v>97</v>
      </c>
      <c r="V176">
        <v>100.42</v>
      </c>
      <c r="W176">
        <v>94.51</v>
      </c>
      <c r="X176">
        <v>94.51</v>
      </c>
      <c r="Y176">
        <v>76.790000000000006</v>
      </c>
      <c r="Z176">
        <v>129.94999999999999</v>
      </c>
      <c r="AA176" t="s">
        <v>97</v>
      </c>
    </row>
    <row r="177" spans="1:27" x14ac:dyDescent="0.2">
      <c r="A177" t="s">
        <v>92</v>
      </c>
      <c r="B177" t="s">
        <v>320</v>
      </c>
      <c r="C177" t="s">
        <v>383</v>
      </c>
      <c r="D177" t="s">
        <v>384</v>
      </c>
      <c r="E177" t="s">
        <v>96</v>
      </c>
      <c r="F177">
        <v>44.95</v>
      </c>
      <c r="G177">
        <v>44.95</v>
      </c>
      <c r="T177" t="s">
        <v>97</v>
      </c>
      <c r="V177">
        <v>34.729999999999997</v>
      </c>
      <c r="W177">
        <v>32.69</v>
      </c>
      <c r="X177">
        <v>32.69</v>
      </c>
      <c r="Y177">
        <v>26.56</v>
      </c>
      <c r="Z177">
        <v>44.95</v>
      </c>
      <c r="AA177" t="s">
        <v>97</v>
      </c>
    </row>
    <row r="178" spans="1:27" x14ac:dyDescent="0.2">
      <c r="A178" t="s">
        <v>92</v>
      </c>
      <c r="B178" t="s">
        <v>320</v>
      </c>
      <c r="C178" t="s">
        <v>385</v>
      </c>
      <c r="D178" t="s">
        <v>386</v>
      </c>
      <c r="E178" t="s">
        <v>96</v>
      </c>
      <c r="F178">
        <v>29.95</v>
      </c>
      <c r="G178">
        <v>29.95</v>
      </c>
      <c r="T178" t="s">
        <v>97</v>
      </c>
      <c r="V178">
        <v>23.14</v>
      </c>
      <c r="W178">
        <v>21.78</v>
      </c>
      <c r="X178">
        <v>21.78</v>
      </c>
      <c r="Y178">
        <v>17.7</v>
      </c>
      <c r="Z178">
        <v>29.95</v>
      </c>
      <c r="AA178" t="s">
        <v>97</v>
      </c>
    </row>
    <row r="179" spans="1:27" x14ac:dyDescent="0.2">
      <c r="A179" t="s">
        <v>92</v>
      </c>
      <c r="B179" t="s">
        <v>320</v>
      </c>
      <c r="C179" t="s">
        <v>387</v>
      </c>
      <c r="D179" t="s">
        <v>388</v>
      </c>
      <c r="E179" t="s">
        <v>96</v>
      </c>
      <c r="F179">
        <v>44.95</v>
      </c>
      <c r="G179">
        <v>44.95</v>
      </c>
      <c r="T179" t="s">
        <v>97</v>
      </c>
      <c r="V179">
        <v>34.729999999999997</v>
      </c>
      <c r="W179">
        <v>32.69</v>
      </c>
      <c r="X179">
        <v>32.69</v>
      </c>
      <c r="Y179">
        <v>26.56</v>
      </c>
      <c r="Z179">
        <v>44.95</v>
      </c>
      <c r="AA179" t="s">
        <v>97</v>
      </c>
    </row>
    <row r="180" spans="1:27" x14ac:dyDescent="0.2">
      <c r="A180" t="s">
        <v>92</v>
      </c>
      <c r="B180" t="s">
        <v>320</v>
      </c>
      <c r="C180" t="s">
        <v>389</v>
      </c>
      <c r="D180" t="s">
        <v>390</v>
      </c>
      <c r="E180" t="s">
        <v>96</v>
      </c>
      <c r="F180">
        <v>29.95</v>
      </c>
      <c r="G180">
        <v>29.95</v>
      </c>
      <c r="T180" t="s">
        <v>97</v>
      </c>
      <c r="V180">
        <v>23.14</v>
      </c>
      <c r="W180">
        <v>21.78</v>
      </c>
      <c r="X180">
        <v>21.78</v>
      </c>
      <c r="Y180">
        <v>17.7</v>
      </c>
      <c r="Z180">
        <v>29.95</v>
      </c>
      <c r="AA180" t="s">
        <v>97</v>
      </c>
    </row>
    <row r="181" spans="1:27" x14ac:dyDescent="0.2">
      <c r="A181" t="s">
        <v>92</v>
      </c>
      <c r="B181" t="s">
        <v>320</v>
      </c>
      <c r="C181" t="s">
        <v>391</v>
      </c>
      <c r="D181" t="s">
        <v>392</v>
      </c>
      <c r="E181" t="s">
        <v>96</v>
      </c>
      <c r="F181">
        <v>29.95</v>
      </c>
      <c r="G181">
        <v>29.95</v>
      </c>
      <c r="T181" t="s">
        <v>97</v>
      </c>
      <c r="V181">
        <v>23.14</v>
      </c>
      <c r="W181">
        <v>21.78</v>
      </c>
      <c r="X181">
        <v>21.78</v>
      </c>
      <c r="Y181">
        <v>17.7</v>
      </c>
      <c r="Z181">
        <v>29.95</v>
      </c>
      <c r="AA181" t="s">
        <v>97</v>
      </c>
    </row>
    <row r="182" spans="1:27" x14ac:dyDescent="0.2">
      <c r="A182" t="s">
        <v>92</v>
      </c>
      <c r="B182" t="s">
        <v>320</v>
      </c>
      <c r="C182" t="s">
        <v>393</v>
      </c>
      <c r="D182" t="s">
        <v>394</v>
      </c>
      <c r="E182" t="s">
        <v>96</v>
      </c>
      <c r="F182">
        <v>29.95</v>
      </c>
      <c r="G182">
        <v>29.95</v>
      </c>
      <c r="T182" t="s">
        <v>97</v>
      </c>
      <c r="V182">
        <v>23.14</v>
      </c>
      <c r="W182">
        <v>21.78</v>
      </c>
      <c r="X182">
        <v>21.78</v>
      </c>
      <c r="Y182">
        <v>17.7</v>
      </c>
      <c r="Z182">
        <v>29.95</v>
      </c>
      <c r="AA182" t="s">
        <v>97</v>
      </c>
    </row>
    <row r="183" spans="1:27" x14ac:dyDescent="0.2">
      <c r="A183" t="s">
        <v>92</v>
      </c>
      <c r="B183" t="s">
        <v>320</v>
      </c>
      <c r="C183" t="s">
        <v>395</v>
      </c>
      <c r="D183" t="s">
        <v>396</v>
      </c>
      <c r="E183" t="s">
        <v>96</v>
      </c>
      <c r="F183">
        <v>39.950000000000003</v>
      </c>
      <c r="G183">
        <v>39.950000000000003</v>
      </c>
      <c r="T183" t="s">
        <v>97</v>
      </c>
      <c r="V183">
        <v>30.87</v>
      </c>
      <c r="W183">
        <v>29.05</v>
      </c>
      <c r="X183">
        <v>29.05</v>
      </c>
      <c r="Y183">
        <v>23.61</v>
      </c>
      <c r="Z183">
        <v>39.950000000000003</v>
      </c>
      <c r="AA183" t="s">
        <v>97</v>
      </c>
    </row>
    <row r="184" spans="1:27" x14ac:dyDescent="0.2">
      <c r="A184" t="s">
        <v>92</v>
      </c>
      <c r="B184" t="s">
        <v>320</v>
      </c>
      <c r="C184" t="s">
        <v>397</v>
      </c>
      <c r="D184" t="s">
        <v>398</v>
      </c>
      <c r="E184" t="s">
        <v>96</v>
      </c>
      <c r="F184">
        <v>44.95</v>
      </c>
      <c r="G184">
        <v>44.95</v>
      </c>
      <c r="T184" t="s">
        <v>97</v>
      </c>
      <c r="V184">
        <v>34.729999999999997</v>
      </c>
      <c r="W184">
        <v>32.69</v>
      </c>
      <c r="X184">
        <v>32.69</v>
      </c>
      <c r="Y184">
        <v>26.56</v>
      </c>
      <c r="Z184">
        <v>44.95</v>
      </c>
      <c r="AA184" t="s">
        <v>97</v>
      </c>
    </row>
    <row r="185" spans="1:27" x14ac:dyDescent="0.2">
      <c r="A185" t="s">
        <v>92</v>
      </c>
      <c r="B185" t="s">
        <v>320</v>
      </c>
      <c r="C185" t="s">
        <v>399</v>
      </c>
      <c r="D185" t="s">
        <v>400</v>
      </c>
      <c r="E185" t="s">
        <v>96</v>
      </c>
      <c r="F185">
        <v>44.95</v>
      </c>
      <c r="G185">
        <v>44.95</v>
      </c>
      <c r="T185" t="s">
        <v>97</v>
      </c>
      <c r="V185">
        <v>34.729999999999997</v>
      </c>
      <c r="W185">
        <v>32.69</v>
      </c>
      <c r="X185">
        <v>32.69</v>
      </c>
      <c r="Y185">
        <v>26.56</v>
      </c>
      <c r="Z185">
        <v>44.95</v>
      </c>
      <c r="AA185" t="s">
        <v>97</v>
      </c>
    </row>
    <row r="186" spans="1:27" x14ac:dyDescent="0.2">
      <c r="A186" t="s">
        <v>92</v>
      </c>
      <c r="B186" t="s">
        <v>320</v>
      </c>
      <c r="C186" t="s">
        <v>401</v>
      </c>
      <c r="D186" t="s">
        <v>402</v>
      </c>
      <c r="E186" t="s">
        <v>96</v>
      </c>
      <c r="F186">
        <v>124.95</v>
      </c>
      <c r="G186">
        <v>124.95</v>
      </c>
      <c r="T186" t="s">
        <v>97</v>
      </c>
      <c r="V186">
        <v>96.55</v>
      </c>
      <c r="W186">
        <v>90.87</v>
      </c>
      <c r="X186">
        <v>90.87</v>
      </c>
      <c r="Y186">
        <v>73.83</v>
      </c>
      <c r="Z186">
        <v>124.95</v>
      </c>
      <c r="AA186" t="s">
        <v>97</v>
      </c>
    </row>
    <row r="187" spans="1:27" x14ac:dyDescent="0.2">
      <c r="A187" t="s">
        <v>92</v>
      </c>
      <c r="B187" t="s">
        <v>320</v>
      </c>
      <c r="C187" t="s">
        <v>403</v>
      </c>
      <c r="D187" t="s">
        <v>404</v>
      </c>
      <c r="E187" t="s">
        <v>96</v>
      </c>
      <c r="F187">
        <v>49.95</v>
      </c>
      <c r="G187">
        <v>49.95</v>
      </c>
      <c r="T187" t="s">
        <v>97</v>
      </c>
      <c r="V187">
        <v>38.6</v>
      </c>
      <c r="W187">
        <v>36.33</v>
      </c>
      <c r="X187">
        <v>36.33</v>
      </c>
      <c r="Y187">
        <v>29.52</v>
      </c>
      <c r="Z187">
        <v>49.95</v>
      </c>
      <c r="AA187" t="s">
        <v>97</v>
      </c>
    </row>
    <row r="188" spans="1:27" x14ac:dyDescent="0.2">
      <c r="A188" t="s">
        <v>92</v>
      </c>
      <c r="B188" t="s">
        <v>320</v>
      </c>
      <c r="C188" t="s">
        <v>405</v>
      </c>
      <c r="D188" t="s">
        <v>406</v>
      </c>
      <c r="E188" t="s">
        <v>96</v>
      </c>
      <c r="F188">
        <v>154.94999999999999</v>
      </c>
      <c r="G188">
        <v>154.94999999999999</v>
      </c>
      <c r="T188" t="s">
        <v>97</v>
      </c>
      <c r="V188">
        <v>119.73</v>
      </c>
      <c r="W188">
        <v>112.69</v>
      </c>
      <c r="X188">
        <v>112.69</v>
      </c>
      <c r="Y188">
        <v>91.56</v>
      </c>
      <c r="Z188">
        <v>154.94999999999999</v>
      </c>
      <c r="AA188" t="s">
        <v>97</v>
      </c>
    </row>
    <row r="189" spans="1:27" x14ac:dyDescent="0.2">
      <c r="A189" t="s">
        <v>92</v>
      </c>
      <c r="B189" t="s">
        <v>320</v>
      </c>
      <c r="C189" t="s">
        <v>407</v>
      </c>
      <c r="D189" t="s">
        <v>408</v>
      </c>
      <c r="E189" t="s">
        <v>96</v>
      </c>
      <c r="F189">
        <v>59.95</v>
      </c>
      <c r="G189">
        <v>59.95</v>
      </c>
      <c r="T189" t="s">
        <v>97</v>
      </c>
      <c r="V189">
        <v>46.33</v>
      </c>
      <c r="W189">
        <v>43.6</v>
      </c>
      <c r="X189">
        <v>43.6</v>
      </c>
      <c r="Y189">
        <v>35.43</v>
      </c>
      <c r="Z189">
        <v>59.95</v>
      </c>
      <c r="AA189" t="s">
        <v>97</v>
      </c>
    </row>
    <row r="190" spans="1:27" x14ac:dyDescent="0.2">
      <c r="A190" t="s">
        <v>92</v>
      </c>
      <c r="B190" t="s">
        <v>320</v>
      </c>
      <c r="C190" t="s">
        <v>409</v>
      </c>
      <c r="D190" t="s">
        <v>410</v>
      </c>
      <c r="E190" t="s">
        <v>96</v>
      </c>
      <c r="F190">
        <v>184.95</v>
      </c>
      <c r="G190">
        <v>184.95</v>
      </c>
      <c r="T190" t="s">
        <v>97</v>
      </c>
      <c r="V190">
        <v>142.91999999999999</v>
      </c>
      <c r="W190">
        <v>134.51</v>
      </c>
      <c r="X190">
        <v>134.51</v>
      </c>
      <c r="Y190">
        <v>109.29</v>
      </c>
      <c r="Z190">
        <v>184.95</v>
      </c>
      <c r="AA190" t="s">
        <v>97</v>
      </c>
    </row>
    <row r="191" spans="1:27" x14ac:dyDescent="0.2">
      <c r="A191" t="s">
        <v>92</v>
      </c>
      <c r="B191" t="s">
        <v>320</v>
      </c>
      <c r="C191" t="s">
        <v>411</v>
      </c>
      <c r="D191" t="s">
        <v>412</v>
      </c>
      <c r="E191" t="s">
        <v>96</v>
      </c>
      <c r="F191">
        <v>194.95</v>
      </c>
      <c r="G191">
        <v>194.95</v>
      </c>
      <c r="T191" t="s">
        <v>97</v>
      </c>
      <c r="V191">
        <v>150.63999999999999</v>
      </c>
      <c r="W191">
        <v>141.78</v>
      </c>
      <c r="X191">
        <v>141.78</v>
      </c>
      <c r="Y191">
        <v>115.2</v>
      </c>
      <c r="Z191">
        <v>194.95</v>
      </c>
      <c r="AA191" t="s">
        <v>97</v>
      </c>
    </row>
    <row r="192" spans="1:27" x14ac:dyDescent="0.2">
      <c r="A192" t="s">
        <v>92</v>
      </c>
      <c r="B192" t="s">
        <v>320</v>
      </c>
      <c r="C192" t="s">
        <v>413</v>
      </c>
      <c r="D192" t="s">
        <v>414</v>
      </c>
      <c r="E192" t="s">
        <v>96</v>
      </c>
      <c r="F192">
        <v>34.950000000000003</v>
      </c>
      <c r="G192">
        <v>34.950000000000003</v>
      </c>
      <c r="T192" t="s">
        <v>97</v>
      </c>
      <c r="V192">
        <v>27.01</v>
      </c>
      <c r="W192">
        <v>25.42</v>
      </c>
      <c r="X192">
        <v>25.42</v>
      </c>
      <c r="Y192">
        <v>20.65</v>
      </c>
      <c r="Z192">
        <v>34.950000000000003</v>
      </c>
      <c r="AA192" t="s">
        <v>97</v>
      </c>
    </row>
    <row r="193" spans="1:29" x14ac:dyDescent="0.2">
      <c r="A193" t="s">
        <v>92</v>
      </c>
      <c r="B193" t="s">
        <v>320</v>
      </c>
      <c r="C193" t="s">
        <v>415</v>
      </c>
      <c r="D193" t="s">
        <v>416</v>
      </c>
      <c r="E193" t="s">
        <v>96</v>
      </c>
      <c r="F193">
        <v>104.95</v>
      </c>
      <c r="G193">
        <v>104.95</v>
      </c>
      <c r="T193" t="s">
        <v>97</v>
      </c>
      <c r="V193">
        <v>81.099999999999994</v>
      </c>
      <c r="W193">
        <v>76.33</v>
      </c>
      <c r="X193">
        <v>76.33</v>
      </c>
      <c r="Y193">
        <v>62.02</v>
      </c>
      <c r="Z193">
        <v>104.95</v>
      </c>
      <c r="AA193" t="s">
        <v>97</v>
      </c>
    </row>
    <row r="194" spans="1:29" x14ac:dyDescent="0.2">
      <c r="A194" t="s">
        <v>92</v>
      </c>
      <c r="B194" t="s">
        <v>320</v>
      </c>
      <c r="C194" t="s">
        <v>417</v>
      </c>
      <c r="D194" t="s">
        <v>418</v>
      </c>
      <c r="E194" t="s">
        <v>96</v>
      </c>
      <c r="F194">
        <v>54.95</v>
      </c>
      <c r="G194">
        <v>54.95</v>
      </c>
      <c r="T194" t="s">
        <v>97</v>
      </c>
      <c r="V194">
        <v>42.46</v>
      </c>
      <c r="W194">
        <v>39.96</v>
      </c>
      <c r="X194">
        <v>39.96</v>
      </c>
      <c r="Y194">
        <v>32.47</v>
      </c>
      <c r="Z194">
        <v>54.95</v>
      </c>
      <c r="AA194" t="s">
        <v>97</v>
      </c>
    </row>
    <row r="195" spans="1:29" x14ac:dyDescent="0.2">
      <c r="A195" t="s">
        <v>92</v>
      </c>
      <c r="B195" t="s">
        <v>320</v>
      </c>
      <c r="C195" t="s">
        <v>419</v>
      </c>
      <c r="D195" t="s">
        <v>420</v>
      </c>
      <c r="E195" t="s">
        <v>96</v>
      </c>
      <c r="F195">
        <v>69.95</v>
      </c>
      <c r="G195">
        <v>69.95</v>
      </c>
      <c r="T195" t="s">
        <v>97</v>
      </c>
      <c r="V195">
        <v>54.05</v>
      </c>
      <c r="W195">
        <v>50.87</v>
      </c>
      <c r="X195">
        <v>50.87</v>
      </c>
      <c r="Y195">
        <v>41.33</v>
      </c>
      <c r="Z195">
        <v>69.95</v>
      </c>
      <c r="AA195" t="s">
        <v>97</v>
      </c>
    </row>
    <row r="196" spans="1:29" x14ac:dyDescent="0.2">
      <c r="A196" t="s">
        <v>92</v>
      </c>
      <c r="B196" t="s">
        <v>320</v>
      </c>
      <c r="C196" t="s">
        <v>421</v>
      </c>
      <c r="D196" t="s">
        <v>422</v>
      </c>
      <c r="E196" t="s">
        <v>96</v>
      </c>
      <c r="F196">
        <v>34.950000000000003</v>
      </c>
      <c r="G196">
        <v>34.950000000000003</v>
      </c>
      <c r="T196" t="s">
        <v>97</v>
      </c>
      <c r="V196">
        <v>27.01</v>
      </c>
      <c r="W196">
        <v>25.42</v>
      </c>
      <c r="X196">
        <v>25.42</v>
      </c>
      <c r="Y196">
        <v>20.65</v>
      </c>
      <c r="Z196">
        <v>34.950000000000003</v>
      </c>
      <c r="AA196" t="s">
        <v>97</v>
      </c>
    </row>
    <row r="197" spans="1:29" x14ac:dyDescent="0.2">
      <c r="A197" t="s">
        <v>92</v>
      </c>
      <c r="B197" t="s">
        <v>320</v>
      </c>
      <c r="C197" t="s">
        <v>423</v>
      </c>
      <c r="D197" t="s">
        <v>424</v>
      </c>
      <c r="E197" t="s">
        <v>96</v>
      </c>
      <c r="F197">
        <v>54.95</v>
      </c>
      <c r="G197">
        <v>54.95</v>
      </c>
      <c r="T197" t="s">
        <v>97</v>
      </c>
      <c r="V197">
        <v>42.46</v>
      </c>
      <c r="W197">
        <v>39.96</v>
      </c>
      <c r="X197">
        <v>39.96</v>
      </c>
      <c r="Y197">
        <v>32.47</v>
      </c>
      <c r="Z197">
        <v>54.95</v>
      </c>
      <c r="AA197" t="s">
        <v>97</v>
      </c>
    </row>
    <row r="198" spans="1:29" x14ac:dyDescent="0.2">
      <c r="A198" t="s">
        <v>92</v>
      </c>
      <c r="B198" t="s">
        <v>320</v>
      </c>
      <c r="C198" t="s">
        <v>425</v>
      </c>
      <c r="D198" t="s">
        <v>426</v>
      </c>
      <c r="E198" t="s">
        <v>96</v>
      </c>
      <c r="F198">
        <v>159.94999999999999</v>
      </c>
      <c r="G198">
        <v>159.94999999999999</v>
      </c>
      <c r="T198" t="s">
        <v>97</v>
      </c>
      <c r="V198">
        <v>123.6</v>
      </c>
      <c r="W198">
        <v>116.33</v>
      </c>
      <c r="X198">
        <v>116.33</v>
      </c>
      <c r="Y198">
        <v>94.52</v>
      </c>
      <c r="Z198">
        <v>159.94999999999999</v>
      </c>
      <c r="AA198" t="s">
        <v>97</v>
      </c>
    </row>
    <row r="199" spans="1:29" x14ac:dyDescent="0.2">
      <c r="A199" t="s">
        <v>92</v>
      </c>
      <c r="B199" t="s">
        <v>320</v>
      </c>
      <c r="C199" t="s">
        <v>427</v>
      </c>
      <c r="D199" t="s">
        <v>428</v>
      </c>
      <c r="E199" t="s">
        <v>96</v>
      </c>
      <c r="F199">
        <v>54.95</v>
      </c>
      <c r="G199">
        <v>54.95</v>
      </c>
      <c r="T199" t="s">
        <v>97</v>
      </c>
      <c r="V199">
        <v>42.46</v>
      </c>
      <c r="W199">
        <v>39.96</v>
      </c>
      <c r="X199">
        <v>39.96</v>
      </c>
      <c r="Y199">
        <v>32.47</v>
      </c>
      <c r="Z199">
        <v>54.95</v>
      </c>
      <c r="AA199" t="s">
        <v>97</v>
      </c>
    </row>
    <row r="200" spans="1:29" x14ac:dyDescent="0.2">
      <c r="A200" t="s">
        <v>92</v>
      </c>
      <c r="B200" t="s">
        <v>320</v>
      </c>
      <c r="C200" t="s">
        <v>429</v>
      </c>
      <c r="D200" t="s">
        <v>430</v>
      </c>
      <c r="E200" t="s">
        <v>96</v>
      </c>
      <c r="F200">
        <v>94.95</v>
      </c>
      <c r="G200">
        <v>94.95</v>
      </c>
      <c r="T200" t="s">
        <v>97</v>
      </c>
      <c r="V200">
        <v>73.37</v>
      </c>
      <c r="W200">
        <v>69.05</v>
      </c>
      <c r="X200">
        <v>69.05</v>
      </c>
      <c r="Y200">
        <v>56.11</v>
      </c>
      <c r="Z200">
        <v>94.95</v>
      </c>
      <c r="AA200" t="s">
        <v>97</v>
      </c>
    </row>
    <row r="201" spans="1:29" x14ac:dyDescent="0.2">
      <c r="A201" t="s">
        <v>92</v>
      </c>
      <c r="B201" t="s">
        <v>320</v>
      </c>
      <c r="C201" t="s">
        <v>431</v>
      </c>
      <c r="D201" t="s">
        <v>432</v>
      </c>
      <c r="E201" t="s">
        <v>96</v>
      </c>
      <c r="F201">
        <v>59.95</v>
      </c>
      <c r="G201">
        <v>59.95</v>
      </c>
      <c r="T201" t="s">
        <v>97</v>
      </c>
      <c r="V201">
        <v>46.33</v>
      </c>
      <c r="W201">
        <v>43.6</v>
      </c>
      <c r="X201">
        <v>43.6</v>
      </c>
      <c r="Y201">
        <v>35.43</v>
      </c>
      <c r="Z201">
        <v>59.95</v>
      </c>
      <c r="AA201" t="s">
        <v>97</v>
      </c>
    </row>
    <row r="202" spans="1:29" x14ac:dyDescent="0.2">
      <c r="A202" t="s">
        <v>92</v>
      </c>
      <c r="B202" t="s">
        <v>433</v>
      </c>
      <c r="C202" t="s">
        <v>434</v>
      </c>
      <c r="D202" t="s">
        <v>435</v>
      </c>
      <c r="E202" t="s">
        <v>290</v>
      </c>
      <c r="F202">
        <v>179.99</v>
      </c>
      <c r="G202">
        <v>19.989999999999998</v>
      </c>
      <c r="H202">
        <v>130.9</v>
      </c>
      <c r="I202">
        <v>139.08000000000001</v>
      </c>
      <c r="J202">
        <v>155.44999999999999</v>
      </c>
      <c r="K202">
        <v>130.9</v>
      </c>
      <c r="L202">
        <v>137.37</v>
      </c>
      <c r="M202">
        <v>155.44999999999999</v>
      </c>
      <c r="O202">
        <v>147.26</v>
      </c>
      <c r="Q202">
        <v>155.44999999999999</v>
      </c>
      <c r="R202">
        <v>155.44999999999999</v>
      </c>
      <c r="T202" t="s">
        <v>97</v>
      </c>
      <c r="U202">
        <v>130.9</v>
      </c>
      <c r="AA202" t="s">
        <v>97</v>
      </c>
    </row>
    <row r="203" spans="1:29" x14ac:dyDescent="0.2">
      <c r="A203" t="s">
        <v>92</v>
      </c>
      <c r="B203" t="s">
        <v>433</v>
      </c>
      <c r="C203" t="s">
        <v>436</v>
      </c>
      <c r="D203" t="s">
        <v>437</v>
      </c>
      <c r="E203" t="s">
        <v>290</v>
      </c>
      <c r="F203">
        <v>379.99</v>
      </c>
      <c r="G203">
        <v>79.989999999999995</v>
      </c>
      <c r="H203">
        <v>276.36</v>
      </c>
      <c r="I203">
        <v>293.63</v>
      </c>
      <c r="J203">
        <v>328.17</v>
      </c>
      <c r="K203">
        <v>276.36</v>
      </c>
      <c r="L203">
        <v>290</v>
      </c>
      <c r="M203">
        <v>328.17</v>
      </c>
      <c r="O203">
        <v>310.89999999999998</v>
      </c>
      <c r="Q203">
        <v>328.17</v>
      </c>
      <c r="R203">
        <v>328.17</v>
      </c>
      <c r="T203" t="s">
        <v>97</v>
      </c>
      <c r="U203">
        <v>276.36</v>
      </c>
      <c r="AA203" t="s">
        <v>97</v>
      </c>
      <c r="AB203">
        <v>79.989999999999995</v>
      </c>
    </row>
    <row r="204" spans="1:29" x14ac:dyDescent="0.2">
      <c r="A204" t="s">
        <v>92</v>
      </c>
      <c r="B204" t="s">
        <v>433</v>
      </c>
      <c r="C204" t="s">
        <v>438</v>
      </c>
      <c r="D204" t="s">
        <v>439</v>
      </c>
      <c r="E204" t="s">
        <v>290</v>
      </c>
      <c r="F204">
        <v>339.99</v>
      </c>
      <c r="G204">
        <v>79.989999999999995</v>
      </c>
      <c r="H204">
        <v>247.27</v>
      </c>
      <c r="I204">
        <v>262.72000000000003</v>
      </c>
      <c r="J204">
        <v>293.63</v>
      </c>
      <c r="K204">
        <v>247.27</v>
      </c>
      <c r="L204">
        <v>259.47000000000003</v>
      </c>
      <c r="M204">
        <v>293.63</v>
      </c>
      <c r="O204">
        <v>278.17</v>
      </c>
      <c r="Q204">
        <v>293.63</v>
      </c>
      <c r="R204">
        <v>293.63</v>
      </c>
      <c r="T204" t="s">
        <v>97</v>
      </c>
      <c r="U204">
        <v>247.27</v>
      </c>
      <c r="AA204" t="s">
        <v>97</v>
      </c>
      <c r="AB204">
        <v>79.989999999999995</v>
      </c>
    </row>
    <row r="205" spans="1:29" x14ac:dyDescent="0.2">
      <c r="A205" t="s">
        <v>92</v>
      </c>
      <c r="B205" t="s">
        <v>433</v>
      </c>
      <c r="C205" t="s">
        <v>440</v>
      </c>
      <c r="D205" t="s">
        <v>441</v>
      </c>
      <c r="E205" t="s">
        <v>290</v>
      </c>
      <c r="F205">
        <v>369.99</v>
      </c>
      <c r="G205">
        <v>79.989999999999995</v>
      </c>
      <c r="H205">
        <v>269.08</v>
      </c>
      <c r="I205">
        <v>285.89999999999998</v>
      </c>
      <c r="J205">
        <v>319.54000000000002</v>
      </c>
      <c r="K205">
        <v>269.08</v>
      </c>
      <c r="L205">
        <v>282.37</v>
      </c>
      <c r="M205">
        <v>319.54000000000002</v>
      </c>
      <c r="O205">
        <v>302.72000000000003</v>
      </c>
      <c r="Q205">
        <v>319.54000000000002</v>
      </c>
      <c r="R205">
        <v>319.54000000000002</v>
      </c>
      <c r="T205" t="s">
        <v>97</v>
      </c>
      <c r="U205">
        <v>269.08</v>
      </c>
      <c r="AA205" t="s">
        <v>97</v>
      </c>
      <c r="AB205">
        <v>79.989999999999995</v>
      </c>
    </row>
    <row r="206" spans="1:29" x14ac:dyDescent="0.2">
      <c r="A206" t="s">
        <v>92</v>
      </c>
      <c r="B206" t="s">
        <v>433</v>
      </c>
      <c r="C206" t="s">
        <v>442</v>
      </c>
      <c r="D206" t="s">
        <v>443</v>
      </c>
      <c r="E206" t="s">
        <v>290</v>
      </c>
      <c r="F206">
        <v>349.99</v>
      </c>
      <c r="G206">
        <v>79.989999999999995</v>
      </c>
      <c r="H206">
        <v>254.54</v>
      </c>
      <c r="I206">
        <v>270.45</v>
      </c>
      <c r="J206">
        <v>302.26</v>
      </c>
      <c r="K206">
        <v>254.54</v>
      </c>
      <c r="L206">
        <v>267.11</v>
      </c>
      <c r="M206">
        <v>302.26</v>
      </c>
      <c r="O206">
        <v>286.36</v>
      </c>
      <c r="Q206">
        <v>302.26</v>
      </c>
      <c r="R206">
        <v>302.26</v>
      </c>
      <c r="T206" t="s">
        <v>97</v>
      </c>
      <c r="U206">
        <v>254.54</v>
      </c>
      <c r="AA206" t="s">
        <v>97</v>
      </c>
      <c r="AB206">
        <v>79.989999999999995</v>
      </c>
    </row>
    <row r="207" spans="1:29" x14ac:dyDescent="0.2">
      <c r="A207" t="s">
        <v>92</v>
      </c>
      <c r="B207" t="s">
        <v>433</v>
      </c>
      <c r="C207" t="s">
        <v>444</v>
      </c>
      <c r="D207" t="s">
        <v>445</v>
      </c>
      <c r="E207" t="s">
        <v>290</v>
      </c>
      <c r="F207">
        <v>499.99</v>
      </c>
      <c r="G207">
        <v>119.99</v>
      </c>
      <c r="H207">
        <v>363.63</v>
      </c>
      <c r="I207">
        <v>386.36</v>
      </c>
      <c r="J207">
        <v>431.81</v>
      </c>
      <c r="K207">
        <v>363.63</v>
      </c>
      <c r="L207">
        <v>381.58</v>
      </c>
      <c r="M207">
        <v>431.81</v>
      </c>
      <c r="O207">
        <v>409.08</v>
      </c>
      <c r="Q207">
        <v>431.81</v>
      </c>
      <c r="R207">
        <v>431.81</v>
      </c>
      <c r="T207" t="s">
        <v>97</v>
      </c>
      <c r="U207">
        <v>363.63</v>
      </c>
      <c r="AA207" t="s">
        <v>97</v>
      </c>
    </row>
    <row r="208" spans="1:29" x14ac:dyDescent="0.2">
      <c r="A208" t="s">
        <v>92</v>
      </c>
      <c r="B208" t="s">
        <v>446</v>
      </c>
      <c r="C208" t="s">
        <v>447</v>
      </c>
      <c r="D208" t="s">
        <v>448</v>
      </c>
      <c r="E208" t="s">
        <v>228</v>
      </c>
      <c r="F208">
        <v>29.99</v>
      </c>
      <c r="H208">
        <v>19.079999999999998</v>
      </c>
      <c r="I208">
        <v>21.81</v>
      </c>
      <c r="J208">
        <v>24.54</v>
      </c>
      <c r="K208">
        <v>17.72</v>
      </c>
      <c r="L208">
        <v>20.45</v>
      </c>
      <c r="M208">
        <v>21.81</v>
      </c>
      <c r="Q208">
        <v>19.079999999999998</v>
      </c>
      <c r="R208">
        <v>17.72</v>
      </c>
      <c r="T208" t="s">
        <v>97</v>
      </c>
      <c r="AA208" t="s">
        <v>97</v>
      </c>
      <c r="AC208">
        <v>20.45</v>
      </c>
    </row>
    <row r="209" spans="1:29" x14ac:dyDescent="0.2">
      <c r="A209" t="s">
        <v>92</v>
      </c>
      <c r="B209" t="s">
        <v>446</v>
      </c>
      <c r="C209" t="s">
        <v>449</v>
      </c>
      <c r="D209" t="s">
        <v>450</v>
      </c>
      <c r="E209" t="s">
        <v>228</v>
      </c>
      <c r="F209">
        <v>119.99</v>
      </c>
      <c r="H209">
        <v>65.45</v>
      </c>
      <c r="I209">
        <v>87.27</v>
      </c>
      <c r="J209">
        <v>98.17</v>
      </c>
      <c r="K209">
        <v>65.45</v>
      </c>
      <c r="L209">
        <v>70.900000000000006</v>
      </c>
      <c r="M209">
        <v>76.36</v>
      </c>
      <c r="Q209">
        <v>56.72</v>
      </c>
      <c r="R209">
        <v>65.45</v>
      </c>
      <c r="T209" t="s">
        <v>97</v>
      </c>
      <c r="Z209">
        <v>119.99</v>
      </c>
      <c r="AA209" t="s">
        <v>97</v>
      </c>
      <c r="AC209">
        <v>70.900000000000006</v>
      </c>
    </row>
    <row r="210" spans="1:29" x14ac:dyDescent="0.2">
      <c r="A210" t="s">
        <v>92</v>
      </c>
      <c r="B210" t="s">
        <v>446</v>
      </c>
      <c r="C210" t="s">
        <v>451</v>
      </c>
      <c r="D210" t="s">
        <v>452</v>
      </c>
      <c r="E210" t="s">
        <v>290</v>
      </c>
      <c r="F210">
        <v>59.99</v>
      </c>
      <c r="H210">
        <v>32.72</v>
      </c>
      <c r="I210">
        <v>43.63</v>
      </c>
      <c r="J210">
        <v>49.08</v>
      </c>
      <c r="K210">
        <v>32.72</v>
      </c>
      <c r="L210">
        <v>35.450000000000003</v>
      </c>
      <c r="M210">
        <v>38.18</v>
      </c>
      <c r="Q210">
        <v>30</v>
      </c>
      <c r="R210">
        <v>30.54</v>
      </c>
      <c r="T210" t="s">
        <v>97</v>
      </c>
      <c r="Z210">
        <v>59.99</v>
      </c>
      <c r="AA210" t="s">
        <v>97</v>
      </c>
      <c r="AC210">
        <v>35.450000000000003</v>
      </c>
    </row>
    <row r="211" spans="1:29" x14ac:dyDescent="0.2">
      <c r="A211" t="s">
        <v>92</v>
      </c>
      <c r="B211" t="s">
        <v>446</v>
      </c>
      <c r="C211" t="s">
        <v>453</v>
      </c>
      <c r="D211" t="s">
        <v>454</v>
      </c>
      <c r="E211" t="s">
        <v>290</v>
      </c>
      <c r="F211">
        <v>59.99</v>
      </c>
      <c r="H211">
        <v>32.72</v>
      </c>
      <c r="I211">
        <v>43.63</v>
      </c>
      <c r="J211">
        <v>49.08</v>
      </c>
      <c r="K211">
        <v>32.72</v>
      </c>
      <c r="L211">
        <v>35.450000000000003</v>
      </c>
      <c r="M211">
        <v>38.18</v>
      </c>
      <c r="Q211">
        <v>30</v>
      </c>
      <c r="R211">
        <v>32.72</v>
      </c>
      <c r="T211" t="s">
        <v>97</v>
      </c>
      <c r="Z211">
        <v>59.99</v>
      </c>
      <c r="AA211" t="s">
        <v>97</v>
      </c>
      <c r="AC211">
        <v>35.450000000000003</v>
      </c>
    </row>
    <row r="212" spans="1:29" x14ac:dyDescent="0.2">
      <c r="A212" t="s">
        <v>92</v>
      </c>
      <c r="B212" t="s">
        <v>446</v>
      </c>
      <c r="C212" t="s">
        <v>455</v>
      </c>
      <c r="D212" t="s">
        <v>456</v>
      </c>
      <c r="E212" t="s">
        <v>290</v>
      </c>
      <c r="F212">
        <v>59.99</v>
      </c>
      <c r="H212">
        <v>32.72</v>
      </c>
      <c r="I212">
        <v>43.63</v>
      </c>
      <c r="J212">
        <v>49.08</v>
      </c>
      <c r="K212">
        <v>32.72</v>
      </c>
      <c r="L212">
        <v>35.450000000000003</v>
      </c>
      <c r="M212">
        <v>38.18</v>
      </c>
      <c r="Q212">
        <v>30</v>
      </c>
      <c r="R212">
        <v>32.72</v>
      </c>
      <c r="T212" t="s">
        <v>97</v>
      </c>
      <c r="Z212">
        <v>59.99</v>
      </c>
      <c r="AA212" t="s">
        <v>97</v>
      </c>
      <c r="AC212">
        <v>35.450000000000003</v>
      </c>
    </row>
    <row r="213" spans="1:29" x14ac:dyDescent="0.2">
      <c r="A213" t="s">
        <v>92</v>
      </c>
      <c r="B213" t="s">
        <v>446</v>
      </c>
      <c r="C213" t="s">
        <v>459</v>
      </c>
      <c r="D213" t="s">
        <v>460</v>
      </c>
      <c r="E213" t="s">
        <v>290</v>
      </c>
      <c r="F213">
        <v>59.99</v>
      </c>
      <c r="H213">
        <v>32.72</v>
      </c>
      <c r="I213">
        <v>43.63</v>
      </c>
      <c r="J213">
        <v>49.08</v>
      </c>
      <c r="K213">
        <v>32.72</v>
      </c>
      <c r="L213">
        <v>35.450000000000003</v>
      </c>
      <c r="M213">
        <v>38.18</v>
      </c>
      <c r="Q213">
        <v>30</v>
      </c>
      <c r="R213">
        <v>32.72</v>
      </c>
      <c r="T213" t="s">
        <v>97</v>
      </c>
      <c r="Z213">
        <v>59.99</v>
      </c>
      <c r="AA213" t="s">
        <v>97</v>
      </c>
      <c r="AC213">
        <v>35.450000000000003</v>
      </c>
    </row>
    <row r="214" spans="1:29" x14ac:dyDescent="0.2">
      <c r="A214" t="s">
        <v>92</v>
      </c>
      <c r="B214" t="s">
        <v>446</v>
      </c>
      <c r="C214" t="s">
        <v>461</v>
      </c>
      <c r="D214" t="s">
        <v>462</v>
      </c>
      <c r="E214" t="s">
        <v>290</v>
      </c>
      <c r="F214">
        <v>69.989999999999995</v>
      </c>
      <c r="H214">
        <v>38.18</v>
      </c>
      <c r="I214">
        <v>50.9</v>
      </c>
      <c r="J214">
        <v>57.26</v>
      </c>
      <c r="K214">
        <v>38.18</v>
      </c>
      <c r="L214">
        <v>41.36</v>
      </c>
      <c r="M214">
        <v>44.54</v>
      </c>
      <c r="Q214">
        <v>35</v>
      </c>
      <c r="R214">
        <v>38.18</v>
      </c>
      <c r="T214" t="s">
        <v>97</v>
      </c>
      <c r="Z214">
        <v>69.989999999999995</v>
      </c>
      <c r="AA214" t="s">
        <v>97</v>
      </c>
      <c r="AC214">
        <v>41.36</v>
      </c>
    </row>
    <row r="215" spans="1:29" x14ac:dyDescent="0.2">
      <c r="A215" t="s">
        <v>92</v>
      </c>
      <c r="B215" t="s">
        <v>446</v>
      </c>
      <c r="C215" t="s">
        <v>463</v>
      </c>
      <c r="D215" t="s">
        <v>464</v>
      </c>
      <c r="E215" t="s">
        <v>228</v>
      </c>
      <c r="F215">
        <v>19.989999999999998</v>
      </c>
      <c r="H215">
        <v>10.9</v>
      </c>
      <c r="I215">
        <v>14.54</v>
      </c>
      <c r="J215">
        <v>16.36</v>
      </c>
      <c r="K215">
        <v>10.9</v>
      </c>
      <c r="L215">
        <v>11.81</v>
      </c>
      <c r="M215">
        <v>12.72</v>
      </c>
      <c r="Q215">
        <v>9.4499999999999993</v>
      </c>
      <c r="R215">
        <v>10.18</v>
      </c>
      <c r="T215" t="s">
        <v>97</v>
      </c>
      <c r="Z215">
        <v>19.989999999999998</v>
      </c>
      <c r="AA215" t="s">
        <v>97</v>
      </c>
      <c r="AC215">
        <v>11.81</v>
      </c>
    </row>
    <row r="216" spans="1:29" x14ac:dyDescent="0.2">
      <c r="A216" t="s">
        <v>92</v>
      </c>
      <c r="B216" t="s">
        <v>446</v>
      </c>
      <c r="C216" t="s">
        <v>465</v>
      </c>
      <c r="D216" t="s">
        <v>466</v>
      </c>
      <c r="E216" t="s">
        <v>228</v>
      </c>
      <c r="F216">
        <v>79.989999999999995</v>
      </c>
      <c r="H216">
        <v>43.63</v>
      </c>
      <c r="I216">
        <v>58.17</v>
      </c>
      <c r="J216">
        <v>65.45</v>
      </c>
      <c r="K216">
        <v>43.63</v>
      </c>
      <c r="L216">
        <v>47.27</v>
      </c>
      <c r="M216">
        <v>50.9</v>
      </c>
      <c r="Q216">
        <v>40</v>
      </c>
      <c r="R216">
        <v>42.76</v>
      </c>
      <c r="T216" t="s">
        <v>97</v>
      </c>
      <c r="AA216" t="s">
        <v>97</v>
      </c>
      <c r="AC216">
        <v>47.27</v>
      </c>
    </row>
    <row r="217" spans="1:29" x14ac:dyDescent="0.2">
      <c r="A217" t="s">
        <v>92</v>
      </c>
      <c r="B217" t="s">
        <v>446</v>
      </c>
      <c r="C217" t="s">
        <v>467</v>
      </c>
      <c r="D217" t="s">
        <v>468</v>
      </c>
      <c r="E217" t="s">
        <v>228</v>
      </c>
      <c r="F217">
        <v>79.989999999999995</v>
      </c>
      <c r="H217">
        <v>43.63</v>
      </c>
      <c r="I217">
        <v>58.17</v>
      </c>
      <c r="J217">
        <v>65.45</v>
      </c>
      <c r="K217">
        <v>43.63</v>
      </c>
      <c r="L217">
        <v>47.27</v>
      </c>
      <c r="M217">
        <v>50.9</v>
      </c>
      <c r="Q217">
        <v>40</v>
      </c>
      <c r="R217">
        <v>42.76</v>
      </c>
      <c r="T217" t="s">
        <v>97</v>
      </c>
      <c r="AA217" t="s">
        <v>97</v>
      </c>
      <c r="AC217">
        <v>47.27</v>
      </c>
    </row>
    <row r="218" spans="1:29" x14ac:dyDescent="0.2">
      <c r="A218" t="s">
        <v>92</v>
      </c>
      <c r="B218" t="s">
        <v>446</v>
      </c>
      <c r="C218" t="s">
        <v>469</v>
      </c>
      <c r="D218" t="s">
        <v>470</v>
      </c>
      <c r="E218" t="s">
        <v>228</v>
      </c>
      <c r="F218">
        <v>79.989999999999995</v>
      </c>
      <c r="H218">
        <v>43.63</v>
      </c>
      <c r="I218">
        <v>58.17</v>
      </c>
      <c r="J218">
        <v>65.45</v>
      </c>
      <c r="K218">
        <v>43.63</v>
      </c>
      <c r="L218">
        <v>47.27</v>
      </c>
      <c r="M218">
        <v>50.9</v>
      </c>
      <c r="Q218">
        <v>40</v>
      </c>
      <c r="R218">
        <v>42.76</v>
      </c>
      <c r="T218" t="s">
        <v>97</v>
      </c>
      <c r="AA218" t="s">
        <v>97</v>
      </c>
      <c r="AC218">
        <v>47.27</v>
      </c>
    </row>
    <row r="219" spans="1:29" x14ac:dyDescent="0.2">
      <c r="A219" t="s">
        <v>92</v>
      </c>
      <c r="B219" t="s">
        <v>446</v>
      </c>
      <c r="C219" t="s">
        <v>471</v>
      </c>
      <c r="D219" t="s">
        <v>472</v>
      </c>
      <c r="E219" t="s">
        <v>290</v>
      </c>
      <c r="F219">
        <v>79.989999999999995</v>
      </c>
      <c r="H219">
        <v>43.63</v>
      </c>
      <c r="I219">
        <v>58.17</v>
      </c>
      <c r="J219">
        <v>65.45</v>
      </c>
      <c r="K219">
        <v>43.63</v>
      </c>
      <c r="L219">
        <v>47.27</v>
      </c>
      <c r="M219">
        <v>50.9</v>
      </c>
      <c r="Q219">
        <v>40</v>
      </c>
      <c r="R219">
        <v>42.76</v>
      </c>
      <c r="T219" t="s">
        <v>97</v>
      </c>
      <c r="Z219">
        <v>79.989999999999995</v>
      </c>
      <c r="AA219" t="s">
        <v>97</v>
      </c>
      <c r="AC219">
        <v>47.27</v>
      </c>
    </row>
    <row r="220" spans="1:29" x14ac:dyDescent="0.2">
      <c r="A220" t="s">
        <v>92</v>
      </c>
      <c r="B220" t="s">
        <v>446</v>
      </c>
      <c r="C220" t="s">
        <v>473</v>
      </c>
      <c r="D220" t="s">
        <v>474</v>
      </c>
      <c r="E220" t="s">
        <v>290</v>
      </c>
      <c r="F220">
        <v>79.989999999999995</v>
      </c>
      <c r="H220">
        <v>43.63</v>
      </c>
      <c r="I220">
        <v>58.17</v>
      </c>
      <c r="J220">
        <v>65.45</v>
      </c>
      <c r="K220">
        <v>43.63</v>
      </c>
      <c r="L220">
        <v>47.27</v>
      </c>
      <c r="M220">
        <v>50.9</v>
      </c>
      <c r="Q220">
        <v>40</v>
      </c>
      <c r="R220">
        <v>42.76</v>
      </c>
      <c r="T220" t="s">
        <v>97</v>
      </c>
      <c r="Z220">
        <v>79.989999999999995</v>
      </c>
      <c r="AA220" t="s">
        <v>97</v>
      </c>
      <c r="AC220">
        <v>47.27</v>
      </c>
    </row>
    <row r="221" spans="1:29" x14ac:dyDescent="0.2">
      <c r="A221" t="s">
        <v>92</v>
      </c>
      <c r="B221" t="s">
        <v>446</v>
      </c>
      <c r="C221" t="s">
        <v>475</v>
      </c>
      <c r="D221" t="s">
        <v>476</v>
      </c>
      <c r="E221" t="s">
        <v>290</v>
      </c>
      <c r="F221">
        <v>89.99</v>
      </c>
      <c r="H221">
        <v>49.09</v>
      </c>
      <c r="I221">
        <v>65.45</v>
      </c>
      <c r="J221">
        <v>73.63</v>
      </c>
      <c r="K221">
        <v>49.09</v>
      </c>
      <c r="L221">
        <v>53.18</v>
      </c>
      <c r="M221">
        <v>57.27</v>
      </c>
      <c r="Q221">
        <v>45</v>
      </c>
      <c r="R221">
        <v>48.1</v>
      </c>
      <c r="T221" t="s">
        <v>97</v>
      </c>
      <c r="Z221">
        <v>89.99</v>
      </c>
      <c r="AA221" t="s">
        <v>97</v>
      </c>
      <c r="AC221">
        <v>53.18</v>
      </c>
    </row>
    <row r="222" spans="1:29" x14ac:dyDescent="0.2">
      <c r="A222" t="s">
        <v>92</v>
      </c>
      <c r="B222" t="s">
        <v>446</v>
      </c>
      <c r="C222" t="s">
        <v>477</v>
      </c>
      <c r="D222" t="s">
        <v>478</v>
      </c>
      <c r="E222" t="s">
        <v>228</v>
      </c>
      <c r="F222">
        <v>34.99</v>
      </c>
      <c r="H222">
        <v>19.09</v>
      </c>
      <c r="I222">
        <v>25.45</v>
      </c>
      <c r="J222">
        <v>28.63</v>
      </c>
      <c r="K222">
        <v>19.09</v>
      </c>
      <c r="L222">
        <v>20.68</v>
      </c>
      <c r="M222">
        <v>22.27</v>
      </c>
      <c r="Q222">
        <v>16.54</v>
      </c>
      <c r="R222">
        <v>17.809999999999999</v>
      </c>
      <c r="T222" t="s">
        <v>97</v>
      </c>
      <c r="Z222">
        <v>34.99</v>
      </c>
      <c r="AA222" t="s">
        <v>97</v>
      </c>
      <c r="AC222">
        <v>20.68</v>
      </c>
    </row>
    <row r="223" spans="1:29" x14ac:dyDescent="0.2">
      <c r="A223" t="s">
        <v>92</v>
      </c>
      <c r="B223" t="s">
        <v>446</v>
      </c>
      <c r="C223" t="s">
        <v>479</v>
      </c>
      <c r="D223" t="s">
        <v>480</v>
      </c>
      <c r="E223" t="s">
        <v>290</v>
      </c>
      <c r="F223">
        <v>249.99</v>
      </c>
      <c r="H223">
        <v>136.36000000000001</v>
      </c>
      <c r="I223">
        <v>181.81</v>
      </c>
      <c r="J223">
        <v>204.54</v>
      </c>
      <c r="K223">
        <v>136.36000000000001</v>
      </c>
      <c r="L223">
        <v>147.72</v>
      </c>
      <c r="M223">
        <v>159.08000000000001</v>
      </c>
      <c r="Q223">
        <v>129.54</v>
      </c>
      <c r="R223">
        <v>30</v>
      </c>
      <c r="T223" t="s">
        <v>97</v>
      </c>
      <c r="Z223">
        <v>249.99</v>
      </c>
      <c r="AA223" t="s">
        <v>97</v>
      </c>
      <c r="AB223">
        <v>99.99</v>
      </c>
      <c r="AC223">
        <v>147.72</v>
      </c>
    </row>
    <row r="224" spans="1:29" x14ac:dyDescent="0.2">
      <c r="A224" t="s">
        <v>92</v>
      </c>
      <c r="B224" t="s">
        <v>446</v>
      </c>
      <c r="C224" t="s">
        <v>483</v>
      </c>
      <c r="D224" t="s">
        <v>484</v>
      </c>
      <c r="E224" t="s">
        <v>228</v>
      </c>
      <c r="F224">
        <v>19.989999999999998</v>
      </c>
      <c r="H224">
        <v>10.9</v>
      </c>
      <c r="I224">
        <v>14.54</v>
      </c>
      <c r="J224">
        <v>16.36</v>
      </c>
      <c r="K224">
        <v>10.9</v>
      </c>
      <c r="L224">
        <v>11.81</v>
      </c>
      <c r="M224">
        <v>11.81</v>
      </c>
      <c r="Q224">
        <v>10</v>
      </c>
      <c r="R224">
        <v>10.18</v>
      </c>
      <c r="T224" t="s">
        <v>97</v>
      </c>
      <c r="Z224">
        <v>19.989999999999998</v>
      </c>
      <c r="AA224" t="s">
        <v>97</v>
      </c>
      <c r="AC224">
        <v>11.81</v>
      </c>
    </row>
    <row r="225" spans="1:29" x14ac:dyDescent="0.2">
      <c r="A225" t="s">
        <v>92</v>
      </c>
      <c r="B225" t="s">
        <v>446</v>
      </c>
      <c r="C225" t="s">
        <v>485</v>
      </c>
      <c r="D225" t="s">
        <v>486</v>
      </c>
      <c r="E225" t="s">
        <v>228</v>
      </c>
      <c r="F225">
        <v>39.99</v>
      </c>
      <c r="H225">
        <v>21.81</v>
      </c>
      <c r="I225">
        <v>29.08</v>
      </c>
      <c r="J225">
        <v>32.72</v>
      </c>
      <c r="K225">
        <v>21.81</v>
      </c>
      <c r="L225">
        <v>23.63</v>
      </c>
      <c r="M225">
        <v>25.45</v>
      </c>
      <c r="Q225">
        <v>18.899999999999999</v>
      </c>
      <c r="R225">
        <v>20.36</v>
      </c>
      <c r="T225" t="s">
        <v>97</v>
      </c>
      <c r="Z225">
        <v>39.99</v>
      </c>
      <c r="AA225" t="s">
        <v>97</v>
      </c>
      <c r="AC225">
        <v>23.63</v>
      </c>
    </row>
    <row r="226" spans="1:29" x14ac:dyDescent="0.2">
      <c r="A226" t="s">
        <v>92</v>
      </c>
      <c r="B226" t="s">
        <v>446</v>
      </c>
      <c r="C226" t="s">
        <v>487</v>
      </c>
      <c r="D226" t="s">
        <v>488</v>
      </c>
      <c r="E226" t="s">
        <v>228</v>
      </c>
      <c r="F226">
        <v>44.99</v>
      </c>
      <c r="H226">
        <v>24.54</v>
      </c>
      <c r="I226">
        <v>32.72</v>
      </c>
      <c r="J226">
        <v>36.81</v>
      </c>
      <c r="K226">
        <v>24.54</v>
      </c>
      <c r="L226">
        <v>26.59</v>
      </c>
      <c r="M226">
        <v>28.63</v>
      </c>
      <c r="Q226">
        <v>21.27</v>
      </c>
      <c r="R226">
        <v>22.9</v>
      </c>
      <c r="T226" t="s">
        <v>97</v>
      </c>
      <c r="Z226">
        <v>44.99</v>
      </c>
      <c r="AA226" t="s">
        <v>97</v>
      </c>
      <c r="AC226">
        <v>26.59</v>
      </c>
    </row>
    <row r="227" spans="1:29" x14ac:dyDescent="0.2">
      <c r="A227" t="s">
        <v>92</v>
      </c>
      <c r="B227" t="s">
        <v>446</v>
      </c>
      <c r="C227" t="s">
        <v>489</v>
      </c>
      <c r="D227" t="s">
        <v>490</v>
      </c>
      <c r="E227" t="s">
        <v>228</v>
      </c>
      <c r="F227">
        <v>29.99</v>
      </c>
      <c r="H227">
        <v>16.36</v>
      </c>
      <c r="I227">
        <v>21.81</v>
      </c>
      <c r="J227">
        <v>24.54</v>
      </c>
      <c r="K227">
        <v>16.36</v>
      </c>
      <c r="L227">
        <v>17.72</v>
      </c>
      <c r="M227">
        <v>17.72</v>
      </c>
      <c r="Q227">
        <v>15</v>
      </c>
      <c r="R227">
        <v>15.27</v>
      </c>
      <c r="T227" t="s">
        <v>97</v>
      </c>
      <c r="Z227">
        <v>29.99</v>
      </c>
      <c r="AA227" t="s">
        <v>97</v>
      </c>
      <c r="AC227">
        <v>17.72</v>
      </c>
    </row>
    <row r="228" spans="1:29" x14ac:dyDescent="0.2">
      <c r="A228" t="s">
        <v>92</v>
      </c>
      <c r="B228" t="s">
        <v>446</v>
      </c>
      <c r="C228" t="s">
        <v>491</v>
      </c>
      <c r="D228" t="s">
        <v>492</v>
      </c>
      <c r="E228" t="s">
        <v>228</v>
      </c>
      <c r="F228">
        <v>89.99</v>
      </c>
      <c r="H228">
        <v>49.09</v>
      </c>
      <c r="I228">
        <v>65.45</v>
      </c>
      <c r="J228">
        <v>73.63</v>
      </c>
      <c r="K228">
        <v>49.09</v>
      </c>
      <c r="L228">
        <v>53.18</v>
      </c>
      <c r="M228">
        <v>57.27</v>
      </c>
      <c r="Q228">
        <v>46.63</v>
      </c>
      <c r="R228">
        <v>45.81</v>
      </c>
      <c r="T228" t="s">
        <v>97</v>
      </c>
      <c r="Z228">
        <v>89.99</v>
      </c>
      <c r="AA228" t="s">
        <v>97</v>
      </c>
      <c r="AC228">
        <v>53.18</v>
      </c>
    </row>
    <row r="229" spans="1:29" x14ac:dyDescent="0.2">
      <c r="A229" t="s">
        <v>92</v>
      </c>
      <c r="B229" t="s">
        <v>446</v>
      </c>
      <c r="C229" t="s">
        <v>493</v>
      </c>
      <c r="D229" t="s">
        <v>494</v>
      </c>
      <c r="E229" t="s">
        <v>228</v>
      </c>
      <c r="F229">
        <v>89.99</v>
      </c>
      <c r="H229">
        <v>49.09</v>
      </c>
      <c r="I229">
        <v>65.45</v>
      </c>
      <c r="J229">
        <v>73.63</v>
      </c>
      <c r="K229">
        <v>49.09</v>
      </c>
      <c r="L229">
        <v>53.18</v>
      </c>
      <c r="M229">
        <v>57.27</v>
      </c>
      <c r="Q229">
        <v>46.63</v>
      </c>
      <c r="R229">
        <v>45.81</v>
      </c>
      <c r="T229" t="s">
        <v>97</v>
      </c>
      <c r="Z229">
        <v>89.99</v>
      </c>
      <c r="AA229" t="s">
        <v>97</v>
      </c>
      <c r="AC229">
        <v>53.18</v>
      </c>
    </row>
    <row r="230" spans="1:29" x14ac:dyDescent="0.2">
      <c r="A230" t="s">
        <v>92</v>
      </c>
      <c r="B230" t="s">
        <v>446</v>
      </c>
      <c r="C230" t="s">
        <v>495</v>
      </c>
      <c r="D230" t="s">
        <v>496</v>
      </c>
      <c r="E230" t="s">
        <v>228</v>
      </c>
      <c r="F230">
        <v>59.99</v>
      </c>
      <c r="H230">
        <v>32.72</v>
      </c>
      <c r="I230">
        <v>43.63</v>
      </c>
      <c r="J230">
        <v>49.08</v>
      </c>
      <c r="K230">
        <v>32.72</v>
      </c>
      <c r="L230">
        <v>35.450000000000003</v>
      </c>
      <c r="M230">
        <v>38.18</v>
      </c>
      <c r="Q230">
        <v>28.36</v>
      </c>
      <c r="R230">
        <v>30.54</v>
      </c>
      <c r="T230" t="s">
        <v>97</v>
      </c>
      <c r="Z230">
        <v>59.99</v>
      </c>
      <c r="AA230" t="s">
        <v>97</v>
      </c>
      <c r="AC230">
        <v>35.450000000000003</v>
      </c>
    </row>
    <row r="231" spans="1:29" x14ac:dyDescent="0.2">
      <c r="A231" t="s">
        <v>92</v>
      </c>
      <c r="B231" t="s">
        <v>446</v>
      </c>
      <c r="C231" t="s">
        <v>497</v>
      </c>
      <c r="D231" t="s">
        <v>498</v>
      </c>
      <c r="E231" t="s">
        <v>290</v>
      </c>
      <c r="F231">
        <v>79.989999999999995</v>
      </c>
      <c r="H231">
        <v>43.63</v>
      </c>
      <c r="I231">
        <v>58.17</v>
      </c>
      <c r="J231">
        <v>65.45</v>
      </c>
      <c r="K231">
        <v>43.63</v>
      </c>
      <c r="L231">
        <v>47.27</v>
      </c>
      <c r="M231">
        <v>50.9</v>
      </c>
      <c r="Q231">
        <v>40</v>
      </c>
      <c r="R231">
        <v>43.63</v>
      </c>
      <c r="T231" t="s">
        <v>97</v>
      </c>
      <c r="Z231">
        <v>79.989999999999995</v>
      </c>
      <c r="AA231" t="s">
        <v>97</v>
      </c>
      <c r="AC231">
        <v>47.27</v>
      </c>
    </row>
    <row r="232" spans="1:29" x14ac:dyDescent="0.2">
      <c r="A232" t="s">
        <v>92</v>
      </c>
      <c r="B232" t="s">
        <v>446</v>
      </c>
      <c r="C232" t="s">
        <v>499</v>
      </c>
      <c r="D232" t="s">
        <v>500</v>
      </c>
      <c r="E232" t="s">
        <v>228</v>
      </c>
      <c r="F232">
        <v>149.99</v>
      </c>
      <c r="H232">
        <v>68.180000000000007</v>
      </c>
      <c r="K232">
        <v>68.180000000000007</v>
      </c>
      <c r="Q232">
        <v>68.180000000000007</v>
      </c>
      <c r="T232" t="s">
        <v>97</v>
      </c>
      <c r="AA232" t="s">
        <v>97</v>
      </c>
    </row>
    <row r="233" spans="1:29" x14ac:dyDescent="0.2">
      <c r="A233" t="s">
        <v>92</v>
      </c>
      <c r="B233" t="s">
        <v>446</v>
      </c>
      <c r="C233" t="s">
        <v>501</v>
      </c>
      <c r="D233" t="s">
        <v>502</v>
      </c>
      <c r="E233" t="s">
        <v>228</v>
      </c>
      <c r="F233">
        <v>149.99</v>
      </c>
      <c r="H233">
        <v>68.180000000000007</v>
      </c>
      <c r="K233">
        <v>68.180000000000007</v>
      </c>
      <c r="Q233">
        <v>68.180000000000007</v>
      </c>
      <c r="T233" t="s">
        <v>97</v>
      </c>
      <c r="AA233" t="s">
        <v>97</v>
      </c>
    </row>
    <row r="234" spans="1:29" x14ac:dyDescent="0.2">
      <c r="A234" t="s">
        <v>92</v>
      </c>
      <c r="B234" t="s">
        <v>446</v>
      </c>
      <c r="C234" t="s">
        <v>503</v>
      </c>
      <c r="D234" t="s">
        <v>504</v>
      </c>
      <c r="E234" t="s">
        <v>290</v>
      </c>
      <c r="F234">
        <v>39.99</v>
      </c>
      <c r="G234">
        <v>39.99</v>
      </c>
      <c r="H234">
        <v>25.45</v>
      </c>
      <c r="I234">
        <v>27.27</v>
      </c>
      <c r="J234">
        <v>33.049999999999997</v>
      </c>
      <c r="K234">
        <v>25.45</v>
      </c>
      <c r="L234">
        <v>5.5</v>
      </c>
      <c r="M234">
        <v>27.27</v>
      </c>
      <c r="Q234">
        <v>25.45</v>
      </c>
      <c r="R234">
        <v>26.36</v>
      </c>
      <c r="T234" t="s">
        <v>97</v>
      </c>
      <c r="AA234" t="s">
        <v>97</v>
      </c>
      <c r="AC234">
        <v>27.27</v>
      </c>
    </row>
    <row r="235" spans="1:29" x14ac:dyDescent="0.2">
      <c r="A235" t="s">
        <v>92</v>
      </c>
      <c r="B235" t="s">
        <v>446</v>
      </c>
      <c r="C235" t="s">
        <v>505</v>
      </c>
      <c r="D235" t="s">
        <v>506</v>
      </c>
      <c r="E235" t="s">
        <v>290</v>
      </c>
      <c r="F235">
        <v>39.99</v>
      </c>
      <c r="G235">
        <v>39.99</v>
      </c>
      <c r="H235">
        <v>25.45</v>
      </c>
      <c r="I235">
        <v>27.27</v>
      </c>
      <c r="J235">
        <v>33.049999999999997</v>
      </c>
      <c r="K235">
        <v>25.45</v>
      </c>
      <c r="L235">
        <v>5.5</v>
      </c>
      <c r="M235">
        <v>27.27</v>
      </c>
      <c r="Q235">
        <v>25.45</v>
      </c>
      <c r="R235">
        <v>26.36</v>
      </c>
      <c r="T235" t="s">
        <v>97</v>
      </c>
      <c r="AA235" t="s">
        <v>97</v>
      </c>
      <c r="AC235">
        <v>27.27</v>
      </c>
    </row>
    <row r="236" spans="1:29" x14ac:dyDescent="0.2">
      <c r="A236" t="s">
        <v>92</v>
      </c>
      <c r="B236" t="s">
        <v>446</v>
      </c>
      <c r="C236" t="s">
        <v>507</v>
      </c>
      <c r="D236" t="s">
        <v>508</v>
      </c>
      <c r="E236" t="s">
        <v>290</v>
      </c>
      <c r="F236">
        <v>39.99</v>
      </c>
      <c r="G236">
        <v>39.99</v>
      </c>
      <c r="H236">
        <v>25.45</v>
      </c>
      <c r="I236">
        <v>27.27</v>
      </c>
      <c r="J236">
        <v>33.049999999999997</v>
      </c>
      <c r="K236">
        <v>25.45</v>
      </c>
      <c r="M236">
        <v>27.27</v>
      </c>
      <c r="Q236">
        <v>25.45</v>
      </c>
      <c r="R236">
        <v>26.36</v>
      </c>
      <c r="T236" t="s">
        <v>97</v>
      </c>
      <c r="AA236" t="s">
        <v>97</v>
      </c>
      <c r="AC236">
        <v>27.27</v>
      </c>
    </row>
    <row r="237" spans="1:29" x14ac:dyDescent="0.2">
      <c r="A237" t="s">
        <v>92</v>
      </c>
      <c r="B237" t="s">
        <v>446</v>
      </c>
      <c r="C237" t="s">
        <v>511</v>
      </c>
      <c r="D237" t="s">
        <v>512</v>
      </c>
      <c r="E237" t="s">
        <v>290</v>
      </c>
      <c r="F237">
        <v>29.99</v>
      </c>
      <c r="G237">
        <v>29.99</v>
      </c>
      <c r="H237">
        <v>13.63</v>
      </c>
      <c r="I237">
        <v>16.36</v>
      </c>
      <c r="J237">
        <v>24.79</v>
      </c>
      <c r="K237">
        <v>13.63</v>
      </c>
      <c r="L237">
        <v>16.36</v>
      </c>
      <c r="M237">
        <v>16.36</v>
      </c>
      <c r="Q237">
        <v>15</v>
      </c>
      <c r="R237">
        <v>13.63</v>
      </c>
      <c r="T237" t="s">
        <v>97</v>
      </c>
      <c r="AA237" t="s">
        <v>97</v>
      </c>
      <c r="AC237">
        <v>16.36</v>
      </c>
    </row>
    <row r="238" spans="1:29" x14ac:dyDescent="0.2">
      <c r="A238" t="s">
        <v>92</v>
      </c>
      <c r="B238" t="s">
        <v>446</v>
      </c>
      <c r="C238" t="s">
        <v>513</v>
      </c>
      <c r="D238" t="s">
        <v>514</v>
      </c>
      <c r="E238" t="s">
        <v>290</v>
      </c>
      <c r="F238">
        <v>29.99</v>
      </c>
      <c r="H238">
        <v>13.63</v>
      </c>
      <c r="I238">
        <v>16.36</v>
      </c>
      <c r="J238">
        <v>24.79</v>
      </c>
      <c r="K238">
        <v>13.63</v>
      </c>
      <c r="L238">
        <v>16.36</v>
      </c>
      <c r="M238">
        <v>16.36</v>
      </c>
      <c r="Q238">
        <v>15</v>
      </c>
      <c r="R238">
        <v>13.63</v>
      </c>
      <c r="T238" t="s">
        <v>97</v>
      </c>
      <c r="AA238" t="s">
        <v>97</v>
      </c>
      <c r="AB238">
        <v>9.99</v>
      </c>
    </row>
    <row r="239" spans="1:29" x14ac:dyDescent="0.2">
      <c r="A239" t="s">
        <v>92</v>
      </c>
      <c r="B239" t="s">
        <v>446</v>
      </c>
      <c r="C239" t="s">
        <v>515</v>
      </c>
      <c r="D239" t="s">
        <v>516</v>
      </c>
      <c r="E239" t="s">
        <v>228</v>
      </c>
      <c r="F239">
        <v>19.989999999999998</v>
      </c>
      <c r="H239">
        <v>13.63</v>
      </c>
      <c r="I239">
        <v>14.54</v>
      </c>
      <c r="K239">
        <v>12.72</v>
      </c>
      <c r="Q239">
        <v>13.63</v>
      </c>
      <c r="T239" t="s">
        <v>97</v>
      </c>
      <c r="Z239">
        <v>19.989999999999998</v>
      </c>
      <c r="AA239" t="s">
        <v>97</v>
      </c>
    </row>
    <row r="240" spans="1:29" x14ac:dyDescent="0.2">
      <c r="A240" t="s">
        <v>92</v>
      </c>
      <c r="B240" t="s">
        <v>446</v>
      </c>
      <c r="C240" t="s">
        <v>517</v>
      </c>
      <c r="D240" t="s">
        <v>518</v>
      </c>
      <c r="E240" t="s">
        <v>228</v>
      </c>
      <c r="F240">
        <v>19.989999999999998</v>
      </c>
      <c r="H240">
        <v>13.63</v>
      </c>
      <c r="I240">
        <v>14.54</v>
      </c>
      <c r="K240">
        <v>12.72</v>
      </c>
      <c r="Q240">
        <v>13.63</v>
      </c>
      <c r="T240" t="s">
        <v>97</v>
      </c>
      <c r="Z240">
        <v>19.989999999999998</v>
      </c>
      <c r="AA240" t="s">
        <v>97</v>
      </c>
    </row>
    <row r="241" spans="1:29" x14ac:dyDescent="0.2">
      <c r="A241" t="s">
        <v>92</v>
      </c>
      <c r="B241" t="s">
        <v>446</v>
      </c>
      <c r="C241" t="s">
        <v>519</v>
      </c>
      <c r="D241" t="s">
        <v>520</v>
      </c>
      <c r="E241" t="s">
        <v>228</v>
      </c>
      <c r="F241">
        <v>19.989999999999998</v>
      </c>
      <c r="H241">
        <v>13.63</v>
      </c>
      <c r="I241">
        <v>14.54</v>
      </c>
      <c r="K241">
        <v>12.72</v>
      </c>
      <c r="Q241">
        <v>13.63</v>
      </c>
      <c r="T241" t="s">
        <v>97</v>
      </c>
      <c r="Z241">
        <v>19.989999999999998</v>
      </c>
      <c r="AA241" t="s">
        <v>97</v>
      </c>
    </row>
    <row r="242" spans="1:29" x14ac:dyDescent="0.2">
      <c r="A242" t="s">
        <v>92</v>
      </c>
      <c r="B242" t="s">
        <v>446</v>
      </c>
      <c r="C242" t="s">
        <v>521</v>
      </c>
      <c r="D242" t="s">
        <v>522</v>
      </c>
      <c r="E242" t="s">
        <v>228</v>
      </c>
      <c r="F242">
        <v>19.989999999999998</v>
      </c>
      <c r="H242">
        <v>13.63</v>
      </c>
      <c r="I242">
        <v>14.54</v>
      </c>
      <c r="K242">
        <v>12.72</v>
      </c>
      <c r="Q242">
        <v>13.63</v>
      </c>
      <c r="T242" t="s">
        <v>97</v>
      </c>
      <c r="Z242">
        <v>19.989999999999998</v>
      </c>
      <c r="AA242" t="s">
        <v>97</v>
      </c>
    </row>
    <row r="243" spans="1:29" x14ac:dyDescent="0.2">
      <c r="A243" t="s">
        <v>92</v>
      </c>
      <c r="B243" t="s">
        <v>446</v>
      </c>
      <c r="C243" t="s">
        <v>523</v>
      </c>
      <c r="D243" t="s">
        <v>524</v>
      </c>
      <c r="E243" t="s">
        <v>228</v>
      </c>
      <c r="F243">
        <v>44.99</v>
      </c>
      <c r="H243">
        <v>24.54</v>
      </c>
      <c r="I243">
        <v>26.59</v>
      </c>
      <c r="J243">
        <v>36.81</v>
      </c>
      <c r="K243">
        <v>24.54</v>
      </c>
      <c r="L243">
        <v>24.54</v>
      </c>
      <c r="M243">
        <v>26.59</v>
      </c>
      <c r="Q243">
        <v>22.5</v>
      </c>
      <c r="R243">
        <v>24.06</v>
      </c>
      <c r="T243" t="s">
        <v>97</v>
      </c>
      <c r="AA243" t="s">
        <v>97</v>
      </c>
      <c r="AC243">
        <v>26.59</v>
      </c>
    </row>
    <row r="244" spans="1:29" x14ac:dyDescent="0.2">
      <c r="A244" t="s">
        <v>92</v>
      </c>
      <c r="B244" t="s">
        <v>446</v>
      </c>
      <c r="C244" t="s">
        <v>525</v>
      </c>
      <c r="D244" t="s">
        <v>526</v>
      </c>
      <c r="E244" t="s">
        <v>228</v>
      </c>
      <c r="F244">
        <v>39.99</v>
      </c>
      <c r="H244">
        <v>21.81</v>
      </c>
      <c r="I244">
        <v>23.63</v>
      </c>
      <c r="J244">
        <v>32.72</v>
      </c>
      <c r="K244">
        <v>21.81</v>
      </c>
      <c r="L244">
        <v>21.81</v>
      </c>
      <c r="M244">
        <v>23.63</v>
      </c>
      <c r="Q244">
        <v>20</v>
      </c>
      <c r="R244">
        <v>21.38</v>
      </c>
      <c r="T244" t="s">
        <v>97</v>
      </c>
      <c r="AA244" t="s">
        <v>97</v>
      </c>
      <c r="AC244">
        <v>23.63</v>
      </c>
    </row>
    <row r="245" spans="1:29" x14ac:dyDescent="0.2">
      <c r="A245" t="s">
        <v>92</v>
      </c>
      <c r="B245" t="s">
        <v>446</v>
      </c>
      <c r="C245" t="s">
        <v>529</v>
      </c>
      <c r="D245" t="s">
        <v>530</v>
      </c>
      <c r="E245" t="s">
        <v>228</v>
      </c>
      <c r="F245">
        <v>29.99</v>
      </c>
      <c r="H245">
        <v>20.45</v>
      </c>
      <c r="I245">
        <v>21.81</v>
      </c>
      <c r="K245">
        <v>19.079999999999998</v>
      </c>
      <c r="Q245">
        <v>20.45</v>
      </c>
      <c r="T245" t="s">
        <v>97</v>
      </c>
      <c r="Y245">
        <v>23.17</v>
      </c>
      <c r="Z245">
        <v>29.99</v>
      </c>
      <c r="AA245" t="s">
        <v>97</v>
      </c>
    </row>
    <row r="246" spans="1:29" x14ac:dyDescent="0.2">
      <c r="A246" t="s">
        <v>92</v>
      </c>
      <c r="B246" t="s">
        <v>446</v>
      </c>
      <c r="C246" t="s">
        <v>531</v>
      </c>
      <c r="D246" t="s">
        <v>532</v>
      </c>
      <c r="E246" t="s">
        <v>228</v>
      </c>
      <c r="F246">
        <v>29.99</v>
      </c>
      <c r="H246">
        <v>20.45</v>
      </c>
      <c r="I246">
        <v>21.81</v>
      </c>
      <c r="K246">
        <v>19.079999999999998</v>
      </c>
      <c r="Q246">
        <v>20.45</v>
      </c>
      <c r="T246" t="s">
        <v>97</v>
      </c>
      <c r="Y246">
        <v>23.17</v>
      </c>
      <c r="Z246">
        <v>29.99</v>
      </c>
      <c r="AA246" t="s">
        <v>97</v>
      </c>
    </row>
    <row r="247" spans="1:29" x14ac:dyDescent="0.2">
      <c r="A247" t="s">
        <v>92</v>
      </c>
      <c r="B247" t="s">
        <v>446</v>
      </c>
      <c r="C247" t="s">
        <v>533</v>
      </c>
      <c r="D247" t="s">
        <v>534</v>
      </c>
      <c r="E247" t="s">
        <v>228</v>
      </c>
      <c r="F247">
        <v>29.99</v>
      </c>
      <c r="H247">
        <v>20.45</v>
      </c>
      <c r="I247">
        <v>21.81</v>
      </c>
      <c r="K247">
        <v>19.079999999999998</v>
      </c>
      <c r="Q247">
        <v>20.45</v>
      </c>
      <c r="T247" t="s">
        <v>97</v>
      </c>
      <c r="Y247">
        <v>23.17</v>
      </c>
      <c r="Z247">
        <v>29.99</v>
      </c>
      <c r="AA247" t="s">
        <v>97</v>
      </c>
    </row>
    <row r="248" spans="1:29" x14ac:dyDescent="0.2">
      <c r="A248" t="s">
        <v>92</v>
      </c>
      <c r="B248" t="s">
        <v>446</v>
      </c>
      <c r="C248" t="s">
        <v>535</v>
      </c>
      <c r="D248" t="s">
        <v>536</v>
      </c>
      <c r="E248" t="s">
        <v>228</v>
      </c>
      <c r="F248">
        <v>29.99</v>
      </c>
      <c r="H248">
        <v>20.45</v>
      </c>
      <c r="I248">
        <v>21.81</v>
      </c>
      <c r="K248">
        <v>19.079999999999998</v>
      </c>
      <c r="Q248">
        <v>20.45</v>
      </c>
      <c r="T248" t="s">
        <v>97</v>
      </c>
      <c r="Y248">
        <v>23.17</v>
      </c>
      <c r="Z248">
        <v>29.99</v>
      </c>
      <c r="AA248" t="s">
        <v>97</v>
      </c>
    </row>
    <row r="249" spans="1:29" x14ac:dyDescent="0.2">
      <c r="A249" t="s">
        <v>92</v>
      </c>
      <c r="B249" t="s">
        <v>446</v>
      </c>
      <c r="C249" t="s">
        <v>537</v>
      </c>
      <c r="D249" t="s">
        <v>538</v>
      </c>
      <c r="E249" t="s">
        <v>228</v>
      </c>
      <c r="F249">
        <v>49.99</v>
      </c>
      <c r="H249">
        <v>34.08</v>
      </c>
      <c r="I249">
        <v>36.36</v>
      </c>
      <c r="K249">
        <v>31.81</v>
      </c>
      <c r="Q249">
        <v>34.08</v>
      </c>
      <c r="T249" t="s">
        <v>97</v>
      </c>
      <c r="V249">
        <v>38.630000000000003</v>
      </c>
      <c r="Y249">
        <v>38.630000000000003</v>
      </c>
      <c r="Z249">
        <v>49.99</v>
      </c>
      <c r="AA249" t="s">
        <v>97</v>
      </c>
    </row>
    <row r="250" spans="1:29" x14ac:dyDescent="0.2">
      <c r="A250" t="s">
        <v>92</v>
      </c>
      <c r="B250" t="s">
        <v>446</v>
      </c>
      <c r="C250" t="s">
        <v>539</v>
      </c>
      <c r="D250" t="s">
        <v>540</v>
      </c>
      <c r="E250" t="s">
        <v>96</v>
      </c>
      <c r="F250">
        <v>49.99</v>
      </c>
      <c r="H250">
        <v>34.08</v>
      </c>
      <c r="I250">
        <v>36.36</v>
      </c>
      <c r="K250">
        <v>31.81</v>
      </c>
      <c r="Q250">
        <v>19.64</v>
      </c>
      <c r="T250" t="s">
        <v>97</v>
      </c>
      <c r="V250">
        <v>38.630000000000003</v>
      </c>
      <c r="Y250">
        <v>38.630000000000003</v>
      </c>
      <c r="Z250">
        <v>49.99</v>
      </c>
      <c r="AA250" t="s">
        <v>97</v>
      </c>
    </row>
    <row r="251" spans="1:29" x14ac:dyDescent="0.2">
      <c r="A251" t="s">
        <v>92</v>
      </c>
      <c r="B251" t="s">
        <v>446</v>
      </c>
      <c r="C251" t="s">
        <v>549</v>
      </c>
      <c r="D251" t="s">
        <v>550</v>
      </c>
      <c r="E251" t="s">
        <v>228</v>
      </c>
      <c r="F251">
        <v>169.99</v>
      </c>
      <c r="G251">
        <v>169.99</v>
      </c>
      <c r="H251">
        <v>85</v>
      </c>
      <c r="I251">
        <v>92.72</v>
      </c>
      <c r="J251">
        <v>139.08000000000001</v>
      </c>
      <c r="K251">
        <v>92.72</v>
      </c>
      <c r="L251">
        <v>92.72</v>
      </c>
      <c r="M251">
        <v>100.45</v>
      </c>
      <c r="Q251">
        <v>92.72</v>
      </c>
      <c r="R251">
        <v>92.72</v>
      </c>
      <c r="T251" t="s">
        <v>97</v>
      </c>
      <c r="V251">
        <v>131.36000000000001</v>
      </c>
      <c r="W251">
        <v>131.36000000000001</v>
      </c>
      <c r="X251">
        <v>131.36000000000001</v>
      </c>
      <c r="Y251">
        <v>131.36000000000001</v>
      </c>
      <c r="Z251">
        <v>169.99</v>
      </c>
      <c r="AA251" t="s">
        <v>97</v>
      </c>
      <c r="AC251">
        <v>100.45</v>
      </c>
    </row>
    <row r="252" spans="1:29" x14ac:dyDescent="0.2">
      <c r="A252" t="s">
        <v>92</v>
      </c>
      <c r="B252" t="s">
        <v>446</v>
      </c>
      <c r="C252" t="s">
        <v>551</v>
      </c>
      <c r="D252" t="s">
        <v>552</v>
      </c>
      <c r="E252" t="s">
        <v>228</v>
      </c>
      <c r="F252">
        <v>169.99</v>
      </c>
      <c r="H252">
        <v>85</v>
      </c>
      <c r="I252">
        <v>92.72</v>
      </c>
      <c r="J252">
        <v>139.08000000000001</v>
      </c>
      <c r="K252">
        <v>92.72</v>
      </c>
      <c r="L252">
        <v>92.72</v>
      </c>
      <c r="M252">
        <v>100.45</v>
      </c>
      <c r="Q252">
        <v>92.72</v>
      </c>
      <c r="R252">
        <v>92.72</v>
      </c>
      <c r="T252" t="s">
        <v>97</v>
      </c>
      <c r="V252">
        <v>131.36000000000001</v>
      </c>
      <c r="W252">
        <v>131.36000000000001</v>
      </c>
      <c r="X252">
        <v>131.36000000000001</v>
      </c>
      <c r="Y252">
        <v>131.36000000000001</v>
      </c>
      <c r="Z252">
        <v>169.99</v>
      </c>
      <c r="AA252" t="s">
        <v>97</v>
      </c>
      <c r="AC252">
        <v>100.45</v>
      </c>
    </row>
    <row r="253" spans="1:29" x14ac:dyDescent="0.2">
      <c r="A253" t="s">
        <v>92</v>
      </c>
      <c r="B253" t="s">
        <v>446</v>
      </c>
      <c r="C253" t="s">
        <v>553</v>
      </c>
      <c r="D253" t="s">
        <v>554</v>
      </c>
      <c r="E253" t="s">
        <v>228</v>
      </c>
      <c r="F253">
        <v>24.99</v>
      </c>
      <c r="H253">
        <v>11.36</v>
      </c>
      <c r="I253">
        <v>13.63</v>
      </c>
      <c r="J253">
        <v>20.45</v>
      </c>
      <c r="K253">
        <v>11.36</v>
      </c>
      <c r="L253">
        <v>10.91</v>
      </c>
      <c r="M253">
        <v>13.63</v>
      </c>
      <c r="Q253">
        <v>12.5</v>
      </c>
      <c r="R253">
        <v>13.63</v>
      </c>
      <c r="T253" t="s">
        <v>97</v>
      </c>
      <c r="Z253">
        <v>24.99</v>
      </c>
      <c r="AA253" t="s">
        <v>97</v>
      </c>
      <c r="AC253">
        <v>13.63</v>
      </c>
    </row>
    <row r="254" spans="1:29" x14ac:dyDescent="0.2">
      <c r="A254" t="s">
        <v>92</v>
      </c>
      <c r="B254" t="s">
        <v>446</v>
      </c>
      <c r="C254" t="s">
        <v>555</v>
      </c>
      <c r="D254" t="s">
        <v>556</v>
      </c>
      <c r="E254" t="s">
        <v>228</v>
      </c>
      <c r="F254">
        <v>29.99</v>
      </c>
      <c r="H254">
        <v>13.63</v>
      </c>
      <c r="I254">
        <v>16.36</v>
      </c>
      <c r="J254">
        <v>24.54</v>
      </c>
      <c r="K254">
        <v>13.63</v>
      </c>
      <c r="L254">
        <v>12.72</v>
      </c>
      <c r="M254">
        <v>16.36</v>
      </c>
      <c r="Q254">
        <v>15</v>
      </c>
      <c r="R254">
        <v>15.9</v>
      </c>
      <c r="T254" t="s">
        <v>97</v>
      </c>
      <c r="Z254">
        <v>29.99</v>
      </c>
      <c r="AA254" t="s">
        <v>97</v>
      </c>
      <c r="AC254">
        <v>16.36</v>
      </c>
    </row>
    <row r="255" spans="1:29" x14ac:dyDescent="0.2">
      <c r="A255" t="s">
        <v>92</v>
      </c>
      <c r="B255" t="s">
        <v>446</v>
      </c>
      <c r="C255" t="s">
        <v>557</v>
      </c>
      <c r="D255" t="s">
        <v>558</v>
      </c>
      <c r="E255" t="s">
        <v>228</v>
      </c>
      <c r="Q255">
        <v>0.01</v>
      </c>
      <c r="T255" t="s">
        <v>97</v>
      </c>
      <c r="AA255" t="s">
        <v>97</v>
      </c>
    </row>
    <row r="256" spans="1:29" x14ac:dyDescent="0.2">
      <c r="A256" t="s">
        <v>92</v>
      </c>
      <c r="B256" t="s">
        <v>446</v>
      </c>
      <c r="C256" t="s">
        <v>559</v>
      </c>
      <c r="D256" t="s">
        <v>560</v>
      </c>
      <c r="E256" t="s">
        <v>228</v>
      </c>
      <c r="Q256">
        <v>0.01</v>
      </c>
      <c r="T256" t="s">
        <v>97</v>
      </c>
      <c r="AA256" t="s">
        <v>97</v>
      </c>
    </row>
    <row r="257" spans="1:27" x14ac:dyDescent="0.2">
      <c r="A257" t="s">
        <v>92</v>
      </c>
      <c r="B257" t="s">
        <v>446</v>
      </c>
      <c r="C257" t="s">
        <v>561</v>
      </c>
      <c r="D257" t="s">
        <v>562</v>
      </c>
      <c r="E257" t="s">
        <v>228</v>
      </c>
      <c r="Q257">
        <v>0.01</v>
      </c>
      <c r="T257" t="s">
        <v>97</v>
      </c>
      <c r="AA257" t="s">
        <v>97</v>
      </c>
    </row>
    <row r="258" spans="1:27" x14ac:dyDescent="0.2">
      <c r="A258" t="s">
        <v>92</v>
      </c>
      <c r="B258" t="s">
        <v>446</v>
      </c>
      <c r="C258" t="s">
        <v>563</v>
      </c>
      <c r="D258" t="s">
        <v>564</v>
      </c>
      <c r="E258" t="s">
        <v>228</v>
      </c>
      <c r="Q258">
        <v>0.01</v>
      </c>
      <c r="T258" t="s">
        <v>97</v>
      </c>
      <c r="AA258" t="s">
        <v>97</v>
      </c>
    </row>
    <row r="259" spans="1:27" x14ac:dyDescent="0.2">
      <c r="A259" t="s">
        <v>92</v>
      </c>
      <c r="B259" t="s">
        <v>446</v>
      </c>
      <c r="C259" t="s">
        <v>565</v>
      </c>
      <c r="D259" t="s">
        <v>566</v>
      </c>
      <c r="E259" t="s">
        <v>228</v>
      </c>
      <c r="Q259">
        <v>0.01</v>
      </c>
      <c r="T259" t="s">
        <v>97</v>
      </c>
      <c r="AA259" t="s">
        <v>97</v>
      </c>
    </row>
    <row r="260" spans="1:27" x14ac:dyDescent="0.2">
      <c r="A260" t="s">
        <v>92</v>
      </c>
      <c r="B260" t="s">
        <v>446</v>
      </c>
      <c r="C260" t="s">
        <v>567</v>
      </c>
      <c r="D260" t="s">
        <v>568</v>
      </c>
      <c r="E260" t="s">
        <v>228</v>
      </c>
      <c r="Q260">
        <v>0.01</v>
      </c>
      <c r="T260" t="s">
        <v>97</v>
      </c>
      <c r="AA260" t="s">
        <v>97</v>
      </c>
    </row>
    <row r="261" spans="1:27" x14ac:dyDescent="0.2">
      <c r="A261" t="s">
        <v>92</v>
      </c>
      <c r="B261" t="s">
        <v>446</v>
      </c>
      <c r="C261" t="s">
        <v>569</v>
      </c>
      <c r="D261" t="s">
        <v>570</v>
      </c>
      <c r="E261" t="s">
        <v>228</v>
      </c>
      <c r="Q261">
        <v>0.01</v>
      </c>
      <c r="T261" t="s">
        <v>97</v>
      </c>
      <c r="AA261" t="s">
        <v>97</v>
      </c>
    </row>
    <row r="262" spans="1:27" x14ac:dyDescent="0.2">
      <c r="A262" t="s">
        <v>92</v>
      </c>
      <c r="B262" t="s">
        <v>446</v>
      </c>
      <c r="C262" t="s">
        <v>571</v>
      </c>
      <c r="D262" t="s">
        <v>572</v>
      </c>
      <c r="E262" t="s">
        <v>228</v>
      </c>
      <c r="Q262">
        <v>0.01</v>
      </c>
      <c r="T262" t="s">
        <v>97</v>
      </c>
      <c r="AA262" t="s">
        <v>97</v>
      </c>
    </row>
    <row r="263" spans="1:27" x14ac:dyDescent="0.2">
      <c r="A263" t="s">
        <v>92</v>
      </c>
      <c r="B263" t="s">
        <v>446</v>
      </c>
      <c r="C263" t="s">
        <v>573</v>
      </c>
      <c r="D263" t="s">
        <v>574</v>
      </c>
      <c r="E263" t="s">
        <v>228</v>
      </c>
      <c r="Q263">
        <v>0.01</v>
      </c>
      <c r="T263" t="s">
        <v>97</v>
      </c>
      <c r="AA263" t="s">
        <v>97</v>
      </c>
    </row>
    <row r="264" spans="1:27" x14ac:dyDescent="0.2">
      <c r="A264" t="s">
        <v>92</v>
      </c>
      <c r="B264" t="s">
        <v>446</v>
      </c>
      <c r="C264" t="s">
        <v>575</v>
      </c>
      <c r="D264" t="s">
        <v>576</v>
      </c>
      <c r="E264" t="s">
        <v>228</v>
      </c>
      <c r="Q264">
        <v>0.01</v>
      </c>
      <c r="T264" t="s">
        <v>97</v>
      </c>
      <c r="AA264" t="s">
        <v>97</v>
      </c>
    </row>
    <row r="265" spans="1:27" x14ac:dyDescent="0.2">
      <c r="A265" t="s">
        <v>92</v>
      </c>
      <c r="B265" t="s">
        <v>446</v>
      </c>
      <c r="C265" t="s">
        <v>577</v>
      </c>
      <c r="D265" t="s">
        <v>578</v>
      </c>
      <c r="E265" t="s">
        <v>228</v>
      </c>
      <c r="Q265">
        <v>0.01</v>
      </c>
      <c r="T265" t="s">
        <v>97</v>
      </c>
      <c r="AA265" t="s">
        <v>97</v>
      </c>
    </row>
    <row r="266" spans="1:27" x14ac:dyDescent="0.2">
      <c r="A266" t="s">
        <v>92</v>
      </c>
      <c r="B266" t="s">
        <v>446</v>
      </c>
      <c r="C266" t="s">
        <v>579</v>
      </c>
      <c r="D266" t="s">
        <v>580</v>
      </c>
      <c r="E266" t="s">
        <v>228</v>
      </c>
      <c r="Q266">
        <v>0.01</v>
      </c>
      <c r="T266" t="s">
        <v>97</v>
      </c>
      <c r="AA266" t="s">
        <v>97</v>
      </c>
    </row>
    <row r="267" spans="1:27" x14ac:dyDescent="0.2">
      <c r="A267" t="s">
        <v>92</v>
      </c>
      <c r="B267" t="s">
        <v>446</v>
      </c>
      <c r="C267" t="s">
        <v>581</v>
      </c>
      <c r="D267" t="s">
        <v>582</v>
      </c>
      <c r="E267" t="s">
        <v>228</v>
      </c>
      <c r="Q267">
        <v>0.01</v>
      </c>
      <c r="T267" t="s">
        <v>97</v>
      </c>
      <c r="AA267" t="s">
        <v>97</v>
      </c>
    </row>
    <row r="268" spans="1:27" x14ac:dyDescent="0.2">
      <c r="A268" t="s">
        <v>92</v>
      </c>
      <c r="B268" t="s">
        <v>446</v>
      </c>
      <c r="C268" t="s">
        <v>583</v>
      </c>
      <c r="D268" t="s">
        <v>584</v>
      </c>
      <c r="E268" t="s">
        <v>228</v>
      </c>
      <c r="Q268">
        <v>0.01</v>
      </c>
      <c r="T268" t="s">
        <v>97</v>
      </c>
      <c r="AA268" t="s">
        <v>97</v>
      </c>
    </row>
    <row r="269" spans="1:27" x14ac:dyDescent="0.2">
      <c r="A269" t="s">
        <v>92</v>
      </c>
      <c r="B269" t="s">
        <v>446</v>
      </c>
      <c r="C269" t="s">
        <v>585</v>
      </c>
      <c r="D269" t="s">
        <v>586</v>
      </c>
      <c r="E269" t="s">
        <v>228</v>
      </c>
      <c r="Q269">
        <v>0.01</v>
      </c>
      <c r="T269" t="s">
        <v>97</v>
      </c>
      <c r="AA269" t="s">
        <v>97</v>
      </c>
    </row>
    <row r="270" spans="1:27" x14ac:dyDescent="0.2">
      <c r="A270" t="s">
        <v>92</v>
      </c>
      <c r="B270" t="s">
        <v>446</v>
      </c>
      <c r="C270" t="s">
        <v>587</v>
      </c>
      <c r="D270" t="s">
        <v>588</v>
      </c>
      <c r="E270" t="s">
        <v>228</v>
      </c>
      <c r="Q270">
        <v>0.01</v>
      </c>
      <c r="T270" t="s">
        <v>97</v>
      </c>
      <c r="AA270" t="s">
        <v>97</v>
      </c>
    </row>
    <row r="271" spans="1:27" x14ac:dyDescent="0.2">
      <c r="A271" t="s">
        <v>92</v>
      </c>
      <c r="B271" t="s">
        <v>446</v>
      </c>
      <c r="C271" t="s">
        <v>589</v>
      </c>
      <c r="D271" t="s">
        <v>590</v>
      </c>
      <c r="E271" t="s">
        <v>228</v>
      </c>
      <c r="Q271">
        <v>0.01</v>
      </c>
      <c r="T271" t="s">
        <v>97</v>
      </c>
      <c r="AA271" t="s">
        <v>97</v>
      </c>
    </row>
    <row r="272" spans="1:27" x14ac:dyDescent="0.2">
      <c r="A272" t="s">
        <v>92</v>
      </c>
      <c r="B272" t="s">
        <v>446</v>
      </c>
      <c r="C272" t="s">
        <v>591</v>
      </c>
      <c r="D272" t="s">
        <v>592</v>
      </c>
      <c r="E272" t="s">
        <v>228</v>
      </c>
      <c r="Q272">
        <v>0.01</v>
      </c>
      <c r="T272" t="s">
        <v>97</v>
      </c>
      <c r="AA272" t="s">
        <v>97</v>
      </c>
    </row>
    <row r="273" spans="1:27" x14ac:dyDescent="0.2">
      <c r="A273" t="s">
        <v>92</v>
      </c>
      <c r="B273" t="s">
        <v>446</v>
      </c>
      <c r="C273" t="s">
        <v>593</v>
      </c>
      <c r="D273" t="s">
        <v>594</v>
      </c>
      <c r="E273" t="s">
        <v>228</v>
      </c>
      <c r="Q273">
        <v>0.01</v>
      </c>
      <c r="T273" t="s">
        <v>97</v>
      </c>
      <c r="AA273" t="s">
        <v>97</v>
      </c>
    </row>
    <row r="274" spans="1:27" x14ac:dyDescent="0.2">
      <c r="A274" t="s">
        <v>92</v>
      </c>
      <c r="B274" t="s">
        <v>446</v>
      </c>
      <c r="C274" t="s">
        <v>595</v>
      </c>
      <c r="D274" t="s">
        <v>596</v>
      </c>
      <c r="E274" t="s">
        <v>228</v>
      </c>
      <c r="Q274">
        <v>0.01</v>
      </c>
      <c r="T274" t="s">
        <v>97</v>
      </c>
      <c r="AA274" t="s">
        <v>97</v>
      </c>
    </row>
    <row r="275" spans="1:27" x14ac:dyDescent="0.2">
      <c r="A275" t="s">
        <v>92</v>
      </c>
      <c r="B275" t="s">
        <v>446</v>
      </c>
      <c r="C275" t="s">
        <v>597</v>
      </c>
      <c r="D275" t="s">
        <v>598</v>
      </c>
      <c r="E275" t="s">
        <v>228</v>
      </c>
      <c r="Q275">
        <v>0.01</v>
      </c>
      <c r="T275" t="s">
        <v>97</v>
      </c>
      <c r="AA275" t="s">
        <v>97</v>
      </c>
    </row>
    <row r="276" spans="1:27" x14ac:dyDescent="0.2">
      <c r="A276" t="s">
        <v>92</v>
      </c>
      <c r="B276" t="s">
        <v>446</v>
      </c>
      <c r="C276" t="s">
        <v>599</v>
      </c>
      <c r="D276" t="s">
        <v>600</v>
      </c>
      <c r="E276" t="s">
        <v>228</v>
      </c>
      <c r="Q276">
        <v>0.01</v>
      </c>
      <c r="T276" t="s">
        <v>97</v>
      </c>
      <c r="AA276" t="s">
        <v>97</v>
      </c>
    </row>
    <row r="277" spans="1:27" x14ac:dyDescent="0.2">
      <c r="A277" t="s">
        <v>92</v>
      </c>
      <c r="B277" t="s">
        <v>446</v>
      </c>
      <c r="C277" t="s">
        <v>601</v>
      </c>
      <c r="D277" t="s">
        <v>602</v>
      </c>
      <c r="E277" t="s">
        <v>228</v>
      </c>
      <c r="Q277">
        <v>0.01</v>
      </c>
      <c r="T277" t="s">
        <v>97</v>
      </c>
      <c r="AA277" t="s">
        <v>97</v>
      </c>
    </row>
    <row r="278" spans="1:27" x14ac:dyDescent="0.2">
      <c r="A278" t="s">
        <v>92</v>
      </c>
      <c r="B278" t="s">
        <v>446</v>
      </c>
      <c r="C278" t="s">
        <v>603</v>
      </c>
      <c r="D278" t="s">
        <v>604</v>
      </c>
      <c r="E278" t="s">
        <v>228</v>
      </c>
      <c r="Q278">
        <v>0.01</v>
      </c>
      <c r="T278" t="s">
        <v>97</v>
      </c>
      <c r="AA278" t="s">
        <v>97</v>
      </c>
    </row>
    <row r="279" spans="1:27" x14ac:dyDescent="0.2">
      <c r="A279" t="s">
        <v>92</v>
      </c>
      <c r="B279" t="s">
        <v>446</v>
      </c>
      <c r="C279" t="s">
        <v>605</v>
      </c>
      <c r="D279" t="s">
        <v>606</v>
      </c>
      <c r="E279" t="s">
        <v>228</v>
      </c>
      <c r="Q279">
        <v>0.01</v>
      </c>
      <c r="T279" t="s">
        <v>97</v>
      </c>
      <c r="AA279" t="s">
        <v>97</v>
      </c>
    </row>
    <row r="280" spans="1:27" x14ac:dyDescent="0.2">
      <c r="A280" t="s">
        <v>92</v>
      </c>
      <c r="B280" t="s">
        <v>446</v>
      </c>
      <c r="C280" t="s">
        <v>607</v>
      </c>
      <c r="D280" t="s">
        <v>608</v>
      </c>
      <c r="E280" t="s">
        <v>228</v>
      </c>
      <c r="Q280">
        <v>0.01</v>
      </c>
      <c r="T280" t="s">
        <v>97</v>
      </c>
      <c r="AA280" t="s">
        <v>97</v>
      </c>
    </row>
    <row r="281" spans="1:27" x14ac:dyDescent="0.2">
      <c r="A281" t="s">
        <v>92</v>
      </c>
      <c r="B281" t="s">
        <v>446</v>
      </c>
      <c r="C281" t="s">
        <v>609</v>
      </c>
      <c r="D281" t="s">
        <v>610</v>
      </c>
      <c r="E281" t="s">
        <v>228</v>
      </c>
      <c r="Q281">
        <v>0.01</v>
      </c>
      <c r="T281" t="s">
        <v>97</v>
      </c>
      <c r="AA281" t="s">
        <v>97</v>
      </c>
    </row>
    <row r="282" spans="1:27" x14ac:dyDescent="0.2">
      <c r="A282" t="s">
        <v>92</v>
      </c>
      <c r="B282" t="s">
        <v>446</v>
      </c>
      <c r="C282" t="s">
        <v>611</v>
      </c>
      <c r="D282" t="s">
        <v>612</v>
      </c>
      <c r="E282" t="s">
        <v>228</v>
      </c>
      <c r="Q282">
        <v>0.01</v>
      </c>
      <c r="T282" t="s">
        <v>97</v>
      </c>
      <c r="AA282" t="s">
        <v>97</v>
      </c>
    </row>
    <row r="283" spans="1:27" x14ac:dyDescent="0.2">
      <c r="A283" t="s">
        <v>92</v>
      </c>
      <c r="B283" t="s">
        <v>446</v>
      </c>
      <c r="C283" t="s">
        <v>613</v>
      </c>
      <c r="D283" t="s">
        <v>614</v>
      </c>
      <c r="E283" t="s">
        <v>290</v>
      </c>
      <c r="Q283">
        <v>0.01</v>
      </c>
      <c r="T283" t="s">
        <v>97</v>
      </c>
      <c r="AA283" t="s">
        <v>97</v>
      </c>
    </row>
    <row r="284" spans="1:27" x14ac:dyDescent="0.2">
      <c r="A284" t="s">
        <v>92</v>
      </c>
      <c r="B284" t="s">
        <v>446</v>
      </c>
      <c r="C284" t="s">
        <v>8291</v>
      </c>
      <c r="D284" t="s">
        <v>8292</v>
      </c>
      <c r="E284" t="s">
        <v>228</v>
      </c>
      <c r="Q284">
        <v>0.01</v>
      </c>
      <c r="T284" t="s">
        <v>97</v>
      </c>
      <c r="AA284" t="s">
        <v>97</v>
      </c>
    </row>
    <row r="285" spans="1:27" x14ac:dyDescent="0.2">
      <c r="A285" t="s">
        <v>92</v>
      </c>
      <c r="B285" t="s">
        <v>446</v>
      </c>
      <c r="C285" t="s">
        <v>615</v>
      </c>
      <c r="D285" t="s">
        <v>616</v>
      </c>
      <c r="E285" t="s">
        <v>228</v>
      </c>
      <c r="F285">
        <v>59.99</v>
      </c>
      <c r="H285">
        <v>27.27</v>
      </c>
      <c r="K285">
        <v>27.27</v>
      </c>
      <c r="Q285">
        <v>27.27</v>
      </c>
      <c r="T285" t="s">
        <v>97</v>
      </c>
      <c r="AA285" t="s">
        <v>97</v>
      </c>
    </row>
    <row r="286" spans="1:27" x14ac:dyDescent="0.2">
      <c r="A286" t="s">
        <v>92</v>
      </c>
      <c r="B286" t="s">
        <v>446</v>
      </c>
      <c r="C286" t="s">
        <v>617</v>
      </c>
      <c r="D286" t="s">
        <v>618</v>
      </c>
      <c r="E286" t="s">
        <v>228</v>
      </c>
      <c r="F286">
        <v>59.99</v>
      </c>
      <c r="H286">
        <v>27.27</v>
      </c>
      <c r="K286">
        <v>27.27</v>
      </c>
      <c r="Q286">
        <v>27.27</v>
      </c>
      <c r="T286" t="s">
        <v>97</v>
      </c>
      <c r="AA286" t="s">
        <v>97</v>
      </c>
    </row>
    <row r="287" spans="1:27" x14ac:dyDescent="0.2">
      <c r="A287" t="s">
        <v>92</v>
      </c>
      <c r="B287" t="s">
        <v>446</v>
      </c>
      <c r="C287" t="s">
        <v>619</v>
      </c>
      <c r="D287" t="s">
        <v>620</v>
      </c>
      <c r="E287" t="s">
        <v>228</v>
      </c>
      <c r="F287">
        <v>59.99</v>
      </c>
      <c r="H287">
        <v>27.27</v>
      </c>
      <c r="K287">
        <v>27.27</v>
      </c>
      <c r="Q287">
        <v>27.27</v>
      </c>
      <c r="T287" t="s">
        <v>97</v>
      </c>
      <c r="AA287" t="s">
        <v>97</v>
      </c>
    </row>
    <row r="288" spans="1:27" x14ac:dyDescent="0.2">
      <c r="A288" t="s">
        <v>92</v>
      </c>
      <c r="B288" t="s">
        <v>446</v>
      </c>
      <c r="C288" t="s">
        <v>621</v>
      </c>
      <c r="D288" t="s">
        <v>622</v>
      </c>
      <c r="E288" t="s">
        <v>228</v>
      </c>
      <c r="F288">
        <v>59.99</v>
      </c>
      <c r="H288">
        <v>27.27</v>
      </c>
      <c r="K288">
        <v>27.27</v>
      </c>
      <c r="Q288">
        <v>27.27</v>
      </c>
      <c r="T288" t="s">
        <v>97</v>
      </c>
      <c r="AA288" t="s">
        <v>97</v>
      </c>
    </row>
    <row r="289" spans="1:29" x14ac:dyDescent="0.2">
      <c r="A289" t="s">
        <v>92</v>
      </c>
      <c r="B289" t="s">
        <v>446</v>
      </c>
      <c r="C289" t="s">
        <v>623</v>
      </c>
      <c r="D289" t="s">
        <v>624</v>
      </c>
      <c r="E289" t="s">
        <v>228</v>
      </c>
      <c r="F289">
        <v>59.99</v>
      </c>
      <c r="Q289">
        <v>27.27</v>
      </c>
      <c r="T289" t="s">
        <v>97</v>
      </c>
      <c r="AA289" t="s">
        <v>97</v>
      </c>
    </row>
    <row r="290" spans="1:29" x14ac:dyDescent="0.2">
      <c r="A290" t="s">
        <v>92</v>
      </c>
      <c r="B290" t="s">
        <v>446</v>
      </c>
      <c r="C290" t="s">
        <v>625</v>
      </c>
      <c r="D290" t="s">
        <v>626</v>
      </c>
      <c r="E290" t="s">
        <v>228</v>
      </c>
      <c r="F290">
        <v>59.99</v>
      </c>
      <c r="H290">
        <v>27.27</v>
      </c>
      <c r="K290">
        <v>27.27</v>
      </c>
      <c r="Q290">
        <v>27.27</v>
      </c>
      <c r="T290" t="s">
        <v>97</v>
      </c>
      <c r="AA290" t="s">
        <v>97</v>
      </c>
    </row>
    <row r="291" spans="1:29" x14ac:dyDescent="0.2">
      <c r="A291" t="s">
        <v>92</v>
      </c>
      <c r="B291" t="s">
        <v>446</v>
      </c>
      <c r="C291" t="s">
        <v>627</v>
      </c>
      <c r="D291" t="s">
        <v>628</v>
      </c>
      <c r="E291" t="s">
        <v>228</v>
      </c>
      <c r="F291">
        <v>59.99</v>
      </c>
      <c r="H291">
        <v>27.27</v>
      </c>
      <c r="K291">
        <v>27.27</v>
      </c>
      <c r="Q291">
        <v>27.27</v>
      </c>
      <c r="T291" t="s">
        <v>97</v>
      </c>
      <c r="AA291" t="s">
        <v>97</v>
      </c>
    </row>
    <row r="292" spans="1:29" x14ac:dyDescent="0.2">
      <c r="A292" t="s">
        <v>92</v>
      </c>
      <c r="B292" t="s">
        <v>446</v>
      </c>
      <c r="C292" t="s">
        <v>629</v>
      </c>
      <c r="D292" t="s">
        <v>630</v>
      </c>
      <c r="E292" t="s">
        <v>228</v>
      </c>
      <c r="F292">
        <v>59.99</v>
      </c>
      <c r="H292">
        <v>27.27</v>
      </c>
      <c r="K292">
        <v>27.27</v>
      </c>
      <c r="Q292">
        <v>27.27</v>
      </c>
      <c r="T292" t="s">
        <v>97</v>
      </c>
      <c r="AA292" t="s">
        <v>97</v>
      </c>
    </row>
    <row r="293" spans="1:29" x14ac:dyDescent="0.2">
      <c r="A293" t="s">
        <v>92</v>
      </c>
      <c r="B293" t="s">
        <v>446</v>
      </c>
      <c r="C293" t="s">
        <v>631</v>
      </c>
      <c r="D293" t="s">
        <v>632</v>
      </c>
      <c r="E293" t="s">
        <v>228</v>
      </c>
      <c r="F293">
        <v>59.99</v>
      </c>
      <c r="H293">
        <v>27.27</v>
      </c>
      <c r="K293">
        <v>27.27</v>
      </c>
      <c r="Q293">
        <v>27.27</v>
      </c>
      <c r="T293" t="s">
        <v>97</v>
      </c>
      <c r="AA293" t="s">
        <v>97</v>
      </c>
    </row>
    <row r="294" spans="1:29" x14ac:dyDescent="0.2">
      <c r="A294" t="s">
        <v>92</v>
      </c>
      <c r="B294" t="s">
        <v>446</v>
      </c>
      <c r="C294" t="s">
        <v>633</v>
      </c>
      <c r="D294" t="s">
        <v>634</v>
      </c>
      <c r="E294" t="s">
        <v>228</v>
      </c>
      <c r="F294">
        <v>59.99</v>
      </c>
      <c r="H294">
        <v>27.27</v>
      </c>
      <c r="K294">
        <v>27.27</v>
      </c>
      <c r="Q294">
        <v>27.27</v>
      </c>
      <c r="T294" t="s">
        <v>97</v>
      </c>
      <c r="AA294" t="s">
        <v>97</v>
      </c>
    </row>
    <row r="295" spans="1:29" x14ac:dyDescent="0.2">
      <c r="A295" t="s">
        <v>92</v>
      </c>
      <c r="B295" t="s">
        <v>446</v>
      </c>
      <c r="C295" t="s">
        <v>635</v>
      </c>
      <c r="D295" t="s">
        <v>636</v>
      </c>
      <c r="E295" t="s">
        <v>228</v>
      </c>
      <c r="F295">
        <v>59.99</v>
      </c>
      <c r="Q295">
        <v>27.27</v>
      </c>
      <c r="T295" t="s">
        <v>97</v>
      </c>
      <c r="AA295" t="s">
        <v>97</v>
      </c>
    </row>
    <row r="296" spans="1:29" x14ac:dyDescent="0.2">
      <c r="A296" t="s">
        <v>92</v>
      </c>
      <c r="B296" t="s">
        <v>446</v>
      </c>
      <c r="C296" t="s">
        <v>637</v>
      </c>
      <c r="D296" t="s">
        <v>638</v>
      </c>
      <c r="E296" t="s">
        <v>228</v>
      </c>
      <c r="F296">
        <v>59.99</v>
      </c>
      <c r="H296">
        <v>27.27</v>
      </c>
      <c r="K296">
        <v>27.27</v>
      </c>
      <c r="Q296">
        <v>27.27</v>
      </c>
      <c r="T296" t="s">
        <v>97</v>
      </c>
      <c r="AA296" t="s">
        <v>97</v>
      </c>
    </row>
    <row r="297" spans="1:29" x14ac:dyDescent="0.2">
      <c r="A297" t="s">
        <v>92</v>
      </c>
      <c r="B297" t="s">
        <v>446</v>
      </c>
      <c r="C297" t="s">
        <v>639</v>
      </c>
      <c r="D297" t="s">
        <v>640</v>
      </c>
      <c r="E297" t="s">
        <v>228</v>
      </c>
      <c r="F297">
        <v>119.99</v>
      </c>
      <c r="H297">
        <v>65.45</v>
      </c>
      <c r="I297">
        <v>70.900000000000006</v>
      </c>
      <c r="J297">
        <v>98.17</v>
      </c>
      <c r="K297">
        <v>65.45</v>
      </c>
      <c r="L297">
        <v>70.900000000000006</v>
      </c>
      <c r="M297">
        <v>76.36</v>
      </c>
      <c r="Q297">
        <v>70.900000000000006</v>
      </c>
      <c r="R297">
        <v>68.010000000000005</v>
      </c>
      <c r="T297" t="s">
        <v>97</v>
      </c>
      <c r="V297">
        <v>92.72</v>
      </c>
      <c r="W297">
        <v>92.72</v>
      </c>
      <c r="X297">
        <v>92.72</v>
      </c>
      <c r="Y297">
        <v>92.72</v>
      </c>
      <c r="Z297">
        <v>119.99</v>
      </c>
      <c r="AA297" t="s">
        <v>97</v>
      </c>
      <c r="AC297">
        <v>76.36</v>
      </c>
    </row>
    <row r="298" spans="1:29" x14ac:dyDescent="0.2">
      <c r="A298" t="s">
        <v>92</v>
      </c>
      <c r="B298" t="s">
        <v>446</v>
      </c>
      <c r="C298" t="s">
        <v>641</v>
      </c>
      <c r="D298" t="s">
        <v>642</v>
      </c>
      <c r="E298" t="s">
        <v>228</v>
      </c>
      <c r="F298">
        <v>69.989999999999995</v>
      </c>
      <c r="H298">
        <v>38.18</v>
      </c>
      <c r="I298">
        <v>41.36</v>
      </c>
      <c r="J298">
        <v>57.26</v>
      </c>
      <c r="K298">
        <v>35</v>
      </c>
      <c r="L298">
        <v>41.36</v>
      </c>
      <c r="M298">
        <v>44.54</v>
      </c>
      <c r="P298">
        <v>31.81</v>
      </c>
      <c r="Q298">
        <v>44.54</v>
      </c>
      <c r="R298">
        <v>39.67</v>
      </c>
      <c r="T298" t="s">
        <v>97</v>
      </c>
      <c r="V298">
        <v>54.08</v>
      </c>
      <c r="W298">
        <v>54.08</v>
      </c>
      <c r="X298">
        <v>54.08</v>
      </c>
      <c r="Y298">
        <v>54.08</v>
      </c>
      <c r="Z298">
        <v>69.989999999999995</v>
      </c>
      <c r="AA298" t="s">
        <v>97</v>
      </c>
      <c r="AC298">
        <v>44.54</v>
      </c>
    </row>
    <row r="299" spans="1:29" x14ac:dyDescent="0.2">
      <c r="A299" t="s">
        <v>92</v>
      </c>
      <c r="B299" t="s">
        <v>446</v>
      </c>
      <c r="C299" t="s">
        <v>643</v>
      </c>
      <c r="D299" t="s">
        <v>644</v>
      </c>
      <c r="E299" t="s">
        <v>228</v>
      </c>
      <c r="F299">
        <v>99.99</v>
      </c>
      <c r="G299">
        <v>99.99</v>
      </c>
      <c r="H299">
        <v>50</v>
      </c>
      <c r="I299">
        <v>54.54</v>
      </c>
      <c r="J299">
        <v>82.64</v>
      </c>
      <c r="K299">
        <v>50</v>
      </c>
      <c r="L299">
        <v>52</v>
      </c>
      <c r="M299">
        <v>63.63</v>
      </c>
      <c r="Q299">
        <v>51.94</v>
      </c>
      <c r="R299">
        <v>56.68</v>
      </c>
      <c r="S299">
        <v>50</v>
      </c>
      <c r="T299" t="s">
        <v>97</v>
      </c>
      <c r="V299">
        <v>77.27</v>
      </c>
      <c r="W299">
        <v>77.27</v>
      </c>
      <c r="X299">
        <v>77.27</v>
      </c>
      <c r="Y299">
        <v>77.27</v>
      </c>
      <c r="Z299">
        <v>99.99</v>
      </c>
      <c r="AA299" t="s">
        <v>97</v>
      </c>
      <c r="AC299">
        <v>63.63</v>
      </c>
    </row>
    <row r="300" spans="1:29" x14ac:dyDescent="0.2">
      <c r="A300" t="s">
        <v>92</v>
      </c>
      <c r="B300" t="s">
        <v>446</v>
      </c>
      <c r="C300" t="s">
        <v>645</v>
      </c>
      <c r="D300" t="s">
        <v>646</v>
      </c>
      <c r="E300" t="s">
        <v>228</v>
      </c>
      <c r="F300">
        <v>59.99</v>
      </c>
      <c r="G300">
        <v>59.99</v>
      </c>
      <c r="H300">
        <v>32.72</v>
      </c>
      <c r="I300">
        <v>35.450000000000003</v>
      </c>
      <c r="J300">
        <v>49.08</v>
      </c>
      <c r="K300">
        <v>32.72</v>
      </c>
      <c r="L300">
        <v>35.450000000000003</v>
      </c>
      <c r="M300">
        <v>38.18</v>
      </c>
      <c r="O300">
        <v>54.54</v>
      </c>
      <c r="Q300">
        <v>38.18</v>
      </c>
      <c r="R300">
        <v>34</v>
      </c>
      <c r="T300" t="s">
        <v>97</v>
      </c>
      <c r="AA300" t="s">
        <v>97</v>
      </c>
      <c r="AC300">
        <v>38.18</v>
      </c>
    </row>
    <row r="301" spans="1:29" x14ac:dyDescent="0.2">
      <c r="A301" t="s">
        <v>92</v>
      </c>
      <c r="B301" t="s">
        <v>446</v>
      </c>
      <c r="C301" t="s">
        <v>647</v>
      </c>
      <c r="D301" t="s">
        <v>648</v>
      </c>
      <c r="E301" t="s">
        <v>228</v>
      </c>
      <c r="F301">
        <v>59.99</v>
      </c>
      <c r="G301">
        <v>59.99</v>
      </c>
      <c r="H301">
        <v>32.72</v>
      </c>
      <c r="I301">
        <v>35.450000000000003</v>
      </c>
      <c r="J301">
        <v>49.08</v>
      </c>
      <c r="K301">
        <v>32.72</v>
      </c>
      <c r="L301">
        <v>35.450000000000003</v>
      </c>
      <c r="M301">
        <v>38.18</v>
      </c>
      <c r="O301">
        <v>54.54</v>
      </c>
      <c r="Q301">
        <v>38.18</v>
      </c>
      <c r="R301">
        <v>34</v>
      </c>
      <c r="T301" t="s">
        <v>97</v>
      </c>
      <c r="AA301" t="s">
        <v>97</v>
      </c>
      <c r="AC301">
        <v>38.18</v>
      </c>
    </row>
    <row r="302" spans="1:29" x14ac:dyDescent="0.2">
      <c r="A302" t="s">
        <v>92</v>
      </c>
      <c r="B302" t="s">
        <v>446</v>
      </c>
      <c r="C302" t="s">
        <v>649</v>
      </c>
      <c r="D302" t="s">
        <v>650</v>
      </c>
      <c r="E302" t="s">
        <v>228</v>
      </c>
      <c r="F302">
        <v>99.99</v>
      </c>
      <c r="H302">
        <v>54.54</v>
      </c>
      <c r="I302">
        <v>59.09</v>
      </c>
      <c r="J302">
        <v>82.63</v>
      </c>
      <c r="K302">
        <v>50</v>
      </c>
      <c r="L302">
        <v>59.09</v>
      </c>
      <c r="M302">
        <v>63.63</v>
      </c>
      <c r="Q302">
        <v>63.63</v>
      </c>
      <c r="R302">
        <v>56.68</v>
      </c>
      <c r="T302" t="s">
        <v>97</v>
      </c>
      <c r="AA302" t="s">
        <v>97</v>
      </c>
      <c r="AC302">
        <v>63.63</v>
      </c>
    </row>
    <row r="303" spans="1:29" x14ac:dyDescent="0.2">
      <c r="A303" t="s">
        <v>92</v>
      </c>
      <c r="B303" t="s">
        <v>446</v>
      </c>
      <c r="C303" t="s">
        <v>651</v>
      </c>
      <c r="D303" t="s">
        <v>652</v>
      </c>
      <c r="E303" t="s">
        <v>290</v>
      </c>
      <c r="F303">
        <v>44.99</v>
      </c>
      <c r="H303">
        <v>22.5</v>
      </c>
      <c r="I303">
        <v>24.54</v>
      </c>
      <c r="J303">
        <v>36.81</v>
      </c>
      <c r="K303">
        <v>22.5</v>
      </c>
      <c r="L303">
        <v>22.5</v>
      </c>
      <c r="M303">
        <v>35.450000000000003</v>
      </c>
      <c r="P303">
        <v>21.81</v>
      </c>
      <c r="Q303">
        <v>32.72</v>
      </c>
      <c r="R303">
        <v>27.27</v>
      </c>
      <c r="T303" t="s">
        <v>97</v>
      </c>
      <c r="AA303" t="s">
        <v>97</v>
      </c>
      <c r="AC303">
        <v>26.548999999999999</v>
      </c>
    </row>
    <row r="304" spans="1:29" x14ac:dyDescent="0.2">
      <c r="A304" t="s">
        <v>92</v>
      </c>
      <c r="B304" t="s">
        <v>446</v>
      </c>
      <c r="C304" t="s">
        <v>653</v>
      </c>
      <c r="D304" t="s">
        <v>654</v>
      </c>
      <c r="E304" t="s">
        <v>228</v>
      </c>
      <c r="F304">
        <v>69.989999999999995</v>
      </c>
      <c r="H304">
        <v>35</v>
      </c>
      <c r="I304">
        <v>38.18</v>
      </c>
      <c r="J304">
        <v>57.26</v>
      </c>
      <c r="K304">
        <v>31.81</v>
      </c>
      <c r="L304">
        <v>38.18</v>
      </c>
      <c r="M304">
        <v>38.18</v>
      </c>
      <c r="P304">
        <v>25.45</v>
      </c>
      <c r="Q304">
        <v>38.18</v>
      </c>
      <c r="R304">
        <v>30.54</v>
      </c>
      <c r="T304" t="s">
        <v>97</v>
      </c>
      <c r="Z304">
        <v>69.989999999999995</v>
      </c>
      <c r="AA304" t="s">
        <v>97</v>
      </c>
      <c r="AB304">
        <v>69.989999999999995</v>
      </c>
      <c r="AC304">
        <v>38.18</v>
      </c>
    </row>
    <row r="305" spans="1:29" x14ac:dyDescent="0.2">
      <c r="A305" t="s">
        <v>92</v>
      </c>
      <c r="B305" t="s">
        <v>446</v>
      </c>
      <c r="C305" t="s">
        <v>655</v>
      </c>
      <c r="D305" t="s">
        <v>656</v>
      </c>
      <c r="E305" t="s">
        <v>228</v>
      </c>
      <c r="F305">
        <v>69.989999999999995</v>
      </c>
      <c r="H305">
        <v>35</v>
      </c>
      <c r="I305">
        <v>38.18</v>
      </c>
      <c r="J305">
        <v>57.26</v>
      </c>
      <c r="K305">
        <v>35</v>
      </c>
      <c r="L305">
        <v>29.9</v>
      </c>
      <c r="M305">
        <v>38.18</v>
      </c>
      <c r="P305">
        <v>25.45</v>
      </c>
      <c r="Q305">
        <v>38.18</v>
      </c>
      <c r="R305">
        <v>30.54</v>
      </c>
      <c r="T305" t="s">
        <v>97</v>
      </c>
      <c r="Z305">
        <v>69.989999999999995</v>
      </c>
      <c r="AA305" t="s">
        <v>97</v>
      </c>
      <c r="AB305">
        <v>69.989999999999995</v>
      </c>
      <c r="AC305">
        <v>38.18</v>
      </c>
    </row>
    <row r="306" spans="1:29" x14ac:dyDescent="0.2">
      <c r="A306" t="s">
        <v>92</v>
      </c>
      <c r="B306" t="s">
        <v>446</v>
      </c>
      <c r="C306" t="s">
        <v>657</v>
      </c>
      <c r="D306" t="s">
        <v>658</v>
      </c>
      <c r="E306" t="s">
        <v>228</v>
      </c>
      <c r="F306">
        <v>49.99</v>
      </c>
      <c r="H306">
        <v>34.08</v>
      </c>
      <c r="I306">
        <v>36.36</v>
      </c>
      <c r="J306">
        <v>40.9</v>
      </c>
      <c r="K306">
        <v>31.81</v>
      </c>
      <c r="L306">
        <v>38.630000000000003</v>
      </c>
      <c r="M306">
        <v>38.630000000000003</v>
      </c>
      <c r="Q306">
        <v>34.08</v>
      </c>
      <c r="R306">
        <v>36.36</v>
      </c>
      <c r="T306" t="s">
        <v>97</v>
      </c>
      <c r="AA306" t="s">
        <v>97</v>
      </c>
      <c r="AC306">
        <v>38.630000000000003</v>
      </c>
    </row>
    <row r="307" spans="1:29" x14ac:dyDescent="0.2">
      <c r="A307" t="s">
        <v>92</v>
      </c>
      <c r="B307" t="s">
        <v>446</v>
      </c>
      <c r="C307" t="s">
        <v>659</v>
      </c>
      <c r="D307" t="s">
        <v>660</v>
      </c>
      <c r="E307" t="s">
        <v>228</v>
      </c>
      <c r="F307">
        <v>49.99</v>
      </c>
      <c r="H307">
        <v>34.08</v>
      </c>
      <c r="I307">
        <v>36.36</v>
      </c>
      <c r="J307">
        <v>40.9</v>
      </c>
      <c r="K307">
        <v>31.81</v>
      </c>
      <c r="L307">
        <v>38.630000000000003</v>
      </c>
      <c r="M307">
        <v>38.630000000000003</v>
      </c>
      <c r="Q307">
        <v>34.08</v>
      </c>
      <c r="R307">
        <v>36.36</v>
      </c>
      <c r="T307" t="s">
        <v>97</v>
      </c>
      <c r="AA307" t="s">
        <v>97</v>
      </c>
      <c r="AC307">
        <v>38.630000000000003</v>
      </c>
    </row>
    <row r="308" spans="1:29" x14ac:dyDescent="0.2">
      <c r="A308" t="s">
        <v>92</v>
      </c>
      <c r="B308" t="s">
        <v>446</v>
      </c>
      <c r="C308" t="s">
        <v>661</v>
      </c>
      <c r="D308" t="s">
        <v>662</v>
      </c>
      <c r="E308" t="s">
        <v>228</v>
      </c>
      <c r="F308">
        <v>49.99</v>
      </c>
      <c r="H308">
        <v>34.08</v>
      </c>
      <c r="I308">
        <v>36.36</v>
      </c>
      <c r="J308">
        <v>40.9</v>
      </c>
      <c r="K308">
        <v>31.81</v>
      </c>
      <c r="L308">
        <v>38.630000000000003</v>
      </c>
      <c r="M308">
        <v>38.630000000000003</v>
      </c>
      <c r="Q308">
        <v>34.08</v>
      </c>
      <c r="R308">
        <v>36.36</v>
      </c>
      <c r="T308" t="s">
        <v>97</v>
      </c>
      <c r="AA308" t="s">
        <v>97</v>
      </c>
      <c r="AC308">
        <v>38.630000000000003</v>
      </c>
    </row>
    <row r="309" spans="1:29" x14ac:dyDescent="0.2">
      <c r="A309" t="s">
        <v>92</v>
      </c>
      <c r="B309" t="s">
        <v>446</v>
      </c>
      <c r="C309" t="s">
        <v>663</v>
      </c>
      <c r="D309" t="s">
        <v>664</v>
      </c>
      <c r="E309" t="s">
        <v>228</v>
      </c>
      <c r="F309">
        <v>49.99</v>
      </c>
      <c r="H309">
        <v>34.08</v>
      </c>
      <c r="I309">
        <v>36.36</v>
      </c>
      <c r="J309">
        <v>40.9</v>
      </c>
      <c r="K309">
        <v>31.81</v>
      </c>
      <c r="L309">
        <v>38.630000000000003</v>
      </c>
      <c r="M309">
        <v>38.630000000000003</v>
      </c>
      <c r="Q309">
        <v>34.08</v>
      </c>
      <c r="R309">
        <v>36.36</v>
      </c>
      <c r="T309" t="s">
        <v>97</v>
      </c>
      <c r="AA309" t="s">
        <v>97</v>
      </c>
      <c r="AC309">
        <v>38.630000000000003</v>
      </c>
    </row>
    <row r="310" spans="1:29" x14ac:dyDescent="0.2">
      <c r="A310" t="s">
        <v>92</v>
      </c>
      <c r="B310" t="s">
        <v>446</v>
      </c>
      <c r="C310" t="s">
        <v>665</v>
      </c>
      <c r="D310" t="s">
        <v>666</v>
      </c>
      <c r="E310" t="s">
        <v>290</v>
      </c>
      <c r="F310">
        <v>139.99</v>
      </c>
      <c r="G310">
        <v>139.99</v>
      </c>
      <c r="H310">
        <v>89.08</v>
      </c>
      <c r="I310">
        <v>95.45</v>
      </c>
      <c r="J310">
        <v>114.54</v>
      </c>
      <c r="K310">
        <v>89.08</v>
      </c>
      <c r="Q310">
        <v>89.08</v>
      </c>
      <c r="R310">
        <v>92.27</v>
      </c>
      <c r="T310" t="s">
        <v>97</v>
      </c>
      <c r="AA310" t="s">
        <v>97</v>
      </c>
      <c r="AC310">
        <v>95.45</v>
      </c>
    </row>
    <row r="311" spans="1:29" x14ac:dyDescent="0.2">
      <c r="A311" t="s">
        <v>92</v>
      </c>
      <c r="B311" t="s">
        <v>446</v>
      </c>
      <c r="C311" t="s">
        <v>667</v>
      </c>
      <c r="D311" t="s">
        <v>668</v>
      </c>
      <c r="E311" t="s">
        <v>290</v>
      </c>
      <c r="F311">
        <v>139.99</v>
      </c>
      <c r="G311">
        <v>139.99</v>
      </c>
      <c r="H311">
        <v>89.08</v>
      </c>
      <c r="I311">
        <v>95.45</v>
      </c>
      <c r="J311">
        <v>114.54</v>
      </c>
      <c r="K311">
        <v>89.08</v>
      </c>
      <c r="Q311">
        <v>89.08</v>
      </c>
      <c r="R311">
        <v>92.27</v>
      </c>
      <c r="T311" t="s">
        <v>97</v>
      </c>
      <c r="AA311" t="s">
        <v>97</v>
      </c>
      <c r="AC311">
        <v>95.45</v>
      </c>
    </row>
    <row r="312" spans="1:29" x14ac:dyDescent="0.2">
      <c r="A312" t="s">
        <v>92</v>
      </c>
      <c r="B312" t="s">
        <v>446</v>
      </c>
      <c r="C312" t="s">
        <v>673</v>
      </c>
      <c r="D312" t="s">
        <v>674</v>
      </c>
      <c r="E312" t="s">
        <v>290</v>
      </c>
      <c r="F312">
        <v>299.99</v>
      </c>
      <c r="G312">
        <v>299.99</v>
      </c>
      <c r="H312">
        <v>190.9</v>
      </c>
      <c r="I312">
        <v>204.54</v>
      </c>
      <c r="J312">
        <v>247.93</v>
      </c>
      <c r="K312">
        <v>190.9</v>
      </c>
      <c r="L312">
        <v>190.9</v>
      </c>
      <c r="M312">
        <v>218.17</v>
      </c>
      <c r="Q312">
        <v>204.54</v>
      </c>
      <c r="R312">
        <v>190.9</v>
      </c>
      <c r="T312" t="s">
        <v>97</v>
      </c>
      <c r="V312">
        <v>231.81</v>
      </c>
      <c r="W312">
        <v>231.81</v>
      </c>
      <c r="X312">
        <v>231.81</v>
      </c>
      <c r="Y312">
        <v>231.81</v>
      </c>
      <c r="AA312" t="s">
        <v>97</v>
      </c>
      <c r="AC312">
        <v>231.81</v>
      </c>
    </row>
    <row r="313" spans="1:29" x14ac:dyDescent="0.2">
      <c r="A313" t="s">
        <v>92</v>
      </c>
      <c r="B313" t="s">
        <v>446</v>
      </c>
      <c r="C313" t="s">
        <v>675</v>
      </c>
      <c r="D313" t="s">
        <v>676</v>
      </c>
      <c r="E313" t="s">
        <v>228</v>
      </c>
      <c r="F313">
        <v>199.99</v>
      </c>
      <c r="G313">
        <v>199.99</v>
      </c>
      <c r="H313">
        <v>100</v>
      </c>
      <c r="I313">
        <v>109.09</v>
      </c>
      <c r="J313">
        <v>165.28</v>
      </c>
      <c r="K313">
        <v>100</v>
      </c>
      <c r="L313">
        <v>109.09</v>
      </c>
      <c r="M313">
        <v>118.18</v>
      </c>
      <c r="Q313">
        <v>109.09</v>
      </c>
      <c r="R313">
        <v>109.09</v>
      </c>
      <c r="T313" t="s">
        <v>97</v>
      </c>
      <c r="V313">
        <v>154.54</v>
      </c>
      <c r="W313">
        <v>154.54</v>
      </c>
      <c r="X313">
        <v>154.54</v>
      </c>
      <c r="Y313">
        <v>154.54</v>
      </c>
      <c r="AA313" t="s">
        <v>97</v>
      </c>
      <c r="AC313">
        <v>118.18</v>
      </c>
    </row>
    <row r="314" spans="1:29" x14ac:dyDescent="0.2">
      <c r="A314" t="s">
        <v>92</v>
      </c>
      <c r="B314" t="s">
        <v>446</v>
      </c>
      <c r="C314" t="s">
        <v>679</v>
      </c>
      <c r="D314" t="s">
        <v>680</v>
      </c>
      <c r="E314" t="s">
        <v>228</v>
      </c>
      <c r="F314">
        <v>129.99</v>
      </c>
      <c r="H314">
        <v>70.900000000000006</v>
      </c>
      <c r="I314">
        <v>94.54</v>
      </c>
      <c r="J314">
        <v>106.36</v>
      </c>
      <c r="K314">
        <v>70.900000000000006</v>
      </c>
      <c r="L314">
        <v>67.36</v>
      </c>
      <c r="M314">
        <v>82.72</v>
      </c>
      <c r="Q314">
        <v>67.36</v>
      </c>
      <c r="R314">
        <v>69.489999999999995</v>
      </c>
      <c r="T314" t="s">
        <v>97</v>
      </c>
      <c r="AA314" t="s">
        <v>97</v>
      </c>
      <c r="AC314">
        <v>82.72</v>
      </c>
    </row>
    <row r="315" spans="1:29" x14ac:dyDescent="0.2">
      <c r="A315" t="s">
        <v>92</v>
      </c>
      <c r="B315" t="s">
        <v>446</v>
      </c>
      <c r="C315" t="s">
        <v>681</v>
      </c>
      <c r="D315" t="s">
        <v>682</v>
      </c>
      <c r="E315" t="s">
        <v>290</v>
      </c>
      <c r="F315">
        <v>129.99</v>
      </c>
      <c r="H315">
        <v>70.900000000000006</v>
      </c>
      <c r="I315">
        <v>94.54</v>
      </c>
      <c r="J315">
        <v>106.36</v>
      </c>
      <c r="K315">
        <v>70.900000000000006</v>
      </c>
      <c r="L315">
        <v>40</v>
      </c>
      <c r="M315">
        <v>82.72</v>
      </c>
      <c r="Q315">
        <v>67.36</v>
      </c>
      <c r="R315">
        <v>70.900000000000006</v>
      </c>
      <c r="T315" t="s">
        <v>97</v>
      </c>
      <c r="Z315">
        <v>129.99</v>
      </c>
      <c r="AA315" t="s">
        <v>97</v>
      </c>
      <c r="AC315">
        <v>76.81</v>
      </c>
    </row>
    <row r="316" spans="1:29" x14ac:dyDescent="0.2">
      <c r="A316" t="s">
        <v>92</v>
      </c>
      <c r="B316" t="s">
        <v>446</v>
      </c>
      <c r="C316" t="s">
        <v>8293</v>
      </c>
      <c r="D316" t="s">
        <v>8294</v>
      </c>
      <c r="E316" t="s">
        <v>228</v>
      </c>
      <c r="F316">
        <v>99.99</v>
      </c>
      <c r="H316">
        <v>54.54</v>
      </c>
      <c r="I316">
        <v>72.72</v>
      </c>
      <c r="J316">
        <v>81.81</v>
      </c>
      <c r="K316">
        <v>54.54</v>
      </c>
      <c r="L316">
        <v>48.63</v>
      </c>
      <c r="M316">
        <v>63.63</v>
      </c>
      <c r="Q316">
        <v>51.81</v>
      </c>
      <c r="R316">
        <v>54.54</v>
      </c>
      <c r="T316" t="s">
        <v>97</v>
      </c>
      <c r="AA316" t="s">
        <v>97</v>
      </c>
      <c r="AC316">
        <v>59.09</v>
      </c>
    </row>
    <row r="317" spans="1:29" x14ac:dyDescent="0.2">
      <c r="A317" t="s">
        <v>92</v>
      </c>
      <c r="B317" t="s">
        <v>446</v>
      </c>
      <c r="C317" t="s">
        <v>685</v>
      </c>
      <c r="D317" t="s">
        <v>686</v>
      </c>
      <c r="E317" t="s">
        <v>290</v>
      </c>
      <c r="F317">
        <v>59.99</v>
      </c>
      <c r="G317">
        <v>59.99</v>
      </c>
      <c r="H317">
        <v>30</v>
      </c>
      <c r="I317">
        <v>32.72</v>
      </c>
      <c r="J317">
        <v>49.08</v>
      </c>
      <c r="L317">
        <v>32.72</v>
      </c>
      <c r="Q317">
        <v>32.72</v>
      </c>
      <c r="R317">
        <v>32.08</v>
      </c>
      <c r="T317" t="s">
        <v>97</v>
      </c>
      <c r="V317">
        <v>46.36</v>
      </c>
      <c r="W317">
        <v>46.36</v>
      </c>
      <c r="X317">
        <v>46.36</v>
      </c>
      <c r="Y317">
        <v>46.36</v>
      </c>
      <c r="Z317">
        <v>59.99</v>
      </c>
      <c r="AA317" t="s">
        <v>97</v>
      </c>
      <c r="AC317">
        <v>35.450000000000003</v>
      </c>
    </row>
    <row r="318" spans="1:29" x14ac:dyDescent="0.2">
      <c r="A318" t="s">
        <v>92</v>
      </c>
      <c r="B318" t="s">
        <v>446</v>
      </c>
      <c r="C318" t="s">
        <v>687</v>
      </c>
      <c r="D318" t="s">
        <v>688</v>
      </c>
      <c r="E318" t="s">
        <v>228</v>
      </c>
      <c r="F318">
        <v>59.99</v>
      </c>
      <c r="G318">
        <v>59.99</v>
      </c>
      <c r="H318">
        <v>30</v>
      </c>
      <c r="I318">
        <v>32.72</v>
      </c>
      <c r="J318">
        <v>49.08</v>
      </c>
      <c r="L318">
        <v>32.72</v>
      </c>
      <c r="Q318">
        <v>32.72</v>
      </c>
      <c r="R318">
        <v>32.08</v>
      </c>
      <c r="T318" t="s">
        <v>97</v>
      </c>
      <c r="V318">
        <v>46.36</v>
      </c>
      <c r="W318">
        <v>46.36</v>
      </c>
      <c r="X318">
        <v>46.36</v>
      </c>
      <c r="Y318">
        <v>46.36</v>
      </c>
      <c r="Z318">
        <v>59.99</v>
      </c>
      <c r="AA318" t="s">
        <v>97</v>
      </c>
      <c r="AC318">
        <v>35.450000000000003</v>
      </c>
    </row>
    <row r="319" spans="1:29" x14ac:dyDescent="0.2">
      <c r="A319" t="s">
        <v>92</v>
      </c>
      <c r="B319" t="s">
        <v>446</v>
      </c>
      <c r="C319" t="s">
        <v>689</v>
      </c>
      <c r="D319" t="s">
        <v>690</v>
      </c>
      <c r="E319" t="s">
        <v>228</v>
      </c>
      <c r="F319">
        <v>59.99</v>
      </c>
      <c r="G319">
        <v>59.99</v>
      </c>
      <c r="H319">
        <v>30</v>
      </c>
      <c r="I319">
        <v>32.72</v>
      </c>
      <c r="J319">
        <v>49.08</v>
      </c>
      <c r="L319">
        <v>32.72</v>
      </c>
      <c r="P319">
        <v>30</v>
      </c>
      <c r="Q319">
        <v>32.72</v>
      </c>
      <c r="R319">
        <v>32.08</v>
      </c>
      <c r="T319" t="s">
        <v>97</v>
      </c>
      <c r="V319">
        <v>46.36</v>
      </c>
      <c r="W319">
        <v>46.36</v>
      </c>
      <c r="X319">
        <v>46.36</v>
      </c>
      <c r="Y319">
        <v>46.36</v>
      </c>
      <c r="Z319">
        <v>59.99</v>
      </c>
      <c r="AA319" t="s">
        <v>97</v>
      </c>
      <c r="AC319">
        <v>35.450000000000003</v>
      </c>
    </row>
    <row r="320" spans="1:29" x14ac:dyDescent="0.2">
      <c r="A320" t="s">
        <v>92</v>
      </c>
      <c r="B320" t="s">
        <v>446</v>
      </c>
      <c r="C320" t="s">
        <v>691</v>
      </c>
      <c r="D320" t="s">
        <v>692</v>
      </c>
      <c r="E320" t="s">
        <v>228</v>
      </c>
      <c r="F320">
        <v>59.99</v>
      </c>
      <c r="G320">
        <v>59.99</v>
      </c>
      <c r="H320">
        <v>30</v>
      </c>
      <c r="I320">
        <v>32.72</v>
      </c>
      <c r="J320">
        <v>49.08</v>
      </c>
      <c r="L320">
        <v>32.72</v>
      </c>
      <c r="P320">
        <v>30</v>
      </c>
      <c r="Q320">
        <v>32.72</v>
      </c>
      <c r="R320">
        <v>32.08</v>
      </c>
      <c r="T320" t="s">
        <v>97</v>
      </c>
      <c r="V320">
        <v>46.36</v>
      </c>
      <c r="W320">
        <v>46.36</v>
      </c>
      <c r="X320">
        <v>46.36</v>
      </c>
      <c r="Y320">
        <v>46.36</v>
      </c>
      <c r="Z320">
        <v>59.99</v>
      </c>
      <c r="AA320" t="s">
        <v>97</v>
      </c>
      <c r="AC320">
        <v>35.450000000000003</v>
      </c>
    </row>
    <row r="321" spans="1:29" x14ac:dyDescent="0.2">
      <c r="A321" t="s">
        <v>92</v>
      </c>
      <c r="B321" t="s">
        <v>446</v>
      </c>
      <c r="C321" t="s">
        <v>693</v>
      </c>
      <c r="D321" t="s">
        <v>694</v>
      </c>
      <c r="E321" t="s">
        <v>228</v>
      </c>
      <c r="F321">
        <v>59.99</v>
      </c>
      <c r="G321">
        <v>59.99</v>
      </c>
      <c r="H321">
        <v>30</v>
      </c>
      <c r="I321">
        <v>32.72</v>
      </c>
      <c r="J321">
        <v>49.08</v>
      </c>
      <c r="K321">
        <v>30</v>
      </c>
      <c r="L321">
        <v>32.72</v>
      </c>
      <c r="M321">
        <v>35.450000000000003</v>
      </c>
      <c r="P321">
        <v>27.27</v>
      </c>
      <c r="Q321">
        <v>32.72</v>
      </c>
      <c r="R321">
        <v>32.08</v>
      </c>
      <c r="S321">
        <v>28.63</v>
      </c>
      <c r="T321" t="s">
        <v>97</v>
      </c>
      <c r="V321">
        <v>46.36</v>
      </c>
      <c r="W321">
        <v>46.36</v>
      </c>
      <c r="X321">
        <v>46.36</v>
      </c>
      <c r="Y321">
        <v>46.36</v>
      </c>
      <c r="Z321">
        <v>59.99</v>
      </c>
      <c r="AA321" t="s">
        <v>97</v>
      </c>
      <c r="AC321">
        <v>35.450000000000003</v>
      </c>
    </row>
    <row r="322" spans="1:29" x14ac:dyDescent="0.2">
      <c r="A322" t="s">
        <v>92</v>
      </c>
      <c r="B322" t="s">
        <v>446</v>
      </c>
      <c r="C322" t="s">
        <v>695</v>
      </c>
      <c r="D322" t="s">
        <v>696</v>
      </c>
      <c r="E322" t="s">
        <v>228</v>
      </c>
      <c r="F322">
        <v>99.99</v>
      </c>
      <c r="H322">
        <v>50</v>
      </c>
      <c r="I322">
        <v>54.54</v>
      </c>
      <c r="J322">
        <v>81.81</v>
      </c>
      <c r="K322">
        <v>50</v>
      </c>
      <c r="L322">
        <v>63.63</v>
      </c>
      <c r="M322">
        <v>56.36</v>
      </c>
      <c r="Q322">
        <v>54.54</v>
      </c>
      <c r="R322">
        <v>54.54</v>
      </c>
      <c r="S322">
        <v>45</v>
      </c>
      <c r="T322" t="s">
        <v>97</v>
      </c>
      <c r="V322">
        <v>77.27</v>
      </c>
      <c r="W322">
        <v>77.27</v>
      </c>
      <c r="X322">
        <v>77.27</v>
      </c>
      <c r="Y322">
        <v>77.27</v>
      </c>
      <c r="Z322">
        <v>99.99</v>
      </c>
      <c r="AA322" t="s">
        <v>97</v>
      </c>
      <c r="AC322">
        <v>59.09</v>
      </c>
    </row>
    <row r="323" spans="1:29" x14ac:dyDescent="0.2">
      <c r="A323" t="s">
        <v>92</v>
      </c>
      <c r="B323" t="s">
        <v>446</v>
      </c>
      <c r="C323" t="s">
        <v>697</v>
      </c>
      <c r="D323" t="s">
        <v>698</v>
      </c>
      <c r="E323" t="s">
        <v>228</v>
      </c>
      <c r="F323">
        <v>99.99</v>
      </c>
      <c r="H323">
        <v>54.54</v>
      </c>
      <c r="I323">
        <v>72.72</v>
      </c>
      <c r="J323">
        <v>81.81</v>
      </c>
      <c r="K323">
        <v>54.54</v>
      </c>
      <c r="L323">
        <v>51.3</v>
      </c>
      <c r="M323">
        <v>63.63</v>
      </c>
      <c r="Q323">
        <v>51.81</v>
      </c>
      <c r="R323">
        <v>53.45</v>
      </c>
      <c r="T323" t="s">
        <v>97</v>
      </c>
      <c r="AA323" t="s">
        <v>97</v>
      </c>
      <c r="AC323">
        <v>63.63</v>
      </c>
    </row>
    <row r="324" spans="1:29" x14ac:dyDescent="0.2">
      <c r="A324" t="s">
        <v>92</v>
      </c>
      <c r="B324" t="s">
        <v>446</v>
      </c>
      <c r="C324" t="s">
        <v>699</v>
      </c>
      <c r="D324" t="s">
        <v>700</v>
      </c>
      <c r="E324" t="s">
        <v>228</v>
      </c>
      <c r="F324">
        <v>79.989999999999995</v>
      </c>
      <c r="H324">
        <v>43.63</v>
      </c>
      <c r="I324">
        <v>58.17</v>
      </c>
      <c r="J324">
        <v>65.45</v>
      </c>
      <c r="K324">
        <v>43.63</v>
      </c>
      <c r="L324">
        <v>47.27</v>
      </c>
      <c r="M324">
        <v>50.9</v>
      </c>
      <c r="Q324">
        <v>41.45</v>
      </c>
      <c r="R324">
        <v>43.63</v>
      </c>
      <c r="T324" t="s">
        <v>97</v>
      </c>
      <c r="Z324">
        <v>79.989999999999995</v>
      </c>
      <c r="AA324" t="s">
        <v>97</v>
      </c>
      <c r="AC324">
        <v>47.27</v>
      </c>
    </row>
    <row r="325" spans="1:29" x14ac:dyDescent="0.2">
      <c r="A325" t="s">
        <v>92</v>
      </c>
      <c r="B325" t="s">
        <v>446</v>
      </c>
      <c r="C325" t="s">
        <v>701</v>
      </c>
      <c r="D325" t="s">
        <v>702</v>
      </c>
      <c r="E325" t="s">
        <v>228</v>
      </c>
      <c r="F325">
        <v>79.989999999999995</v>
      </c>
      <c r="H325">
        <v>43.63</v>
      </c>
      <c r="I325">
        <v>58.17</v>
      </c>
      <c r="J325">
        <v>65.45</v>
      </c>
      <c r="K325">
        <v>43.63</v>
      </c>
      <c r="L325">
        <v>38.9</v>
      </c>
      <c r="M325">
        <v>50.9</v>
      </c>
      <c r="Q325">
        <v>41.45</v>
      </c>
      <c r="R325">
        <v>43.63</v>
      </c>
      <c r="T325" t="s">
        <v>97</v>
      </c>
      <c r="Z325">
        <v>79.989999999999995</v>
      </c>
      <c r="AA325" t="s">
        <v>97</v>
      </c>
      <c r="AC325">
        <v>47.27</v>
      </c>
    </row>
    <row r="326" spans="1:29" x14ac:dyDescent="0.2">
      <c r="A326" t="s">
        <v>92</v>
      </c>
      <c r="B326" t="s">
        <v>446</v>
      </c>
      <c r="C326" t="s">
        <v>703</v>
      </c>
      <c r="D326" t="s">
        <v>704</v>
      </c>
      <c r="E326" t="s">
        <v>228</v>
      </c>
      <c r="F326">
        <v>79.989999999999995</v>
      </c>
      <c r="H326">
        <v>43.63</v>
      </c>
      <c r="I326">
        <v>58.17</v>
      </c>
      <c r="J326">
        <v>65.45</v>
      </c>
      <c r="K326">
        <v>43.63</v>
      </c>
      <c r="L326">
        <v>47.27</v>
      </c>
      <c r="M326">
        <v>50.9</v>
      </c>
      <c r="Q326">
        <v>41.45</v>
      </c>
      <c r="R326">
        <v>43.63</v>
      </c>
      <c r="T326" t="s">
        <v>97</v>
      </c>
      <c r="Z326">
        <v>79.989999999999995</v>
      </c>
      <c r="AA326" t="s">
        <v>97</v>
      </c>
      <c r="AC326">
        <v>47.27</v>
      </c>
    </row>
    <row r="327" spans="1:29" x14ac:dyDescent="0.2">
      <c r="A327" t="s">
        <v>92</v>
      </c>
      <c r="B327" t="s">
        <v>446</v>
      </c>
      <c r="C327" t="s">
        <v>705</v>
      </c>
      <c r="D327" t="s">
        <v>706</v>
      </c>
      <c r="E327" t="s">
        <v>228</v>
      </c>
      <c r="F327">
        <v>159.99</v>
      </c>
      <c r="H327">
        <v>80</v>
      </c>
      <c r="I327">
        <v>87.27</v>
      </c>
      <c r="J327">
        <v>130.9</v>
      </c>
      <c r="K327">
        <v>72.72</v>
      </c>
      <c r="L327">
        <v>87.27</v>
      </c>
      <c r="M327">
        <v>94.54</v>
      </c>
      <c r="Q327">
        <v>72.72</v>
      </c>
      <c r="R327">
        <v>85.55</v>
      </c>
      <c r="T327" t="s">
        <v>97</v>
      </c>
      <c r="V327">
        <v>123.63</v>
      </c>
      <c r="W327">
        <v>123.63</v>
      </c>
      <c r="X327">
        <v>123.63</v>
      </c>
      <c r="Y327">
        <v>123.63</v>
      </c>
      <c r="Z327">
        <v>159.99</v>
      </c>
      <c r="AA327" t="s">
        <v>97</v>
      </c>
      <c r="AC327">
        <v>90.9</v>
      </c>
    </row>
    <row r="328" spans="1:29" x14ac:dyDescent="0.2">
      <c r="A328" t="s">
        <v>92</v>
      </c>
      <c r="B328" t="s">
        <v>446</v>
      </c>
      <c r="C328" t="s">
        <v>707</v>
      </c>
      <c r="D328" t="s">
        <v>708</v>
      </c>
      <c r="E328" t="s">
        <v>228</v>
      </c>
      <c r="F328">
        <v>69.989999999999995</v>
      </c>
      <c r="H328">
        <v>35</v>
      </c>
      <c r="I328">
        <v>38.18</v>
      </c>
      <c r="J328">
        <v>57.26</v>
      </c>
      <c r="K328">
        <v>31.81</v>
      </c>
      <c r="L328">
        <v>36.590000000000003</v>
      </c>
      <c r="M328">
        <v>41.36</v>
      </c>
      <c r="Q328">
        <v>31.81</v>
      </c>
      <c r="R328">
        <v>37.43</v>
      </c>
      <c r="T328" t="s">
        <v>97</v>
      </c>
      <c r="V328">
        <v>54.08</v>
      </c>
      <c r="W328">
        <v>54.08</v>
      </c>
      <c r="X328">
        <v>54.08</v>
      </c>
      <c r="Y328">
        <v>54.08</v>
      </c>
      <c r="Z328">
        <v>69.989999999999995</v>
      </c>
      <c r="AA328" t="s">
        <v>97</v>
      </c>
      <c r="AC328">
        <v>39.770000000000003</v>
      </c>
    </row>
    <row r="329" spans="1:29" x14ac:dyDescent="0.2">
      <c r="A329" t="s">
        <v>92</v>
      </c>
      <c r="B329" t="s">
        <v>446</v>
      </c>
      <c r="C329" t="s">
        <v>709</v>
      </c>
      <c r="D329" t="s">
        <v>710</v>
      </c>
      <c r="E329" t="s">
        <v>228</v>
      </c>
      <c r="F329">
        <v>69.989999999999995</v>
      </c>
      <c r="H329">
        <v>35</v>
      </c>
      <c r="I329">
        <v>38.18</v>
      </c>
      <c r="J329">
        <v>57.26</v>
      </c>
      <c r="K329">
        <v>31.81</v>
      </c>
      <c r="L329">
        <v>36.590000000000003</v>
      </c>
      <c r="M329">
        <v>41.36</v>
      </c>
      <c r="Q329">
        <v>31.81</v>
      </c>
      <c r="R329">
        <v>37.43</v>
      </c>
      <c r="T329" t="s">
        <v>97</v>
      </c>
      <c r="V329">
        <v>54.08</v>
      </c>
      <c r="W329">
        <v>54.08</v>
      </c>
      <c r="X329">
        <v>54.08</v>
      </c>
      <c r="Y329">
        <v>54.08</v>
      </c>
      <c r="Z329">
        <v>69.989999999999995</v>
      </c>
      <c r="AA329" t="s">
        <v>97</v>
      </c>
      <c r="AC329">
        <v>39.770000000000003</v>
      </c>
    </row>
    <row r="330" spans="1:29" x14ac:dyDescent="0.2">
      <c r="A330" t="s">
        <v>92</v>
      </c>
      <c r="B330" t="s">
        <v>446</v>
      </c>
      <c r="C330" t="s">
        <v>711</v>
      </c>
      <c r="D330" t="s">
        <v>712</v>
      </c>
      <c r="E330" t="s">
        <v>228</v>
      </c>
      <c r="F330">
        <v>99.99</v>
      </c>
      <c r="H330">
        <v>50</v>
      </c>
      <c r="I330">
        <v>54.54</v>
      </c>
      <c r="J330">
        <v>81.81</v>
      </c>
      <c r="K330">
        <v>45.45</v>
      </c>
      <c r="L330">
        <v>52.27</v>
      </c>
      <c r="M330">
        <v>59.09</v>
      </c>
      <c r="Q330">
        <v>45.45</v>
      </c>
      <c r="R330">
        <v>53.47</v>
      </c>
      <c r="T330" t="s">
        <v>97</v>
      </c>
      <c r="V330">
        <v>77.27</v>
      </c>
      <c r="W330">
        <v>77.27</v>
      </c>
      <c r="X330">
        <v>77.27</v>
      </c>
      <c r="Y330">
        <v>77.27</v>
      </c>
      <c r="Z330">
        <v>99.99</v>
      </c>
      <c r="AA330" t="s">
        <v>97</v>
      </c>
      <c r="AC330">
        <v>56.81</v>
      </c>
    </row>
    <row r="331" spans="1:29" x14ac:dyDescent="0.2">
      <c r="A331" t="s">
        <v>92</v>
      </c>
      <c r="B331" t="s">
        <v>446</v>
      </c>
      <c r="C331" t="s">
        <v>713</v>
      </c>
      <c r="D331" t="s">
        <v>714</v>
      </c>
      <c r="E331" t="s">
        <v>228</v>
      </c>
      <c r="F331">
        <v>99.99</v>
      </c>
      <c r="H331">
        <v>50</v>
      </c>
      <c r="I331">
        <v>54.54</v>
      </c>
      <c r="J331">
        <v>81.81</v>
      </c>
      <c r="K331">
        <v>45.45</v>
      </c>
      <c r="L331">
        <v>52.27</v>
      </c>
      <c r="M331">
        <v>59.09</v>
      </c>
      <c r="Q331">
        <v>45.45</v>
      </c>
      <c r="R331">
        <v>53.47</v>
      </c>
      <c r="T331" t="s">
        <v>97</v>
      </c>
      <c r="V331">
        <v>77.27</v>
      </c>
      <c r="W331">
        <v>77.27</v>
      </c>
      <c r="X331">
        <v>77.27</v>
      </c>
      <c r="Y331">
        <v>77.27</v>
      </c>
      <c r="Z331">
        <v>99.99</v>
      </c>
      <c r="AA331" t="s">
        <v>97</v>
      </c>
      <c r="AC331">
        <v>56.81</v>
      </c>
    </row>
    <row r="332" spans="1:29" x14ac:dyDescent="0.2">
      <c r="A332" t="s">
        <v>92</v>
      </c>
      <c r="B332" t="s">
        <v>446</v>
      </c>
      <c r="C332" t="s">
        <v>715</v>
      </c>
      <c r="D332" t="s">
        <v>716</v>
      </c>
      <c r="E332" t="s">
        <v>228</v>
      </c>
      <c r="F332">
        <v>24.99</v>
      </c>
      <c r="H332">
        <v>11.36</v>
      </c>
      <c r="I332">
        <v>13.63</v>
      </c>
      <c r="J332">
        <v>20.45</v>
      </c>
      <c r="K332">
        <v>11.36</v>
      </c>
      <c r="L332">
        <v>9.43</v>
      </c>
      <c r="T332" t="s">
        <v>97</v>
      </c>
      <c r="AA332" t="s">
        <v>97</v>
      </c>
      <c r="AC332">
        <v>11.36</v>
      </c>
    </row>
    <row r="333" spans="1:29" x14ac:dyDescent="0.2">
      <c r="A333" t="s">
        <v>92</v>
      </c>
      <c r="B333" t="s">
        <v>446</v>
      </c>
      <c r="C333" t="s">
        <v>717</v>
      </c>
      <c r="D333" t="s">
        <v>718</v>
      </c>
      <c r="E333" t="s">
        <v>228</v>
      </c>
      <c r="F333">
        <v>29.99</v>
      </c>
      <c r="H333">
        <v>13.63</v>
      </c>
      <c r="I333">
        <v>16.36</v>
      </c>
      <c r="J333">
        <v>24.54</v>
      </c>
      <c r="K333">
        <v>13.63</v>
      </c>
      <c r="L333">
        <v>11.39</v>
      </c>
      <c r="T333" t="s">
        <v>97</v>
      </c>
      <c r="AA333" t="s">
        <v>97</v>
      </c>
      <c r="AC333">
        <v>13.63</v>
      </c>
    </row>
    <row r="334" spans="1:29" x14ac:dyDescent="0.2">
      <c r="A334" t="s">
        <v>92</v>
      </c>
      <c r="B334" t="s">
        <v>446</v>
      </c>
      <c r="C334" t="s">
        <v>719</v>
      </c>
      <c r="D334" t="s">
        <v>720</v>
      </c>
      <c r="E334" t="s">
        <v>290</v>
      </c>
      <c r="F334">
        <v>29.99</v>
      </c>
      <c r="H334">
        <v>15</v>
      </c>
      <c r="I334">
        <v>16.36</v>
      </c>
      <c r="J334">
        <v>24.54</v>
      </c>
      <c r="K334">
        <v>15</v>
      </c>
      <c r="L334">
        <v>16.36</v>
      </c>
      <c r="M334">
        <v>17.72</v>
      </c>
      <c r="P334">
        <v>13.63</v>
      </c>
      <c r="Q334">
        <v>16.36</v>
      </c>
      <c r="R334">
        <v>15</v>
      </c>
      <c r="S334">
        <v>15</v>
      </c>
      <c r="T334" t="s">
        <v>97</v>
      </c>
      <c r="Y334">
        <v>21.81</v>
      </c>
      <c r="Z334">
        <v>29.99</v>
      </c>
      <c r="AA334" t="s">
        <v>97</v>
      </c>
      <c r="AC334">
        <v>17.72</v>
      </c>
    </row>
    <row r="335" spans="1:29" x14ac:dyDescent="0.2">
      <c r="A335" t="s">
        <v>92</v>
      </c>
      <c r="B335" t="s">
        <v>446</v>
      </c>
      <c r="C335" t="s">
        <v>721</v>
      </c>
      <c r="D335" t="s">
        <v>722</v>
      </c>
      <c r="E335" t="s">
        <v>290</v>
      </c>
      <c r="F335">
        <v>29.99</v>
      </c>
      <c r="H335">
        <v>15</v>
      </c>
      <c r="I335">
        <v>16.36</v>
      </c>
      <c r="J335">
        <v>24.54</v>
      </c>
      <c r="K335">
        <v>15</v>
      </c>
      <c r="L335">
        <v>16.36</v>
      </c>
      <c r="M335">
        <v>17.72</v>
      </c>
      <c r="P335">
        <v>13.63</v>
      </c>
      <c r="Q335">
        <v>16.36</v>
      </c>
      <c r="R335">
        <v>15</v>
      </c>
      <c r="S335">
        <v>15</v>
      </c>
      <c r="T335" t="s">
        <v>97</v>
      </c>
      <c r="Y335">
        <v>21.81</v>
      </c>
      <c r="Z335">
        <v>29.99</v>
      </c>
      <c r="AA335" t="s">
        <v>97</v>
      </c>
      <c r="AC335">
        <v>17.72</v>
      </c>
    </row>
    <row r="336" spans="1:29" x14ac:dyDescent="0.2">
      <c r="A336" t="s">
        <v>92</v>
      </c>
      <c r="B336" t="s">
        <v>446</v>
      </c>
      <c r="C336" t="s">
        <v>723</v>
      </c>
      <c r="D336" t="s">
        <v>724</v>
      </c>
      <c r="E336" t="s">
        <v>290</v>
      </c>
      <c r="F336">
        <v>34.99</v>
      </c>
      <c r="H336">
        <v>17.5</v>
      </c>
      <c r="I336">
        <v>19.09</v>
      </c>
      <c r="J336">
        <v>28.63</v>
      </c>
      <c r="K336">
        <v>17.5</v>
      </c>
      <c r="L336">
        <v>19.09</v>
      </c>
      <c r="M336">
        <v>20.68</v>
      </c>
      <c r="P336">
        <v>15.9</v>
      </c>
      <c r="Q336">
        <v>19.09</v>
      </c>
      <c r="R336">
        <v>17.5</v>
      </c>
      <c r="S336">
        <v>17.5</v>
      </c>
      <c r="T336" t="s">
        <v>97</v>
      </c>
      <c r="Y336">
        <v>25.45</v>
      </c>
      <c r="Z336">
        <v>34.99</v>
      </c>
      <c r="AA336" t="s">
        <v>97</v>
      </c>
      <c r="AC336">
        <v>20.68</v>
      </c>
    </row>
    <row r="337" spans="1:29" x14ac:dyDescent="0.2">
      <c r="A337" t="s">
        <v>92</v>
      </c>
      <c r="B337" t="s">
        <v>446</v>
      </c>
      <c r="C337" t="s">
        <v>725</v>
      </c>
      <c r="D337" t="s">
        <v>726</v>
      </c>
      <c r="E337" t="s">
        <v>228</v>
      </c>
      <c r="F337">
        <v>22.99</v>
      </c>
      <c r="H337">
        <v>10.45</v>
      </c>
      <c r="I337">
        <v>16.72</v>
      </c>
      <c r="J337">
        <v>18.809999999999999</v>
      </c>
      <c r="K337">
        <v>10.45</v>
      </c>
      <c r="L337">
        <v>13.59</v>
      </c>
      <c r="M337">
        <v>12.54</v>
      </c>
      <c r="Q337">
        <v>11.5</v>
      </c>
      <c r="R337">
        <v>10.45</v>
      </c>
      <c r="T337" t="s">
        <v>97</v>
      </c>
      <c r="Z337">
        <v>22.99</v>
      </c>
      <c r="AA337" t="s">
        <v>97</v>
      </c>
      <c r="AC337">
        <v>12.54</v>
      </c>
    </row>
    <row r="338" spans="1:29" x14ac:dyDescent="0.2">
      <c r="A338" t="s">
        <v>92</v>
      </c>
      <c r="B338" t="s">
        <v>446</v>
      </c>
      <c r="C338" t="s">
        <v>727</v>
      </c>
      <c r="D338" t="s">
        <v>728</v>
      </c>
      <c r="E338" t="s">
        <v>228</v>
      </c>
      <c r="F338">
        <v>17.989999999999998</v>
      </c>
      <c r="H338">
        <v>8.18</v>
      </c>
      <c r="I338">
        <v>9.81</v>
      </c>
      <c r="J338">
        <v>14.72</v>
      </c>
      <c r="K338">
        <v>8.18</v>
      </c>
      <c r="L338">
        <v>9</v>
      </c>
      <c r="M338">
        <v>9.81</v>
      </c>
      <c r="P338">
        <v>7.36</v>
      </c>
      <c r="Q338">
        <v>9</v>
      </c>
      <c r="R338">
        <v>6.95</v>
      </c>
      <c r="S338">
        <v>8.18</v>
      </c>
      <c r="T338" t="s">
        <v>97</v>
      </c>
      <c r="Y338">
        <v>13.08</v>
      </c>
      <c r="Z338">
        <v>17.989999999999998</v>
      </c>
      <c r="AA338" t="s">
        <v>97</v>
      </c>
      <c r="AC338">
        <v>9</v>
      </c>
    </row>
    <row r="339" spans="1:29" x14ac:dyDescent="0.2">
      <c r="A339" t="s">
        <v>92</v>
      </c>
      <c r="B339" t="s">
        <v>446</v>
      </c>
      <c r="C339" t="s">
        <v>729</v>
      </c>
      <c r="D339" t="s">
        <v>730</v>
      </c>
      <c r="E339" t="s">
        <v>228</v>
      </c>
      <c r="F339">
        <v>17.989999999999998</v>
      </c>
      <c r="H339">
        <v>8.18</v>
      </c>
      <c r="I339">
        <v>9.81</v>
      </c>
      <c r="J339">
        <v>14.72</v>
      </c>
      <c r="K339">
        <v>8.18</v>
      </c>
      <c r="L339">
        <v>9</v>
      </c>
      <c r="M339">
        <v>9.81</v>
      </c>
      <c r="P339">
        <v>7.36</v>
      </c>
      <c r="Q339">
        <v>9</v>
      </c>
      <c r="R339">
        <v>6.95</v>
      </c>
      <c r="S339">
        <v>8.18</v>
      </c>
      <c r="T339" t="s">
        <v>97</v>
      </c>
      <c r="Y339">
        <v>13.08</v>
      </c>
      <c r="Z339">
        <v>17.989999999999998</v>
      </c>
      <c r="AA339" t="s">
        <v>97</v>
      </c>
      <c r="AC339">
        <v>9</v>
      </c>
    </row>
    <row r="340" spans="1:29" x14ac:dyDescent="0.2">
      <c r="A340" t="s">
        <v>92</v>
      </c>
      <c r="B340" t="s">
        <v>446</v>
      </c>
      <c r="C340" t="s">
        <v>731</v>
      </c>
      <c r="D340" t="s">
        <v>732</v>
      </c>
      <c r="E340" t="s">
        <v>228</v>
      </c>
      <c r="F340">
        <v>22.99</v>
      </c>
      <c r="H340">
        <v>10.45</v>
      </c>
      <c r="I340">
        <v>12.54</v>
      </c>
      <c r="J340">
        <v>18.809999999999999</v>
      </c>
      <c r="K340">
        <v>10.45</v>
      </c>
      <c r="L340">
        <v>11.5</v>
      </c>
      <c r="M340">
        <v>12.54</v>
      </c>
      <c r="P340">
        <v>9.41</v>
      </c>
      <c r="Q340">
        <v>11.5</v>
      </c>
      <c r="R340">
        <v>9</v>
      </c>
      <c r="S340">
        <v>10.45</v>
      </c>
      <c r="T340" t="s">
        <v>97</v>
      </c>
      <c r="Y340">
        <v>16.72</v>
      </c>
      <c r="Z340">
        <v>22.99</v>
      </c>
      <c r="AA340" t="s">
        <v>97</v>
      </c>
      <c r="AC340">
        <v>11.5</v>
      </c>
    </row>
    <row r="341" spans="1:29" x14ac:dyDescent="0.2">
      <c r="A341" t="s">
        <v>92</v>
      </c>
      <c r="B341" t="s">
        <v>446</v>
      </c>
      <c r="C341" t="s">
        <v>733</v>
      </c>
      <c r="D341" t="s">
        <v>734</v>
      </c>
      <c r="E341" t="s">
        <v>228</v>
      </c>
      <c r="F341">
        <v>27.99</v>
      </c>
      <c r="H341">
        <v>12.72</v>
      </c>
      <c r="I341">
        <v>20.36</v>
      </c>
      <c r="J341">
        <v>22.9</v>
      </c>
      <c r="K341">
        <v>12.72</v>
      </c>
      <c r="L341">
        <v>16.54</v>
      </c>
      <c r="M341">
        <v>15.27</v>
      </c>
      <c r="Q341">
        <v>14</v>
      </c>
      <c r="R341">
        <v>12.72</v>
      </c>
      <c r="T341" t="s">
        <v>97</v>
      </c>
      <c r="Z341">
        <v>27.99</v>
      </c>
      <c r="AA341" t="s">
        <v>97</v>
      </c>
      <c r="AC341">
        <v>13.74</v>
      </c>
    </row>
    <row r="342" spans="1:29" x14ac:dyDescent="0.2">
      <c r="A342" t="s">
        <v>92</v>
      </c>
      <c r="B342" t="s">
        <v>446</v>
      </c>
      <c r="C342" t="s">
        <v>735</v>
      </c>
      <c r="D342" t="s">
        <v>736</v>
      </c>
      <c r="E342" t="s">
        <v>228</v>
      </c>
      <c r="F342">
        <v>32.99</v>
      </c>
      <c r="H342">
        <v>15</v>
      </c>
      <c r="I342">
        <v>23.99</v>
      </c>
      <c r="J342">
        <v>26.99</v>
      </c>
      <c r="K342">
        <v>15</v>
      </c>
      <c r="L342">
        <v>19.489999999999998</v>
      </c>
      <c r="M342">
        <v>17.989999999999998</v>
      </c>
      <c r="Q342">
        <v>16.5</v>
      </c>
      <c r="R342">
        <v>15</v>
      </c>
      <c r="T342" t="s">
        <v>97</v>
      </c>
      <c r="Z342">
        <v>32.99</v>
      </c>
      <c r="AA342" t="s">
        <v>97</v>
      </c>
      <c r="AC342">
        <v>16.2</v>
      </c>
    </row>
    <row r="343" spans="1:29" x14ac:dyDescent="0.2">
      <c r="A343" t="s">
        <v>92</v>
      </c>
      <c r="B343" t="s">
        <v>446</v>
      </c>
      <c r="C343" t="s">
        <v>737</v>
      </c>
      <c r="D343" t="s">
        <v>738</v>
      </c>
      <c r="E343" t="s">
        <v>228</v>
      </c>
      <c r="F343">
        <v>19.989999999999998</v>
      </c>
      <c r="H343">
        <v>9.09</v>
      </c>
      <c r="I343">
        <v>10.9</v>
      </c>
      <c r="J343">
        <v>16.36</v>
      </c>
      <c r="K343">
        <v>9.09</v>
      </c>
      <c r="L343">
        <v>10</v>
      </c>
      <c r="M343">
        <v>10.9</v>
      </c>
      <c r="P343">
        <v>8.18</v>
      </c>
      <c r="Q343">
        <v>10</v>
      </c>
      <c r="R343">
        <v>8.18</v>
      </c>
      <c r="S343">
        <v>9.09</v>
      </c>
      <c r="T343" t="s">
        <v>97</v>
      </c>
      <c r="W343">
        <v>16.36</v>
      </c>
      <c r="Y343">
        <v>14.54</v>
      </c>
      <c r="Z343">
        <v>19.989999999999998</v>
      </c>
      <c r="AA343" t="s">
        <v>97</v>
      </c>
      <c r="AC343">
        <v>9.09</v>
      </c>
    </row>
    <row r="344" spans="1:29" x14ac:dyDescent="0.2">
      <c r="A344" t="s">
        <v>92</v>
      </c>
      <c r="B344" t="s">
        <v>446</v>
      </c>
      <c r="C344" t="s">
        <v>739</v>
      </c>
      <c r="D344" t="s">
        <v>740</v>
      </c>
      <c r="E344" t="s">
        <v>228</v>
      </c>
      <c r="F344">
        <v>19.989999999999998</v>
      </c>
      <c r="H344">
        <v>9.09</v>
      </c>
      <c r="I344">
        <v>10.9</v>
      </c>
      <c r="J344">
        <v>16.36</v>
      </c>
      <c r="K344">
        <v>9.09</v>
      </c>
      <c r="L344">
        <v>10</v>
      </c>
      <c r="M344">
        <v>10.9</v>
      </c>
      <c r="P344">
        <v>8.18</v>
      </c>
      <c r="Q344">
        <v>10</v>
      </c>
      <c r="R344">
        <v>8.18</v>
      </c>
      <c r="S344">
        <v>9.09</v>
      </c>
      <c r="T344" t="s">
        <v>97</v>
      </c>
      <c r="Y344">
        <v>14.54</v>
      </c>
      <c r="Z344">
        <v>19.989999999999998</v>
      </c>
      <c r="AA344" t="s">
        <v>97</v>
      </c>
      <c r="AC344">
        <v>9.09</v>
      </c>
    </row>
    <row r="345" spans="1:29" x14ac:dyDescent="0.2">
      <c r="A345" t="s">
        <v>92</v>
      </c>
      <c r="B345" t="s">
        <v>446</v>
      </c>
      <c r="C345" t="s">
        <v>741</v>
      </c>
      <c r="D345" t="s">
        <v>742</v>
      </c>
      <c r="E345" t="s">
        <v>228</v>
      </c>
      <c r="F345">
        <v>49.99</v>
      </c>
      <c r="H345">
        <v>22.72</v>
      </c>
      <c r="I345">
        <v>27.27</v>
      </c>
      <c r="J345">
        <v>40.9</v>
      </c>
      <c r="K345">
        <v>22.72</v>
      </c>
      <c r="L345">
        <v>18.18</v>
      </c>
      <c r="M345">
        <v>27.27</v>
      </c>
      <c r="Q345">
        <v>25</v>
      </c>
      <c r="R345">
        <v>20.45</v>
      </c>
      <c r="T345" t="s">
        <v>97</v>
      </c>
      <c r="Z345">
        <v>49.99</v>
      </c>
      <c r="AA345" t="s">
        <v>97</v>
      </c>
      <c r="AC345">
        <v>22.72</v>
      </c>
    </row>
    <row r="346" spans="1:29" x14ac:dyDescent="0.2">
      <c r="A346" t="s">
        <v>92</v>
      </c>
      <c r="B346" t="s">
        <v>446</v>
      </c>
      <c r="C346" t="s">
        <v>743</v>
      </c>
      <c r="D346" t="s">
        <v>744</v>
      </c>
      <c r="E346" t="s">
        <v>228</v>
      </c>
      <c r="F346">
        <v>59.99</v>
      </c>
      <c r="H346">
        <v>27.27</v>
      </c>
      <c r="I346">
        <v>32.72</v>
      </c>
      <c r="J346">
        <v>49.08</v>
      </c>
      <c r="K346">
        <v>27.27</v>
      </c>
      <c r="L346">
        <v>21.81</v>
      </c>
      <c r="M346">
        <v>32.72</v>
      </c>
      <c r="Q346">
        <v>30</v>
      </c>
      <c r="R346">
        <v>24.54</v>
      </c>
      <c r="T346" t="s">
        <v>97</v>
      </c>
      <c r="Z346">
        <v>59.99</v>
      </c>
      <c r="AA346" t="s">
        <v>97</v>
      </c>
      <c r="AC346">
        <v>27.27</v>
      </c>
    </row>
    <row r="347" spans="1:29" x14ac:dyDescent="0.2">
      <c r="A347" t="s">
        <v>92</v>
      </c>
      <c r="B347" t="s">
        <v>446</v>
      </c>
      <c r="C347" t="s">
        <v>745</v>
      </c>
      <c r="D347" t="s">
        <v>746</v>
      </c>
      <c r="E347" t="s">
        <v>228</v>
      </c>
      <c r="F347">
        <v>29.99</v>
      </c>
      <c r="H347">
        <v>13.63</v>
      </c>
      <c r="I347">
        <v>16.36</v>
      </c>
      <c r="J347">
        <v>24.54</v>
      </c>
      <c r="K347">
        <v>13.63</v>
      </c>
      <c r="L347">
        <v>10.91</v>
      </c>
      <c r="M347">
        <v>16.36</v>
      </c>
      <c r="Q347">
        <v>15</v>
      </c>
      <c r="R347">
        <v>12.27</v>
      </c>
      <c r="T347" t="s">
        <v>97</v>
      </c>
      <c r="Z347">
        <v>29.99</v>
      </c>
      <c r="AA347" t="s">
        <v>97</v>
      </c>
      <c r="AC347">
        <v>13.63</v>
      </c>
    </row>
    <row r="348" spans="1:29" x14ac:dyDescent="0.2">
      <c r="A348" t="s">
        <v>92</v>
      </c>
      <c r="B348" t="s">
        <v>446</v>
      </c>
      <c r="C348" t="s">
        <v>747</v>
      </c>
      <c r="D348" t="s">
        <v>748</v>
      </c>
      <c r="E348" t="s">
        <v>228</v>
      </c>
      <c r="F348">
        <v>27.99</v>
      </c>
      <c r="H348">
        <v>12.72</v>
      </c>
      <c r="I348">
        <v>15.27</v>
      </c>
      <c r="J348">
        <v>22.9</v>
      </c>
      <c r="K348">
        <v>12.72</v>
      </c>
      <c r="L348">
        <v>14</v>
      </c>
      <c r="M348">
        <v>15.27</v>
      </c>
      <c r="P348">
        <v>11.45</v>
      </c>
      <c r="Q348">
        <v>14</v>
      </c>
      <c r="R348">
        <v>11.45</v>
      </c>
      <c r="T348" t="s">
        <v>97</v>
      </c>
      <c r="Z348">
        <v>27.99</v>
      </c>
      <c r="AA348" t="s">
        <v>97</v>
      </c>
      <c r="AC348">
        <v>12.72</v>
      </c>
    </row>
    <row r="349" spans="1:29" x14ac:dyDescent="0.2">
      <c r="A349" t="s">
        <v>92</v>
      </c>
      <c r="B349" t="s">
        <v>446</v>
      </c>
      <c r="C349" t="s">
        <v>749</v>
      </c>
      <c r="D349" t="s">
        <v>750</v>
      </c>
      <c r="E349" t="s">
        <v>228</v>
      </c>
      <c r="F349">
        <v>32.99</v>
      </c>
      <c r="H349">
        <v>15</v>
      </c>
      <c r="I349">
        <v>17.989999999999998</v>
      </c>
      <c r="J349">
        <v>26.99</v>
      </c>
      <c r="K349">
        <v>15</v>
      </c>
      <c r="L349">
        <v>16.5</v>
      </c>
      <c r="M349">
        <v>17.989999999999998</v>
      </c>
      <c r="P349">
        <v>13.5</v>
      </c>
      <c r="Q349">
        <v>16.5</v>
      </c>
      <c r="R349">
        <v>13.5</v>
      </c>
      <c r="T349" t="s">
        <v>97</v>
      </c>
      <c r="Z349">
        <v>32.99</v>
      </c>
      <c r="AA349" t="s">
        <v>97</v>
      </c>
      <c r="AC349">
        <v>15</v>
      </c>
    </row>
    <row r="350" spans="1:29" x14ac:dyDescent="0.2">
      <c r="A350" t="s">
        <v>92</v>
      </c>
      <c r="B350" t="s">
        <v>446</v>
      </c>
      <c r="C350" t="s">
        <v>751</v>
      </c>
      <c r="D350" t="s">
        <v>752</v>
      </c>
      <c r="E350" t="s">
        <v>228</v>
      </c>
      <c r="F350">
        <v>29.99</v>
      </c>
      <c r="H350">
        <v>13.63</v>
      </c>
      <c r="I350">
        <v>16.36</v>
      </c>
      <c r="J350">
        <v>24.54</v>
      </c>
      <c r="K350">
        <v>13.63</v>
      </c>
      <c r="L350">
        <v>10.91</v>
      </c>
      <c r="M350">
        <v>16.36</v>
      </c>
      <c r="Q350">
        <v>15</v>
      </c>
      <c r="R350">
        <v>12.27</v>
      </c>
      <c r="T350" t="s">
        <v>97</v>
      </c>
      <c r="Z350">
        <v>29.99</v>
      </c>
      <c r="AA350" t="s">
        <v>97</v>
      </c>
      <c r="AC350">
        <v>13.63</v>
      </c>
    </row>
    <row r="351" spans="1:29" x14ac:dyDescent="0.2">
      <c r="A351" t="s">
        <v>92</v>
      </c>
      <c r="B351" t="s">
        <v>446</v>
      </c>
      <c r="C351" t="s">
        <v>753</v>
      </c>
      <c r="D351" t="s">
        <v>754</v>
      </c>
      <c r="E351" t="s">
        <v>228</v>
      </c>
      <c r="F351">
        <v>39.99</v>
      </c>
      <c r="H351">
        <v>18.18</v>
      </c>
      <c r="I351">
        <v>21.81</v>
      </c>
      <c r="J351">
        <v>32.72</v>
      </c>
      <c r="K351">
        <v>18.18</v>
      </c>
      <c r="L351">
        <v>15.32</v>
      </c>
      <c r="T351" t="s">
        <v>97</v>
      </c>
      <c r="AA351" t="s">
        <v>97</v>
      </c>
    </row>
    <row r="352" spans="1:29" x14ac:dyDescent="0.2">
      <c r="A352" t="s">
        <v>92</v>
      </c>
      <c r="B352" t="s">
        <v>446</v>
      </c>
      <c r="C352" t="s">
        <v>755</v>
      </c>
      <c r="D352" t="s">
        <v>756</v>
      </c>
      <c r="E352" t="s">
        <v>228</v>
      </c>
      <c r="F352">
        <v>49.99</v>
      </c>
      <c r="H352">
        <v>25</v>
      </c>
      <c r="I352">
        <v>27.27</v>
      </c>
      <c r="J352">
        <v>40.9</v>
      </c>
      <c r="K352">
        <v>25</v>
      </c>
      <c r="L352">
        <v>27.27</v>
      </c>
      <c r="M352">
        <v>29.54</v>
      </c>
      <c r="Q352">
        <v>27.27</v>
      </c>
      <c r="R352">
        <v>26.73</v>
      </c>
      <c r="S352">
        <v>24.54</v>
      </c>
      <c r="T352" t="s">
        <v>97</v>
      </c>
      <c r="V352">
        <v>38.630000000000003</v>
      </c>
      <c r="W352">
        <v>38.630000000000003</v>
      </c>
      <c r="X352">
        <v>38.630000000000003</v>
      </c>
      <c r="Y352">
        <v>38.630000000000003</v>
      </c>
      <c r="AA352" t="s">
        <v>97</v>
      </c>
      <c r="AC352">
        <v>29.54</v>
      </c>
    </row>
    <row r="353" spans="1:29" x14ac:dyDescent="0.2">
      <c r="A353" t="s">
        <v>92</v>
      </c>
      <c r="B353" t="s">
        <v>446</v>
      </c>
      <c r="C353" t="s">
        <v>757</v>
      </c>
      <c r="D353" t="s">
        <v>758</v>
      </c>
      <c r="E353" t="s">
        <v>228</v>
      </c>
      <c r="F353">
        <v>49.99</v>
      </c>
      <c r="H353">
        <v>25</v>
      </c>
      <c r="I353">
        <v>27.27</v>
      </c>
      <c r="J353">
        <v>41.31</v>
      </c>
      <c r="K353">
        <v>25</v>
      </c>
      <c r="L353">
        <v>27.27</v>
      </c>
      <c r="M353">
        <v>29.54</v>
      </c>
      <c r="Q353">
        <v>27.27</v>
      </c>
      <c r="R353">
        <v>26.73</v>
      </c>
      <c r="S353">
        <v>25</v>
      </c>
      <c r="T353" t="s">
        <v>97</v>
      </c>
      <c r="V353">
        <v>38.630000000000003</v>
      </c>
      <c r="W353">
        <v>38.630000000000003</v>
      </c>
      <c r="X353">
        <v>38.630000000000003</v>
      </c>
      <c r="Y353">
        <v>38.630000000000003</v>
      </c>
      <c r="AA353" t="s">
        <v>97</v>
      </c>
      <c r="AC353">
        <v>29.54</v>
      </c>
    </row>
    <row r="354" spans="1:29" x14ac:dyDescent="0.2">
      <c r="A354" t="s">
        <v>92</v>
      </c>
      <c r="B354" t="s">
        <v>446</v>
      </c>
      <c r="C354" t="s">
        <v>759</v>
      </c>
      <c r="D354" t="s">
        <v>760</v>
      </c>
      <c r="E354" t="s">
        <v>228</v>
      </c>
      <c r="F354">
        <v>39.99</v>
      </c>
      <c r="H354">
        <v>20</v>
      </c>
      <c r="I354">
        <v>21.81</v>
      </c>
      <c r="J354">
        <v>32.72</v>
      </c>
      <c r="K354">
        <v>20</v>
      </c>
      <c r="L354">
        <v>18.18</v>
      </c>
      <c r="M354">
        <v>22.54</v>
      </c>
      <c r="P354">
        <v>16.36</v>
      </c>
      <c r="Q354">
        <v>21.81</v>
      </c>
      <c r="R354">
        <v>21.38</v>
      </c>
      <c r="S354">
        <v>16.36</v>
      </c>
      <c r="T354" t="s">
        <v>97</v>
      </c>
      <c r="Y354">
        <v>30.9</v>
      </c>
      <c r="Z354">
        <v>39.99</v>
      </c>
      <c r="AA354" t="s">
        <v>97</v>
      </c>
      <c r="AC354">
        <v>21.81</v>
      </c>
    </row>
    <row r="355" spans="1:29" x14ac:dyDescent="0.2">
      <c r="A355" t="s">
        <v>92</v>
      </c>
      <c r="B355" t="s">
        <v>446</v>
      </c>
      <c r="C355" t="s">
        <v>765</v>
      </c>
      <c r="D355" t="s">
        <v>766</v>
      </c>
      <c r="E355" t="s">
        <v>228</v>
      </c>
      <c r="F355">
        <v>39.99</v>
      </c>
      <c r="H355">
        <v>20</v>
      </c>
      <c r="I355">
        <v>21.81</v>
      </c>
      <c r="J355">
        <v>32.72</v>
      </c>
      <c r="K355">
        <v>20</v>
      </c>
      <c r="L355">
        <v>18.18</v>
      </c>
      <c r="M355">
        <v>22.54</v>
      </c>
      <c r="P355">
        <v>16.36</v>
      </c>
      <c r="Q355">
        <v>21.81</v>
      </c>
      <c r="R355">
        <v>21.38</v>
      </c>
      <c r="S355">
        <v>16.36</v>
      </c>
      <c r="T355" t="s">
        <v>97</v>
      </c>
      <c r="Y355">
        <v>30.9</v>
      </c>
      <c r="Z355">
        <v>39.99</v>
      </c>
      <c r="AA355" t="s">
        <v>97</v>
      </c>
      <c r="AC355">
        <v>21.81</v>
      </c>
    </row>
    <row r="356" spans="1:29" x14ac:dyDescent="0.2">
      <c r="A356" t="s">
        <v>92</v>
      </c>
      <c r="B356" t="s">
        <v>446</v>
      </c>
      <c r="C356" t="s">
        <v>767</v>
      </c>
      <c r="D356" t="s">
        <v>768</v>
      </c>
      <c r="E356" t="s">
        <v>290</v>
      </c>
      <c r="F356">
        <v>39.99</v>
      </c>
      <c r="H356">
        <v>20</v>
      </c>
      <c r="I356">
        <v>21.81</v>
      </c>
      <c r="J356">
        <v>32.72</v>
      </c>
      <c r="L356">
        <v>18.18</v>
      </c>
      <c r="Q356">
        <v>21.81</v>
      </c>
      <c r="R356">
        <v>21.38</v>
      </c>
      <c r="T356" t="s">
        <v>97</v>
      </c>
      <c r="AA356" t="s">
        <v>97</v>
      </c>
      <c r="AC356">
        <v>21.81</v>
      </c>
    </row>
    <row r="357" spans="1:29" x14ac:dyDescent="0.2">
      <c r="A357" t="s">
        <v>92</v>
      </c>
      <c r="B357" t="s">
        <v>446</v>
      </c>
      <c r="C357" t="s">
        <v>769</v>
      </c>
      <c r="D357" t="s">
        <v>770</v>
      </c>
      <c r="E357" t="s">
        <v>228</v>
      </c>
      <c r="F357">
        <v>49.99</v>
      </c>
      <c r="G357">
        <v>49.99</v>
      </c>
      <c r="H357">
        <v>25</v>
      </c>
      <c r="I357">
        <v>27.27</v>
      </c>
      <c r="J357">
        <v>41.31</v>
      </c>
      <c r="K357">
        <v>25</v>
      </c>
      <c r="L357">
        <v>25.81</v>
      </c>
      <c r="M357">
        <v>29.54</v>
      </c>
      <c r="Q357">
        <v>27.27</v>
      </c>
      <c r="R357">
        <v>27.27</v>
      </c>
      <c r="S357">
        <v>22.72</v>
      </c>
      <c r="T357" t="s">
        <v>97</v>
      </c>
      <c r="V357">
        <v>38.630000000000003</v>
      </c>
      <c r="W357">
        <v>38.630000000000003</v>
      </c>
      <c r="X357">
        <v>38.630000000000003</v>
      </c>
      <c r="Y357">
        <v>38.630000000000003</v>
      </c>
      <c r="Z357">
        <v>49.99</v>
      </c>
      <c r="AA357" t="s">
        <v>97</v>
      </c>
      <c r="AC357">
        <v>29.54</v>
      </c>
    </row>
    <row r="358" spans="1:29" x14ac:dyDescent="0.2">
      <c r="A358" t="s">
        <v>92</v>
      </c>
      <c r="B358" t="s">
        <v>446</v>
      </c>
      <c r="C358" t="s">
        <v>771</v>
      </c>
      <c r="D358" t="s">
        <v>772</v>
      </c>
      <c r="E358" t="s">
        <v>228</v>
      </c>
      <c r="F358">
        <v>49.99</v>
      </c>
      <c r="H358">
        <v>25</v>
      </c>
      <c r="I358">
        <v>27.27</v>
      </c>
      <c r="J358">
        <v>40.9</v>
      </c>
      <c r="K358">
        <v>25</v>
      </c>
      <c r="L358">
        <v>25.81</v>
      </c>
      <c r="M358">
        <v>29.54</v>
      </c>
      <c r="Q358">
        <v>27.27</v>
      </c>
      <c r="R358">
        <v>27.27</v>
      </c>
      <c r="S358">
        <v>22.72</v>
      </c>
      <c r="T358" t="s">
        <v>97</v>
      </c>
      <c r="V358">
        <v>38.630000000000003</v>
      </c>
      <c r="W358">
        <v>38.630000000000003</v>
      </c>
      <c r="X358">
        <v>38.630000000000003</v>
      </c>
      <c r="Y358">
        <v>38.630000000000003</v>
      </c>
      <c r="Z358">
        <v>49.99</v>
      </c>
      <c r="AA358" t="s">
        <v>97</v>
      </c>
      <c r="AC358">
        <v>29.54</v>
      </c>
    </row>
    <row r="359" spans="1:29" x14ac:dyDescent="0.2">
      <c r="A359" t="s">
        <v>92</v>
      </c>
      <c r="B359" t="s">
        <v>446</v>
      </c>
      <c r="C359" t="s">
        <v>8756</v>
      </c>
      <c r="D359" t="s">
        <v>8757</v>
      </c>
      <c r="E359" t="s">
        <v>228</v>
      </c>
      <c r="F359">
        <v>59.99</v>
      </c>
      <c r="H359">
        <v>30</v>
      </c>
      <c r="I359">
        <v>32.72</v>
      </c>
      <c r="J359">
        <v>49.08</v>
      </c>
      <c r="K359">
        <v>30</v>
      </c>
      <c r="L359">
        <v>32.72</v>
      </c>
      <c r="M359">
        <v>35.450000000000003</v>
      </c>
      <c r="Q359">
        <v>31.52</v>
      </c>
      <c r="R359">
        <v>32.08</v>
      </c>
      <c r="T359" t="s">
        <v>97</v>
      </c>
      <c r="AA359" t="s">
        <v>97</v>
      </c>
      <c r="AC359">
        <v>35.450000000000003</v>
      </c>
    </row>
    <row r="360" spans="1:29" x14ac:dyDescent="0.2">
      <c r="A360" t="s">
        <v>92</v>
      </c>
      <c r="B360" t="s">
        <v>446</v>
      </c>
      <c r="C360" t="s">
        <v>8758</v>
      </c>
      <c r="D360" t="s">
        <v>8759</v>
      </c>
      <c r="E360" t="s">
        <v>228</v>
      </c>
      <c r="F360">
        <v>59.99</v>
      </c>
      <c r="H360">
        <v>30</v>
      </c>
      <c r="I360">
        <v>32.72</v>
      </c>
      <c r="J360">
        <v>49.08</v>
      </c>
      <c r="K360">
        <v>30</v>
      </c>
      <c r="L360">
        <v>32.72</v>
      </c>
      <c r="M360">
        <v>35.450000000000003</v>
      </c>
      <c r="Q360">
        <v>31.52</v>
      </c>
      <c r="R360">
        <v>32.08</v>
      </c>
      <c r="T360" t="s">
        <v>97</v>
      </c>
      <c r="AA360" t="s">
        <v>97</v>
      </c>
      <c r="AC360">
        <v>35.450000000000003</v>
      </c>
    </row>
    <row r="361" spans="1:29" x14ac:dyDescent="0.2">
      <c r="A361" t="s">
        <v>92</v>
      </c>
      <c r="B361" t="s">
        <v>446</v>
      </c>
      <c r="C361" t="s">
        <v>8760</v>
      </c>
      <c r="D361" t="s">
        <v>8761</v>
      </c>
      <c r="E361" t="s">
        <v>228</v>
      </c>
      <c r="F361">
        <v>59.99</v>
      </c>
      <c r="H361">
        <v>30</v>
      </c>
      <c r="I361">
        <v>32.72</v>
      </c>
      <c r="J361">
        <v>49.08</v>
      </c>
      <c r="K361">
        <v>30</v>
      </c>
      <c r="L361">
        <v>32.72</v>
      </c>
      <c r="M361">
        <v>35.450000000000003</v>
      </c>
      <c r="Q361">
        <v>31.52</v>
      </c>
      <c r="R361">
        <v>32.08</v>
      </c>
      <c r="T361" t="s">
        <v>97</v>
      </c>
      <c r="AA361" t="s">
        <v>97</v>
      </c>
      <c r="AC361">
        <v>35.450000000000003</v>
      </c>
    </row>
    <row r="362" spans="1:29" x14ac:dyDescent="0.2">
      <c r="A362" t="s">
        <v>92</v>
      </c>
      <c r="B362" t="s">
        <v>446</v>
      </c>
      <c r="C362" t="s">
        <v>8762</v>
      </c>
      <c r="D362" t="s">
        <v>8763</v>
      </c>
      <c r="E362" t="s">
        <v>228</v>
      </c>
      <c r="F362">
        <v>59.99</v>
      </c>
      <c r="H362">
        <v>30</v>
      </c>
      <c r="I362">
        <v>32.72</v>
      </c>
      <c r="J362">
        <v>49.08</v>
      </c>
      <c r="K362">
        <v>30</v>
      </c>
      <c r="L362">
        <v>32.72</v>
      </c>
      <c r="M362">
        <v>35.450000000000003</v>
      </c>
      <c r="Q362">
        <v>31.52</v>
      </c>
      <c r="R362">
        <v>32.08</v>
      </c>
      <c r="T362" t="s">
        <v>97</v>
      </c>
      <c r="AA362" t="s">
        <v>97</v>
      </c>
      <c r="AC362">
        <v>35.450000000000003</v>
      </c>
    </row>
    <row r="363" spans="1:29" x14ac:dyDescent="0.2">
      <c r="A363" t="s">
        <v>92</v>
      </c>
      <c r="B363" t="s">
        <v>446</v>
      </c>
      <c r="C363" t="s">
        <v>8764</v>
      </c>
      <c r="D363" t="s">
        <v>8765</v>
      </c>
      <c r="E363" t="s">
        <v>228</v>
      </c>
      <c r="F363">
        <v>59.99</v>
      </c>
      <c r="H363">
        <v>30</v>
      </c>
      <c r="I363">
        <v>32.72</v>
      </c>
      <c r="J363">
        <v>49.08</v>
      </c>
      <c r="K363">
        <v>30</v>
      </c>
      <c r="L363">
        <v>32.72</v>
      </c>
      <c r="M363">
        <v>35.450000000000003</v>
      </c>
      <c r="Q363">
        <v>31.52</v>
      </c>
      <c r="R363">
        <v>32.08</v>
      </c>
      <c r="T363" t="s">
        <v>97</v>
      </c>
      <c r="AA363" t="s">
        <v>97</v>
      </c>
      <c r="AC363">
        <v>35.450000000000003</v>
      </c>
    </row>
    <row r="364" spans="1:29" x14ac:dyDescent="0.2">
      <c r="A364" t="s">
        <v>92</v>
      </c>
      <c r="B364" t="s">
        <v>446</v>
      </c>
      <c r="C364" t="s">
        <v>773</v>
      </c>
      <c r="D364" t="s">
        <v>774</v>
      </c>
      <c r="E364" t="s">
        <v>228</v>
      </c>
      <c r="F364">
        <v>149.99</v>
      </c>
      <c r="G364">
        <v>149.99</v>
      </c>
      <c r="H364">
        <v>75</v>
      </c>
      <c r="I364">
        <v>81.81</v>
      </c>
      <c r="J364">
        <v>123.96</v>
      </c>
      <c r="K364">
        <v>75</v>
      </c>
      <c r="L364">
        <v>81.81</v>
      </c>
      <c r="M364">
        <v>88.63</v>
      </c>
      <c r="Q364">
        <v>81.81</v>
      </c>
      <c r="R364">
        <v>81.81</v>
      </c>
      <c r="T364" t="s">
        <v>97</v>
      </c>
      <c r="V364">
        <v>115.9</v>
      </c>
      <c r="W364">
        <v>115.9</v>
      </c>
      <c r="X364">
        <v>115.9</v>
      </c>
      <c r="Y364">
        <v>115.9</v>
      </c>
      <c r="AA364" t="s">
        <v>97</v>
      </c>
      <c r="AC364">
        <v>88.63</v>
      </c>
    </row>
    <row r="365" spans="1:29" x14ac:dyDescent="0.2">
      <c r="A365" t="s">
        <v>92</v>
      </c>
      <c r="B365" t="s">
        <v>446</v>
      </c>
      <c r="C365" t="s">
        <v>775</v>
      </c>
      <c r="D365" t="s">
        <v>776</v>
      </c>
      <c r="E365" t="s">
        <v>228</v>
      </c>
      <c r="F365">
        <v>34.99</v>
      </c>
      <c r="H365">
        <v>17.5</v>
      </c>
      <c r="I365">
        <v>19.09</v>
      </c>
      <c r="J365">
        <v>28.63</v>
      </c>
      <c r="K365">
        <v>17.5</v>
      </c>
      <c r="L365">
        <v>18.059999999999999</v>
      </c>
      <c r="M365">
        <v>19.72</v>
      </c>
      <c r="P365">
        <v>15.9</v>
      </c>
      <c r="Q365">
        <v>19.09</v>
      </c>
      <c r="R365">
        <v>18.71</v>
      </c>
      <c r="S365">
        <v>16.36</v>
      </c>
      <c r="T365" t="s">
        <v>97</v>
      </c>
      <c r="Y365">
        <v>27.04</v>
      </c>
      <c r="Z365">
        <v>34.99</v>
      </c>
      <c r="AA365" t="s">
        <v>97</v>
      </c>
      <c r="AC365">
        <v>19.09</v>
      </c>
    </row>
    <row r="366" spans="1:29" x14ac:dyDescent="0.2">
      <c r="A366" t="s">
        <v>92</v>
      </c>
      <c r="B366" t="s">
        <v>446</v>
      </c>
      <c r="C366" t="s">
        <v>777</v>
      </c>
      <c r="D366" t="s">
        <v>778</v>
      </c>
      <c r="E366" t="s">
        <v>228</v>
      </c>
      <c r="F366">
        <v>14.99</v>
      </c>
      <c r="H366">
        <v>8.18</v>
      </c>
      <c r="I366">
        <v>10.9</v>
      </c>
      <c r="J366">
        <v>12.26</v>
      </c>
      <c r="K366">
        <v>8.18</v>
      </c>
      <c r="L366">
        <v>8.86</v>
      </c>
      <c r="M366">
        <v>9.5399999999999991</v>
      </c>
      <c r="Q366">
        <v>8.18</v>
      </c>
      <c r="R366">
        <v>8.18</v>
      </c>
      <c r="T366" t="s">
        <v>97</v>
      </c>
      <c r="Z366">
        <v>14.99</v>
      </c>
      <c r="AA366" t="s">
        <v>97</v>
      </c>
      <c r="AC366">
        <v>8.86</v>
      </c>
    </row>
    <row r="367" spans="1:29" x14ac:dyDescent="0.2">
      <c r="A367" t="s">
        <v>92</v>
      </c>
      <c r="B367" t="s">
        <v>446</v>
      </c>
      <c r="C367" t="s">
        <v>779</v>
      </c>
      <c r="D367" t="s">
        <v>780</v>
      </c>
      <c r="E367" t="s">
        <v>228</v>
      </c>
      <c r="F367">
        <v>14.99</v>
      </c>
      <c r="H367">
        <v>8.18</v>
      </c>
      <c r="I367">
        <v>10.9</v>
      </c>
      <c r="J367">
        <v>12.26</v>
      </c>
      <c r="K367">
        <v>8.18</v>
      </c>
      <c r="L367">
        <v>8.86</v>
      </c>
      <c r="M367">
        <v>9.5399999999999991</v>
      </c>
      <c r="Q367">
        <v>8.18</v>
      </c>
      <c r="R367">
        <v>8.18</v>
      </c>
      <c r="T367" t="s">
        <v>97</v>
      </c>
      <c r="Z367">
        <v>14.99</v>
      </c>
      <c r="AA367" t="s">
        <v>97</v>
      </c>
      <c r="AC367">
        <v>8.86</v>
      </c>
    </row>
    <row r="368" spans="1:29" x14ac:dyDescent="0.2">
      <c r="A368" t="s">
        <v>92</v>
      </c>
      <c r="B368" t="s">
        <v>446</v>
      </c>
      <c r="C368" t="s">
        <v>781</v>
      </c>
      <c r="D368" t="s">
        <v>782</v>
      </c>
      <c r="E368" t="s">
        <v>290</v>
      </c>
      <c r="F368">
        <v>44.99</v>
      </c>
      <c r="H368">
        <v>22.5</v>
      </c>
      <c r="I368">
        <v>24.54</v>
      </c>
      <c r="J368">
        <v>36.81</v>
      </c>
      <c r="K368">
        <v>22.5</v>
      </c>
      <c r="L368">
        <v>23.23</v>
      </c>
      <c r="M368">
        <v>25.36</v>
      </c>
      <c r="Q368">
        <v>24.54</v>
      </c>
      <c r="R368">
        <v>24.54</v>
      </c>
      <c r="T368" t="s">
        <v>97</v>
      </c>
      <c r="AA368" t="s">
        <v>97</v>
      </c>
      <c r="AC368">
        <v>24.54</v>
      </c>
    </row>
    <row r="369" spans="1:29" x14ac:dyDescent="0.2">
      <c r="A369" t="s">
        <v>92</v>
      </c>
      <c r="B369" t="s">
        <v>446</v>
      </c>
      <c r="C369" t="s">
        <v>783</v>
      </c>
      <c r="D369" t="s">
        <v>784</v>
      </c>
      <c r="E369" t="s">
        <v>290</v>
      </c>
      <c r="F369">
        <v>44.99</v>
      </c>
      <c r="H369">
        <v>22.5</v>
      </c>
      <c r="I369">
        <v>24.54</v>
      </c>
      <c r="J369">
        <v>36.81</v>
      </c>
      <c r="K369">
        <v>22.5</v>
      </c>
      <c r="L369">
        <v>23.23</v>
      </c>
      <c r="M369">
        <v>25.36</v>
      </c>
      <c r="Q369">
        <v>24.54</v>
      </c>
      <c r="R369">
        <v>24.54</v>
      </c>
      <c r="T369" t="s">
        <v>97</v>
      </c>
      <c r="AA369" t="s">
        <v>97</v>
      </c>
      <c r="AC369">
        <v>24.54</v>
      </c>
    </row>
    <row r="370" spans="1:29" x14ac:dyDescent="0.2">
      <c r="A370" t="s">
        <v>92</v>
      </c>
      <c r="B370" t="s">
        <v>446</v>
      </c>
      <c r="C370" t="s">
        <v>785</v>
      </c>
      <c r="D370" t="s">
        <v>786</v>
      </c>
      <c r="E370" t="s">
        <v>290</v>
      </c>
      <c r="F370">
        <v>44.99</v>
      </c>
      <c r="H370">
        <v>22.5</v>
      </c>
      <c r="I370">
        <v>24.54</v>
      </c>
      <c r="J370">
        <v>36.81</v>
      </c>
      <c r="K370">
        <v>22.5</v>
      </c>
      <c r="L370">
        <v>23.23</v>
      </c>
      <c r="M370">
        <v>25.36</v>
      </c>
      <c r="Q370">
        <v>24.54</v>
      </c>
      <c r="R370">
        <v>24.54</v>
      </c>
      <c r="T370" t="s">
        <v>97</v>
      </c>
      <c r="AA370" t="s">
        <v>97</v>
      </c>
      <c r="AC370">
        <v>24.54</v>
      </c>
    </row>
    <row r="371" spans="1:29" x14ac:dyDescent="0.2">
      <c r="A371" t="s">
        <v>92</v>
      </c>
      <c r="B371" t="s">
        <v>446</v>
      </c>
      <c r="C371" t="s">
        <v>8766</v>
      </c>
      <c r="D371" t="s">
        <v>8767</v>
      </c>
      <c r="E371" t="s">
        <v>228</v>
      </c>
      <c r="F371">
        <v>39.99</v>
      </c>
      <c r="H371">
        <v>20</v>
      </c>
      <c r="I371">
        <v>21.81</v>
      </c>
      <c r="J371">
        <v>32.72</v>
      </c>
      <c r="K371">
        <v>20</v>
      </c>
      <c r="L371">
        <v>20.65</v>
      </c>
      <c r="M371">
        <v>22.9</v>
      </c>
      <c r="Q371">
        <v>21.81</v>
      </c>
      <c r="R371">
        <v>21.38</v>
      </c>
      <c r="T371" t="s">
        <v>97</v>
      </c>
      <c r="AA371" t="s">
        <v>97</v>
      </c>
      <c r="AC371">
        <v>22.72</v>
      </c>
    </row>
    <row r="372" spans="1:29" x14ac:dyDescent="0.2">
      <c r="A372" t="s">
        <v>92</v>
      </c>
      <c r="B372" t="s">
        <v>446</v>
      </c>
      <c r="C372" t="s">
        <v>8768</v>
      </c>
      <c r="D372" t="s">
        <v>8769</v>
      </c>
      <c r="E372" t="s">
        <v>228</v>
      </c>
      <c r="F372">
        <v>39.99</v>
      </c>
      <c r="H372">
        <v>20</v>
      </c>
      <c r="I372">
        <v>21.81</v>
      </c>
      <c r="J372">
        <v>32.72</v>
      </c>
      <c r="K372">
        <v>20</v>
      </c>
      <c r="L372">
        <v>20.65</v>
      </c>
      <c r="M372">
        <v>22.9</v>
      </c>
      <c r="Q372">
        <v>21.81</v>
      </c>
      <c r="R372">
        <v>21.38</v>
      </c>
      <c r="T372" t="s">
        <v>97</v>
      </c>
      <c r="AA372" t="s">
        <v>97</v>
      </c>
      <c r="AC372">
        <v>22.72</v>
      </c>
    </row>
    <row r="373" spans="1:29" x14ac:dyDescent="0.2">
      <c r="A373" t="s">
        <v>92</v>
      </c>
      <c r="B373" t="s">
        <v>446</v>
      </c>
      <c r="C373" t="s">
        <v>8770</v>
      </c>
      <c r="D373" t="s">
        <v>8771</v>
      </c>
      <c r="E373" t="s">
        <v>228</v>
      </c>
      <c r="F373">
        <v>39.99</v>
      </c>
      <c r="H373">
        <v>20</v>
      </c>
      <c r="I373">
        <v>21.81</v>
      </c>
      <c r="J373">
        <v>32.72</v>
      </c>
      <c r="K373">
        <v>20</v>
      </c>
      <c r="L373">
        <v>20.65</v>
      </c>
      <c r="M373">
        <v>22.9</v>
      </c>
      <c r="Q373">
        <v>21.81</v>
      </c>
      <c r="R373">
        <v>21.38</v>
      </c>
      <c r="T373" t="s">
        <v>97</v>
      </c>
      <c r="AA373" t="s">
        <v>97</v>
      </c>
      <c r="AC373">
        <v>22.72</v>
      </c>
    </row>
    <row r="374" spans="1:29" x14ac:dyDescent="0.2">
      <c r="A374" t="s">
        <v>92</v>
      </c>
      <c r="B374" t="s">
        <v>446</v>
      </c>
      <c r="C374" t="s">
        <v>787</v>
      </c>
      <c r="D374" t="s">
        <v>788</v>
      </c>
      <c r="E374" t="s">
        <v>228</v>
      </c>
      <c r="F374">
        <v>44.99</v>
      </c>
      <c r="H374">
        <v>22.5</v>
      </c>
      <c r="I374">
        <v>24.54</v>
      </c>
      <c r="J374">
        <v>36.81</v>
      </c>
      <c r="K374">
        <v>22.5</v>
      </c>
      <c r="L374">
        <v>23.23</v>
      </c>
      <c r="M374">
        <v>25.36</v>
      </c>
      <c r="P374">
        <v>18.41</v>
      </c>
      <c r="Q374">
        <v>24.54</v>
      </c>
      <c r="R374">
        <v>24.54</v>
      </c>
      <c r="S374">
        <v>18.41</v>
      </c>
      <c r="T374" t="s">
        <v>97</v>
      </c>
      <c r="Y374">
        <v>34.770000000000003</v>
      </c>
      <c r="Z374">
        <v>44.99</v>
      </c>
      <c r="AA374" t="s">
        <v>97</v>
      </c>
      <c r="AC374">
        <v>24.54</v>
      </c>
    </row>
    <row r="375" spans="1:29" x14ac:dyDescent="0.2">
      <c r="A375" t="s">
        <v>92</v>
      </c>
      <c r="B375" t="s">
        <v>446</v>
      </c>
      <c r="C375" t="s">
        <v>789</v>
      </c>
      <c r="D375" t="s">
        <v>790</v>
      </c>
      <c r="E375" t="s">
        <v>228</v>
      </c>
      <c r="F375">
        <v>44.99</v>
      </c>
      <c r="H375">
        <v>22.5</v>
      </c>
      <c r="I375">
        <v>24.54</v>
      </c>
      <c r="J375">
        <v>36.81</v>
      </c>
      <c r="K375">
        <v>22.5</v>
      </c>
      <c r="L375">
        <v>23.23</v>
      </c>
      <c r="M375">
        <v>25.36</v>
      </c>
      <c r="Q375">
        <v>24.54</v>
      </c>
      <c r="R375">
        <v>24.54</v>
      </c>
      <c r="T375" t="s">
        <v>97</v>
      </c>
      <c r="AA375" t="s">
        <v>97</v>
      </c>
      <c r="AC375">
        <v>24.54</v>
      </c>
    </row>
    <row r="376" spans="1:29" x14ac:dyDescent="0.2">
      <c r="A376" t="s">
        <v>92</v>
      </c>
      <c r="B376" t="s">
        <v>446</v>
      </c>
      <c r="C376" t="s">
        <v>791</v>
      </c>
      <c r="D376" t="s">
        <v>792</v>
      </c>
      <c r="E376" t="s">
        <v>228</v>
      </c>
      <c r="F376">
        <v>59.99</v>
      </c>
      <c r="G376">
        <v>59.99</v>
      </c>
      <c r="H376">
        <v>30</v>
      </c>
      <c r="I376">
        <v>32.72</v>
      </c>
      <c r="J376">
        <v>49.58</v>
      </c>
      <c r="K376">
        <v>30</v>
      </c>
      <c r="L376">
        <v>30.98</v>
      </c>
      <c r="M376">
        <v>38.18</v>
      </c>
      <c r="Q376">
        <v>32.72</v>
      </c>
      <c r="R376">
        <v>32.72</v>
      </c>
      <c r="S376">
        <v>27.27</v>
      </c>
      <c r="T376" t="s">
        <v>97</v>
      </c>
      <c r="V376">
        <v>46.36</v>
      </c>
      <c r="W376">
        <v>46.36</v>
      </c>
      <c r="X376">
        <v>46.36</v>
      </c>
      <c r="Y376">
        <v>46.36</v>
      </c>
      <c r="Z376">
        <v>59.99</v>
      </c>
      <c r="AA376" t="s">
        <v>97</v>
      </c>
      <c r="AC376">
        <v>32.72</v>
      </c>
    </row>
    <row r="377" spans="1:29" x14ac:dyDescent="0.2">
      <c r="A377" t="s">
        <v>92</v>
      </c>
      <c r="B377" t="s">
        <v>446</v>
      </c>
      <c r="C377" t="s">
        <v>793</v>
      </c>
      <c r="D377" t="s">
        <v>794</v>
      </c>
      <c r="E377" t="s">
        <v>228</v>
      </c>
      <c r="F377">
        <v>49.99</v>
      </c>
      <c r="G377">
        <v>49.99</v>
      </c>
      <c r="H377">
        <v>25</v>
      </c>
      <c r="I377">
        <v>27.27</v>
      </c>
      <c r="J377">
        <v>40.9</v>
      </c>
      <c r="K377">
        <v>27.27</v>
      </c>
      <c r="L377">
        <v>25.81</v>
      </c>
      <c r="M377">
        <v>28.18</v>
      </c>
      <c r="P377">
        <v>22.5</v>
      </c>
      <c r="Q377">
        <v>27.27</v>
      </c>
      <c r="R377">
        <v>27.27</v>
      </c>
      <c r="S377">
        <v>20.45</v>
      </c>
      <c r="T377" t="s">
        <v>97</v>
      </c>
      <c r="Y377">
        <v>38.630000000000003</v>
      </c>
      <c r="Z377">
        <v>49.99</v>
      </c>
      <c r="AA377" t="s">
        <v>97</v>
      </c>
      <c r="AC377">
        <v>27.27</v>
      </c>
    </row>
    <row r="378" spans="1:29" x14ac:dyDescent="0.2">
      <c r="A378" t="s">
        <v>92</v>
      </c>
      <c r="B378" t="s">
        <v>446</v>
      </c>
      <c r="C378" t="s">
        <v>795</v>
      </c>
      <c r="D378" t="s">
        <v>796</v>
      </c>
      <c r="E378" t="s">
        <v>228</v>
      </c>
      <c r="F378">
        <v>129.99</v>
      </c>
      <c r="G378">
        <v>129.99</v>
      </c>
      <c r="H378">
        <v>65</v>
      </c>
      <c r="I378">
        <v>70.900000000000006</v>
      </c>
      <c r="J378">
        <v>107.43</v>
      </c>
      <c r="K378">
        <v>65</v>
      </c>
      <c r="L378">
        <v>67.12</v>
      </c>
      <c r="M378">
        <v>76.81</v>
      </c>
      <c r="Q378">
        <v>70.900000000000006</v>
      </c>
      <c r="R378">
        <v>70.900000000000006</v>
      </c>
      <c r="T378" t="s">
        <v>97</v>
      </c>
      <c r="V378">
        <v>100.45</v>
      </c>
      <c r="W378">
        <v>100.45</v>
      </c>
      <c r="X378">
        <v>100.45</v>
      </c>
      <c r="Y378">
        <v>100.45</v>
      </c>
      <c r="AA378" t="s">
        <v>97</v>
      </c>
      <c r="AC378">
        <v>76.81</v>
      </c>
    </row>
    <row r="379" spans="1:29" x14ac:dyDescent="0.2">
      <c r="A379" t="s">
        <v>92</v>
      </c>
      <c r="B379" t="s">
        <v>446</v>
      </c>
      <c r="C379" t="s">
        <v>797</v>
      </c>
      <c r="D379" t="s">
        <v>798</v>
      </c>
      <c r="E379" t="s">
        <v>228</v>
      </c>
      <c r="F379">
        <v>129.99</v>
      </c>
      <c r="G379">
        <v>129.99</v>
      </c>
      <c r="H379">
        <v>65</v>
      </c>
      <c r="I379">
        <v>70.900000000000006</v>
      </c>
      <c r="J379">
        <v>107.43</v>
      </c>
      <c r="K379">
        <v>65</v>
      </c>
      <c r="L379">
        <v>67.12</v>
      </c>
      <c r="M379">
        <v>76.81</v>
      </c>
      <c r="Q379">
        <v>70.900000000000006</v>
      </c>
      <c r="R379">
        <v>70.900000000000006</v>
      </c>
      <c r="T379" t="s">
        <v>97</v>
      </c>
      <c r="V379">
        <v>100.45</v>
      </c>
      <c r="W379">
        <v>100.45</v>
      </c>
      <c r="X379">
        <v>100.45</v>
      </c>
      <c r="Y379">
        <v>100.45</v>
      </c>
      <c r="AA379" t="s">
        <v>97</v>
      </c>
      <c r="AC379">
        <v>76.81</v>
      </c>
    </row>
    <row r="380" spans="1:29" x14ac:dyDescent="0.2">
      <c r="A380" t="s">
        <v>92</v>
      </c>
      <c r="B380" t="s">
        <v>446</v>
      </c>
      <c r="C380" t="s">
        <v>799</v>
      </c>
      <c r="D380" t="s">
        <v>800</v>
      </c>
      <c r="E380" t="s">
        <v>228</v>
      </c>
      <c r="F380">
        <v>49.99</v>
      </c>
      <c r="H380">
        <v>22.72</v>
      </c>
      <c r="I380">
        <v>27.27</v>
      </c>
      <c r="J380">
        <v>40.9</v>
      </c>
      <c r="K380">
        <v>22.72</v>
      </c>
      <c r="L380">
        <v>19.239999999999998</v>
      </c>
      <c r="M380">
        <v>27.27</v>
      </c>
      <c r="Q380">
        <v>25</v>
      </c>
      <c r="R380">
        <v>22.72</v>
      </c>
      <c r="T380" t="s">
        <v>97</v>
      </c>
      <c r="AA380" t="s">
        <v>97</v>
      </c>
      <c r="AC380">
        <v>27.27</v>
      </c>
    </row>
    <row r="381" spans="1:29" x14ac:dyDescent="0.2">
      <c r="A381" t="s">
        <v>92</v>
      </c>
      <c r="B381" t="s">
        <v>446</v>
      </c>
      <c r="C381" t="s">
        <v>801</v>
      </c>
      <c r="D381" t="s">
        <v>802</v>
      </c>
      <c r="E381" t="s">
        <v>228</v>
      </c>
      <c r="F381">
        <v>49.99</v>
      </c>
      <c r="G381">
        <v>49.99</v>
      </c>
      <c r="H381">
        <v>25</v>
      </c>
      <c r="I381">
        <v>27.27</v>
      </c>
      <c r="J381">
        <v>40.9</v>
      </c>
      <c r="K381">
        <v>27.27</v>
      </c>
      <c r="L381">
        <v>25.81</v>
      </c>
      <c r="M381">
        <v>28.18</v>
      </c>
      <c r="P381">
        <v>22.5</v>
      </c>
      <c r="Q381">
        <v>27.27</v>
      </c>
      <c r="R381">
        <v>26.73</v>
      </c>
      <c r="T381" t="s">
        <v>97</v>
      </c>
      <c r="Y381">
        <v>38.630000000000003</v>
      </c>
      <c r="Z381">
        <v>49.99</v>
      </c>
      <c r="AA381" t="s">
        <v>97</v>
      </c>
      <c r="AC381">
        <v>27.27</v>
      </c>
    </row>
    <row r="382" spans="1:29" x14ac:dyDescent="0.2">
      <c r="A382" t="s">
        <v>92</v>
      </c>
      <c r="B382" t="s">
        <v>446</v>
      </c>
      <c r="C382" t="s">
        <v>803</v>
      </c>
      <c r="D382" t="s">
        <v>804</v>
      </c>
      <c r="E382" t="s">
        <v>228</v>
      </c>
      <c r="F382">
        <v>49.99</v>
      </c>
      <c r="H382">
        <v>22.72</v>
      </c>
      <c r="I382">
        <v>27.27</v>
      </c>
      <c r="J382">
        <v>40.9</v>
      </c>
      <c r="K382">
        <v>22.72</v>
      </c>
      <c r="L382">
        <v>19.239999999999998</v>
      </c>
      <c r="T382" t="s">
        <v>97</v>
      </c>
      <c r="AA382" t="s">
        <v>97</v>
      </c>
      <c r="AC382">
        <v>22.72</v>
      </c>
    </row>
    <row r="383" spans="1:29" x14ac:dyDescent="0.2">
      <c r="A383" t="s">
        <v>92</v>
      </c>
      <c r="B383" t="s">
        <v>446</v>
      </c>
      <c r="C383" t="s">
        <v>805</v>
      </c>
      <c r="D383" t="s">
        <v>806</v>
      </c>
      <c r="E383" t="s">
        <v>228</v>
      </c>
      <c r="F383">
        <v>59.99</v>
      </c>
      <c r="H383">
        <v>27.27</v>
      </c>
      <c r="I383">
        <v>32.72</v>
      </c>
      <c r="J383">
        <v>49.08</v>
      </c>
      <c r="K383">
        <v>27.27</v>
      </c>
      <c r="L383">
        <v>23.17</v>
      </c>
      <c r="T383" t="s">
        <v>97</v>
      </c>
      <c r="AA383" t="s">
        <v>97</v>
      </c>
      <c r="AC383">
        <v>27.27</v>
      </c>
    </row>
    <row r="384" spans="1:29" x14ac:dyDescent="0.2">
      <c r="A384" t="s">
        <v>92</v>
      </c>
      <c r="B384" t="s">
        <v>446</v>
      </c>
      <c r="C384" t="s">
        <v>807</v>
      </c>
      <c r="D384" t="s">
        <v>808</v>
      </c>
      <c r="E384" t="s">
        <v>228</v>
      </c>
      <c r="F384">
        <v>19.989999999999998</v>
      </c>
      <c r="G384">
        <v>19.989999999999998</v>
      </c>
      <c r="H384">
        <v>9.09</v>
      </c>
      <c r="I384">
        <v>10.9</v>
      </c>
      <c r="J384">
        <v>16.36</v>
      </c>
      <c r="K384">
        <v>9.09</v>
      </c>
      <c r="L384">
        <v>10.9</v>
      </c>
      <c r="M384">
        <v>11.27</v>
      </c>
      <c r="P384">
        <v>9.09</v>
      </c>
      <c r="Q384">
        <v>10.9</v>
      </c>
      <c r="R384">
        <v>10.69</v>
      </c>
      <c r="S384">
        <v>10.220000000000001</v>
      </c>
      <c r="T384" t="s">
        <v>97</v>
      </c>
      <c r="Y384">
        <v>15.45</v>
      </c>
      <c r="Z384">
        <v>19.989999999999998</v>
      </c>
      <c r="AA384" t="s">
        <v>97</v>
      </c>
      <c r="AC384">
        <v>11.81</v>
      </c>
    </row>
    <row r="385" spans="1:29" x14ac:dyDescent="0.2">
      <c r="A385" t="s">
        <v>92</v>
      </c>
      <c r="B385" t="s">
        <v>446</v>
      </c>
      <c r="C385" t="s">
        <v>809</v>
      </c>
      <c r="D385" t="s">
        <v>810</v>
      </c>
      <c r="E385" t="s">
        <v>228</v>
      </c>
      <c r="F385">
        <v>79.989999999999995</v>
      </c>
      <c r="H385">
        <v>54.54</v>
      </c>
      <c r="I385">
        <v>58.17</v>
      </c>
      <c r="J385">
        <v>65.45</v>
      </c>
      <c r="K385">
        <v>50.9</v>
      </c>
      <c r="L385">
        <v>61.81</v>
      </c>
      <c r="M385">
        <v>61.81</v>
      </c>
      <c r="Q385">
        <v>54.54</v>
      </c>
      <c r="R385">
        <v>58.17</v>
      </c>
      <c r="T385" t="s">
        <v>97</v>
      </c>
      <c r="AA385" t="s">
        <v>97</v>
      </c>
      <c r="AC385">
        <v>61.81</v>
      </c>
    </row>
    <row r="386" spans="1:29" x14ac:dyDescent="0.2">
      <c r="A386" t="s">
        <v>92</v>
      </c>
      <c r="B386" t="s">
        <v>446</v>
      </c>
      <c r="C386" t="s">
        <v>811</v>
      </c>
      <c r="D386" t="s">
        <v>812</v>
      </c>
      <c r="E386" t="s">
        <v>228</v>
      </c>
      <c r="F386">
        <v>79.989999999999995</v>
      </c>
      <c r="H386">
        <v>54.54</v>
      </c>
      <c r="I386">
        <v>58.17</v>
      </c>
      <c r="J386">
        <v>65.45</v>
      </c>
      <c r="K386">
        <v>50.9</v>
      </c>
      <c r="L386">
        <v>61.81</v>
      </c>
      <c r="M386">
        <v>61.81</v>
      </c>
      <c r="Q386">
        <v>54.54</v>
      </c>
      <c r="R386">
        <v>58.17</v>
      </c>
      <c r="T386" t="s">
        <v>97</v>
      </c>
      <c r="AA386" t="s">
        <v>97</v>
      </c>
      <c r="AC386">
        <v>61.81</v>
      </c>
    </row>
    <row r="387" spans="1:29" x14ac:dyDescent="0.2">
      <c r="A387" t="s">
        <v>92</v>
      </c>
      <c r="B387" t="s">
        <v>446</v>
      </c>
      <c r="C387" t="s">
        <v>813</v>
      </c>
      <c r="D387" t="s">
        <v>814</v>
      </c>
      <c r="E387" t="s">
        <v>228</v>
      </c>
      <c r="F387">
        <v>79.989999999999995</v>
      </c>
      <c r="H387">
        <v>54.54</v>
      </c>
      <c r="I387">
        <v>58.17</v>
      </c>
      <c r="J387">
        <v>65.45</v>
      </c>
      <c r="K387">
        <v>50.9</v>
      </c>
      <c r="L387">
        <v>61.81</v>
      </c>
      <c r="M387">
        <v>61.81</v>
      </c>
      <c r="Q387">
        <v>54.54</v>
      </c>
      <c r="R387">
        <v>58.17</v>
      </c>
      <c r="T387" t="s">
        <v>97</v>
      </c>
      <c r="AA387" t="s">
        <v>97</v>
      </c>
      <c r="AC387">
        <v>61.81</v>
      </c>
    </row>
    <row r="388" spans="1:29" x14ac:dyDescent="0.2">
      <c r="A388" t="s">
        <v>92</v>
      </c>
      <c r="B388" t="s">
        <v>446</v>
      </c>
      <c r="C388" t="s">
        <v>815</v>
      </c>
      <c r="D388" t="s">
        <v>816</v>
      </c>
      <c r="E388" t="s">
        <v>228</v>
      </c>
      <c r="F388">
        <v>79.989999999999995</v>
      </c>
      <c r="H388">
        <v>54.54</v>
      </c>
      <c r="I388">
        <v>58.17</v>
      </c>
      <c r="J388">
        <v>65.45</v>
      </c>
      <c r="K388">
        <v>50.9</v>
      </c>
      <c r="L388">
        <v>61.81</v>
      </c>
      <c r="M388">
        <v>61.81</v>
      </c>
      <c r="Q388">
        <v>54.54</v>
      </c>
      <c r="R388">
        <v>58.17</v>
      </c>
      <c r="T388" t="s">
        <v>97</v>
      </c>
      <c r="AA388" t="s">
        <v>97</v>
      </c>
      <c r="AC388">
        <v>61.81</v>
      </c>
    </row>
    <row r="389" spans="1:29" x14ac:dyDescent="0.2">
      <c r="A389" t="s">
        <v>92</v>
      </c>
      <c r="B389" t="s">
        <v>446</v>
      </c>
      <c r="C389" t="s">
        <v>817</v>
      </c>
      <c r="D389" t="s">
        <v>818</v>
      </c>
      <c r="E389" t="s">
        <v>228</v>
      </c>
      <c r="F389">
        <v>59.99</v>
      </c>
      <c r="H389">
        <v>32.72</v>
      </c>
      <c r="I389">
        <v>35.450000000000003</v>
      </c>
      <c r="J389">
        <v>49.08</v>
      </c>
      <c r="K389">
        <v>32.72</v>
      </c>
      <c r="L389">
        <v>32.72</v>
      </c>
      <c r="M389">
        <v>35.450000000000003</v>
      </c>
      <c r="Q389">
        <v>30</v>
      </c>
      <c r="R389">
        <v>32.08</v>
      </c>
      <c r="T389" t="s">
        <v>97</v>
      </c>
      <c r="AA389" t="s">
        <v>97</v>
      </c>
      <c r="AC389">
        <v>35.450000000000003</v>
      </c>
    </row>
    <row r="390" spans="1:29" x14ac:dyDescent="0.2">
      <c r="A390" t="s">
        <v>92</v>
      </c>
      <c r="B390" t="s">
        <v>446</v>
      </c>
      <c r="C390" t="s">
        <v>819</v>
      </c>
      <c r="D390" t="s">
        <v>820</v>
      </c>
      <c r="E390" t="s">
        <v>228</v>
      </c>
      <c r="F390">
        <v>99.99</v>
      </c>
      <c r="H390">
        <v>54.54</v>
      </c>
      <c r="I390">
        <v>59.09</v>
      </c>
      <c r="J390">
        <v>81.81</v>
      </c>
      <c r="K390">
        <v>54.54</v>
      </c>
      <c r="L390">
        <v>56.81</v>
      </c>
      <c r="M390">
        <v>59.09</v>
      </c>
      <c r="Q390">
        <v>52.54</v>
      </c>
      <c r="R390">
        <v>53.47</v>
      </c>
      <c r="T390" t="s">
        <v>97</v>
      </c>
      <c r="AA390" t="s">
        <v>97</v>
      </c>
      <c r="AC390">
        <v>59.09</v>
      </c>
    </row>
    <row r="391" spans="1:29" x14ac:dyDescent="0.2">
      <c r="A391" t="s">
        <v>92</v>
      </c>
      <c r="B391" t="s">
        <v>446</v>
      </c>
      <c r="C391" t="s">
        <v>821</v>
      </c>
      <c r="D391" t="s">
        <v>822</v>
      </c>
      <c r="E391" t="s">
        <v>228</v>
      </c>
      <c r="F391">
        <v>99.99</v>
      </c>
      <c r="H391">
        <v>54.54</v>
      </c>
      <c r="I391">
        <v>59.09</v>
      </c>
      <c r="J391">
        <v>81.81</v>
      </c>
      <c r="K391">
        <v>54.54</v>
      </c>
      <c r="L391">
        <v>54.54</v>
      </c>
      <c r="M391">
        <v>59.09</v>
      </c>
      <c r="Q391">
        <v>50</v>
      </c>
      <c r="R391">
        <v>53.47</v>
      </c>
      <c r="T391" t="s">
        <v>97</v>
      </c>
      <c r="AA391" t="s">
        <v>97</v>
      </c>
      <c r="AC391">
        <v>59.09</v>
      </c>
    </row>
    <row r="392" spans="1:29" x14ac:dyDescent="0.2">
      <c r="A392" t="s">
        <v>92</v>
      </c>
      <c r="B392" t="s">
        <v>446</v>
      </c>
      <c r="C392" t="s">
        <v>823</v>
      </c>
      <c r="D392" t="s">
        <v>824</v>
      </c>
      <c r="E392" t="s">
        <v>228</v>
      </c>
      <c r="F392">
        <v>24.99</v>
      </c>
      <c r="H392">
        <v>13.63</v>
      </c>
      <c r="I392">
        <v>14.77</v>
      </c>
      <c r="J392">
        <v>20.45</v>
      </c>
      <c r="K392">
        <v>13.63</v>
      </c>
      <c r="L392">
        <v>13.63</v>
      </c>
      <c r="M392">
        <v>14.77</v>
      </c>
      <c r="Q392">
        <v>12.5</v>
      </c>
      <c r="R392">
        <v>13.36</v>
      </c>
      <c r="T392" t="s">
        <v>97</v>
      </c>
      <c r="AA392" t="s">
        <v>97</v>
      </c>
      <c r="AC392">
        <v>14.77</v>
      </c>
    </row>
    <row r="393" spans="1:29" x14ac:dyDescent="0.2">
      <c r="A393" t="s">
        <v>92</v>
      </c>
      <c r="B393" t="s">
        <v>446</v>
      </c>
      <c r="C393" t="s">
        <v>825</v>
      </c>
      <c r="D393" t="s">
        <v>826</v>
      </c>
      <c r="E393" t="s">
        <v>228</v>
      </c>
      <c r="F393">
        <v>44.99</v>
      </c>
      <c r="H393">
        <v>24.54</v>
      </c>
      <c r="I393">
        <v>26.59</v>
      </c>
      <c r="J393">
        <v>36.81</v>
      </c>
      <c r="K393">
        <v>24.54</v>
      </c>
      <c r="L393">
        <v>25.56</v>
      </c>
      <c r="M393">
        <v>26.59</v>
      </c>
      <c r="Q393">
        <v>23.64</v>
      </c>
      <c r="R393">
        <v>24.06</v>
      </c>
      <c r="T393" t="s">
        <v>97</v>
      </c>
      <c r="AA393" t="s">
        <v>97</v>
      </c>
      <c r="AC393">
        <v>26.59</v>
      </c>
    </row>
    <row r="394" spans="1:29" x14ac:dyDescent="0.2">
      <c r="A394" t="s">
        <v>92</v>
      </c>
      <c r="B394" t="s">
        <v>446</v>
      </c>
      <c r="C394" t="s">
        <v>827</v>
      </c>
      <c r="D394" t="s">
        <v>828</v>
      </c>
      <c r="E394" t="s">
        <v>228</v>
      </c>
      <c r="F394">
        <v>69.989999999999995</v>
      </c>
      <c r="H394">
        <v>38.18</v>
      </c>
      <c r="I394">
        <v>50.9</v>
      </c>
      <c r="J394">
        <v>57.26</v>
      </c>
      <c r="K394">
        <v>38.18</v>
      </c>
      <c r="L394">
        <v>41.36</v>
      </c>
      <c r="M394">
        <v>44.54</v>
      </c>
      <c r="Q394">
        <v>36.78</v>
      </c>
      <c r="R394">
        <v>37.409999999999997</v>
      </c>
      <c r="T394" t="s">
        <v>97</v>
      </c>
      <c r="AA394" t="s">
        <v>97</v>
      </c>
      <c r="AC394">
        <v>41.36</v>
      </c>
    </row>
    <row r="395" spans="1:29" x14ac:dyDescent="0.2">
      <c r="A395" t="s">
        <v>92</v>
      </c>
      <c r="B395" t="s">
        <v>446</v>
      </c>
      <c r="C395" t="s">
        <v>829</v>
      </c>
      <c r="D395" t="s">
        <v>830</v>
      </c>
      <c r="E395" t="s">
        <v>228</v>
      </c>
      <c r="F395">
        <v>69.989999999999995</v>
      </c>
      <c r="H395">
        <v>38.18</v>
      </c>
      <c r="I395">
        <v>50.9</v>
      </c>
      <c r="J395">
        <v>57.26</v>
      </c>
      <c r="K395">
        <v>38.18</v>
      </c>
      <c r="L395">
        <v>41.36</v>
      </c>
      <c r="M395">
        <v>44.54</v>
      </c>
      <c r="Q395">
        <v>36.78</v>
      </c>
      <c r="R395">
        <v>37.409999999999997</v>
      </c>
      <c r="T395" t="s">
        <v>97</v>
      </c>
      <c r="AA395" t="s">
        <v>97</v>
      </c>
      <c r="AC395">
        <v>41.36</v>
      </c>
    </row>
    <row r="396" spans="1:29" x14ac:dyDescent="0.2">
      <c r="A396" t="s">
        <v>92</v>
      </c>
      <c r="B396" t="s">
        <v>446</v>
      </c>
      <c r="C396" t="s">
        <v>831</v>
      </c>
      <c r="D396" t="s">
        <v>832</v>
      </c>
      <c r="E396" t="s">
        <v>228</v>
      </c>
      <c r="F396">
        <v>89.99</v>
      </c>
      <c r="H396">
        <v>49.09</v>
      </c>
      <c r="I396">
        <v>65.45</v>
      </c>
      <c r="J396">
        <v>73.63</v>
      </c>
      <c r="K396">
        <v>49.09</v>
      </c>
      <c r="L396">
        <v>53.18</v>
      </c>
      <c r="M396">
        <v>57.27</v>
      </c>
      <c r="Q396">
        <v>47.29</v>
      </c>
      <c r="R396">
        <v>48.1</v>
      </c>
      <c r="T396" t="s">
        <v>97</v>
      </c>
      <c r="AA396" t="s">
        <v>97</v>
      </c>
      <c r="AC396">
        <v>53.18</v>
      </c>
    </row>
    <row r="397" spans="1:29" x14ac:dyDescent="0.2">
      <c r="A397" t="s">
        <v>92</v>
      </c>
      <c r="B397" t="s">
        <v>446</v>
      </c>
      <c r="C397" t="s">
        <v>833</v>
      </c>
      <c r="D397" t="s">
        <v>834</v>
      </c>
      <c r="E397" t="s">
        <v>228</v>
      </c>
      <c r="F397">
        <v>89.99</v>
      </c>
      <c r="H397">
        <v>49.09</v>
      </c>
      <c r="I397">
        <v>65.45</v>
      </c>
      <c r="J397">
        <v>73.63</v>
      </c>
      <c r="K397">
        <v>49.09</v>
      </c>
      <c r="L397">
        <v>53.18</v>
      </c>
      <c r="M397">
        <v>57.27</v>
      </c>
      <c r="Q397">
        <v>47.29</v>
      </c>
      <c r="R397">
        <v>48.1</v>
      </c>
      <c r="T397" t="s">
        <v>97</v>
      </c>
      <c r="AA397" t="s">
        <v>97</v>
      </c>
      <c r="AC397">
        <v>53.18</v>
      </c>
    </row>
    <row r="398" spans="1:29" x14ac:dyDescent="0.2">
      <c r="A398" t="s">
        <v>92</v>
      </c>
      <c r="B398" t="s">
        <v>446</v>
      </c>
      <c r="C398" t="s">
        <v>835</v>
      </c>
      <c r="D398" t="s">
        <v>836</v>
      </c>
      <c r="E398" t="s">
        <v>228</v>
      </c>
      <c r="F398">
        <v>89.99</v>
      </c>
      <c r="H398">
        <v>49.09</v>
      </c>
      <c r="I398">
        <v>65.45</v>
      </c>
      <c r="J398">
        <v>73.63</v>
      </c>
      <c r="K398">
        <v>49.09</v>
      </c>
      <c r="L398">
        <v>53.18</v>
      </c>
      <c r="M398">
        <v>57.27</v>
      </c>
      <c r="Q398">
        <v>47.29</v>
      </c>
      <c r="R398">
        <v>48.1</v>
      </c>
      <c r="T398" t="s">
        <v>97</v>
      </c>
      <c r="AA398" t="s">
        <v>97</v>
      </c>
      <c r="AC398">
        <v>53.18</v>
      </c>
    </row>
    <row r="399" spans="1:29" x14ac:dyDescent="0.2">
      <c r="A399" t="s">
        <v>92</v>
      </c>
      <c r="B399" t="s">
        <v>446</v>
      </c>
      <c r="C399" t="s">
        <v>837</v>
      </c>
      <c r="D399" t="s">
        <v>838</v>
      </c>
      <c r="E399" t="s">
        <v>228</v>
      </c>
      <c r="F399">
        <v>89.99</v>
      </c>
      <c r="H399">
        <v>49.09</v>
      </c>
      <c r="I399">
        <v>65.45</v>
      </c>
      <c r="J399">
        <v>73.63</v>
      </c>
      <c r="K399">
        <v>49.09</v>
      </c>
      <c r="L399">
        <v>53.18</v>
      </c>
      <c r="M399">
        <v>57.27</v>
      </c>
      <c r="Q399">
        <v>47.29</v>
      </c>
      <c r="R399">
        <v>48.1</v>
      </c>
      <c r="T399" t="s">
        <v>97</v>
      </c>
      <c r="AA399" t="s">
        <v>97</v>
      </c>
      <c r="AC399">
        <v>53.18</v>
      </c>
    </row>
    <row r="400" spans="1:29" x14ac:dyDescent="0.2">
      <c r="A400" t="s">
        <v>92</v>
      </c>
      <c r="B400" t="s">
        <v>446</v>
      </c>
      <c r="C400" t="s">
        <v>839</v>
      </c>
      <c r="D400" t="s">
        <v>840</v>
      </c>
      <c r="E400" t="s">
        <v>228</v>
      </c>
      <c r="F400">
        <v>119.99</v>
      </c>
      <c r="H400">
        <v>54.54</v>
      </c>
      <c r="K400">
        <v>54.54</v>
      </c>
      <c r="Q400">
        <v>54.54</v>
      </c>
      <c r="T400" t="s">
        <v>97</v>
      </c>
      <c r="AA400" t="s">
        <v>97</v>
      </c>
    </row>
    <row r="401" spans="1:29" x14ac:dyDescent="0.2">
      <c r="A401" t="s">
        <v>92</v>
      </c>
      <c r="B401" t="s">
        <v>446</v>
      </c>
      <c r="C401" t="s">
        <v>843</v>
      </c>
      <c r="D401" t="s">
        <v>844</v>
      </c>
      <c r="E401" t="s">
        <v>290</v>
      </c>
      <c r="F401">
        <v>39.99</v>
      </c>
      <c r="H401">
        <v>21.81</v>
      </c>
      <c r="I401">
        <v>23.63</v>
      </c>
      <c r="J401">
        <v>32.72</v>
      </c>
      <c r="K401">
        <v>20</v>
      </c>
      <c r="L401">
        <v>25.45</v>
      </c>
      <c r="M401">
        <v>27.27</v>
      </c>
      <c r="Q401">
        <v>21.81</v>
      </c>
      <c r="R401">
        <v>26.36</v>
      </c>
      <c r="T401" t="s">
        <v>97</v>
      </c>
      <c r="Z401">
        <v>39.99</v>
      </c>
      <c r="AA401" t="s">
        <v>97</v>
      </c>
      <c r="AC401">
        <v>25.45</v>
      </c>
    </row>
    <row r="402" spans="1:29" x14ac:dyDescent="0.2">
      <c r="A402" t="s">
        <v>92</v>
      </c>
      <c r="B402" t="s">
        <v>446</v>
      </c>
      <c r="C402" t="s">
        <v>845</v>
      </c>
      <c r="D402" t="s">
        <v>846</v>
      </c>
      <c r="E402" t="s">
        <v>290</v>
      </c>
      <c r="F402">
        <v>49.99</v>
      </c>
      <c r="H402">
        <v>27.27</v>
      </c>
      <c r="I402">
        <v>29.54</v>
      </c>
      <c r="J402">
        <v>40.9</v>
      </c>
      <c r="K402">
        <v>25</v>
      </c>
      <c r="L402">
        <v>31.81</v>
      </c>
      <c r="M402">
        <v>34.08</v>
      </c>
      <c r="Q402">
        <v>27.27</v>
      </c>
      <c r="R402">
        <v>32.950000000000003</v>
      </c>
      <c r="T402" t="s">
        <v>97</v>
      </c>
      <c r="Z402">
        <v>49.99</v>
      </c>
      <c r="AA402" t="s">
        <v>97</v>
      </c>
      <c r="AC402">
        <v>31.81</v>
      </c>
    </row>
    <row r="403" spans="1:29" x14ac:dyDescent="0.2">
      <c r="A403" t="s">
        <v>92</v>
      </c>
      <c r="B403" t="s">
        <v>446</v>
      </c>
      <c r="C403" t="s">
        <v>847</v>
      </c>
      <c r="D403" t="s">
        <v>848</v>
      </c>
      <c r="E403" t="s">
        <v>228</v>
      </c>
      <c r="F403">
        <v>34.99</v>
      </c>
      <c r="H403">
        <v>23.86</v>
      </c>
      <c r="I403">
        <v>25.45</v>
      </c>
      <c r="K403">
        <v>22.27</v>
      </c>
      <c r="Q403">
        <v>23.86</v>
      </c>
      <c r="T403" t="s">
        <v>97</v>
      </c>
      <c r="Y403">
        <v>27.04</v>
      </c>
      <c r="Z403">
        <v>34.99</v>
      </c>
      <c r="AA403" t="s">
        <v>97</v>
      </c>
    </row>
    <row r="404" spans="1:29" x14ac:dyDescent="0.2">
      <c r="A404" t="s">
        <v>92</v>
      </c>
      <c r="B404" t="s">
        <v>446</v>
      </c>
      <c r="C404" t="s">
        <v>849</v>
      </c>
      <c r="D404" t="s">
        <v>850</v>
      </c>
      <c r="E404" t="s">
        <v>228</v>
      </c>
      <c r="F404">
        <v>34.99</v>
      </c>
      <c r="H404">
        <v>23.86</v>
      </c>
      <c r="I404">
        <v>25.45</v>
      </c>
      <c r="K404">
        <v>22.27</v>
      </c>
      <c r="Q404">
        <v>23.86</v>
      </c>
      <c r="T404" t="s">
        <v>97</v>
      </c>
      <c r="Y404">
        <v>27.04</v>
      </c>
      <c r="Z404">
        <v>34.99</v>
      </c>
      <c r="AA404" t="s">
        <v>97</v>
      </c>
    </row>
    <row r="405" spans="1:29" x14ac:dyDescent="0.2">
      <c r="A405" t="s">
        <v>92</v>
      </c>
      <c r="B405" t="s">
        <v>446</v>
      </c>
      <c r="C405" t="s">
        <v>851</v>
      </c>
      <c r="D405" t="s">
        <v>852</v>
      </c>
      <c r="E405" t="s">
        <v>228</v>
      </c>
      <c r="F405">
        <v>39.99</v>
      </c>
      <c r="H405">
        <v>27.27</v>
      </c>
      <c r="I405">
        <v>29.08</v>
      </c>
      <c r="K405">
        <v>25.45</v>
      </c>
      <c r="Q405">
        <v>27.27</v>
      </c>
      <c r="T405" t="s">
        <v>97</v>
      </c>
      <c r="Y405">
        <v>30.9</v>
      </c>
      <c r="Z405">
        <v>39.99</v>
      </c>
      <c r="AA405" t="s">
        <v>97</v>
      </c>
    </row>
    <row r="406" spans="1:29" x14ac:dyDescent="0.2">
      <c r="A406" t="s">
        <v>92</v>
      </c>
      <c r="B406" t="s">
        <v>446</v>
      </c>
      <c r="C406" t="s">
        <v>853</v>
      </c>
      <c r="D406" t="s">
        <v>854</v>
      </c>
      <c r="E406" t="s">
        <v>228</v>
      </c>
      <c r="F406">
        <v>39.99</v>
      </c>
      <c r="H406">
        <v>27.27</v>
      </c>
      <c r="I406">
        <v>29.08</v>
      </c>
      <c r="K406">
        <v>25.45</v>
      </c>
      <c r="Q406">
        <v>27.27</v>
      </c>
      <c r="T406" t="s">
        <v>97</v>
      </c>
      <c r="V406">
        <v>38.630000000000003</v>
      </c>
      <c r="Y406">
        <v>30.9</v>
      </c>
      <c r="Z406">
        <v>39.99</v>
      </c>
      <c r="AA406" t="s">
        <v>97</v>
      </c>
    </row>
    <row r="407" spans="1:29" x14ac:dyDescent="0.2">
      <c r="A407" t="s">
        <v>92</v>
      </c>
      <c r="B407" t="s">
        <v>446</v>
      </c>
      <c r="C407" t="s">
        <v>8772</v>
      </c>
      <c r="D407" t="s">
        <v>8773</v>
      </c>
      <c r="E407" t="s">
        <v>228</v>
      </c>
      <c r="F407">
        <v>24.99</v>
      </c>
      <c r="H407">
        <v>13.63</v>
      </c>
      <c r="I407">
        <v>14.77</v>
      </c>
      <c r="J407">
        <v>20.45</v>
      </c>
      <c r="K407">
        <v>13.63</v>
      </c>
      <c r="Q407">
        <v>13.13</v>
      </c>
      <c r="R407">
        <v>13.1</v>
      </c>
      <c r="T407" t="s">
        <v>97</v>
      </c>
      <c r="AA407" t="s">
        <v>97</v>
      </c>
    </row>
    <row r="408" spans="1:29" x14ac:dyDescent="0.2">
      <c r="A408" t="s">
        <v>92</v>
      </c>
      <c r="B408" t="s">
        <v>446</v>
      </c>
      <c r="C408" t="s">
        <v>8774</v>
      </c>
      <c r="D408" t="s">
        <v>8775</v>
      </c>
      <c r="E408" t="s">
        <v>228</v>
      </c>
      <c r="F408">
        <v>24.99</v>
      </c>
      <c r="H408">
        <v>13.63</v>
      </c>
      <c r="I408">
        <v>14.77</v>
      </c>
      <c r="J408">
        <v>20.45</v>
      </c>
      <c r="K408">
        <v>13.63</v>
      </c>
      <c r="Q408">
        <v>13.13</v>
      </c>
      <c r="R408">
        <v>13.1</v>
      </c>
      <c r="T408" t="s">
        <v>97</v>
      </c>
      <c r="AA408" t="s">
        <v>97</v>
      </c>
    </row>
    <row r="409" spans="1:29" x14ac:dyDescent="0.2">
      <c r="A409" t="s">
        <v>92</v>
      </c>
      <c r="B409" t="s">
        <v>446</v>
      </c>
      <c r="C409" t="s">
        <v>8776</v>
      </c>
      <c r="D409" t="s">
        <v>8777</v>
      </c>
      <c r="E409" t="s">
        <v>228</v>
      </c>
      <c r="F409">
        <v>24.99</v>
      </c>
      <c r="H409">
        <v>13.63</v>
      </c>
      <c r="I409">
        <v>14.77</v>
      </c>
      <c r="J409">
        <v>20.45</v>
      </c>
      <c r="K409">
        <v>13.63</v>
      </c>
      <c r="Q409">
        <v>13.13</v>
      </c>
      <c r="R409">
        <v>13.1</v>
      </c>
      <c r="T409" t="s">
        <v>97</v>
      </c>
      <c r="AA409" t="s">
        <v>97</v>
      </c>
    </row>
    <row r="410" spans="1:29" x14ac:dyDescent="0.2">
      <c r="A410" t="s">
        <v>92</v>
      </c>
      <c r="B410" t="s">
        <v>446</v>
      </c>
      <c r="C410" t="s">
        <v>8778</v>
      </c>
      <c r="D410" t="s">
        <v>8779</v>
      </c>
      <c r="E410" t="s">
        <v>228</v>
      </c>
      <c r="F410">
        <v>24.99</v>
      </c>
      <c r="H410">
        <v>13.63</v>
      </c>
      <c r="I410">
        <v>14.77</v>
      </c>
      <c r="J410">
        <v>20.45</v>
      </c>
      <c r="K410">
        <v>13.63</v>
      </c>
      <c r="Q410">
        <v>13.13</v>
      </c>
      <c r="R410">
        <v>13.1</v>
      </c>
      <c r="T410" t="s">
        <v>97</v>
      </c>
      <c r="AA410" t="s">
        <v>97</v>
      </c>
    </row>
    <row r="411" spans="1:29" x14ac:dyDescent="0.2">
      <c r="A411" t="s">
        <v>92</v>
      </c>
      <c r="B411" t="s">
        <v>446</v>
      </c>
      <c r="C411" t="s">
        <v>859</v>
      </c>
      <c r="D411" t="s">
        <v>860</v>
      </c>
      <c r="E411" t="s">
        <v>96</v>
      </c>
      <c r="F411">
        <v>99.99</v>
      </c>
      <c r="G411">
        <v>99.99</v>
      </c>
      <c r="H411">
        <v>54.54</v>
      </c>
      <c r="I411">
        <v>63.63</v>
      </c>
      <c r="J411">
        <v>81.81</v>
      </c>
      <c r="K411">
        <v>68.180000000000007</v>
      </c>
      <c r="M411">
        <v>69.989999999999995</v>
      </c>
      <c r="N411">
        <v>68.180000000000007</v>
      </c>
      <c r="R411">
        <v>23.53</v>
      </c>
      <c r="T411" t="s">
        <v>97</v>
      </c>
      <c r="Y411">
        <v>77.27</v>
      </c>
      <c r="Z411">
        <v>99.99</v>
      </c>
      <c r="AA411" t="s">
        <v>97</v>
      </c>
    </row>
    <row r="412" spans="1:29" x14ac:dyDescent="0.2">
      <c r="A412" t="s">
        <v>92</v>
      </c>
      <c r="B412" t="s">
        <v>446</v>
      </c>
      <c r="C412" t="s">
        <v>861</v>
      </c>
      <c r="D412" t="s">
        <v>862</v>
      </c>
      <c r="E412" t="s">
        <v>228</v>
      </c>
      <c r="F412">
        <v>29.99</v>
      </c>
      <c r="H412">
        <v>13.63</v>
      </c>
      <c r="I412">
        <v>16.36</v>
      </c>
      <c r="J412">
        <v>24.54</v>
      </c>
      <c r="K412">
        <v>13.63</v>
      </c>
      <c r="L412">
        <v>11.78</v>
      </c>
      <c r="M412">
        <v>16.36</v>
      </c>
      <c r="Q412">
        <v>15</v>
      </c>
      <c r="R412">
        <v>13.63</v>
      </c>
      <c r="T412" t="s">
        <v>97</v>
      </c>
      <c r="AA412" t="s">
        <v>97</v>
      </c>
      <c r="AC412">
        <v>13.63</v>
      </c>
    </row>
    <row r="413" spans="1:29" x14ac:dyDescent="0.2">
      <c r="A413" t="s">
        <v>92</v>
      </c>
      <c r="B413" t="s">
        <v>446</v>
      </c>
      <c r="C413" t="s">
        <v>863</v>
      </c>
      <c r="D413" t="s">
        <v>864</v>
      </c>
      <c r="E413" t="s">
        <v>228</v>
      </c>
      <c r="F413">
        <v>34.99</v>
      </c>
      <c r="H413">
        <v>15.9</v>
      </c>
      <c r="I413">
        <v>19.09</v>
      </c>
      <c r="J413">
        <v>28.63</v>
      </c>
      <c r="K413">
        <v>15.9</v>
      </c>
      <c r="L413">
        <v>13.74</v>
      </c>
      <c r="M413">
        <v>19.09</v>
      </c>
      <c r="Q413">
        <v>17.5</v>
      </c>
      <c r="R413">
        <v>15.9</v>
      </c>
      <c r="T413" t="s">
        <v>97</v>
      </c>
      <c r="AA413" t="s">
        <v>97</v>
      </c>
      <c r="AC413">
        <v>15.9</v>
      </c>
    </row>
    <row r="414" spans="1:29" x14ac:dyDescent="0.2">
      <c r="A414" t="s">
        <v>92</v>
      </c>
      <c r="B414" t="s">
        <v>446</v>
      </c>
      <c r="C414" t="s">
        <v>865</v>
      </c>
      <c r="D414" t="s">
        <v>866</v>
      </c>
      <c r="E414" t="s">
        <v>228</v>
      </c>
      <c r="F414">
        <v>29.99</v>
      </c>
      <c r="H414">
        <v>13.63</v>
      </c>
      <c r="I414">
        <v>16.36</v>
      </c>
      <c r="J414">
        <v>24.54</v>
      </c>
      <c r="K414">
        <v>13.63</v>
      </c>
      <c r="L414">
        <v>11.78</v>
      </c>
      <c r="M414">
        <v>16.36</v>
      </c>
      <c r="Q414">
        <v>15</v>
      </c>
      <c r="R414">
        <v>13.63</v>
      </c>
      <c r="T414" t="s">
        <v>97</v>
      </c>
      <c r="AA414" t="s">
        <v>97</v>
      </c>
      <c r="AC414">
        <v>13.63</v>
      </c>
    </row>
    <row r="415" spans="1:29" x14ac:dyDescent="0.2">
      <c r="A415" t="s">
        <v>92</v>
      </c>
      <c r="B415" t="s">
        <v>446</v>
      </c>
      <c r="C415" t="s">
        <v>867</v>
      </c>
      <c r="D415" t="s">
        <v>868</v>
      </c>
      <c r="E415" t="s">
        <v>228</v>
      </c>
      <c r="F415">
        <v>44.99</v>
      </c>
      <c r="H415">
        <v>20.45</v>
      </c>
      <c r="I415">
        <v>24.54</v>
      </c>
      <c r="J415">
        <v>36.81</v>
      </c>
      <c r="K415">
        <v>20.45</v>
      </c>
      <c r="L415">
        <v>17.670000000000002</v>
      </c>
      <c r="M415">
        <v>24.54</v>
      </c>
      <c r="Q415">
        <v>22.5</v>
      </c>
      <c r="R415">
        <v>20.45</v>
      </c>
      <c r="T415" t="s">
        <v>97</v>
      </c>
      <c r="AA415" t="s">
        <v>97</v>
      </c>
      <c r="AC415">
        <v>20.45</v>
      </c>
    </row>
    <row r="416" spans="1:29" x14ac:dyDescent="0.2">
      <c r="A416" t="s">
        <v>92</v>
      </c>
      <c r="B416" t="s">
        <v>446</v>
      </c>
      <c r="C416" t="s">
        <v>8780</v>
      </c>
      <c r="D416" t="s">
        <v>8781</v>
      </c>
      <c r="E416" t="s">
        <v>228</v>
      </c>
      <c r="F416">
        <v>99.99</v>
      </c>
      <c r="H416">
        <v>54.54</v>
      </c>
      <c r="I416">
        <v>63.63</v>
      </c>
      <c r="J416">
        <v>81.81</v>
      </c>
      <c r="K416">
        <v>54.54</v>
      </c>
      <c r="L416">
        <v>51.62</v>
      </c>
      <c r="M416">
        <v>59.09</v>
      </c>
      <c r="Q416">
        <v>54.54</v>
      </c>
      <c r="R416">
        <v>53.47</v>
      </c>
      <c r="T416" t="s">
        <v>97</v>
      </c>
      <c r="AA416" t="s">
        <v>97</v>
      </c>
      <c r="AC416">
        <v>59.09</v>
      </c>
    </row>
    <row r="417" spans="1:29" x14ac:dyDescent="0.2">
      <c r="A417" t="s">
        <v>92</v>
      </c>
      <c r="B417" t="s">
        <v>446</v>
      </c>
      <c r="C417" t="s">
        <v>8782</v>
      </c>
      <c r="D417" t="s">
        <v>8783</v>
      </c>
      <c r="E417" t="s">
        <v>228</v>
      </c>
      <c r="F417">
        <v>149.99</v>
      </c>
      <c r="H417">
        <v>81.81</v>
      </c>
      <c r="I417">
        <v>95.45</v>
      </c>
      <c r="J417">
        <v>122.72</v>
      </c>
      <c r="K417">
        <v>81.81</v>
      </c>
      <c r="L417">
        <v>77.44</v>
      </c>
      <c r="M417">
        <v>88.63</v>
      </c>
      <c r="Q417">
        <v>81.81</v>
      </c>
      <c r="R417">
        <v>80.2</v>
      </c>
      <c r="T417" t="s">
        <v>97</v>
      </c>
      <c r="AA417" t="s">
        <v>97</v>
      </c>
      <c r="AC417">
        <v>88.63</v>
      </c>
    </row>
    <row r="418" spans="1:29" x14ac:dyDescent="0.2">
      <c r="A418" t="s">
        <v>92</v>
      </c>
      <c r="B418" t="s">
        <v>446</v>
      </c>
      <c r="C418" t="s">
        <v>869</v>
      </c>
      <c r="D418" t="s">
        <v>870</v>
      </c>
      <c r="E418" t="s">
        <v>228</v>
      </c>
      <c r="F418">
        <v>59.99</v>
      </c>
      <c r="H418">
        <v>27.27</v>
      </c>
      <c r="I418">
        <v>32.72</v>
      </c>
      <c r="J418">
        <v>49.08</v>
      </c>
      <c r="K418">
        <v>27.27</v>
      </c>
      <c r="L418">
        <v>23.57</v>
      </c>
      <c r="M418">
        <v>32.72</v>
      </c>
      <c r="Q418">
        <v>30</v>
      </c>
      <c r="R418">
        <v>27.27</v>
      </c>
      <c r="T418" t="s">
        <v>97</v>
      </c>
      <c r="AA418" t="s">
        <v>97</v>
      </c>
      <c r="AC418">
        <v>27.27</v>
      </c>
    </row>
    <row r="419" spans="1:29" x14ac:dyDescent="0.2">
      <c r="A419" t="s">
        <v>92</v>
      </c>
      <c r="B419" t="s">
        <v>446</v>
      </c>
      <c r="C419" t="s">
        <v>871</v>
      </c>
      <c r="D419" t="s">
        <v>872</v>
      </c>
      <c r="E419" t="s">
        <v>228</v>
      </c>
      <c r="F419">
        <v>59.99</v>
      </c>
      <c r="H419">
        <v>32.72</v>
      </c>
      <c r="I419">
        <v>35.450000000000003</v>
      </c>
      <c r="J419">
        <v>49.08</v>
      </c>
      <c r="K419">
        <v>32.72</v>
      </c>
      <c r="L419">
        <v>30.98</v>
      </c>
      <c r="M419">
        <v>38.18</v>
      </c>
      <c r="Q419">
        <v>32.72</v>
      </c>
      <c r="R419">
        <v>32.72</v>
      </c>
      <c r="T419" t="s">
        <v>97</v>
      </c>
      <c r="AA419" t="s">
        <v>97</v>
      </c>
      <c r="AC419">
        <v>35.450000000000003</v>
      </c>
    </row>
    <row r="420" spans="1:29" x14ac:dyDescent="0.2">
      <c r="A420" t="s">
        <v>92</v>
      </c>
      <c r="B420" t="s">
        <v>446</v>
      </c>
      <c r="C420" t="s">
        <v>873</v>
      </c>
      <c r="D420" t="s">
        <v>874</v>
      </c>
      <c r="E420" t="s">
        <v>228</v>
      </c>
      <c r="F420">
        <v>59.99</v>
      </c>
      <c r="H420">
        <v>27.27</v>
      </c>
      <c r="I420">
        <v>32.72</v>
      </c>
      <c r="J420">
        <v>49.08</v>
      </c>
      <c r="K420">
        <v>27.27</v>
      </c>
      <c r="L420">
        <v>23.57</v>
      </c>
      <c r="M420">
        <v>32.72</v>
      </c>
      <c r="Q420">
        <v>30</v>
      </c>
      <c r="R420">
        <v>27.27</v>
      </c>
      <c r="T420" t="s">
        <v>97</v>
      </c>
      <c r="AA420" t="s">
        <v>97</v>
      </c>
      <c r="AC420">
        <v>27.27</v>
      </c>
    </row>
    <row r="421" spans="1:29" x14ac:dyDescent="0.2">
      <c r="A421" t="s">
        <v>92</v>
      </c>
      <c r="B421" t="s">
        <v>446</v>
      </c>
      <c r="C421" t="s">
        <v>875</v>
      </c>
      <c r="D421" t="s">
        <v>876</v>
      </c>
      <c r="E421" t="s">
        <v>228</v>
      </c>
      <c r="F421">
        <v>69.989999999999995</v>
      </c>
      <c r="H421">
        <v>31.81</v>
      </c>
      <c r="I421">
        <v>38.18</v>
      </c>
      <c r="J421">
        <v>57.26</v>
      </c>
      <c r="K421">
        <v>31.81</v>
      </c>
      <c r="L421">
        <v>27.49</v>
      </c>
      <c r="M421">
        <v>38.18</v>
      </c>
      <c r="Q421">
        <v>35</v>
      </c>
      <c r="R421">
        <v>31.81</v>
      </c>
      <c r="T421" t="s">
        <v>97</v>
      </c>
      <c r="AA421" t="s">
        <v>97</v>
      </c>
      <c r="AC421">
        <v>31.81</v>
      </c>
    </row>
    <row r="422" spans="1:29" x14ac:dyDescent="0.2">
      <c r="A422" t="s">
        <v>92</v>
      </c>
      <c r="B422" t="s">
        <v>446</v>
      </c>
      <c r="C422" t="s">
        <v>877</v>
      </c>
      <c r="D422" t="s">
        <v>8295</v>
      </c>
      <c r="E422" t="s">
        <v>228</v>
      </c>
      <c r="F422">
        <v>49.99</v>
      </c>
      <c r="H422">
        <v>27.27</v>
      </c>
      <c r="I422">
        <v>29.54</v>
      </c>
      <c r="J422">
        <v>40.9</v>
      </c>
      <c r="K422">
        <v>27.27</v>
      </c>
      <c r="L422">
        <v>25.81</v>
      </c>
      <c r="M422">
        <v>31.81</v>
      </c>
      <c r="Q422">
        <v>27.27</v>
      </c>
      <c r="R422">
        <v>27.27</v>
      </c>
      <c r="T422" t="s">
        <v>97</v>
      </c>
      <c r="AA422" t="s">
        <v>97</v>
      </c>
      <c r="AC422">
        <v>29.54</v>
      </c>
    </row>
    <row r="423" spans="1:29" x14ac:dyDescent="0.2">
      <c r="A423" t="s">
        <v>92</v>
      </c>
      <c r="B423" t="s">
        <v>446</v>
      </c>
      <c r="C423" t="s">
        <v>880</v>
      </c>
      <c r="D423" t="s">
        <v>881</v>
      </c>
      <c r="E423" t="s">
        <v>96</v>
      </c>
      <c r="F423">
        <v>14.99</v>
      </c>
      <c r="G423">
        <v>14.99</v>
      </c>
      <c r="H423">
        <v>6.81</v>
      </c>
      <c r="I423">
        <v>6.81</v>
      </c>
      <c r="J423">
        <v>12.26</v>
      </c>
      <c r="K423">
        <v>6.81</v>
      </c>
      <c r="L423">
        <v>8.73</v>
      </c>
      <c r="M423">
        <v>8.73</v>
      </c>
      <c r="O423">
        <v>10.9</v>
      </c>
      <c r="Q423">
        <v>8.73</v>
      </c>
      <c r="R423">
        <v>8.73</v>
      </c>
      <c r="T423" t="s">
        <v>97</v>
      </c>
      <c r="AA423" t="s">
        <v>97</v>
      </c>
    </row>
    <row r="424" spans="1:29" x14ac:dyDescent="0.2">
      <c r="A424" t="s">
        <v>92</v>
      </c>
      <c r="B424" t="s">
        <v>446</v>
      </c>
      <c r="C424" t="s">
        <v>882</v>
      </c>
      <c r="D424" t="s">
        <v>883</v>
      </c>
      <c r="E424" t="s">
        <v>290</v>
      </c>
      <c r="F424">
        <v>99.99</v>
      </c>
      <c r="G424">
        <v>99.99</v>
      </c>
      <c r="H424">
        <v>63.63</v>
      </c>
      <c r="I424">
        <v>68.180000000000007</v>
      </c>
      <c r="J424">
        <v>81.81</v>
      </c>
      <c r="K424">
        <v>63.63</v>
      </c>
      <c r="Q424">
        <v>63.64</v>
      </c>
      <c r="R424">
        <v>65.900000000000006</v>
      </c>
      <c r="T424" t="s">
        <v>97</v>
      </c>
      <c r="AA424" t="s">
        <v>97</v>
      </c>
    </row>
    <row r="425" spans="1:29" x14ac:dyDescent="0.2">
      <c r="A425" t="s">
        <v>92</v>
      </c>
      <c r="B425" t="s">
        <v>446</v>
      </c>
      <c r="C425" t="s">
        <v>884</v>
      </c>
      <c r="D425" t="s">
        <v>885</v>
      </c>
      <c r="E425" t="s">
        <v>290</v>
      </c>
      <c r="F425">
        <v>99.99</v>
      </c>
      <c r="G425">
        <v>99.99</v>
      </c>
      <c r="H425">
        <v>63.63</v>
      </c>
      <c r="I425">
        <v>68.180000000000007</v>
      </c>
      <c r="J425">
        <v>82.64</v>
      </c>
      <c r="K425">
        <v>63.63</v>
      </c>
      <c r="Q425">
        <v>63.63</v>
      </c>
      <c r="R425">
        <v>65.900000000000006</v>
      </c>
      <c r="S425">
        <v>54.54</v>
      </c>
      <c r="T425" t="s">
        <v>97</v>
      </c>
      <c r="Y425">
        <v>77.27</v>
      </c>
      <c r="Z425">
        <v>99.99</v>
      </c>
      <c r="AA425" t="s">
        <v>97</v>
      </c>
    </row>
    <row r="426" spans="1:29" x14ac:dyDescent="0.2">
      <c r="A426" t="s">
        <v>92</v>
      </c>
      <c r="B426" t="s">
        <v>446</v>
      </c>
      <c r="C426" t="s">
        <v>886</v>
      </c>
      <c r="D426" t="s">
        <v>887</v>
      </c>
      <c r="E426" t="s">
        <v>290</v>
      </c>
      <c r="F426">
        <v>39.99</v>
      </c>
      <c r="H426">
        <v>18.18</v>
      </c>
      <c r="I426">
        <v>21.81</v>
      </c>
      <c r="J426">
        <v>32.72</v>
      </c>
      <c r="K426">
        <v>18.18</v>
      </c>
      <c r="L426">
        <v>21.81</v>
      </c>
      <c r="M426">
        <v>21.81</v>
      </c>
      <c r="Q426">
        <v>16.62</v>
      </c>
      <c r="R426">
        <v>21.81</v>
      </c>
      <c r="S426">
        <v>18.18</v>
      </c>
      <c r="T426" t="s">
        <v>97</v>
      </c>
      <c r="AA426" t="s">
        <v>97</v>
      </c>
      <c r="AB426">
        <v>9.99</v>
      </c>
      <c r="AC426">
        <v>21.81</v>
      </c>
    </row>
    <row r="427" spans="1:29" x14ac:dyDescent="0.2">
      <c r="A427" t="s">
        <v>92</v>
      </c>
      <c r="B427" t="s">
        <v>446</v>
      </c>
      <c r="C427" t="s">
        <v>890</v>
      </c>
      <c r="D427" t="s">
        <v>891</v>
      </c>
      <c r="E427" t="s">
        <v>290</v>
      </c>
      <c r="F427">
        <v>34.99</v>
      </c>
      <c r="H427">
        <v>22.27</v>
      </c>
      <c r="I427">
        <v>23.86</v>
      </c>
      <c r="J427">
        <v>28.63</v>
      </c>
      <c r="K427">
        <v>22.27</v>
      </c>
      <c r="Q427">
        <v>22.27</v>
      </c>
      <c r="R427">
        <v>23.06</v>
      </c>
      <c r="T427" t="s">
        <v>97</v>
      </c>
      <c r="Z427">
        <v>34.99</v>
      </c>
      <c r="AA427" t="s">
        <v>97</v>
      </c>
      <c r="AB427">
        <v>34.99</v>
      </c>
    </row>
    <row r="428" spans="1:29" x14ac:dyDescent="0.2">
      <c r="A428" t="s">
        <v>92</v>
      </c>
      <c r="B428" t="s">
        <v>446</v>
      </c>
      <c r="C428" t="s">
        <v>892</v>
      </c>
      <c r="D428" t="s">
        <v>893</v>
      </c>
      <c r="E428" t="s">
        <v>290</v>
      </c>
      <c r="F428">
        <v>34.99</v>
      </c>
      <c r="H428">
        <v>22.27</v>
      </c>
      <c r="I428">
        <v>23.86</v>
      </c>
      <c r="J428">
        <v>28.63</v>
      </c>
      <c r="K428">
        <v>22.27</v>
      </c>
      <c r="L428">
        <v>11.3</v>
      </c>
      <c r="Q428">
        <v>22.27</v>
      </c>
      <c r="R428">
        <v>23.06</v>
      </c>
      <c r="T428" t="s">
        <v>97</v>
      </c>
      <c r="Z428">
        <v>34.99</v>
      </c>
      <c r="AA428" t="s">
        <v>97</v>
      </c>
      <c r="AB428">
        <v>34.99</v>
      </c>
    </row>
    <row r="429" spans="1:29" x14ac:dyDescent="0.2">
      <c r="A429" t="s">
        <v>92</v>
      </c>
      <c r="B429" t="s">
        <v>446</v>
      </c>
      <c r="C429" t="s">
        <v>894</v>
      </c>
      <c r="D429" t="s">
        <v>895</v>
      </c>
      <c r="E429" t="s">
        <v>290</v>
      </c>
      <c r="F429">
        <v>39.99</v>
      </c>
      <c r="G429">
        <v>39.99</v>
      </c>
      <c r="H429">
        <v>25.45</v>
      </c>
      <c r="I429">
        <v>27.27</v>
      </c>
      <c r="J429">
        <v>32.72</v>
      </c>
      <c r="K429">
        <v>25.45</v>
      </c>
      <c r="Q429">
        <v>25.45</v>
      </c>
      <c r="R429">
        <v>26.36</v>
      </c>
      <c r="T429" t="s">
        <v>97</v>
      </c>
      <c r="AA429" t="s">
        <v>97</v>
      </c>
      <c r="AC429">
        <v>27.27</v>
      </c>
    </row>
    <row r="430" spans="1:29" x14ac:dyDescent="0.2">
      <c r="A430" t="s">
        <v>92</v>
      </c>
      <c r="B430" t="s">
        <v>446</v>
      </c>
      <c r="C430" t="s">
        <v>896</v>
      </c>
      <c r="D430" t="s">
        <v>897</v>
      </c>
      <c r="E430" t="s">
        <v>290</v>
      </c>
      <c r="F430">
        <v>39.99</v>
      </c>
      <c r="G430">
        <v>39.99</v>
      </c>
      <c r="H430">
        <v>25.45</v>
      </c>
      <c r="I430">
        <v>27.27</v>
      </c>
      <c r="J430">
        <v>32.72</v>
      </c>
      <c r="K430">
        <v>25.45</v>
      </c>
      <c r="Q430">
        <v>25.45</v>
      </c>
      <c r="R430">
        <v>26.36</v>
      </c>
      <c r="T430" t="s">
        <v>97</v>
      </c>
      <c r="AA430" t="s">
        <v>97</v>
      </c>
      <c r="AC430">
        <v>27.27</v>
      </c>
    </row>
    <row r="431" spans="1:29" x14ac:dyDescent="0.2">
      <c r="A431" t="s">
        <v>92</v>
      </c>
      <c r="B431" t="s">
        <v>446</v>
      </c>
      <c r="C431" t="s">
        <v>898</v>
      </c>
      <c r="D431" t="s">
        <v>899</v>
      </c>
      <c r="E431" t="s">
        <v>290</v>
      </c>
      <c r="F431">
        <v>39.99</v>
      </c>
      <c r="G431">
        <v>39.99</v>
      </c>
      <c r="H431">
        <v>25.45</v>
      </c>
      <c r="I431">
        <v>27.27</v>
      </c>
      <c r="J431">
        <v>32.72</v>
      </c>
      <c r="K431">
        <v>25.45</v>
      </c>
      <c r="Q431">
        <v>25.45</v>
      </c>
      <c r="R431">
        <v>26.36</v>
      </c>
      <c r="T431" t="s">
        <v>97</v>
      </c>
      <c r="AA431" t="s">
        <v>97</v>
      </c>
      <c r="AC431">
        <v>27.27</v>
      </c>
    </row>
    <row r="432" spans="1:29" x14ac:dyDescent="0.2">
      <c r="A432" t="s">
        <v>92</v>
      </c>
      <c r="B432" t="s">
        <v>446</v>
      </c>
      <c r="C432" t="s">
        <v>900</v>
      </c>
      <c r="D432" t="s">
        <v>901</v>
      </c>
      <c r="E432" t="s">
        <v>290</v>
      </c>
      <c r="F432">
        <v>39.99</v>
      </c>
      <c r="G432">
        <v>39.99</v>
      </c>
      <c r="H432">
        <v>25.45</v>
      </c>
      <c r="I432">
        <v>27.27</v>
      </c>
      <c r="J432">
        <v>32.72</v>
      </c>
      <c r="K432">
        <v>25.45</v>
      </c>
      <c r="Q432">
        <v>25.45</v>
      </c>
      <c r="R432">
        <v>26.36</v>
      </c>
      <c r="T432" t="s">
        <v>97</v>
      </c>
      <c r="AA432" t="s">
        <v>97</v>
      </c>
      <c r="AC432">
        <v>27.27</v>
      </c>
    </row>
    <row r="433" spans="1:29" x14ac:dyDescent="0.2">
      <c r="A433" t="s">
        <v>92</v>
      </c>
      <c r="B433" t="s">
        <v>446</v>
      </c>
      <c r="C433" t="s">
        <v>902</v>
      </c>
      <c r="D433" t="s">
        <v>903</v>
      </c>
      <c r="E433" t="s">
        <v>290</v>
      </c>
      <c r="F433">
        <v>149.99</v>
      </c>
      <c r="H433">
        <v>95.45</v>
      </c>
      <c r="I433">
        <v>109.08</v>
      </c>
      <c r="J433">
        <v>122.72</v>
      </c>
      <c r="K433">
        <v>95.45</v>
      </c>
      <c r="L433">
        <v>102.27</v>
      </c>
      <c r="M433">
        <v>109.08</v>
      </c>
      <c r="Q433">
        <v>94.49</v>
      </c>
      <c r="R433">
        <v>95.45</v>
      </c>
      <c r="T433" t="s">
        <v>97</v>
      </c>
      <c r="Z433">
        <v>149.99</v>
      </c>
      <c r="AA433" t="s">
        <v>97</v>
      </c>
      <c r="AC433">
        <v>102.27</v>
      </c>
    </row>
    <row r="434" spans="1:29" x14ac:dyDescent="0.2">
      <c r="A434" t="s">
        <v>92</v>
      </c>
      <c r="B434" t="s">
        <v>446</v>
      </c>
      <c r="C434" t="s">
        <v>906</v>
      </c>
      <c r="D434" t="s">
        <v>907</v>
      </c>
      <c r="E434" t="s">
        <v>228</v>
      </c>
      <c r="F434">
        <v>79.989999999999995</v>
      </c>
      <c r="H434">
        <v>47.27</v>
      </c>
      <c r="I434">
        <v>58.17</v>
      </c>
      <c r="J434">
        <v>65.45</v>
      </c>
      <c r="K434">
        <v>43.63</v>
      </c>
      <c r="L434">
        <v>43.63</v>
      </c>
      <c r="M434">
        <v>50.9</v>
      </c>
      <c r="Q434">
        <v>42.03</v>
      </c>
      <c r="R434">
        <v>36.36</v>
      </c>
      <c r="T434" t="s">
        <v>97</v>
      </c>
      <c r="AA434" t="s">
        <v>97</v>
      </c>
      <c r="AC434">
        <v>47.27</v>
      </c>
    </row>
    <row r="435" spans="1:29" x14ac:dyDescent="0.2">
      <c r="A435" t="s">
        <v>92</v>
      </c>
      <c r="B435" t="s">
        <v>446</v>
      </c>
      <c r="C435" t="s">
        <v>908</v>
      </c>
      <c r="D435" t="s">
        <v>909</v>
      </c>
      <c r="E435" t="s">
        <v>228</v>
      </c>
      <c r="F435">
        <v>79.989999999999995</v>
      </c>
      <c r="H435">
        <v>43.63</v>
      </c>
      <c r="I435">
        <v>47.27</v>
      </c>
      <c r="J435">
        <v>65.45</v>
      </c>
      <c r="K435">
        <v>43.63</v>
      </c>
      <c r="L435">
        <v>43.63</v>
      </c>
      <c r="M435">
        <v>47.27</v>
      </c>
      <c r="Q435">
        <v>40</v>
      </c>
      <c r="R435">
        <v>42.77</v>
      </c>
      <c r="T435" t="s">
        <v>97</v>
      </c>
      <c r="AA435" t="s">
        <v>97</v>
      </c>
      <c r="AC435">
        <v>47.27</v>
      </c>
    </row>
    <row r="436" spans="1:29" x14ac:dyDescent="0.2">
      <c r="A436" t="s">
        <v>92</v>
      </c>
      <c r="B436" t="s">
        <v>446</v>
      </c>
      <c r="C436" t="s">
        <v>910</v>
      </c>
      <c r="D436" t="s">
        <v>911</v>
      </c>
      <c r="E436" t="s">
        <v>228</v>
      </c>
      <c r="F436">
        <v>69.989999999999995</v>
      </c>
      <c r="H436">
        <v>38.18</v>
      </c>
      <c r="I436">
        <v>41.36</v>
      </c>
      <c r="J436">
        <v>57.26</v>
      </c>
      <c r="K436">
        <v>38.18</v>
      </c>
      <c r="L436">
        <v>38.18</v>
      </c>
      <c r="M436">
        <v>41.36</v>
      </c>
      <c r="Q436">
        <v>35</v>
      </c>
      <c r="R436">
        <v>37.43</v>
      </c>
      <c r="T436" t="s">
        <v>97</v>
      </c>
      <c r="AA436" t="s">
        <v>97</v>
      </c>
      <c r="AC436">
        <v>41.36</v>
      </c>
    </row>
    <row r="437" spans="1:29" x14ac:dyDescent="0.2">
      <c r="A437" t="s">
        <v>92</v>
      </c>
      <c r="B437" t="s">
        <v>446</v>
      </c>
      <c r="C437" t="s">
        <v>912</v>
      </c>
      <c r="D437" t="s">
        <v>913</v>
      </c>
      <c r="E437" t="s">
        <v>228</v>
      </c>
      <c r="F437">
        <v>89.99</v>
      </c>
      <c r="G437">
        <v>89.99</v>
      </c>
      <c r="H437">
        <v>40.9</v>
      </c>
      <c r="I437">
        <v>49.09</v>
      </c>
      <c r="J437">
        <v>73.63</v>
      </c>
      <c r="K437">
        <v>40.9</v>
      </c>
      <c r="L437">
        <v>57.27</v>
      </c>
      <c r="M437">
        <v>51.13</v>
      </c>
      <c r="Q437">
        <v>46.22</v>
      </c>
      <c r="R437">
        <v>49.09</v>
      </c>
      <c r="S437">
        <v>40.9</v>
      </c>
      <c r="T437" t="s">
        <v>97</v>
      </c>
      <c r="Y437">
        <v>69.540000000000006</v>
      </c>
      <c r="Z437">
        <v>89.99</v>
      </c>
      <c r="AA437" t="s">
        <v>97</v>
      </c>
      <c r="AC437">
        <v>49.09</v>
      </c>
    </row>
    <row r="438" spans="1:29" x14ac:dyDescent="0.2">
      <c r="A438" t="s">
        <v>92</v>
      </c>
      <c r="B438" t="s">
        <v>446</v>
      </c>
      <c r="C438" t="s">
        <v>914</v>
      </c>
      <c r="D438" t="s">
        <v>915</v>
      </c>
      <c r="E438" t="s">
        <v>228</v>
      </c>
      <c r="F438">
        <v>49.99</v>
      </c>
      <c r="G438">
        <v>49.99</v>
      </c>
      <c r="H438">
        <v>22.72</v>
      </c>
      <c r="I438">
        <v>27.27</v>
      </c>
      <c r="J438">
        <v>40.9</v>
      </c>
      <c r="K438">
        <v>22.72</v>
      </c>
      <c r="L438">
        <v>31.81</v>
      </c>
      <c r="M438">
        <v>26.13</v>
      </c>
      <c r="Q438">
        <v>23.11</v>
      </c>
      <c r="R438">
        <v>27.27</v>
      </c>
      <c r="S438">
        <v>22.72</v>
      </c>
      <c r="T438" t="s">
        <v>97</v>
      </c>
      <c r="Y438">
        <v>38.630000000000003</v>
      </c>
      <c r="Z438">
        <v>49.99</v>
      </c>
      <c r="AA438" t="s">
        <v>97</v>
      </c>
      <c r="AC438">
        <v>27.27</v>
      </c>
    </row>
    <row r="439" spans="1:29" x14ac:dyDescent="0.2">
      <c r="A439" t="s">
        <v>92</v>
      </c>
      <c r="B439" t="s">
        <v>446</v>
      </c>
      <c r="C439" t="s">
        <v>916</v>
      </c>
      <c r="D439" t="s">
        <v>917</v>
      </c>
      <c r="E439" t="s">
        <v>228</v>
      </c>
      <c r="F439">
        <v>34.99</v>
      </c>
      <c r="G439">
        <v>34.99</v>
      </c>
      <c r="H439">
        <v>15.9</v>
      </c>
      <c r="I439">
        <v>19.09</v>
      </c>
      <c r="J439">
        <v>28.63</v>
      </c>
      <c r="K439">
        <v>15.9</v>
      </c>
      <c r="L439">
        <v>22.27</v>
      </c>
      <c r="M439">
        <v>18.29</v>
      </c>
      <c r="Q439">
        <v>16.170000000000002</v>
      </c>
      <c r="R439">
        <v>19.09</v>
      </c>
      <c r="T439" t="s">
        <v>97</v>
      </c>
      <c r="Y439">
        <v>27.04</v>
      </c>
      <c r="Z439">
        <v>34.99</v>
      </c>
      <c r="AA439" t="s">
        <v>97</v>
      </c>
      <c r="AC439">
        <v>19.09</v>
      </c>
    </row>
    <row r="440" spans="1:29" x14ac:dyDescent="0.2">
      <c r="A440" t="s">
        <v>92</v>
      </c>
      <c r="B440" t="s">
        <v>446</v>
      </c>
      <c r="C440" t="s">
        <v>918</v>
      </c>
      <c r="D440" t="s">
        <v>919</v>
      </c>
      <c r="E440" t="s">
        <v>290</v>
      </c>
      <c r="F440">
        <v>149.99</v>
      </c>
      <c r="H440">
        <v>75</v>
      </c>
      <c r="I440">
        <v>81.81</v>
      </c>
      <c r="J440">
        <v>122.72</v>
      </c>
      <c r="K440">
        <v>68.180000000000007</v>
      </c>
      <c r="L440">
        <v>81.81</v>
      </c>
      <c r="M440">
        <v>88.63</v>
      </c>
      <c r="Q440">
        <v>68.180000000000007</v>
      </c>
      <c r="R440">
        <v>80.2</v>
      </c>
      <c r="T440" t="s">
        <v>97</v>
      </c>
      <c r="V440">
        <v>115.9</v>
      </c>
      <c r="W440">
        <v>115.9</v>
      </c>
      <c r="X440">
        <v>115.9</v>
      </c>
      <c r="Y440">
        <v>115.9</v>
      </c>
      <c r="Z440">
        <v>149.99</v>
      </c>
      <c r="AA440" t="s">
        <v>97</v>
      </c>
      <c r="AC440">
        <v>85.22</v>
      </c>
    </row>
    <row r="441" spans="1:29" x14ac:dyDescent="0.2">
      <c r="A441" t="s">
        <v>92</v>
      </c>
      <c r="B441" t="s">
        <v>446</v>
      </c>
      <c r="C441" t="s">
        <v>920</v>
      </c>
      <c r="D441" t="s">
        <v>921</v>
      </c>
      <c r="E441" t="s">
        <v>228</v>
      </c>
      <c r="F441">
        <v>149.99</v>
      </c>
      <c r="H441">
        <v>68.180000000000007</v>
      </c>
      <c r="K441">
        <v>68.180000000000007</v>
      </c>
      <c r="Q441">
        <v>68.180000000000007</v>
      </c>
      <c r="T441" t="s">
        <v>97</v>
      </c>
      <c r="AA441" t="s">
        <v>97</v>
      </c>
    </row>
    <row r="442" spans="1:29" x14ac:dyDescent="0.2">
      <c r="A442" t="s">
        <v>92</v>
      </c>
      <c r="B442" t="s">
        <v>446</v>
      </c>
      <c r="C442" t="s">
        <v>922</v>
      </c>
      <c r="D442" t="s">
        <v>923</v>
      </c>
      <c r="E442" t="s">
        <v>290</v>
      </c>
      <c r="F442">
        <v>139.99</v>
      </c>
      <c r="H442">
        <v>70</v>
      </c>
      <c r="I442">
        <v>76.36</v>
      </c>
      <c r="J442">
        <v>114.54</v>
      </c>
      <c r="K442">
        <v>63.63</v>
      </c>
      <c r="L442">
        <v>76.36</v>
      </c>
      <c r="M442">
        <v>82.72</v>
      </c>
      <c r="Q442">
        <v>63.63</v>
      </c>
      <c r="R442">
        <v>74.86</v>
      </c>
      <c r="T442" t="s">
        <v>97</v>
      </c>
      <c r="V442">
        <v>108.17</v>
      </c>
      <c r="W442">
        <v>108.17</v>
      </c>
      <c r="X442">
        <v>108.17</v>
      </c>
      <c r="Y442">
        <v>108.17</v>
      </c>
      <c r="Z442">
        <v>139.99</v>
      </c>
      <c r="AA442" t="s">
        <v>97</v>
      </c>
      <c r="AC442">
        <v>79.540000000000006</v>
      </c>
    </row>
    <row r="443" spans="1:29" x14ac:dyDescent="0.2">
      <c r="A443" t="s">
        <v>92</v>
      </c>
      <c r="B443" t="s">
        <v>446</v>
      </c>
      <c r="C443" t="s">
        <v>924</v>
      </c>
      <c r="D443" t="s">
        <v>925</v>
      </c>
      <c r="E443" t="s">
        <v>96</v>
      </c>
      <c r="F443">
        <v>29.99</v>
      </c>
      <c r="G443">
        <v>29.99</v>
      </c>
      <c r="H443">
        <v>15</v>
      </c>
      <c r="I443">
        <v>19.09</v>
      </c>
      <c r="J443">
        <v>24.54</v>
      </c>
      <c r="K443">
        <v>15</v>
      </c>
      <c r="L443">
        <v>16.36</v>
      </c>
      <c r="M443">
        <v>16.36</v>
      </c>
      <c r="Q443">
        <v>16.36</v>
      </c>
      <c r="R443">
        <v>12.48</v>
      </c>
      <c r="S443">
        <v>12.72</v>
      </c>
      <c r="T443" t="s">
        <v>97</v>
      </c>
      <c r="Y443">
        <v>23.17</v>
      </c>
      <c r="Z443">
        <v>29.99</v>
      </c>
      <c r="AA443" t="s">
        <v>97</v>
      </c>
      <c r="AC443">
        <v>17.72</v>
      </c>
    </row>
    <row r="444" spans="1:29" x14ac:dyDescent="0.2">
      <c r="A444" t="s">
        <v>92</v>
      </c>
      <c r="B444" t="s">
        <v>446</v>
      </c>
      <c r="C444" t="s">
        <v>928</v>
      </c>
      <c r="D444" t="s">
        <v>929</v>
      </c>
      <c r="E444" t="s">
        <v>290</v>
      </c>
      <c r="F444">
        <v>79.989999999999995</v>
      </c>
      <c r="G444">
        <v>79.989999999999995</v>
      </c>
      <c r="H444">
        <v>50.9</v>
      </c>
      <c r="I444">
        <v>54.54</v>
      </c>
      <c r="J444">
        <v>66.099999999999994</v>
      </c>
      <c r="K444">
        <v>50.9</v>
      </c>
      <c r="L444">
        <v>50.9</v>
      </c>
      <c r="M444">
        <v>54.54</v>
      </c>
      <c r="Q444">
        <v>50.9</v>
      </c>
      <c r="R444">
        <v>50.9</v>
      </c>
      <c r="T444" t="s">
        <v>97</v>
      </c>
      <c r="V444">
        <v>69.540000000000006</v>
      </c>
      <c r="W444">
        <v>69.540000000000006</v>
      </c>
      <c r="X444">
        <v>69.540000000000006</v>
      </c>
      <c r="Y444">
        <v>69.540000000000006</v>
      </c>
      <c r="Z444">
        <v>79.989999999999995</v>
      </c>
      <c r="AA444" t="s">
        <v>97</v>
      </c>
      <c r="AC444">
        <v>54.54</v>
      </c>
    </row>
    <row r="445" spans="1:29" x14ac:dyDescent="0.2">
      <c r="A445" t="s">
        <v>92</v>
      </c>
      <c r="B445" t="s">
        <v>446</v>
      </c>
      <c r="C445" t="s">
        <v>932</v>
      </c>
      <c r="D445" t="s">
        <v>933</v>
      </c>
      <c r="E445" t="s">
        <v>228</v>
      </c>
      <c r="F445">
        <v>49.99</v>
      </c>
      <c r="G445">
        <v>49.99</v>
      </c>
      <c r="H445">
        <v>31.81</v>
      </c>
      <c r="I445">
        <v>34.08</v>
      </c>
      <c r="J445">
        <v>40.9</v>
      </c>
      <c r="K445">
        <v>31.81</v>
      </c>
      <c r="L445">
        <v>33.67</v>
      </c>
      <c r="Q445">
        <v>31.81</v>
      </c>
      <c r="R445">
        <v>30.9</v>
      </c>
      <c r="S445">
        <v>27.27</v>
      </c>
      <c r="T445" t="s">
        <v>97</v>
      </c>
      <c r="Y445">
        <v>38.630000000000003</v>
      </c>
      <c r="Z445">
        <v>49.99</v>
      </c>
      <c r="AA445" t="s">
        <v>97</v>
      </c>
      <c r="AC445">
        <v>34.08</v>
      </c>
    </row>
    <row r="446" spans="1:29" x14ac:dyDescent="0.2">
      <c r="A446" t="s">
        <v>92</v>
      </c>
      <c r="B446" t="s">
        <v>446</v>
      </c>
      <c r="C446" t="s">
        <v>934</v>
      </c>
      <c r="D446" t="s">
        <v>935</v>
      </c>
      <c r="E446" t="s">
        <v>290</v>
      </c>
      <c r="F446">
        <v>39.99</v>
      </c>
      <c r="G446">
        <v>39.99</v>
      </c>
      <c r="H446">
        <v>25.45</v>
      </c>
      <c r="I446">
        <v>27.27</v>
      </c>
      <c r="J446">
        <v>32.72</v>
      </c>
      <c r="K446">
        <v>25.45</v>
      </c>
      <c r="L446">
        <v>26.93</v>
      </c>
      <c r="Q446">
        <v>25.45</v>
      </c>
      <c r="R446">
        <v>25.45</v>
      </c>
      <c r="S446">
        <v>21.81</v>
      </c>
      <c r="T446" t="s">
        <v>97</v>
      </c>
      <c r="Y446">
        <v>30.9</v>
      </c>
      <c r="Z446">
        <v>39.99</v>
      </c>
      <c r="AA446" t="s">
        <v>97</v>
      </c>
      <c r="AC446">
        <v>27.27</v>
      </c>
    </row>
    <row r="447" spans="1:29" x14ac:dyDescent="0.2">
      <c r="A447" t="s">
        <v>92</v>
      </c>
      <c r="B447" t="s">
        <v>446</v>
      </c>
      <c r="C447" t="s">
        <v>936</v>
      </c>
      <c r="D447" t="s">
        <v>937</v>
      </c>
      <c r="E447" t="s">
        <v>290</v>
      </c>
      <c r="F447">
        <v>69.989999999999995</v>
      </c>
      <c r="G447">
        <v>69.989999999999995</v>
      </c>
      <c r="H447">
        <v>44.54</v>
      </c>
      <c r="I447">
        <v>47.72</v>
      </c>
      <c r="J447">
        <v>57.26</v>
      </c>
      <c r="K447">
        <v>44.54</v>
      </c>
      <c r="L447">
        <v>47.14</v>
      </c>
      <c r="Q447">
        <v>44.55</v>
      </c>
      <c r="R447">
        <v>44.54</v>
      </c>
      <c r="S447">
        <v>38.18</v>
      </c>
      <c r="T447" t="s">
        <v>97</v>
      </c>
      <c r="Y447">
        <v>54.08</v>
      </c>
      <c r="Z447">
        <v>69.989999999999995</v>
      </c>
      <c r="AA447" t="s">
        <v>97</v>
      </c>
      <c r="AC447">
        <v>47.72</v>
      </c>
    </row>
    <row r="448" spans="1:29" x14ac:dyDescent="0.2">
      <c r="A448" t="s">
        <v>92</v>
      </c>
      <c r="B448" t="s">
        <v>446</v>
      </c>
      <c r="C448" t="s">
        <v>938</v>
      </c>
      <c r="D448" t="s">
        <v>939</v>
      </c>
      <c r="E448" t="s">
        <v>228</v>
      </c>
      <c r="F448">
        <v>15.99</v>
      </c>
      <c r="H448">
        <v>8.7200000000000006</v>
      </c>
      <c r="I448">
        <v>11.63</v>
      </c>
      <c r="J448">
        <v>13.08</v>
      </c>
      <c r="K448">
        <v>8.7200000000000006</v>
      </c>
      <c r="L448">
        <v>9.4499999999999993</v>
      </c>
      <c r="M448">
        <v>10.18</v>
      </c>
      <c r="Q448">
        <v>8.4</v>
      </c>
      <c r="R448">
        <v>8.7200000000000006</v>
      </c>
      <c r="T448" t="s">
        <v>97</v>
      </c>
      <c r="Z448">
        <v>15.99</v>
      </c>
      <c r="AA448" t="s">
        <v>97</v>
      </c>
    </row>
    <row r="449" spans="1:29" x14ac:dyDescent="0.2">
      <c r="A449" t="s">
        <v>92</v>
      </c>
      <c r="B449" t="s">
        <v>446</v>
      </c>
      <c r="C449" t="s">
        <v>940</v>
      </c>
      <c r="D449" t="s">
        <v>941</v>
      </c>
      <c r="E449" t="s">
        <v>228</v>
      </c>
      <c r="F449">
        <v>15.99</v>
      </c>
      <c r="G449">
        <v>15.99</v>
      </c>
      <c r="H449">
        <v>8.7200000000000006</v>
      </c>
      <c r="I449">
        <v>8.7200000000000006</v>
      </c>
      <c r="J449">
        <v>13.21</v>
      </c>
      <c r="K449">
        <v>8.7200000000000006</v>
      </c>
      <c r="L449">
        <v>8.26</v>
      </c>
      <c r="M449">
        <v>10.18</v>
      </c>
      <c r="Q449">
        <v>8.7200000000000006</v>
      </c>
      <c r="R449">
        <v>8.7200000000000006</v>
      </c>
      <c r="S449">
        <v>7.27</v>
      </c>
      <c r="T449" t="s">
        <v>97</v>
      </c>
      <c r="AA449" t="s">
        <v>97</v>
      </c>
      <c r="AC449">
        <v>8.7200000000000006</v>
      </c>
    </row>
    <row r="450" spans="1:29" x14ac:dyDescent="0.2">
      <c r="A450" t="s">
        <v>92</v>
      </c>
      <c r="B450" t="s">
        <v>446</v>
      </c>
      <c r="C450" t="s">
        <v>942</v>
      </c>
      <c r="D450" t="s">
        <v>943</v>
      </c>
      <c r="E450" t="s">
        <v>228</v>
      </c>
      <c r="F450">
        <v>15.99</v>
      </c>
      <c r="G450">
        <v>15.99</v>
      </c>
      <c r="H450">
        <v>8.7200000000000006</v>
      </c>
      <c r="I450">
        <v>8.7200000000000006</v>
      </c>
      <c r="J450">
        <v>13.21</v>
      </c>
      <c r="K450">
        <v>8.7200000000000006</v>
      </c>
      <c r="L450">
        <v>8.26</v>
      </c>
      <c r="M450">
        <v>10.18</v>
      </c>
      <c r="Q450">
        <v>8.7200000000000006</v>
      </c>
      <c r="R450">
        <v>8.7200000000000006</v>
      </c>
      <c r="S450">
        <v>7.27</v>
      </c>
      <c r="T450" t="s">
        <v>97</v>
      </c>
      <c r="AA450" t="s">
        <v>97</v>
      </c>
      <c r="AC450">
        <v>8.7200000000000006</v>
      </c>
    </row>
    <row r="451" spans="1:29" x14ac:dyDescent="0.2">
      <c r="A451" t="s">
        <v>92</v>
      </c>
      <c r="B451" t="s">
        <v>446</v>
      </c>
      <c r="C451" t="s">
        <v>8784</v>
      </c>
      <c r="D451" t="s">
        <v>8785</v>
      </c>
      <c r="E451" t="s">
        <v>228</v>
      </c>
      <c r="F451">
        <v>34.99</v>
      </c>
      <c r="H451">
        <v>19.09</v>
      </c>
      <c r="I451">
        <v>22.27</v>
      </c>
      <c r="J451">
        <v>28.63</v>
      </c>
      <c r="K451">
        <v>19.09</v>
      </c>
      <c r="L451">
        <v>18.059999999999999</v>
      </c>
      <c r="M451">
        <v>20.68</v>
      </c>
      <c r="Q451">
        <v>18.39</v>
      </c>
      <c r="R451">
        <v>18.71</v>
      </c>
      <c r="T451" t="s">
        <v>97</v>
      </c>
      <c r="AA451" t="s">
        <v>97</v>
      </c>
      <c r="AC451">
        <v>19.88</v>
      </c>
    </row>
    <row r="452" spans="1:29" x14ac:dyDescent="0.2">
      <c r="A452" t="s">
        <v>92</v>
      </c>
      <c r="B452" t="s">
        <v>446</v>
      </c>
      <c r="C452" t="s">
        <v>8786</v>
      </c>
      <c r="D452" t="s">
        <v>8787</v>
      </c>
      <c r="E452" t="s">
        <v>228</v>
      </c>
      <c r="F452">
        <v>39.99</v>
      </c>
      <c r="H452">
        <v>21.81</v>
      </c>
      <c r="I452">
        <v>25.45</v>
      </c>
      <c r="J452">
        <v>32.72</v>
      </c>
      <c r="K452">
        <v>21.81</v>
      </c>
      <c r="L452">
        <v>20.65</v>
      </c>
      <c r="M452">
        <v>23.63</v>
      </c>
      <c r="Q452">
        <v>21.02</v>
      </c>
      <c r="R452">
        <v>21.38</v>
      </c>
      <c r="T452" t="s">
        <v>97</v>
      </c>
      <c r="AA452" t="s">
        <v>97</v>
      </c>
      <c r="AC452">
        <v>22.72</v>
      </c>
    </row>
    <row r="453" spans="1:29" x14ac:dyDescent="0.2">
      <c r="A453" t="s">
        <v>92</v>
      </c>
      <c r="B453" t="s">
        <v>446</v>
      </c>
      <c r="C453" t="s">
        <v>944</v>
      </c>
      <c r="D453" t="s">
        <v>945</v>
      </c>
      <c r="E453" t="s">
        <v>228</v>
      </c>
      <c r="F453">
        <v>39.99</v>
      </c>
      <c r="G453">
        <v>39.99</v>
      </c>
      <c r="H453">
        <v>21.81</v>
      </c>
      <c r="I453">
        <v>21.81</v>
      </c>
      <c r="J453">
        <v>33.049999999999997</v>
      </c>
      <c r="K453">
        <v>21.81</v>
      </c>
      <c r="L453">
        <v>20.65</v>
      </c>
      <c r="M453">
        <v>25.45</v>
      </c>
      <c r="Q453">
        <v>21.81</v>
      </c>
      <c r="R453">
        <v>21.81</v>
      </c>
      <c r="S453">
        <v>18.18</v>
      </c>
      <c r="T453" t="s">
        <v>97</v>
      </c>
      <c r="Z453">
        <v>39.99</v>
      </c>
      <c r="AA453" t="s">
        <v>97</v>
      </c>
      <c r="AC453">
        <v>21.81</v>
      </c>
    </row>
    <row r="454" spans="1:29" x14ac:dyDescent="0.2">
      <c r="A454" t="s">
        <v>92</v>
      </c>
      <c r="B454" t="s">
        <v>446</v>
      </c>
      <c r="C454" t="s">
        <v>946</v>
      </c>
      <c r="D454" t="s">
        <v>947</v>
      </c>
      <c r="E454" t="s">
        <v>290</v>
      </c>
      <c r="F454">
        <v>99.99</v>
      </c>
      <c r="H454">
        <v>50</v>
      </c>
      <c r="I454">
        <v>54.54</v>
      </c>
      <c r="J454">
        <v>81.81</v>
      </c>
      <c r="K454">
        <v>50</v>
      </c>
      <c r="L454">
        <v>54.54</v>
      </c>
      <c r="M454">
        <v>59.09</v>
      </c>
      <c r="P454">
        <v>45.45</v>
      </c>
      <c r="Q454">
        <v>54.54</v>
      </c>
      <c r="R454">
        <v>54.54</v>
      </c>
      <c r="T454" t="s">
        <v>97</v>
      </c>
      <c r="V454">
        <v>77.27</v>
      </c>
      <c r="X454">
        <v>77.27</v>
      </c>
      <c r="Y454">
        <v>77.27</v>
      </c>
      <c r="Z454">
        <v>99.99</v>
      </c>
      <c r="AA454" t="s">
        <v>97</v>
      </c>
      <c r="AC454">
        <v>59.09</v>
      </c>
    </row>
    <row r="455" spans="1:29" x14ac:dyDescent="0.2">
      <c r="A455" t="s">
        <v>92</v>
      </c>
      <c r="B455" t="s">
        <v>446</v>
      </c>
      <c r="C455" t="s">
        <v>948</v>
      </c>
      <c r="D455" t="s">
        <v>949</v>
      </c>
      <c r="E455" t="s">
        <v>228</v>
      </c>
      <c r="F455">
        <v>34.99</v>
      </c>
      <c r="G455">
        <v>34.99</v>
      </c>
      <c r="H455">
        <v>19.09</v>
      </c>
      <c r="I455">
        <v>19.09</v>
      </c>
      <c r="J455">
        <v>28.92</v>
      </c>
      <c r="K455">
        <v>19.09</v>
      </c>
      <c r="L455">
        <v>18.07</v>
      </c>
      <c r="M455">
        <v>22.27</v>
      </c>
      <c r="Q455">
        <v>19.09</v>
      </c>
      <c r="R455">
        <v>19.09</v>
      </c>
      <c r="S455">
        <v>15.9</v>
      </c>
      <c r="T455" t="s">
        <v>97</v>
      </c>
      <c r="Z455">
        <v>34.99</v>
      </c>
      <c r="AA455" t="s">
        <v>97</v>
      </c>
      <c r="AC455">
        <v>19.09</v>
      </c>
    </row>
    <row r="456" spans="1:29" x14ac:dyDescent="0.2">
      <c r="A456" t="s">
        <v>92</v>
      </c>
      <c r="B456" t="s">
        <v>446</v>
      </c>
      <c r="C456" t="s">
        <v>950</v>
      </c>
      <c r="D456" t="s">
        <v>951</v>
      </c>
      <c r="E456" t="s">
        <v>228</v>
      </c>
      <c r="F456">
        <v>49.99</v>
      </c>
      <c r="H456">
        <v>22.72</v>
      </c>
      <c r="I456">
        <v>27.27</v>
      </c>
      <c r="J456">
        <v>40.9</v>
      </c>
      <c r="K456">
        <v>22.72</v>
      </c>
      <c r="L456">
        <v>23.56</v>
      </c>
      <c r="M456">
        <v>27.27</v>
      </c>
      <c r="Q456">
        <v>25</v>
      </c>
      <c r="R456">
        <v>27.27</v>
      </c>
      <c r="T456" t="s">
        <v>97</v>
      </c>
      <c r="Z456">
        <v>49.99</v>
      </c>
      <c r="AA456" t="s">
        <v>97</v>
      </c>
      <c r="AC456">
        <v>27.27</v>
      </c>
    </row>
    <row r="457" spans="1:29" x14ac:dyDescent="0.2">
      <c r="A457" t="s">
        <v>92</v>
      </c>
      <c r="B457" t="s">
        <v>446</v>
      </c>
      <c r="C457" t="s">
        <v>952</v>
      </c>
      <c r="D457" t="s">
        <v>953</v>
      </c>
      <c r="E457" t="s">
        <v>228</v>
      </c>
      <c r="F457">
        <v>59.99</v>
      </c>
      <c r="H457">
        <v>27.27</v>
      </c>
      <c r="I457">
        <v>32.72</v>
      </c>
      <c r="J457">
        <v>49.08</v>
      </c>
      <c r="K457">
        <v>27.27</v>
      </c>
      <c r="L457">
        <v>25.52</v>
      </c>
      <c r="M457">
        <v>32.72</v>
      </c>
      <c r="Q457">
        <v>30</v>
      </c>
      <c r="R457">
        <v>29.54</v>
      </c>
      <c r="T457" t="s">
        <v>97</v>
      </c>
      <c r="Z457">
        <v>59.99</v>
      </c>
      <c r="AA457" t="s">
        <v>97</v>
      </c>
      <c r="AC457">
        <v>32.72</v>
      </c>
    </row>
    <row r="458" spans="1:29" x14ac:dyDescent="0.2">
      <c r="A458" t="s">
        <v>92</v>
      </c>
      <c r="B458" t="s">
        <v>446</v>
      </c>
      <c r="C458" t="s">
        <v>954</v>
      </c>
      <c r="D458" t="s">
        <v>955</v>
      </c>
      <c r="E458" t="s">
        <v>228</v>
      </c>
      <c r="F458">
        <v>29.99</v>
      </c>
      <c r="H458">
        <v>16.36</v>
      </c>
      <c r="I458">
        <v>21.81</v>
      </c>
      <c r="J458">
        <v>24.54</v>
      </c>
      <c r="K458">
        <v>16.36</v>
      </c>
      <c r="L458">
        <v>17.72</v>
      </c>
      <c r="M458">
        <v>19.079999999999998</v>
      </c>
      <c r="Q458">
        <v>16.36</v>
      </c>
      <c r="R458">
        <v>16.36</v>
      </c>
      <c r="T458" t="s">
        <v>97</v>
      </c>
      <c r="Z458">
        <v>29.99</v>
      </c>
      <c r="AA458" t="s">
        <v>97</v>
      </c>
    </row>
    <row r="459" spans="1:29" x14ac:dyDescent="0.2">
      <c r="A459" t="s">
        <v>92</v>
      </c>
      <c r="B459" t="s">
        <v>446</v>
      </c>
      <c r="C459" t="s">
        <v>956</v>
      </c>
      <c r="D459" t="s">
        <v>957</v>
      </c>
      <c r="E459" t="s">
        <v>228</v>
      </c>
      <c r="F459">
        <v>29.99</v>
      </c>
      <c r="G459">
        <v>29.99</v>
      </c>
      <c r="H459">
        <v>16.36</v>
      </c>
      <c r="I459">
        <v>16.36</v>
      </c>
      <c r="J459">
        <v>24.79</v>
      </c>
      <c r="K459">
        <v>16.36</v>
      </c>
      <c r="L459">
        <v>15.49</v>
      </c>
      <c r="M459">
        <v>18.260000000000002</v>
      </c>
      <c r="Q459">
        <v>16.36</v>
      </c>
      <c r="R459">
        <v>16.36</v>
      </c>
      <c r="S459">
        <v>13.63</v>
      </c>
      <c r="T459" t="s">
        <v>97</v>
      </c>
      <c r="Z459">
        <v>29.99</v>
      </c>
      <c r="AA459" t="s">
        <v>97</v>
      </c>
      <c r="AC459">
        <v>16.36</v>
      </c>
    </row>
    <row r="460" spans="1:29" x14ac:dyDescent="0.2">
      <c r="A460" t="s">
        <v>92</v>
      </c>
      <c r="B460" t="s">
        <v>446</v>
      </c>
      <c r="C460" t="s">
        <v>958</v>
      </c>
      <c r="D460" t="s">
        <v>959</v>
      </c>
      <c r="E460" t="s">
        <v>228</v>
      </c>
      <c r="F460">
        <v>29.99</v>
      </c>
      <c r="G460">
        <v>29.99</v>
      </c>
      <c r="H460">
        <v>16.36</v>
      </c>
      <c r="I460">
        <v>16.36</v>
      </c>
      <c r="J460">
        <v>24.79</v>
      </c>
      <c r="K460">
        <v>16.36</v>
      </c>
      <c r="L460">
        <v>15.49</v>
      </c>
      <c r="M460">
        <v>19.079999999999998</v>
      </c>
      <c r="Q460">
        <v>16.36</v>
      </c>
      <c r="R460">
        <v>16.36</v>
      </c>
      <c r="S460">
        <v>13.63</v>
      </c>
      <c r="T460" t="s">
        <v>97</v>
      </c>
      <c r="Z460">
        <v>29.99</v>
      </c>
      <c r="AA460" t="s">
        <v>97</v>
      </c>
      <c r="AC460">
        <v>16.36</v>
      </c>
    </row>
    <row r="461" spans="1:29" x14ac:dyDescent="0.2">
      <c r="A461" t="s">
        <v>92</v>
      </c>
      <c r="B461" t="s">
        <v>446</v>
      </c>
      <c r="C461" t="s">
        <v>960</v>
      </c>
      <c r="D461" t="s">
        <v>961</v>
      </c>
      <c r="E461" t="s">
        <v>228</v>
      </c>
      <c r="F461">
        <v>14.99</v>
      </c>
      <c r="H461">
        <v>8.18</v>
      </c>
      <c r="I461">
        <v>10.9</v>
      </c>
      <c r="J461">
        <v>12.26</v>
      </c>
      <c r="K461">
        <v>8.18</v>
      </c>
      <c r="L461">
        <v>8.86</v>
      </c>
      <c r="M461">
        <v>9.5399999999999991</v>
      </c>
      <c r="Q461">
        <v>7.87</v>
      </c>
      <c r="R461">
        <v>8.18</v>
      </c>
      <c r="T461" t="s">
        <v>97</v>
      </c>
      <c r="Z461">
        <v>14.99</v>
      </c>
      <c r="AA461" t="s">
        <v>97</v>
      </c>
    </row>
    <row r="462" spans="1:29" x14ac:dyDescent="0.2">
      <c r="A462" t="s">
        <v>92</v>
      </c>
      <c r="B462" t="s">
        <v>446</v>
      </c>
      <c r="C462" t="s">
        <v>962</v>
      </c>
      <c r="D462" t="s">
        <v>963</v>
      </c>
      <c r="E462" t="s">
        <v>228</v>
      </c>
      <c r="F462">
        <v>14.99</v>
      </c>
      <c r="G462">
        <v>14.99</v>
      </c>
      <c r="H462">
        <v>8.18</v>
      </c>
      <c r="I462">
        <v>8.18</v>
      </c>
      <c r="J462">
        <v>12.39</v>
      </c>
      <c r="K462">
        <v>8.18</v>
      </c>
      <c r="L462">
        <v>7.74</v>
      </c>
      <c r="M462">
        <v>9.5399999999999991</v>
      </c>
      <c r="Q462">
        <v>8.18</v>
      </c>
      <c r="R462">
        <v>8.18</v>
      </c>
      <c r="S462">
        <v>6.81</v>
      </c>
      <c r="T462" t="s">
        <v>97</v>
      </c>
      <c r="AA462" t="s">
        <v>97</v>
      </c>
      <c r="AC462">
        <v>8.18</v>
      </c>
    </row>
    <row r="463" spans="1:29" x14ac:dyDescent="0.2">
      <c r="A463" t="s">
        <v>92</v>
      </c>
      <c r="B463" t="s">
        <v>446</v>
      </c>
      <c r="C463" t="s">
        <v>964</v>
      </c>
      <c r="D463" t="s">
        <v>965</v>
      </c>
      <c r="E463" t="s">
        <v>228</v>
      </c>
      <c r="F463">
        <v>14.99</v>
      </c>
      <c r="G463">
        <v>14.99</v>
      </c>
      <c r="H463">
        <v>8.18</v>
      </c>
      <c r="I463">
        <v>8.18</v>
      </c>
      <c r="J463">
        <v>12.39</v>
      </c>
      <c r="K463">
        <v>8.18</v>
      </c>
      <c r="L463">
        <v>7.74</v>
      </c>
      <c r="M463">
        <v>9.5399999999999991</v>
      </c>
      <c r="Q463">
        <v>8.18</v>
      </c>
      <c r="R463">
        <v>8.18</v>
      </c>
      <c r="S463">
        <v>6.81</v>
      </c>
      <c r="T463" t="s">
        <v>97</v>
      </c>
      <c r="AA463" t="s">
        <v>97</v>
      </c>
      <c r="AC463">
        <v>8.18</v>
      </c>
    </row>
    <row r="464" spans="1:29" x14ac:dyDescent="0.2">
      <c r="A464" t="s">
        <v>92</v>
      </c>
      <c r="B464" t="s">
        <v>446</v>
      </c>
      <c r="C464" t="s">
        <v>8788</v>
      </c>
      <c r="D464" t="s">
        <v>8789</v>
      </c>
      <c r="E464" t="s">
        <v>228</v>
      </c>
      <c r="F464">
        <v>29.99</v>
      </c>
      <c r="H464">
        <v>16.36</v>
      </c>
      <c r="I464">
        <v>19.079999999999998</v>
      </c>
      <c r="J464">
        <v>24.54</v>
      </c>
      <c r="K464">
        <v>16.36</v>
      </c>
      <c r="L464">
        <v>15.48</v>
      </c>
      <c r="M464">
        <v>17.72</v>
      </c>
      <c r="Q464">
        <v>15.76</v>
      </c>
      <c r="R464">
        <v>16.04</v>
      </c>
      <c r="T464" t="s">
        <v>97</v>
      </c>
      <c r="AA464" t="s">
        <v>97</v>
      </c>
      <c r="AC464">
        <v>17.04</v>
      </c>
    </row>
    <row r="465" spans="1:29" x14ac:dyDescent="0.2">
      <c r="A465" t="s">
        <v>92</v>
      </c>
      <c r="B465" t="s">
        <v>446</v>
      </c>
      <c r="C465" t="s">
        <v>966</v>
      </c>
      <c r="D465" t="s">
        <v>967</v>
      </c>
      <c r="E465" t="s">
        <v>290</v>
      </c>
      <c r="F465">
        <v>59.99</v>
      </c>
      <c r="H465">
        <v>27.27</v>
      </c>
      <c r="I465">
        <v>32.72</v>
      </c>
      <c r="J465">
        <v>49.57</v>
      </c>
      <c r="K465">
        <v>27.27</v>
      </c>
      <c r="L465">
        <v>21.81</v>
      </c>
      <c r="M465">
        <v>32.72</v>
      </c>
      <c r="Q465">
        <v>30</v>
      </c>
      <c r="R465">
        <v>27.27</v>
      </c>
      <c r="S465">
        <v>21.81</v>
      </c>
      <c r="T465" t="s">
        <v>97</v>
      </c>
      <c r="V465">
        <v>46.36</v>
      </c>
      <c r="W465">
        <v>46.36</v>
      </c>
      <c r="X465">
        <v>46.36</v>
      </c>
      <c r="Y465">
        <v>46.36</v>
      </c>
      <c r="Z465">
        <v>59.99</v>
      </c>
      <c r="AA465" t="s">
        <v>97</v>
      </c>
      <c r="AB465">
        <v>19.989999999999998</v>
      </c>
      <c r="AC465">
        <v>30</v>
      </c>
    </row>
    <row r="466" spans="1:29" x14ac:dyDescent="0.2">
      <c r="A466" t="s">
        <v>92</v>
      </c>
      <c r="B466" t="s">
        <v>446</v>
      </c>
      <c r="C466" t="s">
        <v>968</v>
      </c>
      <c r="D466" t="s">
        <v>969</v>
      </c>
      <c r="E466" t="s">
        <v>290</v>
      </c>
      <c r="F466">
        <v>59.99</v>
      </c>
      <c r="H466">
        <v>27.27</v>
      </c>
      <c r="I466">
        <v>32.72</v>
      </c>
      <c r="J466">
        <v>49.57</v>
      </c>
      <c r="K466">
        <v>27.27</v>
      </c>
      <c r="L466">
        <v>21.81</v>
      </c>
      <c r="M466">
        <v>32.72</v>
      </c>
      <c r="Q466">
        <v>30</v>
      </c>
      <c r="R466">
        <v>27.27</v>
      </c>
      <c r="T466" t="s">
        <v>97</v>
      </c>
      <c r="V466">
        <v>46.36</v>
      </c>
      <c r="W466">
        <v>46.36</v>
      </c>
      <c r="X466">
        <v>46.36</v>
      </c>
      <c r="Y466">
        <v>46.36</v>
      </c>
      <c r="Z466">
        <v>59.99</v>
      </c>
      <c r="AA466" t="s">
        <v>97</v>
      </c>
      <c r="AB466">
        <v>19.989999999999998</v>
      </c>
      <c r="AC466">
        <v>30</v>
      </c>
    </row>
    <row r="467" spans="1:29" x14ac:dyDescent="0.2">
      <c r="A467" t="s">
        <v>92</v>
      </c>
      <c r="B467" t="s">
        <v>446</v>
      </c>
      <c r="C467" t="s">
        <v>972</v>
      </c>
      <c r="D467" t="s">
        <v>973</v>
      </c>
      <c r="E467" t="s">
        <v>228</v>
      </c>
      <c r="F467">
        <v>44.99</v>
      </c>
      <c r="H467">
        <v>20.45</v>
      </c>
      <c r="I467">
        <v>24.54</v>
      </c>
      <c r="J467">
        <v>36.81</v>
      </c>
      <c r="L467">
        <v>16.36</v>
      </c>
      <c r="M467">
        <v>24.54</v>
      </c>
      <c r="Q467">
        <v>23.31</v>
      </c>
      <c r="R467">
        <v>20.45</v>
      </c>
      <c r="S467">
        <v>18.41</v>
      </c>
      <c r="T467" t="s">
        <v>97</v>
      </c>
      <c r="Z467">
        <v>44.99</v>
      </c>
      <c r="AA467" t="s">
        <v>97</v>
      </c>
      <c r="AC467">
        <v>20.45</v>
      </c>
    </row>
    <row r="468" spans="1:29" x14ac:dyDescent="0.2">
      <c r="A468" t="s">
        <v>92</v>
      </c>
      <c r="B468" t="s">
        <v>446</v>
      </c>
      <c r="C468" t="s">
        <v>8790</v>
      </c>
      <c r="D468" t="s">
        <v>8791</v>
      </c>
      <c r="E468" t="s">
        <v>228</v>
      </c>
      <c r="F468">
        <v>39.99</v>
      </c>
      <c r="H468">
        <v>21.81</v>
      </c>
      <c r="I468">
        <v>25.45</v>
      </c>
      <c r="J468">
        <v>32.72</v>
      </c>
      <c r="K468">
        <v>21.81</v>
      </c>
      <c r="L468">
        <v>20.65</v>
      </c>
      <c r="M468">
        <v>23.63</v>
      </c>
      <c r="Q468">
        <v>21.02</v>
      </c>
      <c r="R468">
        <v>21.38</v>
      </c>
      <c r="T468" t="s">
        <v>97</v>
      </c>
      <c r="AA468" t="s">
        <v>97</v>
      </c>
      <c r="AC468">
        <v>22.72</v>
      </c>
    </row>
    <row r="469" spans="1:29" x14ac:dyDescent="0.2">
      <c r="A469" t="s">
        <v>92</v>
      </c>
      <c r="B469" t="s">
        <v>446</v>
      </c>
      <c r="C469" t="s">
        <v>974</v>
      </c>
      <c r="D469" t="s">
        <v>975</v>
      </c>
      <c r="E469" t="s">
        <v>228</v>
      </c>
      <c r="F469">
        <v>99.99</v>
      </c>
      <c r="H469">
        <v>45.45</v>
      </c>
      <c r="K469">
        <v>45.45</v>
      </c>
      <c r="Q469">
        <v>45.45</v>
      </c>
      <c r="T469" t="s">
        <v>97</v>
      </c>
      <c r="AA469" t="s">
        <v>97</v>
      </c>
    </row>
    <row r="470" spans="1:29" x14ac:dyDescent="0.2">
      <c r="A470" t="s">
        <v>92</v>
      </c>
      <c r="B470" t="s">
        <v>446</v>
      </c>
      <c r="C470" t="s">
        <v>976</v>
      </c>
      <c r="D470" t="s">
        <v>977</v>
      </c>
      <c r="E470" t="s">
        <v>228</v>
      </c>
      <c r="F470">
        <v>99.99</v>
      </c>
      <c r="H470">
        <v>45.45</v>
      </c>
      <c r="K470">
        <v>45.45</v>
      </c>
      <c r="Q470">
        <v>45.45</v>
      </c>
      <c r="T470" t="s">
        <v>97</v>
      </c>
      <c r="AA470" t="s">
        <v>97</v>
      </c>
    </row>
    <row r="471" spans="1:29" x14ac:dyDescent="0.2">
      <c r="A471" t="s">
        <v>92</v>
      </c>
      <c r="B471" t="s">
        <v>446</v>
      </c>
      <c r="C471" t="s">
        <v>978</v>
      </c>
      <c r="D471" t="s">
        <v>979</v>
      </c>
      <c r="E471" t="s">
        <v>228</v>
      </c>
      <c r="F471">
        <v>99.99</v>
      </c>
      <c r="H471">
        <v>45.45</v>
      </c>
      <c r="K471">
        <v>45.45</v>
      </c>
      <c r="Q471">
        <v>45.45</v>
      </c>
      <c r="T471" t="s">
        <v>97</v>
      </c>
      <c r="AA471" t="s">
        <v>97</v>
      </c>
    </row>
    <row r="472" spans="1:29" x14ac:dyDescent="0.2">
      <c r="A472" t="s">
        <v>92</v>
      </c>
      <c r="B472" t="s">
        <v>446</v>
      </c>
      <c r="C472" t="s">
        <v>980</v>
      </c>
      <c r="D472" t="s">
        <v>981</v>
      </c>
      <c r="E472" t="s">
        <v>228</v>
      </c>
      <c r="F472">
        <v>99.99</v>
      </c>
      <c r="H472">
        <v>45.45</v>
      </c>
      <c r="K472">
        <v>45.45</v>
      </c>
      <c r="Q472">
        <v>45.45</v>
      </c>
      <c r="T472" t="s">
        <v>97</v>
      </c>
      <c r="AA472" t="s">
        <v>97</v>
      </c>
    </row>
    <row r="473" spans="1:29" x14ac:dyDescent="0.2">
      <c r="A473" t="s">
        <v>92</v>
      </c>
      <c r="B473" t="s">
        <v>446</v>
      </c>
      <c r="C473" t="s">
        <v>982</v>
      </c>
      <c r="D473" t="s">
        <v>8625</v>
      </c>
      <c r="E473" t="s">
        <v>228</v>
      </c>
      <c r="F473">
        <v>69.989999999999995</v>
      </c>
      <c r="H473">
        <v>31.81</v>
      </c>
      <c r="K473">
        <v>31.81</v>
      </c>
      <c r="Q473">
        <v>31.81</v>
      </c>
      <c r="T473" t="s">
        <v>97</v>
      </c>
      <c r="AA473" t="s">
        <v>97</v>
      </c>
    </row>
    <row r="474" spans="1:29" x14ac:dyDescent="0.2">
      <c r="A474" t="s">
        <v>92</v>
      </c>
      <c r="B474" t="s">
        <v>446</v>
      </c>
      <c r="C474" t="s">
        <v>983</v>
      </c>
      <c r="D474" t="s">
        <v>8626</v>
      </c>
      <c r="E474" t="s">
        <v>228</v>
      </c>
      <c r="F474">
        <v>69.989999999999995</v>
      </c>
      <c r="H474">
        <v>31.81</v>
      </c>
      <c r="K474">
        <v>31.81</v>
      </c>
      <c r="Q474">
        <v>31.81</v>
      </c>
      <c r="T474" t="s">
        <v>97</v>
      </c>
      <c r="AA474" t="s">
        <v>97</v>
      </c>
    </row>
    <row r="475" spans="1:29" x14ac:dyDescent="0.2">
      <c r="A475" t="s">
        <v>92</v>
      </c>
      <c r="B475" t="s">
        <v>446</v>
      </c>
      <c r="C475" t="s">
        <v>8792</v>
      </c>
      <c r="D475" t="s">
        <v>8793</v>
      </c>
      <c r="E475" t="s">
        <v>228</v>
      </c>
      <c r="F475">
        <v>49.99</v>
      </c>
      <c r="H475">
        <v>27.27</v>
      </c>
      <c r="I475">
        <v>31.81</v>
      </c>
      <c r="J475">
        <v>40.9</v>
      </c>
      <c r="K475">
        <v>27.27</v>
      </c>
      <c r="L475">
        <v>22.72</v>
      </c>
      <c r="M475">
        <v>29.54</v>
      </c>
      <c r="Q475">
        <v>26.28</v>
      </c>
      <c r="R475">
        <v>26.73</v>
      </c>
      <c r="T475" t="s">
        <v>97</v>
      </c>
      <c r="AA475" t="s">
        <v>97</v>
      </c>
      <c r="AC475">
        <v>28.4</v>
      </c>
    </row>
    <row r="476" spans="1:29" x14ac:dyDescent="0.2">
      <c r="A476" t="s">
        <v>92</v>
      </c>
      <c r="B476" t="s">
        <v>446</v>
      </c>
      <c r="C476" t="s">
        <v>8794</v>
      </c>
      <c r="D476" t="s">
        <v>8795</v>
      </c>
      <c r="E476" t="s">
        <v>228</v>
      </c>
      <c r="F476">
        <v>59.99</v>
      </c>
      <c r="H476">
        <v>32.72</v>
      </c>
      <c r="I476">
        <v>38.18</v>
      </c>
      <c r="J476">
        <v>49.08</v>
      </c>
      <c r="K476">
        <v>32.72</v>
      </c>
      <c r="L476">
        <v>27.27</v>
      </c>
      <c r="M476">
        <v>35.450000000000003</v>
      </c>
      <c r="Q476">
        <v>31.53</v>
      </c>
      <c r="R476">
        <v>32.08</v>
      </c>
      <c r="T476" t="s">
        <v>97</v>
      </c>
      <c r="AA476" t="s">
        <v>97</v>
      </c>
      <c r="AC476">
        <v>34.090000000000003</v>
      </c>
    </row>
    <row r="477" spans="1:29" x14ac:dyDescent="0.2">
      <c r="A477" t="s">
        <v>92</v>
      </c>
      <c r="B477" t="s">
        <v>446</v>
      </c>
      <c r="C477" t="s">
        <v>8796</v>
      </c>
      <c r="D477" t="s">
        <v>8797</v>
      </c>
      <c r="E477" t="s">
        <v>228</v>
      </c>
      <c r="F477">
        <v>49.99</v>
      </c>
      <c r="H477">
        <v>27.27</v>
      </c>
      <c r="I477">
        <v>31.81</v>
      </c>
      <c r="J477">
        <v>40.9</v>
      </c>
      <c r="K477">
        <v>27.27</v>
      </c>
      <c r="L477">
        <v>25.81</v>
      </c>
      <c r="M477">
        <v>29.54</v>
      </c>
      <c r="Q477">
        <v>26.28</v>
      </c>
      <c r="R477">
        <v>26.73</v>
      </c>
      <c r="T477" t="s">
        <v>97</v>
      </c>
      <c r="AA477" t="s">
        <v>97</v>
      </c>
      <c r="AC477">
        <v>28.4</v>
      </c>
    </row>
    <row r="478" spans="1:29" x14ac:dyDescent="0.2">
      <c r="A478" t="s">
        <v>92</v>
      </c>
      <c r="B478" t="s">
        <v>446</v>
      </c>
      <c r="C478" t="s">
        <v>984</v>
      </c>
      <c r="D478" t="s">
        <v>985</v>
      </c>
      <c r="E478" t="s">
        <v>228</v>
      </c>
      <c r="F478">
        <v>79.989999999999995</v>
      </c>
      <c r="H478">
        <v>40</v>
      </c>
      <c r="I478">
        <v>58.17</v>
      </c>
      <c r="J478">
        <v>65.45</v>
      </c>
      <c r="K478">
        <v>40</v>
      </c>
      <c r="L478">
        <v>43.63</v>
      </c>
      <c r="M478">
        <v>50.9</v>
      </c>
      <c r="Q478">
        <v>42.03</v>
      </c>
      <c r="R478">
        <v>42.77</v>
      </c>
      <c r="T478" t="s">
        <v>97</v>
      </c>
      <c r="AA478" t="s">
        <v>97</v>
      </c>
      <c r="AC478">
        <v>47.27</v>
      </c>
    </row>
    <row r="479" spans="1:29" x14ac:dyDescent="0.2">
      <c r="A479" t="s">
        <v>92</v>
      </c>
      <c r="B479" t="s">
        <v>446</v>
      </c>
      <c r="C479" t="s">
        <v>986</v>
      </c>
      <c r="D479" t="s">
        <v>987</v>
      </c>
      <c r="E479" t="s">
        <v>228</v>
      </c>
      <c r="F479">
        <v>99.99</v>
      </c>
      <c r="H479">
        <v>50</v>
      </c>
      <c r="I479">
        <v>72.72</v>
      </c>
      <c r="J479">
        <v>81.81</v>
      </c>
      <c r="K479">
        <v>50</v>
      </c>
      <c r="L479">
        <v>54.54</v>
      </c>
      <c r="M479">
        <v>63.63</v>
      </c>
      <c r="Q479">
        <v>52.54</v>
      </c>
      <c r="R479">
        <v>53.47</v>
      </c>
      <c r="T479" t="s">
        <v>97</v>
      </c>
      <c r="AA479" t="s">
        <v>97</v>
      </c>
      <c r="AC479">
        <v>59.09</v>
      </c>
    </row>
    <row r="480" spans="1:29" x14ac:dyDescent="0.2">
      <c r="A480" t="s">
        <v>92</v>
      </c>
      <c r="B480" t="s">
        <v>446</v>
      </c>
      <c r="C480" t="s">
        <v>988</v>
      </c>
      <c r="D480" t="s">
        <v>989</v>
      </c>
      <c r="E480" t="s">
        <v>228</v>
      </c>
      <c r="F480">
        <v>119.99</v>
      </c>
      <c r="H480">
        <v>60</v>
      </c>
      <c r="I480">
        <v>87.27</v>
      </c>
      <c r="J480">
        <v>98.17</v>
      </c>
      <c r="K480">
        <v>60</v>
      </c>
      <c r="L480">
        <v>65.45</v>
      </c>
      <c r="M480">
        <v>76.36</v>
      </c>
      <c r="Q480">
        <v>65.45</v>
      </c>
      <c r="R480">
        <v>64.16</v>
      </c>
      <c r="T480" t="s">
        <v>97</v>
      </c>
      <c r="AA480" t="s">
        <v>97</v>
      </c>
      <c r="AC480">
        <v>70.900000000000006</v>
      </c>
    </row>
    <row r="481" spans="1:29" x14ac:dyDescent="0.2">
      <c r="A481" t="s">
        <v>92</v>
      </c>
      <c r="B481" t="s">
        <v>446</v>
      </c>
      <c r="C481" t="s">
        <v>8798</v>
      </c>
      <c r="D481" t="s">
        <v>8799</v>
      </c>
      <c r="E481" t="s">
        <v>228</v>
      </c>
      <c r="F481">
        <v>59.99</v>
      </c>
      <c r="H481">
        <v>32.72</v>
      </c>
      <c r="I481">
        <v>38.18</v>
      </c>
      <c r="J481">
        <v>49.08</v>
      </c>
      <c r="K481">
        <v>32.72</v>
      </c>
      <c r="L481">
        <v>30.97</v>
      </c>
      <c r="M481">
        <v>35.450000000000003</v>
      </c>
      <c r="Q481">
        <v>31.53</v>
      </c>
      <c r="R481">
        <v>32.08</v>
      </c>
      <c r="T481" t="s">
        <v>97</v>
      </c>
      <c r="AA481" t="s">
        <v>97</v>
      </c>
      <c r="AC481">
        <v>34.090000000000003</v>
      </c>
    </row>
    <row r="482" spans="1:29" x14ac:dyDescent="0.2">
      <c r="A482" t="s">
        <v>92</v>
      </c>
      <c r="B482" t="s">
        <v>446</v>
      </c>
      <c r="C482" t="s">
        <v>990</v>
      </c>
      <c r="D482" t="s">
        <v>991</v>
      </c>
      <c r="E482" t="s">
        <v>228</v>
      </c>
      <c r="F482">
        <v>99.99</v>
      </c>
      <c r="H482">
        <v>45.45</v>
      </c>
      <c r="K482">
        <v>45.45</v>
      </c>
      <c r="Q482">
        <v>45.45</v>
      </c>
      <c r="T482" t="s">
        <v>97</v>
      </c>
      <c r="AA482" t="s">
        <v>97</v>
      </c>
    </row>
    <row r="483" spans="1:29" x14ac:dyDescent="0.2">
      <c r="A483" t="s">
        <v>92</v>
      </c>
      <c r="B483" t="s">
        <v>446</v>
      </c>
      <c r="C483" t="s">
        <v>992</v>
      </c>
      <c r="D483" t="s">
        <v>993</v>
      </c>
      <c r="E483" t="s">
        <v>228</v>
      </c>
      <c r="F483">
        <v>149.99</v>
      </c>
      <c r="H483">
        <v>88.63</v>
      </c>
      <c r="I483">
        <v>102.27</v>
      </c>
      <c r="J483">
        <v>122.72</v>
      </c>
      <c r="K483">
        <v>88.63</v>
      </c>
      <c r="L483">
        <v>92.72</v>
      </c>
      <c r="M483">
        <v>88.63</v>
      </c>
      <c r="Q483">
        <v>86.59</v>
      </c>
      <c r="R483">
        <v>88.63</v>
      </c>
      <c r="T483" t="s">
        <v>97</v>
      </c>
      <c r="AA483" t="s">
        <v>97</v>
      </c>
      <c r="AC483">
        <v>102.27</v>
      </c>
    </row>
    <row r="484" spans="1:29" x14ac:dyDescent="0.2">
      <c r="A484" t="s">
        <v>92</v>
      </c>
      <c r="B484" t="s">
        <v>446</v>
      </c>
      <c r="C484" t="s">
        <v>994</v>
      </c>
      <c r="D484" t="s">
        <v>995</v>
      </c>
      <c r="E484" t="s">
        <v>228</v>
      </c>
      <c r="F484">
        <v>149.99</v>
      </c>
      <c r="H484">
        <v>88.63</v>
      </c>
      <c r="I484">
        <v>102.27</v>
      </c>
      <c r="J484">
        <v>122.72</v>
      </c>
      <c r="K484">
        <v>88.63</v>
      </c>
      <c r="L484">
        <v>92.72</v>
      </c>
      <c r="M484">
        <v>88.63</v>
      </c>
      <c r="Q484">
        <v>86.59</v>
      </c>
      <c r="R484">
        <v>88.63</v>
      </c>
      <c r="T484" t="s">
        <v>97</v>
      </c>
      <c r="AA484" t="s">
        <v>97</v>
      </c>
      <c r="AC484">
        <v>102.27</v>
      </c>
    </row>
    <row r="485" spans="1:29" x14ac:dyDescent="0.2">
      <c r="A485" t="s">
        <v>92</v>
      </c>
      <c r="B485" t="s">
        <v>446</v>
      </c>
      <c r="C485" t="s">
        <v>998</v>
      </c>
      <c r="D485" t="s">
        <v>999</v>
      </c>
      <c r="E485" t="s">
        <v>290</v>
      </c>
      <c r="F485">
        <v>49.99</v>
      </c>
      <c r="H485">
        <v>31.81</v>
      </c>
      <c r="I485">
        <v>34.08</v>
      </c>
      <c r="J485">
        <v>40.9</v>
      </c>
      <c r="K485">
        <v>31.81</v>
      </c>
      <c r="L485">
        <v>14.15</v>
      </c>
      <c r="M485">
        <v>36.36</v>
      </c>
      <c r="Q485">
        <v>31.81</v>
      </c>
      <c r="R485">
        <v>32.950000000000003</v>
      </c>
      <c r="T485" t="s">
        <v>97</v>
      </c>
      <c r="Z485">
        <v>49.99</v>
      </c>
      <c r="AA485" t="s">
        <v>97</v>
      </c>
      <c r="AC485">
        <v>34.08</v>
      </c>
    </row>
    <row r="486" spans="1:29" x14ac:dyDescent="0.2">
      <c r="A486" t="s">
        <v>92</v>
      </c>
      <c r="B486" t="s">
        <v>446</v>
      </c>
      <c r="C486" t="s">
        <v>1000</v>
      </c>
      <c r="D486" t="s">
        <v>1001</v>
      </c>
      <c r="E486" t="s">
        <v>290</v>
      </c>
      <c r="F486">
        <v>49.99</v>
      </c>
      <c r="H486">
        <v>31.81</v>
      </c>
      <c r="I486">
        <v>34.08</v>
      </c>
      <c r="J486">
        <v>40.9</v>
      </c>
      <c r="K486">
        <v>31.81</v>
      </c>
      <c r="M486">
        <v>36.36</v>
      </c>
      <c r="Q486">
        <v>31.81</v>
      </c>
      <c r="R486">
        <v>32.950000000000003</v>
      </c>
      <c r="T486" t="s">
        <v>97</v>
      </c>
      <c r="Z486">
        <v>49.99</v>
      </c>
      <c r="AA486" t="s">
        <v>97</v>
      </c>
      <c r="AC486">
        <v>34.08</v>
      </c>
    </row>
    <row r="487" spans="1:29" x14ac:dyDescent="0.2">
      <c r="A487" t="s">
        <v>92</v>
      </c>
      <c r="B487" t="s">
        <v>446</v>
      </c>
      <c r="C487" t="s">
        <v>1010</v>
      </c>
      <c r="D487" t="s">
        <v>1011</v>
      </c>
      <c r="E487" t="s">
        <v>290</v>
      </c>
      <c r="F487">
        <v>69.989999999999995</v>
      </c>
      <c r="G487">
        <v>69.989999999999995</v>
      </c>
      <c r="H487">
        <v>35</v>
      </c>
      <c r="I487">
        <v>38.18</v>
      </c>
      <c r="J487">
        <v>57.26</v>
      </c>
      <c r="K487">
        <v>35</v>
      </c>
      <c r="L487">
        <v>41.36</v>
      </c>
      <c r="M487">
        <v>44.54</v>
      </c>
      <c r="Q487">
        <v>41.36</v>
      </c>
      <c r="R487">
        <v>39.67</v>
      </c>
      <c r="S487">
        <v>35</v>
      </c>
      <c r="T487" t="s">
        <v>97</v>
      </c>
      <c r="Y487">
        <v>54.08</v>
      </c>
      <c r="Z487">
        <v>69.989999999999995</v>
      </c>
      <c r="AA487" t="s">
        <v>97</v>
      </c>
    </row>
    <row r="488" spans="1:29" x14ac:dyDescent="0.2">
      <c r="A488" t="s">
        <v>92</v>
      </c>
      <c r="B488" t="s">
        <v>1017</v>
      </c>
      <c r="C488" t="s">
        <v>1018</v>
      </c>
      <c r="D488" t="s">
        <v>1019</v>
      </c>
      <c r="E488" t="s">
        <v>96</v>
      </c>
      <c r="F488">
        <v>119</v>
      </c>
      <c r="G488">
        <v>119.95</v>
      </c>
      <c r="H488">
        <v>144.55000000000001</v>
      </c>
      <c r="T488" t="s">
        <v>97</v>
      </c>
      <c r="V488">
        <v>81.78</v>
      </c>
      <c r="W488">
        <v>81.78</v>
      </c>
      <c r="X488">
        <v>81.78</v>
      </c>
      <c r="Y488">
        <v>81.78</v>
      </c>
      <c r="Z488">
        <v>119.95</v>
      </c>
      <c r="AA488" t="s">
        <v>97</v>
      </c>
      <c r="AB488">
        <v>119.95</v>
      </c>
    </row>
    <row r="489" spans="1:29" x14ac:dyDescent="0.2">
      <c r="A489" t="s">
        <v>92</v>
      </c>
      <c r="B489" t="s">
        <v>1020</v>
      </c>
      <c r="C489" t="s">
        <v>1021</v>
      </c>
      <c r="D489" t="s">
        <v>1022</v>
      </c>
      <c r="E489" t="s">
        <v>96</v>
      </c>
      <c r="F489">
        <v>47.99</v>
      </c>
      <c r="H489">
        <v>32.72</v>
      </c>
      <c r="I489">
        <v>34.9</v>
      </c>
      <c r="L489">
        <v>32.32</v>
      </c>
      <c r="M489">
        <v>37.08</v>
      </c>
      <c r="P489">
        <v>28.36</v>
      </c>
      <c r="Q489">
        <v>32.72</v>
      </c>
      <c r="R489">
        <v>34.9</v>
      </c>
      <c r="S489">
        <v>28.36</v>
      </c>
      <c r="T489" t="s">
        <v>97</v>
      </c>
      <c r="AA489" t="s">
        <v>97</v>
      </c>
    </row>
    <row r="490" spans="1:29" x14ac:dyDescent="0.2">
      <c r="A490" t="s">
        <v>92</v>
      </c>
      <c r="B490" t="s">
        <v>1020</v>
      </c>
      <c r="C490" t="s">
        <v>1023</v>
      </c>
      <c r="D490" t="s">
        <v>1024</v>
      </c>
      <c r="E490" t="s">
        <v>96</v>
      </c>
      <c r="F490">
        <v>54.99</v>
      </c>
      <c r="G490">
        <v>54.99</v>
      </c>
      <c r="H490">
        <v>34.08</v>
      </c>
      <c r="I490">
        <v>36.36</v>
      </c>
      <c r="J490">
        <v>41.31</v>
      </c>
      <c r="K490">
        <v>34.08</v>
      </c>
      <c r="L490">
        <v>40.119999999999997</v>
      </c>
      <c r="M490">
        <v>42.49</v>
      </c>
      <c r="Q490">
        <v>39.99</v>
      </c>
      <c r="R490">
        <v>41.24</v>
      </c>
      <c r="S490">
        <v>34.99</v>
      </c>
      <c r="T490" t="s">
        <v>97</v>
      </c>
      <c r="V490">
        <v>49.08</v>
      </c>
      <c r="W490">
        <v>49.08</v>
      </c>
      <c r="X490">
        <v>49.08</v>
      </c>
      <c r="Y490">
        <v>49.08</v>
      </c>
      <c r="Z490">
        <v>54.99</v>
      </c>
      <c r="AA490" t="s">
        <v>97</v>
      </c>
    </row>
    <row r="491" spans="1:29" x14ac:dyDescent="0.2">
      <c r="A491" t="s">
        <v>92</v>
      </c>
      <c r="B491" t="s">
        <v>1020</v>
      </c>
      <c r="C491" t="s">
        <v>8296</v>
      </c>
      <c r="D491" t="s">
        <v>8297</v>
      </c>
      <c r="E491" t="s">
        <v>228</v>
      </c>
      <c r="F491">
        <v>114.99</v>
      </c>
      <c r="H491">
        <v>83.63</v>
      </c>
      <c r="I491">
        <v>88.86</v>
      </c>
      <c r="J491">
        <v>94.09</v>
      </c>
      <c r="L491">
        <v>83.63</v>
      </c>
      <c r="M491">
        <v>83.63</v>
      </c>
      <c r="O491">
        <v>83.63</v>
      </c>
      <c r="Q491">
        <v>83.63</v>
      </c>
      <c r="R491">
        <v>83.63</v>
      </c>
      <c r="T491" t="s">
        <v>97</v>
      </c>
      <c r="U491">
        <v>83.63</v>
      </c>
      <c r="AA491" t="s">
        <v>97</v>
      </c>
    </row>
    <row r="492" spans="1:29" x14ac:dyDescent="0.2">
      <c r="A492" t="s">
        <v>92</v>
      </c>
      <c r="B492" t="s">
        <v>1020</v>
      </c>
      <c r="C492" t="s">
        <v>8298</v>
      </c>
      <c r="D492" t="s">
        <v>8299</v>
      </c>
      <c r="E492" t="s">
        <v>228</v>
      </c>
      <c r="F492">
        <v>64.989999999999995</v>
      </c>
      <c r="H492">
        <v>47.26</v>
      </c>
      <c r="I492">
        <v>50.22</v>
      </c>
      <c r="J492">
        <v>53.17</v>
      </c>
      <c r="L492">
        <v>47.26</v>
      </c>
      <c r="M492">
        <v>47.26</v>
      </c>
      <c r="O492">
        <v>47.26</v>
      </c>
      <c r="Q492">
        <v>47.26</v>
      </c>
      <c r="R492">
        <v>47.26</v>
      </c>
      <c r="T492" t="s">
        <v>97</v>
      </c>
      <c r="U492">
        <v>47.26</v>
      </c>
      <c r="AA492" t="s">
        <v>97</v>
      </c>
    </row>
    <row r="493" spans="1:29" x14ac:dyDescent="0.2">
      <c r="A493" t="s">
        <v>92</v>
      </c>
      <c r="B493" t="s">
        <v>1020</v>
      </c>
      <c r="C493" t="s">
        <v>8300</v>
      </c>
      <c r="D493" t="s">
        <v>8301</v>
      </c>
      <c r="E493" t="s">
        <v>228</v>
      </c>
      <c r="F493">
        <v>64.989999999999995</v>
      </c>
      <c r="H493">
        <v>44.31</v>
      </c>
      <c r="I493">
        <v>50.22</v>
      </c>
      <c r="J493">
        <v>53.17</v>
      </c>
      <c r="L493">
        <v>47.26</v>
      </c>
      <c r="M493">
        <v>47.26</v>
      </c>
      <c r="O493">
        <v>47.26</v>
      </c>
      <c r="Q493">
        <v>47.26</v>
      </c>
      <c r="R493">
        <v>47.26</v>
      </c>
      <c r="T493" t="s">
        <v>97</v>
      </c>
      <c r="U493">
        <v>47.26</v>
      </c>
      <c r="AA493" t="s">
        <v>97</v>
      </c>
    </row>
    <row r="494" spans="1:29" x14ac:dyDescent="0.2">
      <c r="A494" t="s">
        <v>92</v>
      </c>
      <c r="B494" t="s">
        <v>1020</v>
      </c>
      <c r="C494" t="s">
        <v>8302</v>
      </c>
      <c r="D494" t="s">
        <v>8303</v>
      </c>
      <c r="E494" t="s">
        <v>228</v>
      </c>
      <c r="F494">
        <v>64.989999999999995</v>
      </c>
      <c r="H494">
        <v>47.26</v>
      </c>
      <c r="I494">
        <v>50.22</v>
      </c>
      <c r="J494">
        <v>53.17</v>
      </c>
      <c r="L494">
        <v>47.26</v>
      </c>
      <c r="M494">
        <v>47.26</v>
      </c>
      <c r="O494">
        <v>47.26</v>
      </c>
      <c r="Q494">
        <v>47.26</v>
      </c>
      <c r="R494">
        <v>47.26</v>
      </c>
      <c r="T494" t="s">
        <v>97</v>
      </c>
      <c r="U494">
        <v>47.26</v>
      </c>
      <c r="AA494" t="s">
        <v>97</v>
      </c>
    </row>
    <row r="495" spans="1:29" x14ac:dyDescent="0.2">
      <c r="A495" t="s">
        <v>92</v>
      </c>
      <c r="B495" t="s">
        <v>1020</v>
      </c>
      <c r="C495" t="s">
        <v>8304</v>
      </c>
      <c r="D495" t="s">
        <v>8305</v>
      </c>
      <c r="E495" t="s">
        <v>228</v>
      </c>
      <c r="F495">
        <v>64.989999999999995</v>
      </c>
      <c r="H495">
        <v>47.26</v>
      </c>
      <c r="I495">
        <v>50.22</v>
      </c>
      <c r="J495">
        <v>53.17</v>
      </c>
      <c r="L495">
        <v>47.26</v>
      </c>
      <c r="M495">
        <v>47.26</v>
      </c>
      <c r="O495">
        <v>47.26</v>
      </c>
      <c r="Q495">
        <v>47.26</v>
      </c>
      <c r="R495">
        <v>47.26</v>
      </c>
      <c r="T495" t="s">
        <v>97</v>
      </c>
      <c r="U495">
        <v>47.26</v>
      </c>
      <c r="AA495" t="s">
        <v>97</v>
      </c>
    </row>
    <row r="496" spans="1:29" x14ac:dyDescent="0.2">
      <c r="A496" t="s">
        <v>92</v>
      </c>
      <c r="B496" t="s">
        <v>1020</v>
      </c>
      <c r="C496" t="s">
        <v>8306</v>
      </c>
      <c r="D496" t="s">
        <v>8307</v>
      </c>
      <c r="E496" t="s">
        <v>228</v>
      </c>
      <c r="F496">
        <v>64.989999999999995</v>
      </c>
      <c r="H496">
        <v>47.26</v>
      </c>
      <c r="I496">
        <v>50.22</v>
      </c>
      <c r="J496">
        <v>53.17</v>
      </c>
      <c r="L496">
        <v>47.26</v>
      </c>
      <c r="M496">
        <v>47.26</v>
      </c>
      <c r="O496">
        <v>47.26</v>
      </c>
      <c r="Q496">
        <v>47.26</v>
      </c>
      <c r="R496">
        <v>47.26</v>
      </c>
      <c r="T496" t="s">
        <v>97</v>
      </c>
      <c r="U496">
        <v>47.26</v>
      </c>
      <c r="AA496" t="s">
        <v>97</v>
      </c>
    </row>
    <row r="497" spans="1:27" x14ac:dyDescent="0.2">
      <c r="A497" t="s">
        <v>92</v>
      </c>
      <c r="B497" t="s">
        <v>1020</v>
      </c>
      <c r="C497" t="s">
        <v>8308</v>
      </c>
      <c r="D497" t="s">
        <v>8309</v>
      </c>
      <c r="E497" t="s">
        <v>228</v>
      </c>
      <c r="F497">
        <v>64.989999999999995</v>
      </c>
      <c r="H497">
        <v>47.26</v>
      </c>
      <c r="I497">
        <v>50.22</v>
      </c>
      <c r="J497">
        <v>53.17</v>
      </c>
      <c r="L497">
        <v>47.26</v>
      </c>
      <c r="M497">
        <v>47.26</v>
      </c>
      <c r="O497">
        <v>47.26</v>
      </c>
      <c r="Q497">
        <v>47.26</v>
      </c>
      <c r="R497">
        <v>47.26</v>
      </c>
      <c r="T497" t="s">
        <v>97</v>
      </c>
      <c r="U497">
        <v>47.26</v>
      </c>
      <c r="AA497" t="s">
        <v>97</v>
      </c>
    </row>
    <row r="498" spans="1:27" x14ac:dyDescent="0.2">
      <c r="A498" t="s">
        <v>92</v>
      </c>
      <c r="B498" t="s">
        <v>1020</v>
      </c>
      <c r="C498" t="s">
        <v>8310</v>
      </c>
      <c r="D498" t="s">
        <v>8311</v>
      </c>
      <c r="E498" t="s">
        <v>96</v>
      </c>
      <c r="F498">
        <v>209.99</v>
      </c>
      <c r="H498">
        <v>152.72</v>
      </c>
      <c r="I498">
        <v>162.27000000000001</v>
      </c>
      <c r="J498">
        <v>171.81</v>
      </c>
      <c r="L498">
        <v>152.72</v>
      </c>
      <c r="M498">
        <v>152.72</v>
      </c>
      <c r="O498">
        <v>152.72</v>
      </c>
      <c r="Q498">
        <v>152.72</v>
      </c>
      <c r="R498">
        <v>152.72</v>
      </c>
      <c r="T498" t="s">
        <v>97</v>
      </c>
      <c r="U498">
        <v>152.72</v>
      </c>
      <c r="AA498" t="s">
        <v>97</v>
      </c>
    </row>
    <row r="499" spans="1:27" x14ac:dyDescent="0.2">
      <c r="A499" t="s">
        <v>92</v>
      </c>
      <c r="B499" t="s">
        <v>1020</v>
      </c>
      <c r="C499" t="s">
        <v>8312</v>
      </c>
      <c r="D499" t="s">
        <v>8313</v>
      </c>
      <c r="E499" t="s">
        <v>96</v>
      </c>
      <c r="F499">
        <v>209.99</v>
      </c>
      <c r="H499">
        <v>152.72</v>
      </c>
      <c r="I499">
        <v>162.27000000000001</v>
      </c>
      <c r="J499">
        <v>171.81</v>
      </c>
      <c r="L499">
        <v>152.72</v>
      </c>
      <c r="M499">
        <v>152.72</v>
      </c>
      <c r="O499">
        <v>152.72</v>
      </c>
      <c r="Q499">
        <v>152.72</v>
      </c>
      <c r="R499">
        <v>152.72</v>
      </c>
      <c r="T499" t="s">
        <v>97</v>
      </c>
      <c r="U499">
        <v>152.72</v>
      </c>
      <c r="AA499" t="s">
        <v>97</v>
      </c>
    </row>
    <row r="500" spans="1:27" x14ac:dyDescent="0.2">
      <c r="A500" t="s">
        <v>92</v>
      </c>
      <c r="B500" t="s">
        <v>1020</v>
      </c>
      <c r="C500" t="s">
        <v>1025</v>
      </c>
      <c r="D500" t="s">
        <v>1026</v>
      </c>
      <c r="E500" t="s">
        <v>96</v>
      </c>
      <c r="F500">
        <v>49.99</v>
      </c>
      <c r="H500">
        <v>34.08</v>
      </c>
      <c r="I500">
        <v>36.36</v>
      </c>
      <c r="J500">
        <v>41.31</v>
      </c>
      <c r="K500">
        <v>34.08</v>
      </c>
      <c r="L500">
        <v>36.47</v>
      </c>
      <c r="M500">
        <v>38.630000000000003</v>
      </c>
      <c r="Q500">
        <v>36.36</v>
      </c>
      <c r="R500">
        <v>36.36</v>
      </c>
      <c r="S500">
        <v>31.81</v>
      </c>
      <c r="T500" t="s">
        <v>97</v>
      </c>
      <c r="AA500" t="s">
        <v>97</v>
      </c>
    </row>
    <row r="501" spans="1:27" x14ac:dyDescent="0.2">
      <c r="A501" t="s">
        <v>92</v>
      </c>
      <c r="B501" t="s">
        <v>1020</v>
      </c>
      <c r="C501" t="s">
        <v>1027</v>
      </c>
      <c r="D501" t="s">
        <v>1028</v>
      </c>
      <c r="E501" t="s">
        <v>96</v>
      </c>
      <c r="F501">
        <v>79.989999999999995</v>
      </c>
      <c r="H501">
        <v>54.54</v>
      </c>
      <c r="I501">
        <v>58.17</v>
      </c>
      <c r="L501">
        <v>58.36</v>
      </c>
      <c r="M501">
        <v>61.81</v>
      </c>
      <c r="Q501">
        <v>58.17</v>
      </c>
      <c r="R501">
        <v>58.17</v>
      </c>
      <c r="S501">
        <v>50.9</v>
      </c>
      <c r="T501" t="s">
        <v>97</v>
      </c>
      <c r="AA501" t="s">
        <v>97</v>
      </c>
    </row>
    <row r="502" spans="1:27" x14ac:dyDescent="0.2">
      <c r="A502" t="s">
        <v>92</v>
      </c>
      <c r="B502" t="s">
        <v>1020</v>
      </c>
      <c r="C502" t="s">
        <v>8314</v>
      </c>
      <c r="D502" t="s">
        <v>8315</v>
      </c>
      <c r="E502" t="s">
        <v>228</v>
      </c>
      <c r="F502">
        <v>159.99</v>
      </c>
      <c r="H502">
        <v>116.36</v>
      </c>
      <c r="I502">
        <v>123.63</v>
      </c>
      <c r="J502">
        <v>130.91</v>
      </c>
      <c r="L502">
        <v>116.36</v>
      </c>
      <c r="M502">
        <v>116.36</v>
      </c>
      <c r="O502">
        <v>116.36</v>
      </c>
      <c r="Q502">
        <v>116.36</v>
      </c>
      <c r="R502">
        <v>116.36</v>
      </c>
      <c r="T502" t="s">
        <v>97</v>
      </c>
      <c r="U502">
        <v>116.36</v>
      </c>
      <c r="AA502" t="s">
        <v>97</v>
      </c>
    </row>
    <row r="503" spans="1:27" x14ac:dyDescent="0.2">
      <c r="A503" t="s">
        <v>92</v>
      </c>
      <c r="B503" t="s">
        <v>1020</v>
      </c>
      <c r="C503" t="s">
        <v>8316</v>
      </c>
      <c r="D503" t="s">
        <v>8317</v>
      </c>
      <c r="E503" t="s">
        <v>228</v>
      </c>
      <c r="F503">
        <v>49.99</v>
      </c>
      <c r="H503">
        <v>31</v>
      </c>
      <c r="I503">
        <v>38.630000000000003</v>
      </c>
      <c r="J503">
        <v>40.909999999999997</v>
      </c>
      <c r="L503">
        <v>36.36</v>
      </c>
      <c r="M503">
        <v>36.36</v>
      </c>
      <c r="O503">
        <v>36.36</v>
      </c>
      <c r="Q503">
        <v>36.36</v>
      </c>
      <c r="R503">
        <v>36.36</v>
      </c>
      <c r="T503" t="s">
        <v>97</v>
      </c>
      <c r="U503">
        <v>36.36</v>
      </c>
      <c r="AA503" t="s">
        <v>97</v>
      </c>
    </row>
    <row r="504" spans="1:27" x14ac:dyDescent="0.2">
      <c r="A504" t="s">
        <v>92</v>
      </c>
      <c r="B504" t="s">
        <v>1020</v>
      </c>
      <c r="C504" t="s">
        <v>8318</v>
      </c>
      <c r="D504" t="s">
        <v>8319</v>
      </c>
      <c r="E504" t="s">
        <v>228</v>
      </c>
      <c r="F504">
        <v>49.99</v>
      </c>
      <c r="H504">
        <v>31</v>
      </c>
      <c r="I504">
        <v>38.630000000000003</v>
      </c>
      <c r="J504">
        <v>40.909999999999997</v>
      </c>
      <c r="L504">
        <v>36.36</v>
      </c>
      <c r="M504">
        <v>36.36</v>
      </c>
      <c r="O504">
        <v>36.36</v>
      </c>
      <c r="Q504">
        <v>36.36</v>
      </c>
      <c r="R504">
        <v>36.36</v>
      </c>
      <c r="T504" t="s">
        <v>97</v>
      </c>
      <c r="U504">
        <v>36.36</v>
      </c>
      <c r="AA504" t="s">
        <v>97</v>
      </c>
    </row>
    <row r="505" spans="1:27" x14ac:dyDescent="0.2">
      <c r="A505" t="s">
        <v>92</v>
      </c>
      <c r="B505" t="s">
        <v>1020</v>
      </c>
      <c r="C505" t="s">
        <v>8320</v>
      </c>
      <c r="D505" t="s">
        <v>8321</v>
      </c>
      <c r="E505" t="s">
        <v>228</v>
      </c>
      <c r="F505">
        <v>49.99</v>
      </c>
      <c r="H505">
        <v>31</v>
      </c>
      <c r="I505">
        <v>38.630000000000003</v>
      </c>
      <c r="J505">
        <v>40.909999999999997</v>
      </c>
      <c r="L505">
        <v>36.36</v>
      </c>
      <c r="M505">
        <v>36.36</v>
      </c>
      <c r="O505">
        <v>36.36</v>
      </c>
      <c r="Q505">
        <v>36.36</v>
      </c>
      <c r="R505">
        <v>36.36</v>
      </c>
      <c r="T505" t="s">
        <v>97</v>
      </c>
      <c r="U505">
        <v>36.36</v>
      </c>
      <c r="AA505" t="s">
        <v>97</v>
      </c>
    </row>
    <row r="506" spans="1:27" x14ac:dyDescent="0.2">
      <c r="A506" t="s">
        <v>92</v>
      </c>
      <c r="B506" t="s">
        <v>1020</v>
      </c>
      <c r="C506" t="s">
        <v>8322</v>
      </c>
      <c r="D506" t="s">
        <v>8323</v>
      </c>
      <c r="E506" t="s">
        <v>96</v>
      </c>
      <c r="F506">
        <v>159.99</v>
      </c>
      <c r="H506">
        <v>116.36</v>
      </c>
      <c r="I506">
        <v>123.63</v>
      </c>
      <c r="J506">
        <v>130.91</v>
      </c>
      <c r="L506">
        <v>116.36</v>
      </c>
      <c r="M506">
        <v>116.36</v>
      </c>
      <c r="O506">
        <v>116.36</v>
      </c>
      <c r="Q506">
        <v>116.36</v>
      </c>
      <c r="R506">
        <v>116.36</v>
      </c>
      <c r="T506" t="s">
        <v>97</v>
      </c>
      <c r="U506">
        <v>116.36</v>
      </c>
      <c r="AA506" t="s">
        <v>97</v>
      </c>
    </row>
    <row r="507" spans="1:27" x14ac:dyDescent="0.2">
      <c r="A507" t="s">
        <v>92</v>
      </c>
      <c r="B507" t="s">
        <v>1020</v>
      </c>
      <c r="C507" t="s">
        <v>8324</v>
      </c>
      <c r="D507" t="s">
        <v>8325</v>
      </c>
      <c r="E507" t="s">
        <v>96</v>
      </c>
      <c r="F507">
        <v>159.99</v>
      </c>
      <c r="H507">
        <v>116.36</v>
      </c>
      <c r="I507">
        <v>123.63</v>
      </c>
      <c r="J507">
        <v>130.91</v>
      </c>
      <c r="L507">
        <v>116.36</v>
      </c>
      <c r="M507">
        <v>116.36</v>
      </c>
      <c r="O507">
        <v>116.36</v>
      </c>
      <c r="Q507">
        <v>116.36</v>
      </c>
      <c r="R507">
        <v>116.36</v>
      </c>
      <c r="T507" t="s">
        <v>97</v>
      </c>
      <c r="U507">
        <v>116.36</v>
      </c>
      <c r="AA507" t="s">
        <v>97</v>
      </c>
    </row>
    <row r="508" spans="1:27" x14ac:dyDescent="0.2">
      <c r="A508" t="s">
        <v>92</v>
      </c>
      <c r="B508" t="s">
        <v>1020</v>
      </c>
      <c r="C508" t="s">
        <v>8326</v>
      </c>
      <c r="D508" t="s">
        <v>8327</v>
      </c>
      <c r="E508" t="s">
        <v>228</v>
      </c>
      <c r="F508">
        <v>49.99</v>
      </c>
      <c r="H508">
        <v>31</v>
      </c>
      <c r="I508">
        <v>38.630000000000003</v>
      </c>
      <c r="J508">
        <v>40.909999999999997</v>
      </c>
      <c r="L508">
        <v>36.36</v>
      </c>
      <c r="M508">
        <v>36.36</v>
      </c>
      <c r="O508">
        <v>36.36</v>
      </c>
      <c r="Q508">
        <v>36.36</v>
      </c>
      <c r="R508">
        <v>36.36</v>
      </c>
      <c r="T508" t="s">
        <v>97</v>
      </c>
      <c r="U508">
        <v>36.36</v>
      </c>
      <c r="AA508" t="s">
        <v>97</v>
      </c>
    </row>
    <row r="509" spans="1:27" x14ac:dyDescent="0.2">
      <c r="A509" t="s">
        <v>92</v>
      </c>
      <c r="B509" t="s">
        <v>1020</v>
      </c>
      <c r="C509" t="s">
        <v>8328</v>
      </c>
      <c r="D509" t="s">
        <v>8329</v>
      </c>
      <c r="E509" t="s">
        <v>228</v>
      </c>
      <c r="F509">
        <v>49.99</v>
      </c>
      <c r="H509">
        <v>31</v>
      </c>
      <c r="I509">
        <v>38.630000000000003</v>
      </c>
      <c r="J509">
        <v>40.909999999999997</v>
      </c>
      <c r="L509">
        <v>36.36</v>
      </c>
      <c r="M509">
        <v>36.36</v>
      </c>
      <c r="O509">
        <v>36.36</v>
      </c>
      <c r="Q509">
        <v>36.36</v>
      </c>
      <c r="R509">
        <v>36.36</v>
      </c>
      <c r="T509" t="s">
        <v>97</v>
      </c>
      <c r="U509">
        <v>36.36</v>
      </c>
      <c r="AA509" t="s">
        <v>97</v>
      </c>
    </row>
    <row r="510" spans="1:27" x14ac:dyDescent="0.2">
      <c r="A510" t="s">
        <v>92</v>
      </c>
      <c r="B510" t="s">
        <v>1020</v>
      </c>
      <c r="C510" t="s">
        <v>8330</v>
      </c>
      <c r="D510" t="s">
        <v>8331</v>
      </c>
      <c r="E510" t="s">
        <v>228</v>
      </c>
      <c r="F510">
        <v>49.99</v>
      </c>
      <c r="H510">
        <v>31</v>
      </c>
      <c r="I510">
        <v>38.630000000000003</v>
      </c>
      <c r="J510">
        <v>40.909999999999997</v>
      </c>
      <c r="L510">
        <v>36.36</v>
      </c>
      <c r="M510">
        <v>36.36</v>
      </c>
      <c r="O510">
        <v>36.36</v>
      </c>
      <c r="Q510">
        <v>36.36</v>
      </c>
      <c r="R510">
        <v>36.36</v>
      </c>
      <c r="T510" t="s">
        <v>97</v>
      </c>
      <c r="U510">
        <v>36.36</v>
      </c>
      <c r="AA510" t="s">
        <v>97</v>
      </c>
    </row>
    <row r="511" spans="1:27" x14ac:dyDescent="0.2">
      <c r="A511" t="s">
        <v>92</v>
      </c>
      <c r="B511" t="s">
        <v>1029</v>
      </c>
      <c r="C511" t="s">
        <v>1030</v>
      </c>
      <c r="D511" t="s">
        <v>1031</v>
      </c>
      <c r="E511" t="s">
        <v>228</v>
      </c>
      <c r="F511">
        <v>249.99</v>
      </c>
      <c r="G511">
        <v>249.99</v>
      </c>
      <c r="H511">
        <v>181.81</v>
      </c>
      <c r="I511">
        <v>193.17</v>
      </c>
      <c r="J511">
        <v>204.54</v>
      </c>
      <c r="K511">
        <v>181.81</v>
      </c>
      <c r="L511">
        <v>204.54</v>
      </c>
      <c r="O511">
        <v>196.36</v>
      </c>
      <c r="Q511">
        <v>193.7</v>
      </c>
      <c r="T511" t="s">
        <v>97</v>
      </c>
      <c r="Y511">
        <v>193.17</v>
      </c>
      <c r="Z511">
        <v>249.99</v>
      </c>
      <c r="AA511" t="s">
        <v>97</v>
      </c>
    </row>
    <row r="512" spans="1:27" x14ac:dyDescent="0.2">
      <c r="A512" t="s">
        <v>92</v>
      </c>
      <c r="B512" t="s">
        <v>1029</v>
      </c>
      <c r="C512" t="s">
        <v>1032</v>
      </c>
      <c r="D512" t="s">
        <v>1033</v>
      </c>
      <c r="E512" t="s">
        <v>228</v>
      </c>
      <c r="F512">
        <v>249.99</v>
      </c>
      <c r="G512">
        <v>249.99</v>
      </c>
      <c r="H512">
        <v>181.81</v>
      </c>
      <c r="I512">
        <v>193.17</v>
      </c>
      <c r="J512">
        <v>204.54</v>
      </c>
      <c r="K512">
        <v>181.81</v>
      </c>
      <c r="L512">
        <v>204.54</v>
      </c>
      <c r="O512">
        <v>196.36</v>
      </c>
      <c r="T512" t="s">
        <v>97</v>
      </c>
      <c r="Y512">
        <v>193.17</v>
      </c>
      <c r="Z512">
        <v>249.99</v>
      </c>
      <c r="AA512" t="s">
        <v>97</v>
      </c>
    </row>
    <row r="513" spans="1:28" x14ac:dyDescent="0.2">
      <c r="A513" t="s">
        <v>92</v>
      </c>
      <c r="B513" t="s">
        <v>1029</v>
      </c>
      <c r="C513" t="s">
        <v>1034</v>
      </c>
      <c r="D513" t="s">
        <v>1035</v>
      </c>
      <c r="E513" t="s">
        <v>228</v>
      </c>
      <c r="F513">
        <v>249.99</v>
      </c>
      <c r="G513">
        <v>249.99</v>
      </c>
      <c r="H513">
        <v>181.81</v>
      </c>
      <c r="I513">
        <v>193.17</v>
      </c>
      <c r="J513">
        <v>204.54</v>
      </c>
      <c r="K513">
        <v>181.81</v>
      </c>
      <c r="L513">
        <v>204.54</v>
      </c>
      <c r="O513">
        <v>204.54</v>
      </c>
      <c r="T513" t="s">
        <v>97</v>
      </c>
      <c r="Y513">
        <v>193.17</v>
      </c>
      <c r="Z513">
        <v>249.99</v>
      </c>
      <c r="AA513" t="s">
        <v>97</v>
      </c>
    </row>
    <row r="514" spans="1:28" x14ac:dyDescent="0.2">
      <c r="A514" t="s">
        <v>92</v>
      </c>
      <c r="B514" t="s">
        <v>1036</v>
      </c>
      <c r="C514" t="s">
        <v>1037</v>
      </c>
      <c r="D514" t="s">
        <v>1038</v>
      </c>
      <c r="E514" t="s">
        <v>228</v>
      </c>
      <c r="F514">
        <v>139</v>
      </c>
      <c r="G514">
        <v>139</v>
      </c>
      <c r="T514" t="s">
        <v>97</v>
      </c>
      <c r="V514">
        <v>123.6</v>
      </c>
      <c r="W514">
        <v>115.88</v>
      </c>
      <c r="X514">
        <v>115.88</v>
      </c>
      <c r="Y514">
        <v>115.88</v>
      </c>
      <c r="Z514">
        <v>139</v>
      </c>
      <c r="AA514" t="s">
        <v>97</v>
      </c>
      <c r="AB514">
        <v>139</v>
      </c>
    </row>
    <row r="515" spans="1:28" x14ac:dyDescent="0.2">
      <c r="A515" t="s">
        <v>92</v>
      </c>
      <c r="B515" t="s">
        <v>1036</v>
      </c>
      <c r="C515" t="s">
        <v>1039</v>
      </c>
      <c r="D515" t="s">
        <v>1040</v>
      </c>
      <c r="E515" t="s">
        <v>96</v>
      </c>
      <c r="F515">
        <v>359</v>
      </c>
      <c r="H515">
        <v>326.36</v>
      </c>
      <c r="T515" t="s">
        <v>97</v>
      </c>
      <c r="Y515">
        <v>272.69</v>
      </c>
      <c r="Z515">
        <v>399.95</v>
      </c>
      <c r="AA515" t="s">
        <v>97</v>
      </c>
    </row>
    <row r="516" spans="1:28" x14ac:dyDescent="0.2">
      <c r="A516" t="s">
        <v>92</v>
      </c>
      <c r="B516" t="s">
        <v>1036</v>
      </c>
      <c r="C516" t="s">
        <v>1041</v>
      </c>
      <c r="D516" t="s">
        <v>1042</v>
      </c>
      <c r="E516" t="s">
        <v>228</v>
      </c>
      <c r="F516">
        <v>199</v>
      </c>
      <c r="G516">
        <v>199</v>
      </c>
      <c r="T516" t="s">
        <v>97</v>
      </c>
      <c r="V516">
        <v>174.51</v>
      </c>
      <c r="W516">
        <v>163.6</v>
      </c>
      <c r="X516">
        <v>163.6</v>
      </c>
      <c r="Y516">
        <v>163.6</v>
      </c>
      <c r="Z516">
        <v>199</v>
      </c>
      <c r="AA516" t="s">
        <v>97</v>
      </c>
      <c r="AB516">
        <v>199</v>
      </c>
    </row>
    <row r="517" spans="1:28" x14ac:dyDescent="0.2">
      <c r="A517" t="s">
        <v>92</v>
      </c>
      <c r="B517" t="s">
        <v>1036</v>
      </c>
      <c r="C517" t="s">
        <v>1043</v>
      </c>
      <c r="D517" t="s">
        <v>1044</v>
      </c>
      <c r="E517" t="s">
        <v>96</v>
      </c>
      <c r="F517">
        <v>259</v>
      </c>
      <c r="G517">
        <v>259.95</v>
      </c>
      <c r="H517">
        <v>226.36</v>
      </c>
      <c r="T517" t="s">
        <v>97</v>
      </c>
      <c r="V517">
        <v>204.51</v>
      </c>
      <c r="W517">
        <v>204.51</v>
      </c>
      <c r="X517">
        <v>204.51</v>
      </c>
      <c r="Y517">
        <v>204.51</v>
      </c>
      <c r="Z517">
        <v>259.95</v>
      </c>
      <c r="AA517" t="s">
        <v>97</v>
      </c>
      <c r="AB517">
        <v>259.95</v>
      </c>
    </row>
    <row r="518" spans="1:28" x14ac:dyDescent="0.2">
      <c r="A518" t="s">
        <v>92</v>
      </c>
      <c r="B518" t="s">
        <v>1036</v>
      </c>
      <c r="C518" t="s">
        <v>1045</v>
      </c>
      <c r="D518" t="s">
        <v>1046</v>
      </c>
      <c r="E518" t="s">
        <v>96</v>
      </c>
      <c r="F518">
        <v>159</v>
      </c>
      <c r="G518">
        <v>159.94999999999999</v>
      </c>
      <c r="H518">
        <v>144.55000000000001</v>
      </c>
      <c r="T518" t="s">
        <v>97</v>
      </c>
      <c r="V518">
        <v>136.33000000000001</v>
      </c>
      <c r="W518">
        <v>136.33000000000001</v>
      </c>
      <c r="X518">
        <v>136.33000000000001</v>
      </c>
      <c r="Y518">
        <v>136.33000000000001</v>
      </c>
      <c r="Z518">
        <v>159.94999999999999</v>
      </c>
      <c r="AA518" t="s">
        <v>97</v>
      </c>
      <c r="AB518">
        <v>159.94999999999999</v>
      </c>
    </row>
    <row r="519" spans="1:28" x14ac:dyDescent="0.2">
      <c r="A519" t="s">
        <v>92</v>
      </c>
      <c r="B519" t="s">
        <v>1036</v>
      </c>
      <c r="C519" t="s">
        <v>1047</v>
      </c>
      <c r="D519" t="s">
        <v>1048</v>
      </c>
      <c r="E519" t="s">
        <v>96</v>
      </c>
      <c r="F519">
        <v>449</v>
      </c>
      <c r="G519">
        <v>449.95</v>
      </c>
      <c r="H519">
        <v>335.45</v>
      </c>
      <c r="T519" t="s">
        <v>97</v>
      </c>
      <c r="V519">
        <v>340.88</v>
      </c>
      <c r="W519">
        <v>340.88</v>
      </c>
      <c r="X519">
        <v>340.88</v>
      </c>
      <c r="Y519">
        <v>340.88</v>
      </c>
      <c r="Z519">
        <v>449.95</v>
      </c>
      <c r="AA519" t="s">
        <v>97</v>
      </c>
      <c r="AB519">
        <v>449.95</v>
      </c>
    </row>
    <row r="520" spans="1:28" x14ac:dyDescent="0.2">
      <c r="A520" t="s">
        <v>92</v>
      </c>
      <c r="B520" t="s">
        <v>1036</v>
      </c>
      <c r="C520" t="s">
        <v>1049</v>
      </c>
      <c r="D520" t="s">
        <v>1050</v>
      </c>
      <c r="E520" t="s">
        <v>96</v>
      </c>
      <c r="F520">
        <v>249</v>
      </c>
      <c r="G520">
        <v>249.95</v>
      </c>
      <c r="H520">
        <v>226.36</v>
      </c>
      <c r="T520" t="s">
        <v>97</v>
      </c>
      <c r="V520">
        <v>204.51</v>
      </c>
      <c r="W520">
        <v>204.51</v>
      </c>
      <c r="X520">
        <v>204.51</v>
      </c>
      <c r="Y520">
        <v>204.51</v>
      </c>
      <c r="Z520">
        <v>249.95</v>
      </c>
      <c r="AA520" t="s">
        <v>97</v>
      </c>
      <c r="AB520">
        <v>249.95</v>
      </c>
    </row>
    <row r="521" spans="1:28" x14ac:dyDescent="0.2">
      <c r="A521" t="s">
        <v>92</v>
      </c>
      <c r="B521" t="s">
        <v>1036</v>
      </c>
      <c r="C521" t="s">
        <v>1051</v>
      </c>
      <c r="D521" t="s">
        <v>1052</v>
      </c>
      <c r="E521" t="s">
        <v>96</v>
      </c>
      <c r="F521">
        <v>329</v>
      </c>
      <c r="G521">
        <v>329.95</v>
      </c>
      <c r="H521">
        <v>299.08999999999997</v>
      </c>
      <c r="T521" t="s">
        <v>97</v>
      </c>
      <c r="V521">
        <v>245.42</v>
      </c>
      <c r="W521">
        <v>245.42</v>
      </c>
      <c r="X521">
        <v>245.42</v>
      </c>
      <c r="Y521">
        <v>245.42</v>
      </c>
      <c r="Z521">
        <v>329.95</v>
      </c>
      <c r="AA521" t="s">
        <v>97</v>
      </c>
      <c r="AB521">
        <v>329.95</v>
      </c>
    </row>
    <row r="522" spans="1:28" x14ac:dyDescent="0.2">
      <c r="A522" t="s">
        <v>92</v>
      </c>
      <c r="B522" t="s">
        <v>1036</v>
      </c>
      <c r="C522" t="s">
        <v>1053</v>
      </c>
      <c r="D522" t="s">
        <v>1054</v>
      </c>
      <c r="E522" t="s">
        <v>96</v>
      </c>
      <c r="F522">
        <v>159</v>
      </c>
      <c r="G522">
        <v>159.94999999999999</v>
      </c>
      <c r="T522" t="s">
        <v>97</v>
      </c>
      <c r="V522">
        <v>136.33000000000001</v>
      </c>
      <c r="W522">
        <v>136.33000000000001</v>
      </c>
      <c r="X522">
        <v>136.33000000000001</v>
      </c>
      <c r="Y522">
        <v>136.33000000000001</v>
      </c>
      <c r="Z522">
        <v>159.94999999999999</v>
      </c>
      <c r="AA522" t="s">
        <v>97</v>
      </c>
      <c r="AB522">
        <v>159.94999999999999</v>
      </c>
    </row>
    <row r="523" spans="1:28" x14ac:dyDescent="0.2">
      <c r="A523" t="s">
        <v>92</v>
      </c>
      <c r="B523" t="s">
        <v>1036</v>
      </c>
      <c r="C523" t="s">
        <v>1055</v>
      </c>
      <c r="D523" t="s">
        <v>1056</v>
      </c>
      <c r="E523" t="s">
        <v>96</v>
      </c>
      <c r="F523">
        <v>159</v>
      </c>
      <c r="G523">
        <v>159.94999999999999</v>
      </c>
      <c r="T523" t="s">
        <v>97</v>
      </c>
      <c r="V523">
        <v>136.33000000000001</v>
      </c>
      <c r="W523">
        <v>136.33000000000001</v>
      </c>
      <c r="X523">
        <v>136.33000000000001</v>
      </c>
      <c r="Y523">
        <v>136.33000000000001</v>
      </c>
      <c r="Z523">
        <v>159.94999999999999</v>
      </c>
      <c r="AA523" t="s">
        <v>97</v>
      </c>
      <c r="AB523">
        <v>159.94999999999999</v>
      </c>
    </row>
    <row r="524" spans="1:28" x14ac:dyDescent="0.2">
      <c r="A524" t="s">
        <v>92</v>
      </c>
      <c r="B524" t="s">
        <v>1036</v>
      </c>
      <c r="C524" t="s">
        <v>1057</v>
      </c>
      <c r="D524" t="s">
        <v>1058</v>
      </c>
      <c r="E524" t="s">
        <v>96</v>
      </c>
      <c r="F524">
        <v>159</v>
      </c>
      <c r="G524">
        <v>159.94999999999999</v>
      </c>
      <c r="T524" t="s">
        <v>97</v>
      </c>
      <c r="V524">
        <v>136.33000000000001</v>
      </c>
      <c r="W524">
        <v>136.33000000000001</v>
      </c>
      <c r="X524">
        <v>136.33000000000001</v>
      </c>
      <c r="Y524">
        <v>136.33000000000001</v>
      </c>
      <c r="Z524">
        <v>159.94999999999999</v>
      </c>
      <c r="AA524" t="s">
        <v>97</v>
      </c>
      <c r="AB524">
        <v>159.94999999999999</v>
      </c>
    </row>
    <row r="525" spans="1:28" x14ac:dyDescent="0.2">
      <c r="A525" t="s">
        <v>92</v>
      </c>
      <c r="B525" t="s">
        <v>1036</v>
      </c>
      <c r="C525" t="s">
        <v>1059</v>
      </c>
      <c r="D525" t="s">
        <v>1060</v>
      </c>
      <c r="E525" t="s">
        <v>96</v>
      </c>
      <c r="F525">
        <v>159</v>
      </c>
      <c r="G525">
        <v>159.94999999999999</v>
      </c>
      <c r="T525" t="s">
        <v>97</v>
      </c>
      <c r="V525">
        <v>136.33000000000001</v>
      </c>
      <c r="W525">
        <v>136.33000000000001</v>
      </c>
      <c r="X525">
        <v>136.33000000000001</v>
      </c>
      <c r="Y525">
        <v>136.33000000000001</v>
      </c>
      <c r="Z525">
        <v>159.94999999999999</v>
      </c>
      <c r="AA525" t="s">
        <v>97</v>
      </c>
      <c r="AB525">
        <v>159.94999999999999</v>
      </c>
    </row>
    <row r="526" spans="1:28" x14ac:dyDescent="0.2">
      <c r="A526" t="s">
        <v>92</v>
      </c>
      <c r="B526" t="s">
        <v>1036</v>
      </c>
      <c r="C526" t="s">
        <v>1061</v>
      </c>
      <c r="D526" t="s">
        <v>1062</v>
      </c>
      <c r="E526" t="s">
        <v>96</v>
      </c>
      <c r="F526">
        <v>449</v>
      </c>
      <c r="G526">
        <v>449.95</v>
      </c>
      <c r="H526">
        <v>408.18</v>
      </c>
      <c r="T526" t="s">
        <v>97</v>
      </c>
      <c r="V526">
        <v>340.88</v>
      </c>
      <c r="W526">
        <v>340.88</v>
      </c>
      <c r="X526">
        <v>340.88</v>
      </c>
      <c r="Y526">
        <v>340.88</v>
      </c>
      <c r="Z526">
        <v>449.95</v>
      </c>
      <c r="AA526" t="s">
        <v>97</v>
      </c>
      <c r="AB526">
        <v>449.95</v>
      </c>
    </row>
    <row r="527" spans="1:28" x14ac:dyDescent="0.2">
      <c r="A527" t="s">
        <v>92</v>
      </c>
      <c r="B527" t="s">
        <v>1036</v>
      </c>
      <c r="C527" t="s">
        <v>1063</v>
      </c>
      <c r="D527" t="s">
        <v>1064</v>
      </c>
      <c r="E527" t="s">
        <v>96</v>
      </c>
      <c r="F527">
        <v>269</v>
      </c>
      <c r="G527">
        <v>269.95</v>
      </c>
      <c r="H527">
        <v>244.55</v>
      </c>
      <c r="T527" t="s">
        <v>97</v>
      </c>
      <c r="V527">
        <v>204.51</v>
      </c>
      <c r="W527">
        <v>204.51</v>
      </c>
      <c r="X527">
        <v>204.51</v>
      </c>
      <c r="Y527">
        <v>204.51</v>
      </c>
      <c r="Z527">
        <v>269.95</v>
      </c>
      <c r="AA527" t="s">
        <v>97</v>
      </c>
      <c r="AB527">
        <v>269.95</v>
      </c>
    </row>
    <row r="528" spans="1:28" x14ac:dyDescent="0.2">
      <c r="A528" t="s">
        <v>92</v>
      </c>
      <c r="B528" t="s">
        <v>1036</v>
      </c>
      <c r="C528" t="s">
        <v>1065</v>
      </c>
      <c r="D528" t="s">
        <v>1066</v>
      </c>
      <c r="E528" t="s">
        <v>96</v>
      </c>
      <c r="F528">
        <v>139</v>
      </c>
      <c r="G528">
        <v>139.94999999999999</v>
      </c>
      <c r="H528">
        <v>126.36</v>
      </c>
      <c r="T528" t="s">
        <v>97</v>
      </c>
      <c r="V528">
        <v>122.69</v>
      </c>
      <c r="W528">
        <v>122.69</v>
      </c>
      <c r="X528">
        <v>122.69</v>
      </c>
      <c r="Y528">
        <v>122.69</v>
      </c>
      <c r="Z528">
        <v>139.94999999999999</v>
      </c>
      <c r="AA528" t="s">
        <v>97</v>
      </c>
      <c r="AB528">
        <v>139.94999999999999</v>
      </c>
    </row>
    <row r="529" spans="1:28" x14ac:dyDescent="0.2">
      <c r="A529" t="s">
        <v>92</v>
      </c>
      <c r="B529" t="s">
        <v>1036</v>
      </c>
      <c r="C529" t="s">
        <v>1067</v>
      </c>
      <c r="D529" t="s">
        <v>1068</v>
      </c>
      <c r="E529" t="s">
        <v>96</v>
      </c>
      <c r="F529">
        <v>659</v>
      </c>
      <c r="G529">
        <v>659.95</v>
      </c>
      <c r="H529">
        <v>599.09</v>
      </c>
      <c r="T529" t="s">
        <v>97</v>
      </c>
      <c r="V529">
        <v>477.24</v>
      </c>
      <c r="W529">
        <v>477.24</v>
      </c>
      <c r="X529">
        <v>477.24</v>
      </c>
      <c r="Y529">
        <v>477.24</v>
      </c>
      <c r="Z529">
        <v>659.95</v>
      </c>
      <c r="AA529" t="s">
        <v>97</v>
      </c>
      <c r="AB529">
        <v>659.95</v>
      </c>
    </row>
    <row r="530" spans="1:28" x14ac:dyDescent="0.2">
      <c r="A530" t="s">
        <v>92</v>
      </c>
      <c r="B530" t="s">
        <v>1036</v>
      </c>
      <c r="C530" t="s">
        <v>1069</v>
      </c>
      <c r="D530" t="s">
        <v>1070</v>
      </c>
      <c r="E530" t="s">
        <v>96</v>
      </c>
      <c r="F530">
        <v>229</v>
      </c>
      <c r="G530">
        <v>229.95</v>
      </c>
      <c r="H530">
        <v>199.09</v>
      </c>
      <c r="T530" t="s">
        <v>97</v>
      </c>
      <c r="V530">
        <v>204.51</v>
      </c>
      <c r="W530">
        <v>204.51</v>
      </c>
      <c r="X530">
        <v>204.51</v>
      </c>
      <c r="Y530">
        <v>204.51</v>
      </c>
      <c r="Z530">
        <v>229.95</v>
      </c>
      <c r="AA530" t="s">
        <v>97</v>
      </c>
      <c r="AB530">
        <v>229.95</v>
      </c>
    </row>
    <row r="531" spans="1:28" x14ac:dyDescent="0.2">
      <c r="A531" t="s">
        <v>92</v>
      </c>
      <c r="B531" t="s">
        <v>1036</v>
      </c>
      <c r="C531" t="s">
        <v>1071</v>
      </c>
      <c r="D531" t="s">
        <v>1072</v>
      </c>
      <c r="E531" t="s">
        <v>96</v>
      </c>
      <c r="F531">
        <v>119</v>
      </c>
      <c r="G531">
        <v>119.95</v>
      </c>
      <c r="H531">
        <v>108.18</v>
      </c>
      <c r="T531" t="s">
        <v>97</v>
      </c>
      <c r="V531">
        <v>102.24</v>
      </c>
      <c r="W531">
        <v>102.24</v>
      </c>
      <c r="X531">
        <v>102.24</v>
      </c>
      <c r="Y531">
        <v>102.24</v>
      </c>
      <c r="Z531">
        <v>119.95</v>
      </c>
      <c r="AA531" t="s">
        <v>97</v>
      </c>
      <c r="AB531">
        <v>119.95</v>
      </c>
    </row>
    <row r="532" spans="1:28" x14ac:dyDescent="0.2">
      <c r="A532" t="s">
        <v>92</v>
      </c>
      <c r="B532" t="s">
        <v>1036</v>
      </c>
      <c r="C532" t="s">
        <v>1073</v>
      </c>
      <c r="D532" t="s">
        <v>1074</v>
      </c>
      <c r="E532" t="s">
        <v>96</v>
      </c>
      <c r="F532">
        <v>119</v>
      </c>
      <c r="G532">
        <v>119.95</v>
      </c>
      <c r="H532">
        <v>108.18</v>
      </c>
      <c r="T532" t="s">
        <v>97</v>
      </c>
      <c r="V532">
        <v>102.24</v>
      </c>
      <c r="W532">
        <v>102.24</v>
      </c>
      <c r="X532">
        <v>102.24</v>
      </c>
      <c r="Y532">
        <v>102.24</v>
      </c>
      <c r="Z532">
        <v>119.95</v>
      </c>
      <c r="AA532" t="s">
        <v>97</v>
      </c>
      <c r="AB532">
        <v>119.95</v>
      </c>
    </row>
    <row r="533" spans="1:28" x14ac:dyDescent="0.2">
      <c r="A533" t="s">
        <v>92</v>
      </c>
      <c r="B533" t="s">
        <v>1036</v>
      </c>
      <c r="C533" t="s">
        <v>1075</v>
      </c>
      <c r="D533" t="s">
        <v>1076</v>
      </c>
      <c r="E533" t="s">
        <v>96</v>
      </c>
      <c r="F533">
        <v>189</v>
      </c>
      <c r="G533">
        <v>189</v>
      </c>
      <c r="T533" t="s">
        <v>97</v>
      </c>
      <c r="V533">
        <v>167.24</v>
      </c>
      <c r="W533">
        <v>156.78</v>
      </c>
      <c r="X533">
        <v>156.78</v>
      </c>
      <c r="Y533">
        <v>156.78</v>
      </c>
      <c r="Z533">
        <v>189</v>
      </c>
      <c r="AA533" t="s">
        <v>97</v>
      </c>
      <c r="AB533">
        <v>189</v>
      </c>
    </row>
    <row r="534" spans="1:28" x14ac:dyDescent="0.2">
      <c r="A534" t="s">
        <v>92</v>
      </c>
      <c r="B534" t="s">
        <v>1036</v>
      </c>
      <c r="C534" t="s">
        <v>1077</v>
      </c>
      <c r="D534" t="s">
        <v>1078</v>
      </c>
      <c r="E534" t="s">
        <v>96</v>
      </c>
      <c r="F534">
        <v>110</v>
      </c>
      <c r="G534">
        <v>109.95</v>
      </c>
      <c r="H534">
        <v>100</v>
      </c>
      <c r="T534" t="s">
        <v>97</v>
      </c>
      <c r="V534">
        <v>102.24</v>
      </c>
      <c r="W534">
        <v>102.24</v>
      </c>
      <c r="X534">
        <v>102.24</v>
      </c>
      <c r="Y534">
        <v>102.24</v>
      </c>
      <c r="Z534">
        <v>109.95</v>
      </c>
      <c r="AA534" t="s">
        <v>97</v>
      </c>
      <c r="AB534">
        <v>109.95</v>
      </c>
    </row>
    <row r="535" spans="1:28" x14ac:dyDescent="0.2">
      <c r="A535" t="s">
        <v>92</v>
      </c>
      <c r="B535" t="s">
        <v>1036</v>
      </c>
      <c r="C535" t="s">
        <v>1079</v>
      </c>
      <c r="D535" t="s">
        <v>1080</v>
      </c>
      <c r="E535" t="s">
        <v>96</v>
      </c>
      <c r="F535">
        <v>259</v>
      </c>
      <c r="H535">
        <v>235.45</v>
      </c>
      <c r="T535" t="s">
        <v>97</v>
      </c>
      <c r="Y535">
        <v>204.51</v>
      </c>
      <c r="Z535">
        <v>299.95</v>
      </c>
      <c r="AA535" t="s">
        <v>97</v>
      </c>
    </row>
    <row r="536" spans="1:28" x14ac:dyDescent="0.2">
      <c r="A536" t="s">
        <v>92</v>
      </c>
      <c r="B536" t="s">
        <v>1036</v>
      </c>
      <c r="C536" t="s">
        <v>1081</v>
      </c>
      <c r="D536" t="s">
        <v>1082</v>
      </c>
      <c r="E536" t="s">
        <v>96</v>
      </c>
      <c r="F536">
        <v>99.95</v>
      </c>
      <c r="G536">
        <v>99.95</v>
      </c>
      <c r="T536" t="s">
        <v>97</v>
      </c>
      <c r="V536">
        <v>94.51</v>
      </c>
      <c r="W536">
        <v>88.6</v>
      </c>
      <c r="X536">
        <v>88.6</v>
      </c>
      <c r="Y536">
        <v>88.6</v>
      </c>
      <c r="Z536">
        <v>99.95</v>
      </c>
      <c r="AA536" t="s">
        <v>97</v>
      </c>
      <c r="AB536">
        <v>99.95</v>
      </c>
    </row>
    <row r="537" spans="1:28" x14ac:dyDescent="0.2">
      <c r="A537" t="s">
        <v>92</v>
      </c>
      <c r="B537" t="s">
        <v>1036</v>
      </c>
      <c r="C537" t="s">
        <v>1083</v>
      </c>
      <c r="D537" t="s">
        <v>1084</v>
      </c>
      <c r="E537" t="s">
        <v>96</v>
      </c>
      <c r="F537">
        <v>169</v>
      </c>
      <c r="G537">
        <v>169.95</v>
      </c>
      <c r="H537">
        <v>153.63999999999999</v>
      </c>
      <c r="T537" t="s">
        <v>97</v>
      </c>
      <c r="V537">
        <v>136.33000000000001</v>
      </c>
      <c r="W537">
        <v>136.33000000000001</v>
      </c>
      <c r="X537">
        <v>136.33000000000001</v>
      </c>
      <c r="Y537">
        <v>136.33000000000001</v>
      </c>
      <c r="Z537">
        <v>169.95</v>
      </c>
      <c r="AA537" t="s">
        <v>97</v>
      </c>
      <c r="AB537">
        <v>169.95</v>
      </c>
    </row>
    <row r="538" spans="1:28" x14ac:dyDescent="0.2">
      <c r="A538" t="s">
        <v>92</v>
      </c>
      <c r="B538" t="s">
        <v>1036</v>
      </c>
      <c r="C538" t="s">
        <v>1085</v>
      </c>
      <c r="D538" t="s">
        <v>1086</v>
      </c>
      <c r="E538" t="s">
        <v>96</v>
      </c>
      <c r="F538">
        <v>169</v>
      </c>
      <c r="G538">
        <v>169.95</v>
      </c>
      <c r="H538">
        <v>153.63999999999999</v>
      </c>
      <c r="T538" t="s">
        <v>97</v>
      </c>
      <c r="V538">
        <v>136.33000000000001</v>
      </c>
      <c r="W538">
        <v>136.33000000000001</v>
      </c>
      <c r="X538">
        <v>136.33000000000001</v>
      </c>
      <c r="Y538">
        <v>136.33000000000001</v>
      </c>
      <c r="Z538">
        <v>169.95</v>
      </c>
      <c r="AA538" t="s">
        <v>97</v>
      </c>
      <c r="AB538">
        <v>169.95</v>
      </c>
    </row>
    <row r="539" spans="1:28" x14ac:dyDescent="0.2">
      <c r="A539" t="s">
        <v>92</v>
      </c>
      <c r="B539" t="s">
        <v>1036</v>
      </c>
      <c r="C539" t="s">
        <v>1087</v>
      </c>
      <c r="D539" t="s">
        <v>1088</v>
      </c>
      <c r="E539" t="s">
        <v>96</v>
      </c>
      <c r="F539">
        <v>139</v>
      </c>
      <c r="G539">
        <v>139.94999999999999</v>
      </c>
      <c r="H539">
        <v>126.36</v>
      </c>
      <c r="T539" t="s">
        <v>97</v>
      </c>
      <c r="V539">
        <v>122.69</v>
      </c>
      <c r="W539">
        <v>122.69</v>
      </c>
      <c r="X539">
        <v>122.69</v>
      </c>
      <c r="Y539">
        <v>122.69</v>
      </c>
      <c r="Z539">
        <v>139.94999999999999</v>
      </c>
      <c r="AA539" t="s">
        <v>97</v>
      </c>
      <c r="AB539">
        <v>139.94999999999999</v>
      </c>
    </row>
    <row r="540" spans="1:28" x14ac:dyDescent="0.2">
      <c r="A540" t="s">
        <v>92</v>
      </c>
      <c r="B540" t="s">
        <v>1089</v>
      </c>
      <c r="C540" t="s">
        <v>1090</v>
      </c>
      <c r="D540" t="s">
        <v>1091</v>
      </c>
      <c r="E540" t="s">
        <v>290</v>
      </c>
      <c r="F540">
        <v>529.99</v>
      </c>
      <c r="H540">
        <v>409.54</v>
      </c>
      <c r="I540">
        <v>433.63</v>
      </c>
      <c r="J540">
        <v>438</v>
      </c>
      <c r="K540">
        <v>409.54</v>
      </c>
      <c r="L540">
        <v>505.6</v>
      </c>
      <c r="Q540">
        <v>448.08</v>
      </c>
      <c r="T540" t="s">
        <v>97</v>
      </c>
      <c r="Y540">
        <v>409.54</v>
      </c>
      <c r="Z540">
        <v>529.99</v>
      </c>
      <c r="AA540" t="s">
        <v>97</v>
      </c>
    </row>
    <row r="541" spans="1:28" x14ac:dyDescent="0.2">
      <c r="A541" t="s">
        <v>92</v>
      </c>
      <c r="B541" t="s">
        <v>1089</v>
      </c>
      <c r="C541" t="s">
        <v>1092</v>
      </c>
      <c r="D541" t="s">
        <v>1093</v>
      </c>
      <c r="E541" t="s">
        <v>96</v>
      </c>
      <c r="F541">
        <v>69.989999999999995</v>
      </c>
      <c r="H541">
        <v>50.9</v>
      </c>
      <c r="I541">
        <v>54.08</v>
      </c>
      <c r="J541">
        <v>60.59</v>
      </c>
      <c r="K541">
        <v>50.9</v>
      </c>
      <c r="L541">
        <v>62.84</v>
      </c>
      <c r="Q541">
        <v>47.72</v>
      </c>
      <c r="T541" t="s">
        <v>97</v>
      </c>
      <c r="Y541">
        <v>54.08</v>
      </c>
      <c r="Z541">
        <v>69.989999999999995</v>
      </c>
      <c r="AA541" t="s">
        <v>97</v>
      </c>
    </row>
    <row r="542" spans="1:28" x14ac:dyDescent="0.2">
      <c r="A542" t="s">
        <v>92</v>
      </c>
      <c r="B542" t="s">
        <v>1089</v>
      </c>
      <c r="C542" t="s">
        <v>1094</v>
      </c>
      <c r="D542" t="s">
        <v>1095</v>
      </c>
      <c r="E542" t="s">
        <v>96</v>
      </c>
      <c r="F542">
        <v>99.99</v>
      </c>
      <c r="H542">
        <v>72.72</v>
      </c>
      <c r="I542">
        <v>77.27</v>
      </c>
      <c r="J542">
        <v>86.57</v>
      </c>
      <c r="K542">
        <v>72.72</v>
      </c>
      <c r="L542">
        <v>89.78</v>
      </c>
      <c r="Q542">
        <v>68.180000000000007</v>
      </c>
      <c r="T542" t="s">
        <v>97</v>
      </c>
      <c r="Y542">
        <v>77.27</v>
      </c>
      <c r="Z542">
        <v>99.99</v>
      </c>
      <c r="AA542" t="s">
        <v>97</v>
      </c>
    </row>
    <row r="543" spans="1:28" x14ac:dyDescent="0.2">
      <c r="A543" t="s">
        <v>92</v>
      </c>
      <c r="B543" t="s">
        <v>1096</v>
      </c>
      <c r="C543" t="s">
        <v>1097</v>
      </c>
      <c r="D543" t="s">
        <v>1098</v>
      </c>
      <c r="E543" t="s">
        <v>228</v>
      </c>
      <c r="F543">
        <v>249</v>
      </c>
      <c r="T543" t="s">
        <v>97</v>
      </c>
      <c r="V543">
        <v>203.73</v>
      </c>
      <c r="W543">
        <v>203.73</v>
      </c>
      <c r="Z543">
        <v>249</v>
      </c>
      <c r="AA543" t="s">
        <v>97</v>
      </c>
      <c r="AB543">
        <v>249</v>
      </c>
    </row>
    <row r="544" spans="1:28" x14ac:dyDescent="0.2">
      <c r="A544" t="s">
        <v>92</v>
      </c>
      <c r="B544" t="s">
        <v>1096</v>
      </c>
      <c r="C544" t="s">
        <v>1099</v>
      </c>
      <c r="D544" t="s">
        <v>1100</v>
      </c>
      <c r="E544" t="s">
        <v>228</v>
      </c>
      <c r="F544">
        <v>999</v>
      </c>
      <c r="T544" t="s">
        <v>97</v>
      </c>
      <c r="V544">
        <v>771.95</v>
      </c>
      <c r="W544">
        <v>771.95</v>
      </c>
      <c r="Z544">
        <v>999</v>
      </c>
      <c r="AA544" t="s">
        <v>97</v>
      </c>
      <c r="AB544">
        <v>999</v>
      </c>
    </row>
    <row r="545" spans="1:28" x14ac:dyDescent="0.2">
      <c r="A545" t="s">
        <v>92</v>
      </c>
      <c r="B545" t="s">
        <v>1096</v>
      </c>
      <c r="C545" t="s">
        <v>1101</v>
      </c>
      <c r="D545" t="s">
        <v>1102</v>
      </c>
      <c r="E545" t="s">
        <v>228</v>
      </c>
      <c r="F545">
        <v>349</v>
      </c>
      <c r="T545" t="s">
        <v>97</v>
      </c>
      <c r="V545">
        <v>285.55</v>
      </c>
      <c r="W545">
        <v>285.55</v>
      </c>
      <c r="Z545">
        <v>349</v>
      </c>
      <c r="AA545" t="s">
        <v>97</v>
      </c>
      <c r="AB545">
        <v>349</v>
      </c>
    </row>
    <row r="546" spans="1:28" x14ac:dyDescent="0.2">
      <c r="A546" t="s">
        <v>92</v>
      </c>
      <c r="B546" t="s">
        <v>1096</v>
      </c>
      <c r="C546" t="s">
        <v>1103</v>
      </c>
      <c r="D546" t="s">
        <v>1104</v>
      </c>
      <c r="E546" t="s">
        <v>228</v>
      </c>
      <c r="F546">
        <v>349</v>
      </c>
      <c r="T546" t="s">
        <v>97</v>
      </c>
      <c r="V546">
        <v>285.55</v>
      </c>
      <c r="W546">
        <v>285.55</v>
      </c>
      <c r="Z546">
        <v>349</v>
      </c>
      <c r="AA546" t="s">
        <v>97</v>
      </c>
      <c r="AB546">
        <v>349</v>
      </c>
    </row>
    <row r="547" spans="1:28" x14ac:dyDescent="0.2">
      <c r="A547" t="s">
        <v>92</v>
      </c>
      <c r="B547" t="s">
        <v>1096</v>
      </c>
      <c r="C547" t="s">
        <v>1105</v>
      </c>
      <c r="D547" t="s">
        <v>1106</v>
      </c>
      <c r="E547" t="s">
        <v>228</v>
      </c>
      <c r="F547">
        <v>349</v>
      </c>
      <c r="G547">
        <v>349</v>
      </c>
      <c r="T547" t="s">
        <v>97</v>
      </c>
      <c r="V547">
        <v>285.55</v>
      </c>
      <c r="W547">
        <v>285.55</v>
      </c>
      <c r="X547">
        <v>0</v>
      </c>
      <c r="Y547">
        <v>0</v>
      </c>
      <c r="Z547">
        <v>349</v>
      </c>
      <c r="AA547" t="s">
        <v>97</v>
      </c>
      <c r="AB547">
        <v>349</v>
      </c>
    </row>
    <row r="548" spans="1:28" x14ac:dyDescent="0.2">
      <c r="A548" t="s">
        <v>92</v>
      </c>
      <c r="B548" t="s">
        <v>1096</v>
      </c>
      <c r="C548" t="s">
        <v>1107</v>
      </c>
      <c r="D548" t="s">
        <v>1108</v>
      </c>
      <c r="E548" t="s">
        <v>96</v>
      </c>
      <c r="F548">
        <v>499</v>
      </c>
      <c r="G548">
        <v>499</v>
      </c>
      <c r="T548" t="s">
        <v>97</v>
      </c>
      <c r="V548">
        <v>408.27</v>
      </c>
      <c r="W548">
        <v>408.27</v>
      </c>
      <c r="X548">
        <v>408.27</v>
      </c>
      <c r="Y548">
        <v>408.27</v>
      </c>
      <c r="Z548">
        <v>499</v>
      </c>
      <c r="AA548" t="s">
        <v>97</v>
      </c>
      <c r="AB548">
        <v>499</v>
      </c>
    </row>
    <row r="549" spans="1:28" x14ac:dyDescent="0.2">
      <c r="A549" t="s">
        <v>92</v>
      </c>
      <c r="B549" t="s">
        <v>1096</v>
      </c>
      <c r="C549" t="s">
        <v>1109</v>
      </c>
      <c r="D549" t="s">
        <v>1110</v>
      </c>
      <c r="E549" t="s">
        <v>228</v>
      </c>
      <c r="F549">
        <v>499</v>
      </c>
      <c r="G549">
        <v>499</v>
      </c>
      <c r="T549" t="s">
        <v>97</v>
      </c>
      <c r="V549">
        <v>408.27</v>
      </c>
      <c r="W549">
        <v>408.27</v>
      </c>
      <c r="X549">
        <v>0</v>
      </c>
      <c r="Y549">
        <v>0</v>
      </c>
      <c r="Z549">
        <v>499</v>
      </c>
      <c r="AA549" t="s">
        <v>97</v>
      </c>
      <c r="AB549">
        <v>499</v>
      </c>
    </row>
    <row r="550" spans="1:28" x14ac:dyDescent="0.2">
      <c r="A550" t="s">
        <v>92</v>
      </c>
      <c r="B550" t="s">
        <v>1096</v>
      </c>
      <c r="C550" t="s">
        <v>1111</v>
      </c>
      <c r="D550" t="s">
        <v>1112</v>
      </c>
      <c r="E550" t="s">
        <v>228</v>
      </c>
      <c r="F550">
        <v>499</v>
      </c>
      <c r="G550">
        <v>499</v>
      </c>
      <c r="T550" t="s">
        <v>97</v>
      </c>
      <c r="V550">
        <v>408.27</v>
      </c>
      <c r="W550">
        <v>408.27</v>
      </c>
      <c r="X550">
        <v>0</v>
      </c>
      <c r="Y550">
        <v>0</v>
      </c>
      <c r="Z550">
        <v>499</v>
      </c>
      <c r="AA550" t="s">
        <v>97</v>
      </c>
      <c r="AB550">
        <v>499</v>
      </c>
    </row>
    <row r="551" spans="1:28" x14ac:dyDescent="0.2">
      <c r="A551" t="s">
        <v>92</v>
      </c>
      <c r="B551" t="s">
        <v>1096</v>
      </c>
      <c r="C551" t="s">
        <v>1113</v>
      </c>
      <c r="D551" t="s">
        <v>1114</v>
      </c>
      <c r="E551" t="s">
        <v>228</v>
      </c>
      <c r="F551">
        <v>849</v>
      </c>
      <c r="T551" t="s">
        <v>97</v>
      </c>
      <c r="V551">
        <v>694.64</v>
      </c>
      <c r="W551">
        <v>694.64</v>
      </c>
      <c r="Z551">
        <v>849</v>
      </c>
      <c r="AA551" t="s">
        <v>97</v>
      </c>
      <c r="AB551">
        <v>849</v>
      </c>
    </row>
    <row r="552" spans="1:28" x14ac:dyDescent="0.2">
      <c r="A552" t="s">
        <v>92</v>
      </c>
      <c r="B552" t="s">
        <v>1096</v>
      </c>
      <c r="C552" t="s">
        <v>1115</v>
      </c>
      <c r="D552" t="s">
        <v>1116</v>
      </c>
      <c r="E552" t="s">
        <v>228</v>
      </c>
      <c r="F552">
        <v>849</v>
      </c>
      <c r="G552">
        <v>849</v>
      </c>
      <c r="T552" t="s">
        <v>97</v>
      </c>
      <c r="V552">
        <v>694.64</v>
      </c>
      <c r="W552">
        <v>694.64</v>
      </c>
      <c r="X552">
        <v>0</v>
      </c>
      <c r="Y552">
        <v>0</v>
      </c>
      <c r="Z552">
        <v>849</v>
      </c>
      <c r="AA552" t="s">
        <v>97</v>
      </c>
      <c r="AB552">
        <v>849</v>
      </c>
    </row>
    <row r="553" spans="1:28" x14ac:dyDescent="0.2">
      <c r="A553" t="s">
        <v>92</v>
      </c>
      <c r="B553" t="s">
        <v>1096</v>
      </c>
      <c r="C553" t="s">
        <v>1117</v>
      </c>
      <c r="D553" t="s">
        <v>1118</v>
      </c>
      <c r="E553" t="s">
        <v>228</v>
      </c>
      <c r="F553">
        <v>1099</v>
      </c>
      <c r="T553" t="s">
        <v>97</v>
      </c>
      <c r="V553">
        <v>899.18</v>
      </c>
      <c r="W553">
        <v>849.23</v>
      </c>
      <c r="Z553">
        <v>1099</v>
      </c>
      <c r="AA553" t="s">
        <v>97</v>
      </c>
      <c r="AB553">
        <v>1099</v>
      </c>
    </row>
    <row r="554" spans="1:28" x14ac:dyDescent="0.2">
      <c r="A554" t="s">
        <v>92</v>
      </c>
      <c r="B554" t="s">
        <v>1096</v>
      </c>
      <c r="C554" t="s">
        <v>1119</v>
      </c>
      <c r="D554" t="s">
        <v>1120</v>
      </c>
      <c r="E554" t="s">
        <v>228</v>
      </c>
      <c r="F554">
        <v>1099</v>
      </c>
      <c r="T554" t="s">
        <v>97</v>
      </c>
      <c r="V554">
        <v>899.18</v>
      </c>
      <c r="W554">
        <v>849.23</v>
      </c>
      <c r="Z554">
        <v>1099</v>
      </c>
      <c r="AA554" t="s">
        <v>97</v>
      </c>
      <c r="AB554">
        <v>1099</v>
      </c>
    </row>
    <row r="555" spans="1:28" x14ac:dyDescent="0.2">
      <c r="A555" t="s">
        <v>92</v>
      </c>
      <c r="B555" t="s">
        <v>1096</v>
      </c>
      <c r="C555" t="s">
        <v>1121</v>
      </c>
      <c r="D555" t="s">
        <v>1122</v>
      </c>
      <c r="E555" t="s">
        <v>228</v>
      </c>
      <c r="F555">
        <v>1199</v>
      </c>
      <c r="T555" t="s">
        <v>97</v>
      </c>
      <c r="V555">
        <v>981</v>
      </c>
      <c r="W555">
        <v>926.5</v>
      </c>
      <c r="Z555">
        <v>1199</v>
      </c>
      <c r="AA555" t="s">
        <v>97</v>
      </c>
      <c r="AB555">
        <v>1199</v>
      </c>
    </row>
    <row r="556" spans="1:28" x14ac:dyDescent="0.2">
      <c r="A556" t="s">
        <v>92</v>
      </c>
      <c r="B556" t="s">
        <v>1096</v>
      </c>
      <c r="C556" t="s">
        <v>1123</v>
      </c>
      <c r="D556" t="s">
        <v>1124</v>
      </c>
      <c r="E556" t="s">
        <v>228</v>
      </c>
      <c r="F556">
        <v>1049</v>
      </c>
      <c r="T556" t="s">
        <v>97</v>
      </c>
      <c r="V556">
        <v>858.27</v>
      </c>
      <c r="W556">
        <v>858.27</v>
      </c>
      <c r="Z556">
        <v>1049</v>
      </c>
      <c r="AA556" t="s">
        <v>97</v>
      </c>
      <c r="AB556">
        <v>1049</v>
      </c>
    </row>
    <row r="557" spans="1:28" x14ac:dyDescent="0.2">
      <c r="A557" t="s">
        <v>92</v>
      </c>
      <c r="B557" t="s">
        <v>1096</v>
      </c>
      <c r="C557" t="s">
        <v>1125</v>
      </c>
      <c r="D557" t="s">
        <v>1126</v>
      </c>
      <c r="E557" t="s">
        <v>228</v>
      </c>
      <c r="F557">
        <v>449</v>
      </c>
      <c r="T557" t="s">
        <v>97</v>
      </c>
      <c r="W557">
        <v>367.36</v>
      </c>
      <c r="AA557" t="s">
        <v>97</v>
      </c>
      <c r="AB557">
        <v>449</v>
      </c>
    </row>
    <row r="558" spans="1:28" x14ac:dyDescent="0.2">
      <c r="A558" t="s">
        <v>92</v>
      </c>
      <c r="B558" t="s">
        <v>1096</v>
      </c>
      <c r="C558" t="s">
        <v>1127</v>
      </c>
      <c r="D558" t="s">
        <v>1128</v>
      </c>
      <c r="E558" t="s">
        <v>228</v>
      </c>
      <c r="F558">
        <v>449</v>
      </c>
      <c r="T558" t="s">
        <v>97</v>
      </c>
      <c r="W558">
        <v>367.36</v>
      </c>
      <c r="AA558" t="s">
        <v>97</v>
      </c>
      <c r="AB558">
        <v>449</v>
      </c>
    </row>
    <row r="559" spans="1:28" x14ac:dyDescent="0.2">
      <c r="A559" t="s">
        <v>92</v>
      </c>
      <c r="B559" t="s">
        <v>1096</v>
      </c>
      <c r="C559" t="s">
        <v>1129</v>
      </c>
      <c r="D559" t="s">
        <v>1130</v>
      </c>
      <c r="E559" t="s">
        <v>228</v>
      </c>
      <c r="F559">
        <v>449</v>
      </c>
      <c r="T559" t="s">
        <v>97</v>
      </c>
      <c r="W559">
        <v>367.36</v>
      </c>
      <c r="AA559" t="s">
        <v>97</v>
      </c>
      <c r="AB559">
        <v>449</v>
      </c>
    </row>
    <row r="560" spans="1:28" x14ac:dyDescent="0.2">
      <c r="A560" t="s">
        <v>92</v>
      </c>
      <c r="B560" t="s">
        <v>1096</v>
      </c>
      <c r="C560" t="s">
        <v>1131</v>
      </c>
      <c r="D560" t="s">
        <v>1132</v>
      </c>
      <c r="E560" t="s">
        <v>228</v>
      </c>
      <c r="F560">
        <v>1699</v>
      </c>
      <c r="T560" t="s">
        <v>97</v>
      </c>
      <c r="V560">
        <v>1390.09</v>
      </c>
      <c r="W560">
        <v>1312.86</v>
      </c>
      <c r="Z560">
        <v>1699</v>
      </c>
      <c r="AA560" t="s">
        <v>97</v>
      </c>
      <c r="AB560">
        <v>1699</v>
      </c>
    </row>
    <row r="561" spans="1:28" x14ac:dyDescent="0.2">
      <c r="A561" t="s">
        <v>92</v>
      </c>
      <c r="B561" t="s">
        <v>1096</v>
      </c>
      <c r="C561" t="s">
        <v>1133</v>
      </c>
      <c r="D561" t="s">
        <v>1134</v>
      </c>
      <c r="E561" t="s">
        <v>96</v>
      </c>
      <c r="F561">
        <v>299</v>
      </c>
      <c r="G561">
        <v>299</v>
      </c>
      <c r="T561" t="s">
        <v>97</v>
      </c>
      <c r="V561">
        <v>244.64</v>
      </c>
      <c r="W561">
        <v>231.05</v>
      </c>
      <c r="X561">
        <v>231.05</v>
      </c>
      <c r="Y561">
        <v>231.05</v>
      </c>
      <c r="Z561">
        <v>299</v>
      </c>
      <c r="AA561" t="s">
        <v>97</v>
      </c>
      <c r="AB561">
        <v>299</v>
      </c>
    </row>
    <row r="562" spans="1:28" x14ac:dyDescent="0.2">
      <c r="A562" t="s">
        <v>92</v>
      </c>
      <c r="B562" t="s">
        <v>1096</v>
      </c>
      <c r="C562" t="s">
        <v>1135</v>
      </c>
      <c r="D562" t="s">
        <v>1136</v>
      </c>
      <c r="E562" t="s">
        <v>96</v>
      </c>
      <c r="F562">
        <v>399</v>
      </c>
      <c r="G562">
        <v>399</v>
      </c>
      <c r="T562" t="s">
        <v>97</v>
      </c>
      <c r="V562">
        <v>326.45</v>
      </c>
      <c r="W562">
        <v>308.32</v>
      </c>
      <c r="X562">
        <v>0</v>
      </c>
      <c r="Y562">
        <v>0</v>
      </c>
      <c r="Z562">
        <v>399</v>
      </c>
      <c r="AA562" t="s">
        <v>97</v>
      </c>
      <c r="AB562">
        <v>399</v>
      </c>
    </row>
    <row r="563" spans="1:28" x14ac:dyDescent="0.2">
      <c r="A563" t="s">
        <v>92</v>
      </c>
      <c r="B563" t="s">
        <v>1096</v>
      </c>
      <c r="C563" t="s">
        <v>1137</v>
      </c>
      <c r="D563" t="s">
        <v>1138</v>
      </c>
      <c r="E563" t="s">
        <v>96</v>
      </c>
      <c r="F563">
        <v>449</v>
      </c>
      <c r="G563">
        <v>449</v>
      </c>
      <c r="T563" t="s">
        <v>97</v>
      </c>
      <c r="V563">
        <v>367.36</v>
      </c>
      <c r="W563">
        <v>346.95</v>
      </c>
      <c r="X563">
        <v>346.95</v>
      </c>
      <c r="Y563">
        <v>346.95</v>
      </c>
      <c r="Z563">
        <v>449</v>
      </c>
      <c r="AA563" t="s">
        <v>97</v>
      </c>
      <c r="AB563">
        <v>449</v>
      </c>
    </row>
    <row r="564" spans="1:28" x14ac:dyDescent="0.2">
      <c r="A564" t="s">
        <v>92</v>
      </c>
      <c r="B564" t="s">
        <v>1096</v>
      </c>
      <c r="C564" t="s">
        <v>1139</v>
      </c>
      <c r="D564" t="s">
        <v>1140</v>
      </c>
      <c r="E564" t="s">
        <v>96</v>
      </c>
      <c r="F564">
        <v>229</v>
      </c>
      <c r="G564">
        <v>229</v>
      </c>
      <c r="T564" t="s">
        <v>97</v>
      </c>
      <c r="V564">
        <v>187.36</v>
      </c>
      <c r="W564">
        <v>176.95</v>
      </c>
      <c r="X564">
        <v>176.95</v>
      </c>
      <c r="Y564">
        <v>176.95</v>
      </c>
      <c r="Z564">
        <v>229</v>
      </c>
      <c r="AA564" t="s">
        <v>97</v>
      </c>
      <c r="AB564">
        <v>229</v>
      </c>
    </row>
    <row r="565" spans="1:28" x14ac:dyDescent="0.2">
      <c r="A565" t="s">
        <v>92</v>
      </c>
      <c r="B565" t="s">
        <v>1096</v>
      </c>
      <c r="C565" t="s">
        <v>1141</v>
      </c>
      <c r="D565" t="s">
        <v>1142</v>
      </c>
      <c r="E565" t="s">
        <v>228</v>
      </c>
      <c r="F565">
        <v>249</v>
      </c>
      <c r="T565" t="s">
        <v>97</v>
      </c>
      <c r="W565">
        <v>203.73</v>
      </c>
      <c r="AA565" t="s">
        <v>97</v>
      </c>
    </row>
    <row r="566" spans="1:28" x14ac:dyDescent="0.2">
      <c r="A566" t="s">
        <v>92</v>
      </c>
      <c r="B566" t="s">
        <v>1096</v>
      </c>
      <c r="C566" t="s">
        <v>1143</v>
      </c>
      <c r="D566" t="s">
        <v>1144</v>
      </c>
      <c r="E566" t="s">
        <v>228</v>
      </c>
      <c r="F566">
        <v>499</v>
      </c>
      <c r="T566" t="s">
        <v>97</v>
      </c>
      <c r="V566">
        <v>408.27</v>
      </c>
      <c r="W566">
        <v>385.59</v>
      </c>
      <c r="Z566">
        <v>499</v>
      </c>
      <c r="AA566" t="s">
        <v>97</v>
      </c>
      <c r="AB566">
        <v>499</v>
      </c>
    </row>
    <row r="567" spans="1:28" x14ac:dyDescent="0.2">
      <c r="A567" t="s">
        <v>92</v>
      </c>
      <c r="B567" t="s">
        <v>1096</v>
      </c>
      <c r="C567" t="s">
        <v>1145</v>
      </c>
      <c r="D567" t="s">
        <v>1146</v>
      </c>
      <c r="E567" t="s">
        <v>228</v>
      </c>
      <c r="F567">
        <v>349</v>
      </c>
      <c r="T567" t="s">
        <v>97</v>
      </c>
      <c r="W567">
        <v>285.55</v>
      </c>
      <c r="AA567" t="s">
        <v>97</v>
      </c>
    </row>
    <row r="568" spans="1:28" x14ac:dyDescent="0.2">
      <c r="A568" t="s">
        <v>92</v>
      </c>
      <c r="B568" t="s">
        <v>1096</v>
      </c>
      <c r="C568" t="s">
        <v>1147</v>
      </c>
      <c r="D568" t="s">
        <v>1148</v>
      </c>
      <c r="E568" t="s">
        <v>228</v>
      </c>
      <c r="F568">
        <v>499</v>
      </c>
      <c r="T568" t="s">
        <v>97</v>
      </c>
      <c r="W568">
        <v>408.27</v>
      </c>
      <c r="AA568" t="s">
        <v>97</v>
      </c>
    </row>
    <row r="569" spans="1:28" x14ac:dyDescent="0.2">
      <c r="A569" t="s">
        <v>92</v>
      </c>
      <c r="B569" t="s">
        <v>1096</v>
      </c>
      <c r="C569" t="s">
        <v>1149</v>
      </c>
      <c r="D569" t="s">
        <v>1150</v>
      </c>
      <c r="E569" t="s">
        <v>228</v>
      </c>
      <c r="F569">
        <v>679</v>
      </c>
      <c r="T569" t="s">
        <v>97</v>
      </c>
      <c r="W569">
        <v>555.54999999999995</v>
      </c>
      <c r="AA569" t="s">
        <v>97</v>
      </c>
    </row>
    <row r="570" spans="1:28" x14ac:dyDescent="0.2">
      <c r="A570" t="s">
        <v>92</v>
      </c>
      <c r="B570" t="s">
        <v>1096</v>
      </c>
      <c r="C570" t="s">
        <v>8800</v>
      </c>
      <c r="D570" t="s">
        <v>8801</v>
      </c>
      <c r="E570" t="s">
        <v>228</v>
      </c>
      <c r="F570">
        <v>999</v>
      </c>
      <c r="T570" t="s">
        <v>97</v>
      </c>
      <c r="W570">
        <v>817.36</v>
      </c>
      <c r="AA570" t="s">
        <v>97</v>
      </c>
    </row>
    <row r="571" spans="1:28" x14ac:dyDescent="0.2">
      <c r="A571" t="s">
        <v>92</v>
      </c>
      <c r="B571" t="s">
        <v>1096</v>
      </c>
      <c r="C571" t="s">
        <v>8802</v>
      </c>
      <c r="D571" t="s">
        <v>8803</v>
      </c>
      <c r="E571" t="s">
        <v>228</v>
      </c>
      <c r="F571">
        <v>1499</v>
      </c>
      <c r="T571" t="s">
        <v>97</v>
      </c>
      <c r="W571">
        <v>1226.45</v>
      </c>
      <c r="AA571" t="s">
        <v>97</v>
      </c>
    </row>
    <row r="572" spans="1:28" x14ac:dyDescent="0.2">
      <c r="A572" t="s">
        <v>92</v>
      </c>
      <c r="B572" t="s">
        <v>1096</v>
      </c>
      <c r="C572" t="s">
        <v>8804</v>
      </c>
      <c r="D572" t="s">
        <v>8805</v>
      </c>
      <c r="E572" t="s">
        <v>228</v>
      </c>
      <c r="F572">
        <v>599</v>
      </c>
      <c r="T572" t="s">
        <v>97</v>
      </c>
      <c r="W572">
        <v>490.09</v>
      </c>
      <c r="AA572" t="s">
        <v>97</v>
      </c>
    </row>
    <row r="573" spans="1:28" x14ac:dyDescent="0.2">
      <c r="A573" t="s">
        <v>92</v>
      </c>
      <c r="B573" t="s">
        <v>1096</v>
      </c>
      <c r="C573" t="s">
        <v>8806</v>
      </c>
      <c r="D573" t="s">
        <v>8807</v>
      </c>
      <c r="E573" t="s">
        <v>228</v>
      </c>
      <c r="F573">
        <v>749</v>
      </c>
      <c r="T573" t="s">
        <v>97</v>
      </c>
      <c r="W573">
        <v>612.82000000000005</v>
      </c>
      <c r="AA573" t="s">
        <v>97</v>
      </c>
    </row>
    <row r="574" spans="1:28" x14ac:dyDescent="0.2">
      <c r="A574" t="s">
        <v>92</v>
      </c>
      <c r="B574" t="s">
        <v>1096</v>
      </c>
      <c r="C574" t="s">
        <v>8808</v>
      </c>
      <c r="D574" t="s">
        <v>8809</v>
      </c>
      <c r="E574" t="s">
        <v>228</v>
      </c>
      <c r="F574">
        <v>1199</v>
      </c>
      <c r="T574" t="s">
        <v>97</v>
      </c>
      <c r="W574">
        <v>981</v>
      </c>
      <c r="AA574" t="s">
        <v>97</v>
      </c>
    </row>
    <row r="575" spans="1:28" x14ac:dyDescent="0.2">
      <c r="A575" t="s">
        <v>92</v>
      </c>
      <c r="B575" t="s">
        <v>1096</v>
      </c>
      <c r="C575" t="s">
        <v>1151</v>
      </c>
      <c r="D575" t="s">
        <v>1152</v>
      </c>
      <c r="E575" t="s">
        <v>228</v>
      </c>
      <c r="F575">
        <v>289</v>
      </c>
      <c r="T575" t="s">
        <v>97</v>
      </c>
      <c r="V575">
        <v>223.32</v>
      </c>
      <c r="W575">
        <v>223.32</v>
      </c>
      <c r="Z575">
        <v>289</v>
      </c>
      <c r="AA575" t="s">
        <v>97</v>
      </c>
      <c r="AB575">
        <v>289</v>
      </c>
    </row>
    <row r="576" spans="1:28" x14ac:dyDescent="0.2">
      <c r="A576" t="s">
        <v>92</v>
      </c>
      <c r="B576" t="s">
        <v>1096</v>
      </c>
      <c r="C576" t="s">
        <v>1153</v>
      </c>
      <c r="D576" t="s">
        <v>1154</v>
      </c>
      <c r="E576" t="s">
        <v>228</v>
      </c>
      <c r="F576">
        <v>749</v>
      </c>
      <c r="T576" t="s">
        <v>97</v>
      </c>
      <c r="V576">
        <v>612.82000000000005</v>
      </c>
      <c r="W576">
        <v>578.77</v>
      </c>
      <c r="Z576">
        <v>749</v>
      </c>
      <c r="AA576" t="s">
        <v>97</v>
      </c>
      <c r="AB576">
        <v>749</v>
      </c>
    </row>
    <row r="577" spans="1:28" x14ac:dyDescent="0.2">
      <c r="A577" t="s">
        <v>92</v>
      </c>
      <c r="B577" t="s">
        <v>1096</v>
      </c>
      <c r="C577" t="s">
        <v>1155</v>
      </c>
      <c r="D577" t="s">
        <v>1156</v>
      </c>
      <c r="E577" t="s">
        <v>96</v>
      </c>
      <c r="F577">
        <v>459</v>
      </c>
      <c r="G577">
        <v>459</v>
      </c>
      <c r="T577" t="s">
        <v>97</v>
      </c>
      <c r="V577">
        <v>354.68</v>
      </c>
      <c r="W577">
        <v>354.68</v>
      </c>
      <c r="X577">
        <v>354.68</v>
      </c>
      <c r="Y577">
        <v>354.68</v>
      </c>
      <c r="Z577">
        <v>459</v>
      </c>
      <c r="AA577" t="s">
        <v>97</v>
      </c>
    </row>
    <row r="578" spans="1:28" x14ac:dyDescent="0.2">
      <c r="A578" t="s">
        <v>92</v>
      </c>
      <c r="B578" t="s">
        <v>1096</v>
      </c>
      <c r="C578" t="s">
        <v>1157</v>
      </c>
      <c r="D578" t="s">
        <v>1158</v>
      </c>
      <c r="E578" t="s">
        <v>228</v>
      </c>
      <c r="F578">
        <v>429</v>
      </c>
      <c r="T578" t="s">
        <v>97</v>
      </c>
      <c r="V578">
        <v>351</v>
      </c>
      <c r="W578">
        <v>331.5</v>
      </c>
      <c r="Z578">
        <v>429</v>
      </c>
      <c r="AA578" t="s">
        <v>97</v>
      </c>
      <c r="AB578">
        <v>429</v>
      </c>
    </row>
    <row r="579" spans="1:28" x14ac:dyDescent="0.2">
      <c r="A579" t="s">
        <v>92</v>
      </c>
      <c r="B579" t="s">
        <v>1096</v>
      </c>
      <c r="C579" t="s">
        <v>1159</v>
      </c>
      <c r="D579" t="s">
        <v>1160</v>
      </c>
      <c r="E579" t="s">
        <v>228</v>
      </c>
      <c r="F579">
        <v>499</v>
      </c>
      <c r="T579" t="s">
        <v>97</v>
      </c>
      <c r="V579">
        <v>408.27</v>
      </c>
      <c r="W579">
        <v>385.59</v>
      </c>
      <c r="Z579">
        <v>499</v>
      </c>
      <c r="AA579" t="s">
        <v>97</v>
      </c>
      <c r="AB579">
        <v>499</v>
      </c>
    </row>
    <row r="580" spans="1:28" x14ac:dyDescent="0.2">
      <c r="A580" t="s">
        <v>92</v>
      </c>
      <c r="B580" t="s">
        <v>1096</v>
      </c>
      <c r="C580" t="s">
        <v>1161</v>
      </c>
      <c r="D580" t="s">
        <v>1162</v>
      </c>
      <c r="E580" t="s">
        <v>228</v>
      </c>
      <c r="F580">
        <v>599</v>
      </c>
      <c r="T580" t="s">
        <v>97</v>
      </c>
      <c r="V580">
        <v>490.09</v>
      </c>
      <c r="W580">
        <v>462.86</v>
      </c>
      <c r="Z580">
        <v>599</v>
      </c>
      <c r="AA580" t="s">
        <v>97</v>
      </c>
      <c r="AB580">
        <v>599</v>
      </c>
    </row>
    <row r="581" spans="1:28" x14ac:dyDescent="0.2">
      <c r="A581" t="s">
        <v>92</v>
      </c>
      <c r="B581" t="s">
        <v>1096</v>
      </c>
      <c r="C581" t="s">
        <v>1163</v>
      </c>
      <c r="D581" t="s">
        <v>1164</v>
      </c>
      <c r="E581" t="s">
        <v>96</v>
      </c>
      <c r="F581">
        <v>599</v>
      </c>
      <c r="G581">
        <v>599</v>
      </c>
      <c r="T581" t="s">
        <v>97</v>
      </c>
      <c r="V581">
        <v>462.86</v>
      </c>
      <c r="W581">
        <v>462.86</v>
      </c>
      <c r="X581">
        <v>462.86</v>
      </c>
      <c r="Y581">
        <v>462.86</v>
      </c>
      <c r="Z581">
        <v>599</v>
      </c>
      <c r="AA581" t="s">
        <v>97</v>
      </c>
    </row>
    <row r="582" spans="1:28" x14ac:dyDescent="0.2">
      <c r="A582" t="s">
        <v>92</v>
      </c>
      <c r="B582" t="s">
        <v>1096</v>
      </c>
      <c r="C582" t="s">
        <v>1165</v>
      </c>
      <c r="D582" t="s">
        <v>1166</v>
      </c>
      <c r="E582" t="s">
        <v>228</v>
      </c>
      <c r="F582">
        <v>599</v>
      </c>
      <c r="T582" t="s">
        <v>97</v>
      </c>
      <c r="V582">
        <v>462.86</v>
      </c>
      <c r="W582">
        <v>462.86</v>
      </c>
      <c r="Z582">
        <v>599</v>
      </c>
      <c r="AA582" t="s">
        <v>97</v>
      </c>
      <c r="AB582">
        <v>599</v>
      </c>
    </row>
    <row r="583" spans="1:28" x14ac:dyDescent="0.2">
      <c r="A583" t="s">
        <v>92</v>
      </c>
      <c r="B583" t="s">
        <v>1096</v>
      </c>
      <c r="C583" t="s">
        <v>1167</v>
      </c>
      <c r="D583" t="s">
        <v>1168</v>
      </c>
      <c r="E583" t="s">
        <v>228</v>
      </c>
      <c r="F583">
        <v>749</v>
      </c>
      <c r="T583" t="s">
        <v>97</v>
      </c>
      <c r="V583">
        <v>578.77</v>
      </c>
      <c r="W583">
        <v>578.77</v>
      </c>
      <c r="Z583">
        <v>749</v>
      </c>
      <c r="AA583" t="s">
        <v>97</v>
      </c>
      <c r="AB583">
        <v>749</v>
      </c>
    </row>
    <row r="584" spans="1:28" x14ac:dyDescent="0.2">
      <c r="A584" t="s">
        <v>92</v>
      </c>
      <c r="B584" t="s">
        <v>1096</v>
      </c>
      <c r="C584" t="s">
        <v>1169</v>
      </c>
      <c r="D584" t="s">
        <v>1170</v>
      </c>
      <c r="E584" t="s">
        <v>228</v>
      </c>
      <c r="F584">
        <v>749</v>
      </c>
      <c r="T584" t="s">
        <v>97</v>
      </c>
      <c r="V584">
        <v>578.77</v>
      </c>
      <c r="W584">
        <v>578.77</v>
      </c>
      <c r="Z584">
        <v>749</v>
      </c>
      <c r="AA584" t="s">
        <v>97</v>
      </c>
      <c r="AB584">
        <v>749</v>
      </c>
    </row>
    <row r="585" spans="1:28" x14ac:dyDescent="0.2">
      <c r="A585" t="s">
        <v>92</v>
      </c>
      <c r="B585" t="s">
        <v>1096</v>
      </c>
      <c r="C585" t="s">
        <v>1171</v>
      </c>
      <c r="D585" t="s">
        <v>1172</v>
      </c>
      <c r="E585" t="s">
        <v>96</v>
      </c>
      <c r="F585">
        <v>799</v>
      </c>
      <c r="G585">
        <v>799</v>
      </c>
      <c r="T585" t="s">
        <v>97</v>
      </c>
      <c r="V585">
        <v>617.41</v>
      </c>
      <c r="W585">
        <v>617.41</v>
      </c>
      <c r="X585">
        <v>617.41</v>
      </c>
      <c r="Y585">
        <v>617.41</v>
      </c>
      <c r="Z585">
        <v>799</v>
      </c>
      <c r="AA585" t="s">
        <v>97</v>
      </c>
    </row>
    <row r="586" spans="1:28" x14ac:dyDescent="0.2">
      <c r="A586" t="s">
        <v>92</v>
      </c>
      <c r="B586" t="s">
        <v>1096</v>
      </c>
      <c r="C586" t="s">
        <v>1173</v>
      </c>
      <c r="D586" t="s">
        <v>1174</v>
      </c>
      <c r="E586" t="s">
        <v>228</v>
      </c>
      <c r="F586">
        <v>749</v>
      </c>
      <c r="T586" t="s">
        <v>97</v>
      </c>
      <c r="V586">
        <v>578.77</v>
      </c>
      <c r="W586">
        <v>578.77</v>
      </c>
      <c r="Z586">
        <v>749</v>
      </c>
      <c r="AA586" t="s">
        <v>97</v>
      </c>
      <c r="AB586">
        <v>749</v>
      </c>
    </row>
    <row r="587" spans="1:28" x14ac:dyDescent="0.2">
      <c r="A587" t="s">
        <v>92</v>
      </c>
      <c r="B587" t="s">
        <v>1096</v>
      </c>
      <c r="C587" t="s">
        <v>1175</v>
      </c>
      <c r="D587" t="s">
        <v>1176</v>
      </c>
      <c r="E587" t="s">
        <v>228</v>
      </c>
      <c r="F587">
        <v>879</v>
      </c>
      <c r="T587" t="s">
        <v>97</v>
      </c>
      <c r="V587">
        <v>679.23</v>
      </c>
      <c r="W587">
        <v>679.23</v>
      </c>
      <c r="Z587">
        <v>879</v>
      </c>
      <c r="AA587" t="s">
        <v>97</v>
      </c>
      <c r="AB587">
        <v>879</v>
      </c>
    </row>
    <row r="588" spans="1:28" x14ac:dyDescent="0.2">
      <c r="A588" t="s">
        <v>92</v>
      </c>
      <c r="B588" t="s">
        <v>1096</v>
      </c>
      <c r="C588" t="s">
        <v>1177</v>
      </c>
      <c r="D588" t="s">
        <v>1178</v>
      </c>
      <c r="E588" t="s">
        <v>228</v>
      </c>
      <c r="F588">
        <v>879</v>
      </c>
      <c r="T588" t="s">
        <v>97</v>
      </c>
      <c r="V588">
        <v>679.23</v>
      </c>
      <c r="W588">
        <v>679.23</v>
      </c>
      <c r="Z588">
        <v>879</v>
      </c>
      <c r="AA588" t="s">
        <v>97</v>
      </c>
      <c r="AB588">
        <v>879</v>
      </c>
    </row>
    <row r="589" spans="1:28" x14ac:dyDescent="0.2">
      <c r="A589" t="s">
        <v>92</v>
      </c>
      <c r="B589" t="s">
        <v>1096</v>
      </c>
      <c r="C589" t="s">
        <v>1179</v>
      </c>
      <c r="D589" t="s">
        <v>1180</v>
      </c>
      <c r="E589" t="s">
        <v>228</v>
      </c>
      <c r="F589">
        <v>1849</v>
      </c>
      <c r="T589" t="s">
        <v>97</v>
      </c>
      <c r="V589">
        <v>1428.77</v>
      </c>
      <c r="W589">
        <v>1428.77</v>
      </c>
      <c r="Z589">
        <v>1849</v>
      </c>
      <c r="AA589" t="s">
        <v>97</v>
      </c>
      <c r="AB589">
        <v>1849</v>
      </c>
    </row>
    <row r="590" spans="1:28" x14ac:dyDescent="0.2">
      <c r="A590" t="s">
        <v>92</v>
      </c>
      <c r="B590" t="s">
        <v>1096</v>
      </c>
      <c r="C590" t="s">
        <v>1181</v>
      </c>
      <c r="D590" t="s">
        <v>1182</v>
      </c>
      <c r="E590" t="s">
        <v>228</v>
      </c>
      <c r="F590">
        <v>1549</v>
      </c>
      <c r="T590" t="s">
        <v>97</v>
      </c>
      <c r="W590">
        <v>1196.95</v>
      </c>
      <c r="AA590" t="s">
        <v>97</v>
      </c>
    </row>
    <row r="591" spans="1:28" x14ac:dyDescent="0.2">
      <c r="A591" t="s">
        <v>92</v>
      </c>
      <c r="B591" t="s">
        <v>1096</v>
      </c>
      <c r="C591" t="s">
        <v>1183</v>
      </c>
      <c r="D591" t="s">
        <v>1184</v>
      </c>
      <c r="E591" t="s">
        <v>96</v>
      </c>
      <c r="F591">
        <v>1849</v>
      </c>
      <c r="G591">
        <v>1849</v>
      </c>
      <c r="T591" t="s">
        <v>97</v>
      </c>
      <c r="V591">
        <v>1428.77</v>
      </c>
      <c r="W591">
        <v>1428.77</v>
      </c>
      <c r="X591">
        <v>1428.77</v>
      </c>
      <c r="Y591">
        <v>1428.77</v>
      </c>
      <c r="Z591">
        <v>1849</v>
      </c>
      <c r="AA591" t="s">
        <v>97</v>
      </c>
      <c r="AB591">
        <v>1849</v>
      </c>
    </row>
    <row r="592" spans="1:28" x14ac:dyDescent="0.2">
      <c r="A592" t="s">
        <v>92</v>
      </c>
      <c r="B592" t="s">
        <v>1096</v>
      </c>
      <c r="C592" t="s">
        <v>1185</v>
      </c>
      <c r="D592" t="s">
        <v>1186</v>
      </c>
      <c r="E592" t="s">
        <v>96</v>
      </c>
      <c r="F592">
        <v>1699</v>
      </c>
      <c r="G592">
        <v>1699</v>
      </c>
      <c r="T592" t="s">
        <v>97</v>
      </c>
      <c r="V592">
        <v>1312.86</v>
      </c>
      <c r="W592">
        <v>1312.86</v>
      </c>
      <c r="X592">
        <v>1312.86</v>
      </c>
      <c r="Y592">
        <v>1312.86</v>
      </c>
      <c r="Z592">
        <v>1699</v>
      </c>
      <c r="AA592" t="s">
        <v>97</v>
      </c>
      <c r="AB592">
        <v>1699</v>
      </c>
    </row>
    <row r="593" spans="1:28" x14ac:dyDescent="0.2">
      <c r="A593" t="s">
        <v>92</v>
      </c>
      <c r="B593" t="s">
        <v>1096</v>
      </c>
      <c r="C593" t="s">
        <v>1187</v>
      </c>
      <c r="D593" t="s">
        <v>1188</v>
      </c>
      <c r="E593" t="s">
        <v>96</v>
      </c>
      <c r="F593">
        <v>1699</v>
      </c>
      <c r="G593">
        <v>1699</v>
      </c>
      <c r="T593" t="s">
        <v>97</v>
      </c>
      <c r="V593">
        <v>1312.86</v>
      </c>
      <c r="W593">
        <v>1312.86</v>
      </c>
      <c r="X593">
        <v>1312.86</v>
      </c>
      <c r="Y593">
        <v>1312.86</v>
      </c>
      <c r="Z593">
        <v>1699</v>
      </c>
      <c r="AA593" t="s">
        <v>97</v>
      </c>
      <c r="AB593">
        <v>1699</v>
      </c>
    </row>
    <row r="594" spans="1:28" x14ac:dyDescent="0.2">
      <c r="A594" t="s">
        <v>92</v>
      </c>
      <c r="B594" t="s">
        <v>1096</v>
      </c>
      <c r="C594" t="s">
        <v>1189</v>
      </c>
      <c r="D594" t="s">
        <v>1190</v>
      </c>
      <c r="E594" t="s">
        <v>96</v>
      </c>
      <c r="F594">
        <v>1549</v>
      </c>
      <c r="G594">
        <v>1549</v>
      </c>
      <c r="T594" t="s">
        <v>97</v>
      </c>
      <c r="V594">
        <v>1196.95</v>
      </c>
      <c r="W594">
        <v>1196.95</v>
      </c>
      <c r="X594">
        <v>1196.95</v>
      </c>
      <c r="Y594">
        <v>1196.95</v>
      </c>
      <c r="Z594">
        <v>1549</v>
      </c>
      <c r="AA594" t="s">
        <v>97</v>
      </c>
      <c r="AB594">
        <v>1549</v>
      </c>
    </row>
    <row r="595" spans="1:28" x14ac:dyDescent="0.2">
      <c r="A595" t="s">
        <v>92</v>
      </c>
      <c r="B595" t="s">
        <v>1096</v>
      </c>
      <c r="C595" t="s">
        <v>1191</v>
      </c>
      <c r="D595" t="s">
        <v>1192</v>
      </c>
      <c r="E595" t="s">
        <v>228</v>
      </c>
      <c r="F595">
        <v>1529</v>
      </c>
      <c r="T595" t="s">
        <v>97</v>
      </c>
      <c r="V595">
        <v>1251</v>
      </c>
      <c r="W595">
        <v>1181.5</v>
      </c>
      <c r="Z595">
        <v>1529</v>
      </c>
      <c r="AA595" t="s">
        <v>97</v>
      </c>
      <c r="AB595">
        <v>1529</v>
      </c>
    </row>
    <row r="596" spans="1:28" x14ac:dyDescent="0.2">
      <c r="A596" t="s">
        <v>92</v>
      </c>
      <c r="B596" t="s">
        <v>1096</v>
      </c>
      <c r="C596" t="s">
        <v>1193</v>
      </c>
      <c r="D596" t="s">
        <v>1194</v>
      </c>
      <c r="E596" t="s">
        <v>228</v>
      </c>
      <c r="F596">
        <v>1699</v>
      </c>
      <c r="T596" t="s">
        <v>97</v>
      </c>
      <c r="V596">
        <v>1390.09</v>
      </c>
      <c r="W596">
        <v>1312.86</v>
      </c>
      <c r="Z596">
        <v>1699</v>
      </c>
      <c r="AA596" t="s">
        <v>97</v>
      </c>
      <c r="AB596">
        <v>1499</v>
      </c>
    </row>
    <row r="597" spans="1:28" x14ac:dyDescent="0.2">
      <c r="A597" t="s">
        <v>92</v>
      </c>
      <c r="B597" t="s">
        <v>1096</v>
      </c>
      <c r="C597" t="s">
        <v>1195</v>
      </c>
      <c r="D597" t="s">
        <v>1196</v>
      </c>
      <c r="E597" t="s">
        <v>228</v>
      </c>
      <c r="F597">
        <v>1699</v>
      </c>
      <c r="T597" t="s">
        <v>97</v>
      </c>
      <c r="V597">
        <v>1390.09</v>
      </c>
      <c r="W597">
        <v>1312.86</v>
      </c>
      <c r="Z597">
        <v>1699</v>
      </c>
      <c r="AA597" t="s">
        <v>97</v>
      </c>
      <c r="AB597">
        <v>1699</v>
      </c>
    </row>
    <row r="598" spans="1:28" x14ac:dyDescent="0.2">
      <c r="A598" t="s">
        <v>92</v>
      </c>
      <c r="B598" t="s">
        <v>1096</v>
      </c>
      <c r="C598" t="s">
        <v>1197</v>
      </c>
      <c r="D598" t="s">
        <v>1198</v>
      </c>
      <c r="E598" t="s">
        <v>228</v>
      </c>
      <c r="F598">
        <v>1999</v>
      </c>
      <c r="T598" t="s">
        <v>97</v>
      </c>
      <c r="V598">
        <v>1635.55</v>
      </c>
      <c r="W598">
        <v>1544.68</v>
      </c>
      <c r="Z598">
        <v>1999</v>
      </c>
      <c r="AA598" t="s">
        <v>97</v>
      </c>
      <c r="AB598">
        <v>1999</v>
      </c>
    </row>
    <row r="599" spans="1:28" x14ac:dyDescent="0.2">
      <c r="A599" t="s">
        <v>92</v>
      </c>
      <c r="B599" t="s">
        <v>1096</v>
      </c>
      <c r="C599" t="s">
        <v>1199</v>
      </c>
      <c r="D599" t="s">
        <v>1200</v>
      </c>
      <c r="E599" t="s">
        <v>228</v>
      </c>
      <c r="F599">
        <v>1529</v>
      </c>
      <c r="T599" t="s">
        <v>97</v>
      </c>
      <c r="V599">
        <v>1251</v>
      </c>
      <c r="W599">
        <v>1181.5</v>
      </c>
      <c r="Z599">
        <v>1529</v>
      </c>
      <c r="AA599" t="s">
        <v>97</v>
      </c>
      <c r="AB599">
        <v>1529</v>
      </c>
    </row>
    <row r="600" spans="1:28" x14ac:dyDescent="0.2">
      <c r="A600" t="s">
        <v>92</v>
      </c>
      <c r="B600" t="s">
        <v>1096</v>
      </c>
      <c r="C600" t="s">
        <v>1201</v>
      </c>
      <c r="D600" t="s">
        <v>1202</v>
      </c>
      <c r="E600" t="s">
        <v>228</v>
      </c>
      <c r="F600">
        <v>1699</v>
      </c>
      <c r="T600" t="s">
        <v>97</v>
      </c>
      <c r="V600">
        <v>1390.09</v>
      </c>
      <c r="W600">
        <v>1312.86</v>
      </c>
      <c r="Z600">
        <v>1699</v>
      </c>
      <c r="AA600" t="s">
        <v>97</v>
      </c>
      <c r="AB600">
        <v>1699</v>
      </c>
    </row>
    <row r="601" spans="1:28" x14ac:dyDescent="0.2">
      <c r="A601" t="s">
        <v>92</v>
      </c>
      <c r="B601" t="s">
        <v>1096</v>
      </c>
      <c r="C601" t="s">
        <v>1203</v>
      </c>
      <c r="D601" t="s">
        <v>1204</v>
      </c>
      <c r="E601" t="s">
        <v>228</v>
      </c>
      <c r="F601">
        <v>1999</v>
      </c>
      <c r="T601" t="s">
        <v>97</v>
      </c>
      <c r="V601">
        <v>1635.55</v>
      </c>
      <c r="W601">
        <v>1544.68</v>
      </c>
      <c r="Z601">
        <v>1999</v>
      </c>
      <c r="AA601" t="s">
        <v>97</v>
      </c>
      <c r="AB601">
        <v>1999</v>
      </c>
    </row>
    <row r="602" spans="1:28" x14ac:dyDescent="0.2">
      <c r="A602" t="s">
        <v>92</v>
      </c>
      <c r="B602" t="s">
        <v>1096</v>
      </c>
      <c r="C602" t="s">
        <v>1205</v>
      </c>
      <c r="D602" t="s">
        <v>1206</v>
      </c>
      <c r="E602" t="s">
        <v>228</v>
      </c>
      <c r="F602">
        <v>1699</v>
      </c>
      <c r="T602" t="s">
        <v>97</v>
      </c>
      <c r="V602">
        <v>1390.09</v>
      </c>
      <c r="W602">
        <v>1312.86</v>
      </c>
      <c r="Z602">
        <v>1699</v>
      </c>
      <c r="AA602" t="s">
        <v>97</v>
      </c>
      <c r="AB602">
        <v>1699</v>
      </c>
    </row>
    <row r="603" spans="1:28" x14ac:dyDescent="0.2">
      <c r="A603" t="s">
        <v>92</v>
      </c>
      <c r="B603" t="s">
        <v>1096</v>
      </c>
      <c r="C603" t="s">
        <v>1207</v>
      </c>
      <c r="D603" t="s">
        <v>1208</v>
      </c>
      <c r="E603" t="s">
        <v>228</v>
      </c>
      <c r="F603">
        <v>1699</v>
      </c>
      <c r="T603" t="s">
        <v>97</v>
      </c>
      <c r="V603">
        <v>1390.09</v>
      </c>
      <c r="W603">
        <v>1312.86</v>
      </c>
      <c r="Z603">
        <v>1699</v>
      </c>
      <c r="AA603" t="s">
        <v>97</v>
      </c>
      <c r="AB603">
        <v>1699</v>
      </c>
    </row>
    <row r="604" spans="1:28" x14ac:dyDescent="0.2">
      <c r="A604" t="s">
        <v>92</v>
      </c>
      <c r="B604" t="s">
        <v>1096</v>
      </c>
      <c r="C604" t="s">
        <v>1209</v>
      </c>
      <c r="D604" t="s">
        <v>1210</v>
      </c>
      <c r="E604" t="s">
        <v>228</v>
      </c>
      <c r="F604">
        <v>1849</v>
      </c>
      <c r="T604" t="s">
        <v>97</v>
      </c>
      <c r="V604">
        <v>1512.82</v>
      </c>
      <c r="W604">
        <v>1428.77</v>
      </c>
      <c r="Z604">
        <v>1849</v>
      </c>
      <c r="AA604" t="s">
        <v>97</v>
      </c>
      <c r="AB604">
        <v>1849</v>
      </c>
    </row>
    <row r="605" spans="1:28" x14ac:dyDescent="0.2">
      <c r="A605" t="s">
        <v>92</v>
      </c>
      <c r="B605" t="s">
        <v>1096</v>
      </c>
      <c r="C605" t="s">
        <v>1211</v>
      </c>
      <c r="D605" t="s">
        <v>1212</v>
      </c>
      <c r="E605" t="s">
        <v>228</v>
      </c>
      <c r="F605">
        <v>2199</v>
      </c>
      <c r="T605" t="s">
        <v>97</v>
      </c>
      <c r="V605">
        <v>1799.18</v>
      </c>
      <c r="W605">
        <v>1699.23</v>
      </c>
      <c r="Z605">
        <v>2199</v>
      </c>
      <c r="AA605" t="s">
        <v>97</v>
      </c>
      <c r="AB605">
        <v>2199</v>
      </c>
    </row>
    <row r="606" spans="1:28" x14ac:dyDescent="0.2">
      <c r="A606" t="s">
        <v>92</v>
      </c>
      <c r="B606" t="s">
        <v>1096</v>
      </c>
      <c r="C606" t="s">
        <v>1213</v>
      </c>
      <c r="D606" t="s">
        <v>1214</v>
      </c>
      <c r="E606" t="s">
        <v>228</v>
      </c>
      <c r="F606">
        <v>1849</v>
      </c>
      <c r="T606" t="s">
        <v>97</v>
      </c>
      <c r="V606">
        <v>1512.82</v>
      </c>
      <c r="W606">
        <v>1428.77</v>
      </c>
      <c r="Z606">
        <v>1849</v>
      </c>
      <c r="AA606" t="s">
        <v>97</v>
      </c>
      <c r="AB606">
        <v>1849</v>
      </c>
    </row>
    <row r="607" spans="1:28" x14ac:dyDescent="0.2">
      <c r="A607" t="s">
        <v>92</v>
      </c>
      <c r="B607" t="s">
        <v>1096</v>
      </c>
      <c r="C607" t="s">
        <v>1215</v>
      </c>
      <c r="D607" t="s">
        <v>1216</v>
      </c>
      <c r="E607" t="s">
        <v>228</v>
      </c>
      <c r="F607">
        <v>249</v>
      </c>
      <c r="T607" t="s">
        <v>97</v>
      </c>
      <c r="V607">
        <v>192.41</v>
      </c>
      <c r="W607">
        <v>192.41</v>
      </c>
      <c r="Z607">
        <v>249</v>
      </c>
      <c r="AA607" t="s">
        <v>97</v>
      </c>
      <c r="AB607">
        <v>249</v>
      </c>
    </row>
    <row r="608" spans="1:28" x14ac:dyDescent="0.2">
      <c r="A608" t="s">
        <v>92</v>
      </c>
      <c r="B608" t="s">
        <v>1096</v>
      </c>
      <c r="C608" t="s">
        <v>1217</v>
      </c>
      <c r="D608" t="s">
        <v>1218</v>
      </c>
      <c r="E608" t="s">
        <v>228</v>
      </c>
      <c r="F608">
        <v>449</v>
      </c>
      <c r="T608" t="s">
        <v>97</v>
      </c>
      <c r="V608">
        <v>367.36</v>
      </c>
      <c r="W608">
        <v>346.95</v>
      </c>
      <c r="Z608">
        <v>449</v>
      </c>
      <c r="AA608" t="s">
        <v>97</v>
      </c>
      <c r="AB608">
        <v>449</v>
      </c>
    </row>
    <row r="609" spans="1:28" x14ac:dyDescent="0.2">
      <c r="A609" t="s">
        <v>92</v>
      </c>
      <c r="B609" t="s">
        <v>1096</v>
      </c>
      <c r="C609" t="s">
        <v>1219</v>
      </c>
      <c r="D609" t="s">
        <v>1220</v>
      </c>
      <c r="E609" t="s">
        <v>228</v>
      </c>
      <c r="F609">
        <v>799</v>
      </c>
      <c r="T609" t="s">
        <v>97</v>
      </c>
      <c r="W609">
        <v>617.41</v>
      </c>
      <c r="AA609" t="s">
        <v>97</v>
      </c>
      <c r="AB609">
        <v>799</v>
      </c>
    </row>
    <row r="610" spans="1:28" x14ac:dyDescent="0.2">
      <c r="A610" t="s">
        <v>92</v>
      </c>
      <c r="B610" t="s">
        <v>1096</v>
      </c>
      <c r="C610" t="s">
        <v>1221</v>
      </c>
      <c r="D610" t="s">
        <v>1222</v>
      </c>
      <c r="E610" t="s">
        <v>96</v>
      </c>
      <c r="F610">
        <v>1199</v>
      </c>
      <c r="G610">
        <v>1199</v>
      </c>
      <c r="T610" t="s">
        <v>97</v>
      </c>
      <c r="V610">
        <v>926.5</v>
      </c>
      <c r="W610">
        <v>926.5</v>
      </c>
      <c r="X610">
        <v>926.5</v>
      </c>
      <c r="Y610">
        <v>926.5</v>
      </c>
      <c r="Z610">
        <v>1199</v>
      </c>
      <c r="AA610" t="s">
        <v>97</v>
      </c>
      <c r="AB610">
        <v>1199</v>
      </c>
    </row>
    <row r="611" spans="1:28" x14ac:dyDescent="0.2">
      <c r="A611" t="s">
        <v>92</v>
      </c>
      <c r="B611" t="s">
        <v>1096</v>
      </c>
      <c r="C611" t="s">
        <v>1223</v>
      </c>
      <c r="D611" t="s">
        <v>1224</v>
      </c>
      <c r="E611" t="s">
        <v>96</v>
      </c>
      <c r="F611">
        <v>1529</v>
      </c>
      <c r="T611" t="s">
        <v>97</v>
      </c>
      <c r="V611">
        <v>1251</v>
      </c>
      <c r="W611">
        <v>1181.5</v>
      </c>
      <c r="Z611">
        <v>1529</v>
      </c>
      <c r="AA611" t="s">
        <v>97</v>
      </c>
      <c r="AB611">
        <v>1529</v>
      </c>
    </row>
    <row r="612" spans="1:28" x14ac:dyDescent="0.2">
      <c r="A612" t="s">
        <v>92</v>
      </c>
      <c r="B612" t="s">
        <v>1096</v>
      </c>
      <c r="C612" t="s">
        <v>1225</v>
      </c>
      <c r="D612" t="s">
        <v>1226</v>
      </c>
      <c r="E612" t="s">
        <v>228</v>
      </c>
      <c r="F612">
        <v>1699</v>
      </c>
      <c r="T612" t="s">
        <v>97</v>
      </c>
      <c r="V612">
        <v>1390.09</v>
      </c>
      <c r="W612">
        <v>1312.86</v>
      </c>
      <c r="X612">
        <v>0</v>
      </c>
      <c r="Y612">
        <v>0</v>
      </c>
      <c r="Z612">
        <v>1699</v>
      </c>
      <c r="AA612" t="s">
        <v>97</v>
      </c>
      <c r="AB612">
        <v>1699</v>
      </c>
    </row>
    <row r="613" spans="1:28" x14ac:dyDescent="0.2">
      <c r="A613" t="s">
        <v>92</v>
      </c>
      <c r="B613" t="s">
        <v>1096</v>
      </c>
      <c r="C613" t="s">
        <v>1227</v>
      </c>
      <c r="D613" t="s">
        <v>1228</v>
      </c>
      <c r="E613" t="s">
        <v>96</v>
      </c>
      <c r="F613">
        <v>1529</v>
      </c>
      <c r="T613" t="s">
        <v>97</v>
      </c>
      <c r="V613">
        <v>1251</v>
      </c>
      <c r="W613">
        <v>1181.5</v>
      </c>
      <c r="Z613">
        <v>1529</v>
      </c>
      <c r="AA613" t="s">
        <v>97</v>
      </c>
      <c r="AB613">
        <v>1529</v>
      </c>
    </row>
    <row r="614" spans="1:28" x14ac:dyDescent="0.2">
      <c r="A614" t="s">
        <v>92</v>
      </c>
      <c r="B614" t="s">
        <v>1096</v>
      </c>
      <c r="C614" t="s">
        <v>1229</v>
      </c>
      <c r="D614" t="s">
        <v>1230</v>
      </c>
      <c r="E614" t="s">
        <v>96</v>
      </c>
      <c r="F614">
        <v>1349</v>
      </c>
      <c r="T614" t="s">
        <v>97</v>
      </c>
      <c r="V614">
        <v>1103.73</v>
      </c>
      <c r="W614">
        <v>1042.4100000000001</v>
      </c>
      <c r="Z614">
        <v>1349</v>
      </c>
      <c r="AA614" t="s">
        <v>97</v>
      </c>
      <c r="AB614">
        <v>1349</v>
      </c>
    </row>
    <row r="615" spans="1:28" x14ac:dyDescent="0.2">
      <c r="A615" t="s">
        <v>92</v>
      </c>
      <c r="B615" t="s">
        <v>1096</v>
      </c>
      <c r="C615" t="s">
        <v>1231</v>
      </c>
      <c r="D615" t="s">
        <v>1232</v>
      </c>
      <c r="E615" t="s">
        <v>96</v>
      </c>
      <c r="F615">
        <v>1399</v>
      </c>
      <c r="G615">
        <v>1549</v>
      </c>
      <c r="T615" t="s">
        <v>97</v>
      </c>
      <c r="V615">
        <v>1196.95</v>
      </c>
      <c r="W615">
        <v>1196.95</v>
      </c>
      <c r="X615">
        <v>1196.95</v>
      </c>
      <c r="Y615">
        <v>1196.95</v>
      </c>
      <c r="Z615">
        <v>1549</v>
      </c>
      <c r="AA615" t="s">
        <v>97</v>
      </c>
    </row>
    <row r="616" spans="1:28" x14ac:dyDescent="0.2">
      <c r="A616" t="s">
        <v>92</v>
      </c>
      <c r="B616" t="s">
        <v>1096</v>
      </c>
      <c r="C616" t="s">
        <v>1233</v>
      </c>
      <c r="D616" t="s">
        <v>1234</v>
      </c>
      <c r="E616" t="s">
        <v>96</v>
      </c>
      <c r="F616">
        <v>1549</v>
      </c>
      <c r="G616">
        <v>1549</v>
      </c>
      <c r="T616" t="s">
        <v>97</v>
      </c>
      <c r="V616">
        <v>1196.95</v>
      </c>
      <c r="W616">
        <v>1196.95</v>
      </c>
      <c r="X616">
        <v>1196.95</v>
      </c>
      <c r="Y616">
        <v>1196.95</v>
      </c>
      <c r="Z616">
        <v>1549</v>
      </c>
      <c r="AA616" t="s">
        <v>97</v>
      </c>
    </row>
    <row r="617" spans="1:28" x14ac:dyDescent="0.2">
      <c r="A617" t="s">
        <v>92</v>
      </c>
      <c r="B617" t="s">
        <v>1096</v>
      </c>
      <c r="C617" t="s">
        <v>1235</v>
      </c>
      <c r="D617" t="s">
        <v>1236</v>
      </c>
      <c r="E617" t="s">
        <v>96</v>
      </c>
      <c r="F617">
        <v>1549</v>
      </c>
      <c r="G617">
        <v>1549</v>
      </c>
      <c r="T617" t="s">
        <v>97</v>
      </c>
      <c r="V617">
        <v>1196.95</v>
      </c>
      <c r="W617">
        <v>1196.95</v>
      </c>
      <c r="X617">
        <v>0</v>
      </c>
      <c r="Y617">
        <v>0</v>
      </c>
      <c r="Z617">
        <v>1549</v>
      </c>
      <c r="AA617" t="s">
        <v>97</v>
      </c>
      <c r="AB617">
        <v>1549</v>
      </c>
    </row>
    <row r="618" spans="1:28" x14ac:dyDescent="0.2">
      <c r="A618" t="s">
        <v>92</v>
      </c>
      <c r="B618" t="s">
        <v>1096</v>
      </c>
      <c r="C618" t="s">
        <v>1237</v>
      </c>
      <c r="D618" t="s">
        <v>1238</v>
      </c>
      <c r="E618" t="s">
        <v>96</v>
      </c>
      <c r="F618">
        <v>1349</v>
      </c>
      <c r="G618">
        <v>1349</v>
      </c>
      <c r="T618" t="s">
        <v>97</v>
      </c>
      <c r="V618">
        <v>1042.4100000000001</v>
      </c>
      <c r="W618">
        <v>1042.4100000000001</v>
      </c>
      <c r="X618">
        <v>1042.4100000000001</v>
      </c>
      <c r="Y618">
        <v>1042.4100000000001</v>
      </c>
      <c r="Z618">
        <v>1349</v>
      </c>
      <c r="AA618" t="s">
        <v>97</v>
      </c>
    </row>
    <row r="619" spans="1:28" x14ac:dyDescent="0.2">
      <c r="A619" t="s">
        <v>92</v>
      </c>
      <c r="B619" t="s">
        <v>1096</v>
      </c>
      <c r="C619" t="s">
        <v>1239</v>
      </c>
      <c r="D619" t="s">
        <v>1240</v>
      </c>
      <c r="E619" t="s">
        <v>96</v>
      </c>
      <c r="F619">
        <v>1199</v>
      </c>
      <c r="G619">
        <v>1199</v>
      </c>
      <c r="T619" t="s">
        <v>97</v>
      </c>
      <c r="V619">
        <v>926.5</v>
      </c>
      <c r="W619">
        <v>926.5</v>
      </c>
      <c r="X619">
        <v>926.5</v>
      </c>
      <c r="Y619">
        <v>926.5</v>
      </c>
      <c r="Z619">
        <v>1199</v>
      </c>
      <c r="AA619" t="s">
        <v>97</v>
      </c>
      <c r="AB619">
        <v>1199</v>
      </c>
    </row>
    <row r="620" spans="1:28" x14ac:dyDescent="0.2">
      <c r="A620" t="s">
        <v>92</v>
      </c>
      <c r="B620" t="s">
        <v>1096</v>
      </c>
      <c r="C620" t="s">
        <v>1241</v>
      </c>
      <c r="D620" t="s">
        <v>1242</v>
      </c>
      <c r="E620" t="s">
        <v>96</v>
      </c>
      <c r="F620">
        <v>1199</v>
      </c>
      <c r="G620">
        <v>1199</v>
      </c>
      <c r="T620" t="s">
        <v>97</v>
      </c>
      <c r="V620">
        <v>926.5</v>
      </c>
      <c r="W620">
        <v>926.5</v>
      </c>
      <c r="X620">
        <v>926.5</v>
      </c>
      <c r="Y620">
        <v>926.5</v>
      </c>
      <c r="Z620">
        <v>1199</v>
      </c>
      <c r="AA620" t="s">
        <v>97</v>
      </c>
      <c r="AB620">
        <v>1199</v>
      </c>
    </row>
    <row r="621" spans="1:28" x14ac:dyDescent="0.2">
      <c r="A621" t="s">
        <v>92</v>
      </c>
      <c r="B621" t="s">
        <v>1096</v>
      </c>
      <c r="C621" t="s">
        <v>1243</v>
      </c>
      <c r="D621" t="s">
        <v>1244</v>
      </c>
      <c r="E621" t="s">
        <v>96</v>
      </c>
      <c r="F621">
        <v>1529</v>
      </c>
      <c r="T621" t="s">
        <v>97</v>
      </c>
      <c r="V621">
        <v>1251</v>
      </c>
      <c r="W621">
        <v>1181.5</v>
      </c>
      <c r="Z621">
        <v>1529</v>
      </c>
      <c r="AA621" t="s">
        <v>97</v>
      </c>
      <c r="AB621">
        <v>1529</v>
      </c>
    </row>
    <row r="622" spans="1:28" x14ac:dyDescent="0.2">
      <c r="A622" t="s">
        <v>92</v>
      </c>
      <c r="B622" t="s">
        <v>1096</v>
      </c>
      <c r="C622" t="s">
        <v>1245</v>
      </c>
      <c r="D622" t="s">
        <v>1246</v>
      </c>
      <c r="E622" t="s">
        <v>228</v>
      </c>
      <c r="F622">
        <v>1699</v>
      </c>
      <c r="T622" t="s">
        <v>97</v>
      </c>
      <c r="V622">
        <v>1390.09</v>
      </c>
      <c r="W622">
        <v>1312.86</v>
      </c>
      <c r="Z622">
        <v>1699</v>
      </c>
      <c r="AA622" t="s">
        <v>97</v>
      </c>
      <c r="AB622">
        <v>1699</v>
      </c>
    </row>
    <row r="623" spans="1:28" x14ac:dyDescent="0.2">
      <c r="A623" t="s">
        <v>92</v>
      </c>
      <c r="B623" t="s">
        <v>1096</v>
      </c>
      <c r="C623" t="s">
        <v>1247</v>
      </c>
      <c r="D623" t="s">
        <v>1248</v>
      </c>
      <c r="E623" t="s">
        <v>96</v>
      </c>
      <c r="F623">
        <v>1349</v>
      </c>
      <c r="T623" t="s">
        <v>97</v>
      </c>
      <c r="V623">
        <v>1103.73</v>
      </c>
      <c r="W623">
        <v>1042.4100000000001</v>
      </c>
      <c r="Z623">
        <v>1349</v>
      </c>
      <c r="AA623" t="s">
        <v>97</v>
      </c>
      <c r="AB623">
        <v>1349</v>
      </c>
    </row>
    <row r="624" spans="1:28" x14ac:dyDescent="0.2">
      <c r="A624" t="s">
        <v>92</v>
      </c>
      <c r="B624" t="s">
        <v>1096</v>
      </c>
      <c r="C624" t="s">
        <v>1249</v>
      </c>
      <c r="D624" t="s">
        <v>1250</v>
      </c>
      <c r="E624" t="s">
        <v>96</v>
      </c>
      <c r="F624">
        <v>1549</v>
      </c>
      <c r="G624">
        <v>1549</v>
      </c>
      <c r="T624" t="s">
        <v>97</v>
      </c>
      <c r="V624">
        <v>1196.95</v>
      </c>
      <c r="W624">
        <v>1196.95</v>
      </c>
      <c r="X624">
        <v>0</v>
      </c>
      <c r="Y624">
        <v>0</v>
      </c>
      <c r="Z624">
        <v>1549</v>
      </c>
      <c r="AA624" t="s">
        <v>97</v>
      </c>
      <c r="AB624">
        <v>1549</v>
      </c>
    </row>
    <row r="625" spans="1:28" x14ac:dyDescent="0.2">
      <c r="A625" t="s">
        <v>92</v>
      </c>
      <c r="B625" t="s">
        <v>1096</v>
      </c>
      <c r="C625" t="s">
        <v>1251</v>
      </c>
      <c r="D625" t="s">
        <v>1252</v>
      </c>
      <c r="E625" t="s">
        <v>96</v>
      </c>
      <c r="F625">
        <v>1549</v>
      </c>
      <c r="G625">
        <v>1549</v>
      </c>
      <c r="T625" t="s">
        <v>97</v>
      </c>
      <c r="V625">
        <v>1196.95</v>
      </c>
      <c r="W625">
        <v>1196.95</v>
      </c>
      <c r="X625">
        <v>0</v>
      </c>
      <c r="Y625">
        <v>0</v>
      </c>
      <c r="Z625">
        <v>1549</v>
      </c>
      <c r="AA625" t="s">
        <v>97</v>
      </c>
      <c r="AB625">
        <v>1549</v>
      </c>
    </row>
    <row r="626" spans="1:28" x14ac:dyDescent="0.2">
      <c r="A626" t="s">
        <v>92</v>
      </c>
      <c r="B626" t="s">
        <v>1096</v>
      </c>
      <c r="C626" t="s">
        <v>1253</v>
      </c>
      <c r="D626" t="s">
        <v>1254</v>
      </c>
      <c r="E626" t="s">
        <v>96</v>
      </c>
      <c r="F626">
        <v>1549</v>
      </c>
      <c r="G626">
        <v>1549</v>
      </c>
      <c r="T626" t="s">
        <v>97</v>
      </c>
      <c r="V626">
        <v>1196.95</v>
      </c>
      <c r="W626">
        <v>1196.95</v>
      </c>
      <c r="X626">
        <v>1196.95</v>
      </c>
      <c r="Y626">
        <v>1196.95</v>
      </c>
      <c r="Z626">
        <v>1549</v>
      </c>
      <c r="AA626" t="s">
        <v>97</v>
      </c>
    </row>
    <row r="627" spans="1:28" x14ac:dyDescent="0.2">
      <c r="A627" t="s">
        <v>92</v>
      </c>
      <c r="B627" t="s">
        <v>1096</v>
      </c>
      <c r="C627" t="s">
        <v>1255</v>
      </c>
      <c r="D627" t="s">
        <v>1256</v>
      </c>
      <c r="E627" t="s">
        <v>96</v>
      </c>
      <c r="F627">
        <v>1349</v>
      </c>
      <c r="G627">
        <v>1349</v>
      </c>
      <c r="T627" t="s">
        <v>97</v>
      </c>
      <c r="V627">
        <v>1042.4100000000001</v>
      </c>
      <c r="W627">
        <v>1042.4100000000001</v>
      </c>
      <c r="X627">
        <v>1042.4100000000001</v>
      </c>
      <c r="Y627">
        <v>1042.4100000000001</v>
      </c>
      <c r="Z627">
        <v>1349</v>
      </c>
      <c r="AA627" t="s">
        <v>97</v>
      </c>
      <c r="AB627">
        <v>1349</v>
      </c>
    </row>
    <row r="628" spans="1:28" x14ac:dyDescent="0.2">
      <c r="A628" t="s">
        <v>92</v>
      </c>
      <c r="B628" t="s">
        <v>1096</v>
      </c>
      <c r="C628" t="s">
        <v>1257</v>
      </c>
      <c r="D628" t="s">
        <v>1258</v>
      </c>
      <c r="E628" t="s">
        <v>96</v>
      </c>
      <c r="F628">
        <v>1349</v>
      </c>
      <c r="G628">
        <v>1349</v>
      </c>
      <c r="T628" t="s">
        <v>97</v>
      </c>
      <c r="V628">
        <v>1042.4100000000001</v>
      </c>
      <c r="W628">
        <v>1042.4100000000001</v>
      </c>
      <c r="X628">
        <v>1042.4100000000001</v>
      </c>
      <c r="Y628">
        <v>1042.4100000000001</v>
      </c>
      <c r="Z628">
        <v>1349</v>
      </c>
      <c r="AA628" t="s">
        <v>97</v>
      </c>
    </row>
    <row r="629" spans="1:28" x14ac:dyDescent="0.2">
      <c r="A629" t="s">
        <v>92</v>
      </c>
      <c r="B629" t="s">
        <v>1096</v>
      </c>
      <c r="C629" t="s">
        <v>1259</v>
      </c>
      <c r="D629" t="s">
        <v>1260</v>
      </c>
      <c r="E629" t="s">
        <v>228</v>
      </c>
      <c r="F629">
        <v>1699</v>
      </c>
      <c r="T629" t="s">
        <v>97</v>
      </c>
      <c r="V629">
        <v>1390.09</v>
      </c>
      <c r="W629">
        <v>1312.86</v>
      </c>
      <c r="Z629">
        <v>1699</v>
      </c>
      <c r="AA629" t="s">
        <v>97</v>
      </c>
      <c r="AB629">
        <v>1699</v>
      </c>
    </row>
    <row r="630" spans="1:28" x14ac:dyDescent="0.2">
      <c r="A630" t="s">
        <v>92</v>
      </c>
      <c r="B630" t="s">
        <v>1096</v>
      </c>
      <c r="C630" t="s">
        <v>1261</v>
      </c>
      <c r="D630" t="s">
        <v>1262</v>
      </c>
      <c r="E630" t="s">
        <v>228</v>
      </c>
      <c r="F630">
        <v>2049</v>
      </c>
      <c r="T630" t="s">
        <v>97</v>
      </c>
      <c r="V630">
        <v>1676.45</v>
      </c>
      <c r="W630">
        <v>1583.32</v>
      </c>
      <c r="Z630">
        <v>2049</v>
      </c>
      <c r="AA630" t="s">
        <v>97</v>
      </c>
      <c r="AB630">
        <v>2049</v>
      </c>
    </row>
    <row r="631" spans="1:28" x14ac:dyDescent="0.2">
      <c r="A631" t="s">
        <v>92</v>
      </c>
      <c r="B631" t="s">
        <v>1096</v>
      </c>
      <c r="C631" t="s">
        <v>1263</v>
      </c>
      <c r="D631" t="s">
        <v>1264</v>
      </c>
      <c r="E631" t="s">
        <v>228</v>
      </c>
      <c r="F631">
        <v>1699</v>
      </c>
      <c r="T631" t="s">
        <v>97</v>
      </c>
      <c r="V631">
        <v>1390.09</v>
      </c>
      <c r="W631">
        <v>1312.86</v>
      </c>
      <c r="Z631">
        <v>1699</v>
      </c>
      <c r="AA631" t="s">
        <v>97</v>
      </c>
      <c r="AB631">
        <v>1699</v>
      </c>
    </row>
    <row r="632" spans="1:28" x14ac:dyDescent="0.2">
      <c r="A632" t="s">
        <v>92</v>
      </c>
      <c r="B632" t="s">
        <v>1096</v>
      </c>
      <c r="C632" t="s">
        <v>1265</v>
      </c>
      <c r="D632" t="s">
        <v>1266</v>
      </c>
      <c r="E632" t="s">
        <v>228</v>
      </c>
      <c r="F632">
        <v>1529</v>
      </c>
      <c r="T632" t="s">
        <v>97</v>
      </c>
      <c r="V632">
        <v>1251</v>
      </c>
      <c r="W632">
        <v>1181.5</v>
      </c>
      <c r="Z632">
        <v>1529</v>
      </c>
      <c r="AA632" t="s">
        <v>97</v>
      </c>
    </row>
    <row r="633" spans="1:28" x14ac:dyDescent="0.2">
      <c r="A633" t="s">
        <v>92</v>
      </c>
      <c r="B633" t="s">
        <v>1096</v>
      </c>
      <c r="C633" t="s">
        <v>1267</v>
      </c>
      <c r="D633" t="s">
        <v>1268</v>
      </c>
      <c r="E633" t="s">
        <v>96</v>
      </c>
      <c r="F633">
        <v>1699</v>
      </c>
      <c r="G633">
        <v>1699</v>
      </c>
      <c r="T633" t="s">
        <v>97</v>
      </c>
      <c r="V633">
        <v>1312.86</v>
      </c>
      <c r="W633">
        <v>1312.86</v>
      </c>
      <c r="X633">
        <v>1312.86</v>
      </c>
      <c r="Y633">
        <v>1312.86</v>
      </c>
      <c r="Z633">
        <v>1699</v>
      </c>
      <c r="AA633" t="s">
        <v>97</v>
      </c>
    </row>
    <row r="634" spans="1:28" x14ac:dyDescent="0.2">
      <c r="A634" t="s">
        <v>92</v>
      </c>
      <c r="B634" t="s">
        <v>1096</v>
      </c>
      <c r="C634" t="s">
        <v>1269</v>
      </c>
      <c r="D634" t="s">
        <v>1270</v>
      </c>
      <c r="E634" t="s">
        <v>96</v>
      </c>
      <c r="F634">
        <v>1699</v>
      </c>
      <c r="G634">
        <v>1699</v>
      </c>
      <c r="T634" t="s">
        <v>97</v>
      </c>
      <c r="V634">
        <v>1312.86</v>
      </c>
      <c r="W634">
        <v>1312.86</v>
      </c>
      <c r="X634">
        <v>1312.86</v>
      </c>
      <c r="Y634">
        <v>1312.86</v>
      </c>
      <c r="Z634">
        <v>1699</v>
      </c>
      <c r="AA634" t="s">
        <v>97</v>
      </c>
      <c r="AB634">
        <v>1699</v>
      </c>
    </row>
    <row r="635" spans="1:28" x14ac:dyDescent="0.2">
      <c r="A635" t="s">
        <v>92</v>
      </c>
      <c r="B635" t="s">
        <v>1096</v>
      </c>
      <c r="C635" t="s">
        <v>1271</v>
      </c>
      <c r="D635" t="s">
        <v>1272</v>
      </c>
      <c r="E635" t="s">
        <v>96</v>
      </c>
      <c r="F635">
        <v>1699</v>
      </c>
      <c r="G635">
        <v>1699</v>
      </c>
      <c r="T635" t="s">
        <v>97</v>
      </c>
      <c r="V635">
        <v>1312.86</v>
      </c>
      <c r="W635">
        <v>1312.86</v>
      </c>
      <c r="X635">
        <v>1312.86</v>
      </c>
      <c r="Y635">
        <v>1312.86</v>
      </c>
      <c r="Z635">
        <v>1699</v>
      </c>
      <c r="AA635" t="s">
        <v>97</v>
      </c>
    </row>
    <row r="636" spans="1:28" x14ac:dyDescent="0.2">
      <c r="A636" t="s">
        <v>92</v>
      </c>
      <c r="B636" t="s">
        <v>1096</v>
      </c>
      <c r="C636" t="s">
        <v>1273</v>
      </c>
      <c r="D636" t="s">
        <v>1274</v>
      </c>
      <c r="E636" t="s">
        <v>96</v>
      </c>
      <c r="F636">
        <v>1549</v>
      </c>
      <c r="G636">
        <v>1549</v>
      </c>
      <c r="T636" t="s">
        <v>97</v>
      </c>
      <c r="V636">
        <v>1196.95</v>
      </c>
      <c r="W636">
        <v>1196.95</v>
      </c>
      <c r="X636">
        <v>1196.95</v>
      </c>
      <c r="Y636">
        <v>1196.95</v>
      </c>
      <c r="Z636">
        <v>1549</v>
      </c>
      <c r="AA636" t="s">
        <v>97</v>
      </c>
      <c r="AB636">
        <v>1549</v>
      </c>
    </row>
    <row r="637" spans="1:28" x14ac:dyDescent="0.2">
      <c r="A637" t="s">
        <v>92</v>
      </c>
      <c r="B637" t="s">
        <v>1096</v>
      </c>
      <c r="C637" t="s">
        <v>1275</v>
      </c>
      <c r="D637" t="s">
        <v>1276</v>
      </c>
      <c r="E637" t="s">
        <v>228</v>
      </c>
      <c r="F637">
        <v>1699</v>
      </c>
      <c r="T637" t="s">
        <v>97</v>
      </c>
      <c r="V637">
        <v>1390.09</v>
      </c>
      <c r="W637">
        <v>1312.86</v>
      </c>
      <c r="AA637" t="s">
        <v>97</v>
      </c>
    </row>
    <row r="638" spans="1:28" x14ac:dyDescent="0.2">
      <c r="A638" t="s">
        <v>92</v>
      </c>
      <c r="B638" t="s">
        <v>1096</v>
      </c>
      <c r="C638" t="s">
        <v>1277</v>
      </c>
      <c r="D638" t="s">
        <v>1278</v>
      </c>
      <c r="E638" t="s">
        <v>228</v>
      </c>
      <c r="F638">
        <v>1849</v>
      </c>
      <c r="T638" t="s">
        <v>97</v>
      </c>
      <c r="V638">
        <v>1512.82</v>
      </c>
      <c r="W638">
        <v>1428.77</v>
      </c>
      <c r="AA638" t="s">
        <v>97</v>
      </c>
    </row>
    <row r="639" spans="1:28" x14ac:dyDescent="0.2">
      <c r="A639" t="s">
        <v>92</v>
      </c>
      <c r="B639" t="s">
        <v>1096</v>
      </c>
      <c r="C639" t="s">
        <v>1279</v>
      </c>
      <c r="D639" t="s">
        <v>1280</v>
      </c>
      <c r="E639" t="s">
        <v>228</v>
      </c>
      <c r="F639">
        <v>1849</v>
      </c>
      <c r="T639" t="s">
        <v>97</v>
      </c>
      <c r="V639">
        <v>1512.82</v>
      </c>
      <c r="W639">
        <v>1428.77</v>
      </c>
      <c r="AA639" t="s">
        <v>97</v>
      </c>
    </row>
    <row r="640" spans="1:28" x14ac:dyDescent="0.2">
      <c r="A640" t="s">
        <v>92</v>
      </c>
      <c r="B640" t="s">
        <v>1096</v>
      </c>
      <c r="C640" t="s">
        <v>1281</v>
      </c>
      <c r="D640" t="s">
        <v>1282</v>
      </c>
      <c r="E640" t="s">
        <v>228</v>
      </c>
      <c r="F640">
        <v>1699</v>
      </c>
      <c r="T640" t="s">
        <v>97</v>
      </c>
      <c r="V640">
        <v>1390.09</v>
      </c>
      <c r="W640">
        <v>1312.86</v>
      </c>
      <c r="AA640" t="s">
        <v>97</v>
      </c>
    </row>
    <row r="641" spans="1:28" x14ac:dyDescent="0.2">
      <c r="A641" t="s">
        <v>92</v>
      </c>
      <c r="B641" t="s">
        <v>1096</v>
      </c>
      <c r="C641" t="s">
        <v>1283</v>
      </c>
      <c r="D641" t="s">
        <v>1284</v>
      </c>
      <c r="E641" t="s">
        <v>228</v>
      </c>
      <c r="F641">
        <v>1849</v>
      </c>
      <c r="T641" t="s">
        <v>97</v>
      </c>
      <c r="V641">
        <v>1512.82</v>
      </c>
      <c r="W641">
        <v>1428.77</v>
      </c>
      <c r="AA641" t="s">
        <v>97</v>
      </c>
    </row>
    <row r="642" spans="1:28" x14ac:dyDescent="0.2">
      <c r="A642" t="s">
        <v>92</v>
      </c>
      <c r="B642" t="s">
        <v>1096</v>
      </c>
      <c r="C642" t="s">
        <v>1285</v>
      </c>
      <c r="D642" t="s">
        <v>1286</v>
      </c>
      <c r="E642" t="s">
        <v>228</v>
      </c>
      <c r="F642">
        <v>1849</v>
      </c>
      <c r="T642" t="s">
        <v>97</v>
      </c>
      <c r="V642">
        <v>1512.82</v>
      </c>
      <c r="W642">
        <v>1428.77</v>
      </c>
      <c r="AA642" t="s">
        <v>97</v>
      </c>
    </row>
    <row r="643" spans="1:28" x14ac:dyDescent="0.2">
      <c r="A643" t="s">
        <v>92</v>
      </c>
      <c r="B643" t="s">
        <v>1096</v>
      </c>
      <c r="C643" t="s">
        <v>1287</v>
      </c>
      <c r="D643" t="s">
        <v>1288</v>
      </c>
      <c r="E643" t="s">
        <v>228</v>
      </c>
      <c r="F643">
        <v>1849</v>
      </c>
      <c r="T643" t="s">
        <v>97</v>
      </c>
      <c r="V643">
        <v>1512.82</v>
      </c>
      <c r="W643">
        <v>1428.77</v>
      </c>
      <c r="AA643" t="s">
        <v>97</v>
      </c>
    </row>
    <row r="644" spans="1:28" x14ac:dyDescent="0.2">
      <c r="A644" t="s">
        <v>92</v>
      </c>
      <c r="B644" t="s">
        <v>1096</v>
      </c>
      <c r="C644" t="s">
        <v>1289</v>
      </c>
      <c r="D644" t="s">
        <v>1290</v>
      </c>
      <c r="E644" t="s">
        <v>228</v>
      </c>
      <c r="F644">
        <v>1849</v>
      </c>
      <c r="T644" t="s">
        <v>97</v>
      </c>
      <c r="V644">
        <v>1512.82</v>
      </c>
      <c r="W644">
        <v>1428.77</v>
      </c>
      <c r="AA644" t="s">
        <v>97</v>
      </c>
    </row>
    <row r="645" spans="1:28" x14ac:dyDescent="0.2">
      <c r="A645" t="s">
        <v>92</v>
      </c>
      <c r="B645" t="s">
        <v>1096</v>
      </c>
      <c r="C645" t="s">
        <v>1291</v>
      </c>
      <c r="D645" t="s">
        <v>1292</v>
      </c>
      <c r="E645" t="s">
        <v>228</v>
      </c>
      <c r="F645">
        <v>1849</v>
      </c>
      <c r="T645" t="s">
        <v>97</v>
      </c>
      <c r="V645">
        <v>1512.82</v>
      </c>
      <c r="W645">
        <v>1428.77</v>
      </c>
      <c r="AA645" t="s">
        <v>97</v>
      </c>
    </row>
    <row r="646" spans="1:28" x14ac:dyDescent="0.2">
      <c r="A646" t="s">
        <v>92</v>
      </c>
      <c r="B646" t="s">
        <v>1096</v>
      </c>
      <c r="C646" t="s">
        <v>1293</v>
      </c>
      <c r="D646" t="s">
        <v>1294</v>
      </c>
      <c r="E646" t="s">
        <v>228</v>
      </c>
      <c r="F646">
        <v>2049</v>
      </c>
      <c r="T646" t="s">
        <v>97</v>
      </c>
      <c r="V646">
        <v>1676.45</v>
      </c>
      <c r="W646">
        <v>1583.32</v>
      </c>
      <c r="AA646" t="s">
        <v>97</v>
      </c>
    </row>
    <row r="647" spans="1:28" x14ac:dyDescent="0.2">
      <c r="A647" t="s">
        <v>92</v>
      </c>
      <c r="B647" t="s">
        <v>1096</v>
      </c>
      <c r="C647" t="s">
        <v>1295</v>
      </c>
      <c r="D647" t="s">
        <v>1296</v>
      </c>
      <c r="E647" t="s">
        <v>228</v>
      </c>
      <c r="F647">
        <v>2049</v>
      </c>
      <c r="T647" t="s">
        <v>97</v>
      </c>
      <c r="V647">
        <v>1676.45</v>
      </c>
      <c r="W647">
        <v>1583.32</v>
      </c>
      <c r="AA647" t="s">
        <v>97</v>
      </c>
    </row>
    <row r="648" spans="1:28" x14ac:dyDescent="0.2">
      <c r="A648" t="s">
        <v>92</v>
      </c>
      <c r="B648" t="s">
        <v>1096</v>
      </c>
      <c r="C648" t="s">
        <v>1297</v>
      </c>
      <c r="D648" t="s">
        <v>1298</v>
      </c>
      <c r="E648" t="s">
        <v>228</v>
      </c>
      <c r="F648">
        <v>2049</v>
      </c>
      <c r="T648" t="s">
        <v>97</v>
      </c>
      <c r="V648">
        <v>1676.45</v>
      </c>
      <c r="W648">
        <v>1583.32</v>
      </c>
      <c r="AA648" t="s">
        <v>97</v>
      </c>
    </row>
    <row r="649" spans="1:28" x14ac:dyDescent="0.2">
      <c r="A649" t="s">
        <v>92</v>
      </c>
      <c r="B649" t="s">
        <v>1096</v>
      </c>
      <c r="C649" t="s">
        <v>1299</v>
      </c>
      <c r="D649" t="s">
        <v>1300</v>
      </c>
      <c r="E649" t="s">
        <v>228</v>
      </c>
      <c r="F649">
        <v>2049</v>
      </c>
      <c r="T649" t="s">
        <v>97</v>
      </c>
      <c r="V649">
        <v>1676.45</v>
      </c>
      <c r="W649">
        <v>1583.32</v>
      </c>
      <c r="AA649" t="s">
        <v>97</v>
      </c>
    </row>
    <row r="650" spans="1:28" x14ac:dyDescent="0.2">
      <c r="A650" t="s">
        <v>92</v>
      </c>
      <c r="B650" t="s">
        <v>1096</v>
      </c>
      <c r="C650" t="s">
        <v>1301</v>
      </c>
      <c r="D650" t="s">
        <v>1302</v>
      </c>
      <c r="E650" t="s">
        <v>228</v>
      </c>
      <c r="F650">
        <v>1349</v>
      </c>
      <c r="T650" t="s">
        <v>97</v>
      </c>
      <c r="V650">
        <v>1103.73</v>
      </c>
      <c r="W650">
        <v>1042.4100000000001</v>
      </c>
      <c r="AA650" t="s">
        <v>97</v>
      </c>
    </row>
    <row r="651" spans="1:28" x14ac:dyDescent="0.2">
      <c r="A651" t="s">
        <v>92</v>
      </c>
      <c r="B651" t="s">
        <v>1096</v>
      </c>
      <c r="C651" t="s">
        <v>1303</v>
      </c>
      <c r="D651" t="s">
        <v>1304</v>
      </c>
      <c r="E651" t="s">
        <v>228</v>
      </c>
      <c r="F651">
        <v>1349</v>
      </c>
      <c r="T651" t="s">
        <v>97</v>
      </c>
      <c r="V651">
        <v>1103.73</v>
      </c>
      <c r="W651">
        <v>1042.4100000000001</v>
      </c>
      <c r="AA651" t="s">
        <v>97</v>
      </c>
    </row>
    <row r="652" spans="1:28" x14ac:dyDescent="0.2">
      <c r="A652" t="s">
        <v>92</v>
      </c>
      <c r="B652" t="s">
        <v>1096</v>
      </c>
      <c r="C652" t="s">
        <v>1305</v>
      </c>
      <c r="D652" t="s">
        <v>1306</v>
      </c>
      <c r="E652" t="s">
        <v>228</v>
      </c>
      <c r="F652">
        <v>429</v>
      </c>
      <c r="T652" t="s">
        <v>97</v>
      </c>
      <c r="V652">
        <v>351</v>
      </c>
      <c r="W652">
        <v>351</v>
      </c>
      <c r="Z652">
        <v>429</v>
      </c>
      <c r="AA652" t="s">
        <v>97</v>
      </c>
      <c r="AB652">
        <v>429</v>
      </c>
    </row>
    <row r="653" spans="1:28" x14ac:dyDescent="0.2">
      <c r="A653" t="s">
        <v>92</v>
      </c>
      <c r="B653" t="s">
        <v>1096</v>
      </c>
      <c r="C653" t="s">
        <v>1307</v>
      </c>
      <c r="D653" t="s">
        <v>1308</v>
      </c>
      <c r="E653" t="s">
        <v>228</v>
      </c>
      <c r="F653">
        <v>429</v>
      </c>
      <c r="T653" t="s">
        <v>97</v>
      </c>
      <c r="V653">
        <v>351</v>
      </c>
      <c r="W653">
        <v>351</v>
      </c>
      <c r="Z653">
        <v>429</v>
      </c>
      <c r="AA653" t="s">
        <v>97</v>
      </c>
      <c r="AB653">
        <v>429</v>
      </c>
    </row>
    <row r="654" spans="1:28" x14ac:dyDescent="0.2">
      <c r="A654" t="s">
        <v>92</v>
      </c>
      <c r="B654" t="s">
        <v>1096</v>
      </c>
      <c r="C654" t="s">
        <v>1309</v>
      </c>
      <c r="D654" t="s">
        <v>1310</v>
      </c>
      <c r="E654" t="s">
        <v>228</v>
      </c>
      <c r="F654">
        <v>499</v>
      </c>
      <c r="T654" t="s">
        <v>97</v>
      </c>
      <c r="V654">
        <v>408.27</v>
      </c>
      <c r="W654">
        <v>408.27</v>
      </c>
      <c r="Z654">
        <v>499</v>
      </c>
      <c r="AA654" t="s">
        <v>97</v>
      </c>
      <c r="AB654">
        <v>499</v>
      </c>
    </row>
    <row r="655" spans="1:28" x14ac:dyDescent="0.2">
      <c r="A655" t="s">
        <v>92</v>
      </c>
      <c r="B655" t="s">
        <v>1096</v>
      </c>
      <c r="C655" t="s">
        <v>1311</v>
      </c>
      <c r="D655" t="s">
        <v>1312</v>
      </c>
      <c r="E655" t="s">
        <v>228</v>
      </c>
      <c r="F655">
        <v>499</v>
      </c>
      <c r="T655" t="s">
        <v>97</v>
      </c>
      <c r="V655">
        <v>408.27</v>
      </c>
      <c r="W655">
        <v>408.27</v>
      </c>
      <c r="Z655">
        <v>499</v>
      </c>
      <c r="AA655" t="s">
        <v>97</v>
      </c>
      <c r="AB655">
        <v>499</v>
      </c>
    </row>
    <row r="656" spans="1:28" x14ac:dyDescent="0.2">
      <c r="A656" t="s">
        <v>92</v>
      </c>
      <c r="B656" t="s">
        <v>1096</v>
      </c>
      <c r="C656" t="s">
        <v>1313</v>
      </c>
      <c r="D656" t="s">
        <v>1314</v>
      </c>
      <c r="E656" t="s">
        <v>228</v>
      </c>
      <c r="F656">
        <v>499</v>
      </c>
      <c r="T656" t="s">
        <v>97</v>
      </c>
      <c r="V656">
        <v>408.27</v>
      </c>
      <c r="W656">
        <v>408.27</v>
      </c>
      <c r="Z656">
        <v>499</v>
      </c>
      <c r="AA656" t="s">
        <v>97</v>
      </c>
      <c r="AB656">
        <v>499</v>
      </c>
    </row>
    <row r="657" spans="1:28" x14ac:dyDescent="0.2">
      <c r="A657" t="s">
        <v>92</v>
      </c>
      <c r="B657" t="s">
        <v>1096</v>
      </c>
      <c r="C657" t="s">
        <v>1315</v>
      </c>
      <c r="D657" t="s">
        <v>1316</v>
      </c>
      <c r="E657" t="s">
        <v>228</v>
      </c>
      <c r="F657">
        <v>499</v>
      </c>
      <c r="T657" t="s">
        <v>97</v>
      </c>
      <c r="V657">
        <v>408.27</v>
      </c>
      <c r="W657">
        <v>408.27</v>
      </c>
      <c r="Z657">
        <v>499</v>
      </c>
      <c r="AA657" t="s">
        <v>97</v>
      </c>
      <c r="AB657">
        <v>499</v>
      </c>
    </row>
    <row r="658" spans="1:28" x14ac:dyDescent="0.2">
      <c r="A658" t="s">
        <v>92</v>
      </c>
      <c r="B658" t="s">
        <v>1096</v>
      </c>
      <c r="C658" t="s">
        <v>1317</v>
      </c>
      <c r="D658" t="s">
        <v>1318</v>
      </c>
      <c r="E658" t="s">
        <v>96</v>
      </c>
      <c r="F658">
        <v>699</v>
      </c>
      <c r="G658">
        <v>629</v>
      </c>
      <c r="T658" t="s">
        <v>97</v>
      </c>
      <c r="V658">
        <v>571.91</v>
      </c>
      <c r="W658">
        <v>540.14</v>
      </c>
      <c r="X658">
        <v>540.14</v>
      </c>
      <c r="Y658">
        <v>540.14</v>
      </c>
      <c r="Z658">
        <v>699</v>
      </c>
      <c r="AA658" t="s">
        <v>97</v>
      </c>
      <c r="AB658">
        <v>699</v>
      </c>
    </row>
    <row r="659" spans="1:28" x14ac:dyDescent="0.2">
      <c r="A659" t="s">
        <v>92</v>
      </c>
      <c r="B659" t="s">
        <v>1096</v>
      </c>
      <c r="C659" t="s">
        <v>1319</v>
      </c>
      <c r="D659" t="s">
        <v>1320</v>
      </c>
      <c r="E659" t="s">
        <v>96</v>
      </c>
      <c r="F659">
        <v>699</v>
      </c>
      <c r="G659">
        <v>629</v>
      </c>
      <c r="T659" t="s">
        <v>97</v>
      </c>
      <c r="V659">
        <v>571.91</v>
      </c>
      <c r="W659">
        <v>540.14</v>
      </c>
      <c r="X659">
        <v>540.14</v>
      </c>
      <c r="Y659">
        <v>540.14</v>
      </c>
      <c r="Z659">
        <v>699</v>
      </c>
      <c r="AA659" t="s">
        <v>97</v>
      </c>
      <c r="AB659">
        <v>699</v>
      </c>
    </row>
    <row r="660" spans="1:28" x14ac:dyDescent="0.2">
      <c r="A660" t="s">
        <v>92</v>
      </c>
      <c r="B660" t="s">
        <v>1096</v>
      </c>
      <c r="C660" t="s">
        <v>1321</v>
      </c>
      <c r="D660" t="s">
        <v>1322</v>
      </c>
      <c r="E660" t="s">
        <v>228</v>
      </c>
      <c r="F660">
        <v>749</v>
      </c>
      <c r="T660" t="s">
        <v>97</v>
      </c>
      <c r="V660">
        <v>612.82000000000005</v>
      </c>
      <c r="W660">
        <v>578.77</v>
      </c>
      <c r="Z660">
        <v>749</v>
      </c>
      <c r="AA660" t="s">
        <v>97</v>
      </c>
      <c r="AB660">
        <v>749</v>
      </c>
    </row>
    <row r="661" spans="1:28" x14ac:dyDescent="0.2">
      <c r="A661" t="s">
        <v>92</v>
      </c>
      <c r="B661" t="s">
        <v>1096</v>
      </c>
      <c r="C661" t="s">
        <v>1323</v>
      </c>
      <c r="D661" t="s">
        <v>1324</v>
      </c>
      <c r="E661" t="s">
        <v>228</v>
      </c>
      <c r="F661">
        <v>749</v>
      </c>
      <c r="G661">
        <v>699</v>
      </c>
      <c r="T661" t="s">
        <v>97</v>
      </c>
      <c r="V661">
        <v>612.82000000000005</v>
      </c>
      <c r="W661">
        <v>578.77</v>
      </c>
      <c r="X661">
        <v>0</v>
      </c>
      <c r="Y661">
        <v>0</v>
      </c>
      <c r="Z661">
        <v>749</v>
      </c>
      <c r="AA661" t="s">
        <v>97</v>
      </c>
      <c r="AB661">
        <v>749</v>
      </c>
    </row>
    <row r="662" spans="1:28" x14ac:dyDescent="0.2">
      <c r="A662" t="s">
        <v>92</v>
      </c>
      <c r="B662" t="s">
        <v>1096</v>
      </c>
      <c r="C662" t="s">
        <v>1325</v>
      </c>
      <c r="D662" t="s">
        <v>1326</v>
      </c>
      <c r="E662" t="s">
        <v>96</v>
      </c>
      <c r="F662">
        <v>699</v>
      </c>
      <c r="G662">
        <v>629</v>
      </c>
      <c r="T662" t="s">
        <v>97</v>
      </c>
      <c r="V662">
        <v>571.91</v>
      </c>
      <c r="W662">
        <v>540.14</v>
      </c>
      <c r="X662">
        <v>540.14</v>
      </c>
      <c r="Y662">
        <v>540.14</v>
      </c>
      <c r="Z662">
        <v>699</v>
      </c>
      <c r="AA662" t="s">
        <v>97</v>
      </c>
      <c r="AB662">
        <v>699</v>
      </c>
    </row>
    <row r="663" spans="1:28" x14ac:dyDescent="0.2">
      <c r="A663" t="s">
        <v>92</v>
      </c>
      <c r="B663" t="s">
        <v>1096</v>
      </c>
      <c r="C663" t="s">
        <v>1327</v>
      </c>
      <c r="D663" t="s">
        <v>1328</v>
      </c>
      <c r="E663" t="s">
        <v>96</v>
      </c>
      <c r="F663">
        <v>699</v>
      </c>
      <c r="G663">
        <v>629</v>
      </c>
      <c r="T663" t="s">
        <v>97</v>
      </c>
      <c r="V663">
        <v>571.91</v>
      </c>
      <c r="W663">
        <v>540.14</v>
      </c>
      <c r="X663">
        <v>540.14</v>
      </c>
      <c r="Y663">
        <v>540.14</v>
      </c>
      <c r="Z663">
        <v>699</v>
      </c>
      <c r="AA663" t="s">
        <v>97</v>
      </c>
      <c r="AB663">
        <v>699</v>
      </c>
    </row>
    <row r="664" spans="1:28" x14ac:dyDescent="0.2">
      <c r="A664" t="s">
        <v>92</v>
      </c>
      <c r="B664" t="s">
        <v>1096</v>
      </c>
      <c r="C664" t="s">
        <v>1329</v>
      </c>
      <c r="D664" t="s">
        <v>1330</v>
      </c>
      <c r="E664" t="s">
        <v>96</v>
      </c>
      <c r="F664">
        <v>749</v>
      </c>
      <c r="G664">
        <v>699</v>
      </c>
      <c r="T664" t="s">
        <v>97</v>
      </c>
      <c r="V664">
        <v>612.82000000000005</v>
      </c>
      <c r="W664">
        <v>578.77</v>
      </c>
      <c r="X664">
        <v>578.77</v>
      </c>
      <c r="Y664">
        <v>578.77</v>
      </c>
      <c r="Z664">
        <v>749</v>
      </c>
      <c r="AA664" t="s">
        <v>97</v>
      </c>
      <c r="AB664">
        <v>749</v>
      </c>
    </row>
    <row r="665" spans="1:28" x14ac:dyDescent="0.2">
      <c r="A665" t="s">
        <v>92</v>
      </c>
      <c r="B665" t="s">
        <v>1096</v>
      </c>
      <c r="C665" t="s">
        <v>1331</v>
      </c>
      <c r="D665" t="s">
        <v>1332</v>
      </c>
      <c r="E665" t="s">
        <v>228</v>
      </c>
      <c r="F665">
        <v>749</v>
      </c>
      <c r="G665">
        <v>699</v>
      </c>
      <c r="T665" t="s">
        <v>97</v>
      </c>
      <c r="V665">
        <v>612.82000000000005</v>
      </c>
      <c r="W665">
        <v>578.77</v>
      </c>
      <c r="X665">
        <v>0</v>
      </c>
      <c r="Y665">
        <v>0</v>
      </c>
      <c r="Z665">
        <v>749</v>
      </c>
      <c r="AA665" t="s">
        <v>97</v>
      </c>
      <c r="AB665">
        <v>749</v>
      </c>
    </row>
    <row r="666" spans="1:28" x14ac:dyDescent="0.2">
      <c r="A666" t="s">
        <v>92</v>
      </c>
      <c r="B666" t="s">
        <v>1096</v>
      </c>
      <c r="C666" t="s">
        <v>1333</v>
      </c>
      <c r="D666" t="s">
        <v>1334</v>
      </c>
      <c r="E666" t="s">
        <v>228</v>
      </c>
      <c r="F666">
        <v>799</v>
      </c>
      <c r="T666" t="s">
        <v>97</v>
      </c>
      <c r="V666">
        <v>653.73</v>
      </c>
      <c r="W666">
        <v>617.41</v>
      </c>
      <c r="Z666">
        <v>769</v>
      </c>
      <c r="AA666" t="s">
        <v>97</v>
      </c>
    </row>
    <row r="667" spans="1:28" x14ac:dyDescent="0.2">
      <c r="A667" t="s">
        <v>92</v>
      </c>
      <c r="B667" t="s">
        <v>1096</v>
      </c>
      <c r="C667" t="s">
        <v>1335</v>
      </c>
      <c r="D667" t="s">
        <v>1336</v>
      </c>
      <c r="E667" t="s">
        <v>228</v>
      </c>
      <c r="F667">
        <v>799</v>
      </c>
      <c r="T667" t="s">
        <v>97</v>
      </c>
      <c r="V667">
        <v>653.73</v>
      </c>
      <c r="W667">
        <v>617.41</v>
      </c>
      <c r="Z667">
        <v>769</v>
      </c>
      <c r="AA667" t="s">
        <v>97</v>
      </c>
      <c r="AB667">
        <v>769</v>
      </c>
    </row>
    <row r="668" spans="1:28" x14ac:dyDescent="0.2">
      <c r="A668" t="s">
        <v>92</v>
      </c>
      <c r="B668" t="s">
        <v>1096</v>
      </c>
      <c r="C668" t="s">
        <v>1337</v>
      </c>
      <c r="D668" t="s">
        <v>1338</v>
      </c>
      <c r="E668" t="s">
        <v>228</v>
      </c>
      <c r="F668">
        <v>799</v>
      </c>
      <c r="T668" t="s">
        <v>97</v>
      </c>
      <c r="V668">
        <v>653.73</v>
      </c>
      <c r="W668">
        <v>617.41</v>
      </c>
      <c r="Z668">
        <v>769</v>
      </c>
      <c r="AA668" t="s">
        <v>97</v>
      </c>
      <c r="AB668">
        <v>769</v>
      </c>
    </row>
    <row r="669" spans="1:28" x14ac:dyDescent="0.2">
      <c r="A669" t="s">
        <v>92</v>
      </c>
      <c r="B669" t="s">
        <v>1096</v>
      </c>
      <c r="C669" t="s">
        <v>1339</v>
      </c>
      <c r="D669" t="s">
        <v>1340</v>
      </c>
      <c r="E669" t="s">
        <v>228</v>
      </c>
      <c r="F669">
        <v>799</v>
      </c>
      <c r="T669" t="s">
        <v>97</v>
      </c>
      <c r="V669">
        <v>653.73</v>
      </c>
      <c r="W669">
        <v>617.41</v>
      </c>
      <c r="Z669">
        <v>769</v>
      </c>
      <c r="AA669" t="s">
        <v>97</v>
      </c>
      <c r="AB669">
        <v>769</v>
      </c>
    </row>
    <row r="670" spans="1:28" x14ac:dyDescent="0.2">
      <c r="A670" t="s">
        <v>92</v>
      </c>
      <c r="B670" t="s">
        <v>1096</v>
      </c>
      <c r="C670" t="s">
        <v>1341</v>
      </c>
      <c r="D670" t="s">
        <v>1342</v>
      </c>
      <c r="E670" t="s">
        <v>228</v>
      </c>
      <c r="F670">
        <v>799</v>
      </c>
      <c r="T670" t="s">
        <v>97</v>
      </c>
      <c r="V670">
        <v>653.73</v>
      </c>
      <c r="W670">
        <v>617.41</v>
      </c>
      <c r="Z670">
        <v>769</v>
      </c>
      <c r="AA670" t="s">
        <v>97</v>
      </c>
      <c r="AB670">
        <v>769</v>
      </c>
    </row>
    <row r="671" spans="1:28" x14ac:dyDescent="0.2">
      <c r="A671" t="s">
        <v>92</v>
      </c>
      <c r="B671" t="s">
        <v>1096</v>
      </c>
      <c r="C671" t="s">
        <v>1343</v>
      </c>
      <c r="D671" t="s">
        <v>1344</v>
      </c>
      <c r="E671" t="s">
        <v>228</v>
      </c>
      <c r="F671">
        <v>799</v>
      </c>
      <c r="T671" t="s">
        <v>97</v>
      </c>
      <c r="V671">
        <v>653.73</v>
      </c>
      <c r="W671">
        <v>617.41</v>
      </c>
      <c r="Z671">
        <v>769</v>
      </c>
      <c r="AA671" t="s">
        <v>97</v>
      </c>
      <c r="AB671">
        <v>769</v>
      </c>
    </row>
    <row r="672" spans="1:28" x14ac:dyDescent="0.2">
      <c r="A672" t="s">
        <v>92</v>
      </c>
      <c r="B672" t="s">
        <v>1096</v>
      </c>
      <c r="C672" t="s">
        <v>1345</v>
      </c>
      <c r="D672" t="s">
        <v>1346</v>
      </c>
      <c r="E672" t="s">
        <v>96</v>
      </c>
      <c r="F672">
        <v>349</v>
      </c>
      <c r="G672">
        <v>349</v>
      </c>
      <c r="T672" t="s">
        <v>97</v>
      </c>
      <c r="V672">
        <v>269.68</v>
      </c>
      <c r="W672">
        <v>269.68</v>
      </c>
      <c r="X672">
        <v>269.68</v>
      </c>
      <c r="Y672">
        <v>269.68</v>
      </c>
      <c r="Z672">
        <v>349</v>
      </c>
      <c r="AA672" t="s">
        <v>97</v>
      </c>
      <c r="AB672">
        <v>349</v>
      </c>
    </row>
    <row r="673" spans="1:28" x14ac:dyDescent="0.2">
      <c r="A673" t="s">
        <v>92</v>
      </c>
      <c r="B673" t="s">
        <v>1096</v>
      </c>
      <c r="C673" t="s">
        <v>1347</v>
      </c>
      <c r="D673" t="s">
        <v>1348</v>
      </c>
      <c r="E673" t="s">
        <v>96</v>
      </c>
      <c r="F673">
        <v>349</v>
      </c>
      <c r="G673">
        <v>349</v>
      </c>
      <c r="T673" t="s">
        <v>97</v>
      </c>
      <c r="V673">
        <v>269.68</v>
      </c>
      <c r="W673">
        <v>269.68</v>
      </c>
      <c r="X673">
        <v>269.68</v>
      </c>
      <c r="Y673">
        <v>269.68</v>
      </c>
      <c r="Z673">
        <v>349</v>
      </c>
      <c r="AA673" t="s">
        <v>97</v>
      </c>
      <c r="AB673">
        <v>349</v>
      </c>
    </row>
    <row r="674" spans="1:28" x14ac:dyDescent="0.2">
      <c r="A674" t="s">
        <v>92</v>
      </c>
      <c r="B674" t="s">
        <v>1096</v>
      </c>
      <c r="C674" t="s">
        <v>1349</v>
      </c>
      <c r="D674" t="s">
        <v>1350</v>
      </c>
      <c r="E674" t="s">
        <v>96</v>
      </c>
      <c r="F674">
        <v>349</v>
      </c>
      <c r="G674">
        <v>349</v>
      </c>
      <c r="T674" t="s">
        <v>97</v>
      </c>
      <c r="V674">
        <v>269.68</v>
      </c>
      <c r="W674">
        <v>269.68</v>
      </c>
      <c r="X674">
        <v>269.68</v>
      </c>
      <c r="Y674">
        <v>269.68</v>
      </c>
      <c r="Z674">
        <v>349</v>
      </c>
      <c r="AA674" t="s">
        <v>97</v>
      </c>
      <c r="AB674">
        <v>349</v>
      </c>
    </row>
    <row r="675" spans="1:28" x14ac:dyDescent="0.2">
      <c r="A675" t="s">
        <v>92</v>
      </c>
      <c r="B675" t="s">
        <v>1096</v>
      </c>
      <c r="C675" t="s">
        <v>1351</v>
      </c>
      <c r="D675" t="s">
        <v>1352</v>
      </c>
      <c r="E675" t="s">
        <v>96</v>
      </c>
      <c r="F675">
        <v>899</v>
      </c>
      <c r="G675">
        <v>849</v>
      </c>
      <c r="T675" t="s">
        <v>97</v>
      </c>
      <c r="V675">
        <v>656.05</v>
      </c>
      <c r="W675">
        <v>656.05</v>
      </c>
      <c r="X675">
        <v>656.05</v>
      </c>
      <c r="Y675">
        <v>656.05</v>
      </c>
      <c r="Z675">
        <v>899</v>
      </c>
      <c r="AA675" t="s">
        <v>97</v>
      </c>
      <c r="AB675">
        <v>899</v>
      </c>
    </row>
    <row r="676" spans="1:28" x14ac:dyDescent="0.2">
      <c r="A676" t="s">
        <v>92</v>
      </c>
      <c r="B676" t="s">
        <v>1096</v>
      </c>
      <c r="C676" t="s">
        <v>1353</v>
      </c>
      <c r="D676" t="s">
        <v>1354</v>
      </c>
      <c r="E676" t="s">
        <v>96</v>
      </c>
      <c r="F676">
        <v>899</v>
      </c>
      <c r="G676">
        <v>849</v>
      </c>
      <c r="T676" t="s">
        <v>97</v>
      </c>
      <c r="V676">
        <v>656.05</v>
      </c>
      <c r="W676">
        <v>656.05</v>
      </c>
      <c r="X676">
        <v>656.05</v>
      </c>
      <c r="Y676">
        <v>656.05</v>
      </c>
      <c r="Z676">
        <v>899</v>
      </c>
      <c r="AA676" t="s">
        <v>97</v>
      </c>
      <c r="AB676">
        <v>899</v>
      </c>
    </row>
    <row r="677" spans="1:28" x14ac:dyDescent="0.2">
      <c r="A677" t="s">
        <v>92</v>
      </c>
      <c r="B677" t="s">
        <v>1096</v>
      </c>
      <c r="C677" t="s">
        <v>1355</v>
      </c>
      <c r="D677" t="s">
        <v>1356</v>
      </c>
      <c r="E677" t="s">
        <v>96</v>
      </c>
      <c r="F677">
        <v>899</v>
      </c>
      <c r="G677">
        <v>849</v>
      </c>
      <c r="T677" t="s">
        <v>97</v>
      </c>
      <c r="V677">
        <v>656.05</v>
      </c>
      <c r="W677">
        <v>656.05</v>
      </c>
      <c r="X677">
        <v>656.05</v>
      </c>
      <c r="Y677">
        <v>656.05</v>
      </c>
      <c r="Z677">
        <v>899</v>
      </c>
      <c r="AA677" t="s">
        <v>97</v>
      </c>
      <c r="AB677">
        <v>899</v>
      </c>
    </row>
    <row r="678" spans="1:28" x14ac:dyDescent="0.2">
      <c r="A678" t="s">
        <v>92</v>
      </c>
      <c r="B678" t="s">
        <v>1096</v>
      </c>
      <c r="C678" t="s">
        <v>1357</v>
      </c>
      <c r="D678" t="s">
        <v>1358</v>
      </c>
      <c r="E678" t="s">
        <v>96</v>
      </c>
      <c r="F678">
        <v>899</v>
      </c>
      <c r="G678">
        <v>849</v>
      </c>
      <c r="T678" t="s">
        <v>97</v>
      </c>
      <c r="V678">
        <v>656.05</v>
      </c>
      <c r="W678">
        <v>656.05</v>
      </c>
      <c r="X678">
        <v>656.05</v>
      </c>
      <c r="Y678">
        <v>656.05</v>
      </c>
      <c r="Z678">
        <v>899</v>
      </c>
      <c r="AA678" t="s">
        <v>97</v>
      </c>
      <c r="AB678">
        <v>899</v>
      </c>
    </row>
    <row r="679" spans="1:28" x14ac:dyDescent="0.2">
      <c r="A679" t="s">
        <v>92</v>
      </c>
      <c r="B679" t="s">
        <v>1096</v>
      </c>
      <c r="C679" t="s">
        <v>1359</v>
      </c>
      <c r="D679" t="s">
        <v>1360</v>
      </c>
      <c r="E679" t="s">
        <v>96</v>
      </c>
      <c r="F679">
        <v>999</v>
      </c>
      <c r="G679">
        <v>999</v>
      </c>
      <c r="T679" t="s">
        <v>97</v>
      </c>
      <c r="V679">
        <v>771.95</v>
      </c>
      <c r="W679">
        <v>771.95</v>
      </c>
      <c r="X679">
        <v>771.95</v>
      </c>
      <c r="Y679">
        <v>771.95</v>
      </c>
      <c r="Z679">
        <v>999</v>
      </c>
      <c r="AA679" t="s">
        <v>97</v>
      </c>
    </row>
    <row r="680" spans="1:28" x14ac:dyDescent="0.2">
      <c r="A680" t="s">
        <v>92</v>
      </c>
      <c r="B680" t="s">
        <v>1096</v>
      </c>
      <c r="C680" t="s">
        <v>1361</v>
      </c>
      <c r="D680" t="s">
        <v>1362</v>
      </c>
      <c r="E680" t="s">
        <v>96</v>
      </c>
      <c r="F680">
        <v>999</v>
      </c>
      <c r="T680" t="s">
        <v>97</v>
      </c>
      <c r="V680">
        <v>817.36</v>
      </c>
      <c r="W680">
        <v>771.95</v>
      </c>
      <c r="Z680">
        <v>999</v>
      </c>
      <c r="AA680" t="s">
        <v>97</v>
      </c>
      <c r="AB680">
        <v>999</v>
      </c>
    </row>
    <row r="681" spans="1:28" x14ac:dyDescent="0.2">
      <c r="A681" t="s">
        <v>92</v>
      </c>
      <c r="B681" t="s">
        <v>1096</v>
      </c>
      <c r="C681" t="s">
        <v>1363</v>
      </c>
      <c r="D681" t="s">
        <v>1364</v>
      </c>
      <c r="E681" t="s">
        <v>228</v>
      </c>
      <c r="F681">
        <v>999</v>
      </c>
      <c r="T681" t="s">
        <v>97</v>
      </c>
      <c r="V681">
        <v>817.36</v>
      </c>
      <c r="W681">
        <v>771.95</v>
      </c>
      <c r="Z681">
        <v>999</v>
      </c>
      <c r="AA681" t="s">
        <v>97</v>
      </c>
      <c r="AB681">
        <v>999</v>
      </c>
    </row>
    <row r="682" spans="1:28" x14ac:dyDescent="0.2">
      <c r="A682" t="s">
        <v>92</v>
      </c>
      <c r="B682" t="s">
        <v>1096</v>
      </c>
      <c r="C682" t="s">
        <v>1365</v>
      </c>
      <c r="D682" t="s">
        <v>1366</v>
      </c>
      <c r="E682" t="s">
        <v>228</v>
      </c>
      <c r="F682">
        <v>1099</v>
      </c>
      <c r="T682" t="s">
        <v>97</v>
      </c>
      <c r="V682">
        <v>899.18</v>
      </c>
      <c r="W682">
        <v>849.23</v>
      </c>
      <c r="Z682">
        <v>1099</v>
      </c>
      <c r="AA682" t="s">
        <v>97</v>
      </c>
      <c r="AB682">
        <v>1099</v>
      </c>
    </row>
    <row r="683" spans="1:28" x14ac:dyDescent="0.2">
      <c r="A683" t="s">
        <v>92</v>
      </c>
      <c r="B683" t="s">
        <v>1096</v>
      </c>
      <c r="C683" t="s">
        <v>1367</v>
      </c>
      <c r="D683" t="s">
        <v>1368</v>
      </c>
      <c r="E683" t="s">
        <v>228</v>
      </c>
      <c r="F683">
        <v>1099</v>
      </c>
      <c r="T683" t="s">
        <v>97</v>
      </c>
      <c r="V683">
        <v>899.18</v>
      </c>
      <c r="W683">
        <v>849.23</v>
      </c>
      <c r="Z683">
        <v>1099</v>
      </c>
      <c r="AA683" t="s">
        <v>97</v>
      </c>
      <c r="AB683">
        <v>1099</v>
      </c>
    </row>
    <row r="684" spans="1:28" x14ac:dyDescent="0.2">
      <c r="A684" t="s">
        <v>92</v>
      </c>
      <c r="B684" t="s">
        <v>1096</v>
      </c>
      <c r="C684" t="s">
        <v>1369</v>
      </c>
      <c r="D684" t="s">
        <v>1370</v>
      </c>
      <c r="E684" t="s">
        <v>228</v>
      </c>
      <c r="F684">
        <v>999</v>
      </c>
      <c r="T684" t="s">
        <v>97</v>
      </c>
      <c r="W684">
        <v>771.95</v>
      </c>
      <c r="Z684">
        <v>999</v>
      </c>
      <c r="AA684" t="s">
        <v>97</v>
      </c>
      <c r="AB684">
        <v>999</v>
      </c>
    </row>
    <row r="685" spans="1:28" x14ac:dyDescent="0.2">
      <c r="A685" t="s">
        <v>92</v>
      </c>
      <c r="B685" t="s">
        <v>1096</v>
      </c>
      <c r="C685" t="s">
        <v>1371</v>
      </c>
      <c r="D685" t="s">
        <v>1372</v>
      </c>
      <c r="E685" t="s">
        <v>228</v>
      </c>
      <c r="F685">
        <v>999</v>
      </c>
      <c r="T685" t="s">
        <v>97</v>
      </c>
      <c r="V685">
        <v>771.95</v>
      </c>
      <c r="W685">
        <v>771.95</v>
      </c>
      <c r="Z685">
        <v>999</v>
      </c>
      <c r="AA685" t="s">
        <v>97</v>
      </c>
      <c r="AB685">
        <v>999</v>
      </c>
    </row>
    <row r="686" spans="1:28" x14ac:dyDescent="0.2">
      <c r="A686" t="s">
        <v>92</v>
      </c>
      <c r="B686" t="s">
        <v>1096</v>
      </c>
      <c r="C686" t="s">
        <v>1373</v>
      </c>
      <c r="D686" t="s">
        <v>1374</v>
      </c>
      <c r="E686" t="s">
        <v>228</v>
      </c>
      <c r="F686">
        <v>999</v>
      </c>
      <c r="T686" t="s">
        <v>97</v>
      </c>
      <c r="W686">
        <v>771.95</v>
      </c>
      <c r="Z686">
        <v>999</v>
      </c>
      <c r="AA686" t="s">
        <v>97</v>
      </c>
      <c r="AB686">
        <v>999</v>
      </c>
    </row>
    <row r="687" spans="1:28" x14ac:dyDescent="0.2">
      <c r="A687" t="s">
        <v>92</v>
      </c>
      <c r="B687" t="s">
        <v>1096</v>
      </c>
      <c r="C687" t="s">
        <v>1375</v>
      </c>
      <c r="D687" t="s">
        <v>1376</v>
      </c>
      <c r="E687" t="s">
        <v>228</v>
      </c>
      <c r="F687">
        <v>449</v>
      </c>
      <c r="T687" t="s">
        <v>97</v>
      </c>
      <c r="V687">
        <v>346.95</v>
      </c>
      <c r="W687">
        <v>346.95</v>
      </c>
      <c r="Z687">
        <v>449</v>
      </c>
      <c r="AA687" t="s">
        <v>97</v>
      </c>
      <c r="AB687">
        <v>449</v>
      </c>
    </row>
    <row r="688" spans="1:28" x14ac:dyDescent="0.2">
      <c r="A688" t="s">
        <v>92</v>
      </c>
      <c r="B688" t="s">
        <v>1096</v>
      </c>
      <c r="C688" t="s">
        <v>1377</v>
      </c>
      <c r="D688" t="s">
        <v>1378</v>
      </c>
      <c r="E688" t="s">
        <v>228</v>
      </c>
      <c r="F688">
        <v>999</v>
      </c>
      <c r="T688" t="s">
        <v>97</v>
      </c>
      <c r="V688">
        <v>771.95</v>
      </c>
      <c r="W688">
        <v>771.95</v>
      </c>
      <c r="Z688">
        <v>999</v>
      </c>
      <c r="AA688" t="s">
        <v>97</v>
      </c>
      <c r="AB688">
        <v>999</v>
      </c>
    </row>
    <row r="689" spans="1:28" x14ac:dyDescent="0.2">
      <c r="A689" t="s">
        <v>92</v>
      </c>
      <c r="B689" t="s">
        <v>1096</v>
      </c>
      <c r="C689" t="s">
        <v>1379</v>
      </c>
      <c r="D689" t="s">
        <v>1380</v>
      </c>
      <c r="E689" t="s">
        <v>228</v>
      </c>
      <c r="F689">
        <v>849</v>
      </c>
      <c r="T689" t="s">
        <v>97</v>
      </c>
      <c r="V689">
        <v>656.05</v>
      </c>
      <c r="W689">
        <v>656.05</v>
      </c>
      <c r="Z689">
        <v>849</v>
      </c>
      <c r="AA689" t="s">
        <v>97</v>
      </c>
      <c r="AB689">
        <v>849</v>
      </c>
    </row>
    <row r="690" spans="1:28" x14ac:dyDescent="0.2">
      <c r="A690" t="s">
        <v>92</v>
      </c>
      <c r="B690" t="s">
        <v>1096</v>
      </c>
      <c r="C690" t="s">
        <v>1381</v>
      </c>
      <c r="D690" t="s">
        <v>1382</v>
      </c>
      <c r="E690" t="s">
        <v>96</v>
      </c>
      <c r="F690">
        <v>999</v>
      </c>
      <c r="G690">
        <v>999</v>
      </c>
      <c r="T690" t="s">
        <v>97</v>
      </c>
      <c r="V690">
        <v>771.95</v>
      </c>
      <c r="W690">
        <v>771.95</v>
      </c>
      <c r="X690">
        <v>0</v>
      </c>
      <c r="Y690">
        <v>0</v>
      </c>
      <c r="Z690">
        <v>999</v>
      </c>
      <c r="AA690" t="s">
        <v>97</v>
      </c>
      <c r="AB690">
        <v>999</v>
      </c>
    </row>
    <row r="691" spans="1:28" x14ac:dyDescent="0.2">
      <c r="A691" t="s">
        <v>92</v>
      </c>
      <c r="B691" t="s">
        <v>1096</v>
      </c>
      <c r="C691" t="s">
        <v>1383</v>
      </c>
      <c r="D691" t="s">
        <v>1384</v>
      </c>
      <c r="E691" t="s">
        <v>228</v>
      </c>
      <c r="F691">
        <v>1149</v>
      </c>
      <c r="T691" t="s">
        <v>97</v>
      </c>
      <c r="W691">
        <v>887.86</v>
      </c>
      <c r="AA691" t="s">
        <v>97</v>
      </c>
      <c r="AB691">
        <v>1149</v>
      </c>
    </row>
    <row r="692" spans="1:28" x14ac:dyDescent="0.2">
      <c r="A692" t="s">
        <v>92</v>
      </c>
      <c r="B692" t="s">
        <v>1096</v>
      </c>
      <c r="C692" t="s">
        <v>1385</v>
      </c>
      <c r="D692" t="s">
        <v>8332</v>
      </c>
      <c r="E692" t="s">
        <v>228</v>
      </c>
      <c r="F692">
        <v>1749</v>
      </c>
      <c r="T692" t="s">
        <v>97</v>
      </c>
      <c r="W692">
        <v>1351.5</v>
      </c>
      <c r="AA692" t="s">
        <v>97</v>
      </c>
      <c r="AB692">
        <v>1749</v>
      </c>
    </row>
    <row r="693" spans="1:28" x14ac:dyDescent="0.2">
      <c r="A693" t="s">
        <v>92</v>
      </c>
      <c r="B693" t="s">
        <v>1096</v>
      </c>
      <c r="C693" t="s">
        <v>1386</v>
      </c>
      <c r="D693" t="s">
        <v>1387</v>
      </c>
      <c r="E693" t="s">
        <v>228</v>
      </c>
      <c r="F693">
        <v>149</v>
      </c>
      <c r="T693" t="s">
        <v>97</v>
      </c>
      <c r="W693">
        <v>121.91</v>
      </c>
      <c r="AA693" t="s">
        <v>97</v>
      </c>
    </row>
    <row r="694" spans="1:28" x14ac:dyDescent="0.2">
      <c r="A694" t="s">
        <v>92</v>
      </c>
      <c r="B694" t="s">
        <v>1096</v>
      </c>
      <c r="C694" t="s">
        <v>1388</v>
      </c>
      <c r="D694" t="s">
        <v>1389</v>
      </c>
      <c r="E694" t="s">
        <v>228</v>
      </c>
      <c r="F694">
        <v>149</v>
      </c>
      <c r="T694" t="s">
        <v>97</v>
      </c>
      <c r="W694">
        <v>121.91</v>
      </c>
      <c r="AA694" t="s">
        <v>97</v>
      </c>
    </row>
    <row r="695" spans="1:28" x14ac:dyDescent="0.2">
      <c r="A695" t="s">
        <v>92</v>
      </c>
      <c r="B695" t="s">
        <v>1096</v>
      </c>
      <c r="C695" t="s">
        <v>1390</v>
      </c>
      <c r="D695" t="s">
        <v>1391</v>
      </c>
      <c r="E695" t="s">
        <v>228</v>
      </c>
      <c r="F695">
        <v>299</v>
      </c>
      <c r="T695" t="s">
        <v>97</v>
      </c>
      <c r="W695">
        <v>244.64</v>
      </c>
      <c r="Z695">
        <v>299</v>
      </c>
      <c r="AA695" t="s">
        <v>97</v>
      </c>
    </row>
    <row r="696" spans="1:28" x14ac:dyDescent="0.2">
      <c r="A696" t="s">
        <v>92</v>
      </c>
      <c r="B696" t="s">
        <v>1096</v>
      </c>
      <c r="C696" t="s">
        <v>1392</v>
      </c>
      <c r="D696" t="s">
        <v>1393</v>
      </c>
      <c r="E696" t="s">
        <v>228</v>
      </c>
      <c r="F696">
        <v>299</v>
      </c>
      <c r="T696" t="s">
        <v>97</v>
      </c>
      <c r="W696">
        <v>244.64</v>
      </c>
      <c r="Z696">
        <v>299</v>
      </c>
      <c r="AA696" t="s">
        <v>97</v>
      </c>
    </row>
    <row r="697" spans="1:28" x14ac:dyDescent="0.2">
      <c r="A697" t="s">
        <v>92</v>
      </c>
      <c r="B697" t="s">
        <v>1096</v>
      </c>
      <c r="C697" t="s">
        <v>1394</v>
      </c>
      <c r="D697" t="s">
        <v>1395</v>
      </c>
      <c r="E697" t="s">
        <v>228</v>
      </c>
      <c r="F697">
        <v>99</v>
      </c>
      <c r="T697" t="s">
        <v>97</v>
      </c>
      <c r="V697">
        <v>81</v>
      </c>
      <c r="W697">
        <v>76.5</v>
      </c>
      <c r="Z697">
        <v>99</v>
      </c>
      <c r="AA697" t="s">
        <v>97</v>
      </c>
      <c r="AB697">
        <v>99</v>
      </c>
    </row>
    <row r="698" spans="1:28" x14ac:dyDescent="0.2">
      <c r="A698" t="s">
        <v>92</v>
      </c>
      <c r="B698" t="s">
        <v>1096</v>
      </c>
      <c r="C698" t="s">
        <v>1396</v>
      </c>
      <c r="D698" t="s">
        <v>1397</v>
      </c>
      <c r="E698" t="s">
        <v>228</v>
      </c>
      <c r="F698">
        <v>249</v>
      </c>
      <c r="T698" t="s">
        <v>97</v>
      </c>
      <c r="V698">
        <v>203.73</v>
      </c>
      <c r="W698">
        <v>192.41</v>
      </c>
      <c r="Z698">
        <v>249</v>
      </c>
      <c r="AA698" t="s">
        <v>97</v>
      </c>
      <c r="AB698">
        <v>249</v>
      </c>
    </row>
    <row r="699" spans="1:28" x14ac:dyDescent="0.2">
      <c r="A699" t="s">
        <v>92</v>
      </c>
      <c r="B699" t="s">
        <v>1096</v>
      </c>
      <c r="C699" t="s">
        <v>1398</v>
      </c>
      <c r="D699" t="s">
        <v>1399</v>
      </c>
      <c r="E699" t="s">
        <v>228</v>
      </c>
      <c r="F699">
        <v>159</v>
      </c>
      <c r="T699" t="s">
        <v>97</v>
      </c>
      <c r="V699">
        <v>122.86</v>
      </c>
      <c r="W699">
        <v>122.86</v>
      </c>
      <c r="Z699">
        <v>159</v>
      </c>
      <c r="AA699" t="s">
        <v>97</v>
      </c>
      <c r="AB699">
        <v>159</v>
      </c>
    </row>
    <row r="700" spans="1:28" x14ac:dyDescent="0.2">
      <c r="A700" t="s">
        <v>92</v>
      </c>
      <c r="B700" t="s">
        <v>1096</v>
      </c>
      <c r="C700" t="s">
        <v>1400</v>
      </c>
      <c r="D700" t="s">
        <v>1401</v>
      </c>
      <c r="E700" t="s">
        <v>228</v>
      </c>
      <c r="F700">
        <v>149</v>
      </c>
      <c r="T700" t="s">
        <v>97</v>
      </c>
      <c r="V700">
        <v>121.91</v>
      </c>
      <c r="W700">
        <v>115.14</v>
      </c>
      <c r="X700">
        <v>0</v>
      </c>
      <c r="Y700">
        <v>0</v>
      </c>
      <c r="Z700">
        <v>149</v>
      </c>
      <c r="AA700" t="s">
        <v>97</v>
      </c>
      <c r="AB700">
        <v>149</v>
      </c>
    </row>
    <row r="701" spans="1:28" x14ac:dyDescent="0.2">
      <c r="A701" t="s">
        <v>92</v>
      </c>
      <c r="B701" t="s">
        <v>1096</v>
      </c>
      <c r="C701" t="s">
        <v>1402</v>
      </c>
      <c r="D701" t="s">
        <v>1403</v>
      </c>
      <c r="E701" t="s">
        <v>228</v>
      </c>
      <c r="F701">
        <v>259</v>
      </c>
      <c r="T701" t="s">
        <v>97</v>
      </c>
      <c r="V701">
        <v>200.14</v>
      </c>
      <c r="W701">
        <v>200.14</v>
      </c>
      <c r="Z701">
        <v>259</v>
      </c>
      <c r="AA701" t="s">
        <v>97</v>
      </c>
      <c r="AB701">
        <v>259</v>
      </c>
    </row>
    <row r="702" spans="1:28" x14ac:dyDescent="0.2">
      <c r="A702" t="s">
        <v>92</v>
      </c>
      <c r="B702" t="s">
        <v>1096</v>
      </c>
      <c r="C702" t="s">
        <v>1404</v>
      </c>
      <c r="D702" t="s">
        <v>1405</v>
      </c>
      <c r="E702" t="s">
        <v>228</v>
      </c>
      <c r="F702">
        <v>259</v>
      </c>
      <c r="T702" t="s">
        <v>97</v>
      </c>
      <c r="V702">
        <v>200.14</v>
      </c>
      <c r="W702">
        <v>200.14</v>
      </c>
      <c r="Z702">
        <v>259</v>
      </c>
      <c r="AA702" t="s">
        <v>97</v>
      </c>
      <c r="AB702">
        <v>259</v>
      </c>
    </row>
    <row r="703" spans="1:28" x14ac:dyDescent="0.2">
      <c r="A703" t="s">
        <v>92</v>
      </c>
      <c r="B703" t="s">
        <v>1096</v>
      </c>
      <c r="C703" t="s">
        <v>1406</v>
      </c>
      <c r="D703" t="s">
        <v>1407</v>
      </c>
      <c r="E703" t="s">
        <v>228</v>
      </c>
      <c r="F703">
        <v>249</v>
      </c>
      <c r="T703" t="s">
        <v>97</v>
      </c>
      <c r="V703">
        <v>192.41</v>
      </c>
      <c r="W703">
        <v>192.41</v>
      </c>
      <c r="Z703">
        <v>249</v>
      </c>
      <c r="AA703" t="s">
        <v>97</v>
      </c>
      <c r="AB703">
        <v>249</v>
      </c>
    </row>
    <row r="704" spans="1:28" x14ac:dyDescent="0.2">
      <c r="A704" t="s">
        <v>92</v>
      </c>
      <c r="B704" t="s">
        <v>1096</v>
      </c>
      <c r="C704" t="s">
        <v>1408</v>
      </c>
      <c r="D704" t="s">
        <v>1409</v>
      </c>
      <c r="E704" t="s">
        <v>228</v>
      </c>
      <c r="F704">
        <v>499</v>
      </c>
      <c r="T704" t="s">
        <v>97</v>
      </c>
      <c r="V704">
        <v>385.59</v>
      </c>
      <c r="W704">
        <v>385.59</v>
      </c>
      <c r="Z704">
        <v>499</v>
      </c>
      <c r="AA704" t="s">
        <v>97</v>
      </c>
      <c r="AB704">
        <v>499</v>
      </c>
    </row>
    <row r="705" spans="1:28" x14ac:dyDescent="0.2">
      <c r="A705" t="s">
        <v>92</v>
      </c>
      <c r="B705" t="s">
        <v>1096</v>
      </c>
      <c r="C705" t="s">
        <v>1410</v>
      </c>
      <c r="D705" t="s">
        <v>1411</v>
      </c>
      <c r="E705" t="s">
        <v>228</v>
      </c>
      <c r="F705">
        <v>899</v>
      </c>
      <c r="T705" t="s">
        <v>97</v>
      </c>
      <c r="W705">
        <v>735.55</v>
      </c>
      <c r="AA705" t="s">
        <v>97</v>
      </c>
    </row>
    <row r="706" spans="1:28" x14ac:dyDescent="0.2">
      <c r="A706" t="s">
        <v>92</v>
      </c>
      <c r="B706" t="s">
        <v>1096</v>
      </c>
      <c r="C706" t="s">
        <v>1412</v>
      </c>
      <c r="D706" t="s">
        <v>1413</v>
      </c>
      <c r="E706" t="s">
        <v>228</v>
      </c>
      <c r="F706">
        <v>679</v>
      </c>
      <c r="T706" t="s">
        <v>97</v>
      </c>
      <c r="V706">
        <v>524.67999999999995</v>
      </c>
      <c r="W706">
        <v>524.67999999999995</v>
      </c>
      <c r="Z706">
        <v>679</v>
      </c>
      <c r="AA706" t="s">
        <v>97</v>
      </c>
      <c r="AB706">
        <v>679</v>
      </c>
    </row>
    <row r="707" spans="1:28" x14ac:dyDescent="0.2">
      <c r="A707" t="s">
        <v>92</v>
      </c>
      <c r="B707" t="s">
        <v>1096</v>
      </c>
      <c r="C707" t="s">
        <v>1414</v>
      </c>
      <c r="D707" t="s">
        <v>1415</v>
      </c>
      <c r="E707" t="s">
        <v>228</v>
      </c>
      <c r="F707">
        <v>679</v>
      </c>
      <c r="T707" t="s">
        <v>97</v>
      </c>
      <c r="V707">
        <v>524.67999999999995</v>
      </c>
      <c r="W707">
        <v>524.67999999999995</v>
      </c>
      <c r="Z707">
        <v>679</v>
      </c>
      <c r="AA707" t="s">
        <v>97</v>
      </c>
      <c r="AB707">
        <v>679</v>
      </c>
    </row>
    <row r="708" spans="1:28" x14ac:dyDescent="0.2">
      <c r="A708" t="s">
        <v>92</v>
      </c>
      <c r="B708" t="s">
        <v>1096</v>
      </c>
      <c r="C708" t="s">
        <v>1416</v>
      </c>
      <c r="D708" t="s">
        <v>1417</v>
      </c>
      <c r="E708" t="s">
        <v>228</v>
      </c>
      <c r="F708">
        <v>719</v>
      </c>
      <c r="T708" t="s">
        <v>97</v>
      </c>
      <c r="W708">
        <v>555.59</v>
      </c>
      <c r="Z708">
        <v>719</v>
      </c>
      <c r="AA708" t="s">
        <v>97</v>
      </c>
      <c r="AB708">
        <v>719</v>
      </c>
    </row>
    <row r="709" spans="1:28" x14ac:dyDescent="0.2">
      <c r="A709" t="s">
        <v>92</v>
      </c>
      <c r="B709" t="s">
        <v>1096</v>
      </c>
      <c r="C709" t="s">
        <v>1418</v>
      </c>
      <c r="D709" t="s">
        <v>1419</v>
      </c>
      <c r="E709" t="s">
        <v>96</v>
      </c>
      <c r="F709">
        <v>669</v>
      </c>
      <c r="G709">
        <v>669</v>
      </c>
      <c r="T709" t="s">
        <v>97</v>
      </c>
      <c r="V709">
        <v>516.95000000000005</v>
      </c>
      <c r="W709">
        <v>516.95000000000005</v>
      </c>
      <c r="X709">
        <v>516.95000000000005</v>
      </c>
      <c r="Y709">
        <v>516.95000000000005</v>
      </c>
      <c r="Z709">
        <v>669</v>
      </c>
      <c r="AA709" t="s">
        <v>97</v>
      </c>
      <c r="AB709">
        <v>669</v>
      </c>
    </row>
    <row r="710" spans="1:28" x14ac:dyDescent="0.2">
      <c r="A710" t="s">
        <v>92</v>
      </c>
      <c r="B710" t="s">
        <v>1096</v>
      </c>
      <c r="C710" t="s">
        <v>1420</v>
      </c>
      <c r="D710" t="s">
        <v>1421</v>
      </c>
      <c r="E710" t="s">
        <v>96</v>
      </c>
      <c r="F710">
        <v>499</v>
      </c>
      <c r="G710">
        <v>599</v>
      </c>
      <c r="T710" t="s">
        <v>97</v>
      </c>
      <c r="V710">
        <v>408.27</v>
      </c>
      <c r="W710">
        <v>385.59</v>
      </c>
      <c r="X710">
        <v>0</v>
      </c>
      <c r="Y710">
        <v>0</v>
      </c>
      <c r="Z710">
        <v>499</v>
      </c>
      <c r="AA710" t="s">
        <v>97</v>
      </c>
      <c r="AB710">
        <v>499</v>
      </c>
    </row>
    <row r="711" spans="1:28" x14ac:dyDescent="0.2">
      <c r="A711" t="s">
        <v>92</v>
      </c>
      <c r="B711" t="s">
        <v>1096</v>
      </c>
      <c r="C711" t="s">
        <v>1422</v>
      </c>
      <c r="D711" t="s">
        <v>1423</v>
      </c>
      <c r="E711" t="s">
        <v>96</v>
      </c>
      <c r="F711">
        <v>589</v>
      </c>
      <c r="G711">
        <v>699</v>
      </c>
      <c r="T711" t="s">
        <v>97</v>
      </c>
      <c r="V711">
        <v>481.91</v>
      </c>
      <c r="W711">
        <v>455.14</v>
      </c>
      <c r="X711">
        <v>455.14</v>
      </c>
      <c r="Y711">
        <v>455.14</v>
      </c>
      <c r="Z711">
        <v>589</v>
      </c>
      <c r="AA711" t="s">
        <v>97</v>
      </c>
      <c r="AB711">
        <v>589</v>
      </c>
    </row>
    <row r="712" spans="1:28" x14ac:dyDescent="0.2">
      <c r="A712" t="s">
        <v>92</v>
      </c>
      <c r="B712" t="s">
        <v>1096</v>
      </c>
      <c r="C712" t="s">
        <v>1424</v>
      </c>
      <c r="D712" t="s">
        <v>1425</v>
      </c>
      <c r="E712" t="s">
        <v>228</v>
      </c>
      <c r="F712">
        <v>589</v>
      </c>
      <c r="G712">
        <v>699</v>
      </c>
      <c r="T712" t="s">
        <v>97</v>
      </c>
      <c r="V712">
        <v>481.91</v>
      </c>
      <c r="W712">
        <v>455.14</v>
      </c>
      <c r="X712">
        <v>0</v>
      </c>
      <c r="Y712">
        <v>0</v>
      </c>
      <c r="Z712">
        <v>589</v>
      </c>
      <c r="AA712" t="s">
        <v>97</v>
      </c>
      <c r="AB712">
        <v>589</v>
      </c>
    </row>
    <row r="713" spans="1:28" x14ac:dyDescent="0.2">
      <c r="A713" t="s">
        <v>92</v>
      </c>
      <c r="B713" t="s">
        <v>1096</v>
      </c>
      <c r="C713" t="s">
        <v>1426</v>
      </c>
      <c r="D713" t="s">
        <v>1427</v>
      </c>
      <c r="E713" t="s">
        <v>228</v>
      </c>
      <c r="F713">
        <v>679</v>
      </c>
      <c r="T713" t="s">
        <v>97</v>
      </c>
      <c r="V713">
        <v>555.54999999999995</v>
      </c>
      <c r="W713">
        <v>524.67999999999995</v>
      </c>
      <c r="Z713">
        <v>679</v>
      </c>
      <c r="AA713" t="s">
        <v>97</v>
      </c>
      <c r="AB713">
        <v>679</v>
      </c>
    </row>
    <row r="714" spans="1:28" x14ac:dyDescent="0.2">
      <c r="A714" t="s">
        <v>92</v>
      </c>
      <c r="B714" t="s">
        <v>1096</v>
      </c>
      <c r="C714" t="s">
        <v>8810</v>
      </c>
      <c r="D714" t="s">
        <v>1427</v>
      </c>
      <c r="E714" t="s">
        <v>96</v>
      </c>
      <c r="F714">
        <v>679</v>
      </c>
      <c r="G714">
        <v>779</v>
      </c>
      <c r="T714" t="s">
        <v>97</v>
      </c>
      <c r="V714">
        <v>555.54999999999995</v>
      </c>
      <c r="W714">
        <v>524.67999999999995</v>
      </c>
      <c r="X714">
        <v>0</v>
      </c>
      <c r="Y714">
        <v>0</v>
      </c>
      <c r="Z714">
        <v>679</v>
      </c>
      <c r="AA714" t="s">
        <v>97</v>
      </c>
      <c r="AB714">
        <v>679</v>
      </c>
    </row>
    <row r="715" spans="1:28" x14ac:dyDescent="0.2">
      <c r="A715" t="s">
        <v>92</v>
      </c>
      <c r="B715" t="s">
        <v>1096</v>
      </c>
      <c r="C715" t="s">
        <v>1428</v>
      </c>
      <c r="D715" t="s">
        <v>1429</v>
      </c>
      <c r="E715" t="s">
        <v>228</v>
      </c>
      <c r="F715">
        <v>679</v>
      </c>
      <c r="T715" t="s">
        <v>97</v>
      </c>
      <c r="V715">
        <v>555.54999999999995</v>
      </c>
      <c r="W715">
        <v>524.67999999999995</v>
      </c>
      <c r="Z715">
        <v>679</v>
      </c>
      <c r="AA715" t="s">
        <v>97</v>
      </c>
      <c r="AB715">
        <v>679</v>
      </c>
    </row>
    <row r="716" spans="1:28" x14ac:dyDescent="0.2">
      <c r="A716" t="s">
        <v>92</v>
      </c>
      <c r="B716" t="s">
        <v>1096</v>
      </c>
      <c r="C716" t="s">
        <v>1430</v>
      </c>
      <c r="D716" t="s">
        <v>1431</v>
      </c>
      <c r="E716" t="s">
        <v>96</v>
      </c>
      <c r="F716">
        <v>679</v>
      </c>
      <c r="G716">
        <v>779</v>
      </c>
      <c r="T716" t="s">
        <v>97</v>
      </c>
      <c r="V716">
        <v>555.54999999999995</v>
      </c>
      <c r="W716">
        <v>524.67999999999995</v>
      </c>
      <c r="X716">
        <v>524.67999999999995</v>
      </c>
      <c r="Y716">
        <v>524.67999999999995</v>
      </c>
      <c r="Z716">
        <v>679</v>
      </c>
      <c r="AA716" t="s">
        <v>97</v>
      </c>
      <c r="AB716">
        <v>679</v>
      </c>
    </row>
    <row r="717" spans="1:28" x14ac:dyDescent="0.2">
      <c r="A717" t="s">
        <v>92</v>
      </c>
      <c r="B717" t="s">
        <v>1096</v>
      </c>
      <c r="C717" t="s">
        <v>1432</v>
      </c>
      <c r="D717" t="s">
        <v>1433</v>
      </c>
      <c r="E717" t="s">
        <v>96</v>
      </c>
      <c r="F717">
        <v>679</v>
      </c>
      <c r="G717">
        <v>779</v>
      </c>
      <c r="T717" t="s">
        <v>97</v>
      </c>
      <c r="V717">
        <v>555.54999999999995</v>
      </c>
      <c r="W717">
        <v>524.67999999999995</v>
      </c>
      <c r="X717">
        <v>524.67999999999995</v>
      </c>
      <c r="Y717">
        <v>524.67999999999995</v>
      </c>
      <c r="Z717">
        <v>679</v>
      </c>
      <c r="AA717" t="s">
        <v>97</v>
      </c>
      <c r="AB717">
        <v>679</v>
      </c>
    </row>
    <row r="718" spans="1:28" x14ac:dyDescent="0.2">
      <c r="A718" t="s">
        <v>92</v>
      </c>
      <c r="B718" t="s">
        <v>1096</v>
      </c>
      <c r="C718" t="s">
        <v>1434</v>
      </c>
      <c r="D718" t="s">
        <v>1435</v>
      </c>
      <c r="E718" t="s">
        <v>96</v>
      </c>
      <c r="F718">
        <v>759</v>
      </c>
      <c r="G718">
        <v>849</v>
      </c>
      <c r="T718" t="s">
        <v>97</v>
      </c>
      <c r="V718">
        <v>621</v>
      </c>
      <c r="W718">
        <v>586.5</v>
      </c>
      <c r="X718">
        <v>586.5</v>
      </c>
      <c r="Y718">
        <v>586.5</v>
      </c>
      <c r="Z718">
        <v>759</v>
      </c>
      <c r="AA718" t="s">
        <v>97</v>
      </c>
      <c r="AB718">
        <v>759</v>
      </c>
    </row>
    <row r="719" spans="1:28" x14ac:dyDescent="0.2">
      <c r="A719" t="s">
        <v>92</v>
      </c>
      <c r="B719" t="s">
        <v>1096</v>
      </c>
      <c r="C719" t="s">
        <v>1436</v>
      </c>
      <c r="D719" t="s">
        <v>1437</v>
      </c>
      <c r="E719" t="s">
        <v>228</v>
      </c>
      <c r="F719">
        <v>499</v>
      </c>
      <c r="T719" t="s">
        <v>97</v>
      </c>
      <c r="V719">
        <v>408.27</v>
      </c>
      <c r="W719">
        <v>385.59</v>
      </c>
      <c r="Z719">
        <v>499</v>
      </c>
      <c r="AA719" t="s">
        <v>97</v>
      </c>
      <c r="AB719">
        <v>499</v>
      </c>
    </row>
    <row r="720" spans="1:28" x14ac:dyDescent="0.2">
      <c r="A720" t="s">
        <v>92</v>
      </c>
      <c r="B720" t="s">
        <v>1096</v>
      </c>
      <c r="C720" t="s">
        <v>1438</v>
      </c>
      <c r="D720" t="s">
        <v>1439</v>
      </c>
      <c r="E720" t="s">
        <v>96</v>
      </c>
      <c r="F720">
        <v>499</v>
      </c>
      <c r="G720">
        <v>599</v>
      </c>
      <c r="T720" t="s">
        <v>97</v>
      </c>
      <c r="V720">
        <v>408.27</v>
      </c>
      <c r="W720">
        <v>385.59</v>
      </c>
      <c r="X720">
        <v>385.59</v>
      </c>
      <c r="Y720">
        <v>385.59</v>
      </c>
      <c r="Z720">
        <v>499</v>
      </c>
      <c r="AA720" t="s">
        <v>97</v>
      </c>
      <c r="AB720">
        <v>499</v>
      </c>
    </row>
    <row r="721" spans="1:28" x14ac:dyDescent="0.2">
      <c r="A721" t="s">
        <v>92</v>
      </c>
      <c r="B721" t="s">
        <v>1096</v>
      </c>
      <c r="C721" t="s">
        <v>1440</v>
      </c>
      <c r="D721" t="s">
        <v>1441</v>
      </c>
      <c r="E721" t="s">
        <v>228</v>
      </c>
      <c r="F721">
        <v>499</v>
      </c>
      <c r="T721" t="s">
        <v>97</v>
      </c>
      <c r="V721">
        <v>408.27</v>
      </c>
      <c r="W721">
        <v>385.59</v>
      </c>
      <c r="Z721">
        <v>499</v>
      </c>
      <c r="AA721" t="s">
        <v>97</v>
      </c>
      <c r="AB721">
        <v>499</v>
      </c>
    </row>
    <row r="722" spans="1:28" x14ac:dyDescent="0.2">
      <c r="A722" t="s">
        <v>92</v>
      </c>
      <c r="B722" t="s">
        <v>1096</v>
      </c>
      <c r="C722" t="s">
        <v>1442</v>
      </c>
      <c r="D722" t="s">
        <v>1443</v>
      </c>
      <c r="E722" t="s">
        <v>96</v>
      </c>
      <c r="F722">
        <v>499</v>
      </c>
      <c r="G722">
        <v>599</v>
      </c>
      <c r="T722" t="s">
        <v>97</v>
      </c>
      <c r="V722">
        <v>408.27</v>
      </c>
      <c r="W722">
        <v>385.59</v>
      </c>
      <c r="X722">
        <v>0</v>
      </c>
      <c r="Y722">
        <v>0</v>
      </c>
      <c r="Z722">
        <v>499</v>
      </c>
      <c r="AA722" t="s">
        <v>97</v>
      </c>
      <c r="AB722">
        <v>499</v>
      </c>
    </row>
    <row r="723" spans="1:28" x14ac:dyDescent="0.2">
      <c r="A723" t="s">
        <v>92</v>
      </c>
      <c r="B723" t="s">
        <v>1096</v>
      </c>
      <c r="C723" t="s">
        <v>1444</v>
      </c>
      <c r="D723" t="s">
        <v>1445</v>
      </c>
      <c r="E723" t="s">
        <v>228</v>
      </c>
      <c r="F723">
        <v>589</v>
      </c>
      <c r="G723">
        <v>699</v>
      </c>
      <c r="T723" t="s">
        <v>97</v>
      </c>
      <c r="V723">
        <v>481.91</v>
      </c>
      <c r="W723">
        <v>455.14</v>
      </c>
      <c r="X723">
        <v>0</v>
      </c>
      <c r="Y723">
        <v>0</v>
      </c>
      <c r="Z723">
        <v>589</v>
      </c>
      <c r="AA723" t="s">
        <v>97</v>
      </c>
      <c r="AB723">
        <v>589</v>
      </c>
    </row>
    <row r="724" spans="1:28" x14ac:dyDescent="0.2">
      <c r="A724" t="s">
        <v>92</v>
      </c>
      <c r="B724" t="s">
        <v>1096</v>
      </c>
      <c r="C724" t="s">
        <v>1446</v>
      </c>
      <c r="D724" t="s">
        <v>1447</v>
      </c>
      <c r="E724" t="s">
        <v>96</v>
      </c>
      <c r="F724">
        <v>679</v>
      </c>
      <c r="G724">
        <v>779</v>
      </c>
      <c r="T724" t="s">
        <v>97</v>
      </c>
      <c r="V724">
        <v>555.54999999999995</v>
      </c>
      <c r="W724">
        <v>524.67999999999995</v>
      </c>
      <c r="X724">
        <v>0</v>
      </c>
      <c r="Y724">
        <v>0</v>
      </c>
      <c r="Z724">
        <v>679</v>
      </c>
      <c r="AA724" t="s">
        <v>97</v>
      </c>
      <c r="AB724">
        <v>679</v>
      </c>
    </row>
    <row r="725" spans="1:28" x14ac:dyDescent="0.2">
      <c r="A725" t="s">
        <v>92</v>
      </c>
      <c r="B725" t="s">
        <v>1096</v>
      </c>
      <c r="C725" t="s">
        <v>1448</v>
      </c>
      <c r="D725" t="s">
        <v>1449</v>
      </c>
      <c r="E725" t="s">
        <v>96</v>
      </c>
      <c r="F725">
        <v>679</v>
      </c>
      <c r="G725">
        <v>779</v>
      </c>
      <c r="T725" t="s">
        <v>97</v>
      </c>
      <c r="V725">
        <v>555.54999999999995</v>
      </c>
      <c r="W725">
        <v>524.67999999999995</v>
      </c>
      <c r="X725">
        <v>524.67999999999995</v>
      </c>
      <c r="Y725">
        <v>524.67999999999995</v>
      </c>
      <c r="Z725">
        <v>679</v>
      </c>
      <c r="AA725" t="s">
        <v>97</v>
      </c>
      <c r="AB725">
        <v>679</v>
      </c>
    </row>
    <row r="726" spans="1:28" x14ac:dyDescent="0.2">
      <c r="A726" t="s">
        <v>92</v>
      </c>
      <c r="B726" t="s">
        <v>1096</v>
      </c>
      <c r="C726" t="s">
        <v>1450</v>
      </c>
      <c r="D726" t="s">
        <v>1451</v>
      </c>
      <c r="E726" t="s">
        <v>96</v>
      </c>
      <c r="F726">
        <v>679</v>
      </c>
      <c r="G726">
        <v>779</v>
      </c>
      <c r="T726" t="s">
        <v>97</v>
      </c>
      <c r="V726">
        <v>555.54999999999995</v>
      </c>
      <c r="W726">
        <v>524.67999999999995</v>
      </c>
      <c r="X726">
        <v>524.67999999999995</v>
      </c>
      <c r="Y726">
        <v>524.67999999999995</v>
      </c>
      <c r="Z726">
        <v>679</v>
      </c>
      <c r="AA726" t="s">
        <v>97</v>
      </c>
      <c r="AB726">
        <v>679</v>
      </c>
    </row>
    <row r="727" spans="1:28" x14ac:dyDescent="0.2">
      <c r="A727" t="s">
        <v>92</v>
      </c>
      <c r="B727" t="s">
        <v>1096</v>
      </c>
      <c r="C727" t="s">
        <v>1452</v>
      </c>
      <c r="D727" t="s">
        <v>1453</v>
      </c>
      <c r="E727" t="s">
        <v>96</v>
      </c>
      <c r="F727">
        <v>679</v>
      </c>
      <c r="G727">
        <v>779</v>
      </c>
      <c r="T727" t="s">
        <v>97</v>
      </c>
      <c r="V727">
        <v>555.54999999999995</v>
      </c>
      <c r="W727">
        <v>524.67999999999995</v>
      </c>
      <c r="X727">
        <v>524.67999999999995</v>
      </c>
      <c r="Y727">
        <v>524.67999999999995</v>
      </c>
      <c r="Z727">
        <v>679</v>
      </c>
      <c r="AA727" t="s">
        <v>97</v>
      </c>
      <c r="AB727">
        <v>679</v>
      </c>
    </row>
    <row r="728" spans="1:28" x14ac:dyDescent="0.2">
      <c r="A728" t="s">
        <v>92</v>
      </c>
      <c r="B728" t="s">
        <v>1096</v>
      </c>
      <c r="C728" t="s">
        <v>1454</v>
      </c>
      <c r="D728" t="s">
        <v>1455</v>
      </c>
      <c r="E728" t="s">
        <v>96</v>
      </c>
      <c r="F728">
        <v>499</v>
      </c>
      <c r="G728">
        <v>599</v>
      </c>
      <c r="T728" t="s">
        <v>97</v>
      </c>
      <c r="V728">
        <v>408.27</v>
      </c>
      <c r="W728">
        <v>385.59</v>
      </c>
      <c r="X728">
        <v>385.59</v>
      </c>
      <c r="Y728">
        <v>385.59</v>
      </c>
      <c r="Z728">
        <v>499</v>
      </c>
      <c r="AA728" t="s">
        <v>97</v>
      </c>
      <c r="AB728">
        <v>499</v>
      </c>
    </row>
    <row r="729" spans="1:28" x14ac:dyDescent="0.2">
      <c r="A729" t="s">
        <v>92</v>
      </c>
      <c r="B729" t="s">
        <v>1096</v>
      </c>
      <c r="C729" t="s">
        <v>1456</v>
      </c>
      <c r="D729" t="s">
        <v>1457</v>
      </c>
      <c r="E729" t="s">
        <v>228</v>
      </c>
      <c r="F729">
        <v>769</v>
      </c>
      <c r="T729" t="s">
        <v>97</v>
      </c>
      <c r="V729">
        <v>594.23</v>
      </c>
      <c r="W729">
        <v>594.23</v>
      </c>
      <c r="Z729">
        <v>769</v>
      </c>
      <c r="AA729" t="s">
        <v>97</v>
      </c>
      <c r="AB729">
        <v>769</v>
      </c>
    </row>
    <row r="730" spans="1:28" x14ac:dyDescent="0.2">
      <c r="A730" t="s">
        <v>92</v>
      </c>
      <c r="B730" t="s">
        <v>1096</v>
      </c>
      <c r="C730" t="s">
        <v>1458</v>
      </c>
      <c r="D730" t="s">
        <v>1459</v>
      </c>
      <c r="E730" t="s">
        <v>228</v>
      </c>
      <c r="F730">
        <v>769</v>
      </c>
      <c r="T730" t="s">
        <v>97</v>
      </c>
      <c r="V730">
        <v>594.23</v>
      </c>
      <c r="W730">
        <v>594.23</v>
      </c>
      <c r="Z730">
        <v>769</v>
      </c>
      <c r="AA730" t="s">
        <v>97</v>
      </c>
      <c r="AB730">
        <v>769</v>
      </c>
    </row>
    <row r="731" spans="1:28" x14ac:dyDescent="0.2">
      <c r="A731" t="s">
        <v>92</v>
      </c>
      <c r="B731" t="s">
        <v>1096</v>
      </c>
      <c r="C731" t="s">
        <v>1460</v>
      </c>
      <c r="D731" t="s">
        <v>1461</v>
      </c>
      <c r="E731" t="s">
        <v>228</v>
      </c>
      <c r="F731">
        <v>769</v>
      </c>
      <c r="T731" t="s">
        <v>97</v>
      </c>
      <c r="V731">
        <v>594.23</v>
      </c>
      <c r="W731">
        <v>594.23</v>
      </c>
      <c r="Z731">
        <v>769</v>
      </c>
      <c r="AA731" t="s">
        <v>97</v>
      </c>
      <c r="AB731">
        <v>769</v>
      </c>
    </row>
    <row r="732" spans="1:28" x14ac:dyDescent="0.2">
      <c r="A732" t="s">
        <v>92</v>
      </c>
      <c r="B732" t="s">
        <v>1096</v>
      </c>
      <c r="C732" t="s">
        <v>1462</v>
      </c>
      <c r="D732" t="s">
        <v>1463</v>
      </c>
      <c r="E732" t="s">
        <v>228</v>
      </c>
      <c r="F732">
        <v>769</v>
      </c>
      <c r="T732" t="s">
        <v>97</v>
      </c>
      <c r="V732">
        <v>594.23</v>
      </c>
      <c r="W732">
        <v>594.23</v>
      </c>
      <c r="Z732">
        <v>769</v>
      </c>
      <c r="AA732" t="s">
        <v>97</v>
      </c>
      <c r="AB732">
        <v>769</v>
      </c>
    </row>
    <row r="733" spans="1:28" x14ac:dyDescent="0.2">
      <c r="A733" t="s">
        <v>92</v>
      </c>
      <c r="B733" t="s">
        <v>1096</v>
      </c>
      <c r="C733" t="s">
        <v>1464</v>
      </c>
      <c r="D733" t="s">
        <v>1465</v>
      </c>
      <c r="E733" t="s">
        <v>228</v>
      </c>
      <c r="F733">
        <v>849</v>
      </c>
      <c r="T733" t="s">
        <v>97</v>
      </c>
      <c r="V733">
        <v>656.05</v>
      </c>
      <c r="W733">
        <v>656.05</v>
      </c>
      <c r="Z733">
        <v>849</v>
      </c>
      <c r="AA733" t="s">
        <v>97</v>
      </c>
      <c r="AB733">
        <v>849</v>
      </c>
    </row>
    <row r="734" spans="1:28" x14ac:dyDescent="0.2">
      <c r="A734" t="s">
        <v>92</v>
      </c>
      <c r="B734" t="s">
        <v>1096</v>
      </c>
      <c r="C734" t="s">
        <v>1466</v>
      </c>
      <c r="D734" t="s">
        <v>1467</v>
      </c>
      <c r="E734" t="s">
        <v>228</v>
      </c>
      <c r="F734">
        <v>849</v>
      </c>
      <c r="T734" t="s">
        <v>97</v>
      </c>
      <c r="V734">
        <v>656.05</v>
      </c>
      <c r="W734">
        <v>656.05</v>
      </c>
      <c r="Z734">
        <v>849</v>
      </c>
      <c r="AA734" t="s">
        <v>97</v>
      </c>
      <c r="AB734">
        <v>849</v>
      </c>
    </row>
    <row r="735" spans="1:28" x14ac:dyDescent="0.2">
      <c r="A735" t="s">
        <v>92</v>
      </c>
      <c r="B735" t="s">
        <v>1096</v>
      </c>
      <c r="C735" t="s">
        <v>1468</v>
      </c>
      <c r="D735" t="s">
        <v>1469</v>
      </c>
      <c r="E735" t="s">
        <v>228</v>
      </c>
      <c r="F735">
        <v>829</v>
      </c>
      <c r="T735" t="s">
        <v>97</v>
      </c>
      <c r="W735">
        <v>678.27</v>
      </c>
      <c r="AA735" t="s">
        <v>97</v>
      </c>
    </row>
    <row r="736" spans="1:28" x14ac:dyDescent="0.2">
      <c r="A736" t="s">
        <v>92</v>
      </c>
      <c r="B736" t="s">
        <v>1096</v>
      </c>
      <c r="C736" t="s">
        <v>1470</v>
      </c>
      <c r="D736" t="s">
        <v>1471</v>
      </c>
      <c r="E736" t="s">
        <v>228</v>
      </c>
      <c r="F736">
        <v>729</v>
      </c>
      <c r="T736" t="s">
        <v>97</v>
      </c>
      <c r="W736">
        <v>596.45000000000005</v>
      </c>
      <c r="AA736" t="s">
        <v>97</v>
      </c>
    </row>
    <row r="737" spans="1:28" x14ac:dyDescent="0.2">
      <c r="A737" t="s">
        <v>92</v>
      </c>
      <c r="B737" t="s">
        <v>1096</v>
      </c>
      <c r="C737" t="s">
        <v>1472</v>
      </c>
      <c r="D737" t="s">
        <v>1473</v>
      </c>
      <c r="E737" t="s">
        <v>228</v>
      </c>
      <c r="F737">
        <v>929</v>
      </c>
      <c r="T737" t="s">
        <v>97</v>
      </c>
      <c r="W737">
        <v>760.09</v>
      </c>
      <c r="Z737">
        <v>929</v>
      </c>
      <c r="AA737" t="s">
        <v>97</v>
      </c>
    </row>
    <row r="738" spans="1:28" x14ac:dyDescent="0.2">
      <c r="A738" t="s">
        <v>92</v>
      </c>
      <c r="B738" t="s">
        <v>1096</v>
      </c>
      <c r="C738" t="s">
        <v>1474</v>
      </c>
      <c r="D738" t="s">
        <v>1475</v>
      </c>
      <c r="E738" t="s">
        <v>228</v>
      </c>
      <c r="F738">
        <v>929</v>
      </c>
      <c r="T738" t="s">
        <v>97</v>
      </c>
      <c r="W738">
        <v>760.09</v>
      </c>
      <c r="AA738" t="s">
        <v>97</v>
      </c>
    </row>
    <row r="739" spans="1:28" x14ac:dyDescent="0.2">
      <c r="A739" t="s">
        <v>92</v>
      </c>
      <c r="B739" t="s">
        <v>1096</v>
      </c>
      <c r="C739" t="s">
        <v>1476</v>
      </c>
      <c r="D739" t="s">
        <v>1477</v>
      </c>
      <c r="E739" t="s">
        <v>228</v>
      </c>
      <c r="F739">
        <v>1099</v>
      </c>
      <c r="T739" t="s">
        <v>97</v>
      </c>
      <c r="W739">
        <v>899.18</v>
      </c>
      <c r="Z739">
        <v>1099</v>
      </c>
      <c r="AA739" t="s">
        <v>97</v>
      </c>
    </row>
    <row r="740" spans="1:28" x14ac:dyDescent="0.2">
      <c r="A740" t="s">
        <v>92</v>
      </c>
      <c r="B740" t="s">
        <v>1096</v>
      </c>
      <c r="C740" t="s">
        <v>8811</v>
      </c>
      <c r="D740" t="s">
        <v>1479</v>
      </c>
      <c r="E740" t="s">
        <v>96</v>
      </c>
      <c r="F740">
        <v>829</v>
      </c>
      <c r="T740" t="s">
        <v>97</v>
      </c>
      <c r="W740">
        <v>678.27</v>
      </c>
      <c r="X740">
        <v>0</v>
      </c>
      <c r="Y740">
        <v>0</v>
      </c>
      <c r="AA740" t="s">
        <v>97</v>
      </c>
    </row>
    <row r="741" spans="1:28" x14ac:dyDescent="0.2">
      <c r="A741" t="s">
        <v>92</v>
      </c>
      <c r="B741" t="s">
        <v>1096</v>
      </c>
      <c r="C741" t="s">
        <v>1478</v>
      </c>
      <c r="D741" t="s">
        <v>1479</v>
      </c>
      <c r="E741" t="s">
        <v>228</v>
      </c>
      <c r="F741">
        <v>829</v>
      </c>
      <c r="T741" t="s">
        <v>97</v>
      </c>
      <c r="W741">
        <v>678.27</v>
      </c>
      <c r="AA741" t="s">
        <v>97</v>
      </c>
    </row>
    <row r="742" spans="1:28" x14ac:dyDescent="0.2">
      <c r="A742" t="s">
        <v>92</v>
      </c>
      <c r="B742" t="s">
        <v>1096</v>
      </c>
      <c r="C742" t="s">
        <v>1480</v>
      </c>
      <c r="D742" t="s">
        <v>1481</v>
      </c>
      <c r="E742" t="s">
        <v>228</v>
      </c>
      <c r="F742">
        <v>999</v>
      </c>
      <c r="T742" t="s">
        <v>97</v>
      </c>
      <c r="W742">
        <v>817.36</v>
      </c>
      <c r="Z742">
        <v>999</v>
      </c>
      <c r="AA742" t="s">
        <v>97</v>
      </c>
    </row>
    <row r="743" spans="1:28" x14ac:dyDescent="0.2">
      <c r="A743" t="s">
        <v>92</v>
      </c>
      <c r="B743" t="s">
        <v>1096</v>
      </c>
      <c r="C743" t="s">
        <v>1482</v>
      </c>
      <c r="D743" t="s">
        <v>1483</v>
      </c>
      <c r="E743" t="s">
        <v>228</v>
      </c>
      <c r="F743">
        <v>679</v>
      </c>
      <c r="T743" t="s">
        <v>97</v>
      </c>
      <c r="W743">
        <v>524.67999999999995</v>
      </c>
      <c r="Z743">
        <v>679</v>
      </c>
      <c r="AA743" t="s">
        <v>97</v>
      </c>
      <c r="AB743">
        <v>679</v>
      </c>
    </row>
    <row r="744" spans="1:28" x14ac:dyDescent="0.2">
      <c r="A744" t="s">
        <v>92</v>
      </c>
      <c r="B744" t="s">
        <v>1096</v>
      </c>
      <c r="C744" t="s">
        <v>1484</v>
      </c>
      <c r="D744" t="s">
        <v>1485</v>
      </c>
      <c r="E744" t="s">
        <v>228</v>
      </c>
      <c r="F744">
        <v>679</v>
      </c>
      <c r="T744" t="s">
        <v>97</v>
      </c>
      <c r="V744">
        <v>524.67999999999995</v>
      </c>
      <c r="W744">
        <v>524.67999999999995</v>
      </c>
      <c r="Z744">
        <v>679</v>
      </c>
      <c r="AA744" t="s">
        <v>97</v>
      </c>
      <c r="AB744">
        <v>679</v>
      </c>
    </row>
    <row r="745" spans="1:28" x14ac:dyDescent="0.2">
      <c r="A745" t="s">
        <v>92</v>
      </c>
      <c r="B745" t="s">
        <v>1096</v>
      </c>
      <c r="C745" t="s">
        <v>1486</v>
      </c>
      <c r="D745" t="s">
        <v>1487</v>
      </c>
      <c r="E745" t="s">
        <v>228</v>
      </c>
      <c r="F745">
        <v>999</v>
      </c>
      <c r="T745" t="s">
        <v>97</v>
      </c>
      <c r="W745">
        <v>817.36</v>
      </c>
      <c r="AA745" t="s">
        <v>97</v>
      </c>
      <c r="AB745">
        <v>999</v>
      </c>
    </row>
    <row r="746" spans="1:28" x14ac:dyDescent="0.2">
      <c r="A746" t="s">
        <v>92</v>
      </c>
      <c r="B746" t="s">
        <v>1096</v>
      </c>
      <c r="C746" t="s">
        <v>1488</v>
      </c>
      <c r="D746" t="s">
        <v>1489</v>
      </c>
      <c r="E746" t="s">
        <v>228</v>
      </c>
      <c r="F746">
        <v>999</v>
      </c>
      <c r="T746" t="s">
        <v>97</v>
      </c>
      <c r="W746">
        <v>817.36</v>
      </c>
      <c r="AA746" t="s">
        <v>97</v>
      </c>
      <c r="AB746">
        <v>999</v>
      </c>
    </row>
    <row r="747" spans="1:28" x14ac:dyDescent="0.2">
      <c r="A747" t="s">
        <v>92</v>
      </c>
      <c r="B747" t="s">
        <v>1096</v>
      </c>
      <c r="C747" t="s">
        <v>1490</v>
      </c>
      <c r="D747" t="s">
        <v>1491</v>
      </c>
      <c r="E747" t="s">
        <v>228</v>
      </c>
      <c r="F747">
        <v>1179</v>
      </c>
      <c r="T747" t="s">
        <v>97</v>
      </c>
      <c r="W747">
        <v>964.64</v>
      </c>
      <c r="AA747" t="s">
        <v>97</v>
      </c>
      <c r="AB747">
        <v>1179</v>
      </c>
    </row>
    <row r="748" spans="1:28" x14ac:dyDescent="0.2">
      <c r="A748" t="s">
        <v>92</v>
      </c>
      <c r="B748" t="s">
        <v>1096</v>
      </c>
      <c r="C748" t="s">
        <v>1492</v>
      </c>
      <c r="D748" t="s">
        <v>1493</v>
      </c>
      <c r="E748" t="s">
        <v>228</v>
      </c>
      <c r="F748">
        <v>769</v>
      </c>
      <c r="T748" t="s">
        <v>97</v>
      </c>
      <c r="V748">
        <v>594.23</v>
      </c>
      <c r="W748">
        <v>594.23</v>
      </c>
      <c r="Z748">
        <v>769</v>
      </c>
      <c r="AA748" t="s">
        <v>97</v>
      </c>
      <c r="AB748">
        <v>769</v>
      </c>
    </row>
    <row r="749" spans="1:28" x14ac:dyDescent="0.2">
      <c r="A749" t="s">
        <v>92</v>
      </c>
      <c r="B749" t="s">
        <v>1096</v>
      </c>
      <c r="C749" t="s">
        <v>1494</v>
      </c>
      <c r="D749" t="s">
        <v>1495</v>
      </c>
      <c r="E749" t="s">
        <v>228</v>
      </c>
      <c r="F749">
        <v>769</v>
      </c>
      <c r="T749" t="s">
        <v>97</v>
      </c>
      <c r="V749">
        <v>594.23</v>
      </c>
      <c r="W749">
        <v>594.23</v>
      </c>
      <c r="Z749">
        <v>769</v>
      </c>
      <c r="AA749" t="s">
        <v>97</v>
      </c>
      <c r="AB749">
        <v>769</v>
      </c>
    </row>
    <row r="750" spans="1:28" x14ac:dyDescent="0.2">
      <c r="A750" t="s">
        <v>92</v>
      </c>
      <c r="B750" t="s">
        <v>1096</v>
      </c>
      <c r="C750" t="s">
        <v>1496</v>
      </c>
      <c r="D750" t="s">
        <v>1497</v>
      </c>
      <c r="E750" t="s">
        <v>228</v>
      </c>
      <c r="F750">
        <v>849</v>
      </c>
      <c r="T750" t="s">
        <v>97</v>
      </c>
      <c r="V750">
        <v>656.05</v>
      </c>
      <c r="W750">
        <v>656.05</v>
      </c>
      <c r="Z750">
        <v>849</v>
      </c>
      <c r="AA750" t="s">
        <v>97</v>
      </c>
      <c r="AB750">
        <v>849</v>
      </c>
    </row>
    <row r="751" spans="1:28" x14ac:dyDescent="0.2">
      <c r="A751" t="s">
        <v>92</v>
      </c>
      <c r="B751" t="s">
        <v>1096</v>
      </c>
      <c r="C751" t="s">
        <v>1498</v>
      </c>
      <c r="D751" t="s">
        <v>1499</v>
      </c>
      <c r="E751" t="s">
        <v>228</v>
      </c>
      <c r="F751">
        <v>549</v>
      </c>
      <c r="T751" t="s">
        <v>97</v>
      </c>
      <c r="W751">
        <v>449.18</v>
      </c>
      <c r="AA751" t="s">
        <v>97</v>
      </c>
    </row>
    <row r="752" spans="1:28" x14ac:dyDescent="0.2">
      <c r="A752" t="s">
        <v>92</v>
      </c>
      <c r="B752" t="s">
        <v>1096</v>
      </c>
      <c r="C752" t="s">
        <v>1500</v>
      </c>
      <c r="D752" t="s">
        <v>1501</v>
      </c>
      <c r="E752" t="s">
        <v>228</v>
      </c>
      <c r="F752">
        <v>549</v>
      </c>
      <c r="T752" t="s">
        <v>97</v>
      </c>
      <c r="W752">
        <v>449.18</v>
      </c>
      <c r="AA752" t="s">
        <v>97</v>
      </c>
    </row>
    <row r="753" spans="1:28" x14ac:dyDescent="0.2">
      <c r="A753" t="s">
        <v>92</v>
      </c>
      <c r="B753" t="s">
        <v>1096</v>
      </c>
      <c r="C753" t="s">
        <v>1502</v>
      </c>
      <c r="D753" t="s">
        <v>1503</v>
      </c>
      <c r="E753" t="s">
        <v>228</v>
      </c>
      <c r="F753">
        <v>429</v>
      </c>
      <c r="T753" t="s">
        <v>97</v>
      </c>
      <c r="V753">
        <v>351</v>
      </c>
      <c r="W753">
        <v>331.5</v>
      </c>
      <c r="Z753">
        <v>429</v>
      </c>
      <c r="AA753" t="s">
        <v>97</v>
      </c>
      <c r="AB753">
        <v>429</v>
      </c>
    </row>
    <row r="754" spans="1:28" x14ac:dyDescent="0.2">
      <c r="A754" t="s">
        <v>92</v>
      </c>
      <c r="B754" t="s">
        <v>1096</v>
      </c>
      <c r="C754" t="s">
        <v>1504</v>
      </c>
      <c r="D754" t="s">
        <v>1505</v>
      </c>
      <c r="E754" t="s">
        <v>228</v>
      </c>
      <c r="F754">
        <v>429</v>
      </c>
      <c r="T754" t="s">
        <v>97</v>
      </c>
      <c r="V754">
        <v>351</v>
      </c>
      <c r="W754">
        <v>331.5</v>
      </c>
      <c r="Z754">
        <v>429</v>
      </c>
      <c r="AA754" t="s">
        <v>97</v>
      </c>
      <c r="AB754">
        <v>429</v>
      </c>
    </row>
    <row r="755" spans="1:28" x14ac:dyDescent="0.2">
      <c r="A755" t="s">
        <v>92</v>
      </c>
      <c r="B755" t="s">
        <v>1096</v>
      </c>
      <c r="C755" t="s">
        <v>1506</v>
      </c>
      <c r="D755" t="s">
        <v>1507</v>
      </c>
      <c r="E755" t="s">
        <v>228</v>
      </c>
      <c r="F755">
        <v>499</v>
      </c>
      <c r="T755" t="s">
        <v>97</v>
      </c>
      <c r="V755">
        <v>408.27</v>
      </c>
      <c r="W755">
        <v>385.59</v>
      </c>
      <c r="AA755" t="s">
        <v>97</v>
      </c>
    </row>
    <row r="756" spans="1:28" x14ac:dyDescent="0.2">
      <c r="A756" t="s">
        <v>92</v>
      </c>
      <c r="B756" t="s">
        <v>1096</v>
      </c>
      <c r="C756" t="s">
        <v>1508</v>
      </c>
      <c r="D756" t="s">
        <v>1509</v>
      </c>
      <c r="E756" t="s">
        <v>228</v>
      </c>
      <c r="F756">
        <v>499</v>
      </c>
      <c r="T756" t="s">
        <v>97</v>
      </c>
      <c r="V756">
        <v>408.27</v>
      </c>
      <c r="W756">
        <v>385.59</v>
      </c>
      <c r="AA756" t="s">
        <v>97</v>
      </c>
    </row>
    <row r="757" spans="1:28" x14ac:dyDescent="0.2">
      <c r="A757" t="s">
        <v>92</v>
      </c>
      <c r="B757" t="s">
        <v>1096</v>
      </c>
      <c r="C757" t="s">
        <v>1510</v>
      </c>
      <c r="D757" t="s">
        <v>1511</v>
      </c>
      <c r="E757" t="s">
        <v>228</v>
      </c>
      <c r="F757">
        <v>499</v>
      </c>
      <c r="T757" t="s">
        <v>97</v>
      </c>
      <c r="V757">
        <v>408.27</v>
      </c>
      <c r="W757">
        <v>385.59</v>
      </c>
      <c r="AA757" t="s">
        <v>97</v>
      </c>
    </row>
    <row r="758" spans="1:28" x14ac:dyDescent="0.2">
      <c r="A758" t="s">
        <v>92</v>
      </c>
      <c r="B758" t="s">
        <v>1096</v>
      </c>
      <c r="C758" t="s">
        <v>1512</v>
      </c>
      <c r="D758" t="s">
        <v>1513</v>
      </c>
      <c r="E758" t="s">
        <v>228</v>
      </c>
      <c r="F758">
        <v>499</v>
      </c>
      <c r="T758" t="s">
        <v>97</v>
      </c>
      <c r="V758">
        <v>408.27</v>
      </c>
      <c r="W758">
        <v>385.59</v>
      </c>
      <c r="Z758">
        <v>499</v>
      </c>
      <c r="AA758" t="s">
        <v>97</v>
      </c>
      <c r="AB758">
        <v>499</v>
      </c>
    </row>
    <row r="759" spans="1:28" x14ac:dyDescent="0.2">
      <c r="A759" t="s">
        <v>92</v>
      </c>
      <c r="B759" t="s">
        <v>1096</v>
      </c>
      <c r="C759" t="s">
        <v>1514</v>
      </c>
      <c r="D759" t="s">
        <v>1515</v>
      </c>
      <c r="E759" t="s">
        <v>228</v>
      </c>
      <c r="F759">
        <v>499</v>
      </c>
      <c r="T759" t="s">
        <v>97</v>
      </c>
      <c r="V759">
        <v>408.27</v>
      </c>
      <c r="W759">
        <v>385.59</v>
      </c>
      <c r="Z759">
        <v>499</v>
      </c>
      <c r="AA759" t="s">
        <v>97</v>
      </c>
      <c r="AB759">
        <v>499</v>
      </c>
    </row>
    <row r="760" spans="1:28" x14ac:dyDescent="0.2">
      <c r="A760" t="s">
        <v>92</v>
      </c>
      <c r="B760" t="s">
        <v>1096</v>
      </c>
      <c r="C760" t="s">
        <v>1516</v>
      </c>
      <c r="D760" t="s">
        <v>1517</v>
      </c>
      <c r="E760" t="s">
        <v>228</v>
      </c>
      <c r="F760">
        <v>469</v>
      </c>
      <c r="T760" t="s">
        <v>97</v>
      </c>
      <c r="V760">
        <v>383.73</v>
      </c>
      <c r="W760">
        <v>362.41</v>
      </c>
      <c r="Z760">
        <v>469</v>
      </c>
      <c r="AA760" t="s">
        <v>97</v>
      </c>
      <c r="AB760">
        <v>469</v>
      </c>
    </row>
    <row r="761" spans="1:28" x14ac:dyDescent="0.2">
      <c r="A761" t="s">
        <v>92</v>
      </c>
      <c r="B761" t="s">
        <v>1096</v>
      </c>
      <c r="C761" t="s">
        <v>1518</v>
      </c>
      <c r="D761" t="s">
        <v>1519</v>
      </c>
      <c r="E761" t="s">
        <v>228</v>
      </c>
      <c r="F761">
        <v>469</v>
      </c>
      <c r="T761" t="s">
        <v>97</v>
      </c>
      <c r="V761">
        <v>383.73</v>
      </c>
      <c r="W761">
        <v>362.41</v>
      </c>
      <c r="Z761">
        <v>469</v>
      </c>
      <c r="AA761" t="s">
        <v>97</v>
      </c>
      <c r="AB761">
        <v>469</v>
      </c>
    </row>
    <row r="762" spans="1:28" x14ac:dyDescent="0.2">
      <c r="A762" t="s">
        <v>92</v>
      </c>
      <c r="B762" t="s">
        <v>1096</v>
      </c>
      <c r="C762" t="s">
        <v>1520</v>
      </c>
      <c r="D762" t="s">
        <v>1521</v>
      </c>
      <c r="E762" t="s">
        <v>96</v>
      </c>
      <c r="F762">
        <v>429</v>
      </c>
      <c r="G762">
        <v>429</v>
      </c>
      <c r="T762" t="s">
        <v>97</v>
      </c>
      <c r="V762">
        <v>331.5</v>
      </c>
      <c r="W762">
        <v>331.5</v>
      </c>
      <c r="X762">
        <v>0</v>
      </c>
      <c r="Y762">
        <v>0</v>
      </c>
      <c r="Z762">
        <v>429</v>
      </c>
      <c r="AA762" t="s">
        <v>97</v>
      </c>
      <c r="AB762">
        <v>429</v>
      </c>
    </row>
    <row r="763" spans="1:28" x14ac:dyDescent="0.2">
      <c r="A763" t="s">
        <v>92</v>
      </c>
      <c r="B763" t="s">
        <v>1096</v>
      </c>
      <c r="C763" t="s">
        <v>1522</v>
      </c>
      <c r="D763" t="s">
        <v>1523</v>
      </c>
      <c r="E763" t="s">
        <v>96</v>
      </c>
      <c r="F763">
        <v>429</v>
      </c>
      <c r="G763">
        <v>429</v>
      </c>
      <c r="T763" t="s">
        <v>97</v>
      </c>
      <c r="V763">
        <v>331.5</v>
      </c>
      <c r="W763">
        <v>331.5</v>
      </c>
      <c r="X763">
        <v>331.5</v>
      </c>
      <c r="Y763">
        <v>331.5</v>
      </c>
      <c r="Z763">
        <v>429</v>
      </c>
      <c r="AA763" t="s">
        <v>97</v>
      </c>
      <c r="AB763">
        <v>429</v>
      </c>
    </row>
    <row r="764" spans="1:28" x14ac:dyDescent="0.2">
      <c r="A764" t="s">
        <v>92</v>
      </c>
      <c r="B764" t="s">
        <v>1096</v>
      </c>
      <c r="C764" t="s">
        <v>1524</v>
      </c>
      <c r="D764" t="s">
        <v>1525</v>
      </c>
      <c r="E764" t="s">
        <v>96</v>
      </c>
      <c r="F764">
        <v>429</v>
      </c>
      <c r="G764">
        <v>429</v>
      </c>
      <c r="T764" t="s">
        <v>97</v>
      </c>
      <c r="V764">
        <v>331.5</v>
      </c>
      <c r="W764">
        <v>331.5</v>
      </c>
      <c r="X764">
        <v>331.5</v>
      </c>
      <c r="Y764">
        <v>331.5</v>
      </c>
      <c r="Z764">
        <v>429</v>
      </c>
      <c r="AA764" t="s">
        <v>97</v>
      </c>
      <c r="AB764">
        <v>429</v>
      </c>
    </row>
    <row r="765" spans="1:28" x14ac:dyDescent="0.2">
      <c r="A765" t="s">
        <v>92</v>
      </c>
      <c r="B765" t="s">
        <v>1096</v>
      </c>
      <c r="C765" t="s">
        <v>1526</v>
      </c>
      <c r="D765" t="s">
        <v>1527</v>
      </c>
      <c r="E765" t="s">
        <v>96</v>
      </c>
      <c r="F765">
        <v>429</v>
      </c>
      <c r="G765">
        <v>429</v>
      </c>
      <c r="T765" t="s">
        <v>97</v>
      </c>
      <c r="V765">
        <v>331.5</v>
      </c>
      <c r="W765">
        <v>331.5</v>
      </c>
      <c r="X765">
        <v>331.5</v>
      </c>
      <c r="Y765">
        <v>331.5</v>
      </c>
      <c r="Z765">
        <v>429</v>
      </c>
      <c r="AA765" t="s">
        <v>97</v>
      </c>
      <c r="AB765">
        <v>429</v>
      </c>
    </row>
    <row r="766" spans="1:28" x14ac:dyDescent="0.2">
      <c r="A766" t="s">
        <v>92</v>
      </c>
      <c r="B766" t="s">
        <v>1096</v>
      </c>
      <c r="C766" t="s">
        <v>1528</v>
      </c>
      <c r="D766" t="s">
        <v>1529</v>
      </c>
      <c r="E766" t="s">
        <v>96</v>
      </c>
      <c r="F766">
        <v>349</v>
      </c>
      <c r="G766">
        <v>349</v>
      </c>
      <c r="T766" t="s">
        <v>97</v>
      </c>
      <c r="V766">
        <v>269.68</v>
      </c>
      <c r="W766">
        <v>269.68</v>
      </c>
      <c r="X766">
        <v>269.68</v>
      </c>
      <c r="Y766">
        <v>269.68</v>
      </c>
      <c r="Z766">
        <v>349</v>
      </c>
      <c r="AA766" t="s">
        <v>97</v>
      </c>
      <c r="AB766">
        <v>349</v>
      </c>
    </row>
    <row r="767" spans="1:28" x14ac:dyDescent="0.2">
      <c r="A767" t="s">
        <v>92</v>
      </c>
      <c r="B767" t="s">
        <v>1096</v>
      </c>
      <c r="C767" t="s">
        <v>1530</v>
      </c>
      <c r="D767" t="s">
        <v>1531</v>
      </c>
      <c r="E767" t="s">
        <v>96</v>
      </c>
      <c r="F767">
        <v>349</v>
      </c>
      <c r="G767">
        <v>349</v>
      </c>
      <c r="T767" t="s">
        <v>97</v>
      </c>
      <c r="V767">
        <v>269.68</v>
      </c>
      <c r="W767">
        <v>269.68</v>
      </c>
      <c r="X767">
        <v>269.68</v>
      </c>
      <c r="Y767">
        <v>269.68</v>
      </c>
      <c r="Z767">
        <v>349</v>
      </c>
      <c r="AA767" t="s">
        <v>97</v>
      </c>
      <c r="AB767">
        <v>349</v>
      </c>
    </row>
    <row r="768" spans="1:28" x14ac:dyDescent="0.2">
      <c r="A768" t="s">
        <v>92</v>
      </c>
      <c r="B768" t="s">
        <v>1096</v>
      </c>
      <c r="C768" t="s">
        <v>1532</v>
      </c>
      <c r="D768" t="s">
        <v>1533</v>
      </c>
      <c r="E768" t="s">
        <v>96</v>
      </c>
      <c r="F768">
        <v>349</v>
      </c>
      <c r="G768">
        <v>349</v>
      </c>
      <c r="T768" t="s">
        <v>97</v>
      </c>
      <c r="V768">
        <v>269.68</v>
      </c>
      <c r="W768">
        <v>269.68</v>
      </c>
      <c r="X768">
        <v>269.68</v>
      </c>
      <c r="Y768">
        <v>269.68</v>
      </c>
      <c r="Z768">
        <v>349</v>
      </c>
      <c r="AA768" t="s">
        <v>97</v>
      </c>
      <c r="AB768">
        <v>349</v>
      </c>
    </row>
    <row r="769" spans="1:28" x14ac:dyDescent="0.2">
      <c r="A769" t="s">
        <v>92</v>
      </c>
      <c r="B769" t="s">
        <v>1096</v>
      </c>
      <c r="C769" t="s">
        <v>1534</v>
      </c>
      <c r="D769" t="s">
        <v>1535</v>
      </c>
      <c r="E769" t="s">
        <v>96</v>
      </c>
      <c r="F769">
        <v>349</v>
      </c>
      <c r="G769">
        <v>349</v>
      </c>
      <c r="T769" t="s">
        <v>97</v>
      </c>
      <c r="V769">
        <v>269.68</v>
      </c>
      <c r="W769">
        <v>269.68</v>
      </c>
      <c r="X769">
        <v>269.68</v>
      </c>
      <c r="Y769">
        <v>269.68</v>
      </c>
      <c r="Z769">
        <v>349</v>
      </c>
      <c r="AA769" t="s">
        <v>97</v>
      </c>
      <c r="AB769">
        <v>349</v>
      </c>
    </row>
    <row r="770" spans="1:28" x14ac:dyDescent="0.2">
      <c r="A770" t="s">
        <v>92</v>
      </c>
      <c r="B770" t="s">
        <v>1096</v>
      </c>
      <c r="C770" t="s">
        <v>8812</v>
      </c>
      <c r="D770" t="s">
        <v>8813</v>
      </c>
      <c r="E770" t="s">
        <v>228</v>
      </c>
      <c r="F770">
        <v>829</v>
      </c>
      <c r="T770" t="s">
        <v>97</v>
      </c>
      <c r="W770">
        <v>678.27</v>
      </c>
      <c r="AA770" t="s">
        <v>97</v>
      </c>
    </row>
    <row r="771" spans="1:28" x14ac:dyDescent="0.2">
      <c r="A771" t="s">
        <v>92</v>
      </c>
      <c r="B771" t="s">
        <v>1096</v>
      </c>
      <c r="C771" t="s">
        <v>8814</v>
      </c>
      <c r="D771" t="s">
        <v>8815</v>
      </c>
      <c r="E771" t="s">
        <v>228</v>
      </c>
      <c r="F771">
        <v>729</v>
      </c>
      <c r="T771" t="s">
        <v>97</v>
      </c>
      <c r="W771">
        <v>596.45000000000005</v>
      </c>
      <c r="AA771" t="s">
        <v>97</v>
      </c>
    </row>
    <row r="772" spans="1:28" x14ac:dyDescent="0.2">
      <c r="A772" t="s">
        <v>92</v>
      </c>
      <c r="B772" t="s">
        <v>1096</v>
      </c>
      <c r="C772" t="s">
        <v>8816</v>
      </c>
      <c r="D772" t="s">
        <v>8817</v>
      </c>
      <c r="E772" t="s">
        <v>228</v>
      </c>
      <c r="F772">
        <v>929</v>
      </c>
      <c r="T772" t="s">
        <v>97</v>
      </c>
      <c r="W772">
        <v>760.09</v>
      </c>
      <c r="AA772" t="s">
        <v>97</v>
      </c>
    </row>
    <row r="773" spans="1:28" x14ac:dyDescent="0.2">
      <c r="A773" t="s">
        <v>92</v>
      </c>
      <c r="B773" t="s">
        <v>1096</v>
      </c>
      <c r="C773" t="s">
        <v>8818</v>
      </c>
      <c r="D773" t="s">
        <v>8819</v>
      </c>
      <c r="E773" t="s">
        <v>228</v>
      </c>
      <c r="F773">
        <v>829</v>
      </c>
      <c r="T773" t="s">
        <v>97</v>
      </c>
      <c r="W773">
        <v>678.27</v>
      </c>
      <c r="AA773" t="s">
        <v>97</v>
      </c>
    </row>
    <row r="774" spans="1:28" x14ac:dyDescent="0.2">
      <c r="A774" t="s">
        <v>92</v>
      </c>
      <c r="B774" t="s">
        <v>1096</v>
      </c>
      <c r="C774" t="s">
        <v>1536</v>
      </c>
      <c r="D774" t="s">
        <v>1537</v>
      </c>
      <c r="E774" t="s">
        <v>96</v>
      </c>
      <c r="F774">
        <v>3000</v>
      </c>
      <c r="G774">
        <v>3000</v>
      </c>
      <c r="T774" t="s">
        <v>97</v>
      </c>
      <c r="V774">
        <v>2318.1799999999998</v>
      </c>
      <c r="W774">
        <v>2318.1799999999998</v>
      </c>
      <c r="X774">
        <v>2318.1799999999998</v>
      </c>
      <c r="Y774">
        <v>2318.1799999999998</v>
      </c>
      <c r="Z774">
        <v>3000</v>
      </c>
      <c r="AA774" t="s">
        <v>97</v>
      </c>
      <c r="AB774">
        <v>3000</v>
      </c>
    </row>
    <row r="775" spans="1:28" x14ac:dyDescent="0.2">
      <c r="A775" t="s">
        <v>92</v>
      </c>
      <c r="B775" t="s">
        <v>1096</v>
      </c>
      <c r="C775" t="s">
        <v>1538</v>
      </c>
      <c r="D775" t="s">
        <v>1539</v>
      </c>
      <c r="E775" t="s">
        <v>228</v>
      </c>
      <c r="F775">
        <v>2199</v>
      </c>
      <c r="T775" t="s">
        <v>97</v>
      </c>
      <c r="W775">
        <v>1699.23</v>
      </c>
      <c r="Z775">
        <v>2199</v>
      </c>
      <c r="AA775" t="s">
        <v>97</v>
      </c>
    </row>
    <row r="776" spans="1:28" x14ac:dyDescent="0.2">
      <c r="A776" t="s">
        <v>92</v>
      </c>
      <c r="B776" t="s">
        <v>1096</v>
      </c>
      <c r="C776" t="s">
        <v>8820</v>
      </c>
      <c r="D776" t="s">
        <v>1539</v>
      </c>
      <c r="E776" t="s">
        <v>96</v>
      </c>
      <c r="F776">
        <v>2199</v>
      </c>
      <c r="T776" t="s">
        <v>97</v>
      </c>
      <c r="W776">
        <v>1699.23</v>
      </c>
      <c r="Z776">
        <v>2199</v>
      </c>
      <c r="AA776" t="s">
        <v>97</v>
      </c>
    </row>
    <row r="777" spans="1:28" x14ac:dyDescent="0.2">
      <c r="A777" t="s">
        <v>92</v>
      </c>
      <c r="B777" t="s">
        <v>1096</v>
      </c>
      <c r="C777" t="s">
        <v>1540</v>
      </c>
      <c r="D777" t="s">
        <v>1541</v>
      </c>
      <c r="E777" t="s">
        <v>228</v>
      </c>
      <c r="F777">
        <v>2399</v>
      </c>
      <c r="T777" t="s">
        <v>97</v>
      </c>
      <c r="W777">
        <v>1853.77</v>
      </c>
      <c r="Z777">
        <v>2399</v>
      </c>
      <c r="AA777" t="s">
        <v>97</v>
      </c>
    </row>
    <row r="778" spans="1:28" x14ac:dyDescent="0.2">
      <c r="A778" t="s">
        <v>92</v>
      </c>
      <c r="B778" t="s">
        <v>1096</v>
      </c>
      <c r="C778" t="s">
        <v>1542</v>
      </c>
      <c r="D778" t="s">
        <v>1543</v>
      </c>
      <c r="E778" t="s">
        <v>228</v>
      </c>
      <c r="F778">
        <v>1449</v>
      </c>
      <c r="T778" t="s">
        <v>97</v>
      </c>
      <c r="V778">
        <v>1185.55</v>
      </c>
      <c r="W778">
        <v>1119.68</v>
      </c>
      <c r="Z778">
        <v>1449</v>
      </c>
      <c r="AA778" t="s">
        <v>97</v>
      </c>
      <c r="AB778">
        <v>1449</v>
      </c>
    </row>
    <row r="779" spans="1:28" x14ac:dyDescent="0.2">
      <c r="A779" t="s">
        <v>92</v>
      </c>
      <c r="B779" t="s">
        <v>1096</v>
      </c>
      <c r="C779" t="s">
        <v>1544</v>
      </c>
      <c r="D779" t="s">
        <v>1545</v>
      </c>
      <c r="E779" t="s">
        <v>228</v>
      </c>
      <c r="F779">
        <v>779</v>
      </c>
      <c r="T779" t="s">
        <v>97</v>
      </c>
      <c r="V779">
        <v>637.36</v>
      </c>
      <c r="W779">
        <v>601.95000000000005</v>
      </c>
      <c r="Z779">
        <v>779</v>
      </c>
      <c r="AA779" t="s">
        <v>97</v>
      </c>
      <c r="AB779">
        <v>779</v>
      </c>
    </row>
    <row r="780" spans="1:28" x14ac:dyDescent="0.2">
      <c r="A780" t="s">
        <v>92</v>
      </c>
      <c r="B780" t="s">
        <v>1096</v>
      </c>
      <c r="C780" t="s">
        <v>1546</v>
      </c>
      <c r="D780" t="s">
        <v>1547</v>
      </c>
      <c r="E780" t="s">
        <v>228</v>
      </c>
      <c r="F780">
        <v>1129</v>
      </c>
      <c r="G780">
        <v>1129</v>
      </c>
      <c r="T780" t="s">
        <v>97</v>
      </c>
      <c r="V780">
        <v>923.73</v>
      </c>
      <c r="W780">
        <v>872.41</v>
      </c>
      <c r="X780">
        <v>0</v>
      </c>
      <c r="Y780">
        <v>0</v>
      </c>
      <c r="Z780">
        <v>1129</v>
      </c>
      <c r="AA780" t="s">
        <v>97</v>
      </c>
      <c r="AB780">
        <v>1129</v>
      </c>
    </row>
    <row r="781" spans="1:28" x14ac:dyDescent="0.2">
      <c r="A781" t="s">
        <v>92</v>
      </c>
      <c r="B781" t="s">
        <v>1096</v>
      </c>
      <c r="C781" t="s">
        <v>1548</v>
      </c>
      <c r="D781" t="s">
        <v>1549</v>
      </c>
      <c r="E781" t="s">
        <v>228</v>
      </c>
      <c r="F781">
        <v>949</v>
      </c>
      <c r="T781" t="s">
        <v>97</v>
      </c>
      <c r="V781">
        <v>776.45</v>
      </c>
      <c r="W781">
        <v>733.32</v>
      </c>
      <c r="Z781">
        <v>949</v>
      </c>
      <c r="AA781" t="s">
        <v>97</v>
      </c>
      <c r="AB781">
        <v>949</v>
      </c>
    </row>
    <row r="782" spans="1:28" x14ac:dyDescent="0.2">
      <c r="A782" t="s">
        <v>92</v>
      </c>
      <c r="B782" t="s">
        <v>1096</v>
      </c>
      <c r="C782" t="s">
        <v>8821</v>
      </c>
      <c r="D782" t="s">
        <v>1551</v>
      </c>
      <c r="E782" t="s">
        <v>96</v>
      </c>
      <c r="F782">
        <v>429</v>
      </c>
      <c r="G782">
        <v>429</v>
      </c>
      <c r="T782" t="s">
        <v>97</v>
      </c>
      <c r="V782">
        <v>331.5</v>
      </c>
      <c r="W782">
        <v>331.5</v>
      </c>
      <c r="X782">
        <v>0</v>
      </c>
      <c r="Y782">
        <v>0</v>
      </c>
      <c r="Z782">
        <v>429</v>
      </c>
      <c r="AA782" t="s">
        <v>97</v>
      </c>
      <c r="AB782">
        <v>429</v>
      </c>
    </row>
    <row r="783" spans="1:28" x14ac:dyDescent="0.2">
      <c r="A783" t="s">
        <v>92</v>
      </c>
      <c r="B783" t="s">
        <v>1096</v>
      </c>
      <c r="C783" t="s">
        <v>1550</v>
      </c>
      <c r="D783" t="s">
        <v>1551</v>
      </c>
      <c r="E783" t="s">
        <v>96</v>
      </c>
      <c r="F783">
        <v>429</v>
      </c>
      <c r="T783" t="s">
        <v>97</v>
      </c>
      <c r="V783">
        <v>331.5</v>
      </c>
      <c r="W783">
        <v>331.5</v>
      </c>
      <c r="Z783">
        <v>429</v>
      </c>
      <c r="AA783" t="s">
        <v>97</v>
      </c>
      <c r="AB783">
        <v>429</v>
      </c>
    </row>
    <row r="784" spans="1:28" x14ac:dyDescent="0.2">
      <c r="A784" t="s">
        <v>92</v>
      </c>
      <c r="B784" t="s">
        <v>1096</v>
      </c>
      <c r="C784" t="s">
        <v>1552</v>
      </c>
      <c r="D784" t="s">
        <v>1553</v>
      </c>
      <c r="E784" t="s">
        <v>228</v>
      </c>
      <c r="F784">
        <v>429</v>
      </c>
      <c r="G784">
        <v>429</v>
      </c>
      <c r="T784" t="s">
        <v>97</v>
      </c>
      <c r="V784">
        <v>331.5</v>
      </c>
      <c r="W784">
        <v>331.5</v>
      </c>
      <c r="X784">
        <v>0</v>
      </c>
      <c r="Y784">
        <v>0</v>
      </c>
      <c r="Z784">
        <v>429</v>
      </c>
      <c r="AA784" t="s">
        <v>97</v>
      </c>
      <c r="AB784">
        <v>429</v>
      </c>
    </row>
    <row r="785" spans="1:28" x14ac:dyDescent="0.2">
      <c r="A785" t="s">
        <v>92</v>
      </c>
      <c r="B785" t="s">
        <v>1096</v>
      </c>
      <c r="C785" t="s">
        <v>1554</v>
      </c>
      <c r="D785" t="s">
        <v>1555</v>
      </c>
      <c r="E785" t="s">
        <v>228</v>
      </c>
      <c r="F785">
        <v>2499</v>
      </c>
      <c r="T785" t="s">
        <v>97</v>
      </c>
      <c r="V785">
        <v>2044.64</v>
      </c>
      <c r="W785">
        <v>1931.05</v>
      </c>
      <c r="X785">
        <v>0</v>
      </c>
      <c r="Y785">
        <v>0</v>
      </c>
      <c r="Z785">
        <v>2499</v>
      </c>
      <c r="AA785" t="s">
        <v>97</v>
      </c>
      <c r="AB785">
        <v>2499</v>
      </c>
    </row>
    <row r="786" spans="1:28" x14ac:dyDescent="0.2">
      <c r="A786" t="s">
        <v>92</v>
      </c>
      <c r="B786" t="s">
        <v>1096</v>
      </c>
      <c r="C786" t="s">
        <v>1556</v>
      </c>
      <c r="D786" t="s">
        <v>1557</v>
      </c>
      <c r="E786" t="s">
        <v>228</v>
      </c>
      <c r="F786">
        <v>2199</v>
      </c>
      <c r="T786" t="s">
        <v>97</v>
      </c>
      <c r="V786">
        <v>1699.23</v>
      </c>
      <c r="W786">
        <v>1699.23</v>
      </c>
      <c r="Z786">
        <v>2199</v>
      </c>
      <c r="AA786" t="s">
        <v>97</v>
      </c>
      <c r="AB786">
        <v>2199</v>
      </c>
    </row>
    <row r="787" spans="1:28" x14ac:dyDescent="0.2">
      <c r="A787" t="s">
        <v>92</v>
      </c>
      <c r="B787" t="s">
        <v>1096</v>
      </c>
      <c r="C787" t="s">
        <v>1558</v>
      </c>
      <c r="D787" t="s">
        <v>1559</v>
      </c>
      <c r="E787" t="s">
        <v>228</v>
      </c>
      <c r="F787">
        <v>1899</v>
      </c>
      <c r="T787" t="s">
        <v>97</v>
      </c>
      <c r="V787">
        <v>1467.41</v>
      </c>
      <c r="W787">
        <v>1467.41</v>
      </c>
      <c r="Z787">
        <v>1899</v>
      </c>
      <c r="AA787" t="s">
        <v>97</v>
      </c>
      <c r="AB787">
        <v>1899</v>
      </c>
    </row>
    <row r="788" spans="1:28" x14ac:dyDescent="0.2">
      <c r="A788" t="s">
        <v>92</v>
      </c>
      <c r="B788" t="s">
        <v>1096</v>
      </c>
      <c r="C788" t="s">
        <v>1560</v>
      </c>
      <c r="D788" t="s">
        <v>1561</v>
      </c>
      <c r="E788" t="s">
        <v>228</v>
      </c>
      <c r="F788">
        <v>2299</v>
      </c>
      <c r="T788" t="s">
        <v>97</v>
      </c>
      <c r="V788">
        <v>1881</v>
      </c>
      <c r="W788">
        <v>1881</v>
      </c>
      <c r="Z788">
        <v>2299</v>
      </c>
      <c r="AA788" t="s">
        <v>97</v>
      </c>
      <c r="AB788">
        <v>2299</v>
      </c>
    </row>
    <row r="789" spans="1:28" x14ac:dyDescent="0.2">
      <c r="A789" t="s">
        <v>92</v>
      </c>
      <c r="B789" t="s">
        <v>1096</v>
      </c>
      <c r="C789" t="s">
        <v>1562</v>
      </c>
      <c r="D789" t="s">
        <v>1563</v>
      </c>
      <c r="E789" t="s">
        <v>228</v>
      </c>
      <c r="F789">
        <v>2449</v>
      </c>
      <c r="T789" t="s">
        <v>97</v>
      </c>
      <c r="V789">
        <v>2003.73</v>
      </c>
      <c r="W789">
        <v>2003.73</v>
      </c>
      <c r="Z789">
        <v>2449</v>
      </c>
      <c r="AA789" t="s">
        <v>97</v>
      </c>
      <c r="AB789">
        <v>2449</v>
      </c>
    </row>
    <row r="790" spans="1:28" x14ac:dyDescent="0.2">
      <c r="A790" t="s">
        <v>92</v>
      </c>
      <c r="B790" t="s">
        <v>1096</v>
      </c>
      <c r="C790" t="s">
        <v>1564</v>
      </c>
      <c r="D790" t="s">
        <v>1565</v>
      </c>
      <c r="E790" t="s">
        <v>228</v>
      </c>
      <c r="F790">
        <v>2799</v>
      </c>
      <c r="T790" t="s">
        <v>97</v>
      </c>
      <c r="V790">
        <v>2290.09</v>
      </c>
      <c r="W790">
        <v>2290.09</v>
      </c>
      <c r="Z790">
        <v>2799</v>
      </c>
      <c r="AA790" t="s">
        <v>97</v>
      </c>
      <c r="AB790">
        <v>2799</v>
      </c>
    </row>
    <row r="791" spans="1:28" x14ac:dyDescent="0.2">
      <c r="A791" t="s">
        <v>92</v>
      </c>
      <c r="B791" t="s">
        <v>1096</v>
      </c>
      <c r="C791" t="s">
        <v>1566</v>
      </c>
      <c r="D791" t="s">
        <v>1567</v>
      </c>
      <c r="E791" t="s">
        <v>228</v>
      </c>
      <c r="F791">
        <v>2449</v>
      </c>
      <c r="T791" t="s">
        <v>97</v>
      </c>
      <c r="V791">
        <v>2003.73</v>
      </c>
      <c r="W791">
        <v>2003.73</v>
      </c>
      <c r="Z791">
        <v>2449</v>
      </c>
      <c r="AA791" t="s">
        <v>97</v>
      </c>
      <c r="AB791">
        <v>2449</v>
      </c>
    </row>
    <row r="792" spans="1:28" x14ac:dyDescent="0.2">
      <c r="A792" t="s">
        <v>92</v>
      </c>
      <c r="B792" t="s">
        <v>1096</v>
      </c>
      <c r="C792" t="s">
        <v>1568</v>
      </c>
      <c r="D792" t="s">
        <v>1569</v>
      </c>
      <c r="E792" t="s">
        <v>228</v>
      </c>
      <c r="F792">
        <v>1189</v>
      </c>
      <c r="T792" t="s">
        <v>97</v>
      </c>
      <c r="W792">
        <v>972.82</v>
      </c>
      <c r="AA792" t="s">
        <v>97</v>
      </c>
    </row>
    <row r="793" spans="1:28" x14ac:dyDescent="0.2">
      <c r="A793" t="s">
        <v>92</v>
      </c>
      <c r="B793" t="s">
        <v>1096</v>
      </c>
      <c r="C793" t="s">
        <v>8822</v>
      </c>
      <c r="D793" t="s">
        <v>8823</v>
      </c>
      <c r="E793" t="s">
        <v>228</v>
      </c>
      <c r="F793">
        <v>1769</v>
      </c>
      <c r="T793" t="s">
        <v>97</v>
      </c>
      <c r="W793">
        <v>1447.36</v>
      </c>
      <c r="AA793" t="s">
        <v>97</v>
      </c>
    </row>
    <row r="794" spans="1:28" x14ac:dyDescent="0.2">
      <c r="A794" t="s">
        <v>92</v>
      </c>
      <c r="B794" t="s">
        <v>1096</v>
      </c>
      <c r="C794" t="s">
        <v>1570</v>
      </c>
      <c r="D794" t="s">
        <v>1571</v>
      </c>
      <c r="E794" t="s">
        <v>96</v>
      </c>
      <c r="F794">
        <v>679</v>
      </c>
      <c r="G794">
        <v>679</v>
      </c>
      <c r="T794" t="s">
        <v>97</v>
      </c>
      <c r="V794">
        <v>524.67999999999995</v>
      </c>
      <c r="W794">
        <v>524.67999999999995</v>
      </c>
      <c r="X794">
        <v>524.67999999999995</v>
      </c>
      <c r="Y794">
        <v>524.67999999999995</v>
      </c>
      <c r="Z794">
        <v>679</v>
      </c>
      <c r="AA794" t="s">
        <v>97</v>
      </c>
      <c r="AB794">
        <v>679</v>
      </c>
    </row>
    <row r="795" spans="1:28" x14ac:dyDescent="0.2">
      <c r="A795" t="s">
        <v>92</v>
      </c>
      <c r="B795" t="s">
        <v>1096</v>
      </c>
      <c r="C795" t="s">
        <v>1572</v>
      </c>
      <c r="D795" t="s">
        <v>1573</v>
      </c>
      <c r="E795" t="s">
        <v>96</v>
      </c>
      <c r="F795">
        <v>679</v>
      </c>
      <c r="G795">
        <v>679</v>
      </c>
      <c r="T795" t="s">
        <v>97</v>
      </c>
      <c r="V795">
        <v>524.67999999999995</v>
      </c>
      <c r="W795">
        <v>524.67999999999995</v>
      </c>
      <c r="X795">
        <v>524.67999999999995</v>
      </c>
      <c r="Y795">
        <v>524.67999999999995</v>
      </c>
      <c r="Z795">
        <v>679</v>
      </c>
      <c r="AA795" t="s">
        <v>97</v>
      </c>
      <c r="AB795">
        <v>679</v>
      </c>
    </row>
    <row r="796" spans="1:28" x14ac:dyDescent="0.2">
      <c r="A796" t="s">
        <v>92</v>
      </c>
      <c r="B796" t="s">
        <v>1096</v>
      </c>
      <c r="C796" t="s">
        <v>1574</v>
      </c>
      <c r="D796" t="s">
        <v>1575</v>
      </c>
      <c r="E796" t="s">
        <v>96</v>
      </c>
      <c r="F796">
        <v>769</v>
      </c>
      <c r="G796">
        <v>769</v>
      </c>
      <c r="T796" t="s">
        <v>97</v>
      </c>
      <c r="V796">
        <v>594.23</v>
      </c>
      <c r="W796">
        <v>594.23</v>
      </c>
      <c r="X796">
        <v>594.23</v>
      </c>
      <c r="Y796">
        <v>594.23</v>
      </c>
      <c r="Z796">
        <v>769</v>
      </c>
      <c r="AA796" t="s">
        <v>97</v>
      </c>
    </row>
    <row r="797" spans="1:28" x14ac:dyDescent="0.2">
      <c r="A797" t="s">
        <v>92</v>
      </c>
      <c r="B797" t="s">
        <v>1096</v>
      </c>
      <c r="C797" t="s">
        <v>1576</v>
      </c>
      <c r="D797" t="s">
        <v>1577</v>
      </c>
      <c r="E797" t="s">
        <v>96</v>
      </c>
      <c r="F797">
        <v>769</v>
      </c>
      <c r="G797">
        <v>769</v>
      </c>
      <c r="T797" t="s">
        <v>97</v>
      </c>
      <c r="V797">
        <v>594.23</v>
      </c>
      <c r="W797">
        <v>594.23</v>
      </c>
      <c r="X797">
        <v>594.23</v>
      </c>
      <c r="Y797">
        <v>594.23</v>
      </c>
      <c r="Z797">
        <v>769</v>
      </c>
      <c r="AA797" t="s">
        <v>97</v>
      </c>
      <c r="AB797">
        <v>769</v>
      </c>
    </row>
    <row r="798" spans="1:28" x14ac:dyDescent="0.2">
      <c r="A798" t="s">
        <v>92</v>
      </c>
      <c r="B798" t="s">
        <v>1096</v>
      </c>
      <c r="C798" t="s">
        <v>1578</v>
      </c>
      <c r="D798" t="s">
        <v>1579</v>
      </c>
      <c r="E798" t="s">
        <v>96</v>
      </c>
      <c r="F798">
        <v>769</v>
      </c>
      <c r="G798">
        <v>769</v>
      </c>
      <c r="T798" t="s">
        <v>97</v>
      </c>
      <c r="V798">
        <v>594.23</v>
      </c>
      <c r="W798">
        <v>594.23</v>
      </c>
      <c r="X798">
        <v>594.23</v>
      </c>
      <c r="Y798">
        <v>594.23</v>
      </c>
      <c r="Z798">
        <v>769</v>
      </c>
      <c r="AA798" t="s">
        <v>97</v>
      </c>
    </row>
    <row r="799" spans="1:28" x14ac:dyDescent="0.2">
      <c r="A799" t="s">
        <v>92</v>
      </c>
      <c r="B799" t="s">
        <v>1096</v>
      </c>
      <c r="C799" t="s">
        <v>1580</v>
      </c>
      <c r="D799" t="s">
        <v>1581</v>
      </c>
      <c r="E799" t="s">
        <v>96</v>
      </c>
      <c r="F799">
        <v>679</v>
      </c>
      <c r="G799">
        <v>679</v>
      </c>
      <c r="T799" t="s">
        <v>97</v>
      </c>
      <c r="V799">
        <v>524.67999999999995</v>
      </c>
      <c r="W799">
        <v>524.67999999999995</v>
      </c>
      <c r="X799">
        <v>524.67999999999995</v>
      </c>
      <c r="Y799">
        <v>524.67999999999995</v>
      </c>
      <c r="Z799">
        <v>679</v>
      </c>
      <c r="AA799" t="s">
        <v>97</v>
      </c>
      <c r="AB799">
        <v>679</v>
      </c>
    </row>
    <row r="800" spans="1:28" x14ac:dyDescent="0.2">
      <c r="A800" t="s">
        <v>92</v>
      </c>
      <c r="B800" t="s">
        <v>1096</v>
      </c>
      <c r="C800" t="s">
        <v>1582</v>
      </c>
      <c r="D800" t="s">
        <v>1583</v>
      </c>
      <c r="E800" t="s">
        <v>96</v>
      </c>
      <c r="F800">
        <v>679</v>
      </c>
      <c r="G800">
        <v>679</v>
      </c>
      <c r="T800" t="s">
        <v>97</v>
      </c>
      <c r="V800">
        <v>524.67999999999995</v>
      </c>
      <c r="W800">
        <v>524.67999999999995</v>
      </c>
      <c r="X800">
        <v>524.67999999999995</v>
      </c>
      <c r="Y800">
        <v>524.67999999999995</v>
      </c>
      <c r="Z800">
        <v>679</v>
      </c>
      <c r="AA800" t="s">
        <v>97</v>
      </c>
    </row>
    <row r="801" spans="1:28" x14ac:dyDescent="0.2">
      <c r="A801" t="s">
        <v>92</v>
      </c>
      <c r="B801" t="s">
        <v>1096</v>
      </c>
      <c r="C801" t="s">
        <v>1584</v>
      </c>
      <c r="D801" t="s">
        <v>1585</v>
      </c>
      <c r="E801" t="s">
        <v>96</v>
      </c>
      <c r="F801">
        <v>679</v>
      </c>
      <c r="G801">
        <v>679</v>
      </c>
      <c r="T801" t="s">
        <v>97</v>
      </c>
      <c r="V801">
        <v>524.67999999999995</v>
      </c>
      <c r="W801">
        <v>524.67999999999995</v>
      </c>
      <c r="X801">
        <v>524.67999999999995</v>
      </c>
      <c r="Y801">
        <v>524.67999999999995</v>
      </c>
      <c r="Z801">
        <v>679</v>
      </c>
      <c r="AA801" t="s">
        <v>97</v>
      </c>
      <c r="AB801">
        <v>679</v>
      </c>
    </row>
    <row r="802" spans="1:28" x14ac:dyDescent="0.2">
      <c r="A802" t="s">
        <v>92</v>
      </c>
      <c r="B802" t="s">
        <v>1096</v>
      </c>
      <c r="C802" t="s">
        <v>1586</v>
      </c>
      <c r="D802" t="s">
        <v>1587</v>
      </c>
      <c r="E802" t="s">
        <v>96</v>
      </c>
      <c r="F802">
        <v>679</v>
      </c>
      <c r="G802">
        <v>679</v>
      </c>
      <c r="T802" t="s">
        <v>97</v>
      </c>
      <c r="V802">
        <v>524.67999999999995</v>
      </c>
      <c r="W802">
        <v>524.67999999999995</v>
      </c>
      <c r="X802">
        <v>524.67999999999995</v>
      </c>
      <c r="Y802">
        <v>524.67999999999995</v>
      </c>
      <c r="Z802">
        <v>679</v>
      </c>
      <c r="AA802" t="s">
        <v>97</v>
      </c>
      <c r="AB802">
        <v>679</v>
      </c>
    </row>
    <row r="803" spans="1:28" x14ac:dyDescent="0.2">
      <c r="A803" t="s">
        <v>92</v>
      </c>
      <c r="B803" t="s">
        <v>1096</v>
      </c>
      <c r="C803" t="s">
        <v>1588</v>
      </c>
      <c r="D803" t="s">
        <v>1589</v>
      </c>
      <c r="E803" t="s">
        <v>228</v>
      </c>
      <c r="F803">
        <v>749</v>
      </c>
      <c r="T803" t="s">
        <v>97</v>
      </c>
      <c r="V803">
        <v>612.82000000000005</v>
      </c>
      <c r="W803">
        <v>578.77</v>
      </c>
      <c r="Z803">
        <v>749</v>
      </c>
      <c r="AA803" t="s">
        <v>97</v>
      </c>
      <c r="AB803">
        <v>749</v>
      </c>
    </row>
    <row r="804" spans="1:28" x14ac:dyDescent="0.2">
      <c r="A804" t="s">
        <v>92</v>
      </c>
      <c r="B804" t="s">
        <v>1096</v>
      </c>
      <c r="C804" t="s">
        <v>1590</v>
      </c>
      <c r="D804" t="s">
        <v>1591</v>
      </c>
      <c r="E804" t="s">
        <v>228</v>
      </c>
      <c r="F804">
        <v>749</v>
      </c>
      <c r="T804" t="s">
        <v>97</v>
      </c>
      <c r="V804">
        <v>612.82000000000005</v>
      </c>
      <c r="W804">
        <v>578.77</v>
      </c>
      <c r="Z804">
        <v>749</v>
      </c>
      <c r="AA804" t="s">
        <v>97</v>
      </c>
      <c r="AB804">
        <v>749</v>
      </c>
    </row>
    <row r="805" spans="1:28" x14ac:dyDescent="0.2">
      <c r="A805" t="s">
        <v>92</v>
      </c>
      <c r="B805" t="s">
        <v>1096</v>
      </c>
      <c r="C805" t="s">
        <v>1592</v>
      </c>
      <c r="D805" t="s">
        <v>1593</v>
      </c>
      <c r="E805" t="s">
        <v>228</v>
      </c>
      <c r="F805">
        <v>749</v>
      </c>
      <c r="T805" t="s">
        <v>97</v>
      </c>
      <c r="V805">
        <v>612.82000000000005</v>
      </c>
      <c r="W805">
        <v>578.77</v>
      </c>
      <c r="Z805">
        <v>749</v>
      </c>
      <c r="AA805" t="s">
        <v>97</v>
      </c>
      <c r="AB805">
        <v>749</v>
      </c>
    </row>
    <row r="806" spans="1:28" x14ac:dyDescent="0.2">
      <c r="A806" t="s">
        <v>92</v>
      </c>
      <c r="B806" t="s">
        <v>1096</v>
      </c>
      <c r="C806" t="s">
        <v>1594</v>
      </c>
      <c r="D806" t="s">
        <v>1595</v>
      </c>
      <c r="E806" t="s">
        <v>228</v>
      </c>
      <c r="F806">
        <v>749</v>
      </c>
      <c r="T806" t="s">
        <v>97</v>
      </c>
      <c r="V806">
        <v>612.82000000000005</v>
      </c>
      <c r="W806">
        <v>578.77</v>
      </c>
      <c r="Z806">
        <v>749</v>
      </c>
      <c r="AA806" t="s">
        <v>97</v>
      </c>
      <c r="AB806">
        <v>749</v>
      </c>
    </row>
    <row r="807" spans="1:28" x14ac:dyDescent="0.2">
      <c r="A807" t="s">
        <v>92</v>
      </c>
      <c r="B807" t="s">
        <v>1096</v>
      </c>
      <c r="C807" t="s">
        <v>1596</v>
      </c>
      <c r="D807" t="s">
        <v>1597</v>
      </c>
      <c r="E807" t="s">
        <v>228</v>
      </c>
      <c r="F807">
        <v>749</v>
      </c>
      <c r="T807" t="s">
        <v>97</v>
      </c>
      <c r="V807">
        <v>612.82000000000005</v>
      </c>
      <c r="W807">
        <v>578.77</v>
      </c>
      <c r="Z807">
        <v>749</v>
      </c>
      <c r="AA807" t="s">
        <v>97</v>
      </c>
      <c r="AB807">
        <v>749</v>
      </c>
    </row>
    <row r="808" spans="1:28" x14ac:dyDescent="0.2">
      <c r="A808" t="s">
        <v>92</v>
      </c>
      <c r="B808" t="s">
        <v>1096</v>
      </c>
      <c r="C808" t="s">
        <v>1598</v>
      </c>
      <c r="D808" t="s">
        <v>1599</v>
      </c>
      <c r="E808" t="s">
        <v>228</v>
      </c>
      <c r="F808">
        <v>749</v>
      </c>
      <c r="T808" t="s">
        <v>97</v>
      </c>
      <c r="V808">
        <v>612.82000000000005</v>
      </c>
      <c r="W808">
        <v>578.77</v>
      </c>
      <c r="Z808">
        <v>749</v>
      </c>
      <c r="AA808" t="s">
        <v>97</v>
      </c>
      <c r="AB808">
        <v>749</v>
      </c>
    </row>
    <row r="809" spans="1:28" x14ac:dyDescent="0.2">
      <c r="A809" t="s">
        <v>92</v>
      </c>
      <c r="B809" t="s">
        <v>1096</v>
      </c>
      <c r="C809" t="s">
        <v>1600</v>
      </c>
      <c r="D809" t="s">
        <v>1601</v>
      </c>
      <c r="E809" t="s">
        <v>228</v>
      </c>
      <c r="F809">
        <v>749</v>
      </c>
      <c r="T809" t="s">
        <v>97</v>
      </c>
      <c r="V809">
        <v>612.82000000000005</v>
      </c>
      <c r="W809">
        <v>578.77</v>
      </c>
      <c r="Z809">
        <v>749</v>
      </c>
      <c r="AA809" t="s">
        <v>97</v>
      </c>
      <c r="AB809">
        <v>749</v>
      </c>
    </row>
    <row r="810" spans="1:28" x14ac:dyDescent="0.2">
      <c r="A810" t="s">
        <v>92</v>
      </c>
      <c r="B810" t="s">
        <v>1096</v>
      </c>
      <c r="C810" t="s">
        <v>1602</v>
      </c>
      <c r="D810" t="s">
        <v>1603</v>
      </c>
      <c r="E810" t="s">
        <v>228</v>
      </c>
      <c r="F810">
        <v>949</v>
      </c>
      <c r="T810" t="s">
        <v>97</v>
      </c>
      <c r="W810">
        <v>733.32</v>
      </c>
      <c r="AA810" t="s">
        <v>97</v>
      </c>
      <c r="AB810">
        <v>949</v>
      </c>
    </row>
    <row r="811" spans="1:28" x14ac:dyDescent="0.2">
      <c r="A811" t="s">
        <v>92</v>
      </c>
      <c r="B811" t="s">
        <v>1096</v>
      </c>
      <c r="C811" t="s">
        <v>1604</v>
      </c>
      <c r="D811" t="s">
        <v>1605</v>
      </c>
      <c r="E811" t="s">
        <v>228</v>
      </c>
      <c r="F811">
        <v>949</v>
      </c>
      <c r="T811" t="s">
        <v>97</v>
      </c>
      <c r="W811">
        <v>733.32</v>
      </c>
      <c r="AA811" t="s">
        <v>97</v>
      </c>
      <c r="AB811">
        <v>949</v>
      </c>
    </row>
    <row r="812" spans="1:28" x14ac:dyDescent="0.2">
      <c r="A812" t="s">
        <v>92</v>
      </c>
      <c r="B812" t="s">
        <v>1096</v>
      </c>
      <c r="C812" t="s">
        <v>1606</v>
      </c>
      <c r="D812" t="s">
        <v>1607</v>
      </c>
      <c r="E812" t="s">
        <v>228</v>
      </c>
      <c r="F812">
        <v>949</v>
      </c>
      <c r="T812" t="s">
        <v>97</v>
      </c>
      <c r="W812">
        <v>733.32</v>
      </c>
      <c r="AA812" t="s">
        <v>97</v>
      </c>
      <c r="AB812">
        <v>949</v>
      </c>
    </row>
    <row r="813" spans="1:28" x14ac:dyDescent="0.2">
      <c r="A813" t="s">
        <v>92</v>
      </c>
      <c r="B813" t="s">
        <v>1096</v>
      </c>
      <c r="C813" t="s">
        <v>1608</v>
      </c>
      <c r="D813" t="s">
        <v>1609</v>
      </c>
      <c r="E813" t="s">
        <v>228</v>
      </c>
      <c r="F813">
        <v>949</v>
      </c>
      <c r="T813" t="s">
        <v>97</v>
      </c>
      <c r="W813">
        <v>733.32</v>
      </c>
      <c r="AA813" t="s">
        <v>97</v>
      </c>
      <c r="AB813">
        <v>949</v>
      </c>
    </row>
    <row r="814" spans="1:28" x14ac:dyDescent="0.2">
      <c r="A814" t="s">
        <v>92</v>
      </c>
      <c r="B814" t="s">
        <v>1096</v>
      </c>
      <c r="C814" t="s">
        <v>1610</v>
      </c>
      <c r="D814" t="s">
        <v>1611</v>
      </c>
      <c r="E814" t="s">
        <v>228</v>
      </c>
      <c r="F814">
        <v>949</v>
      </c>
      <c r="T814" t="s">
        <v>97</v>
      </c>
      <c r="W814">
        <v>733.32</v>
      </c>
      <c r="AA814" t="s">
        <v>97</v>
      </c>
      <c r="AB814">
        <v>949</v>
      </c>
    </row>
    <row r="815" spans="1:28" x14ac:dyDescent="0.2">
      <c r="A815" t="s">
        <v>92</v>
      </c>
      <c r="B815" t="s">
        <v>1096</v>
      </c>
      <c r="C815" t="s">
        <v>1612</v>
      </c>
      <c r="D815" t="s">
        <v>1613</v>
      </c>
      <c r="E815" t="s">
        <v>228</v>
      </c>
      <c r="F815">
        <v>949</v>
      </c>
      <c r="T815" t="s">
        <v>97</v>
      </c>
      <c r="W815">
        <v>733.32</v>
      </c>
      <c r="AA815" t="s">
        <v>97</v>
      </c>
      <c r="AB815">
        <v>949</v>
      </c>
    </row>
    <row r="816" spans="1:28" x14ac:dyDescent="0.2">
      <c r="A816" t="s">
        <v>92</v>
      </c>
      <c r="B816" t="s">
        <v>1096</v>
      </c>
      <c r="C816" t="s">
        <v>1614</v>
      </c>
      <c r="D816" t="s">
        <v>1615</v>
      </c>
      <c r="E816" t="s">
        <v>96</v>
      </c>
      <c r="F816">
        <v>429</v>
      </c>
      <c r="G816">
        <v>429</v>
      </c>
      <c r="T816" t="s">
        <v>97</v>
      </c>
      <c r="V816">
        <v>331.5</v>
      </c>
      <c r="W816">
        <v>331.5</v>
      </c>
      <c r="X816">
        <v>331.5</v>
      </c>
      <c r="Y816">
        <v>331.5</v>
      </c>
      <c r="Z816">
        <v>429</v>
      </c>
      <c r="AA816" t="s">
        <v>97</v>
      </c>
      <c r="AB816">
        <v>429</v>
      </c>
    </row>
    <row r="817" spans="1:28" x14ac:dyDescent="0.2">
      <c r="A817" t="s">
        <v>92</v>
      </c>
      <c r="B817" t="s">
        <v>1096</v>
      </c>
      <c r="C817" t="s">
        <v>1616</v>
      </c>
      <c r="D817" t="s">
        <v>1617</v>
      </c>
      <c r="E817" t="s">
        <v>96</v>
      </c>
      <c r="F817">
        <v>429</v>
      </c>
      <c r="G817">
        <v>429</v>
      </c>
      <c r="T817" t="s">
        <v>97</v>
      </c>
      <c r="V817">
        <v>331.5</v>
      </c>
      <c r="W817">
        <v>331.5</v>
      </c>
      <c r="X817">
        <v>331.5</v>
      </c>
      <c r="Y817">
        <v>331.5</v>
      </c>
      <c r="Z817">
        <v>429</v>
      </c>
      <c r="AA817" t="s">
        <v>97</v>
      </c>
      <c r="AB817">
        <v>429</v>
      </c>
    </row>
    <row r="818" spans="1:28" x14ac:dyDescent="0.2">
      <c r="A818" t="s">
        <v>92</v>
      </c>
      <c r="B818" t="s">
        <v>1096</v>
      </c>
      <c r="C818" t="s">
        <v>1618</v>
      </c>
      <c r="D818" t="s">
        <v>1619</v>
      </c>
      <c r="E818" t="s">
        <v>96</v>
      </c>
      <c r="F818">
        <v>429</v>
      </c>
      <c r="G818">
        <v>429</v>
      </c>
      <c r="T818" t="s">
        <v>97</v>
      </c>
      <c r="V818">
        <v>331.5</v>
      </c>
      <c r="W818">
        <v>331.5</v>
      </c>
      <c r="X818">
        <v>331.5</v>
      </c>
      <c r="Y818">
        <v>331.5</v>
      </c>
      <c r="Z818">
        <v>429</v>
      </c>
      <c r="AA818" t="s">
        <v>97</v>
      </c>
      <c r="AB818">
        <v>429</v>
      </c>
    </row>
    <row r="819" spans="1:28" x14ac:dyDescent="0.2">
      <c r="A819" t="s">
        <v>92</v>
      </c>
      <c r="B819" t="s">
        <v>1096</v>
      </c>
      <c r="C819" t="s">
        <v>1620</v>
      </c>
      <c r="D819" t="s">
        <v>1621</v>
      </c>
      <c r="E819" t="s">
        <v>96</v>
      </c>
      <c r="F819">
        <v>519</v>
      </c>
      <c r="G819">
        <v>519</v>
      </c>
      <c r="T819" t="s">
        <v>97</v>
      </c>
      <c r="V819">
        <v>401.05</v>
      </c>
      <c r="W819">
        <v>401.05</v>
      </c>
      <c r="X819">
        <v>401.05</v>
      </c>
      <c r="Y819">
        <v>401.05</v>
      </c>
      <c r="Z819">
        <v>519</v>
      </c>
      <c r="AA819" t="s">
        <v>97</v>
      </c>
      <c r="AB819">
        <v>519</v>
      </c>
    </row>
    <row r="820" spans="1:28" x14ac:dyDescent="0.2">
      <c r="A820" t="s">
        <v>92</v>
      </c>
      <c r="B820" t="s">
        <v>1096</v>
      </c>
      <c r="C820" t="s">
        <v>1622</v>
      </c>
      <c r="D820" t="s">
        <v>1623</v>
      </c>
      <c r="E820" t="s">
        <v>96</v>
      </c>
      <c r="F820">
        <v>519</v>
      </c>
      <c r="G820">
        <v>519</v>
      </c>
      <c r="T820" t="s">
        <v>97</v>
      </c>
      <c r="V820">
        <v>401.05</v>
      </c>
      <c r="W820">
        <v>401.05</v>
      </c>
      <c r="X820">
        <v>401.05</v>
      </c>
      <c r="Y820">
        <v>401.05</v>
      </c>
      <c r="Z820">
        <v>519</v>
      </c>
      <c r="AA820" t="s">
        <v>97</v>
      </c>
      <c r="AB820">
        <v>519</v>
      </c>
    </row>
    <row r="821" spans="1:28" x14ac:dyDescent="0.2">
      <c r="A821" t="s">
        <v>92</v>
      </c>
      <c r="B821" t="s">
        <v>1096</v>
      </c>
      <c r="C821" t="s">
        <v>1624</v>
      </c>
      <c r="D821" t="s">
        <v>1625</v>
      </c>
      <c r="E821" t="s">
        <v>96</v>
      </c>
      <c r="F821">
        <v>519</v>
      </c>
      <c r="G821">
        <v>519</v>
      </c>
      <c r="T821" t="s">
        <v>97</v>
      </c>
      <c r="V821">
        <v>401.05</v>
      </c>
      <c r="W821">
        <v>401.05</v>
      </c>
      <c r="X821">
        <v>401.05</v>
      </c>
      <c r="Y821">
        <v>401.05</v>
      </c>
      <c r="Z821">
        <v>519</v>
      </c>
      <c r="AA821" t="s">
        <v>97</v>
      </c>
      <c r="AB821">
        <v>519</v>
      </c>
    </row>
    <row r="822" spans="1:28" x14ac:dyDescent="0.2">
      <c r="A822" t="s">
        <v>92</v>
      </c>
      <c r="B822" t="s">
        <v>1096</v>
      </c>
      <c r="C822" t="s">
        <v>8333</v>
      </c>
      <c r="D822" t="s">
        <v>8334</v>
      </c>
      <c r="E822" t="s">
        <v>228</v>
      </c>
      <c r="F822">
        <v>1499</v>
      </c>
      <c r="T822" t="s">
        <v>97</v>
      </c>
      <c r="W822">
        <v>1158.32</v>
      </c>
      <c r="AA822" t="s">
        <v>97</v>
      </c>
    </row>
    <row r="823" spans="1:28" x14ac:dyDescent="0.2">
      <c r="A823" t="s">
        <v>92</v>
      </c>
      <c r="B823" t="s">
        <v>1096</v>
      </c>
      <c r="C823" t="s">
        <v>8335</v>
      </c>
      <c r="D823" t="s">
        <v>8336</v>
      </c>
      <c r="E823" t="s">
        <v>228</v>
      </c>
      <c r="F823">
        <v>1499</v>
      </c>
      <c r="T823" t="s">
        <v>97</v>
      </c>
      <c r="W823">
        <v>1158.32</v>
      </c>
      <c r="AA823" t="s">
        <v>97</v>
      </c>
    </row>
    <row r="824" spans="1:28" x14ac:dyDescent="0.2">
      <c r="A824" t="s">
        <v>92</v>
      </c>
      <c r="B824" t="s">
        <v>1096</v>
      </c>
      <c r="C824" t="s">
        <v>8337</v>
      </c>
      <c r="D824" t="s">
        <v>8338</v>
      </c>
      <c r="E824" t="s">
        <v>228</v>
      </c>
      <c r="F824">
        <v>1499</v>
      </c>
      <c r="T824" t="s">
        <v>97</v>
      </c>
      <c r="W824">
        <v>1158.32</v>
      </c>
      <c r="AA824" t="s">
        <v>97</v>
      </c>
    </row>
    <row r="825" spans="1:28" x14ac:dyDescent="0.2">
      <c r="A825" t="s">
        <v>92</v>
      </c>
      <c r="B825" t="s">
        <v>1096</v>
      </c>
      <c r="C825" t="s">
        <v>1626</v>
      </c>
      <c r="D825" t="s">
        <v>1627</v>
      </c>
      <c r="E825" t="s">
        <v>228</v>
      </c>
      <c r="F825">
        <v>499</v>
      </c>
      <c r="T825" t="s">
        <v>97</v>
      </c>
      <c r="V825">
        <v>408.27</v>
      </c>
      <c r="W825">
        <v>385.59</v>
      </c>
      <c r="Z825">
        <v>499</v>
      </c>
      <c r="AA825" t="s">
        <v>97</v>
      </c>
      <c r="AB825">
        <v>499</v>
      </c>
    </row>
    <row r="826" spans="1:28" x14ac:dyDescent="0.2">
      <c r="A826" t="s">
        <v>92</v>
      </c>
      <c r="B826" t="s">
        <v>1096</v>
      </c>
      <c r="C826" t="s">
        <v>1628</v>
      </c>
      <c r="D826" t="s">
        <v>1629</v>
      </c>
      <c r="E826" t="s">
        <v>228</v>
      </c>
      <c r="F826">
        <v>499</v>
      </c>
      <c r="T826" t="s">
        <v>97</v>
      </c>
      <c r="V826">
        <v>408.27</v>
      </c>
      <c r="W826">
        <v>385.59</v>
      </c>
      <c r="Z826">
        <v>499</v>
      </c>
      <c r="AA826" t="s">
        <v>97</v>
      </c>
      <c r="AB826">
        <v>499</v>
      </c>
    </row>
    <row r="827" spans="1:28" x14ac:dyDescent="0.2">
      <c r="A827" t="s">
        <v>92</v>
      </c>
      <c r="B827" t="s">
        <v>1096</v>
      </c>
      <c r="C827" t="s">
        <v>1630</v>
      </c>
      <c r="D827" t="s">
        <v>1631</v>
      </c>
      <c r="E827" t="s">
        <v>228</v>
      </c>
      <c r="F827">
        <v>499</v>
      </c>
      <c r="T827" t="s">
        <v>97</v>
      </c>
      <c r="V827">
        <v>408.27</v>
      </c>
      <c r="W827">
        <v>385.59</v>
      </c>
      <c r="Z827">
        <v>499</v>
      </c>
      <c r="AA827" t="s">
        <v>97</v>
      </c>
      <c r="AB827">
        <v>499</v>
      </c>
    </row>
    <row r="828" spans="1:28" x14ac:dyDescent="0.2">
      <c r="A828" t="s">
        <v>92</v>
      </c>
      <c r="B828" t="s">
        <v>1096</v>
      </c>
      <c r="C828" t="s">
        <v>1632</v>
      </c>
      <c r="D828" t="s">
        <v>1633</v>
      </c>
      <c r="E828" t="s">
        <v>228</v>
      </c>
      <c r="F828">
        <v>499</v>
      </c>
      <c r="T828" t="s">
        <v>97</v>
      </c>
      <c r="V828">
        <v>408.27</v>
      </c>
      <c r="W828">
        <v>385.59</v>
      </c>
      <c r="Z828">
        <v>499</v>
      </c>
      <c r="AA828" t="s">
        <v>97</v>
      </c>
      <c r="AB828">
        <v>499</v>
      </c>
    </row>
    <row r="829" spans="1:28" x14ac:dyDescent="0.2">
      <c r="A829" t="s">
        <v>92</v>
      </c>
      <c r="B829" t="s">
        <v>1096</v>
      </c>
      <c r="C829" t="s">
        <v>1634</v>
      </c>
      <c r="D829" t="s">
        <v>1635</v>
      </c>
      <c r="E829" t="s">
        <v>228</v>
      </c>
      <c r="F829">
        <v>549</v>
      </c>
      <c r="T829" t="s">
        <v>97</v>
      </c>
      <c r="V829">
        <v>449.18</v>
      </c>
      <c r="W829">
        <v>449.18</v>
      </c>
      <c r="Z829">
        <v>549</v>
      </c>
      <c r="AA829" t="s">
        <v>97</v>
      </c>
      <c r="AB829">
        <v>549</v>
      </c>
    </row>
    <row r="830" spans="1:28" x14ac:dyDescent="0.2">
      <c r="A830" t="s">
        <v>92</v>
      </c>
      <c r="B830" t="s">
        <v>1096</v>
      </c>
      <c r="C830" t="s">
        <v>1636</v>
      </c>
      <c r="D830" t="s">
        <v>1637</v>
      </c>
      <c r="E830" t="s">
        <v>228</v>
      </c>
      <c r="F830">
        <v>549</v>
      </c>
      <c r="T830" t="s">
        <v>97</v>
      </c>
      <c r="V830">
        <v>449.18</v>
      </c>
      <c r="W830">
        <v>449.18</v>
      </c>
      <c r="Z830">
        <v>549</v>
      </c>
      <c r="AA830" t="s">
        <v>97</v>
      </c>
      <c r="AB830">
        <v>549</v>
      </c>
    </row>
    <row r="831" spans="1:28" x14ac:dyDescent="0.2">
      <c r="A831" t="s">
        <v>92</v>
      </c>
      <c r="B831" t="s">
        <v>1096</v>
      </c>
      <c r="C831" t="s">
        <v>1638</v>
      </c>
      <c r="D831" t="s">
        <v>1639</v>
      </c>
      <c r="E831" t="s">
        <v>228</v>
      </c>
      <c r="F831">
        <v>549</v>
      </c>
      <c r="T831" t="s">
        <v>97</v>
      </c>
      <c r="V831">
        <v>449.18</v>
      </c>
      <c r="W831">
        <v>449.18</v>
      </c>
      <c r="Z831">
        <v>549</v>
      </c>
      <c r="AA831" t="s">
        <v>97</v>
      </c>
      <c r="AB831">
        <v>549</v>
      </c>
    </row>
    <row r="832" spans="1:28" x14ac:dyDescent="0.2">
      <c r="A832" t="s">
        <v>92</v>
      </c>
      <c r="B832" t="s">
        <v>1096</v>
      </c>
      <c r="C832" t="s">
        <v>1640</v>
      </c>
      <c r="D832" t="s">
        <v>1641</v>
      </c>
      <c r="E832" t="s">
        <v>228</v>
      </c>
      <c r="F832">
        <v>549</v>
      </c>
      <c r="T832" t="s">
        <v>97</v>
      </c>
      <c r="V832">
        <v>449.18</v>
      </c>
      <c r="W832">
        <v>449.18</v>
      </c>
      <c r="Z832">
        <v>549</v>
      </c>
      <c r="AA832" t="s">
        <v>97</v>
      </c>
      <c r="AB832">
        <v>549</v>
      </c>
    </row>
    <row r="833" spans="1:28" x14ac:dyDescent="0.2">
      <c r="A833" t="s">
        <v>92</v>
      </c>
      <c r="B833" t="s">
        <v>1096</v>
      </c>
      <c r="C833" t="s">
        <v>1642</v>
      </c>
      <c r="D833" t="s">
        <v>1643</v>
      </c>
      <c r="E833" t="s">
        <v>228</v>
      </c>
      <c r="F833">
        <v>149</v>
      </c>
      <c r="T833" t="s">
        <v>97</v>
      </c>
      <c r="V833">
        <v>130.09</v>
      </c>
      <c r="W833">
        <v>130.09</v>
      </c>
      <c r="Z833">
        <v>149</v>
      </c>
      <c r="AA833" t="s">
        <v>97</v>
      </c>
      <c r="AB833">
        <v>149</v>
      </c>
    </row>
    <row r="834" spans="1:28" x14ac:dyDescent="0.2">
      <c r="A834" t="s">
        <v>92</v>
      </c>
      <c r="B834" t="s">
        <v>1096</v>
      </c>
      <c r="C834" t="s">
        <v>1644</v>
      </c>
      <c r="D834" t="s">
        <v>1645</v>
      </c>
      <c r="E834" t="s">
        <v>228</v>
      </c>
      <c r="F834">
        <v>159</v>
      </c>
      <c r="T834" t="s">
        <v>97</v>
      </c>
      <c r="V834">
        <v>130.09</v>
      </c>
      <c r="W834">
        <v>130.09</v>
      </c>
      <c r="Z834">
        <v>149</v>
      </c>
      <c r="AA834" t="s">
        <v>97</v>
      </c>
      <c r="AB834">
        <v>149</v>
      </c>
    </row>
    <row r="835" spans="1:28" x14ac:dyDescent="0.2">
      <c r="A835" t="s">
        <v>92</v>
      </c>
      <c r="B835" t="s">
        <v>1096</v>
      </c>
      <c r="C835" t="s">
        <v>1646</v>
      </c>
      <c r="D835" t="s">
        <v>1647</v>
      </c>
      <c r="E835" t="s">
        <v>228</v>
      </c>
      <c r="F835">
        <v>159</v>
      </c>
      <c r="T835" t="s">
        <v>97</v>
      </c>
      <c r="V835">
        <v>130.09</v>
      </c>
      <c r="W835">
        <v>130.09</v>
      </c>
      <c r="Z835">
        <v>149</v>
      </c>
      <c r="AA835" t="s">
        <v>97</v>
      </c>
      <c r="AB835">
        <v>149</v>
      </c>
    </row>
    <row r="836" spans="1:28" x14ac:dyDescent="0.2">
      <c r="A836" t="s">
        <v>92</v>
      </c>
      <c r="B836" t="s">
        <v>1096</v>
      </c>
      <c r="C836" t="s">
        <v>1648</v>
      </c>
      <c r="D836" t="s">
        <v>1649</v>
      </c>
      <c r="E836" t="s">
        <v>96</v>
      </c>
      <c r="F836">
        <v>159</v>
      </c>
      <c r="G836">
        <v>149</v>
      </c>
      <c r="T836" t="s">
        <v>97</v>
      </c>
      <c r="V836">
        <v>130.09</v>
      </c>
      <c r="W836">
        <v>130.09</v>
      </c>
      <c r="X836">
        <v>0</v>
      </c>
      <c r="Y836">
        <v>0</v>
      </c>
      <c r="Z836">
        <v>149</v>
      </c>
      <c r="AA836" t="s">
        <v>97</v>
      </c>
      <c r="AB836">
        <v>149</v>
      </c>
    </row>
    <row r="837" spans="1:28" x14ac:dyDescent="0.2">
      <c r="A837" t="s">
        <v>92</v>
      </c>
      <c r="B837" t="s">
        <v>1096</v>
      </c>
      <c r="C837" t="s">
        <v>1650</v>
      </c>
      <c r="D837" t="s">
        <v>1651</v>
      </c>
      <c r="E837" t="s">
        <v>96</v>
      </c>
      <c r="F837">
        <v>159</v>
      </c>
      <c r="G837">
        <v>149</v>
      </c>
      <c r="T837" t="s">
        <v>97</v>
      </c>
      <c r="V837">
        <v>130.09</v>
      </c>
      <c r="W837">
        <v>121.91</v>
      </c>
      <c r="X837">
        <v>121.91</v>
      </c>
      <c r="Y837">
        <v>121.91</v>
      </c>
      <c r="Z837">
        <v>149</v>
      </c>
      <c r="AA837" t="s">
        <v>97</v>
      </c>
      <c r="AB837">
        <v>149</v>
      </c>
    </row>
    <row r="838" spans="1:28" x14ac:dyDescent="0.2">
      <c r="A838" t="s">
        <v>92</v>
      </c>
      <c r="B838" t="s">
        <v>1096</v>
      </c>
      <c r="C838" t="s">
        <v>1652</v>
      </c>
      <c r="D838" t="s">
        <v>1653</v>
      </c>
      <c r="E838" t="s">
        <v>228</v>
      </c>
      <c r="F838">
        <v>159</v>
      </c>
      <c r="T838" t="s">
        <v>97</v>
      </c>
      <c r="V838">
        <v>130.09</v>
      </c>
      <c r="W838">
        <v>130.09</v>
      </c>
      <c r="Z838">
        <v>149</v>
      </c>
      <c r="AA838" t="s">
        <v>97</v>
      </c>
      <c r="AB838">
        <v>149</v>
      </c>
    </row>
    <row r="839" spans="1:28" x14ac:dyDescent="0.2">
      <c r="A839" t="s">
        <v>92</v>
      </c>
      <c r="B839" t="s">
        <v>1096</v>
      </c>
      <c r="C839" t="s">
        <v>1654</v>
      </c>
      <c r="D839" t="s">
        <v>1655</v>
      </c>
      <c r="E839" t="s">
        <v>96</v>
      </c>
      <c r="F839">
        <v>159</v>
      </c>
      <c r="G839">
        <v>149</v>
      </c>
      <c r="T839" t="s">
        <v>97</v>
      </c>
      <c r="V839">
        <v>130.09</v>
      </c>
      <c r="W839">
        <v>121.91</v>
      </c>
      <c r="X839">
        <v>121.91</v>
      </c>
      <c r="Y839">
        <v>121.91</v>
      </c>
      <c r="Z839">
        <v>149</v>
      </c>
      <c r="AA839" t="s">
        <v>97</v>
      </c>
      <c r="AB839">
        <v>149</v>
      </c>
    </row>
    <row r="840" spans="1:28" x14ac:dyDescent="0.2">
      <c r="A840" t="s">
        <v>92</v>
      </c>
      <c r="B840" t="s">
        <v>1096</v>
      </c>
      <c r="C840" t="s">
        <v>1656</v>
      </c>
      <c r="D840" t="s">
        <v>1657</v>
      </c>
      <c r="E840" t="s">
        <v>96</v>
      </c>
      <c r="F840">
        <v>159</v>
      </c>
      <c r="G840">
        <v>149</v>
      </c>
      <c r="T840" t="s">
        <v>97</v>
      </c>
      <c r="V840">
        <v>130.09</v>
      </c>
      <c r="W840">
        <v>121.91</v>
      </c>
      <c r="X840">
        <v>121.91</v>
      </c>
      <c r="Y840">
        <v>121.91</v>
      </c>
      <c r="Z840">
        <v>149</v>
      </c>
      <c r="AA840" t="s">
        <v>97</v>
      </c>
      <c r="AB840">
        <v>149</v>
      </c>
    </row>
    <row r="841" spans="1:28" x14ac:dyDescent="0.2">
      <c r="A841" t="s">
        <v>92</v>
      </c>
      <c r="B841" t="s">
        <v>1096</v>
      </c>
      <c r="C841" t="s">
        <v>1658</v>
      </c>
      <c r="D841" t="s">
        <v>1659</v>
      </c>
      <c r="E841" t="s">
        <v>228</v>
      </c>
      <c r="F841">
        <v>149</v>
      </c>
      <c r="T841" t="s">
        <v>97</v>
      </c>
      <c r="V841">
        <v>130.09</v>
      </c>
      <c r="W841">
        <v>130.09</v>
      </c>
      <c r="Z841">
        <v>149</v>
      </c>
      <c r="AA841" t="s">
        <v>97</v>
      </c>
      <c r="AB841">
        <v>149</v>
      </c>
    </row>
    <row r="842" spans="1:28" x14ac:dyDescent="0.2">
      <c r="A842" t="s">
        <v>92</v>
      </c>
      <c r="B842" t="s">
        <v>1096</v>
      </c>
      <c r="C842" t="s">
        <v>1660</v>
      </c>
      <c r="D842" t="s">
        <v>1661</v>
      </c>
      <c r="E842" t="s">
        <v>96</v>
      </c>
      <c r="F842">
        <v>149</v>
      </c>
      <c r="G842">
        <v>149</v>
      </c>
      <c r="T842" t="s">
        <v>97</v>
      </c>
      <c r="V842">
        <v>130.09</v>
      </c>
      <c r="W842">
        <v>121.91</v>
      </c>
      <c r="X842">
        <v>121.91</v>
      </c>
      <c r="Y842">
        <v>121.91</v>
      </c>
      <c r="Z842">
        <v>149</v>
      </c>
      <c r="AA842" t="s">
        <v>97</v>
      </c>
      <c r="AB842">
        <v>149</v>
      </c>
    </row>
    <row r="843" spans="1:28" x14ac:dyDescent="0.2">
      <c r="A843" t="s">
        <v>92</v>
      </c>
      <c r="B843" t="s">
        <v>1096</v>
      </c>
      <c r="C843" t="s">
        <v>1662</v>
      </c>
      <c r="D843" t="s">
        <v>1663</v>
      </c>
      <c r="E843" t="s">
        <v>96</v>
      </c>
      <c r="F843">
        <v>149</v>
      </c>
      <c r="G843">
        <v>149</v>
      </c>
      <c r="T843" t="s">
        <v>97</v>
      </c>
      <c r="V843">
        <v>130.09</v>
      </c>
      <c r="W843">
        <v>121.91</v>
      </c>
      <c r="X843">
        <v>121.91</v>
      </c>
      <c r="Y843">
        <v>121.91</v>
      </c>
      <c r="Z843">
        <v>149</v>
      </c>
      <c r="AA843" t="s">
        <v>97</v>
      </c>
      <c r="AB843">
        <v>149</v>
      </c>
    </row>
    <row r="844" spans="1:28" x14ac:dyDescent="0.2">
      <c r="A844" t="s">
        <v>92</v>
      </c>
      <c r="B844" t="s">
        <v>1096</v>
      </c>
      <c r="C844" t="s">
        <v>1664</v>
      </c>
      <c r="D844" t="s">
        <v>1665</v>
      </c>
      <c r="E844" t="s">
        <v>228</v>
      </c>
      <c r="F844">
        <v>299</v>
      </c>
      <c r="T844" t="s">
        <v>97</v>
      </c>
      <c r="V844">
        <v>231.05</v>
      </c>
      <c r="W844">
        <v>231.05</v>
      </c>
      <c r="Z844">
        <v>299</v>
      </c>
      <c r="AA844" t="s">
        <v>97</v>
      </c>
      <c r="AB844">
        <v>299</v>
      </c>
    </row>
    <row r="845" spans="1:28" x14ac:dyDescent="0.2">
      <c r="A845" t="s">
        <v>92</v>
      </c>
      <c r="B845" t="s">
        <v>1096</v>
      </c>
      <c r="C845" t="s">
        <v>1666</v>
      </c>
      <c r="D845" t="s">
        <v>1667</v>
      </c>
      <c r="E845" t="s">
        <v>96</v>
      </c>
      <c r="F845">
        <v>299</v>
      </c>
      <c r="G845">
        <v>299</v>
      </c>
      <c r="T845" t="s">
        <v>97</v>
      </c>
      <c r="V845">
        <v>231.05</v>
      </c>
      <c r="W845">
        <v>231.05</v>
      </c>
      <c r="X845">
        <v>231.05</v>
      </c>
      <c r="Y845">
        <v>231.05</v>
      </c>
      <c r="Z845">
        <v>299</v>
      </c>
      <c r="AA845" t="s">
        <v>97</v>
      </c>
      <c r="AB845">
        <v>299</v>
      </c>
    </row>
    <row r="846" spans="1:28" x14ac:dyDescent="0.2">
      <c r="A846" t="s">
        <v>92</v>
      </c>
      <c r="B846" t="s">
        <v>1096</v>
      </c>
      <c r="C846" t="s">
        <v>1668</v>
      </c>
      <c r="D846" t="s">
        <v>1669</v>
      </c>
      <c r="E846" t="s">
        <v>96</v>
      </c>
      <c r="F846">
        <v>299</v>
      </c>
      <c r="G846">
        <v>299</v>
      </c>
      <c r="T846" t="s">
        <v>97</v>
      </c>
      <c r="V846">
        <v>231.05</v>
      </c>
      <c r="W846">
        <v>231.05</v>
      </c>
      <c r="X846">
        <v>231.05</v>
      </c>
      <c r="Y846">
        <v>231.05</v>
      </c>
      <c r="Z846">
        <v>299</v>
      </c>
      <c r="AA846" t="s">
        <v>97</v>
      </c>
      <c r="AB846">
        <v>299</v>
      </c>
    </row>
    <row r="847" spans="1:28" x14ac:dyDescent="0.2">
      <c r="A847" t="s">
        <v>92</v>
      </c>
      <c r="B847" t="s">
        <v>1096</v>
      </c>
      <c r="C847" t="s">
        <v>1670</v>
      </c>
      <c r="D847" t="s">
        <v>1671</v>
      </c>
      <c r="E847" t="s">
        <v>228</v>
      </c>
      <c r="F847">
        <v>299</v>
      </c>
      <c r="T847" t="s">
        <v>97</v>
      </c>
      <c r="V847">
        <v>231.05</v>
      </c>
      <c r="W847">
        <v>231.05</v>
      </c>
      <c r="Z847">
        <v>299</v>
      </c>
      <c r="AA847" t="s">
        <v>97</v>
      </c>
      <c r="AB847">
        <v>299</v>
      </c>
    </row>
    <row r="848" spans="1:28" x14ac:dyDescent="0.2">
      <c r="A848" t="s">
        <v>92</v>
      </c>
      <c r="B848" t="s">
        <v>1096</v>
      </c>
      <c r="C848" t="s">
        <v>1672</v>
      </c>
      <c r="D848" t="s">
        <v>1673</v>
      </c>
      <c r="E848" t="s">
        <v>228</v>
      </c>
      <c r="F848">
        <v>499</v>
      </c>
      <c r="T848" t="s">
        <v>97</v>
      </c>
      <c r="V848">
        <v>385.59</v>
      </c>
      <c r="W848">
        <v>385.59</v>
      </c>
      <c r="Z848">
        <v>499</v>
      </c>
      <c r="AA848" t="s">
        <v>97</v>
      </c>
      <c r="AB848">
        <v>499</v>
      </c>
    </row>
    <row r="849" spans="1:28" x14ac:dyDescent="0.2">
      <c r="A849" t="s">
        <v>92</v>
      </c>
      <c r="B849" t="s">
        <v>1096</v>
      </c>
      <c r="C849" t="s">
        <v>1674</v>
      </c>
      <c r="D849" t="s">
        <v>1675</v>
      </c>
      <c r="E849" t="s">
        <v>228</v>
      </c>
      <c r="F849">
        <v>499</v>
      </c>
      <c r="T849" t="s">
        <v>97</v>
      </c>
      <c r="W849">
        <v>385.59</v>
      </c>
      <c r="Z849">
        <v>499</v>
      </c>
      <c r="AA849" t="s">
        <v>97</v>
      </c>
      <c r="AB849">
        <v>499</v>
      </c>
    </row>
    <row r="850" spans="1:28" x14ac:dyDescent="0.2">
      <c r="A850" t="s">
        <v>92</v>
      </c>
      <c r="B850" t="s">
        <v>1096</v>
      </c>
      <c r="C850" t="s">
        <v>1676</v>
      </c>
      <c r="D850" t="s">
        <v>1677</v>
      </c>
      <c r="E850" t="s">
        <v>228</v>
      </c>
      <c r="F850">
        <v>449</v>
      </c>
      <c r="T850" t="s">
        <v>97</v>
      </c>
      <c r="W850">
        <v>385.59</v>
      </c>
      <c r="Z850">
        <v>449</v>
      </c>
      <c r="AA850" t="s">
        <v>97</v>
      </c>
      <c r="AB850">
        <v>449</v>
      </c>
    </row>
    <row r="851" spans="1:28" x14ac:dyDescent="0.2">
      <c r="A851" t="s">
        <v>92</v>
      </c>
      <c r="B851" t="s">
        <v>1096</v>
      </c>
      <c r="C851" t="s">
        <v>1678</v>
      </c>
      <c r="D851" t="s">
        <v>1679</v>
      </c>
      <c r="E851" t="s">
        <v>228</v>
      </c>
      <c r="F851">
        <v>449</v>
      </c>
      <c r="T851" t="s">
        <v>97</v>
      </c>
      <c r="W851">
        <v>385.59</v>
      </c>
      <c r="Z851">
        <v>449</v>
      </c>
      <c r="AA851" t="s">
        <v>97</v>
      </c>
      <c r="AB851">
        <v>449</v>
      </c>
    </row>
    <row r="852" spans="1:28" x14ac:dyDescent="0.2">
      <c r="A852" t="s">
        <v>92</v>
      </c>
      <c r="B852" t="s">
        <v>1096</v>
      </c>
      <c r="C852" t="s">
        <v>1680</v>
      </c>
      <c r="D852" t="s">
        <v>1681</v>
      </c>
      <c r="E852" t="s">
        <v>228</v>
      </c>
      <c r="F852">
        <v>249</v>
      </c>
      <c r="G852">
        <v>249</v>
      </c>
      <c r="T852" t="s">
        <v>97</v>
      </c>
      <c r="V852">
        <v>192.41</v>
      </c>
      <c r="W852">
        <v>192.41</v>
      </c>
      <c r="X852">
        <v>0</v>
      </c>
      <c r="Y852">
        <v>0</v>
      </c>
      <c r="Z852">
        <v>249</v>
      </c>
      <c r="AA852" t="s">
        <v>97</v>
      </c>
      <c r="AB852">
        <v>249</v>
      </c>
    </row>
    <row r="853" spans="1:28" x14ac:dyDescent="0.2">
      <c r="A853" t="s">
        <v>92</v>
      </c>
      <c r="B853" t="s">
        <v>1096</v>
      </c>
      <c r="C853" t="s">
        <v>1682</v>
      </c>
      <c r="D853" t="s">
        <v>1683</v>
      </c>
      <c r="E853" t="s">
        <v>228</v>
      </c>
      <c r="F853">
        <v>249</v>
      </c>
      <c r="T853" t="s">
        <v>97</v>
      </c>
      <c r="V853">
        <v>192.41</v>
      </c>
      <c r="W853">
        <v>192.41</v>
      </c>
      <c r="Z853">
        <v>249</v>
      </c>
      <c r="AA853" t="s">
        <v>97</v>
      </c>
      <c r="AB853">
        <v>249</v>
      </c>
    </row>
    <row r="854" spans="1:28" x14ac:dyDescent="0.2">
      <c r="A854" t="s">
        <v>92</v>
      </c>
      <c r="B854" t="s">
        <v>1096</v>
      </c>
      <c r="C854" t="s">
        <v>1684</v>
      </c>
      <c r="D854" t="s">
        <v>1685</v>
      </c>
      <c r="E854" t="s">
        <v>228</v>
      </c>
      <c r="F854">
        <v>249</v>
      </c>
      <c r="T854" t="s">
        <v>97</v>
      </c>
      <c r="V854">
        <v>192.41</v>
      </c>
      <c r="W854">
        <v>192.41</v>
      </c>
      <c r="Z854">
        <v>249</v>
      </c>
      <c r="AA854" t="s">
        <v>97</v>
      </c>
      <c r="AB854">
        <v>249</v>
      </c>
    </row>
    <row r="855" spans="1:28" x14ac:dyDescent="0.2">
      <c r="A855" t="s">
        <v>92</v>
      </c>
      <c r="B855" t="s">
        <v>1096</v>
      </c>
      <c r="C855" t="s">
        <v>1686</v>
      </c>
      <c r="D855" t="s">
        <v>1687</v>
      </c>
      <c r="E855" t="s">
        <v>228</v>
      </c>
      <c r="F855">
        <v>249</v>
      </c>
      <c r="T855" t="s">
        <v>97</v>
      </c>
      <c r="V855">
        <v>192.41</v>
      </c>
      <c r="W855">
        <v>192.41</v>
      </c>
      <c r="Z855">
        <v>249</v>
      </c>
      <c r="AA855" t="s">
        <v>97</v>
      </c>
      <c r="AB855">
        <v>249</v>
      </c>
    </row>
    <row r="856" spans="1:28" x14ac:dyDescent="0.2">
      <c r="A856" t="s">
        <v>92</v>
      </c>
      <c r="B856" t="s">
        <v>1096</v>
      </c>
      <c r="C856" t="s">
        <v>1688</v>
      </c>
      <c r="D856" t="s">
        <v>1689</v>
      </c>
      <c r="E856" t="s">
        <v>228</v>
      </c>
      <c r="F856">
        <v>1099</v>
      </c>
      <c r="T856" t="s">
        <v>97</v>
      </c>
      <c r="W856">
        <v>899.18</v>
      </c>
      <c r="AA856" t="s">
        <v>97</v>
      </c>
    </row>
    <row r="857" spans="1:28" x14ac:dyDescent="0.2">
      <c r="A857" t="s">
        <v>92</v>
      </c>
      <c r="B857" t="s">
        <v>1096</v>
      </c>
      <c r="C857" t="s">
        <v>1690</v>
      </c>
      <c r="D857" t="s">
        <v>1691</v>
      </c>
      <c r="E857" t="s">
        <v>228</v>
      </c>
      <c r="F857">
        <v>999</v>
      </c>
      <c r="T857" t="s">
        <v>97</v>
      </c>
      <c r="V857">
        <v>771.95</v>
      </c>
      <c r="W857">
        <v>771.95</v>
      </c>
      <c r="Y857">
        <v>771.95</v>
      </c>
      <c r="Z857">
        <v>999</v>
      </c>
      <c r="AA857" t="s">
        <v>97</v>
      </c>
      <c r="AB857">
        <v>999</v>
      </c>
    </row>
    <row r="858" spans="1:28" x14ac:dyDescent="0.2">
      <c r="A858" t="s">
        <v>92</v>
      </c>
      <c r="B858" t="s">
        <v>1692</v>
      </c>
      <c r="C858" t="s">
        <v>1693</v>
      </c>
      <c r="D858" t="s">
        <v>1694</v>
      </c>
      <c r="E858" t="s">
        <v>96</v>
      </c>
      <c r="F858">
        <v>29.99</v>
      </c>
      <c r="G858">
        <v>29.99</v>
      </c>
      <c r="H858">
        <v>16.36</v>
      </c>
      <c r="I858">
        <v>16.36</v>
      </c>
      <c r="J858">
        <v>24.54</v>
      </c>
      <c r="K858">
        <v>16.36</v>
      </c>
      <c r="L858">
        <v>17.72</v>
      </c>
      <c r="M858">
        <v>20.97</v>
      </c>
      <c r="O858">
        <v>21.81</v>
      </c>
      <c r="Q858">
        <v>20.97</v>
      </c>
      <c r="R858">
        <v>20.97</v>
      </c>
      <c r="S858">
        <v>14.31</v>
      </c>
      <c r="T858" t="s">
        <v>1695</v>
      </c>
      <c r="AA858" t="s">
        <v>97</v>
      </c>
    </row>
    <row r="859" spans="1:28" x14ac:dyDescent="0.2">
      <c r="A859" t="s">
        <v>92</v>
      </c>
      <c r="B859" t="s">
        <v>1696</v>
      </c>
      <c r="C859" t="s">
        <v>1697</v>
      </c>
      <c r="D859" t="s">
        <v>1698</v>
      </c>
      <c r="E859" t="s">
        <v>290</v>
      </c>
      <c r="F859">
        <v>39.99</v>
      </c>
      <c r="G859">
        <v>39.99</v>
      </c>
      <c r="H859">
        <v>20</v>
      </c>
      <c r="I859">
        <v>21.81</v>
      </c>
      <c r="J859">
        <v>32.72</v>
      </c>
      <c r="K859">
        <v>20</v>
      </c>
      <c r="L859">
        <v>22.72</v>
      </c>
      <c r="M859">
        <v>27.27</v>
      </c>
      <c r="O859">
        <v>31.81</v>
      </c>
      <c r="P859">
        <v>18.18</v>
      </c>
      <c r="Q859">
        <v>22.72</v>
      </c>
      <c r="R859">
        <v>45.45</v>
      </c>
      <c r="T859" t="s">
        <v>1699</v>
      </c>
      <c r="AA859" t="s">
        <v>97</v>
      </c>
    </row>
    <row r="860" spans="1:28" x14ac:dyDescent="0.2">
      <c r="A860" t="s">
        <v>92</v>
      </c>
      <c r="B860" t="s">
        <v>1696</v>
      </c>
      <c r="C860" t="s">
        <v>1700</v>
      </c>
      <c r="D860" t="s">
        <v>1701</v>
      </c>
      <c r="E860" t="s">
        <v>290</v>
      </c>
      <c r="F860">
        <v>39.99</v>
      </c>
      <c r="G860">
        <v>39.99</v>
      </c>
      <c r="H860">
        <v>20</v>
      </c>
      <c r="I860">
        <v>21.81</v>
      </c>
      <c r="J860">
        <v>32.72</v>
      </c>
      <c r="K860">
        <v>20</v>
      </c>
      <c r="L860">
        <v>22.72</v>
      </c>
      <c r="M860">
        <v>27.27</v>
      </c>
      <c r="O860">
        <v>31.81</v>
      </c>
      <c r="P860">
        <v>18.18</v>
      </c>
      <c r="Q860">
        <v>22.72</v>
      </c>
      <c r="R860">
        <v>45.45</v>
      </c>
      <c r="T860" t="s">
        <v>1699</v>
      </c>
      <c r="AA860" t="s">
        <v>97</v>
      </c>
    </row>
    <row r="861" spans="1:28" x14ac:dyDescent="0.2">
      <c r="A861" t="s">
        <v>92</v>
      </c>
      <c r="B861" t="s">
        <v>1696</v>
      </c>
      <c r="C861" t="s">
        <v>1702</v>
      </c>
      <c r="D861" t="s">
        <v>1703</v>
      </c>
      <c r="E861" t="s">
        <v>290</v>
      </c>
      <c r="F861">
        <v>39.99</v>
      </c>
      <c r="G861">
        <v>39.99</v>
      </c>
      <c r="H861">
        <v>20</v>
      </c>
      <c r="I861">
        <v>21.81</v>
      </c>
      <c r="J861">
        <v>32.72</v>
      </c>
      <c r="K861">
        <v>20</v>
      </c>
      <c r="L861">
        <v>22.72</v>
      </c>
      <c r="M861">
        <v>27.27</v>
      </c>
      <c r="O861">
        <v>31.81</v>
      </c>
      <c r="P861">
        <v>18.18</v>
      </c>
      <c r="Q861">
        <v>22.72</v>
      </c>
      <c r="R861">
        <v>45.45</v>
      </c>
      <c r="T861" t="s">
        <v>1699</v>
      </c>
      <c r="AA861" t="s">
        <v>97</v>
      </c>
    </row>
    <row r="862" spans="1:28" x14ac:dyDescent="0.2">
      <c r="A862" t="s">
        <v>92</v>
      </c>
      <c r="B862" t="s">
        <v>1696</v>
      </c>
      <c r="C862" t="s">
        <v>1704</v>
      </c>
      <c r="D862" t="s">
        <v>1705</v>
      </c>
      <c r="E862" t="s">
        <v>290</v>
      </c>
      <c r="F862">
        <v>39.99</v>
      </c>
      <c r="G862">
        <v>39.99</v>
      </c>
      <c r="H862">
        <v>20</v>
      </c>
      <c r="I862">
        <v>21.81</v>
      </c>
      <c r="J862">
        <v>32.72</v>
      </c>
      <c r="K862">
        <v>20</v>
      </c>
      <c r="L862">
        <v>22.72</v>
      </c>
      <c r="M862">
        <v>27.27</v>
      </c>
      <c r="O862">
        <v>31.81</v>
      </c>
      <c r="P862">
        <v>18.18</v>
      </c>
      <c r="Q862">
        <v>22.72</v>
      </c>
      <c r="R862">
        <v>45.45</v>
      </c>
      <c r="T862" t="s">
        <v>1699</v>
      </c>
      <c r="AA862" t="s">
        <v>97</v>
      </c>
    </row>
    <row r="863" spans="1:28" x14ac:dyDescent="0.2">
      <c r="A863" t="s">
        <v>92</v>
      </c>
      <c r="B863" t="s">
        <v>1706</v>
      </c>
      <c r="C863" t="s">
        <v>1707</v>
      </c>
      <c r="D863" t="s">
        <v>1708</v>
      </c>
      <c r="E863" t="s">
        <v>96</v>
      </c>
      <c r="F863">
        <v>199</v>
      </c>
      <c r="G863">
        <v>199</v>
      </c>
      <c r="T863" t="s">
        <v>97</v>
      </c>
      <c r="V863">
        <v>153.77000000000001</v>
      </c>
      <c r="W863">
        <v>153.77000000000001</v>
      </c>
      <c r="X863">
        <v>144.72999999999999</v>
      </c>
      <c r="Y863">
        <v>126.64</v>
      </c>
      <c r="Z863">
        <v>199</v>
      </c>
      <c r="AA863" t="s">
        <v>97</v>
      </c>
    </row>
    <row r="864" spans="1:28" x14ac:dyDescent="0.2">
      <c r="A864" t="s">
        <v>92</v>
      </c>
      <c r="B864" t="s">
        <v>1706</v>
      </c>
      <c r="C864" t="s">
        <v>1709</v>
      </c>
      <c r="D864" t="s">
        <v>1710</v>
      </c>
      <c r="E864" t="s">
        <v>96</v>
      </c>
      <c r="F864">
        <v>149</v>
      </c>
      <c r="G864">
        <v>149</v>
      </c>
      <c r="T864" t="s">
        <v>97</v>
      </c>
      <c r="V864">
        <v>108.36</v>
      </c>
      <c r="W864">
        <v>108.36</v>
      </c>
      <c r="X864">
        <v>108.36</v>
      </c>
      <c r="Y864">
        <v>94.82</v>
      </c>
      <c r="Z864">
        <v>149</v>
      </c>
      <c r="AA864" t="s">
        <v>97</v>
      </c>
    </row>
    <row r="865" spans="1:27" x14ac:dyDescent="0.2">
      <c r="A865" t="s">
        <v>92</v>
      </c>
      <c r="B865" t="s">
        <v>1706</v>
      </c>
      <c r="C865" t="s">
        <v>1711</v>
      </c>
      <c r="D865" t="s">
        <v>1712</v>
      </c>
      <c r="E865" t="s">
        <v>96</v>
      </c>
      <c r="F865">
        <v>199</v>
      </c>
      <c r="G865">
        <v>199</v>
      </c>
      <c r="T865" t="s">
        <v>97</v>
      </c>
      <c r="V865">
        <v>144.72999999999999</v>
      </c>
      <c r="W865">
        <v>144.72999999999999</v>
      </c>
      <c r="X865">
        <v>144.72999999999999</v>
      </c>
      <c r="Y865">
        <v>126.64</v>
      </c>
      <c r="Z865">
        <v>199</v>
      </c>
      <c r="AA865" t="s">
        <v>97</v>
      </c>
    </row>
    <row r="866" spans="1:27" x14ac:dyDescent="0.2">
      <c r="A866" t="s">
        <v>92</v>
      </c>
      <c r="B866" t="s">
        <v>1706</v>
      </c>
      <c r="C866" t="s">
        <v>1713</v>
      </c>
      <c r="D866" t="s">
        <v>1714</v>
      </c>
      <c r="E866" t="s">
        <v>96</v>
      </c>
      <c r="F866">
        <v>329</v>
      </c>
      <c r="G866">
        <v>329</v>
      </c>
      <c r="T866" t="s">
        <v>97</v>
      </c>
      <c r="V866">
        <v>239.27</v>
      </c>
      <c r="W866">
        <v>239.27</v>
      </c>
      <c r="X866">
        <v>239.27</v>
      </c>
      <c r="Y866">
        <v>209.36</v>
      </c>
      <c r="Z866">
        <v>329</v>
      </c>
      <c r="AA866" t="s">
        <v>97</v>
      </c>
    </row>
    <row r="867" spans="1:27" x14ac:dyDescent="0.2">
      <c r="A867" t="s">
        <v>92</v>
      </c>
      <c r="B867" t="s">
        <v>1706</v>
      </c>
      <c r="C867" t="s">
        <v>1715</v>
      </c>
      <c r="D867" t="s">
        <v>1716</v>
      </c>
      <c r="E867" t="s">
        <v>96</v>
      </c>
      <c r="F867">
        <v>499</v>
      </c>
      <c r="G867">
        <v>499</v>
      </c>
      <c r="T867" t="s">
        <v>97</v>
      </c>
      <c r="V867">
        <v>362.91</v>
      </c>
      <c r="W867">
        <v>362.91</v>
      </c>
      <c r="X867">
        <v>362.91</v>
      </c>
      <c r="Y867">
        <v>317.55</v>
      </c>
      <c r="Z867">
        <v>499</v>
      </c>
      <c r="AA867" t="s">
        <v>97</v>
      </c>
    </row>
    <row r="868" spans="1:27" x14ac:dyDescent="0.2">
      <c r="A868" t="s">
        <v>92</v>
      </c>
      <c r="B868" t="s">
        <v>1706</v>
      </c>
      <c r="C868" t="s">
        <v>1717</v>
      </c>
      <c r="D868" t="s">
        <v>1718</v>
      </c>
      <c r="E868" t="s">
        <v>96</v>
      </c>
      <c r="F868">
        <v>129</v>
      </c>
      <c r="T868" t="s">
        <v>97</v>
      </c>
      <c r="AA868" t="s">
        <v>97</v>
      </c>
    </row>
    <row r="869" spans="1:27" x14ac:dyDescent="0.2">
      <c r="A869" t="s">
        <v>92</v>
      </c>
      <c r="B869" t="s">
        <v>1706</v>
      </c>
      <c r="C869" t="s">
        <v>1719</v>
      </c>
      <c r="D869" t="s">
        <v>1720</v>
      </c>
      <c r="E869" t="s">
        <v>96</v>
      </c>
      <c r="F869">
        <v>449</v>
      </c>
      <c r="G869">
        <v>449</v>
      </c>
      <c r="T869" t="s">
        <v>97</v>
      </c>
      <c r="V869">
        <v>346.95</v>
      </c>
      <c r="W869">
        <v>346.95</v>
      </c>
      <c r="X869">
        <v>326.55</v>
      </c>
      <c r="Y869">
        <v>285.73</v>
      </c>
      <c r="Z869">
        <v>449</v>
      </c>
      <c r="AA869" t="s">
        <v>97</v>
      </c>
    </row>
    <row r="870" spans="1:27" x14ac:dyDescent="0.2">
      <c r="A870" t="s">
        <v>92</v>
      </c>
      <c r="B870" t="s">
        <v>1706</v>
      </c>
      <c r="C870" t="s">
        <v>1721</v>
      </c>
      <c r="D870" t="s">
        <v>1722</v>
      </c>
      <c r="E870" t="s">
        <v>96</v>
      </c>
      <c r="F870">
        <v>389</v>
      </c>
      <c r="G870">
        <v>389</v>
      </c>
      <c r="T870" t="s">
        <v>97</v>
      </c>
      <c r="V870">
        <v>282.91000000000003</v>
      </c>
      <c r="W870">
        <v>282.91000000000003</v>
      </c>
      <c r="X870">
        <v>282.91000000000003</v>
      </c>
      <c r="Y870">
        <v>247.55</v>
      </c>
      <c r="Z870">
        <v>389</v>
      </c>
      <c r="AA870" t="s">
        <v>97</v>
      </c>
    </row>
    <row r="871" spans="1:27" x14ac:dyDescent="0.2">
      <c r="A871" t="s">
        <v>92</v>
      </c>
      <c r="B871" t="s">
        <v>1706</v>
      </c>
      <c r="C871" t="s">
        <v>1723</v>
      </c>
      <c r="D871" t="s">
        <v>1724</v>
      </c>
      <c r="E871" t="s">
        <v>96</v>
      </c>
      <c r="F871">
        <v>129</v>
      </c>
      <c r="T871" t="s">
        <v>97</v>
      </c>
      <c r="V871">
        <v>99.68</v>
      </c>
      <c r="W871">
        <v>99.68</v>
      </c>
      <c r="X871">
        <v>93.82</v>
      </c>
      <c r="Y871">
        <v>93.82</v>
      </c>
      <c r="AA871" t="s">
        <v>97</v>
      </c>
    </row>
    <row r="872" spans="1:27" x14ac:dyDescent="0.2">
      <c r="A872" t="s">
        <v>92</v>
      </c>
      <c r="B872" t="s">
        <v>1706</v>
      </c>
      <c r="C872" t="s">
        <v>1725</v>
      </c>
      <c r="D872" t="s">
        <v>1726</v>
      </c>
      <c r="E872" t="s">
        <v>96</v>
      </c>
      <c r="F872">
        <v>99</v>
      </c>
      <c r="T872" t="s">
        <v>97</v>
      </c>
      <c r="V872">
        <v>76.5</v>
      </c>
      <c r="W872">
        <v>84.23</v>
      </c>
      <c r="X872">
        <v>72</v>
      </c>
      <c r="Y872">
        <v>72</v>
      </c>
      <c r="AA872" t="s">
        <v>97</v>
      </c>
    </row>
    <row r="873" spans="1:27" x14ac:dyDescent="0.2">
      <c r="A873" t="s">
        <v>92</v>
      </c>
      <c r="B873" t="s">
        <v>1706</v>
      </c>
      <c r="C873" t="s">
        <v>1727</v>
      </c>
      <c r="D873" t="s">
        <v>1728</v>
      </c>
      <c r="E873" t="s">
        <v>96</v>
      </c>
      <c r="F873">
        <v>139</v>
      </c>
      <c r="T873" t="s">
        <v>97</v>
      </c>
      <c r="V873">
        <v>107.41</v>
      </c>
      <c r="W873">
        <v>107.41</v>
      </c>
      <c r="X873">
        <v>101.09</v>
      </c>
      <c r="Y873">
        <v>101.09</v>
      </c>
      <c r="AA873" t="s">
        <v>97</v>
      </c>
    </row>
    <row r="874" spans="1:27" x14ac:dyDescent="0.2">
      <c r="A874" t="s">
        <v>92</v>
      </c>
      <c r="B874" t="s">
        <v>1706</v>
      </c>
      <c r="C874" t="s">
        <v>1729</v>
      </c>
      <c r="D874" t="s">
        <v>1730</v>
      </c>
      <c r="E874" t="s">
        <v>96</v>
      </c>
      <c r="F874">
        <v>79</v>
      </c>
      <c r="T874" t="s">
        <v>97</v>
      </c>
      <c r="V874">
        <v>53.32</v>
      </c>
      <c r="W874">
        <v>61.05</v>
      </c>
      <c r="X874">
        <v>50.18</v>
      </c>
      <c r="Y874">
        <v>50.18</v>
      </c>
      <c r="AA874" t="s">
        <v>97</v>
      </c>
    </row>
    <row r="875" spans="1:27" x14ac:dyDescent="0.2">
      <c r="A875" t="s">
        <v>92</v>
      </c>
      <c r="B875" t="s">
        <v>1706</v>
      </c>
      <c r="C875" t="s">
        <v>1731</v>
      </c>
      <c r="D875" t="s">
        <v>1732</v>
      </c>
      <c r="E875" t="s">
        <v>290</v>
      </c>
      <c r="F875">
        <v>199</v>
      </c>
      <c r="G875">
        <v>199</v>
      </c>
      <c r="T875" t="s">
        <v>97</v>
      </c>
      <c r="V875">
        <v>144.72999999999999</v>
      </c>
      <c r="W875">
        <v>144.72999999999999</v>
      </c>
      <c r="X875">
        <v>144.72999999999999</v>
      </c>
      <c r="Y875">
        <v>126.64</v>
      </c>
      <c r="Z875">
        <v>199</v>
      </c>
      <c r="AA875" t="s">
        <v>97</v>
      </c>
    </row>
    <row r="876" spans="1:27" x14ac:dyDescent="0.2">
      <c r="A876" t="s">
        <v>92</v>
      </c>
      <c r="B876" t="s">
        <v>1706</v>
      </c>
      <c r="C876" t="s">
        <v>1733</v>
      </c>
      <c r="D876" t="s">
        <v>1734</v>
      </c>
      <c r="E876" t="s">
        <v>96</v>
      </c>
      <c r="F876">
        <v>259</v>
      </c>
      <c r="G876">
        <v>259</v>
      </c>
      <c r="T876" t="s">
        <v>97</v>
      </c>
      <c r="V876">
        <v>188.36</v>
      </c>
      <c r="W876">
        <v>188.36</v>
      </c>
      <c r="X876">
        <v>188.36</v>
      </c>
      <c r="Y876">
        <v>164.82</v>
      </c>
      <c r="Z876">
        <v>259</v>
      </c>
      <c r="AA876" t="s">
        <v>97</v>
      </c>
    </row>
    <row r="877" spans="1:27" x14ac:dyDescent="0.2">
      <c r="A877" t="s">
        <v>92</v>
      </c>
      <c r="B877" t="s">
        <v>1706</v>
      </c>
      <c r="C877" t="s">
        <v>1735</v>
      </c>
      <c r="D877" t="s">
        <v>1736</v>
      </c>
      <c r="E877" t="s">
        <v>96</v>
      </c>
      <c r="F877">
        <v>299</v>
      </c>
      <c r="G877">
        <v>299</v>
      </c>
      <c r="T877" t="s">
        <v>97</v>
      </c>
      <c r="V877">
        <v>217.45</v>
      </c>
      <c r="W877">
        <v>217.45</v>
      </c>
      <c r="X877">
        <v>217.45</v>
      </c>
      <c r="Y877">
        <v>190.27</v>
      </c>
      <c r="Z877">
        <v>299</v>
      </c>
      <c r="AA877" t="s">
        <v>97</v>
      </c>
    </row>
    <row r="878" spans="1:27" x14ac:dyDescent="0.2">
      <c r="A878" t="s">
        <v>92</v>
      </c>
      <c r="B878" t="s">
        <v>1706</v>
      </c>
      <c r="C878" t="s">
        <v>1737</v>
      </c>
      <c r="D878" t="s">
        <v>1738</v>
      </c>
      <c r="E878" t="s">
        <v>96</v>
      </c>
      <c r="F878">
        <v>399</v>
      </c>
      <c r="G878">
        <v>399</v>
      </c>
      <c r="T878" t="s">
        <v>97</v>
      </c>
      <c r="V878">
        <v>308.32</v>
      </c>
      <c r="W878">
        <v>308.32</v>
      </c>
      <c r="X878">
        <v>290.18</v>
      </c>
      <c r="Y878">
        <v>253.91</v>
      </c>
      <c r="Z878">
        <v>399</v>
      </c>
      <c r="AA878" t="s">
        <v>97</v>
      </c>
    </row>
    <row r="879" spans="1:27" x14ac:dyDescent="0.2">
      <c r="A879" t="s">
        <v>92</v>
      </c>
      <c r="B879" t="s">
        <v>1706</v>
      </c>
      <c r="C879" t="s">
        <v>1739</v>
      </c>
      <c r="D879" t="s">
        <v>1740</v>
      </c>
      <c r="E879" t="s">
        <v>96</v>
      </c>
      <c r="F879">
        <v>429</v>
      </c>
      <c r="G879">
        <v>429</v>
      </c>
      <c r="T879" t="s">
        <v>97</v>
      </c>
      <c r="V879">
        <v>331.5</v>
      </c>
      <c r="W879">
        <v>331.5</v>
      </c>
      <c r="X879">
        <v>312</v>
      </c>
      <c r="Y879">
        <v>273</v>
      </c>
      <c r="Z879">
        <v>429</v>
      </c>
      <c r="AA879" t="s">
        <v>97</v>
      </c>
    </row>
    <row r="880" spans="1:27" x14ac:dyDescent="0.2">
      <c r="A880" t="s">
        <v>92</v>
      </c>
      <c r="B880" t="s">
        <v>1706</v>
      </c>
      <c r="C880" t="s">
        <v>1741</v>
      </c>
      <c r="D880" t="s">
        <v>1742</v>
      </c>
      <c r="E880" t="s">
        <v>96</v>
      </c>
      <c r="F880">
        <v>199</v>
      </c>
      <c r="T880" t="s">
        <v>97</v>
      </c>
      <c r="AA880" t="s">
        <v>97</v>
      </c>
    </row>
    <row r="881" spans="1:27" x14ac:dyDescent="0.2">
      <c r="A881" t="s">
        <v>92</v>
      </c>
      <c r="B881" t="s">
        <v>1706</v>
      </c>
      <c r="C881" t="s">
        <v>1743</v>
      </c>
      <c r="D881" t="s">
        <v>1744</v>
      </c>
      <c r="E881" t="s">
        <v>96</v>
      </c>
      <c r="F881">
        <v>239</v>
      </c>
      <c r="T881" t="s">
        <v>97</v>
      </c>
      <c r="AA881" t="s">
        <v>97</v>
      </c>
    </row>
    <row r="882" spans="1:27" x14ac:dyDescent="0.2">
      <c r="A882" t="s">
        <v>92</v>
      </c>
      <c r="B882" t="s">
        <v>1706</v>
      </c>
      <c r="C882" t="s">
        <v>1745</v>
      </c>
      <c r="D882" t="s">
        <v>1746</v>
      </c>
      <c r="E882" t="s">
        <v>96</v>
      </c>
      <c r="F882">
        <v>349</v>
      </c>
      <c r="G882">
        <v>349</v>
      </c>
      <c r="T882" t="s">
        <v>97</v>
      </c>
      <c r="V882">
        <v>253.82</v>
      </c>
      <c r="W882">
        <v>253.82</v>
      </c>
      <c r="X882">
        <v>253.82</v>
      </c>
      <c r="Y882">
        <v>222.09</v>
      </c>
      <c r="Z882">
        <v>349</v>
      </c>
      <c r="AA882" t="s">
        <v>97</v>
      </c>
    </row>
    <row r="883" spans="1:27" x14ac:dyDescent="0.2">
      <c r="A883" t="s">
        <v>92</v>
      </c>
      <c r="B883" t="s">
        <v>1706</v>
      </c>
      <c r="C883" t="s">
        <v>1747</v>
      </c>
      <c r="D883" t="s">
        <v>1748</v>
      </c>
      <c r="E883" t="s">
        <v>96</v>
      </c>
      <c r="F883">
        <v>329</v>
      </c>
      <c r="G883">
        <v>329</v>
      </c>
      <c r="T883" t="s">
        <v>97</v>
      </c>
      <c r="V883">
        <v>239.27</v>
      </c>
      <c r="W883">
        <v>239.27</v>
      </c>
      <c r="X883">
        <v>239.27</v>
      </c>
      <c r="Y883">
        <v>209.36</v>
      </c>
      <c r="Z883">
        <v>329</v>
      </c>
      <c r="AA883" t="s">
        <v>97</v>
      </c>
    </row>
    <row r="884" spans="1:27" x14ac:dyDescent="0.2">
      <c r="A884" t="s">
        <v>92</v>
      </c>
      <c r="B884" t="s">
        <v>1706</v>
      </c>
      <c r="C884" t="s">
        <v>1749</v>
      </c>
      <c r="D884" t="s">
        <v>1750</v>
      </c>
      <c r="E884" t="s">
        <v>96</v>
      </c>
      <c r="F884">
        <v>429</v>
      </c>
      <c r="G884">
        <v>429</v>
      </c>
      <c r="T884" t="s">
        <v>97</v>
      </c>
      <c r="V884">
        <v>312</v>
      </c>
      <c r="W884">
        <v>312</v>
      </c>
      <c r="X884">
        <v>312</v>
      </c>
      <c r="Y884">
        <v>273</v>
      </c>
      <c r="Z884">
        <v>429</v>
      </c>
      <c r="AA884" t="s">
        <v>97</v>
      </c>
    </row>
    <row r="885" spans="1:27" x14ac:dyDescent="0.2">
      <c r="A885" t="s">
        <v>92</v>
      </c>
      <c r="B885" t="s">
        <v>1706</v>
      </c>
      <c r="C885" t="s">
        <v>1751</v>
      </c>
      <c r="D885" t="s">
        <v>1752</v>
      </c>
      <c r="E885" t="s">
        <v>96</v>
      </c>
      <c r="F885">
        <v>269</v>
      </c>
      <c r="G885">
        <v>269</v>
      </c>
      <c r="T885" t="s">
        <v>97</v>
      </c>
      <c r="V885">
        <v>207.86</v>
      </c>
      <c r="W885">
        <v>207.86</v>
      </c>
      <c r="X885">
        <v>195.64</v>
      </c>
      <c r="Y885">
        <v>171.18</v>
      </c>
      <c r="Z885">
        <v>269</v>
      </c>
      <c r="AA885" t="s">
        <v>97</v>
      </c>
    </row>
    <row r="886" spans="1:27" x14ac:dyDescent="0.2">
      <c r="A886" t="s">
        <v>92</v>
      </c>
      <c r="B886" t="s">
        <v>1706</v>
      </c>
      <c r="C886" t="s">
        <v>1753</v>
      </c>
      <c r="D886" t="s">
        <v>1754</v>
      </c>
      <c r="E886" t="s">
        <v>96</v>
      </c>
      <c r="F886">
        <v>399</v>
      </c>
      <c r="G886">
        <v>399</v>
      </c>
      <c r="T886" t="s">
        <v>97</v>
      </c>
      <c r="V886">
        <v>308.32</v>
      </c>
      <c r="W886">
        <v>308.32</v>
      </c>
      <c r="X886">
        <v>290.18</v>
      </c>
      <c r="Y886">
        <v>253.91</v>
      </c>
      <c r="Z886">
        <v>399</v>
      </c>
      <c r="AA886" t="s">
        <v>97</v>
      </c>
    </row>
    <row r="887" spans="1:27" x14ac:dyDescent="0.2">
      <c r="A887" t="s">
        <v>92</v>
      </c>
      <c r="B887" t="s">
        <v>1755</v>
      </c>
      <c r="C887" t="s">
        <v>1756</v>
      </c>
      <c r="D887" t="s">
        <v>1757</v>
      </c>
      <c r="E887" t="s">
        <v>96</v>
      </c>
      <c r="F887">
        <v>129.99</v>
      </c>
      <c r="G887">
        <v>129.99</v>
      </c>
      <c r="T887" t="s">
        <v>97</v>
      </c>
      <c r="V887">
        <v>106.32</v>
      </c>
      <c r="W887">
        <v>106.32</v>
      </c>
      <c r="X887">
        <v>106.32</v>
      </c>
      <c r="Y887">
        <v>106.36</v>
      </c>
      <c r="Z887">
        <v>129.99</v>
      </c>
      <c r="AA887" t="s">
        <v>97</v>
      </c>
    </row>
    <row r="888" spans="1:27" x14ac:dyDescent="0.2">
      <c r="A888" t="s">
        <v>92</v>
      </c>
      <c r="B888" t="s">
        <v>1755</v>
      </c>
      <c r="C888" t="s">
        <v>1758</v>
      </c>
      <c r="D888" t="s">
        <v>1759</v>
      </c>
      <c r="E888" t="s">
        <v>96</v>
      </c>
      <c r="F888">
        <v>99.99</v>
      </c>
      <c r="G888">
        <v>99.99</v>
      </c>
      <c r="T888" t="s">
        <v>97</v>
      </c>
      <c r="V888">
        <v>81.78</v>
      </c>
      <c r="W888">
        <v>81.78</v>
      </c>
      <c r="X888">
        <v>81.78</v>
      </c>
      <c r="Y888">
        <v>81.81</v>
      </c>
      <c r="Z888">
        <v>99.99</v>
      </c>
      <c r="AA888" t="s">
        <v>97</v>
      </c>
    </row>
    <row r="889" spans="1:27" x14ac:dyDescent="0.2">
      <c r="A889" t="s">
        <v>92</v>
      </c>
      <c r="B889" t="s">
        <v>1755</v>
      </c>
      <c r="C889" t="s">
        <v>1760</v>
      </c>
      <c r="D889" t="s">
        <v>1761</v>
      </c>
      <c r="E889" t="s">
        <v>96</v>
      </c>
      <c r="F889">
        <v>99.99</v>
      </c>
      <c r="G889">
        <v>99.99</v>
      </c>
      <c r="T889" t="s">
        <v>97</v>
      </c>
      <c r="V889">
        <v>81.78</v>
      </c>
      <c r="W889">
        <v>81.78</v>
      </c>
      <c r="X889">
        <v>81.78</v>
      </c>
      <c r="Y889">
        <v>81.81</v>
      </c>
      <c r="Z889">
        <v>99.99</v>
      </c>
      <c r="AA889" t="s">
        <v>97</v>
      </c>
    </row>
    <row r="890" spans="1:27" x14ac:dyDescent="0.2">
      <c r="A890" t="s">
        <v>92</v>
      </c>
      <c r="B890" t="s">
        <v>1755</v>
      </c>
      <c r="C890" t="s">
        <v>1762</v>
      </c>
      <c r="D890" t="s">
        <v>1763</v>
      </c>
      <c r="E890" t="s">
        <v>96</v>
      </c>
      <c r="F890">
        <v>129.99</v>
      </c>
      <c r="G890">
        <v>129.99</v>
      </c>
      <c r="T890" t="s">
        <v>97</v>
      </c>
      <c r="V890">
        <v>106.32</v>
      </c>
      <c r="W890">
        <v>106.32</v>
      </c>
      <c r="X890">
        <v>106.32</v>
      </c>
      <c r="Y890">
        <v>106.36</v>
      </c>
      <c r="Z890">
        <v>129.99</v>
      </c>
      <c r="AA890" t="s">
        <v>97</v>
      </c>
    </row>
    <row r="891" spans="1:27" x14ac:dyDescent="0.2">
      <c r="A891" t="s">
        <v>92</v>
      </c>
      <c r="B891" t="s">
        <v>1755</v>
      </c>
      <c r="C891" t="s">
        <v>1764</v>
      </c>
      <c r="D891" t="s">
        <v>1765</v>
      </c>
      <c r="E891" t="s">
        <v>96</v>
      </c>
      <c r="F891">
        <v>199.99</v>
      </c>
      <c r="G891">
        <v>199.99</v>
      </c>
      <c r="T891" t="s">
        <v>97</v>
      </c>
      <c r="V891">
        <v>163.6</v>
      </c>
      <c r="W891">
        <v>163.6</v>
      </c>
      <c r="X891">
        <v>163.6</v>
      </c>
      <c r="Y891">
        <v>163.63</v>
      </c>
      <c r="Z891">
        <v>199.99</v>
      </c>
      <c r="AA891" t="s">
        <v>97</v>
      </c>
    </row>
    <row r="892" spans="1:27" x14ac:dyDescent="0.2">
      <c r="A892" t="s">
        <v>92</v>
      </c>
      <c r="B892" t="s">
        <v>1755</v>
      </c>
      <c r="C892" t="s">
        <v>1766</v>
      </c>
      <c r="D892" t="s">
        <v>1767</v>
      </c>
      <c r="E892" t="s">
        <v>96</v>
      </c>
      <c r="F892">
        <v>139.99</v>
      </c>
      <c r="G892">
        <v>139.99</v>
      </c>
      <c r="T892" t="s">
        <v>97</v>
      </c>
      <c r="V892">
        <v>114.5</v>
      </c>
      <c r="W892">
        <v>114.5</v>
      </c>
      <c r="X892">
        <v>114.5</v>
      </c>
      <c r="Y892">
        <v>114.54</v>
      </c>
      <c r="Z892">
        <v>139.99</v>
      </c>
      <c r="AA892" t="s">
        <v>97</v>
      </c>
    </row>
    <row r="893" spans="1:27" x14ac:dyDescent="0.2">
      <c r="A893" t="s">
        <v>92</v>
      </c>
      <c r="B893" t="s">
        <v>1755</v>
      </c>
      <c r="C893" t="s">
        <v>1768</v>
      </c>
      <c r="D893" t="s">
        <v>1769</v>
      </c>
      <c r="E893" t="s">
        <v>96</v>
      </c>
      <c r="F893">
        <v>149.99</v>
      </c>
      <c r="G893">
        <v>149.99</v>
      </c>
      <c r="T893" t="s">
        <v>97</v>
      </c>
      <c r="V893">
        <v>122.69</v>
      </c>
      <c r="W893">
        <v>122.69</v>
      </c>
      <c r="X893">
        <v>122.69</v>
      </c>
      <c r="Y893">
        <v>122.72</v>
      </c>
      <c r="Z893">
        <v>149.99</v>
      </c>
      <c r="AA893" t="s">
        <v>97</v>
      </c>
    </row>
    <row r="894" spans="1:27" x14ac:dyDescent="0.2">
      <c r="A894" t="s">
        <v>92</v>
      </c>
      <c r="B894" t="s">
        <v>1755</v>
      </c>
      <c r="C894" t="s">
        <v>1770</v>
      </c>
      <c r="D894" t="s">
        <v>1771</v>
      </c>
      <c r="E894" t="s">
        <v>96</v>
      </c>
      <c r="F894">
        <v>149.99</v>
      </c>
      <c r="G894">
        <v>149.99</v>
      </c>
      <c r="T894" t="s">
        <v>97</v>
      </c>
      <c r="V894">
        <v>122.69</v>
      </c>
      <c r="W894">
        <v>122.69</v>
      </c>
      <c r="X894">
        <v>122.69</v>
      </c>
      <c r="Y894">
        <v>122.72</v>
      </c>
      <c r="Z894">
        <v>149.99</v>
      </c>
      <c r="AA894" t="s">
        <v>97</v>
      </c>
    </row>
    <row r="895" spans="1:27" x14ac:dyDescent="0.2">
      <c r="A895" t="s">
        <v>92</v>
      </c>
      <c r="B895" t="s">
        <v>1755</v>
      </c>
      <c r="C895" t="s">
        <v>1772</v>
      </c>
      <c r="D895" t="s">
        <v>1773</v>
      </c>
      <c r="E895" t="s">
        <v>96</v>
      </c>
      <c r="F895">
        <v>149.99</v>
      </c>
      <c r="G895">
        <v>149.99</v>
      </c>
      <c r="T895" t="s">
        <v>97</v>
      </c>
      <c r="V895">
        <v>122.69</v>
      </c>
      <c r="W895">
        <v>122.69</v>
      </c>
      <c r="X895">
        <v>122.69</v>
      </c>
      <c r="Y895">
        <v>122.72</v>
      </c>
      <c r="Z895">
        <v>149.99</v>
      </c>
      <c r="AA895" t="s">
        <v>97</v>
      </c>
    </row>
    <row r="896" spans="1:27" x14ac:dyDescent="0.2">
      <c r="A896" t="s">
        <v>92</v>
      </c>
      <c r="B896" t="s">
        <v>1755</v>
      </c>
      <c r="C896" t="s">
        <v>1774</v>
      </c>
      <c r="D896" t="s">
        <v>1775</v>
      </c>
      <c r="E896" t="s">
        <v>96</v>
      </c>
      <c r="F896">
        <v>149.99</v>
      </c>
      <c r="G896">
        <v>149.99</v>
      </c>
      <c r="T896" t="s">
        <v>97</v>
      </c>
      <c r="V896">
        <v>122.69</v>
      </c>
      <c r="W896">
        <v>122.69</v>
      </c>
      <c r="X896">
        <v>122.69</v>
      </c>
      <c r="Y896">
        <v>122.72</v>
      </c>
      <c r="Z896">
        <v>149.99</v>
      </c>
      <c r="AA896" t="s">
        <v>97</v>
      </c>
    </row>
    <row r="897" spans="1:27" x14ac:dyDescent="0.2">
      <c r="A897" t="s">
        <v>92</v>
      </c>
      <c r="B897" t="s">
        <v>1755</v>
      </c>
      <c r="C897" t="s">
        <v>1776</v>
      </c>
      <c r="D897" t="s">
        <v>1777</v>
      </c>
      <c r="E897" t="s">
        <v>96</v>
      </c>
      <c r="F897">
        <v>149.99</v>
      </c>
      <c r="G897">
        <v>149.99</v>
      </c>
      <c r="T897" t="s">
        <v>97</v>
      </c>
      <c r="V897">
        <v>122.69</v>
      </c>
      <c r="W897">
        <v>122.69</v>
      </c>
      <c r="X897">
        <v>122.69</v>
      </c>
      <c r="Y897">
        <v>122.72</v>
      </c>
      <c r="Z897">
        <v>149.99</v>
      </c>
      <c r="AA897" t="s">
        <v>97</v>
      </c>
    </row>
    <row r="898" spans="1:27" x14ac:dyDescent="0.2">
      <c r="A898" t="s">
        <v>92</v>
      </c>
      <c r="B898" t="s">
        <v>1755</v>
      </c>
      <c r="C898" t="s">
        <v>1778</v>
      </c>
      <c r="D898" t="s">
        <v>1779</v>
      </c>
      <c r="E898" t="s">
        <v>96</v>
      </c>
      <c r="F898">
        <v>179.99</v>
      </c>
      <c r="G898">
        <v>179.99</v>
      </c>
      <c r="T898" t="s">
        <v>97</v>
      </c>
      <c r="V898">
        <v>147.22999999999999</v>
      </c>
      <c r="W898">
        <v>147.22999999999999</v>
      </c>
      <c r="X898">
        <v>147.22999999999999</v>
      </c>
      <c r="Y898">
        <v>147.26</v>
      </c>
      <c r="Z898">
        <v>179.99</v>
      </c>
      <c r="AA898" t="s">
        <v>97</v>
      </c>
    </row>
    <row r="899" spans="1:27" x14ac:dyDescent="0.2">
      <c r="A899" t="s">
        <v>92</v>
      </c>
      <c r="B899" t="s">
        <v>1780</v>
      </c>
      <c r="C899" t="s">
        <v>1781</v>
      </c>
      <c r="D899" t="s">
        <v>1782</v>
      </c>
      <c r="E899" t="s">
        <v>96</v>
      </c>
      <c r="F899">
        <v>69.989999999999995</v>
      </c>
      <c r="G899">
        <v>69.989999999999995</v>
      </c>
      <c r="T899" t="s">
        <v>97</v>
      </c>
      <c r="V899">
        <v>57.23</v>
      </c>
      <c r="W899">
        <v>57.23</v>
      </c>
      <c r="X899">
        <v>57.23</v>
      </c>
      <c r="Y899">
        <v>57.26</v>
      </c>
      <c r="Z899">
        <v>69.989999999999995</v>
      </c>
      <c r="AA899" t="s">
        <v>97</v>
      </c>
    </row>
    <row r="900" spans="1:27" x14ac:dyDescent="0.2">
      <c r="A900" t="s">
        <v>92</v>
      </c>
      <c r="B900" t="s">
        <v>1780</v>
      </c>
      <c r="C900" t="s">
        <v>1783</v>
      </c>
      <c r="D900" t="s">
        <v>1784</v>
      </c>
      <c r="E900" t="s">
        <v>96</v>
      </c>
      <c r="F900">
        <v>99.99</v>
      </c>
      <c r="G900">
        <v>99.99</v>
      </c>
      <c r="T900" t="s">
        <v>97</v>
      </c>
      <c r="V900">
        <v>81.78</v>
      </c>
      <c r="W900">
        <v>81.78</v>
      </c>
      <c r="X900">
        <v>81.78</v>
      </c>
      <c r="Y900">
        <v>81.81</v>
      </c>
      <c r="Z900">
        <v>99.99</v>
      </c>
      <c r="AA900" t="s">
        <v>97</v>
      </c>
    </row>
    <row r="901" spans="1:27" x14ac:dyDescent="0.2">
      <c r="A901" t="s">
        <v>92</v>
      </c>
      <c r="B901" t="s">
        <v>1780</v>
      </c>
      <c r="C901" t="s">
        <v>1785</v>
      </c>
      <c r="D901" t="s">
        <v>1786</v>
      </c>
      <c r="E901" t="s">
        <v>96</v>
      </c>
      <c r="F901">
        <v>129.99</v>
      </c>
      <c r="G901">
        <v>129.99</v>
      </c>
      <c r="T901" t="s">
        <v>97</v>
      </c>
      <c r="V901">
        <v>106.32</v>
      </c>
      <c r="W901">
        <v>106.32</v>
      </c>
      <c r="X901">
        <v>106.32</v>
      </c>
      <c r="Y901">
        <v>106.36</v>
      </c>
      <c r="Z901">
        <v>129.99</v>
      </c>
      <c r="AA901" t="s">
        <v>97</v>
      </c>
    </row>
    <row r="902" spans="1:27" x14ac:dyDescent="0.2">
      <c r="A902" t="s">
        <v>92</v>
      </c>
      <c r="B902" t="s">
        <v>1780</v>
      </c>
      <c r="C902" t="s">
        <v>1787</v>
      </c>
      <c r="D902" t="s">
        <v>1788</v>
      </c>
      <c r="E902" t="s">
        <v>96</v>
      </c>
      <c r="F902">
        <v>149.99</v>
      </c>
      <c r="G902">
        <v>149.99</v>
      </c>
      <c r="T902" t="s">
        <v>97</v>
      </c>
      <c r="V902">
        <v>122.69</v>
      </c>
      <c r="W902">
        <v>122.69</v>
      </c>
      <c r="X902">
        <v>122.69</v>
      </c>
      <c r="Y902">
        <v>122.72</v>
      </c>
      <c r="Z902">
        <v>149.99</v>
      </c>
      <c r="AA902" t="s">
        <v>97</v>
      </c>
    </row>
    <row r="903" spans="1:27" x14ac:dyDescent="0.2">
      <c r="A903" t="s">
        <v>92</v>
      </c>
      <c r="B903" t="s">
        <v>1780</v>
      </c>
      <c r="C903" t="s">
        <v>1789</v>
      </c>
      <c r="D903" t="s">
        <v>1790</v>
      </c>
      <c r="E903" t="s">
        <v>96</v>
      </c>
      <c r="F903">
        <v>199.99</v>
      </c>
      <c r="G903">
        <v>199.99</v>
      </c>
      <c r="T903" t="s">
        <v>97</v>
      </c>
      <c r="V903">
        <v>163.6</v>
      </c>
      <c r="W903">
        <v>163.6</v>
      </c>
      <c r="X903">
        <v>163.6</v>
      </c>
      <c r="Y903">
        <v>163.63</v>
      </c>
      <c r="Z903">
        <v>199.99</v>
      </c>
      <c r="AA903" t="s">
        <v>97</v>
      </c>
    </row>
    <row r="904" spans="1:27" x14ac:dyDescent="0.2">
      <c r="A904" t="s">
        <v>92</v>
      </c>
      <c r="B904" t="s">
        <v>1780</v>
      </c>
      <c r="C904" t="s">
        <v>1791</v>
      </c>
      <c r="D904" t="s">
        <v>1792</v>
      </c>
      <c r="E904" t="s">
        <v>96</v>
      </c>
      <c r="F904">
        <v>199.99</v>
      </c>
      <c r="G904">
        <v>199.99</v>
      </c>
      <c r="T904" t="s">
        <v>97</v>
      </c>
      <c r="V904">
        <v>163.6</v>
      </c>
      <c r="W904">
        <v>163.6</v>
      </c>
      <c r="X904">
        <v>163.6</v>
      </c>
      <c r="Y904">
        <v>163.63</v>
      </c>
      <c r="Z904">
        <v>199.99</v>
      </c>
      <c r="AA904" t="s">
        <v>97</v>
      </c>
    </row>
    <row r="905" spans="1:27" x14ac:dyDescent="0.2">
      <c r="A905" t="s">
        <v>92</v>
      </c>
      <c r="B905" t="s">
        <v>1780</v>
      </c>
      <c r="C905" t="s">
        <v>1793</v>
      </c>
      <c r="D905" t="s">
        <v>1794</v>
      </c>
      <c r="E905" t="s">
        <v>96</v>
      </c>
      <c r="F905">
        <v>199.99</v>
      </c>
      <c r="G905">
        <v>199.99</v>
      </c>
      <c r="T905" t="s">
        <v>97</v>
      </c>
      <c r="V905">
        <v>163.6</v>
      </c>
      <c r="W905">
        <v>163.6</v>
      </c>
      <c r="X905">
        <v>163.6</v>
      </c>
      <c r="Y905">
        <v>163.63</v>
      </c>
      <c r="Z905">
        <v>199.99</v>
      </c>
      <c r="AA905" t="s">
        <v>97</v>
      </c>
    </row>
    <row r="906" spans="1:27" x14ac:dyDescent="0.2">
      <c r="A906" t="s">
        <v>92</v>
      </c>
      <c r="B906" t="s">
        <v>1780</v>
      </c>
      <c r="C906" t="s">
        <v>1795</v>
      </c>
      <c r="D906" t="s">
        <v>1796</v>
      </c>
      <c r="E906" t="s">
        <v>96</v>
      </c>
      <c r="F906">
        <v>149.99</v>
      </c>
      <c r="G906">
        <v>149.99</v>
      </c>
      <c r="T906" t="s">
        <v>97</v>
      </c>
      <c r="V906">
        <v>122.69</v>
      </c>
      <c r="W906">
        <v>122.69</v>
      </c>
      <c r="X906">
        <v>122.69</v>
      </c>
      <c r="Y906">
        <v>122.72</v>
      </c>
      <c r="Z906">
        <v>149.99</v>
      </c>
      <c r="AA906" t="s">
        <v>97</v>
      </c>
    </row>
    <row r="907" spans="1:27" x14ac:dyDescent="0.2">
      <c r="A907" t="s">
        <v>92</v>
      </c>
      <c r="B907" t="s">
        <v>1780</v>
      </c>
      <c r="C907" t="s">
        <v>1797</v>
      </c>
      <c r="D907" t="s">
        <v>1798</v>
      </c>
      <c r="E907" t="s">
        <v>96</v>
      </c>
      <c r="F907">
        <v>219.99</v>
      </c>
      <c r="G907">
        <v>219.99</v>
      </c>
      <c r="T907" t="s">
        <v>97</v>
      </c>
      <c r="V907">
        <v>179.96</v>
      </c>
      <c r="W907">
        <v>179.96</v>
      </c>
      <c r="X907">
        <v>179.96</v>
      </c>
      <c r="Y907">
        <v>179.99</v>
      </c>
      <c r="Z907">
        <v>219.99</v>
      </c>
      <c r="AA907" t="s">
        <v>97</v>
      </c>
    </row>
    <row r="908" spans="1:27" x14ac:dyDescent="0.2">
      <c r="A908" t="s">
        <v>92</v>
      </c>
      <c r="B908" t="s">
        <v>1780</v>
      </c>
      <c r="C908" t="s">
        <v>1799</v>
      </c>
      <c r="D908" t="s">
        <v>1800</v>
      </c>
      <c r="E908" t="s">
        <v>96</v>
      </c>
      <c r="F908">
        <v>299.99</v>
      </c>
      <c r="G908">
        <v>299.99</v>
      </c>
      <c r="T908" t="s">
        <v>97</v>
      </c>
      <c r="V908">
        <v>245.41</v>
      </c>
      <c r="W908">
        <v>245.41</v>
      </c>
      <c r="X908">
        <v>245.41</v>
      </c>
      <c r="Y908">
        <v>245.45</v>
      </c>
      <c r="Z908">
        <v>299.99</v>
      </c>
      <c r="AA908" t="s">
        <v>97</v>
      </c>
    </row>
    <row r="909" spans="1:27" x14ac:dyDescent="0.2">
      <c r="A909" t="s">
        <v>92</v>
      </c>
      <c r="B909" t="s">
        <v>1780</v>
      </c>
      <c r="C909" t="s">
        <v>1801</v>
      </c>
      <c r="D909" t="s">
        <v>1802</v>
      </c>
      <c r="E909" t="s">
        <v>96</v>
      </c>
      <c r="F909">
        <v>369.99</v>
      </c>
      <c r="G909">
        <v>369.99</v>
      </c>
      <c r="T909" t="s">
        <v>97</v>
      </c>
      <c r="V909">
        <v>302.69</v>
      </c>
      <c r="W909">
        <v>302.69</v>
      </c>
      <c r="X909">
        <v>302.69</v>
      </c>
      <c r="Y909">
        <v>302.72000000000003</v>
      </c>
      <c r="Z909">
        <v>369.99</v>
      </c>
      <c r="AA909" t="s">
        <v>97</v>
      </c>
    </row>
    <row r="910" spans="1:27" x14ac:dyDescent="0.2">
      <c r="A910" t="s">
        <v>92</v>
      </c>
      <c r="B910" t="s">
        <v>1780</v>
      </c>
      <c r="C910" t="s">
        <v>1803</v>
      </c>
      <c r="D910" t="s">
        <v>1804</v>
      </c>
      <c r="E910" t="s">
        <v>96</v>
      </c>
      <c r="F910">
        <v>299.99</v>
      </c>
      <c r="G910">
        <v>299.99</v>
      </c>
      <c r="T910" t="s">
        <v>97</v>
      </c>
      <c r="V910">
        <v>245.41</v>
      </c>
      <c r="W910">
        <v>245.41</v>
      </c>
      <c r="X910">
        <v>245.41</v>
      </c>
      <c r="Y910">
        <v>245.45</v>
      </c>
      <c r="Z910">
        <v>299.99</v>
      </c>
      <c r="AA910" t="s">
        <v>97</v>
      </c>
    </row>
    <row r="911" spans="1:27" x14ac:dyDescent="0.2">
      <c r="A911" t="s">
        <v>92</v>
      </c>
      <c r="B911" t="s">
        <v>1780</v>
      </c>
      <c r="C911" t="s">
        <v>1805</v>
      </c>
      <c r="D911" t="s">
        <v>1806</v>
      </c>
      <c r="E911" t="s">
        <v>96</v>
      </c>
      <c r="F911">
        <v>299.99</v>
      </c>
      <c r="G911">
        <v>299.99</v>
      </c>
      <c r="T911" t="s">
        <v>97</v>
      </c>
      <c r="V911">
        <v>245.41</v>
      </c>
      <c r="W911">
        <v>245.41</v>
      </c>
      <c r="X911">
        <v>245.41</v>
      </c>
      <c r="Y911">
        <v>245.45</v>
      </c>
      <c r="Z911">
        <v>299.99</v>
      </c>
      <c r="AA911" t="s">
        <v>97</v>
      </c>
    </row>
    <row r="912" spans="1:27" x14ac:dyDescent="0.2">
      <c r="A912" t="s">
        <v>92</v>
      </c>
      <c r="B912" t="s">
        <v>1780</v>
      </c>
      <c r="C912" t="s">
        <v>1807</v>
      </c>
      <c r="D912" t="s">
        <v>1808</v>
      </c>
      <c r="E912" t="s">
        <v>96</v>
      </c>
      <c r="F912">
        <v>299.99</v>
      </c>
      <c r="G912">
        <v>299.99</v>
      </c>
      <c r="T912" t="s">
        <v>97</v>
      </c>
      <c r="V912">
        <v>245.41</v>
      </c>
      <c r="W912">
        <v>245.41</v>
      </c>
      <c r="X912">
        <v>245.41</v>
      </c>
      <c r="Y912">
        <v>245.45</v>
      </c>
      <c r="Z912">
        <v>299.99</v>
      </c>
      <c r="AA912" t="s">
        <v>97</v>
      </c>
    </row>
    <row r="913" spans="1:27" x14ac:dyDescent="0.2">
      <c r="A913" t="s">
        <v>92</v>
      </c>
      <c r="B913" t="s">
        <v>1780</v>
      </c>
      <c r="C913" t="s">
        <v>1809</v>
      </c>
      <c r="D913" t="s">
        <v>1810</v>
      </c>
      <c r="E913" t="s">
        <v>96</v>
      </c>
      <c r="F913">
        <v>429.99</v>
      </c>
      <c r="G913">
        <v>429.99</v>
      </c>
      <c r="T913" t="s">
        <v>97</v>
      </c>
      <c r="V913">
        <v>351.78</v>
      </c>
      <c r="W913">
        <v>351.78</v>
      </c>
      <c r="X913">
        <v>351.78</v>
      </c>
      <c r="Y913">
        <v>351.81</v>
      </c>
      <c r="Z913">
        <v>429.99</v>
      </c>
      <c r="AA913" t="s">
        <v>97</v>
      </c>
    </row>
    <row r="914" spans="1:27" x14ac:dyDescent="0.2">
      <c r="A914" t="s">
        <v>92</v>
      </c>
      <c r="B914" t="s">
        <v>1811</v>
      </c>
      <c r="C914" t="s">
        <v>1812</v>
      </c>
      <c r="D914" t="s">
        <v>1813</v>
      </c>
      <c r="E914" t="s">
        <v>228</v>
      </c>
      <c r="Q914">
        <v>0.01</v>
      </c>
      <c r="T914" t="s">
        <v>97</v>
      </c>
      <c r="AA914" t="s">
        <v>97</v>
      </c>
    </row>
    <row r="915" spans="1:27" x14ac:dyDescent="0.2">
      <c r="A915" t="s">
        <v>92</v>
      </c>
      <c r="B915" t="s">
        <v>1811</v>
      </c>
      <c r="C915" t="s">
        <v>1814</v>
      </c>
      <c r="D915" t="s">
        <v>1815</v>
      </c>
      <c r="E915" t="s">
        <v>228</v>
      </c>
      <c r="F915">
        <v>349.99</v>
      </c>
      <c r="Q915">
        <v>254.54</v>
      </c>
      <c r="T915" t="s">
        <v>97</v>
      </c>
      <c r="AA915" t="s">
        <v>97</v>
      </c>
    </row>
    <row r="916" spans="1:27" x14ac:dyDescent="0.2">
      <c r="A916" t="s">
        <v>92</v>
      </c>
      <c r="B916" t="s">
        <v>1811</v>
      </c>
      <c r="C916" t="s">
        <v>1816</v>
      </c>
      <c r="D916" t="s">
        <v>1817</v>
      </c>
      <c r="E916" t="s">
        <v>228</v>
      </c>
      <c r="F916">
        <v>99.99</v>
      </c>
      <c r="Q916">
        <v>72.72</v>
      </c>
      <c r="T916" t="s">
        <v>97</v>
      </c>
      <c r="AA916" t="s">
        <v>97</v>
      </c>
    </row>
    <row r="917" spans="1:27" x14ac:dyDescent="0.2">
      <c r="A917" t="s">
        <v>92</v>
      </c>
      <c r="B917" t="s">
        <v>1811</v>
      </c>
      <c r="C917" t="s">
        <v>1818</v>
      </c>
      <c r="D917" t="s">
        <v>1819</v>
      </c>
      <c r="E917" t="s">
        <v>228</v>
      </c>
      <c r="F917">
        <v>119.99</v>
      </c>
      <c r="Q917">
        <v>87.25</v>
      </c>
      <c r="T917" t="s">
        <v>97</v>
      </c>
      <c r="AA917" t="s">
        <v>97</v>
      </c>
    </row>
    <row r="918" spans="1:27" x14ac:dyDescent="0.2">
      <c r="A918" t="s">
        <v>92</v>
      </c>
      <c r="B918" t="s">
        <v>1811</v>
      </c>
      <c r="C918" t="s">
        <v>1820</v>
      </c>
      <c r="D918" t="s">
        <v>1821</v>
      </c>
      <c r="E918" t="s">
        <v>228</v>
      </c>
      <c r="F918">
        <v>229.99</v>
      </c>
      <c r="Q918">
        <v>167.27</v>
      </c>
      <c r="T918" t="s">
        <v>97</v>
      </c>
      <c r="AA918" t="s">
        <v>97</v>
      </c>
    </row>
    <row r="919" spans="1:27" x14ac:dyDescent="0.2">
      <c r="A919" t="s">
        <v>92</v>
      </c>
      <c r="B919" t="s">
        <v>1811</v>
      </c>
      <c r="C919" t="s">
        <v>1822</v>
      </c>
      <c r="D919" t="s">
        <v>1823</v>
      </c>
      <c r="E919" t="s">
        <v>228</v>
      </c>
      <c r="F919">
        <v>249.99</v>
      </c>
      <c r="Q919">
        <v>181.81</v>
      </c>
      <c r="T919" t="s">
        <v>97</v>
      </c>
      <c r="AA919" t="s">
        <v>97</v>
      </c>
    </row>
    <row r="920" spans="1:27" x14ac:dyDescent="0.2">
      <c r="A920" t="s">
        <v>92</v>
      </c>
      <c r="B920" t="s">
        <v>1811</v>
      </c>
      <c r="C920" t="s">
        <v>1824</v>
      </c>
      <c r="D920" t="s">
        <v>1825</v>
      </c>
      <c r="E920" t="s">
        <v>228</v>
      </c>
      <c r="F920">
        <v>399.99</v>
      </c>
      <c r="Q920">
        <v>290.89999999999998</v>
      </c>
      <c r="T920" t="s">
        <v>97</v>
      </c>
      <c r="AA920" t="s">
        <v>97</v>
      </c>
    </row>
    <row r="921" spans="1:27" x14ac:dyDescent="0.2">
      <c r="A921" t="s">
        <v>92</v>
      </c>
      <c r="B921" t="s">
        <v>1811</v>
      </c>
      <c r="C921" t="s">
        <v>1826</v>
      </c>
      <c r="D921" t="s">
        <v>1827</v>
      </c>
      <c r="E921" t="s">
        <v>228</v>
      </c>
      <c r="F921">
        <v>399.99</v>
      </c>
      <c r="Q921">
        <v>290.89999999999998</v>
      </c>
      <c r="T921" t="s">
        <v>97</v>
      </c>
      <c r="AA921" t="s">
        <v>97</v>
      </c>
    </row>
    <row r="922" spans="1:27" x14ac:dyDescent="0.2">
      <c r="A922" t="s">
        <v>92</v>
      </c>
      <c r="B922" t="s">
        <v>1811</v>
      </c>
      <c r="C922" t="s">
        <v>1828</v>
      </c>
      <c r="D922" t="s">
        <v>1829</v>
      </c>
      <c r="E922" t="s">
        <v>228</v>
      </c>
      <c r="F922">
        <v>349.99</v>
      </c>
      <c r="Q922">
        <v>254.54</v>
      </c>
      <c r="T922" t="s">
        <v>97</v>
      </c>
      <c r="AA922" t="s">
        <v>97</v>
      </c>
    </row>
    <row r="923" spans="1:27" x14ac:dyDescent="0.2">
      <c r="A923" t="s">
        <v>92</v>
      </c>
      <c r="B923" t="s">
        <v>1811</v>
      </c>
      <c r="C923" t="s">
        <v>1830</v>
      </c>
      <c r="D923" t="s">
        <v>1831</v>
      </c>
      <c r="E923" t="s">
        <v>228</v>
      </c>
      <c r="F923">
        <v>199.99</v>
      </c>
      <c r="Q923">
        <v>145.44999999999999</v>
      </c>
      <c r="T923" t="s">
        <v>97</v>
      </c>
      <c r="AA923" t="s">
        <v>97</v>
      </c>
    </row>
    <row r="924" spans="1:27" x14ac:dyDescent="0.2">
      <c r="A924" t="s">
        <v>92</v>
      </c>
      <c r="B924" t="s">
        <v>1811</v>
      </c>
      <c r="C924" t="s">
        <v>1832</v>
      </c>
      <c r="D924" t="s">
        <v>1833</v>
      </c>
      <c r="E924" t="s">
        <v>228</v>
      </c>
      <c r="F924">
        <v>249.99</v>
      </c>
      <c r="Q924">
        <v>181.81</v>
      </c>
      <c r="T924" t="s">
        <v>97</v>
      </c>
      <c r="AA924" t="s">
        <v>97</v>
      </c>
    </row>
    <row r="925" spans="1:27" x14ac:dyDescent="0.2">
      <c r="A925" t="s">
        <v>92</v>
      </c>
      <c r="B925" t="s">
        <v>1811</v>
      </c>
      <c r="C925" t="s">
        <v>1834</v>
      </c>
      <c r="D925" t="s">
        <v>1835</v>
      </c>
      <c r="E925" t="s">
        <v>228</v>
      </c>
      <c r="F925">
        <v>179.99</v>
      </c>
      <c r="Q925">
        <v>130.9</v>
      </c>
      <c r="T925" t="s">
        <v>97</v>
      </c>
      <c r="AA925" t="s">
        <v>97</v>
      </c>
    </row>
    <row r="926" spans="1:27" x14ac:dyDescent="0.2">
      <c r="A926" t="s">
        <v>92</v>
      </c>
      <c r="B926" t="s">
        <v>1811</v>
      </c>
      <c r="C926" t="s">
        <v>1836</v>
      </c>
      <c r="D926" t="s">
        <v>1837</v>
      </c>
      <c r="E926" t="s">
        <v>228</v>
      </c>
      <c r="F926">
        <v>179.99</v>
      </c>
      <c r="Q926">
        <v>130.9</v>
      </c>
      <c r="T926" t="s">
        <v>97</v>
      </c>
      <c r="AA926" t="s">
        <v>97</v>
      </c>
    </row>
    <row r="927" spans="1:27" x14ac:dyDescent="0.2">
      <c r="A927" t="s">
        <v>92</v>
      </c>
      <c r="B927" t="s">
        <v>1811</v>
      </c>
      <c r="C927" t="s">
        <v>1838</v>
      </c>
      <c r="D927" t="s">
        <v>1839</v>
      </c>
      <c r="E927" t="s">
        <v>228</v>
      </c>
      <c r="Q927">
        <v>0.01</v>
      </c>
      <c r="T927" t="s">
        <v>97</v>
      </c>
      <c r="AA927" t="s">
        <v>97</v>
      </c>
    </row>
    <row r="928" spans="1:27" x14ac:dyDescent="0.2">
      <c r="A928" t="s">
        <v>92</v>
      </c>
      <c r="B928" t="s">
        <v>1811</v>
      </c>
      <c r="C928" t="s">
        <v>1840</v>
      </c>
      <c r="D928" t="s">
        <v>1841</v>
      </c>
      <c r="E928" t="s">
        <v>228</v>
      </c>
      <c r="Q928">
        <v>0.01</v>
      </c>
      <c r="T928" t="s">
        <v>97</v>
      </c>
      <c r="AA928" t="s">
        <v>97</v>
      </c>
    </row>
    <row r="929" spans="1:27" x14ac:dyDescent="0.2">
      <c r="A929" t="s">
        <v>92</v>
      </c>
      <c r="B929" t="s">
        <v>1811</v>
      </c>
      <c r="C929" t="s">
        <v>1842</v>
      </c>
      <c r="D929" t="s">
        <v>1843</v>
      </c>
      <c r="E929" t="s">
        <v>228</v>
      </c>
      <c r="Q929">
        <v>0.01</v>
      </c>
      <c r="T929" t="s">
        <v>97</v>
      </c>
      <c r="AA929" t="s">
        <v>97</v>
      </c>
    </row>
    <row r="930" spans="1:27" x14ac:dyDescent="0.2">
      <c r="A930" t="s">
        <v>92</v>
      </c>
      <c r="B930" t="s">
        <v>1811</v>
      </c>
      <c r="C930" t="s">
        <v>1844</v>
      </c>
      <c r="D930" t="s">
        <v>1845</v>
      </c>
      <c r="E930" t="s">
        <v>228</v>
      </c>
      <c r="Q930">
        <v>0.01</v>
      </c>
      <c r="T930" t="s">
        <v>97</v>
      </c>
      <c r="AA930" t="s">
        <v>97</v>
      </c>
    </row>
    <row r="931" spans="1:27" x14ac:dyDescent="0.2">
      <c r="A931" t="s">
        <v>92</v>
      </c>
      <c r="B931" t="s">
        <v>1811</v>
      </c>
      <c r="C931" t="s">
        <v>1846</v>
      </c>
      <c r="D931" t="s">
        <v>1847</v>
      </c>
      <c r="E931" t="s">
        <v>228</v>
      </c>
      <c r="Q931">
        <v>0.01</v>
      </c>
      <c r="T931" t="s">
        <v>97</v>
      </c>
      <c r="AA931" t="s">
        <v>97</v>
      </c>
    </row>
    <row r="932" spans="1:27" x14ac:dyDescent="0.2">
      <c r="A932" t="s">
        <v>92</v>
      </c>
      <c r="B932" t="s">
        <v>1811</v>
      </c>
      <c r="C932" t="s">
        <v>1848</v>
      </c>
      <c r="D932" t="s">
        <v>1849</v>
      </c>
      <c r="E932" t="s">
        <v>228</v>
      </c>
      <c r="Q932">
        <v>0.01</v>
      </c>
      <c r="T932" t="s">
        <v>97</v>
      </c>
      <c r="AA932" t="s">
        <v>97</v>
      </c>
    </row>
    <row r="933" spans="1:27" x14ac:dyDescent="0.2">
      <c r="A933" t="s">
        <v>92</v>
      </c>
      <c r="B933" t="s">
        <v>1811</v>
      </c>
      <c r="C933" t="s">
        <v>1850</v>
      </c>
      <c r="D933" t="s">
        <v>1851</v>
      </c>
      <c r="E933" t="s">
        <v>228</v>
      </c>
      <c r="Q933">
        <v>0.01</v>
      </c>
      <c r="T933" t="s">
        <v>97</v>
      </c>
      <c r="AA933" t="s">
        <v>97</v>
      </c>
    </row>
    <row r="934" spans="1:27" x14ac:dyDescent="0.2">
      <c r="A934" t="s">
        <v>92</v>
      </c>
      <c r="B934" t="s">
        <v>1811</v>
      </c>
      <c r="C934" t="s">
        <v>1852</v>
      </c>
      <c r="D934" t="s">
        <v>1853</v>
      </c>
      <c r="E934" t="s">
        <v>228</v>
      </c>
      <c r="Q934">
        <v>0.01</v>
      </c>
      <c r="T934" t="s">
        <v>97</v>
      </c>
      <c r="AA934" t="s">
        <v>97</v>
      </c>
    </row>
    <row r="935" spans="1:27" x14ac:dyDescent="0.2">
      <c r="A935" t="s">
        <v>92</v>
      </c>
      <c r="B935" t="s">
        <v>1811</v>
      </c>
      <c r="C935" t="s">
        <v>1854</v>
      </c>
      <c r="D935" t="s">
        <v>1855</v>
      </c>
      <c r="E935" t="s">
        <v>228</v>
      </c>
      <c r="F935">
        <v>599.99</v>
      </c>
      <c r="Q935">
        <v>436.36</v>
      </c>
      <c r="T935" t="s">
        <v>97</v>
      </c>
      <c r="AA935" t="s">
        <v>97</v>
      </c>
    </row>
    <row r="936" spans="1:27" x14ac:dyDescent="0.2">
      <c r="A936" t="s">
        <v>92</v>
      </c>
      <c r="B936" t="s">
        <v>1811</v>
      </c>
      <c r="C936" t="s">
        <v>1856</v>
      </c>
      <c r="D936" t="s">
        <v>1857</v>
      </c>
      <c r="E936" t="s">
        <v>228</v>
      </c>
      <c r="F936">
        <v>79.989999999999995</v>
      </c>
      <c r="Q936">
        <v>58.17</v>
      </c>
      <c r="T936" t="s">
        <v>97</v>
      </c>
      <c r="AA936" t="s">
        <v>97</v>
      </c>
    </row>
    <row r="937" spans="1:27" x14ac:dyDescent="0.2">
      <c r="A937" t="s">
        <v>92</v>
      </c>
      <c r="B937" t="s">
        <v>8824</v>
      </c>
      <c r="C937" t="s">
        <v>154</v>
      </c>
      <c r="D937" t="s">
        <v>8825</v>
      </c>
      <c r="E937" t="s">
        <v>96</v>
      </c>
      <c r="F937">
        <v>169.99</v>
      </c>
      <c r="T937" t="s">
        <v>97</v>
      </c>
      <c r="Z937">
        <v>169.99</v>
      </c>
      <c r="AA937" t="s">
        <v>97</v>
      </c>
    </row>
    <row r="938" spans="1:27" x14ac:dyDescent="0.2">
      <c r="A938" t="s">
        <v>92</v>
      </c>
      <c r="B938" t="s">
        <v>8824</v>
      </c>
      <c r="C938" t="s">
        <v>169</v>
      </c>
      <c r="D938" t="s">
        <v>8826</v>
      </c>
      <c r="E938" t="s">
        <v>96</v>
      </c>
      <c r="F938">
        <v>169.99</v>
      </c>
      <c r="T938" t="s">
        <v>97</v>
      </c>
      <c r="Z938">
        <v>169.99</v>
      </c>
      <c r="AA938" t="s">
        <v>97</v>
      </c>
    </row>
    <row r="939" spans="1:27" x14ac:dyDescent="0.2">
      <c r="A939" t="s">
        <v>92</v>
      </c>
      <c r="B939" t="s">
        <v>1863</v>
      </c>
      <c r="C939" t="s">
        <v>1864</v>
      </c>
      <c r="D939" t="s">
        <v>1865</v>
      </c>
      <c r="E939" t="s">
        <v>228</v>
      </c>
      <c r="F939">
        <v>1499.99</v>
      </c>
      <c r="H939">
        <v>1159.08</v>
      </c>
      <c r="I939">
        <v>1227.26</v>
      </c>
      <c r="J939">
        <v>1295.45</v>
      </c>
      <c r="K939">
        <v>1159.08</v>
      </c>
      <c r="L939">
        <v>1313.17</v>
      </c>
      <c r="M939">
        <v>1281.81</v>
      </c>
      <c r="O939">
        <v>1363.63</v>
      </c>
      <c r="Q939">
        <v>1295.45</v>
      </c>
      <c r="R939">
        <v>1227.26</v>
      </c>
      <c r="T939" t="s">
        <v>97</v>
      </c>
      <c r="AA939" t="s">
        <v>97</v>
      </c>
    </row>
    <row r="940" spans="1:27" x14ac:dyDescent="0.2">
      <c r="A940" t="s">
        <v>92</v>
      </c>
      <c r="B940" t="s">
        <v>1863</v>
      </c>
      <c r="C940" t="s">
        <v>1866</v>
      </c>
      <c r="D940" t="s">
        <v>1867</v>
      </c>
      <c r="E940" t="s">
        <v>228</v>
      </c>
      <c r="F940">
        <v>39.99</v>
      </c>
      <c r="H940">
        <v>21.81</v>
      </c>
      <c r="I940">
        <v>23.63</v>
      </c>
      <c r="J940">
        <v>34.54</v>
      </c>
      <c r="K940">
        <v>21.81</v>
      </c>
      <c r="L940">
        <v>23.63</v>
      </c>
      <c r="M940">
        <v>25.45</v>
      </c>
      <c r="Q940">
        <v>23.63</v>
      </c>
      <c r="R940">
        <v>32.72</v>
      </c>
      <c r="T940" t="s">
        <v>97</v>
      </c>
      <c r="AA940" t="s">
        <v>97</v>
      </c>
    </row>
    <row r="941" spans="1:27" x14ac:dyDescent="0.2">
      <c r="A941" t="s">
        <v>92</v>
      </c>
      <c r="B941" t="s">
        <v>1863</v>
      </c>
      <c r="C941" t="s">
        <v>1868</v>
      </c>
      <c r="D941" t="s">
        <v>1869</v>
      </c>
      <c r="E941" t="s">
        <v>290</v>
      </c>
      <c r="F941">
        <v>499.99</v>
      </c>
      <c r="G941">
        <v>499.99</v>
      </c>
      <c r="H941">
        <v>386.36</v>
      </c>
      <c r="I941">
        <v>409.08</v>
      </c>
      <c r="J941">
        <v>431.81</v>
      </c>
      <c r="K941">
        <v>386.36</v>
      </c>
      <c r="L941">
        <v>437.72</v>
      </c>
      <c r="M941">
        <v>427.26</v>
      </c>
      <c r="Q941">
        <v>409.08</v>
      </c>
      <c r="R941">
        <v>409.08</v>
      </c>
      <c r="S941">
        <v>363.36</v>
      </c>
      <c r="T941" t="s">
        <v>97</v>
      </c>
      <c r="V941">
        <v>474.99</v>
      </c>
      <c r="W941">
        <v>474.99</v>
      </c>
      <c r="X941">
        <v>474.99</v>
      </c>
      <c r="Y941">
        <v>474.99</v>
      </c>
      <c r="Z941">
        <v>499.99</v>
      </c>
      <c r="AA941" t="s">
        <v>97</v>
      </c>
    </row>
    <row r="942" spans="1:27" x14ac:dyDescent="0.2">
      <c r="A942" t="s">
        <v>92</v>
      </c>
      <c r="B942" t="s">
        <v>1863</v>
      </c>
      <c r="C942" t="s">
        <v>1870</v>
      </c>
      <c r="D942" t="s">
        <v>1871</v>
      </c>
      <c r="E942" t="s">
        <v>290</v>
      </c>
      <c r="F942">
        <v>499.99</v>
      </c>
      <c r="G942">
        <v>499.99</v>
      </c>
      <c r="H942">
        <v>386.36</v>
      </c>
      <c r="I942">
        <v>409.08</v>
      </c>
      <c r="J942">
        <v>431.81</v>
      </c>
      <c r="K942">
        <v>386.36</v>
      </c>
      <c r="L942">
        <v>437.72</v>
      </c>
      <c r="M942">
        <v>427.26</v>
      </c>
      <c r="Q942">
        <v>409.08</v>
      </c>
      <c r="R942">
        <v>409.08</v>
      </c>
      <c r="S942">
        <v>363.36</v>
      </c>
      <c r="T942" t="s">
        <v>97</v>
      </c>
      <c r="V942">
        <v>474.99</v>
      </c>
      <c r="W942">
        <v>474.99</v>
      </c>
      <c r="X942">
        <v>474.99</v>
      </c>
      <c r="Y942">
        <v>474.99</v>
      </c>
      <c r="Z942">
        <v>499.99</v>
      </c>
      <c r="AA942" t="s">
        <v>97</v>
      </c>
    </row>
    <row r="943" spans="1:27" x14ac:dyDescent="0.2">
      <c r="A943" t="s">
        <v>92</v>
      </c>
      <c r="B943" t="s">
        <v>1863</v>
      </c>
      <c r="C943" t="s">
        <v>1872</v>
      </c>
      <c r="D943" t="s">
        <v>1873</v>
      </c>
      <c r="E943" t="s">
        <v>290</v>
      </c>
      <c r="F943">
        <v>599.99</v>
      </c>
      <c r="G943">
        <v>599.99</v>
      </c>
      <c r="H943">
        <v>463.63</v>
      </c>
      <c r="I943">
        <v>490.9</v>
      </c>
      <c r="J943">
        <v>518.16999999999996</v>
      </c>
      <c r="K943">
        <v>463.63</v>
      </c>
      <c r="L943">
        <v>525.26</v>
      </c>
      <c r="M943">
        <v>512.72</v>
      </c>
      <c r="Q943">
        <v>490.9</v>
      </c>
      <c r="R943">
        <v>490.9</v>
      </c>
      <c r="S943">
        <v>436.36</v>
      </c>
      <c r="T943" t="s">
        <v>97</v>
      </c>
      <c r="V943">
        <v>561.36</v>
      </c>
      <c r="W943">
        <v>561.36</v>
      </c>
      <c r="X943">
        <v>561.36</v>
      </c>
      <c r="Y943">
        <v>561.36</v>
      </c>
      <c r="Z943">
        <v>599.99</v>
      </c>
      <c r="AA943" t="s">
        <v>97</v>
      </c>
    </row>
    <row r="944" spans="1:27" x14ac:dyDescent="0.2">
      <c r="A944" t="s">
        <v>92</v>
      </c>
      <c r="B944" t="s">
        <v>1863</v>
      </c>
      <c r="C944" t="s">
        <v>1874</v>
      </c>
      <c r="D944" t="s">
        <v>1875</v>
      </c>
      <c r="E944" t="s">
        <v>290</v>
      </c>
      <c r="F944">
        <v>599.99</v>
      </c>
      <c r="G944">
        <v>599.99</v>
      </c>
      <c r="H944">
        <v>463.63</v>
      </c>
      <c r="I944">
        <v>490.9</v>
      </c>
      <c r="J944">
        <v>518.16999999999996</v>
      </c>
      <c r="K944">
        <v>463.63</v>
      </c>
      <c r="L944">
        <v>525.26</v>
      </c>
      <c r="M944">
        <v>512.72</v>
      </c>
      <c r="Q944">
        <v>490.9</v>
      </c>
      <c r="R944">
        <v>490.9</v>
      </c>
      <c r="S944">
        <v>436.36</v>
      </c>
      <c r="T944" t="s">
        <v>97</v>
      </c>
      <c r="V944">
        <v>561.36</v>
      </c>
      <c r="W944">
        <v>561.36</v>
      </c>
      <c r="X944">
        <v>561.36</v>
      </c>
      <c r="Y944">
        <v>561.36</v>
      </c>
      <c r="Z944">
        <v>599.99</v>
      </c>
      <c r="AA944" t="s">
        <v>97</v>
      </c>
    </row>
    <row r="945" spans="1:27" x14ac:dyDescent="0.2">
      <c r="A945" t="s">
        <v>92</v>
      </c>
      <c r="B945" t="s">
        <v>1863</v>
      </c>
      <c r="C945" t="s">
        <v>1876</v>
      </c>
      <c r="D945" t="s">
        <v>1877</v>
      </c>
      <c r="E945" t="s">
        <v>290</v>
      </c>
      <c r="F945">
        <v>549.99</v>
      </c>
      <c r="G945">
        <v>549.99</v>
      </c>
      <c r="H945">
        <v>424.99</v>
      </c>
      <c r="I945">
        <v>449.99</v>
      </c>
      <c r="J945">
        <v>474.99</v>
      </c>
      <c r="K945">
        <v>424.99</v>
      </c>
      <c r="L945">
        <v>481.49</v>
      </c>
      <c r="M945">
        <v>469.99</v>
      </c>
      <c r="Q945">
        <v>449.99</v>
      </c>
      <c r="R945">
        <v>449.99</v>
      </c>
      <c r="S945">
        <v>399.99</v>
      </c>
      <c r="T945" t="s">
        <v>97</v>
      </c>
      <c r="V945">
        <v>518.16999999999996</v>
      </c>
      <c r="W945">
        <v>518.16999999999996</v>
      </c>
      <c r="X945">
        <v>518.16999999999996</v>
      </c>
      <c r="Y945">
        <v>518.16999999999996</v>
      </c>
      <c r="Z945">
        <v>549.99</v>
      </c>
      <c r="AA945" t="s">
        <v>97</v>
      </c>
    </row>
    <row r="946" spans="1:27" x14ac:dyDescent="0.2">
      <c r="A946" t="s">
        <v>92</v>
      </c>
      <c r="B946" t="s">
        <v>1863</v>
      </c>
      <c r="C946" t="s">
        <v>1878</v>
      </c>
      <c r="D946" t="s">
        <v>1879</v>
      </c>
      <c r="E946" t="s">
        <v>228</v>
      </c>
      <c r="F946">
        <v>349</v>
      </c>
      <c r="H946">
        <v>269.68</v>
      </c>
      <c r="I946">
        <v>285.55</v>
      </c>
      <c r="J946">
        <v>301.41000000000003</v>
      </c>
      <c r="K946">
        <v>269.68</v>
      </c>
      <c r="L946">
        <v>305.52999999999997</v>
      </c>
      <c r="M946">
        <v>298.24</v>
      </c>
      <c r="O946">
        <v>317.27</v>
      </c>
      <c r="Q946">
        <v>272.85000000000002</v>
      </c>
      <c r="R946">
        <v>285.55</v>
      </c>
      <c r="S946">
        <v>237.95</v>
      </c>
      <c r="T946" t="s">
        <v>97</v>
      </c>
      <c r="AA946" t="s">
        <v>97</v>
      </c>
    </row>
    <row r="947" spans="1:27" x14ac:dyDescent="0.2">
      <c r="A947" t="s">
        <v>92</v>
      </c>
      <c r="B947" t="s">
        <v>1863</v>
      </c>
      <c r="C947" t="s">
        <v>1880</v>
      </c>
      <c r="D947" t="s">
        <v>1881</v>
      </c>
      <c r="E947" t="s">
        <v>228</v>
      </c>
      <c r="F947">
        <v>649.99</v>
      </c>
      <c r="H947">
        <v>502.27</v>
      </c>
      <c r="I947">
        <v>531.80999999999995</v>
      </c>
      <c r="J947">
        <v>561.36</v>
      </c>
      <c r="K947">
        <v>502.27</v>
      </c>
      <c r="L947">
        <v>569.04</v>
      </c>
      <c r="M947">
        <v>555.45000000000005</v>
      </c>
      <c r="O947">
        <v>590.9</v>
      </c>
      <c r="Q947">
        <v>531.80999999999995</v>
      </c>
      <c r="R947">
        <v>531.80999999999995</v>
      </c>
      <c r="S947">
        <v>443.18</v>
      </c>
      <c r="T947" t="s">
        <v>97</v>
      </c>
      <c r="AA947" t="s">
        <v>97</v>
      </c>
    </row>
    <row r="948" spans="1:27" x14ac:dyDescent="0.2">
      <c r="A948" t="s">
        <v>92</v>
      </c>
      <c r="B948" t="s">
        <v>1863</v>
      </c>
      <c r="C948" t="s">
        <v>1882</v>
      </c>
      <c r="D948" t="s">
        <v>1883</v>
      </c>
      <c r="E948" t="s">
        <v>228</v>
      </c>
      <c r="F948">
        <v>849.99</v>
      </c>
      <c r="G948">
        <v>849.99</v>
      </c>
      <c r="H948">
        <v>656.81</v>
      </c>
      <c r="I948">
        <v>695.45</v>
      </c>
      <c r="J948">
        <v>734.08</v>
      </c>
      <c r="K948">
        <v>656.81</v>
      </c>
      <c r="L948">
        <v>744.13</v>
      </c>
      <c r="M948">
        <v>726.36</v>
      </c>
      <c r="O948">
        <v>772.72</v>
      </c>
      <c r="Q948">
        <v>695.45</v>
      </c>
      <c r="R948">
        <v>695.45</v>
      </c>
      <c r="S948">
        <v>579.54</v>
      </c>
      <c r="T948" t="s">
        <v>97</v>
      </c>
      <c r="V948">
        <v>777.26</v>
      </c>
      <c r="W948">
        <v>777.26</v>
      </c>
      <c r="X948">
        <v>777.26</v>
      </c>
      <c r="Y948">
        <v>777.26</v>
      </c>
      <c r="Z948">
        <v>849.99</v>
      </c>
      <c r="AA948" t="s">
        <v>97</v>
      </c>
    </row>
    <row r="949" spans="1:27" x14ac:dyDescent="0.2">
      <c r="A949" t="s">
        <v>92</v>
      </c>
      <c r="B949" t="s">
        <v>1863</v>
      </c>
      <c r="C949" t="s">
        <v>1884</v>
      </c>
      <c r="D949" t="s">
        <v>1885</v>
      </c>
      <c r="E949" t="s">
        <v>228</v>
      </c>
      <c r="F949">
        <v>54.99</v>
      </c>
      <c r="H949">
        <v>29.99</v>
      </c>
      <c r="I949">
        <v>32.49</v>
      </c>
      <c r="J949">
        <v>47.49</v>
      </c>
      <c r="K949">
        <v>29.99</v>
      </c>
      <c r="L949">
        <v>32.49</v>
      </c>
      <c r="M949">
        <v>34.99</v>
      </c>
      <c r="Q949">
        <v>32.49</v>
      </c>
      <c r="R949">
        <v>44.99</v>
      </c>
      <c r="T949" t="s">
        <v>97</v>
      </c>
      <c r="AA949" t="s">
        <v>97</v>
      </c>
    </row>
    <row r="950" spans="1:27" x14ac:dyDescent="0.2">
      <c r="A950" t="s">
        <v>92</v>
      </c>
      <c r="B950" t="s">
        <v>1863</v>
      </c>
      <c r="C950" t="s">
        <v>1886</v>
      </c>
      <c r="D950" t="s">
        <v>1887</v>
      </c>
      <c r="E950" t="s">
        <v>228</v>
      </c>
      <c r="F950">
        <v>39.99</v>
      </c>
      <c r="H950">
        <v>21.81</v>
      </c>
      <c r="I950">
        <v>23.63</v>
      </c>
      <c r="J950">
        <v>34.54</v>
      </c>
      <c r="K950">
        <v>21.81</v>
      </c>
      <c r="L950">
        <v>23.63</v>
      </c>
      <c r="M950">
        <v>25.45</v>
      </c>
      <c r="Q950">
        <v>23.63</v>
      </c>
      <c r="R950">
        <v>32.72</v>
      </c>
      <c r="T950" t="s">
        <v>97</v>
      </c>
      <c r="AA950" t="s">
        <v>97</v>
      </c>
    </row>
    <row r="951" spans="1:27" x14ac:dyDescent="0.2">
      <c r="A951" t="s">
        <v>92</v>
      </c>
      <c r="B951" t="s">
        <v>1888</v>
      </c>
      <c r="C951" t="s">
        <v>1891</v>
      </c>
      <c r="D951" t="s">
        <v>1892</v>
      </c>
      <c r="E951" t="s">
        <v>96</v>
      </c>
      <c r="F951">
        <v>149.99</v>
      </c>
      <c r="H951">
        <v>102.27</v>
      </c>
      <c r="I951">
        <v>109.08</v>
      </c>
      <c r="J951">
        <v>122.72</v>
      </c>
      <c r="L951">
        <v>114.47</v>
      </c>
      <c r="Q951">
        <v>111.81</v>
      </c>
      <c r="R951">
        <v>109.08</v>
      </c>
      <c r="T951" t="s">
        <v>97</v>
      </c>
      <c r="Z951">
        <v>149.99</v>
      </c>
      <c r="AA951" t="s">
        <v>97</v>
      </c>
    </row>
    <row r="952" spans="1:27" x14ac:dyDescent="0.2">
      <c r="A952" t="s">
        <v>92</v>
      </c>
      <c r="B952" t="s">
        <v>1888</v>
      </c>
      <c r="C952" t="s">
        <v>1893</v>
      </c>
      <c r="D952" t="s">
        <v>1894</v>
      </c>
      <c r="E952" t="s">
        <v>96</v>
      </c>
      <c r="F952">
        <v>149.99</v>
      </c>
      <c r="H952">
        <v>102.27</v>
      </c>
      <c r="I952">
        <v>109.08</v>
      </c>
      <c r="J952">
        <v>123.95</v>
      </c>
      <c r="K952">
        <v>102.27</v>
      </c>
      <c r="L952">
        <v>114.47</v>
      </c>
      <c r="M952">
        <v>115</v>
      </c>
      <c r="O952">
        <v>115.9</v>
      </c>
      <c r="Q952">
        <v>111.81</v>
      </c>
      <c r="R952">
        <v>109.08</v>
      </c>
      <c r="S952">
        <v>95.45</v>
      </c>
      <c r="T952" t="s">
        <v>97</v>
      </c>
      <c r="Y952">
        <v>115.9</v>
      </c>
      <c r="Z952">
        <v>149.99</v>
      </c>
      <c r="AA952" t="s">
        <v>97</v>
      </c>
    </row>
    <row r="953" spans="1:27" x14ac:dyDescent="0.2">
      <c r="A953" t="s">
        <v>92</v>
      </c>
      <c r="B953" t="s">
        <v>1897</v>
      </c>
      <c r="C953" t="s">
        <v>1898</v>
      </c>
      <c r="D953" t="s">
        <v>1899</v>
      </c>
      <c r="E953" t="s">
        <v>290</v>
      </c>
      <c r="F953">
        <v>44.99</v>
      </c>
      <c r="G953">
        <v>4.99</v>
      </c>
      <c r="H953">
        <v>24.54</v>
      </c>
      <c r="I953">
        <v>26.59</v>
      </c>
      <c r="J953">
        <v>36.81</v>
      </c>
      <c r="K953">
        <v>24.54</v>
      </c>
      <c r="L953">
        <v>32.72</v>
      </c>
      <c r="M953">
        <v>32.72</v>
      </c>
      <c r="Q953">
        <v>28.63</v>
      </c>
      <c r="T953" t="s">
        <v>97</v>
      </c>
      <c r="Y953">
        <v>34.770000000000003</v>
      </c>
      <c r="Z953">
        <v>44.99</v>
      </c>
      <c r="AA953" t="s">
        <v>97</v>
      </c>
    </row>
    <row r="954" spans="1:27" x14ac:dyDescent="0.2">
      <c r="A954" t="s">
        <v>92</v>
      </c>
      <c r="B954" t="s">
        <v>1897</v>
      </c>
      <c r="C954" t="s">
        <v>1900</v>
      </c>
      <c r="D954" t="s">
        <v>1901</v>
      </c>
      <c r="E954" t="s">
        <v>290</v>
      </c>
      <c r="F954">
        <v>69.989999999999995</v>
      </c>
      <c r="G954">
        <v>4.99</v>
      </c>
      <c r="H954">
        <v>38.18</v>
      </c>
      <c r="I954">
        <v>41.36</v>
      </c>
      <c r="J954">
        <v>57.26</v>
      </c>
      <c r="K954">
        <v>38.18</v>
      </c>
      <c r="L954">
        <v>50.9</v>
      </c>
      <c r="M954">
        <v>50.9</v>
      </c>
      <c r="Q954">
        <v>41.36</v>
      </c>
      <c r="T954" t="s">
        <v>97</v>
      </c>
      <c r="Y954">
        <v>54.08</v>
      </c>
      <c r="Z954">
        <v>69.989999999999995</v>
      </c>
      <c r="AA954" t="s">
        <v>97</v>
      </c>
    </row>
    <row r="955" spans="1:27" x14ac:dyDescent="0.2">
      <c r="A955" t="s">
        <v>92</v>
      </c>
      <c r="B955" t="s">
        <v>1897</v>
      </c>
      <c r="C955" t="s">
        <v>1902</v>
      </c>
      <c r="D955" t="s">
        <v>1903</v>
      </c>
      <c r="E955" t="s">
        <v>290</v>
      </c>
      <c r="F955">
        <v>69.989999999999995</v>
      </c>
      <c r="G955">
        <v>4.99</v>
      </c>
      <c r="H955">
        <v>38.18</v>
      </c>
      <c r="I955">
        <v>41.36</v>
      </c>
      <c r="J955">
        <v>57.26</v>
      </c>
      <c r="K955">
        <v>38.18</v>
      </c>
      <c r="L955">
        <v>50.9</v>
      </c>
      <c r="M955">
        <v>50.9</v>
      </c>
      <c r="Q955">
        <v>41.36</v>
      </c>
      <c r="T955" t="s">
        <v>97</v>
      </c>
      <c r="Y955">
        <v>54.08</v>
      </c>
      <c r="Z955">
        <v>69.989999999999995</v>
      </c>
      <c r="AA955" t="s">
        <v>97</v>
      </c>
    </row>
    <row r="956" spans="1:27" x14ac:dyDescent="0.2">
      <c r="A956" t="s">
        <v>92</v>
      </c>
      <c r="B956" t="s">
        <v>1897</v>
      </c>
      <c r="C956" t="s">
        <v>1908</v>
      </c>
      <c r="D956" t="s">
        <v>1909</v>
      </c>
      <c r="E956" t="s">
        <v>290</v>
      </c>
      <c r="F956">
        <v>89.99</v>
      </c>
      <c r="G956">
        <v>39.99</v>
      </c>
      <c r="H956">
        <v>57.27</v>
      </c>
      <c r="I956">
        <v>61.36</v>
      </c>
      <c r="J956">
        <v>74.37</v>
      </c>
      <c r="K956">
        <v>57.27</v>
      </c>
      <c r="L956">
        <v>65.45</v>
      </c>
      <c r="M956">
        <v>69.540000000000006</v>
      </c>
      <c r="O956">
        <v>69.53</v>
      </c>
      <c r="P956">
        <v>57.27</v>
      </c>
      <c r="Q956">
        <v>61.36</v>
      </c>
      <c r="R956">
        <v>65.45</v>
      </c>
      <c r="T956" t="s">
        <v>97</v>
      </c>
      <c r="Y956">
        <v>69.540000000000006</v>
      </c>
      <c r="Z956">
        <v>89.99</v>
      </c>
      <c r="AA956" t="s">
        <v>97</v>
      </c>
    </row>
    <row r="957" spans="1:27" x14ac:dyDescent="0.2">
      <c r="A957" t="s">
        <v>92</v>
      </c>
      <c r="B957" t="s">
        <v>1897</v>
      </c>
      <c r="C957" t="s">
        <v>1910</v>
      </c>
      <c r="D957" t="s">
        <v>1911</v>
      </c>
      <c r="E957" t="s">
        <v>290</v>
      </c>
      <c r="F957">
        <v>54.99</v>
      </c>
      <c r="G957">
        <v>4.99</v>
      </c>
      <c r="H957">
        <v>29.99</v>
      </c>
      <c r="I957">
        <v>32.49</v>
      </c>
      <c r="J957">
        <v>44.99</v>
      </c>
      <c r="K957">
        <v>29.99</v>
      </c>
      <c r="L957">
        <v>39.99</v>
      </c>
      <c r="M957">
        <v>39.99</v>
      </c>
      <c r="Q957">
        <v>32.49</v>
      </c>
      <c r="T957" t="s">
        <v>97</v>
      </c>
      <c r="Y957">
        <v>42.49</v>
      </c>
      <c r="Z957">
        <v>54.99</v>
      </c>
      <c r="AA957" t="s">
        <v>97</v>
      </c>
    </row>
    <row r="958" spans="1:27" x14ac:dyDescent="0.2">
      <c r="A958" t="s">
        <v>92</v>
      </c>
      <c r="B958" t="s">
        <v>1897</v>
      </c>
      <c r="C958" t="s">
        <v>1912</v>
      </c>
      <c r="D958" t="s">
        <v>1913</v>
      </c>
      <c r="E958" t="s">
        <v>290</v>
      </c>
      <c r="F958">
        <v>54.99</v>
      </c>
      <c r="G958">
        <v>4.99</v>
      </c>
      <c r="H958">
        <v>29.99</v>
      </c>
      <c r="I958">
        <v>32.49</v>
      </c>
      <c r="J958">
        <v>44.99</v>
      </c>
      <c r="K958">
        <v>29.99</v>
      </c>
      <c r="L958">
        <v>39.99</v>
      </c>
      <c r="M958">
        <v>39.99</v>
      </c>
      <c r="Q958">
        <v>32.49</v>
      </c>
      <c r="T958" t="s">
        <v>97</v>
      </c>
      <c r="Y958">
        <v>42.49</v>
      </c>
      <c r="Z958">
        <v>54.99</v>
      </c>
      <c r="AA958" t="s">
        <v>97</v>
      </c>
    </row>
    <row r="959" spans="1:27" x14ac:dyDescent="0.2">
      <c r="A959" t="s">
        <v>92</v>
      </c>
      <c r="B959" t="s">
        <v>1897</v>
      </c>
      <c r="C959" t="s">
        <v>1914</v>
      </c>
      <c r="D959" t="s">
        <v>1915</v>
      </c>
      <c r="E959" t="s">
        <v>290</v>
      </c>
      <c r="F959">
        <v>64.989999999999995</v>
      </c>
      <c r="G959">
        <v>4.99</v>
      </c>
      <c r="H959">
        <v>35.450000000000003</v>
      </c>
      <c r="I959">
        <v>38.4</v>
      </c>
      <c r="J959">
        <v>53.17</v>
      </c>
      <c r="K959">
        <v>35.450000000000003</v>
      </c>
      <c r="L959">
        <v>47.27</v>
      </c>
      <c r="M959">
        <v>47.27</v>
      </c>
      <c r="Q959">
        <v>38.4</v>
      </c>
      <c r="T959" t="s">
        <v>97</v>
      </c>
      <c r="Y959">
        <v>50.22</v>
      </c>
      <c r="Z959">
        <v>64.989999999999995</v>
      </c>
      <c r="AA959" t="s">
        <v>97</v>
      </c>
    </row>
    <row r="960" spans="1:27" x14ac:dyDescent="0.2">
      <c r="A960" t="s">
        <v>92</v>
      </c>
      <c r="B960" t="s">
        <v>1897</v>
      </c>
      <c r="C960" t="s">
        <v>1918</v>
      </c>
      <c r="D960" t="s">
        <v>1919</v>
      </c>
      <c r="E960" t="s">
        <v>290</v>
      </c>
      <c r="F960">
        <v>99.99</v>
      </c>
      <c r="G960">
        <v>19.989999999999998</v>
      </c>
      <c r="H960">
        <v>57.27</v>
      </c>
      <c r="I960">
        <v>61.36</v>
      </c>
      <c r="J960">
        <v>81.81</v>
      </c>
      <c r="K960">
        <v>57.27</v>
      </c>
      <c r="L960">
        <v>72.72</v>
      </c>
      <c r="M960">
        <v>72.72</v>
      </c>
      <c r="O960">
        <v>73.63</v>
      </c>
      <c r="P960">
        <v>63.63</v>
      </c>
      <c r="Q960">
        <v>90.9</v>
      </c>
      <c r="R960">
        <v>72.72</v>
      </c>
      <c r="T960" t="s">
        <v>97</v>
      </c>
      <c r="Y960">
        <v>77.27</v>
      </c>
      <c r="Z960">
        <v>99.99</v>
      </c>
      <c r="AA960" t="s">
        <v>97</v>
      </c>
    </row>
    <row r="961" spans="1:27" x14ac:dyDescent="0.2">
      <c r="A961" t="s">
        <v>92</v>
      </c>
      <c r="B961" t="s">
        <v>1897</v>
      </c>
      <c r="C961" t="s">
        <v>1922</v>
      </c>
      <c r="D961" t="s">
        <v>1923</v>
      </c>
      <c r="E961" t="s">
        <v>290</v>
      </c>
      <c r="F961">
        <v>49.99</v>
      </c>
      <c r="G961">
        <v>29.99</v>
      </c>
      <c r="H961">
        <v>27.27</v>
      </c>
      <c r="I961">
        <v>29.54</v>
      </c>
      <c r="J961">
        <v>40.9</v>
      </c>
      <c r="K961">
        <v>27.27</v>
      </c>
      <c r="L961">
        <v>31.81</v>
      </c>
      <c r="M961">
        <v>36.36</v>
      </c>
      <c r="O961">
        <v>36.36</v>
      </c>
      <c r="P961">
        <v>29.54</v>
      </c>
      <c r="Q961">
        <v>25</v>
      </c>
      <c r="R961">
        <v>36.36</v>
      </c>
      <c r="T961" t="s">
        <v>97</v>
      </c>
      <c r="Y961">
        <v>38.630000000000003</v>
      </c>
      <c r="Z961">
        <v>49.99</v>
      </c>
      <c r="AA961" t="s">
        <v>97</v>
      </c>
    </row>
    <row r="962" spans="1:27" x14ac:dyDescent="0.2">
      <c r="A962" t="s">
        <v>92</v>
      </c>
      <c r="B962" t="s">
        <v>1897</v>
      </c>
      <c r="C962" t="s">
        <v>1924</v>
      </c>
      <c r="D962" t="s">
        <v>1925</v>
      </c>
      <c r="E962" t="s">
        <v>290</v>
      </c>
      <c r="F962">
        <v>49.99</v>
      </c>
      <c r="G962">
        <v>4.99</v>
      </c>
      <c r="H962">
        <v>27.27</v>
      </c>
      <c r="I962">
        <v>29.54</v>
      </c>
      <c r="J962">
        <v>40.9</v>
      </c>
      <c r="K962">
        <v>27.27</v>
      </c>
      <c r="L962">
        <v>31.81</v>
      </c>
      <c r="M962">
        <v>36.36</v>
      </c>
      <c r="O962">
        <v>36.36</v>
      </c>
      <c r="P962">
        <v>29.54</v>
      </c>
      <c r="Q962">
        <v>25</v>
      </c>
      <c r="R962">
        <v>36.36</v>
      </c>
      <c r="T962" t="s">
        <v>97</v>
      </c>
      <c r="Y962">
        <v>38.630000000000003</v>
      </c>
      <c r="Z962">
        <v>49.99</v>
      </c>
      <c r="AA962" t="s">
        <v>97</v>
      </c>
    </row>
    <row r="963" spans="1:27" x14ac:dyDescent="0.2">
      <c r="A963" t="s">
        <v>92</v>
      </c>
      <c r="B963" t="s">
        <v>1897</v>
      </c>
      <c r="C963" t="s">
        <v>1926</v>
      </c>
      <c r="D963" t="s">
        <v>1927</v>
      </c>
      <c r="E963" t="s">
        <v>290</v>
      </c>
      <c r="F963">
        <v>39.99</v>
      </c>
      <c r="G963">
        <v>4.99</v>
      </c>
      <c r="H963">
        <v>21.81</v>
      </c>
      <c r="I963">
        <v>23.63</v>
      </c>
      <c r="J963">
        <v>32.72</v>
      </c>
      <c r="K963">
        <v>21.81</v>
      </c>
      <c r="L963">
        <v>29.08</v>
      </c>
      <c r="M963">
        <v>29.08</v>
      </c>
      <c r="Q963">
        <v>25.45</v>
      </c>
      <c r="T963" t="s">
        <v>97</v>
      </c>
      <c r="Y963">
        <v>30.9</v>
      </c>
      <c r="Z963">
        <v>39.99</v>
      </c>
      <c r="AA963" t="s">
        <v>97</v>
      </c>
    </row>
    <row r="964" spans="1:27" x14ac:dyDescent="0.2">
      <c r="A964" t="s">
        <v>92</v>
      </c>
      <c r="B964" t="s">
        <v>1897</v>
      </c>
      <c r="C964" t="s">
        <v>1928</v>
      </c>
      <c r="D964" t="s">
        <v>1929</v>
      </c>
      <c r="E964" t="s">
        <v>290</v>
      </c>
      <c r="F964">
        <v>69.989999999999995</v>
      </c>
      <c r="G964">
        <v>9.99</v>
      </c>
      <c r="H964">
        <v>38.18</v>
      </c>
      <c r="I964">
        <v>41.36</v>
      </c>
      <c r="J964">
        <v>57.26</v>
      </c>
      <c r="K964">
        <v>38.18</v>
      </c>
      <c r="L964">
        <v>44.54</v>
      </c>
      <c r="M964">
        <v>50.9</v>
      </c>
      <c r="O964">
        <v>50.9</v>
      </c>
      <c r="Q964">
        <v>44.54</v>
      </c>
      <c r="R964">
        <v>41.36</v>
      </c>
      <c r="T964" t="s">
        <v>97</v>
      </c>
      <c r="Y964">
        <v>54.08</v>
      </c>
      <c r="Z964">
        <v>69.989999999999995</v>
      </c>
      <c r="AA964" t="s">
        <v>97</v>
      </c>
    </row>
    <row r="965" spans="1:27" x14ac:dyDescent="0.2">
      <c r="A965" t="s">
        <v>92</v>
      </c>
      <c r="B965" t="s">
        <v>1897</v>
      </c>
      <c r="C965" t="s">
        <v>1936</v>
      </c>
      <c r="D965" t="s">
        <v>1937</v>
      </c>
      <c r="E965" t="s">
        <v>290</v>
      </c>
      <c r="F965">
        <v>29.99</v>
      </c>
      <c r="G965">
        <v>4.99</v>
      </c>
      <c r="H965">
        <v>19.079999999999998</v>
      </c>
      <c r="I965">
        <v>20.45</v>
      </c>
      <c r="J965">
        <v>24.54</v>
      </c>
      <c r="K965">
        <v>19.079999999999998</v>
      </c>
      <c r="L965">
        <v>23.17</v>
      </c>
      <c r="M965">
        <v>23.17</v>
      </c>
      <c r="O965">
        <v>23.17</v>
      </c>
      <c r="Q965">
        <v>21.81</v>
      </c>
      <c r="R965">
        <v>27.26</v>
      </c>
      <c r="T965" t="s">
        <v>97</v>
      </c>
      <c r="Y965">
        <v>23.17</v>
      </c>
      <c r="Z965">
        <v>29.99</v>
      </c>
      <c r="AA965" t="s">
        <v>97</v>
      </c>
    </row>
    <row r="966" spans="1:27" x14ac:dyDescent="0.2">
      <c r="A966" t="s">
        <v>92</v>
      </c>
      <c r="B966" t="s">
        <v>1897</v>
      </c>
      <c r="C966" t="s">
        <v>1938</v>
      </c>
      <c r="D966" t="s">
        <v>1939</v>
      </c>
      <c r="E966" t="s">
        <v>290</v>
      </c>
      <c r="F966">
        <v>29.99</v>
      </c>
      <c r="G966">
        <v>4.99</v>
      </c>
      <c r="H966">
        <v>19.079999999999998</v>
      </c>
      <c r="I966">
        <v>20.45</v>
      </c>
      <c r="J966">
        <v>24.54</v>
      </c>
      <c r="K966">
        <v>19.079999999999998</v>
      </c>
      <c r="L966">
        <v>23.17</v>
      </c>
      <c r="M966">
        <v>23.17</v>
      </c>
      <c r="O966">
        <v>23.17</v>
      </c>
      <c r="Q966">
        <v>21.81</v>
      </c>
      <c r="R966">
        <v>27.26</v>
      </c>
      <c r="T966" t="s">
        <v>97</v>
      </c>
      <c r="Y966">
        <v>23.17</v>
      </c>
      <c r="Z966">
        <v>29.99</v>
      </c>
      <c r="AA966" t="s">
        <v>97</v>
      </c>
    </row>
    <row r="967" spans="1:27" x14ac:dyDescent="0.2">
      <c r="A967" t="s">
        <v>92</v>
      </c>
      <c r="B967" t="s">
        <v>1897</v>
      </c>
      <c r="C967" t="s">
        <v>1940</v>
      </c>
      <c r="D967" t="s">
        <v>1941</v>
      </c>
      <c r="E967" t="s">
        <v>290</v>
      </c>
      <c r="F967">
        <v>29.99</v>
      </c>
      <c r="G967">
        <v>4.99</v>
      </c>
      <c r="H967">
        <v>19.079999999999998</v>
      </c>
      <c r="I967">
        <v>20.45</v>
      </c>
      <c r="J967">
        <v>24.79</v>
      </c>
      <c r="K967">
        <v>19.079999999999998</v>
      </c>
      <c r="L967">
        <v>23.17</v>
      </c>
      <c r="M967">
        <v>23.17</v>
      </c>
      <c r="N967">
        <v>0</v>
      </c>
      <c r="O967">
        <v>23.17</v>
      </c>
      <c r="P967">
        <v>0</v>
      </c>
      <c r="Q967">
        <v>21.81</v>
      </c>
      <c r="R967">
        <v>0</v>
      </c>
      <c r="S967">
        <v>0</v>
      </c>
      <c r="T967" t="s">
        <v>97</v>
      </c>
      <c r="U967">
        <v>0</v>
      </c>
      <c r="Y967">
        <v>23.17</v>
      </c>
      <c r="Z967">
        <v>29.99</v>
      </c>
      <c r="AA967" t="s">
        <v>97</v>
      </c>
    </row>
    <row r="968" spans="1:27" x14ac:dyDescent="0.2">
      <c r="A968" t="s">
        <v>92</v>
      </c>
      <c r="B968" t="s">
        <v>1897</v>
      </c>
      <c r="C968" t="s">
        <v>1942</v>
      </c>
      <c r="D968" t="s">
        <v>1943</v>
      </c>
      <c r="E968" t="s">
        <v>290</v>
      </c>
      <c r="F968">
        <v>79.989999999999995</v>
      </c>
      <c r="G968">
        <v>14.99</v>
      </c>
      <c r="H968">
        <v>50.9</v>
      </c>
      <c r="I968">
        <v>54.54</v>
      </c>
      <c r="J968">
        <v>66.11</v>
      </c>
      <c r="K968">
        <v>50.9</v>
      </c>
      <c r="L968">
        <v>61.81</v>
      </c>
      <c r="M968">
        <v>61.81</v>
      </c>
      <c r="N968">
        <v>0</v>
      </c>
      <c r="O968">
        <v>81.81</v>
      </c>
      <c r="P968">
        <v>0</v>
      </c>
      <c r="Q968">
        <v>58.17</v>
      </c>
      <c r="R968">
        <v>0</v>
      </c>
      <c r="S968">
        <v>0</v>
      </c>
      <c r="T968" t="s">
        <v>97</v>
      </c>
      <c r="U968">
        <v>0</v>
      </c>
      <c r="Y968">
        <v>61.81</v>
      </c>
      <c r="Z968">
        <v>79.989999999999995</v>
      </c>
      <c r="AA968" t="s">
        <v>97</v>
      </c>
    </row>
    <row r="969" spans="1:27" x14ac:dyDescent="0.2">
      <c r="A969" t="s">
        <v>92</v>
      </c>
      <c r="B969" t="s">
        <v>1897</v>
      </c>
      <c r="C969" t="s">
        <v>1944</v>
      </c>
      <c r="D969" t="s">
        <v>1945</v>
      </c>
      <c r="E969" t="s">
        <v>290</v>
      </c>
      <c r="F969">
        <v>79.989999999999995</v>
      </c>
      <c r="G969">
        <v>14.99</v>
      </c>
      <c r="H969">
        <v>50.9</v>
      </c>
      <c r="I969">
        <v>54.54</v>
      </c>
      <c r="J969">
        <v>66.11</v>
      </c>
      <c r="K969">
        <v>50.9</v>
      </c>
      <c r="L969">
        <v>61.81</v>
      </c>
      <c r="M969">
        <v>61.81</v>
      </c>
      <c r="N969">
        <v>0</v>
      </c>
      <c r="O969">
        <v>81.81</v>
      </c>
      <c r="P969">
        <v>0</v>
      </c>
      <c r="Q969">
        <v>58.17</v>
      </c>
      <c r="R969">
        <v>0</v>
      </c>
      <c r="S969">
        <v>0</v>
      </c>
      <c r="T969" t="s">
        <v>97</v>
      </c>
      <c r="U969">
        <v>0</v>
      </c>
      <c r="Y969">
        <v>61.81</v>
      </c>
      <c r="Z969">
        <v>79.989999999999995</v>
      </c>
      <c r="AA969" t="s">
        <v>97</v>
      </c>
    </row>
    <row r="970" spans="1:27" x14ac:dyDescent="0.2">
      <c r="A970" t="s">
        <v>92</v>
      </c>
      <c r="B970" t="s">
        <v>1897</v>
      </c>
      <c r="C970" t="s">
        <v>1946</v>
      </c>
      <c r="D970" t="s">
        <v>1947</v>
      </c>
      <c r="E970" t="s">
        <v>290</v>
      </c>
      <c r="F970">
        <v>79.989999999999995</v>
      </c>
      <c r="G970">
        <v>14.99</v>
      </c>
      <c r="H970">
        <v>50.9</v>
      </c>
      <c r="I970">
        <v>54.54</v>
      </c>
      <c r="J970">
        <v>65.45</v>
      </c>
      <c r="K970">
        <v>50.9</v>
      </c>
      <c r="L970">
        <v>61.81</v>
      </c>
      <c r="M970">
        <v>61.81</v>
      </c>
      <c r="O970">
        <v>61.81</v>
      </c>
      <c r="Q970">
        <v>58.17</v>
      </c>
      <c r="R970">
        <v>72.72</v>
      </c>
      <c r="T970" t="s">
        <v>97</v>
      </c>
      <c r="Y970">
        <v>61.81</v>
      </c>
      <c r="Z970">
        <v>79.989999999999995</v>
      </c>
      <c r="AA970" t="s">
        <v>97</v>
      </c>
    </row>
    <row r="971" spans="1:27" x14ac:dyDescent="0.2">
      <c r="A971" t="s">
        <v>92</v>
      </c>
      <c r="B971" t="s">
        <v>1897</v>
      </c>
      <c r="C971" t="s">
        <v>1948</v>
      </c>
      <c r="D971" t="s">
        <v>1949</v>
      </c>
      <c r="E971" t="s">
        <v>290</v>
      </c>
      <c r="F971">
        <v>79.989999999999995</v>
      </c>
      <c r="G971">
        <v>14.99</v>
      </c>
      <c r="H971">
        <v>50.9</v>
      </c>
      <c r="I971">
        <v>54.54</v>
      </c>
      <c r="J971">
        <v>65.45</v>
      </c>
      <c r="K971">
        <v>50.9</v>
      </c>
      <c r="L971">
        <v>61.81</v>
      </c>
      <c r="M971">
        <v>61.81</v>
      </c>
      <c r="O971">
        <v>61.81</v>
      </c>
      <c r="R971">
        <v>72.72</v>
      </c>
      <c r="T971" t="s">
        <v>97</v>
      </c>
      <c r="Y971">
        <v>61.81</v>
      </c>
      <c r="Z971">
        <v>79.989999999999995</v>
      </c>
      <c r="AA971" t="s">
        <v>97</v>
      </c>
    </row>
    <row r="972" spans="1:27" x14ac:dyDescent="0.2">
      <c r="A972" t="s">
        <v>92</v>
      </c>
      <c r="B972" t="s">
        <v>1897</v>
      </c>
      <c r="C972" t="s">
        <v>1950</v>
      </c>
      <c r="D972" t="s">
        <v>1951</v>
      </c>
      <c r="E972" t="s">
        <v>290</v>
      </c>
      <c r="F972">
        <v>79.989999999999995</v>
      </c>
      <c r="G972">
        <v>14.99</v>
      </c>
      <c r="H972">
        <v>50.9</v>
      </c>
      <c r="I972">
        <v>54.54</v>
      </c>
      <c r="J972">
        <v>65.45</v>
      </c>
      <c r="K972">
        <v>50.9</v>
      </c>
      <c r="L972">
        <v>61.81</v>
      </c>
      <c r="M972">
        <v>61.81</v>
      </c>
      <c r="O972">
        <v>61.81</v>
      </c>
      <c r="Q972">
        <v>58.17</v>
      </c>
      <c r="R972">
        <v>72.72</v>
      </c>
      <c r="T972" t="s">
        <v>97</v>
      </c>
      <c r="Y972">
        <v>61.81</v>
      </c>
      <c r="Z972">
        <v>79.989999999999995</v>
      </c>
      <c r="AA972" t="s">
        <v>97</v>
      </c>
    </row>
    <row r="973" spans="1:27" x14ac:dyDescent="0.2">
      <c r="A973" t="s">
        <v>92</v>
      </c>
      <c r="B973" t="s">
        <v>1897</v>
      </c>
      <c r="C973" t="s">
        <v>1952</v>
      </c>
      <c r="D973" t="s">
        <v>1953</v>
      </c>
      <c r="E973" t="s">
        <v>290</v>
      </c>
      <c r="F973">
        <v>89.99</v>
      </c>
      <c r="G973">
        <v>49.99</v>
      </c>
      <c r="H973">
        <v>57.27</v>
      </c>
      <c r="I973">
        <v>61.36</v>
      </c>
      <c r="J973">
        <v>73.63</v>
      </c>
      <c r="K973">
        <v>57.27</v>
      </c>
      <c r="L973">
        <v>65.45</v>
      </c>
      <c r="M973">
        <v>69.540000000000006</v>
      </c>
      <c r="O973">
        <v>69.540000000000006</v>
      </c>
      <c r="P973">
        <v>57.27</v>
      </c>
      <c r="Q973">
        <v>61.36</v>
      </c>
      <c r="R973">
        <v>65.45</v>
      </c>
      <c r="S973">
        <v>57.27</v>
      </c>
      <c r="T973" t="s">
        <v>97</v>
      </c>
      <c r="Y973">
        <v>69.540000000000006</v>
      </c>
      <c r="Z973">
        <v>89.99</v>
      </c>
      <c r="AA973" t="s">
        <v>97</v>
      </c>
    </row>
    <row r="974" spans="1:27" x14ac:dyDescent="0.2">
      <c r="A974" t="s">
        <v>92</v>
      </c>
      <c r="B974" t="s">
        <v>1897</v>
      </c>
      <c r="C974" t="s">
        <v>1954</v>
      </c>
      <c r="D974" t="s">
        <v>1955</v>
      </c>
      <c r="E974" t="s">
        <v>290</v>
      </c>
      <c r="F974">
        <v>79.989999999999995</v>
      </c>
      <c r="G974">
        <v>4.99</v>
      </c>
      <c r="H974">
        <v>43.63</v>
      </c>
      <c r="I974">
        <v>47.27</v>
      </c>
      <c r="J974">
        <v>65.45</v>
      </c>
      <c r="K974">
        <v>43.63</v>
      </c>
      <c r="L974">
        <v>58.17</v>
      </c>
      <c r="M974">
        <v>58.17</v>
      </c>
      <c r="Q974">
        <v>43.63</v>
      </c>
      <c r="T974" t="s">
        <v>97</v>
      </c>
      <c r="Y974">
        <v>61.81</v>
      </c>
      <c r="Z974">
        <v>79.989999999999995</v>
      </c>
      <c r="AA974" t="s">
        <v>97</v>
      </c>
    </row>
    <row r="975" spans="1:27" x14ac:dyDescent="0.2">
      <c r="A975" t="s">
        <v>92</v>
      </c>
      <c r="B975" t="s">
        <v>1897</v>
      </c>
      <c r="C975" t="s">
        <v>1956</v>
      </c>
      <c r="D975" t="s">
        <v>1957</v>
      </c>
      <c r="E975" t="s">
        <v>290</v>
      </c>
      <c r="F975">
        <v>79.989999999999995</v>
      </c>
      <c r="G975">
        <v>4.99</v>
      </c>
      <c r="H975">
        <v>43.63</v>
      </c>
      <c r="I975">
        <v>47.27</v>
      </c>
      <c r="J975">
        <v>65.45</v>
      </c>
      <c r="K975">
        <v>43.63</v>
      </c>
      <c r="L975">
        <v>58.17</v>
      </c>
      <c r="M975">
        <v>58.17</v>
      </c>
      <c r="Q975">
        <v>43.63</v>
      </c>
      <c r="T975" t="s">
        <v>97</v>
      </c>
      <c r="Y975">
        <v>61.81</v>
      </c>
      <c r="Z975">
        <v>79.989999999999995</v>
      </c>
      <c r="AA975" t="s">
        <v>97</v>
      </c>
    </row>
    <row r="976" spans="1:27" x14ac:dyDescent="0.2">
      <c r="A976" t="s">
        <v>92</v>
      </c>
      <c r="B976" t="s">
        <v>1897</v>
      </c>
      <c r="C976" t="s">
        <v>1958</v>
      </c>
      <c r="D976" t="s">
        <v>1959</v>
      </c>
      <c r="E976" t="s">
        <v>290</v>
      </c>
      <c r="F976">
        <v>99.99</v>
      </c>
      <c r="G976">
        <v>19.989999999999998</v>
      </c>
      <c r="H976">
        <v>54.54</v>
      </c>
      <c r="I976">
        <v>54.54</v>
      </c>
      <c r="J976">
        <v>81.81</v>
      </c>
      <c r="K976">
        <v>54.54</v>
      </c>
      <c r="L976">
        <v>63.63</v>
      </c>
      <c r="M976">
        <v>68.180000000000007</v>
      </c>
      <c r="O976">
        <v>65.45</v>
      </c>
      <c r="P976">
        <v>54.54</v>
      </c>
      <c r="Q976">
        <v>59.09</v>
      </c>
      <c r="R976">
        <v>59.09</v>
      </c>
      <c r="T976" t="s">
        <v>97</v>
      </c>
      <c r="Y976">
        <v>77.27</v>
      </c>
      <c r="Z976">
        <v>99.99</v>
      </c>
      <c r="AA976" t="s">
        <v>97</v>
      </c>
    </row>
    <row r="977" spans="1:27" x14ac:dyDescent="0.2">
      <c r="A977" t="s">
        <v>92</v>
      </c>
      <c r="B977" t="s">
        <v>1897</v>
      </c>
      <c r="C977" t="s">
        <v>1960</v>
      </c>
      <c r="D977" t="s">
        <v>1961</v>
      </c>
      <c r="E977" t="s">
        <v>290</v>
      </c>
      <c r="F977">
        <v>64.989999999999995</v>
      </c>
      <c r="G977">
        <v>9.99</v>
      </c>
      <c r="H977">
        <v>41.36</v>
      </c>
      <c r="I977">
        <v>44.31</v>
      </c>
      <c r="J977">
        <v>53.17</v>
      </c>
      <c r="K977">
        <v>41.36</v>
      </c>
      <c r="L977">
        <v>47.27</v>
      </c>
      <c r="M977">
        <v>47.27</v>
      </c>
      <c r="O977">
        <v>49.08</v>
      </c>
      <c r="P977">
        <v>41.36</v>
      </c>
      <c r="Q977">
        <v>38.18</v>
      </c>
      <c r="R977">
        <v>47.27</v>
      </c>
      <c r="T977" t="s">
        <v>97</v>
      </c>
      <c r="Y977">
        <v>50.22</v>
      </c>
      <c r="Z977">
        <v>64.989999999999995</v>
      </c>
      <c r="AA977" t="s">
        <v>97</v>
      </c>
    </row>
    <row r="978" spans="1:27" x14ac:dyDescent="0.2">
      <c r="A978" t="s">
        <v>92</v>
      </c>
      <c r="B978" t="s">
        <v>1897</v>
      </c>
      <c r="C978" t="s">
        <v>1962</v>
      </c>
      <c r="D978" t="s">
        <v>1963</v>
      </c>
      <c r="E978" t="s">
        <v>290</v>
      </c>
      <c r="F978">
        <v>219.99</v>
      </c>
      <c r="G978">
        <v>49.99</v>
      </c>
      <c r="H978">
        <v>139.99</v>
      </c>
      <c r="I978">
        <v>139.99</v>
      </c>
      <c r="J978">
        <v>179.99</v>
      </c>
      <c r="K978">
        <v>139.99</v>
      </c>
      <c r="L978">
        <v>219.99</v>
      </c>
      <c r="M978">
        <v>199.99</v>
      </c>
      <c r="O978">
        <v>169.99</v>
      </c>
      <c r="Q978">
        <v>139.99</v>
      </c>
      <c r="R978">
        <v>179.47</v>
      </c>
      <c r="T978" t="s">
        <v>97</v>
      </c>
      <c r="Y978">
        <v>169.99</v>
      </c>
      <c r="Z978">
        <v>219.99</v>
      </c>
      <c r="AA978" t="s">
        <v>97</v>
      </c>
    </row>
    <row r="979" spans="1:27" x14ac:dyDescent="0.2">
      <c r="A979" t="s">
        <v>92</v>
      </c>
      <c r="B979" t="s">
        <v>1897</v>
      </c>
      <c r="C979" t="s">
        <v>1976</v>
      </c>
      <c r="D979" t="s">
        <v>1977</v>
      </c>
      <c r="E979" t="s">
        <v>290</v>
      </c>
      <c r="F979">
        <v>39.99</v>
      </c>
      <c r="G979">
        <v>4.99</v>
      </c>
      <c r="H979">
        <v>21.81</v>
      </c>
      <c r="I979">
        <v>23.63</v>
      </c>
      <c r="J979">
        <v>32.72</v>
      </c>
      <c r="K979">
        <v>21.81</v>
      </c>
      <c r="L979">
        <v>29.08</v>
      </c>
      <c r="M979">
        <v>29.08</v>
      </c>
      <c r="Q979">
        <v>23.63</v>
      </c>
      <c r="T979" t="s">
        <v>97</v>
      </c>
      <c r="Y979">
        <v>30.9</v>
      </c>
      <c r="Z979">
        <v>39.99</v>
      </c>
      <c r="AA979" t="s">
        <v>97</v>
      </c>
    </row>
    <row r="980" spans="1:27" x14ac:dyDescent="0.2">
      <c r="A980" t="s">
        <v>92</v>
      </c>
      <c r="B980" t="s">
        <v>1897</v>
      </c>
      <c r="C980" t="s">
        <v>1978</v>
      </c>
      <c r="D980" t="s">
        <v>1979</v>
      </c>
      <c r="E980" t="s">
        <v>290</v>
      </c>
      <c r="F980">
        <v>44.99</v>
      </c>
      <c r="G980">
        <v>4.99</v>
      </c>
      <c r="H980">
        <v>24.54</v>
      </c>
      <c r="I980">
        <v>26.59</v>
      </c>
      <c r="J980">
        <v>36.81</v>
      </c>
      <c r="K980">
        <v>24.54</v>
      </c>
      <c r="L980">
        <v>32.72</v>
      </c>
      <c r="M980">
        <v>32.72</v>
      </c>
      <c r="Q980">
        <v>26.59</v>
      </c>
      <c r="T980" t="s">
        <v>97</v>
      </c>
      <c r="Y980">
        <v>34.770000000000003</v>
      </c>
      <c r="Z980">
        <v>44.99</v>
      </c>
      <c r="AA980" t="s">
        <v>97</v>
      </c>
    </row>
    <row r="981" spans="1:27" x14ac:dyDescent="0.2">
      <c r="A981" t="s">
        <v>92</v>
      </c>
      <c r="B981" t="s">
        <v>1980</v>
      </c>
      <c r="C981" t="s">
        <v>8339</v>
      </c>
      <c r="D981" t="s">
        <v>8340</v>
      </c>
      <c r="E981" t="s">
        <v>228</v>
      </c>
      <c r="F981">
        <v>189</v>
      </c>
      <c r="T981" t="s">
        <v>97</v>
      </c>
      <c r="AA981" t="s">
        <v>97</v>
      </c>
    </row>
    <row r="982" spans="1:27" x14ac:dyDescent="0.2">
      <c r="A982" t="s">
        <v>92</v>
      </c>
      <c r="B982" t="s">
        <v>1980</v>
      </c>
      <c r="C982" t="s">
        <v>8341</v>
      </c>
      <c r="D982" t="s">
        <v>8342</v>
      </c>
      <c r="E982" t="s">
        <v>228</v>
      </c>
      <c r="F982">
        <v>29</v>
      </c>
      <c r="T982" t="s">
        <v>97</v>
      </c>
      <c r="AA982" t="s">
        <v>97</v>
      </c>
    </row>
    <row r="983" spans="1:27" x14ac:dyDescent="0.2">
      <c r="A983" t="s">
        <v>92</v>
      </c>
      <c r="B983" t="s">
        <v>1980</v>
      </c>
      <c r="C983" t="s">
        <v>8343</v>
      </c>
      <c r="D983" t="s">
        <v>8344</v>
      </c>
      <c r="E983" t="s">
        <v>228</v>
      </c>
      <c r="F983">
        <v>199</v>
      </c>
      <c r="T983" t="s">
        <v>97</v>
      </c>
      <c r="AA983" t="s">
        <v>97</v>
      </c>
    </row>
    <row r="984" spans="1:27" x14ac:dyDescent="0.2">
      <c r="A984" t="s">
        <v>92</v>
      </c>
      <c r="B984" t="s">
        <v>1980</v>
      </c>
      <c r="C984" t="s">
        <v>8345</v>
      </c>
      <c r="D984" t="s">
        <v>8346</v>
      </c>
      <c r="E984" t="s">
        <v>228</v>
      </c>
      <c r="F984">
        <v>299</v>
      </c>
      <c r="T984" t="s">
        <v>97</v>
      </c>
      <c r="AA984" t="s">
        <v>97</v>
      </c>
    </row>
    <row r="985" spans="1:27" x14ac:dyDescent="0.2">
      <c r="A985" t="s">
        <v>92</v>
      </c>
      <c r="B985" t="s">
        <v>1980</v>
      </c>
      <c r="C985" t="s">
        <v>8347</v>
      </c>
      <c r="D985" t="s">
        <v>8348</v>
      </c>
      <c r="E985" t="s">
        <v>228</v>
      </c>
      <c r="F985">
        <v>79</v>
      </c>
      <c r="T985" t="s">
        <v>97</v>
      </c>
      <c r="AA985" t="s">
        <v>97</v>
      </c>
    </row>
    <row r="986" spans="1:27" x14ac:dyDescent="0.2">
      <c r="A986" t="s">
        <v>92</v>
      </c>
      <c r="B986" t="s">
        <v>1980</v>
      </c>
      <c r="C986" t="s">
        <v>8349</v>
      </c>
      <c r="D986" t="s">
        <v>8350</v>
      </c>
      <c r="E986" t="s">
        <v>228</v>
      </c>
      <c r="F986">
        <v>169</v>
      </c>
      <c r="T986" t="s">
        <v>97</v>
      </c>
      <c r="AA986" t="s">
        <v>97</v>
      </c>
    </row>
    <row r="987" spans="1:27" x14ac:dyDescent="0.2">
      <c r="A987" t="s">
        <v>92</v>
      </c>
      <c r="B987" t="s">
        <v>1980</v>
      </c>
      <c r="C987" t="s">
        <v>8351</v>
      </c>
      <c r="D987" t="s">
        <v>8352</v>
      </c>
      <c r="E987" t="s">
        <v>228</v>
      </c>
      <c r="F987">
        <v>399</v>
      </c>
      <c r="T987" t="s">
        <v>97</v>
      </c>
      <c r="AA987" t="s">
        <v>97</v>
      </c>
    </row>
    <row r="988" spans="1:27" x14ac:dyDescent="0.2">
      <c r="A988" t="s">
        <v>92</v>
      </c>
      <c r="B988" t="s">
        <v>1980</v>
      </c>
      <c r="C988" t="s">
        <v>8353</v>
      </c>
      <c r="D988" t="s">
        <v>8354</v>
      </c>
      <c r="E988" t="s">
        <v>228</v>
      </c>
      <c r="F988">
        <v>499</v>
      </c>
      <c r="T988" t="s">
        <v>97</v>
      </c>
      <c r="AA988" t="s">
        <v>97</v>
      </c>
    </row>
    <row r="989" spans="1:27" x14ac:dyDescent="0.2">
      <c r="A989" t="s">
        <v>92</v>
      </c>
      <c r="B989" t="s">
        <v>1980</v>
      </c>
      <c r="C989" t="s">
        <v>8355</v>
      </c>
      <c r="D989" t="s">
        <v>8356</v>
      </c>
      <c r="E989" t="s">
        <v>228</v>
      </c>
      <c r="F989">
        <v>749</v>
      </c>
      <c r="T989" t="s">
        <v>97</v>
      </c>
      <c r="AA989" t="s">
        <v>97</v>
      </c>
    </row>
    <row r="990" spans="1:27" x14ac:dyDescent="0.2">
      <c r="A990" t="s">
        <v>92</v>
      </c>
      <c r="B990" t="s">
        <v>1980</v>
      </c>
      <c r="C990" t="s">
        <v>1981</v>
      </c>
      <c r="D990" t="s">
        <v>1982</v>
      </c>
      <c r="E990" t="s">
        <v>228</v>
      </c>
      <c r="F990">
        <v>799</v>
      </c>
      <c r="T990" t="s">
        <v>97</v>
      </c>
      <c r="AA990" t="s">
        <v>97</v>
      </c>
    </row>
    <row r="991" spans="1:27" x14ac:dyDescent="0.2">
      <c r="A991" t="s">
        <v>92</v>
      </c>
      <c r="B991" t="s">
        <v>1980</v>
      </c>
      <c r="C991" t="s">
        <v>8357</v>
      </c>
      <c r="D991" t="s">
        <v>8358</v>
      </c>
      <c r="E991" t="s">
        <v>228</v>
      </c>
      <c r="F991">
        <v>799</v>
      </c>
      <c r="T991" t="s">
        <v>97</v>
      </c>
      <c r="AA991" t="s">
        <v>97</v>
      </c>
    </row>
    <row r="992" spans="1:27" x14ac:dyDescent="0.2">
      <c r="A992" t="s">
        <v>92</v>
      </c>
      <c r="B992" t="s">
        <v>1980</v>
      </c>
      <c r="C992" t="s">
        <v>1983</v>
      </c>
      <c r="D992" t="s">
        <v>1984</v>
      </c>
      <c r="E992" t="s">
        <v>228</v>
      </c>
      <c r="F992">
        <v>999</v>
      </c>
      <c r="M992">
        <v>699.3</v>
      </c>
      <c r="T992" t="s">
        <v>97</v>
      </c>
      <c r="AA992" t="s">
        <v>97</v>
      </c>
    </row>
    <row r="993" spans="1:27" x14ac:dyDescent="0.2">
      <c r="A993" t="s">
        <v>92</v>
      </c>
      <c r="B993" t="s">
        <v>1980</v>
      </c>
      <c r="C993" t="s">
        <v>8359</v>
      </c>
      <c r="D993" t="s">
        <v>8360</v>
      </c>
      <c r="E993" t="s">
        <v>228</v>
      </c>
      <c r="F993">
        <v>0</v>
      </c>
      <c r="L993">
        <v>0</v>
      </c>
      <c r="M993">
        <v>0</v>
      </c>
      <c r="T993" t="s">
        <v>97</v>
      </c>
      <c r="AA993" t="s">
        <v>97</v>
      </c>
    </row>
    <row r="994" spans="1:27" x14ac:dyDescent="0.2">
      <c r="A994" t="s">
        <v>92</v>
      </c>
      <c r="B994" t="s">
        <v>1980</v>
      </c>
      <c r="C994" t="s">
        <v>8627</v>
      </c>
      <c r="D994" t="s">
        <v>8628</v>
      </c>
      <c r="E994" t="s">
        <v>228</v>
      </c>
      <c r="F994">
        <v>99</v>
      </c>
      <c r="T994" t="s">
        <v>97</v>
      </c>
      <c r="AA994" t="s">
        <v>97</v>
      </c>
    </row>
    <row r="995" spans="1:27" x14ac:dyDescent="0.2">
      <c r="A995" t="s">
        <v>92</v>
      </c>
      <c r="B995" t="s">
        <v>1980</v>
      </c>
      <c r="C995" t="s">
        <v>8361</v>
      </c>
      <c r="D995" t="s">
        <v>8362</v>
      </c>
      <c r="E995" t="s">
        <v>228</v>
      </c>
      <c r="F995">
        <v>699</v>
      </c>
      <c r="T995" t="s">
        <v>97</v>
      </c>
      <c r="AA995" t="s">
        <v>97</v>
      </c>
    </row>
    <row r="996" spans="1:27" x14ac:dyDescent="0.2">
      <c r="A996" t="s">
        <v>92</v>
      </c>
      <c r="B996" t="s">
        <v>1980</v>
      </c>
      <c r="C996" t="s">
        <v>8363</v>
      </c>
      <c r="D996" t="s">
        <v>8364</v>
      </c>
      <c r="E996" t="s">
        <v>228</v>
      </c>
      <c r="F996">
        <v>699</v>
      </c>
      <c r="T996" t="s">
        <v>97</v>
      </c>
      <c r="AA996" t="s">
        <v>97</v>
      </c>
    </row>
    <row r="997" spans="1:27" x14ac:dyDescent="0.2">
      <c r="A997" t="s">
        <v>92</v>
      </c>
      <c r="B997" t="s">
        <v>1980</v>
      </c>
      <c r="C997" t="s">
        <v>8629</v>
      </c>
      <c r="D997" t="s">
        <v>8630</v>
      </c>
      <c r="E997" t="s">
        <v>228</v>
      </c>
      <c r="F997">
        <v>1999</v>
      </c>
      <c r="T997" t="s">
        <v>97</v>
      </c>
      <c r="AA997" t="s">
        <v>97</v>
      </c>
    </row>
    <row r="998" spans="1:27" x14ac:dyDescent="0.2">
      <c r="A998" t="s">
        <v>92</v>
      </c>
      <c r="B998" t="s">
        <v>1980</v>
      </c>
      <c r="C998" t="s">
        <v>8366</v>
      </c>
      <c r="D998" t="s">
        <v>8367</v>
      </c>
      <c r="E998" t="s">
        <v>228</v>
      </c>
      <c r="F998">
        <v>29</v>
      </c>
      <c r="T998" t="s">
        <v>97</v>
      </c>
      <c r="AA998" t="s">
        <v>97</v>
      </c>
    </row>
    <row r="999" spans="1:27" x14ac:dyDescent="0.2">
      <c r="A999" t="s">
        <v>92</v>
      </c>
      <c r="B999" t="s">
        <v>1980</v>
      </c>
      <c r="C999" t="s">
        <v>8368</v>
      </c>
      <c r="D999" t="s">
        <v>8369</v>
      </c>
      <c r="E999" t="s">
        <v>228</v>
      </c>
      <c r="F999">
        <v>449</v>
      </c>
      <c r="T999" t="s">
        <v>97</v>
      </c>
      <c r="AA999" t="s">
        <v>97</v>
      </c>
    </row>
    <row r="1000" spans="1:27" x14ac:dyDescent="0.2">
      <c r="A1000" t="s">
        <v>92</v>
      </c>
      <c r="B1000" t="s">
        <v>1980</v>
      </c>
      <c r="C1000" t="s">
        <v>8370</v>
      </c>
      <c r="D1000" t="s">
        <v>8371</v>
      </c>
      <c r="E1000" t="s">
        <v>228</v>
      </c>
      <c r="F1000">
        <v>399</v>
      </c>
      <c r="O1000">
        <v>299.25</v>
      </c>
      <c r="T1000" t="s">
        <v>97</v>
      </c>
      <c r="AA1000" t="s">
        <v>97</v>
      </c>
    </row>
    <row r="1001" spans="1:27" x14ac:dyDescent="0.2">
      <c r="A1001" t="s">
        <v>92</v>
      </c>
      <c r="B1001" t="s">
        <v>1980</v>
      </c>
      <c r="C1001" t="s">
        <v>1985</v>
      </c>
      <c r="D1001" t="s">
        <v>1986</v>
      </c>
      <c r="E1001" t="s">
        <v>228</v>
      </c>
      <c r="F1001">
        <v>2999</v>
      </c>
      <c r="M1001">
        <v>2099.3000000000002</v>
      </c>
      <c r="T1001" t="s">
        <v>97</v>
      </c>
      <c r="AA1001" t="s">
        <v>97</v>
      </c>
    </row>
    <row r="1002" spans="1:27" x14ac:dyDescent="0.2">
      <c r="A1002" t="s">
        <v>92</v>
      </c>
      <c r="B1002" t="s">
        <v>1980</v>
      </c>
      <c r="C1002" t="s">
        <v>8827</v>
      </c>
      <c r="D1002" t="s">
        <v>8828</v>
      </c>
      <c r="E1002" t="s">
        <v>228</v>
      </c>
      <c r="F1002">
        <v>499</v>
      </c>
      <c r="L1002">
        <v>322.08</v>
      </c>
      <c r="M1002">
        <v>367.45</v>
      </c>
      <c r="O1002">
        <v>374.25</v>
      </c>
      <c r="T1002" t="s">
        <v>97</v>
      </c>
      <c r="AA1002" t="s">
        <v>97</v>
      </c>
    </row>
    <row r="1003" spans="1:27" x14ac:dyDescent="0.2">
      <c r="A1003" t="s">
        <v>92</v>
      </c>
      <c r="B1003" t="s">
        <v>1980</v>
      </c>
      <c r="C1003" t="s">
        <v>8829</v>
      </c>
      <c r="D1003" t="s">
        <v>8830</v>
      </c>
      <c r="E1003" t="s">
        <v>228</v>
      </c>
      <c r="F1003">
        <v>199</v>
      </c>
      <c r="M1003">
        <v>109.72</v>
      </c>
      <c r="O1003">
        <v>111.75</v>
      </c>
      <c r="T1003" t="s">
        <v>97</v>
      </c>
      <c r="AA1003" t="s">
        <v>97</v>
      </c>
    </row>
    <row r="1004" spans="1:27" x14ac:dyDescent="0.2">
      <c r="A1004" t="s">
        <v>92</v>
      </c>
      <c r="B1004" t="s">
        <v>1980</v>
      </c>
      <c r="C1004" t="s">
        <v>1987</v>
      </c>
      <c r="D1004" t="s">
        <v>8831</v>
      </c>
      <c r="E1004" t="s">
        <v>228</v>
      </c>
      <c r="F1004">
        <v>59</v>
      </c>
      <c r="H1004">
        <v>34.86</v>
      </c>
      <c r="L1004">
        <v>32.18</v>
      </c>
      <c r="M1004">
        <v>38.08</v>
      </c>
      <c r="O1004">
        <v>44.25</v>
      </c>
      <c r="R1004">
        <v>34.86</v>
      </c>
      <c r="T1004" t="s">
        <v>97</v>
      </c>
      <c r="AA1004" t="s">
        <v>97</v>
      </c>
    </row>
    <row r="1005" spans="1:27" x14ac:dyDescent="0.2">
      <c r="A1005" t="s">
        <v>92</v>
      </c>
      <c r="B1005" t="s">
        <v>1980</v>
      </c>
      <c r="C1005" t="s">
        <v>8832</v>
      </c>
      <c r="D1005" t="s">
        <v>8833</v>
      </c>
      <c r="E1005" t="s">
        <v>228</v>
      </c>
      <c r="F1005">
        <v>49</v>
      </c>
      <c r="T1005" t="s">
        <v>97</v>
      </c>
      <c r="AA1005" t="s">
        <v>97</v>
      </c>
    </row>
    <row r="1006" spans="1:27" x14ac:dyDescent="0.2">
      <c r="A1006" t="s">
        <v>92</v>
      </c>
      <c r="B1006" t="s">
        <v>1980</v>
      </c>
      <c r="C1006" t="s">
        <v>8834</v>
      </c>
      <c r="D1006" t="s">
        <v>8835</v>
      </c>
      <c r="E1006" t="s">
        <v>228</v>
      </c>
      <c r="F1006">
        <v>189</v>
      </c>
      <c r="L1006">
        <v>103.78</v>
      </c>
      <c r="M1006">
        <v>121.99</v>
      </c>
      <c r="O1006">
        <v>141.75</v>
      </c>
      <c r="T1006" t="s">
        <v>97</v>
      </c>
      <c r="AA1006" t="s">
        <v>97</v>
      </c>
    </row>
    <row r="1007" spans="1:27" x14ac:dyDescent="0.2">
      <c r="A1007" t="s">
        <v>92</v>
      </c>
      <c r="B1007" t="s">
        <v>1980</v>
      </c>
      <c r="C1007" t="s">
        <v>8372</v>
      </c>
      <c r="D1007" t="s">
        <v>8373</v>
      </c>
      <c r="E1007" t="s">
        <v>228</v>
      </c>
      <c r="F1007">
        <v>189</v>
      </c>
      <c r="T1007" t="s">
        <v>97</v>
      </c>
      <c r="AA1007" t="s">
        <v>97</v>
      </c>
    </row>
    <row r="1008" spans="1:27" x14ac:dyDescent="0.2">
      <c r="A1008" t="s">
        <v>92</v>
      </c>
      <c r="B1008" t="s">
        <v>1980</v>
      </c>
      <c r="C1008" t="s">
        <v>1988</v>
      </c>
      <c r="D1008" t="s">
        <v>8836</v>
      </c>
      <c r="E1008" t="s">
        <v>228</v>
      </c>
      <c r="F1008">
        <v>69</v>
      </c>
      <c r="L1008">
        <v>37.64</v>
      </c>
      <c r="M1008">
        <v>44.54</v>
      </c>
      <c r="O1008">
        <v>51.75</v>
      </c>
      <c r="R1008">
        <v>40.770000000000003</v>
      </c>
      <c r="T1008" t="s">
        <v>97</v>
      </c>
      <c r="AA1008" t="s">
        <v>97</v>
      </c>
    </row>
    <row r="1009" spans="1:27" x14ac:dyDescent="0.2">
      <c r="A1009" t="s">
        <v>92</v>
      </c>
      <c r="B1009" t="s">
        <v>1980</v>
      </c>
      <c r="C1009" t="s">
        <v>1989</v>
      </c>
      <c r="D1009" t="s">
        <v>1990</v>
      </c>
      <c r="E1009" t="s">
        <v>228</v>
      </c>
      <c r="F1009">
        <v>189</v>
      </c>
      <c r="H1009">
        <v>111.68</v>
      </c>
      <c r="L1009">
        <v>103.09</v>
      </c>
      <c r="M1009">
        <v>96.17</v>
      </c>
      <c r="O1009">
        <v>141.75</v>
      </c>
      <c r="R1009">
        <v>111.68</v>
      </c>
      <c r="T1009" t="s">
        <v>97</v>
      </c>
      <c r="AA1009" t="s">
        <v>97</v>
      </c>
    </row>
    <row r="1010" spans="1:27" x14ac:dyDescent="0.2">
      <c r="A1010" t="s">
        <v>92</v>
      </c>
      <c r="B1010" t="s">
        <v>1980</v>
      </c>
      <c r="C1010" t="s">
        <v>8837</v>
      </c>
      <c r="D1010" t="s">
        <v>8838</v>
      </c>
      <c r="E1010" t="s">
        <v>228</v>
      </c>
      <c r="F1010">
        <v>189</v>
      </c>
      <c r="L1010">
        <v>103.09</v>
      </c>
      <c r="M1010">
        <v>121.99</v>
      </c>
      <c r="O1010">
        <v>141.75</v>
      </c>
      <c r="R1010">
        <v>111.68</v>
      </c>
      <c r="T1010" t="s">
        <v>97</v>
      </c>
      <c r="AA1010" t="s">
        <v>97</v>
      </c>
    </row>
    <row r="1011" spans="1:27" x14ac:dyDescent="0.2">
      <c r="A1011" t="s">
        <v>92</v>
      </c>
      <c r="B1011" t="s">
        <v>1980</v>
      </c>
      <c r="C1011" t="s">
        <v>1991</v>
      </c>
      <c r="D1011" t="s">
        <v>1992</v>
      </c>
      <c r="E1011" t="s">
        <v>228</v>
      </c>
      <c r="F1011">
        <v>129</v>
      </c>
      <c r="H1011">
        <v>76.23</v>
      </c>
      <c r="L1011">
        <v>70.36</v>
      </c>
      <c r="M1011">
        <v>83.26</v>
      </c>
      <c r="T1011" t="s">
        <v>97</v>
      </c>
      <c r="AA1011" t="s">
        <v>97</v>
      </c>
    </row>
    <row r="1012" spans="1:27" x14ac:dyDescent="0.2">
      <c r="A1012" t="s">
        <v>92</v>
      </c>
      <c r="B1012" t="s">
        <v>1980</v>
      </c>
      <c r="C1012" t="s">
        <v>1993</v>
      </c>
      <c r="D1012" t="s">
        <v>1994</v>
      </c>
      <c r="E1012" t="s">
        <v>228</v>
      </c>
      <c r="F1012">
        <v>149</v>
      </c>
      <c r="H1012">
        <v>111.68</v>
      </c>
      <c r="L1012">
        <v>103.09</v>
      </c>
      <c r="M1012">
        <v>96.17</v>
      </c>
      <c r="R1012">
        <v>111.68</v>
      </c>
      <c r="T1012" t="s">
        <v>97</v>
      </c>
      <c r="AA1012" t="s">
        <v>97</v>
      </c>
    </row>
    <row r="1013" spans="1:27" x14ac:dyDescent="0.2">
      <c r="A1013" t="s">
        <v>92</v>
      </c>
      <c r="B1013" t="s">
        <v>1980</v>
      </c>
      <c r="C1013" t="s">
        <v>8839</v>
      </c>
      <c r="D1013" t="s">
        <v>8840</v>
      </c>
      <c r="E1013" t="s">
        <v>228</v>
      </c>
      <c r="F1013">
        <v>189</v>
      </c>
      <c r="L1013">
        <v>103.09</v>
      </c>
      <c r="M1013">
        <v>121.99</v>
      </c>
      <c r="O1013">
        <v>141.75</v>
      </c>
      <c r="R1013">
        <v>111.68</v>
      </c>
      <c r="T1013" t="s">
        <v>97</v>
      </c>
      <c r="AA1013" t="s">
        <v>97</v>
      </c>
    </row>
    <row r="1014" spans="1:27" x14ac:dyDescent="0.2">
      <c r="A1014" t="s">
        <v>92</v>
      </c>
      <c r="B1014" t="s">
        <v>1980</v>
      </c>
      <c r="C1014" t="s">
        <v>8841</v>
      </c>
      <c r="D1014" t="s">
        <v>8842</v>
      </c>
      <c r="E1014" t="s">
        <v>228</v>
      </c>
      <c r="F1014">
        <v>99</v>
      </c>
      <c r="L1014">
        <v>54</v>
      </c>
      <c r="M1014">
        <v>63.9</v>
      </c>
      <c r="O1014">
        <v>74.25</v>
      </c>
      <c r="T1014" t="s">
        <v>97</v>
      </c>
      <c r="AA1014" t="s">
        <v>97</v>
      </c>
    </row>
    <row r="1015" spans="1:27" x14ac:dyDescent="0.2">
      <c r="A1015" t="s">
        <v>92</v>
      </c>
      <c r="B1015" t="s">
        <v>1980</v>
      </c>
      <c r="C1015" t="s">
        <v>8843</v>
      </c>
      <c r="D1015" t="s">
        <v>8844</v>
      </c>
      <c r="E1015" t="s">
        <v>228</v>
      </c>
      <c r="F1015">
        <v>189</v>
      </c>
      <c r="L1015">
        <v>103.09</v>
      </c>
      <c r="M1015">
        <v>121.99</v>
      </c>
      <c r="R1015">
        <v>111.68</v>
      </c>
      <c r="T1015" t="s">
        <v>97</v>
      </c>
      <c r="AA1015" t="s">
        <v>97</v>
      </c>
    </row>
    <row r="1016" spans="1:27" x14ac:dyDescent="0.2">
      <c r="A1016" t="s">
        <v>92</v>
      </c>
      <c r="B1016" t="s">
        <v>1980</v>
      </c>
      <c r="C1016" t="s">
        <v>1995</v>
      </c>
      <c r="D1016" t="s">
        <v>8845</v>
      </c>
      <c r="E1016" t="s">
        <v>228</v>
      </c>
      <c r="F1016">
        <v>39</v>
      </c>
      <c r="H1016">
        <v>23.05</v>
      </c>
      <c r="L1016">
        <v>21.27</v>
      </c>
      <c r="M1016">
        <v>25.17</v>
      </c>
      <c r="O1016">
        <v>29.25</v>
      </c>
      <c r="R1016">
        <v>23.05</v>
      </c>
      <c r="T1016" t="s">
        <v>97</v>
      </c>
      <c r="AA1016" t="s">
        <v>97</v>
      </c>
    </row>
    <row r="1017" spans="1:27" x14ac:dyDescent="0.2">
      <c r="A1017" t="s">
        <v>92</v>
      </c>
      <c r="B1017" t="s">
        <v>1980</v>
      </c>
      <c r="C1017" t="s">
        <v>8846</v>
      </c>
      <c r="D1017" t="s">
        <v>8847</v>
      </c>
      <c r="E1017" t="s">
        <v>228</v>
      </c>
      <c r="F1017">
        <v>45.9</v>
      </c>
      <c r="L1017">
        <v>25.04</v>
      </c>
      <c r="M1017">
        <v>29.63</v>
      </c>
      <c r="O1017">
        <v>34.424999999999997</v>
      </c>
      <c r="T1017" t="s">
        <v>97</v>
      </c>
      <c r="AA1017" t="s">
        <v>97</v>
      </c>
    </row>
    <row r="1018" spans="1:27" x14ac:dyDescent="0.2">
      <c r="A1018" t="s">
        <v>92</v>
      </c>
      <c r="B1018" t="s">
        <v>1980</v>
      </c>
      <c r="C1018" t="s">
        <v>8848</v>
      </c>
      <c r="D1018" t="s">
        <v>8849</v>
      </c>
      <c r="E1018" t="s">
        <v>228</v>
      </c>
      <c r="F1018">
        <v>59.9</v>
      </c>
      <c r="L1018">
        <v>32.67</v>
      </c>
      <c r="M1018">
        <v>38.659999999999997</v>
      </c>
      <c r="O1018">
        <v>44.924999999999997</v>
      </c>
      <c r="T1018" t="s">
        <v>97</v>
      </c>
      <c r="AA1018" t="s">
        <v>97</v>
      </c>
    </row>
    <row r="1019" spans="1:27" x14ac:dyDescent="0.2">
      <c r="A1019" t="s">
        <v>92</v>
      </c>
      <c r="B1019" t="s">
        <v>1980</v>
      </c>
      <c r="C1019" t="s">
        <v>8850</v>
      </c>
      <c r="D1019" t="s">
        <v>8851</v>
      </c>
      <c r="E1019" t="s">
        <v>228</v>
      </c>
      <c r="F1019">
        <v>25</v>
      </c>
      <c r="L1019">
        <v>13.73</v>
      </c>
      <c r="M1019">
        <v>16.14</v>
      </c>
      <c r="O1019">
        <v>18.75</v>
      </c>
      <c r="T1019" t="s">
        <v>97</v>
      </c>
      <c r="AA1019" t="s">
        <v>97</v>
      </c>
    </row>
    <row r="1020" spans="1:27" x14ac:dyDescent="0.2">
      <c r="A1020" t="s">
        <v>92</v>
      </c>
      <c r="B1020" t="s">
        <v>1980</v>
      </c>
      <c r="C1020" t="s">
        <v>8852</v>
      </c>
      <c r="D1020" t="s">
        <v>8853</v>
      </c>
      <c r="E1020" t="s">
        <v>228</v>
      </c>
      <c r="F1020">
        <v>29</v>
      </c>
      <c r="L1020">
        <v>15.92</v>
      </c>
      <c r="M1020">
        <v>18.72</v>
      </c>
      <c r="O1020">
        <v>21.75</v>
      </c>
      <c r="T1020" t="s">
        <v>97</v>
      </c>
      <c r="AA1020" t="s">
        <v>97</v>
      </c>
    </row>
    <row r="1021" spans="1:27" x14ac:dyDescent="0.2">
      <c r="A1021" t="s">
        <v>92</v>
      </c>
      <c r="B1021" t="s">
        <v>1980</v>
      </c>
      <c r="C1021" t="s">
        <v>8854</v>
      </c>
      <c r="D1021" t="s">
        <v>8855</v>
      </c>
      <c r="E1021" t="s">
        <v>228</v>
      </c>
      <c r="F1021">
        <v>29</v>
      </c>
      <c r="L1021">
        <v>15.92</v>
      </c>
      <c r="M1021">
        <v>18.72</v>
      </c>
      <c r="O1021">
        <v>21.75</v>
      </c>
      <c r="T1021" t="s">
        <v>97</v>
      </c>
      <c r="AA1021" t="s">
        <v>97</v>
      </c>
    </row>
    <row r="1022" spans="1:27" x14ac:dyDescent="0.2">
      <c r="A1022" t="s">
        <v>92</v>
      </c>
      <c r="B1022" t="s">
        <v>1980</v>
      </c>
      <c r="C1022" t="s">
        <v>8374</v>
      </c>
      <c r="D1022" t="s">
        <v>8375</v>
      </c>
      <c r="E1022" t="s">
        <v>228</v>
      </c>
      <c r="F1022">
        <v>29</v>
      </c>
      <c r="T1022" t="s">
        <v>97</v>
      </c>
      <c r="AA1022" t="s">
        <v>97</v>
      </c>
    </row>
    <row r="1023" spans="1:27" x14ac:dyDescent="0.2">
      <c r="A1023" t="s">
        <v>92</v>
      </c>
      <c r="B1023" t="s">
        <v>1980</v>
      </c>
      <c r="C1023" t="s">
        <v>1996</v>
      </c>
      <c r="D1023" t="s">
        <v>1997</v>
      </c>
      <c r="E1023" t="s">
        <v>228</v>
      </c>
      <c r="F1023">
        <v>39</v>
      </c>
      <c r="L1023">
        <v>21.27</v>
      </c>
      <c r="M1023">
        <v>25.17</v>
      </c>
      <c r="R1023">
        <v>23.05</v>
      </c>
      <c r="T1023" t="s">
        <v>97</v>
      </c>
      <c r="AA1023" t="s">
        <v>97</v>
      </c>
    </row>
    <row r="1024" spans="1:27" x14ac:dyDescent="0.2">
      <c r="A1024" t="s">
        <v>92</v>
      </c>
      <c r="B1024" t="s">
        <v>1980</v>
      </c>
      <c r="C1024" t="s">
        <v>8376</v>
      </c>
      <c r="D1024" t="s">
        <v>8377</v>
      </c>
      <c r="E1024" t="s">
        <v>228</v>
      </c>
      <c r="F1024">
        <v>1299</v>
      </c>
      <c r="H1024">
        <v>767.59</v>
      </c>
      <c r="L1024">
        <v>779.4</v>
      </c>
      <c r="M1024">
        <v>956.54</v>
      </c>
      <c r="O1024">
        <v>974.25</v>
      </c>
      <c r="T1024" t="s">
        <v>97</v>
      </c>
      <c r="AA1024" t="s">
        <v>97</v>
      </c>
    </row>
    <row r="1025" spans="1:27" x14ac:dyDescent="0.2">
      <c r="A1025" t="s">
        <v>92</v>
      </c>
      <c r="B1025" t="s">
        <v>1980</v>
      </c>
      <c r="C1025" t="s">
        <v>8378</v>
      </c>
      <c r="D1025" t="s">
        <v>8379</v>
      </c>
      <c r="E1025" t="s">
        <v>228</v>
      </c>
      <c r="F1025">
        <v>0</v>
      </c>
      <c r="H1025">
        <v>0</v>
      </c>
      <c r="L1025">
        <v>0</v>
      </c>
      <c r="M1025">
        <v>0</v>
      </c>
      <c r="O1025">
        <v>0</v>
      </c>
      <c r="T1025" t="s">
        <v>97</v>
      </c>
      <c r="AA1025" t="s">
        <v>97</v>
      </c>
    </row>
    <row r="1026" spans="1:27" x14ac:dyDescent="0.2">
      <c r="A1026" t="s">
        <v>92</v>
      </c>
      <c r="B1026" t="s">
        <v>1980</v>
      </c>
      <c r="C1026" t="s">
        <v>8856</v>
      </c>
      <c r="D1026" t="s">
        <v>8857</v>
      </c>
      <c r="E1026" t="s">
        <v>228</v>
      </c>
      <c r="F1026">
        <v>29</v>
      </c>
      <c r="L1026">
        <v>15.82</v>
      </c>
      <c r="M1026">
        <v>18.72</v>
      </c>
      <c r="O1026">
        <v>21.75</v>
      </c>
      <c r="T1026" t="s">
        <v>97</v>
      </c>
      <c r="AA1026" t="s">
        <v>97</v>
      </c>
    </row>
    <row r="1027" spans="1:27" x14ac:dyDescent="0.2">
      <c r="A1027" t="s">
        <v>92</v>
      </c>
      <c r="B1027" t="s">
        <v>1980</v>
      </c>
      <c r="C1027" t="s">
        <v>1998</v>
      </c>
      <c r="D1027" t="s">
        <v>8858</v>
      </c>
      <c r="E1027" t="s">
        <v>228</v>
      </c>
      <c r="F1027">
        <v>29</v>
      </c>
      <c r="H1027">
        <v>17.14</v>
      </c>
      <c r="L1027">
        <v>15.82</v>
      </c>
      <c r="M1027">
        <v>18.72</v>
      </c>
      <c r="O1027">
        <v>21.75</v>
      </c>
      <c r="R1027">
        <v>17.14</v>
      </c>
      <c r="T1027" t="s">
        <v>97</v>
      </c>
      <c r="AA1027" t="s">
        <v>97</v>
      </c>
    </row>
    <row r="1028" spans="1:27" x14ac:dyDescent="0.2">
      <c r="A1028" t="s">
        <v>92</v>
      </c>
      <c r="B1028" t="s">
        <v>1980</v>
      </c>
      <c r="C1028" t="s">
        <v>1999</v>
      </c>
      <c r="D1028" t="s">
        <v>2000</v>
      </c>
      <c r="E1028" t="s">
        <v>228</v>
      </c>
      <c r="F1028">
        <v>29</v>
      </c>
      <c r="H1028">
        <v>18.45</v>
      </c>
      <c r="L1028">
        <v>15.82</v>
      </c>
      <c r="M1028">
        <v>18.72</v>
      </c>
      <c r="T1028" t="s">
        <v>97</v>
      </c>
      <c r="AA1028" t="s">
        <v>97</v>
      </c>
    </row>
    <row r="1029" spans="1:27" x14ac:dyDescent="0.2">
      <c r="A1029" t="s">
        <v>92</v>
      </c>
      <c r="B1029" t="s">
        <v>1980</v>
      </c>
      <c r="C1029" t="s">
        <v>8859</v>
      </c>
      <c r="D1029" t="s">
        <v>8860</v>
      </c>
      <c r="E1029" t="s">
        <v>228</v>
      </c>
      <c r="F1029">
        <v>29</v>
      </c>
      <c r="L1029">
        <v>15.82</v>
      </c>
      <c r="M1029">
        <v>18.72</v>
      </c>
      <c r="O1029">
        <v>21.75</v>
      </c>
      <c r="R1029">
        <v>17.14</v>
      </c>
      <c r="T1029" t="s">
        <v>97</v>
      </c>
      <c r="AA1029" t="s">
        <v>97</v>
      </c>
    </row>
    <row r="1030" spans="1:27" x14ac:dyDescent="0.2">
      <c r="A1030" t="s">
        <v>92</v>
      </c>
      <c r="B1030" t="s">
        <v>1980</v>
      </c>
      <c r="C1030" t="s">
        <v>8861</v>
      </c>
      <c r="D1030" t="s">
        <v>8862</v>
      </c>
      <c r="E1030" t="s">
        <v>228</v>
      </c>
      <c r="F1030">
        <v>39</v>
      </c>
      <c r="L1030">
        <v>21.27</v>
      </c>
      <c r="M1030">
        <v>25.17</v>
      </c>
      <c r="O1030">
        <v>29.25</v>
      </c>
      <c r="T1030" t="s">
        <v>97</v>
      </c>
      <c r="AA1030" t="s">
        <v>97</v>
      </c>
    </row>
    <row r="1031" spans="1:27" x14ac:dyDescent="0.2">
      <c r="A1031" t="s">
        <v>92</v>
      </c>
      <c r="B1031" t="s">
        <v>1980</v>
      </c>
      <c r="C1031" t="s">
        <v>2001</v>
      </c>
      <c r="D1031" t="s">
        <v>8863</v>
      </c>
      <c r="E1031" t="s">
        <v>228</v>
      </c>
      <c r="F1031">
        <v>49</v>
      </c>
      <c r="H1031">
        <v>28.95</v>
      </c>
      <c r="L1031">
        <v>26.73</v>
      </c>
      <c r="M1031">
        <v>31.63</v>
      </c>
      <c r="R1031">
        <v>28.95</v>
      </c>
      <c r="T1031" t="s">
        <v>97</v>
      </c>
      <c r="AA1031" t="s">
        <v>97</v>
      </c>
    </row>
    <row r="1032" spans="1:27" x14ac:dyDescent="0.2">
      <c r="A1032" t="s">
        <v>92</v>
      </c>
      <c r="B1032" t="s">
        <v>1980</v>
      </c>
      <c r="C1032" t="s">
        <v>2002</v>
      </c>
      <c r="D1032" t="s">
        <v>8864</v>
      </c>
      <c r="E1032" t="s">
        <v>228</v>
      </c>
      <c r="F1032">
        <v>39</v>
      </c>
      <c r="L1032">
        <v>21.27</v>
      </c>
      <c r="M1032">
        <v>25.17</v>
      </c>
      <c r="R1032">
        <v>23.05</v>
      </c>
      <c r="T1032" t="s">
        <v>97</v>
      </c>
      <c r="AA1032" t="s">
        <v>97</v>
      </c>
    </row>
    <row r="1033" spans="1:27" x14ac:dyDescent="0.2">
      <c r="A1033" t="s">
        <v>92</v>
      </c>
      <c r="B1033" t="s">
        <v>1980</v>
      </c>
      <c r="C1033" t="s">
        <v>2003</v>
      </c>
      <c r="D1033" t="s">
        <v>8865</v>
      </c>
      <c r="E1033" t="s">
        <v>228</v>
      </c>
      <c r="F1033">
        <v>39</v>
      </c>
      <c r="H1033">
        <v>23.05</v>
      </c>
      <c r="L1033">
        <v>21.27</v>
      </c>
      <c r="M1033">
        <v>25.17</v>
      </c>
      <c r="O1033">
        <v>29.25</v>
      </c>
      <c r="R1033">
        <v>23.05</v>
      </c>
      <c r="T1033" t="s">
        <v>97</v>
      </c>
      <c r="AA1033" t="s">
        <v>97</v>
      </c>
    </row>
    <row r="1034" spans="1:27" x14ac:dyDescent="0.2">
      <c r="A1034" t="s">
        <v>92</v>
      </c>
      <c r="B1034" t="s">
        <v>1980</v>
      </c>
      <c r="C1034" t="s">
        <v>2004</v>
      </c>
      <c r="D1034" t="s">
        <v>2005</v>
      </c>
      <c r="E1034" t="s">
        <v>228</v>
      </c>
      <c r="F1034">
        <v>39</v>
      </c>
      <c r="H1034">
        <v>24.82</v>
      </c>
      <c r="L1034">
        <v>21.27</v>
      </c>
      <c r="M1034">
        <v>25.17</v>
      </c>
      <c r="T1034" t="s">
        <v>97</v>
      </c>
      <c r="AA1034" t="s">
        <v>97</v>
      </c>
    </row>
    <row r="1035" spans="1:27" x14ac:dyDescent="0.2">
      <c r="A1035" t="s">
        <v>92</v>
      </c>
      <c r="B1035" t="s">
        <v>1980</v>
      </c>
      <c r="C1035" t="s">
        <v>8631</v>
      </c>
      <c r="D1035" t="s">
        <v>8632</v>
      </c>
      <c r="E1035" t="s">
        <v>228</v>
      </c>
      <c r="F1035">
        <v>599</v>
      </c>
      <c r="O1035">
        <v>449.25</v>
      </c>
      <c r="T1035" t="s">
        <v>97</v>
      </c>
      <c r="AA1035" t="s">
        <v>97</v>
      </c>
    </row>
    <row r="1036" spans="1:27" x14ac:dyDescent="0.2">
      <c r="A1036" t="s">
        <v>92</v>
      </c>
      <c r="B1036" t="s">
        <v>1980</v>
      </c>
      <c r="C1036" t="s">
        <v>8633</v>
      </c>
      <c r="D1036" t="s">
        <v>8634</v>
      </c>
      <c r="E1036" t="s">
        <v>228</v>
      </c>
      <c r="F1036">
        <v>599</v>
      </c>
      <c r="T1036" t="s">
        <v>97</v>
      </c>
      <c r="AA1036" t="s">
        <v>97</v>
      </c>
    </row>
    <row r="1037" spans="1:27" x14ac:dyDescent="0.2">
      <c r="A1037" t="s">
        <v>92</v>
      </c>
      <c r="B1037" t="s">
        <v>1980</v>
      </c>
      <c r="C1037" t="s">
        <v>2008</v>
      </c>
      <c r="D1037" t="s">
        <v>2009</v>
      </c>
      <c r="E1037" t="s">
        <v>228</v>
      </c>
      <c r="F1037">
        <v>1099</v>
      </c>
      <c r="H1037">
        <v>649.41</v>
      </c>
      <c r="I1037">
        <v>799.27</v>
      </c>
      <c r="O1037">
        <v>824.25</v>
      </c>
      <c r="R1037">
        <v>552.04</v>
      </c>
      <c r="T1037" t="s">
        <v>97</v>
      </c>
      <c r="AA1037" t="s">
        <v>97</v>
      </c>
    </row>
    <row r="1038" spans="1:27" x14ac:dyDescent="0.2">
      <c r="A1038" t="s">
        <v>92</v>
      </c>
      <c r="B1038" t="s">
        <v>1980</v>
      </c>
      <c r="C1038" t="s">
        <v>8866</v>
      </c>
      <c r="D1038" t="s">
        <v>8867</v>
      </c>
      <c r="E1038" t="s">
        <v>228</v>
      </c>
      <c r="F1038">
        <v>1699</v>
      </c>
      <c r="R1038">
        <v>838.45</v>
      </c>
      <c r="T1038" t="s">
        <v>97</v>
      </c>
      <c r="AA1038" t="s">
        <v>97</v>
      </c>
    </row>
    <row r="1039" spans="1:27" x14ac:dyDescent="0.2">
      <c r="A1039" t="s">
        <v>92</v>
      </c>
      <c r="B1039" t="s">
        <v>1980</v>
      </c>
      <c r="C1039" t="s">
        <v>8868</v>
      </c>
      <c r="D1039" t="s">
        <v>8869</v>
      </c>
      <c r="E1039" t="s">
        <v>228</v>
      </c>
      <c r="F1039">
        <v>1499</v>
      </c>
      <c r="O1039">
        <v>1124.25</v>
      </c>
      <c r="T1039" t="s">
        <v>97</v>
      </c>
      <c r="AA1039" t="s">
        <v>97</v>
      </c>
    </row>
    <row r="1040" spans="1:27" x14ac:dyDescent="0.2">
      <c r="A1040" t="s">
        <v>92</v>
      </c>
      <c r="B1040" t="s">
        <v>1980</v>
      </c>
      <c r="C1040" t="s">
        <v>8380</v>
      </c>
      <c r="D1040" t="s">
        <v>8381</v>
      </c>
      <c r="E1040" t="s">
        <v>228</v>
      </c>
      <c r="F1040">
        <v>199</v>
      </c>
      <c r="O1040">
        <v>149.25</v>
      </c>
      <c r="T1040" t="s">
        <v>97</v>
      </c>
      <c r="AA1040" t="s">
        <v>97</v>
      </c>
    </row>
    <row r="1041" spans="1:27" x14ac:dyDescent="0.2">
      <c r="A1041" t="s">
        <v>92</v>
      </c>
      <c r="B1041" t="s">
        <v>1980</v>
      </c>
      <c r="C1041" t="s">
        <v>8382</v>
      </c>
      <c r="D1041" t="s">
        <v>8383</v>
      </c>
      <c r="E1041" t="s">
        <v>228</v>
      </c>
      <c r="F1041">
        <v>299</v>
      </c>
      <c r="O1041">
        <v>224.25</v>
      </c>
      <c r="T1041" t="s">
        <v>97</v>
      </c>
      <c r="AA1041" t="s">
        <v>97</v>
      </c>
    </row>
    <row r="1042" spans="1:27" x14ac:dyDescent="0.2">
      <c r="A1042" t="s">
        <v>92</v>
      </c>
      <c r="B1042" t="s">
        <v>1980</v>
      </c>
      <c r="C1042" t="s">
        <v>8870</v>
      </c>
      <c r="D1042" t="s">
        <v>8871</v>
      </c>
      <c r="E1042" t="s">
        <v>228</v>
      </c>
      <c r="F1042">
        <v>49.9</v>
      </c>
      <c r="L1042">
        <v>27.22</v>
      </c>
      <c r="M1042">
        <v>32.21</v>
      </c>
      <c r="O1042">
        <v>37.424999999999997</v>
      </c>
      <c r="T1042" t="s">
        <v>97</v>
      </c>
      <c r="AA1042" t="s">
        <v>97</v>
      </c>
    </row>
    <row r="1043" spans="1:27" x14ac:dyDescent="0.2">
      <c r="A1043" t="s">
        <v>92</v>
      </c>
      <c r="B1043" t="s">
        <v>1980</v>
      </c>
      <c r="C1043" t="s">
        <v>2010</v>
      </c>
      <c r="D1043" t="s">
        <v>2011</v>
      </c>
      <c r="E1043" t="s">
        <v>228</v>
      </c>
      <c r="F1043">
        <v>29</v>
      </c>
      <c r="H1043">
        <v>17.14</v>
      </c>
      <c r="L1043">
        <v>15.82</v>
      </c>
      <c r="M1043">
        <v>18.72</v>
      </c>
      <c r="R1043">
        <v>17.14</v>
      </c>
      <c r="T1043" t="s">
        <v>97</v>
      </c>
      <c r="AA1043" t="s">
        <v>97</v>
      </c>
    </row>
    <row r="1044" spans="1:27" x14ac:dyDescent="0.2">
      <c r="A1044" t="s">
        <v>92</v>
      </c>
      <c r="B1044" t="s">
        <v>1980</v>
      </c>
      <c r="C1044" t="s">
        <v>2012</v>
      </c>
      <c r="D1044" t="s">
        <v>8872</v>
      </c>
      <c r="E1044" t="s">
        <v>228</v>
      </c>
      <c r="F1044">
        <v>19</v>
      </c>
      <c r="H1044">
        <v>11.23</v>
      </c>
      <c r="L1044">
        <v>10.36</v>
      </c>
      <c r="M1044">
        <v>12.26</v>
      </c>
      <c r="O1044">
        <v>14.25</v>
      </c>
      <c r="R1044">
        <v>11.23</v>
      </c>
      <c r="T1044" t="s">
        <v>97</v>
      </c>
      <c r="AA1044" t="s">
        <v>97</v>
      </c>
    </row>
    <row r="1045" spans="1:27" x14ac:dyDescent="0.2">
      <c r="A1045" t="s">
        <v>92</v>
      </c>
      <c r="B1045" t="s">
        <v>1980</v>
      </c>
      <c r="C1045" t="s">
        <v>8873</v>
      </c>
      <c r="D1045" t="s">
        <v>8874</v>
      </c>
      <c r="E1045" t="s">
        <v>228</v>
      </c>
      <c r="F1045">
        <v>49.9</v>
      </c>
      <c r="L1045">
        <v>27.22</v>
      </c>
      <c r="M1045">
        <v>32.21</v>
      </c>
      <c r="O1045">
        <v>37.424999999999997</v>
      </c>
      <c r="T1045" t="s">
        <v>97</v>
      </c>
      <c r="AA1045" t="s">
        <v>97</v>
      </c>
    </row>
    <row r="1046" spans="1:27" x14ac:dyDescent="0.2">
      <c r="A1046" t="s">
        <v>92</v>
      </c>
      <c r="B1046" t="s">
        <v>1980</v>
      </c>
      <c r="C1046" t="s">
        <v>2013</v>
      </c>
      <c r="D1046" t="s">
        <v>2014</v>
      </c>
      <c r="E1046" t="s">
        <v>228</v>
      </c>
      <c r="F1046">
        <v>349</v>
      </c>
      <c r="H1046">
        <v>206.23</v>
      </c>
      <c r="L1046">
        <v>225.26</v>
      </c>
      <c r="O1046">
        <v>261.75</v>
      </c>
      <c r="T1046" t="s">
        <v>97</v>
      </c>
      <c r="AA1046" t="s">
        <v>97</v>
      </c>
    </row>
    <row r="1047" spans="1:27" x14ac:dyDescent="0.2">
      <c r="A1047" t="s">
        <v>92</v>
      </c>
      <c r="B1047" t="s">
        <v>1980</v>
      </c>
      <c r="C1047" t="s">
        <v>8384</v>
      </c>
      <c r="D1047" t="s">
        <v>8385</v>
      </c>
      <c r="E1047" t="s">
        <v>228</v>
      </c>
      <c r="F1047">
        <v>79</v>
      </c>
      <c r="I1047">
        <v>57.45</v>
      </c>
      <c r="O1047">
        <v>59.25</v>
      </c>
      <c r="T1047" t="s">
        <v>97</v>
      </c>
      <c r="AA1047" t="s">
        <v>97</v>
      </c>
    </row>
    <row r="1048" spans="1:27" x14ac:dyDescent="0.2">
      <c r="A1048" t="s">
        <v>92</v>
      </c>
      <c r="B1048" t="s">
        <v>1980</v>
      </c>
      <c r="C1048" t="s">
        <v>8386</v>
      </c>
      <c r="D1048" t="s">
        <v>8387</v>
      </c>
      <c r="E1048" t="s">
        <v>228</v>
      </c>
      <c r="F1048">
        <v>169</v>
      </c>
      <c r="I1048">
        <v>122.91</v>
      </c>
      <c r="O1048">
        <v>126.75</v>
      </c>
      <c r="T1048" t="s">
        <v>97</v>
      </c>
      <c r="AA1048" t="s">
        <v>97</v>
      </c>
    </row>
    <row r="1049" spans="1:27" x14ac:dyDescent="0.2">
      <c r="A1049" t="s">
        <v>92</v>
      </c>
      <c r="B1049" t="s">
        <v>1980</v>
      </c>
      <c r="C1049" t="s">
        <v>8388</v>
      </c>
      <c r="D1049" t="s">
        <v>8389</v>
      </c>
      <c r="E1049" t="s">
        <v>228</v>
      </c>
      <c r="F1049">
        <v>249</v>
      </c>
      <c r="I1049">
        <v>181.09</v>
      </c>
      <c r="O1049">
        <v>186.75</v>
      </c>
      <c r="T1049" t="s">
        <v>97</v>
      </c>
      <c r="AA1049" t="s">
        <v>97</v>
      </c>
    </row>
    <row r="1050" spans="1:27" x14ac:dyDescent="0.2">
      <c r="A1050" t="s">
        <v>92</v>
      </c>
      <c r="B1050" t="s">
        <v>1980</v>
      </c>
      <c r="C1050" t="s">
        <v>8875</v>
      </c>
      <c r="D1050" t="s">
        <v>8876</v>
      </c>
      <c r="E1050" t="s">
        <v>228</v>
      </c>
      <c r="F1050">
        <v>9.9</v>
      </c>
      <c r="L1050">
        <v>5.4</v>
      </c>
      <c r="M1050">
        <v>6.39</v>
      </c>
      <c r="O1050">
        <v>7.4249999999999998</v>
      </c>
      <c r="T1050" t="s">
        <v>97</v>
      </c>
      <c r="AA1050" t="s">
        <v>97</v>
      </c>
    </row>
    <row r="1051" spans="1:27" x14ac:dyDescent="0.2">
      <c r="A1051" t="s">
        <v>92</v>
      </c>
      <c r="B1051" t="s">
        <v>1980</v>
      </c>
      <c r="C1051" t="s">
        <v>2015</v>
      </c>
      <c r="D1051" t="s">
        <v>2016</v>
      </c>
      <c r="E1051" t="s">
        <v>228</v>
      </c>
      <c r="F1051">
        <v>29</v>
      </c>
      <c r="L1051">
        <v>15.82</v>
      </c>
      <c r="M1051">
        <v>18.72</v>
      </c>
      <c r="R1051">
        <v>17.14</v>
      </c>
      <c r="T1051" t="s">
        <v>97</v>
      </c>
      <c r="AA1051" t="s">
        <v>97</v>
      </c>
    </row>
    <row r="1052" spans="1:27" x14ac:dyDescent="0.2">
      <c r="A1052" t="s">
        <v>92</v>
      </c>
      <c r="B1052" t="s">
        <v>1980</v>
      </c>
      <c r="C1052" t="s">
        <v>2017</v>
      </c>
      <c r="D1052" t="s">
        <v>2018</v>
      </c>
      <c r="E1052" t="s">
        <v>228</v>
      </c>
      <c r="F1052">
        <v>399</v>
      </c>
      <c r="H1052">
        <v>235.77</v>
      </c>
      <c r="I1052">
        <v>290.18</v>
      </c>
      <c r="O1052">
        <v>299.25</v>
      </c>
      <c r="T1052" t="s">
        <v>97</v>
      </c>
      <c r="AA1052" t="s">
        <v>97</v>
      </c>
    </row>
    <row r="1053" spans="1:27" x14ac:dyDescent="0.2">
      <c r="A1053" t="s">
        <v>92</v>
      </c>
      <c r="B1053" t="s">
        <v>1980</v>
      </c>
      <c r="C1053" t="s">
        <v>8635</v>
      </c>
      <c r="D1053" t="s">
        <v>8636</v>
      </c>
      <c r="E1053" t="s">
        <v>228</v>
      </c>
      <c r="F1053">
        <v>399</v>
      </c>
      <c r="T1053" t="s">
        <v>97</v>
      </c>
      <c r="AA1053" t="s">
        <v>97</v>
      </c>
    </row>
    <row r="1054" spans="1:27" x14ac:dyDescent="0.2">
      <c r="A1054" t="s">
        <v>92</v>
      </c>
      <c r="B1054" t="s">
        <v>1980</v>
      </c>
      <c r="C1054" t="s">
        <v>8390</v>
      </c>
      <c r="D1054" t="s">
        <v>8391</v>
      </c>
      <c r="E1054" t="s">
        <v>228</v>
      </c>
      <c r="F1054">
        <v>499</v>
      </c>
      <c r="I1054">
        <v>362.91</v>
      </c>
      <c r="O1054">
        <v>374.25</v>
      </c>
      <c r="T1054" t="s">
        <v>97</v>
      </c>
      <c r="AA1054" t="s">
        <v>97</v>
      </c>
    </row>
    <row r="1055" spans="1:27" x14ac:dyDescent="0.2">
      <c r="A1055" t="s">
        <v>92</v>
      </c>
      <c r="B1055" t="s">
        <v>1980</v>
      </c>
      <c r="C1055" t="s">
        <v>8392</v>
      </c>
      <c r="D1055" t="s">
        <v>8393</v>
      </c>
      <c r="E1055" t="s">
        <v>228</v>
      </c>
      <c r="F1055">
        <v>749</v>
      </c>
      <c r="O1055">
        <v>561.75</v>
      </c>
      <c r="T1055" t="s">
        <v>97</v>
      </c>
      <c r="AA1055" t="s">
        <v>97</v>
      </c>
    </row>
    <row r="1056" spans="1:27" x14ac:dyDescent="0.2">
      <c r="A1056" t="s">
        <v>92</v>
      </c>
      <c r="B1056" t="s">
        <v>1980</v>
      </c>
      <c r="C1056" t="s">
        <v>8394</v>
      </c>
      <c r="D1056" t="s">
        <v>8395</v>
      </c>
      <c r="E1056" t="s">
        <v>228</v>
      </c>
      <c r="F1056">
        <v>599</v>
      </c>
      <c r="O1056">
        <v>449.25</v>
      </c>
      <c r="T1056" t="s">
        <v>97</v>
      </c>
      <c r="AA1056" t="s">
        <v>97</v>
      </c>
    </row>
    <row r="1057" spans="1:27" x14ac:dyDescent="0.2">
      <c r="A1057" t="s">
        <v>92</v>
      </c>
      <c r="B1057" t="s">
        <v>1980</v>
      </c>
      <c r="C1057" t="s">
        <v>2019</v>
      </c>
      <c r="D1057" t="s">
        <v>2020</v>
      </c>
      <c r="E1057" t="s">
        <v>228</v>
      </c>
      <c r="F1057">
        <v>699</v>
      </c>
      <c r="H1057">
        <v>413.05</v>
      </c>
      <c r="I1057">
        <v>508.36</v>
      </c>
      <c r="O1057">
        <v>524.25</v>
      </c>
      <c r="T1057" t="s">
        <v>97</v>
      </c>
      <c r="AA1057" t="s">
        <v>97</v>
      </c>
    </row>
    <row r="1058" spans="1:27" x14ac:dyDescent="0.2">
      <c r="A1058" t="s">
        <v>92</v>
      </c>
      <c r="B1058" t="s">
        <v>1980</v>
      </c>
      <c r="C1058" t="s">
        <v>2021</v>
      </c>
      <c r="D1058" t="s">
        <v>2022</v>
      </c>
      <c r="E1058" t="s">
        <v>228</v>
      </c>
      <c r="F1058">
        <v>799</v>
      </c>
      <c r="H1058">
        <v>472.14</v>
      </c>
      <c r="O1058">
        <v>599.25</v>
      </c>
      <c r="T1058" t="s">
        <v>97</v>
      </c>
      <c r="AA1058" t="s">
        <v>97</v>
      </c>
    </row>
    <row r="1059" spans="1:27" x14ac:dyDescent="0.2">
      <c r="A1059" t="s">
        <v>92</v>
      </c>
      <c r="B1059" t="s">
        <v>1980</v>
      </c>
      <c r="C1059" t="s">
        <v>2023</v>
      </c>
      <c r="D1059" t="s">
        <v>2024</v>
      </c>
      <c r="E1059" t="s">
        <v>228</v>
      </c>
      <c r="F1059">
        <v>999</v>
      </c>
      <c r="I1059">
        <v>726.55</v>
      </c>
      <c r="M1059">
        <v>735.63</v>
      </c>
      <c r="T1059" t="s">
        <v>97</v>
      </c>
      <c r="AA1059" t="s">
        <v>97</v>
      </c>
    </row>
    <row r="1060" spans="1:27" x14ac:dyDescent="0.2">
      <c r="A1060" t="s">
        <v>92</v>
      </c>
      <c r="B1060" t="s">
        <v>1980</v>
      </c>
      <c r="C1060" t="s">
        <v>2025</v>
      </c>
      <c r="D1060" t="s">
        <v>2026</v>
      </c>
      <c r="E1060" t="s">
        <v>228</v>
      </c>
      <c r="F1060">
        <v>999</v>
      </c>
      <c r="M1060">
        <v>699.3</v>
      </c>
      <c r="T1060" t="s">
        <v>97</v>
      </c>
      <c r="AA1060" t="s">
        <v>97</v>
      </c>
    </row>
    <row r="1061" spans="1:27" x14ac:dyDescent="0.2">
      <c r="A1061" t="s">
        <v>92</v>
      </c>
      <c r="B1061" t="s">
        <v>1980</v>
      </c>
      <c r="C1061" t="s">
        <v>8877</v>
      </c>
      <c r="D1061" t="s">
        <v>8878</v>
      </c>
      <c r="E1061" t="s">
        <v>228</v>
      </c>
      <c r="F1061">
        <v>39</v>
      </c>
      <c r="L1061">
        <v>21.27</v>
      </c>
      <c r="M1061">
        <v>25.17</v>
      </c>
      <c r="O1061">
        <v>29.25</v>
      </c>
      <c r="T1061" t="s">
        <v>97</v>
      </c>
      <c r="AA1061" t="s">
        <v>97</v>
      </c>
    </row>
    <row r="1062" spans="1:27" x14ac:dyDescent="0.2">
      <c r="A1062" t="s">
        <v>92</v>
      </c>
      <c r="B1062" t="s">
        <v>1980</v>
      </c>
      <c r="C1062" t="s">
        <v>2027</v>
      </c>
      <c r="D1062" t="s">
        <v>8879</v>
      </c>
      <c r="E1062" t="s">
        <v>228</v>
      </c>
      <c r="F1062">
        <v>39</v>
      </c>
      <c r="L1062">
        <v>21.27</v>
      </c>
      <c r="M1062">
        <v>25.17</v>
      </c>
      <c r="R1062">
        <v>23.05</v>
      </c>
      <c r="T1062" t="s">
        <v>97</v>
      </c>
      <c r="AA1062" t="s">
        <v>97</v>
      </c>
    </row>
    <row r="1063" spans="1:27" x14ac:dyDescent="0.2">
      <c r="A1063" t="s">
        <v>92</v>
      </c>
      <c r="B1063" t="s">
        <v>1980</v>
      </c>
      <c r="C1063" t="s">
        <v>2028</v>
      </c>
      <c r="D1063" t="s">
        <v>8880</v>
      </c>
      <c r="E1063" t="s">
        <v>228</v>
      </c>
      <c r="F1063">
        <v>109</v>
      </c>
      <c r="H1063">
        <v>64.41</v>
      </c>
      <c r="L1063">
        <v>59.45</v>
      </c>
      <c r="M1063">
        <v>70.349999999999994</v>
      </c>
      <c r="O1063">
        <v>81.75</v>
      </c>
      <c r="R1063">
        <v>64.41</v>
      </c>
      <c r="T1063" t="s">
        <v>97</v>
      </c>
      <c r="AA1063" t="s">
        <v>97</v>
      </c>
    </row>
    <row r="1064" spans="1:27" x14ac:dyDescent="0.2">
      <c r="A1064" t="s">
        <v>92</v>
      </c>
      <c r="B1064" t="s">
        <v>1980</v>
      </c>
      <c r="C1064" t="s">
        <v>2029</v>
      </c>
      <c r="D1064" t="s">
        <v>2030</v>
      </c>
      <c r="E1064" t="s">
        <v>228</v>
      </c>
      <c r="F1064">
        <v>199</v>
      </c>
      <c r="H1064">
        <v>126.64</v>
      </c>
      <c r="L1064">
        <v>108.55</v>
      </c>
      <c r="M1064">
        <v>128.44999999999999</v>
      </c>
      <c r="T1064" t="s">
        <v>97</v>
      </c>
      <c r="AA1064" t="s">
        <v>97</v>
      </c>
    </row>
    <row r="1065" spans="1:27" x14ac:dyDescent="0.2">
      <c r="A1065" t="s">
        <v>92</v>
      </c>
      <c r="B1065" t="s">
        <v>1980</v>
      </c>
      <c r="C1065" t="s">
        <v>2031</v>
      </c>
      <c r="D1065" t="s">
        <v>8881</v>
      </c>
      <c r="E1065" t="s">
        <v>228</v>
      </c>
      <c r="F1065">
        <v>109</v>
      </c>
      <c r="H1065">
        <v>69.36</v>
      </c>
      <c r="L1065">
        <v>59.45</v>
      </c>
      <c r="M1065">
        <v>70.349999999999994</v>
      </c>
      <c r="R1065">
        <v>64.41</v>
      </c>
      <c r="T1065" t="s">
        <v>97</v>
      </c>
      <c r="AA1065" t="s">
        <v>97</v>
      </c>
    </row>
    <row r="1066" spans="1:27" x14ac:dyDescent="0.2">
      <c r="A1066" t="s">
        <v>92</v>
      </c>
      <c r="B1066" t="s">
        <v>1980</v>
      </c>
      <c r="C1066" t="s">
        <v>2032</v>
      </c>
      <c r="D1066" t="s">
        <v>2033</v>
      </c>
      <c r="E1066" t="s">
        <v>228</v>
      </c>
      <c r="F1066">
        <v>49</v>
      </c>
      <c r="H1066">
        <v>31.18</v>
      </c>
      <c r="L1066">
        <v>26.73</v>
      </c>
      <c r="M1066">
        <v>31.63</v>
      </c>
      <c r="T1066" t="s">
        <v>97</v>
      </c>
      <c r="AA1066" t="s">
        <v>97</v>
      </c>
    </row>
    <row r="1067" spans="1:27" x14ac:dyDescent="0.2">
      <c r="A1067" t="s">
        <v>92</v>
      </c>
      <c r="B1067" t="s">
        <v>1980</v>
      </c>
      <c r="C1067" t="s">
        <v>2034</v>
      </c>
      <c r="D1067" t="s">
        <v>2035</v>
      </c>
      <c r="E1067" t="s">
        <v>228</v>
      </c>
      <c r="F1067">
        <v>99</v>
      </c>
      <c r="H1067">
        <v>63</v>
      </c>
      <c r="L1067">
        <v>54</v>
      </c>
      <c r="M1067">
        <v>63.9</v>
      </c>
      <c r="T1067" t="s">
        <v>97</v>
      </c>
      <c r="AA1067" t="s">
        <v>97</v>
      </c>
    </row>
    <row r="1068" spans="1:27" x14ac:dyDescent="0.2">
      <c r="A1068" t="s">
        <v>92</v>
      </c>
      <c r="B1068" t="s">
        <v>1980</v>
      </c>
      <c r="C1068" t="s">
        <v>2036</v>
      </c>
      <c r="D1068" t="s">
        <v>2037</v>
      </c>
      <c r="E1068" t="s">
        <v>228</v>
      </c>
      <c r="F1068">
        <v>699</v>
      </c>
      <c r="I1068">
        <v>508.36</v>
      </c>
      <c r="M1068">
        <v>514.72</v>
      </c>
      <c r="T1068" t="s">
        <v>97</v>
      </c>
      <c r="AA1068" t="s">
        <v>97</v>
      </c>
    </row>
    <row r="1069" spans="1:27" x14ac:dyDescent="0.2">
      <c r="A1069" t="s">
        <v>92</v>
      </c>
      <c r="B1069" t="s">
        <v>1980</v>
      </c>
      <c r="C1069" t="s">
        <v>2038</v>
      </c>
      <c r="D1069" t="s">
        <v>2039</v>
      </c>
      <c r="E1069" t="s">
        <v>228</v>
      </c>
      <c r="F1069">
        <v>699</v>
      </c>
      <c r="I1069">
        <v>508.36</v>
      </c>
      <c r="M1069">
        <v>514.72</v>
      </c>
      <c r="O1069">
        <v>524.25</v>
      </c>
      <c r="T1069" t="s">
        <v>97</v>
      </c>
      <c r="AA1069" t="s">
        <v>97</v>
      </c>
    </row>
    <row r="1070" spans="1:27" x14ac:dyDescent="0.2">
      <c r="A1070" t="s">
        <v>92</v>
      </c>
      <c r="B1070" t="s">
        <v>1980</v>
      </c>
      <c r="C1070" t="s">
        <v>2040</v>
      </c>
      <c r="D1070" t="s">
        <v>2041</v>
      </c>
      <c r="E1070" t="s">
        <v>228</v>
      </c>
      <c r="F1070">
        <v>2999</v>
      </c>
      <c r="I1070">
        <v>2181.09</v>
      </c>
      <c r="L1070">
        <v>1799.4</v>
      </c>
      <c r="M1070">
        <v>2208.35</v>
      </c>
      <c r="T1070" t="s">
        <v>97</v>
      </c>
      <c r="AA1070" t="s">
        <v>97</v>
      </c>
    </row>
    <row r="1071" spans="1:27" x14ac:dyDescent="0.2">
      <c r="A1071" t="s">
        <v>92</v>
      </c>
      <c r="B1071" t="s">
        <v>1980</v>
      </c>
      <c r="C1071" t="s">
        <v>8882</v>
      </c>
      <c r="D1071" t="s">
        <v>8883</v>
      </c>
      <c r="E1071" t="s">
        <v>228</v>
      </c>
      <c r="F1071">
        <v>29</v>
      </c>
      <c r="L1071">
        <v>15.82</v>
      </c>
      <c r="M1071">
        <v>18.72</v>
      </c>
      <c r="O1071">
        <v>21.75</v>
      </c>
      <c r="T1071" t="s">
        <v>97</v>
      </c>
      <c r="AA1071" t="s">
        <v>97</v>
      </c>
    </row>
    <row r="1072" spans="1:27" x14ac:dyDescent="0.2">
      <c r="A1072" t="s">
        <v>92</v>
      </c>
      <c r="B1072" t="s">
        <v>1980</v>
      </c>
      <c r="C1072" t="s">
        <v>2042</v>
      </c>
      <c r="D1072" t="s">
        <v>8884</v>
      </c>
      <c r="E1072" t="s">
        <v>228</v>
      </c>
      <c r="F1072">
        <v>29</v>
      </c>
      <c r="H1072">
        <v>17.14</v>
      </c>
      <c r="L1072">
        <v>15.82</v>
      </c>
      <c r="M1072">
        <v>18.72</v>
      </c>
      <c r="O1072">
        <v>21.75</v>
      </c>
      <c r="R1072">
        <v>17.14</v>
      </c>
      <c r="T1072" t="s">
        <v>97</v>
      </c>
      <c r="AA1072" t="s">
        <v>97</v>
      </c>
    </row>
    <row r="1073" spans="1:27" x14ac:dyDescent="0.2">
      <c r="A1073" t="s">
        <v>92</v>
      </c>
      <c r="B1073" t="s">
        <v>1980</v>
      </c>
      <c r="C1073" t="s">
        <v>2043</v>
      </c>
      <c r="D1073" t="s">
        <v>8885</v>
      </c>
      <c r="E1073" t="s">
        <v>228</v>
      </c>
      <c r="F1073">
        <v>39</v>
      </c>
      <c r="H1073">
        <v>23.05</v>
      </c>
      <c r="L1073">
        <v>21.27</v>
      </c>
      <c r="M1073">
        <v>25.17</v>
      </c>
      <c r="O1073">
        <v>29.25</v>
      </c>
      <c r="R1073">
        <v>23.05</v>
      </c>
      <c r="T1073" t="s">
        <v>97</v>
      </c>
      <c r="AA1073" t="s">
        <v>97</v>
      </c>
    </row>
    <row r="1074" spans="1:27" x14ac:dyDescent="0.2">
      <c r="A1074" t="s">
        <v>92</v>
      </c>
      <c r="B1074" t="s">
        <v>1980</v>
      </c>
      <c r="C1074" t="s">
        <v>2044</v>
      </c>
      <c r="D1074" t="s">
        <v>2045</v>
      </c>
      <c r="E1074" t="s">
        <v>228</v>
      </c>
      <c r="F1074">
        <v>29</v>
      </c>
      <c r="H1074">
        <v>18.45</v>
      </c>
      <c r="L1074">
        <v>15.82</v>
      </c>
      <c r="M1074">
        <v>18.72</v>
      </c>
      <c r="T1074" t="s">
        <v>97</v>
      </c>
      <c r="AA1074" t="s">
        <v>97</v>
      </c>
    </row>
    <row r="1075" spans="1:27" x14ac:dyDescent="0.2">
      <c r="A1075" t="s">
        <v>92</v>
      </c>
      <c r="B1075" t="s">
        <v>1980</v>
      </c>
      <c r="C1075" t="s">
        <v>2048</v>
      </c>
      <c r="D1075" t="s">
        <v>8886</v>
      </c>
      <c r="E1075" t="s">
        <v>228</v>
      </c>
      <c r="F1075">
        <v>29</v>
      </c>
      <c r="H1075">
        <v>17.14</v>
      </c>
      <c r="L1075">
        <v>15.82</v>
      </c>
      <c r="M1075">
        <v>18.72</v>
      </c>
      <c r="O1075">
        <v>21.75</v>
      </c>
      <c r="R1075">
        <v>17.14</v>
      </c>
      <c r="T1075" t="s">
        <v>97</v>
      </c>
      <c r="AA1075" t="s">
        <v>97</v>
      </c>
    </row>
    <row r="1076" spans="1:27" x14ac:dyDescent="0.2">
      <c r="A1076" t="s">
        <v>92</v>
      </c>
      <c r="B1076" t="s">
        <v>1980</v>
      </c>
      <c r="C1076" t="s">
        <v>2046</v>
      </c>
      <c r="D1076" t="s">
        <v>2047</v>
      </c>
      <c r="E1076" t="s">
        <v>228</v>
      </c>
      <c r="F1076">
        <v>29</v>
      </c>
      <c r="L1076">
        <v>15.82</v>
      </c>
      <c r="M1076">
        <v>18.72</v>
      </c>
      <c r="R1076">
        <v>17.14</v>
      </c>
      <c r="T1076" t="s">
        <v>97</v>
      </c>
      <c r="AA1076" t="s">
        <v>97</v>
      </c>
    </row>
    <row r="1077" spans="1:27" x14ac:dyDescent="0.2">
      <c r="A1077" t="s">
        <v>92</v>
      </c>
      <c r="B1077" t="s">
        <v>1980</v>
      </c>
      <c r="C1077" t="s">
        <v>8887</v>
      </c>
      <c r="D1077" t="s">
        <v>8888</v>
      </c>
      <c r="E1077" t="s">
        <v>228</v>
      </c>
      <c r="F1077">
        <v>39</v>
      </c>
      <c r="H1077">
        <v>23.05</v>
      </c>
      <c r="L1077">
        <v>21.27</v>
      </c>
      <c r="M1077">
        <v>25.17</v>
      </c>
      <c r="O1077">
        <v>29.25</v>
      </c>
      <c r="R1077">
        <v>23.05</v>
      </c>
      <c r="T1077" t="s">
        <v>97</v>
      </c>
      <c r="AA1077" t="s">
        <v>97</v>
      </c>
    </row>
    <row r="1078" spans="1:27" x14ac:dyDescent="0.2">
      <c r="A1078" t="s">
        <v>92</v>
      </c>
      <c r="B1078" t="s">
        <v>1980</v>
      </c>
      <c r="C1078" t="s">
        <v>8889</v>
      </c>
      <c r="D1078" t="s">
        <v>8890</v>
      </c>
      <c r="E1078" t="s">
        <v>228</v>
      </c>
      <c r="F1078">
        <v>549</v>
      </c>
      <c r="L1078">
        <v>329.4</v>
      </c>
      <c r="M1078">
        <v>404.26</v>
      </c>
      <c r="O1078">
        <v>411.75</v>
      </c>
      <c r="T1078" t="s">
        <v>97</v>
      </c>
      <c r="AA1078" t="s">
        <v>97</v>
      </c>
    </row>
    <row r="1079" spans="1:27" x14ac:dyDescent="0.2">
      <c r="A1079" t="s">
        <v>92</v>
      </c>
      <c r="B1079" t="s">
        <v>1980</v>
      </c>
      <c r="C1079" t="s">
        <v>2049</v>
      </c>
      <c r="D1079" t="s">
        <v>2050</v>
      </c>
      <c r="E1079" t="s">
        <v>228</v>
      </c>
      <c r="F1079">
        <v>2199</v>
      </c>
      <c r="I1079">
        <v>1599.27</v>
      </c>
      <c r="L1079">
        <v>1319.4</v>
      </c>
      <c r="M1079">
        <v>1749.3</v>
      </c>
      <c r="O1079">
        <v>1649.25</v>
      </c>
      <c r="R1079">
        <v>1612.99</v>
      </c>
      <c r="T1079" t="s">
        <v>97</v>
      </c>
      <c r="AA1079" t="s">
        <v>97</v>
      </c>
    </row>
    <row r="1080" spans="1:27" x14ac:dyDescent="0.2">
      <c r="A1080" t="s">
        <v>92</v>
      </c>
      <c r="B1080" t="s">
        <v>1980</v>
      </c>
      <c r="C1080" t="s">
        <v>2051</v>
      </c>
      <c r="D1080" t="s">
        <v>2052</v>
      </c>
      <c r="E1080" t="s">
        <v>228</v>
      </c>
      <c r="F1080">
        <v>1799</v>
      </c>
      <c r="H1080">
        <v>1063.05</v>
      </c>
      <c r="L1080">
        <v>1199.4000000000001</v>
      </c>
      <c r="M1080">
        <v>809.26</v>
      </c>
      <c r="O1080">
        <v>1349.25</v>
      </c>
      <c r="R1080">
        <v>1290.26</v>
      </c>
      <c r="T1080" t="s">
        <v>97</v>
      </c>
      <c r="AA1080" t="s">
        <v>97</v>
      </c>
    </row>
    <row r="1081" spans="1:27" x14ac:dyDescent="0.2">
      <c r="A1081" t="s">
        <v>92</v>
      </c>
      <c r="B1081" t="s">
        <v>1980</v>
      </c>
      <c r="C1081" t="s">
        <v>8396</v>
      </c>
      <c r="D1081" t="s">
        <v>8397</v>
      </c>
      <c r="E1081" t="s">
        <v>228</v>
      </c>
      <c r="F1081">
        <v>1799</v>
      </c>
      <c r="L1081">
        <v>1079.4000000000001</v>
      </c>
      <c r="M1081">
        <v>1324.72</v>
      </c>
      <c r="T1081" t="s">
        <v>97</v>
      </c>
      <c r="AA1081" t="s">
        <v>97</v>
      </c>
    </row>
    <row r="1082" spans="1:27" x14ac:dyDescent="0.2">
      <c r="A1082" t="s">
        <v>92</v>
      </c>
      <c r="B1082" t="s">
        <v>1980</v>
      </c>
      <c r="C1082" t="s">
        <v>2053</v>
      </c>
      <c r="D1082" t="s">
        <v>8891</v>
      </c>
      <c r="E1082" t="s">
        <v>228</v>
      </c>
      <c r="F1082">
        <v>49</v>
      </c>
      <c r="H1082">
        <v>28.95</v>
      </c>
      <c r="L1082">
        <v>26.73</v>
      </c>
      <c r="M1082">
        <v>31.63</v>
      </c>
      <c r="O1082">
        <v>36.75</v>
      </c>
      <c r="R1082">
        <v>28.95</v>
      </c>
      <c r="T1082" t="s">
        <v>97</v>
      </c>
      <c r="AA1082" t="s">
        <v>97</v>
      </c>
    </row>
    <row r="1083" spans="1:27" x14ac:dyDescent="0.2">
      <c r="A1083" t="s">
        <v>92</v>
      </c>
      <c r="B1083" t="s">
        <v>1980</v>
      </c>
      <c r="C1083" t="s">
        <v>8398</v>
      </c>
      <c r="D1083" t="s">
        <v>8399</v>
      </c>
      <c r="E1083" t="s">
        <v>228</v>
      </c>
      <c r="F1083">
        <v>199</v>
      </c>
      <c r="I1083">
        <v>144.72999999999999</v>
      </c>
      <c r="O1083">
        <v>149.25</v>
      </c>
      <c r="T1083" t="s">
        <v>97</v>
      </c>
      <c r="AA1083" t="s">
        <v>97</v>
      </c>
    </row>
    <row r="1084" spans="1:27" x14ac:dyDescent="0.2">
      <c r="A1084" t="s">
        <v>92</v>
      </c>
      <c r="B1084" t="s">
        <v>1980</v>
      </c>
      <c r="C1084" t="s">
        <v>2054</v>
      </c>
      <c r="D1084" t="s">
        <v>2055</v>
      </c>
      <c r="E1084" t="s">
        <v>228</v>
      </c>
      <c r="F1084">
        <v>29</v>
      </c>
      <c r="L1084">
        <v>15.82</v>
      </c>
      <c r="M1084">
        <v>18.72</v>
      </c>
      <c r="R1084">
        <v>17.14</v>
      </c>
      <c r="T1084" t="s">
        <v>97</v>
      </c>
      <c r="AA1084" t="s">
        <v>97</v>
      </c>
    </row>
    <row r="1085" spans="1:27" x14ac:dyDescent="0.2">
      <c r="A1085" t="s">
        <v>92</v>
      </c>
      <c r="B1085" t="s">
        <v>1980</v>
      </c>
      <c r="C1085" t="s">
        <v>8892</v>
      </c>
      <c r="D1085" t="s">
        <v>8893</v>
      </c>
      <c r="E1085" t="s">
        <v>228</v>
      </c>
      <c r="F1085">
        <v>99</v>
      </c>
      <c r="M1085">
        <v>58.17</v>
      </c>
      <c r="O1085">
        <v>59.25</v>
      </c>
      <c r="T1085" t="s">
        <v>97</v>
      </c>
      <c r="AA1085" t="s">
        <v>97</v>
      </c>
    </row>
    <row r="1086" spans="1:27" x14ac:dyDescent="0.2">
      <c r="A1086" t="s">
        <v>92</v>
      </c>
      <c r="B1086" t="s">
        <v>1980</v>
      </c>
      <c r="C1086" t="s">
        <v>2056</v>
      </c>
      <c r="D1086" t="s">
        <v>2057</v>
      </c>
      <c r="E1086" t="s">
        <v>228</v>
      </c>
      <c r="F1086">
        <v>1999</v>
      </c>
      <c r="H1086">
        <v>1181.23</v>
      </c>
      <c r="I1086">
        <v>1453.82</v>
      </c>
      <c r="L1086">
        <v>1199.4000000000001</v>
      </c>
      <c r="M1086">
        <v>1471.99</v>
      </c>
      <c r="O1086">
        <v>1499.25</v>
      </c>
      <c r="T1086" t="s">
        <v>97</v>
      </c>
      <c r="AA1086" t="s">
        <v>97</v>
      </c>
    </row>
    <row r="1087" spans="1:27" x14ac:dyDescent="0.2">
      <c r="A1087" t="s">
        <v>92</v>
      </c>
      <c r="B1087" t="s">
        <v>1980</v>
      </c>
      <c r="C1087" t="s">
        <v>2058</v>
      </c>
      <c r="D1087" t="s">
        <v>2059</v>
      </c>
      <c r="E1087" t="s">
        <v>228</v>
      </c>
      <c r="F1087">
        <v>1799</v>
      </c>
      <c r="H1087">
        <v>1063.05</v>
      </c>
      <c r="I1087">
        <v>1308.3599999999999</v>
      </c>
      <c r="L1087">
        <v>1079.4000000000001</v>
      </c>
      <c r="M1087">
        <v>1324.72</v>
      </c>
      <c r="O1087">
        <v>1349.25</v>
      </c>
      <c r="T1087" t="s">
        <v>97</v>
      </c>
      <c r="AA1087" t="s">
        <v>97</v>
      </c>
    </row>
    <row r="1088" spans="1:27" x14ac:dyDescent="0.2">
      <c r="A1088" t="s">
        <v>92</v>
      </c>
      <c r="B1088" t="s">
        <v>1980</v>
      </c>
      <c r="C1088" t="s">
        <v>2060</v>
      </c>
      <c r="D1088" t="s">
        <v>2061</v>
      </c>
      <c r="E1088" t="s">
        <v>228</v>
      </c>
      <c r="F1088">
        <v>39</v>
      </c>
      <c r="H1088">
        <v>26.59</v>
      </c>
      <c r="I1088">
        <v>28.36</v>
      </c>
      <c r="J1088">
        <v>0</v>
      </c>
      <c r="L1088">
        <v>23.4</v>
      </c>
      <c r="M1088">
        <v>25.17</v>
      </c>
      <c r="O1088">
        <v>29.25</v>
      </c>
      <c r="T1088" t="s">
        <v>97</v>
      </c>
      <c r="AA1088" t="s">
        <v>97</v>
      </c>
    </row>
    <row r="1089" spans="1:27" x14ac:dyDescent="0.2">
      <c r="A1089" t="s">
        <v>92</v>
      </c>
      <c r="B1089" t="s">
        <v>1980</v>
      </c>
      <c r="C1089" t="s">
        <v>2062</v>
      </c>
      <c r="D1089" t="s">
        <v>2063</v>
      </c>
      <c r="E1089" t="s">
        <v>228</v>
      </c>
      <c r="F1089">
        <v>139</v>
      </c>
      <c r="I1089">
        <v>101.09</v>
      </c>
      <c r="L1089">
        <v>83.4</v>
      </c>
      <c r="M1089">
        <v>89.72</v>
      </c>
      <c r="O1089">
        <v>104.25</v>
      </c>
      <c r="T1089" t="s">
        <v>97</v>
      </c>
      <c r="AA1089" t="s">
        <v>97</v>
      </c>
    </row>
    <row r="1090" spans="1:27" x14ac:dyDescent="0.2">
      <c r="A1090" t="s">
        <v>92</v>
      </c>
      <c r="B1090" t="s">
        <v>1980</v>
      </c>
      <c r="C1090" t="s">
        <v>8894</v>
      </c>
      <c r="D1090" t="s">
        <v>8895</v>
      </c>
      <c r="E1090" t="s">
        <v>228</v>
      </c>
      <c r="F1090">
        <v>49.9</v>
      </c>
      <c r="L1090">
        <v>27.22</v>
      </c>
      <c r="M1090">
        <v>32.21</v>
      </c>
      <c r="O1090">
        <v>37.424999999999997</v>
      </c>
      <c r="T1090" t="s">
        <v>97</v>
      </c>
      <c r="AA1090" t="s">
        <v>97</v>
      </c>
    </row>
    <row r="1091" spans="1:27" x14ac:dyDescent="0.2">
      <c r="A1091" t="s">
        <v>92</v>
      </c>
      <c r="B1091" t="s">
        <v>1980</v>
      </c>
      <c r="C1091" t="s">
        <v>2064</v>
      </c>
      <c r="D1091" t="s">
        <v>2065</v>
      </c>
      <c r="E1091" t="s">
        <v>228</v>
      </c>
      <c r="F1091">
        <v>39</v>
      </c>
      <c r="H1091">
        <v>23.05</v>
      </c>
      <c r="L1091">
        <v>21.27</v>
      </c>
      <c r="M1091">
        <v>25.17</v>
      </c>
      <c r="O1091">
        <v>29.25</v>
      </c>
      <c r="R1091">
        <v>23.05</v>
      </c>
      <c r="T1091" t="s">
        <v>97</v>
      </c>
      <c r="AA1091" t="s">
        <v>97</v>
      </c>
    </row>
    <row r="1092" spans="1:27" x14ac:dyDescent="0.2">
      <c r="A1092" t="s">
        <v>92</v>
      </c>
      <c r="B1092" t="s">
        <v>1980</v>
      </c>
      <c r="C1092" t="s">
        <v>8365</v>
      </c>
      <c r="D1092" t="s">
        <v>8896</v>
      </c>
      <c r="E1092" t="s">
        <v>228</v>
      </c>
      <c r="F1092">
        <v>0</v>
      </c>
      <c r="H1092">
        <v>0</v>
      </c>
      <c r="L1092">
        <v>0</v>
      </c>
      <c r="M1092">
        <v>0</v>
      </c>
      <c r="T1092" t="s">
        <v>97</v>
      </c>
      <c r="AA1092" t="s">
        <v>97</v>
      </c>
    </row>
    <row r="1093" spans="1:27" x14ac:dyDescent="0.2">
      <c r="A1093" t="s">
        <v>92</v>
      </c>
      <c r="B1093" t="s">
        <v>1980</v>
      </c>
      <c r="C1093" t="s">
        <v>2066</v>
      </c>
      <c r="D1093" t="s">
        <v>8896</v>
      </c>
      <c r="E1093" t="s">
        <v>228</v>
      </c>
      <c r="F1093">
        <v>49</v>
      </c>
      <c r="H1093">
        <v>28.95</v>
      </c>
      <c r="L1093">
        <v>26.73</v>
      </c>
      <c r="M1093">
        <v>31.63</v>
      </c>
      <c r="R1093">
        <v>28.95</v>
      </c>
      <c r="T1093" t="s">
        <v>97</v>
      </c>
      <c r="AA1093" t="s">
        <v>97</v>
      </c>
    </row>
    <row r="1094" spans="1:27" x14ac:dyDescent="0.2">
      <c r="A1094" t="s">
        <v>92</v>
      </c>
      <c r="B1094" t="s">
        <v>1980</v>
      </c>
      <c r="C1094" t="s">
        <v>8897</v>
      </c>
      <c r="D1094" t="s">
        <v>8898</v>
      </c>
      <c r="E1094" t="s">
        <v>228</v>
      </c>
      <c r="F1094">
        <v>49</v>
      </c>
      <c r="L1094">
        <v>26.73</v>
      </c>
      <c r="M1094">
        <v>31.63</v>
      </c>
      <c r="O1094">
        <v>36.75</v>
      </c>
      <c r="R1094">
        <v>28.95</v>
      </c>
      <c r="T1094" t="s">
        <v>97</v>
      </c>
      <c r="AA1094" t="s">
        <v>97</v>
      </c>
    </row>
    <row r="1095" spans="1:27" x14ac:dyDescent="0.2">
      <c r="A1095" t="s">
        <v>92</v>
      </c>
      <c r="B1095" t="s">
        <v>1980</v>
      </c>
      <c r="C1095" t="s">
        <v>8400</v>
      </c>
      <c r="D1095" t="s">
        <v>8401</v>
      </c>
      <c r="E1095" t="s">
        <v>228</v>
      </c>
      <c r="F1095">
        <v>2299</v>
      </c>
      <c r="L1095">
        <v>1379.4</v>
      </c>
      <c r="M1095">
        <v>1692.9</v>
      </c>
      <c r="R1095">
        <v>1483.9</v>
      </c>
      <c r="T1095" t="s">
        <v>97</v>
      </c>
      <c r="AA1095" t="s">
        <v>97</v>
      </c>
    </row>
    <row r="1096" spans="1:27" x14ac:dyDescent="0.2">
      <c r="A1096" t="s">
        <v>92</v>
      </c>
      <c r="B1096" t="s">
        <v>1980</v>
      </c>
      <c r="C1096" t="s">
        <v>8402</v>
      </c>
      <c r="D1096" t="s">
        <v>8403</v>
      </c>
      <c r="E1096" t="s">
        <v>228</v>
      </c>
      <c r="F1096">
        <v>1999</v>
      </c>
      <c r="M1096">
        <v>1103.81</v>
      </c>
      <c r="T1096" t="s">
        <v>97</v>
      </c>
      <c r="AA1096" t="s">
        <v>97</v>
      </c>
    </row>
    <row r="1097" spans="1:27" x14ac:dyDescent="0.2">
      <c r="A1097" t="s">
        <v>92</v>
      </c>
      <c r="B1097" t="s">
        <v>1980</v>
      </c>
      <c r="C1097" t="s">
        <v>8404</v>
      </c>
      <c r="D1097" t="s">
        <v>8405</v>
      </c>
      <c r="E1097" t="s">
        <v>228</v>
      </c>
      <c r="F1097">
        <v>2499</v>
      </c>
      <c r="H1097">
        <v>1476.68</v>
      </c>
      <c r="L1097">
        <v>1499.4</v>
      </c>
      <c r="M1097">
        <v>1840.17</v>
      </c>
      <c r="T1097" t="s">
        <v>97</v>
      </c>
      <c r="AA1097" t="s">
        <v>97</v>
      </c>
    </row>
    <row r="1098" spans="1:27" x14ac:dyDescent="0.2">
      <c r="A1098" t="s">
        <v>92</v>
      </c>
      <c r="B1098" t="s">
        <v>1980</v>
      </c>
      <c r="C1098" t="s">
        <v>8406</v>
      </c>
      <c r="D1098" t="s">
        <v>8407</v>
      </c>
      <c r="E1098" t="s">
        <v>228</v>
      </c>
      <c r="F1098">
        <v>29</v>
      </c>
      <c r="T1098" t="s">
        <v>97</v>
      </c>
      <c r="AA1098" t="s">
        <v>97</v>
      </c>
    </row>
    <row r="1099" spans="1:27" x14ac:dyDescent="0.2">
      <c r="A1099" t="s">
        <v>92</v>
      </c>
      <c r="B1099" t="s">
        <v>1980</v>
      </c>
      <c r="C1099" t="s">
        <v>2067</v>
      </c>
      <c r="D1099" t="s">
        <v>2068</v>
      </c>
      <c r="E1099" t="s">
        <v>228</v>
      </c>
      <c r="F1099">
        <v>299</v>
      </c>
      <c r="H1099">
        <v>176.68</v>
      </c>
      <c r="L1099">
        <v>192.99</v>
      </c>
      <c r="O1099">
        <v>224.25</v>
      </c>
      <c r="T1099" t="s">
        <v>97</v>
      </c>
      <c r="AA1099" t="s">
        <v>97</v>
      </c>
    </row>
    <row r="1100" spans="1:27" x14ac:dyDescent="0.2">
      <c r="A1100" t="s">
        <v>92</v>
      </c>
      <c r="B1100" t="s">
        <v>1980</v>
      </c>
      <c r="C1100" t="s">
        <v>2069</v>
      </c>
      <c r="D1100" t="s">
        <v>2070</v>
      </c>
      <c r="E1100" t="s">
        <v>228</v>
      </c>
      <c r="F1100">
        <v>299</v>
      </c>
      <c r="H1100">
        <v>176.68</v>
      </c>
      <c r="O1100">
        <v>224.25</v>
      </c>
      <c r="T1100" t="s">
        <v>97</v>
      </c>
      <c r="AA1100" t="s">
        <v>97</v>
      </c>
    </row>
    <row r="1101" spans="1:27" x14ac:dyDescent="0.2">
      <c r="A1101" t="s">
        <v>92</v>
      </c>
      <c r="B1101" t="s">
        <v>1980</v>
      </c>
      <c r="C1101" t="s">
        <v>2071</v>
      </c>
      <c r="D1101" t="s">
        <v>2072</v>
      </c>
      <c r="E1101" t="s">
        <v>228</v>
      </c>
      <c r="F1101">
        <v>399</v>
      </c>
      <c r="M1101">
        <v>293.81</v>
      </c>
      <c r="O1101">
        <v>299.25</v>
      </c>
      <c r="T1101" t="s">
        <v>97</v>
      </c>
      <c r="AA1101" t="s">
        <v>97</v>
      </c>
    </row>
    <row r="1102" spans="1:27" x14ac:dyDescent="0.2">
      <c r="A1102" t="s">
        <v>92</v>
      </c>
      <c r="B1102" t="s">
        <v>1980</v>
      </c>
      <c r="C1102" t="s">
        <v>8899</v>
      </c>
      <c r="D1102" t="s">
        <v>8900</v>
      </c>
      <c r="E1102" t="s">
        <v>228</v>
      </c>
      <c r="F1102">
        <v>29</v>
      </c>
      <c r="L1102">
        <v>15.82</v>
      </c>
      <c r="M1102">
        <v>18.72</v>
      </c>
      <c r="O1102">
        <v>21.75</v>
      </c>
      <c r="T1102" t="s">
        <v>97</v>
      </c>
      <c r="AA1102" t="s">
        <v>97</v>
      </c>
    </row>
    <row r="1103" spans="1:27" x14ac:dyDescent="0.2">
      <c r="A1103" t="s">
        <v>92</v>
      </c>
      <c r="B1103" t="s">
        <v>1980</v>
      </c>
      <c r="C1103" t="s">
        <v>8901</v>
      </c>
      <c r="D1103" t="s">
        <v>8902</v>
      </c>
      <c r="E1103" t="s">
        <v>228</v>
      </c>
      <c r="F1103">
        <v>29</v>
      </c>
      <c r="L1103">
        <v>15.82</v>
      </c>
      <c r="M1103">
        <v>18.72</v>
      </c>
      <c r="O1103">
        <v>21.75</v>
      </c>
      <c r="R1103">
        <v>17.14</v>
      </c>
      <c r="T1103" t="s">
        <v>97</v>
      </c>
      <c r="AA1103" t="s">
        <v>97</v>
      </c>
    </row>
    <row r="1104" spans="1:27" x14ac:dyDescent="0.2">
      <c r="A1104" t="s">
        <v>92</v>
      </c>
      <c r="B1104" t="s">
        <v>1980</v>
      </c>
      <c r="C1104" t="s">
        <v>2073</v>
      </c>
      <c r="D1104" t="s">
        <v>8903</v>
      </c>
      <c r="E1104" t="s">
        <v>228</v>
      </c>
      <c r="F1104">
        <v>29</v>
      </c>
      <c r="H1104">
        <v>17.14</v>
      </c>
      <c r="L1104">
        <v>15.82</v>
      </c>
      <c r="M1104">
        <v>18.72</v>
      </c>
      <c r="O1104">
        <v>21.75</v>
      </c>
      <c r="R1104">
        <v>17.14</v>
      </c>
      <c r="T1104" t="s">
        <v>97</v>
      </c>
      <c r="AA1104" t="s">
        <v>97</v>
      </c>
    </row>
    <row r="1105" spans="1:27" x14ac:dyDescent="0.2">
      <c r="A1105" t="s">
        <v>92</v>
      </c>
      <c r="B1105" t="s">
        <v>1980</v>
      </c>
      <c r="C1105" t="s">
        <v>2074</v>
      </c>
      <c r="D1105" t="s">
        <v>2075</v>
      </c>
      <c r="E1105" t="s">
        <v>228</v>
      </c>
      <c r="F1105">
        <v>39</v>
      </c>
      <c r="H1105">
        <v>24.82</v>
      </c>
      <c r="L1105">
        <v>21.27</v>
      </c>
      <c r="M1105">
        <v>25.17</v>
      </c>
      <c r="T1105" t="s">
        <v>97</v>
      </c>
      <c r="AA1105" t="s">
        <v>97</v>
      </c>
    </row>
    <row r="1106" spans="1:27" x14ac:dyDescent="0.2">
      <c r="A1106" t="s">
        <v>92</v>
      </c>
      <c r="B1106" t="s">
        <v>1980</v>
      </c>
      <c r="C1106" t="s">
        <v>8904</v>
      </c>
      <c r="D1106" t="s">
        <v>8905</v>
      </c>
      <c r="E1106" t="s">
        <v>228</v>
      </c>
      <c r="F1106">
        <v>999</v>
      </c>
      <c r="M1106">
        <v>735.63</v>
      </c>
      <c r="T1106" t="s">
        <v>97</v>
      </c>
      <c r="AA1106" t="s">
        <v>97</v>
      </c>
    </row>
    <row r="1107" spans="1:27" x14ac:dyDescent="0.2">
      <c r="A1107" t="s">
        <v>92</v>
      </c>
      <c r="B1107" t="s">
        <v>1980</v>
      </c>
      <c r="C1107" t="s">
        <v>2076</v>
      </c>
      <c r="D1107" t="s">
        <v>2077</v>
      </c>
      <c r="E1107" t="s">
        <v>228</v>
      </c>
      <c r="F1107">
        <v>39</v>
      </c>
      <c r="L1107">
        <v>21.27</v>
      </c>
      <c r="M1107">
        <v>18.72</v>
      </c>
      <c r="R1107">
        <v>23.05</v>
      </c>
      <c r="T1107" t="s">
        <v>97</v>
      </c>
      <c r="AA1107" t="s">
        <v>97</v>
      </c>
    </row>
    <row r="1108" spans="1:27" x14ac:dyDescent="0.2">
      <c r="A1108" t="s">
        <v>92</v>
      </c>
      <c r="B1108" t="s">
        <v>1980</v>
      </c>
      <c r="C1108" t="s">
        <v>8906</v>
      </c>
      <c r="D1108" t="s">
        <v>8907</v>
      </c>
      <c r="E1108" t="s">
        <v>228</v>
      </c>
      <c r="F1108">
        <v>59.9</v>
      </c>
      <c r="L1108">
        <v>32.67</v>
      </c>
      <c r="M1108">
        <v>38.659999999999997</v>
      </c>
      <c r="O1108">
        <v>44.924999999999997</v>
      </c>
      <c r="T1108" t="s">
        <v>97</v>
      </c>
      <c r="AA1108" t="s">
        <v>97</v>
      </c>
    </row>
    <row r="1109" spans="1:27" x14ac:dyDescent="0.2">
      <c r="A1109" t="s">
        <v>92</v>
      </c>
      <c r="B1109" t="s">
        <v>1980</v>
      </c>
      <c r="C1109" t="s">
        <v>2078</v>
      </c>
      <c r="D1109" t="s">
        <v>2079</v>
      </c>
      <c r="E1109" t="s">
        <v>228</v>
      </c>
      <c r="F1109">
        <v>2299</v>
      </c>
      <c r="H1109">
        <v>1358.5</v>
      </c>
      <c r="L1109">
        <v>1379.4</v>
      </c>
      <c r="M1109">
        <v>1692.9</v>
      </c>
      <c r="O1109">
        <v>1724.25</v>
      </c>
      <c r="R1109">
        <v>1483.9</v>
      </c>
      <c r="T1109" t="s">
        <v>97</v>
      </c>
      <c r="AA1109" t="s">
        <v>97</v>
      </c>
    </row>
    <row r="1110" spans="1:27" x14ac:dyDescent="0.2">
      <c r="A1110" t="s">
        <v>92</v>
      </c>
      <c r="B1110" t="s">
        <v>1980</v>
      </c>
      <c r="C1110" t="s">
        <v>8908</v>
      </c>
      <c r="D1110" t="s">
        <v>8909</v>
      </c>
      <c r="E1110" t="s">
        <v>228</v>
      </c>
      <c r="F1110">
        <v>3299</v>
      </c>
      <c r="L1110">
        <v>1799.4</v>
      </c>
      <c r="M1110">
        <v>2208.35</v>
      </c>
      <c r="T1110" t="s">
        <v>97</v>
      </c>
      <c r="AA1110" t="s">
        <v>97</v>
      </c>
    </row>
    <row r="1111" spans="1:27" x14ac:dyDescent="0.2">
      <c r="A1111" t="s">
        <v>92</v>
      </c>
      <c r="B1111" t="s">
        <v>1980</v>
      </c>
      <c r="C1111" t="s">
        <v>8910</v>
      </c>
      <c r="D1111" t="s">
        <v>8911</v>
      </c>
      <c r="E1111" t="s">
        <v>228</v>
      </c>
      <c r="F1111">
        <v>199</v>
      </c>
      <c r="M1111">
        <v>109.72</v>
      </c>
      <c r="O1111">
        <v>111.75</v>
      </c>
      <c r="T1111" t="s">
        <v>97</v>
      </c>
      <c r="AA1111" t="s">
        <v>97</v>
      </c>
    </row>
    <row r="1112" spans="1:27" x14ac:dyDescent="0.2">
      <c r="A1112" t="s">
        <v>92</v>
      </c>
      <c r="B1112" t="s">
        <v>1980</v>
      </c>
      <c r="C1112" t="s">
        <v>8408</v>
      </c>
      <c r="D1112" t="s">
        <v>8409</v>
      </c>
      <c r="E1112" t="s">
        <v>228</v>
      </c>
      <c r="F1112">
        <v>99</v>
      </c>
      <c r="I1112">
        <v>72</v>
      </c>
      <c r="O1112">
        <v>74.25</v>
      </c>
      <c r="T1112" t="s">
        <v>97</v>
      </c>
      <c r="AA1112" t="s">
        <v>97</v>
      </c>
    </row>
    <row r="1113" spans="1:27" x14ac:dyDescent="0.2">
      <c r="A1113" t="s">
        <v>92</v>
      </c>
      <c r="B1113" t="s">
        <v>1980</v>
      </c>
      <c r="C1113" t="s">
        <v>8410</v>
      </c>
      <c r="D1113" t="s">
        <v>8411</v>
      </c>
      <c r="E1113" t="s">
        <v>228</v>
      </c>
      <c r="F1113">
        <v>169</v>
      </c>
      <c r="I1113">
        <v>122.91</v>
      </c>
      <c r="O1113">
        <v>126.75</v>
      </c>
      <c r="T1113" t="s">
        <v>97</v>
      </c>
      <c r="AA1113" t="s">
        <v>97</v>
      </c>
    </row>
    <row r="1114" spans="1:27" x14ac:dyDescent="0.2">
      <c r="A1114" t="s">
        <v>92</v>
      </c>
      <c r="B1114" t="s">
        <v>1980</v>
      </c>
      <c r="C1114" t="s">
        <v>8412</v>
      </c>
      <c r="D1114" t="s">
        <v>8413</v>
      </c>
      <c r="E1114" t="s">
        <v>228</v>
      </c>
      <c r="F1114">
        <v>29</v>
      </c>
      <c r="T1114" t="s">
        <v>97</v>
      </c>
      <c r="AA1114" t="s">
        <v>97</v>
      </c>
    </row>
    <row r="1115" spans="1:27" x14ac:dyDescent="0.2">
      <c r="A1115" t="s">
        <v>92</v>
      </c>
      <c r="B1115" t="s">
        <v>1980</v>
      </c>
      <c r="C1115" t="s">
        <v>8912</v>
      </c>
      <c r="D1115" t="s">
        <v>8913</v>
      </c>
      <c r="E1115" t="s">
        <v>228</v>
      </c>
      <c r="F1115">
        <v>35</v>
      </c>
      <c r="L1115">
        <v>19.22</v>
      </c>
      <c r="M1115">
        <v>22.59</v>
      </c>
      <c r="O1115">
        <v>26.25</v>
      </c>
      <c r="T1115" t="s">
        <v>97</v>
      </c>
      <c r="AA1115" t="s">
        <v>97</v>
      </c>
    </row>
    <row r="1116" spans="1:27" x14ac:dyDescent="0.2">
      <c r="A1116" t="s">
        <v>92</v>
      </c>
      <c r="B1116" t="s">
        <v>1980</v>
      </c>
      <c r="C1116" t="s">
        <v>8914</v>
      </c>
      <c r="D1116" t="s">
        <v>8915</v>
      </c>
      <c r="E1116" t="s">
        <v>228</v>
      </c>
      <c r="F1116">
        <v>15</v>
      </c>
      <c r="L1116">
        <v>8.24</v>
      </c>
      <c r="M1116">
        <v>9.68</v>
      </c>
      <c r="O1116">
        <v>11.25</v>
      </c>
      <c r="T1116" t="s">
        <v>97</v>
      </c>
      <c r="AA1116" t="s">
        <v>97</v>
      </c>
    </row>
    <row r="1117" spans="1:27" x14ac:dyDescent="0.2">
      <c r="A1117" t="s">
        <v>92</v>
      </c>
      <c r="B1117" t="s">
        <v>1980</v>
      </c>
      <c r="C1117" t="s">
        <v>2080</v>
      </c>
      <c r="D1117" t="s">
        <v>2081</v>
      </c>
      <c r="E1117" t="s">
        <v>228</v>
      </c>
      <c r="F1117">
        <v>49</v>
      </c>
      <c r="L1117">
        <v>26.73</v>
      </c>
      <c r="M1117">
        <v>31.63</v>
      </c>
      <c r="R1117">
        <v>28.95</v>
      </c>
      <c r="T1117" t="s">
        <v>97</v>
      </c>
      <c r="AA1117" t="s">
        <v>97</v>
      </c>
    </row>
    <row r="1118" spans="1:27" x14ac:dyDescent="0.2">
      <c r="A1118" t="s">
        <v>92</v>
      </c>
      <c r="B1118" t="s">
        <v>1980</v>
      </c>
      <c r="C1118" t="s">
        <v>8414</v>
      </c>
      <c r="D1118" t="s">
        <v>8415</v>
      </c>
      <c r="E1118" t="s">
        <v>228</v>
      </c>
      <c r="F1118">
        <v>399</v>
      </c>
      <c r="O1118">
        <v>299.25</v>
      </c>
      <c r="T1118" t="s">
        <v>97</v>
      </c>
      <c r="AA1118" t="s">
        <v>97</v>
      </c>
    </row>
    <row r="1119" spans="1:27" x14ac:dyDescent="0.2">
      <c r="A1119" t="s">
        <v>92</v>
      </c>
      <c r="B1119" t="s">
        <v>1980</v>
      </c>
      <c r="C1119" t="s">
        <v>2082</v>
      </c>
      <c r="D1119" t="s">
        <v>2083</v>
      </c>
      <c r="E1119" t="s">
        <v>228</v>
      </c>
      <c r="F1119">
        <v>1299</v>
      </c>
      <c r="H1119">
        <v>767.59</v>
      </c>
      <c r="I1119">
        <v>944.73</v>
      </c>
      <c r="L1119">
        <v>779.4</v>
      </c>
      <c r="M1119">
        <v>956.54</v>
      </c>
      <c r="O1119">
        <v>974.25</v>
      </c>
      <c r="R1119">
        <v>838.45</v>
      </c>
      <c r="T1119" t="s">
        <v>97</v>
      </c>
      <c r="AA1119" t="s">
        <v>97</v>
      </c>
    </row>
    <row r="1120" spans="1:27" x14ac:dyDescent="0.2">
      <c r="A1120" t="s">
        <v>92</v>
      </c>
      <c r="B1120" t="s">
        <v>1980</v>
      </c>
      <c r="C1120" t="s">
        <v>2084</v>
      </c>
      <c r="D1120" t="s">
        <v>2085</v>
      </c>
      <c r="E1120" t="s">
        <v>290</v>
      </c>
      <c r="F1120">
        <v>2999</v>
      </c>
      <c r="H1120">
        <v>1908.45</v>
      </c>
      <c r="L1120">
        <v>1799.4</v>
      </c>
      <c r="M1120">
        <v>2208.35</v>
      </c>
      <c r="R1120">
        <v>1935.72</v>
      </c>
      <c r="T1120" t="s">
        <v>97</v>
      </c>
      <c r="AA1120" t="s">
        <v>97</v>
      </c>
    </row>
    <row r="1121" spans="1:27" x14ac:dyDescent="0.2">
      <c r="A1121" t="s">
        <v>92</v>
      </c>
      <c r="B1121" t="s">
        <v>1980</v>
      </c>
      <c r="C1121" t="s">
        <v>2086</v>
      </c>
      <c r="D1121" t="s">
        <v>2087</v>
      </c>
      <c r="E1121" t="s">
        <v>228</v>
      </c>
      <c r="F1121">
        <v>2999</v>
      </c>
      <c r="H1121">
        <v>1772.14</v>
      </c>
      <c r="I1121">
        <v>2181.09</v>
      </c>
      <c r="L1121">
        <v>1799.4</v>
      </c>
      <c r="M1121">
        <v>2208.35</v>
      </c>
      <c r="O1121">
        <v>2249.25</v>
      </c>
      <c r="R1121">
        <v>1935.72</v>
      </c>
      <c r="T1121" t="s">
        <v>97</v>
      </c>
      <c r="AA1121" t="s">
        <v>97</v>
      </c>
    </row>
    <row r="1122" spans="1:27" x14ac:dyDescent="0.2">
      <c r="A1122" t="s">
        <v>92</v>
      </c>
      <c r="B1122" t="s">
        <v>1980</v>
      </c>
      <c r="C1122" t="s">
        <v>8916</v>
      </c>
      <c r="D1122" t="s">
        <v>8917</v>
      </c>
      <c r="E1122" t="s">
        <v>228</v>
      </c>
      <c r="F1122">
        <v>2999</v>
      </c>
      <c r="L1122">
        <v>1799.4</v>
      </c>
      <c r="M1122">
        <v>2208.35</v>
      </c>
      <c r="R1122">
        <v>1935.72</v>
      </c>
      <c r="T1122" t="s">
        <v>97</v>
      </c>
      <c r="AA1122" t="s">
        <v>97</v>
      </c>
    </row>
    <row r="1123" spans="1:27" x14ac:dyDescent="0.2">
      <c r="A1123" t="s">
        <v>92</v>
      </c>
      <c r="B1123" t="s">
        <v>1980</v>
      </c>
      <c r="C1123" t="s">
        <v>8918</v>
      </c>
      <c r="D1123" t="s">
        <v>8919</v>
      </c>
      <c r="E1123" t="s">
        <v>228</v>
      </c>
      <c r="F1123">
        <v>2999</v>
      </c>
      <c r="T1123" t="s">
        <v>97</v>
      </c>
      <c r="AA1123" t="s">
        <v>97</v>
      </c>
    </row>
    <row r="1124" spans="1:27" x14ac:dyDescent="0.2">
      <c r="A1124" t="s">
        <v>92</v>
      </c>
      <c r="B1124" t="s">
        <v>2088</v>
      </c>
      <c r="C1124" t="s">
        <v>2095</v>
      </c>
      <c r="D1124" t="s">
        <v>2096</v>
      </c>
      <c r="E1124" t="s">
        <v>96</v>
      </c>
      <c r="F1124">
        <v>59.99</v>
      </c>
      <c r="H1124">
        <v>30</v>
      </c>
      <c r="I1124">
        <v>35.450000000000003</v>
      </c>
      <c r="J1124">
        <v>49.08</v>
      </c>
      <c r="K1124">
        <v>30</v>
      </c>
      <c r="L1124">
        <v>32.72</v>
      </c>
      <c r="M1124">
        <v>32.72</v>
      </c>
      <c r="P1124">
        <v>27.27</v>
      </c>
      <c r="Q1124">
        <v>32.72</v>
      </c>
      <c r="R1124">
        <v>38.18</v>
      </c>
      <c r="S1124">
        <v>27.27</v>
      </c>
      <c r="T1124" t="s">
        <v>97</v>
      </c>
      <c r="AA1124" t="s">
        <v>97</v>
      </c>
    </row>
    <row r="1125" spans="1:27" x14ac:dyDescent="0.2">
      <c r="A1125" t="s">
        <v>92</v>
      </c>
      <c r="B1125" t="s">
        <v>2088</v>
      </c>
      <c r="C1125" t="s">
        <v>2125</v>
      </c>
      <c r="D1125" t="s">
        <v>2126</v>
      </c>
      <c r="E1125" t="s">
        <v>290</v>
      </c>
      <c r="F1125">
        <v>59.99</v>
      </c>
      <c r="G1125">
        <v>59.99</v>
      </c>
      <c r="H1125">
        <v>30</v>
      </c>
      <c r="I1125">
        <v>35.450000000000003</v>
      </c>
      <c r="J1125">
        <v>49.08</v>
      </c>
      <c r="K1125">
        <v>30</v>
      </c>
      <c r="L1125">
        <v>32.72</v>
      </c>
      <c r="M1125">
        <v>32.72</v>
      </c>
      <c r="P1125">
        <v>27.27</v>
      </c>
      <c r="Q1125">
        <v>32.72</v>
      </c>
      <c r="R1125">
        <v>38.18</v>
      </c>
      <c r="S1125">
        <v>27.27</v>
      </c>
      <c r="T1125" t="s">
        <v>97</v>
      </c>
      <c r="V1125">
        <v>46.36</v>
      </c>
      <c r="W1125">
        <v>46.36</v>
      </c>
      <c r="X1125">
        <v>46.36</v>
      </c>
      <c r="Y1125">
        <v>46.36</v>
      </c>
      <c r="Z1125">
        <v>59.99</v>
      </c>
      <c r="AA1125" t="s">
        <v>97</v>
      </c>
    </row>
    <row r="1126" spans="1:27" x14ac:dyDescent="0.2">
      <c r="A1126" t="s">
        <v>92</v>
      </c>
      <c r="B1126" t="s">
        <v>2131</v>
      </c>
      <c r="C1126" t="s">
        <v>2132</v>
      </c>
      <c r="D1126" t="s">
        <v>2133</v>
      </c>
      <c r="E1126" t="s">
        <v>96</v>
      </c>
      <c r="F1126">
        <v>29.99</v>
      </c>
      <c r="H1126">
        <v>19.079999999999998</v>
      </c>
      <c r="I1126">
        <v>21.81</v>
      </c>
      <c r="J1126">
        <v>25.9</v>
      </c>
      <c r="K1126">
        <v>19.079999999999998</v>
      </c>
      <c r="L1126">
        <v>20.45</v>
      </c>
      <c r="M1126">
        <v>21.81</v>
      </c>
      <c r="O1126">
        <v>21.81</v>
      </c>
      <c r="Q1126">
        <v>20.45</v>
      </c>
      <c r="S1126">
        <v>17.72</v>
      </c>
      <c r="T1126" t="s">
        <v>97</v>
      </c>
      <c r="AA1126" t="s">
        <v>97</v>
      </c>
    </row>
    <row r="1127" spans="1:27" x14ac:dyDescent="0.2">
      <c r="A1127" t="s">
        <v>92</v>
      </c>
      <c r="B1127" t="s">
        <v>2131</v>
      </c>
      <c r="C1127" t="s">
        <v>5790</v>
      </c>
      <c r="D1127" t="s">
        <v>5791</v>
      </c>
      <c r="E1127" t="s">
        <v>96</v>
      </c>
      <c r="F1127">
        <v>29.99</v>
      </c>
      <c r="H1127">
        <v>19.079999999999998</v>
      </c>
      <c r="I1127">
        <v>21.81</v>
      </c>
      <c r="J1127">
        <v>25.9</v>
      </c>
      <c r="K1127">
        <v>19.079999999999998</v>
      </c>
      <c r="L1127">
        <v>20.45</v>
      </c>
      <c r="M1127">
        <v>21.81</v>
      </c>
      <c r="O1127">
        <v>21.81</v>
      </c>
      <c r="Q1127">
        <v>20.45</v>
      </c>
      <c r="S1127">
        <v>17.72</v>
      </c>
      <c r="T1127" t="s">
        <v>97</v>
      </c>
      <c r="AA1127" t="s">
        <v>97</v>
      </c>
    </row>
    <row r="1128" spans="1:27" x14ac:dyDescent="0.2">
      <c r="A1128" t="s">
        <v>92</v>
      </c>
      <c r="B1128" t="s">
        <v>2131</v>
      </c>
      <c r="C1128" t="s">
        <v>2134</v>
      </c>
      <c r="D1128" t="s">
        <v>2135</v>
      </c>
      <c r="E1128" t="s">
        <v>96</v>
      </c>
      <c r="F1128">
        <v>39.99</v>
      </c>
      <c r="H1128">
        <v>25.45</v>
      </c>
      <c r="I1128">
        <v>29.08</v>
      </c>
      <c r="J1128">
        <v>34.54</v>
      </c>
      <c r="K1128">
        <v>25.45</v>
      </c>
      <c r="L1128">
        <v>27.27</v>
      </c>
      <c r="M1128">
        <v>29.08</v>
      </c>
      <c r="O1128">
        <v>29.08</v>
      </c>
      <c r="Q1128">
        <v>27.27</v>
      </c>
      <c r="S1128">
        <v>23.63</v>
      </c>
      <c r="T1128" t="s">
        <v>97</v>
      </c>
      <c r="AA1128" t="s">
        <v>97</v>
      </c>
    </row>
    <row r="1129" spans="1:27" x14ac:dyDescent="0.2">
      <c r="A1129" t="s">
        <v>92</v>
      </c>
      <c r="B1129" t="s">
        <v>2131</v>
      </c>
      <c r="C1129" t="s">
        <v>2136</v>
      </c>
      <c r="D1129" t="s">
        <v>2137</v>
      </c>
      <c r="E1129" t="s">
        <v>96</v>
      </c>
      <c r="F1129">
        <v>39.99</v>
      </c>
      <c r="H1129">
        <v>25.45</v>
      </c>
      <c r="I1129">
        <v>29.08</v>
      </c>
      <c r="J1129">
        <v>34.54</v>
      </c>
      <c r="K1129">
        <v>25.45</v>
      </c>
      <c r="L1129">
        <v>27.27</v>
      </c>
      <c r="M1129">
        <v>29.08</v>
      </c>
      <c r="O1129">
        <v>29.08</v>
      </c>
      <c r="Q1129">
        <v>27.27</v>
      </c>
      <c r="S1129">
        <v>23.63</v>
      </c>
      <c r="T1129" t="s">
        <v>97</v>
      </c>
      <c r="AA1129" t="s">
        <v>97</v>
      </c>
    </row>
    <row r="1130" spans="1:27" x14ac:dyDescent="0.2">
      <c r="A1130" t="s">
        <v>92</v>
      </c>
      <c r="B1130" t="s">
        <v>2131</v>
      </c>
      <c r="C1130" t="s">
        <v>2138</v>
      </c>
      <c r="D1130" t="s">
        <v>2139</v>
      </c>
      <c r="E1130" t="s">
        <v>96</v>
      </c>
      <c r="F1130">
        <v>39.99</v>
      </c>
      <c r="H1130">
        <v>25.45</v>
      </c>
      <c r="I1130">
        <v>29.08</v>
      </c>
      <c r="J1130">
        <v>34.54</v>
      </c>
      <c r="K1130">
        <v>25.45</v>
      </c>
      <c r="L1130">
        <v>27.27</v>
      </c>
      <c r="M1130">
        <v>29.08</v>
      </c>
      <c r="O1130">
        <v>29.08</v>
      </c>
      <c r="S1130">
        <v>23.63</v>
      </c>
      <c r="T1130" t="s">
        <v>97</v>
      </c>
      <c r="AA1130" t="s">
        <v>97</v>
      </c>
    </row>
    <row r="1131" spans="1:27" x14ac:dyDescent="0.2">
      <c r="A1131" t="s">
        <v>92</v>
      </c>
      <c r="B1131" t="s">
        <v>2131</v>
      </c>
      <c r="C1131" t="s">
        <v>2140</v>
      </c>
      <c r="D1131" t="s">
        <v>2141</v>
      </c>
      <c r="E1131" t="s">
        <v>290</v>
      </c>
      <c r="F1131">
        <v>39.99</v>
      </c>
      <c r="H1131">
        <v>25.45</v>
      </c>
      <c r="I1131">
        <v>29.08</v>
      </c>
      <c r="J1131">
        <v>34.54</v>
      </c>
      <c r="K1131">
        <v>25.45</v>
      </c>
      <c r="L1131">
        <v>27.27</v>
      </c>
      <c r="M1131">
        <v>29.08</v>
      </c>
      <c r="O1131">
        <v>29.08</v>
      </c>
      <c r="S1131">
        <v>23.63</v>
      </c>
      <c r="T1131" t="s">
        <v>97</v>
      </c>
      <c r="AA1131" t="s">
        <v>97</v>
      </c>
    </row>
    <row r="1132" spans="1:27" x14ac:dyDescent="0.2">
      <c r="A1132" t="s">
        <v>92</v>
      </c>
      <c r="B1132" t="s">
        <v>2131</v>
      </c>
      <c r="C1132" t="s">
        <v>2142</v>
      </c>
      <c r="D1132" t="s">
        <v>2143</v>
      </c>
      <c r="E1132" t="s">
        <v>96</v>
      </c>
      <c r="F1132">
        <v>49.99</v>
      </c>
      <c r="H1132">
        <v>31.81</v>
      </c>
      <c r="I1132">
        <v>36.36</v>
      </c>
      <c r="J1132">
        <v>43.17</v>
      </c>
      <c r="K1132">
        <v>31.81</v>
      </c>
      <c r="L1132">
        <v>34.08</v>
      </c>
      <c r="M1132">
        <v>36.36</v>
      </c>
      <c r="O1132">
        <v>36.36</v>
      </c>
      <c r="Q1132">
        <v>34.08</v>
      </c>
      <c r="S1132">
        <v>29.54</v>
      </c>
      <c r="T1132" t="s">
        <v>97</v>
      </c>
      <c r="AA1132" t="s">
        <v>97</v>
      </c>
    </row>
    <row r="1133" spans="1:27" x14ac:dyDescent="0.2">
      <c r="A1133" t="s">
        <v>92</v>
      </c>
      <c r="B1133" t="s">
        <v>2131</v>
      </c>
      <c r="C1133" t="s">
        <v>2144</v>
      </c>
      <c r="D1133" t="s">
        <v>2145</v>
      </c>
      <c r="E1133" t="s">
        <v>290</v>
      </c>
      <c r="F1133">
        <v>49.99</v>
      </c>
      <c r="H1133">
        <v>31.81</v>
      </c>
      <c r="I1133">
        <v>36.36</v>
      </c>
      <c r="J1133">
        <v>43.17</v>
      </c>
      <c r="K1133">
        <v>31.81</v>
      </c>
      <c r="L1133">
        <v>34.08</v>
      </c>
      <c r="M1133">
        <v>36.36</v>
      </c>
      <c r="O1133">
        <v>36.36</v>
      </c>
      <c r="Q1133">
        <v>34.08</v>
      </c>
      <c r="S1133">
        <v>29.54</v>
      </c>
      <c r="T1133" t="s">
        <v>97</v>
      </c>
      <c r="AA1133" t="s">
        <v>97</v>
      </c>
    </row>
    <row r="1134" spans="1:27" x14ac:dyDescent="0.2">
      <c r="A1134" t="s">
        <v>92</v>
      </c>
      <c r="B1134" t="s">
        <v>2146</v>
      </c>
      <c r="C1134" t="s">
        <v>2147</v>
      </c>
      <c r="D1134" t="s">
        <v>93</v>
      </c>
      <c r="E1134" t="s">
        <v>228</v>
      </c>
      <c r="F1134">
        <v>1</v>
      </c>
      <c r="T1134" t="s">
        <v>97</v>
      </c>
      <c r="AA1134" t="s">
        <v>97</v>
      </c>
    </row>
    <row r="1135" spans="1:27" x14ac:dyDescent="0.2">
      <c r="A1135" t="s">
        <v>92</v>
      </c>
      <c r="B1135" t="s">
        <v>2146</v>
      </c>
      <c r="C1135" t="s">
        <v>2148</v>
      </c>
      <c r="D1135" t="s">
        <v>2149</v>
      </c>
      <c r="E1135" t="s">
        <v>228</v>
      </c>
      <c r="F1135">
        <v>69.989999999999995</v>
      </c>
      <c r="H1135">
        <v>50.9</v>
      </c>
      <c r="I1135">
        <v>47.72</v>
      </c>
      <c r="L1135">
        <v>53.42</v>
      </c>
      <c r="M1135">
        <v>54.08</v>
      </c>
      <c r="O1135">
        <v>54.08</v>
      </c>
      <c r="Q1135">
        <v>50.9</v>
      </c>
      <c r="T1135" t="s">
        <v>97</v>
      </c>
      <c r="U1135">
        <v>47.72</v>
      </c>
      <c r="AA1135" t="s">
        <v>97</v>
      </c>
    </row>
    <row r="1136" spans="1:27" x14ac:dyDescent="0.2">
      <c r="A1136" t="s">
        <v>92</v>
      </c>
      <c r="B1136" t="s">
        <v>2146</v>
      </c>
      <c r="C1136" t="s">
        <v>2150</v>
      </c>
      <c r="D1136" t="s">
        <v>2151</v>
      </c>
      <c r="E1136" t="s">
        <v>228</v>
      </c>
      <c r="F1136">
        <v>149.99</v>
      </c>
      <c r="H1136">
        <v>102.27</v>
      </c>
      <c r="I1136">
        <v>109.08</v>
      </c>
      <c r="L1136">
        <v>114.47</v>
      </c>
      <c r="M1136">
        <v>115.9</v>
      </c>
      <c r="Q1136">
        <v>109.08</v>
      </c>
      <c r="R1136">
        <v>109.08</v>
      </c>
      <c r="T1136" t="s">
        <v>97</v>
      </c>
      <c r="U1136">
        <v>102.27</v>
      </c>
      <c r="V1136">
        <v>115.9</v>
      </c>
      <c r="W1136">
        <v>115.9</v>
      </c>
      <c r="Y1136">
        <v>115.9</v>
      </c>
      <c r="Z1136">
        <v>149.99</v>
      </c>
      <c r="AA1136" t="s">
        <v>97</v>
      </c>
    </row>
    <row r="1137" spans="1:27" x14ac:dyDescent="0.2">
      <c r="A1137" t="s">
        <v>92</v>
      </c>
      <c r="B1137" t="s">
        <v>2146</v>
      </c>
      <c r="C1137" t="s">
        <v>2152</v>
      </c>
      <c r="D1137" t="s">
        <v>2153</v>
      </c>
      <c r="E1137" t="s">
        <v>290</v>
      </c>
      <c r="F1137">
        <v>169.99</v>
      </c>
      <c r="H1137">
        <v>115.9</v>
      </c>
      <c r="I1137">
        <v>123.63</v>
      </c>
      <c r="L1137">
        <v>129.72999999999999</v>
      </c>
      <c r="M1137">
        <v>139.08000000000001</v>
      </c>
      <c r="O1137">
        <v>131.36000000000001</v>
      </c>
      <c r="Q1137">
        <v>131.36000000000001</v>
      </c>
      <c r="R1137">
        <v>123.63</v>
      </c>
      <c r="T1137" t="s">
        <v>97</v>
      </c>
      <c r="U1137">
        <v>115.9</v>
      </c>
      <c r="V1137">
        <v>131.36000000000001</v>
      </c>
      <c r="W1137">
        <v>131.36000000000001</v>
      </c>
      <c r="Y1137">
        <v>131.36000000000001</v>
      </c>
      <c r="Z1137">
        <v>169.99</v>
      </c>
      <c r="AA1137" t="s">
        <v>97</v>
      </c>
    </row>
    <row r="1138" spans="1:27" x14ac:dyDescent="0.2">
      <c r="A1138" t="s">
        <v>92</v>
      </c>
      <c r="B1138" t="s">
        <v>2146</v>
      </c>
      <c r="C1138" t="s">
        <v>2154</v>
      </c>
      <c r="D1138" t="s">
        <v>2155</v>
      </c>
      <c r="E1138" t="s">
        <v>228</v>
      </c>
      <c r="F1138">
        <v>229.99</v>
      </c>
      <c r="H1138">
        <v>156.81</v>
      </c>
      <c r="I1138">
        <v>167.27</v>
      </c>
      <c r="L1138">
        <v>175.52</v>
      </c>
      <c r="M1138">
        <v>177.72</v>
      </c>
      <c r="O1138">
        <v>177.72</v>
      </c>
      <c r="Q1138">
        <v>167.27</v>
      </c>
      <c r="R1138">
        <v>167.27</v>
      </c>
      <c r="T1138" t="s">
        <v>97</v>
      </c>
      <c r="U1138">
        <v>156.81</v>
      </c>
      <c r="V1138">
        <v>177.72</v>
      </c>
      <c r="W1138">
        <v>177.72</v>
      </c>
      <c r="Y1138">
        <v>177.72</v>
      </c>
      <c r="Z1138">
        <v>229.99</v>
      </c>
      <c r="AA1138" t="s">
        <v>97</v>
      </c>
    </row>
    <row r="1139" spans="1:27" x14ac:dyDescent="0.2">
      <c r="A1139" t="s">
        <v>92</v>
      </c>
      <c r="B1139" t="s">
        <v>2146</v>
      </c>
      <c r="C1139" t="s">
        <v>2156</v>
      </c>
      <c r="D1139" t="s">
        <v>2157</v>
      </c>
      <c r="E1139" t="s">
        <v>228</v>
      </c>
      <c r="F1139">
        <v>169.99</v>
      </c>
      <c r="H1139">
        <v>115.91</v>
      </c>
      <c r="I1139">
        <v>123.63</v>
      </c>
      <c r="J1139">
        <v>139.09</v>
      </c>
      <c r="L1139">
        <v>129.74</v>
      </c>
      <c r="M1139">
        <v>131.36000000000001</v>
      </c>
      <c r="O1139">
        <v>131.36000000000001</v>
      </c>
      <c r="Q1139">
        <v>131.36000000000001</v>
      </c>
      <c r="R1139">
        <v>123.63</v>
      </c>
      <c r="T1139" t="s">
        <v>97</v>
      </c>
      <c r="U1139">
        <v>115.91</v>
      </c>
      <c r="V1139">
        <v>131.36000000000001</v>
      </c>
      <c r="W1139">
        <v>131.36000000000001</v>
      </c>
      <c r="Y1139">
        <v>131.36000000000001</v>
      </c>
      <c r="Z1139">
        <v>169.99</v>
      </c>
      <c r="AA1139" t="s">
        <v>97</v>
      </c>
    </row>
    <row r="1140" spans="1:27" x14ac:dyDescent="0.2">
      <c r="A1140" t="s">
        <v>92</v>
      </c>
      <c r="B1140" t="s">
        <v>2146</v>
      </c>
      <c r="C1140" t="s">
        <v>8637</v>
      </c>
      <c r="D1140" t="s">
        <v>8638</v>
      </c>
      <c r="E1140" t="s">
        <v>228</v>
      </c>
      <c r="F1140">
        <v>159.99</v>
      </c>
      <c r="L1140">
        <v>113.45</v>
      </c>
      <c r="M1140">
        <v>116.36</v>
      </c>
      <c r="O1140">
        <v>116.36</v>
      </c>
      <c r="Q1140">
        <v>116.36</v>
      </c>
      <c r="R1140">
        <v>116.36</v>
      </c>
      <c r="T1140" t="s">
        <v>97</v>
      </c>
      <c r="U1140">
        <v>110.54</v>
      </c>
      <c r="AA1140" t="s">
        <v>97</v>
      </c>
    </row>
    <row r="1141" spans="1:27" x14ac:dyDescent="0.2">
      <c r="A1141" t="s">
        <v>92</v>
      </c>
      <c r="B1141" t="s">
        <v>2146</v>
      </c>
      <c r="C1141" t="s">
        <v>2158</v>
      </c>
      <c r="D1141" t="s">
        <v>2159</v>
      </c>
      <c r="E1141" t="s">
        <v>290</v>
      </c>
      <c r="F1141">
        <v>269.99</v>
      </c>
      <c r="H1141">
        <v>184.09</v>
      </c>
      <c r="I1141">
        <v>196.36</v>
      </c>
      <c r="L1141">
        <v>206.17</v>
      </c>
      <c r="M1141">
        <v>208.63</v>
      </c>
      <c r="Q1141">
        <v>196.36</v>
      </c>
      <c r="R1141">
        <v>208.63</v>
      </c>
      <c r="T1141" t="s">
        <v>97</v>
      </c>
      <c r="U1141">
        <v>181.63</v>
      </c>
      <c r="Z1141">
        <v>299.99</v>
      </c>
      <c r="AA1141" t="s">
        <v>97</v>
      </c>
    </row>
    <row r="1142" spans="1:27" x14ac:dyDescent="0.2">
      <c r="A1142" t="s">
        <v>92</v>
      </c>
      <c r="B1142" t="s">
        <v>2146</v>
      </c>
      <c r="C1142" t="s">
        <v>2160</v>
      </c>
      <c r="D1142" t="s">
        <v>2161</v>
      </c>
      <c r="E1142" t="s">
        <v>290</v>
      </c>
      <c r="F1142">
        <v>359.99</v>
      </c>
      <c r="H1142">
        <v>245.45</v>
      </c>
      <c r="I1142">
        <v>261.81</v>
      </c>
      <c r="L1142">
        <v>274.89999999999998</v>
      </c>
      <c r="M1142">
        <v>278.17</v>
      </c>
      <c r="Q1142">
        <v>261.81</v>
      </c>
      <c r="R1142">
        <v>278.17</v>
      </c>
      <c r="T1142" t="s">
        <v>97</v>
      </c>
      <c r="U1142">
        <v>242.18</v>
      </c>
      <c r="Z1142">
        <v>429.99</v>
      </c>
      <c r="AA1142" t="s">
        <v>97</v>
      </c>
    </row>
    <row r="1143" spans="1:27" x14ac:dyDescent="0.2">
      <c r="A1143" t="s">
        <v>92</v>
      </c>
      <c r="B1143" t="s">
        <v>2146</v>
      </c>
      <c r="C1143" t="s">
        <v>2162</v>
      </c>
      <c r="D1143" t="s">
        <v>2163</v>
      </c>
      <c r="E1143" t="s">
        <v>96</v>
      </c>
      <c r="F1143">
        <v>69.989999999999995</v>
      </c>
      <c r="H1143">
        <v>47.72</v>
      </c>
      <c r="I1143">
        <v>50.9</v>
      </c>
      <c r="L1143">
        <v>53.45</v>
      </c>
      <c r="M1143">
        <v>54.08</v>
      </c>
      <c r="Q1143">
        <v>50.9</v>
      </c>
      <c r="R1143">
        <v>54.08</v>
      </c>
      <c r="T1143" t="s">
        <v>97</v>
      </c>
      <c r="U1143">
        <v>47.08</v>
      </c>
      <c r="Z1143">
        <v>79.989999999999995</v>
      </c>
      <c r="AA1143" t="s">
        <v>97</v>
      </c>
    </row>
    <row r="1144" spans="1:27" x14ac:dyDescent="0.2">
      <c r="A1144" t="s">
        <v>92</v>
      </c>
      <c r="B1144" t="s">
        <v>2146</v>
      </c>
      <c r="C1144" t="s">
        <v>2164</v>
      </c>
      <c r="D1144" t="s">
        <v>2165</v>
      </c>
      <c r="E1144" t="s">
        <v>96</v>
      </c>
      <c r="F1144">
        <v>49.99</v>
      </c>
      <c r="H1144">
        <v>34.090000000000003</v>
      </c>
      <c r="I1144">
        <v>36.36</v>
      </c>
      <c r="L1144">
        <v>38.17</v>
      </c>
      <c r="M1144">
        <v>38.630000000000003</v>
      </c>
      <c r="Q1144">
        <v>36.36</v>
      </c>
      <c r="R1144">
        <v>38.630000000000003</v>
      </c>
      <c r="T1144" t="s">
        <v>97</v>
      </c>
      <c r="U1144">
        <v>33.630000000000003</v>
      </c>
      <c r="Z1144">
        <v>54.99</v>
      </c>
      <c r="AA1144" t="s">
        <v>97</v>
      </c>
    </row>
    <row r="1145" spans="1:27" x14ac:dyDescent="0.2">
      <c r="A1145" t="s">
        <v>92</v>
      </c>
      <c r="B1145" t="s">
        <v>2146</v>
      </c>
      <c r="C1145" t="s">
        <v>2166</v>
      </c>
      <c r="D1145" t="s">
        <v>2167</v>
      </c>
      <c r="E1145" t="s">
        <v>290</v>
      </c>
      <c r="F1145">
        <v>69.989999999999995</v>
      </c>
      <c r="H1145">
        <v>47.72</v>
      </c>
      <c r="I1145">
        <v>50.9</v>
      </c>
      <c r="J1145">
        <v>52.27</v>
      </c>
      <c r="L1145">
        <v>53.45</v>
      </c>
      <c r="M1145">
        <v>54.08</v>
      </c>
      <c r="Q1145">
        <v>50.9</v>
      </c>
      <c r="R1145">
        <v>54.08</v>
      </c>
      <c r="T1145" t="s">
        <v>97</v>
      </c>
      <c r="U1145">
        <v>47.08</v>
      </c>
      <c r="Z1145">
        <v>89.99</v>
      </c>
      <c r="AA1145" t="s">
        <v>97</v>
      </c>
    </row>
    <row r="1146" spans="1:27" x14ac:dyDescent="0.2">
      <c r="A1146" t="s">
        <v>92</v>
      </c>
      <c r="B1146" t="s">
        <v>2146</v>
      </c>
      <c r="C1146" t="s">
        <v>2168</v>
      </c>
      <c r="D1146" t="s">
        <v>2169</v>
      </c>
      <c r="E1146" t="s">
        <v>96</v>
      </c>
      <c r="F1146">
        <v>89.99</v>
      </c>
      <c r="H1146">
        <v>61.36</v>
      </c>
      <c r="I1146">
        <v>65.45</v>
      </c>
      <c r="L1146">
        <v>68.72</v>
      </c>
      <c r="M1146">
        <v>69.540000000000006</v>
      </c>
      <c r="Q1146">
        <v>65.45</v>
      </c>
      <c r="R1146">
        <v>69.540000000000006</v>
      </c>
      <c r="T1146" t="s">
        <v>97</v>
      </c>
      <c r="U1146">
        <v>57.27</v>
      </c>
      <c r="Z1146">
        <v>89.99</v>
      </c>
      <c r="AA1146" t="s">
        <v>97</v>
      </c>
    </row>
    <row r="1147" spans="1:27" x14ac:dyDescent="0.2">
      <c r="A1147" t="s">
        <v>92</v>
      </c>
      <c r="B1147" t="s">
        <v>2146</v>
      </c>
      <c r="C1147" t="s">
        <v>2170</v>
      </c>
      <c r="D1147" t="s">
        <v>2171</v>
      </c>
      <c r="E1147" t="s">
        <v>290</v>
      </c>
      <c r="F1147">
        <v>299.99</v>
      </c>
      <c r="H1147">
        <v>204.54</v>
      </c>
      <c r="I1147">
        <v>218.18</v>
      </c>
      <c r="L1147">
        <v>229.08</v>
      </c>
      <c r="M1147">
        <v>231.81</v>
      </c>
      <c r="Q1147">
        <v>218.17</v>
      </c>
      <c r="R1147">
        <v>231.81</v>
      </c>
      <c r="T1147" t="s">
        <v>97</v>
      </c>
      <c r="U1147">
        <v>201.81</v>
      </c>
      <c r="Z1147">
        <v>349.99</v>
      </c>
      <c r="AA1147" t="s">
        <v>97</v>
      </c>
    </row>
    <row r="1148" spans="1:27" x14ac:dyDescent="0.2">
      <c r="A1148" t="s">
        <v>92</v>
      </c>
      <c r="B1148" t="s">
        <v>2146</v>
      </c>
      <c r="C1148" t="s">
        <v>2172</v>
      </c>
      <c r="D1148" t="s">
        <v>2173</v>
      </c>
      <c r="E1148" t="s">
        <v>96</v>
      </c>
      <c r="F1148">
        <v>89.99</v>
      </c>
      <c r="H1148">
        <v>61.36</v>
      </c>
      <c r="I1148">
        <v>65.45</v>
      </c>
      <c r="L1148">
        <v>68.72</v>
      </c>
      <c r="M1148">
        <v>69.540000000000006</v>
      </c>
      <c r="Q1148">
        <v>65.45</v>
      </c>
      <c r="R1148">
        <v>69.540000000000006</v>
      </c>
      <c r="T1148" t="s">
        <v>97</v>
      </c>
      <c r="U1148">
        <v>57.27</v>
      </c>
      <c r="Z1148">
        <v>89.99</v>
      </c>
      <c r="AA1148" t="s">
        <v>97</v>
      </c>
    </row>
    <row r="1149" spans="1:27" x14ac:dyDescent="0.2">
      <c r="A1149" t="s">
        <v>92</v>
      </c>
      <c r="B1149" t="s">
        <v>2146</v>
      </c>
      <c r="C1149" t="s">
        <v>2174</v>
      </c>
      <c r="D1149" t="s">
        <v>2175</v>
      </c>
      <c r="E1149" t="s">
        <v>96</v>
      </c>
      <c r="F1149">
        <v>199.99</v>
      </c>
      <c r="L1149">
        <v>152.72</v>
      </c>
      <c r="T1149" t="s">
        <v>97</v>
      </c>
      <c r="Z1149">
        <v>199.99</v>
      </c>
      <c r="AA1149" t="s">
        <v>97</v>
      </c>
    </row>
    <row r="1150" spans="1:27" x14ac:dyDescent="0.2">
      <c r="A1150" t="s">
        <v>92</v>
      </c>
      <c r="B1150" t="s">
        <v>2146</v>
      </c>
      <c r="C1150" t="s">
        <v>2176</v>
      </c>
      <c r="D1150" t="s">
        <v>2177</v>
      </c>
      <c r="E1150" t="s">
        <v>228</v>
      </c>
      <c r="F1150">
        <v>34.99</v>
      </c>
      <c r="H1150">
        <v>27.04</v>
      </c>
      <c r="I1150">
        <v>28.63</v>
      </c>
      <c r="J1150">
        <v>28.63</v>
      </c>
      <c r="K1150">
        <v>27.04</v>
      </c>
      <c r="L1150">
        <v>31.81</v>
      </c>
      <c r="M1150">
        <v>31.81</v>
      </c>
      <c r="Q1150">
        <v>31.81</v>
      </c>
      <c r="R1150">
        <v>31.81</v>
      </c>
      <c r="T1150" t="s">
        <v>97</v>
      </c>
      <c r="V1150">
        <v>27.04</v>
      </c>
      <c r="W1150">
        <v>31.81</v>
      </c>
      <c r="Y1150">
        <v>31.81</v>
      </c>
      <c r="Z1150">
        <v>34.99</v>
      </c>
      <c r="AA1150" t="s">
        <v>97</v>
      </c>
    </row>
    <row r="1151" spans="1:27" x14ac:dyDescent="0.2">
      <c r="A1151" t="s">
        <v>92</v>
      </c>
      <c r="B1151" t="s">
        <v>2146</v>
      </c>
      <c r="C1151" t="s">
        <v>2178</v>
      </c>
      <c r="D1151" t="s">
        <v>2179</v>
      </c>
      <c r="E1151" t="s">
        <v>290</v>
      </c>
      <c r="F1151">
        <v>99.99</v>
      </c>
      <c r="H1151">
        <v>63.63</v>
      </c>
      <c r="I1151">
        <v>72.72</v>
      </c>
      <c r="J1151">
        <v>82.63</v>
      </c>
      <c r="K1151">
        <v>63.63</v>
      </c>
      <c r="L1151">
        <v>76.31</v>
      </c>
      <c r="M1151">
        <v>72.72</v>
      </c>
      <c r="O1151">
        <v>77.27</v>
      </c>
      <c r="Q1151">
        <v>72.72</v>
      </c>
      <c r="R1151">
        <v>72.72</v>
      </c>
      <c r="T1151" t="s">
        <v>97</v>
      </c>
      <c r="V1151">
        <v>77.27</v>
      </c>
      <c r="W1151">
        <v>77.27</v>
      </c>
      <c r="Y1151">
        <v>77.27</v>
      </c>
      <c r="Z1151">
        <v>99.99</v>
      </c>
      <c r="AA1151" t="s">
        <v>97</v>
      </c>
    </row>
    <row r="1152" spans="1:27" x14ac:dyDescent="0.2">
      <c r="A1152" t="s">
        <v>92</v>
      </c>
      <c r="B1152" t="s">
        <v>2146</v>
      </c>
      <c r="C1152" t="s">
        <v>2180</v>
      </c>
      <c r="D1152" t="s">
        <v>2181</v>
      </c>
      <c r="E1152" t="s">
        <v>290</v>
      </c>
      <c r="F1152">
        <v>17.989999999999998</v>
      </c>
      <c r="G1152">
        <v>17.989999999999998</v>
      </c>
      <c r="H1152">
        <v>11.45</v>
      </c>
      <c r="I1152">
        <v>13.08</v>
      </c>
      <c r="J1152">
        <v>14.72</v>
      </c>
      <c r="K1152">
        <v>11.45</v>
      </c>
      <c r="L1152">
        <v>13.73</v>
      </c>
      <c r="M1152">
        <v>14.31</v>
      </c>
      <c r="O1152">
        <v>13.9</v>
      </c>
      <c r="Q1152">
        <v>12.27</v>
      </c>
      <c r="R1152">
        <v>13.08</v>
      </c>
      <c r="T1152" t="s">
        <v>97</v>
      </c>
      <c r="U1152">
        <v>12.27</v>
      </c>
      <c r="V1152">
        <v>13.9</v>
      </c>
      <c r="W1152">
        <v>16.350000000000001</v>
      </c>
      <c r="Y1152">
        <v>16.350000000000001</v>
      </c>
      <c r="Z1152">
        <v>17.989999999999998</v>
      </c>
      <c r="AA1152" t="s">
        <v>97</v>
      </c>
    </row>
    <row r="1153" spans="1:27" x14ac:dyDescent="0.2">
      <c r="A1153" t="s">
        <v>92</v>
      </c>
      <c r="B1153" t="s">
        <v>2146</v>
      </c>
      <c r="C1153" t="s">
        <v>2182</v>
      </c>
      <c r="D1153" t="s">
        <v>2183</v>
      </c>
      <c r="E1153" t="s">
        <v>290</v>
      </c>
      <c r="F1153">
        <v>109.99</v>
      </c>
      <c r="G1153">
        <v>109.99</v>
      </c>
      <c r="H1153">
        <v>84.99</v>
      </c>
      <c r="I1153">
        <v>89.99</v>
      </c>
      <c r="J1153">
        <v>89.99</v>
      </c>
      <c r="K1153">
        <v>84.99</v>
      </c>
      <c r="L1153">
        <v>99.99</v>
      </c>
      <c r="M1153">
        <v>99.99</v>
      </c>
      <c r="Q1153">
        <v>99.99</v>
      </c>
      <c r="R1153">
        <v>99.99</v>
      </c>
      <c r="T1153" t="s">
        <v>97</v>
      </c>
      <c r="V1153">
        <v>84.99</v>
      </c>
      <c r="W1153">
        <v>99.99</v>
      </c>
      <c r="Y1153">
        <v>99.99</v>
      </c>
      <c r="Z1153">
        <v>109.99</v>
      </c>
      <c r="AA1153" t="s">
        <v>97</v>
      </c>
    </row>
    <row r="1154" spans="1:27" x14ac:dyDescent="0.2">
      <c r="A1154" t="s">
        <v>92</v>
      </c>
      <c r="B1154" t="s">
        <v>2146</v>
      </c>
      <c r="C1154" t="s">
        <v>2184</v>
      </c>
      <c r="D1154" t="s">
        <v>2185</v>
      </c>
      <c r="E1154" t="s">
        <v>290</v>
      </c>
      <c r="F1154">
        <v>44.99</v>
      </c>
      <c r="G1154">
        <v>44.99</v>
      </c>
      <c r="H1154">
        <v>34.770000000000003</v>
      </c>
      <c r="I1154">
        <v>36.81</v>
      </c>
      <c r="J1154">
        <v>36.81</v>
      </c>
      <c r="K1154">
        <v>34.770000000000003</v>
      </c>
      <c r="L1154">
        <v>40.9</v>
      </c>
      <c r="M1154">
        <v>40.9</v>
      </c>
      <c r="Q1154">
        <v>40.9</v>
      </c>
      <c r="R1154">
        <v>40.9</v>
      </c>
      <c r="T1154" t="s">
        <v>97</v>
      </c>
      <c r="V1154">
        <v>34.770000000000003</v>
      </c>
      <c r="W1154">
        <v>40.9</v>
      </c>
      <c r="Y1154">
        <v>40.9</v>
      </c>
      <c r="Z1154">
        <v>44.99</v>
      </c>
      <c r="AA1154" t="s">
        <v>97</v>
      </c>
    </row>
    <row r="1155" spans="1:27" x14ac:dyDescent="0.2">
      <c r="A1155" t="s">
        <v>92</v>
      </c>
      <c r="B1155" t="s">
        <v>2146</v>
      </c>
      <c r="C1155" t="s">
        <v>2186</v>
      </c>
      <c r="D1155" t="s">
        <v>2187</v>
      </c>
      <c r="E1155" t="s">
        <v>290</v>
      </c>
      <c r="F1155">
        <v>16.989999999999998</v>
      </c>
      <c r="G1155">
        <v>16.989999999999998</v>
      </c>
      <c r="H1155">
        <v>10.81</v>
      </c>
      <c r="I1155">
        <v>12.36</v>
      </c>
      <c r="J1155">
        <v>13.9</v>
      </c>
      <c r="K1155">
        <v>10.81</v>
      </c>
      <c r="L1155">
        <v>12.97</v>
      </c>
      <c r="M1155">
        <v>13.13</v>
      </c>
      <c r="O1155">
        <v>13.13</v>
      </c>
      <c r="Q1155">
        <v>11.58</v>
      </c>
      <c r="R1155">
        <v>12.36</v>
      </c>
      <c r="T1155" t="s">
        <v>97</v>
      </c>
      <c r="U1155">
        <v>10.81</v>
      </c>
      <c r="V1155">
        <v>13.13</v>
      </c>
      <c r="W1155">
        <v>15.45</v>
      </c>
      <c r="Y1155">
        <v>15.45</v>
      </c>
      <c r="Z1155">
        <v>16.989999999999998</v>
      </c>
      <c r="AA1155" t="s">
        <v>97</v>
      </c>
    </row>
    <row r="1156" spans="1:27" x14ac:dyDescent="0.2">
      <c r="A1156" t="s">
        <v>92</v>
      </c>
      <c r="B1156" t="s">
        <v>2146</v>
      </c>
      <c r="C1156" t="s">
        <v>2188</v>
      </c>
      <c r="D1156" t="s">
        <v>2189</v>
      </c>
      <c r="E1156" t="s">
        <v>96</v>
      </c>
      <c r="F1156">
        <v>199.99</v>
      </c>
      <c r="H1156">
        <v>127.27</v>
      </c>
      <c r="I1156">
        <v>145.44999999999999</v>
      </c>
      <c r="J1156">
        <v>163.63</v>
      </c>
      <c r="K1156">
        <v>127.27</v>
      </c>
      <c r="L1156">
        <v>152.63</v>
      </c>
      <c r="M1156">
        <v>145.44999999999999</v>
      </c>
      <c r="O1156">
        <v>149.99</v>
      </c>
      <c r="Q1156">
        <v>145.44999999999999</v>
      </c>
      <c r="R1156">
        <v>145.44999999999999</v>
      </c>
      <c r="T1156" t="s">
        <v>97</v>
      </c>
      <c r="U1156">
        <v>127.27</v>
      </c>
      <c r="V1156">
        <v>154.54</v>
      </c>
      <c r="W1156">
        <v>154.54</v>
      </c>
      <c r="Y1156">
        <v>154.54</v>
      </c>
      <c r="Z1156">
        <v>199.99</v>
      </c>
      <c r="AA1156" t="s">
        <v>97</v>
      </c>
    </row>
    <row r="1157" spans="1:27" x14ac:dyDescent="0.2">
      <c r="A1157" t="s">
        <v>92</v>
      </c>
      <c r="B1157" t="s">
        <v>2146</v>
      </c>
      <c r="C1157" t="s">
        <v>2190</v>
      </c>
      <c r="D1157" t="s">
        <v>2191</v>
      </c>
      <c r="E1157" t="s">
        <v>290</v>
      </c>
      <c r="F1157">
        <v>349.99</v>
      </c>
      <c r="H1157">
        <v>222.72</v>
      </c>
      <c r="I1157">
        <v>254.54</v>
      </c>
      <c r="J1157">
        <v>286.36</v>
      </c>
      <c r="K1157">
        <v>222.72</v>
      </c>
      <c r="L1157">
        <v>267.11</v>
      </c>
      <c r="M1157">
        <v>254.54</v>
      </c>
      <c r="O1157">
        <v>254.54</v>
      </c>
      <c r="P1157">
        <v>203.63</v>
      </c>
      <c r="Q1157">
        <v>238.64</v>
      </c>
      <c r="R1157">
        <v>254.54</v>
      </c>
      <c r="S1157">
        <v>203.63</v>
      </c>
      <c r="T1157" t="s">
        <v>97</v>
      </c>
      <c r="U1157">
        <v>203.63</v>
      </c>
      <c r="V1157">
        <v>270.45</v>
      </c>
      <c r="W1157">
        <v>270.45</v>
      </c>
      <c r="Y1157">
        <v>270.45</v>
      </c>
      <c r="Z1157">
        <v>349.99</v>
      </c>
      <c r="AA1157" t="s">
        <v>97</v>
      </c>
    </row>
    <row r="1158" spans="1:27" x14ac:dyDescent="0.2">
      <c r="A1158" t="s">
        <v>92</v>
      </c>
      <c r="B1158" t="s">
        <v>2146</v>
      </c>
      <c r="C1158" t="s">
        <v>2192</v>
      </c>
      <c r="D1158" t="s">
        <v>2193</v>
      </c>
      <c r="E1158" t="s">
        <v>96</v>
      </c>
      <c r="F1158">
        <v>0</v>
      </c>
      <c r="H1158">
        <v>0.01</v>
      </c>
      <c r="T1158" t="s">
        <v>97</v>
      </c>
      <c r="AA1158" t="s">
        <v>97</v>
      </c>
    </row>
    <row r="1159" spans="1:27" x14ac:dyDescent="0.2">
      <c r="A1159" t="s">
        <v>92</v>
      </c>
      <c r="B1159" t="s">
        <v>2146</v>
      </c>
      <c r="C1159" t="s">
        <v>2194</v>
      </c>
      <c r="D1159" t="s">
        <v>2195</v>
      </c>
      <c r="E1159" t="s">
        <v>290</v>
      </c>
      <c r="F1159">
        <v>1</v>
      </c>
      <c r="T1159" t="s">
        <v>97</v>
      </c>
      <c r="AA1159" t="s">
        <v>97</v>
      </c>
    </row>
    <row r="1160" spans="1:27" x14ac:dyDescent="0.2">
      <c r="A1160" t="s">
        <v>92</v>
      </c>
      <c r="B1160" t="s">
        <v>2146</v>
      </c>
      <c r="C1160" t="s">
        <v>2196</v>
      </c>
      <c r="D1160" t="s">
        <v>2197</v>
      </c>
      <c r="E1160" t="s">
        <v>228</v>
      </c>
      <c r="F1160">
        <v>1</v>
      </c>
      <c r="T1160" t="s">
        <v>97</v>
      </c>
      <c r="AA1160" t="s">
        <v>97</v>
      </c>
    </row>
    <row r="1161" spans="1:27" x14ac:dyDescent="0.2">
      <c r="A1161" t="s">
        <v>92</v>
      </c>
      <c r="B1161" t="s">
        <v>2146</v>
      </c>
      <c r="C1161" t="s">
        <v>2198</v>
      </c>
      <c r="D1161" t="s">
        <v>2199</v>
      </c>
      <c r="E1161" t="s">
        <v>228</v>
      </c>
      <c r="F1161">
        <v>1</v>
      </c>
      <c r="T1161" t="s">
        <v>97</v>
      </c>
      <c r="AA1161" t="s">
        <v>97</v>
      </c>
    </row>
    <row r="1162" spans="1:27" x14ac:dyDescent="0.2">
      <c r="A1162" t="s">
        <v>92</v>
      </c>
      <c r="B1162" t="s">
        <v>2146</v>
      </c>
      <c r="C1162" t="s">
        <v>2200</v>
      </c>
      <c r="D1162" t="s">
        <v>2201</v>
      </c>
      <c r="E1162" t="s">
        <v>290</v>
      </c>
      <c r="F1162">
        <v>1</v>
      </c>
      <c r="T1162" t="s">
        <v>97</v>
      </c>
      <c r="AA1162" t="s">
        <v>97</v>
      </c>
    </row>
    <row r="1163" spans="1:27" x14ac:dyDescent="0.2">
      <c r="A1163" t="s">
        <v>92</v>
      </c>
      <c r="B1163" t="s">
        <v>2146</v>
      </c>
      <c r="C1163" t="s">
        <v>2202</v>
      </c>
      <c r="D1163" t="s">
        <v>2203</v>
      </c>
      <c r="E1163" t="s">
        <v>290</v>
      </c>
      <c r="F1163">
        <v>0.01</v>
      </c>
      <c r="H1163">
        <v>0.01</v>
      </c>
      <c r="T1163" t="s">
        <v>97</v>
      </c>
      <c r="AA1163" t="s">
        <v>97</v>
      </c>
    </row>
    <row r="1164" spans="1:27" x14ac:dyDescent="0.2">
      <c r="A1164" t="s">
        <v>92</v>
      </c>
      <c r="B1164" t="s">
        <v>2146</v>
      </c>
      <c r="C1164" t="s">
        <v>2204</v>
      </c>
      <c r="D1164" t="s">
        <v>2205</v>
      </c>
      <c r="E1164" t="s">
        <v>290</v>
      </c>
      <c r="F1164">
        <v>0.01</v>
      </c>
      <c r="H1164">
        <v>0.01</v>
      </c>
      <c r="T1164" t="s">
        <v>97</v>
      </c>
      <c r="AA1164" t="s">
        <v>97</v>
      </c>
    </row>
    <row r="1165" spans="1:27" x14ac:dyDescent="0.2">
      <c r="A1165" t="s">
        <v>92</v>
      </c>
      <c r="B1165" t="s">
        <v>2146</v>
      </c>
      <c r="C1165" t="s">
        <v>2206</v>
      </c>
      <c r="D1165" t="s">
        <v>2207</v>
      </c>
      <c r="E1165" t="s">
        <v>290</v>
      </c>
      <c r="F1165">
        <v>1</v>
      </c>
      <c r="T1165" t="s">
        <v>97</v>
      </c>
      <c r="AA1165" t="s">
        <v>97</v>
      </c>
    </row>
    <row r="1166" spans="1:27" x14ac:dyDescent="0.2">
      <c r="A1166" t="s">
        <v>92</v>
      </c>
      <c r="B1166" t="s">
        <v>2146</v>
      </c>
      <c r="C1166" t="s">
        <v>2208</v>
      </c>
      <c r="D1166" t="s">
        <v>2209</v>
      </c>
      <c r="E1166" t="s">
        <v>96</v>
      </c>
      <c r="F1166">
        <v>119.99</v>
      </c>
      <c r="G1166">
        <v>149.99</v>
      </c>
      <c r="H1166">
        <v>102.27</v>
      </c>
      <c r="I1166">
        <v>115.9</v>
      </c>
      <c r="J1166">
        <v>123.95</v>
      </c>
      <c r="K1166">
        <v>102.27</v>
      </c>
      <c r="L1166">
        <v>91.63</v>
      </c>
      <c r="M1166">
        <v>92.72</v>
      </c>
      <c r="O1166">
        <v>112.49</v>
      </c>
      <c r="Q1166">
        <v>87.27</v>
      </c>
      <c r="R1166">
        <v>92.72</v>
      </c>
      <c r="T1166" t="s">
        <v>97</v>
      </c>
      <c r="U1166">
        <v>76.36</v>
      </c>
      <c r="V1166">
        <v>115.9</v>
      </c>
      <c r="W1166">
        <v>115.9</v>
      </c>
      <c r="X1166">
        <v>115.9</v>
      </c>
      <c r="Y1166">
        <v>115.9</v>
      </c>
      <c r="Z1166">
        <v>149.99</v>
      </c>
      <c r="AA1166" t="s">
        <v>97</v>
      </c>
    </row>
    <row r="1167" spans="1:27" x14ac:dyDescent="0.2">
      <c r="A1167" t="s">
        <v>92</v>
      </c>
      <c r="B1167" t="s">
        <v>2146</v>
      </c>
      <c r="C1167" t="s">
        <v>2210</v>
      </c>
      <c r="D1167" t="s">
        <v>2211</v>
      </c>
      <c r="E1167" t="s">
        <v>96</v>
      </c>
      <c r="F1167">
        <v>349.99</v>
      </c>
      <c r="G1167">
        <v>429.99</v>
      </c>
      <c r="H1167">
        <v>293.18</v>
      </c>
      <c r="I1167">
        <v>332.27</v>
      </c>
      <c r="J1167">
        <v>355.36</v>
      </c>
      <c r="K1167">
        <v>293.18</v>
      </c>
      <c r="L1167">
        <v>267.27</v>
      </c>
      <c r="M1167">
        <v>270.45</v>
      </c>
      <c r="O1167">
        <v>322.49</v>
      </c>
      <c r="Q1167">
        <v>254.54</v>
      </c>
      <c r="R1167">
        <v>270.45</v>
      </c>
      <c r="T1167" t="s">
        <v>97</v>
      </c>
      <c r="U1167">
        <v>222.72</v>
      </c>
      <c r="V1167">
        <v>332.27</v>
      </c>
      <c r="W1167">
        <v>332.27</v>
      </c>
      <c r="X1167">
        <v>332.27</v>
      </c>
      <c r="Y1167">
        <v>332.27</v>
      </c>
      <c r="Z1167">
        <v>429.99</v>
      </c>
      <c r="AA1167" t="s">
        <v>97</v>
      </c>
    </row>
    <row r="1168" spans="1:27" x14ac:dyDescent="0.2">
      <c r="A1168" t="s">
        <v>92</v>
      </c>
      <c r="B1168" t="s">
        <v>2146</v>
      </c>
      <c r="C1168" t="s">
        <v>2212</v>
      </c>
      <c r="D1168" t="s">
        <v>2213</v>
      </c>
      <c r="E1168" t="s">
        <v>290</v>
      </c>
      <c r="F1168">
        <v>39.99</v>
      </c>
      <c r="H1168">
        <v>25.45</v>
      </c>
      <c r="I1168">
        <v>29.08</v>
      </c>
      <c r="J1168">
        <v>33.049999999999997</v>
      </c>
      <c r="K1168">
        <v>25.45</v>
      </c>
      <c r="L1168">
        <v>30.52</v>
      </c>
      <c r="M1168">
        <v>30.9</v>
      </c>
      <c r="Q1168">
        <v>27.27</v>
      </c>
      <c r="T1168" t="s">
        <v>97</v>
      </c>
      <c r="U1168">
        <v>25.45</v>
      </c>
      <c r="V1168">
        <v>30.9</v>
      </c>
      <c r="W1168">
        <v>30.9</v>
      </c>
      <c r="Y1168">
        <v>30.9</v>
      </c>
      <c r="Z1168">
        <v>39.99</v>
      </c>
      <c r="AA1168" t="s">
        <v>97</v>
      </c>
    </row>
    <row r="1169" spans="1:27" x14ac:dyDescent="0.2">
      <c r="A1169" t="s">
        <v>92</v>
      </c>
      <c r="B1169" t="s">
        <v>2146</v>
      </c>
      <c r="C1169" t="s">
        <v>2214</v>
      </c>
      <c r="D1169" t="s">
        <v>2215</v>
      </c>
      <c r="E1169" t="s">
        <v>290</v>
      </c>
      <c r="F1169">
        <v>99.99</v>
      </c>
      <c r="H1169">
        <v>63.63</v>
      </c>
      <c r="I1169">
        <v>72.72</v>
      </c>
      <c r="J1169">
        <v>82.64</v>
      </c>
      <c r="K1169">
        <v>63.63</v>
      </c>
      <c r="L1169">
        <v>76.31</v>
      </c>
      <c r="M1169">
        <v>77.27</v>
      </c>
      <c r="O1169">
        <v>77.27</v>
      </c>
      <c r="Q1169">
        <v>72.72</v>
      </c>
      <c r="T1169" t="s">
        <v>97</v>
      </c>
      <c r="U1169">
        <v>63.63</v>
      </c>
      <c r="V1169">
        <v>77.27</v>
      </c>
      <c r="W1169">
        <v>77.27</v>
      </c>
      <c r="Y1169">
        <v>77.27</v>
      </c>
      <c r="Z1169">
        <v>99.99</v>
      </c>
      <c r="AA1169" t="s">
        <v>97</v>
      </c>
    </row>
    <row r="1170" spans="1:27" x14ac:dyDescent="0.2">
      <c r="A1170" t="s">
        <v>92</v>
      </c>
      <c r="B1170" t="s">
        <v>2146</v>
      </c>
      <c r="C1170" t="s">
        <v>2216</v>
      </c>
      <c r="D1170" t="s">
        <v>2217</v>
      </c>
      <c r="E1170" t="s">
        <v>228</v>
      </c>
      <c r="F1170">
        <v>34.99</v>
      </c>
      <c r="H1170">
        <v>22.27</v>
      </c>
      <c r="I1170">
        <v>25.45</v>
      </c>
      <c r="J1170">
        <v>28.63</v>
      </c>
      <c r="K1170">
        <v>25.45</v>
      </c>
      <c r="L1170">
        <v>26.7</v>
      </c>
      <c r="M1170">
        <v>25.45</v>
      </c>
      <c r="Q1170">
        <v>23.86</v>
      </c>
      <c r="R1170">
        <v>25.45</v>
      </c>
      <c r="T1170" t="s">
        <v>97</v>
      </c>
      <c r="U1170">
        <v>22.27</v>
      </c>
      <c r="V1170">
        <v>30.9</v>
      </c>
      <c r="W1170">
        <v>30.9</v>
      </c>
      <c r="Y1170">
        <v>30.9</v>
      </c>
      <c r="Z1170">
        <v>39.99</v>
      </c>
      <c r="AA1170" t="s">
        <v>97</v>
      </c>
    </row>
    <row r="1171" spans="1:27" x14ac:dyDescent="0.2">
      <c r="A1171" t="s">
        <v>92</v>
      </c>
      <c r="B1171" t="s">
        <v>2146</v>
      </c>
      <c r="C1171" t="s">
        <v>2218</v>
      </c>
      <c r="D1171" t="s">
        <v>2219</v>
      </c>
      <c r="E1171" t="s">
        <v>228</v>
      </c>
      <c r="F1171">
        <v>84.99</v>
      </c>
      <c r="H1171">
        <v>54.08</v>
      </c>
      <c r="I1171">
        <v>61.81</v>
      </c>
      <c r="J1171">
        <v>69.53</v>
      </c>
      <c r="K1171">
        <v>63.63</v>
      </c>
      <c r="L1171">
        <v>64.86</v>
      </c>
      <c r="M1171">
        <v>61.81</v>
      </c>
      <c r="O1171">
        <v>77.27</v>
      </c>
      <c r="Q1171">
        <v>61.81</v>
      </c>
      <c r="R1171">
        <v>61.81</v>
      </c>
      <c r="T1171" t="s">
        <v>97</v>
      </c>
      <c r="U1171">
        <v>54.08</v>
      </c>
      <c r="V1171">
        <v>77.27</v>
      </c>
      <c r="W1171">
        <v>77.27</v>
      </c>
      <c r="Y1171">
        <v>77.27</v>
      </c>
      <c r="Z1171">
        <v>99.99</v>
      </c>
      <c r="AA1171" t="s">
        <v>97</v>
      </c>
    </row>
    <row r="1172" spans="1:27" x14ac:dyDescent="0.2">
      <c r="A1172" t="s">
        <v>92</v>
      </c>
      <c r="B1172" t="s">
        <v>2146</v>
      </c>
      <c r="C1172" t="s">
        <v>2220</v>
      </c>
      <c r="D1172" t="s">
        <v>2221</v>
      </c>
      <c r="E1172" t="s">
        <v>290</v>
      </c>
      <c r="F1172">
        <v>54.99</v>
      </c>
      <c r="H1172">
        <v>34.99</v>
      </c>
      <c r="I1172">
        <v>39.99</v>
      </c>
      <c r="J1172">
        <v>45.45</v>
      </c>
      <c r="K1172">
        <v>34.99</v>
      </c>
      <c r="L1172">
        <v>41.97</v>
      </c>
      <c r="M1172">
        <v>42.49</v>
      </c>
      <c r="Q1172">
        <v>37.49</v>
      </c>
      <c r="T1172" t="s">
        <v>97</v>
      </c>
      <c r="U1172">
        <v>34.99</v>
      </c>
      <c r="V1172">
        <v>42.49</v>
      </c>
      <c r="W1172">
        <v>42.49</v>
      </c>
      <c r="Y1172">
        <v>42.49</v>
      </c>
      <c r="Z1172">
        <v>54.99</v>
      </c>
      <c r="AA1172" t="s">
        <v>97</v>
      </c>
    </row>
    <row r="1173" spans="1:27" x14ac:dyDescent="0.2">
      <c r="A1173" t="s">
        <v>92</v>
      </c>
      <c r="B1173" t="s">
        <v>2146</v>
      </c>
      <c r="C1173" t="s">
        <v>2222</v>
      </c>
      <c r="D1173" t="s">
        <v>2223</v>
      </c>
      <c r="E1173" t="s">
        <v>290</v>
      </c>
      <c r="F1173">
        <v>99.99</v>
      </c>
      <c r="H1173">
        <v>63.63</v>
      </c>
      <c r="I1173">
        <v>72.72</v>
      </c>
      <c r="J1173">
        <v>82.64</v>
      </c>
      <c r="K1173">
        <v>63.63</v>
      </c>
      <c r="L1173">
        <v>76.31</v>
      </c>
      <c r="M1173">
        <v>77.27</v>
      </c>
      <c r="Q1173">
        <v>68.180000000000007</v>
      </c>
      <c r="T1173" t="s">
        <v>97</v>
      </c>
      <c r="U1173">
        <v>63.63</v>
      </c>
      <c r="V1173">
        <v>77.27</v>
      </c>
      <c r="W1173">
        <v>77.27</v>
      </c>
      <c r="Y1173">
        <v>77.27</v>
      </c>
      <c r="Z1173">
        <v>99.99</v>
      </c>
      <c r="AA1173" t="s">
        <v>97</v>
      </c>
    </row>
    <row r="1174" spans="1:27" x14ac:dyDescent="0.2">
      <c r="A1174" t="s">
        <v>92</v>
      </c>
      <c r="B1174" t="s">
        <v>2146</v>
      </c>
      <c r="C1174" t="s">
        <v>2224</v>
      </c>
      <c r="D1174" t="s">
        <v>2225</v>
      </c>
      <c r="E1174" t="s">
        <v>290</v>
      </c>
      <c r="F1174">
        <v>179.99</v>
      </c>
      <c r="H1174">
        <v>114.54</v>
      </c>
      <c r="I1174">
        <v>130.9</v>
      </c>
      <c r="J1174">
        <v>148.75</v>
      </c>
      <c r="K1174">
        <v>114.54</v>
      </c>
      <c r="L1174">
        <v>137.37</v>
      </c>
      <c r="M1174">
        <v>139.08000000000001</v>
      </c>
      <c r="O1174">
        <v>139.08000000000001</v>
      </c>
      <c r="Q1174">
        <v>130.9</v>
      </c>
      <c r="T1174" t="s">
        <v>97</v>
      </c>
      <c r="U1174">
        <v>114.54</v>
      </c>
      <c r="V1174">
        <v>139.08000000000001</v>
      </c>
      <c r="W1174">
        <v>139.08000000000001</v>
      </c>
      <c r="Y1174">
        <v>139.08000000000001</v>
      </c>
      <c r="Z1174">
        <v>179.99</v>
      </c>
      <c r="AA1174" t="s">
        <v>97</v>
      </c>
    </row>
    <row r="1175" spans="1:27" x14ac:dyDescent="0.2">
      <c r="A1175" t="s">
        <v>92</v>
      </c>
      <c r="B1175" t="s">
        <v>2146</v>
      </c>
      <c r="C1175" t="s">
        <v>2226</v>
      </c>
      <c r="D1175" t="s">
        <v>2227</v>
      </c>
      <c r="E1175" t="s">
        <v>228</v>
      </c>
      <c r="F1175">
        <v>54.99</v>
      </c>
      <c r="H1175">
        <v>37.49</v>
      </c>
      <c r="I1175">
        <v>39.99</v>
      </c>
      <c r="J1175">
        <v>44.99</v>
      </c>
      <c r="L1175">
        <v>41.97</v>
      </c>
      <c r="M1175">
        <v>39.99</v>
      </c>
      <c r="Q1175">
        <v>37.49</v>
      </c>
      <c r="R1175">
        <v>39.99</v>
      </c>
      <c r="T1175" t="s">
        <v>97</v>
      </c>
      <c r="U1175">
        <v>34.99</v>
      </c>
      <c r="AA1175" t="s">
        <v>97</v>
      </c>
    </row>
    <row r="1176" spans="1:27" x14ac:dyDescent="0.2">
      <c r="A1176" t="s">
        <v>92</v>
      </c>
      <c r="B1176" t="s">
        <v>2146</v>
      </c>
      <c r="C1176" t="s">
        <v>2228</v>
      </c>
      <c r="D1176" t="s">
        <v>2229</v>
      </c>
      <c r="E1176" t="s">
        <v>228</v>
      </c>
      <c r="F1176">
        <v>99.99</v>
      </c>
      <c r="H1176">
        <v>63.63</v>
      </c>
      <c r="I1176">
        <v>72.72</v>
      </c>
      <c r="J1176">
        <v>81.81</v>
      </c>
      <c r="L1176">
        <v>76.31</v>
      </c>
      <c r="M1176">
        <v>72.72</v>
      </c>
      <c r="Q1176">
        <v>68.180000000000007</v>
      </c>
      <c r="R1176">
        <v>72.72</v>
      </c>
      <c r="T1176" t="s">
        <v>97</v>
      </c>
      <c r="U1176">
        <v>63.63</v>
      </c>
      <c r="AA1176" t="s">
        <v>97</v>
      </c>
    </row>
    <row r="1177" spans="1:27" x14ac:dyDescent="0.2">
      <c r="A1177" t="s">
        <v>92</v>
      </c>
      <c r="B1177" t="s">
        <v>2146</v>
      </c>
      <c r="C1177" t="s">
        <v>2230</v>
      </c>
      <c r="D1177" t="s">
        <v>2231</v>
      </c>
      <c r="E1177" t="s">
        <v>228</v>
      </c>
      <c r="F1177">
        <v>179.99</v>
      </c>
      <c r="H1177">
        <v>114.54</v>
      </c>
      <c r="I1177">
        <v>130.9</v>
      </c>
      <c r="J1177">
        <v>147.27000000000001</v>
      </c>
      <c r="L1177">
        <v>137.37</v>
      </c>
      <c r="M1177">
        <v>139.09</v>
      </c>
      <c r="Q1177">
        <v>130.9</v>
      </c>
      <c r="R1177">
        <v>130.9</v>
      </c>
      <c r="T1177" t="s">
        <v>97</v>
      </c>
      <c r="U1177">
        <v>114.54</v>
      </c>
      <c r="AA1177" t="s">
        <v>97</v>
      </c>
    </row>
    <row r="1178" spans="1:27" x14ac:dyDescent="0.2">
      <c r="A1178" t="s">
        <v>92</v>
      </c>
      <c r="B1178" t="s">
        <v>2146</v>
      </c>
      <c r="C1178" t="s">
        <v>2232</v>
      </c>
      <c r="D1178" t="s">
        <v>2233</v>
      </c>
      <c r="E1178" t="s">
        <v>290</v>
      </c>
      <c r="F1178">
        <v>39.99</v>
      </c>
      <c r="G1178">
        <v>39.99</v>
      </c>
      <c r="H1178">
        <v>25.45</v>
      </c>
      <c r="I1178">
        <v>29.08</v>
      </c>
      <c r="J1178">
        <v>32.72</v>
      </c>
      <c r="K1178">
        <v>25.45</v>
      </c>
      <c r="L1178">
        <v>30.52</v>
      </c>
      <c r="M1178">
        <v>29.08</v>
      </c>
      <c r="O1178">
        <v>29.08</v>
      </c>
      <c r="Q1178">
        <v>27.27</v>
      </c>
      <c r="R1178">
        <v>29.08</v>
      </c>
      <c r="T1178" t="s">
        <v>97</v>
      </c>
      <c r="U1178">
        <v>25.45</v>
      </c>
      <c r="V1178">
        <v>30.9</v>
      </c>
      <c r="W1178">
        <v>30.9</v>
      </c>
      <c r="X1178">
        <v>30.9</v>
      </c>
      <c r="Y1178">
        <v>32.72</v>
      </c>
      <c r="Z1178">
        <v>39.99</v>
      </c>
      <c r="AA1178" t="s">
        <v>97</v>
      </c>
    </row>
    <row r="1179" spans="1:27" x14ac:dyDescent="0.2">
      <c r="A1179" t="s">
        <v>92</v>
      </c>
      <c r="B1179" t="s">
        <v>2146</v>
      </c>
      <c r="C1179" t="s">
        <v>2234</v>
      </c>
      <c r="D1179" t="s">
        <v>2235</v>
      </c>
      <c r="E1179" t="s">
        <v>290</v>
      </c>
      <c r="F1179">
        <v>49.99</v>
      </c>
      <c r="H1179">
        <v>31.81</v>
      </c>
      <c r="I1179">
        <v>36.36</v>
      </c>
      <c r="J1179">
        <v>41.31</v>
      </c>
      <c r="K1179">
        <v>31.81</v>
      </c>
      <c r="L1179">
        <v>38.15</v>
      </c>
      <c r="M1179">
        <v>36.36</v>
      </c>
      <c r="Q1179">
        <v>34.08</v>
      </c>
      <c r="R1179">
        <v>36.36</v>
      </c>
      <c r="T1179" t="s">
        <v>97</v>
      </c>
      <c r="U1179">
        <v>31.81</v>
      </c>
      <c r="V1179">
        <v>38.630000000000003</v>
      </c>
      <c r="W1179">
        <v>38.630000000000003</v>
      </c>
      <c r="Y1179">
        <v>40.9</v>
      </c>
      <c r="Z1179">
        <v>49.99</v>
      </c>
      <c r="AA1179" t="s">
        <v>97</v>
      </c>
    </row>
    <row r="1180" spans="1:27" x14ac:dyDescent="0.2">
      <c r="A1180" t="s">
        <v>92</v>
      </c>
      <c r="B1180" t="s">
        <v>2146</v>
      </c>
      <c r="C1180" t="s">
        <v>2236</v>
      </c>
      <c r="D1180" t="s">
        <v>2237</v>
      </c>
      <c r="E1180" t="s">
        <v>290</v>
      </c>
      <c r="F1180">
        <v>89.99</v>
      </c>
      <c r="H1180">
        <v>57.27</v>
      </c>
      <c r="I1180">
        <v>65.45</v>
      </c>
      <c r="J1180">
        <v>74.37</v>
      </c>
      <c r="K1180">
        <v>57.27</v>
      </c>
      <c r="L1180">
        <v>68.680000000000007</v>
      </c>
      <c r="M1180">
        <v>65.45</v>
      </c>
      <c r="Q1180">
        <v>61.36</v>
      </c>
      <c r="R1180">
        <v>65.45</v>
      </c>
      <c r="T1180" t="s">
        <v>97</v>
      </c>
      <c r="U1180">
        <v>57.27</v>
      </c>
      <c r="V1180">
        <v>69.540000000000006</v>
      </c>
      <c r="W1180">
        <v>69.540000000000006</v>
      </c>
      <c r="Y1180">
        <v>73.63</v>
      </c>
      <c r="Z1180">
        <v>89.99</v>
      </c>
      <c r="AA1180" t="s">
        <v>97</v>
      </c>
    </row>
    <row r="1181" spans="1:27" x14ac:dyDescent="0.2">
      <c r="A1181" t="s">
        <v>92</v>
      </c>
      <c r="B1181" t="s">
        <v>2146</v>
      </c>
      <c r="C1181" t="s">
        <v>2238</v>
      </c>
      <c r="D1181" t="s">
        <v>2239</v>
      </c>
      <c r="E1181" t="s">
        <v>290</v>
      </c>
      <c r="F1181">
        <v>129.99</v>
      </c>
      <c r="H1181">
        <v>82.72</v>
      </c>
      <c r="I1181">
        <v>94.54</v>
      </c>
      <c r="J1181">
        <v>107.42</v>
      </c>
      <c r="K1181">
        <v>82.72</v>
      </c>
      <c r="L1181">
        <v>99.21</v>
      </c>
      <c r="M1181">
        <v>100.45</v>
      </c>
      <c r="Q1181">
        <v>94.54</v>
      </c>
      <c r="R1181">
        <v>94.54</v>
      </c>
      <c r="T1181" t="s">
        <v>97</v>
      </c>
      <c r="U1181">
        <v>82.72</v>
      </c>
      <c r="V1181">
        <v>100.45</v>
      </c>
      <c r="W1181">
        <v>100.45</v>
      </c>
      <c r="Y1181">
        <v>106.36</v>
      </c>
      <c r="Z1181">
        <v>129.99</v>
      </c>
      <c r="AA1181" t="s">
        <v>97</v>
      </c>
    </row>
    <row r="1182" spans="1:27" x14ac:dyDescent="0.2">
      <c r="A1182" t="s">
        <v>92</v>
      </c>
      <c r="B1182" t="s">
        <v>2146</v>
      </c>
      <c r="C1182" t="s">
        <v>2240</v>
      </c>
      <c r="D1182" t="s">
        <v>2241</v>
      </c>
      <c r="E1182" t="s">
        <v>290</v>
      </c>
      <c r="F1182">
        <v>99.99</v>
      </c>
      <c r="H1182">
        <v>63.63</v>
      </c>
      <c r="I1182">
        <v>72.72</v>
      </c>
      <c r="J1182">
        <v>81.81</v>
      </c>
      <c r="K1182">
        <v>63.63</v>
      </c>
      <c r="L1182">
        <v>76.31</v>
      </c>
      <c r="M1182">
        <v>72.72</v>
      </c>
      <c r="O1182">
        <v>72.72</v>
      </c>
      <c r="Q1182">
        <v>68.180000000000007</v>
      </c>
      <c r="R1182">
        <v>72.72</v>
      </c>
      <c r="T1182" t="s">
        <v>97</v>
      </c>
      <c r="U1182">
        <v>63.63</v>
      </c>
      <c r="V1182">
        <v>77.27</v>
      </c>
      <c r="W1182">
        <v>77.27</v>
      </c>
      <c r="X1182">
        <v>77.27</v>
      </c>
      <c r="Y1182">
        <v>75.45</v>
      </c>
      <c r="Z1182">
        <v>99.99</v>
      </c>
      <c r="AA1182" t="s">
        <v>97</v>
      </c>
    </row>
    <row r="1183" spans="1:27" x14ac:dyDescent="0.2">
      <c r="A1183" t="s">
        <v>92</v>
      </c>
      <c r="B1183" t="s">
        <v>2146</v>
      </c>
      <c r="C1183" t="s">
        <v>2242</v>
      </c>
      <c r="D1183" t="s">
        <v>2243</v>
      </c>
      <c r="E1183" t="s">
        <v>290</v>
      </c>
      <c r="F1183">
        <v>39.99</v>
      </c>
      <c r="H1183">
        <v>25.45</v>
      </c>
      <c r="I1183">
        <v>29.08</v>
      </c>
      <c r="J1183">
        <v>32.72</v>
      </c>
      <c r="K1183">
        <v>25.45</v>
      </c>
      <c r="L1183">
        <v>30.52</v>
      </c>
      <c r="M1183">
        <v>29.08</v>
      </c>
      <c r="O1183">
        <v>29.08</v>
      </c>
      <c r="Q1183">
        <v>27.27</v>
      </c>
      <c r="R1183">
        <v>29.08</v>
      </c>
      <c r="T1183" t="s">
        <v>97</v>
      </c>
      <c r="U1183">
        <v>25.45</v>
      </c>
      <c r="V1183">
        <v>30.9</v>
      </c>
      <c r="W1183">
        <v>30.9</v>
      </c>
      <c r="X1183">
        <v>30.9</v>
      </c>
      <c r="Y1183">
        <v>30.17</v>
      </c>
      <c r="Z1183">
        <v>39.99</v>
      </c>
      <c r="AA1183" t="s">
        <v>97</v>
      </c>
    </row>
    <row r="1184" spans="1:27" x14ac:dyDescent="0.2">
      <c r="A1184" t="s">
        <v>92</v>
      </c>
      <c r="B1184" t="s">
        <v>2146</v>
      </c>
      <c r="C1184" t="s">
        <v>2244</v>
      </c>
      <c r="D1184" t="s">
        <v>2245</v>
      </c>
      <c r="E1184" t="s">
        <v>290</v>
      </c>
      <c r="F1184">
        <v>39.99</v>
      </c>
      <c r="G1184">
        <v>39.99</v>
      </c>
      <c r="H1184">
        <v>25.45</v>
      </c>
      <c r="I1184">
        <v>29.08</v>
      </c>
      <c r="J1184">
        <v>32.72</v>
      </c>
      <c r="K1184">
        <v>25.45</v>
      </c>
      <c r="L1184">
        <v>30.52</v>
      </c>
      <c r="M1184">
        <v>29.08</v>
      </c>
      <c r="O1184">
        <v>29.08</v>
      </c>
      <c r="Q1184">
        <v>27.27</v>
      </c>
      <c r="R1184">
        <v>29.08</v>
      </c>
      <c r="T1184" t="s">
        <v>97</v>
      </c>
      <c r="U1184">
        <v>25.45</v>
      </c>
      <c r="V1184">
        <v>30.9</v>
      </c>
      <c r="W1184">
        <v>30.9</v>
      </c>
      <c r="Y1184">
        <v>32.72</v>
      </c>
      <c r="Z1184">
        <v>39.99</v>
      </c>
      <c r="AA1184" t="s">
        <v>97</v>
      </c>
    </row>
    <row r="1185" spans="1:27" x14ac:dyDescent="0.2">
      <c r="A1185" t="s">
        <v>92</v>
      </c>
      <c r="B1185" t="s">
        <v>2146</v>
      </c>
      <c r="C1185" t="s">
        <v>2246</v>
      </c>
      <c r="D1185" t="s">
        <v>2247</v>
      </c>
      <c r="E1185" t="s">
        <v>290</v>
      </c>
      <c r="F1185">
        <v>99.99</v>
      </c>
      <c r="H1185">
        <v>63.63</v>
      </c>
      <c r="I1185">
        <v>72.72</v>
      </c>
      <c r="J1185">
        <v>81.81</v>
      </c>
      <c r="K1185">
        <v>63.63</v>
      </c>
      <c r="L1185">
        <v>76.31</v>
      </c>
      <c r="M1185">
        <v>72.72</v>
      </c>
      <c r="O1185">
        <v>72.72</v>
      </c>
      <c r="Q1185">
        <v>68.180000000000007</v>
      </c>
      <c r="R1185">
        <v>72.72</v>
      </c>
      <c r="T1185" t="s">
        <v>97</v>
      </c>
      <c r="U1185">
        <v>63.63</v>
      </c>
      <c r="V1185">
        <v>77.27</v>
      </c>
      <c r="W1185">
        <v>77.27</v>
      </c>
      <c r="Y1185">
        <v>81.81</v>
      </c>
      <c r="Z1185">
        <v>99.99</v>
      </c>
      <c r="AA1185" t="s">
        <v>97</v>
      </c>
    </row>
    <row r="1186" spans="1:27" x14ac:dyDescent="0.2">
      <c r="A1186" t="s">
        <v>92</v>
      </c>
      <c r="B1186" t="s">
        <v>2146</v>
      </c>
      <c r="C1186" t="s">
        <v>2248</v>
      </c>
      <c r="D1186" t="s">
        <v>2249</v>
      </c>
      <c r="E1186" t="s">
        <v>228</v>
      </c>
      <c r="F1186">
        <v>49.99</v>
      </c>
      <c r="H1186">
        <v>31.82</v>
      </c>
      <c r="I1186">
        <v>36.36</v>
      </c>
      <c r="L1186">
        <v>35.450000000000003</v>
      </c>
      <c r="Q1186">
        <v>36.36</v>
      </c>
      <c r="R1186">
        <v>36.36</v>
      </c>
      <c r="T1186" t="s">
        <v>97</v>
      </c>
      <c r="U1186">
        <v>31.82</v>
      </c>
      <c r="AA1186" t="s">
        <v>97</v>
      </c>
    </row>
    <row r="1187" spans="1:27" x14ac:dyDescent="0.2">
      <c r="A1187" t="s">
        <v>92</v>
      </c>
      <c r="B1187" t="s">
        <v>2146</v>
      </c>
      <c r="C1187" t="s">
        <v>2250</v>
      </c>
      <c r="D1187" t="s">
        <v>2251</v>
      </c>
      <c r="E1187" t="s">
        <v>228</v>
      </c>
      <c r="F1187">
        <v>89.99</v>
      </c>
      <c r="H1187">
        <v>57.27</v>
      </c>
      <c r="I1187">
        <v>65.45</v>
      </c>
      <c r="L1187">
        <v>63.81</v>
      </c>
      <c r="Q1187">
        <v>65.45</v>
      </c>
      <c r="R1187">
        <v>65.45</v>
      </c>
      <c r="T1187" t="s">
        <v>97</v>
      </c>
      <c r="U1187">
        <v>57.27</v>
      </c>
      <c r="AA1187" t="s">
        <v>97</v>
      </c>
    </row>
    <row r="1188" spans="1:27" x14ac:dyDescent="0.2">
      <c r="A1188" t="s">
        <v>92</v>
      </c>
      <c r="B1188" t="s">
        <v>2146</v>
      </c>
      <c r="C1188" t="s">
        <v>2252</v>
      </c>
      <c r="D1188" t="s">
        <v>2253</v>
      </c>
      <c r="E1188" t="s">
        <v>290</v>
      </c>
      <c r="F1188">
        <v>99.99</v>
      </c>
      <c r="H1188">
        <v>63.63</v>
      </c>
      <c r="I1188">
        <v>72.72</v>
      </c>
      <c r="J1188">
        <v>81.81</v>
      </c>
      <c r="K1188">
        <v>63.63</v>
      </c>
      <c r="L1188">
        <v>76.31</v>
      </c>
      <c r="M1188">
        <v>72.72</v>
      </c>
      <c r="O1188">
        <v>72.72</v>
      </c>
      <c r="Q1188">
        <v>68.180000000000007</v>
      </c>
      <c r="R1188">
        <v>72.72</v>
      </c>
      <c r="T1188" t="s">
        <v>97</v>
      </c>
      <c r="U1188">
        <v>63.63</v>
      </c>
      <c r="V1188">
        <v>77.27</v>
      </c>
      <c r="W1188">
        <v>77.27</v>
      </c>
      <c r="X1188">
        <v>77.27</v>
      </c>
      <c r="Y1188">
        <v>75.45</v>
      </c>
      <c r="Z1188">
        <v>99.99</v>
      </c>
      <c r="AA1188" t="s">
        <v>97</v>
      </c>
    </row>
    <row r="1189" spans="1:27" x14ac:dyDescent="0.2">
      <c r="A1189" t="s">
        <v>92</v>
      </c>
      <c r="B1189" t="s">
        <v>2146</v>
      </c>
      <c r="C1189" t="s">
        <v>2254</v>
      </c>
      <c r="D1189" t="s">
        <v>2255</v>
      </c>
      <c r="E1189" t="s">
        <v>290</v>
      </c>
      <c r="F1189">
        <v>39.99</v>
      </c>
      <c r="H1189">
        <v>25.45</v>
      </c>
      <c r="I1189">
        <v>29.08</v>
      </c>
      <c r="J1189">
        <v>32.72</v>
      </c>
      <c r="K1189">
        <v>25.45</v>
      </c>
      <c r="L1189">
        <v>30.52</v>
      </c>
      <c r="M1189">
        <v>29.08</v>
      </c>
      <c r="O1189">
        <v>29.08</v>
      </c>
      <c r="Q1189">
        <v>27.27</v>
      </c>
      <c r="R1189">
        <v>29.08</v>
      </c>
      <c r="T1189" t="s">
        <v>97</v>
      </c>
      <c r="U1189">
        <v>25.45</v>
      </c>
      <c r="V1189">
        <v>30.9</v>
      </c>
      <c r="W1189">
        <v>30.9</v>
      </c>
      <c r="X1189">
        <v>30.9</v>
      </c>
      <c r="Y1189">
        <v>30.17</v>
      </c>
      <c r="Z1189">
        <v>39.99</v>
      </c>
      <c r="AA1189" t="s">
        <v>97</v>
      </c>
    </row>
    <row r="1190" spans="1:27" x14ac:dyDescent="0.2">
      <c r="A1190" t="s">
        <v>92</v>
      </c>
      <c r="B1190" t="s">
        <v>2146</v>
      </c>
      <c r="C1190" t="s">
        <v>2256</v>
      </c>
      <c r="D1190" t="s">
        <v>2257</v>
      </c>
      <c r="E1190" t="s">
        <v>290</v>
      </c>
      <c r="F1190">
        <v>39.99</v>
      </c>
      <c r="G1190">
        <v>39.99</v>
      </c>
      <c r="H1190">
        <v>25.45</v>
      </c>
      <c r="I1190">
        <v>29.08</v>
      </c>
      <c r="J1190">
        <v>32.72</v>
      </c>
      <c r="K1190">
        <v>25.45</v>
      </c>
      <c r="L1190">
        <v>30.52</v>
      </c>
      <c r="M1190">
        <v>29.08</v>
      </c>
      <c r="O1190">
        <v>29.08</v>
      </c>
      <c r="Q1190">
        <v>27.27</v>
      </c>
      <c r="R1190">
        <v>29.08</v>
      </c>
      <c r="T1190" t="s">
        <v>97</v>
      </c>
      <c r="U1190">
        <v>25.45</v>
      </c>
      <c r="V1190">
        <v>30.9</v>
      </c>
      <c r="W1190">
        <v>30.9</v>
      </c>
      <c r="Y1190">
        <v>32.72</v>
      </c>
      <c r="Z1190">
        <v>39.99</v>
      </c>
      <c r="AA1190" t="s">
        <v>97</v>
      </c>
    </row>
    <row r="1191" spans="1:27" x14ac:dyDescent="0.2">
      <c r="A1191" t="s">
        <v>92</v>
      </c>
      <c r="B1191" t="s">
        <v>2146</v>
      </c>
      <c r="C1191" t="s">
        <v>2258</v>
      </c>
      <c r="D1191" t="s">
        <v>2259</v>
      </c>
      <c r="E1191" t="s">
        <v>290</v>
      </c>
      <c r="F1191">
        <v>99.99</v>
      </c>
      <c r="H1191">
        <v>63.63</v>
      </c>
      <c r="I1191">
        <v>72.72</v>
      </c>
      <c r="J1191">
        <v>81.81</v>
      </c>
      <c r="K1191">
        <v>63.63</v>
      </c>
      <c r="L1191">
        <v>76.31</v>
      </c>
      <c r="M1191">
        <v>72.72</v>
      </c>
      <c r="O1191">
        <v>72.72</v>
      </c>
      <c r="Q1191">
        <v>68.180000000000007</v>
      </c>
      <c r="R1191">
        <v>72.72</v>
      </c>
      <c r="T1191" t="s">
        <v>97</v>
      </c>
      <c r="U1191">
        <v>63.63</v>
      </c>
      <c r="V1191">
        <v>77.27</v>
      </c>
      <c r="W1191">
        <v>77.27</v>
      </c>
      <c r="Y1191">
        <v>81.81</v>
      </c>
      <c r="Z1191">
        <v>99.99</v>
      </c>
      <c r="AA1191" t="s">
        <v>97</v>
      </c>
    </row>
    <row r="1192" spans="1:27" x14ac:dyDescent="0.2">
      <c r="A1192" t="s">
        <v>92</v>
      </c>
      <c r="B1192" t="s">
        <v>2146</v>
      </c>
      <c r="C1192" t="s">
        <v>2260</v>
      </c>
      <c r="D1192" t="s">
        <v>2261</v>
      </c>
      <c r="E1192" t="s">
        <v>228</v>
      </c>
      <c r="F1192">
        <v>49.99</v>
      </c>
      <c r="H1192">
        <v>31.815000000000001</v>
      </c>
      <c r="I1192">
        <v>36.36</v>
      </c>
      <c r="L1192">
        <v>35.451000000000001</v>
      </c>
      <c r="Q1192">
        <v>36.36</v>
      </c>
      <c r="R1192">
        <v>36.36</v>
      </c>
      <c r="T1192" t="s">
        <v>97</v>
      </c>
      <c r="U1192">
        <v>31.815000000000001</v>
      </c>
      <c r="AA1192" t="s">
        <v>97</v>
      </c>
    </row>
    <row r="1193" spans="1:27" x14ac:dyDescent="0.2">
      <c r="A1193" t="s">
        <v>92</v>
      </c>
      <c r="B1193" t="s">
        <v>2146</v>
      </c>
      <c r="C1193" t="s">
        <v>2262</v>
      </c>
      <c r="D1193" t="s">
        <v>2263</v>
      </c>
      <c r="E1193" t="s">
        <v>228</v>
      </c>
      <c r="F1193">
        <v>89.99</v>
      </c>
      <c r="H1193">
        <v>57.27</v>
      </c>
      <c r="I1193">
        <v>65.45</v>
      </c>
      <c r="L1193">
        <v>63.81</v>
      </c>
      <c r="Q1193">
        <v>65.45</v>
      </c>
      <c r="R1193">
        <v>65.45</v>
      </c>
      <c r="T1193" t="s">
        <v>97</v>
      </c>
      <c r="U1193">
        <v>57.27</v>
      </c>
      <c r="AA1193" t="s">
        <v>97</v>
      </c>
    </row>
    <row r="1194" spans="1:27" x14ac:dyDescent="0.2">
      <c r="A1194" t="s">
        <v>92</v>
      </c>
      <c r="B1194" t="s">
        <v>2146</v>
      </c>
      <c r="C1194" t="s">
        <v>2264</v>
      </c>
      <c r="D1194" t="s">
        <v>2265</v>
      </c>
      <c r="E1194" t="s">
        <v>290</v>
      </c>
      <c r="F1194">
        <v>99.99</v>
      </c>
      <c r="H1194">
        <v>63.63</v>
      </c>
      <c r="I1194">
        <v>72.72</v>
      </c>
      <c r="J1194">
        <v>81.81</v>
      </c>
      <c r="K1194">
        <v>63.63</v>
      </c>
      <c r="L1194">
        <v>76.31</v>
      </c>
      <c r="M1194">
        <v>72.72</v>
      </c>
      <c r="O1194">
        <v>72.72</v>
      </c>
      <c r="Q1194">
        <v>68.180000000000007</v>
      </c>
      <c r="R1194">
        <v>72.72</v>
      </c>
      <c r="T1194" t="s">
        <v>97</v>
      </c>
      <c r="U1194">
        <v>63.63</v>
      </c>
      <c r="V1194">
        <v>77.27</v>
      </c>
      <c r="W1194">
        <v>77.27</v>
      </c>
      <c r="X1194">
        <v>77.27</v>
      </c>
      <c r="Y1194">
        <v>75.45</v>
      </c>
      <c r="Z1194">
        <v>99.99</v>
      </c>
      <c r="AA1194" t="s">
        <v>97</v>
      </c>
    </row>
    <row r="1195" spans="1:27" x14ac:dyDescent="0.2">
      <c r="A1195" t="s">
        <v>92</v>
      </c>
      <c r="B1195" t="s">
        <v>2146</v>
      </c>
      <c r="C1195" t="s">
        <v>2266</v>
      </c>
      <c r="D1195" t="s">
        <v>2267</v>
      </c>
      <c r="E1195" t="s">
        <v>228</v>
      </c>
      <c r="F1195">
        <v>109.99</v>
      </c>
      <c r="H1195">
        <v>84.99</v>
      </c>
      <c r="I1195">
        <v>74.989999999999995</v>
      </c>
      <c r="L1195">
        <v>83.94</v>
      </c>
      <c r="M1195">
        <v>84.99</v>
      </c>
      <c r="O1195">
        <v>89.99</v>
      </c>
      <c r="Q1195">
        <v>79.989999999999995</v>
      </c>
      <c r="T1195" t="s">
        <v>97</v>
      </c>
      <c r="U1195">
        <v>74.989999999999995</v>
      </c>
      <c r="AA1195" t="s">
        <v>97</v>
      </c>
    </row>
    <row r="1196" spans="1:27" x14ac:dyDescent="0.2">
      <c r="A1196" t="s">
        <v>92</v>
      </c>
      <c r="B1196" t="s">
        <v>2146</v>
      </c>
      <c r="C1196" t="s">
        <v>2268</v>
      </c>
      <c r="D1196" t="s">
        <v>2269</v>
      </c>
      <c r="E1196" t="s">
        <v>228</v>
      </c>
      <c r="F1196">
        <v>129.99</v>
      </c>
      <c r="L1196">
        <v>99.2</v>
      </c>
      <c r="T1196" t="s">
        <v>97</v>
      </c>
      <c r="AA1196" t="s">
        <v>97</v>
      </c>
    </row>
    <row r="1197" spans="1:27" x14ac:dyDescent="0.2">
      <c r="A1197" t="s">
        <v>92</v>
      </c>
      <c r="B1197" t="s">
        <v>2146</v>
      </c>
      <c r="C1197" t="s">
        <v>8416</v>
      </c>
      <c r="D1197" t="s">
        <v>8417</v>
      </c>
      <c r="E1197" t="s">
        <v>228</v>
      </c>
      <c r="F1197">
        <v>299.99</v>
      </c>
      <c r="L1197">
        <v>190.9</v>
      </c>
      <c r="M1197">
        <v>218.18</v>
      </c>
      <c r="O1197">
        <v>218.18</v>
      </c>
      <c r="Q1197">
        <v>218.18</v>
      </c>
      <c r="R1197">
        <v>218.18</v>
      </c>
      <c r="T1197" t="s">
        <v>97</v>
      </c>
      <c r="U1197">
        <v>207.27</v>
      </c>
      <c r="AA1197" t="s">
        <v>97</v>
      </c>
    </row>
    <row r="1198" spans="1:27" x14ac:dyDescent="0.2">
      <c r="A1198" t="s">
        <v>92</v>
      </c>
      <c r="B1198" t="s">
        <v>2146</v>
      </c>
      <c r="C1198" t="s">
        <v>2270</v>
      </c>
      <c r="D1198" t="s">
        <v>2271</v>
      </c>
      <c r="E1198" t="s">
        <v>290</v>
      </c>
      <c r="F1198">
        <v>19.989999999999998</v>
      </c>
      <c r="H1198">
        <v>19.989999999999998</v>
      </c>
      <c r="I1198">
        <v>19.989999999999998</v>
      </c>
      <c r="K1198">
        <v>19.989999999999998</v>
      </c>
      <c r="L1198">
        <v>19.989999999999998</v>
      </c>
      <c r="M1198">
        <v>19.989999999999998</v>
      </c>
      <c r="O1198">
        <v>19.989999999999998</v>
      </c>
      <c r="P1198">
        <v>19.989999999999998</v>
      </c>
      <c r="Q1198">
        <v>19.989999999999998</v>
      </c>
      <c r="R1198">
        <v>19.989999999999998</v>
      </c>
      <c r="S1198">
        <v>19.989999999999998</v>
      </c>
      <c r="T1198" t="s">
        <v>97</v>
      </c>
      <c r="Z1198">
        <v>19.989999999999998</v>
      </c>
      <c r="AA1198" t="s">
        <v>97</v>
      </c>
    </row>
    <row r="1199" spans="1:27" x14ac:dyDescent="0.2">
      <c r="A1199" t="s">
        <v>92</v>
      </c>
      <c r="B1199" t="s">
        <v>2146</v>
      </c>
      <c r="C1199" t="s">
        <v>2272</v>
      </c>
      <c r="D1199" t="s">
        <v>2273</v>
      </c>
      <c r="E1199" t="s">
        <v>96</v>
      </c>
      <c r="F1199">
        <v>119.99</v>
      </c>
      <c r="G1199">
        <v>89.99</v>
      </c>
      <c r="H1199">
        <v>76.36</v>
      </c>
      <c r="I1199">
        <v>87.27</v>
      </c>
      <c r="J1199">
        <v>98.17</v>
      </c>
      <c r="K1199">
        <v>76.36</v>
      </c>
      <c r="L1199">
        <v>91.57</v>
      </c>
      <c r="M1199">
        <v>87.27</v>
      </c>
      <c r="O1199">
        <v>89.99</v>
      </c>
      <c r="Q1199">
        <v>81.81</v>
      </c>
      <c r="R1199">
        <v>87.27</v>
      </c>
      <c r="T1199" t="s">
        <v>97</v>
      </c>
      <c r="U1199">
        <v>69.989999999999995</v>
      </c>
      <c r="AA1199" t="s">
        <v>97</v>
      </c>
    </row>
    <row r="1200" spans="1:27" x14ac:dyDescent="0.2">
      <c r="A1200" t="s">
        <v>92</v>
      </c>
      <c r="B1200" t="s">
        <v>2146</v>
      </c>
      <c r="C1200" t="s">
        <v>2274</v>
      </c>
      <c r="D1200" t="s">
        <v>2275</v>
      </c>
      <c r="E1200" t="s">
        <v>290</v>
      </c>
      <c r="F1200">
        <v>349.99</v>
      </c>
      <c r="G1200">
        <v>249.99</v>
      </c>
      <c r="H1200">
        <v>222.72</v>
      </c>
      <c r="I1200">
        <v>254.54</v>
      </c>
      <c r="J1200">
        <v>286.36</v>
      </c>
      <c r="K1200">
        <v>222.72</v>
      </c>
      <c r="L1200">
        <v>267.11</v>
      </c>
      <c r="M1200">
        <v>254.54</v>
      </c>
      <c r="O1200">
        <v>261.81</v>
      </c>
      <c r="Q1200">
        <v>254.54</v>
      </c>
      <c r="R1200">
        <v>254.54</v>
      </c>
      <c r="T1200" t="s">
        <v>97</v>
      </c>
      <c r="U1200">
        <v>203.63</v>
      </c>
      <c r="Z1200">
        <v>349.99</v>
      </c>
      <c r="AA1200" t="s">
        <v>97</v>
      </c>
    </row>
    <row r="1201" spans="1:27" x14ac:dyDescent="0.2">
      <c r="A1201" t="s">
        <v>92</v>
      </c>
      <c r="B1201" t="s">
        <v>2146</v>
      </c>
      <c r="C1201" t="s">
        <v>2276</v>
      </c>
      <c r="D1201" t="s">
        <v>2277</v>
      </c>
      <c r="E1201" t="s">
        <v>290</v>
      </c>
      <c r="F1201">
        <v>19.989999999999998</v>
      </c>
      <c r="H1201">
        <v>19.989999999999998</v>
      </c>
      <c r="I1201">
        <v>19.989999999999998</v>
      </c>
      <c r="K1201">
        <v>19.989999999999998</v>
      </c>
      <c r="L1201">
        <v>19.989999999999998</v>
      </c>
      <c r="M1201">
        <v>19.989999999999998</v>
      </c>
      <c r="O1201">
        <v>19.989999999999998</v>
      </c>
      <c r="P1201">
        <v>19.989999999999998</v>
      </c>
      <c r="Q1201">
        <v>19.989999999999998</v>
      </c>
      <c r="R1201">
        <v>19.989999999999998</v>
      </c>
      <c r="S1201">
        <v>19.989999999999998</v>
      </c>
      <c r="T1201" t="s">
        <v>97</v>
      </c>
      <c r="Z1201">
        <v>19.989999999999998</v>
      </c>
      <c r="AA1201" t="s">
        <v>97</v>
      </c>
    </row>
    <row r="1202" spans="1:27" x14ac:dyDescent="0.2">
      <c r="A1202" t="s">
        <v>92</v>
      </c>
      <c r="B1202" t="s">
        <v>2146</v>
      </c>
      <c r="C1202" t="s">
        <v>2278</v>
      </c>
      <c r="D1202" t="s">
        <v>2279</v>
      </c>
      <c r="E1202" t="s">
        <v>228</v>
      </c>
      <c r="F1202">
        <v>79.989999999999995</v>
      </c>
      <c r="H1202">
        <v>61.81</v>
      </c>
      <c r="I1202">
        <v>65.45</v>
      </c>
      <c r="J1202">
        <v>66.11</v>
      </c>
      <c r="K1202">
        <v>61.81</v>
      </c>
      <c r="M1202">
        <v>72.72</v>
      </c>
      <c r="O1202">
        <v>69.08</v>
      </c>
      <c r="R1202">
        <v>72.72</v>
      </c>
      <c r="T1202" t="s">
        <v>97</v>
      </c>
      <c r="V1202">
        <v>61.81</v>
      </c>
      <c r="W1202">
        <v>72.72</v>
      </c>
      <c r="Y1202">
        <v>72.72</v>
      </c>
      <c r="Z1202">
        <v>79.989999999999995</v>
      </c>
      <c r="AA1202" t="s">
        <v>97</v>
      </c>
    </row>
    <row r="1203" spans="1:27" x14ac:dyDescent="0.2">
      <c r="A1203" t="s">
        <v>92</v>
      </c>
      <c r="B1203" t="s">
        <v>2146</v>
      </c>
      <c r="C1203" t="s">
        <v>2280</v>
      </c>
      <c r="D1203" t="s">
        <v>2281</v>
      </c>
      <c r="E1203" t="s">
        <v>228</v>
      </c>
      <c r="F1203">
        <v>59.99</v>
      </c>
      <c r="H1203">
        <v>46.36</v>
      </c>
      <c r="I1203">
        <v>49.08</v>
      </c>
      <c r="J1203">
        <v>49.57</v>
      </c>
      <c r="K1203">
        <v>46.36</v>
      </c>
      <c r="L1203">
        <v>54.54</v>
      </c>
      <c r="M1203">
        <v>54.54</v>
      </c>
      <c r="O1203">
        <v>46.36</v>
      </c>
      <c r="R1203">
        <v>54.54</v>
      </c>
      <c r="T1203" t="s">
        <v>97</v>
      </c>
      <c r="V1203">
        <v>46.36</v>
      </c>
      <c r="W1203">
        <v>54.54</v>
      </c>
      <c r="Y1203">
        <v>54.54</v>
      </c>
      <c r="Z1203">
        <v>59.99</v>
      </c>
      <c r="AA1203" t="s">
        <v>97</v>
      </c>
    </row>
    <row r="1204" spans="1:27" x14ac:dyDescent="0.2">
      <c r="A1204" t="s">
        <v>92</v>
      </c>
      <c r="B1204" t="s">
        <v>2146</v>
      </c>
      <c r="C1204" t="s">
        <v>2282</v>
      </c>
      <c r="D1204" t="s">
        <v>2283</v>
      </c>
      <c r="E1204" t="s">
        <v>290</v>
      </c>
      <c r="F1204">
        <v>59.99</v>
      </c>
      <c r="H1204">
        <v>46.36</v>
      </c>
      <c r="I1204">
        <v>49.08</v>
      </c>
      <c r="J1204">
        <v>49.57</v>
      </c>
      <c r="K1204">
        <v>46.36</v>
      </c>
      <c r="L1204">
        <v>54.54</v>
      </c>
      <c r="M1204">
        <v>54.54</v>
      </c>
      <c r="O1204">
        <v>46.36</v>
      </c>
      <c r="R1204">
        <v>54.54</v>
      </c>
      <c r="T1204" t="s">
        <v>97</v>
      </c>
      <c r="V1204">
        <v>46.36</v>
      </c>
      <c r="W1204">
        <v>54.54</v>
      </c>
      <c r="Y1204">
        <v>54.54</v>
      </c>
      <c r="Z1204">
        <v>59.99</v>
      </c>
      <c r="AA1204" t="s">
        <v>97</v>
      </c>
    </row>
    <row r="1205" spans="1:27" x14ac:dyDescent="0.2">
      <c r="A1205" t="s">
        <v>92</v>
      </c>
      <c r="B1205" t="s">
        <v>2146</v>
      </c>
      <c r="C1205" t="s">
        <v>2284</v>
      </c>
      <c r="D1205" t="s">
        <v>2285</v>
      </c>
      <c r="E1205" t="s">
        <v>290</v>
      </c>
      <c r="F1205">
        <v>79.989999999999995</v>
      </c>
      <c r="H1205">
        <v>61.81</v>
      </c>
      <c r="I1205">
        <v>65.45</v>
      </c>
      <c r="J1205">
        <v>66.11</v>
      </c>
      <c r="K1205">
        <v>61.81</v>
      </c>
      <c r="M1205">
        <v>72.72</v>
      </c>
      <c r="O1205">
        <v>69.08</v>
      </c>
      <c r="R1205">
        <v>72.72</v>
      </c>
      <c r="T1205" t="s">
        <v>97</v>
      </c>
      <c r="V1205">
        <v>61.81</v>
      </c>
      <c r="W1205">
        <v>72.72</v>
      </c>
      <c r="Y1205">
        <v>72.72</v>
      </c>
      <c r="Z1205">
        <v>79.989999999999995</v>
      </c>
      <c r="AA1205" t="s">
        <v>97</v>
      </c>
    </row>
    <row r="1206" spans="1:27" x14ac:dyDescent="0.2">
      <c r="A1206" t="s">
        <v>92</v>
      </c>
      <c r="B1206" t="s">
        <v>2146</v>
      </c>
      <c r="C1206" t="s">
        <v>2286</v>
      </c>
      <c r="D1206" t="s">
        <v>2287</v>
      </c>
      <c r="E1206" t="s">
        <v>228</v>
      </c>
      <c r="F1206">
        <v>79.989999999999995</v>
      </c>
      <c r="G1206">
        <v>99.99</v>
      </c>
      <c r="H1206">
        <v>63.63</v>
      </c>
      <c r="I1206">
        <v>72.72</v>
      </c>
      <c r="J1206">
        <v>82.63</v>
      </c>
      <c r="K1206">
        <v>63.63</v>
      </c>
      <c r="L1206">
        <v>61.08</v>
      </c>
      <c r="M1206">
        <v>61.81</v>
      </c>
      <c r="N1206">
        <v>0</v>
      </c>
      <c r="O1206">
        <v>87.26</v>
      </c>
      <c r="P1206">
        <v>0</v>
      </c>
      <c r="Q1206">
        <v>58.17</v>
      </c>
      <c r="R1206">
        <v>58.17</v>
      </c>
      <c r="T1206" t="s">
        <v>97</v>
      </c>
      <c r="U1206">
        <v>53.81</v>
      </c>
      <c r="V1206">
        <v>77.27</v>
      </c>
      <c r="W1206">
        <v>77.27</v>
      </c>
      <c r="X1206">
        <v>77.27</v>
      </c>
      <c r="Y1206">
        <v>77.27</v>
      </c>
      <c r="Z1206">
        <v>99.99</v>
      </c>
      <c r="AA1206" t="s">
        <v>97</v>
      </c>
    </row>
    <row r="1207" spans="1:27" x14ac:dyDescent="0.2">
      <c r="A1207" t="s">
        <v>92</v>
      </c>
      <c r="B1207" t="s">
        <v>2146</v>
      </c>
      <c r="C1207" t="s">
        <v>2288</v>
      </c>
      <c r="D1207" t="s">
        <v>2289</v>
      </c>
      <c r="E1207" t="s">
        <v>290</v>
      </c>
      <c r="F1207">
        <v>29.99</v>
      </c>
      <c r="H1207">
        <v>19.079999999999998</v>
      </c>
      <c r="I1207">
        <v>21.81</v>
      </c>
      <c r="J1207">
        <v>24.79</v>
      </c>
      <c r="K1207">
        <v>19.079999999999998</v>
      </c>
      <c r="L1207">
        <v>22.89</v>
      </c>
      <c r="M1207">
        <v>27.26</v>
      </c>
      <c r="O1207">
        <v>23.17</v>
      </c>
      <c r="Q1207">
        <v>20.45</v>
      </c>
      <c r="R1207">
        <v>21.81</v>
      </c>
      <c r="T1207" t="s">
        <v>97</v>
      </c>
      <c r="V1207">
        <v>23.17</v>
      </c>
      <c r="W1207">
        <v>27.26</v>
      </c>
      <c r="Y1207">
        <v>27.26</v>
      </c>
      <c r="Z1207">
        <v>29.99</v>
      </c>
      <c r="AA1207" t="s">
        <v>97</v>
      </c>
    </row>
    <row r="1208" spans="1:27" x14ac:dyDescent="0.2">
      <c r="A1208" t="s">
        <v>92</v>
      </c>
      <c r="B1208" t="s">
        <v>2146</v>
      </c>
      <c r="C1208" t="s">
        <v>2290</v>
      </c>
      <c r="D1208" t="s">
        <v>2291</v>
      </c>
      <c r="E1208" t="s">
        <v>290</v>
      </c>
      <c r="F1208">
        <v>469.99</v>
      </c>
      <c r="G1208">
        <v>539.99</v>
      </c>
      <c r="H1208">
        <v>343.63</v>
      </c>
      <c r="I1208">
        <v>392.72</v>
      </c>
      <c r="J1208">
        <v>446.27</v>
      </c>
      <c r="K1208">
        <v>343.63</v>
      </c>
      <c r="L1208">
        <v>358.9</v>
      </c>
      <c r="M1208">
        <v>363.17</v>
      </c>
      <c r="N1208">
        <v>0</v>
      </c>
      <c r="O1208">
        <v>392.72</v>
      </c>
      <c r="P1208">
        <v>0</v>
      </c>
      <c r="Q1208">
        <v>341.81</v>
      </c>
      <c r="R1208">
        <v>341.81</v>
      </c>
      <c r="S1208">
        <v>0</v>
      </c>
      <c r="T1208" t="s">
        <v>97</v>
      </c>
      <c r="U1208">
        <v>299.08</v>
      </c>
      <c r="V1208">
        <v>417.27</v>
      </c>
      <c r="W1208">
        <v>417.27</v>
      </c>
      <c r="X1208">
        <v>417.27</v>
      </c>
      <c r="Y1208">
        <v>417.27</v>
      </c>
      <c r="Z1208">
        <v>539.99</v>
      </c>
      <c r="AA1208" t="s">
        <v>97</v>
      </c>
    </row>
    <row r="1209" spans="1:27" x14ac:dyDescent="0.2">
      <c r="A1209" t="s">
        <v>92</v>
      </c>
      <c r="B1209" t="s">
        <v>2146</v>
      </c>
      <c r="C1209" t="s">
        <v>2292</v>
      </c>
      <c r="D1209" t="s">
        <v>2293</v>
      </c>
      <c r="E1209" t="s">
        <v>228</v>
      </c>
      <c r="F1209">
        <v>319.99</v>
      </c>
      <c r="G1209">
        <v>349.99</v>
      </c>
      <c r="H1209">
        <v>222.72</v>
      </c>
      <c r="I1209">
        <v>254.54</v>
      </c>
      <c r="J1209">
        <v>289.25</v>
      </c>
      <c r="K1209">
        <v>222.72</v>
      </c>
      <c r="L1209">
        <v>244.36</v>
      </c>
      <c r="M1209">
        <v>247.27</v>
      </c>
      <c r="N1209">
        <v>0</v>
      </c>
      <c r="O1209">
        <v>254.53</v>
      </c>
      <c r="P1209">
        <v>0</v>
      </c>
      <c r="Q1209">
        <v>232.72</v>
      </c>
      <c r="R1209">
        <v>232.72</v>
      </c>
      <c r="S1209">
        <v>0</v>
      </c>
      <c r="T1209" t="s">
        <v>97</v>
      </c>
      <c r="U1209">
        <v>203.63</v>
      </c>
      <c r="V1209">
        <v>270.45</v>
      </c>
      <c r="W1209">
        <v>270.45</v>
      </c>
      <c r="X1209">
        <v>270.45</v>
      </c>
      <c r="Y1209">
        <v>270.45</v>
      </c>
      <c r="Z1209">
        <v>349.99</v>
      </c>
      <c r="AA1209" t="s">
        <v>97</v>
      </c>
    </row>
    <row r="1210" spans="1:27" x14ac:dyDescent="0.2">
      <c r="A1210" t="s">
        <v>92</v>
      </c>
      <c r="B1210" t="s">
        <v>2146</v>
      </c>
      <c r="C1210" t="s">
        <v>2294</v>
      </c>
      <c r="D1210" t="s">
        <v>2295</v>
      </c>
      <c r="E1210" t="s">
        <v>290</v>
      </c>
      <c r="F1210">
        <v>99.99</v>
      </c>
      <c r="H1210">
        <v>63.63</v>
      </c>
      <c r="I1210">
        <v>72.72</v>
      </c>
      <c r="J1210">
        <v>82.63</v>
      </c>
      <c r="K1210">
        <v>68.180000000000007</v>
      </c>
      <c r="L1210">
        <v>76.31</v>
      </c>
      <c r="M1210">
        <v>81.81</v>
      </c>
      <c r="O1210">
        <v>77.27</v>
      </c>
      <c r="Q1210">
        <v>68.180000000000007</v>
      </c>
      <c r="R1210">
        <v>72.72</v>
      </c>
      <c r="T1210" t="s">
        <v>97</v>
      </c>
      <c r="V1210">
        <v>77.27</v>
      </c>
      <c r="W1210">
        <v>77.27</v>
      </c>
      <c r="Y1210">
        <v>77.27</v>
      </c>
      <c r="Z1210">
        <v>99.99</v>
      </c>
      <c r="AA1210" t="s">
        <v>97</v>
      </c>
    </row>
    <row r="1211" spans="1:27" x14ac:dyDescent="0.2">
      <c r="A1211" t="s">
        <v>92</v>
      </c>
      <c r="B1211" t="s">
        <v>2146</v>
      </c>
      <c r="C1211" t="s">
        <v>2296</v>
      </c>
      <c r="D1211" t="s">
        <v>2297</v>
      </c>
      <c r="E1211" t="s">
        <v>290</v>
      </c>
      <c r="F1211">
        <v>229.99</v>
      </c>
      <c r="H1211">
        <v>146.36000000000001</v>
      </c>
      <c r="I1211">
        <v>167.27</v>
      </c>
      <c r="K1211">
        <v>167.27</v>
      </c>
      <c r="L1211">
        <v>175.52</v>
      </c>
      <c r="M1211">
        <v>188.17</v>
      </c>
      <c r="O1211">
        <v>177.72</v>
      </c>
      <c r="Q1211">
        <v>156.81</v>
      </c>
      <c r="R1211">
        <v>167.27</v>
      </c>
      <c r="T1211" t="s">
        <v>97</v>
      </c>
      <c r="V1211">
        <v>177.72</v>
      </c>
      <c r="W1211">
        <v>177.72</v>
      </c>
      <c r="Y1211">
        <v>177.72</v>
      </c>
      <c r="Z1211">
        <v>229.99</v>
      </c>
      <c r="AA1211" t="s">
        <v>97</v>
      </c>
    </row>
    <row r="1212" spans="1:27" x14ac:dyDescent="0.2">
      <c r="A1212" t="s">
        <v>92</v>
      </c>
      <c r="B1212" t="s">
        <v>2146</v>
      </c>
      <c r="C1212" t="s">
        <v>2298</v>
      </c>
      <c r="D1212" t="s">
        <v>2299</v>
      </c>
      <c r="E1212" t="s">
        <v>228</v>
      </c>
      <c r="F1212">
        <v>16.989999999999998</v>
      </c>
      <c r="H1212">
        <v>13.13</v>
      </c>
      <c r="I1212">
        <v>13.9</v>
      </c>
      <c r="J1212">
        <v>14.04</v>
      </c>
      <c r="K1212">
        <v>13.13</v>
      </c>
      <c r="L1212">
        <v>15.45</v>
      </c>
      <c r="M1212">
        <v>15.45</v>
      </c>
      <c r="O1212">
        <v>13.13</v>
      </c>
      <c r="Q1212">
        <v>15.45</v>
      </c>
      <c r="R1212">
        <v>15.45</v>
      </c>
      <c r="T1212" t="s">
        <v>97</v>
      </c>
      <c r="V1212">
        <v>13.13</v>
      </c>
      <c r="W1212">
        <v>15.45</v>
      </c>
      <c r="Y1212">
        <v>15.45</v>
      </c>
      <c r="Z1212">
        <v>16.989999999999998</v>
      </c>
      <c r="AA1212" t="s">
        <v>97</v>
      </c>
    </row>
    <row r="1213" spans="1:27" x14ac:dyDescent="0.2">
      <c r="A1213" t="s">
        <v>92</v>
      </c>
      <c r="B1213" t="s">
        <v>2146</v>
      </c>
      <c r="C1213" t="s">
        <v>2300</v>
      </c>
      <c r="D1213" t="s">
        <v>2301</v>
      </c>
      <c r="E1213" t="s">
        <v>228</v>
      </c>
      <c r="F1213">
        <v>29.99</v>
      </c>
      <c r="H1213">
        <v>19.079999999999998</v>
      </c>
      <c r="I1213">
        <v>21.81</v>
      </c>
      <c r="J1213">
        <v>24.79</v>
      </c>
      <c r="K1213">
        <v>19.079999999999998</v>
      </c>
      <c r="L1213">
        <v>22.89</v>
      </c>
      <c r="M1213">
        <v>27.26</v>
      </c>
      <c r="O1213">
        <v>23.17</v>
      </c>
      <c r="Q1213">
        <v>20.45</v>
      </c>
      <c r="R1213">
        <v>21.81</v>
      </c>
      <c r="T1213" t="s">
        <v>97</v>
      </c>
      <c r="V1213">
        <v>23.17</v>
      </c>
      <c r="W1213">
        <v>27.26</v>
      </c>
      <c r="Y1213">
        <v>27.26</v>
      </c>
      <c r="Z1213">
        <v>29.99</v>
      </c>
      <c r="AA1213" t="s">
        <v>97</v>
      </c>
    </row>
    <row r="1214" spans="1:27" x14ac:dyDescent="0.2">
      <c r="A1214" t="s">
        <v>92</v>
      </c>
      <c r="B1214" t="s">
        <v>2146</v>
      </c>
      <c r="C1214" t="s">
        <v>2302</v>
      </c>
      <c r="D1214" t="s">
        <v>2303</v>
      </c>
      <c r="E1214" t="s">
        <v>96</v>
      </c>
      <c r="F1214">
        <v>35.99</v>
      </c>
      <c r="H1214">
        <v>22.9</v>
      </c>
      <c r="I1214">
        <v>26.17</v>
      </c>
      <c r="J1214">
        <v>29.74</v>
      </c>
      <c r="K1214">
        <v>22.9</v>
      </c>
      <c r="L1214">
        <v>27.47</v>
      </c>
      <c r="M1214">
        <v>32.72</v>
      </c>
      <c r="O1214">
        <v>27.81</v>
      </c>
      <c r="Q1214">
        <v>25.54</v>
      </c>
      <c r="R1214">
        <v>26.17</v>
      </c>
      <c r="T1214" t="s">
        <v>97</v>
      </c>
      <c r="V1214">
        <v>27.81</v>
      </c>
      <c r="W1214">
        <v>27.81</v>
      </c>
      <c r="Y1214">
        <v>27.81</v>
      </c>
      <c r="Z1214">
        <v>35.99</v>
      </c>
      <c r="AA1214" t="s">
        <v>97</v>
      </c>
    </row>
    <row r="1215" spans="1:27" x14ac:dyDescent="0.2">
      <c r="A1215" t="s">
        <v>92</v>
      </c>
      <c r="B1215" t="s">
        <v>2146</v>
      </c>
      <c r="C1215" t="s">
        <v>2304</v>
      </c>
      <c r="D1215" t="s">
        <v>2305</v>
      </c>
      <c r="E1215" t="s">
        <v>228</v>
      </c>
      <c r="F1215">
        <v>35.99</v>
      </c>
      <c r="H1215">
        <v>22.9</v>
      </c>
      <c r="I1215">
        <v>26.17</v>
      </c>
      <c r="J1215">
        <v>29.74</v>
      </c>
      <c r="K1215">
        <v>22.9</v>
      </c>
      <c r="L1215">
        <v>27.47</v>
      </c>
      <c r="M1215">
        <v>32.72</v>
      </c>
      <c r="O1215">
        <v>27.81</v>
      </c>
      <c r="Q1215">
        <v>25.54</v>
      </c>
      <c r="R1215">
        <v>26.17</v>
      </c>
      <c r="T1215" t="s">
        <v>97</v>
      </c>
      <c r="V1215">
        <v>27.81</v>
      </c>
      <c r="W1215">
        <v>27.81</v>
      </c>
      <c r="Y1215">
        <v>27.81</v>
      </c>
      <c r="Z1215">
        <v>35.99</v>
      </c>
      <c r="AA1215" t="s">
        <v>97</v>
      </c>
    </row>
    <row r="1216" spans="1:27" x14ac:dyDescent="0.2">
      <c r="A1216" t="s">
        <v>92</v>
      </c>
      <c r="B1216" t="s">
        <v>2146</v>
      </c>
      <c r="C1216" t="s">
        <v>2306</v>
      </c>
      <c r="D1216" t="s">
        <v>2307</v>
      </c>
      <c r="E1216" t="s">
        <v>290</v>
      </c>
      <c r="F1216">
        <v>139.99</v>
      </c>
      <c r="H1216">
        <v>95.45</v>
      </c>
      <c r="I1216">
        <v>108.17</v>
      </c>
      <c r="L1216">
        <v>106.84</v>
      </c>
      <c r="M1216">
        <v>108.17</v>
      </c>
      <c r="Q1216">
        <v>101.81</v>
      </c>
      <c r="R1216">
        <v>108.17</v>
      </c>
      <c r="T1216" t="s">
        <v>97</v>
      </c>
      <c r="U1216">
        <v>95.45</v>
      </c>
      <c r="Z1216">
        <v>139.99</v>
      </c>
      <c r="AA1216" t="s">
        <v>97</v>
      </c>
    </row>
    <row r="1217" spans="1:27" x14ac:dyDescent="0.2">
      <c r="A1217" t="s">
        <v>92</v>
      </c>
      <c r="B1217" t="s">
        <v>2146</v>
      </c>
      <c r="C1217" t="s">
        <v>2308</v>
      </c>
      <c r="D1217" t="s">
        <v>2309</v>
      </c>
      <c r="E1217" t="s">
        <v>228</v>
      </c>
      <c r="F1217">
        <v>199.99</v>
      </c>
      <c r="H1217">
        <v>136.36000000000001</v>
      </c>
      <c r="I1217">
        <v>154.54</v>
      </c>
      <c r="L1217">
        <v>152.63</v>
      </c>
      <c r="M1217">
        <v>154.54</v>
      </c>
      <c r="Q1217">
        <v>145.44999999999999</v>
      </c>
      <c r="R1217">
        <v>154.54</v>
      </c>
      <c r="T1217" t="s">
        <v>97</v>
      </c>
      <c r="U1217">
        <v>136.36000000000001</v>
      </c>
      <c r="Z1217">
        <v>199.99</v>
      </c>
      <c r="AA1217" t="s">
        <v>97</v>
      </c>
    </row>
    <row r="1218" spans="1:27" x14ac:dyDescent="0.2">
      <c r="A1218" t="s">
        <v>92</v>
      </c>
      <c r="B1218" t="s">
        <v>2146</v>
      </c>
      <c r="C1218" t="s">
        <v>2310</v>
      </c>
      <c r="D1218" t="s">
        <v>2311</v>
      </c>
      <c r="E1218" t="s">
        <v>228</v>
      </c>
      <c r="F1218">
        <v>329.99</v>
      </c>
      <c r="H1218">
        <v>224.99</v>
      </c>
      <c r="I1218">
        <v>254.99</v>
      </c>
      <c r="L1218">
        <v>251.84</v>
      </c>
      <c r="M1218">
        <v>254.99</v>
      </c>
      <c r="Q1218">
        <v>239.99</v>
      </c>
      <c r="R1218">
        <v>254.99</v>
      </c>
      <c r="T1218" t="s">
        <v>97</v>
      </c>
      <c r="U1218">
        <v>224.99</v>
      </c>
      <c r="Z1218">
        <v>329.99</v>
      </c>
      <c r="AA1218" t="s">
        <v>97</v>
      </c>
    </row>
    <row r="1219" spans="1:27" x14ac:dyDescent="0.2">
      <c r="A1219" t="s">
        <v>92</v>
      </c>
      <c r="B1219" t="s">
        <v>2146</v>
      </c>
      <c r="C1219" t="s">
        <v>2312</v>
      </c>
      <c r="D1219" t="s">
        <v>2313</v>
      </c>
      <c r="E1219" t="s">
        <v>228</v>
      </c>
      <c r="F1219">
        <v>149.99</v>
      </c>
      <c r="H1219">
        <v>115.9</v>
      </c>
      <c r="I1219">
        <v>102.27</v>
      </c>
      <c r="L1219">
        <v>114.47</v>
      </c>
      <c r="M1219">
        <v>115.9</v>
      </c>
      <c r="O1219">
        <v>115.9</v>
      </c>
      <c r="Q1219">
        <v>109.08</v>
      </c>
      <c r="T1219" t="s">
        <v>97</v>
      </c>
      <c r="U1219">
        <v>102.27</v>
      </c>
      <c r="AA1219" t="s">
        <v>97</v>
      </c>
    </row>
    <row r="1220" spans="1:27" x14ac:dyDescent="0.2">
      <c r="A1220" t="s">
        <v>92</v>
      </c>
      <c r="B1220" t="s">
        <v>2146</v>
      </c>
      <c r="C1220" t="s">
        <v>2314</v>
      </c>
      <c r="D1220" t="s">
        <v>2315</v>
      </c>
      <c r="E1220" t="s">
        <v>96</v>
      </c>
      <c r="F1220">
        <v>84.99</v>
      </c>
      <c r="H1220">
        <v>57.95</v>
      </c>
      <c r="I1220">
        <v>65.67</v>
      </c>
      <c r="K1220">
        <v>57.95</v>
      </c>
      <c r="L1220">
        <v>64.86</v>
      </c>
      <c r="M1220">
        <v>65.67</v>
      </c>
      <c r="Q1220">
        <v>61.81</v>
      </c>
      <c r="R1220">
        <v>65.67</v>
      </c>
      <c r="T1220" t="s">
        <v>97</v>
      </c>
      <c r="U1220">
        <v>57.95</v>
      </c>
      <c r="Z1220">
        <v>84.99</v>
      </c>
      <c r="AA1220" t="s">
        <v>97</v>
      </c>
    </row>
    <row r="1221" spans="1:27" x14ac:dyDescent="0.2">
      <c r="A1221" t="s">
        <v>92</v>
      </c>
      <c r="B1221" t="s">
        <v>2146</v>
      </c>
      <c r="C1221" t="s">
        <v>2316</v>
      </c>
      <c r="D1221" t="s">
        <v>2317</v>
      </c>
      <c r="E1221" t="s">
        <v>96</v>
      </c>
      <c r="F1221">
        <v>339.99</v>
      </c>
      <c r="H1221">
        <v>231.81</v>
      </c>
      <c r="I1221">
        <v>262.72000000000003</v>
      </c>
      <c r="K1221">
        <v>231.81</v>
      </c>
      <c r="L1221">
        <v>259.47000000000003</v>
      </c>
      <c r="M1221">
        <v>262.72000000000003</v>
      </c>
      <c r="Q1221">
        <v>247.27</v>
      </c>
      <c r="R1221">
        <v>262.72000000000003</v>
      </c>
      <c r="T1221" t="s">
        <v>97</v>
      </c>
      <c r="U1221">
        <v>231.81</v>
      </c>
      <c r="Z1221">
        <v>339.99</v>
      </c>
      <c r="AA1221" t="s">
        <v>97</v>
      </c>
    </row>
    <row r="1222" spans="1:27" x14ac:dyDescent="0.2">
      <c r="A1222" t="s">
        <v>92</v>
      </c>
      <c r="B1222" t="s">
        <v>2146</v>
      </c>
      <c r="C1222" t="s">
        <v>2318</v>
      </c>
      <c r="D1222" t="s">
        <v>2319</v>
      </c>
      <c r="E1222" t="s">
        <v>96</v>
      </c>
      <c r="F1222">
        <v>529.99</v>
      </c>
      <c r="H1222">
        <v>361.36</v>
      </c>
      <c r="I1222">
        <v>409.54</v>
      </c>
      <c r="K1222">
        <v>361.36</v>
      </c>
      <c r="L1222">
        <v>404.48</v>
      </c>
      <c r="M1222">
        <v>409.54</v>
      </c>
      <c r="Q1222">
        <v>385.45</v>
      </c>
      <c r="R1222">
        <v>409.54</v>
      </c>
      <c r="T1222" t="s">
        <v>97</v>
      </c>
      <c r="U1222">
        <v>361.36</v>
      </c>
      <c r="Z1222">
        <v>529.99</v>
      </c>
      <c r="AA1222" t="s">
        <v>97</v>
      </c>
    </row>
    <row r="1223" spans="1:27" x14ac:dyDescent="0.2">
      <c r="A1223" t="s">
        <v>92</v>
      </c>
      <c r="B1223" t="s">
        <v>2146</v>
      </c>
      <c r="C1223" t="s">
        <v>2320</v>
      </c>
      <c r="D1223" t="s">
        <v>2321</v>
      </c>
      <c r="E1223" t="s">
        <v>228</v>
      </c>
      <c r="F1223">
        <v>49.99</v>
      </c>
      <c r="H1223">
        <v>34.08</v>
      </c>
      <c r="I1223">
        <v>38.630000000000003</v>
      </c>
      <c r="L1223">
        <v>38.15</v>
      </c>
      <c r="M1223">
        <v>38.630000000000003</v>
      </c>
      <c r="Q1223">
        <v>36.36</v>
      </c>
      <c r="R1223">
        <v>38.630000000000003</v>
      </c>
      <c r="T1223" t="s">
        <v>97</v>
      </c>
      <c r="U1223">
        <v>34.08</v>
      </c>
      <c r="Z1223">
        <v>69.989999999999995</v>
      </c>
      <c r="AA1223" t="s">
        <v>97</v>
      </c>
    </row>
    <row r="1224" spans="1:27" x14ac:dyDescent="0.2">
      <c r="A1224" t="s">
        <v>92</v>
      </c>
      <c r="B1224" t="s">
        <v>2146</v>
      </c>
      <c r="C1224" t="s">
        <v>2322</v>
      </c>
      <c r="D1224" t="s">
        <v>2323</v>
      </c>
      <c r="E1224" t="s">
        <v>228</v>
      </c>
      <c r="F1224">
        <v>34.99</v>
      </c>
      <c r="H1224">
        <v>27.04</v>
      </c>
      <c r="I1224">
        <v>28.63</v>
      </c>
      <c r="J1224">
        <v>28.63</v>
      </c>
      <c r="K1224">
        <v>27.04</v>
      </c>
      <c r="L1224">
        <v>31.81</v>
      </c>
      <c r="M1224">
        <v>31.81</v>
      </c>
      <c r="R1224">
        <v>31.81</v>
      </c>
      <c r="T1224" t="s">
        <v>97</v>
      </c>
      <c r="U1224">
        <v>27.04</v>
      </c>
      <c r="V1224">
        <v>27.04</v>
      </c>
      <c r="W1224">
        <v>31.81</v>
      </c>
      <c r="Y1224">
        <v>31.81</v>
      </c>
      <c r="Z1224">
        <v>34.99</v>
      </c>
      <c r="AA1224" t="s">
        <v>97</v>
      </c>
    </row>
    <row r="1225" spans="1:27" x14ac:dyDescent="0.2">
      <c r="A1225" t="s">
        <v>92</v>
      </c>
      <c r="B1225" t="s">
        <v>2146</v>
      </c>
      <c r="C1225" t="s">
        <v>2324</v>
      </c>
      <c r="D1225" t="s">
        <v>2325</v>
      </c>
      <c r="E1225" t="s">
        <v>228</v>
      </c>
      <c r="F1225">
        <v>89.99</v>
      </c>
      <c r="H1225">
        <v>69.540000000000006</v>
      </c>
      <c r="I1225">
        <v>73.63</v>
      </c>
      <c r="J1225">
        <v>73.63</v>
      </c>
      <c r="K1225">
        <v>69.540000000000006</v>
      </c>
      <c r="L1225">
        <v>81.81</v>
      </c>
      <c r="M1225">
        <v>81.81</v>
      </c>
      <c r="R1225">
        <v>81.81</v>
      </c>
      <c r="T1225" t="s">
        <v>97</v>
      </c>
      <c r="U1225">
        <v>73.63</v>
      </c>
      <c r="V1225">
        <v>69.540000000000006</v>
      </c>
      <c r="W1225">
        <v>81.81</v>
      </c>
      <c r="Y1225">
        <v>81.81</v>
      </c>
      <c r="Z1225">
        <v>89.99</v>
      </c>
      <c r="AA1225" t="s">
        <v>97</v>
      </c>
    </row>
    <row r="1226" spans="1:27" x14ac:dyDescent="0.2">
      <c r="A1226" t="s">
        <v>92</v>
      </c>
      <c r="B1226" t="s">
        <v>2146</v>
      </c>
      <c r="C1226" t="s">
        <v>2326</v>
      </c>
      <c r="D1226" t="s">
        <v>2327</v>
      </c>
      <c r="E1226" t="s">
        <v>228</v>
      </c>
      <c r="F1226">
        <v>79.989999999999995</v>
      </c>
      <c r="H1226">
        <v>61.81</v>
      </c>
      <c r="I1226">
        <v>65.45</v>
      </c>
      <c r="J1226">
        <v>65.45</v>
      </c>
      <c r="K1226">
        <v>61.81</v>
      </c>
      <c r="L1226">
        <v>72.72</v>
      </c>
      <c r="M1226">
        <v>72.72</v>
      </c>
      <c r="R1226">
        <v>72.72</v>
      </c>
      <c r="T1226" t="s">
        <v>97</v>
      </c>
      <c r="U1226">
        <v>61.81</v>
      </c>
      <c r="V1226">
        <v>61.81</v>
      </c>
      <c r="W1226">
        <v>72.72</v>
      </c>
      <c r="Y1226">
        <v>72.72</v>
      </c>
      <c r="Z1226">
        <v>79.989999999999995</v>
      </c>
      <c r="AA1226" t="s">
        <v>97</v>
      </c>
    </row>
    <row r="1227" spans="1:27" x14ac:dyDescent="0.2">
      <c r="A1227" t="s">
        <v>92</v>
      </c>
      <c r="B1227" t="s">
        <v>2146</v>
      </c>
      <c r="C1227" t="s">
        <v>2328</v>
      </c>
      <c r="D1227" t="s">
        <v>2329</v>
      </c>
      <c r="E1227" t="s">
        <v>96</v>
      </c>
      <c r="F1227">
        <v>1</v>
      </c>
      <c r="T1227" t="s">
        <v>97</v>
      </c>
      <c r="Z1227">
        <v>1</v>
      </c>
      <c r="AA1227" t="s">
        <v>97</v>
      </c>
    </row>
    <row r="1228" spans="1:27" x14ac:dyDescent="0.2">
      <c r="A1228" t="s">
        <v>92</v>
      </c>
      <c r="B1228" t="s">
        <v>2146</v>
      </c>
      <c r="C1228" t="s">
        <v>2330</v>
      </c>
      <c r="D1228" t="s">
        <v>2331</v>
      </c>
      <c r="E1228" t="s">
        <v>228</v>
      </c>
      <c r="F1228">
        <v>16.989999999999998</v>
      </c>
      <c r="H1228">
        <v>13.13</v>
      </c>
      <c r="I1228">
        <v>13.9</v>
      </c>
      <c r="J1228">
        <v>13.9</v>
      </c>
      <c r="K1228">
        <v>13.13</v>
      </c>
      <c r="L1228">
        <v>15.45</v>
      </c>
      <c r="M1228">
        <v>15.45</v>
      </c>
      <c r="O1228">
        <v>13.13</v>
      </c>
      <c r="R1228">
        <v>15.45</v>
      </c>
      <c r="T1228" t="s">
        <v>97</v>
      </c>
      <c r="U1228">
        <v>10.81</v>
      </c>
      <c r="V1228">
        <v>13.13</v>
      </c>
      <c r="W1228">
        <v>15.45</v>
      </c>
      <c r="Y1228">
        <v>15.45</v>
      </c>
      <c r="Z1228">
        <v>16.989999999999998</v>
      </c>
      <c r="AA1228" t="s">
        <v>97</v>
      </c>
    </row>
    <row r="1229" spans="1:27" x14ac:dyDescent="0.2">
      <c r="A1229" t="s">
        <v>92</v>
      </c>
      <c r="B1229" t="s">
        <v>2146</v>
      </c>
      <c r="C1229" t="s">
        <v>2332</v>
      </c>
      <c r="D1229" t="s">
        <v>2333</v>
      </c>
      <c r="E1229" t="s">
        <v>228</v>
      </c>
      <c r="F1229">
        <v>17.989999999999998</v>
      </c>
      <c r="G1229">
        <v>17.989999999999998</v>
      </c>
      <c r="H1229">
        <v>11.45</v>
      </c>
      <c r="I1229">
        <v>13.08</v>
      </c>
      <c r="J1229">
        <v>14.72</v>
      </c>
      <c r="K1229">
        <v>11.45</v>
      </c>
      <c r="L1229">
        <v>13.73</v>
      </c>
      <c r="M1229">
        <v>14.31</v>
      </c>
      <c r="O1229">
        <v>13.9</v>
      </c>
      <c r="Q1229">
        <v>12.27</v>
      </c>
      <c r="R1229">
        <v>13.08</v>
      </c>
      <c r="T1229" t="s">
        <v>97</v>
      </c>
      <c r="U1229">
        <v>11.45</v>
      </c>
      <c r="V1229">
        <v>13.9</v>
      </c>
      <c r="W1229">
        <v>16.350000000000001</v>
      </c>
      <c r="Y1229">
        <v>16.350000000000001</v>
      </c>
      <c r="Z1229">
        <v>17.989999999999998</v>
      </c>
      <c r="AA1229" t="s">
        <v>97</v>
      </c>
    </row>
    <row r="1230" spans="1:27" x14ac:dyDescent="0.2">
      <c r="A1230" t="s">
        <v>92</v>
      </c>
      <c r="B1230" t="s">
        <v>2146</v>
      </c>
      <c r="C1230" t="s">
        <v>2334</v>
      </c>
      <c r="D1230" t="s">
        <v>2335</v>
      </c>
      <c r="E1230" t="s">
        <v>290</v>
      </c>
      <c r="F1230">
        <v>79.989999999999995</v>
      </c>
      <c r="G1230">
        <v>99.99</v>
      </c>
      <c r="H1230">
        <v>63.63</v>
      </c>
      <c r="I1230">
        <v>72.72</v>
      </c>
      <c r="J1230">
        <v>82.63</v>
      </c>
      <c r="K1230">
        <v>63.63</v>
      </c>
      <c r="L1230">
        <v>61.08</v>
      </c>
      <c r="M1230">
        <v>61.81</v>
      </c>
      <c r="O1230">
        <v>87.27</v>
      </c>
      <c r="Q1230">
        <v>58.17</v>
      </c>
      <c r="R1230">
        <v>58.17</v>
      </c>
      <c r="T1230" t="s">
        <v>97</v>
      </c>
      <c r="U1230">
        <v>50.9</v>
      </c>
      <c r="V1230">
        <v>77.27</v>
      </c>
      <c r="W1230">
        <v>77.27</v>
      </c>
      <c r="X1230">
        <v>93.91</v>
      </c>
      <c r="Y1230">
        <v>77.27</v>
      </c>
      <c r="Z1230">
        <v>99.99</v>
      </c>
      <c r="AA1230" t="s">
        <v>97</v>
      </c>
    </row>
    <row r="1231" spans="1:27" x14ac:dyDescent="0.2">
      <c r="A1231" t="s">
        <v>92</v>
      </c>
      <c r="B1231" t="s">
        <v>2146</v>
      </c>
      <c r="C1231" t="s">
        <v>2336</v>
      </c>
      <c r="D1231" t="s">
        <v>2337</v>
      </c>
      <c r="E1231" t="s">
        <v>290</v>
      </c>
      <c r="F1231">
        <v>229.99</v>
      </c>
      <c r="G1231">
        <v>229.99</v>
      </c>
      <c r="H1231">
        <v>146.36000000000001</v>
      </c>
      <c r="I1231">
        <v>167.27</v>
      </c>
      <c r="J1231">
        <v>188.17</v>
      </c>
      <c r="K1231">
        <v>146.36000000000001</v>
      </c>
      <c r="L1231">
        <v>175.52</v>
      </c>
      <c r="M1231">
        <v>167.27</v>
      </c>
      <c r="O1231">
        <v>167.27</v>
      </c>
      <c r="Q1231">
        <v>156.81</v>
      </c>
      <c r="R1231">
        <v>167.27</v>
      </c>
      <c r="T1231" t="s">
        <v>97</v>
      </c>
      <c r="U1231">
        <v>146.36000000000001</v>
      </c>
      <c r="V1231">
        <v>177.72</v>
      </c>
      <c r="W1231">
        <v>177.72</v>
      </c>
      <c r="X1231">
        <v>177.72</v>
      </c>
      <c r="Y1231">
        <v>177.72</v>
      </c>
      <c r="Z1231">
        <v>229.99</v>
      </c>
      <c r="AA1231" t="s">
        <v>97</v>
      </c>
    </row>
    <row r="1232" spans="1:27" x14ac:dyDescent="0.2">
      <c r="A1232" t="s">
        <v>92</v>
      </c>
      <c r="B1232" t="s">
        <v>2146</v>
      </c>
      <c r="C1232" t="s">
        <v>2338</v>
      </c>
      <c r="D1232" t="s">
        <v>2339</v>
      </c>
      <c r="E1232" t="s">
        <v>290</v>
      </c>
      <c r="F1232">
        <v>309.99</v>
      </c>
      <c r="G1232">
        <v>349.99</v>
      </c>
      <c r="H1232">
        <v>222.72</v>
      </c>
      <c r="I1232">
        <v>254.54</v>
      </c>
      <c r="J1232">
        <v>286.36</v>
      </c>
      <c r="K1232">
        <v>222.72</v>
      </c>
      <c r="L1232">
        <v>236.72</v>
      </c>
      <c r="M1232">
        <v>239.54</v>
      </c>
      <c r="O1232">
        <v>254.54</v>
      </c>
      <c r="Q1232">
        <v>225.45</v>
      </c>
      <c r="R1232">
        <v>225.45</v>
      </c>
      <c r="T1232" t="s">
        <v>97</v>
      </c>
      <c r="U1232">
        <v>197.27</v>
      </c>
      <c r="V1232">
        <v>270.45</v>
      </c>
      <c r="W1232">
        <v>270.45</v>
      </c>
      <c r="X1232">
        <v>270.45</v>
      </c>
      <c r="Y1232">
        <v>270.45</v>
      </c>
      <c r="Z1232">
        <v>349.99</v>
      </c>
      <c r="AA1232" t="s">
        <v>97</v>
      </c>
    </row>
    <row r="1233" spans="1:27" x14ac:dyDescent="0.2">
      <c r="A1233" t="s">
        <v>92</v>
      </c>
      <c r="B1233" t="s">
        <v>2146</v>
      </c>
      <c r="C1233" t="s">
        <v>2340</v>
      </c>
      <c r="D1233" t="s">
        <v>2341</v>
      </c>
      <c r="E1233" t="s">
        <v>290</v>
      </c>
      <c r="F1233">
        <v>469.99</v>
      </c>
      <c r="G1233">
        <v>549.99</v>
      </c>
      <c r="H1233">
        <v>349.99</v>
      </c>
      <c r="I1233">
        <v>399.99</v>
      </c>
      <c r="J1233">
        <v>454.53</v>
      </c>
      <c r="K1233">
        <v>349.99</v>
      </c>
      <c r="L1233">
        <v>358.9</v>
      </c>
      <c r="M1233">
        <v>363.17</v>
      </c>
      <c r="O1233">
        <v>399.99</v>
      </c>
      <c r="Q1233">
        <v>341.81</v>
      </c>
      <c r="R1233">
        <v>341.81</v>
      </c>
      <c r="T1233" t="s">
        <v>97</v>
      </c>
      <c r="U1233">
        <v>299.08</v>
      </c>
      <c r="V1233">
        <v>424.99</v>
      </c>
      <c r="W1233">
        <v>424.99</v>
      </c>
      <c r="X1233">
        <v>424.99</v>
      </c>
      <c r="Y1233">
        <v>424.99</v>
      </c>
      <c r="Z1233">
        <v>549.99</v>
      </c>
      <c r="AA1233" t="s">
        <v>97</v>
      </c>
    </row>
    <row r="1234" spans="1:27" x14ac:dyDescent="0.2">
      <c r="A1234" t="s">
        <v>92</v>
      </c>
      <c r="B1234" t="s">
        <v>2146</v>
      </c>
      <c r="C1234" t="s">
        <v>2342</v>
      </c>
      <c r="D1234" t="s">
        <v>2343</v>
      </c>
      <c r="E1234" t="s">
        <v>228</v>
      </c>
      <c r="F1234">
        <v>16.989999999999998</v>
      </c>
      <c r="H1234">
        <v>13.13</v>
      </c>
      <c r="I1234">
        <v>13.9</v>
      </c>
      <c r="J1234">
        <v>13.9</v>
      </c>
      <c r="K1234">
        <v>13.13</v>
      </c>
      <c r="M1234">
        <v>15.45</v>
      </c>
      <c r="O1234">
        <v>13.13</v>
      </c>
      <c r="T1234" t="s">
        <v>97</v>
      </c>
      <c r="U1234">
        <v>10.81</v>
      </c>
      <c r="V1234">
        <v>13.13</v>
      </c>
      <c r="W1234">
        <v>15.45</v>
      </c>
      <c r="Y1234">
        <v>15.45</v>
      </c>
      <c r="Z1234">
        <v>16.989999999999998</v>
      </c>
      <c r="AA1234" t="s">
        <v>97</v>
      </c>
    </row>
    <row r="1235" spans="1:27" x14ac:dyDescent="0.2">
      <c r="A1235" t="s">
        <v>92</v>
      </c>
      <c r="B1235" t="s">
        <v>2146</v>
      </c>
      <c r="C1235" t="s">
        <v>2344</v>
      </c>
      <c r="D1235" t="s">
        <v>2345</v>
      </c>
      <c r="E1235" t="s">
        <v>228</v>
      </c>
      <c r="F1235">
        <v>16.989999999999998</v>
      </c>
      <c r="G1235">
        <v>16.989999999999998</v>
      </c>
      <c r="H1235">
        <v>10.81</v>
      </c>
      <c r="I1235">
        <v>12.36</v>
      </c>
      <c r="J1235">
        <v>13.9</v>
      </c>
      <c r="K1235">
        <v>10.81</v>
      </c>
      <c r="L1235">
        <v>12.97</v>
      </c>
      <c r="M1235">
        <v>13.13</v>
      </c>
      <c r="O1235">
        <v>13.13</v>
      </c>
      <c r="Q1235">
        <v>11.58</v>
      </c>
      <c r="R1235">
        <v>12.36</v>
      </c>
      <c r="T1235" t="s">
        <v>97</v>
      </c>
      <c r="U1235">
        <v>10.81</v>
      </c>
      <c r="V1235">
        <v>13.13</v>
      </c>
      <c r="W1235">
        <v>15.45</v>
      </c>
      <c r="Y1235">
        <v>15.45</v>
      </c>
      <c r="Z1235">
        <v>16.989999999999998</v>
      </c>
      <c r="AA1235" t="s">
        <v>97</v>
      </c>
    </row>
    <row r="1236" spans="1:27" x14ac:dyDescent="0.2">
      <c r="A1236" t="s">
        <v>92</v>
      </c>
      <c r="B1236" t="s">
        <v>2146</v>
      </c>
      <c r="C1236" t="s">
        <v>2346</v>
      </c>
      <c r="D1236" t="s">
        <v>2347</v>
      </c>
      <c r="E1236" t="s">
        <v>290</v>
      </c>
      <c r="F1236">
        <v>79.989999999999995</v>
      </c>
      <c r="G1236">
        <v>99.99</v>
      </c>
      <c r="H1236">
        <v>63.63</v>
      </c>
      <c r="I1236">
        <v>72.72</v>
      </c>
      <c r="J1236">
        <v>82.63</v>
      </c>
      <c r="K1236">
        <v>63.63</v>
      </c>
      <c r="L1236">
        <v>61.08</v>
      </c>
      <c r="M1236">
        <v>61.81</v>
      </c>
      <c r="O1236">
        <v>87.27</v>
      </c>
      <c r="Q1236">
        <v>58.17</v>
      </c>
      <c r="R1236">
        <v>58.17</v>
      </c>
      <c r="T1236" t="s">
        <v>97</v>
      </c>
      <c r="U1236">
        <v>50.9</v>
      </c>
      <c r="V1236">
        <v>77.27</v>
      </c>
      <c r="W1236">
        <v>77.27</v>
      </c>
      <c r="X1236">
        <v>77.27</v>
      </c>
      <c r="Y1236">
        <v>77.27</v>
      </c>
      <c r="Z1236">
        <v>99.99</v>
      </c>
      <c r="AA1236" t="s">
        <v>97</v>
      </c>
    </row>
    <row r="1237" spans="1:27" x14ac:dyDescent="0.2">
      <c r="A1237" t="s">
        <v>92</v>
      </c>
      <c r="B1237" t="s">
        <v>2146</v>
      </c>
      <c r="C1237" t="s">
        <v>2348</v>
      </c>
      <c r="D1237" t="s">
        <v>2349</v>
      </c>
      <c r="E1237" t="s">
        <v>290</v>
      </c>
      <c r="F1237">
        <v>79.989999999999995</v>
      </c>
      <c r="G1237">
        <v>119.99</v>
      </c>
      <c r="H1237">
        <v>76.36</v>
      </c>
      <c r="I1237">
        <v>87.27</v>
      </c>
      <c r="J1237">
        <v>98.17</v>
      </c>
      <c r="K1237">
        <v>76.36</v>
      </c>
      <c r="L1237">
        <v>61.08</v>
      </c>
      <c r="M1237">
        <v>61.81</v>
      </c>
      <c r="O1237">
        <v>87.27</v>
      </c>
      <c r="Q1237">
        <v>58.17</v>
      </c>
      <c r="R1237">
        <v>58.17</v>
      </c>
      <c r="T1237" t="s">
        <v>97</v>
      </c>
      <c r="U1237">
        <v>50.9</v>
      </c>
      <c r="V1237">
        <v>92.72</v>
      </c>
      <c r="W1237">
        <v>92.72</v>
      </c>
      <c r="Y1237">
        <v>92.72</v>
      </c>
      <c r="Z1237">
        <v>119.99</v>
      </c>
      <c r="AA1237" t="s">
        <v>97</v>
      </c>
    </row>
    <row r="1238" spans="1:27" x14ac:dyDescent="0.2">
      <c r="A1238" t="s">
        <v>92</v>
      </c>
      <c r="B1238" t="s">
        <v>2146</v>
      </c>
      <c r="C1238" t="s">
        <v>2350</v>
      </c>
      <c r="D1238" t="s">
        <v>2351</v>
      </c>
      <c r="E1238" t="s">
        <v>96</v>
      </c>
      <c r="F1238">
        <v>139.99</v>
      </c>
      <c r="G1238">
        <v>189.99</v>
      </c>
      <c r="H1238">
        <v>120.9</v>
      </c>
      <c r="I1238">
        <v>138.16999999999999</v>
      </c>
      <c r="J1238">
        <v>155.44999999999999</v>
      </c>
      <c r="K1238">
        <v>120.9</v>
      </c>
      <c r="L1238">
        <v>106.9</v>
      </c>
      <c r="M1238">
        <v>108.17</v>
      </c>
      <c r="O1238">
        <v>138.16999999999999</v>
      </c>
      <c r="Q1238">
        <v>101.81</v>
      </c>
      <c r="R1238">
        <v>101.81</v>
      </c>
      <c r="T1238" t="s">
        <v>97</v>
      </c>
      <c r="U1238">
        <v>89.08</v>
      </c>
      <c r="V1238">
        <v>146.81</v>
      </c>
      <c r="W1238">
        <v>146.81</v>
      </c>
      <c r="X1238">
        <v>146.81</v>
      </c>
      <c r="Y1238">
        <v>146.81</v>
      </c>
      <c r="Z1238">
        <v>189.99</v>
      </c>
      <c r="AA1238" t="s">
        <v>97</v>
      </c>
    </row>
    <row r="1239" spans="1:27" x14ac:dyDescent="0.2">
      <c r="A1239" t="s">
        <v>92</v>
      </c>
      <c r="B1239" t="s">
        <v>2146</v>
      </c>
      <c r="C1239" t="s">
        <v>2352</v>
      </c>
      <c r="D1239" t="s">
        <v>2353</v>
      </c>
      <c r="E1239" t="s">
        <v>96</v>
      </c>
      <c r="F1239">
        <v>189.99</v>
      </c>
      <c r="H1239">
        <v>120.9</v>
      </c>
      <c r="I1239">
        <v>138.16999999999999</v>
      </c>
      <c r="J1239">
        <v>155.44999999999999</v>
      </c>
      <c r="K1239">
        <v>120.9</v>
      </c>
      <c r="L1239">
        <v>145</v>
      </c>
      <c r="M1239">
        <v>138.16999999999999</v>
      </c>
      <c r="O1239">
        <v>138.16999999999999</v>
      </c>
      <c r="Q1239">
        <v>129.54</v>
      </c>
      <c r="R1239">
        <v>138.16999999999999</v>
      </c>
      <c r="T1239" t="s">
        <v>97</v>
      </c>
      <c r="U1239">
        <v>120.9</v>
      </c>
      <c r="V1239">
        <v>146.81</v>
      </c>
      <c r="W1239">
        <v>146.81</v>
      </c>
      <c r="X1239">
        <v>146.81</v>
      </c>
      <c r="Y1239">
        <v>143.36000000000001</v>
      </c>
      <c r="Z1239">
        <v>189.99</v>
      </c>
      <c r="AA1239" t="s">
        <v>97</v>
      </c>
    </row>
    <row r="1240" spans="1:27" x14ac:dyDescent="0.2">
      <c r="A1240" t="s">
        <v>92</v>
      </c>
      <c r="B1240" t="s">
        <v>2146</v>
      </c>
      <c r="C1240" t="s">
        <v>2354</v>
      </c>
      <c r="D1240" t="s">
        <v>2355</v>
      </c>
      <c r="E1240" t="s">
        <v>290</v>
      </c>
      <c r="F1240">
        <v>249.99</v>
      </c>
      <c r="H1240">
        <v>159.08000000000001</v>
      </c>
      <c r="I1240">
        <v>181.81</v>
      </c>
      <c r="K1240">
        <v>181.81</v>
      </c>
      <c r="L1240">
        <v>190.79</v>
      </c>
      <c r="M1240">
        <v>181.81</v>
      </c>
      <c r="O1240">
        <v>181.81</v>
      </c>
      <c r="Q1240">
        <v>170.45</v>
      </c>
      <c r="R1240">
        <v>181.81</v>
      </c>
      <c r="T1240" t="s">
        <v>97</v>
      </c>
      <c r="U1240">
        <v>159.08000000000001</v>
      </c>
      <c r="V1240">
        <v>193.17</v>
      </c>
      <c r="W1240">
        <v>193.17</v>
      </c>
      <c r="Y1240">
        <v>193.17</v>
      </c>
      <c r="Z1240">
        <v>249.99</v>
      </c>
      <c r="AA1240" t="s">
        <v>97</v>
      </c>
    </row>
    <row r="1241" spans="1:27" x14ac:dyDescent="0.2">
      <c r="A1241" t="s">
        <v>92</v>
      </c>
      <c r="B1241" t="s">
        <v>2146</v>
      </c>
      <c r="C1241" t="s">
        <v>2356</v>
      </c>
      <c r="D1241" t="s">
        <v>2357</v>
      </c>
      <c r="E1241" t="s">
        <v>290</v>
      </c>
      <c r="F1241">
        <v>469.99</v>
      </c>
      <c r="H1241">
        <v>349.99</v>
      </c>
      <c r="I1241">
        <v>399.99</v>
      </c>
      <c r="J1241">
        <v>454.53</v>
      </c>
      <c r="K1241">
        <v>349.99</v>
      </c>
      <c r="L1241">
        <v>358.9</v>
      </c>
      <c r="M1241">
        <v>363.17</v>
      </c>
      <c r="O1241">
        <v>399.99</v>
      </c>
      <c r="Q1241">
        <v>341.81</v>
      </c>
      <c r="R1241">
        <v>341.81</v>
      </c>
      <c r="T1241" t="s">
        <v>97</v>
      </c>
      <c r="U1241">
        <v>299.08</v>
      </c>
      <c r="V1241">
        <v>424.99</v>
      </c>
      <c r="W1241">
        <v>424.99</v>
      </c>
      <c r="Y1241">
        <v>424.99</v>
      </c>
      <c r="Z1241">
        <v>549.99</v>
      </c>
      <c r="AA1241" t="s">
        <v>97</v>
      </c>
    </row>
    <row r="1242" spans="1:27" x14ac:dyDescent="0.2">
      <c r="A1242" t="s">
        <v>92</v>
      </c>
      <c r="B1242" t="s">
        <v>2146</v>
      </c>
      <c r="C1242" t="s">
        <v>2358</v>
      </c>
      <c r="D1242" t="s">
        <v>2359</v>
      </c>
      <c r="E1242" t="s">
        <v>290</v>
      </c>
      <c r="F1242">
        <v>199.99</v>
      </c>
      <c r="G1242">
        <v>199.99</v>
      </c>
      <c r="H1242">
        <v>127.27</v>
      </c>
      <c r="I1242">
        <v>145.44999999999999</v>
      </c>
      <c r="J1242">
        <v>163.63</v>
      </c>
      <c r="K1242">
        <v>127.27</v>
      </c>
      <c r="L1242">
        <v>152.63</v>
      </c>
      <c r="M1242">
        <v>145.44999999999999</v>
      </c>
      <c r="O1242">
        <v>145.44999999999999</v>
      </c>
      <c r="Q1242">
        <v>136.36000000000001</v>
      </c>
      <c r="R1242">
        <v>145.44999999999999</v>
      </c>
      <c r="T1242" t="s">
        <v>97</v>
      </c>
      <c r="U1242">
        <v>127.27</v>
      </c>
      <c r="V1242">
        <v>154.54</v>
      </c>
      <c r="W1242">
        <v>154.54</v>
      </c>
      <c r="X1242">
        <v>154.54</v>
      </c>
      <c r="Y1242">
        <v>154.54</v>
      </c>
      <c r="Z1242">
        <v>199.99</v>
      </c>
      <c r="AA1242" t="s">
        <v>97</v>
      </c>
    </row>
    <row r="1243" spans="1:27" x14ac:dyDescent="0.2">
      <c r="A1243" t="s">
        <v>92</v>
      </c>
      <c r="B1243" t="s">
        <v>2146</v>
      </c>
      <c r="C1243" t="s">
        <v>2360</v>
      </c>
      <c r="D1243" t="s">
        <v>2361</v>
      </c>
      <c r="E1243" t="s">
        <v>290</v>
      </c>
      <c r="F1243">
        <v>309.99</v>
      </c>
      <c r="G1243">
        <v>349.99</v>
      </c>
      <c r="H1243">
        <v>222.72</v>
      </c>
      <c r="I1243">
        <v>254.54</v>
      </c>
      <c r="J1243">
        <v>286.36</v>
      </c>
      <c r="K1243">
        <v>222.72</v>
      </c>
      <c r="L1243">
        <v>236.72</v>
      </c>
      <c r="M1243">
        <v>239.54</v>
      </c>
      <c r="O1243">
        <v>254.54</v>
      </c>
      <c r="Q1243">
        <v>225.45</v>
      </c>
      <c r="R1243">
        <v>225.45</v>
      </c>
      <c r="T1243" t="s">
        <v>97</v>
      </c>
      <c r="U1243">
        <v>197.27</v>
      </c>
      <c r="V1243">
        <v>270.45</v>
      </c>
      <c r="W1243">
        <v>270.45</v>
      </c>
      <c r="X1243">
        <v>289.56</v>
      </c>
      <c r="Y1243">
        <v>270.45</v>
      </c>
      <c r="Z1243">
        <v>349.99</v>
      </c>
      <c r="AA1243" t="s">
        <v>97</v>
      </c>
    </row>
    <row r="1244" spans="1:27" x14ac:dyDescent="0.2">
      <c r="A1244" t="s">
        <v>92</v>
      </c>
      <c r="B1244" t="s">
        <v>2146</v>
      </c>
      <c r="C1244" t="s">
        <v>2362</v>
      </c>
      <c r="D1244" t="s">
        <v>2363</v>
      </c>
      <c r="E1244" t="s">
        <v>290</v>
      </c>
      <c r="F1244">
        <v>309.99</v>
      </c>
      <c r="H1244">
        <v>235.45</v>
      </c>
      <c r="I1244">
        <v>269.08</v>
      </c>
      <c r="J1244">
        <v>305.77</v>
      </c>
      <c r="K1244">
        <v>235.45</v>
      </c>
      <c r="L1244">
        <v>236.72</v>
      </c>
      <c r="M1244">
        <v>239.54</v>
      </c>
      <c r="O1244">
        <v>269.08</v>
      </c>
      <c r="Q1244">
        <v>225.45</v>
      </c>
      <c r="R1244">
        <v>225.45</v>
      </c>
      <c r="T1244" t="s">
        <v>97</v>
      </c>
      <c r="U1244">
        <v>197.27</v>
      </c>
      <c r="V1244">
        <v>285.89999999999998</v>
      </c>
      <c r="W1244">
        <v>285.89999999999998</v>
      </c>
      <c r="Y1244">
        <v>285.89999999999998</v>
      </c>
      <c r="Z1244">
        <v>369.99</v>
      </c>
      <c r="AA1244" t="s">
        <v>97</v>
      </c>
    </row>
    <row r="1245" spans="1:27" x14ac:dyDescent="0.2">
      <c r="A1245" t="s">
        <v>92</v>
      </c>
      <c r="B1245" t="s">
        <v>2146</v>
      </c>
      <c r="C1245" t="s">
        <v>2364</v>
      </c>
      <c r="D1245" t="s">
        <v>2365</v>
      </c>
      <c r="E1245" t="s">
        <v>228</v>
      </c>
      <c r="F1245">
        <v>139.99</v>
      </c>
      <c r="H1245">
        <v>95.45</v>
      </c>
      <c r="I1245">
        <v>108.17</v>
      </c>
      <c r="L1245">
        <v>106.84</v>
      </c>
      <c r="M1245">
        <v>108.17</v>
      </c>
      <c r="O1245">
        <v>127.26</v>
      </c>
      <c r="Q1245">
        <v>101.81</v>
      </c>
      <c r="R1245">
        <v>108.17</v>
      </c>
      <c r="T1245" t="s">
        <v>97</v>
      </c>
      <c r="U1245">
        <v>95.45</v>
      </c>
      <c r="Z1245">
        <v>139.99</v>
      </c>
      <c r="AA1245" t="s">
        <v>97</v>
      </c>
    </row>
    <row r="1246" spans="1:27" x14ac:dyDescent="0.2">
      <c r="A1246" t="s">
        <v>92</v>
      </c>
      <c r="B1246" t="s">
        <v>2146</v>
      </c>
      <c r="C1246" t="s">
        <v>2366</v>
      </c>
      <c r="D1246" t="s">
        <v>2367</v>
      </c>
      <c r="E1246" t="s">
        <v>228</v>
      </c>
      <c r="F1246">
        <v>469.99</v>
      </c>
      <c r="H1246">
        <v>320.45</v>
      </c>
      <c r="I1246">
        <v>363.17</v>
      </c>
      <c r="L1246">
        <v>358.69</v>
      </c>
      <c r="M1246">
        <v>363.17</v>
      </c>
      <c r="O1246">
        <v>427.26</v>
      </c>
      <c r="Q1246">
        <v>341.81</v>
      </c>
      <c r="R1246">
        <v>363.17</v>
      </c>
      <c r="T1246" t="s">
        <v>97</v>
      </c>
      <c r="U1246">
        <v>320.45</v>
      </c>
      <c r="Z1246">
        <v>469.99</v>
      </c>
      <c r="AA1246" t="s">
        <v>97</v>
      </c>
    </row>
    <row r="1247" spans="1:27" x14ac:dyDescent="0.2">
      <c r="A1247" t="s">
        <v>92</v>
      </c>
      <c r="B1247" t="s">
        <v>2146</v>
      </c>
      <c r="C1247" t="s">
        <v>2368</v>
      </c>
      <c r="D1247" t="s">
        <v>2369</v>
      </c>
      <c r="E1247" t="s">
        <v>228</v>
      </c>
      <c r="F1247">
        <v>169.99</v>
      </c>
      <c r="H1247">
        <v>115.91</v>
      </c>
      <c r="I1247">
        <v>131.36000000000001</v>
      </c>
      <c r="J1247">
        <v>139.09</v>
      </c>
      <c r="L1247">
        <v>129.74</v>
      </c>
      <c r="M1247">
        <v>131.36000000000001</v>
      </c>
      <c r="O1247">
        <v>122.72</v>
      </c>
      <c r="Q1247">
        <v>123.63</v>
      </c>
      <c r="R1247">
        <v>131.36000000000001</v>
      </c>
      <c r="T1247" t="s">
        <v>97</v>
      </c>
      <c r="U1247">
        <v>115.91</v>
      </c>
      <c r="AA1247" t="s">
        <v>97</v>
      </c>
    </row>
    <row r="1248" spans="1:27" x14ac:dyDescent="0.2">
      <c r="A1248" t="s">
        <v>92</v>
      </c>
      <c r="B1248" t="s">
        <v>2146</v>
      </c>
      <c r="C1248" t="s">
        <v>8639</v>
      </c>
      <c r="D1248" t="s">
        <v>8640</v>
      </c>
      <c r="E1248" t="s">
        <v>228</v>
      </c>
      <c r="F1248">
        <v>99.99</v>
      </c>
      <c r="H1248">
        <v>68.180000000000007</v>
      </c>
      <c r="I1248">
        <v>72.72</v>
      </c>
      <c r="L1248">
        <v>76.31</v>
      </c>
      <c r="T1248" t="s">
        <v>97</v>
      </c>
      <c r="AA1248" t="s">
        <v>97</v>
      </c>
    </row>
    <row r="1249" spans="1:27" x14ac:dyDescent="0.2">
      <c r="A1249" t="s">
        <v>92</v>
      </c>
      <c r="B1249" t="s">
        <v>2146</v>
      </c>
      <c r="C1249" t="s">
        <v>2370</v>
      </c>
      <c r="D1249" t="s">
        <v>2371</v>
      </c>
      <c r="E1249" t="s">
        <v>228</v>
      </c>
      <c r="F1249">
        <v>349.99</v>
      </c>
      <c r="G1249">
        <v>219</v>
      </c>
      <c r="H1249">
        <v>166</v>
      </c>
      <c r="T1249" t="s">
        <v>97</v>
      </c>
      <c r="Z1249">
        <v>349.99</v>
      </c>
      <c r="AA1249" t="s">
        <v>97</v>
      </c>
    </row>
    <row r="1250" spans="1:27" x14ac:dyDescent="0.2">
      <c r="A1250" t="s">
        <v>92</v>
      </c>
      <c r="B1250" t="s">
        <v>2146</v>
      </c>
      <c r="C1250" t="s">
        <v>2372</v>
      </c>
      <c r="D1250" t="s">
        <v>2373</v>
      </c>
      <c r="E1250" t="s">
        <v>228</v>
      </c>
      <c r="F1250">
        <v>349.99</v>
      </c>
      <c r="G1250">
        <v>219</v>
      </c>
      <c r="H1250">
        <v>166</v>
      </c>
      <c r="T1250" t="s">
        <v>97</v>
      </c>
      <c r="Z1250">
        <v>349.99</v>
      </c>
      <c r="AA1250" t="s">
        <v>97</v>
      </c>
    </row>
    <row r="1251" spans="1:27" x14ac:dyDescent="0.2">
      <c r="A1251" t="s">
        <v>92</v>
      </c>
      <c r="B1251" t="s">
        <v>2374</v>
      </c>
      <c r="C1251" t="s">
        <v>2377</v>
      </c>
      <c r="D1251" t="s">
        <v>2378</v>
      </c>
      <c r="E1251" t="s">
        <v>96</v>
      </c>
      <c r="F1251">
        <v>169.99</v>
      </c>
      <c r="T1251" t="s">
        <v>97</v>
      </c>
      <c r="Z1251">
        <v>169.99</v>
      </c>
      <c r="AA1251" t="s">
        <v>97</v>
      </c>
    </row>
    <row r="1252" spans="1:27" x14ac:dyDescent="0.2">
      <c r="A1252" t="s">
        <v>92</v>
      </c>
      <c r="B1252" t="s">
        <v>2374</v>
      </c>
      <c r="C1252" t="s">
        <v>2381</v>
      </c>
      <c r="D1252" t="s">
        <v>2382</v>
      </c>
      <c r="E1252" t="s">
        <v>228</v>
      </c>
      <c r="F1252">
        <v>0.01</v>
      </c>
      <c r="H1252">
        <v>0.01</v>
      </c>
      <c r="M1252">
        <v>0.01</v>
      </c>
      <c r="T1252" t="s">
        <v>97</v>
      </c>
      <c r="Z1252">
        <v>0.01</v>
      </c>
      <c r="AA1252" t="s">
        <v>97</v>
      </c>
    </row>
    <row r="1253" spans="1:27" x14ac:dyDescent="0.2">
      <c r="A1253" t="s">
        <v>92</v>
      </c>
      <c r="B1253" t="s">
        <v>2374</v>
      </c>
      <c r="C1253" t="s">
        <v>2383</v>
      </c>
      <c r="D1253" t="s">
        <v>2384</v>
      </c>
      <c r="E1253" t="s">
        <v>290</v>
      </c>
      <c r="F1253">
        <v>139.99</v>
      </c>
      <c r="G1253">
        <v>139.99</v>
      </c>
      <c r="H1253">
        <v>95.45</v>
      </c>
      <c r="I1253">
        <v>101.81</v>
      </c>
      <c r="J1253">
        <v>114.54</v>
      </c>
      <c r="K1253">
        <v>95.45</v>
      </c>
      <c r="L1253">
        <v>106.84</v>
      </c>
      <c r="M1253">
        <v>108.17</v>
      </c>
      <c r="O1253">
        <v>104.99</v>
      </c>
      <c r="Q1253">
        <v>101.81</v>
      </c>
      <c r="R1253">
        <v>95.45</v>
      </c>
      <c r="T1253" t="s">
        <v>97</v>
      </c>
      <c r="V1253">
        <v>139.08000000000001</v>
      </c>
      <c r="W1253">
        <v>139.08000000000001</v>
      </c>
      <c r="X1253">
        <v>139.08000000000001</v>
      </c>
      <c r="Y1253">
        <v>139.08000000000001</v>
      </c>
      <c r="Z1253">
        <v>139.99</v>
      </c>
      <c r="AA1253" t="s">
        <v>97</v>
      </c>
    </row>
    <row r="1254" spans="1:27" x14ac:dyDescent="0.2">
      <c r="A1254" t="s">
        <v>92</v>
      </c>
      <c r="B1254" t="s">
        <v>2374</v>
      </c>
      <c r="C1254" t="s">
        <v>2387</v>
      </c>
      <c r="D1254" t="s">
        <v>2388</v>
      </c>
      <c r="E1254" t="s">
        <v>290</v>
      </c>
      <c r="F1254">
        <v>279.99</v>
      </c>
      <c r="G1254">
        <v>279.99</v>
      </c>
      <c r="H1254">
        <v>190.9</v>
      </c>
      <c r="I1254">
        <v>203.63</v>
      </c>
      <c r="J1254">
        <v>229.08</v>
      </c>
      <c r="K1254">
        <v>190.9</v>
      </c>
      <c r="L1254">
        <v>213.68</v>
      </c>
      <c r="M1254">
        <v>216.36</v>
      </c>
      <c r="O1254">
        <v>209.99</v>
      </c>
      <c r="Q1254">
        <v>203.63</v>
      </c>
      <c r="R1254">
        <v>190.9</v>
      </c>
      <c r="T1254" t="s">
        <v>97</v>
      </c>
      <c r="V1254">
        <v>245.45</v>
      </c>
      <c r="W1254">
        <v>245.45</v>
      </c>
      <c r="X1254">
        <v>245.45</v>
      </c>
      <c r="Y1254">
        <v>245.45</v>
      </c>
      <c r="Z1254">
        <v>279.99</v>
      </c>
      <c r="AA1254" t="s">
        <v>97</v>
      </c>
    </row>
    <row r="1255" spans="1:27" x14ac:dyDescent="0.2">
      <c r="A1255" t="s">
        <v>92</v>
      </c>
      <c r="B1255" t="s">
        <v>2374</v>
      </c>
      <c r="C1255" t="s">
        <v>2399</v>
      </c>
      <c r="D1255" t="s">
        <v>2400</v>
      </c>
      <c r="E1255" t="s">
        <v>290</v>
      </c>
      <c r="F1255">
        <v>549.99</v>
      </c>
      <c r="H1255">
        <v>374.99</v>
      </c>
      <c r="I1255">
        <v>399.99</v>
      </c>
      <c r="J1255">
        <v>454.53</v>
      </c>
      <c r="K1255">
        <v>399.99</v>
      </c>
      <c r="M1255">
        <v>449.99</v>
      </c>
      <c r="O1255">
        <v>437.49</v>
      </c>
      <c r="R1255">
        <v>424.99</v>
      </c>
      <c r="T1255" t="s">
        <v>97</v>
      </c>
      <c r="Z1255">
        <v>549.99</v>
      </c>
      <c r="AA1255" t="s">
        <v>97</v>
      </c>
    </row>
    <row r="1256" spans="1:27" x14ac:dyDescent="0.2">
      <c r="A1256" t="s">
        <v>92</v>
      </c>
      <c r="B1256" t="s">
        <v>2374</v>
      </c>
      <c r="C1256" t="s">
        <v>2401</v>
      </c>
      <c r="D1256" t="s">
        <v>2402</v>
      </c>
      <c r="E1256" t="s">
        <v>290</v>
      </c>
      <c r="F1256">
        <v>199.99</v>
      </c>
      <c r="G1256">
        <v>199.99</v>
      </c>
      <c r="H1256">
        <v>136.36000000000001</v>
      </c>
      <c r="I1256">
        <v>145.44999999999999</v>
      </c>
      <c r="J1256">
        <v>157.02000000000001</v>
      </c>
      <c r="K1256">
        <v>136.36000000000001</v>
      </c>
      <c r="L1256">
        <v>145</v>
      </c>
      <c r="M1256">
        <v>154.54</v>
      </c>
      <c r="O1256">
        <v>149.99</v>
      </c>
      <c r="Q1256">
        <v>145.44999999999999</v>
      </c>
      <c r="R1256">
        <v>136.36000000000001</v>
      </c>
      <c r="T1256" t="s">
        <v>97</v>
      </c>
      <c r="V1256">
        <v>179.99</v>
      </c>
      <c r="W1256">
        <v>179.99</v>
      </c>
      <c r="X1256">
        <v>179.99</v>
      </c>
      <c r="Y1256">
        <v>179.99</v>
      </c>
      <c r="Z1256">
        <v>199.99</v>
      </c>
      <c r="AA1256" t="s">
        <v>97</v>
      </c>
    </row>
    <row r="1257" spans="1:27" x14ac:dyDescent="0.2">
      <c r="A1257" t="s">
        <v>92</v>
      </c>
      <c r="B1257" t="s">
        <v>8418</v>
      </c>
      <c r="C1257" t="s">
        <v>8419</v>
      </c>
      <c r="D1257" t="s">
        <v>8420</v>
      </c>
      <c r="E1257" t="s">
        <v>228</v>
      </c>
      <c r="F1257">
        <v>79</v>
      </c>
      <c r="T1257" t="s">
        <v>97</v>
      </c>
      <c r="AA1257" t="s">
        <v>97</v>
      </c>
    </row>
    <row r="1258" spans="1:27" x14ac:dyDescent="0.2">
      <c r="A1258" t="s">
        <v>92</v>
      </c>
      <c r="B1258" t="s">
        <v>8418</v>
      </c>
      <c r="C1258" t="s">
        <v>8421</v>
      </c>
      <c r="D1258" t="s">
        <v>8422</v>
      </c>
      <c r="E1258" t="s">
        <v>228</v>
      </c>
      <c r="F1258">
        <v>99</v>
      </c>
      <c r="T1258" t="s">
        <v>97</v>
      </c>
      <c r="AA1258" t="s">
        <v>97</v>
      </c>
    </row>
    <row r="1259" spans="1:27" x14ac:dyDescent="0.2">
      <c r="A1259" t="s">
        <v>92</v>
      </c>
      <c r="B1259" t="s">
        <v>8418</v>
      </c>
      <c r="C1259" t="s">
        <v>8423</v>
      </c>
      <c r="D1259" t="s">
        <v>8424</v>
      </c>
      <c r="E1259" t="s">
        <v>228</v>
      </c>
      <c r="F1259">
        <v>199</v>
      </c>
      <c r="T1259" t="s">
        <v>97</v>
      </c>
      <c r="AA1259" t="s">
        <v>97</v>
      </c>
    </row>
    <row r="1260" spans="1:27" x14ac:dyDescent="0.2">
      <c r="A1260" t="s">
        <v>92</v>
      </c>
      <c r="B1260" t="s">
        <v>8418</v>
      </c>
      <c r="C1260" t="s">
        <v>8425</v>
      </c>
      <c r="D1260" t="s">
        <v>8426</v>
      </c>
      <c r="E1260" t="s">
        <v>228</v>
      </c>
      <c r="F1260">
        <v>249</v>
      </c>
      <c r="T1260" t="s">
        <v>97</v>
      </c>
      <c r="AA1260" t="s">
        <v>97</v>
      </c>
    </row>
    <row r="1261" spans="1:27" x14ac:dyDescent="0.2">
      <c r="A1261" t="s">
        <v>92</v>
      </c>
      <c r="B1261" t="s">
        <v>8418</v>
      </c>
      <c r="C1261" t="s">
        <v>8427</v>
      </c>
      <c r="D1261" t="s">
        <v>8428</v>
      </c>
      <c r="E1261" t="s">
        <v>228</v>
      </c>
      <c r="F1261">
        <v>299</v>
      </c>
      <c r="T1261" t="s">
        <v>97</v>
      </c>
      <c r="AA1261" t="s">
        <v>97</v>
      </c>
    </row>
    <row r="1262" spans="1:27" x14ac:dyDescent="0.2">
      <c r="A1262" t="s">
        <v>92</v>
      </c>
      <c r="B1262" t="s">
        <v>8418</v>
      </c>
      <c r="C1262" t="s">
        <v>8429</v>
      </c>
      <c r="D1262" t="s">
        <v>8430</v>
      </c>
      <c r="E1262" t="s">
        <v>228</v>
      </c>
      <c r="F1262">
        <v>149</v>
      </c>
      <c r="T1262" t="s">
        <v>97</v>
      </c>
      <c r="AA1262" t="s">
        <v>97</v>
      </c>
    </row>
    <row r="1263" spans="1:27" x14ac:dyDescent="0.2">
      <c r="A1263" t="s">
        <v>92</v>
      </c>
      <c r="B1263" t="s">
        <v>8418</v>
      </c>
      <c r="C1263" t="s">
        <v>8431</v>
      </c>
      <c r="D1263" t="s">
        <v>8432</v>
      </c>
      <c r="E1263" t="s">
        <v>228</v>
      </c>
      <c r="F1263">
        <v>249</v>
      </c>
      <c r="T1263" t="s">
        <v>97</v>
      </c>
      <c r="AA1263" t="s">
        <v>97</v>
      </c>
    </row>
    <row r="1264" spans="1:27" x14ac:dyDescent="0.2">
      <c r="A1264" t="s">
        <v>92</v>
      </c>
      <c r="B1264" t="s">
        <v>8418</v>
      </c>
      <c r="C1264" t="s">
        <v>8433</v>
      </c>
      <c r="D1264" t="s">
        <v>8434</v>
      </c>
      <c r="E1264" t="s">
        <v>228</v>
      </c>
      <c r="F1264">
        <v>249</v>
      </c>
      <c r="T1264" t="s">
        <v>97</v>
      </c>
      <c r="AA1264" t="s">
        <v>97</v>
      </c>
    </row>
    <row r="1265" spans="1:27" x14ac:dyDescent="0.2">
      <c r="A1265" t="s">
        <v>92</v>
      </c>
      <c r="B1265" t="s">
        <v>8418</v>
      </c>
      <c r="C1265" t="s">
        <v>8435</v>
      </c>
      <c r="D1265" t="s">
        <v>8436</v>
      </c>
      <c r="E1265" t="s">
        <v>228</v>
      </c>
      <c r="F1265">
        <v>39</v>
      </c>
      <c r="T1265" t="s">
        <v>97</v>
      </c>
      <c r="AA1265" t="s">
        <v>97</v>
      </c>
    </row>
    <row r="1266" spans="1:27" x14ac:dyDescent="0.2">
      <c r="A1266" t="s">
        <v>92</v>
      </c>
      <c r="B1266" t="s">
        <v>8418</v>
      </c>
      <c r="C1266" t="s">
        <v>8437</v>
      </c>
      <c r="D1266" t="s">
        <v>8438</v>
      </c>
      <c r="E1266" t="s">
        <v>228</v>
      </c>
      <c r="F1266">
        <v>349</v>
      </c>
      <c r="T1266" t="s">
        <v>97</v>
      </c>
      <c r="AA1266" t="s">
        <v>97</v>
      </c>
    </row>
    <row r="1267" spans="1:27" x14ac:dyDescent="0.2">
      <c r="A1267" t="s">
        <v>92</v>
      </c>
      <c r="B1267" t="s">
        <v>8418</v>
      </c>
      <c r="C1267" t="s">
        <v>8439</v>
      </c>
      <c r="D1267" t="s">
        <v>8440</v>
      </c>
      <c r="E1267" t="s">
        <v>228</v>
      </c>
      <c r="F1267">
        <v>499.99</v>
      </c>
      <c r="T1267" t="s">
        <v>97</v>
      </c>
      <c r="AA1267" t="s">
        <v>97</v>
      </c>
    </row>
    <row r="1268" spans="1:27" x14ac:dyDescent="0.2">
      <c r="A1268" t="s">
        <v>92</v>
      </c>
      <c r="B1268" t="s">
        <v>8418</v>
      </c>
      <c r="C1268" t="s">
        <v>8441</v>
      </c>
      <c r="D1268" t="s">
        <v>8442</v>
      </c>
      <c r="E1268" t="s">
        <v>228</v>
      </c>
      <c r="F1268">
        <v>399</v>
      </c>
      <c r="T1268" t="s">
        <v>97</v>
      </c>
      <c r="AA1268" t="s">
        <v>97</v>
      </c>
    </row>
    <row r="1269" spans="1:27" x14ac:dyDescent="0.2">
      <c r="A1269" t="s">
        <v>92</v>
      </c>
      <c r="B1269" t="s">
        <v>8418</v>
      </c>
      <c r="C1269" t="s">
        <v>8443</v>
      </c>
      <c r="D1269" t="s">
        <v>8444</v>
      </c>
      <c r="E1269" t="s">
        <v>228</v>
      </c>
      <c r="F1269">
        <v>499</v>
      </c>
      <c r="T1269" t="s">
        <v>97</v>
      </c>
      <c r="AA1269" t="s">
        <v>97</v>
      </c>
    </row>
    <row r="1270" spans="1:27" x14ac:dyDescent="0.2">
      <c r="A1270" t="s">
        <v>92</v>
      </c>
      <c r="B1270" t="s">
        <v>8418</v>
      </c>
      <c r="C1270" t="s">
        <v>8445</v>
      </c>
      <c r="D1270" t="s">
        <v>8446</v>
      </c>
      <c r="E1270" t="s">
        <v>228</v>
      </c>
      <c r="F1270">
        <v>699.99</v>
      </c>
      <c r="T1270" t="s">
        <v>97</v>
      </c>
      <c r="AA1270" t="s">
        <v>97</v>
      </c>
    </row>
    <row r="1271" spans="1:27" x14ac:dyDescent="0.2">
      <c r="A1271" t="s">
        <v>92</v>
      </c>
      <c r="B1271" t="s">
        <v>8418</v>
      </c>
      <c r="C1271" t="s">
        <v>8447</v>
      </c>
      <c r="D1271" t="s">
        <v>8448</v>
      </c>
      <c r="E1271" t="s">
        <v>228</v>
      </c>
      <c r="F1271">
        <v>599</v>
      </c>
      <c r="T1271" t="s">
        <v>97</v>
      </c>
      <c r="AA1271" t="s">
        <v>97</v>
      </c>
    </row>
    <row r="1272" spans="1:27" x14ac:dyDescent="0.2">
      <c r="A1272" t="s">
        <v>92</v>
      </c>
      <c r="B1272" t="s">
        <v>8418</v>
      </c>
      <c r="C1272" t="s">
        <v>8449</v>
      </c>
      <c r="D1272" t="s">
        <v>8450</v>
      </c>
      <c r="E1272" t="s">
        <v>228</v>
      </c>
      <c r="F1272">
        <v>59</v>
      </c>
      <c r="T1272" t="s">
        <v>97</v>
      </c>
      <c r="AA1272" t="s">
        <v>97</v>
      </c>
    </row>
    <row r="1273" spans="1:27" x14ac:dyDescent="0.2">
      <c r="A1273" t="s">
        <v>92</v>
      </c>
      <c r="B1273" t="s">
        <v>8418</v>
      </c>
      <c r="C1273" t="s">
        <v>8451</v>
      </c>
      <c r="D1273" t="s">
        <v>8452</v>
      </c>
      <c r="E1273" t="s">
        <v>228</v>
      </c>
      <c r="F1273">
        <v>99</v>
      </c>
      <c r="T1273" t="s">
        <v>97</v>
      </c>
      <c r="AA1273" t="s">
        <v>97</v>
      </c>
    </row>
    <row r="1274" spans="1:27" x14ac:dyDescent="0.2">
      <c r="A1274" t="s">
        <v>92</v>
      </c>
      <c r="B1274" t="s">
        <v>8418</v>
      </c>
      <c r="C1274" t="s">
        <v>8453</v>
      </c>
      <c r="D1274" t="s">
        <v>8454</v>
      </c>
      <c r="E1274" t="s">
        <v>228</v>
      </c>
      <c r="F1274">
        <v>79</v>
      </c>
      <c r="T1274" t="s">
        <v>97</v>
      </c>
      <c r="AA1274" t="s">
        <v>97</v>
      </c>
    </row>
    <row r="1275" spans="1:27" x14ac:dyDescent="0.2">
      <c r="A1275" t="s">
        <v>92</v>
      </c>
      <c r="B1275" t="s">
        <v>8418</v>
      </c>
      <c r="C1275" t="s">
        <v>8455</v>
      </c>
      <c r="D1275" t="s">
        <v>8456</v>
      </c>
      <c r="E1275" t="s">
        <v>228</v>
      </c>
      <c r="F1275">
        <v>699</v>
      </c>
      <c r="T1275" t="s">
        <v>97</v>
      </c>
      <c r="AA1275" t="s">
        <v>97</v>
      </c>
    </row>
    <row r="1276" spans="1:27" x14ac:dyDescent="0.2">
      <c r="A1276" t="s">
        <v>92</v>
      </c>
      <c r="B1276" t="s">
        <v>8418</v>
      </c>
      <c r="C1276" t="s">
        <v>8457</v>
      </c>
      <c r="D1276" t="s">
        <v>8458</v>
      </c>
      <c r="E1276" t="s">
        <v>228</v>
      </c>
      <c r="F1276">
        <v>799</v>
      </c>
      <c r="T1276" t="s">
        <v>97</v>
      </c>
      <c r="AA1276" t="s">
        <v>97</v>
      </c>
    </row>
    <row r="1277" spans="1:27" x14ac:dyDescent="0.2">
      <c r="A1277" t="s">
        <v>92</v>
      </c>
      <c r="B1277" t="s">
        <v>8418</v>
      </c>
      <c r="C1277" t="s">
        <v>8459</v>
      </c>
      <c r="D1277" t="s">
        <v>8460</v>
      </c>
      <c r="E1277" t="s">
        <v>228</v>
      </c>
      <c r="F1277">
        <v>999</v>
      </c>
      <c r="T1277" t="s">
        <v>97</v>
      </c>
      <c r="AA1277" t="s">
        <v>97</v>
      </c>
    </row>
    <row r="1278" spans="1:27" x14ac:dyDescent="0.2">
      <c r="A1278" t="s">
        <v>92</v>
      </c>
      <c r="B1278" t="s">
        <v>8418</v>
      </c>
      <c r="C1278" t="s">
        <v>8461</v>
      </c>
      <c r="D1278" t="s">
        <v>8462</v>
      </c>
      <c r="E1278" t="s">
        <v>228</v>
      </c>
      <c r="F1278">
        <v>999</v>
      </c>
      <c r="T1278" t="s">
        <v>97</v>
      </c>
      <c r="AA1278" t="s">
        <v>97</v>
      </c>
    </row>
    <row r="1279" spans="1:27" x14ac:dyDescent="0.2">
      <c r="A1279" t="s">
        <v>92</v>
      </c>
      <c r="B1279" t="s">
        <v>8418</v>
      </c>
      <c r="C1279" t="s">
        <v>8463</v>
      </c>
      <c r="D1279" t="s">
        <v>8464</v>
      </c>
      <c r="E1279" t="s">
        <v>228</v>
      </c>
      <c r="F1279">
        <v>1199</v>
      </c>
      <c r="T1279" t="s">
        <v>97</v>
      </c>
      <c r="AA1279" t="s">
        <v>97</v>
      </c>
    </row>
    <row r="1280" spans="1:27" x14ac:dyDescent="0.2">
      <c r="A1280" t="s">
        <v>92</v>
      </c>
      <c r="B1280" t="s">
        <v>8418</v>
      </c>
      <c r="C1280" t="s">
        <v>8465</v>
      </c>
      <c r="D1280" t="s">
        <v>8466</v>
      </c>
      <c r="E1280" t="s">
        <v>228</v>
      </c>
      <c r="F1280">
        <v>299</v>
      </c>
      <c r="T1280" t="s">
        <v>97</v>
      </c>
      <c r="AA1280" t="s">
        <v>97</v>
      </c>
    </row>
    <row r="1281" spans="1:27" x14ac:dyDescent="0.2">
      <c r="A1281" t="s">
        <v>92</v>
      </c>
      <c r="B1281" t="s">
        <v>8418</v>
      </c>
      <c r="C1281" t="s">
        <v>8467</v>
      </c>
      <c r="D1281" t="s">
        <v>8468</v>
      </c>
      <c r="E1281" t="s">
        <v>228</v>
      </c>
      <c r="F1281">
        <v>199</v>
      </c>
      <c r="T1281" t="s">
        <v>97</v>
      </c>
      <c r="AA1281" t="s">
        <v>97</v>
      </c>
    </row>
    <row r="1282" spans="1:27" x14ac:dyDescent="0.2">
      <c r="A1282" t="s">
        <v>92</v>
      </c>
      <c r="B1282" t="s">
        <v>8418</v>
      </c>
      <c r="C1282" t="s">
        <v>8469</v>
      </c>
      <c r="D1282" t="s">
        <v>8470</v>
      </c>
      <c r="E1282" t="s">
        <v>228</v>
      </c>
      <c r="F1282">
        <v>199</v>
      </c>
      <c r="T1282" t="s">
        <v>97</v>
      </c>
      <c r="AA1282" t="s">
        <v>97</v>
      </c>
    </row>
    <row r="1283" spans="1:27" x14ac:dyDescent="0.2">
      <c r="A1283" t="s">
        <v>92</v>
      </c>
      <c r="B1283" t="s">
        <v>8418</v>
      </c>
      <c r="C1283" t="s">
        <v>8471</v>
      </c>
      <c r="D1283" t="s">
        <v>8472</v>
      </c>
      <c r="E1283" t="s">
        <v>228</v>
      </c>
      <c r="F1283">
        <v>299</v>
      </c>
      <c r="T1283" t="s">
        <v>97</v>
      </c>
      <c r="AA1283" t="s">
        <v>97</v>
      </c>
    </row>
    <row r="1284" spans="1:27" x14ac:dyDescent="0.2">
      <c r="A1284" t="s">
        <v>92</v>
      </c>
      <c r="B1284" t="s">
        <v>8418</v>
      </c>
      <c r="C1284" t="s">
        <v>8473</v>
      </c>
      <c r="D1284" t="s">
        <v>8474</v>
      </c>
      <c r="E1284" t="s">
        <v>228</v>
      </c>
      <c r="F1284">
        <v>299</v>
      </c>
      <c r="T1284" t="s">
        <v>97</v>
      </c>
      <c r="AA1284" t="s">
        <v>97</v>
      </c>
    </row>
    <row r="1285" spans="1:27" x14ac:dyDescent="0.2">
      <c r="A1285" t="s">
        <v>92</v>
      </c>
      <c r="B1285" t="s">
        <v>8418</v>
      </c>
      <c r="C1285" t="s">
        <v>8475</v>
      </c>
      <c r="D1285" t="s">
        <v>8476</v>
      </c>
      <c r="E1285" t="s">
        <v>228</v>
      </c>
      <c r="F1285">
        <v>199</v>
      </c>
      <c r="T1285" t="s">
        <v>97</v>
      </c>
      <c r="AA1285" t="s">
        <v>97</v>
      </c>
    </row>
    <row r="1286" spans="1:27" x14ac:dyDescent="0.2">
      <c r="A1286" t="s">
        <v>92</v>
      </c>
      <c r="B1286" t="s">
        <v>8418</v>
      </c>
      <c r="C1286" t="s">
        <v>8477</v>
      </c>
      <c r="D1286" t="s">
        <v>8478</v>
      </c>
      <c r="E1286" t="s">
        <v>228</v>
      </c>
      <c r="F1286">
        <v>79</v>
      </c>
      <c r="T1286" t="s">
        <v>97</v>
      </c>
      <c r="AA1286" t="s">
        <v>97</v>
      </c>
    </row>
    <row r="1287" spans="1:27" x14ac:dyDescent="0.2">
      <c r="A1287" t="s">
        <v>92</v>
      </c>
      <c r="B1287" t="s">
        <v>8418</v>
      </c>
      <c r="C1287" t="s">
        <v>8479</v>
      </c>
      <c r="D1287" t="s">
        <v>8480</v>
      </c>
      <c r="E1287" t="s">
        <v>228</v>
      </c>
      <c r="F1287">
        <v>79</v>
      </c>
      <c r="T1287" t="s">
        <v>97</v>
      </c>
      <c r="AA1287" t="s">
        <v>97</v>
      </c>
    </row>
    <row r="1288" spans="1:27" x14ac:dyDescent="0.2">
      <c r="A1288" t="s">
        <v>92</v>
      </c>
      <c r="B1288" t="s">
        <v>8418</v>
      </c>
      <c r="C1288" t="s">
        <v>8481</v>
      </c>
      <c r="D1288" t="s">
        <v>8482</v>
      </c>
      <c r="E1288" t="s">
        <v>228</v>
      </c>
      <c r="F1288">
        <v>99</v>
      </c>
      <c r="T1288" t="s">
        <v>97</v>
      </c>
      <c r="AA1288" t="s">
        <v>97</v>
      </c>
    </row>
    <row r="1289" spans="1:27" x14ac:dyDescent="0.2">
      <c r="A1289" t="s">
        <v>92</v>
      </c>
      <c r="B1289" t="s">
        <v>8418</v>
      </c>
      <c r="C1289" t="s">
        <v>8483</v>
      </c>
      <c r="D1289" t="s">
        <v>8484</v>
      </c>
      <c r="E1289" t="s">
        <v>228</v>
      </c>
      <c r="F1289">
        <v>99</v>
      </c>
      <c r="T1289" t="s">
        <v>97</v>
      </c>
      <c r="AA1289" t="s">
        <v>97</v>
      </c>
    </row>
    <row r="1290" spans="1:27" x14ac:dyDescent="0.2">
      <c r="A1290" t="s">
        <v>92</v>
      </c>
      <c r="B1290" t="s">
        <v>2403</v>
      </c>
      <c r="C1290" t="s">
        <v>2404</v>
      </c>
      <c r="D1290" t="s">
        <v>2405</v>
      </c>
      <c r="E1290" t="s">
        <v>290</v>
      </c>
      <c r="F1290">
        <v>349.99</v>
      </c>
      <c r="G1290">
        <v>129.99</v>
      </c>
      <c r="H1290">
        <v>238.63</v>
      </c>
      <c r="I1290">
        <v>254.54</v>
      </c>
      <c r="J1290">
        <v>289.94</v>
      </c>
      <c r="K1290">
        <v>238.63</v>
      </c>
      <c r="L1290">
        <v>267.11</v>
      </c>
      <c r="M1290">
        <v>270.45</v>
      </c>
      <c r="O1290">
        <v>262.49</v>
      </c>
      <c r="R1290">
        <v>270.45</v>
      </c>
      <c r="T1290" t="s">
        <v>97</v>
      </c>
      <c r="AA1290" t="s">
        <v>97</v>
      </c>
    </row>
    <row r="1291" spans="1:27" x14ac:dyDescent="0.2">
      <c r="A1291" t="s">
        <v>92</v>
      </c>
      <c r="B1291" t="s">
        <v>2403</v>
      </c>
      <c r="C1291" t="s">
        <v>2406</v>
      </c>
      <c r="D1291" t="s">
        <v>2407</v>
      </c>
      <c r="E1291" t="s">
        <v>290</v>
      </c>
      <c r="F1291">
        <v>529.99</v>
      </c>
      <c r="G1291">
        <v>199.99</v>
      </c>
      <c r="H1291">
        <v>361.36</v>
      </c>
      <c r="I1291">
        <v>385.45</v>
      </c>
      <c r="K1291">
        <v>361.36</v>
      </c>
      <c r="L1291">
        <v>404.48</v>
      </c>
      <c r="M1291">
        <v>409.54</v>
      </c>
      <c r="O1291">
        <v>397.49</v>
      </c>
      <c r="Q1291">
        <v>397.49</v>
      </c>
      <c r="R1291">
        <v>385.45</v>
      </c>
      <c r="T1291" t="s">
        <v>97</v>
      </c>
      <c r="AA1291" t="s">
        <v>97</v>
      </c>
    </row>
    <row r="1292" spans="1:27" x14ac:dyDescent="0.2">
      <c r="A1292" t="s">
        <v>92</v>
      </c>
      <c r="B1292" t="s">
        <v>2408</v>
      </c>
      <c r="C1292" t="s">
        <v>2409</v>
      </c>
      <c r="D1292" t="s">
        <v>2410</v>
      </c>
      <c r="E1292" t="s">
        <v>96</v>
      </c>
      <c r="F1292">
        <v>399.99</v>
      </c>
      <c r="T1292" t="s">
        <v>97</v>
      </c>
      <c r="V1292">
        <v>243.47</v>
      </c>
      <c r="AA1292" t="s">
        <v>97</v>
      </c>
    </row>
    <row r="1293" spans="1:27" x14ac:dyDescent="0.2">
      <c r="A1293" t="s">
        <v>92</v>
      </c>
      <c r="B1293" t="s">
        <v>2411</v>
      </c>
      <c r="C1293" t="s">
        <v>2416</v>
      </c>
      <c r="D1293" t="s">
        <v>2417</v>
      </c>
      <c r="E1293" t="s">
        <v>96</v>
      </c>
      <c r="F1293">
        <v>29.99</v>
      </c>
      <c r="G1293">
        <v>29.99</v>
      </c>
      <c r="H1293">
        <v>15</v>
      </c>
      <c r="I1293">
        <v>16.36</v>
      </c>
      <c r="J1293">
        <v>24.54</v>
      </c>
      <c r="K1293">
        <v>15</v>
      </c>
      <c r="L1293">
        <v>27.26</v>
      </c>
      <c r="M1293">
        <v>27.26</v>
      </c>
      <c r="T1293" t="s">
        <v>2418</v>
      </c>
      <c r="AA1293" t="s">
        <v>97</v>
      </c>
    </row>
    <row r="1294" spans="1:27" x14ac:dyDescent="0.2">
      <c r="A1294" t="s">
        <v>92</v>
      </c>
      <c r="B1294" t="s">
        <v>2411</v>
      </c>
      <c r="C1294" t="s">
        <v>2419</v>
      </c>
      <c r="D1294" t="s">
        <v>2420</v>
      </c>
      <c r="E1294" t="s">
        <v>290</v>
      </c>
      <c r="F1294">
        <v>29.99</v>
      </c>
      <c r="G1294">
        <v>29.99</v>
      </c>
      <c r="H1294">
        <v>15</v>
      </c>
      <c r="I1294">
        <v>16.36</v>
      </c>
      <c r="J1294">
        <v>24.54</v>
      </c>
      <c r="K1294">
        <v>15</v>
      </c>
      <c r="L1294">
        <v>27.26</v>
      </c>
      <c r="M1294">
        <v>27.26</v>
      </c>
      <c r="T1294" t="s">
        <v>2418</v>
      </c>
      <c r="AA1294" t="s">
        <v>97</v>
      </c>
    </row>
    <row r="1295" spans="1:27" x14ac:dyDescent="0.2">
      <c r="A1295" t="s">
        <v>92</v>
      </c>
      <c r="B1295" t="s">
        <v>2411</v>
      </c>
      <c r="C1295" t="s">
        <v>2421</v>
      </c>
      <c r="D1295" t="s">
        <v>2422</v>
      </c>
      <c r="E1295" t="s">
        <v>290</v>
      </c>
      <c r="F1295">
        <v>29.99</v>
      </c>
      <c r="G1295">
        <v>29.99</v>
      </c>
      <c r="H1295">
        <v>15</v>
      </c>
      <c r="I1295">
        <v>16.36</v>
      </c>
      <c r="J1295">
        <v>24.54</v>
      </c>
      <c r="K1295">
        <v>15</v>
      </c>
      <c r="L1295">
        <v>27.26</v>
      </c>
      <c r="M1295">
        <v>27.26</v>
      </c>
      <c r="Q1295">
        <v>27.26</v>
      </c>
      <c r="R1295">
        <v>27.26</v>
      </c>
      <c r="T1295" t="s">
        <v>2418</v>
      </c>
      <c r="AA1295" t="s">
        <v>97</v>
      </c>
    </row>
    <row r="1296" spans="1:27" x14ac:dyDescent="0.2">
      <c r="A1296" t="s">
        <v>92</v>
      </c>
      <c r="B1296" t="s">
        <v>2411</v>
      </c>
      <c r="C1296" t="s">
        <v>2423</v>
      </c>
      <c r="D1296" t="s">
        <v>2424</v>
      </c>
      <c r="E1296" t="s">
        <v>96</v>
      </c>
      <c r="F1296">
        <v>49.99</v>
      </c>
      <c r="G1296">
        <v>19.989999999999998</v>
      </c>
      <c r="H1296">
        <v>25</v>
      </c>
      <c r="I1296">
        <v>25</v>
      </c>
      <c r="J1296">
        <v>40.9</v>
      </c>
      <c r="K1296">
        <v>25</v>
      </c>
      <c r="L1296">
        <v>25</v>
      </c>
      <c r="M1296">
        <v>24.54</v>
      </c>
      <c r="O1296">
        <v>36.36</v>
      </c>
      <c r="P1296">
        <v>22.72</v>
      </c>
      <c r="Q1296">
        <v>17.95</v>
      </c>
      <c r="R1296">
        <v>17.95</v>
      </c>
      <c r="T1296" t="s">
        <v>97</v>
      </c>
      <c r="AA1296" t="s">
        <v>97</v>
      </c>
    </row>
    <row r="1297" spans="1:28" x14ac:dyDescent="0.2">
      <c r="A1297" t="s">
        <v>92</v>
      </c>
      <c r="B1297" t="s">
        <v>2425</v>
      </c>
      <c r="C1297" t="s">
        <v>2426</v>
      </c>
      <c r="D1297" t="s">
        <v>2427</v>
      </c>
      <c r="E1297" t="s">
        <v>290</v>
      </c>
      <c r="F1297">
        <v>179.99</v>
      </c>
      <c r="G1297">
        <v>79.989999999999995</v>
      </c>
      <c r="H1297">
        <v>114.54</v>
      </c>
      <c r="I1297">
        <v>130.9</v>
      </c>
      <c r="J1297">
        <v>147.26</v>
      </c>
      <c r="K1297">
        <v>110.45</v>
      </c>
      <c r="L1297">
        <v>137.37</v>
      </c>
      <c r="M1297">
        <v>127.63</v>
      </c>
      <c r="Q1297">
        <v>122.72</v>
      </c>
      <c r="R1297">
        <v>130.9</v>
      </c>
      <c r="T1297" t="s">
        <v>2428</v>
      </c>
      <c r="Y1297">
        <v>139.08000000000001</v>
      </c>
      <c r="Z1297">
        <v>179.99</v>
      </c>
      <c r="AA1297" t="s">
        <v>97</v>
      </c>
    </row>
    <row r="1298" spans="1:28" x14ac:dyDescent="0.2">
      <c r="A1298" t="s">
        <v>92</v>
      </c>
      <c r="B1298" t="s">
        <v>2425</v>
      </c>
      <c r="C1298" t="s">
        <v>2429</v>
      </c>
      <c r="D1298" t="s">
        <v>2430</v>
      </c>
      <c r="E1298" t="s">
        <v>290</v>
      </c>
      <c r="F1298">
        <v>149.99</v>
      </c>
      <c r="H1298">
        <v>95.45</v>
      </c>
      <c r="I1298">
        <v>109.08</v>
      </c>
      <c r="J1298">
        <v>122.72</v>
      </c>
      <c r="K1298">
        <v>92.04</v>
      </c>
      <c r="L1298">
        <v>114.47</v>
      </c>
      <c r="M1298">
        <v>106.36</v>
      </c>
      <c r="O1298">
        <v>106.36</v>
      </c>
      <c r="P1298">
        <v>82.72</v>
      </c>
      <c r="Q1298">
        <v>102.27</v>
      </c>
      <c r="R1298">
        <v>109.08</v>
      </c>
      <c r="S1298">
        <v>95.45</v>
      </c>
      <c r="T1298" t="s">
        <v>2428</v>
      </c>
      <c r="Y1298">
        <v>115.9</v>
      </c>
      <c r="Z1298">
        <v>149.99</v>
      </c>
      <c r="AA1298" t="s">
        <v>97</v>
      </c>
      <c r="AB1298">
        <v>59.99</v>
      </c>
    </row>
    <row r="1299" spans="1:28" x14ac:dyDescent="0.2">
      <c r="A1299" t="s">
        <v>92</v>
      </c>
      <c r="B1299" t="s">
        <v>2425</v>
      </c>
      <c r="C1299" t="s">
        <v>2431</v>
      </c>
      <c r="D1299" t="s">
        <v>2432</v>
      </c>
      <c r="E1299" t="s">
        <v>290</v>
      </c>
      <c r="F1299">
        <v>179.99</v>
      </c>
      <c r="H1299">
        <v>114.54</v>
      </c>
      <c r="I1299">
        <v>130.9</v>
      </c>
      <c r="J1299">
        <v>147.26</v>
      </c>
      <c r="K1299">
        <v>110.45</v>
      </c>
      <c r="L1299">
        <v>137.37</v>
      </c>
      <c r="M1299">
        <v>127.63</v>
      </c>
      <c r="O1299">
        <v>139.08000000000001</v>
      </c>
      <c r="P1299">
        <v>108.18</v>
      </c>
      <c r="Q1299">
        <v>122.72</v>
      </c>
      <c r="R1299">
        <v>130.9</v>
      </c>
      <c r="S1299">
        <v>114.54</v>
      </c>
      <c r="T1299" t="s">
        <v>2428</v>
      </c>
      <c r="Y1299">
        <v>139.08000000000001</v>
      </c>
      <c r="Z1299">
        <v>179.99</v>
      </c>
      <c r="AA1299" t="s">
        <v>97</v>
      </c>
      <c r="AB1299">
        <v>49.99</v>
      </c>
    </row>
    <row r="1300" spans="1:28" x14ac:dyDescent="0.2">
      <c r="A1300" t="s">
        <v>92</v>
      </c>
      <c r="B1300" t="s">
        <v>2425</v>
      </c>
      <c r="C1300" t="s">
        <v>2433</v>
      </c>
      <c r="D1300" t="s">
        <v>2434</v>
      </c>
      <c r="E1300" t="s">
        <v>290</v>
      </c>
      <c r="F1300">
        <v>69.989999999999995</v>
      </c>
      <c r="H1300">
        <v>44.54</v>
      </c>
      <c r="I1300">
        <v>50.9</v>
      </c>
      <c r="J1300">
        <v>57.84</v>
      </c>
      <c r="K1300">
        <v>42.95</v>
      </c>
      <c r="L1300">
        <v>53.42</v>
      </c>
      <c r="M1300">
        <v>54.08</v>
      </c>
      <c r="Q1300">
        <v>47.72</v>
      </c>
      <c r="R1300">
        <v>50.9</v>
      </c>
      <c r="T1300" t="s">
        <v>2435</v>
      </c>
      <c r="Y1300">
        <v>54.08</v>
      </c>
      <c r="Z1300">
        <v>69.989999999999995</v>
      </c>
      <c r="AA1300" t="s">
        <v>97</v>
      </c>
      <c r="AB1300">
        <v>9.99</v>
      </c>
    </row>
    <row r="1301" spans="1:28" x14ac:dyDescent="0.2">
      <c r="A1301" t="s">
        <v>92</v>
      </c>
      <c r="B1301" t="s">
        <v>2425</v>
      </c>
      <c r="C1301" t="s">
        <v>2436</v>
      </c>
      <c r="D1301" t="s">
        <v>2437</v>
      </c>
      <c r="E1301" t="s">
        <v>290</v>
      </c>
      <c r="F1301">
        <v>159.99</v>
      </c>
      <c r="H1301">
        <v>101.81</v>
      </c>
      <c r="I1301">
        <v>116.36</v>
      </c>
      <c r="J1301">
        <v>130.9</v>
      </c>
      <c r="K1301">
        <v>98.18</v>
      </c>
      <c r="L1301">
        <v>122.1</v>
      </c>
      <c r="M1301">
        <v>113.45</v>
      </c>
      <c r="O1301">
        <v>130.9</v>
      </c>
      <c r="P1301">
        <v>109.08</v>
      </c>
      <c r="Q1301">
        <v>109.08</v>
      </c>
      <c r="R1301">
        <v>116.36</v>
      </c>
      <c r="S1301">
        <v>101.81</v>
      </c>
      <c r="T1301" t="s">
        <v>2428</v>
      </c>
      <c r="Y1301">
        <v>123.63</v>
      </c>
      <c r="Z1301">
        <v>159.99</v>
      </c>
      <c r="AA1301" t="s">
        <v>97</v>
      </c>
      <c r="AB1301">
        <v>59.99</v>
      </c>
    </row>
    <row r="1302" spans="1:28" x14ac:dyDescent="0.2">
      <c r="A1302" t="s">
        <v>92</v>
      </c>
      <c r="B1302" t="s">
        <v>2425</v>
      </c>
      <c r="C1302" t="s">
        <v>2438</v>
      </c>
      <c r="D1302" t="s">
        <v>2439</v>
      </c>
      <c r="E1302" t="s">
        <v>290</v>
      </c>
      <c r="F1302">
        <v>99.99</v>
      </c>
      <c r="H1302">
        <v>63.63</v>
      </c>
      <c r="I1302">
        <v>72.72</v>
      </c>
      <c r="J1302">
        <v>81.81</v>
      </c>
      <c r="K1302">
        <v>61.36</v>
      </c>
      <c r="L1302">
        <v>76.31</v>
      </c>
      <c r="M1302">
        <v>70.900000000000006</v>
      </c>
      <c r="Q1302">
        <v>68.180000000000007</v>
      </c>
      <c r="R1302">
        <v>72.72</v>
      </c>
      <c r="S1302">
        <v>63.63</v>
      </c>
      <c r="T1302" t="s">
        <v>2440</v>
      </c>
      <c r="Y1302">
        <v>77.27</v>
      </c>
      <c r="Z1302">
        <v>99.99</v>
      </c>
      <c r="AA1302" t="s">
        <v>97</v>
      </c>
      <c r="AB1302">
        <v>39.99</v>
      </c>
    </row>
    <row r="1303" spans="1:28" x14ac:dyDescent="0.2">
      <c r="A1303" t="s">
        <v>92</v>
      </c>
      <c r="B1303" t="s">
        <v>2425</v>
      </c>
      <c r="C1303" t="s">
        <v>2441</v>
      </c>
      <c r="D1303" t="s">
        <v>2442</v>
      </c>
      <c r="E1303" t="s">
        <v>290</v>
      </c>
      <c r="F1303">
        <v>69.989999999999995</v>
      </c>
      <c r="H1303">
        <v>44.54</v>
      </c>
      <c r="I1303">
        <v>50.9</v>
      </c>
      <c r="J1303">
        <v>57.26</v>
      </c>
      <c r="K1303">
        <v>44.54</v>
      </c>
      <c r="R1303">
        <v>50.9</v>
      </c>
      <c r="S1303">
        <v>44.54</v>
      </c>
      <c r="T1303" t="s">
        <v>2440</v>
      </c>
      <c r="Y1303">
        <v>54.08</v>
      </c>
      <c r="Z1303">
        <v>69.989999999999995</v>
      </c>
      <c r="AA1303" t="s">
        <v>97</v>
      </c>
      <c r="AB1303">
        <v>29.99</v>
      </c>
    </row>
    <row r="1304" spans="1:28" x14ac:dyDescent="0.2">
      <c r="A1304" t="s">
        <v>92</v>
      </c>
      <c r="B1304" t="s">
        <v>2425</v>
      </c>
      <c r="C1304" t="s">
        <v>2443</v>
      </c>
      <c r="D1304" t="s">
        <v>2444</v>
      </c>
      <c r="E1304" t="s">
        <v>290</v>
      </c>
      <c r="F1304">
        <v>129.99</v>
      </c>
      <c r="G1304">
        <v>90.99</v>
      </c>
      <c r="H1304">
        <v>82.72</v>
      </c>
      <c r="I1304">
        <v>94.54</v>
      </c>
      <c r="J1304">
        <v>106.36</v>
      </c>
      <c r="K1304">
        <v>79.77</v>
      </c>
      <c r="L1304">
        <v>99.21</v>
      </c>
      <c r="M1304">
        <v>92.17</v>
      </c>
      <c r="P1304">
        <v>90.9</v>
      </c>
      <c r="Q1304">
        <v>94.54</v>
      </c>
      <c r="R1304">
        <v>90.9</v>
      </c>
      <c r="S1304">
        <v>90.9</v>
      </c>
      <c r="T1304" t="s">
        <v>2428</v>
      </c>
      <c r="AA1304" t="s">
        <v>97</v>
      </c>
    </row>
    <row r="1305" spans="1:28" x14ac:dyDescent="0.2">
      <c r="A1305" t="s">
        <v>92</v>
      </c>
      <c r="B1305" t="s">
        <v>2445</v>
      </c>
      <c r="C1305" t="s">
        <v>8641</v>
      </c>
      <c r="D1305" t="s">
        <v>8642</v>
      </c>
      <c r="E1305" t="s">
        <v>228</v>
      </c>
      <c r="F1305">
        <v>79.989999999999995</v>
      </c>
      <c r="L1305">
        <v>58.36</v>
      </c>
      <c r="M1305">
        <v>60.6</v>
      </c>
      <c r="R1305">
        <v>55.61</v>
      </c>
      <c r="T1305" t="s">
        <v>97</v>
      </c>
      <c r="U1305">
        <v>52.36</v>
      </c>
      <c r="AA1305" t="s">
        <v>97</v>
      </c>
    </row>
    <row r="1306" spans="1:28" x14ac:dyDescent="0.2">
      <c r="A1306" t="s">
        <v>92</v>
      </c>
      <c r="B1306" t="s">
        <v>2445</v>
      </c>
      <c r="C1306" t="s">
        <v>8643</v>
      </c>
      <c r="D1306" t="s">
        <v>8644</v>
      </c>
      <c r="E1306" t="s">
        <v>228</v>
      </c>
      <c r="F1306">
        <v>79.989999999999995</v>
      </c>
      <c r="T1306" t="s">
        <v>97</v>
      </c>
      <c r="AA1306" t="s">
        <v>97</v>
      </c>
    </row>
    <row r="1307" spans="1:28" x14ac:dyDescent="0.2">
      <c r="A1307" t="s">
        <v>92</v>
      </c>
      <c r="B1307" t="s">
        <v>2445</v>
      </c>
      <c r="C1307" t="s">
        <v>8645</v>
      </c>
      <c r="D1307" t="s">
        <v>8646</v>
      </c>
      <c r="E1307" t="s">
        <v>228</v>
      </c>
      <c r="F1307">
        <v>79.989999999999995</v>
      </c>
      <c r="H1307">
        <v>54.54</v>
      </c>
      <c r="L1307">
        <v>58.36</v>
      </c>
      <c r="M1307">
        <v>60.6</v>
      </c>
      <c r="R1307">
        <v>55.61</v>
      </c>
      <c r="T1307" t="s">
        <v>97</v>
      </c>
      <c r="U1307">
        <v>52.36</v>
      </c>
      <c r="AA1307" t="s">
        <v>97</v>
      </c>
    </row>
    <row r="1308" spans="1:28" x14ac:dyDescent="0.2">
      <c r="A1308" t="s">
        <v>92</v>
      </c>
      <c r="B1308" t="s">
        <v>2445</v>
      </c>
      <c r="C1308" t="s">
        <v>8647</v>
      </c>
      <c r="D1308" t="s">
        <v>8648</v>
      </c>
      <c r="E1308" t="s">
        <v>228</v>
      </c>
      <c r="F1308">
        <v>79.989999999999995</v>
      </c>
      <c r="T1308" t="s">
        <v>97</v>
      </c>
      <c r="AA1308" t="s">
        <v>97</v>
      </c>
    </row>
    <row r="1309" spans="1:28" x14ac:dyDescent="0.2">
      <c r="A1309" t="s">
        <v>92</v>
      </c>
      <c r="B1309" t="s">
        <v>2445</v>
      </c>
      <c r="C1309" t="s">
        <v>8649</v>
      </c>
      <c r="D1309" t="s">
        <v>8650</v>
      </c>
      <c r="E1309" t="s">
        <v>228</v>
      </c>
      <c r="F1309">
        <v>79.989999999999995</v>
      </c>
      <c r="T1309" t="s">
        <v>97</v>
      </c>
      <c r="AA1309" t="s">
        <v>97</v>
      </c>
    </row>
    <row r="1310" spans="1:28" x14ac:dyDescent="0.2">
      <c r="A1310" t="s">
        <v>92</v>
      </c>
      <c r="B1310" t="s">
        <v>2445</v>
      </c>
      <c r="C1310" t="s">
        <v>8651</v>
      </c>
      <c r="D1310" t="s">
        <v>8652</v>
      </c>
      <c r="E1310" t="s">
        <v>228</v>
      </c>
      <c r="F1310">
        <v>329</v>
      </c>
      <c r="T1310" t="s">
        <v>97</v>
      </c>
      <c r="AA1310" t="s">
        <v>97</v>
      </c>
    </row>
    <row r="1311" spans="1:28" x14ac:dyDescent="0.2">
      <c r="A1311" t="s">
        <v>92</v>
      </c>
      <c r="B1311" t="s">
        <v>2445</v>
      </c>
      <c r="C1311" t="s">
        <v>8653</v>
      </c>
      <c r="D1311" t="s">
        <v>8654</v>
      </c>
      <c r="E1311" t="s">
        <v>228</v>
      </c>
      <c r="F1311">
        <v>329</v>
      </c>
      <c r="L1311">
        <v>240.02</v>
      </c>
      <c r="M1311">
        <v>249.23</v>
      </c>
      <c r="R1311">
        <v>228.71</v>
      </c>
      <c r="T1311" t="s">
        <v>97</v>
      </c>
      <c r="U1311">
        <v>215.35</v>
      </c>
      <c r="AA1311" t="s">
        <v>97</v>
      </c>
    </row>
    <row r="1312" spans="1:28" x14ac:dyDescent="0.2">
      <c r="A1312" t="s">
        <v>92</v>
      </c>
      <c r="B1312" t="s">
        <v>2445</v>
      </c>
      <c r="C1312" t="s">
        <v>8655</v>
      </c>
      <c r="D1312" t="s">
        <v>8656</v>
      </c>
      <c r="E1312" t="s">
        <v>228</v>
      </c>
      <c r="F1312">
        <v>329</v>
      </c>
      <c r="T1312" t="s">
        <v>97</v>
      </c>
      <c r="AA1312" t="s">
        <v>97</v>
      </c>
    </row>
    <row r="1313" spans="1:29" x14ac:dyDescent="0.2">
      <c r="A1313" t="s">
        <v>92</v>
      </c>
      <c r="B1313" t="s">
        <v>2445</v>
      </c>
      <c r="C1313" t="s">
        <v>8657</v>
      </c>
      <c r="D1313" t="s">
        <v>8658</v>
      </c>
      <c r="E1313" t="s">
        <v>228</v>
      </c>
      <c r="F1313">
        <v>89.99</v>
      </c>
      <c r="T1313" t="s">
        <v>97</v>
      </c>
      <c r="AA1313" t="s">
        <v>97</v>
      </c>
    </row>
    <row r="1314" spans="1:29" x14ac:dyDescent="0.2">
      <c r="A1314" t="s">
        <v>92</v>
      </c>
      <c r="B1314" t="s">
        <v>2445</v>
      </c>
      <c r="C1314" t="s">
        <v>8659</v>
      </c>
      <c r="D1314" t="s">
        <v>8660</v>
      </c>
      <c r="E1314" t="s">
        <v>228</v>
      </c>
      <c r="F1314">
        <v>69.989999999999995</v>
      </c>
      <c r="H1314">
        <v>47.72</v>
      </c>
      <c r="L1314">
        <v>51.06</v>
      </c>
      <c r="M1314">
        <v>53.02</v>
      </c>
      <c r="R1314">
        <v>48.66</v>
      </c>
      <c r="T1314" t="s">
        <v>97</v>
      </c>
      <c r="U1314">
        <v>45.81</v>
      </c>
      <c r="AA1314" t="s">
        <v>97</v>
      </c>
    </row>
    <row r="1315" spans="1:29" x14ac:dyDescent="0.2">
      <c r="A1315" t="s">
        <v>92</v>
      </c>
      <c r="B1315" t="s">
        <v>2445</v>
      </c>
      <c r="C1315" t="s">
        <v>8661</v>
      </c>
      <c r="D1315" t="s">
        <v>8662</v>
      </c>
      <c r="E1315" t="s">
        <v>228</v>
      </c>
      <c r="F1315">
        <v>69.989999999999995</v>
      </c>
      <c r="T1315" t="s">
        <v>97</v>
      </c>
      <c r="AA1315" t="s">
        <v>97</v>
      </c>
    </row>
    <row r="1316" spans="1:29" x14ac:dyDescent="0.2">
      <c r="A1316" t="s">
        <v>92</v>
      </c>
      <c r="B1316" t="s">
        <v>2445</v>
      </c>
      <c r="C1316" t="s">
        <v>2446</v>
      </c>
      <c r="D1316" t="s">
        <v>2447</v>
      </c>
      <c r="E1316" t="s">
        <v>228</v>
      </c>
      <c r="F1316">
        <v>249</v>
      </c>
      <c r="H1316">
        <v>169.77</v>
      </c>
      <c r="L1316">
        <v>181.66</v>
      </c>
      <c r="M1316">
        <v>188.63</v>
      </c>
      <c r="R1316">
        <v>173.1</v>
      </c>
      <c r="T1316" t="s">
        <v>97</v>
      </c>
      <c r="U1316">
        <v>162.97999999999999</v>
      </c>
      <c r="AA1316" t="s">
        <v>97</v>
      </c>
    </row>
    <row r="1317" spans="1:29" x14ac:dyDescent="0.2">
      <c r="A1317" t="s">
        <v>92</v>
      </c>
      <c r="B1317" t="s">
        <v>2445</v>
      </c>
      <c r="C1317" t="s">
        <v>8663</v>
      </c>
      <c r="D1317" t="s">
        <v>8664</v>
      </c>
      <c r="E1317" t="s">
        <v>228</v>
      </c>
      <c r="F1317">
        <v>249</v>
      </c>
      <c r="T1317" t="s">
        <v>97</v>
      </c>
      <c r="AA1317" t="s">
        <v>97</v>
      </c>
    </row>
    <row r="1318" spans="1:29" x14ac:dyDescent="0.2">
      <c r="A1318" t="s">
        <v>92</v>
      </c>
      <c r="B1318" t="s">
        <v>2445</v>
      </c>
      <c r="C1318" t="s">
        <v>8665</v>
      </c>
      <c r="D1318" t="s">
        <v>8666</v>
      </c>
      <c r="E1318" t="s">
        <v>228</v>
      </c>
      <c r="F1318">
        <v>249</v>
      </c>
      <c r="L1318">
        <v>181.66</v>
      </c>
      <c r="T1318" t="s">
        <v>97</v>
      </c>
      <c r="AA1318" t="s">
        <v>97</v>
      </c>
    </row>
    <row r="1319" spans="1:29" x14ac:dyDescent="0.2">
      <c r="A1319" t="s">
        <v>92</v>
      </c>
      <c r="B1319" t="s">
        <v>2445</v>
      </c>
      <c r="C1319" t="s">
        <v>8667</v>
      </c>
      <c r="D1319" t="s">
        <v>8668</v>
      </c>
      <c r="E1319" t="s">
        <v>228</v>
      </c>
      <c r="F1319">
        <v>0</v>
      </c>
      <c r="L1319">
        <v>0</v>
      </c>
      <c r="T1319" t="s">
        <v>97</v>
      </c>
      <c r="AA1319" t="s">
        <v>97</v>
      </c>
    </row>
    <row r="1320" spans="1:29" x14ac:dyDescent="0.2">
      <c r="A1320" t="s">
        <v>92</v>
      </c>
      <c r="B1320" t="s">
        <v>2445</v>
      </c>
      <c r="C1320" t="s">
        <v>8669</v>
      </c>
      <c r="D1320" t="s">
        <v>8670</v>
      </c>
      <c r="E1320" t="s">
        <v>228</v>
      </c>
      <c r="F1320">
        <v>69.989999999999995</v>
      </c>
      <c r="L1320">
        <v>51.06</v>
      </c>
      <c r="M1320">
        <v>53.02</v>
      </c>
      <c r="R1320">
        <v>48.66</v>
      </c>
      <c r="T1320" t="s">
        <v>97</v>
      </c>
      <c r="U1320">
        <v>45.81</v>
      </c>
      <c r="AA1320" t="s">
        <v>97</v>
      </c>
    </row>
    <row r="1321" spans="1:29" x14ac:dyDescent="0.2">
      <c r="A1321" t="s">
        <v>92</v>
      </c>
      <c r="B1321" t="s">
        <v>2445</v>
      </c>
      <c r="C1321" t="s">
        <v>8671</v>
      </c>
      <c r="D1321" t="s">
        <v>8672</v>
      </c>
      <c r="E1321" t="s">
        <v>228</v>
      </c>
      <c r="F1321">
        <v>74.989999999999995</v>
      </c>
      <c r="T1321" t="s">
        <v>97</v>
      </c>
      <c r="AA1321" t="s">
        <v>97</v>
      </c>
    </row>
    <row r="1322" spans="1:29" x14ac:dyDescent="0.2">
      <c r="A1322" t="s">
        <v>92</v>
      </c>
      <c r="B1322" t="s">
        <v>2445</v>
      </c>
      <c r="C1322" t="s">
        <v>8920</v>
      </c>
      <c r="D1322" t="s">
        <v>8921</v>
      </c>
      <c r="E1322" t="s">
        <v>228</v>
      </c>
      <c r="M1322">
        <v>0.01</v>
      </c>
      <c r="T1322" t="s">
        <v>97</v>
      </c>
      <c r="AA1322" t="s">
        <v>97</v>
      </c>
    </row>
    <row r="1323" spans="1:29" x14ac:dyDescent="0.2">
      <c r="A1323" t="s">
        <v>92</v>
      </c>
      <c r="B1323" t="s">
        <v>2445</v>
      </c>
      <c r="C1323" t="s">
        <v>8673</v>
      </c>
      <c r="D1323" t="s">
        <v>8674</v>
      </c>
      <c r="E1323" t="s">
        <v>228</v>
      </c>
      <c r="F1323">
        <v>0</v>
      </c>
      <c r="T1323" t="s">
        <v>97</v>
      </c>
      <c r="AA1323" t="s">
        <v>97</v>
      </c>
    </row>
    <row r="1324" spans="1:29" x14ac:dyDescent="0.2">
      <c r="A1324" t="s">
        <v>92</v>
      </c>
      <c r="B1324" t="s">
        <v>2448</v>
      </c>
      <c r="C1324" t="s">
        <v>2449</v>
      </c>
      <c r="D1324" t="s">
        <v>2450</v>
      </c>
      <c r="E1324" t="s">
        <v>228</v>
      </c>
      <c r="F1324">
        <v>64.989999999999995</v>
      </c>
      <c r="H1324">
        <v>29.54</v>
      </c>
      <c r="I1324">
        <v>35.450000000000003</v>
      </c>
      <c r="J1324">
        <v>53.17</v>
      </c>
      <c r="K1324">
        <v>29.54</v>
      </c>
      <c r="L1324">
        <v>29.54</v>
      </c>
      <c r="M1324">
        <v>35.450000000000003</v>
      </c>
      <c r="Q1324">
        <v>35.450000000000003</v>
      </c>
      <c r="R1324">
        <v>59.08</v>
      </c>
      <c r="T1324" t="s">
        <v>97</v>
      </c>
      <c r="W1324">
        <v>50.22</v>
      </c>
      <c r="Y1324">
        <v>50.22</v>
      </c>
      <c r="AA1324" t="s">
        <v>97</v>
      </c>
      <c r="AB1324">
        <v>64.989999999999995</v>
      </c>
      <c r="AC1324">
        <v>35.450000000000003</v>
      </c>
    </row>
    <row r="1325" spans="1:29" x14ac:dyDescent="0.2">
      <c r="A1325" t="s">
        <v>92</v>
      </c>
      <c r="B1325" t="s">
        <v>2448</v>
      </c>
      <c r="C1325" t="s">
        <v>2451</v>
      </c>
      <c r="D1325" t="s">
        <v>2452</v>
      </c>
      <c r="E1325" t="s">
        <v>228</v>
      </c>
      <c r="F1325">
        <v>64.989999999999995</v>
      </c>
      <c r="H1325">
        <v>29.54</v>
      </c>
      <c r="I1325">
        <v>35.450000000000003</v>
      </c>
      <c r="J1325">
        <v>53.17</v>
      </c>
      <c r="K1325">
        <v>29.54</v>
      </c>
      <c r="L1325">
        <v>29.54</v>
      </c>
      <c r="M1325">
        <v>35.450000000000003</v>
      </c>
      <c r="Q1325">
        <v>35.450000000000003</v>
      </c>
      <c r="R1325">
        <v>59.08</v>
      </c>
      <c r="T1325" t="s">
        <v>97</v>
      </c>
      <c r="W1325">
        <v>50.22</v>
      </c>
      <c r="Y1325">
        <v>50.22</v>
      </c>
      <c r="AA1325" t="s">
        <v>97</v>
      </c>
      <c r="AB1325">
        <v>64.989999999999995</v>
      </c>
      <c r="AC1325">
        <v>35.450000000000003</v>
      </c>
    </row>
    <row r="1326" spans="1:29" x14ac:dyDescent="0.2">
      <c r="A1326" t="s">
        <v>92</v>
      </c>
      <c r="B1326" t="s">
        <v>2448</v>
      </c>
      <c r="C1326" t="s">
        <v>2453</v>
      </c>
      <c r="D1326" t="s">
        <v>8675</v>
      </c>
      <c r="E1326" t="s">
        <v>228</v>
      </c>
      <c r="F1326">
        <v>64.989999999999995</v>
      </c>
      <c r="H1326">
        <v>29.54</v>
      </c>
      <c r="I1326">
        <v>35.450000000000003</v>
      </c>
      <c r="J1326">
        <v>53.17</v>
      </c>
      <c r="K1326">
        <v>29.54</v>
      </c>
      <c r="L1326">
        <v>29.54</v>
      </c>
      <c r="M1326">
        <v>35.450000000000003</v>
      </c>
      <c r="Q1326">
        <v>35.450000000000003</v>
      </c>
      <c r="R1326">
        <v>59.08</v>
      </c>
      <c r="T1326" t="s">
        <v>97</v>
      </c>
      <c r="W1326">
        <v>50.22</v>
      </c>
      <c r="Y1326">
        <v>50.22</v>
      </c>
      <c r="AA1326" t="s">
        <v>97</v>
      </c>
      <c r="AB1326">
        <v>64.989999999999995</v>
      </c>
      <c r="AC1326">
        <v>35.450000000000003</v>
      </c>
    </row>
    <row r="1327" spans="1:29" x14ac:dyDescent="0.2">
      <c r="A1327" t="s">
        <v>92</v>
      </c>
      <c r="B1327" t="s">
        <v>2448</v>
      </c>
      <c r="C1327" t="s">
        <v>2454</v>
      </c>
      <c r="D1327" t="s">
        <v>2455</v>
      </c>
      <c r="E1327" t="s">
        <v>228</v>
      </c>
      <c r="F1327">
        <v>64.989999999999995</v>
      </c>
      <c r="H1327">
        <v>29.54</v>
      </c>
      <c r="I1327">
        <v>35.450000000000003</v>
      </c>
      <c r="J1327">
        <v>53.17</v>
      </c>
      <c r="K1327">
        <v>29.54</v>
      </c>
      <c r="L1327">
        <v>29.54</v>
      </c>
      <c r="M1327">
        <v>35.450000000000003</v>
      </c>
      <c r="Q1327">
        <v>35.450000000000003</v>
      </c>
      <c r="R1327">
        <v>59.08</v>
      </c>
      <c r="T1327" t="s">
        <v>97</v>
      </c>
      <c r="W1327">
        <v>50.22</v>
      </c>
      <c r="Y1327">
        <v>50.22</v>
      </c>
      <c r="AA1327" t="s">
        <v>97</v>
      </c>
      <c r="AB1327">
        <v>64.989999999999995</v>
      </c>
      <c r="AC1327">
        <v>35.450000000000003</v>
      </c>
    </row>
    <row r="1328" spans="1:29" x14ac:dyDescent="0.2">
      <c r="A1328" t="s">
        <v>92</v>
      </c>
      <c r="B1328" t="s">
        <v>2448</v>
      </c>
      <c r="C1328" t="s">
        <v>2456</v>
      </c>
      <c r="D1328" t="s">
        <v>2457</v>
      </c>
      <c r="E1328" t="s">
        <v>228</v>
      </c>
      <c r="F1328">
        <v>64.989999999999995</v>
      </c>
      <c r="H1328">
        <v>29.54</v>
      </c>
      <c r="I1328">
        <v>35.450000000000003</v>
      </c>
      <c r="J1328">
        <v>53.17</v>
      </c>
      <c r="K1328">
        <v>29.54</v>
      </c>
      <c r="L1328">
        <v>29.54</v>
      </c>
      <c r="M1328">
        <v>35.450000000000003</v>
      </c>
      <c r="Q1328">
        <v>35.450000000000003</v>
      </c>
      <c r="R1328">
        <v>59.08</v>
      </c>
      <c r="T1328" t="s">
        <v>97</v>
      </c>
      <c r="W1328">
        <v>50.22</v>
      </c>
      <c r="Y1328">
        <v>50.22</v>
      </c>
      <c r="AA1328" t="s">
        <v>97</v>
      </c>
      <c r="AB1328">
        <v>64.989999999999995</v>
      </c>
      <c r="AC1328">
        <v>35.450000000000003</v>
      </c>
    </row>
    <row r="1329" spans="1:29" x14ac:dyDescent="0.2">
      <c r="A1329" t="s">
        <v>92</v>
      </c>
      <c r="B1329" t="s">
        <v>2448</v>
      </c>
      <c r="C1329" t="s">
        <v>2458</v>
      </c>
      <c r="D1329" t="s">
        <v>8676</v>
      </c>
      <c r="E1329" t="s">
        <v>228</v>
      </c>
      <c r="F1329">
        <v>64.989999999999995</v>
      </c>
      <c r="H1329">
        <v>29.54</v>
      </c>
      <c r="I1329">
        <v>35.450000000000003</v>
      </c>
      <c r="J1329">
        <v>53.17</v>
      </c>
      <c r="K1329">
        <v>29.54</v>
      </c>
      <c r="L1329">
        <v>29.54</v>
      </c>
      <c r="M1329">
        <v>35.450000000000003</v>
      </c>
      <c r="Q1329">
        <v>35.450000000000003</v>
      </c>
      <c r="R1329">
        <v>59.08</v>
      </c>
      <c r="T1329" t="s">
        <v>97</v>
      </c>
      <c r="W1329">
        <v>50.22</v>
      </c>
      <c r="Y1329">
        <v>50.22</v>
      </c>
      <c r="AA1329" t="s">
        <v>97</v>
      </c>
      <c r="AB1329">
        <v>64.989999999999995</v>
      </c>
      <c r="AC1329">
        <v>35.450000000000003</v>
      </c>
    </row>
    <row r="1330" spans="1:29" x14ac:dyDescent="0.2">
      <c r="A1330" t="s">
        <v>92</v>
      </c>
      <c r="B1330" t="s">
        <v>2448</v>
      </c>
      <c r="C1330" t="s">
        <v>2459</v>
      </c>
      <c r="D1330" t="s">
        <v>8677</v>
      </c>
      <c r="E1330" t="s">
        <v>228</v>
      </c>
      <c r="F1330">
        <v>64.989999999999995</v>
      </c>
      <c r="H1330">
        <v>29.54</v>
      </c>
      <c r="I1330">
        <v>35.450000000000003</v>
      </c>
      <c r="J1330">
        <v>53.17</v>
      </c>
      <c r="K1330">
        <v>29.54</v>
      </c>
      <c r="L1330">
        <v>29.54</v>
      </c>
      <c r="M1330">
        <v>35.450000000000003</v>
      </c>
      <c r="Q1330">
        <v>35.450000000000003</v>
      </c>
      <c r="R1330">
        <v>59.08</v>
      </c>
      <c r="T1330" t="s">
        <v>97</v>
      </c>
      <c r="W1330">
        <v>50.22</v>
      </c>
      <c r="Y1330">
        <v>50.22</v>
      </c>
      <c r="AA1330" t="s">
        <v>97</v>
      </c>
      <c r="AB1330">
        <v>64.989999999999995</v>
      </c>
      <c r="AC1330">
        <v>35.450000000000003</v>
      </c>
    </row>
    <row r="1331" spans="1:29" x14ac:dyDescent="0.2">
      <c r="A1331" t="s">
        <v>92</v>
      </c>
      <c r="B1331" t="s">
        <v>2448</v>
      </c>
      <c r="C1331" t="s">
        <v>2460</v>
      </c>
      <c r="D1331" t="s">
        <v>8678</v>
      </c>
      <c r="E1331" t="s">
        <v>228</v>
      </c>
      <c r="F1331">
        <v>64.989999999999995</v>
      </c>
      <c r="H1331">
        <v>29.54</v>
      </c>
      <c r="I1331">
        <v>35.450000000000003</v>
      </c>
      <c r="J1331">
        <v>53.17</v>
      </c>
      <c r="K1331">
        <v>29.54</v>
      </c>
      <c r="L1331">
        <v>29.54</v>
      </c>
      <c r="M1331">
        <v>35.450000000000003</v>
      </c>
      <c r="Q1331">
        <v>35.450000000000003</v>
      </c>
      <c r="R1331">
        <v>59.08</v>
      </c>
      <c r="T1331" t="s">
        <v>97</v>
      </c>
      <c r="W1331">
        <v>50.22</v>
      </c>
      <c r="Y1331">
        <v>50.22</v>
      </c>
      <c r="AA1331" t="s">
        <v>97</v>
      </c>
      <c r="AB1331">
        <v>64.989999999999995</v>
      </c>
      <c r="AC1331">
        <v>35.450000000000003</v>
      </c>
    </row>
    <row r="1332" spans="1:29" x14ac:dyDescent="0.2">
      <c r="A1332" t="s">
        <v>92</v>
      </c>
      <c r="B1332" t="s">
        <v>2448</v>
      </c>
      <c r="C1332" t="s">
        <v>2461</v>
      </c>
      <c r="D1332" t="s">
        <v>2462</v>
      </c>
      <c r="E1332" t="s">
        <v>228</v>
      </c>
      <c r="F1332">
        <v>29.99</v>
      </c>
      <c r="H1332">
        <v>13.63</v>
      </c>
      <c r="I1332">
        <v>16.36</v>
      </c>
      <c r="J1332">
        <v>24.54</v>
      </c>
      <c r="K1332">
        <v>13.63</v>
      </c>
      <c r="L1332">
        <v>13.63</v>
      </c>
      <c r="M1332">
        <v>16.36</v>
      </c>
      <c r="Q1332">
        <v>16.36</v>
      </c>
      <c r="R1332">
        <v>20.45</v>
      </c>
      <c r="T1332" t="s">
        <v>97</v>
      </c>
      <c r="AA1332" t="s">
        <v>97</v>
      </c>
      <c r="AC1332">
        <v>16.36</v>
      </c>
    </row>
    <row r="1333" spans="1:29" x14ac:dyDescent="0.2">
      <c r="A1333" t="s">
        <v>92</v>
      </c>
      <c r="B1333" t="s">
        <v>2448</v>
      </c>
      <c r="C1333" t="s">
        <v>2463</v>
      </c>
      <c r="D1333" t="s">
        <v>2464</v>
      </c>
      <c r="E1333" t="s">
        <v>96</v>
      </c>
      <c r="F1333">
        <v>59.99</v>
      </c>
      <c r="G1333">
        <v>59.99</v>
      </c>
      <c r="H1333">
        <v>27.27</v>
      </c>
      <c r="I1333">
        <v>32.72</v>
      </c>
      <c r="J1333">
        <v>49.08</v>
      </c>
      <c r="K1333">
        <v>27.27</v>
      </c>
      <c r="L1333">
        <v>27.27</v>
      </c>
      <c r="M1333">
        <v>32.72</v>
      </c>
      <c r="O1333">
        <v>40.9</v>
      </c>
      <c r="P1333">
        <v>27.27</v>
      </c>
      <c r="Q1333">
        <v>32.72</v>
      </c>
      <c r="R1333">
        <v>32.08</v>
      </c>
      <c r="S1333">
        <v>30</v>
      </c>
      <c r="T1333" t="s">
        <v>97</v>
      </c>
      <c r="Y1333">
        <v>46.36</v>
      </c>
      <c r="Z1333">
        <v>59.99</v>
      </c>
      <c r="AA1333" t="s">
        <v>97</v>
      </c>
    </row>
    <row r="1334" spans="1:29" x14ac:dyDescent="0.2">
      <c r="A1334" t="s">
        <v>92</v>
      </c>
      <c r="B1334" t="s">
        <v>2448</v>
      </c>
      <c r="C1334" t="s">
        <v>2471</v>
      </c>
      <c r="D1334" t="s">
        <v>2472</v>
      </c>
      <c r="E1334" t="s">
        <v>290</v>
      </c>
      <c r="F1334">
        <v>59.99</v>
      </c>
      <c r="H1334">
        <v>27.27</v>
      </c>
      <c r="I1334">
        <v>32.72</v>
      </c>
      <c r="J1334">
        <v>49.08</v>
      </c>
      <c r="K1334">
        <v>27.27</v>
      </c>
      <c r="L1334">
        <v>27.27</v>
      </c>
      <c r="M1334">
        <v>32.72</v>
      </c>
      <c r="O1334">
        <v>40.9</v>
      </c>
      <c r="P1334">
        <v>27.27</v>
      </c>
      <c r="Q1334">
        <v>32.72</v>
      </c>
      <c r="R1334">
        <v>35.450000000000003</v>
      </c>
      <c r="S1334">
        <v>30</v>
      </c>
      <c r="T1334" t="s">
        <v>97</v>
      </c>
      <c r="V1334">
        <v>46.36</v>
      </c>
      <c r="W1334">
        <v>46.36</v>
      </c>
      <c r="X1334">
        <v>46.36</v>
      </c>
      <c r="Y1334">
        <v>46.36</v>
      </c>
      <c r="Z1334">
        <v>59.99</v>
      </c>
      <c r="AA1334" t="s">
        <v>97</v>
      </c>
      <c r="AB1334">
        <v>29</v>
      </c>
      <c r="AC1334">
        <v>32.72</v>
      </c>
    </row>
    <row r="1335" spans="1:29" x14ac:dyDescent="0.2">
      <c r="A1335" t="s">
        <v>92</v>
      </c>
      <c r="B1335" t="s">
        <v>2448</v>
      </c>
      <c r="C1335" t="s">
        <v>2473</v>
      </c>
      <c r="D1335" t="s">
        <v>2474</v>
      </c>
      <c r="E1335" t="s">
        <v>290</v>
      </c>
      <c r="F1335">
        <v>59.99</v>
      </c>
      <c r="G1335">
        <v>59.99</v>
      </c>
      <c r="H1335">
        <v>27.27</v>
      </c>
      <c r="I1335">
        <v>32.72</v>
      </c>
      <c r="J1335">
        <v>49.08</v>
      </c>
      <c r="K1335">
        <v>27.27</v>
      </c>
      <c r="L1335">
        <v>27.27</v>
      </c>
      <c r="M1335">
        <v>32.72</v>
      </c>
      <c r="O1335">
        <v>40.9</v>
      </c>
      <c r="P1335">
        <v>27.27</v>
      </c>
      <c r="Q1335">
        <v>32.72</v>
      </c>
      <c r="R1335">
        <v>35.450000000000003</v>
      </c>
      <c r="S1335">
        <v>30</v>
      </c>
      <c r="T1335" t="s">
        <v>97</v>
      </c>
      <c r="V1335">
        <v>46.36</v>
      </c>
      <c r="W1335">
        <v>46.36</v>
      </c>
      <c r="X1335">
        <v>46.36</v>
      </c>
      <c r="Y1335">
        <v>46.36</v>
      </c>
      <c r="Z1335">
        <v>59.99</v>
      </c>
      <c r="AA1335" t="s">
        <v>97</v>
      </c>
      <c r="AC1335">
        <v>32.72</v>
      </c>
    </row>
    <row r="1336" spans="1:29" x14ac:dyDescent="0.2">
      <c r="A1336" t="s">
        <v>92</v>
      </c>
      <c r="B1336" t="s">
        <v>2448</v>
      </c>
      <c r="C1336" t="s">
        <v>2475</v>
      </c>
      <c r="D1336" t="s">
        <v>2476</v>
      </c>
      <c r="E1336" t="s">
        <v>290</v>
      </c>
      <c r="F1336">
        <v>59.99</v>
      </c>
      <c r="H1336">
        <v>27.27</v>
      </c>
      <c r="I1336">
        <v>32.72</v>
      </c>
      <c r="J1336">
        <v>49.08</v>
      </c>
      <c r="K1336">
        <v>27.27</v>
      </c>
      <c r="L1336">
        <v>27.27</v>
      </c>
      <c r="M1336">
        <v>32.72</v>
      </c>
      <c r="Q1336">
        <v>32.72</v>
      </c>
      <c r="R1336">
        <v>35.450000000000003</v>
      </c>
      <c r="T1336" t="s">
        <v>2428</v>
      </c>
      <c r="V1336">
        <v>46.36</v>
      </c>
      <c r="W1336">
        <v>46.36</v>
      </c>
      <c r="X1336">
        <v>46.36</v>
      </c>
      <c r="Y1336">
        <v>46.36</v>
      </c>
      <c r="Z1336">
        <v>59.99</v>
      </c>
      <c r="AA1336" t="s">
        <v>97</v>
      </c>
      <c r="AB1336">
        <v>59.99</v>
      </c>
      <c r="AC1336">
        <v>32.72</v>
      </c>
    </row>
    <row r="1337" spans="1:29" x14ac:dyDescent="0.2">
      <c r="A1337" t="s">
        <v>92</v>
      </c>
      <c r="B1337" t="s">
        <v>2448</v>
      </c>
      <c r="C1337" t="s">
        <v>2477</v>
      </c>
      <c r="D1337" t="s">
        <v>2478</v>
      </c>
      <c r="E1337" t="s">
        <v>290</v>
      </c>
      <c r="F1337">
        <v>59.99</v>
      </c>
      <c r="G1337">
        <v>59.99</v>
      </c>
      <c r="H1337">
        <v>27.27</v>
      </c>
      <c r="I1337">
        <v>32.72</v>
      </c>
      <c r="J1337">
        <v>49.08</v>
      </c>
      <c r="K1337">
        <v>27.27</v>
      </c>
      <c r="L1337">
        <v>27.27</v>
      </c>
      <c r="M1337">
        <v>32.72</v>
      </c>
      <c r="Q1337">
        <v>32.72</v>
      </c>
      <c r="R1337">
        <v>35.450000000000003</v>
      </c>
      <c r="T1337" t="s">
        <v>97</v>
      </c>
      <c r="V1337">
        <v>46.36</v>
      </c>
      <c r="W1337">
        <v>46.36</v>
      </c>
      <c r="X1337">
        <v>46.36</v>
      </c>
      <c r="Y1337">
        <v>46.36</v>
      </c>
      <c r="Z1337">
        <v>59.99</v>
      </c>
      <c r="AA1337" t="s">
        <v>97</v>
      </c>
      <c r="AB1337">
        <v>59.99</v>
      </c>
      <c r="AC1337">
        <v>32.72</v>
      </c>
    </row>
    <row r="1338" spans="1:29" x14ac:dyDescent="0.2">
      <c r="A1338" t="s">
        <v>92</v>
      </c>
      <c r="B1338" t="s">
        <v>2448</v>
      </c>
      <c r="C1338" t="s">
        <v>2479</v>
      </c>
      <c r="D1338" t="s">
        <v>2480</v>
      </c>
      <c r="E1338" t="s">
        <v>290</v>
      </c>
      <c r="F1338">
        <v>59.99</v>
      </c>
      <c r="H1338">
        <v>27.27</v>
      </c>
      <c r="I1338">
        <v>32.72</v>
      </c>
      <c r="J1338">
        <v>49.08</v>
      </c>
      <c r="K1338">
        <v>27.27</v>
      </c>
      <c r="L1338">
        <v>27.27</v>
      </c>
      <c r="M1338">
        <v>32.72</v>
      </c>
      <c r="O1338">
        <v>40.9</v>
      </c>
      <c r="P1338">
        <v>27.27</v>
      </c>
      <c r="Q1338">
        <v>32.72</v>
      </c>
      <c r="R1338">
        <v>35.450000000000003</v>
      </c>
      <c r="S1338">
        <v>30</v>
      </c>
      <c r="T1338" t="s">
        <v>97</v>
      </c>
      <c r="Z1338">
        <v>59.99</v>
      </c>
      <c r="AA1338" t="s">
        <v>97</v>
      </c>
      <c r="AC1338">
        <v>32.72</v>
      </c>
    </row>
    <row r="1339" spans="1:29" x14ac:dyDescent="0.2">
      <c r="A1339" t="s">
        <v>92</v>
      </c>
      <c r="B1339" t="s">
        <v>2448</v>
      </c>
      <c r="C1339" t="s">
        <v>2481</v>
      </c>
      <c r="D1339" t="s">
        <v>2482</v>
      </c>
      <c r="E1339" t="s">
        <v>290</v>
      </c>
      <c r="F1339">
        <v>59.99</v>
      </c>
      <c r="G1339">
        <v>59.99</v>
      </c>
      <c r="H1339">
        <v>27.27</v>
      </c>
      <c r="I1339">
        <v>32.72</v>
      </c>
      <c r="J1339">
        <v>49.08</v>
      </c>
      <c r="K1339">
        <v>27.27</v>
      </c>
      <c r="L1339">
        <v>27.27</v>
      </c>
      <c r="M1339">
        <v>32.72</v>
      </c>
      <c r="O1339">
        <v>40.9</v>
      </c>
      <c r="P1339">
        <v>27.27</v>
      </c>
      <c r="Q1339">
        <v>32.72</v>
      </c>
      <c r="R1339">
        <v>35.450000000000003</v>
      </c>
      <c r="S1339">
        <v>30</v>
      </c>
      <c r="T1339" t="s">
        <v>97</v>
      </c>
      <c r="V1339">
        <v>46.36</v>
      </c>
      <c r="W1339">
        <v>46.36</v>
      </c>
      <c r="X1339">
        <v>46.36</v>
      </c>
      <c r="Y1339">
        <v>46.36</v>
      </c>
      <c r="Z1339">
        <v>59.99</v>
      </c>
      <c r="AA1339" t="s">
        <v>97</v>
      </c>
      <c r="AC1339">
        <v>32.72</v>
      </c>
    </row>
    <row r="1340" spans="1:29" x14ac:dyDescent="0.2">
      <c r="A1340" t="s">
        <v>92</v>
      </c>
      <c r="B1340" t="s">
        <v>2448</v>
      </c>
      <c r="C1340" t="s">
        <v>2483</v>
      </c>
      <c r="D1340" t="s">
        <v>2484</v>
      </c>
      <c r="E1340" t="s">
        <v>290</v>
      </c>
      <c r="F1340">
        <v>59.99</v>
      </c>
      <c r="H1340">
        <v>27.27</v>
      </c>
      <c r="I1340">
        <v>32.72</v>
      </c>
      <c r="J1340">
        <v>49.08</v>
      </c>
      <c r="K1340">
        <v>27.27</v>
      </c>
      <c r="L1340">
        <v>27.27</v>
      </c>
      <c r="M1340">
        <v>32.72</v>
      </c>
      <c r="Q1340">
        <v>32.72</v>
      </c>
      <c r="R1340">
        <v>35.450000000000003</v>
      </c>
      <c r="T1340" t="s">
        <v>97</v>
      </c>
      <c r="V1340">
        <v>46.36</v>
      </c>
      <c r="W1340">
        <v>46.36</v>
      </c>
      <c r="X1340">
        <v>46.36</v>
      </c>
      <c r="Y1340">
        <v>46.36</v>
      </c>
      <c r="AA1340" t="s">
        <v>97</v>
      </c>
      <c r="AB1340">
        <v>32.99</v>
      </c>
      <c r="AC1340">
        <v>32.72</v>
      </c>
    </row>
    <row r="1341" spans="1:29" x14ac:dyDescent="0.2">
      <c r="A1341" t="s">
        <v>92</v>
      </c>
      <c r="B1341" t="s">
        <v>2448</v>
      </c>
      <c r="C1341" t="s">
        <v>2485</v>
      </c>
      <c r="D1341" t="s">
        <v>2486</v>
      </c>
      <c r="E1341" t="s">
        <v>290</v>
      </c>
      <c r="F1341">
        <v>59.99</v>
      </c>
      <c r="G1341">
        <v>59.99</v>
      </c>
      <c r="H1341">
        <v>27.27</v>
      </c>
      <c r="I1341">
        <v>32.72</v>
      </c>
      <c r="J1341">
        <v>49.08</v>
      </c>
      <c r="K1341">
        <v>27.27</v>
      </c>
      <c r="L1341">
        <v>27.27</v>
      </c>
      <c r="M1341">
        <v>32.72</v>
      </c>
      <c r="O1341">
        <v>40.9</v>
      </c>
      <c r="P1341">
        <v>27.27</v>
      </c>
      <c r="Q1341">
        <v>32.72</v>
      </c>
      <c r="R1341">
        <v>35.450000000000003</v>
      </c>
      <c r="S1341">
        <v>30</v>
      </c>
      <c r="T1341" t="s">
        <v>97</v>
      </c>
      <c r="V1341">
        <v>46.36</v>
      </c>
      <c r="W1341">
        <v>46.36</v>
      </c>
      <c r="X1341">
        <v>46.36</v>
      </c>
      <c r="Y1341">
        <v>46.36</v>
      </c>
      <c r="Z1341">
        <v>59.99</v>
      </c>
      <c r="AA1341" t="s">
        <v>97</v>
      </c>
      <c r="AC1341">
        <v>32.72</v>
      </c>
    </row>
    <row r="1342" spans="1:29" x14ac:dyDescent="0.2">
      <c r="A1342" t="s">
        <v>92</v>
      </c>
      <c r="B1342" t="s">
        <v>2448</v>
      </c>
      <c r="C1342" t="s">
        <v>2487</v>
      </c>
      <c r="D1342" t="s">
        <v>2488</v>
      </c>
      <c r="E1342" t="s">
        <v>290</v>
      </c>
      <c r="F1342">
        <v>59.99</v>
      </c>
      <c r="H1342">
        <v>27.27</v>
      </c>
      <c r="I1342">
        <v>32.72</v>
      </c>
      <c r="J1342">
        <v>49.08</v>
      </c>
      <c r="K1342">
        <v>27.27</v>
      </c>
      <c r="L1342">
        <v>27.27</v>
      </c>
      <c r="M1342">
        <v>32.72</v>
      </c>
      <c r="Q1342">
        <v>32.72</v>
      </c>
      <c r="R1342">
        <v>35.450000000000003</v>
      </c>
      <c r="T1342" t="s">
        <v>97</v>
      </c>
      <c r="V1342">
        <v>46.36</v>
      </c>
      <c r="W1342">
        <v>46.36</v>
      </c>
      <c r="X1342">
        <v>46.36</v>
      </c>
      <c r="Y1342">
        <v>46.36</v>
      </c>
      <c r="Z1342">
        <v>59.99</v>
      </c>
      <c r="AA1342" t="s">
        <v>97</v>
      </c>
      <c r="AB1342">
        <v>59.99</v>
      </c>
      <c r="AC1342">
        <v>32.72</v>
      </c>
    </row>
    <row r="1343" spans="1:29" x14ac:dyDescent="0.2">
      <c r="A1343" t="s">
        <v>92</v>
      </c>
      <c r="B1343" t="s">
        <v>2489</v>
      </c>
      <c r="C1343" t="s">
        <v>2490</v>
      </c>
      <c r="D1343" t="s">
        <v>2491</v>
      </c>
      <c r="E1343" t="s">
        <v>96</v>
      </c>
      <c r="F1343">
        <v>0</v>
      </c>
      <c r="H1343">
        <v>0.01</v>
      </c>
      <c r="T1343" t="s">
        <v>97</v>
      </c>
      <c r="AA1343" t="s">
        <v>97</v>
      </c>
    </row>
    <row r="1344" spans="1:29" x14ac:dyDescent="0.2">
      <c r="A1344" t="s">
        <v>92</v>
      </c>
      <c r="B1344" t="s">
        <v>2492</v>
      </c>
      <c r="C1344" t="s">
        <v>2493</v>
      </c>
      <c r="D1344" t="s">
        <v>2494</v>
      </c>
      <c r="E1344" t="s">
        <v>96</v>
      </c>
      <c r="F1344">
        <v>199</v>
      </c>
      <c r="H1344">
        <v>180.91</v>
      </c>
      <c r="T1344" t="s">
        <v>97</v>
      </c>
      <c r="Y1344">
        <v>88.6</v>
      </c>
      <c r="Z1344">
        <v>129.94999999999999</v>
      </c>
      <c r="AA1344" t="s">
        <v>97</v>
      </c>
    </row>
    <row r="1345" spans="1:29" x14ac:dyDescent="0.2">
      <c r="A1345" t="s">
        <v>92</v>
      </c>
      <c r="B1345" t="s">
        <v>2495</v>
      </c>
      <c r="C1345" t="s">
        <v>2496</v>
      </c>
      <c r="D1345" t="s">
        <v>2497</v>
      </c>
      <c r="E1345" t="s">
        <v>290</v>
      </c>
      <c r="F1345">
        <v>349.99</v>
      </c>
      <c r="G1345">
        <v>249.99</v>
      </c>
      <c r="H1345">
        <v>254.54</v>
      </c>
      <c r="I1345">
        <v>270.45</v>
      </c>
      <c r="J1345">
        <v>286.36</v>
      </c>
      <c r="K1345">
        <v>238.63</v>
      </c>
      <c r="L1345">
        <v>254.54</v>
      </c>
      <c r="O1345">
        <v>286.36</v>
      </c>
      <c r="T1345" t="s">
        <v>97</v>
      </c>
      <c r="Y1345">
        <v>270.45</v>
      </c>
      <c r="Z1345">
        <v>349.99</v>
      </c>
      <c r="AA1345" t="s">
        <v>97</v>
      </c>
    </row>
    <row r="1346" spans="1:29" x14ac:dyDescent="0.2">
      <c r="A1346" t="s">
        <v>92</v>
      </c>
      <c r="B1346" t="s">
        <v>2495</v>
      </c>
      <c r="C1346" t="s">
        <v>2498</v>
      </c>
      <c r="D1346" t="s">
        <v>2499</v>
      </c>
      <c r="E1346" t="s">
        <v>290</v>
      </c>
      <c r="F1346">
        <v>159.99</v>
      </c>
      <c r="G1346">
        <v>29.99</v>
      </c>
      <c r="H1346">
        <v>116.33</v>
      </c>
      <c r="I1346">
        <v>123.6</v>
      </c>
      <c r="J1346">
        <v>130.9</v>
      </c>
      <c r="K1346">
        <v>109.06</v>
      </c>
      <c r="L1346">
        <v>110.51</v>
      </c>
      <c r="M1346">
        <v>130.87</v>
      </c>
      <c r="O1346">
        <v>138.13999999999999</v>
      </c>
      <c r="P1346">
        <v>109.06</v>
      </c>
      <c r="Q1346">
        <v>145.41</v>
      </c>
      <c r="R1346">
        <v>149.13999999999999</v>
      </c>
      <c r="T1346" t="s">
        <v>97</v>
      </c>
      <c r="Y1346">
        <v>123.63</v>
      </c>
      <c r="Z1346">
        <v>159.99</v>
      </c>
      <c r="AA1346" t="s">
        <v>97</v>
      </c>
    </row>
    <row r="1347" spans="1:29" x14ac:dyDescent="0.2">
      <c r="A1347" t="s">
        <v>92</v>
      </c>
      <c r="B1347" t="s">
        <v>2502</v>
      </c>
      <c r="C1347" t="s">
        <v>2503</v>
      </c>
      <c r="D1347" t="s">
        <v>2504</v>
      </c>
      <c r="E1347" t="s">
        <v>228</v>
      </c>
      <c r="F1347">
        <v>129.99</v>
      </c>
      <c r="G1347">
        <v>129.99</v>
      </c>
      <c r="H1347">
        <v>70.900000000000006</v>
      </c>
      <c r="I1347">
        <v>82.72</v>
      </c>
      <c r="J1347">
        <v>106.36</v>
      </c>
      <c r="K1347">
        <v>70.900000000000006</v>
      </c>
      <c r="L1347">
        <v>70.900000000000006</v>
      </c>
      <c r="M1347">
        <v>82.72</v>
      </c>
      <c r="Q1347">
        <v>76.81</v>
      </c>
      <c r="R1347">
        <v>70.900000000000006</v>
      </c>
      <c r="S1347">
        <v>70.900000000000006</v>
      </c>
      <c r="T1347" t="s">
        <v>97</v>
      </c>
      <c r="V1347">
        <v>94.54</v>
      </c>
      <c r="W1347">
        <v>94.54</v>
      </c>
      <c r="X1347">
        <v>94.54</v>
      </c>
      <c r="Y1347">
        <v>98.08</v>
      </c>
      <c r="Z1347">
        <v>129.99</v>
      </c>
      <c r="AA1347" t="s">
        <v>97</v>
      </c>
      <c r="AC1347">
        <v>82.72</v>
      </c>
    </row>
    <row r="1348" spans="1:29" x14ac:dyDescent="0.2">
      <c r="A1348" t="s">
        <v>92</v>
      </c>
      <c r="B1348" t="s">
        <v>2502</v>
      </c>
      <c r="C1348" t="s">
        <v>2505</v>
      </c>
      <c r="D1348" t="s">
        <v>2506</v>
      </c>
      <c r="E1348" t="s">
        <v>290</v>
      </c>
      <c r="F1348">
        <v>119.99</v>
      </c>
      <c r="G1348">
        <v>119.99</v>
      </c>
      <c r="H1348">
        <v>65.45</v>
      </c>
      <c r="I1348">
        <v>76.36</v>
      </c>
      <c r="J1348">
        <v>98.17</v>
      </c>
      <c r="K1348">
        <v>65.45</v>
      </c>
      <c r="L1348">
        <v>70.900000000000006</v>
      </c>
      <c r="M1348">
        <v>76.36</v>
      </c>
      <c r="Q1348">
        <v>70.900000000000006</v>
      </c>
      <c r="R1348">
        <v>65.45</v>
      </c>
      <c r="S1348">
        <v>65.45</v>
      </c>
      <c r="T1348" t="s">
        <v>97</v>
      </c>
      <c r="V1348">
        <v>87.27</v>
      </c>
      <c r="W1348">
        <v>87.27</v>
      </c>
      <c r="X1348">
        <v>87.27</v>
      </c>
      <c r="Y1348">
        <v>90.54</v>
      </c>
      <c r="Z1348">
        <v>119.99</v>
      </c>
      <c r="AA1348" t="s">
        <v>97</v>
      </c>
      <c r="AC1348">
        <v>76.36</v>
      </c>
    </row>
    <row r="1349" spans="1:29" x14ac:dyDescent="0.2">
      <c r="A1349" t="s">
        <v>92</v>
      </c>
      <c r="B1349" t="s">
        <v>2502</v>
      </c>
      <c r="C1349" t="s">
        <v>2507</v>
      </c>
      <c r="D1349" t="s">
        <v>2508</v>
      </c>
      <c r="E1349" t="s">
        <v>290</v>
      </c>
      <c r="F1349">
        <v>139.99</v>
      </c>
      <c r="H1349">
        <v>76.36</v>
      </c>
      <c r="I1349">
        <v>89.08</v>
      </c>
      <c r="J1349">
        <v>114.54</v>
      </c>
      <c r="K1349">
        <v>76.36</v>
      </c>
      <c r="L1349">
        <v>82.72</v>
      </c>
      <c r="M1349">
        <v>89.08</v>
      </c>
      <c r="Q1349">
        <v>82.72</v>
      </c>
      <c r="R1349">
        <v>76.36</v>
      </c>
      <c r="S1349">
        <v>76.36</v>
      </c>
      <c r="T1349" t="s">
        <v>97</v>
      </c>
      <c r="V1349">
        <v>101.81</v>
      </c>
      <c r="W1349">
        <v>101.81</v>
      </c>
      <c r="X1349">
        <v>101.81</v>
      </c>
      <c r="Y1349">
        <v>105.63</v>
      </c>
      <c r="Z1349">
        <v>139.99</v>
      </c>
      <c r="AA1349" t="s">
        <v>97</v>
      </c>
      <c r="AB1349">
        <v>49.99</v>
      </c>
      <c r="AC1349">
        <v>89.08</v>
      </c>
    </row>
    <row r="1350" spans="1:29" x14ac:dyDescent="0.2">
      <c r="A1350" t="s">
        <v>92</v>
      </c>
      <c r="B1350" t="s">
        <v>2502</v>
      </c>
      <c r="C1350" t="s">
        <v>2509</v>
      </c>
      <c r="D1350" t="s">
        <v>2510</v>
      </c>
      <c r="E1350" t="s">
        <v>228</v>
      </c>
      <c r="F1350">
        <v>169.99</v>
      </c>
      <c r="H1350">
        <v>92.72</v>
      </c>
      <c r="I1350">
        <v>108.18</v>
      </c>
      <c r="J1350">
        <v>139.08000000000001</v>
      </c>
      <c r="K1350">
        <v>92.72</v>
      </c>
      <c r="L1350">
        <v>92.72</v>
      </c>
      <c r="M1350">
        <v>104.31</v>
      </c>
      <c r="Q1350">
        <v>100.45</v>
      </c>
      <c r="T1350" t="s">
        <v>97</v>
      </c>
      <c r="Z1350">
        <v>169.99</v>
      </c>
      <c r="AA1350" t="s">
        <v>97</v>
      </c>
      <c r="AC1350">
        <v>108.18</v>
      </c>
    </row>
    <row r="1351" spans="1:29" x14ac:dyDescent="0.2">
      <c r="A1351" t="s">
        <v>92</v>
      </c>
      <c r="B1351" t="s">
        <v>2502</v>
      </c>
      <c r="C1351" t="s">
        <v>2511</v>
      </c>
      <c r="D1351" t="s">
        <v>2512</v>
      </c>
      <c r="E1351" t="s">
        <v>290</v>
      </c>
      <c r="F1351">
        <v>249.99</v>
      </c>
      <c r="H1351">
        <v>136.36000000000001</v>
      </c>
      <c r="I1351">
        <v>159.08000000000001</v>
      </c>
      <c r="J1351">
        <v>204.54</v>
      </c>
      <c r="K1351">
        <v>136.36000000000001</v>
      </c>
      <c r="L1351">
        <v>136.36000000000001</v>
      </c>
      <c r="M1351">
        <v>159.08000000000001</v>
      </c>
      <c r="P1351">
        <v>113.63</v>
      </c>
      <c r="Q1351">
        <v>147.72</v>
      </c>
      <c r="R1351">
        <v>159.08000000000001</v>
      </c>
      <c r="T1351" t="s">
        <v>97</v>
      </c>
      <c r="V1351">
        <v>181.81</v>
      </c>
      <c r="X1351">
        <v>193.17</v>
      </c>
      <c r="Y1351">
        <v>193.17</v>
      </c>
      <c r="Z1351">
        <v>249.99</v>
      </c>
      <c r="AA1351" t="s">
        <v>97</v>
      </c>
    </row>
    <row r="1352" spans="1:29" x14ac:dyDescent="0.2">
      <c r="A1352" t="s">
        <v>92</v>
      </c>
      <c r="B1352" t="s">
        <v>2502</v>
      </c>
      <c r="C1352" t="s">
        <v>2513</v>
      </c>
      <c r="D1352" t="s">
        <v>2514</v>
      </c>
      <c r="E1352" t="s">
        <v>228</v>
      </c>
      <c r="F1352">
        <v>199.99</v>
      </c>
      <c r="G1352">
        <v>199.99</v>
      </c>
      <c r="H1352">
        <v>109.09</v>
      </c>
      <c r="I1352">
        <v>127.27</v>
      </c>
      <c r="J1352">
        <v>163.63</v>
      </c>
      <c r="K1352">
        <v>109.09</v>
      </c>
      <c r="L1352">
        <v>109.09</v>
      </c>
      <c r="M1352">
        <v>118.18</v>
      </c>
      <c r="Q1352">
        <v>118.18</v>
      </c>
      <c r="R1352">
        <v>109.09</v>
      </c>
      <c r="S1352">
        <v>109.09</v>
      </c>
      <c r="T1352" t="s">
        <v>97</v>
      </c>
      <c r="V1352">
        <v>145.44999999999999</v>
      </c>
      <c r="W1352">
        <v>145.44999999999999</v>
      </c>
      <c r="X1352">
        <v>145.44999999999999</v>
      </c>
      <c r="Y1352">
        <v>150.9</v>
      </c>
      <c r="Z1352">
        <v>199.99</v>
      </c>
      <c r="AA1352" t="s">
        <v>97</v>
      </c>
      <c r="AC1352">
        <v>127.27</v>
      </c>
    </row>
    <row r="1353" spans="1:29" x14ac:dyDescent="0.2">
      <c r="A1353" t="s">
        <v>92</v>
      </c>
      <c r="B1353" t="s">
        <v>2502</v>
      </c>
      <c r="C1353" t="s">
        <v>2515</v>
      </c>
      <c r="D1353" t="s">
        <v>2516</v>
      </c>
      <c r="E1353" t="s">
        <v>290</v>
      </c>
      <c r="F1353">
        <v>139.99</v>
      </c>
      <c r="G1353">
        <v>139.99</v>
      </c>
      <c r="H1353">
        <v>76.36</v>
      </c>
      <c r="I1353">
        <v>89.08</v>
      </c>
      <c r="J1353">
        <v>114.54</v>
      </c>
      <c r="K1353">
        <v>76.36</v>
      </c>
      <c r="L1353">
        <v>82.72</v>
      </c>
      <c r="M1353">
        <v>89.08</v>
      </c>
      <c r="Q1353">
        <v>82.72</v>
      </c>
      <c r="R1353">
        <v>82.72</v>
      </c>
      <c r="T1353" t="s">
        <v>97</v>
      </c>
      <c r="V1353">
        <v>101.81</v>
      </c>
      <c r="W1353">
        <v>101.81</v>
      </c>
      <c r="X1353">
        <v>101.81</v>
      </c>
      <c r="Y1353">
        <v>105.63</v>
      </c>
      <c r="Z1353">
        <v>139.99</v>
      </c>
      <c r="AA1353" t="s">
        <v>97</v>
      </c>
    </row>
    <row r="1354" spans="1:29" x14ac:dyDescent="0.2">
      <c r="A1354" t="s">
        <v>92</v>
      </c>
      <c r="B1354" t="s">
        <v>2502</v>
      </c>
      <c r="C1354" t="s">
        <v>2517</v>
      </c>
      <c r="D1354" t="s">
        <v>2518</v>
      </c>
      <c r="E1354" t="s">
        <v>228</v>
      </c>
      <c r="F1354">
        <v>159.99</v>
      </c>
      <c r="H1354">
        <v>101.81</v>
      </c>
      <c r="I1354">
        <v>109.08</v>
      </c>
      <c r="J1354">
        <v>130.9</v>
      </c>
      <c r="K1354">
        <v>101.81</v>
      </c>
      <c r="L1354">
        <v>107.73</v>
      </c>
      <c r="M1354">
        <v>123.63</v>
      </c>
      <c r="P1354">
        <v>87.27</v>
      </c>
      <c r="Q1354">
        <v>109.09</v>
      </c>
      <c r="R1354">
        <v>109.08</v>
      </c>
      <c r="S1354">
        <v>94.54</v>
      </c>
      <c r="T1354" t="s">
        <v>97</v>
      </c>
      <c r="Z1354">
        <v>159.99</v>
      </c>
      <c r="AA1354" t="s">
        <v>97</v>
      </c>
      <c r="AC1354">
        <v>116.36</v>
      </c>
    </row>
    <row r="1355" spans="1:29" x14ac:dyDescent="0.2">
      <c r="A1355" t="s">
        <v>92</v>
      </c>
      <c r="B1355" t="s">
        <v>2502</v>
      </c>
      <c r="C1355" t="s">
        <v>2519</v>
      </c>
      <c r="D1355" t="s">
        <v>2520</v>
      </c>
      <c r="E1355" t="s">
        <v>290</v>
      </c>
      <c r="F1355">
        <v>249.99</v>
      </c>
      <c r="G1355">
        <v>249.99</v>
      </c>
      <c r="H1355">
        <v>136.36000000000001</v>
      </c>
      <c r="I1355">
        <v>159.08000000000001</v>
      </c>
      <c r="J1355">
        <v>204.54</v>
      </c>
      <c r="K1355">
        <v>136.36000000000001</v>
      </c>
      <c r="L1355">
        <v>147.72</v>
      </c>
      <c r="M1355">
        <v>159.08000000000001</v>
      </c>
      <c r="Q1355">
        <v>147.72</v>
      </c>
      <c r="R1355">
        <v>136.36000000000001</v>
      </c>
      <c r="T1355" t="s">
        <v>97</v>
      </c>
      <c r="Z1355">
        <v>249.99</v>
      </c>
      <c r="AA1355" t="s">
        <v>97</v>
      </c>
      <c r="AC1355">
        <v>159.08000000000001</v>
      </c>
    </row>
    <row r="1356" spans="1:29" x14ac:dyDescent="0.2">
      <c r="A1356" t="s">
        <v>92</v>
      </c>
      <c r="B1356" t="s">
        <v>2502</v>
      </c>
      <c r="C1356" t="s">
        <v>2521</v>
      </c>
      <c r="D1356" t="s">
        <v>2522</v>
      </c>
      <c r="E1356" t="s">
        <v>228</v>
      </c>
      <c r="F1356">
        <v>249.99</v>
      </c>
      <c r="H1356">
        <v>159.08000000000001</v>
      </c>
      <c r="I1356">
        <v>170.45</v>
      </c>
      <c r="J1356">
        <v>204.54</v>
      </c>
      <c r="K1356">
        <v>159.08000000000001</v>
      </c>
      <c r="L1356">
        <v>163.63</v>
      </c>
      <c r="M1356">
        <v>193.17</v>
      </c>
      <c r="P1356">
        <v>136.36000000000001</v>
      </c>
      <c r="Q1356">
        <v>170.45</v>
      </c>
      <c r="R1356">
        <v>170.45</v>
      </c>
      <c r="S1356">
        <v>147.72</v>
      </c>
      <c r="T1356" t="s">
        <v>97</v>
      </c>
      <c r="Z1356">
        <v>249.99</v>
      </c>
      <c r="AA1356" t="s">
        <v>97</v>
      </c>
      <c r="AC1356">
        <v>181.81</v>
      </c>
    </row>
    <row r="1357" spans="1:29" x14ac:dyDescent="0.2">
      <c r="A1357" t="s">
        <v>92</v>
      </c>
      <c r="B1357" t="s">
        <v>2502</v>
      </c>
      <c r="C1357" t="s">
        <v>2523</v>
      </c>
      <c r="D1357" t="s">
        <v>2524</v>
      </c>
      <c r="E1357" t="s">
        <v>228</v>
      </c>
      <c r="F1357">
        <v>109.99</v>
      </c>
      <c r="H1357">
        <v>59.99</v>
      </c>
      <c r="I1357">
        <v>69.989999999999995</v>
      </c>
      <c r="J1357">
        <v>89.99</v>
      </c>
      <c r="K1357">
        <v>59.99</v>
      </c>
      <c r="L1357">
        <v>59.99</v>
      </c>
      <c r="M1357">
        <v>64.989999999999995</v>
      </c>
      <c r="P1357">
        <v>50</v>
      </c>
      <c r="Q1357">
        <v>59.99</v>
      </c>
      <c r="R1357">
        <v>64.989999999999995</v>
      </c>
      <c r="T1357" t="s">
        <v>97</v>
      </c>
      <c r="Z1357">
        <v>109.99</v>
      </c>
      <c r="AA1357" t="s">
        <v>97</v>
      </c>
      <c r="AC1357">
        <v>69.989999999999995</v>
      </c>
    </row>
    <row r="1358" spans="1:29" x14ac:dyDescent="0.2">
      <c r="A1358" t="s">
        <v>92</v>
      </c>
      <c r="B1358" t="s">
        <v>2502</v>
      </c>
      <c r="C1358" t="s">
        <v>2525</v>
      </c>
      <c r="D1358" t="s">
        <v>2526</v>
      </c>
      <c r="E1358" t="s">
        <v>228</v>
      </c>
      <c r="F1358">
        <v>109.99</v>
      </c>
      <c r="H1358">
        <v>59.99</v>
      </c>
      <c r="I1358">
        <v>69.989999999999995</v>
      </c>
      <c r="J1358">
        <v>89.99</v>
      </c>
      <c r="K1358">
        <v>59.99</v>
      </c>
      <c r="L1358">
        <v>59.99</v>
      </c>
      <c r="M1358">
        <v>64.989999999999995</v>
      </c>
      <c r="P1358">
        <v>50</v>
      </c>
      <c r="Q1358">
        <v>59.99</v>
      </c>
      <c r="R1358">
        <v>64.989999999999995</v>
      </c>
      <c r="T1358" t="s">
        <v>97</v>
      </c>
      <c r="Z1358">
        <v>109.99</v>
      </c>
      <c r="AA1358" t="s">
        <v>97</v>
      </c>
      <c r="AC1358">
        <v>69.989999999999995</v>
      </c>
    </row>
    <row r="1359" spans="1:29" x14ac:dyDescent="0.2">
      <c r="A1359" t="s">
        <v>92</v>
      </c>
      <c r="B1359" t="s">
        <v>2502</v>
      </c>
      <c r="C1359" t="s">
        <v>2527</v>
      </c>
      <c r="D1359" t="s">
        <v>2528</v>
      </c>
      <c r="E1359" t="s">
        <v>228</v>
      </c>
      <c r="F1359">
        <v>99.99</v>
      </c>
      <c r="H1359">
        <v>54.54</v>
      </c>
      <c r="I1359">
        <v>63.63</v>
      </c>
      <c r="J1359">
        <v>81.81</v>
      </c>
      <c r="K1359">
        <v>54.54</v>
      </c>
      <c r="L1359">
        <v>54.54</v>
      </c>
      <c r="M1359">
        <v>59.09</v>
      </c>
      <c r="Q1359">
        <v>59.09</v>
      </c>
      <c r="R1359">
        <v>54.54</v>
      </c>
      <c r="T1359" t="s">
        <v>97</v>
      </c>
      <c r="Z1359">
        <v>99.99</v>
      </c>
      <c r="AA1359" t="s">
        <v>97</v>
      </c>
      <c r="AC1359">
        <v>59.09</v>
      </c>
    </row>
    <row r="1360" spans="1:29" x14ac:dyDescent="0.2">
      <c r="A1360" t="s">
        <v>92</v>
      </c>
      <c r="B1360" t="s">
        <v>2502</v>
      </c>
      <c r="C1360" t="s">
        <v>2529</v>
      </c>
      <c r="D1360" t="s">
        <v>2530</v>
      </c>
      <c r="E1360" t="s">
        <v>290</v>
      </c>
      <c r="F1360">
        <v>49.99</v>
      </c>
      <c r="H1360">
        <v>27.27</v>
      </c>
      <c r="I1360">
        <v>31.81</v>
      </c>
      <c r="J1360">
        <v>40.9</v>
      </c>
      <c r="K1360">
        <v>27.27</v>
      </c>
      <c r="L1360">
        <v>29.54</v>
      </c>
      <c r="M1360">
        <v>34.08</v>
      </c>
      <c r="Q1360">
        <v>29.54</v>
      </c>
      <c r="R1360">
        <v>27.27</v>
      </c>
      <c r="T1360" t="s">
        <v>97</v>
      </c>
      <c r="Y1360">
        <v>38.630000000000003</v>
      </c>
      <c r="Z1360">
        <v>49.99</v>
      </c>
      <c r="AA1360" t="s">
        <v>97</v>
      </c>
      <c r="AB1360">
        <v>19.989999999999998</v>
      </c>
    </row>
    <row r="1361" spans="1:29" x14ac:dyDescent="0.2">
      <c r="A1361" t="s">
        <v>92</v>
      </c>
      <c r="B1361" t="s">
        <v>2502</v>
      </c>
      <c r="C1361" t="s">
        <v>2531</v>
      </c>
      <c r="D1361" t="s">
        <v>2532</v>
      </c>
      <c r="E1361" t="s">
        <v>228</v>
      </c>
      <c r="F1361">
        <v>119.99</v>
      </c>
      <c r="H1361">
        <v>65.45</v>
      </c>
      <c r="I1361">
        <v>76.36</v>
      </c>
      <c r="J1361">
        <v>98.17</v>
      </c>
      <c r="K1361">
        <v>65.45</v>
      </c>
      <c r="L1361">
        <v>65.45</v>
      </c>
      <c r="M1361">
        <v>70.900000000000006</v>
      </c>
      <c r="P1361">
        <v>54.54</v>
      </c>
      <c r="Q1361">
        <v>65.45</v>
      </c>
      <c r="R1361">
        <v>70.900000000000006</v>
      </c>
      <c r="T1361" t="s">
        <v>97</v>
      </c>
      <c r="Z1361">
        <v>119.99</v>
      </c>
      <c r="AA1361" t="s">
        <v>97</v>
      </c>
      <c r="AC1361">
        <v>76.36</v>
      </c>
    </row>
    <row r="1362" spans="1:29" x14ac:dyDescent="0.2">
      <c r="A1362" t="s">
        <v>92</v>
      </c>
      <c r="B1362" t="s">
        <v>2502</v>
      </c>
      <c r="C1362" t="s">
        <v>2533</v>
      </c>
      <c r="D1362" t="s">
        <v>2534</v>
      </c>
      <c r="E1362" t="s">
        <v>228</v>
      </c>
      <c r="F1362">
        <v>119.99</v>
      </c>
      <c r="H1362">
        <v>65.45</v>
      </c>
      <c r="I1362">
        <v>76.36</v>
      </c>
      <c r="J1362">
        <v>98.17</v>
      </c>
      <c r="K1362">
        <v>65.45</v>
      </c>
      <c r="L1362">
        <v>65.45</v>
      </c>
      <c r="M1362">
        <v>70.900000000000006</v>
      </c>
      <c r="P1362">
        <v>54.54</v>
      </c>
      <c r="Q1362">
        <v>65.45</v>
      </c>
      <c r="R1362">
        <v>70.900000000000006</v>
      </c>
      <c r="T1362" t="s">
        <v>97</v>
      </c>
      <c r="Z1362">
        <v>119.99</v>
      </c>
      <c r="AA1362" t="s">
        <v>97</v>
      </c>
      <c r="AC1362">
        <v>76.36</v>
      </c>
    </row>
    <row r="1363" spans="1:29" x14ac:dyDescent="0.2">
      <c r="A1363" t="s">
        <v>92</v>
      </c>
      <c r="B1363" t="s">
        <v>2502</v>
      </c>
      <c r="C1363" t="s">
        <v>2535</v>
      </c>
      <c r="D1363" t="s">
        <v>2536</v>
      </c>
      <c r="E1363" t="s">
        <v>228</v>
      </c>
      <c r="F1363">
        <v>139.99</v>
      </c>
      <c r="H1363">
        <v>76.36</v>
      </c>
      <c r="I1363">
        <v>89.08</v>
      </c>
      <c r="J1363">
        <v>114.54</v>
      </c>
      <c r="K1363">
        <v>76.36</v>
      </c>
      <c r="L1363">
        <v>76.36</v>
      </c>
      <c r="M1363">
        <v>82.72</v>
      </c>
      <c r="P1363">
        <v>63.63</v>
      </c>
      <c r="Q1363">
        <v>76.36</v>
      </c>
      <c r="R1363">
        <v>82.72</v>
      </c>
      <c r="T1363" t="s">
        <v>97</v>
      </c>
      <c r="Z1363">
        <v>139.99</v>
      </c>
      <c r="AA1363" t="s">
        <v>97</v>
      </c>
      <c r="AC1363">
        <v>89.08</v>
      </c>
    </row>
    <row r="1364" spans="1:29" x14ac:dyDescent="0.2">
      <c r="A1364" t="s">
        <v>92</v>
      </c>
      <c r="B1364" t="s">
        <v>2502</v>
      </c>
      <c r="C1364" t="s">
        <v>2537</v>
      </c>
      <c r="D1364" t="s">
        <v>2538</v>
      </c>
      <c r="E1364" t="s">
        <v>228</v>
      </c>
      <c r="F1364">
        <v>139.99</v>
      </c>
      <c r="H1364">
        <v>76.36</v>
      </c>
      <c r="I1364">
        <v>89.08</v>
      </c>
      <c r="J1364">
        <v>114.54</v>
      </c>
      <c r="K1364">
        <v>76.36</v>
      </c>
      <c r="L1364">
        <v>76.36</v>
      </c>
      <c r="M1364">
        <v>82.72</v>
      </c>
      <c r="P1364">
        <v>63.63</v>
      </c>
      <c r="Q1364">
        <v>76.36</v>
      </c>
      <c r="R1364">
        <v>82.72</v>
      </c>
      <c r="T1364" t="s">
        <v>97</v>
      </c>
      <c r="Z1364">
        <v>139.99</v>
      </c>
      <c r="AA1364" t="s">
        <v>97</v>
      </c>
      <c r="AC1364">
        <v>89.08</v>
      </c>
    </row>
    <row r="1365" spans="1:29" x14ac:dyDescent="0.2">
      <c r="A1365" t="s">
        <v>92</v>
      </c>
      <c r="B1365" t="s">
        <v>2502</v>
      </c>
      <c r="C1365" t="s">
        <v>2539</v>
      </c>
      <c r="D1365" t="s">
        <v>2540</v>
      </c>
      <c r="E1365" t="s">
        <v>228</v>
      </c>
      <c r="F1365">
        <v>54.99</v>
      </c>
      <c r="G1365">
        <v>54.99</v>
      </c>
      <c r="H1365">
        <v>29.99</v>
      </c>
      <c r="I1365">
        <v>34.99</v>
      </c>
      <c r="J1365">
        <v>44.99</v>
      </c>
      <c r="K1365">
        <v>29.99</v>
      </c>
      <c r="L1365">
        <v>32.49</v>
      </c>
      <c r="M1365">
        <v>37.49</v>
      </c>
      <c r="P1365">
        <v>27.27</v>
      </c>
      <c r="Q1365">
        <v>32.49</v>
      </c>
      <c r="R1365">
        <v>29.99</v>
      </c>
      <c r="S1365">
        <v>29.99</v>
      </c>
      <c r="T1365" t="s">
        <v>97</v>
      </c>
      <c r="V1365">
        <v>39.99</v>
      </c>
      <c r="W1365">
        <v>39.99</v>
      </c>
      <c r="X1365">
        <v>39.99</v>
      </c>
      <c r="Y1365">
        <v>41.49</v>
      </c>
      <c r="Z1365">
        <v>54.99</v>
      </c>
      <c r="AA1365" t="s">
        <v>97</v>
      </c>
    </row>
    <row r="1366" spans="1:29" x14ac:dyDescent="0.2">
      <c r="A1366" t="s">
        <v>92</v>
      </c>
      <c r="B1366" t="s">
        <v>2502</v>
      </c>
      <c r="C1366" t="s">
        <v>2541</v>
      </c>
      <c r="D1366" t="s">
        <v>2542</v>
      </c>
      <c r="E1366" t="s">
        <v>228</v>
      </c>
      <c r="F1366">
        <v>54.99</v>
      </c>
      <c r="H1366">
        <v>29.99</v>
      </c>
      <c r="I1366">
        <v>34.99</v>
      </c>
      <c r="J1366">
        <v>44.99</v>
      </c>
      <c r="K1366">
        <v>29.99</v>
      </c>
      <c r="L1366">
        <v>29.99</v>
      </c>
      <c r="M1366">
        <v>34.99</v>
      </c>
      <c r="Q1366">
        <v>32.49</v>
      </c>
      <c r="R1366">
        <v>29.99</v>
      </c>
      <c r="S1366">
        <v>29.99</v>
      </c>
      <c r="T1366" t="s">
        <v>97</v>
      </c>
      <c r="Z1366">
        <v>54.99</v>
      </c>
      <c r="AA1366" t="s">
        <v>97</v>
      </c>
      <c r="AC1366">
        <v>34.99</v>
      </c>
    </row>
    <row r="1367" spans="1:29" x14ac:dyDescent="0.2">
      <c r="A1367" t="s">
        <v>92</v>
      </c>
      <c r="B1367" t="s">
        <v>2502</v>
      </c>
      <c r="C1367" t="s">
        <v>2547</v>
      </c>
      <c r="D1367" t="s">
        <v>2548</v>
      </c>
      <c r="E1367" t="s">
        <v>290</v>
      </c>
      <c r="F1367">
        <v>59.99</v>
      </c>
      <c r="G1367">
        <v>59.99</v>
      </c>
      <c r="H1367">
        <v>35.450000000000003</v>
      </c>
      <c r="I1367">
        <v>38.18</v>
      </c>
      <c r="J1367">
        <v>49.08</v>
      </c>
      <c r="K1367">
        <v>35.450000000000003</v>
      </c>
      <c r="L1367">
        <v>35.450000000000003</v>
      </c>
      <c r="M1367">
        <v>40.9</v>
      </c>
      <c r="R1367">
        <v>35.450000000000003</v>
      </c>
      <c r="T1367" t="s">
        <v>97</v>
      </c>
      <c r="V1367">
        <v>43.63</v>
      </c>
      <c r="W1367">
        <v>43.63</v>
      </c>
      <c r="X1367">
        <v>43.63</v>
      </c>
      <c r="Y1367">
        <v>45.27</v>
      </c>
      <c r="Z1367">
        <v>59.99</v>
      </c>
      <c r="AA1367" t="s">
        <v>97</v>
      </c>
      <c r="AC1367">
        <v>38.18</v>
      </c>
    </row>
    <row r="1368" spans="1:29" x14ac:dyDescent="0.2">
      <c r="A1368" t="s">
        <v>92</v>
      </c>
      <c r="B1368" t="s">
        <v>2502</v>
      </c>
      <c r="C1368" t="s">
        <v>2551</v>
      </c>
      <c r="D1368" t="s">
        <v>2552</v>
      </c>
      <c r="E1368" t="s">
        <v>290</v>
      </c>
      <c r="F1368">
        <v>149.99</v>
      </c>
      <c r="G1368">
        <v>149.99</v>
      </c>
      <c r="H1368">
        <v>88.63</v>
      </c>
      <c r="I1368">
        <v>95.45</v>
      </c>
      <c r="J1368">
        <v>122.72</v>
      </c>
      <c r="K1368">
        <v>88.63</v>
      </c>
      <c r="L1368">
        <v>95.45</v>
      </c>
      <c r="M1368">
        <v>102.27</v>
      </c>
      <c r="P1368">
        <v>76.36</v>
      </c>
      <c r="R1368">
        <v>95.45</v>
      </c>
      <c r="T1368" t="s">
        <v>97</v>
      </c>
      <c r="Y1368">
        <v>115.9</v>
      </c>
      <c r="Z1368">
        <v>149.99</v>
      </c>
      <c r="AA1368" t="s">
        <v>97</v>
      </c>
    </row>
    <row r="1369" spans="1:29" x14ac:dyDescent="0.2">
      <c r="A1369" t="s">
        <v>92</v>
      </c>
      <c r="B1369" t="s">
        <v>2502</v>
      </c>
      <c r="C1369" t="s">
        <v>2555</v>
      </c>
      <c r="D1369" t="s">
        <v>2556</v>
      </c>
      <c r="E1369" t="s">
        <v>228</v>
      </c>
      <c r="F1369">
        <v>129.99</v>
      </c>
      <c r="G1369">
        <v>129.99</v>
      </c>
      <c r="H1369">
        <v>76.81</v>
      </c>
      <c r="I1369">
        <v>82.72</v>
      </c>
      <c r="J1369">
        <v>106.36</v>
      </c>
      <c r="K1369">
        <v>76.81</v>
      </c>
      <c r="L1369">
        <v>73.86</v>
      </c>
      <c r="M1369">
        <v>82.72</v>
      </c>
      <c r="P1369">
        <v>65.45</v>
      </c>
      <c r="Q1369">
        <v>76.81</v>
      </c>
      <c r="R1369">
        <v>76.81</v>
      </c>
      <c r="T1369" t="s">
        <v>97</v>
      </c>
      <c r="Y1369">
        <v>100.45</v>
      </c>
      <c r="Z1369">
        <v>129.99</v>
      </c>
      <c r="AA1369" t="s">
        <v>97</v>
      </c>
      <c r="AC1369">
        <v>82.72</v>
      </c>
    </row>
    <row r="1370" spans="1:29" x14ac:dyDescent="0.2">
      <c r="A1370" t="s">
        <v>92</v>
      </c>
      <c r="B1370" t="s">
        <v>2502</v>
      </c>
      <c r="C1370" t="s">
        <v>2557</v>
      </c>
      <c r="D1370" t="s">
        <v>2558</v>
      </c>
      <c r="E1370" t="s">
        <v>290</v>
      </c>
      <c r="F1370">
        <v>179.99</v>
      </c>
      <c r="H1370">
        <v>98.18</v>
      </c>
      <c r="I1370">
        <v>114.54</v>
      </c>
      <c r="J1370">
        <v>147.26</v>
      </c>
      <c r="K1370">
        <v>98.18</v>
      </c>
      <c r="L1370">
        <v>98.18</v>
      </c>
      <c r="M1370">
        <v>114.54</v>
      </c>
      <c r="Q1370">
        <v>106.36</v>
      </c>
      <c r="R1370">
        <v>106.36</v>
      </c>
      <c r="T1370" t="s">
        <v>97</v>
      </c>
      <c r="Y1370">
        <v>139.08000000000001</v>
      </c>
      <c r="Z1370">
        <v>179.99</v>
      </c>
      <c r="AA1370" t="s">
        <v>97</v>
      </c>
    </row>
    <row r="1371" spans="1:29" x14ac:dyDescent="0.2">
      <c r="A1371" t="s">
        <v>92</v>
      </c>
      <c r="B1371" t="s">
        <v>2502</v>
      </c>
      <c r="C1371" t="s">
        <v>2559</v>
      </c>
      <c r="D1371" t="s">
        <v>2560</v>
      </c>
      <c r="E1371" t="s">
        <v>228</v>
      </c>
      <c r="F1371">
        <v>17.989999999999998</v>
      </c>
      <c r="G1371">
        <v>17.989999999999998</v>
      </c>
      <c r="H1371">
        <v>9.81</v>
      </c>
      <c r="I1371">
        <v>11.45</v>
      </c>
      <c r="J1371">
        <v>14.72</v>
      </c>
      <c r="K1371">
        <v>9.81</v>
      </c>
      <c r="L1371">
        <v>9</v>
      </c>
      <c r="M1371">
        <v>10.63</v>
      </c>
      <c r="Q1371">
        <v>9.81</v>
      </c>
      <c r="R1371">
        <v>9.81</v>
      </c>
      <c r="S1371">
        <v>9.81</v>
      </c>
      <c r="T1371" t="s">
        <v>97</v>
      </c>
      <c r="Y1371">
        <v>11.58</v>
      </c>
      <c r="Z1371">
        <v>17.989999999999998</v>
      </c>
      <c r="AA1371" t="s">
        <v>97</v>
      </c>
      <c r="AC1371">
        <v>9.81</v>
      </c>
    </row>
    <row r="1372" spans="1:29" x14ac:dyDescent="0.2">
      <c r="A1372" t="s">
        <v>92</v>
      </c>
      <c r="B1372" t="s">
        <v>2502</v>
      </c>
      <c r="C1372" t="s">
        <v>2561</v>
      </c>
      <c r="D1372" t="s">
        <v>2562</v>
      </c>
      <c r="E1372" t="s">
        <v>228</v>
      </c>
      <c r="F1372">
        <v>17.989999999999998</v>
      </c>
      <c r="H1372">
        <v>9.81</v>
      </c>
      <c r="I1372">
        <v>11.45</v>
      </c>
      <c r="J1372">
        <v>14.72</v>
      </c>
      <c r="K1372">
        <v>9.81</v>
      </c>
      <c r="L1372">
        <v>9</v>
      </c>
      <c r="M1372">
        <v>10.63</v>
      </c>
      <c r="Q1372">
        <v>9.81</v>
      </c>
      <c r="R1372">
        <v>9.81</v>
      </c>
      <c r="S1372">
        <v>9.81</v>
      </c>
      <c r="T1372" t="s">
        <v>97</v>
      </c>
      <c r="Z1372">
        <v>17.989999999999998</v>
      </c>
      <c r="AA1372" t="s">
        <v>97</v>
      </c>
      <c r="AC1372">
        <v>9.81</v>
      </c>
    </row>
    <row r="1373" spans="1:29" x14ac:dyDescent="0.2">
      <c r="A1373" t="s">
        <v>92</v>
      </c>
      <c r="B1373" t="s">
        <v>2502</v>
      </c>
      <c r="C1373" t="s">
        <v>2565</v>
      </c>
      <c r="D1373" t="s">
        <v>2566</v>
      </c>
      <c r="E1373" t="s">
        <v>228</v>
      </c>
      <c r="F1373">
        <v>79.989999999999995</v>
      </c>
      <c r="G1373">
        <v>79.989999999999995</v>
      </c>
      <c r="H1373">
        <v>47.27</v>
      </c>
      <c r="I1373">
        <v>50.9</v>
      </c>
      <c r="J1373">
        <v>65.45</v>
      </c>
      <c r="K1373">
        <v>47.27</v>
      </c>
      <c r="L1373">
        <v>47.27</v>
      </c>
      <c r="M1373">
        <v>54.54</v>
      </c>
      <c r="P1373">
        <v>50.9</v>
      </c>
      <c r="Q1373">
        <v>50.9</v>
      </c>
      <c r="R1373">
        <v>50.9</v>
      </c>
      <c r="T1373" t="s">
        <v>97</v>
      </c>
      <c r="Y1373">
        <v>61.81</v>
      </c>
      <c r="Z1373">
        <v>79.989999999999995</v>
      </c>
      <c r="AA1373" t="s">
        <v>97</v>
      </c>
    </row>
    <row r="1374" spans="1:29" x14ac:dyDescent="0.2">
      <c r="A1374" t="s">
        <v>92</v>
      </c>
      <c r="B1374" t="s">
        <v>2502</v>
      </c>
      <c r="C1374" t="s">
        <v>2567</v>
      </c>
      <c r="D1374" t="s">
        <v>2568</v>
      </c>
      <c r="E1374" t="s">
        <v>228</v>
      </c>
      <c r="F1374">
        <v>79.989999999999995</v>
      </c>
      <c r="G1374">
        <v>79.989999999999995</v>
      </c>
      <c r="H1374">
        <v>47.27</v>
      </c>
      <c r="I1374">
        <v>50.9</v>
      </c>
      <c r="J1374">
        <v>65.45</v>
      </c>
      <c r="K1374">
        <v>47.27</v>
      </c>
      <c r="L1374">
        <v>47.27</v>
      </c>
      <c r="M1374">
        <v>54.54</v>
      </c>
      <c r="P1374">
        <v>50.9</v>
      </c>
      <c r="Q1374">
        <v>50.9</v>
      </c>
      <c r="R1374">
        <v>50.9</v>
      </c>
      <c r="S1374">
        <v>43.63</v>
      </c>
      <c r="T1374" t="s">
        <v>97</v>
      </c>
      <c r="Y1374">
        <v>61.81</v>
      </c>
      <c r="Z1374">
        <v>79.989999999999995</v>
      </c>
      <c r="AA1374" t="s">
        <v>97</v>
      </c>
    </row>
    <row r="1375" spans="1:29" x14ac:dyDescent="0.2">
      <c r="A1375" t="s">
        <v>92</v>
      </c>
      <c r="B1375" t="s">
        <v>2502</v>
      </c>
      <c r="C1375" t="s">
        <v>2569</v>
      </c>
      <c r="D1375" t="s">
        <v>2570</v>
      </c>
      <c r="E1375" t="s">
        <v>228</v>
      </c>
      <c r="F1375">
        <v>39.99</v>
      </c>
      <c r="H1375">
        <v>23.63</v>
      </c>
      <c r="I1375">
        <v>25.45</v>
      </c>
      <c r="J1375">
        <v>32.72</v>
      </c>
      <c r="K1375">
        <v>23.63</v>
      </c>
      <c r="L1375">
        <v>27.27</v>
      </c>
      <c r="M1375">
        <v>29.08</v>
      </c>
      <c r="P1375">
        <v>21.81</v>
      </c>
      <c r="Q1375">
        <v>25.45</v>
      </c>
      <c r="R1375">
        <v>25.45</v>
      </c>
      <c r="S1375">
        <v>23.45</v>
      </c>
      <c r="T1375" t="s">
        <v>97</v>
      </c>
      <c r="Y1375">
        <v>30.9</v>
      </c>
      <c r="Z1375">
        <v>39.99</v>
      </c>
      <c r="AA1375" t="s">
        <v>97</v>
      </c>
      <c r="AC1375">
        <v>27.27</v>
      </c>
    </row>
    <row r="1376" spans="1:29" x14ac:dyDescent="0.2">
      <c r="A1376" t="s">
        <v>92</v>
      </c>
      <c r="B1376" t="s">
        <v>2502</v>
      </c>
      <c r="C1376" t="s">
        <v>8922</v>
      </c>
      <c r="D1376" t="s">
        <v>8923</v>
      </c>
      <c r="E1376" t="s">
        <v>228</v>
      </c>
      <c r="F1376">
        <v>179.99</v>
      </c>
      <c r="H1376">
        <v>98.18</v>
      </c>
      <c r="I1376">
        <v>114.54</v>
      </c>
      <c r="J1376">
        <v>147.26</v>
      </c>
      <c r="K1376">
        <v>98.18</v>
      </c>
      <c r="L1376">
        <v>101.01</v>
      </c>
      <c r="M1376">
        <v>106.36</v>
      </c>
      <c r="Q1376">
        <v>98.18</v>
      </c>
      <c r="T1376" t="s">
        <v>97</v>
      </c>
      <c r="AA1376" t="s">
        <v>97</v>
      </c>
    </row>
    <row r="1377" spans="1:29" x14ac:dyDescent="0.2">
      <c r="A1377" t="s">
        <v>92</v>
      </c>
      <c r="B1377" t="s">
        <v>2502</v>
      </c>
      <c r="C1377" t="s">
        <v>8924</v>
      </c>
      <c r="D1377" t="s">
        <v>8925</v>
      </c>
      <c r="E1377" t="s">
        <v>228</v>
      </c>
      <c r="F1377">
        <v>249.99</v>
      </c>
      <c r="H1377">
        <v>147.72</v>
      </c>
      <c r="I1377">
        <v>181.81</v>
      </c>
      <c r="J1377">
        <v>204.54</v>
      </c>
      <c r="K1377">
        <v>147.72</v>
      </c>
      <c r="L1377">
        <v>168.33</v>
      </c>
      <c r="M1377">
        <v>170.45</v>
      </c>
      <c r="Q1377">
        <v>163.63</v>
      </c>
      <c r="T1377" t="s">
        <v>97</v>
      </c>
      <c r="AA1377" t="s">
        <v>97</v>
      </c>
    </row>
    <row r="1378" spans="1:29" x14ac:dyDescent="0.2">
      <c r="A1378" t="s">
        <v>92</v>
      </c>
      <c r="B1378" t="s">
        <v>2502</v>
      </c>
      <c r="C1378" t="s">
        <v>2571</v>
      </c>
      <c r="D1378" t="s">
        <v>2572</v>
      </c>
      <c r="E1378" t="s">
        <v>228</v>
      </c>
      <c r="F1378">
        <v>119.99</v>
      </c>
      <c r="G1378">
        <v>119.99</v>
      </c>
      <c r="H1378">
        <v>65.45</v>
      </c>
      <c r="I1378">
        <v>76.36</v>
      </c>
      <c r="J1378">
        <v>98.17</v>
      </c>
      <c r="K1378">
        <v>65.45</v>
      </c>
      <c r="L1378">
        <v>59.99</v>
      </c>
      <c r="M1378">
        <v>70.900000000000006</v>
      </c>
      <c r="Q1378">
        <v>65.45</v>
      </c>
      <c r="R1378">
        <v>65.45</v>
      </c>
      <c r="T1378" t="s">
        <v>97</v>
      </c>
      <c r="V1378">
        <v>72.72</v>
      </c>
      <c r="W1378">
        <v>72.72</v>
      </c>
      <c r="X1378">
        <v>72.72</v>
      </c>
      <c r="Y1378">
        <v>75.45</v>
      </c>
      <c r="Z1378">
        <v>119.99</v>
      </c>
      <c r="AA1378" t="s">
        <v>97</v>
      </c>
      <c r="AC1378">
        <v>70.900000000000006</v>
      </c>
    </row>
    <row r="1379" spans="1:29" x14ac:dyDescent="0.2">
      <c r="A1379" t="s">
        <v>92</v>
      </c>
      <c r="B1379" t="s">
        <v>2502</v>
      </c>
      <c r="C1379" t="s">
        <v>2589</v>
      </c>
      <c r="D1379" t="s">
        <v>2590</v>
      </c>
      <c r="E1379" t="s">
        <v>290</v>
      </c>
      <c r="F1379">
        <v>49.99</v>
      </c>
      <c r="H1379">
        <v>31.81</v>
      </c>
      <c r="I1379">
        <v>36.36</v>
      </c>
      <c r="J1379">
        <v>40.9</v>
      </c>
      <c r="K1379">
        <v>31.81</v>
      </c>
      <c r="L1379">
        <v>36.36</v>
      </c>
      <c r="M1379">
        <v>34.22</v>
      </c>
      <c r="P1379">
        <v>29.54</v>
      </c>
      <c r="Q1379">
        <v>34.08</v>
      </c>
      <c r="R1379">
        <v>36.36</v>
      </c>
      <c r="S1379">
        <v>31.81</v>
      </c>
      <c r="T1379" t="s">
        <v>97</v>
      </c>
      <c r="AA1379" t="s">
        <v>97</v>
      </c>
      <c r="AC1379">
        <v>38.630000000000003</v>
      </c>
    </row>
    <row r="1380" spans="1:29" x14ac:dyDescent="0.2">
      <c r="A1380" t="s">
        <v>92</v>
      </c>
      <c r="B1380" t="s">
        <v>2502</v>
      </c>
      <c r="C1380" t="s">
        <v>2591</v>
      </c>
      <c r="D1380" t="s">
        <v>2592</v>
      </c>
      <c r="E1380" t="s">
        <v>228</v>
      </c>
      <c r="F1380">
        <v>49.99</v>
      </c>
      <c r="G1380">
        <v>49.99</v>
      </c>
      <c r="H1380">
        <v>29.54</v>
      </c>
      <c r="I1380">
        <v>31.81</v>
      </c>
      <c r="J1380">
        <v>40.9</v>
      </c>
      <c r="K1380">
        <v>29.54</v>
      </c>
      <c r="L1380">
        <v>34.08</v>
      </c>
      <c r="M1380">
        <v>36.36</v>
      </c>
      <c r="P1380">
        <v>27.27</v>
      </c>
      <c r="Q1380">
        <v>31.81</v>
      </c>
      <c r="R1380">
        <v>31.81</v>
      </c>
      <c r="T1380" t="s">
        <v>97</v>
      </c>
      <c r="Y1380">
        <v>38.630000000000003</v>
      </c>
      <c r="Z1380">
        <v>49.99</v>
      </c>
      <c r="AA1380" t="s">
        <v>97</v>
      </c>
    </row>
    <row r="1381" spans="1:29" x14ac:dyDescent="0.2">
      <c r="A1381" t="s">
        <v>92</v>
      </c>
      <c r="B1381" t="s">
        <v>2502</v>
      </c>
      <c r="C1381" t="s">
        <v>2593</v>
      </c>
      <c r="D1381" t="s">
        <v>2594</v>
      </c>
      <c r="E1381" t="s">
        <v>228</v>
      </c>
      <c r="F1381">
        <v>49.99</v>
      </c>
      <c r="G1381">
        <v>49.99</v>
      </c>
      <c r="H1381">
        <v>29.54</v>
      </c>
      <c r="I1381">
        <v>31.81</v>
      </c>
      <c r="J1381">
        <v>40.9</v>
      </c>
      <c r="K1381">
        <v>29.54</v>
      </c>
      <c r="L1381">
        <v>34.08</v>
      </c>
      <c r="M1381">
        <v>36.36</v>
      </c>
      <c r="P1381">
        <v>27.27</v>
      </c>
      <c r="Q1381">
        <v>31.81</v>
      </c>
      <c r="R1381">
        <v>31.81</v>
      </c>
      <c r="T1381" t="s">
        <v>97</v>
      </c>
      <c r="Y1381">
        <v>38.630000000000003</v>
      </c>
      <c r="Z1381">
        <v>49.99</v>
      </c>
      <c r="AA1381" t="s">
        <v>97</v>
      </c>
    </row>
    <row r="1382" spans="1:29" x14ac:dyDescent="0.2">
      <c r="A1382" t="s">
        <v>92</v>
      </c>
      <c r="B1382" t="s">
        <v>2502</v>
      </c>
      <c r="C1382" t="s">
        <v>2595</v>
      </c>
      <c r="D1382" t="s">
        <v>2596</v>
      </c>
      <c r="E1382" t="s">
        <v>228</v>
      </c>
      <c r="F1382">
        <v>49.99</v>
      </c>
      <c r="G1382">
        <v>49.99</v>
      </c>
      <c r="H1382">
        <v>29.54</v>
      </c>
      <c r="I1382">
        <v>31.81</v>
      </c>
      <c r="J1382">
        <v>40.9</v>
      </c>
      <c r="K1382">
        <v>29.54</v>
      </c>
      <c r="L1382">
        <v>34.08</v>
      </c>
      <c r="M1382">
        <v>36.36</v>
      </c>
      <c r="P1382">
        <v>27.27</v>
      </c>
      <c r="Q1382">
        <v>31.81</v>
      </c>
      <c r="R1382">
        <v>31.81</v>
      </c>
      <c r="S1382">
        <v>27.27</v>
      </c>
      <c r="T1382" t="s">
        <v>97</v>
      </c>
      <c r="Y1382">
        <v>38.630000000000003</v>
      </c>
      <c r="Z1382">
        <v>49.99</v>
      </c>
      <c r="AA1382" t="s">
        <v>97</v>
      </c>
      <c r="AC1382">
        <v>34.08</v>
      </c>
    </row>
    <row r="1383" spans="1:29" x14ac:dyDescent="0.2">
      <c r="A1383" t="s">
        <v>92</v>
      </c>
      <c r="B1383" t="s">
        <v>2502</v>
      </c>
      <c r="C1383" t="s">
        <v>2597</v>
      </c>
      <c r="D1383" t="s">
        <v>2598</v>
      </c>
      <c r="E1383" t="s">
        <v>228</v>
      </c>
      <c r="F1383">
        <v>219.99</v>
      </c>
      <c r="H1383">
        <v>119.99</v>
      </c>
      <c r="I1383">
        <v>139.99</v>
      </c>
      <c r="J1383">
        <v>179.99</v>
      </c>
      <c r="K1383">
        <v>119.99</v>
      </c>
      <c r="L1383">
        <v>139.99</v>
      </c>
      <c r="M1383">
        <v>149.99</v>
      </c>
      <c r="Q1383">
        <v>129.99</v>
      </c>
      <c r="T1383" t="s">
        <v>97</v>
      </c>
      <c r="AA1383" t="s">
        <v>97</v>
      </c>
      <c r="AC1383">
        <v>149.99</v>
      </c>
    </row>
    <row r="1384" spans="1:29" x14ac:dyDescent="0.2">
      <c r="A1384" t="s">
        <v>92</v>
      </c>
      <c r="B1384" t="s">
        <v>2502</v>
      </c>
      <c r="C1384" t="s">
        <v>2605</v>
      </c>
      <c r="D1384" t="s">
        <v>2606</v>
      </c>
      <c r="E1384" t="s">
        <v>290</v>
      </c>
      <c r="F1384">
        <v>79.989999999999995</v>
      </c>
      <c r="H1384">
        <v>43.63</v>
      </c>
      <c r="I1384">
        <v>50.9</v>
      </c>
      <c r="J1384">
        <v>65.45</v>
      </c>
      <c r="K1384">
        <v>43.63</v>
      </c>
      <c r="L1384">
        <v>54.54</v>
      </c>
      <c r="M1384">
        <v>54.54</v>
      </c>
      <c r="Q1384">
        <v>50.9</v>
      </c>
      <c r="R1384">
        <v>50.9</v>
      </c>
      <c r="T1384" t="s">
        <v>97</v>
      </c>
      <c r="AA1384" t="s">
        <v>97</v>
      </c>
      <c r="AB1384">
        <v>34.99</v>
      </c>
      <c r="AC1384">
        <v>54.54</v>
      </c>
    </row>
    <row r="1385" spans="1:29" x14ac:dyDescent="0.2">
      <c r="A1385" t="s">
        <v>92</v>
      </c>
      <c r="B1385" t="s">
        <v>2502</v>
      </c>
      <c r="C1385" t="s">
        <v>2607</v>
      </c>
      <c r="D1385" t="s">
        <v>2608</v>
      </c>
      <c r="E1385" t="s">
        <v>290</v>
      </c>
      <c r="F1385">
        <v>79.989999999999995</v>
      </c>
      <c r="H1385">
        <v>43.63</v>
      </c>
      <c r="I1385">
        <v>50.9</v>
      </c>
      <c r="J1385">
        <v>65.45</v>
      </c>
      <c r="K1385">
        <v>43.63</v>
      </c>
      <c r="L1385">
        <v>54.54</v>
      </c>
      <c r="M1385">
        <v>54.54</v>
      </c>
      <c r="Q1385">
        <v>50.9</v>
      </c>
      <c r="R1385">
        <v>50.9</v>
      </c>
      <c r="T1385" t="s">
        <v>97</v>
      </c>
      <c r="AA1385" t="s">
        <v>97</v>
      </c>
      <c r="AB1385">
        <v>34.99</v>
      </c>
      <c r="AC1385">
        <v>54.54</v>
      </c>
    </row>
    <row r="1386" spans="1:29" x14ac:dyDescent="0.2">
      <c r="A1386" t="s">
        <v>92</v>
      </c>
      <c r="B1386" t="s">
        <v>2502</v>
      </c>
      <c r="C1386" t="s">
        <v>2611</v>
      </c>
      <c r="D1386" t="s">
        <v>2612</v>
      </c>
      <c r="E1386" t="s">
        <v>290</v>
      </c>
      <c r="F1386">
        <v>159.99</v>
      </c>
      <c r="H1386">
        <v>94.54</v>
      </c>
      <c r="I1386">
        <v>101.81</v>
      </c>
      <c r="J1386">
        <v>130.9</v>
      </c>
      <c r="K1386">
        <v>94.54</v>
      </c>
      <c r="L1386">
        <v>104.72</v>
      </c>
      <c r="M1386">
        <v>109.08</v>
      </c>
      <c r="P1386">
        <v>87.27</v>
      </c>
      <c r="Q1386">
        <v>101.81</v>
      </c>
      <c r="R1386">
        <v>101.81</v>
      </c>
      <c r="S1386">
        <v>94.54</v>
      </c>
      <c r="T1386" t="s">
        <v>97</v>
      </c>
      <c r="AA1386" t="s">
        <v>97</v>
      </c>
      <c r="AC1386">
        <v>109.08</v>
      </c>
    </row>
    <row r="1387" spans="1:29" x14ac:dyDescent="0.2">
      <c r="A1387" t="s">
        <v>92</v>
      </c>
      <c r="B1387" t="s">
        <v>2502</v>
      </c>
      <c r="C1387" t="s">
        <v>2613</v>
      </c>
      <c r="D1387" t="s">
        <v>2614</v>
      </c>
      <c r="E1387" t="s">
        <v>290</v>
      </c>
      <c r="F1387">
        <v>159.99</v>
      </c>
      <c r="H1387">
        <v>94.54</v>
      </c>
      <c r="I1387">
        <v>101.81</v>
      </c>
      <c r="J1387">
        <v>130.9</v>
      </c>
      <c r="K1387">
        <v>94.54</v>
      </c>
      <c r="L1387">
        <v>104.72</v>
      </c>
      <c r="M1387">
        <v>109.08</v>
      </c>
      <c r="P1387">
        <v>87.27</v>
      </c>
      <c r="Q1387">
        <v>101.81</v>
      </c>
      <c r="R1387">
        <v>101.81</v>
      </c>
      <c r="S1387">
        <v>94.54</v>
      </c>
      <c r="T1387" t="s">
        <v>97</v>
      </c>
      <c r="AA1387" t="s">
        <v>97</v>
      </c>
      <c r="AC1387">
        <v>109.08</v>
      </c>
    </row>
    <row r="1388" spans="1:29" x14ac:dyDescent="0.2">
      <c r="A1388" t="s">
        <v>92</v>
      </c>
      <c r="B1388" t="s">
        <v>2502</v>
      </c>
      <c r="C1388" t="s">
        <v>2615</v>
      </c>
      <c r="D1388" t="s">
        <v>2616</v>
      </c>
      <c r="E1388" t="s">
        <v>290</v>
      </c>
      <c r="F1388">
        <v>189.99</v>
      </c>
      <c r="H1388">
        <v>112.27</v>
      </c>
      <c r="I1388">
        <v>120.9</v>
      </c>
      <c r="J1388">
        <v>155.44999999999999</v>
      </c>
      <c r="K1388">
        <v>112.27</v>
      </c>
      <c r="L1388">
        <v>124.36</v>
      </c>
      <c r="M1388">
        <v>129.54</v>
      </c>
      <c r="P1388">
        <v>103.63</v>
      </c>
      <c r="Q1388">
        <v>120.9</v>
      </c>
      <c r="R1388">
        <v>120.9</v>
      </c>
      <c r="S1388">
        <v>112.27</v>
      </c>
      <c r="T1388" t="s">
        <v>97</v>
      </c>
      <c r="AA1388" t="s">
        <v>97</v>
      </c>
      <c r="AC1388">
        <v>129.54</v>
      </c>
    </row>
    <row r="1389" spans="1:29" x14ac:dyDescent="0.2">
      <c r="A1389" t="s">
        <v>92</v>
      </c>
      <c r="B1389" t="s">
        <v>2502</v>
      </c>
      <c r="C1389" t="s">
        <v>2617</v>
      </c>
      <c r="D1389" t="s">
        <v>2618</v>
      </c>
      <c r="E1389" t="s">
        <v>290</v>
      </c>
      <c r="F1389">
        <v>189.99</v>
      </c>
      <c r="H1389">
        <v>112.27</v>
      </c>
      <c r="I1389">
        <v>120.9</v>
      </c>
      <c r="J1389">
        <v>155.44999999999999</v>
      </c>
      <c r="K1389">
        <v>112.27</v>
      </c>
      <c r="L1389">
        <v>124.36</v>
      </c>
      <c r="M1389">
        <v>129.54</v>
      </c>
      <c r="P1389">
        <v>103.63</v>
      </c>
      <c r="Q1389">
        <v>120.9</v>
      </c>
      <c r="R1389">
        <v>120.9</v>
      </c>
      <c r="S1389">
        <v>112.27</v>
      </c>
      <c r="T1389" t="s">
        <v>97</v>
      </c>
      <c r="AA1389" t="s">
        <v>97</v>
      </c>
      <c r="AC1389">
        <v>129.54</v>
      </c>
    </row>
    <row r="1390" spans="1:29" x14ac:dyDescent="0.2">
      <c r="A1390" t="s">
        <v>92</v>
      </c>
      <c r="B1390" t="s">
        <v>2502</v>
      </c>
      <c r="C1390" t="s">
        <v>2619</v>
      </c>
      <c r="D1390" t="s">
        <v>2620</v>
      </c>
      <c r="E1390" t="s">
        <v>290</v>
      </c>
      <c r="F1390">
        <v>189.99</v>
      </c>
      <c r="H1390">
        <v>112.27</v>
      </c>
      <c r="I1390">
        <v>120.9</v>
      </c>
      <c r="J1390">
        <v>155.44999999999999</v>
      </c>
      <c r="K1390">
        <v>112.27</v>
      </c>
      <c r="L1390">
        <v>124.36</v>
      </c>
      <c r="M1390">
        <v>129.54</v>
      </c>
      <c r="P1390">
        <v>103.63</v>
      </c>
      <c r="Q1390">
        <v>120.9</v>
      </c>
      <c r="R1390">
        <v>120.9</v>
      </c>
      <c r="S1390">
        <v>112.27</v>
      </c>
      <c r="T1390" t="s">
        <v>97</v>
      </c>
      <c r="AA1390" t="s">
        <v>97</v>
      </c>
      <c r="AC1390">
        <v>129.54</v>
      </c>
    </row>
    <row r="1391" spans="1:29" x14ac:dyDescent="0.2">
      <c r="A1391" t="s">
        <v>92</v>
      </c>
      <c r="B1391" t="s">
        <v>2502</v>
      </c>
      <c r="C1391" t="s">
        <v>8485</v>
      </c>
      <c r="D1391" t="s">
        <v>8486</v>
      </c>
      <c r="E1391" t="s">
        <v>228</v>
      </c>
      <c r="F1391">
        <v>119.99</v>
      </c>
      <c r="H1391">
        <v>65.45</v>
      </c>
      <c r="I1391">
        <v>76.36</v>
      </c>
      <c r="J1391">
        <v>98.17</v>
      </c>
      <c r="K1391">
        <v>65.45</v>
      </c>
      <c r="L1391">
        <v>65.45</v>
      </c>
      <c r="M1391">
        <v>70.900000000000006</v>
      </c>
      <c r="Q1391">
        <v>65.45</v>
      </c>
      <c r="R1391">
        <v>70.900000000000006</v>
      </c>
      <c r="T1391" t="s">
        <v>97</v>
      </c>
      <c r="V1391">
        <v>87.27</v>
      </c>
      <c r="AA1391" t="s">
        <v>97</v>
      </c>
      <c r="AC1391">
        <v>76.36</v>
      </c>
    </row>
    <row r="1392" spans="1:29" x14ac:dyDescent="0.2">
      <c r="A1392" t="s">
        <v>92</v>
      </c>
      <c r="B1392" t="s">
        <v>2502</v>
      </c>
      <c r="C1392" t="s">
        <v>2621</v>
      </c>
      <c r="D1392" t="s">
        <v>2622</v>
      </c>
      <c r="E1392" t="s">
        <v>228</v>
      </c>
      <c r="F1392">
        <v>149.99</v>
      </c>
      <c r="H1392">
        <v>88.63</v>
      </c>
      <c r="I1392">
        <v>95.45</v>
      </c>
      <c r="J1392">
        <v>122.72</v>
      </c>
      <c r="K1392">
        <v>88.63</v>
      </c>
      <c r="L1392">
        <v>84.17</v>
      </c>
      <c r="M1392">
        <v>88.63</v>
      </c>
      <c r="P1392">
        <v>81.81</v>
      </c>
      <c r="Q1392">
        <v>95.45</v>
      </c>
      <c r="S1392">
        <v>81.81</v>
      </c>
      <c r="T1392" t="s">
        <v>97</v>
      </c>
      <c r="V1392">
        <v>102.27</v>
      </c>
      <c r="AA1392" t="s">
        <v>97</v>
      </c>
      <c r="AC1392">
        <v>102.27</v>
      </c>
    </row>
    <row r="1393" spans="1:29" x14ac:dyDescent="0.2">
      <c r="A1393" t="s">
        <v>92</v>
      </c>
      <c r="B1393" t="s">
        <v>2502</v>
      </c>
      <c r="C1393" t="s">
        <v>2623</v>
      </c>
      <c r="D1393" t="s">
        <v>2624</v>
      </c>
      <c r="E1393" t="s">
        <v>228</v>
      </c>
      <c r="F1393">
        <v>149.99</v>
      </c>
      <c r="H1393">
        <v>88.63</v>
      </c>
      <c r="I1393">
        <v>95.45</v>
      </c>
      <c r="J1393">
        <v>122.72</v>
      </c>
      <c r="K1393">
        <v>88.63</v>
      </c>
      <c r="L1393">
        <v>84.17</v>
      </c>
      <c r="M1393">
        <v>88.63</v>
      </c>
      <c r="P1393">
        <v>81.81</v>
      </c>
      <c r="Q1393">
        <v>95.45</v>
      </c>
      <c r="S1393">
        <v>81.81</v>
      </c>
      <c r="T1393" t="s">
        <v>97</v>
      </c>
      <c r="V1393">
        <v>102.27</v>
      </c>
      <c r="AA1393" t="s">
        <v>97</v>
      </c>
      <c r="AC1393">
        <v>102.27</v>
      </c>
    </row>
    <row r="1394" spans="1:29" x14ac:dyDescent="0.2">
      <c r="A1394" t="s">
        <v>92</v>
      </c>
      <c r="B1394" t="s">
        <v>2502</v>
      </c>
      <c r="C1394" t="s">
        <v>2625</v>
      </c>
      <c r="D1394" t="s">
        <v>2626</v>
      </c>
      <c r="E1394" t="s">
        <v>228</v>
      </c>
      <c r="F1394">
        <v>59.99</v>
      </c>
      <c r="H1394">
        <v>35.450000000000003</v>
      </c>
      <c r="I1394">
        <v>38.18</v>
      </c>
      <c r="J1394">
        <v>49.08</v>
      </c>
      <c r="K1394">
        <v>35.450000000000003</v>
      </c>
      <c r="L1394">
        <v>38.18</v>
      </c>
      <c r="M1394">
        <v>39.54</v>
      </c>
      <c r="P1394">
        <v>32.72</v>
      </c>
      <c r="Q1394">
        <v>38.18</v>
      </c>
      <c r="S1394">
        <v>32.72</v>
      </c>
      <c r="T1394" t="s">
        <v>97</v>
      </c>
      <c r="V1394">
        <v>40.9</v>
      </c>
      <c r="AA1394" t="s">
        <v>97</v>
      </c>
      <c r="AC1394">
        <v>40.9</v>
      </c>
    </row>
    <row r="1395" spans="1:29" x14ac:dyDescent="0.2">
      <c r="A1395" t="s">
        <v>92</v>
      </c>
      <c r="B1395" t="s">
        <v>2502</v>
      </c>
      <c r="C1395" t="s">
        <v>2627</v>
      </c>
      <c r="D1395" t="s">
        <v>2628</v>
      </c>
      <c r="E1395" t="s">
        <v>228</v>
      </c>
      <c r="F1395">
        <v>59.99</v>
      </c>
      <c r="H1395">
        <v>35.450000000000003</v>
      </c>
      <c r="I1395">
        <v>38.18</v>
      </c>
      <c r="J1395">
        <v>49.08</v>
      </c>
      <c r="K1395">
        <v>35.450000000000003</v>
      </c>
      <c r="L1395">
        <v>38.18</v>
      </c>
      <c r="M1395">
        <v>39.54</v>
      </c>
      <c r="P1395">
        <v>32.72</v>
      </c>
      <c r="Q1395">
        <v>38.18</v>
      </c>
      <c r="S1395">
        <v>32.72</v>
      </c>
      <c r="T1395" t="s">
        <v>97</v>
      </c>
      <c r="V1395">
        <v>40.9</v>
      </c>
      <c r="AA1395" t="s">
        <v>97</v>
      </c>
      <c r="AC1395">
        <v>40.9</v>
      </c>
    </row>
    <row r="1396" spans="1:29" x14ac:dyDescent="0.2">
      <c r="A1396" t="s">
        <v>92</v>
      </c>
      <c r="B1396" t="s">
        <v>2502</v>
      </c>
      <c r="C1396" t="s">
        <v>2629</v>
      </c>
      <c r="D1396" t="s">
        <v>2630</v>
      </c>
      <c r="E1396" t="s">
        <v>228</v>
      </c>
      <c r="F1396">
        <v>64.989999999999995</v>
      </c>
      <c r="H1396">
        <v>35.450000000000003</v>
      </c>
      <c r="I1396">
        <v>41.36</v>
      </c>
      <c r="J1396">
        <v>53.17</v>
      </c>
      <c r="K1396">
        <v>35.450000000000003</v>
      </c>
      <c r="L1396">
        <v>36.47</v>
      </c>
      <c r="M1396">
        <v>38.4</v>
      </c>
      <c r="Q1396">
        <v>38.4</v>
      </c>
      <c r="R1396">
        <v>35.450000000000003</v>
      </c>
      <c r="T1396" t="s">
        <v>97</v>
      </c>
      <c r="V1396">
        <v>47.27</v>
      </c>
      <c r="AA1396" t="s">
        <v>97</v>
      </c>
      <c r="AC1396">
        <v>41.36</v>
      </c>
    </row>
    <row r="1397" spans="1:29" x14ac:dyDescent="0.2">
      <c r="A1397" t="s">
        <v>92</v>
      </c>
      <c r="B1397" t="s">
        <v>2502</v>
      </c>
      <c r="C1397" t="s">
        <v>2631</v>
      </c>
      <c r="D1397" t="s">
        <v>2632</v>
      </c>
      <c r="E1397" t="s">
        <v>228</v>
      </c>
      <c r="F1397">
        <v>119.99</v>
      </c>
      <c r="H1397">
        <v>65.45</v>
      </c>
      <c r="I1397">
        <v>76.36</v>
      </c>
      <c r="J1397">
        <v>98.17</v>
      </c>
      <c r="K1397">
        <v>65.45</v>
      </c>
      <c r="L1397">
        <v>70.900000000000006</v>
      </c>
      <c r="M1397">
        <v>76.36</v>
      </c>
      <c r="P1397">
        <v>54.54</v>
      </c>
      <c r="Q1397">
        <v>70.900000000000006</v>
      </c>
      <c r="R1397">
        <v>70.900000000000006</v>
      </c>
      <c r="T1397" t="s">
        <v>97</v>
      </c>
      <c r="Z1397">
        <v>119.99</v>
      </c>
      <c r="AA1397" t="s">
        <v>97</v>
      </c>
      <c r="AC1397">
        <v>76.36</v>
      </c>
    </row>
    <row r="1398" spans="1:29" x14ac:dyDescent="0.2">
      <c r="A1398" t="s">
        <v>92</v>
      </c>
      <c r="B1398" t="s">
        <v>2502</v>
      </c>
      <c r="C1398" t="s">
        <v>8679</v>
      </c>
      <c r="D1398" t="s">
        <v>8680</v>
      </c>
      <c r="E1398" t="s">
        <v>228</v>
      </c>
      <c r="F1398">
        <v>59.99</v>
      </c>
      <c r="H1398">
        <v>35.450000000000003</v>
      </c>
      <c r="I1398">
        <v>38.18</v>
      </c>
      <c r="J1398">
        <v>49.08</v>
      </c>
      <c r="K1398">
        <v>35.450000000000003</v>
      </c>
      <c r="L1398">
        <v>38.18</v>
      </c>
      <c r="M1398">
        <v>39.42</v>
      </c>
      <c r="P1398">
        <v>30</v>
      </c>
      <c r="Q1398">
        <v>38.18</v>
      </c>
      <c r="T1398" t="s">
        <v>97</v>
      </c>
      <c r="AA1398" t="s">
        <v>97</v>
      </c>
    </row>
    <row r="1399" spans="1:29" x14ac:dyDescent="0.2">
      <c r="A1399" t="s">
        <v>92</v>
      </c>
      <c r="B1399" t="s">
        <v>2502</v>
      </c>
      <c r="C1399" t="s">
        <v>8681</v>
      </c>
      <c r="D1399" t="s">
        <v>8682</v>
      </c>
      <c r="E1399" t="s">
        <v>228</v>
      </c>
      <c r="F1399">
        <v>59.99</v>
      </c>
      <c r="H1399">
        <v>35.450000000000003</v>
      </c>
      <c r="I1399">
        <v>38.18</v>
      </c>
      <c r="J1399">
        <v>49.08</v>
      </c>
      <c r="K1399">
        <v>35.450000000000003</v>
      </c>
      <c r="L1399">
        <v>38.18</v>
      </c>
      <c r="M1399">
        <v>39.42</v>
      </c>
      <c r="P1399">
        <v>30</v>
      </c>
      <c r="Q1399">
        <v>38.18</v>
      </c>
      <c r="T1399" t="s">
        <v>97</v>
      </c>
      <c r="AA1399" t="s">
        <v>97</v>
      </c>
    </row>
    <row r="1400" spans="1:29" x14ac:dyDescent="0.2">
      <c r="A1400" t="s">
        <v>92</v>
      </c>
      <c r="B1400" t="s">
        <v>2502</v>
      </c>
      <c r="C1400" t="s">
        <v>8683</v>
      </c>
      <c r="D1400" t="s">
        <v>8684</v>
      </c>
      <c r="E1400" t="s">
        <v>228</v>
      </c>
      <c r="F1400">
        <v>129.99</v>
      </c>
      <c r="H1400">
        <v>76.81</v>
      </c>
      <c r="I1400">
        <v>82.72</v>
      </c>
      <c r="J1400">
        <v>106.36</v>
      </c>
      <c r="K1400">
        <v>76.81</v>
      </c>
      <c r="L1400">
        <v>82.72</v>
      </c>
      <c r="M1400">
        <v>85.43</v>
      </c>
      <c r="Q1400">
        <v>82.72</v>
      </c>
      <c r="T1400" t="s">
        <v>97</v>
      </c>
      <c r="AA1400" t="s">
        <v>97</v>
      </c>
    </row>
    <row r="1401" spans="1:29" x14ac:dyDescent="0.2">
      <c r="A1401" t="s">
        <v>92</v>
      </c>
      <c r="B1401" t="s">
        <v>2502</v>
      </c>
      <c r="C1401" t="s">
        <v>8685</v>
      </c>
      <c r="D1401" t="s">
        <v>8686</v>
      </c>
      <c r="E1401" t="s">
        <v>228</v>
      </c>
      <c r="F1401">
        <v>129.99</v>
      </c>
      <c r="H1401">
        <v>76.81</v>
      </c>
      <c r="I1401">
        <v>82.72</v>
      </c>
      <c r="J1401">
        <v>106.36</v>
      </c>
      <c r="K1401">
        <v>76.81</v>
      </c>
      <c r="L1401">
        <v>75.87</v>
      </c>
      <c r="M1401">
        <v>85.43</v>
      </c>
      <c r="T1401" t="s">
        <v>97</v>
      </c>
      <c r="AA1401" t="s">
        <v>97</v>
      </c>
    </row>
    <row r="1402" spans="1:29" x14ac:dyDescent="0.2">
      <c r="A1402" t="s">
        <v>92</v>
      </c>
      <c r="B1402" t="s">
        <v>2502</v>
      </c>
      <c r="C1402" t="s">
        <v>8687</v>
      </c>
      <c r="D1402" t="s">
        <v>8688</v>
      </c>
      <c r="E1402" t="s">
        <v>228</v>
      </c>
      <c r="F1402">
        <v>49.99</v>
      </c>
      <c r="H1402">
        <v>29.54</v>
      </c>
      <c r="I1402">
        <v>31.81</v>
      </c>
      <c r="J1402">
        <v>40.9</v>
      </c>
      <c r="K1402">
        <v>29.54</v>
      </c>
      <c r="L1402">
        <v>31.81</v>
      </c>
      <c r="M1402">
        <v>32.85</v>
      </c>
      <c r="Q1402">
        <v>31.81</v>
      </c>
      <c r="T1402" t="s">
        <v>97</v>
      </c>
      <c r="AA1402" t="s">
        <v>97</v>
      </c>
    </row>
    <row r="1403" spans="1:29" x14ac:dyDescent="0.2">
      <c r="A1403" t="s">
        <v>92</v>
      </c>
      <c r="B1403" t="s">
        <v>2502</v>
      </c>
      <c r="C1403" t="s">
        <v>8689</v>
      </c>
      <c r="D1403" t="s">
        <v>8690</v>
      </c>
      <c r="E1403" t="s">
        <v>228</v>
      </c>
      <c r="F1403">
        <v>49.99</v>
      </c>
      <c r="H1403">
        <v>29.54</v>
      </c>
      <c r="I1403">
        <v>31.81</v>
      </c>
      <c r="J1403">
        <v>40.9</v>
      </c>
      <c r="K1403">
        <v>29.54</v>
      </c>
      <c r="L1403">
        <v>31.81</v>
      </c>
      <c r="M1403">
        <v>32.85</v>
      </c>
      <c r="Q1403">
        <v>31.81</v>
      </c>
      <c r="T1403" t="s">
        <v>97</v>
      </c>
      <c r="AA1403" t="s">
        <v>97</v>
      </c>
    </row>
    <row r="1404" spans="1:29" x14ac:dyDescent="0.2">
      <c r="A1404" t="s">
        <v>92</v>
      </c>
      <c r="B1404" t="s">
        <v>2502</v>
      </c>
      <c r="C1404" t="s">
        <v>8691</v>
      </c>
      <c r="D1404" t="s">
        <v>8692</v>
      </c>
      <c r="E1404" t="s">
        <v>228</v>
      </c>
      <c r="F1404">
        <v>99.99</v>
      </c>
      <c r="H1404">
        <v>59.09</v>
      </c>
      <c r="I1404">
        <v>63.63</v>
      </c>
      <c r="J1404">
        <v>81.81</v>
      </c>
      <c r="K1404">
        <v>59.09</v>
      </c>
      <c r="L1404">
        <v>63.63</v>
      </c>
      <c r="M1404">
        <v>65.709999999999994</v>
      </c>
      <c r="Q1404">
        <v>63.63</v>
      </c>
      <c r="T1404" t="s">
        <v>97</v>
      </c>
      <c r="AA1404" t="s">
        <v>97</v>
      </c>
    </row>
    <row r="1405" spans="1:29" x14ac:dyDescent="0.2">
      <c r="A1405" t="s">
        <v>92</v>
      </c>
      <c r="B1405" t="s">
        <v>2502</v>
      </c>
      <c r="C1405" t="s">
        <v>8693</v>
      </c>
      <c r="D1405" t="s">
        <v>8694</v>
      </c>
      <c r="E1405" t="s">
        <v>228</v>
      </c>
      <c r="F1405">
        <v>99.99</v>
      </c>
      <c r="H1405">
        <v>59.09</v>
      </c>
      <c r="I1405">
        <v>63.63</v>
      </c>
      <c r="J1405">
        <v>81.81</v>
      </c>
      <c r="K1405">
        <v>59.09</v>
      </c>
      <c r="L1405">
        <v>63.63</v>
      </c>
      <c r="M1405">
        <v>65.709999999999994</v>
      </c>
      <c r="Q1405">
        <v>63.63</v>
      </c>
      <c r="T1405" t="s">
        <v>97</v>
      </c>
      <c r="AA1405" t="s">
        <v>97</v>
      </c>
    </row>
    <row r="1406" spans="1:29" x14ac:dyDescent="0.2">
      <c r="A1406" t="s">
        <v>92</v>
      </c>
      <c r="B1406" t="s">
        <v>2502</v>
      </c>
      <c r="C1406" t="s">
        <v>8695</v>
      </c>
      <c r="D1406" t="s">
        <v>8696</v>
      </c>
      <c r="E1406" t="s">
        <v>228</v>
      </c>
      <c r="F1406">
        <v>129.99</v>
      </c>
      <c r="H1406">
        <v>76.81</v>
      </c>
      <c r="I1406">
        <v>82.72</v>
      </c>
      <c r="J1406">
        <v>106.36</v>
      </c>
      <c r="K1406">
        <v>76.81</v>
      </c>
      <c r="L1406">
        <v>82.72</v>
      </c>
      <c r="M1406">
        <v>85.43</v>
      </c>
      <c r="Q1406">
        <v>82.72</v>
      </c>
      <c r="T1406" t="s">
        <v>97</v>
      </c>
      <c r="AA1406" t="s">
        <v>97</v>
      </c>
    </row>
    <row r="1407" spans="1:29" x14ac:dyDescent="0.2">
      <c r="A1407" t="s">
        <v>92</v>
      </c>
      <c r="B1407" t="s">
        <v>2502</v>
      </c>
      <c r="C1407" t="s">
        <v>2637</v>
      </c>
      <c r="D1407" t="s">
        <v>2638</v>
      </c>
      <c r="E1407" t="s">
        <v>228</v>
      </c>
      <c r="F1407">
        <v>99.99</v>
      </c>
      <c r="G1407">
        <v>99.99</v>
      </c>
      <c r="H1407">
        <v>59.09</v>
      </c>
      <c r="I1407">
        <v>63.63</v>
      </c>
      <c r="J1407">
        <v>81.81</v>
      </c>
      <c r="K1407">
        <v>59.09</v>
      </c>
      <c r="L1407">
        <v>63.63</v>
      </c>
      <c r="M1407">
        <v>68.180000000000007</v>
      </c>
      <c r="P1407">
        <v>63.63</v>
      </c>
      <c r="Q1407">
        <v>63.63</v>
      </c>
      <c r="R1407">
        <v>63.63</v>
      </c>
      <c r="T1407" t="s">
        <v>97</v>
      </c>
      <c r="V1407">
        <v>72.72</v>
      </c>
      <c r="W1407">
        <v>72.72</v>
      </c>
      <c r="X1407">
        <v>72.72</v>
      </c>
      <c r="Y1407">
        <v>75.45</v>
      </c>
      <c r="Z1407">
        <v>99.99</v>
      </c>
      <c r="AA1407" t="s">
        <v>97</v>
      </c>
      <c r="AC1407">
        <v>68.180000000000007</v>
      </c>
    </row>
    <row r="1408" spans="1:29" x14ac:dyDescent="0.2">
      <c r="A1408" t="s">
        <v>92</v>
      </c>
      <c r="B1408" t="s">
        <v>2502</v>
      </c>
      <c r="C1408" t="s">
        <v>2639</v>
      </c>
      <c r="D1408" t="s">
        <v>2640</v>
      </c>
      <c r="E1408" t="s">
        <v>228</v>
      </c>
      <c r="F1408">
        <v>109.99</v>
      </c>
      <c r="G1408">
        <v>109.99</v>
      </c>
      <c r="H1408">
        <v>64.989999999999995</v>
      </c>
      <c r="I1408">
        <v>69.989999999999995</v>
      </c>
      <c r="J1408">
        <v>89.99</v>
      </c>
      <c r="K1408">
        <v>64.989999999999995</v>
      </c>
      <c r="L1408">
        <v>69.989999999999995</v>
      </c>
      <c r="M1408">
        <v>74.989999999999995</v>
      </c>
      <c r="P1408">
        <v>69.989999999999995</v>
      </c>
      <c r="Q1408">
        <v>69.989999999999995</v>
      </c>
      <c r="R1408">
        <v>69.989999999999995</v>
      </c>
      <c r="S1408">
        <v>0</v>
      </c>
      <c r="T1408" t="s">
        <v>97</v>
      </c>
      <c r="V1408">
        <v>79.989999999999995</v>
      </c>
      <c r="W1408">
        <v>79.989999999999995</v>
      </c>
      <c r="X1408">
        <v>79.989999999999995</v>
      </c>
      <c r="Y1408">
        <v>82.99</v>
      </c>
      <c r="Z1408">
        <v>109.99</v>
      </c>
      <c r="AA1408" t="s">
        <v>97</v>
      </c>
      <c r="AC1408">
        <v>74.989999999999995</v>
      </c>
    </row>
    <row r="1409" spans="1:29" x14ac:dyDescent="0.2">
      <c r="A1409" t="s">
        <v>92</v>
      </c>
      <c r="B1409" t="s">
        <v>2502</v>
      </c>
      <c r="C1409" t="s">
        <v>8487</v>
      </c>
      <c r="D1409" t="s">
        <v>8488</v>
      </c>
      <c r="E1409" t="s">
        <v>228</v>
      </c>
      <c r="F1409">
        <v>74.989999999999995</v>
      </c>
      <c r="H1409">
        <v>44.31</v>
      </c>
      <c r="I1409">
        <v>47.72</v>
      </c>
      <c r="J1409">
        <v>61.36</v>
      </c>
      <c r="K1409">
        <v>44.31</v>
      </c>
      <c r="L1409">
        <v>47.72</v>
      </c>
      <c r="M1409">
        <v>51.13</v>
      </c>
      <c r="Q1409">
        <v>47.72</v>
      </c>
      <c r="R1409">
        <v>47.72</v>
      </c>
      <c r="T1409" t="s">
        <v>97</v>
      </c>
      <c r="V1409">
        <v>54.54</v>
      </c>
      <c r="AA1409" t="s">
        <v>97</v>
      </c>
      <c r="AC1409">
        <v>51.13</v>
      </c>
    </row>
    <row r="1410" spans="1:29" x14ac:dyDescent="0.2">
      <c r="A1410" t="s">
        <v>92</v>
      </c>
      <c r="B1410" t="s">
        <v>2502</v>
      </c>
      <c r="C1410" t="s">
        <v>8489</v>
      </c>
      <c r="D1410" t="s">
        <v>8490</v>
      </c>
      <c r="E1410" t="s">
        <v>228</v>
      </c>
      <c r="F1410">
        <v>74.989999999999995</v>
      </c>
      <c r="H1410">
        <v>44.31</v>
      </c>
      <c r="I1410">
        <v>47.72</v>
      </c>
      <c r="J1410">
        <v>61.36</v>
      </c>
      <c r="K1410">
        <v>44.31</v>
      </c>
      <c r="L1410">
        <v>47.72</v>
      </c>
      <c r="M1410">
        <v>51.13</v>
      </c>
      <c r="Q1410">
        <v>47.72</v>
      </c>
      <c r="R1410">
        <v>47.72</v>
      </c>
      <c r="T1410" t="s">
        <v>97</v>
      </c>
      <c r="V1410">
        <v>54.54</v>
      </c>
      <c r="AA1410" t="s">
        <v>97</v>
      </c>
      <c r="AC1410">
        <v>51.13</v>
      </c>
    </row>
    <row r="1411" spans="1:29" x14ac:dyDescent="0.2">
      <c r="A1411" t="s">
        <v>92</v>
      </c>
      <c r="B1411" t="s">
        <v>2502</v>
      </c>
      <c r="C1411" t="s">
        <v>2641</v>
      </c>
      <c r="D1411" t="s">
        <v>2642</v>
      </c>
      <c r="E1411" t="s">
        <v>228</v>
      </c>
      <c r="F1411">
        <v>109.99</v>
      </c>
      <c r="H1411">
        <v>64.989999999999995</v>
      </c>
      <c r="I1411">
        <v>69.989999999999995</v>
      </c>
      <c r="J1411">
        <v>89.99</v>
      </c>
      <c r="K1411">
        <v>64.989999999999995</v>
      </c>
      <c r="L1411">
        <v>69.989999999999995</v>
      </c>
      <c r="M1411">
        <v>74.989999999999995</v>
      </c>
      <c r="P1411">
        <v>69.989999999999995</v>
      </c>
      <c r="Q1411">
        <v>69.989999999999995</v>
      </c>
      <c r="R1411">
        <v>69.989999999999995</v>
      </c>
      <c r="S1411">
        <v>59.99</v>
      </c>
      <c r="T1411" t="s">
        <v>97</v>
      </c>
      <c r="Y1411">
        <v>84.99</v>
      </c>
      <c r="Z1411">
        <v>109.99</v>
      </c>
      <c r="AA1411" t="s">
        <v>97</v>
      </c>
      <c r="AC1411">
        <v>74.989999999999995</v>
      </c>
    </row>
    <row r="1412" spans="1:29" x14ac:dyDescent="0.2">
      <c r="A1412" t="s">
        <v>92</v>
      </c>
      <c r="B1412" t="s">
        <v>2502</v>
      </c>
      <c r="C1412" t="s">
        <v>2643</v>
      </c>
      <c r="D1412" t="s">
        <v>2644</v>
      </c>
      <c r="E1412" t="s">
        <v>228</v>
      </c>
      <c r="F1412">
        <v>124.99</v>
      </c>
      <c r="G1412">
        <v>124.99</v>
      </c>
      <c r="H1412">
        <v>73.86</v>
      </c>
      <c r="I1412">
        <v>79.540000000000006</v>
      </c>
      <c r="J1412">
        <v>102.26</v>
      </c>
      <c r="K1412">
        <v>73.86</v>
      </c>
      <c r="L1412">
        <v>79.540000000000006</v>
      </c>
      <c r="M1412">
        <v>85.22</v>
      </c>
      <c r="Q1412">
        <v>79.540000000000006</v>
      </c>
      <c r="R1412">
        <v>79.540000000000006</v>
      </c>
      <c r="T1412" t="s">
        <v>97</v>
      </c>
      <c r="Y1412">
        <v>96.58</v>
      </c>
      <c r="Z1412">
        <v>124.99</v>
      </c>
      <c r="AA1412" t="s">
        <v>97</v>
      </c>
      <c r="AC1412">
        <v>85.22</v>
      </c>
    </row>
    <row r="1413" spans="1:29" x14ac:dyDescent="0.2">
      <c r="A1413" t="s">
        <v>92</v>
      </c>
      <c r="B1413" t="s">
        <v>2502</v>
      </c>
      <c r="C1413" t="s">
        <v>2645</v>
      </c>
      <c r="D1413" t="s">
        <v>2646</v>
      </c>
      <c r="E1413" t="s">
        <v>228</v>
      </c>
      <c r="F1413">
        <v>139.99</v>
      </c>
      <c r="G1413">
        <v>139.99</v>
      </c>
      <c r="H1413">
        <v>82.72</v>
      </c>
      <c r="I1413">
        <v>89.08</v>
      </c>
      <c r="J1413">
        <v>114.54</v>
      </c>
      <c r="K1413">
        <v>82.72</v>
      </c>
      <c r="L1413">
        <v>89.08</v>
      </c>
      <c r="M1413">
        <v>95.45</v>
      </c>
      <c r="P1413">
        <v>89.08</v>
      </c>
      <c r="Q1413">
        <v>89.08</v>
      </c>
      <c r="R1413">
        <v>89.08</v>
      </c>
      <c r="S1413">
        <v>76.36</v>
      </c>
      <c r="T1413" t="s">
        <v>97</v>
      </c>
      <c r="V1413">
        <v>101.81</v>
      </c>
      <c r="W1413">
        <v>101.81</v>
      </c>
      <c r="X1413">
        <v>101.81</v>
      </c>
      <c r="Y1413">
        <v>105.63</v>
      </c>
      <c r="Z1413">
        <v>139.99</v>
      </c>
      <c r="AA1413" t="s">
        <v>97</v>
      </c>
      <c r="AC1413">
        <v>95.45</v>
      </c>
    </row>
    <row r="1414" spans="1:29" x14ac:dyDescent="0.2">
      <c r="A1414" t="s">
        <v>92</v>
      </c>
      <c r="B1414" t="s">
        <v>2502</v>
      </c>
      <c r="C1414" t="s">
        <v>8697</v>
      </c>
      <c r="D1414" t="s">
        <v>8698</v>
      </c>
      <c r="E1414" t="s">
        <v>228</v>
      </c>
      <c r="F1414">
        <v>169.99</v>
      </c>
      <c r="H1414">
        <v>100.45</v>
      </c>
      <c r="I1414">
        <v>108.18</v>
      </c>
      <c r="J1414">
        <v>139.08000000000001</v>
      </c>
      <c r="K1414">
        <v>100.45</v>
      </c>
      <c r="L1414">
        <v>99.21</v>
      </c>
      <c r="M1414">
        <v>111.71</v>
      </c>
      <c r="T1414" t="s">
        <v>97</v>
      </c>
      <c r="AA1414" t="s">
        <v>97</v>
      </c>
    </row>
    <row r="1415" spans="1:29" x14ac:dyDescent="0.2">
      <c r="A1415" t="s">
        <v>92</v>
      </c>
      <c r="B1415" t="s">
        <v>2502</v>
      </c>
      <c r="C1415" t="s">
        <v>2647</v>
      </c>
      <c r="D1415" t="s">
        <v>2648</v>
      </c>
      <c r="E1415" t="s">
        <v>228</v>
      </c>
      <c r="F1415">
        <v>199.99</v>
      </c>
      <c r="H1415">
        <v>118.18</v>
      </c>
      <c r="I1415">
        <v>127.27</v>
      </c>
      <c r="J1415">
        <v>163.63</v>
      </c>
      <c r="K1415">
        <v>118.18</v>
      </c>
      <c r="L1415">
        <v>127.27</v>
      </c>
      <c r="M1415">
        <v>136.36000000000001</v>
      </c>
      <c r="Q1415">
        <v>127.27</v>
      </c>
      <c r="R1415">
        <v>136.36000000000001</v>
      </c>
      <c r="T1415" t="s">
        <v>97</v>
      </c>
      <c r="V1415">
        <v>145.44999999999999</v>
      </c>
      <c r="X1415">
        <v>145.44999999999999</v>
      </c>
      <c r="Y1415">
        <v>154.54</v>
      </c>
      <c r="Z1415">
        <v>199.99</v>
      </c>
      <c r="AA1415" t="s">
        <v>97</v>
      </c>
    </row>
    <row r="1416" spans="1:29" x14ac:dyDescent="0.2">
      <c r="A1416" t="s">
        <v>92</v>
      </c>
      <c r="B1416" t="s">
        <v>2502</v>
      </c>
      <c r="C1416" t="s">
        <v>2649</v>
      </c>
      <c r="D1416" t="s">
        <v>2650</v>
      </c>
      <c r="E1416" t="s">
        <v>228</v>
      </c>
      <c r="F1416">
        <v>199.99</v>
      </c>
      <c r="H1416">
        <v>118.18</v>
      </c>
      <c r="I1416">
        <v>127.27</v>
      </c>
      <c r="J1416">
        <v>163.63</v>
      </c>
      <c r="K1416">
        <v>118.18</v>
      </c>
      <c r="L1416">
        <v>127.27</v>
      </c>
      <c r="M1416">
        <v>136.36000000000001</v>
      </c>
      <c r="Q1416">
        <v>127.27</v>
      </c>
      <c r="R1416">
        <v>136.36000000000001</v>
      </c>
      <c r="T1416" t="s">
        <v>97</v>
      </c>
      <c r="V1416">
        <v>145.44999999999999</v>
      </c>
      <c r="X1416">
        <v>145.44999999999999</v>
      </c>
      <c r="Y1416">
        <v>154.54</v>
      </c>
      <c r="Z1416">
        <v>199.99</v>
      </c>
      <c r="AA1416" t="s">
        <v>97</v>
      </c>
    </row>
    <row r="1417" spans="1:29" x14ac:dyDescent="0.2">
      <c r="A1417" t="s">
        <v>92</v>
      </c>
      <c r="B1417" t="s">
        <v>2502</v>
      </c>
      <c r="C1417" t="s">
        <v>2651</v>
      </c>
      <c r="D1417" t="s">
        <v>2652</v>
      </c>
      <c r="E1417" t="s">
        <v>228</v>
      </c>
      <c r="F1417">
        <v>229.99</v>
      </c>
      <c r="H1417">
        <v>135.9</v>
      </c>
      <c r="I1417">
        <v>146.36000000000001</v>
      </c>
      <c r="J1417">
        <v>188.17</v>
      </c>
      <c r="K1417">
        <v>135.9</v>
      </c>
      <c r="L1417">
        <v>146.36000000000001</v>
      </c>
      <c r="M1417">
        <v>167.27</v>
      </c>
      <c r="Q1417">
        <v>146.36000000000001</v>
      </c>
      <c r="T1417" t="s">
        <v>97</v>
      </c>
      <c r="AA1417" t="s">
        <v>97</v>
      </c>
      <c r="AC1417">
        <v>156.81</v>
      </c>
    </row>
    <row r="1418" spans="1:29" x14ac:dyDescent="0.2">
      <c r="A1418" t="s">
        <v>92</v>
      </c>
      <c r="B1418" t="s">
        <v>2502</v>
      </c>
      <c r="C1418" t="s">
        <v>2653</v>
      </c>
      <c r="D1418" t="s">
        <v>2654</v>
      </c>
      <c r="E1418" t="s">
        <v>228</v>
      </c>
      <c r="F1418">
        <v>229.99</v>
      </c>
      <c r="H1418">
        <v>135.9</v>
      </c>
      <c r="I1418">
        <v>146.36000000000001</v>
      </c>
      <c r="J1418">
        <v>188.17</v>
      </c>
      <c r="K1418">
        <v>135.9</v>
      </c>
      <c r="L1418">
        <v>146.36000000000001</v>
      </c>
      <c r="M1418">
        <v>167.27</v>
      </c>
      <c r="Q1418">
        <v>146.36000000000001</v>
      </c>
      <c r="T1418" t="s">
        <v>97</v>
      </c>
      <c r="AA1418" t="s">
        <v>97</v>
      </c>
      <c r="AC1418">
        <v>156.81</v>
      </c>
    </row>
    <row r="1419" spans="1:29" x14ac:dyDescent="0.2">
      <c r="A1419" t="s">
        <v>92</v>
      </c>
      <c r="B1419" t="s">
        <v>2502</v>
      </c>
      <c r="C1419" t="s">
        <v>6036</v>
      </c>
      <c r="D1419" t="s">
        <v>6037</v>
      </c>
      <c r="E1419" t="s">
        <v>96</v>
      </c>
      <c r="F1419">
        <v>239.99</v>
      </c>
      <c r="H1419">
        <v>141.81</v>
      </c>
      <c r="I1419">
        <v>152.72</v>
      </c>
      <c r="J1419">
        <v>196.36</v>
      </c>
      <c r="K1419">
        <v>130.9</v>
      </c>
      <c r="L1419">
        <v>152.72</v>
      </c>
      <c r="M1419">
        <v>174.54</v>
      </c>
      <c r="Q1419">
        <v>152.72</v>
      </c>
      <c r="R1419">
        <v>163.63</v>
      </c>
      <c r="T1419" t="s">
        <v>97</v>
      </c>
      <c r="V1419">
        <v>174.54</v>
      </c>
      <c r="X1419">
        <v>174.54</v>
      </c>
      <c r="Y1419">
        <v>185.45</v>
      </c>
      <c r="Z1419">
        <v>219.99</v>
      </c>
      <c r="AA1419" t="s">
        <v>97</v>
      </c>
      <c r="AB1419">
        <v>129.99</v>
      </c>
    </row>
    <row r="1420" spans="1:29" x14ac:dyDescent="0.2">
      <c r="A1420" t="s">
        <v>92</v>
      </c>
      <c r="B1420" t="s">
        <v>2502</v>
      </c>
      <c r="C1420" t="s">
        <v>2655</v>
      </c>
      <c r="D1420" t="s">
        <v>2656</v>
      </c>
      <c r="E1420" t="s">
        <v>228</v>
      </c>
      <c r="F1420">
        <v>79.989999999999995</v>
      </c>
      <c r="G1420">
        <v>79.989999999999995</v>
      </c>
      <c r="H1420">
        <v>47.27</v>
      </c>
      <c r="I1420">
        <v>54.54</v>
      </c>
      <c r="J1420">
        <v>65.45</v>
      </c>
      <c r="K1420">
        <v>47.27</v>
      </c>
      <c r="L1420">
        <v>50.9</v>
      </c>
      <c r="M1420">
        <v>54.54</v>
      </c>
      <c r="Q1420">
        <v>50.9</v>
      </c>
      <c r="R1420">
        <v>50.9</v>
      </c>
      <c r="S1420">
        <v>47.27</v>
      </c>
      <c r="T1420" t="s">
        <v>97</v>
      </c>
      <c r="V1420">
        <v>58.17</v>
      </c>
      <c r="W1420">
        <v>58.17</v>
      </c>
      <c r="X1420">
        <v>58.17</v>
      </c>
      <c r="Y1420">
        <v>61.81</v>
      </c>
      <c r="Z1420">
        <v>79.989999999999995</v>
      </c>
      <c r="AA1420" t="s">
        <v>97</v>
      </c>
      <c r="AC1420">
        <v>50.9</v>
      </c>
    </row>
    <row r="1421" spans="1:29" x14ac:dyDescent="0.2">
      <c r="A1421" t="s">
        <v>92</v>
      </c>
      <c r="B1421" t="s">
        <v>2502</v>
      </c>
      <c r="C1421" t="s">
        <v>8926</v>
      </c>
      <c r="D1421" t="s">
        <v>8927</v>
      </c>
      <c r="E1421" t="s">
        <v>228</v>
      </c>
      <c r="F1421">
        <v>719.99</v>
      </c>
      <c r="H1421">
        <v>490.9</v>
      </c>
      <c r="I1421">
        <v>556.36</v>
      </c>
      <c r="J1421">
        <v>621.80999999999995</v>
      </c>
      <c r="K1421">
        <v>490.9</v>
      </c>
      <c r="L1421">
        <v>589.08000000000004</v>
      </c>
      <c r="M1421">
        <v>621.80999999999995</v>
      </c>
      <c r="Q1421">
        <v>589.08000000000004</v>
      </c>
      <c r="T1421" t="s">
        <v>97</v>
      </c>
      <c r="AA1421" t="s">
        <v>97</v>
      </c>
    </row>
    <row r="1422" spans="1:29" x14ac:dyDescent="0.2">
      <c r="A1422" t="s">
        <v>92</v>
      </c>
      <c r="B1422" t="s">
        <v>2502</v>
      </c>
      <c r="C1422" t="s">
        <v>2659</v>
      </c>
      <c r="D1422" t="s">
        <v>2660</v>
      </c>
      <c r="E1422" t="s">
        <v>290</v>
      </c>
      <c r="F1422">
        <v>199.99</v>
      </c>
      <c r="H1422">
        <v>109.09</v>
      </c>
      <c r="I1422">
        <v>127.27</v>
      </c>
      <c r="J1422">
        <v>163.63</v>
      </c>
      <c r="K1422">
        <v>109.09</v>
      </c>
      <c r="L1422">
        <v>109.09</v>
      </c>
      <c r="M1422">
        <v>127.27</v>
      </c>
      <c r="P1422">
        <v>90.9</v>
      </c>
      <c r="Q1422">
        <v>118.18</v>
      </c>
      <c r="R1422">
        <v>109.09</v>
      </c>
      <c r="S1422">
        <v>109.09</v>
      </c>
      <c r="T1422" t="s">
        <v>97</v>
      </c>
      <c r="Y1422">
        <v>154.54</v>
      </c>
      <c r="Z1422">
        <v>199.99</v>
      </c>
      <c r="AA1422" t="s">
        <v>97</v>
      </c>
      <c r="AB1422">
        <v>99.99</v>
      </c>
    </row>
    <row r="1423" spans="1:29" x14ac:dyDescent="0.2">
      <c r="A1423" t="s">
        <v>92</v>
      </c>
      <c r="B1423" t="s">
        <v>2502</v>
      </c>
      <c r="C1423" t="s">
        <v>2661</v>
      </c>
      <c r="D1423" t="s">
        <v>2662</v>
      </c>
      <c r="E1423" t="s">
        <v>96</v>
      </c>
      <c r="K1423">
        <v>45.65</v>
      </c>
      <c r="T1423" t="s">
        <v>97</v>
      </c>
      <c r="AA1423" t="s">
        <v>97</v>
      </c>
    </row>
    <row r="1424" spans="1:29" x14ac:dyDescent="0.2">
      <c r="A1424" t="s">
        <v>92</v>
      </c>
      <c r="B1424" t="s">
        <v>2502</v>
      </c>
      <c r="C1424" t="s">
        <v>2663</v>
      </c>
      <c r="D1424" t="s">
        <v>2664</v>
      </c>
      <c r="E1424" t="s">
        <v>96</v>
      </c>
      <c r="K1424">
        <v>42.38</v>
      </c>
      <c r="T1424" t="s">
        <v>97</v>
      </c>
      <c r="AA1424" t="s">
        <v>97</v>
      </c>
    </row>
    <row r="1425" spans="1:29" x14ac:dyDescent="0.2">
      <c r="A1425" t="s">
        <v>92</v>
      </c>
      <c r="B1425" t="s">
        <v>2502</v>
      </c>
      <c r="C1425" t="s">
        <v>2665</v>
      </c>
      <c r="D1425" t="s">
        <v>2666</v>
      </c>
      <c r="E1425" t="s">
        <v>228</v>
      </c>
      <c r="F1425">
        <v>64.989999999999995</v>
      </c>
      <c r="G1425">
        <v>64.989999999999995</v>
      </c>
      <c r="H1425">
        <v>35.450000000000003</v>
      </c>
      <c r="I1425">
        <v>41.36</v>
      </c>
      <c r="J1425">
        <v>53.17</v>
      </c>
      <c r="K1425">
        <v>35.450000000000003</v>
      </c>
      <c r="L1425">
        <v>35.450000000000003</v>
      </c>
      <c r="M1425">
        <v>38.4</v>
      </c>
      <c r="Q1425">
        <v>35.450000000000003</v>
      </c>
      <c r="R1425">
        <v>35.450000000000003</v>
      </c>
      <c r="S1425">
        <v>35.450000000000003</v>
      </c>
      <c r="T1425" t="s">
        <v>97</v>
      </c>
      <c r="V1425">
        <v>47.27</v>
      </c>
      <c r="W1425">
        <v>47.27</v>
      </c>
      <c r="X1425">
        <v>47.27</v>
      </c>
      <c r="Y1425">
        <v>49.04</v>
      </c>
      <c r="Z1425">
        <v>64.989999999999995</v>
      </c>
      <c r="AA1425" t="s">
        <v>97</v>
      </c>
      <c r="AC1425">
        <v>38.4</v>
      </c>
    </row>
    <row r="1426" spans="1:29" x14ac:dyDescent="0.2">
      <c r="A1426" t="s">
        <v>92</v>
      </c>
      <c r="B1426" t="s">
        <v>2502</v>
      </c>
      <c r="C1426" t="s">
        <v>2667</v>
      </c>
      <c r="D1426" t="s">
        <v>2668</v>
      </c>
      <c r="E1426" t="s">
        <v>228</v>
      </c>
      <c r="F1426">
        <v>99.99</v>
      </c>
      <c r="G1426">
        <v>99.99</v>
      </c>
      <c r="H1426">
        <v>54.54</v>
      </c>
      <c r="I1426">
        <v>63.63</v>
      </c>
      <c r="J1426">
        <v>81.81</v>
      </c>
      <c r="K1426">
        <v>54.54</v>
      </c>
      <c r="L1426">
        <v>63.63</v>
      </c>
      <c r="M1426">
        <v>68.180000000000007</v>
      </c>
      <c r="Q1426">
        <v>59.09</v>
      </c>
      <c r="R1426">
        <v>59.09</v>
      </c>
      <c r="T1426" t="s">
        <v>97</v>
      </c>
      <c r="Y1426">
        <v>77.27</v>
      </c>
      <c r="Z1426">
        <v>99.99</v>
      </c>
      <c r="AA1426" t="s">
        <v>97</v>
      </c>
    </row>
    <row r="1427" spans="1:29" x14ac:dyDescent="0.2">
      <c r="A1427" t="s">
        <v>92</v>
      </c>
      <c r="B1427" t="s">
        <v>2502</v>
      </c>
      <c r="C1427" t="s">
        <v>2669</v>
      </c>
      <c r="D1427" t="s">
        <v>2670</v>
      </c>
      <c r="E1427" t="s">
        <v>228</v>
      </c>
      <c r="F1427">
        <v>59.99</v>
      </c>
      <c r="G1427">
        <v>59.99</v>
      </c>
      <c r="H1427">
        <v>32.72</v>
      </c>
      <c r="I1427">
        <v>38.18</v>
      </c>
      <c r="J1427">
        <v>49.08</v>
      </c>
      <c r="K1427">
        <v>32.72</v>
      </c>
      <c r="L1427">
        <v>32.72</v>
      </c>
      <c r="M1427">
        <v>35.450000000000003</v>
      </c>
      <c r="P1427">
        <v>32.72</v>
      </c>
      <c r="Q1427">
        <v>35.450000000000003</v>
      </c>
      <c r="R1427">
        <v>35.450000000000003</v>
      </c>
      <c r="S1427">
        <v>32.72</v>
      </c>
      <c r="T1427" t="s">
        <v>97</v>
      </c>
      <c r="Y1427">
        <v>46.36</v>
      </c>
      <c r="Z1427">
        <v>59.99</v>
      </c>
      <c r="AA1427" t="s">
        <v>97</v>
      </c>
      <c r="AC1427">
        <v>38.18</v>
      </c>
    </row>
    <row r="1428" spans="1:29" x14ac:dyDescent="0.2">
      <c r="A1428" t="s">
        <v>92</v>
      </c>
      <c r="B1428" t="s">
        <v>2502</v>
      </c>
      <c r="C1428" t="s">
        <v>6197</v>
      </c>
      <c r="D1428" t="s">
        <v>6198</v>
      </c>
      <c r="E1428" t="s">
        <v>228</v>
      </c>
      <c r="F1428">
        <v>99.99</v>
      </c>
      <c r="G1428">
        <v>99.99</v>
      </c>
      <c r="H1428">
        <v>54.54</v>
      </c>
      <c r="I1428">
        <v>63.63</v>
      </c>
      <c r="J1428">
        <v>81.81</v>
      </c>
      <c r="K1428">
        <v>54.54</v>
      </c>
      <c r="L1428">
        <v>63.63</v>
      </c>
      <c r="M1428">
        <v>63.63</v>
      </c>
      <c r="N1428">
        <v>59.09</v>
      </c>
      <c r="P1428">
        <v>45.45</v>
      </c>
      <c r="Q1428">
        <v>59.09</v>
      </c>
      <c r="R1428">
        <v>59.09</v>
      </c>
      <c r="T1428" t="s">
        <v>97</v>
      </c>
      <c r="Y1428">
        <v>77.27</v>
      </c>
      <c r="Z1428">
        <v>99.99</v>
      </c>
      <c r="AA1428" t="s">
        <v>97</v>
      </c>
    </row>
    <row r="1429" spans="1:29" x14ac:dyDescent="0.2">
      <c r="A1429" t="s">
        <v>92</v>
      </c>
      <c r="B1429" t="s">
        <v>2502</v>
      </c>
      <c r="C1429" t="s">
        <v>2673</v>
      </c>
      <c r="D1429" t="s">
        <v>2674</v>
      </c>
      <c r="E1429" t="s">
        <v>290</v>
      </c>
      <c r="F1429">
        <v>89.99</v>
      </c>
      <c r="H1429">
        <v>49.09</v>
      </c>
      <c r="I1429">
        <v>57.27</v>
      </c>
      <c r="J1429">
        <v>73.63</v>
      </c>
      <c r="K1429">
        <v>49.09</v>
      </c>
      <c r="L1429">
        <v>53.18</v>
      </c>
      <c r="M1429">
        <v>57.27</v>
      </c>
      <c r="P1429">
        <v>40.9</v>
      </c>
      <c r="Q1429">
        <v>57.27</v>
      </c>
      <c r="R1429">
        <v>53.18</v>
      </c>
      <c r="T1429" t="s">
        <v>97</v>
      </c>
      <c r="Z1429">
        <v>89.99</v>
      </c>
      <c r="AA1429" t="s">
        <v>97</v>
      </c>
      <c r="AC1429">
        <v>57.27</v>
      </c>
    </row>
    <row r="1430" spans="1:29" x14ac:dyDescent="0.2">
      <c r="A1430" t="s">
        <v>92</v>
      </c>
      <c r="B1430" t="s">
        <v>2502</v>
      </c>
      <c r="C1430" t="s">
        <v>2675</v>
      </c>
      <c r="D1430" t="s">
        <v>2676</v>
      </c>
      <c r="E1430" t="s">
        <v>290</v>
      </c>
      <c r="F1430">
        <v>159.99</v>
      </c>
      <c r="H1430">
        <v>87.27</v>
      </c>
      <c r="I1430">
        <v>101.81</v>
      </c>
      <c r="J1430">
        <v>130.9</v>
      </c>
      <c r="K1430">
        <v>87.27</v>
      </c>
      <c r="L1430">
        <v>87.27</v>
      </c>
      <c r="M1430">
        <v>101.81</v>
      </c>
      <c r="P1430">
        <v>72.72</v>
      </c>
      <c r="R1430">
        <v>87.27</v>
      </c>
      <c r="T1430" t="s">
        <v>97</v>
      </c>
      <c r="Y1430">
        <v>123.63</v>
      </c>
      <c r="Z1430">
        <v>159.99</v>
      </c>
      <c r="AA1430" t="s">
        <v>97</v>
      </c>
      <c r="AB1430">
        <v>49.99</v>
      </c>
      <c r="AC1430">
        <v>101.81</v>
      </c>
    </row>
    <row r="1431" spans="1:29" x14ac:dyDescent="0.2">
      <c r="A1431" t="s">
        <v>92</v>
      </c>
      <c r="B1431" t="s">
        <v>2502</v>
      </c>
      <c r="C1431" t="s">
        <v>2679</v>
      </c>
      <c r="D1431" t="s">
        <v>2680</v>
      </c>
      <c r="E1431" t="s">
        <v>290</v>
      </c>
      <c r="F1431">
        <v>109.99</v>
      </c>
      <c r="H1431">
        <v>59.99</v>
      </c>
      <c r="I1431">
        <v>69.989999999999995</v>
      </c>
      <c r="J1431">
        <v>89.99</v>
      </c>
      <c r="K1431">
        <v>59.99</v>
      </c>
      <c r="L1431">
        <v>74.989999999999995</v>
      </c>
      <c r="M1431">
        <v>79.989999999999995</v>
      </c>
      <c r="Q1431">
        <v>69.989999999999995</v>
      </c>
      <c r="R1431">
        <v>69.989999999999995</v>
      </c>
      <c r="T1431" t="s">
        <v>97</v>
      </c>
      <c r="AA1431" t="s">
        <v>97</v>
      </c>
      <c r="AC1431">
        <v>74.989999999999995</v>
      </c>
    </row>
    <row r="1432" spans="1:29" x14ac:dyDescent="0.2">
      <c r="A1432" t="s">
        <v>92</v>
      </c>
      <c r="B1432" t="s">
        <v>2502</v>
      </c>
      <c r="C1432" t="s">
        <v>2681</v>
      </c>
      <c r="D1432" t="s">
        <v>2682</v>
      </c>
      <c r="E1432" t="s">
        <v>290</v>
      </c>
      <c r="F1432">
        <v>89.99</v>
      </c>
      <c r="G1432">
        <v>89.99</v>
      </c>
      <c r="H1432">
        <v>49.09</v>
      </c>
      <c r="I1432">
        <v>57.27</v>
      </c>
      <c r="J1432">
        <v>73.63</v>
      </c>
      <c r="K1432">
        <v>49.09</v>
      </c>
      <c r="L1432">
        <v>57.27</v>
      </c>
      <c r="M1432">
        <v>61.36</v>
      </c>
      <c r="P1432">
        <v>53.18</v>
      </c>
      <c r="R1432">
        <v>53.18</v>
      </c>
      <c r="T1432" t="s">
        <v>97</v>
      </c>
      <c r="Y1432">
        <v>69.540000000000006</v>
      </c>
      <c r="Z1432">
        <v>89.99</v>
      </c>
      <c r="AA1432" t="s">
        <v>97</v>
      </c>
      <c r="AB1432">
        <v>16.989999999999998</v>
      </c>
      <c r="AC1432">
        <v>57.27</v>
      </c>
    </row>
    <row r="1433" spans="1:29" x14ac:dyDescent="0.2">
      <c r="A1433" t="s">
        <v>92</v>
      </c>
      <c r="B1433" t="s">
        <v>2502</v>
      </c>
      <c r="C1433" t="s">
        <v>2683</v>
      </c>
      <c r="D1433" t="s">
        <v>2684</v>
      </c>
      <c r="E1433" t="s">
        <v>290</v>
      </c>
      <c r="F1433">
        <v>89.99</v>
      </c>
      <c r="G1433">
        <v>89.99</v>
      </c>
      <c r="H1433">
        <v>49.09</v>
      </c>
      <c r="I1433">
        <v>57.27</v>
      </c>
      <c r="J1433">
        <v>73.63</v>
      </c>
      <c r="K1433">
        <v>49.09</v>
      </c>
      <c r="L1433">
        <v>57.27</v>
      </c>
      <c r="M1433">
        <v>61.36</v>
      </c>
      <c r="P1433">
        <v>40.9</v>
      </c>
      <c r="Q1433">
        <v>53.18</v>
      </c>
      <c r="R1433">
        <v>53.18</v>
      </c>
      <c r="T1433" t="s">
        <v>97</v>
      </c>
      <c r="Y1433">
        <v>69.540000000000006</v>
      </c>
      <c r="Z1433">
        <v>89.99</v>
      </c>
      <c r="AA1433" t="s">
        <v>97</v>
      </c>
      <c r="AB1433">
        <v>16.989999999999998</v>
      </c>
      <c r="AC1433">
        <v>57.27</v>
      </c>
    </row>
    <row r="1434" spans="1:29" x14ac:dyDescent="0.2">
      <c r="A1434" t="s">
        <v>92</v>
      </c>
      <c r="B1434" t="s">
        <v>2502</v>
      </c>
      <c r="C1434" t="s">
        <v>2685</v>
      </c>
      <c r="D1434" t="s">
        <v>2686</v>
      </c>
      <c r="E1434" t="s">
        <v>228</v>
      </c>
      <c r="F1434">
        <v>159.99</v>
      </c>
      <c r="G1434">
        <v>159.99</v>
      </c>
      <c r="H1434">
        <v>94.54</v>
      </c>
      <c r="I1434">
        <v>101.81</v>
      </c>
      <c r="J1434">
        <v>130.9</v>
      </c>
      <c r="K1434">
        <v>94.54</v>
      </c>
      <c r="L1434">
        <v>92.72</v>
      </c>
      <c r="M1434">
        <v>109.08</v>
      </c>
      <c r="Q1434">
        <v>94.54</v>
      </c>
      <c r="R1434">
        <v>94.54</v>
      </c>
      <c r="T1434" t="s">
        <v>97</v>
      </c>
      <c r="V1434">
        <v>116.36</v>
      </c>
      <c r="W1434">
        <v>116.36</v>
      </c>
      <c r="X1434">
        <v>116.36</v>
      </c>
      <c r="Y1434">
        <v>120.72</v>
      </c>
      <c r="Z1434">
        <v>159.99</v>
      </c>
      <c r="AA1434" t="s">
        <v>97</v>
      </c>
      <c r="AC1434">
        <v>101.81</v>
      </c>
    </row>
    <row r="1435" spans="1:29" x14ac:dyDescent="0.2">
      <c r="A1435" t="s">
        <v>92</v>
      </c>
      <c r="B1435" t="s">
        <v>2502</v>
      </c>
      <c r="C1435" t="s">
        <v>2687</v>
      </c>
      <c r="D1435" t="s">
        <v>2688</v>
      </c>
      <c r="E1435" t="s">
        <v>228</v>
      </c>
      <c r="F1435">
        <v>159.99</v>
      </c>
      <c r="G1435">
        <v>159.99</v>
      </c>
      <c r="H1435">
        <v>94.54</v>
      </c>
      <c r="I1435">
        <v>101.81</v>
      </c>
      <c r="J1435">
        <v>130.9</v>
      </c>
      <c r="K1435">
        <v>94.54</v>
      </c>
      <c r="L1435">
        <v>92.72</v>
      </c>
      <c r="M1435">
        <v>100.45</v>
      </c>
      <c r="Q1435">
        <v>94.55</v>
      </c>
      <c r="R1435">
        <v>94.54</v>
      </c>
      <c r="S1435">
        <v>92.72</v>
      </c>
      <c r="T1435" t="s">
        <v>97</v>
      </c>
      <c r="V1435">
        <v>116.36</v>
      </c>
      <c r="W1435">
        <v>116.36</v>
      </c>
      <c r="X1435">
        <v>116.36</v>
      </c>
      <c r="Y1435">
        <v>120.72</v>
      </c>
      <c r="Z1435">
        <v>159.99</v>
      </c>
      <c r="AA1435" t="s">
        <v>97</v>
      </c>
      <c r="AC1435">
        <v>101.81</v>
      </c>
    </row>
    <row r="1436" spans="1:29" x14ac:dyDescent="0.2">
      <c r="A1436" t="s">
        <v>92</v>
      </c>
      <c r="B1436" t="s">
        <v>2502</v>
      </c>
      <c r="C1436" t="s">
        <v>2691</v>
      </c>
      <c r="D1436" t="s">
        <v>2692</v>
      </c>
      <c r="E1436" t="s">
        <v>290</v>
      </c>
      <c r="F1436">
        <v>249.99</v>
      </c>
      <c r="H1436">
        <v>136.36000000000001</v>
      </c>
      <c r="I1436">
        <v>159.08000000000001</v>
      </c>
      <c r="J1436">
        <v>204.54</v>
      </c>
      <c r="K1436">
        <v>136.36000000000001</v>
      </c>
      <c r="L1436">
        <v>136.36000000000001</v>
      </c>
      <c r="M1436">
        <v>159.08000000000001</v>
      </c>
      <c r="P1436">
        <v>125</v>
      </c>
      <c r="Q1436">
        <v>147.72</v>
      </c>
      <c r="R1436">
        <v>147.72</v>
      </c>
      <c r="T1436" t="s">
        <v>97</v>
      </c>
      <c r="V1436">
        <v>181.81</v>
      </c>
      <c r="W1436">
        <v>181.81</v>
      </c>
      <c r="X1436">
        <v>181.81</v>
      </c>
      <c r="Y1436">
        <v>188.63</v>
      </c>
      <c r="Z1436">
        <v>249.99</v>
      </c>
      <c r="AA1436" t="s">
        <v>97</v>
      </c>
      <c r="AB1436">
        <v>99.99</v>
      </c>
      <c r="AC1436">
        <v>159.08000000000001</v>
      </c>
    </row>
    <row r="1437" spans="1:29" x14ac:dyDescent="0.2">
      <c r="A1437" t="s">
        <v>92</v>
      </c>
      <c r="B1437" t="s">
        <v>2502</v>
      </c>
      <c r="C1437" t="s">
        <v>2693</v>
      </c>
      <c r="D1437" t="s">
        <v>2694</v>
      </c>
      <c r="E1437" t="s">
        <v>228</v>
      </c>
      <c r="F1437">
        <v>199.99</v>
      </c>
      <c r="H1437">
        <v>109.09</v>
      </c>
      <c r="I1437">
        <v>127.27</v>
      </c>
      <c r="J1437">
        <v>163.63</v>
      </c>
      <c r="K1437">
        <v>109.09</v>
      </c>
      <c r="L1437">
        <v>109.09</v>
      </c>
      <c r="M1437">
        <v>118.18</v>
      </c>
      <c r="Q1437">
        <v>118.18</v>
      </c>
      <c r="R1437">
        <v>127.27</v>
      </c>
      <c r="T1437" t="s">
        <v>97</v>
      </c>
      <c r="V1437">
        <v>145.44999999999999</v>
      </c>
      <c r="X1437">
        <v>145.44999999999999</v>
      </c>
      <c r="Y1437">
        <v>150.9</v>
      </c>
      <c r="Z1437">
        <v>199.99</v>
      </c>
      <c r="AA1437" t="s">
        <v>97</v>
      </c>
    </row>
    <row r="1438" spans="1:29" x14ac:dyDescent="0.2">
      <c r="A1438" t="s">
        <v>92</v>
      </c>
      <c r="B1438" t="s">
        <v>2502</v>
      </c>
      <c r="C1438" t="s">
        <v>2711</v>
      </c>
      <c r="D1438" t="s">
        <v>2712</v>
      </c>
      <c r="E1438" t="s">
        <v>228</v>
      </c>
      <c r="F1438">
        <v>34.99</v>
      </c>
      <c r="G1438">
        <v>34.99</v>
      </c>
      <c r="H1438">
        <v>19.09</v>
      </c>
      <c r="I1438">
        <v>22.27</v>
      </c>
      <c r="J1438">
        <v>28.63</v>
      </c>
      <c r="K1438">
        <v>19.09</v>
      </c>
      <c r="L1438">
        <v>22.27</v>
      </c>
      <c r="M1438">
        <v>22.27</v>
      </c>
      <c r="Q1438">
        <v>20.68</v>
      </c>
      <c r="R1438">
        <v>19.09</v>
      </c>
      <c r="T1438" t="s">
        <v>97</v>
      </c>
      <c r="Y1438">
        <v>27.04</v>
      </c>
      <c r="Z1438">
        <v>34.99</v>
      </c>
      <c r="AA1438" t="s">
        <v>97</v>
      </c>
      <c r="AC1438">
        <v>22.27</v>
      </c>
    </row>
    <row r="1439" spans="1:29" x14ac:dyDescent="0.2">
      <c r="A1439" t="s">
        <v>92</v>
      </c>
      <c r="B1439" t="s">
        <v>2502</v>
      </c>
      <c r="C1439" t="s">
        <v>2713</v>
      </c>
      <c r="D1439" t="s">
        <v>2714</v>
      </c>
      <c r="E1439" t="s">
        <v>228</v>
      </c>
      <c r="F1439">
        <v>19.989999999999998</v>
      </c>
      <c r="G1439">
        <v>19.989999999999998</v>
      </c>
      <c r="H1439">
        <v>10.9</v>
      </c>
      <c r="I1439">
        <v>12.72</v>
      </c>
      <c r="J1439">
        <v>16.36</v>
      </c>
      <c r="K1439">
        <v>10.9</v>
      </c>
      <c r="L1439">
        <v>11.81</v>
      </c>
      <c r="M1439">
        <v>12.72</v>
      </c>
      <c r="P1439">
        <v>10</v>
      </c>
      <c r="Q1439">
        <v>11.81</v>
      </c>
      <c r="R1439">
        <v>11.81</v>
      </c>
      <c r="S1439">
        <v>10.9</v>
      </c>
      <c r="T1439" t="s">
        <v>97</v>
      </c>
      <c r="Y1439">
        <v>15.45</v>
      </c>
      <c r="Z1439">
        <v>19.989999999999998</v>
      </c>
      <c r="AA1439" t="s">
        <v>97</v>
      </c>
      <c r="AC1439">
        <v>11.81</v>
      </c>
    </row>
    <row r="1440" spans="1:29" x14ac:dyDescent="0.2">
      <c r="A1440" t="s">
        <v>92</v>
      </c>
      <c r="B1440" t="s">
        <v>2502</v>
      </c>
      <c r="C1440" t="s">
        <v>2715</v>
      </c>
      <c r="D1440" t="s">
        <v>2716</v>
      </c>
      <c r="E1440" t="s">
        <v>228</v>
      </c>
      <c r="F1440">
        <v>39.99</v>
      </c>
      <c r="H1440">
        <v>21.81</v>
      </c>
      <c r="I1440">
        <v>25.45</v>
      </c>
      <c r="J1440">
        <v>32.72</v>
      </c>
      <c r="K1440">
        <v>21.81</v>
      </c>
      <c r="L1440">
        <v>17.96</v>
      </c>
      <c r="M1440">
        <v>23.63</v>
      </c>
      <c r="P1440">
        <v>0</v>
      </c>
      <c r="Q1440">
        <v>21.81</v>
      </c>
      <c r="R1440">
        <v>21.81</v>
      </c>
      <c r="S1440">
        <v>0</v>
      </c>
      <c r="T1440" t="s">
        <v>97</v>
      </c>
      <c r="Y1440">
        <v>30.9</v>
      </c>
      <c r="Z1440">
        <v>39.99</v>
      </c>
      <c r="AA1440" t="s">
        <v>97</v>
      </c>
      <c r="AC1440">
        <v>25.45</v>
      </c>
    </row>
    <row r="1441" spans="1:29" x14ac:dyDescent="0.2">
      <c r="A1441" t="s">
        <v>92</v>
      </c>
      <c r="B1441" t="s">
        <v>2502</v>
      </c>
      <c r="C1441" t="s">
        <v>2717</v>
      </c>
      <c r="D1441" t="s">
        <v>2718</v>
      </c>
      <c r="E1441" t="s">
        <v>228</v>
      </c>
      <c r="F1441">
        <v>17.989999999999998</v>
      </c>
      <c r="G1441">
        <v>17.989999999999998</v>
      </c>
      <c r="H1441">
        <v>9.81</v>
      </c>
      <c r="I1441">
        <v>11.45</v>
      </c>
      <c r="J1441">
        <v>14.72</v>
      </c>
      <c r="K1441">
        <v>9.81</v>
      </c>
      <c r="L1441">
        <v>11.45</v>
      </c>
      <c r="M1441">
        <v>11.45</v>
      </c>
      <c r="Q1441">
        <v>10.63</v>
      </c>
      <c r="R1441">
        <v>9.81</v>
      </c>
      <c r="T1441" t="s">
        <v>97</v>
      </c>
      <c r="Y1441">
        <v>13.9</v>
      </c>
      <c r="Z1441">
        <v>17.989999999999998</v>
      </c>
      <c r="AA1441" t="s">
        <v>97</v>
      </c>
      <c r="AC1441">
        <v>11.45</v>
      </c>
    </row>
    <row r="1442" spans="1:29" x14ac:dyDescent="0.2">
      <c r="A1442" t="s">
        <v>92</v>
      </c>
      <c r="B1442" t="s">
        <v>2502</v>
      </c>
      <c r="C1442" t="s">
        <v>2719</v>
      </c>
      <c r="D1442" t="s">
        <v>2720</v>
      </c>
      <c r="E1442" t="s">
        <v>290</v>
      </c>
      <c r="F1442">
        <v>69.989999999999995</v>
      </c>
      <c r="G1442">
        <v>69.989999999999995</v>
      </c>
      <c r="H1442">
        <v>38.18</v>
      </c>
      <c r="I1442">
        <v>44.54</v>
      </c>
      <c r="J1442">
        <v>57.26</v>
      </c>
      <c r="K1442">
        <v>38.18</v>
      </c>
      <c r="L1442">
        <v>38.18</v>
      </c>
      <c r="M1442">
        <v>44.54</v>
      </c>
      <c r="P1442">
        <v>31.18</v>
      </c>
      <c r="Q1442">
        <v>41.36</v>
      </c>
      <c r="R1442">
        <v>41.36</v>
      </c>
      <c r="T1442" t="s">
        <v>97</v>
      </c>
      <c r="Y1442">
        <v>57.95</v>
      </c>
      <c r="Z1442">
        <v>69.989999999999995</v>
      </c>
      <c r="AA1442" t="s">
        <v>97</v>
      </c>
      <c r="AB1442">
        <v>29.99</v>
      </c>
      <c r="AC1442">
        <v>44.54</v>
      </c>
    </row>
    <row r="1443" spans="1:29" x14ac:dyDescent="0.2">
      <c r="A1443" t="s">
        <v>92</v>
      </c>
      <c r="B1443" t="s">
        <v>2502</v>
      </c>
      <c r="C1443" t="s">
        <v>2723</v>
      </c>
      <c r="D1443" t="s">
        <v>2724</v>
      </c>
      <c r="E1443" t="s">
        <v>228</v>
      </c>
      <c r="F1443">
        <v>59.99</v>
      </c>
      <c r="H1443">
        <v>35.450000000000003</v>
      </c>
      <c r="I1443">
        <v>40.9</v>
      </c>
      <c r="J1443">
        <v>49.08</v>
      </c>
      <c r="K1443">
        <v>35.450000000000003</v>
      </c>
      <c r="L1443">
        <v>38.18</v>
      </c>
      <c r="M1443">
        <v>40.9</v>
      </c>
      <c r="Q1443">
        <v>38.18</v>
      </c>
      <c r="R1443">
        <v>35.450000000000003</v>
      </c>
      <c r="T1443" t="s">
        <v>97</v>
      </c>
      <c r="V1443">
        <v>43.63</v>
      </c>
      <c r="AA1443" t="s">
        <v>97</v>
      </c>
      <c r="AC1443">
        <v>38.18</v>
      </c>
    </row>
    <row r="1444" spans="1:29" x14ac:dyDescent="0.2">
      <c r="A1444" t="s">
        <v>92</v>
      </c>
      <c r="B1444" t="s">
        <v>2502</v>
      </c>
      <c r="C1444" t="s">
        <v>2727</v>
      </c>
      <c r="D1444" t="s">
        <v>2728</v>
      </c>
      <c r="E1444" t="s">
        <v>228</v>
      </c>
      <c r="F1444">
        <v>44.99</v>
      </c>
      <c r="H1444">
        <v>24.54</v>
      </c>
      <c r="I1444">
        <v>28.63</v>
      </c>
      <c r="J1444">
        <v>36.81</v>
      </c>
      <c r="K1444">
        <v>24.54</v>
      </c>
      <c r="L1444">
        <v>24.54</v>
      </c>
      <c r="M1444">
        <v>28.63</v>
      </c>
      <c r="P1444">
        <v>24.54</v>
      </c>
      <c r="Q1444">
        <v>24.54</v>
      </c>
      <c r="R1444">
        <v>24.54</v>
      </c>
      <c r="S1444">
        <v>24.54</v>
      </c>
      <c r="T1444" t="s">
        <v>97</v>
      </c>
      <c r="Z1444">
        <v>44.99</v>
      </c>
      <c r="AA1444" t="s">
        <v>97</v>
      </c>
      <c r="AC1444">
        <v>28.63</v>
      </c>
    </row>
    <row r="1445" spans="1:29" x14ac:dyDescent="0.2">
      <c r="A1445" t="s">
        <v>92</v>
      </c>
      <c r="B1445" t="s">
        <v>2502</v>
      </c>
      <c r="C1445" t="s">
        <v>2731</v>
      </c>
      <c r="D1445" t="s">
        <v>2732</v>
      </c>
      <c r="E1445" t="s">
        <v>290</v>
      </c>
      <c r="F1445">
        <v>79.989999999999995</v>
      </c>
      <c r="H1445">
        <v>50.9</v>
      </c>
      <c r="I1445">
        <v>58.17</v>
      </c>
      <c r="J1445">
        <v>65.45</v>
      </c>
      <c r="K1445">
        <v>50.9</v>
      </c>
      <c r="L1445">
        <v>58.17</v>
      </c>
      <c r="M1445">
        <v>54.76</v>
      </c>
      <c r="P1445">
        <v>47.27</v>
      </c>
      <c r="Q1445">
        <v>54.54</v>
      </c>
      <c r="R1445">
        <v>55.27</v>
      </c>
      <c r="S1445">
        <v>50.9</v>
      </c>
      <c r="T1445" t="s">
        <v>97</v>
      </c>
      <c r="AA1445" t="s">
        <v>97</v>
      </c>
      <c r="AC1445">
        <v>59.05</v>
      </c>
    </row>
    <row r="1446" spans="1:29" x14ac:dyDescent="0.2">
      <c r="A1446" t="s">
        <v>92</v>
      </c>
      <c r="B1446" t="s">
        <v>2502</v>
      </c>
      <c r="C1446" t="s">
        <v>2733</v>
      </c>
      <c r="D1446" t="s">
        <v>2734</v>
      </c>
      <c r="E1446" t="s">
        <v>290</v>
      </c>
      <c r="F1446">
        <v>79.989999999999995</v>
      </c>
      <c r="H1446">
        <v>50.9</v>
      </c>
      <c r="I1446">
        <v>58.17</v>
      </c>
      <c r="J1446">
        <v>65.45</v>
      </c>
      <c r="K1446">
        <v>50.9</v>
      </c>
      <c r="L1446">
        <v>58.17</v>
      </c>
      <c r="M1446">
        <v>54.76</v>
      </c>
      <c r="P1446">
        <v>47.27</v>
      </c>
      <c r="Q1446">
        <v>54.54</v>
      </c>
      <c r="R1446">
        <v>55.27</v>
      </c>
      <c r="S1446">
        <v>50.9</v>
      </c>
      <c r="T1446" t="s">
        <v>97</v>
      </c>
      <c r="AA1446" t="s">
        <v>97</v>
      </c>
      <c r="AC1446">
        <v>59.05</v>
      </c>
    </row>
    <row r="1447" spans="1:29" x14ac:dyDescent="0.2">
      <c r="A1447" t="s">
        <v>92</v>
      </c>
      <c r="B1447" t="s">
        <v>2502</v>
      </c>
      <c r="C1447" t="s">
        <v>2735</v>
      </c>
      <c r="D1447" t="s">
        <v>2736</v>
      </c>
      <c r="E1447" t="s">
        <v>290</v>
      </c>
      <c r="F1447">
        <v>49.99</v>
      </c>
      <c r="H1447">
        <v>31.81</v>
      </c>
      <c r="I1447">
        <v>36.36</v>
      </c>
      <c r="J1447">
        <v>40.9</v>
      </c>
      <c r="K1447">
        <v>31.81</v>
      </c>
      <c r="L1447">
        <v>33.630000000000003</v>
      </c>
      <c r="M1447">
        <v>34.22</v>
      </c>
      <c r="P1447">
        <v>27.27</v>
      </c>
      <c r="Q1447">
        <v>34.08</v>
      </c>
      <c r="R1447">
        <v>34.54</v>
      </c>
      <c r="S1447">
        <v>29.54</v>
      </c>
      <c r="T1447" t="s">
        <v>97</v>
      </c>
      <c r="AA1447" t="s">
        <v>97</v>
      </c>
      <c r="AC1447">
        <v>36.9</v>
      </c>
    </row>
    <row r="1448" spans="1:29" x14ac:dyDescent="0.2">
      <c r="A1448" t="s">
        <v>92</v>
      </c>
      <c r="B1448" t="s">
        <v>2502</v>
      </c>
      <c r="C1448" t="s">
        <v>2737</v>
      </c>
      <c r="D1448" t="s">
        <v>2738</v>
      </c>
      <c r="E1448" t="s">
        <v>290</v>
      </c>
      <c r="F1448">
        <v>49.99</v>
      </c>
      <c r="H1448">
        <v>31.81</v>
      </c>
      <c r="I1448">
        <v>36.36</v>
      </c>
      <c r="J1448">
        <v>40.9</v>
      </c>
      <c r="K1448">
        <v>31.81</v>
      </c>
      <c r="L1448">
        <v>33.630000000000003</v>
      </c>
      <c r="M1448">
        <v>34.22</v>
      </c>
      <c r="P1448">
        <v>27.27</v>
      </c>
      <c r="Q1448">
        <v>34.08</v>
      </c>
      <c r="R1448">
        <v>34.54</v>
      </c>
      <c r="S1448">
        <v>29.54</v>
      </c>
      <c r="T1448" t="s">
        <v>97</v>
      </c>
      <c r="AA1448" t="s">
        <v>97</v>
      </c>
      <c r="AC1448">
        <v>36.9</v>
      </c>
    </row>
    <row r="1449" spans="1:29" x14ac:dyDescent="0.2">
      <c r="A1449" t="s">
        <v>92</v>
      </c>
      <c r="B1449" t="s">
        <v>2502</v>
      </c>
      <c r="C1449" t="s">
        <v>2739</v>
      </c>
      <c r="D1449" t="s">
        <v>2740</v>
      </c>
      <c r="E1449" t="s">
        <v>290</v>
      </c>
      <c r="F1449">
        <v>49.99</v>
      </c>
      <c r="H1449">
        <v>31.81</v>
      </c>
      <c r="I1449">
        <v>36.36</v>
      </c>
      <c r="J1449">
        <v>40.9</v>
      </c>
      <c r="K1449">
        <v>31.81</v>
      </c>
      <c r="L1449">
        <v>33.630000000000003</v>
      </c>
      <c r="M1449">
        <v>34.22</v>
      </c>
      <c r="P1449">
        <v>27.27</v>
      </c>
      <c r="Q1449">
        <v>34.08</v>
      </c>
      <c r="R1449">
        <v>34.54</v>
      </c>
      <c r="S1449">
        <v>29.54</v>
      </c>
      <c r="T1449" t="s">
        <v>97</v>
      </c>
      <c r="AA1449" t="s">
        <v>97</v>
      </c>
      <c r="AC1449">
        <v>36.9</v>
      </c>
    </row>
    <row r="1450" spans="1:29" x14ac:dyDescent="0.2">
      <c r="A1450" t="s">
        <v>92</v>
      </c>
      <c r="B1450" t="s">
        <v>2502</v>
      </c>
      <c r="C1450" t="s">
        <v>2741</v>
      </c>
      <c r="D1450" t="s">
        <v>2742</v>
      </c>
      <c r="E1450" t="s">
        <v>290</v>
      </c>
      <c r="F1450">
        <v>69.989999999999995</v>
      </c>
      <c r="H1450">
        <v>44.54</v>
      </c>
      <c r="I1450">
        <v>50.9</v>
      </c>
      <c r="J1450">
        <v>57.26</v>
      </c>
      <c r="K1450">
        <v>44.54</v>
      </c>
      <c r="L1450">
        <v>47.08</v>
      </c>
      <c r="M1450">
        <v>47.91</v>
      </c>
      <c r="P1450">
        <v>38.18</v>
      </c>
      <c r="Q1450">
        <v>47.72</v>
      </c>
      <c r="R1450">
        <v>48.36</v>
      </c>
      <c r="S1450">
        <v>41.36</v>
      </c>
      <c r="T1450" t="s">
        <v>97</v>
      </c>
      <c r="AA1450" t="s">
        <v>97</v>
      </c>
      <c r="AC1450">
        <v>51.67</v>
      </c>
    </row>
    <row r="1451" spans="1:29" x14ac:dyDescent="0.2">
      <c r="A1451" t="s">
        <v>92</v>
      </c>
      <c r="B1451" t="s">
        <v>2502</v>
      </c>
      <c r="C1451" t="s">
        <v>2743</v>
      </c>
      <c r="D1451" t="s">
        <v>2744</v>
      </c>
      <c r="E1451" t="s">
        <v>290</v>
      </c>
      <c r="F1451">
        <v>69.989999999999995</v>
      </c>
      <c r="H1451">
        <v>44.54</v>
      </c>
      <c r="I1451">
        <v>50.9</v>
      </c>
      <c r="J1451">
        <v>57.26</v>
      </c>
      <c r="K1451">
        <v>44.54</v>
      </c>
      <c r="L1451">
        <v>47.08</v>
      </c>
      <c r="M1451">
        <v>47.91</v>
      </c>
      <c r="P1451">
        <v>38.18</v>
      </c>
      <c r="Q1451">
        <v>47.72</v>
      </c>
      <c r="R1451">
        <v>48.36</v>
      </c>
      <c r="S1451">
        <v>41.36</v>
      </c>
      <c r="T1451" t="s">
        <v>97</v>
      </c>
      <c r="AA1451" t="s">
        <v>97</v>
      </c>
      <c r="AC1451">
        <v>51.67</v>
      </c>
    </row>
    <row r="1452" spans="1:29" x14ac:dyDescent="0.2">
      <c r="A1452" t="s">
        <v>92</v>
      </c>
      <c r="B1452" t="s">
        <v>2502</v>
      </c>
      <c r="C1452" t="s">
        <v>2745</v>
      </c>
      <c r="D1452" t="s">
        <v>2746</v>
      </c>
      <c r="E1452" t="s">
        <v>290</v>
      </c>
      <c r="F1452">
        <v>109.99</v>
      </c>
      <c r="H1452">
        <v>64.989999999999995</v>
      </c>
      <c r="I1452">
        <v>74.989999999999995</v>
      </c>
      <c r="J1452">
        <v>89.99</v>
      </c>
      <c r="K1452">
        <v>64.989999999999995</v>
      </c>
      <c r="L1452">
        <v>73.989999999999995</v>
      </c>
      <c r="M1452">
        <v>75.290000000000006</v>
      </c>
      <c r="P1452">
        <v>59.99</v>
      </c>
      <c r="Q1452">
        <v>74.989999999999995</v>
      </c>
      <c r="R1452">
        <v>74.989999999999995</v>
      </c>
      <c r="T1452" t="s">
        <v>97</v>
      </c>
      <c r="Z1452">
        <v>109.99</v>
      </c>
      <c r="AA1452" t="s">
        <v>97</v>
      </c>
      <c r="AC1452">
        <v>79.989999999999995</v>
      </c>
    </row>
    <row r="1453" spans="1:29" x14ac:dyDescent="0.2">
      <c r="A1453" t="s">
        <v>92</v>
      </c>
      <c r="B1453" t="s">
        <v>2502</v>
      </c>
      <c r="C1453" t="s">
        <v>2747</v>
      </c>
      <c r="D1453" t="s">
        <v>2748</v>
      </c>
      <c r="E1453" t="s">
        <v>228</v>
      </c>
      <c r="F1453">
        <v>79.989999999999995</v>
      </c>
      <c r="H1453">
        <v>43.63</v>
      </c>
      <c r="I1453">
        <v>50.9</v>
      </c>
      <c r="J1453">
        <v>65.45</v>
      </c>
      <c r="K1453">
        <v>43.63</v>
      </c>
      <c r="L1453">
        <v>44.72</v>
      </c>
      <c r="M1453">
        <v>50.9</v>
      </c>
      <c r="Q1453">
        <v>50.9</v>
      </c>
      <c r="R1453">
        <v>47.27</v>
      </c>
      <c r="T1453" t="s">
        <v>97</v>
      </c>
      <c r="Y1453">
        <v>61.81</v>
      </c>
      <c r="Z1453">
        <v>79.989999999999995</v>
      </c>
      <c r="AA1453" t="s">
        <v>97</v>
      </c>
      <c r="AC1453">
        <v>50.9</v>
      </c>
    </row>
    <row r="1454" spans="1:29" x14ac:dyDescent="0.2">
      <c r="A1454" t="s">
        <v>92</v>
      </c>
      <c r="B1454" t="s">
        <v>2502</v>
      </c>
      <c r="C1454" t="s">
        <v>2749</v>
      </c>
      <c r="D1454" t="s">
        <v>2750</v>
      </c>
      <c r="E1454" t="s">
        <v>228</v>
      </c>
      <c r="F1454">
        <v>79.989999999999995</v>
      </c>
      <c r="H1454">
        <v>43.63</v>
      </c>
      <c r="I1454">
        <v>50.9</v>
      </c>
      <c r="J1454">
        <v>65.45</v>
      </c>
      <c r="K1454">
        <v>43.63</v>
      </c>
      <c r="L1454">
        <v>44.72</v>
      </c>
      <c r="M1454">
        <v>50.9</v>
      </c>
      <c r="Q1454">
        <v>50.9</v>
      </c>
      <c r="R1454">
        <v>47.27</v>
      </c>
      <c r="T1454" t="s">
        <v>97</v>
      </c>
      <c r="Y1454">
        <v>61.81</v>
      </c>
      <c r="Z1454">
        <v>79.989999999999995</v>
      </c>
      <c r="AA1454" t="s">
        <v>97</v>
      </c>
      <c r="AC1454">
        <v>50.9</v>
      </c>
    </row>
    <row r="1455" spans="1:29" x14ac:dyDescent="0.2">
      <c r="A1455" t="s">
        <v>92</v>
      </c>
      <c r="B1455" t="s">
        <v>2502</v>
      </c>
      <c r="C1455" t="s">
        <v>2751</v>
      </c>
      <c r="D1455" t="s">
        <v>2752</v>
      </c>
      <c r="E1455" t="s">
        <v>228</v>
      </c>
      <c r="F1455">
        <v>79.989999999999995</v>
      </c>
      <c r="H1455">
        <v>43.63</v>
      </c>
      <c r="I1455">
        <v>50.9</v>
      </c>
      <c r="J1455">
        <v>65.45</v>
      </c>
      <c r="K1455">
        <v>43.63</v>
      </c>
      <c r="L1455">
        <v>44.72</v>
      </c>
      <c r="M1455">
        <v>50.9</v>
      </c>
      <c r="Q1455">
        <v>50.9</v>
      </c>
      <c r="R1455">
        <v>47.27</v>
      </c>
      <c r="T1455" t="s">
        <v>97</v>
      </c>
      <c r="Y1455">
        <v>61.81</v>
      </c>
      <c r="Z1455">
        <v>79.989999999999995</v>
      </c>
      <c r="AA1455" t="s">
        <v>97</v>
      </c>
      <c r="AC1455">
        <v>50.9</v>
      </c>
    </row>
    <row r="1456" spans="1:29" x14ac:dyDescent="0.2">
      <c r="A1456" t="s">
        <v>92</v>
      </c>
      <c r="B1456" t="s">
        <v>2502</v>
      </c>
      <c r="C1456" t="s">
        <v>2753</v>
      </c>
      <c r="D1456" t="s">
        <v>2754</v>
      </c>
      <c r="E1456" t="s">
        <v>228</v>
      </c>
      <c r="F1456">
        <v>34.99</v>
      </c>
      <c r="H1456">
        <v>19.09</v>
      </c>
      <c r="I1456">
        <v>22.27</v>
      </c>
      <c r="J1456">
        <v>28.63</v>
      </c>
      <c r="K1456">
        <v>19.09</v>
      </c>
      <c r="L1456">
        <v>19.559999999999999</v>
      </c>
      <c r="M1456">
        <v>22.27</v>
      </c>
      <c r="Q1456">
        <v>22.75</v>
      </c>
      <c r="R1456">
        <v>20.68</v>
      </c>
      <c r="T1456" t="s">
        <v>97</v>
      </c>
      <c r="Y1456">
        <v>27.04</v>
      </c>
      <c r="Z1456">
        <v>34.99</v>
      </c>
      <c r="AA1456" t="s">
        <v>97</v>
      </c>
      <c r="AC1456">
        <v>22.27</v>
      </c>
    </row>
    <row r="1457" spans="1:29" x14ac:dyDescent="0.2">
      <c r="A1457" t="s">
        <v>92</v>
      </c>
      <c r="B1457" t="s">
        <v>2502</v>
      </c>
      <c r="C1457" t="s">
        <v>2755</v>
      </c>
      <c r="D1457" t="s">
        <v>2756</v>
      </c>
      <c r="E1457" t="s">
        <v>228</v>
      </c>
      <c r="F1457">
        <v>34.99</v>
      </c>
      <c r="H1457">
        <v>19.09</v>
      </c>
      <c r="I1457">
        <v>22.27</v>
      </c>
      <c r="J1457">
        <v>28.63</v>
      </c>
      <c r="K1457">
        <v>19.09</v>
      </c>
      <c r="L1457">
        <v>19.559999999999999</v>
      </c>
      <c r="M1457">
        <v>22.27</v>
      </c>
      <c r="Q1457">
        <v>22.75</v>
      </c>
      <c r="R1457">
        <v>20.68</v>
      </c>
      <c r="T1457" t="s">
        <v>97</v>
      </c>
      <c r="Y1457">
        <v>27.04</v>
      </c>
      <c r="Z1457">
        <v>34.99</v>
      </c>
      <c r="AA1457" t="s">
        <v>97</v>
      </c>
      <c r="AC1457">
        <v>22.27</v>
      </c>
    </row>
    <row r="1458" spans="1:29" x14ac:dyDescent="0.2">
      <c r="A1458" t="s">
        <v>92</v>
      </c>
      <c r="B1458" t="s">
        <v>2502</v>
      </c>
      <c r="C1458" t="s">
        <v>2757</v>
      </c>
      <c r="D1458" t="s">
        <v>2758</v>
      </c>
      <c r="E1458" t="s">
        <v>228</v>
      </c>
      <c r="F1458">
        <v>34.99</v>
      </c>
      <c r="H1458">
        <v>19.09</v>
      </c>
      <c r="I1458">
        <v>22.27</v>
      </c>
      <c r="J1458">
        <v>28.63</v>
      </c>
      <c r="K1458">
        <v>19.09</v>
      </c>
      <c r="L1458">
        <v>19.559999999999999</v>
      </c>
      <c r="M1458">
        <v>22.27</v>
      </c>
      <c r="Q1458">
        <v>22.75</v>
      </c>
      <c r="R1458">
        <v>20.68</v>
      </c>
      <c r="T1458" t="s">
        <v>97</v>
      </c>
      <c r="Y1458">
        <v>27.04</v>
      </c>
      <c r="Z1458">
        <v>34.99</v>
      </c>
      <c r="AA1458" t="s">
        <v>97</v>
      </c>
      <c r="AC1458">
        <v>22.27</v>
      </c>
    </row>
    <row r="1459" spans="1:29" x14ac:dyDescent="0.2">
      <c r="A1459" t="s">
        <v>92</v>
      </c>
      <c r="B1459" t="s">
        <v>2502</v>
      </c>
      <c r="C1459" t="s">
        <v>2761</v>
      </c>
      <c r="D1459" t="s">
        <v>2762</v>
      </c>
      <c r="E1459" t="s">
        <v>96</v>
      </c>
      <c r="F1459">
        <v>119.99</v>
      </c>
      <c r="G1459">
        <v>119.99</v>
      </c>
      <c r="H1459">
        <v>70.900000000000006</v>
      </c>
      <c r="I1459">
        <v>76.36</v>
      </c>
      <c r="J1459">
        <v>98.17</v>
      </c>
      <c r="K1459">
        <v>70.900000000000006</v>
      </c>
      <c r="L1459">
        <v>76.36</v>
      </c>
      <c r="M1459">
        <v>76.36</v>
      </c>
      <c r="Q1459">
        <v>76.36</v>
      </c>
      <c r="R1459">
        <v>76.36</v>
      </c>
      <c r="T1459" t="s">
        <v>97</v>
      </c>
      <c r="Y1459">
        <v>92.72</v>
      </c>
      <c r="Z1459">
        <v>119.99</v>
      </c>
      <c r="AA1459" t="s">
        <v>97</v>
      </c>
    </row>
    <row r="1460" spans="1:29" x14ac:dyDescent="0.2">
      <c r="A1460" t="s">
        <v>92</v>
      </c>
      <c r="B1460" t="s">
        <v>2763</v>
      </c>
      <c r="C1460" t="s">
        <v>2764</v>
      </c>
      <c r="D1460" t="s">
        <v>2765</v>
      </c>
      <c r="E1460" t="s">
        <v>96</v>
      </c>
      <c r="F1460">
        <v>41.95</v>
      </c>
      <c r="H1460">
        <v>38.14</v>
      </c>
      <c r="T1460" t="s">
        <v>97</v>
      </c>
      <c r="Y1460">
        <v>27.24</v>
      </c>
      <c r="Z1460">
        <v>39.950000000000003</v>
      </c>
      <c r="AA1460" t="s">
        <v>97</v>
      </c>
    </row>
    <row r="1461" spans="1:29" x14ac:dyDescent="0.2">
      <c r="A1461" t="s">
        <v>92</v>
      </c>
      <c r="B1461" t="s">
        <v>2763</v>
      </c>
      <c r="C1461" t="s">
        <v>2766</v>
      </c>
      <c r="D1461" t="s">
        <v>2767</v>
      </c>
      <c r="E1461" t="s">
        <v>228</v>
      </c>
      <c r="F1461">
        <v>319</v>
      </c>
      <c r="G1461">
        <v>319.95</v>
      </c>
      <c r="H1461">
        <v>453.64</v>
      </c>
      <c r="T1461" t="s">
        <v>97</v>
      </c>
      <c r="V1461">
        <v>238.6</v>
      </c>
      <c r="W1461">
        <v>238.6</v>
      </c>
      <c r="X1461">
        <v>238.6</v>
      </c>
      <c r="Y1461">
        <v>238.6</v>
      </c>
      <c r="Z1461">
        <v>319.95</v>
      </c>
      <c r="AA1461" t="s">
        <v>97</v>
      </c>
      <c r="AB1461">
        <v>319.95</v>
      </c>
    </row>
    <row r="1462" spans="1:29" x14ac:dyDescent="0.2">
      <c r="A1462" t="s">
        <v>92</v>
      </c>
      <c r="B1462" t="s">
        <v>2763</v>
      </c>
      <c r="C1462" t="s">
        <v>2768</v>
      </c>
      <c r="D1462" t="s">
        <v>2769</v>
      </c>
      <c r="E1462" t="s">
        <v>96</v>
      </c>
      <c r="F1462">
        <v>49.95</v>
      </c>
      <c r="H1462">
        <v>45.41</v>
      </c>
      <c r="T1462" t="s">
        <v>97</v>
      </c>
      <c r="Y1462">
        <v>29.28</v>
      </c>
      <c r="Z1462">
        <v>42.95</v>
      </c>
      <c r="AA1462" t="s">
        <v>97</v>
      </c>
    </row>
    <row r="1463" spans="1:29" x14ac:dyDescent="0.2">
      <c r="A1463" t="s">
        <v>92</v>
      </c>
      <c r="B1463" t="s">
        <v>2763</v>
      </c>
      <c r="C1463" t="s">
        <v>2770</v>
      </c>
      <c r="D1463" t="s">
        <v>2771</v>
      </c>
      <c r="E1463" t="s">
        <v>228</v>
      </c>
      <c r="F1463">
        <v>379</v>
      </c>
      <c r="G1463">
        <v>379.95</v>
      </c>
      <c r="H1463">
        <v>690</v>
      </c>
      <c r="T1463" t="s">
        <v>97</v>
      </c>
      <c r="V1463">
        <v>306.77999999999997</v>
      </c>
      <c r="W1463">
        <v>306.77999999999997</v>
      </c>
      <c r="X1463">
        <v>306.77999999999997</v>
      </c>
      <c r="Y1463">
        <v>306.77999999999997</v>
      </c>
      <c r="Z1463">
        <v>379.95</v>
      </c>
      <c r="AA1463" t="s">
        <v>97</v>
      </c>
      <c r="AB1463">
        <v>379.95</v>
      </c>
    </row>
    <row r="1464" spans="1:29" x14ac:dyDescent="0.2">
      <c r="A1464" t="s">
        <v>92</v>
      </c>
      <c r="B1464" t="s">
        <v>2763</v>
      </c>
      <c r="C1464" t="s">
        <v>2772</v>
      </c>
      <c r="D1464" t="s">
        <v>2773</v>
      </c>
      <c r="E1464" t="s">
        <v>228</v>
      </c>
      <c r="F1464">
        <v>399</v>
      </c>
      <c r="G1464">
        <v>399.95</v>
      </c>
      <c r="H1464">
        <v>726.36</v>
      </c>
      <c r="T1464" t="s">
        <v>97</v>
      </c>
      <c r="V1464">
        <v>306.77999999999997</v>
      </c>
      <c r="W1464">
        <v>306.77999999999997</v>
      </c>
      <c r="X1464">
        <v>306.77999999999997</v>
      </c>
      <c r="Y1464">
        <v>306.77999999999997</v>
      </c>
      <c r="Z1464">
        <v>399.95</v>
      </c>
      <c r="AA1464" t="s">
        <v>97</v>
      </c>
      <c r="AB1464">
        <v>399.95</v>
      </c>
    </row>
    <row r="1465" spans="1:29" x14ac:dyDescent="0.2">
      <c r="A1465" t="s">
        <v>92</v>
      </c>
      <c r="B1465" t="s">
        <v>2763</v>
      </c>
      <c r="C1465" t="s">
        <v>2774</v>
      </c>
      <c r="D1465" t="s">
        <v>2775</v>
      </c>
      <c r="E1465" t="s">
        <v>228</v>
      </c>
      <c r="F1465">
        <v>299</v>
      </c>
      <c r="G1465">
        <v>299.95</v>
      </c>
      <c r="H1465">
        <v>453.64</v>
      </c>
      <c r="T1465" t="s">
        <v>97</v>
      </c>
      <c r="V1465">
        <v>238.6</v>
      </c>
      <c r="W1465">
        <v>238.6</v>
      </c>
      <c r="X1465">
        <v>238.6</v>
      </c>
      <c r="Y1465">
        <v>238.6</v>
      </c>
      <c r="Z1465">
        <v>299.95</v>
      </c>
      <c r="AA1465" t="s">
        <v>97</v>
      </c>
      <c r="AB1465">
        <v>299.95</v>
      </c>
    </row>
    <row r="1466" spans="1:29" x14ac:dyDescent="0.2">
      <c r="A1466" t="s">
        <v>92</v>
      </c>
      <c r="B1466" t="s">
        <v>2763</v>
      </c>
      <c r="C1466" t="s">
        <v>2776</v>
      </c>
      <c r="D1466" t="s">
        <v>2777</v>
      </c>
      <c r="E1466" t="s">
        <v>228</v>
      </c>
      <c r="F1466">
        <v>99.95</v>
      </c>
      <c r="G1466">
        <v>99.95</v>
      </c>
      <c r="H1466">
        <v>162.72999999999999</v>
      </c>
      <c r="T1466" t="s">
        <v>97</v>
      </c>
      <c r="V1466">
        <v>88.6</v>
      </c>
      <c r="W1466">
        <v>88.6</v>
      </c>
      <c r="X1466">
        <v>88.6</v>
      </c>
      <c r="Y1466">
        <v>88.6</v>
      </c>
      <c r="Z1466">
        <v>99.95</v>
      </c>
      <c r="AA1466" t="s">
        <v>97</v>
      </c>
      <c r="AB1466">
        <v>99.95</v>
      </c>
    </row>
    <row r="1467" spans="1:29" x14ac:dyDescent="0.2">
      <c r="A1467" t="s">
        <v>92</v>
      </c>
      <c r="B1467" t="s">
        <v>2763</v>
      </c>
      <c r="C1467" t="s">
        <v>2778</v>
      </c>
      <c r="D1467" t="s">
        <v>2779</v>
      </c>
      <c r="E1467" t="s">
        <v>228</v>
      </c>
      <c r="F1467">
        <v>129</v>
      </c>
      <c r="G1467">
        <v>129.94999999999999</v>
      </c>
      <c r="H1467">
        <v>208.18</v>
      </c>
      <c r="T1467" t="s">
        <v>97</v>
      </c>
      <c r="V1467">
        <v>115.88</v>
      </c>
      <c r="W1467">
        <v>115.88</v>
      </c>
      <c r="X1467">
        <v>115.88</v>
      </c>
      <c r="Y1467">
        <v>115.88</v>
      </c>
      <c r="Z1467">
        <v>129.94999999999999</v>
      </c>
      <c r="AA1467" t="s">
        <v>97</v>
      </c>
      <c r="AB1467">
        <v>129.94999999999999</v>
      </c>
    </row>
    <row r="1468" spans="1:29" x14ac:dyDescent="0.2">
      <c r="A1468" t="s">
        <v>92</v>
      </c>
      <c r="B1468" t="s">
        <v>2763</v>
      </c>
      <c r="C1468" t="s">
        <v>2780</v>
      </c>
      <c r="D1468" t="s">
        <v>2781</v>
      </c>
      <c r="E1468" t="s">
        <v>228</v>
      </c>
      <c r="F1468">
        <v>159</v>
      </c>
      <c r="G1468">
        <v>159.94999999999999</v>
      </c>
      <c r="H1468">
        <v>290</v>
      </c>
      <c r="T1468" t="s">
        <v>97</v>
      </c>
      <c r="V1468">
        <v>129.51</v>
      </c>
      <c r="W1468">
        <v>129.51</v>
      </c>
      <c r="X1468">
        <v>129.51</v>
      </c>
      <c r="Y1468">
        <v>129.51</v>
      </c>
      <c r="Z1468">
        <v>159.94999999999999</v>
      </c>
      <c r="AA1468" t="s">
        <v>97</v>
      </c>
      <c r="AB1468">
        <v>159.94999999999999</v>
      </c>
    </row>
    <row r="1469" spans="1:29" x14ac:dyDescent="0.2">
      <c r="A1469" t="s">
        <v>92</v>
      </c>
      <c r="B1469" t="s">
        <v>2763</v>
      </c>
      <c r="C1469" t="s">
        <v>2782</v>
      </c>
      <c r="D1469" t="s">
        <v>2783</v>
      </c>
      <c r="E1469" t="s">
        <v>228</v>
      </c>
      <c r="F1469">
        <v>199</v>
      </c>
      <c r="G1469">
        <v>199.95</v>
      </c>
      <c r="H1469">
        <v>362.73</v>
      </c>
      <c r="T1469" t="s">
        <v>97</v>
      </c>
      <c r="V1469">
        <v>156.78</v>
      </c>
      <c r="W1469">
        <v>156.78</v>
      </c>
      <c r="X1469">
        <v>156.78</v>
      </c>
      <c r="Y1469">
        <v>156.78</v>
      </c>
      <c r="Z1469">
        <v>199.95</v>
      </c>
      <c r="AA1469" t="s">
        <v>97</v>
      </c>
      <c r="AB1469">
        <v>199.95</v>
      </c>
    </row>
    <row r="1470" spans="1:29" x14ac:dyDescent="0.2">
      <c r="A1470" t="s">
        <v>92</v>
      </c>
      <c r="B1470" t="s">
        <v>2763</v>
      </c>
      <c r="C1470" t="s">
        <v>2784</v>
      </c>
      <c r="D1470" t="s">
        <v>2785</v>
      </c>
      <c r="E1470" t="s">
        <v>228</v>
      </c>
      <c r="F1470">
        <v>239</v>
      </c>
      <c r="G1470">
        <v>239.95</v>
      </c>
      <c r="H1470">
        <v>435.45</v>
      </c>
      <c r="T1470" t="s">
        <v>97</v>
      </c>
      <c r="V1470">
        <v>190.88</v>
      </c>
      <c r="W1470">
        <v>190.88</v>
      </c>
      <c r="X1470">
        <v>190.88</v>
      </c>
      <c r="Y1470">
        <v>190.88</v>
      </c>
      <c r="Z1470">
        <v>239.95</v>
      </c>
      <c r="AA1470" t="s">
        <v>97</v>
      </c>
      <c r="AB1470">
        <v>239.95</v>
      </c>
    </row>
    <row r="1471" spans="1:29" x14ac:dyDescent="0.2">
      <c r="A1471" t="s">
        <v>92</v>
      </c>
      <c r="B1471" t="s">
        <v>2763</v>
      </c>
      <c r="C1471" t="s">
        <v>2786</v>
      </c>
      <c r="D1471" t="s">
        <v>2787</v>
      </c>
      <c r="E1471" t="s">
        <v>228</v>
      </c>
      <c r="F1471">
        <v>239</v>
      </c>
      <c r="G1471">
        <v>239.95</v>
      </c>
      <c r="H1471">
        <v>408.18</v>
      </c>
      <c r="T1471" t="s">
        <v>97</v>
      </c>
      <c r="V1471">
        <v>184.06</v>
      </c>
      <c r="W1471">
        <v>184.06</v>
      </c>
      <c r="X1471">
        <v>184.06</v>
      </c>
      <c r="Y1471">
        <v>184.06</v>
      </c>
      <c r="Z1471">
        <v>239.95</v>
      </c>
      <c r="AA1471" t="s">
        <v>97</v>
      </c>
      <c r="AB1471">
        <v>239.95</v>
      </c>
    </row>
    <row r="1472" spans="1:29" x14ac:dyDescent="0.2">
      <c r="A1472" t="s">
        <v>92</v>
      </c>
      <c r="B1472" t="s">
        <v>2763</v>
      </c>
      <c r="C1472" t="s">
        <v>2788</v>
      </c>
      <c r="D1472" t="s">
        <v>2789</v>
      </c>
      <c r="E1472" t="s">
        <v>228</v>
      </c>
      <c r="F1472">
        <v>69.95</v>
      </c>
      <c r="G1472">
        <v>69.95</v>
      </c>
      <c r="H1472">
        <v>104.55</v>
      </c>
      <c r="T1472" t="s">
        <v>97</v>
      </c>
      <c r="V1472">
        <v>61.33</v>
      </c>
      <c r="W1472">
        <v>61.33</v>
      </c>
      <c r="X1472">
        <v>61.33</v>
      </c>
      <c r="Y1472">
        <v>61.33</v>
      </c>
      <c r="Z1472">
        <v>69.95</v>
      </c>
      <c r="AA1472" t="s">
        <v>97</v>
      </c>
      <c r="AB1472">
        <v>69.95</v>
      </c>
    </row>
    <row r="1473" spans="1:28" x14ac:dyDescent="0.2">
      <c r="A1473" t="s">
        <v>92</v>
      </c>
      <c r="B1473" t="s">
        <v>2763</v>
      </c>
      <c r="C1473" t="s">
        <v>2790</v>
      </c>
      <c r="D1473" t="s">
        <v>2791</v>
      </c>
      <c r="E1473" t="s">
        <v>228</v>
      </c>
      <c r="F1473">
        <v>329</v>
      </c>
      <c r="G1473">
        <v>329.95</v>
      </c>
      <c r="H1473">
        <v>599.09</v>
      </c>
      <c r="T1473" t="s">
        <v>97</v>
      </c>
      <c r="V1473">
        <v>272.69</v>
      </c>
      <c r="W1473">
        <v>272.69</v>
      </c>
      <c r="X1473">
        <v>272.69</v>
      </c>
      <c r="Y1473">
        <v>272.69</v>
      </c>
      <c r="Z1473">
        <v>329.95</v>
      </c>
      <c r="AA1473" t="s">
        <v>97</v>
      </c>
      <c r="AB1473">
        <v>329.95</v>
      </c>
    </row>
    <row r="1474" spans="1:28" x14ac:dyDescent="0.2">
      <c r="A1474" t="s">
        <v>92</v>
      </c>
      <c r="B1474" t="s">
        <v>2763</v>
      </c>
      <c r="C1474" t="s">
        <v>2792</v>
      </c>
      <c r="D1474" t="s">
        <v>2793</v>
      </c>
      <c r="E1474" t="s">
        <v>228</v>
      </c>
      <c r="F1474">
        <v>339</v>
      </c>
      <c r="G1474">
        <v>339.95</v>
      </c>
      <c r="H1474">
        <v>599.09</v>
      </c>
      <c r="T1474" t="s">
        <v>97</v>
      </c>
      <c r="V1474">
        <v>272.69</v>
      </c>
      <c r="W1474">
        <v>272.69</v>
      </c>
      <c r="X1474">
        <v>272.69</v>
      </c>
      <c r="Y1474">
        <v>272.69</v>
      </c>
      <c r="Z1474">
        <v>339.95</v>
      </c>
      <c r="AA1474" t="s">
        <v>97</v>
      </c>
      <c r="AB1474">
        <v>339.95</v>
      </c>
    </row>
    <row r="1475" spans="1:28" x14ac:dyDescent="0.2">
      <c r="A1475" t="s">
        <v>92</v>
      </c>
      <c r="B1475" t="s">
        <v>2763</v>
      </c>
      <c r="C1475" t="s">
        <v>2794</v>
      </c>
      <c r="D1475" t="s">
        <v>2795</v>
      </c>
      <c r="E1475" t="s">
        <v>228</v>
      </c>
      <c r="F1475">
        <v>399</v>
      </c>
      <c r="G1475">
        <v>399.95</v>
      </c>
      <c r="H1475">
        <v>726.36</v>
      </c>
      <c r="T1475" t="s">
        <v>97</v>
      </c>
      <c r="V1475">
        <v>306.77999999999997</v>
      </c>
      <c r="W1475">
        <v>306.77999999999997</v>
      </c>
      <c r="X1475">
        <v>306.77999999999997</v>
      </c>
      <c r="Y1475">
        <v>306.77999999999997</v>
      </c>
      <c r="Z1475">
        <v>399.95</v>
      </c>
      <c r="AA1475" t="s">
        <v>97</v>
      </c>
      <c r="AB1475">
        <v>399.95</v>
      </c>
    </row>
    <row r="1476" spans="1:28" x14ac:dyDescent="0.2">
      <c r="A1476" t="s">
        <v>92</v>
      </c>
      <c r="B1476" t="s">
        <v>2763</v>
      </c>
      <c r="C1476" t="s">
        <v>2796</v>
      </c>
      <c r="D1476" t="s">
        <v>2797</v>
      </c>
      <c r="E1476" t="s">
        <v>228</v>
      </c>
      <c r="F1476">
        <v>299</v>
      </c>
      <c r="G1476">
        <v>299.95</v>
      </c>
      <c r="H1476">
        <v>544.54999999999995</v>
      </c>
      <c r="T1476" t="s">
        <v>97</v>
      </c>
      <c r="V1476">
        <v>238.6</v>
      </c>
      <c r="W1476">
        <v>238.6</v>
      </c>
      <c r="X1476">
        <v>238.6</v>
      </c>
      <c r="Y1476">
        <v>238.6</v>
      </c>
      <c r="Z1476">
        <v>299.95</v>
      </c>
      <c r="AA1476" t="s">
        <v>97</v>
      </c>
      <c r="AB1476">
        <v>299.95</v>
      </c>
    </row>
    <row r="1477" spans="1:28" x14ac:dyDescent="0.2">
      <c r="A1477" t="s">
        <v>92</v>
      </c>
      <c r="B1477" t="s">
        <v>2763</v>
      </c>
      <c r="C1477" t="s">
        <v>2798</v>
      </c>
      <c r="D1477" t="s">
        <v>2799</v>
      </c>
      <c r="E1477" t="s">
        <v>96</v>
      </c>
      <c r="F1477">
        <v>319</v>
      </c>
      <c r="H1477">
        <v>290</v>
      </c>
      <c r="T1477" t="s">
        <v>97</v>
      </c>
      <c r="Y1477">
        <v>156.78</v>
      </c>
      <c r="Z1477">
        <v>229.95</v>
      </c>
      <c r="AA1477" t="s">
        <v>97</v>
      </c>
    </row>
    <row r="1478" spans="1:28" x14ac:dyDescent="0.2">
      <c r="A1478" t="s">
        <v>92</v>
      </c>
      <c r="B1478" t="s">
        <v>2763</v>
      </c>
      <c r="C1478" t="s">
        <v>2800</v>
      </c>
      <c r="D1478" t="s">
        <v>2801</v>
      </c>
      <c r="E1478" t="s">
        <v>228</v>
      </c>
      <c r="F1478">
        <v>399</v>
      </c>
      <c r="G1478">
        <v>399.95</v>
      </c>
      <c r="H1478">
        <v>608.17999999999995</v>
      </c>
      <c r="T1478" t="s">
        <v>97</v>
      </c>
      <c r="V1478">
        <v>306.77999999999997</v>
      </c>
      <c r="W1478">
        <v>306.77999999999997</v>
      </c>
      <c r="X1478">
        <v>306.77999999999997</v>
      </c>
      <c r="Y1478">
        <v>306.77999999999997</v>
      </c>
      <c r="Z1478">
        <v>399.95</v>
      </c>
      <c r="AA1478" t="s">
        <v>97</v>
      </c>
      <c r="AB1478">
        <v>399.95</v>
      </c>
    </row>
    <row r="1479" spans="1:28" x14ac:dyDescent="0.2">
      <c r="A1479" t="s">
        <v>92</v>
      </c>
      <c r="B1479" t="s">
        <v>2763</v>
      </c>
      <c r="C1479" t="s">
        <v>2802</v>
      </c>
      <c r="D1479" t="s">
        <v>2803</v>
      </c>
      <c r="E1479" t="s">
        <v>228</v>
      </c>
      <c r="F1479">
        <v>649</v>
      </c>
      <c r="G1479">
        <v>649.95000000000005</v>
      </c>
      <c r="H1479">
        <v>999.09</v>
      </c>
      <c r="T1479" t="s">
        <v>97</v>
      </c>
      <c r="V1479">
        <v>524.97</v>
      </c>
      <c r="W1479">
        <v>524.97</v>
      </c>
      <c r="X1479">
        <v>524.97</v>
      </c>
      <c r="Y1479">
        <v>524.97</v>
      </c>
      <c r="Z1479">
        <v>649.95000000000005</v>
      </c>
      <c r="AA1479" t="s">
        <v>97</v>
      </c>
      <c r="AB1479">
        <v>649.95000000000005</v>
      </c>
    </row>
    <row r="1480" spans="1:28" x14ac:dyDescent="0.2">
      <c r="A1480" t="s">
        <v>92</v>
      </c>
      <c r="B1480" t="s">
        <v>2763</v>
      </c>
      <c r="C1480" t="s">
        <v>2804</v>
      </c>
      <c r="D1480" t="s">
        <v>2805</v>
      </c>
      <c r="E1480" t="s">
        <v>228</v>
      </c>
      <c r="F1480">
        <v>159</v>
      </c>
      <c r="G1480">
        <v>159.94999999999999</v>
      </c>
      <c r="H1480">
        <v>244.55</v>
      </c>
      <c r="T1480" t="s">
        <v>97</v>
      </c>
      <c r="V1480">
        <v>129.51</v>
      </c>
      <c r="W1480">
        <v>129.51</v>
      </c>
      <c r="X1480">
        <v>129.51</v>
      </c>
      <c r="Y1480">
        <v>129.51</v>
      </c>
      <c r="Z1480">
        <v>159.94999999999999</v>
      </c>
      <c r="AA1480" t="s">
        <v>97</v>
      </c>
      <c r="AB1480">
        <v>159.94999999999999</v>
      </c>
    </row>
    <row r="1481" spans="1:28" x14ac:dyDescent="0.2">
      <c r="A1481" t="s">
        <v>92</v>
      </c>
      <c r="B1481" t="s">
        <v>2763</v>
      </c>
      <c r="C1481" t="s">
        <v>2806</v>
      </c>
      <c r="D1481" t="s">
        <v>2807</v>
      </c>
      <c r="E1481" t="s">
        <v>228</v>
      </c>
      <c r="F1481">
        <v>269</v>
      </c>
      <c r="G1481">
        <v>269.95</v>
      </c>
      <c r="H1481">
        <v>390</v>
      </c>
      <c r="T1481" t="s">
        <v>97</v>
      </c>
      <c r="V1481">
        <v>211.33</v>
      </c>
      <c r="W1481">
        <v>211.33</v>
      </c>
      <c r="X1481">
        <v>211.33</v>
      </c>
      <c r="Y1481">
        <v>211.33</v>
      </c>
      <c r="Z1481">
        <v>269.95</v>
      </c>
      <c r="AA1481" t="s">
        <v>97</v>
      </c>
      <c r="AB1481">
        <v>269.95</v>
      </c>
    </row>
    <row r="1482" spans="1:28" x14ac:dyDescent="0.2">
      <c r="A1482" t="s">
        <v>92</v>
      </c>
      <c r="B1482" t="s">
        <v>2763</v>
      </c>
      <c r="C1482" t="s">
        <v>2808</v>
      </c>
      <c r="D1482" t="s">
        <v>2809</v>
      </c>
      <c r="E1482" t="s">
        <v>228</v>
      </c>
      <c r="F1482">
        <v>319</v>
      </c>
      <c r="G1482">
        <v>319.95</v>
      </c>
      <c r="H1482">
        <v>453.64</v>
      </c>
      <c r="T1482" t="s">
        <v>97</v>
      </c>
      <c r="V1482">
        <v>238.6</v>
      </c>
      <c r="W1482">
        <v>238.6</v>
      </c>
      <c r="X1482">
        <v>238.6</v>
      </c>
      <c r="Y1482">
        <v>238.6</v>
      </c>
      <c r="Z1482">
        <v>319.95</v>
      </c>
      <c r="AA1482" t="s">
        <v>97</v>
      </c>
      <c r="AB1482">
        <v>319.95</v>
      </c>
    </row>
    <row r="1483" spans="1:28" x14ac:dyDescent="0.2">
      <c r="A1483" t="s">
        <v>92</v>
      </c>
      <c r="B1483" t="s">
        <v>2763</v>
      </c>
      <c r="C1483" t="s">
        <v>2810</v>
      </c>
      <c r="D1483" t="s">
        <v>2811</v>
      </c>
      <c r="E1483" t="s">
        <v>228</v>
      </c>
      <c r="F1483">
        <v>369</v>
      </c>
      <c r="G1483">
        <v>369.95</v>
      </c>
      <c r="H1483">
        <v>526.36</v>
      </c>
      <c r="T1483" t="s">
        <v>97</v>
      </c>
      <c r="V1483">
        <v>272.69</v>
      </c>
      <c r="W1483">
        <v>272.69</v>
      </c>
      <c r="X1483">
        <v>272.69</v>
      </c>
      <c r="Y1483">
        <v>272.69</v>
      </c>
      <c r="Z1483">
        <v>369.95</v>
      </c>
      <c r="AA1483" t="s">
        <v>97</v>
      </c>
      <c r="AB1483">
        <v>369.95</v>
      </c>
    </row>
    <row r="1484" spans="1:28" x14ac:dyDescent="0.2">
      <c r="A1484" t="s">
        <v>92</v>
      </c>
      <c r="B1484" t="s">
        <v>2763</v>
      </c>
      <c r="C1484" t="s">
        <v>2812</v>
      </c>
      <c r="D1484" t="s">
        <v>2813</v>
      </c>
      <c r="E1484" t="s">
        <v>228</v>
      </c>
      <c r="F1484">
        <v>459</v>
      </c>
      <c r="G1484">
        <v>459.95</v>
      </c>
      <c r="H1484">
        <v>653.64</v>
      </c>
      <c r="T1484" t="s">
        <v>97</v>
      </c>
      <c r="V1484">
        <v>340.88</v>
      </c>
      <c r="W1484">
        <v>340.88</v>
      </c>
      <c r="X1484">
        <v>340.88</v>
      </c>
      <c r="Y1484">
        <v>340.88</v>
      </c>
      <c r="Z1484">
        <v>459.95</v>
      </c>
      <c r="AA1484" t="s">
        <v>97</v>
      </c>
      <c r="AB1484">
        <v>459.95</v>
      </c>
    </row>
    <row r="1485" spans="1:28" x14ac:dyDescent="0.2">
      <c r="A1485" t="s">
        <v>92</v>
      </c>
      <c r="B1485" t="s">
        <v>2763</v>
      </c>
      <c r="C1485" t="s">
        <v>2814</v>
      </c>
      <c r="D1485" t="s">
        <v>2815</v>
      </c>
      <c r="E1485" t="s">
        <v>228</v>
      </c>
      <c r="F1485">
        <v>449</v>
      </c>
      <c r="G1485">
        <v>449.95</v>
      </c>
      <c r="H1485">
        <v>635.45000000000005</v>
      </c>
      <c r="T1485" t="s">
        <v>97</v>
      </c>
      <c r="V1485">
        <v>340.88</v>
      </c>
      <c r="W1485">
        <v>340.88</v>
      </c>
      <c r="X1485">
        <v>340.88</v>
      </c>
      <c r="Y1485">
        <v>340.88</v>
      </c>
      <c r="Z1485">
        <v>449.95</v>
      </c>
      <c r="AA1485" t="s">
        <v>97</v>
      </c>
      <c r="AB1485">
        <v>449.95</v>
      </c>
    </row>
    <row r="1486" spans="1:28" x14ac:dyDescent="0.2">
      <c r="A1486" t="s">
        <v>92</v>
      </c>
      <c r="B1486" t="s">
        <v>2763</v>
      </c>
      <c r="C1486" t="s">
        <v>2816</v>
      </c>
      <c r="D1486" t="s">
        <v>2817</v>
      </c>
      <c r="E1486" t="s">
        <v>228</v>
      </c>
      <c r="F1486">
        <v>429</v>
      </c>
      <c r="G1486">
        <v>429.95</v>
      </c>
      <c r="H1486">
        <v>626.36</v>
      </c>
      <c r="T1486" t="s">
        <v>97</v>
      </c>
      <c r="V1486">
        <v>340.88</v>
      </c>
      <c r="W1486">
        <v>340.88</v>
      </c>
      <c r="X1486">
        <v>340.88</v>
      </c>
      <c r="Y1486">
        <v>340.88</v>
      </c>
      <c r="Z1486">
        <v>429.95</v>
      </c>
      <c r="AA1486" t="s">
        <v>97</v>
      </c>
      <c r="AB1486">
        <v>429.95</v>
      </c>
    </row>
    <row r="1487" spans="1:28" x14ac:dyDescent="0.2">
      <c r="A1487" t="s">
        <v>92</v>
      </c>
      <c r="B1487" t="s">
        <v>2763</v>
      </c>
      <c r="C1487" t="s">
        <v>2818</v>
      </c>
      <c r="D1487" t="s">
        <v>2819</v>
      </c>
      <c r="E1487" t="s">
        <v>228</v>
      </c>
      <c r="F1487">
        <v>719</v>
      </c>
      <c r="G1487">
        <v>719.95</v>
      </c>
      <c r="H1487">
        <v>1090</v>
      </c>
      <c r="T1487" t="s">
        <v>97</v>
      </c>
      <c r="V1487">
        <v>579.51</v>
      </c>
      <c r="W1487">
        <v>579.51</v>
      </c>
      <c r="X1487">
        <v>579.51</v>
      </c>
      <c r="Y1487">
        <v>579.51</v>
      </c>
      <c r="Z1487">
        <v>719.95</v>
      </c>
      <c r="AA1487" t="s">
        <v>97</v>
      </c>
      <c r="AB1487">
        <v>719.95</v>
      </c>
    </row>
    <row r="1488" spans="1:28" x14ac:dyDescent="0.2">
      <c r="A1488" t="s">
        <v>92</v>
      </c>
      <c r="B1488" t="s">
        <v>2763</v>
      </c>
      <c r="C1488" t="s">
        <v>2820</v>
      </c>
      <c r="D1488" t="s">
        <v>2821</v>
      </c>
      <c r="E1488" t="s">
        <v>228</v>
      </c>
      <c r="F1488">
        <v>129</v>
      </c>
      <c r="G1488">
        <v>129</v>
      </c>
      <c r="T1488" t="s">
        <v>97</v>
      </c>
      <c r="V1488">
        <v>109.06</v>
      </c>
      <c r="W1488">
        <v>109.06</v>
      </c>
      <c r="X1488">
        <v>109.06</v>
      </c>
      <c r="Y1488">
        <v>109.06</v>
      </c>
      <c r="Z1488">
        <v>129</v>
      </c>
      <c r="AA1488" t="s">
        <v>97</v>
      </c>
      <c r="AB1488">
        <v>129</v>
      </c>
    </row>
    <row r="1489" spans="1:28" x14ac:dyDescent="0.2">
      <c r="A1489" t="s">
        <v>92</v>
      </c>
      <c r="B1489" t="s">
        <v>2763</v>
      </c>
      <c r="C1489" t="s">
        <v>2822</v>
      </c>
      <c r="D1489" t="s">
        <v>2823</v>
      </c>
      <c r="E1489" t="s">
        <v>228</v>
      </c>
      <c r="F1489">
        <v>149</v>
      </c>
      <c r="G1489">
        <v>149.94999999999999</v>
      </c>
      <c r="H1489">
        <v>226.36</v>
      </c>
      <c r="T1489" t="s">
        <v>97</v>
      </c>
      <c r="V1489">
        <v>122.69</v>
      </c>
      <c r="W1489">
        <v>122.69</v>
      </c>
      <c r="X1489">
        <v>122.69</v>
      </c>
      <c r="Y1489">
        <v>122.69</v>
      </c>
      <c r="Z1489">
        <v>149.94999999999999</v>
      </c>
      <c r="AA1489" t="s">
        <v>97</v>
      </c>
      <c r="AB1489">
        <v>149.94999999999999</v>
      </c>
    </row>
    <row r="1490" spans="1:28" x14ac:dyDescent="0.2">
      <c r="A1490" t="s">
        <v>92</v>
      </c>
      <c r="B1490" t="s">
        <v>2763</v>
      </c>
      <c r="C1490" t="s">
        <v>2824</v>
      </c>
      <c r="D1490" t="s">
        <v>2825</v>
      </c>
      <c r="E1490" t="s">
        <v>96</v>
      </c>
      <c r="F1490">
        <v>210</v>
      </c>
      <c r="G1490">
        <v>209.95</v>
      </c>
      <c r="H1490">
        <v>317.27</v>
      </c>
      <c r="T1490" t="s">
        <v>97</v>
      </c>
      <c r="V1490">
        <v>170.42</v>
      </c>
      <c r="W1490">
        <v>170.42</v>
      </c>
      <c r="X1490">
        <v>170.42</v>
      </c>
      <c r="Y1490">
        <v>170.42</v>
      </c>
      <c r="Z1490">
        <v>209.95</v>
      </c>
      <c r="AA1490" t="s">
        <v>97</v>
      </c>
      <c r="AB1490">
        <v>209.95</v>
      </c>
    </row>
    <row r="1491" spans="1:28" x14ac:dyDescent="0.2">
      <c r="A1491" t="s">
        <v>92</v>
      </c>
      <c r="B1491" t="s">
        <v>2763</v>
      </c>
      <c r="C1491" t="s">
        <v>2826</v>
      </c>
      <c r="D1491" t="s">
        <v>2827</v>
      </c>
      <c r="E1491" t="s">
        <v>228</v>
      </c>
      <c r="F1491">
        <v>429</v>
      </c>
      <c r="G1491">
        <v>429.95</v>
      </c>
      <c r="H1491">
        <v>653.64</v>
      </c>
      <c r="T1491" t="s">
        <v>97</v>
      </c>
      <c r="V1491">
        <v>340.88</v>
      </c>
      <c r="W1491">
        <v>340.88</v>
      </c>
      <c r="X1491">
        <v>340.88</v>
      </c>
      <c r="Y1491">
        <v>340.88</v>
      </c>
      <c r="Z1491">
        <v>429.95</v>
      </c>
      <c r="AA1491" t="s">
        <v>97</v>
      </c>
      <c r="AB1491">
        <v>429.95</v>
      </c>
    </row>
    <row r="1492" spans="1:28" x14ac:dyDescent="0.2">
      <c r="A1492" t="s">
        <v>92</v>
      </c>
      <c r="B1492" t="s">
        <v>2763</v>
      </c>
      <c r="C1492" t="s">
        <v>2828</v>
      </c>
      <c r="D1492" t="s">
        <v>2829</v>
      </c>
      <c r="E1492" t="s">
        <v>228</v>
      </c>
      <c r="F1492">
        <v>369</v>
      </c>
      <c r="G1492">
        <v>369.95</v>
      </c>
      <c r="H1492">
        <v>562.73</v>
      </c>
      <c r="T1492" t="s">
        <v>97</v>
      </c>
      <c r="V1492">
        <v>293.14999999999998</v>
      </c>
      <c r="W1492">
        <v>293.14999999999998</v>
      </c>
      <c r="X1492">
        <v>293.14999999999998</v>
      </c>
      <c r="Y1492">
        <v>293.14999999999998</v>
      </c>
      <c r="Z1492">
        <v>369.95</v>
      </c>
      <c r="AA1492" t="s">
        <v>97</v>
      </c>
      <c r="AB1492">
        <v>369.95</v>
      </c>
    </row>
    <row r="1493" spans="1:28" x14ac:dyDescent="0.2">
      <c r="A1493" t="s">
        <v>92</v>
      </c>
      <c r="B1493" t="s">
        <v>2763</v>
      </c>
      <c r="C1493" t="s">
        <v>2830</v>
      </c>
      <c r="D1493" t="s">
        <v>2831</v>
      </c>
      <c r="E1493" t="s">
        <v>228</v>
      </c>
      <c r="F1493">
        <v>499</v>
      </c>
      <c r="G1493">
        <v>499.95</v>
      </c>
      <c r="H1493">
        <v>753.64</v>
      </c>
      <c r="T1493" t="s">
        <v>97</v>
      </c>
      <c r="V1493">
        <v>409.06</v>
      </c>
      <c r="W1493">
        <v>409.06</v>
      </c>
      <c r="X1493">
        <v>409.06</v>
      </c>
      <c r="Y1493">
        <v>409.06</v>
      </c>
      <c r="Z1493">
        <v>499.95</v>
      </c>
      <c r="AA1493" t="s">
        <v>97</v>
      </c>
      <c r="AB1493">
        <v>499.95</v>
      </c>
    </row>
    <row r="1494" spans="1:28" x14ac:dyDescent="0.2">
      <c r="A1494" t="s">
        <v>92</v>
      </c>
      <c r="B1494" t="s">
        <v>2763</v>
      </c>
      <c r="C1494" t="s">
        <v>2832</v>
      </c>
      <c r="D1494" t="s">
        <v>2833</v>
      </c>
      <c r="E1494" t="s">
        <v>228</v>
      </c>
      <c r="F1494">
        <v>269</v>
      </c>
      <c r="G1494">
        <v>269.95</v>
      </c>
      <c r="H1494">
        <v>490</v>
      </c>
      <c r="T1494" t="s">
        <v>97</v>
      </c>
      <c r="V1494">
        <v>224.97</v>
      </c>
      <c r="W1494">
        <v>224.97</v>
      </c>
      <c r="X1494">
        <v>224.97</v>
      </c>
      <c r="Y1494">
        <v>224.97</v>
      </c>
      <c r="Z1494">
        <v>269.95</v>
      </c>
      <c r="AA1494" t="s">
        <v>97</v>
      </c>
      <c r="AB1494">
        <v>269.95</v>
      </c>
    </row>
    <row r="1495" spans="1:28" x14ac:dyDescent="0.2">
      <c r="A1495" t="s">
        <v>92</v>
      </c>
      <c r="B1495" t="s">
        <v>2763</v>
      </c>
      <c r="C1495" t="s">
        <v>2834</v>
      </c>
      <c r="D1495" t="s">
        <v>2835</v>
      </c>
      <c r="E1495" t="s">
        <v>96</v>
      </c>
      <c r="F1495">
        <v>659</v>
      </c>
      <c r="H1495">
        <v>599.09</v>
      </c>
      <c r="T1495" t="s">
        <v>97</v>
      </c>
      <c r="Y1495">
        <v>272.69</v>
      </c>
      <c r="Z1495">
        <v>399.95</v>
      </c>
      <c r="AA1495" t="s">
        <v>97</v>
      </c>
    </row>
    <row r="1496" spans="1:28" x14ac:dyDescent="0.2">
      <c r="A1496" t="s">
        <v>92</v>
      </c>
      <c r="B1496" t="s">
        <v>2763</v>
      </c>
      <c r="C1496" t="s">
        <v>2836</v>
      </c>
      <c r="D1496" t="s">
        <v>2837</v>
      </c>
      <c r="E1496" t="s">
        <v>228</v>
      </c>
      <c r="F1496">
        <v>79.95</v>
      </c>
      <c r="G1496">
        <v>79.95</v>
      </c>
      <c r="H1496">
        <v>104.55</v>
      </c>
      <c r="T1496" t="s">
        <v>97</v>
      </c>
      <c r="V1496">
        <v>68.150000000000006</v>
      </c>
      <c r="W1496">
        <v>68.150000000000006</v>
      </c>
      <c r="X1496">
        <v>68.150000000000006</v>
      </c>
      <c r="Y1496">
        <v>68.150000000000006</v>
      </c>
      <c r="Z1496">
        <v>79.95</v>
      </c>
      <c r="AA1496" t="s">
        <v>97</v>
      </c>
      <c r="AB1496">
        <v>79.95</v>
      </c>
    </row>
    <row r="1497" spans="1:28" x14ac:dyDescent="0.2">
      <c r="A1497" t="s">
        <v>92</v>
      </c>
      <c r="B1497" t="s">
        <v>2763</v>
      </c>
      <c r="C1497" t="s">
        <v>2838</v>
      </c>
      <c r="D1497" t="s">
        <v>2839</v>
      </c>
      <c r="E1497" t="s">
        <v>228</v>
      </c>
      <c r="F1497">
        <v>259</v>
      </c>
      <c r="G1497">
        <v>259</v>
      </c>
      <c r="T1497" t="s">
        <v>97</v>
      </c>
      <c r="V1497">
        <v>204.51</v>
      </c>
      <c r="W1497">
        <v>204.51</v>
      </c>
      <c r="X1497">
        <v>204.51</v>
      </c>
      <c r="Y1497">
        <v>204.51</v>
      </c>
      <c r="Z1497">
        <v>259</v>
      </c>
      <c r="AA1497" t="s">
        <v>97</v>
      </c>
      <c r="AB1497">
        <v>259</v>
      </c>
    </row>
    <row r="1498" spans="1:28" x14ac:dyDescent="0.2">
      <c r="A1498" t="s">
        <v>92</v>
      </c>
      <c r="B1498" t="s">
        <v>2763</v>
      </c>
      <c r="C1498" t="s">
        <v>2840</v>
      </c>
      <c r="D1498" t="s">
        <v>2841</v>
      </c>
      <c r="E1498" t="s">
        <v>228</v>
      </c>
      <c r="F1498">
        <v>399</v>
      </c>
      <c r="G1498">
        <v>399.95</v>
      </c>
      <c r="H1498">
        <v>635.45000000000005</v>
      </c>
      <c r="T1498" t="s">
        <v>97</v>
      </c>
      <c r="V1498">
        <v>272.69</v>
      </c>
      <c r="W1498">
        <v>272.69</v>
      </c>
      <c r="X1498">
        <v>272.69</v>
      </c>
      <c r="Y1498">
        <v>272.69</v>
      </c>
      <c r="Z1498">
        <v>399.95</v>
      </c>
      <c r="AA1498" t="s">
        <v>97</v>
      </c>
      <c r="AB1498">
        <v>399.95</v>
      </c>
    </row>
    <row r="1499" spans="1:28" x14ac:dyDescent="0.2">
      <c r="A1499" t="s">
        <v>92</v>
      </c>
      <c r="B1499" t="s">
        <v>2763</v>
      </c>
      <c r="C1499" t="s">
        <v>2842</v>
      </c>
      <c r="D1499" t="s">
        <v>2843</v>
      </c>
      <c r="E1499" t="s">
        <v>228</v>
      </c>
      <c r="F1499">
        <v>199</v>
      </c>
      <c r="G1499">
        <v>199</v>
      </c>
      <c r="T1499" t="s">
        <v>97</v>
      </c>
      <c r="V1499">
        <v>163.6</v>
      </c>
      <c r="W1499">
        <v>163.6</v>
      </c>
      <c r="X1499">
        <v>163.6</v>
      </c>
      <c r="Y1499">
        <v>163.6</v>
      </c>
      <c r="Z1499">
        <v>199</v>
      </c>
      <c r="AA1499" t="s">
        <v>97</v>
      </c>
      <c r="AB1499">
        <v>199</v>
      </c>
    </row>
    <row r="1500" spans="1:28" x14ac:dyDescent="0.2">
      <c r="A1500" t="s">
        <v>92</v>
      </c>
      <c r="B1500" t="s">
        <v>2763</v>
      </c>
      <c r="C1500" t="s">
        <v>2844</v>
      </c>
      <c r="D1500" t="s">
        <v>2845</v>
      </c>
      <c r="E1500" t="s">
        <v>228</v>
      </c>
      <c r="F1500">
        <v>159</v>
      </c>
      <c r="G1500">
        <v>159</v>
      </c>
      <c r="T1500" t="s">
        <v>97</v>
      </c>
      <c r="V1500">
        <v>136.33000000000001</v>
      </c>
      <c r="W1500">
        <v>136.33000000000001</v>
      </c>
      <c r="X1500">
        <v>136.33000000000001</v>
      </c>
      <c r="Y1500">
        <v>136.33000000000001</v>
      </c>
      <c r="Z1500">
        <v>159</v>
      </c>
      <c r="AA1500" t="s">
        <v>97</v>
      </c>
      <c r="AB1500">
        <v>159</v>
      </c>
    </row>
    <row r="1501" spans="1:28" x14ac:dyDescent="0.2">
      <c r="A1501" t="s">
        <v>92</v>
      </c>
      <c r="B1501" t="s">
        <v>2763</v>
      </c>
      <c r="C1501" t="s">
        <v>2846</v>
      </c>
      <c r="D1501" t="s">
        <v>2847</v>
      </c>
      <c r="E1501" t="s">
        <v>228</v>
      </c>
      <c r="F1501">
        <v>179</v>
      </c>
      <c r="G1501">
        <v>179</v>
      </c>
      <c r="T1501" t="s">
        <v>97</v>
      </c>
      <c r="V1501">
        <v>149.97</v>
      </c>
      <c r="W1501">
        <v>149.97</v>
      </c>
      <c r="X1501">
        <v>149.97</v>
      </c>
      <c r="Y1501">
        <v>149.97</v>
      </c>
      <c r="Z1501">
        <v>179</v>
      </c>
      <c r="AA1501" t="s">
        <v>97</v>
      </c>
      <c r="AB1501">
        <v>179</v>
      </c>
    </row>
    <row r="1502" spans="1:28" x14ac:dyDescent="0.2">
      <c r="A1502" t="s">
        <v>92</v>
      </c>
      <c r="B1502" t="s">
        <v>2763</v>
      </c>
      <c r="C1502" t="s">
        <v>2848</v>
      </c>
      <c r="D1502" t="s">
        <v>2849</v>
      </c>
      <c r="E1502" t="s">
        <v>228</v>
      </c>
      <c r="F1502">
        <v>269</v>
      </c>
      <c r="G1502">
        <v>269</v>
      </c>
      <c r="T1502" t="s">
        <v>97</v>
      </c>
      <c r="V1502">
        <v>211.33</v>
      </c>
      <c r="W1502">
        <v>211.33</v>
      </c>
      <c r="X1502">
        <v>211.33</v>
      </c>
      <c r="Y1502">
        <v>211.33</v>
      </c>
      <c r="Z1502">
        <v>269</v>
      </c>
      <c r="AA1502" t="s">
        <v>97</v>
      </c>
      <c r="AB1502">
        <v>269</v>
      </c>
    </row>
    <row r="1503" spans="1:28" x14ac:dyDescent="0.2">
      <c r="A1503" t="s">
        <v>92</v>
      </c>
      <c r="B1503" t="s">
        <v>2763</v>
      </c>
      <c r="C1503" t="s">
        <v>2850</v>
      </c>
      <c r="D1503" t="s">
        <v>2851</v>
      </c>
      <c r="E1503" t="s">
        <v>228</v>
      </c>
      <c r="F1503">
        <v>449</v>
      </c>
      <c r="G1503">
        <v>449</v>
      </c>
      <c r="T1503" t="s">
        <v>97</v>
      </c>
      <c r="V1503">
        <v>334.06</v>
      </c>
      <c r="W1503">
        <v>334.06</v>
      </c>
      <c r="X1503">
        <v>334.06</v>
      </c>
      <c r="Y1503">
        <v>334.06</v>
      </c>
      <c r="Z1503">
        <v>449</v>
      </c>
      <c r="AA1503" t="s">
        <v>97</v>
      </c>
      <c r="AB1503">
        <v>449</v>
      </c>
    </row>
    <row r="1504" spans="1:28" x14ac:dyDescent="0.2">
      <c r="A1504" t="s">
        <v>92</v>
      </c>
      <c r="B1504" t="s">
        <v>2852</v>
      </c>
      <c r="C1504" t="s">
        <v>172</v>
      </c>
      <c r="D1504" t="s">
        <v>8928</v>
      </c>
      <c r="E1504" t="s">
        <v>96</v>
      </c>
      <c r="F1504">
        <v>169.99</v>
      </c>
      <c r="T1504" t="s">
        <v>97</v>
      </c>
      <c r="Z1504">
        <v>169.99</v>
      </c>
      <c r="AA1504" t="s">
        <v>97</v>
      </c>
    </row>
    <row r="1505" spans="1:28" x14ac:dyDescent="0.2">
      <c r="A1505" t="s">
        <v>92</v>
      </c>
      <c r="B1505" t="s">
        <v>2852</v>
      </c>
      <c r="C1505" t="s">
        <v>2853</v>
      </c>
      <c r="D1505" t="s">
        <v>2854</v>
      </c>
      <c r="E1505" t="s">
        <v>228</v>
      </c>
      <c r="F1505">
        <v>4399.99</v>
      </c>
      <c r="H1505">
        <v>3399.99</v>
      </c>
      <c r="I1505">
        <v>3599.99</v>
      </c>
      <c r="J1505">
        <v>3599.99</v>
      </c>
      <c r="K1505">
        <v>3199.99</v>
      </c>
      <c r="L1505">
        <v>4197.5200000000004</v>
      </c>
      <c r="M1505">
        <v>4096.37</v>
      </c>
      <c r="Q1505">
        <v>3999.99</v>
      </c>
      <c r="T1505" t="s">
        <v>97</v>
      </c>
      <c r="AA1505" t="s">
        <v>97</v>
      </c>
    </row>
    <row r="1506" spans="1:28" x14ac:dyDescent="0.2">
      <c r="A1506" t="s">
        <v>92</v>
      </c>
      <c r="B1506" t="s">
        <v>2852</v>
      </c>
      <c r="C1506" t="s">
        <v>2855</v>
      </c>
      <c r="D1506" t="s">
        <v>2856</v>
      </c>
      <c r="E1506" t="s">
        <v>228</v>
      </c>
      <c r="F1506">
        <v>999.99</v>
      </c>
      <c r="H1506">
        <v>681.81</v>
      </c>
      <c r="I1506">
        <v>727.27</v>
      </c>
      <c r="J1506">
        <v>818.17</v>
      </c>
      <c r="K1506">
        <v>636.36</v>
      </c>
      <c r="L1506">
        <v>785.63</v>
      </c>
      <c r="M1506">
        <v>772.72</v>
      </c>
      <c r="Q1506">
        <v>727.27</v>
      </c>
      <c r="T1506" t="s">
        <v>97</v>
      </c>
      <c r="AA1506" t="s">
        <v>97</v>
      </c>
    </row>
    <row r="1507" spans="1:28" x14ac:dyDescent="0.2">
      <c r="A1507" t="s">
        <v>92</v>
      </c>
      <c r="B1507" t="s">
        <v>2852</v>
      </c>
      <c r="C1507" t="s">
        <v>8929</v>
      </c>
      <c r="D1507" t="s">
        <v>8930</v>
      </c>
      <c r="E1507" t="s">
        <v>228</v>
      </c>
      <c r="F1507">
        <v>2499.9899999999998</v>
      </c>
      <c r="H1507">
        <v>1818.17</v>
      </c>
      <c r="I1507">
        <v>1931.81</v>
      </c>
      <c r="J1507">
        <v>2045.45</v>
      </c>
      <c r="K1507">
        <v>1704.54</v>
      </c>
      <c r="L1507">
        <v>2159.08</v>
      </c>
      <c r="Q1507">
        <v>2045.45</v>
      </c>
      <c r="T1507" t="s">
        <v>97</v>
      </c>
      <c r="AA1507" t="s">
        <v>97</v>
      </c>
    </row>
    <row r="1508" spans="1:28" x14ac:dyDescent="0.2">
      <c r="A1508" t="s">
        <v>92</v>
      </c>
      <c r="B1508" t="s">
        <v>2852</v>
      </c>
      <c r="C1508" t="s">
        <v>8931</v>
      </c>
      <c r="D1508" t="s">
        <v>8932</v>
      </c>
      <c r="E1508" t="s">
        <v>228</v>
      </c>
      <c r="F1508">
        <v>13999.99</v>
      </c>
      <c r="H1508">
        <v>11454.54</v>
      </c>
      <c r="I1508">
        <v>11454.54</v>
      </c>
      <c r="J1508">
        <v>11454.54</v>
      </c>
      <c r="K1508">
        <v>10818.17</v>
      </c>
      <c r="L1508">
        <v>13356.51</v>
      </c>
      <c r="Q1508">
        <v>12727.26</v>
      </c>
      <c r="T1508" t="s">
        <v>97</v>
      </c>
      <c r="AA1508" t="s">
        <v>97</v>
      </c>
    </row>
    <row r="1509" spans="1:28" x14ac:dyDescent="0.2">
      <c r="A1509" t="s">
        <v>92</v>
      </c>
      <c r="B1509" t="s">
        <v>2852</v>
      </c>
      <c r="C1509" t="s">
        <v>2857</v>
      </c>
      <c r="D1509" t="s">
        <v>2858</v>
      </c>
      <c r="E1509" t="s">
        <v>228</v>
      </c>
      <c r="F1509">
        <v>169.99</v>
      </c>
      <c r="H1509">
        <v>131.36000000000001</v>
      </c>
      <c r="I1509">
        <v>139.08000000000001</v>
      </c>
      <c r="K1509">
        <v>131.36000000000001</v>
      </c>
      <c r="L1509">
        <v>162.16999999999999</v>
      </c>
      <c r="T1509" t="s">
        <v>97</v>
      </c>
      <c r="AA1509" t="s">
        <v>97</v>
      </c>
    </row>
    <row r="1510" spans="1:28" x14ac:dyDescent="0.2">
      <c r="A1510" t="s">
        <v>92</v>
      </c>
      <c r="B1510" t="s">
        <v>2852</v>
      </c>
      <c r="C1510" t="s">
        <v>2859</v>
      </c>
      <c r="D1510" t="s">
        <v>8699</v>
      </c>
      <c r="E1510" t="s">
        <v>228</v>
      </c>
      <c r="F1510">
        <v>399.99</v>
      </c>
      <c r="H1510">
        <v>272.72000000000003</v>
      </c>
      <c r="I1510">
        <v>290.89999999999998</v>
      </c>
      <c r="J1510">
        <v>327.26</v>
      </c>
      <c r="K1510">
        <v>254.54</v>
      </c>
      <c r="L1510">
        <v>314.25</v>
      </c>
      <c r="O1510">
        <v>290.89999999999998</v>
      </c>
      <c r="Q1510">
        <v>290.89999999999998</v>
      </c>
      <c r="T1510" t="s">
        <v>97</v>
      </c>
      <c r="AA1510" t="s">
        <v>97</v>
      </c>
    </row>
    <row r="1511" spans="1:28" x14ac:dyDescent="0.2">
      <c r="A1511" t="s">
        <v>92</v>
      </c>
      <c r="B1511" t="s">
        <v>2852</v>
      </c>
      <c r="C1511" t="s">
        <v>2860</v>
      </c>
      <c r="D1511" t="s">
        <v>8700</v>
      </c>
      <c r="E1511" t="s">
        <v>228</v>
      </c>
      <c r="F1511">
        <v>2799.99</v>
      </c>
      <c r="H1511">
        <v>2163.63</v>
      </c>
      <c r="I1511">
        <v>2290.9</v>
      </c>
      <c r="J1511">
        <v>2290.9</v>
      </c>
      <c r="K1511">
        <v>2036.36</v>
      </c>
      <c r="L1511">
        <v>2671.15</v>
      </c>
      <c r="Q1511">
        <v>2545.4499999999998</v>
      </c>
      <c r="T1511" t="s">
        <v>97</v>
      </c>
      <c r="AA1511" t="s">
        <v>97</v>
      </c>
    </row>
    <row r="1512" spans="1:28" x14ac:dyDescent="0.2">
      <c r="A1512" t="s">
        <v>92</v>
      </c>
      <c r="B1512" t="s">
        <v>2852</v>
      </c>
      <c r="C1512" t="s">
        <v>2861</v>
      </c>
      <c r="D1512" t="s">
        <v>2862</v>
      </c>
      <c r="E1512" t="s">
        <v>290</v>
      </c>
      <c r="F1512">
        <v>399.99</v>
      </c>
      <c r="H1512">
        <v>272.72000000000003</v>
      </c>
      <c r="I1512">
        <v>290.89999999999998</v>
      </c>
      <c r="J1512">
        <v>327.26</v>
      </c>
      <c r="K1512">
        <v>254.54</v>
      </c>
      <c r="L1512">
        <v>314.25</v>
      </c>
      <c r="M1512">
        <v>309.08</v>
      </c>
      <c r="O1512">
        <v>309.08</v>
      </c>
      <c r="Q1512">
        <v>290.89999999999998</v>
      </c>
      <c r="T1512" t="s">
        <v>97</v>
      </c>
      <c r="V1512">
        <v>309.08</v>
      </c>
      <c r="W1512">
        <v>262.72000000000003</v>
      </c>
      <c r="X1512">
        <v>309.08</v>
      </c>
      <c r="Y1512">
        <v>309.08</v>
      </c>
      <c r="Z1512">
        <v>399.99</v>
      </c>
      <c r="AA1512" t="s">
        <v>97</v>
      </c>
    </row>
    <row r="1513" spans="1:28" x14ac:dyDescent="0.2">
      <c r="A1513" t="s">
        <v>92</v>
      </c>
      <c r="B1513" t="s">
        <v>2852</v>
      </c>
      <c r="C1513" t="s">
        <v>2863</v>
      </c>
      <c r="D1513" t="s">
        <v>2864</v>
      </c>
      <c r="E1513" t="s">
        <v>228</v>
      </c>
      <c r="F1513">
        <v>1599.99</v>
      </c>
      <c r="H1513">
        <v>1236.3599999999999</v>
      </c>
      <c r="I1513">
        <v>1309.08</v>
      </c>
      <c r="J1513">
        <v>1309.08</v>
      </c>
      <c r="K1513">
        <v>1207.26</v>
      </c>
      <c r="T1513" t="s">
        <v>97</v>
      </c>
      <c r="AA1513" t="s">
        <v>97</v>
      </c>
    </row>
    <row r="1514" spans="1:28" x14ac:dyDescent="0.2">
      <c r="A1514" t="s">
        <v>92</v>
      </c>
      <c r="B1514" t="s">
        <v>2852</v>
      </c>
      <c r="C1514" t="s">
        <v>2867</v>
      </c>
      <c r="D1514" t="s">
        <v>2868</v>
      </c>
      <c r="E1514" t="s">
        <v>228</v>
      </c>
      <c r="F1514">
        <v>419.99</v>
      </c>
      <c r="H1514">
        <v>286.36</v>
      </c>
      <c r="I1514">
        <v>305.45</v>
      </c>
      <c r="J1514">
        <v>343.63</v>
      </c>
      <c r="K1514">
        <v>267.27</v>
      </c>
      <c r="L1514">
        <v>329.96</v>
      </c>
      <c r="M1514">
        <v>324.54000000000002</v>
      </c>
      <c r="O1514">
        <v>305.45</v>
      </c>
      <c r="Q1514">
        <v>305.45</v>
      </c>
      <c r="T1514" t="s">
        <v>97</v>
      </c>
      <c r="Z1514">
        <v>419.99</v>
      </c>
      <c r="AA1514" t="s">
        <v>97</v>
      </c>
    </row>
    <row r="1515" spans="1:28" x14ac:dyDescent="0.2">
      <c r="A1515" t="s">
        <v>92</v>
      </c>
      <c r="B1515" t="s">
        <v>2852</v>
      </c>
      <c r="C1515" t="s">
        <v>8701</v>
      </c>
      <c r="D1515" t="s">
        <v>8702</v>
      </c>
      <c r="E1515" t="s">
        <v>228</v>
      </c>
      <c r="F1515">
        <v>4399.99</v>
      </c>
      <c r="H1515">
        <v>3699.99</v>
      </c>
      <c r="K1515">
        <v>3599.99</v>
      </c>
      <c r="L1515">
        <v>4567.8900000000003</v>
      </c>
      <c r="T1515" t="s">
        <v>97</v>
      </c>
      <c r="AA1515" t="s">
        <v>97</v>
      </c>
      <c r="AB1515">
        <v>4399.99</v>
      </c>
    </row>
    <row r="1516" spans="1:28" x14ac:dyDescent="0.2">
      <c r="A1516" t="s">
        <v>92</v>
      </c>
      <c r="B1516" t="s">
        <v>2852</v>
      </c>
      <c r="C1516" t="s">
        <v>2869</v>
      </c>
      <c r="D1516" t="s">
        <v>2870</v>
      </c>
      <c r="E1516" t="s">
        <v>290</v>
      </c>
      <c r="F1516">
        <v>4399.99</v>
      </c>
      <c r="H1516">
        <v>3699.99</v>
      </c>
      <c r="K1516">
        <v>3599.99</v>
      </c>
      <c r="L1516">
        <v>4567.8900000000003</v>
      </c>
      <c r="T1516" t="s">
        <v>97</v>
      </c>
      <c r="AA1516" t="s">
        <v>97</v>
      </c>
      <c r="AB1516">
        <v>4399.99</v>
      </c>
    </row>
    <row r="1517" spans="1:28" x14ac:dyDescent="0.2">
      <c r="A1517" t="s">
        <v>92</v>
      </c>
      <c r="B1517" t="s">
        <v>2852</v>
      </c>
      <c r="C1517" t="s">
        <v>2873</v>
      </c>
      <c r="D1517" t="s">
        <v>2874</v>
      </c>
      <c r="E1517" t="s">
        <v>228</v>
      </c>
      <c r="F1517">
        <v>5999.99</v>
      </c>
      <c r="H1517">
        <v>4636.3599999999997</v>
      </c>
      <c r="I1517">
        <v>4909.08</v>
      </c>
      <c r="J1517">
        <v>4909.08</v>
      </c>
      <c r="K1517">
        <v>4527.24</v>
      </c>
      <c r="L1517">
        <v>5723.9</v>
      </c>
      <c r="M1517">
        <v>5585.98</v>
      </c>
      <c r="Q1517">
        <v>5454.54</v>
      </c>
      <c r="T1517" t="s">
        <v>97</v>
      </c>
      <c r="Z1517">
        <v>5999.99</v>
      </c>
      <c r="AA1517" t="s">
        <v>97</v>
      </c>
    </row>
    <row r="1518" spans="1:28" x14ac:dyDescent="0.2">
      <c r="A1518" t="s">
        <v>92</v>
      </c>
      <c r="B1518" t="s">
        <v>2852</v>
      </c>
      <c r="C1518" t="s">
        <v>2875</v>
      </c>
      <c r="D1518" t="s">
        <v>2876</v>
      </c>
      <c r="E1518" t="s">
        <v>228</v>
      </c>
      <c r="F1518">
        <v>169.99</v>
      </c>
      <c r="H1518">
        <v>131.36000000000001</v>
      </c>
      <c r="I1518">
        <v>139.08000000000001</v>
      </c>
      <c r="K1518">
        <v>131.36000000000001</v>
      </c>
      <c r="L1518">
        <v>162.16999999999999</v>
      </c>
      <c r="T1518" t="s">
        <v>97</v>
      </c>
      <c r="AA1518" t="s">
        <v>97</v>
      </c>
    </row>
    <row r="1519" spans="1:28" x14ac:dyDescent="0.2">
      <c r="A1519" t="s">
        <v>92</v>
      </c>
      <c r="B1519" t="s">
        <v>2852</v>
      </c>
      <c r="C1519" t="s">
        <v>8703</v>
      </c>
      <c r="D1519" t="s">
        <v>8704</v>
      </c>
      <c r="E1519" t="s">
        <v>228</v>
      </c>
      <c r="F1519">
        <v>299.99</v>
      </c>
      <c r="H1519">
        <v>231.81</v>
      </c>
      <c r="I1519">
        <v>245.45</v>
      </c>
      <c r="K1519">
        <v>218.17</v>
      </c>
      <c r="L1519">
        <v>286.19</v>
      </c>
      <c r="T1519" t="s">
        <v>97</v>
      </c>
      <c r="AA1519" t="s">
        <v>97</v>
      </c>
      <c r="AB1519">
        <v>299.99</v>
      </c>
    </row>
    <row r="1520" spans="1:28" x14ac:dyDescent="0.2">
      <c r="A1520" t="s">
        <v>92</v>
      </c>
      <c r="B1520" t="s">
        <v>2852</v>
      </c>
      <c r="C1520" t="s">
        <v>2877</v>
      </c>
      <c r="D1520" t="s">
        <v>2878</v>
      </c>
      <c r="E1520" t="s">
        <v>290</v>
      </c>
      <c r="F1520">
        <v>299.99</v>
      </c>
      <c r="H1520">
        <v>231.81</v>
      </c>
      <c r="I1520">
        <v>245.45</v>
      </c>
      <c r="K1520">
        <v>218.17</v>
      </c>
      <c r="L1520">
        <v>286.19</v>
      </c>
      <c r="T1520" t="s">
        <v>97</v>
      </c>
      <c r="AA1520" t="s">
        <v>97</v>
      </c>
      <c r="AB1520">
        <v>299.99</v>
      </c>
    </row>
    <row r="1521" spans="1:27" x14ac:dyDescent="0.2">
      <c r="A1521" t="s">
        <v>92</v>
      </c>
      <c r="B1521" t="s">
        <v>2852</v>
      </c>
      <c r="C1521" t="s">
        <v>2879</v>
      </c>
      <c r="D1521" t="s">
        <v>2880</v>
      </c>
      <c r="E1521" t="s">
        <v>228</v>
      </c>
      <c r="F1521">
        <v>44.99</v>
      </c>
      <c r="H1521">
        <v>28.63</v>
      </c>
      <c r="I1521">
        <v>30.68</v>
      </c>
      <c r="J1521">
        <v>36.81</v>
      </c>
      <c r="K1521">
        <v>24.54</v>
      </c>
      <c r="L1521">
        <v>34.770000000000003</v>
      </c>
      <c r="M1521">
        <v>34.770000000000003</v>
      </c>
      <c r="O1521">
        <v>29.26</v>
      </c>
      <c r="Q1521">
        <v>28.63</v>
      </c>
      <c r="T1521" t="s">
        <v>97</v>
      </c>
      <c r="AA1521" t="s">
        <v>97</v>
      </c>
    </row>
    <row r="1522" spans="1:27" x14ac:dyDescent="0.2">
      <c r="A1522" t="s">
        <v>92</v>
      </c>
      <c r="B1522" t="s">
        <v>2852</v>
      </c>
      <c r="C1522" t="s">
        <v>2881</v>
      </c>
      <c r="D1522" t="s">
        <v>2882</v>
      </c>
      <c r="E1522" t="s">
        <v>228</v>
      </c>
      <c r="F1522">
        <v>329.99</v>
      </c>
      <c r="G1522">
        <v>329.99</v>
      </c>
      <c r="H1522">
        <v>239.99</v>
      </c>
      <c r="I1522">
        <v>254.99</v>
      </c>
      <c r="J1522">
        <v>269.99</v>
      </c>
      <c r="K1522">
        <v>224.99</v>
      </c>
      <c r="L1522">
        <v>296.29000000000002</v>
      </c>
      <c r="M1522">
        <v>299.99</v>
      </c>
      <c r="Q1522">
        <v>287.42</v>
      </c>
      <c r="T1522" t="s">
        <v>97</v>
      </c>
      <c r="Z1522">
        <v>329.99</v>
      </c>
      <c r="AA1522" t="s">
        <v>97</v>
      </c>
    </row>
    <row r="1523" spans="1:27" x14ac:dyDescent="0.2">
      <c r="A1523" t="s">
        <v>92</v>
      </c>
      <c r="B1523" t="s">
        <v>2852</v>
      </c>
      <c r="C1523" t="s">
        <v>2883</v>
      </c>
      <c r="D1523" t="s">
        <v>2884</v>
      </c>
      <c r="E1523" t="s">
        <v>228</v>
      </c>
      <c r="F1523">
        <v>349.99</v>
      </c>
      <c r="H1523">
        <v>254.54</v>
      </c>
      <c r="I1523">
        <v>270.45</v>
      </c>
      <c r="J1523">
        <v>286.36</v>
      </c>
      <c r="K1523">
        <v>238.63</v>
      </c>
      <c r="L1523">
        <v>314.25</v>
      </c>
      <c r="M1523">
        <v>318.18</v>
      </c>
      <c r="Q1523">
        <v>304.85000000000002</v>
      </c>
      <c r="T1523" t="s">
        <v>97</v>
      </c>
      <c r="AA1523" t="s">
        <v>97</v>
      </c>
    </row>
    <row r="1524" spans="1:27" x14ac:dyDescent="0.2">
      <c r="A1524" t="s">
        <v>92</v>
      </c>
      <c r="B1524" t="s">
        <v>2852</v>
      </c>
      <c r="C1524" t="s">
        <v>2885</v>
      </c>
      <c r="D1524" t="s">
        <v>2886</v>
      </c>
      <c r="E1524" t="s">
        <v>228</v>
      </c>
      <c r="F1524">
        <v>299.99</v>
      </c>
      <c r="H1524">
        <v>218.17</v>
      </c>
      <c r="I1524">
        <v>231.81</v>
      </c>
      <c r="J1524">
        <v>245.45</v>
      </c>
      <c r="K1524">
        <v>204.54</v>
      </c>
      <c r="L1524">
        <v>269.35000000000002</v>
      </c>
      <c r="M1524">
        <v>272.70999999999998</v>
      </c>
      <c r="Q1524">
        <v>261.29000000000002</v>
      </c>
      <c r="T1524" t="s">
        <v>97</v>
      </c>
      <c r="AA1524" t="s">
        <v>97</v>
      </c>
    </row>
    <row r="1525" spans="1:27" x14ac:dyDescent="0.2">
      <c r="A1525" t="s">
        <v>92</v>
      </c>
      <c r="B1525" t="s">
        <v>2852</v>
      </c>
      <c r="C1525" t="s">
        <v>2887</v>
      </c>
      <c r="D1525" t="s">
        <v>2888</v>
      </c>
      <c r="E1525" t="s">
        <v>228</v>
      </c>
      <c r="F1525">
        <v>329.99</v>
      </c>
      <c r="G1525">
        <v>329.99</v>
      </c>
      <c r="H1525">
        <v>239.99</v>
      </c>
      <c r="I1525">
        <v>254.99</v>
      </c>
      <c r="J1525">
        <v>269.99</v>
      </c>
      <c r="K1525">
        <v>224.99</v>
      </c>
      <c r="L1525">
        <v>296.29000000000002</v>
      </c>
      <c r="M1525">
        <v>299.99</v>
      </c>
      <c r="Q1525">
        <v>287.42</v>
      </c>
      <c r="T1525" t="s">
        <v>97</v>
      </c>
      <c r="Z1525">
        <v>329.99</v>
      </c>
      <c r="AA1525" t="s">
        <v>97</v>
      </c>
    </row>
    <row r="1526" spans="1:27" x14ac:dyDescent="0.2">
      <c r="A1526" t="s">
        <v>92</v>
      </c>
      <c r="B1526" t="s">
        <v>2852</v>
      </c>
      <c r="C1526" t="s">
        <v>2889</v>
      </c>
      <c r="D1526" t="s">
        <v>2890</v>
      </c>
      <c r="E1526" t="s">
        <v>228</v>
      </c>
      <c r="F1526">
        <v>9.99</v>
      </c>
      <c r="H1526">
        <v>0.01</v>
      </c>
      <c r="Q1526">
        <v>0.01</v>
      </c>
      <c r="T1526" t="s">
        <v>97</v>
      </c>
      <c r="AA1526" t="s">
        <v>97</v>
      </c>
    </row>
    <row r="1527" spans="1:27" x14ac:dyDescent="0.2">
      <c r="A1527" t="s">
        <v>92</v>
      </c>
      <c r="B1527" t="s">
        <v>2852</v>
      </c>
      <c r="C1527" t="s">
        <v>2891</v>
      </c>
      <c r="D1527" t="s">
        <v>2892</v>
      </c>
      <c r="E1527" t="s">
        <v>228</v>
      </c>
      <c r="F1527">
        <v>169.99</v>
      </c>
      <c r="H1527">
        <v>131.36000000000001</v>
      </c>
      <c r="I1527">
        <v>139.08000000000001</v>
      </c>
      <c r="K1527">
        <v>131.36000000000001</v>
      </c>
      <c r="L1527">
        <v>162.16999999999999</v>
      </c>
      <c r="T1527" t="s">
        <v>97</v>
      </c>
      <c r="AA1527" t="s">
        <v>97</v>
      </c>
    </row>
    <row r="1528" spans="1:27" x14ac:dyDescent="0.2">
      <c r="A1528" t="s">
        <v>92</v>
      </c>
      <c r="B1528" t="s">
        <v>2852</v>
      </c>
      <c r="C1528" t="s">
        <v>2893</v>
      </c>
      <c r="D1528" t="s">
        <v>2894</v>
      </c>
      <c r="E1528" t="s">
        <v>228</v>
      </c>
      <c r="F1528">
        <v>199.99</v>
      </c>
      <c r="H1528">
        <v>136.36000000000001</v>
      </c>
      <c r="I1528">
        <v>145.44999999999999</v>
      </c>
      <c r="J1528">
        <v>163.63</v>
      </c>
      <c r="K1528">
        <v>136.36000000000001</v>
      </c>
      <c r="L1528">
        <v>172.72</v>
      </c>
      <c r="M1528">
        <v>163.63</v>
      </c>
      <c r="O1528">
        <v>154.54</v>
      </c>
      <c r="Q1528">
        <v>193.17</v>
      </c>
      <c r="T1528" t="s">
        <v>97</v>
      </c>
      <c r="Z1528">
        <v>199.99</v>
      </c>
      <c r="AA1528" t="s">
        <v>97</v>
      </c>
    </row>
    <row r="1529" spans="1:27" x14ac:dyDescent="0.2">
      <c r="A1529" t="s">
        <v>92</v>
      </c>
      <c r="B1529" t="s">
        <v>2852</v>
      </c>
      <c r="C1529" t="s">
        <v>2895</v>
      </c>
      <c r="D1529" t="s">
        <v>2896</v>
      </c>
      <c r="E1529" t="s">
        <v>228</v>
      </c>
      <c r="F1529">
        <v>2699.99</v>
      </c>
      <c r="H1529">
        <v>2086.36</v>
      </c>
      <c r="I1529">
        <v>2209.08</v>
      </c>
      <c r="J1529">
        <v>2209.08</v>
      </c>
      <c r="K1529">
        <v>1963.63</v>
      </c>
      <c r="L1529">
        <v>2575.75</v>
      </c>
      <c r="M1529">
        <v>2513.69</v>
      </c>
      <c r="Q1529">
        <v>2454.54</v>
      </c>
      <c r="T1529" t="s">
        <v>97</v>
      </c>
      <c r="Z1529">
        <v>2699.99</v>
      </c>
      <c r="AA1529" t="s">
        <v>97</v>
      </c>
    </row>
    <row r="1530" spans="1:27" x14ac:dyDescent="0.2">
      <c r="A1530" t="s">
        <v>92</v>
      </c>
      <c r="B1530" t="s">
        <v>2852</v>
      </c>
      <c r="C1530" t="s">
        <v>8491</v>
      </c>
      <c r="D1530" t="s">
        <v>8492</v>
      </c>
      <c r="E1530" t="s">
        <v>228</v>
      </c>
      <c r="F1530">
        <v>219.99</v>
      </c>
      <c r="H1530">
        <v>159.99</v>
      </c>
      <c r="I1530">
        <v>169.99</v>
      </c>
      <c r="K1530">
        <v>149.99</v>
      </c>
      <c r="L1530">
        <v>197.52</v>
      </c>
      <c r="M1530">
        <v>199.99</v>
      </c>
      <c r="Q1530">
        <v>191.61</v>
      </c>
      <c r="T1530" t="s">
        <v>97</v>
      </c>
      <c r="AA1530" t="s">
        <v>97</v>
      </c>
    </row>
    <row r="1531" spans="1:27" x14ac:dyDescent="0.2">
      <c r="A1531" t="s">
        <v>92</v>
      </c>
      <c r="B1531" t="s">
        <v>2852</v>
      </c>
      <c r="C1531" t="s">
        <v>2897</v>
      </c>
      <c r="D1531" t="s">
        <v>2898</v>
      </c>
      <c r="E1531" t="s">
        <v>228</v>
      </c>
      <c r="F1531">
        <v>39.99</v>
      </c>
      <c r="H1531">
        <v>30.9</v>
      </c>
      <c r="I1531">
        <v>32.72</v>
      </c>
      <c r="K1531">
        <v>30.9</v>
      </c>
      <c r="L1531">
        <v>38.15</v>
      </c>
      <c r="T1531" t="s">
        <v>97</v>
      </c>
      <c r="AA1531" t="s">
        <v>97</v>
      </c>
    </row>
    <row r="1532" spans="1:27" x14ac:dyDescent="0.2">
      <c r="A1532" t="s">
        <v>92</v>
      </c>
      <c r="B1532" t="s">
        <v>2852</v>
      </c>
      <c r="C1532" t="s">
        <v>2899</v>
      </c>
      <c r="D1532" t="s">
        <v>2900</v>
      </c>
      <c r="E1532" t="s">
        <v>228</v>
      </c>
      <c r="F1532">
        <v>279.99</v>
      </c>
      <c r="H1532">
        <v>203.63</v>
      </c>
      <c r="I1532">
        <v>216.36</v>
      </c>
      <c r="J1532">
        <v>229.08</v>
      </c>
      <c r="K1532">
        <v>203.63</v>
      </c>
      <c r="L1532">
        <v>251.4</v>
      </c>
      <c r="M1532">
        <v>248.17</v>
      </c>
      <c r="O1532">
        <v>229.08</v>
      </c>
      <c r="Q1532">
        <v>246.82</v>
      </c>
      <c r="T1532" t="s">
        <v>97</v>
      </c>
      <c r="V1532">
        <v>216.36</v>
      </c>
      <c r="W1532">
        <v>200.9</v>
      </c>
      <c r="X1532">
        <v>216.36</v>
      </c>
      <c r="Y1532">
        <v>216.36</v>
      </c>
      <c r="Z1532">
        <v>279.99</v>
      </c>
      <c r="AA1532" t="s">
        <v>97</v>
      </c>
    </row>
    <row r="1533" spans="1:27" x14ac:dyDescent="0.2">
      <c r="A1533" t="s">
        <v>92</v>
      </c>
      <c r="B1533" t="s">
        <v>2852</v>
      </c>
      <c r="C1533" t="s">
        <v>2901</v>
      </c>
      <c r="D1533" t="s">
        <v>2902</v>
      </c>
      <c r="E1533" t="s">
        <v>228</v>
      </c>
      <c r="F1533">
        <v>99.99</v>
      </c>
      <c r="G1533">
        <v>99.99</v>
      </c>
      <c r="H1533">
        <v>68.180000000000007</v>
      </c>
      <c r="I1533">
        <v>72.72</v>
      </c>
      <c r="J1533">
        <v>81.81</v>
      </c>
      <c r="K1533">
        <v>63.63</v>
      </c>
      <c r="L1533">
        <v>78.56</v>
      </c>
      <c r="M1533">
        <v>72.72</v>
      </c>
      <c r="O1533">
        <v>75.260000000000005</v>
      </c>
      <c r="P1533">
        <v>59.09</v>
      </c>
      <c r="Q1533">
        <v>72.72</v>
      </c>
      <c r="T1533" t="s">
        <v>97</v>
      </c>
      <c r="V1533">
        <v>77.27</v>
      </c>
      <c r="W1533">
        <v>77.27</v>
      </c>
      <c r="X1533">
        <v>77.27</v>
      </c>
      <c r="Y1533">
        <v>77.27</v>
      </c>
      <c r="Z1533">
        <v>99.99</v>
      </c>
      <c r="AA1533" t="s">
        <v>97</v>
      </c>
    </row>
    <row r="1534" spans="1:27" x14ac:dyDescent="0.2">
      <c r="A1534" t="s">
        <v>92</v>
      </c>
      <c r="B1534" t="s">
        <v>2852</v>
      </c>
      <c r="C1534" t="s">
        <v>2903</v>
      </c>
      <c r="D1534" t="s">
        <v>2904</v>
      </c>
      <c r="E1534" t="s">
        <v>228</v>
      </c>
      <c r="F1534">
        <v>99.99</v>
      </c>
      <c r="G1534">
        <v>99.99</v>
      </c>
      <c r="H1534">
        <v>68.180000000000007</v>
      </c>
      <c r="I1534">
        <v>72.72</v>
      </c>
      <c r="J1534">
        <v>81.81</v>
      </c>
      <c r="K1534">
        <v>63.63</v>
      </c>
      <c r="L1534">
        <v>78.56</v>
      </c>
      <c r="M1534">
        <v>72.72</v>
      </c>
      <c r="O1534">
        <v>75.260000000000005</v>
      </c>
      <c r="P1534">
        <v>59.09</v>
      </c>
      <c r="Q1534">
        <v>72.72</v>
      </c>
      <c r="T1534" t="s">
        <v>97</v>
      </c>
      <c r="V1534">
        <v>77.27</v>
      </c>
      <c r="W1534">
        <v>77.27</v>
      </c>
      <c r="X1534">
        <v>77.27</v>
      </c>
      <c r="Y1534">
        <v>77.27</v>
      </c>
      <c r="Z1534">
        <v>99.99</v>
      </c>
      <c r="AA1534" t="s">
        <v>97</v>
      </c>
    </row>
    <row r="1535" spans="1:27" x14ac:dyDescent="0.2">
      <c r="A1535" t="s">
        <v>92</v>
      </c>
      <c r="B1535" t="s">
        <v>2852</v>
      </c>
      <c r="C1535" t="s">
        <v>2905</v>
      </c>
      <c r="D1535" t="s">
        <v>2906</v>
      </c>
      <c r="E1535" t="s">
        <v>228</v>
      </c>
      <c r="F1535">
        <v>179.99</v>
      </c>
      <c r="H1535">
        <v>122.72</v>
      </c>
      <c r="I1535">
        <v>130.9</v>
      </c>
      <c r="J1535">
        <v>147.26</v>
      </c>
      <c r="K1535">
        <v>122.72</v>
      </c>
      <c r="L1535">
        <v>155.44999999999999</v>
      </c>
      <c r="M1535">
        <v>147.26</v>
      </c>
      <c r="O1535">
        <v>130.9</v>
      </c>
      <c r="Q1535">
        <v>139.08000000000001</v>
      </c>
      <c r="T1535" t="s">
        <v>97</v>
      </c>
      <c r="V1535">
        <v>139.08000000000001</v>
      </c>
      <c r="W1535">
        <v>123.63</v>
      </c>
      <c r="X1535">
        <v>139.08000000000001</v>
      </c>
      <c r="Y1535">
        <v>139.08000000000001</v>
      </c>
      <c r="Z1535">
        <v>179.99</v>
      </c>
      <c r="AA1535" t="s">
        <v>97</v>
      </c>
    </row>
    <row r="1536" spans="1:27" x14ac:dyDescent="0.2">
      <c r="A1536" t="s">
        <v>92</v>
      </c>
      <c r="B1536" t="s">
        <v>2852</v>
      </c>
      <c r="C1536" t="s">
        <v>2907</v>
      </c>
      <c r="D1536" t="s">
        <v>2908</v>
      </c>
      <c r="E1536" t="s">
        <v>228</v>
      </c>
      <c r="F1536">
        <v>2499.9899999999998</v>
      </c>
      <c r="H1536">
        <v>1931.81</v>
      </c>
      <c r="I1536">
        <v>2045.45</v>
      </c>
      <c r="J1536">
        <v>2045.45</v>
      </c>
      <c r="K1536">
        <v>1818.17</v>
      </c>
      <c r="L1536">
        <v>2384.9499999999998</v>
      </c>
      <c r="M1536">
        <v>2327.48</v>
      </c>
      <c r="Q1536">
        <v>2272.7199999999998</v>
      </c>
      <c r="T1536" t="s">
        <v>97</v>
      </c>
      <c r="Z1536">
        <v>2499.9899999999998</v>
      </c>
      <c r="AA1536" t="s">
        <v>97</v>
      </c>
    </row>
    <row r="1537" spans="1:29" x14ac:dyDescent="0.2">
      <c r="A1537" t="s">
        <v>92</v>
      </c>
      <c r="B1537" t="s">
        <v>2852</v>
      </c>
      <c r="C1537" t="s">
        <v>2909</v>
      </c>
      <c r="D1537" t="s">
        <v>2910</v>
      </c>
      <c r="E1537" t="s">
        <v>228</v>
      </c>
      <c r="F1537">
        <v>99.99</v>
      </c>
      <c r="G1537">
        <v>99.99</v>
      </c>
      <c r="H1537">
        <v>68.180000000000007</v>
      </c>
      <c r="I1537">
        <v>72.72</v>
      </c>
      <c r="J1537">
        <v>81.81</v>
      </c>
      <c r="K1537">
        <v>63.63</v>
      </c>
      <c r="L1537">
        <v>78.56</v>
      </c>
      <c r="M1537">
        <v>72.72</v>
      </c>
      <c r="O1537">
        <v>75.260000000000005</v>
      </c>
      <c r="P1537">
        <v>59.09</v>
      </c>
      <c r="Q1537">
        <v>72.72</v>
      </c>
      <c r="T1537" t="s">
        <v>97</v>
      </c>
      <c r="V1537">
        <v>77.27</v>
      </c>
      <c r="W1537">
        <v>77.27</v>
      </c>
      <c r="X1537">
        <v>77.27</v>
      </c>
      <c r="Y1537">
        <v>77.27</v>
      </c>
      <c r="Z1537">
        <v>99.99</v>
      </c>
      <c r="AA1537" t="s">
        <v>97</v>
      </c>
    </row>
    <row r="1538" spans="1:29" x14ac:dyDescent="0.2">
      <c r="A1538" t="s">
        <v>92</v>
      </c>
      <c r="B1538" t="s">
        <v>2852</v>
      </c>
      <c r="C1538" t="s">
        <v>2911</v>
      </c>
      <c r="D1538" t="s">
        <v>2912</v>
      </c>
      <c r="E1538" t="s">
        <v>290</v>
      </c>
      <c r="F1538">
        <v>9.99</v>
      </c>
      <c r="H1538">
        <v>0</v>
      </c>
      <c r="K1538">
        <v>13.91</v>
      </c>
      <c r="T1538" t="s">
        <v>97</v>
      </c>
      <c r="AA1538" t="s">
        <v>97</v>
      </c>
    </row>
    <row r="1539" spans="1:29" x14ac:dyDescent="0.2">
      <c r="A1539" t="s">
        <v>92</v>
      </c>
      <c r="B1539" t="s">
        <v>2852</v>
      </c>
      <c r="C1539" t="s">
        <v>2913</v>
      </c>
      <c r="D1539" t="s">
        <v>2914</v>
      </c>
      <c r="E1539" t="s">
        <v>228</v>
      </c>
      <c r="F1539">
        <v>39.99</v>
      </c>
      <c r="H1539">
        <v>29.08</v>
      </c>
      <c r="I1539">
        <v>30.9</v>
      </c>
      <c r="J1539">
        <v>32.72</v>
      </c>
      <c r="K1539">
        <v>29.08</v>
      </c>
      <c r="L1539">
        <v>35.9</v>
      </c>
      <c r="M1539">
        <v>36.35</v>
      </c>
      <c r="Q1539">
        <v>32.72</v>
      </c>
      <c r="T1539" t="s">
        <v>97</v>
      </c>
      <c r="AA1539" t="s">
        <v>97</v>
      </c>
    </row>
    <row r="1540" spans="1:29" x14ac:dyDescent="0.2">
      <c r="A1540" t="s">
        <v>92</v>
      </c>
      <c r="B1540" t="s">
        <v>2852</v>
      </c>
      <c r="C1540" t="s">
        <v>8705</v>
      </c>
      <c r="D1540" t="s">
        <v>8706</v>
      </c>
      <c r="E1540" t="s">
        <v>228</v>
      </c>
      <c r="F1540">
        <v>4399.99</v>
      </c>
      <c r="H1540">
        <v>3699.99</v>
      </c>
      <c r="K1540">
        <v>3599.99</v>
      </c>
      <c r="L1540">
        <v>4567.8900000000003</v>
      </c>
      <c r="T1540" t="s">
        <v>97</v>
      </c>
      <c r="AA1540" t="s">
        <v>97</v>
      </c>
    </row>
    <row r="1541" spans="1:29" x14ac:dyDescent="0.2">
      <c r="A1541" t="s">
        <v>92</v>
      </c>
      <c r="B1541" t="s">
        <v>2852</v>
      </c>
      <c r="C1541" t="s">
        <v>2915</v>
      </c>
      <c r="D1541" t="s">
        <v>2916</v>
      </c>
      <c r="E1541" t="s">
        <v>228</v>
      </c>
      <c r="F1541">
        <v>2999.99</v>
      </c>
      <c r="H1541">
        <v>2318.17</v>
      </c>
      <c r="I1541">
        <v>2454.54</v>
      </c>
      <c r="J1541">
        <v>2454.54</v>
      </c>
      <c r="K1541">
        <v>2181.81</v>
      </c>
      <c r="L1541">
        <v>2861.94</v>
      </c>
      <c r="M1541">
        <v>2792.98</v>
      </c>
      <c r="Q1541">
        <v>2727.26</v>
      </c>
      <c r="T1541" t="s">
        <v>97</v>
      </c>
      <c r="Z1541">
        <v>2999.99</v>
      </c>
      <c r="AA1541" t="s">
        <v>97</v>
      </c>
    </row>
    <row r="1542" spans="1:29" x14ac:dyDescent="0.2">
      <c r="A1542" t="s">
        <v>92</v>
      </c>
      <c r="B1542" t="s">
        <v>2852</v>
      </c>
      <c r="C1542" t="s">
        <v>2917</v>
      </c>
      <c r="D1542" t="s">
        <v>2918</v>
      </c>
      <c r="E1542" t="s">
        <v>228</v>
      </c>
      <c r="F1542">
        <v>169.99</v>
      </c>
      <c r="H1542">
        <v>131.36000000000001</v>
      </c>
      <c r="I1542">
        <v>139.08000000000001</v>
      </c>
      <c r="K1542">
        <v>131.36000000000001</v>
      </c>
      <c r="L1542">
        <v>162.16999999999999</v>
      </c>
      <c r="T1542" t="s">
        <v>97</v>
      </c>
      <c r="AA1542" t="s">
        <v>97</v>
      </c>
    </row>
    <row r="1543" spans="1:29" x14ac:dyDescent="0.2">
      <c r="A1543" t="s">
        <v>92</v>
      </c>
      <c r="B1543" t="s">
        <v>2852</v>
      </c>
      <c r="C1543" t="s">
        <v>2919</v>
      </c>
      <c r="D1543" t="s">
        <v>2920</v>
      </c>
      <c r="E1543" t="s">
        <v>228</v>
      </c>
      <c r="F1543">
        <v>499.99</v>
      </c>
      <c r="H1543">
        <v>363.63</v>
      </c>
      <c r="I1543">
        <v>386.36</v>
      </c>
      <c r="J1543">
        <v>409.08</v>
      </c>
      <c r="K1543">
        <v>340.9</v>
      </c>
      <c r="L1543">
        <v>431.81</v>
      </c>
      <c r="M1543">
        <v>454.54</v>
      </c>
      <c r="O1543">
        <v>409.08</v>
      </c>
      <c r="Q1543">
        <v>431.81</v>
      </c>
      <c r="T1543" t="s">
        <v>97</v>
      </c>
      <c r="V1543">
        <v>386.36</v>
      </c>
      <c r="W1543">
        <v>386.36</v>
      </c>
      <c r="X1543">
        <v>386.36</v>
      </c>
      <c r="Y1543">
        <v>386.36</v>
      </c>
      <c r="Z1543">
        <v>499.99</v>
      </c>
      <c r="AA1543" t="s">
        <v>97</v>
      </c>
    </row>
    <row r="1544" spans="1:29" x14ac:dyDescent="0.2">
      <c r="A1544" t="s">
        <v>92</v>
      </c>
      <c r="B1544" t="s">
        <v>2852</v>
      </c>
      <c r="C1544" t="s">
        <v>8707</v>
      </c>
      <c r="D1544" t="s">
        <v>8708</v>
      </c>
      <c r="E1544" t="s">
        <v>228</v>
      </c>
      <c r="F1544">
        <v>399.99</v>
      </c>
      <c r="H1544">
        <v>309.08</v>
      </c>
      <c r="K1544">
        <v>290.89999999999998</v>
      </c>
      <c r="L1544">
        <v>381.58</v>
      </c>
      <c r="T1544" t="s">
        <v>97</v>
      </c>
      <c r="AA1544" t="s">
        <v>97</v>
      </c>
    </row>
    <row r="1545" spans="1:29" x14ac:dyDescent="0.2">
      <c r="A1545" t="s">
        <v>92</v>
      </c>
      <c r="B1545" t="s">
        <v>2852</v>
      </c>
      <c r="C1545" t="s">
        <v>2921</v>
      </c>
      <c r="D1545" t="s">
        <v>2922</v>
      </c>
      <c r="E1545" t="s">
        <v>228</v>
      </c>
      <c r="F1545">
        <v>139.99</v>
      </c>
      <c r="H1545">
        <v>89.08</v>
      </c>
      <c r="I1545">
        <v>101.81</v>
      </c>
      <c r="J1545">
        <v>114.54</v>
      </c>
      <c r="K1545">
        <v>89.08</v>
      </c>
      <c r="L1545">
        <v>109.98</v>
      </c>
      <c r="M1545">
        <v>108.17</v>
      </c>
      <c r="O1545">
        <v>108.17</v>
      </c>
      <c r="Q1545">
        <v>114.54</v>
      </c>
      <c r="T1545" t="s">
        <v>97</v>
      </c>
      <c r="Z1545">
        <v>139.99</v>
      </c>
      <c r="AA1545" t="s">
        <v>97</v>
      </c>
    </row>
    <row r="1546" spans="1:29" x14ac:dyDescent="0.2">
      <c r="A1546" t="s">
        <v>92</v>
      </c>
      <c r="B1546" t="s">
        <v>2852</v>
      </c>
      <c r="C1546" t="s">
        <v>2923</v>
      </c>
      <c r="D1546" t="s">
        <v>2924</v>
      </c>
      <c r="E1546" t="s">
        <v>228</v>
      </c>
      <c r="F1546">
        <v>44.99</v>
      </c>
      <c r="G1546">
        <v>44.99</v>
      </c>
      <c r="H1546">
        <v>26.59</v>
      </c>
      <c r="I1546">
        <v>28.63</v>
      </c>
      <c r="J1546">
        <v>36.81</v>
      </c>
      <c r="K1546">
        <v>24.54</v>
      </c>
      <c r="L1546">
        <v>32.83</v>
      </c>
      <c r="M1546">
        <v>34.770000000000003</v>
      </c>
      <c r="O1546">
        <v>32.72</v>
      </c>
      <c r="Q1546">
        <v>32.72</v>
      </c>
      <c r="T1546" t="s">
        <v>97</v>
      </c>
      <c r="Z1546">
        <v>44.99</v>
      </c>
      <c r="AA1546" t="s">
        <v>97</v>
      </c>
    </row>
    <row r="1547" spans="1:29" x14ac:dyDescent="0.2">
      <c r="A1547" t="s">
        <v>92</v>
      </c>
      <c r="B1547" t="s">
        <v>2987</v>
      </c>
      <c r="C1547" t="s">
        <v>2988</v>
      </c>
      <c r="D1547" t="s">
        <v>2989</v>
      </c>
      <c r="E1547" t="s">
        <v>290</v>
      </c>
      <c r="F1547">
        <v>89.99</v>
      </c>
      <c r="H1547">
        <v>53.18</v>
      </c>
      <c r="I1547">
        <v>57.27</v>
      </c>
      <c r="J1547">
        <v>73.63</v>
      </c>
      <c r="K1547">
        <v>53.18</v>
      </c>
      <c r="L1547">
        <v>53.18</v>
      </c>
      <c r="M1547">
        <v>53.18</v>
      </c>
      <c r="O1547">
        <v>61.81</v>
      </c>
      <c r="P1547">
        <v>45</v>
      </c>
      <c r="Q1547">
        <v>61.36</v>
      </c>
      <c r="R1547">
        <v>45.2</v>
      </c>
      <c r="S1547">
        <v>45</v>
      </c>
      <c r="T1547" t="s">
        <v>97</v>
      </c>
      <c r="V1547">
        <v>65.45</v>
      </c>
      <c r="W1547">
        <v>69.540000000000006</v>
      </c>
      <c r="X1547">
        <v>69.540000000000006</v>
      </c>
      <c r="Y1547">
        <v>65.45</v>
      </c>
      <c r="Z1547">
        <v>89.99</v>
      </c>
      <c r="AA1547" t="s">
        <v>97</v>
      </c>
      <c r="AC1547">
        <v>61.36</v>
      </c>
    </row>
    <row r="1548" spans="1:29" x14ac:dyDescent="0.2">
      <c r="A1548" t="s">
        <v>92</v>
      </c>
      <c r="B1548" t="s">
        <v>2987</v>
      </c>
      <c r="C1548" t="s">
        <v>2990</v>
      </c>
      <c r="D1548" t="s">
        <v>2991</v>
      </c>
      <c r="E1548" t="s">
        <v>290</v>
      </c>
      <c r="F1548">
        <v>89.99</v>
      </c>
      <c r="G1548">
        <v>89.99</v>
      </c>
      <c r="H1548">
        <v>53.18</v>
      </c>
      <c r="I1548">
        <v>57.27</v>
      </c>
      <c r="J1548">
        <v>73.63</v>
      </c>
      <c r="K1548">
        <v>53.18</v>
      </c>
      <c r="L1548">
        <v>53.18</v>
      </c>
      <c r="M1548">
        <v>53.18</v>
      </c>
      <c r="O1548">
        <v>61.81</v>
      </c>
      <c r="P1548">
        <v>45</v>
      </c>
      <c r="Q1548">
        <v>61.36</v>
      </c>
      <c r="R1548">
        <v>45.2</v>
      </c>
      <c r="S1548">
        <v>45</v>
      </c>
      <c r="T1548" t="s">
        <v>97</v>
      </c>
      <c r="V1548">
        <v>65.45</v>
      </c>
      <c r="W1548">
        <v>69.540000000000006</v>
      </c>
      <c r="X1548">
        <v>69.540000000000006</v>
      </c>
      <c r="Y1548">
        <v>65.45</v>
      </c>
      <c r="Z1548">
        <v>89.99</v>
      </c>
      <c r="AA1548" t="s">
        <v>97</v>
      </c>
      <c r="AC1548">
        <v>61.36</v>
      </c>
    </row>
    <row r="1549" spans="1:29" x14ac:dyDescent="0.2">
      <c r="A1549" t="s">
        <v>92</v>
      </c>
      <c r="B1549" t="s">
        <v>2987</v>
      </c>
      <c r="C1549" t="s">
        <v>2992</v>
      </c>
      <c r="D1549" t="s">
        <v>2993</v>
      </c>
      <c r="E1549" t="s">
        <v>228</v>
      </c>
      <c r="F1549">
        <v>89.99</v>
      </c>
      <c r="H1549">
        <v>53.18</v>
      </c>
      <c r="I1549">
        <v>57.27</v>
      </c>
      <c r="J1549">
        <v>73.63</v>
      </c>
      <c r="K1549">
        <v>53.18</v>
      </c>
      <c r="L1549">
        <v>53.18</v>
      </c>
      <c r="M1549">
        <v>53.18</v>
      </c>
      <c r="O1549">
        <v>61.81</v>
      </c>
      <c r="P1549">
        <v>40.9</v>
      </c>
      <c r="Q1549">
        <v>57.27</v>
      </c>
      <c r="R1549">
        <v>45.2</v>
      </c>
      <c r="S1549">
        <v>45</v>
      </c>
      <c r="T1549" t="s">
        <v>97</v>
      </c>
      <c r="AA1549" t="s">
        <v>97</v>
      </c>
    </row>
    <row r="1550" spans="1:29" x14ac:dyDescent="0.2">
      <c r="A1550" t="s">
        <v>92</v>
      </c>
      <c r="B1550" t="s">
        <v>2987</v>
      </c>
      <c r="C1550" t="s">
        <v>2994</v>
      </c>
      <c r="D1550" t="s">
        <v>2995</v>
      </c>
      <c r="E1550" t="s">
        <v>228</v>
      </c>
      <c r="F1550">
        <v>89.99</v>
      </c>
      <c r="H1550">
        <v>53.18</v>
      </c>
      <c r="I1550">
        <v>57.27</v>
      </c>
      <c r="J1550">
        <v>73.63</v>
      </c>
      <c r="K1550">
        <v>53.18</v>
      </c>
      <c r="L1550">
        <v>53.18</v>
      </c>
      <c r="M1550">
        <v>53.18</v>
      </c>
      <c r="O1550">
        <v>61.81</v>
      </c>
      <c r="P1550">
        <v>40.9</v>
      </c>
      <c r="Q1550">
        <v>57.27</v>
      </c>
      <c r="R1550">
        <v>45.2</v>
      </c>
      <c r="S1550">
        <v>45</v>
      </c>
      <c r="T1550" t="s">
        <v>97</v>
      </c>
      <c r="AA1550" t="s">
        <v>97</v>
      </c>
    </row>
    <row r="1551" spans="1:29" x14ac:dyDescent="0.2">
      <c r="A1551" t="s">
        <v>92</v>
      </c>
      <c r="B1551" t="s">
        <v>2987</v>
      </c>
      <c r="C1551" t="s">
        <v>2996</v>
      </c>
      <c r="D1551" t="s">
        <v>2997</v>
      </c>
      <c r="E1551" t="s">
        <v>290</v>
      </c>
      <c r="F1551">
        <v>89.99</v>
      </c>
      <c r="L1551">
        <v>53.18</v>
      </c>
      <c r="T1551" t="s">
        <v>97</v>
      </c>
      <c r="AA1551" t="s">
        <v>97</v>
      </c>
    </row>
    <row r="1552" spans="1:29" x14ac:dyDescent="0.2">
      <c r="A1552" t="s">
        <v>92</v>
      </c>
      <c r="B1552" t="s">
        <v>2987</v>
      </c>
      <c r="C1552" t="s">
        <v>2998</v>
      </c>
      <c r="D1552" t="s">
        <v>2999</v>
      </c>
      <c r="E1552" t="s">
        <v>228</v>
      </c>
      <c r="F1552">
        <v>89.99</v>
      </c>
      <c r="H1552">
        <v>53.18</v>
      </c>
      <c r="I1552">
        <v>57.27</v>
      </c>
      <c r="J1552">
        <v>73.63</v>
      </c>
      <c r="K1552">
        <v>53.18</v>
      </c>
      <c r="L1552">
        <v>53.18</v>
      </c>
      <c r="M1552">
        <v>53.18</v>
      </c>
      <c r="O1552">
        <v>61.81</v>
      </c>
      <c r="P1552">
        <v>40.9</v>
      </c>
      <c r="Q1552">
        <v>57.27</v>
      </c>
      <c r="R1552">
        <v>45.2</v>
      </c>
      <c r="S1552">
        <v>45</v>
      </c>
      <c r="T1552" t="s">
        <v>97</v>
      </c>
      <c r="AA1552" t="s">
        <v>97</v>
      </c>
    </row>
    <row r="1553" spans="1:29" x14ac:dyDescent="0.2">
      <c r="A1553" t="s">
        <v>92</v>
      </c>
      <c r="B1553" t="s">
        <v>2987</v>
      </c>
      <c r="C1553" t="s">
        <v>3000</v>
      </c>
      <c r="D1553" t="s">
        <v>3001</v>
      </c>
      <c r="E1553" t="s">
        <v>228</v>
      </c>
      <c r="F1553">
        <v>109.99</v>
      </c>
      <c r="H1553">
        <v>64.989999999999995</v>
      </c>
      <c r="I1553">
        <v>69.989999999999995</v>
      </c>
      <c r="J1553">
        <v>89.99</v>
      </c>
      <c r="K1553">
        <v>64.989999999999995</v>
      </c>
      <c r="L1553">
        <v>64.989999999999995</v>
      </c>
      <c r="M1553">
        <v>67.489999999999995</v>
      </c>
      <c r="O1553">
        <v>74.989999999999995</v>
      </c>
      <c r="P1553">
        <v>50</v>
      </c>
      <c r="Q1553">
        <v>69.989999999999995</v>
      </c>
      <c r="R1553">
        <v>55.24</v>
      </c>
      <c r="S1553">
        <v>55</v>
      </c>
      <c r="T1553" t="s">
        <v>97</v>
      </c>
      <c r="AA1553" t="s">
        <v>97</v>
      </c>
    </row>
    <row r="1554" spans="1:29" x14ac:dyDescent="0.2">
      <c r="A1554" t="s">
        <v>92</v>
      </c>
      <c r="B1554" t="s">
        <v>2987</v>
      </c>
      <c r="C1554" t="s">
        <v>3002</v>
      </c>
      <c r="D1554" t="s">
        <v>3003</v>
      </c>
      <c r="E1554" t="s">
        <v>96</v>
      </c>
      <c r="F1554">
        <v>109.99</v>
      </c>
      <c r="H1554">
        <v>64.989999999999995</v>
      </c>
      <c r="I1554">
        <v>69.989999999999995</v>
      </c>
      <c r="J1554">
        <v>89.99</v>
      </c>
      <c r="K1554">
        <v>64.989999999999995</v>
      </c>
      <c r="L1554">
        <v>69.989999999999995</v>
      </c>
      <c r="M1554">
        <v>67.489999999999995</v>
      </c>
      <c r="O1554">
        <v>74.989999999999995</v>
      </c>
      <c r="P1554">
        <v>57.49</v>
      </c>
      <c r="Q1554">
        <v>77.489999999999995</v>
      </c>
      <c r="S1554">
        <v>59.99</v>
      </c>
      <c r="T1554" t="s">
        <v>97</v>
      </c>
      <c r="V1554">
        <v>79.989999999999995</v>
      </c>
      <c r="X1554">
        <v>84.99</v>
      </c>
      <c r="Y1554">
        <v>79.989999999999995</v>
      </c>
      <c r="Z1554">
        <v>109.99</v>
      </c>
      <c r="AA1554" t="s">
        <v>97</v>
      </c>
    </row>
    <row r="1555" spans="1:29" x14ac:dyDescent="0.2">
      <c r="A1555" t="s">
        <v>92</v>
      </c>
      <c r="B1555" t="s">
        <v>2987</v>
      </c>
      <c r="C1555" t="s">
        <v>34</v>
      </c>
      <c r="D1555" t="s">
        <v>3004</v>
      </c>
      <c r="E1555" t="s">
        <v>228</v>
      </c>
      <c r="F1555">
        <v>59.99</v>
      </c>
      <c r="G1555">
        <v>59.99</v>
      </c>
      <c r="H1555">
        <v>35.450000000000003</v>
      </c>
      <c r="I1555">
        <v>38.18</v>
      </c>
      <c r="J1555">
        <v>49.08</v>
      </c>
      <c r="K1555">
        <v>38.18</v>
      </c>
      <c r="L1555">
        <v>35.450000000000003</v>
      </c>
      <c r="M1555">
        <v>35.450000000000003</v>
      </c>
      <c r="O1555">
        <v>40.9</v>
      </c>
      <c r="P1555">
        <v>30</v>
      </c>
      <c r="Q1555">
        <v>40.9</v>
      </c>
      <c r="R1555">
        <v>30.13</v>
      </c>
      <c r="S1555">
        <v>32.72</v>
      </c>
      <c r="T1555" t="s">
        <v>97</v>
      </c>
      <c r="V1555">
        <v>54.08</v>
      </c>
      <c r="W1555">
        <v>46.36</v>
      </c>
      <c r="X1555">
        <v>46.36</v>
      </c>
      <c r="Y1555">
        <v>43.63</v>
      </c>
      <c r="Z1555">
        <v>59.99</v>
      </c>
      <c r="AA1555" t="s">
        <v>97</v>
      </c>
      <c r="AC1555">
        <v>40.9</v>
      </c>
    </row>
    <row r="1556" spans="1:29" x14ac:dyDescent="0.2">
      <c r="A1556" t="s">
        <v>92</v>
      </c>
      <c r="B1556" t="s">
        <v>2987</v>
      </c>
      <c r="C1556" t="s">
        <v>3005</v>
      </c>
      <c r="D1556" t="s">
        <v>3006</v>
      </c>
      <c r="E1556" t="s">
        <v>290</v>
      </c>
      <c r="F1556">
        <v>49.99</v>
      </c>
      <c r="H1556">
        <v>35.450000000000003</v>
      </c>
      <c r="I1556">
        <v>35.450000000000003</v>
      </c>
      <c r="J1556">
        <v>40.9</v>
      </c>
      <c r="K1556">
        <v>35.450000000000003</v>
      </c>
      <c r="L1556">
        <v>27.27</v>
      </c>
      <c r="M1556">
        <v>36.36</v>
      </c>
      <c r="O1556">
        <v>36.35</v>
      </c>
      <c r="P1556">
        <v>25</v>
      </c>
      <c r="Q1556">
        <v>35.450000000000003</v>
      </c>
      <c r="R1556">
        <v>37.869999999999997</v>
      </c>
      <c r="T1556" t="s">
        <v>97</v>
      </c>
      <c r="Y1556">
        <v>38.630000000000003</v>
      </c>
      <c r="Z1556">
        <v>49.99</v>
      </c>
      <c r="AA1556" t="s">
        <v>97</v>
      </c>
      <c r="AB1556">
        <v>4.99</v>
      </c>
    </row>
    <row r="1557" spans="1:29" x14ac:dyDescent="0.2">
      <c r="A1557" t="s">
        <v>92</v>
      </c>
      <c r="B1557" t="s">
        <v>2987</v>
      </c>
      <c r="C1557" t="s">
        <v>3007</v>
      </c>
      <c r="D1557" t="s">
        <v>3008</v>
      </c>
      <c r="E1557" t="s">
        <v>228</v>
      </c>
      <c r="F1557">
        <v>69.989999999999995</v>
      </c>
      <c r="H1557">
        <v>41.36</v>
      </c>
      <c r="I1557">
        <v>44.54</v>
      </c>
      <c r="J1557">
        <v>57.26</v>
      </c>
      <c r="K1557">
        <v>41.36</v>
      </c>
      <c r="L1557">
        <v>47.13</v>
      </c>
      <c r="M1557">
        <v>49.82</v>
      </c>
      <c r="O1557">
        <v>50.9</v>
      </c>
      <c r="Q1557">
        <v>47.81</v>
      </c>
      <c r="R1557">
        <v>44.54</v>
      </c>
      <c r="T1557" t="s">
        <v>97</v>
      </c>
      <c r="V1557">
        <v>50.9</v>
      </c>
      <c r="W1557">
        <v>54.08</v>
      </c>
      <c r="X1557">
        <v>54.08</v>
      </c>
      <c r="Y1557">
        <v>50.9</v>
      </c>
      <c r="Z1557">
        <v>69.989999999999995</v>
      </c>
      <c r="AA1557" t="s">
        <v>97</v>
      </c>
    </row>
    <row r="1558" spans="1:29" x14ac:dyDescent="0.2">
      <c r="A1558" t="s">
        <v>92</v>
      </c>
      <c r="B1558" t="s">
        <v>2987</v>
      </c>
      <c r="C1558" t="s">
        <v>3009</v>
      </c>
      <c r="D1558" t="s">
        <v>3010</v>
      </c>
      <c r="E1558" t="s">
        <v>290</v>
      </c>
      <c r="F1558">
        <v>69.989999999999995</v>
      </c>
      <c r="H1558">
        <v>41.36</v>
      </c>
      <c r="I1558">
        <v>44.54</v>
      </c>
      <c r="J1558">
        <v>57.26</v>
      </c>
      <c r="K1558">
        <v>41.36</v>
      </c>
      <c r="L1558">
        <v>47.13</v>
      </c>
      <c r="M1558">
        <v>49.82</v>
      </c>
      <c r="O1558">
        <v>50.9</v>
      </c>
      <c r="Q1558">
        <v>47.81</v>
      </c>
      <c r="R1558">
        <v>44.54</v>
      </c>
      <c r="T1558" t="s">
        <v>97</v>
      </c>
      <c r="V1558">
        <v>50.9</v>
      </c>
      <c r="W1558">
        <v>54.08</v>
      </c>
      <c r="X1558">
        <v>54.08</v>
      </c>
      <c r="Y1558">
        <v>50.9</v>
      </c>
      <c r="Z1558">
        <v>69.989999999999995</v>
      </c>
      <c r="AA1558" t="s">
        <v>97</v>
      </c>
    </row>
    <row r="1559" spans="1:29" x14ac:dyDescent="0.2">
      <c r="A1559" t="s">
        <v>92</v>
      </c>
      <c r="B1559" t="s">
        <v>2987</v>
      </c>
      <c r="C1559" t="s">
        <v>3011</v>
      </c>
      <c r="D1559" t="s">
        <v>3012</v>
      </c>
      <c r="E1559" t="s">
        <v>290</v>
      </c>
      <c r="F1559">
        <v>69.989999999999995</v>
      </c>
      <c r="H1559">
        <v>41.36</v>
      </c>
      <c r="I1559">
        <v>44.54</v>
      </c>
      <c r="J1559">
        <v>57.26</v>
      </c>
      <c r="K1559">
        <v>41.36</v>
      </c>
      <c r="L1559">
        <v>47.13</v>
      </c>
      <c r="M1559">
        <v>49.82</v>
      </c>
      <c r="O1559">
        <v>50.9</v>
      </c>
      <c r="Q1559">
        <v>47.81</v>
      </c>
      <c r="R1559">
        <v>44.54</v>
      </c>
      <c r="T1559" t="s">
        <v>97</v>
      </c>
      <c r="V1559">
        <v>50.9</v>
      </c>
      <c r="W1559">
        <v>54.08</v>
      </c>
      <c r="X1559">
        <v>54.08</v>
      </c>
      <c r="Y1559">
        <v>50.9</v>
      </c>
      <c r="Z1559">
        <v>69.989999999999995</v>
      </c>
      <c r="AA1559" t="s">
        <v>97</v>
      </c>
    </row>
    <row r="1560" spans="1:29" x14ac:dyDescent="0.2">
      <c r="A1560" t="s">
        <v>92</v>
      </c>
      <c r="B1560" t="s">
        <v>2987</v>
      </c>
      <c r="C1560" t="s">
        <v>3013</v>
      </c>
      <c r="D1560" t="s">
        <v>3014</v>
      </c>
      <c r="E1560" t="s">
        <v>228</v>
      </c>
      <c r="F1560">
        <v>179.99</v>
      </c>
      <c r="H1560">
        <v>114.54</v>
      </c>
      <c r="I1560">
        <v>122.72</v>
      </c>
      <c r="J1560">
        <v>147.26</v>
      </c>
      <c r="K1560">
        <v>114.54</v>
      </c>
      <c r="L1560">
        <v>111.1</v>
      </c>
      <c r="M1560">
        <v>122.72</v>
      </c>
      <c r="O1560">
        <v>130.9</v>
      </c>
      <c r="Q1560">
        <v>114.54</v>
      </c>
      <c r="R1560">
        <v>106.36</v>
      </c>
      <c r="T1560" t="s">
        <v>97</v>
      </c>
      <c r="Z1560">
        <v>179.99</v>
      </c>
      <c r="AA1560" t="s">
        <v>97</v>
      </c>
    </row>
    <row r="1561" spans="1:29" x14ac:dyDescent="0.2">
      <c r="A1561" t="s">
        <v>92</v>
      </c>
      <c r="B1561" t="s">
        <v>2987</v>
      </c>
      <c r="C1561" t="s">
        <v>3015</v>
      </c>
      <c r="D1561" t="s">
        <v>3016</v>
      </c>
      <c r="E1561" t="s">
        <v>228</v>
      </c>
      <c r="F1561">
        <v>179.99</v>
      </c>
      <c r="H1561">
        <v>114.54</v>
      </c>
      <c r="I1561">
        <v>122.72</v>
      </c>
      <c r="J1561">
        <v>147.26</v>
      </c>
      <c r="K1561">
        <v>114.54</v>
      </c>
      <c r="L1561">
        <v>111.1</v>
      </c>
      <c r="M1561">
        <v>122.72</v>
      </c>
      <c r="O1561">
        <v>130.9</v>
      </c>
      <c r="Q1561">
        <v>114.54</v>
      </c>
      <c r="R1561">
        <v>106.36</v>
      </c>
      <c r="T1561" t="s">
        <v>97</v>
      </c>
      <c r="Z1561">
        <v>179.99</v>
      </c>
      <c r="AA1561" t="s">
        <v>97</v>
      </c>
    </row>
    <row r="1562" spans="1:29" x14ac:dyDescent="0.2">
      <c r="A1562" t="s">
        <v>92</v>
      </c>
      <c r="B1562" t="s">
        <v>2987</v>
      </c>
      <c r="C1562" t="s">
        <v>3017</v>
      </c>
      <c r="D1562" t="s">
        <v>3018</v>
      </c>
      <c r="E1562" t="s">
        <v>228</v>
      </c>
      <c r="F1562">
        <v>179.99</v>
      </c>
      <c r="H1562">
        <v>114.54</v>
      </c>
      <c r="I1562">
        <v>122.72</v>
      </c>
      <c r="J1562">
        <v>147.26</v>
      </c>
      <c r="K1562">
        <v>114.54</v>
      </c>
      <c r="L1562">
        <v>111.1</v>
      </c>
      <c r="M1562">
        <v>122.72</v>
      </c>
      <c r="O1562">
        <v>130.9</v>
      </c>
      <c r="Q1562">
        <v>114.54</v>
      </c>
      <c r="R1562">
        <v>106.36</v>
      </c>
      <c r="T1562" t="s">
        <v>97</v>
      </c>
      <c r="Z1562">
        <v>179.99</v>
      </c>
      <c r="AA1562" t="s">
        <v>97</v>
      </c>
    </row>
    <row r="1563" spans="1:29" x14ac:dyDescent="0.2">
      <c r="A1563" t="s">
        <v>92</v>
      </c>
      <c r="B1563" t="s">
        <v>2987</v>
      </c>
      <c r="C1563" t="s">
        <v>3019</v>
      </c>
      <c r="D1563" t="s">
        <v>3020</v>
      </c>
      <c r="E1563" t="s">
        <v>228</v>
      </c>
      <c r="F1563">
        <v>139.99</v>
      </c>
      <c r="G1563">
        <v>139.99</v>
      </c>
      <c r="H1563">
        <v>82.72</v>
      </c>
      <c r="I1563">
        <v>82.72</v>
      </c>
      <c r="J1563">
        <v>114.54</v>
      </c>
      <c r="K1563">
        <v>82.72</v>
      </c>
      <c r="L1563">
        <v>89.09</v>
      </c>
      <c r="M1563">
        <v>101.81</v>
      </c>
      <c r="O1563">
        <v>101.81</v>
      </c>
      <c r="Q1563">
        <v>82.9</v>
      </c>
      <c r="R1563">
        <v>89.08</v>
      </c>
      <c r="S1563">
        <v>76.36</v>
      </c>
      <c r="T1563" t="s">
        <v>97</v>
      </c>
      <c r="V1563">
        <v>101.81</v>
      </c>
      <c r="W1563">
        <v>101.81</v>
      </c>
      <c r="X1563">
        <v>101.81</v>
      </c>
      <c r="Y1563">
        <v>101.81</v>
      </c>
      <c r="Z1563">
        <v>139.99</v>
      </c>
      <c r="AA1563" t="s">
        <v>97</v>
      </c>
    </row>
    <row r="1564" spans="1:29" x14ac:dyDescent="0.2">
      <c r="A1564" t="s">
        <v>92</v>
      </c>
      <c r="B1564" t="s">
        <v>2987</v>
      </c>
      <c r="C1564" t="s">
        <v>3021</v>
      </c>
      <c r="D1564" t="s">
        <v>3022</v>
      </c>
      <c r="E1564" t="s">
        <v>228</v>
      </c>
      <c r="F1564">
        <v>139.99</v>
      </c>
      <c r="G1564">
        <v>139.99</v>
      </c>
      <c r="H1564">
        <v>82.72</v>
      </c>
      <c r="I1564">
        <v>82.72</v>
      </c>
      <c r="J1564">
        <v>114.54</v>
      </c>
      <c r="K1564">
        <v>82.72</v>
      </c>
      <c r="L1564">
        <v>89.09</v>
      </c>
      <c r="M1564">
        <v>101.81</v>
      </c>
      <c r="O1564">
        <v>101.81</v>
      </c>
      <c r="Q1564">
        <v>82.9</v>
      </c>
      <c r="R1564">
        <v>89.08</v>
      </c>
      <c r="T1564" t="s">
        <v>97</v>
      </c>
      <c r="V1564">
        <v>101.81</v>
      </c>
      <c r="W1564">
        <v>101.81</v>
      </c>
      <c r="X1564">
        <v>101.81</v>
      </c>
      <c r="Y1564">
        <v>101.81</v>
      </c>
      <c r="Z1564">
        <v>139.99</v>
      </c>
      <c r="AA1564" t="s">
        <v>97</v>
      </c>
    </row>
    <row r="1565" spans="1:29" x14ac:dyDescent="0.2">
      <c r="A1565" t="s">
        <v>92</v>
      </c>
      <c r="B1565" t="s">
        <v>2987</v>
      </c>
      <c r="C1565" t="s">
        <v>3023</v>
      </c>
      <c r="D1565" t="s">
        <v>3024</v>
      </c>
      <c r="E1565" t="s">
        <v>228</v>
      </c>
      <c r="F1565">
        <v>89.99</v>
      </c>
      <c r="H1565">
        <v>49.09</v>
      </c>
      <c r="I1565">
        <v>53.18</v>
      </c>
      <c r="J1565">
        <v>73.63</v>
      </c>
      <c r="K1565">
        <v>49.09</v>
      </c>
      <c r="L1565">
        <v>57.27</v>
      </c>
      <c r="M1565">
        <v>61.36</v>
      </c>
      <c r="O1565">
        <v>55.13</v>
      </c>
      <c r="P1565">
        <v>57.27</v>
      </c>
      <c r="Q1565">
        <v>51.43</v>
      </c>
      <c r="R1565">
        <v>57.27</v>
      </c>
      <c r="T1565" t="s">
        <v>97</v>
      </c>
      <c r="V1565">
        <v>65.45</v>
      </c>
      <c r="W1565">
        <v>65.45</v>
      </c>
      <c r="X1565">
        <v>65.45</v>
      </c>
      <c r="Y1565">
        <v>65.45</v>
      </c>
      <c r="Z1565">
        <v>89.99</v>
      </c>
      <c r="AA1565" t="s">
        <v>97</v>
      </c>
    </row>
    <row r="1566" spans="1:29" x14ac:dyDescent="0.2">
      <c r="A1566" t="s">
        <v>92</v>
      </c>
      <c r="B1566" t="s">
        <v>2987</v>
      </c>
      <c r="C1566" t="s">
        <v>3025</v>
      </c>
      <c r="D1566" t="s">
        <v>3026</v>
      </c>
      <c r="E1566" t="s">
        <v>228</v>
      </c>
      <c r="F1566">
        <v>89.99</v>
      </c>
      <c r="H1566">
        <v>49.09</v>
      </c>
      <c r="I1566">
        <v>53.18</v>
      </c>
      <c r="J1566">
        <v>73.63</v>
      </c>
      <c r="K1566">
        <v>49.09</v>
      </c>
      <c r="L1566">
        <v>57.27</v>
      </c>
      <c r="M1566">
        <v>61.36</v>
      </c>
      <c r="O1566">
        <v>55.13</v>
      </c>
      <c r="P1566">
        <v>57.27</v>
      </c>
      <c r="Q1566">
        <v>51.44</v>
      </c>
      <c r="R1566">
        <v>57.27</v>
      </c>
      <c r="T1566" t="s">
        <v>97</v>
      </c>
      <c r="V1566">
        <v>65.45</v>
      </c>
      <c r="W1566">
        <v>65.45</v>
      </c>
      <c r="X1566">
        <v>65.45</v>
      </c>
      <c r="Y1566">
        <v>65.45</v>
      </c>
      <c r="Z1566">
        <v>89.99</v>
      </c>
      <c r="AA1566" t="s">
        <v>97</v>
      </c>
    </row>
    <row r="1567" spans="1:29" x14ac:dyDescent="0.2">
      <c r="A1567" t="s">
        <v>92</v>
      </c>
      <c r="B1567" t="s">
        <v>2987</v>
      </c>
      <c r="C1567" t="s">
        <v>3027</v>
      </c>
      <c r="D1567" t="s">
        <v>3028</v>
      </c>
      <c r="E1567" t="s">
        <v>228</v>
      </c>
      <c r="F1567">
        <v>99.99</v>
      </c>
      <c r="H1567">
        <v>54.54</v>
      </c>
      <c r="I1567">
        <v>59.09</v>
      </c>
      <c r="J1567">
        <v>81.81</v>
      </c>
      <c r="K1567">
        <v>54.54</v>
      </c>
      <c r="L1567">
        <v>54.54</v>
      </c>
      <c r="M1567">
        <v>59.09</v>
      </c>
      <c r="O1567">
        <v>63.63</v>
      </c>
      <c r="Q1567">
        <v>57.14</v>
      </c>
      <c r="T1567" t="s">
        <v>97</v>
      </c>
      <c r="AA1567" t="s">
        <v>97</v>
      </c>
    </row>
    <row r="1568" spans="1:29" x14ac:dyDescent="0.2">
      <c r="A1568" t="s">
        <v>92</v>
      </c>
      <c r="B1568" t="s">
        <v>2987</v>
      </c>
      <c r="C1568" t="s">
        <v>3029</v>
      </c>
      <c r="D1568" t="s">
        <v>3030</v>
      </c>
      <c r="E1568" t="s">
        <v>228</v>
      </c>
      <c r="F1568">
        <v>59.99</v>
      </c>
      <c r="H1568">
        <v>32.72</v>
      </c>
      <c r="I1568">
        <v>35.450000000000003</v>
      </c>
      <c r="J1568">
        <v>49.08</v>
      </c>
      <c r="K1568">
        <v>32.72</v>
      </c>
      <c r="L1568">
        <v>36.81</v>
      </c>
      <c r="M1568">
        <v>38.18</v>
      </c>
      <c r="O1568">
        <v>38.18</v>
      </c>
      <c r="Q1568">
        <v>36.81</v>
      </c>
      <c r="T1568" t="s">
        <v>97</v>
      </c>
      <c r="AA1568" t="s">
        <v>97</v>
      </c>
    </row>
    <row r="1569" spans="1:28" x14ac:dyDescent="0.2">
      <c r="A1569" t="s">
        <v>92</v>
      </c>
      <c r="B1569" t="s">
        <v>2987</v>
      </c>
      <c r="C1569" t="s">
        <v>3031</v>
      </c>
      <c r="D1569" t="s">
        <v>3032</v>
      </c>
      <c r="E1569" t="s">
        <v>228</v>
      </c>
      <c r="F1569">
        <v>59.99</v>
      </c>
      <c r="H1569">
        <v>32.72</v>
      </c>
      <c r="I1569">
        <v>35.450000000000003</v>
      </c>
      <c r="J1569">
        <v>49.08</v>
      </c>
      <c r="K1569">
        <v>32.72</v>
      </c>
      <c r="L1569">
        <v>36.81</v>
      </c>
      <c r="M1569">
        <v>38.18</v>
      </c>
      <c r="O1569">
        <v>38.18</v>
      </c>
      <c r="Q1569">
        <v>36.81</v>
      </c>
      <c r="T1569" t="s">
        <v>97</v>
      </c>
      <c r="AA1569" t="s">
        <v>97</v>
      </c>
    </row>
    <row r="1570" spans="1:28" x14ac:dyDescent="0.2">
      <c r="A1570" t="s">
        <v>92</v>
      </c>
      <c r="B1570" t="s">
        <v>2987</v>
      </c>
      <c r="C1570" t="s">
        <v>3033</v>
      </c>
      <c r="D1570" t="s">
        <v>3034</v>
      </c>
      <c r="E1570" t="s">
        <v>228</v>
      </c>
      <c r="F1570">
        <v>59.99</v>
      </c>
      <c r="H1570">
        <v>32.72</v>
      </c>
      <c r="I1570">
        <v>35.450000000000003</v>
      </c>
      <c r="J1570">
        <v>49.08</v>
      </c>
      <c r="K1570">
        <v>32.72</v>
      </c>
      <c r="L1570">
        <v>36.81</v>
      </c>
      <c r="M1570">
        <v>38.18</v>
      </c>
      <c r="O1570">
        <v>38.18</v>
      </c>
      <c r="Q1570">
        <v>36.81</v>
      </c>
      <c r="T1570" t="s">
        <v>97</v>
      </c>
      <c r="AA1570" t="s">
        <v>97</v>
      </c>
    </row>
    <row r="1571" spans="1:28" x14ac:dyDescent="0.2">
      <c r="A1571" t="s">
        <v>92</v>
      </c>
      <c r="B1571" t="s">
        <v>2987</v>
      </c>
      <c r="C1571" t="s">
        <v>3035</v>
      </c>
      <c r="D1571" t="s">
        <v>3036</v>
      </c>
      <c r="E1571" t="s">
        <v>290</v>
      </c>
      <c r="F1571">
        <v>139.99</v>
      </c>
      <c r="H1571">
        <v>76.36</v>
      </c>
      <c r="I1571">
        <v>82.72</v>
      </c>
      <c r="J1571">
        <v>114.54</v>
      </c>
      <c r="K1571">
        <v>76.36</v>
      </c>
      <c r="L1571">
        <v>36.36</v>
      </c>
      <c r="M1571">
        <v>35.22</v>
      </c>
      <c r="O1571">
        <v>36.36</v>
      </c>
      <c r="T1571" t="s">
        <v>97</v>
      </c>
      <c r="V1571">
        <v>101.81</v>
      </c>
      <c r="W1571">
        <v>101.81</v>
      </c>
      <c r="X1571">
        <v>101.81</v>
      </c>
      <c r="Y1571">
        <v>101.81</v>
      </c>
      <c r="Z1571">
        <v>139.99</v>
      </c>
      <c r="AA1571" t="s">
        <v>97</v>
      </c>
      <c r="AB1571">
        <v>49.99</v>
      </c>
    </row>
    <row r="1572" spans="1:28" x14ac:dyDescent="0.2">
      <c r="A1572" t="s">
        <v>92</v>
      </c>
      <c r="B1572" t="s">
        <v>2987</v>
      </c>
      <c r="C1572" t="s">
        <v>3037</v>
      </c>
      <c r="D1572" t="s">
        <v>3038</v>
      </c>
      <c r="E1572" t="s">
        <v>228</v>
      </c>
      <c r="F1572">
        <v>79.989999999999995</v>
      </c>
      <c r="G1572">
        <v>79.989999999999995</v>
      </c>
      <c r="H1572">
        <v>43.63</v>
      </c>
      <c r="I1572">
        <v>47.27</v>
      </c>
      <c r="J1572">
        <v>65.45</v>
      </c>
      <c r="K1572">
        <v>43.63</v>
      </c>
      <c r="L1572">
        <v>50.9</v>
      </c>
      <c r="M1572">
        <v>54.54</v>
      </c>
      <c r="O1572">
        <v>50.9</v>
      </c>
      <c r="P1572">
        <v>43.63</v>
      </c>
      <c r="Q1572">
        <v>49.86</v>
      </c>
      <c r="R1572">
        <v>50.9</v>
      </c>
      <c r="S1572">
        <v>43.63</v>
      </c>
      <c r="T1572" t="s">
        <v>97</v>
      </c>
      <c r="V1572">
        <v>58.17</v>
      </c>
      <c r="W1572">
        <v>58.17</v>
      </c>
      <c r="X1572">
        <v>58.17</v>
      </c>
      <c r="Y1572">
        <v>58.17</v>
      </c>
      <c r="Z1572">
        <v>79.989999999999995</v>
      </c>
      <c r="AA1572" t="s">
        <v>97</v>
      </c>
    </row>
    <row r="1573" spans="1:28" x14ac:dyDescent="0.2">
      <c r="A1573" t="s">
        <v>92</v>
      </c>
      <c r="B1573" t="s">
        <v>2987</v>
      </c>
      <c r="C1573" t="s">
        <v>3039</v>
      </c>
      <c r="D1573" t="s">
        <v>3040</v>
      </c>
      <c r="E1573" t="s">
        <v>228</v>
      </c>
      <c r="F1573">
        <v>79.989999999999995</v>
      </c>
      <c r="G1573">
        <v>79.989999999999995</v>
      </c>
      <c r="H1573">
        <v>43.63</v>
      </c>
      <c r="I1573">
        <v>43.63</v>
      </c>
      <c r="J1573">
        <v>65.45</v>
      </c>
      <c r="K1573">
        <v>43.63</v>
      </c>
      <c r="L1573">
        <v>44.89</v>
      </c>
      <c r="M1573">
        <v>54.54</v>
      </c>
      <c r="O1573">
        <v>54.54</v>
      </c>
      <c r="Q1573">
        <v>50.9</v>
      </c>
      <c r="R1573">
        <v>47.27</v>
      </c>
      <c r="T1573" t="s">
        <v>97</v>
      </c>
      <c r="V1573">
        <v>58.17</v>
      </c>
      <c r="W1573">
        <v>58.17</v>
      </c>
      <c r="X1573">
        <v>58.17</v>
      </c>
      <c r="Y1573">
        <v>58.17</v>
      </c>
      <c r="Z1573">
        <v>79.989999999999995</v>
      </c>
      <c r="AA1573" t="s">
        <v>97</v>
      </c>
    </row>
    <row r="1574" spans="1:28" x14ac:dyDescent="0.2">
      <c r="A1574" t="s">
        <v>92</v>
      </c>
      <c r="B1574" t="s">
        <v>2987</v>
      </c>
      <c r="C1574" t="s">
        <v>3041</v>
      </c>
      <c r="D1574" t="s">
        <v>3042</v>
      </c>
      <c r="E1574" t="s">
        <v>228</v>
      </c>
      <c r="F1574">
        <v>79.989999999999995</v>
      </c>
      <c r="G1574">
        <v>79.989999999999995</v>
      </c>
      <c r="H1574">
        <v>43.63</v>
      </c>
      <c r="I1574">
        <v>43.63</v>
      </c>
      <c r="J1574">
        <v>65.45</v>
      </c>
      <c r="K1574">
        <v>43.63</v>
      </c>
      <c r="L1574">
        <v>44.89</v>
      </c>
      <c r="M1574">
        <v>54.54</v>
      </c>
      <c r="O1574">
        <v>54.54</v>
      </c>
      <c r="Q1574">
        <v>50.9</v>
      </c>
      <c r="R1574">
        <v>47.27</v>
      </c>
      <c r="T1574" t="s">
        <v>97</v>
      </c>
      <c r="V1574">
        <v>58.17</v>
      </c>
      <c r="W1574">
        <v>58.17</v>
      </c>
      <c r="X1574">
        <v>58.17</v>
      </c>
      <c r="Y1574">
        <v>58.17</v>
      </c>
      <c r="Z1574">
        <v>79.989999999999995</v>
      </c>
      <c r="AA1574" t="s">
        <v>97</v>
      </c>
    </row>
    <row r="1575" spans="1:28" x14ac:dyDescent="0.2">
      <c r="A1575" t="s">
        <v>92</v>
      </c>
      <c r="B1575" t="s">
        <v>2987</v>
      </c>
      <c r="C1575" t="s">
        <v>3043</v>
      </c>
      <c r="D1575" t="s">
        <v>3044</v>
      </c>
      <c r="E1575" t="s">
        <v>96</v>
      </c>
      <c r="F1575">
        <v>64.989999999999995</v>
      </c>
      <c r="H1575">
        <v>41.36</v>
      </c>
      <c r="I1575">
        <v>41.36</v>
      </c>
      <c r="J1575">
        <v>53.17</v>
      </c>
      <c r="K1575">
        <v>41.36</v>
      </c>
      <c r="L1575">
        <v>47.27</v>
      </c>
      <c r="M1575">
        <v>53.17</v>
      </c>
      <c r="O1575">
        <v>50.22</v>
      </c>
      <c r="Q1575">
        <v>47.27</v>
      </c>
      <c r="R1575">
        <v>47.27</v>
      </c>
      <c r="S1575">
        <v>41.36</v>
      </c>
      <c r="T1575" t="s">
        <v>97</v>
      </c>
      <c r="V1575">
        <v>50.22</v>
      </c>
      <c r="W1575">
        <v>53.17</v>
      </c>
      <c r="X1575">
        <v>53.17</v>
      </c>
      <c r="Y1575">
        <v>47.27</v>
      </c>
      <c r="Z1575">
        <v>64.989999999999995</v>
      </c>
      <c r="AA1575" t="s">
        <v>97</v>
      </c>
    </row>
    <row r="1576" spans="1:28" x14ac:dyDescent="0.2">
      <c r="A1576" t="s">
        <v>92</v>
      </c>
      <c r="B1576" t="s">
        <v>2987</v>
      </c>
      <c r="C1576" t="s">
        <v>3045</v>
      </c>
      <c r="D1576" t="s">
        <v>3046</v>
      </c>
      <c r="E1576" t="s">
        <v>228</v>
      </c>
      <c r="F1576">
        <v>139.99</v>
      </c>
      <c r="H1576">
        <v>89.08</v>
      </c>
      <c r="I1576">
        <v>95.45</v>
      </c>
      <c r="J1576">
        <v>114.54</v>
      </c>
      <c r="K1576">
        <v>89.08</v>
      </c>
      <c r="L1576">
        <v>86.41</v>
      </c>
      <c r="M1576">
        <v>95.45</v>
      </c>
      <c r="O1576">
        <v>101.81</v>
      </c>
      <c r="Q1576">
        <v>89.08</v>
      </c>
      <c r="R1576">
        <v>82.72</v>
      </c>
      <c r="T1576" t="s">
        <v>97</v>
      </c>
      <c r="Z1576">
        <v>139.99</v>
      </c>
      <c r="AA1576" t="s">
        <v>97</v>
      </c>
    </row>
    <row r="1577" spans="1:28" x14ac:dyDescent="0.2">
      <c r="A1577" t="s">
        <v>92</v>
      </c>
      <c r="B1577" t="s">
        <v>2987</v>
      </c>
      <c r="C1577" t="s">
        <v>3047</v>
      </c>
      <c r="D1577" t="s">
        <v>3048</v>
      </c>
      <c r="E1577" t="s">
        <v>228</v>
      </c>
      <c r="F1577">
        <v>139.99</v>
      </c>
      <c r="H1577">
        <v>89.08</v>
      </c>
      <c r="I1577">
        <v>95.45</v>
      </c>
      <c r="J1577">
        <v>114.54</v>
      </c>
      <c r="K1577">
        <v>89.08</v>
      </c>
      <c r="L1577">
        <v>86.41</v>
      </c>
      <c r="M1577">
        <v>95.45</v>
      </c>
      <c r="O1577">
        <v>101.81</v>
      </c>
      <c r="Q1577">
        <v>89.08</v>
      </c>
      <c r="R1577">
        <v>82.72</v>
      </c>
      <c r="T1577" t="s">
        <v>97</v>
      </c>
      <c r="Z1577">
        <v>139.99</v>
      </c>
      <c r="AA1577" t="s">
        <v>97</v>
      </c>
    </row>
    <row r="1578" spans="1:28" x14ac:dyDescent="0.2">
      <c r="A1578" t="s">
        <v>92</v>
      </c>
      <c r="B1578" t="s">
        <v>2987</v>
      </c>
      <c r="C1578" t="s">
        <v>3049</v>
      </c>
      <c r="D1578" t="s">
        <v>3050</v>
      </c>
      <c r="E1578" t="s">
        <v>228</v>
      </c>
      <c r="F1578">
        <v>249.99</v>
      </c>
      <c r="H1578">
        <v>159.08000000000001</v>
      </c>
      <c r="I1578">
        <v>170.45</v>
      </c>
      <c r="J1578">
        <v>204.54</v>
      </c>
      <c r="K1578">
        <v>159.08000000000001</v>
      </c>
      <c r="L1578">
        <v>168.33</v>
      </c>
      <c r="M1578">
        <v>204.54</v>
      </c>
      <c r="O1578">
        <v>204.54</v>
      </c>
      <c r="Q1578">
        <v>181.81</v>
      </c>
      <c r="R1578">
        <v>147.72</v>
      </c>
      <c r="T1578" t="s">
        <v>97</v>
      </c>
      <c r="V1578">
        <v>181.81</v>
      </c>
      <c r="Z1578">
        <v>249.99</v>
      </c>
      <c r="AA1578" t="s">
        <v>97</v>
      </c>
      <c r="AB1578">
        <v>249.99</v>
      </c>
    </row>
    <row r="1579" spans="1:28" x14ac:dyDescent="0.2">
      <c r="A1579" t="s">
        <v>92</v>
      </c>
      <c r="B1579" t="s">
        <v>2987</v>
      </c>
      <c r="C1579" t="s">
        <v>3051</v>
      </c>
      <c r="D1579" t="s">
        <v>3052</v>
      </c>
      <c r="E1579" t="s">
        <v>290</v>
      </c>
      <c r="F1579">
        <v>139.99</v>
      </c>
      <c r="H1579">
        <v>76.36</v>
      </c>
      <c r="I1579">
        <v>82.72</v>
      </c>
      <c r="J1579">
        <v>114.54</v>
      </c>
      <c r="K1579">
        <v>76.36</v>
      </c>
      <c r="L1579">
        <v>89.08</v>
      </c>
      <c r="M1579">
        <v>95.45</v>
      </c>
      <c r="O1579">
        <v>101.81</v>
      </c>
      <c r="Q1579">
        <v>89.08</v>
      </c>
      <c r="R1579">
        <v>89.08</v>
      </c>
      <c r="T1579" t="s">
        <v>97</v>
      </c>
      <c r="V1579">
        <v>101.81</v>
      </c>
      <c r="W1579">
        <v>101.81</v>
      </c>
      <c r="X1579">
        <v>101.81</v>
      </c>
      <c r="Y1579">
        <v>101.81</v>
      </c>
      <c r="Z1579">
        <v>139.99</v>
      </c>
      <c r="AA1579" t="s">
        <v>97</v>
      </c>
    </row>
    <row r="1580" spans="1:28" x14ac:dyDescent="0.2">
      <c r="A1580" t="s">
        <v>92</v>
      </c>
      <c r="B1580" t="s">
        <v>2987</v>
      </c>
      <c r="C1580" t="s">
        <v>3053</v>
      </c>
      <c r="D1580" t="s">
        <v>3054</v>
      </c>
      <c r="E1580" t="s">
        <v>96</v>
      </c>
      <c r="F1580">
        <v>139.99</v>
      </c>
      <c r="H1580">
        <v>89.08</v>
      </c>
      <c r="I1580">
        <v>89.08</v>
      </c>
      <c r="J1580">
        <v>114.54</v>
      </c>
      <c r="K1580">
        <v>89.08</v>
      </c>
      <c r="L1580">
        <v>101.81</v>
      </c>
      <c r="M1580">
        <v>108.17</v>
      </c>
      <c r="O1580">
        <v>114.54</v>
      </c>
      <c r="P1580">
        <v>73.86</v>
      </c>
      <c r="Q1580">
        <v>101.81</v>
      </c>
      <c r="R1580">
        <v>118.17</v>
      </c>
      <c r="T1580" t="s">
        <v>97</v>
      </c>
      <c r="Y1580">
        <v>108.17</v>
      </c>
      <c r="Z1580">
        <v>139.99</v>
      </c>
      <c r="AA1580" t="s">
        <v>97</v>
      </c>
      <c r="AB1580">
        <v>49.99</v>
      </c>
    </row>
    <row r="1581" spans="1:28" x14ac:dyDescent="0.2">
      <c r="A1581" t="s">
        <v>92</v>
      </c>
      <c r="B1581" t="s">
        <v>2987</v>
      </c>
      <c r="C1581" t="s">
        <v>3055</v>
      </c>
      <c r="D1581" t="s">
        <v>3056</v>
      </c>
      <c r="E1581" t="s">
        <v>228</v>
      </c>
      <c r="F1581">
        <v>139.99</v>
      </c>
      <c r="G1581">
        <v>139.99</v>
      </c>
      <c r="H1581">
        <v>76.36</v>
      </c>
      <c r="I1581">
        <v>76.36</v>
      </c>
      <c r="J1581">
        <v>114.54</v>
      </c>
      <c r="K1581">
        <v>76.36</v>
      </c>
      <c r="L1581">
        <v>63.63</v>
      </c>
      <c r="M1581">
        <v>95.45</v>
      </c>
      <c r="O1581">
        <v>85.69</v>
      </c>
      <c r="Q1581">
        <v>79.540000000000006</v>
      </c>
      <c r="R1581">
        <v>89.08</v>
      </c>
      <c r="T1581" t="s">
        <v>97</v>
      </c>
      <c r="V1581">
        <v>101.81</v>
      </c>
      <c r="W1581">
        <v>101.81</v>
      </c>
      <c r="X1581">
        <v>101.81</v>
      </c>
      <c r="Y1581">
        <v>101.81</v>
      </c>
      <c r="Z1581">
        <v>139.99</v>
      </c>
      <c r="AA1581" t="s">
        <v>97</v>
      </c>
    </row>
    <row r="1582" spans="1:28" x14ac:dyDescent="0.2">
      <c r="A1582" t="s">
        <v>92</v>
      </c>
      <c r="B1582" t="s">
        <v>2987</v>
      </c>
      <c r="C1582" t="s">
        <v>3057</v>
      </c>
      <c r="D1582" t="s">
        <v>3058</v>
      </c>
      <c r="E1582" t="s">
        <v>228</v>
      </c>
      <c r="F1582">
        <v>139.99</v>
      </c>
      <c r="G1582">
        <v>139.99</v>
      </c>
      <c r="H1582">
        <v>76.36</v>
      </c>
      <c r="I1582">
        <v>76.36</v>
      </c>
      <c r="J1582">
        <v>114.54</v>
      </c>
      <c r="K1582">
        <v>76.36</v>
      </c>
      <c r="L1582">
        <v>63.63</v>
      </c>
      <c r="M1582">
        <v>95.45</v>
      </c>
      <c r="O1582">
        <v>85.69</v>
      </c>
      <c r="Q1582">
        <v>79.540000000000006</v>
      </c>
      <c r="R1582">
        <v>89.08</v>
      </c>
      <c r="T1582" t="s">
        <v>97</v>
      </c>
      <c r="V1582">
        <v>101.81</v>
      </c>
      <c r="W1582">
        <v>101.81</v>
      </c>
      <c r="X1582">
        <v>101.81</v>
      </c>
      <c r="Y1582">
        <v>101.81</v>
      </c>
      <c r="Z1582">
        <v>139.99</v>
      </c>
      <c r="AA1582" t="s">
        <v>97</v>
      </c>
    </row>
    <row r="1583" spans="1:28" x14ac:dyDescent="0.2">
      <c r="A1583" t="s">
        <v>92</v>
      </c>
      <c r="B1583" t="s">
        <v>2987</v>
      </c>
      <c r="C1583" t="s">
        <v>3059</v>
      </c>
      <c r="D1583" t="s">
        <v>3060</v>
      </c>
      <c r="E1583" t="s">
        <v>290</v>
      </c>
      <c r="F1583">
        <v>219.99</v>
      </c>
      <c r="H1583">
        <v>139.99</v>
      </c>
      <c r="I1583">
        <v>139.99</v>
      </c>
      <c r="J1583">
        <v>179.99</v>
      </c>
      <c r="K1583">
        <v>139.99</v>
      </c>
      <c r="L1583">
        <v>159.99</v>
      </c>
      <c r="M1583">
        <v>179.99</v>
      </c>
      <c r="O1583">
        <v>159.99</v>
      </c>
      <c r="Q1583">
        <v>159.99</v>
      </c>
      <c r="R1583">
        <v>159.99</v>
      </c>
      <c r="T1583" t="s">
        <v>97</v>
      </c>
      <c r="V1583">
        <v>159.99</v>
      </c>
      <c r="W1583">
        <v>159.99</v>
      </c>
      <c r="X1583">
        <v>159.99</v>
      </c>
      <c r="Y1583">
        <v>159.99</v>
      </c>
      <c r="Z1583">
        <v>219.99</v>
      </c>
      <c r="AA1583" t="s">
        <v>97</v>
      </c>
    </row>
    <row r="1584" spans="1:28" x14ac:dyDescent="0.2">
      <c r="A1584" t="s">
        <v>92</v>
      </c>
      <c r="B1584" t="s">
        <v>2987</v>
      </c>
      <c r="C1584" t="s">
        <v>3063</v>
      </c>
      <c r="D1584" t="s">
        <v>3064</v>
      </c>
      <c r="E1584" t="s">
        <v>228</v>
      </c>
      <c r="F1584">
        <v>219.99</v>
      </c>
      <c r="H1584">
        <v>129.99</v>
      </c>
      <c r="I1584">
        <v>139.99</v>
      </c>
      <c r="J1584">
        <v>179.99</v>
      </c>
      <c r="K1584">
        <v>119.99</v>
      </c>
      <c r="L1584">
        <v>123.43</v>
      </c>
      <c r="M1584">
        <v>139.99</v>
      </c>
      <c r="O1584">
        <v>159.99</v>
      </c>
      <c r="P1584">
        <v>110</v>
      </c>
      <c r="Q1584">
        <v>119.99</v>
      </c>
      <c r="R1584">
        <v>110</v>
      </c>
      <c r="T1584" t="s">
        <v>97</v>
      </c>
      <c r="AA1584" t="s">
        <v>97</v>
      </c>
    </row>
    <row r="1585" spans="1:28" x14ac:dyDescent="0.2">
      <c r="A1585" t="s">
        <v>92</v>
      </c>
      <c r="B1585" t="s">
        <v>2987</v>
      </c>
      <c r="C1585" t="s">
        <v>3065</v>
      </c>
      <c r="D1585" t="s">
        <v>3066</v>
      </c>
      <c r="E1585" t="s">
        <v>228</v>
      </c>
      <c r="F1585">
        <v>139.99</v>
      </c>
      <c r="H1585">
        <v>82.72</v>
      </c>
      <c r="I1585">
        <v>89.08</v>
      </c>
      <c r="J1585">
        <v>114.54</v>
      </c>
      <c r="K1585">
        <v>76.36</v>
      </c>
      <c r="L1585">
        <v>78.55</v>
      </c>
      <c r="M1585">
        <v>89.08</v>
      </c>
      <c r="O1585">
        <v>101.81</v>
      </c>
      <c r="P1585">
        <v>70</v>
      </c>
      <c r="Q1585">
        <v>76.36</v>
      </c>
      <c r="R1585">
        <v>70</v>
      </c>
      <c r="T1585" t="s">
        <v>97</v>
      </c>
      <c r="AA1585" t="s">
        <v>97</v>
      </c>
    </row>
    <row r="1586" spans="1:28" x14ac:dyDescent="0.2">
      <c r="A1586" t="s">
        <v>92</v>
      </c>
      <c r="B1586" t="s">
        <v>2987</v>
      </c>
      <c r="C1586" t="s">
        <v>3067</v>
      </c>
      <c r="D1586" t="s">
        <v>3068</v>
      </c>
      <c r="E1586" t="s">
        <v>290</v>
      </c>
      <c r="F1586">
        <v>99.99</v>
      </c>
      <c r="G1586">
        <v>99.99</v>
      </c>
      <c r="H1586">
        <v>63.63</v>
      </c>
      <c r="I1586">
        <v>63.63</v>
      </c>
      <c r="J1586">
        <v>81.81</v>
      </c>
      <c r="K1586">
        <v>63.63</v>
      </c>
      <c r="L1586">
        <v>72.72</v>
      </c>
      <c r="M1586">
        <v>81.81</v>
      </c>
      <c r="O1586">
        <v>72.72</v>
      </c>
      <c r="Q1586">
        <v>72.72</v>
      </c>
      <c r="R1586">
        <v>72.72</v>
      </c>
      <c r="T1586" t="s">
        <v>97</v>
      </c>
      <c r="V1586">
        <v>72.72</v>
      </c>
      <c r="W1586">
        <v>77.27</v>
      </c>
      <c r="X1586">
        <v>77.27</v>
      </c>
      <c r="Y1586">
        <v>72.72</v>
      </c>
      <c r="Z1586">
        <v>99.99</v>
      </c>
      <c r="AA1586" t="s">
        <v>97</v>
      </c>
    </row>
    <row r="1587" spans="1:28" x14ac:dyDescent="0.2">
      <c r="A1587" t="s">
        <v>92</v>
      </c>
      <c r="B1587" t="s">
        <v>2987</v>
      </c>
      <c r="C1587" t="s">
        <v>3073</v>
      </c>
      <c r="D1587" t="s">
        <v>3074</v>
      </c>
      <c r="E1587" t="s">
        <v>290</v>
      </c>
      <c r="F1587">
        <v>199.99</v>
      </c>
      <c r="G1587">
        <v>199.99</v>
      </c>
      <c r="H1587">
        <v>118.18</v>
      </c>
      <c r="I1587">
        <v>127.27</v>
      </c>
      <c r="J1587">
        <v>163.63</v>
      </c>
      <c r="K1587">
        <v>118.18</v>
      </c>
      <c r="L1587">
        <v>127.27</v>
      </c>
      <c r="M1587">
        <v>145.44999999999999</v>
      </c>
      <c r="O1587">
        <v>139.08000000000001</v>
      </c>
      <c r="P1587">
        <v>98.18</v>
      </c>
      <c r="Q1587">
        <v>127.27</v>
      </c>
      <c r="R1587">
        <v>118.18</v>
      </c>
      <c r="T1587" t="s">
        <v>97</v>
      </c>
      <c r="V1587">
        <v>145.44999999999999</v>
      </c>
      <c r="W1587">
        <v>145.44999999999999</v>
      </c>
      <c r="X1587">
        <v>145.44999999999999</v>
      </c>
      <c r="Y1587">
        <v>145.44999999999999</v>
      </c>
      <c r="Z1587">
        <v>199.99</v>
      </c>
      <c r="AA1587" t="s">
        <v>97</v>
      </c>
    </row>
    <row r="1588" spans="1:28" x14ac:dyDescent="0.2">
      <c r="A1588" t="s">
        <v>92</v>
      </c>
      <c r="B1588" t="s">
        <v>2987</v>
      </c>
      <c r="C1588" t="s">
        <v>3075</v>
      </c>
      <c r="D1588" t="s">
        <v>3076</v>
      </c>
      <c r="E1588" t="s">
        <v>290</v>
      </c>
      <c r="F1588">
        <v>49.99</v>
      </c>
      <c r="H1588">
        <v>29.54</v>
      </c>
      <c r="I1588">
        <v>31.81</v>
      </c>
      <c r="J1588">
        <v>40.9</v>
      </c>
      <c r="K1588">
        <v>29.54</v>
      </c>
      <c r="L1588">
        <v>34.08</v>
      </c>
      <c r="M1588">
        <v>36.36</v>
      </c>
      <c r="O1588">
        <v>34.08</v>
      </c>
      <c r="Q1588">
        <v>34.08</v>
      </c>
      <c r="R1588">
        <v>34.08</v>
      </c>
      <c r="T1588" t="s">
        <v>97</v>
      </c>
      <c r="V1588">
        <v>38.630000000000003</v>
      </c>
      <c r="W1588">
        <v>40.9</v>
      </c>
      <c r="X1588">
        <v>40.9</v>
      </c>
      <c r="Y1588">
        <v>36.36</v>
      </c>
      <c r="Z1588">
        <v>49.99</v>
      </c>
      <c r="AA1588" t="s">
        <v>97</v>
      </c>
      <c r="AB1588">
        <v>29.99</v>
      </c>
    </row>
    <row r="1589" spans="1:28" x14ac:dyDescent="0.2">
      <c r="A1589" t="s">
        <v>92</v>
      </c>
      <c r="B1589" t="s">
        <v>3077</v>
      </c>
      <c r="C1589" t="s">
        <v>3080</v>
      </c>
      <c r="D1589" t="s">
        <v>3081</v>
      </c>
      <c r="E1589" t="s">
        <v>96</v>
      </c>
      <c r="F1589">
        <v>649.99</v>
      </c>
      <c r="G1589">
        <v>649.99</v>
      </c>
      <c r="H1589">
        <v>443.18</v>
      </c>
      <c r="I1589">
        <v>472.72</v>
      </c>
      <c r="J1589">
        <v>561.36</v>
      </c>
      <c r="K1589">
        <v>443.18</v>
      </c>
      <c r="L1589">
        <v>543.63</v>
      </c>
      <c r="M1589">
        <v>561.36</v>
      </c>
      <c r="Q1589">
        <v>531.80999999999995</v>
      </c>
      <c r="T1589" t="s">
        <v>97</v>
      </c>
      <c r="V1589">
        <v>531.80999999999995</v>
      </c>
      <c r="W1589">
        <v>531.80999999999995</v>
      </c>
      <c r="X1589">
        <v>531.80999999999995</v>
      </c>
      <c r="Y1589">
        <v>531.80999999999995</v>
      </c>
      <c r="Z1589">
        <v>649.99</v>
      </c>
      <c r="AA1589" t="s">
        <v>97</v>
      </c>
    </row>
    <row r="1590" spans="1:28" x14ac:dyDescent="0.2">
      <c r="A1590" t="s">
        <v>92</v>
      </c>
      <c r="B1590" t="s">
        <v>8493</v>
      </c>
      <c r="C1590" t="s">
        <v>8494</v>
      </c>
      <c r="D1590" t="s">
        <v>8495</v>
      </c>
      <c r="E1590" t="s">
        <v>228</v>
      </c>
      <c r="F1590">
        <v>699</v>
      </c>
      <c r="M1590">
        <v>528.80999999999995</v>
      </c>
      <c r="O1590">
        <v>571.91</v>
      </c>
      <c r="R1590">
        <v>489.3</v>
      </c>
      <c r="T1590" t="s">
        <v>97</v>
      </c>
      <c r="AA1590" t="s">
        <v>97</v>
      </c>
    </row>
    <row r="1591" spans="1:28" x14ac:dyDescent="0.2">
      <c r="A1591" t="s">
        <v>92</v>
      </c>
      <c r="B1591" t="s">
        <v>8493</v>
      </c>
      <c r="C1591" t="s">
        <v>8496</v>
      </c>
      <c r="D1591" t="s">
        <v>8497</v>
      </c>
      <c r="E1591" t="s">
        <v>228</v>
      </c>
      <c r="F1591">
        <v>599</v>
      </c>
      <c r="M1591">
        <v>453.16</v>
      </c>
      <c r="O1591">
        <v>490.09</v>
      </c>
      <c r="R1591">
        <v>419.3</v>
      </c>
      <c r="T1591" t="s">
        <v>97</v>
      </c>
      <c r="AA1591" t="s">
        <v>97</v>
      </c>
    </row>
    <row r="1592" spans="1:28" x14ac:dyDescent="0.2">
      <c r="A1592" t="s">
        <v>92</v>
      </c>
      <c r="B1592" t="s">
        <v>8493</v>
      </c>
      <c r="C1592" t="s">
        <v>8933</v>
      </c>
      <c r="D1592" t="s">
        <v>8934</v>
      </c>
      <c r="E1592" t="s">
        <v>228</v>
      </c>
      <c r="M1592">
        <v>0.01</v>
      </c>
      <c r="T1592" t="s">
        <v>97</v>
      </c>
      <c r="AA1592" t="s">
        <v>97</v>
      </c>
    </row>
    <row r="1593" spans="1:28" x14ac:dyDescent="0.2">
      <c r="A1593" t="s">
        <v>92</v>
      </c>
      <c r="B1593" t="s">
        <v>3092</v>
      </c>
      <c r="C1593" t="s">
        <v>3093</v>
      </c>
      <c r="D1593" t="s">
        <v>3094</v>
      </c>
      <c r="E1593" t="s">
        <v>96</v>
      </c>
      <c r="F1593">
        <v>229.99</v>
      </c>
      <c r="G1593">
        <v>229.99</v>
      </c>
      <c r="T1593" t="s">
        <v>97</v>
      </c>
      <c r="V1593">
        <v>188.14</v>
      </c>
      <c r="W1593">
        <v>188.14</v>
      </c>
      <c r="X1593">
        <v>188.14</v>
      </c>
      <c r="Y1593">
        <v>188.17</v>
      </c>
      <c r="Z1593">
        <v>229.99</v>
      </c>
      <c r="AA1593" t="s">
        <v>97</v>
      </c>
    </row>
    <row r="1594" spans="1:28" x14ac:dyDescent="0.2">
      <c r="A1594" t="s">
        <v>92</v>
      </c>
      <c r="B1594" t="s">
        <v>3092</v>
      </c>
      <c r="C1594" t="s">
        <v>3095</v>
      </c>
      <c r="D1594" t="s">
        <v>3096</v>
      </c>
      <c r="E1594" t="s">
        <v>96</v>
      </c>
      <c r="F1594">
        <v>229.99</v>
      </c>
      <c r="G1594">
        <v>229.99</v>
      </c>
      <c r="T1594" t="s">
        <v>97</v>
      </c>
      <c r="V1594">
        <v>188.14</v>
      </c>
      <c r="W1594">
        <v>188.14</v>
      </c>
      <c r="X1594">
        <v>188.14</v>
      </c>
      <c r="Y1594">
        <v>188.17</v>
      </c>
      <c r="Z1594">
        <v>229.99</v>
      </c>
      <c r="AA1594" t="s">
        <v>97</v>
      </c>
    </row>
    <row r="1595" spans="1:28" x14ac:dyDescent="0.2">
      <c r="A1595" t="s">
        <v>92</v>
      </c>
      <c r="B1595" t="s">
        <v>3092</v>
      </c>
      <c r="C1595" t="s">
        <v>3097</v>
      </c>
      <c r="D1595" t="s">
        <v>3098</v>
      </c>
      <c r="E1595" t="s">
        <v>96</v>
      </c>
      <c r="F1595">
        <v>229.99</v>
      </c>
      <c r="G1595">
        <v>229.99</v>
      </c>
      <c r="T1595" t="s">
        <v>97</v>
      </c>
      <c r="V1595">
        <v>188.14</v>
      </c>
      <c r="W1595">
        <v>188.14</v>
      </c>
      <c r="X1595">
        <v>188.14</v>
      </c>
      <c r="Y1595">
        <v>188.17</v>
      </c>
      <c r="Z1595">
        <v>229.99</v>
      </c>
      <c r="AA1595" t="s">
        <v>97</v>
      </c>
    </row>
    <row r="1596" spans="1:28" x14ac:dyDescent="0.2">
      <c r="A1596" t="s">
        <v>92</v>
      </c>
      <c r="B1596" t="s">
        <v>3092</v>
      </c>
      <c r="C1596" t="s">
        <v>3099</v>
      </c>
      <c r="D1596" t="s">
        <v>3100</v>
      </c>
      <c r="E1596" t="s">
        <v>96</v>
      </c>
      <c r="F1596">
        <v>229.99</v>
      </c>
      <c r="G1596">
        <v>229.99</v>
      </c>
      <c r="T1596" t="s">
        <v>97</v>
      </c>
      <c r="V1596">
        <v>188.14</v>
      </c>
      <c r="W1596">
        <v>188.14</v>
      </c>
      <c r="X1596">
        <v>188.14</v>
      </c>
      <c r="Y1596">
        <v>188.17</v>
      </c>
      <c r="Z1596">
        <v>229.99</v>
      </c>
      <c r="AA1596" t="s">
        <v>97</v>
      </c>
    </row>
    <row r="1597" spans="1:28" x14ac:dyDescent="0.2">
      <c r="A1597" t="s">
        <v>92</v>
      </c>
      <c r="B1597" t="s">
        <v>3092</v>
      </c>
      <c r="C1597" t="s">
        <v>3101</v>
      </c>
      <c r="D1597" t="s">
        <v>3102</v>
      </c>
      <c r="E1597" t="s">
        <v>96</v>
      </c>
      <c r="F1597">
        <v>229.99</v>
      </c>
      <c r="G1597">
        <v>229.99</v>
      </c>
      <c r="T1597" t="s">
        <v>97</v>
      </c>
      <c r="V1597">
        <v>188.14</v>
      </c>
      <c r="W1597">
        <v>188.14</v>
      </c>
      <c r="X1597">
        <v>188.14</v>
      </c>
      <c r="Y1597">
        <v>188.17</v>
      </c>
      <c r="Z1597">
        <v>229.99</v>
      </c>
      <c r="AA1597" t="s">
        <v>97</v>
      </c>
    </row>
    <row r="1598" spans="1:28" x14ac:dyDescent="0.2">
      <c r="A1598" t="s">
        <v>92</v>
      </c>
      <c r="B1598" t="s">
        <v>3092</v>
      </c>
      <c r="C1598" t="s">
        <v>3103</v>
      </c>
      <c r="D1598" t="s">
        <v>3104</v>
      </c>
      <c r="E1598" t="s">
        <v>96</v>
      </c>
      <c r="F1598">
        <v>229.99</v>
      </c>
      <c r="G1598">
        <v>229.99</v>
      </c>
      <c r="T1598" t="s">
        <v>97</v>
      </c>
      <c r="V1598">
        <v>188.14</v>
      </c>
      <c r="W1598">
        <v>188.14</v>
      </c>
      <c r="X1598">
        <v>188.14</v>
      </c>
      <c r="Y1598">
        <v>188.17</v>
      </c>
      <c r="Z1598">
        <v>229.99</v>
      </c>
      <c r="AA1598" t="s">
        <v>97</v>
      </c>
    </row>
    <row r="1599" spans="1:28" x14ac:dyDescent="0.2">
      <c r="A1599" t="s">
        <v>92</v>
      </c>
      <c r="B1599" t="s">
        <v>3092</v>
      </c>
      <c r="C1599" t="s">
        <v>3105</v>
      </c>
      <c r="D1599" t="s">
        <v>3106</v>
      </c>
      <c r="E1599" t="s">
        <v>96</v>
      </c>
      <c r="F1599">
        <v>329.99</v>
      </c>
      <c r="G1599">
        <v>329.99</v>
      </c>
      <c r="T1599" t="s">
        <v>97</v>
      </c>
      <c r="V1599">
        <v>269.95999999999998</v>
      </c>
      <c r="W1599">
        <v>269.95999999999998</v>
      </c>
      <c r="X1599">
        <v>269.95999999999998</v>
      </c>
      <c r="Y1599">
        <v>269.99</v>
      </c>
      <c r="Z1599">
        <v>329.99</v>
      </c>
      <c r="AA1599" t="s">
        <v>97</v>
      </c>
    </row>
    <row r="1600" spans="1:28" x14ac:dyDescent="0.2">
      <c r="A1600" t="s">
        <v>92</v>
      </c>
      <c r="B1600" t="s">
        <v>3092</v>
      </c>
      <c r="C1600" t="s">
        <v>3107</v>
      </c>
      <c r="D1600" t="s">
        <v>3108</v>
      </c>
      <c r="E1600" t="s">
        <v>96</v>
      </c>
      <c r="F1600">
        <v>329.99</v>
      </c>
      <c r="G1600">
        <v>329.99</v>
      </c>
      <c r="T1600" t="s">
        <v>97</v>
      </c>
      <c r="V1600">
        <v>269.95999999999998</v>
      </c>
      <c r="W1600">
        <v>269.95999999999998</v>
      </c>
      <c r="X1600">
        <v>269.95999999999998</v>
      </c>
      <c r="Y1600">
        <v>269.99</v>
      </c>
      <c r="Z1600">
        <v>329.99</v>
      </c>
      <c r="AA1600" t="s">
        <v>97</v>
      </c>
    </row>
    <row r="1601" spans="1:28" x14ac:dyDescent="0.2">
      <c r="A1601" t="s">
        <v>92</v>
      </c>
      <c r="B1601" t="s">
        <v>3092</v>
      </c>
      <c r="C1601" t="s">
        <v>3109</v>
      </c>
      <c r="D1601" t="s">
        <v>3110</v>
      </c>
      <c r="E1601" t="s">
        <v>96</v>
      </c>
      <c r="F1601">
        <v>329.99</v>
      </c>
      <c r="G1601">
        <v>329.99</v>
      </c>
      <c r="T1601" t="s">
        <v>97</v>
      </c>
      <c r="V1601">
        <v>269.95999999999998</v>
      </c>
      <c r="W1601">
        <v>269.95999999999998</v>
      </c>
      <c r="X1601">
        <v>269.95999999999998</v>
      </c>
      <c r="Y1601">
        <v>269.99</v>
      </c>
      <c r="Z1601">
        <v>329.99</v>
      </c>
      <c r="AA1601" t="s">
        <v>97</v>
      </c>
    </row>
    <row r="1602" spans="1:28" x14ac:dyDescent="0.2">
      <c r="A1602" t="s">
        <v>92</v>
      </c>
      <c r="B1602" t="s">
        <v>3092</v>
      </c>
      <c r="C1602" t="s">
        <v>3111</v>
      </c>
      <c r="D1602" t="s">
        <v>3112</v>
      </c>
      <c r="E1602" t="s">
        <v>96</v>
      </c>
      <c r="F1602">
        <v>329.99</v>
      </c>
      <c r="G1602">
        <v>329.99</v>
      </c>
      <c r="T1602" t="s">
        <v>97</v>
      </c>
      <c r="V1602">
        <v>269.95999999999998</v>
      </c>
      <c r="W1602">
        <v>269.95999999999998</v>
      </c>
      <c r="X1602">
        <v>269.95999999999998</v>
      </c>
      <c r="Y1602">
        <v>269.99</v>
      </c>
      <c r="Z1602">
        <v>329.99</v>
      </c>
      <c r="AA1602" t="s">
        <v>97</v>
      </c>
    </row>
    <row r="1603" spans="1:28" x14ac:dyDescent="0.2">
      <c r="A1603" t="s">
        <v>92</v>
      </c>
      <c r="B1603" t="s">
        <v>3092</v>
      </c>
      <c r="C1603" t="s">
        <v>3113</v>
      </c>
      <c r="D1603" t="s">
        <v>3114</v>
      </c>
      <c r="E1603" t="s">
        <v>96</v>
      </c>
      <c r="F1603">
        <v>329.99</v>
      </c>
      <c r="G1603">
        <v>329.99</v>
      </c>
      <c r="T1603" t="s">
        <v>97</v>
      </c>
      <c r="V1603">
        <v>269.95999999999998</v>
      </c>
      <c r="W1603">
        <v>269.95999999999998</v>
      </c>
      <c r="X1603">
        <v>269.95999999999998</v>
      </c>
      <c r="Y1603">
        <v>269.99</v>
      </c>
      <c r="Z1603">
        <v>329.99</v>
      </c>
      <c r="AA1603" t="s">
        <v>97</v>
      </c>
    </row>
    <row r="1604" spans="1:28" x14ac:dyDescent="0.2">
      <c r="A1604" t="s">
        <v>92</v>
      </c>
      <c r="B1604" t="s">
        <v>3092</v>
      </c>
      <c r="C1604" t="s">
        <v>3115</v>
      </c>
      <c r="D1604" t="s">
        <v>3116</v>
      </c>
      <c r="E1604" t="s">
        <v>96</v>
      </c>
      <c r="F1604">
        <v>149.99</v>
      </c>
      <c r="G1604">
        <v>149.99</v>
      </c>
      <c r="T1604" t="s">
        <v>97</v>
      </c>
      <c r="V1604">
        <v>122.69</v>
      </c>
      <c r="W1604">
        <v>122.69</v>
      </c>
      <c r="X1604">
        <v>122.69</v>
      </c>
      <c r="Y1604">
        <v>122.72</v>
      </c>
      <c r="Z1604">
        <v>149.99</v>
      </c>
      <c r="AA1604" t="s">
        <v>97</v>
      </c>
    </row>
    <row r="1605" spans="1:28" x14ac:dyDescent="0.2">
      <c r="A1605" t="s">
        <v>92</v>
      </c>
      <c r="B1605" t="s">
        <v>3092</v>
      </c>
      <c r="C1605" t="s">
        <v>3117</v>
      </c>
      <c r="D1605" t="s">
        <v>3118</v>
      </c>
      <c r="E1605" t="s">
        <v>96</v>
      </c>
      <c r="F1605">
        <v>149.99</v>
      </c>
      <c r="G1605">
        <v>149.99</v>
      </c>
      <c r="T1605" t="s">
        <v>97</v>
      </c>
      <c r="V1605">
        <v>122.69</v>
      </c>
      <c r="W1605">
        <v>122.69</v>
      </c>
      <c r="X1605">
        <v>122.69</v>
      </c>
      <c r="Y1605">
        <v>122.72</v>
      </c>
      <c r="Z1605">
        <v>149.99</v>
      </c>
      <c r="AA1605" t="s">
        <v>97</v>
      </c>
    </row>
    <row r="1606" spans="1:28" x14ac:dyDescent="0.2">
      <c r="A1606" t="s">
        <v>92</v>
      </c>
      <c r="B1606" t="s">
        <v>3092</v>
      </c>
      <c r="C1606" t="s">
        <v>3119</v>
      </c>
      <c r="D1606" t="s">
        <v>3120</v>
      </c>
      <c r="E1606" t="s">
        <v>96</v>
      </c>
      <c r="F1606">
        <v>149.99</v>
      </c>
      <c r="G1606">
        <v>149.99</v>
      </c>
      <c r="T1606" t="s">
        <v>97</v>
      </c>
      <c r="V1606">
        <v>122.69</v>
      </c>
      <c r="W1606">
        <v>122.69</v>
      </c>
      <c r="X1606">
        <v>122.69</v>
      </c>
      <c r="Y1606">
        <v>122.72</v>
      </c>
      <c r="Z1606">
        <v>149.99</v>
      </c>
      <c r="AA1606" t="s">
        <v>97</v>
      </c>
    </row>
    <row r="1607" spans="1:28" x14ac:dyDescent="0.2">
      <c r="A1607" t="s">
        <v>92</v>
      </c>
      <c r="B1607" t="s">
        <v>3092</v>
      </c>
      <c r="C1607" t="s">
        <v>3121</v>
      </c>
      <c r="D1607" t="s">
        <v>3122</v>
      </c>
      <c r="E1607" t="s">
        <v>96</v>
      </c>
      <c r="F1607">
        <v>149.99</v>
      </c>
      <c r="G1607">
        <v>149.99</v>
      </c>
      <c r="T1607" t="s">
        <v>97</v>
      </c>
      <c r="V1607">
        <v>122.69</v>
      </c>
      <c r="W1607">
        <v>122.69</v>
      </c>
      <c r="X1607">
        <v>122.69</v>
      </c>
      <c r="Y1607">
        <v>122.72</v>
      </c>
      <c r="Z1607">
        <v>149.99</v>
      </c>
      <c r="AA1607" t="s">
        <v>97</v>
      </c>
    </row>
    <row r="1608" spans="1:28" x14ac:dyDescent="0.2">
      <c r="A1608" t="s">
        <v>92</v>
      </c>
      <c r="B1608" t="s">
        <v>3123</v>
      </c>
      <c r="C1608" t="s">
        <v>3124</v>
      </c>
      <c r="D1608" t="s">
        <v>3125</v>
      </c>
      <c r="E1608" t="s">
        <v>290</v>
      </c>
      <c r="F1608">
        <v>485</v>
      </c>
      <c r="G1608">
        <v>484.95</v>
      </c>
      <c r="T1608" t="s">
        <v>97</v>
      </c>
      <c r="V1608">
        <v>352.73</v>
      </c>
      <c r="W1608">
        <v>317.01</v>
      </c>
      <c r="X1608">
        <v>317.01</v>
      </c>
      <c r="Y1608">
        <v>338.15</v>
      </c>
      <c r="Z1608">
        <v>484.95</v>
      </c>
      <c r="AA1608" t="s">
        <v>97</v>
      </c>
      <c r="AB1608">
        <v>484.95</v>
      </c>
    </row>
    <row r="1609" spans="1:28" x14ac:dyDescent="0.2">
      <c r="A1609" t="s">
        <v>92</v>
      </c>
      <c r="B1609" t="s">
        <v>3123</v>
      </c>
      <c r="C1609" t="s">
        <v>3126</v>
      </c>
      <c r="D1609" t="s">
        <v>3127</v>
      </c>
      <c r="E1609" t="s">
        <v>228</v>
      </c>
      <c r="F1609">
        <v>649</v>
      </c>
      <c r="G1609">
        <v>649.95000000000005</v>
      </c>
      <c r="T1609" t="s">
        <v>97</v>
      </c>
      <c r="V1609">
        <v>472</v>
      </c>
      <c r="W1609">
        <v>415.88</v>
      </c>
      <c r="X1609">
        <v>415.88</v>
      </c>
      <c r="Y1609">
        <v>443.6</v>
      </c>
      <c r="Z1609">
        <v>649.95000000000005</v>
      </c>
      <c r="AA1609" t="s">
        <v>97</v>
      </c>
      <c r="AB1609">
        <v>649.95000000000005</v>
      </c>
    </row>
    <row r="1610" spans="1:28" x14ac:dyDescent="0.2">
      <c r="A1610" t="s">
        <v>92</v>
      </c>
      <c r="B1610" t="s">
        <v>3123</v>
      </c>
      <c r="C1610" t="s">
        <v>3128</v>
      </c>
      <c r="D1610" t="s">
        <v>3129</v>
      </c>
      <c r="E1610" t="s">
        <v>228</v>
      </c>
      <c r="F1610">
        <v>545</v>
      </c>
      <c r="G1610">
        <v>544.95000000000005</v>
      </c>
      <c r="T1610" t="s">
        <v>97</v>
      </c>
      <c r="V1610">
        <v>396.36</v>
      </c>
      <c r="W1610">
        <v>340.88</v>
      </c>
      <c r="X1610">
        <v>340.88</v>
      </c>
      <c r="Y1610">
        <v>363.6</v>
      </c>
      <c r="Z1610">
        <v>544.95000000000005</v>
      </c>
      <c r="AA1610" t="s">
        <v>97</v>
      </c>
      <c r="AB1610">
        <v>544.95000000000005</v>
      </c>
    </row>
    <row r="1611" spans="1:28" x14ac:dyDescent="0.2">
      <c r="A1611" t="s">
        <v>92</v>
      </c>
      <c r="B1611" t="s">
        <v>3123</v>
      </c>
      <c r="C1611" t="s">
        <v>3130</v>
      </c>
      <c r="D1611" t="s">
        <v>3131</v>
      </c>
      <c r="E1611" t="s">
        <v>96</v>
      </c>
      <c r="F1611">
        <v>79.95</v>
      </c>
      <c r="G1611">
        <v>79.95</v>
      </c>
      <c r="T1611" t="s">
        <v>97</v>
      </c>
      <c r="V1611">
        <v>57.45</v>
      </c>
      <c r="W1611">
        <v>51.1</v>
      </c>
      <c r="X1611">
        <v>51.1</v>
      </c>
      <c r="Y1611">
        <v>54.51</v>
      </c>
      <c r="Z1611">
        <v>79.95</v>
      </c>
      <c r="AA1611" t="s">
        <v>97</v>
      </c>
      <c r="AB1611">
        <v>79.95</v>
      </c>
    </row>
    <row r="1612" spans="1:28" x14ac:dyDescent="0.2">
      <c r="A1612" t="s">
        <v>92</v>
      </c>
      <c r="B1612" t="s">
        <v>3123</v>
      </c>
      <c r="C1612" t="s">
        <v>3132</v>
      </c>
      <c r="D1612" t="s">
        <v>3133</v>
      </c>
      <c r="E1612" t="s">
        <v>228</v>
      </c>
      <c r="F1612">
        <v>129</v>
      </c>
      <c r="G1612">
        <v>129.94999999999999</v>
      </c>
      <c r="T1612" t="s">
        <v>97</v>
      </c>
      <c r="V1612">
        <v>93.82</v>
      </c>
      <c r="W1612">
        <v>85.19</v>
      </c>
      <c r="X1612">
        <v>85.19</v>
      </c>
      <c r="Y1612">
        <v>90.87</v>
      </c>
      <c r="Z1612">
        <v>129.94999999999999</v>
      </c>
      <c r="AA1612" t="s">
        <v>97</v>
      </c>
      <c r="AB1612">
        <v>129.94999999999999</v>
      </c>
    </row>
    <row r="1613" spans="1:28" x14ac:dyDescent="0.2">
      <c r="A1613" t="s">
        <v>92</v>
      </c>
      <c r="B1613" t="s">
        <v>3123</v>
      </c>
      <c r="C1613" t="s">
        <v>3134</v>
      </c>
      <c r="D1613" t="s">
        <v>3135</v>
      </c>
      <c r="E1613" t="s">
        <v>96</v>
      </c>
      <c r="F1613">
        <v>125</v>
      </c>
      <c r="G1613">
        <v>124.95</v>
      </c>
      <c r="T1613" t="s">
        <v>97</v>
      </c>
      <c r="V1613">
        <v>90.91</v>
      </c>
      <c r="W1613">
        <v>81.78</v>
      </c>
      <c r="X1613">
        <v>81.78</v>
      </c>
      <c r="Y1613">
        <v>87.24</v>
      </c>
      <c r="Z1613">
        <v>124.95</v>
      </c>
      <c r="AA1613" t="s">
        <v>97</v>
      </c>
      <c r="AB1613">
        <v>124.95</v>
      </c>
    </row>
    <row r="1614" spans="1:28" x14ac:dyDescent="0.2">
      <c r="A1614" t="s">
        <v>92</v>
      </c>
      <c r="B1614" t="s">
        <v>3123</v>
      </c>
      <c r="C1614" t="s">
        <v>3136</v>
      </c>
      <c r="D1614" t="s">
        <v>3137</v>
      </c>
      <c r="E1614" t="s">
        <v>228</v>
      </c>
      <c r="F1614">
        <v>99.95</v>
      </c>
      <c r="G1614">
        <v>99.95</v>
      </c>
      <c r="T1614" t="s">
        <v>97</v>
      </c>
      <c r="V1614">
        <v>72</v>
      </c>
      <c r="W1614">
        <v>68.150000000000006</v>
      </c>
      <c r="X1614">
        <v>68.150000000000006</v>
      </c>
      <c r="Y1614">
        <v>72.69</v>
      </c>
      <c r="Z1614">
        <v>99.95</v>
      </c>
      <c r="AA1614" t="s">
        <v>97</v>
      </c>
      <c r="AB1614">
        <v>99.95</v>
      </c>
    </row>
    <row r="1615" spans="1:28" x14ac:dyDescent="0.2">
      <c r="A1615" t="s">
        <v>92</v>
      </c>
      <c r="B1615" t="s">
        <v>3123</v>
      </c>
      <c r="C1615" t="s">
        <v>3138</v>
      </c>
      <c r="D1615" t="s">
        <v>3139</v>
      </c>
      <c r="E1615" t="s">
        <v>228</v>
      </c>
      <c r="F1615">
        <v>139</v>
      </c>
      <c r="G1615">
        <v>139.94999999999999</v>
      </c>
      <c r="T1615" t="s">
        <v>97</v>
      </c>
      <c r="V1615">
        <v>101.09</v>
      </c>
      <c r="W1615">
        <v>92.01</v>
      </c>
      <c r="X1615">
        <v>92.01</v>
      </c>
      <c r="Y1615">
        <v>98.15</v>
      </c>
      <c r="Z1615">
        <v>139.94999999999999</v>
      </c>
      <c r="AA1615" t="s">
        <v>97</v>
      </c>
      <c r="AB1615">
        <v>139.94999999999999</v>
      </c>
    </row>
    <row r="1616" spans="1:28" x14ac:dyDescent="0.2">
      <c r="A1616" t="s">
        <v>92</v>
      </c>
      <c r="B1616" t="s">
        <v>3123</v>
      </c>
      <c r="C1616" t="s">
        <v>3140</v>
      </c>
      <c r="D1616" t="s">
        <v>3141</v>
      </c>
      <c r="E1616" t="s">
        <v>96</v>
      </c>
      <c r="F1616">
        <v>79.95</v>
      </c>
      <c r="G1616">
        <v>79.95</v>
      </c>
      <c r="T1616" t="s">
        <v>97</v>
      </c>
      <c r="V1616">
        <v>57.45</v>
      </c>
      <c r="W1616">
        <v>54.51</v>
      </c>
      <c r="X1616">
        <v>54.51</v>
      </c>
      <c r="Y1616">
        <v>58.15</v>
      </c>
      <c r="Z1616">
        <v>79.95</v>
      </c>
      <c r="AA1616" t="s">
        <v>97</v>
      </c>
      <c r="AB1616">
        <v>79.95</v>
      </c>
    </row>
    <row r="1617" spans="1:28" x14ac:dyDescent="0.2">
      <c r="A1617" t="s">
        <v>92</v>
      </c>
      <c r="B1617" t="s">
        <v>3123</v>
      </c>
      <c r="C1617" t="s">
        <v>3142</v>
      </c>
      <c r="D1617" t="s">
        <v>3143</v>
      </c>
      <c r="E1617" t="s">
        <v>228</v>
      </c>
      <c r="F1617">
        <v>89.95</v>
      </c>
      <c r="G1617">
        <v>89.95</v>
      </c>
      <c r="T1617" t="s">
        <v>97</v>
      </c>
      <c r="V1617">
        <v>64.73</v>
      </c>
      <c r="W1617">
        <v>61.33</v>
      </c>
      <c r="X1617">
        <v>61.33</v>
      </c>
      <c r="Y1617">
        <v>65.42</v>
      </c>
      <c r="Z1617">
        <v>89.95</v>
      </c>
      <c r="AA1617" t="s">
        <v>97</v>
      </c>
      <c r="AB1617">
        <v>89.95</v>
      </c>
    </row>
    <row r="1618" spans="1:28" x14ac:dyDescent="0.2">
      <c r="A1618" t="s">
        <v>92</v>
      </c>
      <c r="B1618" t="s">
        <v>3123</v>
      </c>
      <c r="C1618" t="s">
        <v>3144</v>
      </c>
      <c r="D1618" t="s">
        <v>3145</v>
      </c>
      <c r="E1618" t="s">
        <v>96</v>
      </c>
      <c r="F1618">
        <v>110</v>
      </c>
      <c r="G1618">
        <v>109.95</v>
      </c>
      <c r="T1618" t="s">
        <v>97</v>
      </c>
      <c r="V1618">
        <v>79.27</v>
      </c>
      <c r="W1618">
        <v>71.56</v>
      </c>
      <c r="X1618">
        <v>71.56</v>
      </c>
      <c r="Y1618">
        <v>76.33</v>
      </c>
      <c r="Z1618">
        <v>109.95</v>
      </c>
      <c r="AA1618" t="s">
        <v>97</v>
      </c>
      <c r="AB1618">
        <v>109.95</v>
      </c>
    </row>
    <row r="1619" spans="1:28" x14ac:dyDescent="0.2">
      <c r="A1619" t="s">
        <v>92</v>
      </c>
      <c r="B1619" t="s">
        <v>3123</v>
      </c>
      <c r="C1619" t="s">
        <v>3146</v>
      </c>
      <c r="D1619" t="s">
        <v>3147</v>
      </c>
      <c r="E1619" t="s">
        <v>96</v>
      </c>
      <c r="F1619">
        <v>399</v>
      </c>
      <c r="G1619">
        <v>399.95</v>
      </c>
      <c r="T1619" t="s">
        <v>97</v>
      </c>
      <c r="V1619">
        <v>290.18</v>
      </c>
      <c r="W1619">
        <v>238.6</v>
      </c>
      <c r="X1619">
        <v>238.6</v>
      </c>
      <c r="Y1619">
        <v>254.51</v>
      </c>
      <c r="Z1619">
        <v>399.95</v>
      </c>
      <c r="AA1619" t="s">
        <v>97</v>
      </c>
      <c r="AB1619">
        <v>399.95</v>
      </c>
    </row>
    <row r="1620" spans="1:28" x14ac:dyDescent="0.2">
      <c r="A1620" t="s">
        <v>92</v>
      </c>
      <c r="B1620" t="s">
        <v>3123</v>
      </c>
      <c r="C1620" t="s">
        <v>3148</v>
      </c>
      <c r="D1620" t="s">
        <v>3149</v>
      </c>
      <c r="E1620" t="s">
        <v>96</v>
      </c>
      <c r="F1620">
        <v>199</v>
      </c>
      <c r="G1620">
        <v>199.95</v>
      </c>
      <c r="T1620" t="s">
        <v>97</v>
      </c>
      <c r="V1620">
        <v>144.72999999999999</v>
      </c>
      <c r="W1620">
        <v>119.28</v>
      </c>
      <c r="X1620">
        <v>119.28</v>
      </c>
      <c r="Y1620">
        <v>127.24</v>
      </c>
      <c r="Z1620">
        <v>199.95</v>
      </c>
      <c r="AA1620" t="s">
        <v>97</v>
      </c>
      <c r="AB1620">
        <v>199.95</v>
      </c>
    </row>
    <row r="1621" spans="1:28" x14ac:dyDescent="0.2">
      <c r="A1621" t="s">
        <v>92</v>
      </c>
      <c r="B1621" t="s">
        <v>3123</v>
      </c>
      <c r="C1621" t="s">
        <v>3150</v>
      </c>
      <c r="D1621" t="s">
        <v>3151</v>
      </c>
      <c r="E1621" t="s">
        <v>96</v>
      </c>
      <c r="F1621">
        <v>199</v>
      </c>
      <c r="G1621">
        <v>199.95</v>
      </c>
      <c r="T1621" t="s">
        <v>97</v>
      </c>
      <c r="V1621">
        <v>144.72999999999999</v>
      </c>
      <c r="W1621">
        <v>119.28</v>
      </c>
      <c r="X1621">
        <v>119.28</v>
      </c>
      <c r="Y1621">
        <v>127.24</v>
      </c>
      <c r="Z1621">
        <v>199.95</v>
      </c>
      <c r="AA1621" t="s">
        <v>97</v>
      </c>
      <c r="AB1621">
        <v>199.95</v>
      </c>
    </row>
    <row r="1622" spans="1:28" x14ac:dyDescent="0.2">
      <c r="A1622" t="s">
        <v>92</v>
      </c>
      <c r="B1622" t="s">
        <v>3123</v>
      </c>
      <c r="C1622" t="s">
        <v>3152</v>
      </c>
      <c r="D1622" t="s">
        <v>3153</v>
      </c>
      <c r="E1622" t="s">
        <v>228</v>
      </c>
      <c r="F1622">
        <v>189</v>
      </c>
      <c r="G1622">
        <v>189.95</v>
      </c>
      <c r="T1622" t="s">
        <v>97</v>
      </c>
      <c r="V1622">
        <v>137.44999999999999</v>
      </c>
      <c r="W1622">
        <v>119.28</v>
      </c>
      <c r="X1622">
        <v>119.28</v>
      </c>
      <c r="Y1622">
        <v>127.24</v>
      </c>
      <c r="Z1622">
        <v>189.95</v>
      </c>
      <c r="AA1622" t="s">
        <v>97</v>
      </c>
      <c r="AB1622">
        <v>189.95</v>
      </c>
    </row>
    <row r="1623" spans="1:28" x14ac:dyDescent="0.2">
      <c r="A1623" t="s">
        <v>92</v>
      </c>
      <c r="B1623" t="s">
        <v>3123</v>
      </c>
      <c r="C1623" t="s">
        <v>3154</v>
      </c>
      <c r="D1623" t="s">
        <v>3155</v>
      </c>
      <c r="E1623" t="s">
        <v>96</v>
      </c>
      <c r="F1623">
        <v>349</v>
      </c>
      <c r="G1623">
        <v>349.95</v>
      </c>
      <c r="T1623" t="s">
        <v>97</v>
      </c>
      <c r="V1623">
        <v>253.82</v>
      </c>
      <c r="W1623">
        <v>235.19</v>
      </c>
      <c r="X1623">
        <v>235.19</v>
      </c>
      <c r="Y1623">
        <v>250.87</v>
      </c>
      <c r="Z1623">
        <v>349.95</v>
      </c>
      <c r="AA1623" t="s">
        <v>97</v>
      </c>
      <c r="AB1623">
        <v>349.95</v>
      </c>
    </row>
    <row r="1624" spans="1:28" x14ac:dyDescent="0.2">
      <c r="A1624" t="s">
        <v>92</v>
      </c>
      <c r="B1624" t="s">
        <v>3123</v>
      </c>
      <c r="C1624" t="s">
        <v>3156</v>
      </c>
      <c r="D1624" t="s">
        <v>3157</v>
      </c>
      <c r="E1624" t="s">
        <v>290</v>
      </c>
      <c r="F1624">
        <v>49.95</v>
      </c>
      <c r="G1624">
        <v>49.95</v>
      </c>
      <c r="T1624" t="s">
        <v>97</v>
      </c>
      <c r="V1624">
        <v>35.64</v>
      </c>
      <c r="W1624">
        <v>34.06</v>
      </c>
      <c r="X1624">
        <v>34.06</v>
      </c>
      <c r="Y1624">
        <v>36.33</v>
      </c>
      <c r="Z1624">
        <v>49.95</v>
      </c>
      <c r="AA1624" t="s">
        <v>97</v>
      </c>
      <c r="AB1624">
        <v>49.95</v>
      </c>
    </row>
    <row r="1625" spans="1:28" x14ac:dyDescent="0.2">
      <c r="A1625" t="s">
        <v>92</v>
      </c>
      <c r="B1625" t="s">
        <v>3123</v>
      </c>
      <c r="C1625" t="s">
        <v>3158</v>
      </c>
      <c r="D1625" t="s">
        <v>3159</v>
      </c>
      <c r="E1625" t="s">
        <v>96</v>
      </c>
      <c r="F1625">
        <v>105</v>
      </c>
      <c r="G1625">
        <v>104.99</v>
      </c>
      <c r="T1625" t="s">
        <v>97</v>
      </c>
      <c r="V1625">
        <v>75.64</v>
      </c>
      <c r="W1625">
        <v>64.739999999999995</v>
      </c>
      <c r="X1625">
        <v>64.739999999999995</v>
      </c>
      <c r="Y1625">
        <v>69.05</v>
      </c>
      <c r="Z1625">
        <v>104.99</v>
      </c>
      <c r="AA1625" t="s">
        <v>97</v>
      </c>
      <c r="AB1625">
        <v>104.99</v>
      </c>
    </row>
    <row r="1626" spans="1:28" x14ac:dyDescent="0.2">
      <c r="A1626" t="s">
        <v>92</v>
      </c>
      <c r="B1626" t="s">
        <v>3123</v>
      </c>
      <c r="C1626" t="s">
        <v>3160</v>
      </c>
      <c r="D1626" t="s">
        <v>3161</v>
      </c>
      <c r="E1626" t="s">
        <v>96</v>
      </c>
      <c r="F1626">
        <v>110</v>
      </c>
      <c r="G1626">
        <v>109.95</v>
      </c>
      <c r="T1626" t="s">
        <v>97</v>
      </c>
      <c r="V1626">
        <v>79.27</v>
      </c>
      <c r="W1626">
        <v>64.739999999999995</v>
      </c>
      <c r="X1626">
        <v>64.739999999999995</v>
      </c>
      <c r="Y1626">
        <v>69.05</v>
      </c>
      <c r="Z1626">
        <v>109.95</v>
      </c>
      <c r="AA1626" t="s">
        <v>97</v>
      </c>
      <c r="AB1626">
        <v>109.95</v>
      </c>
    </row>
    <row r="1627" spans="1:28" x14ac:dyDescent="0.2">
      <c r="A1627" t="s">
        <v>92</v>
      </c>
      <c r="B1627" t="s">
        <v>3123</v>
      </c>
      <c r="C1627" t="s">
        <v>3162</v>
      </c>
      <c r="D1627" t="s">
        <v>3163</v>
      </c>
      <c r="E1627" t="s">
        <v>96</v>
      </c>
      <c r="F1627">
        <v>44.95</v>
      </c>
      <c r="G1627">
        <v>44.95</v>
      </c>
      <c r="T1627" t="s">
        <v>97</v>
      </c>
      <c r="V1627">
        <v>32</v>
      </c>
      <c r="W1627">
        <v>27.24</v>
      </c>
      <c r="X1627">
        <v>27.24</v>
      </c>
      <c r="Y1627">
        <v>29.05</v>
      </c>
      <c r="Z1627">
        <v>44.95</v>
      </c>
      <c r="AA1627" t="s">
        <v>97</v>
      </c>
      <c r="AB1627">
        <v>44.95</v>
      </c>
    </row>
    <row r="1628" spans="1:28" x14ac:dyDescent="0.2">
      <c r="A1628" t="s">
        <v>92</v>
      </c>
      <c r="B1628" t="s">
        <v>3123</v>
      </c>
      <c r="C1628" t="s">
        <v>3164</v>
      </c>
      <c r="D1628" t="s">
        <v>3165</v>
      </c>
      <c r="E1628" t="s">
        <v>96</v>
      </c>
      <c r="F1628">
        <v>44.95</v>
      </c>
      <c r="G1628">
        <v>44.95</v>
      </c>
      <c r="T1628" t="s">
        <v>97</v>
      </c>
      <c r="V1628">
        <v>27.24</v>
      </c>
      <c r="W1628">
        <v>27.24</v>
      </c>
      <c r="X1628">
        <v>27.24</v>
      </c>
      <c r="Y1628">
        <v>29.05</v>
      </c>
      <c r="Z1628">
        <v>44.95</v>
      </c>
      <c r="AA1628" t="s">
        <v>97</v>
      </c>
    </row>
    <row r="1629" spans="1:28" x14ac:dyDescent="0.2">
      <c r="A1629" t="s">
        <v>92</v>
      </c>
      <c r="B1629" t="s">
        <v>3123</v>
      </c>
      <c r="C1629" t="s">
        <v>3166</v>
      </c>
      <c r="D1629" t="s">
        <v>3167</v>
      </c>
      <c r="E1629" t="s">
        <v>96</v>
      </c>
      <c r="F1629">
        <v>44.95</v>
      </c>
      <c r="G1629">
        <v>44.95</v>
      </c>
      <c r="T1629" t="s">
        <v>97</v>
      </c>
      <c r="V1629">
        <v>27.24</v>
      </c>
      <c r="W1629">
        <v>27.24</v>
      </c>
      <c r="X1629">
        <v>27.24</v>
      </c>
      <c r="Y1629">
        <v>29.05</v>
      </c>
      <c r="Z1629">
        <v>44.95</v>
      </c>
      <c r="AA1629" t="s">
        <v>97</v>
      </c>
    </row>
    <row r="1630" spans="1:28" x14ac:dyDescent="0.2">
      <c r="A1630" t="s">
        <v>92</v>
      </c>
      <c r="B1630" t="s">
        <v>3123</v>
      </c>
      <c r="C1630" t="s">
        <v>3168</v>
      </c>
      <c r="D1630" t="s">
        <v>3169</v>
      </c>
      <c r="E1630" t="s">
        <v>96</v>
      </c>
      <c r="F1630">
        <v>44.95</v>
      </c>
      <c r="G1630">
        <v>44.95</v>
      </c>
      <c r="T1630" t="s">
        <v>97</v>
      </c>
      <c r="V1630">
        <v>27.24</v>
      </c>
      <c r="W1630">
        <v>27.24</v>
      </c>
      <c r="X1630">
        <v>27.24</v>
      </c>
      <c r="Y1630">
        <v>29.05</v>
      </c>
      <c r="Z1630">
        <v>44.95</v>
      </c>
      <c r="AA1630" t="s">
        <v>97</v>
      </c>
    </row>
    <row r="1631" spans="1:28" x14ac:dyDescent="0.2">
      <c r="A1631" t="s">
        <v>92</v>
      </c>
      <c r="B1631" t="s">
        <v>3123</v>
      </c>
      <c r="C1631" t="s">
        <v>3170</v>
      </c>
      <c r="D1631" t="s">
        <v>3171</v>
      </c>
      <c r="E1631" t="s">
        <v>96</v>
      </c>
      <c r="F1631">
        <v>44.95</v>
      </c>
      <c r="G1631">
        <v>44.95</v>
      </c>
      <c r="T1631" t="s">
        <v>97</v>
      </c>
      <c r="V1631">
        <v>27.24</v>
      </c>
      <c r="W1631">
        <v>27.24</v>
      </c>
      <c r="X1631">
        <v>27.24</v>
      </c>
      <c r="Y1631">
        <v>29.05</v>
      </c>
      <c r="Z1631">
        <v>44.95</v>
      </c>
      <c r="AA1631" t="s">
        <v>97</v>
      </c>
    </row>
    <row r="1632" spans="1:28" x14ac:dyDescent="0.2">
      <c r="A1632" t="s">
        <v>92</v>
      </c>
      <c r="B1632" t="s">
        <v>3123</v>
      </c>
      <c r="C1632" t="s">
        <v>3172</v>
      </c>
      <c r="D1632" t="s">
        <v>3173</v>
      </c>
      <c r="E1632" t="s">
        <v>96</v>
      </c>
      <c r="F1632">
        <v>44.95</v>
      </c>
      <c r="G1632">
        <v>44.95</v>
      </c>
      <c r="T1632" t="s">
        <v>97</v>
      </c>
      <c r="V1632">
        <v>27.24</v>
      </c>
      <c r="W1632">
        <v>27.24</v>
      </c>
      <c r="X1632">
        <v>27.24</v>
      </c>
      <c r="Y1632">
        <v>29.05</v>
      </c>
      <c r="Z1632">
        <v>44.95</v>
      </c>
      <c r="AA1632" t="s">
        <v>97</v>
      </c>
    </row>
    <row r="1633" spans="1:28" x14ac:dyDescent="0.2">
      <c r="A1633" t="s">
        <v>92</v>
      </c>
      <c r="B1633" t="s">
        <v>3123</v>
      </c>
      <c r="C1633" t="s">
        <v>3174</v>
      </c>
      <c r="D1633" t="s">
        <v>3175</v>
      </c>
      <c r="E1633" t="s">
        <v>96</v>
      </c>
      <c r="F1633">
        <v>24.95</v>
      </c>
      <c r="G1633">
        <v>24.95</v>
      </c>
      <c r="T1633" t="s">
        <v>97</v>
      </c>
      <c r="V1633">
        <v>20.420000000000002</v>
      </c>
      <c r="W1633">
        <v>20.420000000000002</v>
      </c>
      <c r="X1633">
        <v>20.420000000000002</v>
      </c>
      <c r="Y1633">
        <v>21.78</v>
      </c>
      <c r="Z1633">
        <v>24.95</v>
      </c>
      <c r="AA1633" t="s">
        <v>97</v>
      </c>
    </row>
    <row r="1634" spans="1:28" x14ac:dyDescent="0.2">
      <c r="A1634" t="s">
        <v>92</v>
      </c>
      <c r="B1634" t="s">
        <v>3123</v>
      </c>
      <c r="C1634" t="s">
        <v>3176</v>
      </c>
      <c r="D1634" t="s">
        <v>3177</v>
      </c>
      <c r="E1634" t="s">
        <v>96</v>
      </c>
      <c r="F1634">
        <v>24.95</v>
      </c>
      <c r="G1634">
        <v>24.95</v>
      </c>
      <c r="T1634" t="s">
        <v>97</v>
      </c>
      <c r="V1634">
        <v>20.420000000000002</v>
      </c>
      <c r="W1634">
        <v>20.420000000000002</v>
      </c>
      <c r="X1634">
        <v>20.420000000000002</v>
      </c>
      <c r="Y1634">
        <v>21.78</v>
      </c>
      <c r="Z1634">
        <v>24.95</v>
      </c>
      <c r="AA1634" t="s">
        <v>97</v>
      </c>
    </row>
    <row r="1635" spans="1:28" x14ac:dyDescent="0.2">
      <c r="A1635" t="s">
        <v>92</v>
      </c>
      <c r="B1635" t="s">
        <v>3123</v>
      </c>
      <c r="C1635" t="s">
        <v>3178</v>
      </c>
      <c r="D1635" t="s">
        <v>3179</v>
      </c>
      <c r="E1635" t="s">
        <v>96</v>
      </c>
      <c r="F1635">
        <v>24.95</v>
      </c>
      <c r="G1635">
        <v>24.95</v>
      </c>
      <c r="T1635" t="s">
        <v>97</v>
      </c>
      <c r="V1635">
        <v>20.420000000000002</v>
      </c>
      <c r="W1635">
        <v>20.420000000000002</v>
      </c>
      <c r="X1635">
        <v>20.420000000000002</v>
      </c>
      <c r="Y1635">
        <v>21.78</v>
      </c>
      <c r="Z1635">
        <v>24.95</v>
      </c>
      <c r="AA1635" t="s">
        <v>97</v>
      </c>
    </row>
    <row r="1636" spans="1:28" x14ac:dyDescent="0.2">
      <c r="A1636" t="s">
        <v>92</v>
      </c>
      <c r="B1636" t="s">
        <v>3123</v>
      </c>
      <c r="C1636" t="s">
        <v>3180</v>
      </c>
      <c r="D1636" t="s">
        <v>3181</v>
      </c>
      <c r="E1636" t="s">
        <v>96</v>
      </c>
      <c r="F1636">
        <v>24.95</v>
      </c>
      <c r="G1636">
        <v>24.95</v>
      </c>
      <c r="T1636" t="s">
        <v>97</v>
      </c>
      <c r="V1636">
        <v>20.420000000000002</v>
      </c>
      <c r="W1636">
        <v>20.420000000000002</v>
      </c>
      <c r="X1636">
        <v>20.420000000000002</v>
      </c>
      <c r="Y1636">
        <v>21.78</v>
      </c>
      <c r="Z1636">
        <v>24.95</v>
      </c>
      <c r="AA1636" t="s">
        <v>97</v>
      </c>
    </row>
    <row r="1637" spans="1:28" x14ac:dyDescent="0.2">
      <c r="A1637" t="s">
        <v>92</v>
      </c>
      <c r="B1637" t="s">
        <v>3123</v>
      </c>
      <c r="C1637" t="s">
        <v>3182</v>
      </c>
      <c r="D1637" t="s">
        <v>3183</v>
      </c>
      <c r="E1637" t="s">
        <v>96</v>
      </c>
      <c r="F1637">
        <v>24.95</v>
      </c>
      <c r="G1637">
        <v>24.95</v>
      </c>
      <c r="T1637" t="s">
        <v>97</v>
      </c>
      <c r="V1637">
        <v>20.420000000000002</v>
      </c>
      <c r="W1637">
        <v>20.420000000000002</v>
      </c>
      <c r="X1637">
        <v>20.420000000000002</v>
      </c>
      <c r="Y1637">
        <v>21.78</v>
      </c>
      <c r="Z1637">
        <v>24.95</v>
      </c>
      <c r="AA1637" t="s">
        <v>97</v>
      </c>
    </row>
    <row r="1638" spans="1:28" x14ac:dyDescent="0.2">
      <c r="A1638" t="s">
        <v>92</v>
      </c>
      <c r="B1638" t="s">
        <v>3123</v>
      </c>
      <c r="C1638" t="s">
        <v>3184</v>
      </c>
      <c r="D1638" t="s">
        <v>3185</v>
      </c>
      <c r="E1638" t="s">
        <v>228</v>
      </c>
      <c r="F1638">
        <v>110</v>
      </c>
      <c r="G1638">
        <v>109.95</v>
      </c>
      <c r="T1638" t="s">
        <v>97</v>
      </c>
      <c r="V1638">
        <v>79.27</v>
      </c>
      <c r="W1638">
        <v>71.56</v>
      </c>
      <c r="X1638">
        <v>71.56</v>
      </c>
      <c r="Y1638">
        <v>76.33</v>
      </c>
      <c r="Z1638">
        <v>109.95</v>
      </c>
      <c r="AA1638" t="s">
        <v>97</v>
      </c>
      <c r="AB1638">
        <v>109.95</v>
      </c>
    </row>
    <row r="1639" spans="1:28" x14ac:dyDescent="0.2">
      <c r="A1639" t="s">
        <v>92</v>
      </c>
      <c r="B1639" t="s">
        <v>3123</v>
      </c>
      <c r="C1639" t="s">
        <v>3186</v>
      </c>
      <c r="D1639" t="s">
        <v>3187</v>
      </c>
      <c r="E1639" t="s">
        <v>96</v>
      </c>
      <c r="F1639">
        <v>84.95</v>
      </c>
      <c r="G1639">
        <v>84.95</v>
      </c>
      <c r="T1639" t="s">
        <v>97</v>
      </c>
      <c r="V1639">
        <v>61.09</v>
      </c>
      <c r="W1639">
        <v>57.92</v>
      </c>
      <c r="X1639">
        <v>57.92</v>
      </c>
      <c r="Y1639">
        <v>61.78</v>
      </c>
      <c r="Z1639">
        <v>84.95</v>
      </c>
      <c r="AA1639" t="s">
        <v>97</v>
      </c>
      <c r="AB1639">
        <v>84.95</v>
      </c>
    </row>
    <row r="1640" spans="1:28" x14ac:dyDescent="0.2">
      <c r="A1640" t="s">
        <v>92</v>
      </c>
      <c r="B1640" t="s">
        <v>3123</v>
      </c>
      <c r="C1640" t="s">
        <v>3188</v>
      </c>
      <c r="D1640" t="s">
        <v>3189</v>
      </c>
      <c r="E1640" t="s">
        <v>96</v>
      </c>
      <c r="F1640">
        <v>32.950000000000003</v>
      </c>
      <c r="G1640">
        <v>32.950000000000003</v>
      </c>
      <c r="T1640" t="s">
        <v>97</v>
      </c>
      <c r="V1640">
        <v>24.73</v>
      </c>
      <c r="W1640">
        <v>23.83</v>
      </c>
      <c r="X1640">
        <v>23.83</v>
      </c>
      <c r="Y1640">
        <v>25.42</v>
      </c>
      <c r="Z1640">
        <v>32.950000000000003</v>
      </c>
      <c r="AA1640" t="s">
        <v>97</v>
      </c>
      <c r="AB1640">
        <v>32.950000000000003</v>
      </c>
    </row>
    <row r="1641" spans="1:28" x14ac:dyDescent="0.2">
      <c r="A1641" t="s">
        <v>92</v>
      </c>
      <c r="B1641" t="s">
        <v>3123</v>
      </c>
      <c r="C1641" t="s">
        <v>3190</v>
      </c>
      <c r="D1641" t="s">
        <v>3191</v>
      </c>
      <c r="E1641" t="s">
        <v>96</v>
      </c>
      <c r="F1641">
        <v>32.950000000000003</v>
      </c>
      <c r="G1641">
        <v>32.950000000000003</v>
      </c>
      <c r="T1641" t="s">
        <v>97</v>
      </c>
      <c r="V1641">
        <v>23.83</v>
      </c>
      <c r="W1641">
        <v>23.83</v>
      </c>
      <c r="X1641">
        <v>23.83</v>
      </c>
      <c r="Y1641">
        <v>25.42</v>
      </c>
      <c r="Z1641">
        <v>32.950000000000003</v>
      </c>
      <c r="AA1641" t="s">
        <v>97</v>
      </c>
    </row>
    <row r="1642" spans="1:28" x14ac:dyDescent="0.2">
      <c r="A1642" t="s">
        <v>92</v>
      </c>
      <c r="B1642" t="s">
        <v>3123</v>
      </c>
      <c r="C1642" t="s">
        <v>3192</v>
      </c>
      <c r="D1642" t="s">
        <v>3193</v>
      </c>
      <c r="E1642" t="s">
        <v>96</v>
      </c>
      <c r="F1642">
        <v>32.950000000000003</v>
      </c>
      <c r="G1642">
        <v>32.950000000000003</v>
      </c>
      <c r="T1642" t="s">
        <v>97</v>
      </c>
      <c r="V1642">
        <v>23.83</v>
      </c>
      <c r="W1642">
        <v>23.83</v>
      </c>
      <c r="X1642">
        <v>23.83</v>
      </c>
      <c r="Y1642">
        <v>25.42</v>
      </c>
      <c r="Z1642">
        <v>32.950000000000003</v>
      </c>
      <c r="AA1642" t="s">
        <v>97</v>
      </c>
    </row>
    <row r="1643" spans="1:28" x14ac:dyDescent="0.2">
      <c r="A1643" t="s">
        <v>92</v>
      </c>
      <c r="B1643" t="s">
        <v>3123</v>
      </c>
      <c r="C1643" t="s">
        <v>3194</v>
      </c>
      <c r="D1643" t="s">
        <v>3195</v>
      </c>
      <c r="E1643" t="s">
        <v>96</v>
      </c>
      <c r="F1643">
        <v>215</v>
      </c>
      <c r="G1643">
        <v>214.95</v>
      </c>
      <c r="T1643" t="s">
        <v>97</v>
      </c>
      <c r="V1643">
        <v>156.36000000000001</v>
      </c>
      <c r="W1643">
        <v>122.69</v>
      </c>
      <c r="X1643">
        <v>122.69</v>
      </c>
      <c r="Y1643">
        <v>130.87</v>
      </c>
      <c r="Z1643">
        <v>214.95</v>
      </c>
      <c r="AA1643" t="s">
        <v>97</v>
      </c>
      <c r="AB1643">
        <v>214.95</v>
      </c>
    </row>
    <row r="1644" spans="1:28" x14ac:dyDescent="0.2">
      <c r="A1644" t="s">
        <v>92</v>
      </c>
      <c r="B1644" t="s">
        <v>3123</v>
      </c>
      <c r="C1644" t="s">
        <v>3196</v>
      </c>
      <c r="D1644" t="s">
        <v>3197</v>
      </c>
      <c r="E1644" t="s">
        <v>96</v>
      </c>
      <c r="F1644">
        <v>379</v>
      </c>
      <c r="G1644">
        <v>379.95</v>
      </c>
      <c r="T1644" t="s">
        <v>97</v>
      </c>
      <c r="V1644">
        <v>275.64</v>
      </c>
      <c r="W1644">
        <v>248.83</v>
      </c>
      <c r="X1644">
        <v>248.83</v>
      </c>
      <c r="Y1644">
        <v>265.42</v>
      </c>
      <c r="Z1644">
        <v>379.95</v>
      </c>
      <c r="AA1644" t="s">
        <v>97</v>
      </c>
      <c r="AB1644">
        <v>379.95</v>
      </c>
    </row>
    <row r="1645" spans="1:28" x14ac:dyDescent="0.2">
      <c r="A1645" t="s">
        <v>92</v>
      </c>
      <c r="B1645" t="s">
        <v>3123</v>
      </c>
      <c r="C1645" t="s">
        <v>3198</v>
      </c>
      <c r="D1645" t="s">
        <v>3199</v>
      </c>
      <c r="E1645" t="s">
        <v>96</v>
      </c>
      <c r="F1645">
        <v>62.95</v>
      </c>
      <c r="G1645">
        <v>62.95</v>
      </c>
      <c r="T1645" t="s">
        <v>97</v>
      </c>
      <c r="V1645">
        <v>46.55</v>
      </c>
      <c r="W1645">
        <v>44.28</v>
      </c>
      <c r="X1645">
        <v>44.28</v>
      </c>
      <c r="Y1645">
        <v>47.24</v>
      </c>
      <c r="Z1645">
        <v>62.95</v>
      </c>
      <c r="AA1645" t="s">
        <v>97</v>
      </c>
      <c r="AB1645">
        <v>62.95</v>
      </c>
    </row>
    <row r="1646" spans="1:28" x14ac:dyDescent="0.2">
      <c r="A1646" t="s">
        <v>92</v>
      </c>
      <c r="B1646" t="s">
        <v>3123</v>
      </c>
      <c r="C1646" t="s">
        <v>3200</v>
      </c>
      <c r="D1646" t="s">
        <v>3201</v>
      </c>
      <c r="E1646" t="s">
        <v>96</v>
      </c>
      <c r="F1646">
        <v>62.95</v>
      </c>
      <c r="G1646">
        <v>62.95</v>
      </c>
      <c r="T1646" t="s">
        <v>97</v>
      </c>
      <c r="V1646">
        <v>46.55</v>
      </c>
      <c r="W1646">
        <v>44.28</v>
      </c>
      <c r="X1646">
        <v>44.28</v>
      </c>
      <c r="Y1646">
        <v>47.24</v>
      </c>
      <c r="Z1646">
        <v>62.95</v>
      </c>
      <c r="AA1646" t="s">
        <v>97</v>
      </c>
      <c r="AB1646">
        <v>62.95</v>
      </c>
    </row>
    <row r="1647" spans="1:28" x14ac:dyDescent="0.2">
      <c r="A1647" t="s">
        <v>92</v>
      </c>
      <c r="B1647" t="s">
        <v>3123</v>
      </c>
      <c r="C1647" t="s">
        <v>3202</v>
      </c>
      <c r="D1647" t="s">
        <v>3203</v>
      </c>
      <c r="E1647" t="s">
        <v>96</v>
      </c>
      <c r="F1647">
        <v>99.95</v>
      </c>
      <c r="G1647">
        <v>99.95</v>
      </c>
      <c r="T1647" t="s">
        <v>97</v>
      </c>
      <c r="V1647">
        <v>72</v>
      </c>
      <c r="W1647">
        <v>64.739999999999995</v>
      </c>
      <c r="X1647">
        <v>64.739999999999995</v>
      </c>
      <c r="Y1647">
        <v>69.05</v>
      </c>
      <c r="Z1647">
        <v>99.95</v>
      </c>
      <c r="AA1647" t="s">
        <v>97</v>
      </c>
      <c r="AB1647">
        <v>99.95</v>
      </c>
    </row>
    <row r="1648" spans="1:28" x14ac:dyDescent="0.2">
      <c r="A1648" t="s">
        <v>92</v>
      </c>
      <c r="B1648" t="s">
        <v>3123</v>
      </c>
      <c r="C1648" t="s">
        <v>3204</v>
      </c>
      <c r="D1648" t="s">
        <v>3205</v>
      </c>
      <c r="E1648" t="s">
        <v>96</v>
      </c>
      <c r="F1648">
        <v>69.95</v>
      </c>
      <c r="G1648">
        <v>69.95</v>
      </c>
      <c r="T1648" t="s">
        <v>97</v>
      </c>
      <c r="V1648">
        <v>50.18</v>
      </c>
      <c r="W1648">
        <v>47.69</v>
      </c>
      <c r="X1648">
        <v>47.69</v>
      </c>
      <c r="Y1648">
        <v>50.87</v>
      </c>
      <c r="Z1648">
        <v>69.95</v>
      </c>
      <c r="AA1648" t="s">
        <v>97</v>
      </c>
      <c r="AB1648">
        <v>69.95</v>
      </c>
    </row>
    <row r="1649" spans="1:28" x14ac:dyDescent="0.2">
      <c r="A1649" t="s">
        <v>92</v>
      </c>
      <c r="B1649" t="s">
        <v>3123</v>
      </c>
      <c r="C1649" t="s">
        <v>3206</v>
      </c>
      <c r="D1649" t="s">
        <v>3207</v>
      </c>
      <c r="E1649" t="s">
        <v>96</v>
      </c>
      <c r="F1649">
        <v>69.95</v>
      </c>
      <c r="G1649">
        <v>69.95</v>
      </c>
      <c r="T1649" t="s">
        <v>97</v>
      </c>
      <c r="V1649">
        <v>50.18</v>
      </c>
      <c r="W1649">
        <v>47.69</v>
      </c>
      <c r="X1649">
        <v>47.69</v>
      </c>
      <c r="Y1649">
        <v>50.87</v>
      </c>
      <c r="Z1649">
        <v>69.95</v>
      </c>
      <c r="AA1649" t="s">
        <v>97</v>
      </c>
      <c r="AB1649">
        <v>69.95</v>
      </c>
    </row>
    <row r="1650" spans="1:28" x14ac:dyDescent="0.2">
      <c r="A1650" t="s">
        <v>92</v>
      </c>
      <c r="B1650" t="s">
        <v>3123</v>
      </c>
      <c r="C1650" t="s">
        <v>3208</v>
      </c>
      <c r="D1650" t="s">
        <v>3209</v>
      </c>
      <c r="E1650" t="s">
        <v>96</v>
      </c>
      <c r="F1650">
        <v>32.950000000000003</v>
      </c>
      <c r="G1650">
        <v>32.950000000000003</v>
      </c>
      <c r="T1650" t="s">
        <v>97</v>
      </c>
      <c r="V1650">
        <v>23.83</v>
      </c>
      <c r="W1650">
        <v>23.83</v>
      </c>
      <c r="X1650">
        <v>23.83</v>
      </c>
      <c r="Y1650">
        <v>25.42</v>
      </c>
      <c r="Z1650">
        <v>32.950000000000003</v>
      </c>
      <c r="AA1650" t="s">
        <v>97</v>
      </c>
    </row>
    <row r="1651" spans="1:28" x14ac:dyDescent="0.2">
      <c r="A1651" t="s">
        <v>92</v>
      </c>
      <c r="B1651" t="s">
        <v>3123</v>
      </c>
      <c r="C1651" t="s">
        <v>3210</v>
      </c>
      <c r="D1651" t="s">
        <v>3211</v>
      </c>
      <c r="E1651" t="s">
        <v>96</v>
      </c>
      <c r="F1651">
        <v>79.95</v>
      </c>
      <c r="G1651">
        <v>79.95</v>
      </c>
      <c r="T1651" t="s">
        <v>97</v>
      </c>
      <c r="V1651">
        <v>57.45</v>
      </c>
      <c r="W1651">
        <v>54.51</v>
      </c>
      <c r="X1651">
        <v>54.51</v>
      </c>
      <c r="Y1651">
        <v>58.15</v>
      </c>
      <c r="Z1651">
        <v>79.95</v>
      </c>
      <c r="AA1651" t="s">
        <v>97</v>
      </c>
      <c r="AB1651">
        <v>79.95</v>
      </c>
    </row>
    <row r="1652" spans="1:28" x14ac:dyDescent="0.2">
      <c r="A1652" t="s">
        <v>92</v>
      </c>
      <c r="B1652" t="s">
        <v>3123</v>
      </c>
      <c r="C1652" t="s">
        <v>3212</v>
      </c>
      <c r="D1652" t="s">
        <v>3213</v>
      </c>
      <c r="E1652" t="s">
        <v>96</v>
      </c>
      <c r="F1652">
        <v>799</v>
      </c>
      <c r="G1652">
        <v>799.95</v>
      </c>
      <c r="T1652" t="s">
        <v>97</v>
      </c>
      <c r="V1652">
        <v>581.09</v>
      </c>
      <c r="W1652">
        <v>487.47</v>
      </c>
      <c r="X1652">
        <v>487.47</v>
      </c>
      <c r="Y1652">
        <v>519.96</v>
      </c>
      <c r="Z1652">
        <v>799.95</v>
      </c>
      <c r="AA1652" t="s">
        <v>97</v>
      </c>
      <c r="AB1652">
        <v>799.95</v>
      </c>
    </row>
    <row r="1653" spans="1:28" x14ac:dyDescent="0.2">
      <c r="A1653" t="s">
        <v>92</v>
      </c>
      <c r="B1653" t="s">
        <v>3123</v>
      </c>
      <c r="C1653" t="s">
        <v>3214</v>
      </c>
      <c r="D1653" t="s">
        <v>3215</v>
      </c>
      <c r="E1653" t="s">
        <v>228</v>
      </c>
      <c r="F1653">
        <v>89.95</v>
      </c>
      <c r="G1653">
        <v>89.95</v>
      </c>
      <c r="T1653" t="s">
        <v>97</v>
      </c>
      <c r="V1653">
        <v>64.73</v>
      </c>
      <c r="W1653">
        <v>61.33</v>
      </c>
      <c r="X1653">
        <v>61.33</v>
      </c>
      <c r="Y1653">
        <v>65.42</v>
      </c>
      <c r="Z1653">
        <v>89.95</v>
      </c>
      <c r="AA1653" t="s">
        <v>97</v>
      </c>
      <c r="AB1653">
        <v>89.95</v>
      </c>
    </row>
    <row r="1654" spans="1:28" x14ac:dyDescent="0.2">
      <c r="A1654" t="s">
        <v>92</v>
      </c>
      <c r="B1654" t="s">
        <v>3123</v>
      </c>
      <c r="C1654" t="s">
        <v>3216</v>
      </c>
      <c r="D1654" t="s">
        <v>3217</v>
      </c>
      <c r="E1654" t="s">
        <v>228</v>
      </c>
      <c r="F1654">
        <v>99.95</v>
      </c>
      <c r="G1654">
        <v>99.95</v>
      </c>
      <c r="T1654" t="s">
        <v>97</v>
      </c>
      <c r="V1654">
        <v>72</v>
      </c>
      <c r="W1654">
        <v>68.150000000000006</v>
      </c>
      <c r="X1654">
        <v>68.150000000000006</v>
      </c>
      <c r="Y1654">
        <v>72.69</v>
      </c>
      <c r="Z1654">
        <v>99.95</v>
      </c>
      <c r="AA1654" t="s">
        <v>97</v>
      </c>
      <c r="AB1654">
        <v>99.95</v>
      </c>
    </row>
    <row r="1655" spans="1:28" x14ac:dyDescent="0.2">
      <c r="A1655" t="s">
        <v>92</v>
      </c>
      <c r="B1655" t="s">
        <v>3123</v>
      </c>
      <c r="C1655" t="s">
        <v>3218</v>
      </c>
      <c r="D1655" t="s">
        <v>3219</v>
      </c>
      <c r="E1655" t="s">
        <v>96</v>
      </c>
      <c r="F1655">
        <v>57.95</v>
      </c>
      <c r="G1655">
        <v>57.95</v>
      </c>
      <c r="T1655" t="s">
        <v>97</v>
      </c>
      <c r="V1655">
        <v>37.47</v>
      </c>
      <c r="W1655">
        <v>37.47</v>
      </c>
      <c r="X1655">
        <v>37.47</v>
      </c>
      <c r="Y1655">
        <v>39.96</v>
      </c>
      <c r="Z1655">
        <v>57.95</v>
      </c>
      <c r="AA1655" t="s">
        <v>97</v>
      </c>
    </row>
    <row r="1656" spans="1:28" x14ac:dyDescent="0.2">
      <c r="A1656" t="s">
        <v>92</v>
      </c>
      <c r="B1656" t="s">
        <v>3123</v>
      </c>
      <c r="C1656" t="s">
        <v>3220</v>
      </c>
      <c r="D1656" t="s">
        <v>3221</v>
      </c>
      <c r="E1656" t="s">
        <v>96</v>
      </c>
      <c r="F1656">
        <v>79.95</v>
      </c>
      <c r="G1656">
        <v>79.95</v>
      </c>
      <c r="T1656" t="s">
        <v>97</v>
      </c>
      <c r="V1656">
        <v>57.45</v>
      </c>
      <c r="W1656">
        <v>54.51</v>
      </c>
      <c r="X1656">
        <v>54.51</v>
      </c>
      <c r="Y1656">
        <v>58.15</v>
      </c>
      <c r="Z1656">
        <v>79.95</v>
      </c>
      <c r="AA1656" t="s">
        <v>97</v>
      </c>
      <c r="AB1656">
        <v>79.95</v>
      </c>
    </row>
    <row r="1657" spans="1:28" x14ac:dyDescent="0.2">
      <c r="A1657" t="s">
        <v>92</v>
      </c>
      <c r="B1657" t="s">
        <v>3123</v>
      </c>
      <c r="C1657" t="s">
        <v>3222</v>
      </c>
      <c r="D1657" t="s">
        <v>3223</v>
      </c>
      <c r="E1657" t="s">
        <v>96</v>
      </c>
      <c r="F1657">
        <v>189</v>
      </c>
      <c r="G1657">
        <v>189.95</v>
      </c>
      <c r="T1657" t="s">
        <v>97</v>
      </c>
      <c r="V1657">
        <v>137.44999999999999</v>
      </c>
      <c r="W1657">
        <v>122.69</v>
      </c>
      <c r="X1657">
        <v>122.69</v>
      </c>
      <c r="Y1657">
        <v>130.87</v>
      </c>
      <c r="Z1657">
        <v>189.95</v>
      </c>
      <c r="AA1657" t="s">
        <v>97</v>
      </c>
      <c r="AB1657">
        <v>189.95</v>
      </c>
    </row>
    <row r="1658" spans="1:28" x14ac:dyDescent="0.2">
      <c r="A1658" t="s">
        <v>92</v>
      </c>
      <c r="B1658" t="s">
        <v>3123</v>
      </c>
      <c r="C1658" t="s">
        <v>3224</v>
      </c>
      <c r="D1658" t="s">
        <v>3225</v>
      </c>
      <c r="E1658" t="s">
        <v>96</v>
      </c>
      <c r="F1658">
        <v>199</v>
      </c>
      <c r="G1658">
        <v>199.95</v>
      </c>
      <c r="T1658" t="s">
        <v>97</v>
      </c>
      <c r="V1658">
        <v>144.72999999999999</v>
      </c>
      <c r="W1658">
        <v>115.88</v>
      </c>
      <c r="X1658">
        <v>115.88</v>
      </c>
      <c r="Y1658">
        <v>123.6</v>
      </c>
      <c r="Z1658">
        <v>199.95</v>
      </c>
      <c r="AA1658" t="s">
        <v>97</v>
      </c>
      <c r="AB1658">
        <v>199.95</v>
      </c>
    </row>
    <row r="1659" spans="1:28" x14ac:dyDescent="0.2">
      <c r="A1659" t="s">
        <v>92</v>
      </c>
      <c r="B1659" t="s">
        <v>3123</v>
      </c>
      <c r="C1659" t="s">
        <v>3226</v>
      </c>
      <c r="D1659" t="s">
        <v>3227</v>
      </c>
      <c r="E1659" t="s">
        <v>96</v>
      </c>
      <c r="F1659">
        <v>210</v>
      </c>
      <c r="G1659">
        <v>209.95</v>
      </c>
      <c r="T1659" t="s">
        <v>97</v>
      </c>
      <c r="V1659">
        <v>152</v>
      </c>
      <c r="W1659">
        <v>119.28</v>
      </c>
      <c r="X1659">
        <v>119.28</v>
      </c>
      <c r="Y1659">
        <v>127.24</v>
      </c>
      <c r="Z1659">
        <v>209.95</v>
      </c>
      <c r="AA1659" t="s">
        <v>97</v>
      </c>
      <c r="AB1659">
        <v>209.95</v>
      </c>
    </row>
    <row r="1660" spans="1:28" x14ac:dyDescent="0.2">
      <c r="A1660" t="s">
        <v>92</v>
      </c>
      <c r="B1660" t="s">
        <v>3123</v>
      </c>
      <c r="C1660" t="s">
        <v>3228</v>
      </c>
      <c r="D1660" t="s">
        <v>3229</v>
      </c>
      <c r="E1660" t="s">
        <v>96</v>
      </c>
      <c r="F1660">
        <v>210</v>
      </c>
      <c r="G1660">
        <v>209.95</v>
      </c>
      <c r="T1660" t="s">
        <v>97</v>
      </c>
      <c r="V1660">
        <v>152</v>
      </c>
      <c r="W1660">
        <v>132.91999999999999</v>
      </c>
      <c r="X1660">
        <v>132.91999999999999</v>
      </c>
      <c r="Y1660">
        <v>141.78</v>
      </c>
      <c r="Z1660">
        <v>209.95</v>
      </c>
      <c r="AA1660" t="s">
        <v>97</v>
      </c>
      <c r="AB1660">
        <v>209.95</v>
      </c>
    </row>
    <row r="1661" spans="1:28" x14ac:dyDescent="0.2">
      <c r="A1661" t="s">
        <v>92</v>
      </c>
      <c r="B1661" t="s">
        <v>3123</v>
      </c>
      <c r="C1661" t="s">
        <v>3230</v>
      </c>
      <c r="D1661" t="s">
        <v>3231</v>
      </c>
      <c r="E1661" t="s">
        <v>96</v>
      </c>
      <c r="F1661">
        <v>225</v>
      </c>
      <c r="G1661">
        <v>224.95</v>
      </c>
      <c r="T1661" t="s">
        <v>97</v>
      </c>
      <c r="V1661">
        <v>163.63999999999999</v>
      </c>
      <c r="W1661">
        <v>136.33000000000001</v>
      </c>
      <c r="X1661">
        <v>136.33000000000001</v>
      </c>
      <c r="Y1661">
        <v>145.41999999999999</v>
      </c>
      <c r="Z1661">
        <v>224.95</v>
      </c>
      <c r="AA1661" t="s">
        <v>97</v>
      </c>
      <c r="AB1661">
        <v>224.95</v>
      </c>
    </row>
    <row r="1662" spans="1:28" x14ac:dyDescent="0.2">
      <c r="A1662" t="s">
        <v>92</v>
      </c>
      <c r="B1662" t="s">
        <v>3123</v>
      </c>
      <c r="C1662" t="s">
        <v>3232</v>
      </c>
      <c r="D1662" t="s">
        <v>3233</v>
      </c>
      <c r="E1662" t="s">
        <v>96</v>
      </c>
      <c r="F1662">
        <v>225</v>
      </c>
      <c r="G1662">
        <v>224.95</v>
      </c>
      <c r="T1662" t="s">
        <v>97</v>
      </c>
      <c r="V1662">
        <v>163.63999999999999</v>
      </c>
      <c r="W1662">
        <v>136.33000000000001</v>
      </c>
      <c r="X1662">
        <v>136.33000000000001</v>
      </c>
      <c r="Y1662">
        <v>145.41999999999999</v>
      </c>
      <c r="Z1662">
        <v>224.95</v>
      </c>
      <c r="AA1662" t="s">
        <v>97</v>
      </c>
      <c r="AB1662">
        <v>224.95</v>
      </c>
    </row>
    <row r="1663" spans="1:28" x14ac:dyDescent="0.2">
      <c r="A1663" t="s">
        <v>92</v>
      </c>
      <c r="B1663" t="s">
        <v>3123</v>
      </c>
      <c r="C1663" t="s">
        <v>3234</v>
      </c>
      <c r="D1663" t="s">
        <v>3235</v>
      </c>
      <c r="E1663" t="s">
        <v>96</v>
      </c>
      <c r="F1663">
        <v>225</v>
      </c>
      <c r="G1663">
        <v>224.95</v>
      </c>
      <c r="T1663" t="s">
        <v>97</v>
      </c>
      <c r="V1663">
        <v>163.63999999999999</v>
      </c>
      <c r="W1663">
        <v>136.33000000000001</v>
      </c>
      <c r="X1663">
        <v>136.33000000000001</v>
      </c>
      <c r="Y1663">
        <v>145.41999999999999</v>
      </c>
      <c r="Z1663">
        <v>224.95</v>
      </c>
      <c r="AA1663" t="s">
        <v>97</v>
      </c>
      <c r="AB1663">
        <v>224.95</v>
      </c>
    </row>
    <row r="1664" spans="1:28" x14ac:dyDescent="0.2">
      <c r="A1664" t="s">
        <v>92</v>
      </c>
      <c r="B1664" t="s">
        <v>3123</v>
      </c>
      <c r="C1664" t="s">
        <v>3236</v>
      </c>
      <c r="D1664" t="s">
        <v>3237</v>
      </c>
      <c r="E1664" t="s">
        <v>96</v>
      </c>
      <c r="F1664">
        <v>420</v>
      </c>
      <c r="G1664">
        <v>419.95</v>
      </c>
      <c r="T1664" t="s">
        <v>97</v>
      </c>
      <c r="V1664">
        <v>304.73</v>
      </c>
      <c r="W1664">
        <v>259.06</v>
      </c>
      <c r="X1664">
        <v>259.06</v>
      </c>
      <c r="Y1664">
        <v>276.33</v>
      </c>
      <c r="Z1664">
        <v>419.95</v>
      </c>
      <c r="AA1664" t="s">
        <v>97</v>
      </c>
      <c r="AB1664">
        <v>419.95</v>
      </c>
    </row>
    <row r="1665" spans="1:29" x14ac:dyDescent="0.2">
      <c r="A1665" t="s">
        <v>92</v>
      </c>
      <c r="B1665" t="s">
        <v>3123</v>
      </c>
      <c r="C1665" t="s">
        <v>3238</v>
      </c>
      <c r="D1665" t="s">
        <v>3239</v>
      </c>
      <c r="E1665" t="s">
        <v>96</v>
      </c>
      <c r="F1665">
        <v>420</v>
      </c>
      <c r="G1665">
        <v>419.95</v>
      </c>
      <c r="T1665" t="s">
        <v>97</v>
      </c>
      <c r="V1665">
        <v>304.73</v>
      </c>
      <c r="W1665">
        <v>259.06</v>
      </c>
      <c r="X1665">
        <v>259.06</v>
      </c>
      <c r="Y1665">
        <v>276.33</v>
      </c>
      <c r="Z1665">
        <v>419.95</v>
      </c>
      <c r="AA1665" t="s">
        <v>97</v>
      </c>
      <c r="AB1665">
        <v>419.95</v>
      </c>
    </row>
    <row r="1666" spans="1:29" x14ac:dyDescent="0.2">
      <c r="A1666" t="s">
        <v>92</v>
      </c>
      <c r="B1666" t="s">
        <v>3123</v>
      </c>
      <c r="C1666" t="s">
        <v>3240</v>
      </c>
      <c r="D1666" t="s">
        <v>3241</v>
      </c>
      <c r="E1666" t="s">
        <v>96</v>
      </c>
      <c r="F1666">
        <v>420</v>
      </c>
      <c r="G1666">
        <v>419.95</v>
      </c>
      <c r="T1666" t="s">
        <v>97</v>
      </c>
      <c r="V1666">
        <v>304.73</v>
      </c>
      <c r="W1666">
        <v>259.06</v>
      </c>
      <c r="X1666">
        <v>259.06</v>
      </c>
      <c r="Y1666">
        <v>276.33</v>
      </c>
      <c r="Z1666">
        <v>419.95</v>
      </c>
      <c r="AA1666" t="s">
        <v>97</v>
      </c>
      <c r="AB1666">
        <v>419.95</v>
      </c>
    </row>
    <row r="1667" spans="1:29" x14ac:dyDescent="0.2">
      <c r="A1667" t="s">
        <v>92</v>
      </c>
      <c r="B1667" t="s">
        <v>3123</v>
      </c>
      <c r="C1667" t="s">
        <v>3242</v>
      </c>
      <c r="D1667" t="s">
        <v>3243</v>
      </c>
      <c r="E1667" t="s">
        <v>228</v>
      </c>
      <c r="F1667">
        <v>219</v>
      </c>
      <c r="G1667">
        <v>219.95</v>
      </c>
      <c r="T1667" t="s">
        <v>97</v>
      </c>
      <c r="V1667">
        <v>159.27000000000001</v>
      </c>
      <c r="W1667">
        <v>122.69</v>
      </c>
      <c r="X1667">
        <v>122.69</v>
      </c>
      <c r="Y1667">
        <v>130.87</v>
      </c>
      <c r="Z1667">
        <v>219.95</v>
      </c>
      <c r="AA1667" t="s">
        <v>97</v>
      </c>
      <c r="AB1667">
        <v>219.95</v>
      </c>
    </row>
    <row r="1668" spans="1:29" x14ac:dyDescent="0.2">
      <c r="A1668" t="s">
        <v>92</v>
      </c>
      <c r="B1668" t="s">
        <v>3123</v>
      </c>
      <c r="C1668" t="s">
        <v>3244</v>
      </c>
      <c r="D1668" t="s">
        <v>3245</v>
      </c>
      <c r="E1668" t="s">
        <v>96</v>
      </c>
      <c r="F1668">
        <v>299</v>
      </c>
      <c r="G1668">
        <v>299.95</v>
      </c>
      <c r="T1668" t="s">
        <v>97</v>
      </c>
      <c r="V1668">
        <v>217.45</v>
      </c>
      <c r="W1668">
        <v>177.24</v>
      </c>
      <c r="X1668">
        <v>177.24</v>
      </c>
      <c r="Y1668">
        <v>189.05</v>
      </c>
      <c r="Z1668">
        <v>299.95</v>
      </c>
      <c r="AA1668" t="s">
        <v>97</v>
      </c>
      <c r="AB1668">
        <v>299.95</v>
      </c>
    </row>
    <row r="1669" spans="1:29" x14ac:dyDescent="0.2">
      <c r="A1669" t="s">
        <v>92</v>
      </c>
      <c r="B1669" t="s">
        <v>3123</v>
      </c>
      <c r="C1669" t="s">
        <v>3246</v>
      </c>
      <c r="D1669" t="s">
        <v>3247</v>
      </c>
      <c r="E1669" t="s">
        <v>228</v>
      </c>
      <c r="F1669">
        <v>129</v>
      </c>
      <c r="G1669">
        <v>129.94999999999999</v>
      </c>
      <c r="T1669" t="s">
        <v>97</v>
      </c>
      <c r="V1669">
        <v>93.82</v>
      </c>
      <c r="W1669">
        <v>68.150000000000006</v>
      </c>
      <c r="X1669">
        <v>68.150000000000006</v>
      </c>
      <c r="Y1669">
        <v>72.69</v>
      </c>
      <c r="Z1669">
        <v>129.94999999999999</v>
      </c>
      <c r="AA1669" t="s">
        <v>97</v>
      </c>
      <c r="AB1669">
        <v>129.94999999999999</v>
      </c>
    </row>
    <row r="1670" spans="1:29" x14ac:dyDescent="0.2">
      <c r="A1670" t="s">
        <v>92</v>
      </c>
      <c r="B1670" t="s">
        <v>3123</v>
      </c>
      <c r="C1670" t="s">
        <v>3248</v>
      </c>
      <c r="D1670" t="s">
        <v>3249</v>
      </c>
      <c r="E1670" t="s">
        <v>228</v>
      </c>
      <c r="F1670">
        <v>135</v>
      </c>
      <c r="G1670">
        <v>134.94999999999999</v>
      </c>
      <c r="T1670" t="s">
        <v>97</v>
      </c>
      <c r="V1670">
        <v>98.18</v>
      </c>
      <c r="W1670">
        <v>74.97</v>
      </c>
      <c r="X1670">
        <v>74.97</v>
      </c>
      <c r="Y1670">
        <v>79.959999999999994</v>
      </c>
      <c r="Z1670">
        <v>134.94999999999999</v>
      </c>
      <c r="AA1670" t="s">
        <v>97</v>
      </c>
      <c r="AB1670">
        <v>134.94999999999999</v>
      </c>
    </row>
    <row r="1671" spans="1:29" x14ac:dyDescent="0.2">
      <c r="A1671" t="s">
        <v>92</v>
      </c>
      <c r="B1671" t="s">
        <v>3123</v>
      </c>
      <c r="C1671" t="s">
        <v>3250</v>
      </c>
      <c r="D1671" t="s">
        <v>3251</v>
      </c>
      <c r="E1671" t="s">
        <v>228</v>
      </c>
      <c r="F1671">
        <v>149</v>
      </c>
      <c r="G1671">
        <v>149.94999999999999</v>
      </c>
      <c r="T1671" t="s">
        <v>97</v>
      </c>
      <c r="V1671">
        <v>108.36</v>
      </c>
      <c r="W1671">
        <v>78.38</v>
      </c>
      <c r="X1671">
        <v>78.38</v>
      </c>
      <c r="Y1671">
        <v>83.6</v>
      </c>
      <c r="Z1671">
        <v>149.94999999999999</v>
      </c>
      <c r="AA1671" t="s">
        <v>97</v>
      </c>
      <c r="AB1671">
        <v>149.94999999999999</v>
      </c>
    </row>
    <row r="1672" spans="1:29" x14ac:dyDescent="0.2">
      <c r="A1672" t="s">
        <v>92</v>
      </c>
      <c r="B1672" t="s">
        <v>3123</v>
      </c>
      <c r="C1672" t="s">
        <v>3252</v>
      </c>
      <c r="D1672" t="s">
        <v>3253</v>
      </c>
      <c r="E1672" t="s">
        <v>228</v>
      </c>
      <c r="F1672">
        <v>185</v>
      </c>
      <c r="G1672">
        <v>184.95</v>
      </c>
      <c r="T1672" t="s">
        <v>97</v>
      </c>
      <c r="V1672">
        <v>134.55000000000001</v>
      </c>
      <c r="W1672">
        <v>88.6</v>
      </c>
      <c r="X1672">
        <v>88.6</v>
      </c>
      <c r="Y1672">
        <v>94.51</v>
      </c>
      <c r="Z1672">
        <v>184.95</v>
      </c>
      <c r="AA1672" t="s">
        <v>97</v>
      </c>
      <c r="AB1672">
        <v>184.95</v>
      </c>
    </row>
    <row r="1673" spans="1:29" x14ac:dyDescent="0.2">
      <c r="A1673" t="s">
        <v>92</v>
      </c>
      <c r="B1673" t="s">
        <v>3123</v>
      </c>
      <c r="C1673" t="s">
        <v>3254</v>
      </c>
      <c r="D1673" t="s">
        <v>3255</v>
      </c>
      <c r="E1673" t="s">
        <v>228</v>
      </c>
      <c r="F1673">
        <v>549</v>
      </c>
      <c r="G1673">
        <v>549.95000000000005</v>
      </c>
      <c r="T1673" t="s">
        <v>97</v>
      </c>
      <c r="V1673">
        <v>399.27</v>
      </c>
      <c r="W1673">
        <v>368.15</v>
      </c>
      <c r="X1673">
        <v>368.15</v>
      </c>
      <c r="Y1673">
        <v>392.69</v>
      </c>
      <c r="Z1673">
        <v>549.95000000000005</v>
      </c>
      <c r="AA1673" t="s">
        <v>97</v>
      </c>
      <c r="AB1673">
        <v>549.95000000000005</v>
      </c>
    </row>
    <row r="1674" spans="1:29" x14ac:dyDescent="0.2">
      <c r="A1674" t="s">
        <v>92</v>
      </c>
      <c r="B1674" t="s">
        <v>3123</v>
      </c>
      <c r="C1674" t="s">
        <v>3256</v>
      </c>
      <c r="D1674" t="s">
        <v>3257</v>
      </c>
      <c r="E1674" t="s">
        <v>228</v>
      </c>
      <c r="F1674">
        <v>285</v>
      </c>
      <c r="G1674">
        <v>284.95</v>
      </c>
      <c r="T1674" t="s">
        <v>97</v>
      </c>
      <c r="V1674">
        <v>207.27</v>
      </c>
      <c r="W1674">
        <v>170.42</v>
      </c>
      <c r="X1674">
        <v>170.42</v>
      </c>
      <c r="Y1674">
        <v>181.78</v>
      </c>
      <c r="Z1674">
        <v>284.95</v>
      </c>
      <c r="AA1674" t="s">
        <v>97</v>
      </c>
      <c r="AB1674">
        <v>284.95</v>
      </c>
    </row>
    <row r="1675" spans="1:29" x14ac:dyDescent="0.2">
      <c r="A1675" t="s">
        <v>92</v>
      </c>
      <c r="B1675" t="s">
        <v>3123</v>
      </c>
      <c r="C1675" t="s">
        <v>3258</v>
      </c>
      <c r="D1675" t="s">
        <v>3259</v>
      </c>
      <c r="E1675" t="s">
        <v>96</v>
      </c>
      <c r="F1675">
        <v>365</v>
      </c>
      <c r="G1675">
        <v>364.95</v>
      </c>
      <c r="T1675" t="s">
        <v>97</v>
      </c>
      <c r="V1675">
        <v>265.45</v>
      </c>
      <c r="W1675">
        <v>235.19</v>
      </c>
      <c r="X1675">
        <v>235.19</v>
      </c>
      <c r="Y1675">
        <v>250.87</v>
      </c>
      <c r="Z1675">
        <v>364.95</v>
      </c>
      <c r="AA1675" t="s">
        <v>97</v>
      </c>
      <c r="AB1675">
        <v>364.95</v>
      </c>
    </row>
    <row r="1676" spans="1:29" x14ac:dyDescent="0.2">
      <c r="A1676" t="s">
        <v>92</v>
      </c>
      <c r="B1676" t="s">
        <v>3123</v>
      </c>
      <c r="C1676" t="s">
        <v>3260</v>
      </c>
      <c r="D1676" t="s">
        <v>3261</v>
      </c>
      <c r="E1676" t="s">
        <v>228</v>
      </c>
      <c r="F1676">
        <v>199</v>
      </c>
      <c r="G1676">
        <v>199.95</v>
      </c>
      <c r="T1676" t="s">
        <v>97</v>
      </c>
      <c r="V1676">
        <v>144.72999999999999</v>
      </c>
      <c r="W1676">
        <v>119.28</v>
      </c>
      <c r="X1676">
        <v>119.28</v>
      </c>
      <c r="Y1676">
        <v>127.24</v>
      </c>
      <c r="Z1676">
        <v>199.95</v>
      </c>
      <c r="AA1676" t="s">
        <v>97</v>
      </c>
      <c r="AB1676">
        <v>199.95</v>
      </c>
    </row>
    <row r="1677" spans="1:29" x14ac:dyDescent="0.2">
      <c r="A1677" t="s">
        <v>92</v>
      </c>
      <c r="B1677" t="s">
        <v>3123</v>
      </c>
      <c r="C1677" t="s">
        <v>3262</v>
      </c>
      <c r="D1677" t="s">
        <v>3263</v>
      </c>
      <c r="E1677" t="s">
        <v>228</v>
      </c>
      <c r="F1677">
        <v>369</v>
      </c>
      <c r="G1677">
        <v>369.95</v>
      </c>
      <c r="T1677" t="s">
        <v>97</v>
      </c>
      <c r="V1677">
        <v>268.36</v>
      </c>
      <c r="W1677">
        <v>248.83</v>
      </c>
      <c r="X1677">
        <v>248.83</v>
      </c>
      <c r="Y1677">
        <v>265.42</v>
      </c>
      <c r="Z1677">
        <v>369.95</v>
      </c>
      <c r="AA1677" t="s">
        <v>97</v>
      </c>
      <c r="AB1677">
        <v>369.95</v>
      </c>
    </row>
    <row r="1678" spans="1:29" x14ac:dyDescent="0.2">
      <c r="A1678" t="s">
        <v>92</v>
      </c>
      <c r="B1678" t="s">
        <v>3123</v>
      </c>
      <c r="C1678" t="s">
        <v>3264</v>
      </c>
      <c r="D1678" t="s">
        <v>3265</v>
      </c>
      <c r="E1678" t="s">
        <v>228</v>
      </c>
      <c r="F1678">
        <v>155</v>
      </c>
      <c r="G1678">
        <v>154.94999999999999</v>
      </c>
      <c r="T1678" t="s">
        <v>97</v>
      </c>
      <c r="V1678">
        <v>112.73</v>
      </c>
      <c r="W1678">
        <v>88.6</v>
      </c>
      <c r="X1678">
        <v>88.6</v>
      </c>
      <c r="Y1678">
        <v>94.51</v>
      </c>
      <c r="Z1678">
        <v>154.94999999999999</v>
      </c>
      <c r="AA1678" t="s">
        <v>97</v>
      </c>
      <c r="AB1678">
        <v>154.94999999999999</v>
      </c>
    </row>
    <row r="1679" spans="1:29" x14ac:dyDescent="0.2">
      <c r="A1679" t="s">
        <v>92</v>
      </c>
      <c r="B1679" t="s">
        <v>3123</v>
      </c>
      <c r="C1679" t="s">
        <v>3266</v>
      </c>
      <c r="D1679" t="s">
        <v>3267</v>
      </c>
      <c r="E1679" t="s">
        <v>228</v>
      </c>
      <c r="F1679">
        <v>139</v>
      </c>
      <c r="G1679">
        <v>139.94999999999999</v>
      </c>
      <c r="T1679" t="s">
        <v>97</v>
      </c>
      <c r="V1679">
        <v>101.09</v>
      </c>
      <c r="W1679">
        <v>71.56</v>
      </c>
      <c r="X1679">
        <v>71.56</v>
      </c>
      <c r="Y1679">
        <v>76.33</v>
      </c>
      <c r="Z1679">
        <v>139.94999999999999</v>
      </c>
      <c r="AA1679" t="s">
        <v>97</v>
      </c>
      <c r="AB1679">
        <v>139.94999999999999</v>
      </c>
    </row>
    <row r="1680" spans="1:29" x14ac:dyDescent="0.2">
      <c r="A1680" t="s">
        <v>92</v>
      </c>
      <c r="B1680" t="s">
        <v>3268</v>
      </c>
      <c r="C1680" t="s">
        <v>3269</v>
      </c>
      <c r="D1680" t="s">
        <v>3270</v>
      </c>
      <c r="E1680" t="s">
        <v>228</v>
      </c>
      <c r="F1680">
        <v>499.99</v>
      </c>
      <c r="H1680">
        <v>363.63</v>
      </c>
      <c r="L1680">
        <v>313.63</v>
      </c>
      <c r="M1680">
        <v>372.72</v>
      </c>
      <c r="O1680">
        <v>409.08</v>
      </c>
      <c r="Q1680">
        <v>328.4</v>
      </c>
      <c r="R1680">
        <v>345.45</v>
      </c>
      <c r="T1680" t="s">
        <v>97</v>
      </c>
      <c r="AA1680" t="s">
        <v>97</v>
      </c>
      <c r="AC1680">
        <v>372.72</v>
      </c>
    </row>
    <row r="1681" spans="1:29" x14ac:dyDescent="0.2">
      <c r="A1681" t="s">
        <v>92</v>
      </c>
      <c r="B1681" t="s">
        <v>3268</v>
      </c>
      <c r="C1681" t="s">
        <v>3273</v>
      </c>
      <c r="D1681" t="s">
        <v>3272</v>
      </c>
      <c r="E1681" t="s">
        <v>290</v>
      </c>
      <c r="F1681">
        <v>179.99</v>
      </c>
      <c r="L1681">
        <v>112.9</v>
      </c>
      <c r="M1681">
        <v>134.16999999999999</v>
      </c>
      <c r="O1681">
        <v>95.72</v>
      </c>
      <c r="Q1681">
        <v>118.2</v>
      </c>
      <c r="R1681">
        <v>124.36</v>
      </c>
      <c r="T1681" t="s">
        <v>97</v>
      </c>
      <c r="Z1681">
        <v>179.99</v>
      </c>
      <c r="AA1681" t="s">
        <v>97</v>
      </c>
    </row>
    <row r="1682" spans="1:29" x14ac:dyDescent="0.2">
      <c r="A1682" t="s">
        <v>92</v>
      </c>
      <c r="B1682" t="s">
        <v>3268</v>
      </c>
      <c r="C1682" t="s">
        <v>3271</v>
      </c>
      <c r="D1682" t="s">
        <v>3272</v>
      </c>
      <c r="E1682" t="s">
        <v>96</v>
      </c>
      <c r="F1682">
        <v>179.99</v>
      </c>
      <c r="L1682">
        <v>112.9</v>
      </c>
      <c r="M1682">
        <v>134.16999999999999</v>
      </c>
      <c r="O1682">
        <v>95.72</v>
      </c>
      <c r="Q1682">
        <v>118.2</v>
      </c>
      <c r="R1682">
        <v>124.36</v>
      </c>
      <c r="T1682" t="s">
        <v>97</v>
      </c>
      <c r="AA1682" t="s">
        <v>97</v>
      </c>
    </row>
    <row r="1683" spans="1:29" x14ac:dyDescent="0.2">
      <c r="A1683" t="s">
        <v>92</v>
      </c>
      <c r="B1683" t="s">
        <v>3268</v>
      </c>
      <c r="C1683" t="s">
        <v>3276</v>
      </c>
      <c r="D1683" t="s">
        <v>3275</v>
      </c>
      <c r="E1683" t="s">
        <v>290</v>
      </c>
      <c r="F1683">
        <v>179.99</v>
      </c>
      <c r="L1683">
        <v>112.9</v>
      </c>
      <c r="M1683">
        <v>134.16999999999999</v>
      </c>
      <c r="O1683">
        <v>95.72</v>
      </c>
      <c r="Q1683">
        <v>118.2</v>
      </c>
      <c r="R1683">
        <v>124.36</v>
      </c>
      <c r="T1683" t="s">
        <v>97</v>
      </c>
      <c r="Z1683">
        <v>179.99</v>
      </c>
      <c r="AA1683" t="s">
        <v>97</v>
      </c>
    </row>
    <row r="1684" spans="1:29" x14ac:dyDescent="0.2">
      <c r="A1684" t="s">
        <v>92</v>
      </c>
      <c r="B1684" t="s">
        <v>3268</v>
      </c>
      <c r="C1684" t="s">
        <v>3274</v>
      </c>
      <c r="D1684" t="s">
        <v>3275</v>
      </c>
      <c r="E1684" t="s">
        <v>96</v>
      </c>
      <c r="F1684">
        <v>179.99</v>
      </c>
      <c r="L1684">
        <v>112.9</v>
      </c>
      <c r="M1684">
        <v>134.16999999999999</v>
      </c>
      <c r="O1684">
        <v>95.72</v>
      </c>
      <c r="Q1684">
        <v>118.2</v>
      </c>
      <c r="R1684">
        <v>124.36</v>
      </c>
      <c r="T1684" t="s">
        <v>97</v>
      </c>
      <c r="AA1684" t="s">
        <v>97</v>
      </c>
    </row>
    <row r="1685" spans="1:29" x14ac:dyDescent="0.2">
      <c r="A1685" t="s">
        <v>92</v>
      </c>
      <c r="B1685" t="s">
        <v>3268</v>
      </c>
      <c r="C1685" t="s">
        <v>3279</v>
      </c>
      <c r="D1685" t="s">
        <v>3278</v>
      </c>
      <c r="E1685" t="s">
        <v>228</v>
      </c>
      <c r="F1685">
        <v>99.99</v>
      </c>
      <c r="H1685">
        <v>72.72</v>
      </c>
      <c r="L1685">
        <v>62.72</v>
      </c>
      <c r="M1685">
        <v>74.540000000000006</v>
      </c>
      <c r="O1685">
        <v>81.81</v>
      </c>
      <c r="Q1685">
        <v>65.680000000000007</v>
      </c>
      <c r="R1685">
        <v>69.08</v>
      </c>
      <c r="T1685" t="s">
        <v>97</v>
      </c>
      <c r="V1685">
        <v>77.27</v>
      </c>
      <c r="Z1685">
        <v>99.99</v>
      </c>
      <c r="AA1685" t="s">
        <v>97</v>
      </c>
      <c r="AC1685">
        <v>74.540000000000006</v>
      </c>
    </row>
    <row r="1686" spans="1:29" x14ac:dyDescent="0.2">
      <c r="A1686" t="s">
        <v>92</v>
      </c>
      <c r="B1686" t="s">
        <v>3268</v>
      </c>
      <c r="C1686" t="s">
        <v>3277</v>
      </c>
      <c r="D1686" t="s">
        <v>3278</v>
      </c>
      <c r="E1686" t="s">
        <v>96</v>
      </c>
      <c r="F1686">
        <v>99.99</v>
      </c>
      <c r="L1686">
        <v>62.72</v>
      </c>
      <c r="M1686">
        <v>74.540000000000006</v>
      </c>
      <c r="O1686">
        <v>81.81</v>
      </c>
      <c r="Q1686">
        <v>65.7</v>
      </c>
      <c r="R1686">
        <v>69.08</v>
      </c>
      <c r="T1686" t="s">
        <v>97</v>
      </c>
      <c r="AA1686" t="s">
        <v>97</v>
      </c>
    </row>
    <row r="1687" spans="1:29" x14ac:dyDescent="0.2">
      <c r="A1687" t="s">
        <v>92</v>
      </c>
      <c r="B1687" t="s">
        <v>3268</v>
      </c>
      <c r="C1687" t="s">
        <v>3280</v>
      </c>
      <c r="D1687" t="s">
        <v>3281</v>
      </c>
      <c r="E1687" t="s">
        <v>96</v>
      </c>
      <c r="F1687">
        <v>99.99</v>
      </c>
      <c r="L1687">
        <v>62.72</v>
      </c>
      <c r="M1687">
        <v>74.540000000000006</v>
      </c>
      <c r="O1687">
        <v>81.81</v>
      </c>
      <c r="Q1687">
        <v>65.7</v>
      </c>
      <c r="R1687">
        <v>69.08</v>
      </c>
      <c r="T1687" t="s">
        <v>97</v>
      </c>
      <c r="AA1687" t="s">
        <v>97</v>
      </c>
    </row>
    <row r="1688" spans="1:29" x14ac:dyDescent="0.2">
      <c r="A1688" t="s">
        <v>92</v>
      </c>
      <c r="B1688" t="s">
        <v>3268</v>
      </c>
      <c r="C1688" t="s">
        <v>3282</v>
      </c>
      <c r="D1688" t="s">
        <v>3281</v>
      </c>
      <c r="E1688" t="s">
        <v>228</v>
      </c>
      <c r="F1688">
        <v>99.99</v>
      </c>
      <c r="H1688">
        <v>72.72</v>
      </c>
      <c r="L1688">
        <v>62.72</v>
      </c>
      <c r="M1688">
        <v>74.540000000000006</v>
      </c>
      <c r="O1688">
        <v>81.81</v>
      </c>
      <c r="Q1688">
        <v>65.7</v>
      </c>
      <c r="R1688">
        <v>69.08</v>
      </c>
      <c r="T1688" t="s">
        <v>97</v>
      </c>
      <c r="V1688">
        <v>77.27</v>
      </c>
      <c r="Z1688">
        <v>99.99</v>
      </c>
      <c r="AA1688" t="s">
        <v>97</v>
      </c>
      <c r="AC1688">
        <v>74.540000000000006</v>
      </c>
    </row>
    <row r="1689" spans="1:29" x14ac:dyDescent="0.2">
      <c r="A1689" t="s">
        <v>92</v>
      </c>
      <c r="B1689" t="s">
        <v>3268</v>
      </c>
      <c r="C1689" t="s">
        <v>3285</v>
      </c>
      <c r="D1689" t="s">
        <v>3284</v>
      </c>
      <c r="E1689" t="s">
        <v>96</v>
      </c>
      <c r="F1689">
        <v>249.95</v>
      </c>
      <c r="L1689">
        <v>156.79</v>
      </c>
      <c r="M1689">
        <v>186.33</v>
      </c>
      <c r="O1689">
        <v>204.54</v>
      </c>
      <c r="Q1689">
        <v>164.2</v>
      </c>
      <c r="R1689">
        <v>172.69</v>
      </c>
      <c r="T1689" t="s">
        <v>97</v>
      </c>
      <c r="AA1689" t="s">
        <v>97</v>
      </c>
    </row>
    <row r="1690" spans="1:29" x14ac:dyDescent="0.2">
      <c r="A1690" t="s">
        <v>92</v>
      </c>
      <c r="B1690" t="s">
        <v>3268</v>
      </c>
      <c r="C1690" t="s">
        <v>3283</v>
      </c>
      <c r="D1690" t="s">
        <v>3284</v>
      </c>
      <c r="E1690" t="s">
        <v>290</v>
      </c>
      <c r="F1690">
        <v>249.99</v>
      </c>
      <c r="L1690">
        <v>156.79</v>
      </c>
      <c r="M1690">
        <v>186.33</v>
      </c>
      <c r="O1690">
        <v>204.54</v>
      </c>
      <c r="Q1690">
        <v>164.2</v>
      </c>
      <c r="R1690">
        <v>172.69</v>
      </c>
      <c r="T1690" t="s">
        <v>97</v>
      </c>
      <c r="Z1690">
        <v>249.99</v>
      </c>
      <c r="AA1690" t="s">
        <v>97</v>
      </c>
    </row>
    <row r="1691" spans="1:29" x14ac:dyDescent="0.2">
      <c r="A1691" t="s">
        <v>92</v>
      </c>
      <c r="B1691" t="s">
        <v>3268</v>
      </c>
      <c r="C1691" t="s">
        <v>3288</v>
      </c>
      <c r="D1691" t="s">
        <v>3287</v>
      </c>
      <c r="E1691" t="s">
        <v>96</v>
      </c>
      <c r="F1691">
        <v>359.95</v>
      </c>
      <c r="O1691">
        <v>294.5</v>
      </c>
      <c r="T1691" t="s">
        <v>97</v>
      </c>
      <c r="AA1691" t="s">
        <v>97</v>
      </c>
    </row>
    <row r="1692" spans="1:29" x14ac:dyDescent="0.2">
      <c r="A1692" t="s">
        <v>92</v>
      </c>
      <c r="B1692" t="s">
        <v>3268</v>
      </c>
      <c r="C1692" t="s">
        <v>3286</v>
      </c>
      <c r="D1692" t="s">
        <v>3287</v>
      </c>
      <c r="E1692" t="s">
        <v>228</v>
      </c>
      <c r="O1692">
        <v>294.5</v>
      </c>
      <c r="T1692" t="s">
        <v>97</v>
      </c>
      <c r="AA1692" t="s">
        <v>97</v>
      </c>
    </row>
    <row r="1693" spans="1:29" x14ac:dyDescent="0.2">
      <c r="A1693" t="s">
        <v>92</v>
      </c>
      <c r="B1693" t="s">
        <v>3268</v>
      </c>
      <c r="C1693" t="s">
        <v>3289</v>
      </c>
      <c r="D1693" t="s">
        <v>3290</v>
      </c>
      <c r="E1693" t="s">
        <v>228</v>
      </c>
      <c r="F1693">
        <v>359.99</v>
      </c>
      <c r="H1693">
        <v>261.77999999999997</v>
      </c>
      <c r="L1693">
        <v>225.79</v>
      </c>
      <c r="M1693">
        <v>268.33</v>
      </c>
      <c r="O1693">
        <v>294.5</v>
      </c>
      <c r="Q1693">
        <v>236.42</v>
      </c>
      <c r="R1693">
        <v>248.69</v>
      </c>
      <c r="T1693" t="s">
        <v>97</v>
      </c>
      <c r="V1693">
        <v>278.14</v>
      </c>
      <c r="Z1693">
        <v>359.99</v>
      </c>
      <c r="AA1693" t="s">
        <v>97</v>
      </c>
      <c r="AC1693">
        <v>268.33</v>
      </c>
    </row>
    <row r="1694" spans="1:29" x14ac:dyDescent="0.2">
      <c r="A1694" t="s">
        <v>92</v>
      </c>
      <c r="B1694" t="s">
        <v>3268</v>
      </c>
      <c r="C1694" t="s">
        <v>3291</v>
      </c>
      <c r="D1694" t="s">
        <v>3290</v>
      </c>
      <c r="E1694" t="s">
        <v>96</v>
      </c>
      <c r="F1694">
        <v>359.95</v>
      </c>
      <c r="L1694">
        <v>225.79</v>
      </c>
      <c r="M1694">
        <v>268.33</v>
      </c>
      <c r="O1694">
        <v>294.5</v>
      </c>
      <c r="Q1694">
        <v>236.42</v>
      </c>
      <c r="R1694">
        <v>248.69</v>
      </c>
      <c r="T1694" t="s">
        <v>97</v>
      </c>
      <c r="V1694">
        <v>278.14</v>
      </c>
      <c r="W1694">
        <v>278.14</v>
      </c>
      <c r="Y1694">
        <v>261.77999999999997</v>
      </c>
      <c r="Z1694">
        <v>359.95</v>
      </c>
      <c r="AA1694" t="s">
        <v>97</v>
      </c>
    </row>
    <row r="1695" spans="1:29" x14ac:dyDescent="0.2">
      <c r="A1695" t="s">
        <v>92</v>
      </c>
      <c r="B1695" t="s">
        <v>3268</v>
      </c>
      <c r="C1695" t="s">
        <v>3294</v>
      </c>
      <c r="D1695" t="s">
        <v>3293</v>
      </c>
      <c r="E1695" t="s">
        <v>96</v>
      </c>
      <c r="F1695">
        <v>799.95</v>
      </c>
      <c r="L1695">
        <v>501.81200000000001</v>
      </c>
      <c r="M1695">
        <v>596.36</v>
      </c>
      <c r="O1695">
        <v>654.54</v>
      </c>
      <c r="Q1695">
        <v>525.45000000000005</v>
      </c>
      <c r="R1695">
        <v>552.72</v>
      </c>
      <c r="T1695" t="s">
        <v>97</v>
      </c>
      <c r="V1695">
        <v>618.16999999999996</v>
      </c>
      <c r="W1695">
        <v>618.16999999999996</v>
      </c>
      <c r="Y1695">
        <v>581.80999999999995</v>
      </c>
      <c r="Z1695">
        <v>799.95</v>
      </c>
      <c r="AA1695" t="s">
        <v>97</v>
      </c>
    </row>
    <row r="1696" spans="1:29" x14ac:dyDescent="0.2">
      <c r="A1696" t="s">
        <v>92</v>
      </c>
      <c r="B1696" t="s">
        <v>3268</v>
      </c>
      <c r="C1696" t="s">
        <v>3292</v>
      </c>
      <c r="D1696" t="s">
        <v>3293</v>
      </c>
      <c r="E1696" t="s">
        <v>228</v>
      </c>
      <c r="F1696">
        <v>799.99</v>
      </c>
      <c r="H1696">
        <v>581.80999999999995</v>
      </c>
      <c r="L1696">
        <v>501.81</v>
      </c>
      <c r="M1696">
        <v>596.36</v>
      </c>
      <c r="O1696">
        <v>654.54</v>
      </c>
      <c r="Q1696">
        <v>525.45000000000005</v>
      </c>
      <c r="R1696">
        <v>552.72</v>
      </c>
      <c r="T1696" t="s">
        <v>97</v>
      </c>
      <c r="V1696">
        <v>618.16999999999996</v>
      </c>
      <c r="Z1696">
        <v>799.99</v>
      </c>
      <c r="AA1696" t="s">
        <v>97</v>
      </c>
      <c r="AC1696">
        <v>596.36</v>
      </c>
    </row>
    <row r="1697" spans="1:29" x14ac:dyDescent="0.2">
      <c r="A1697" t="s">
        <v>92</v>
      </c>
      <c r="B1697" t="s">
        <v>3268</v>
      </c>
      <c r="C1697" t="s">
        <v>3295</v>
      </c>
      <c r="D1697" t="s">
        <v>3296</v>
      </c>
      <c r="E1697" t="s">
        <v>228</v>
      </c>
      <c r="F1697">
        <v>199.99</v>
      </c>
      <c r="H1697">
        <v>145.41999999999999</v>
      </c>
      <c r="L1697">
        <v>125.42</v>
      </c>
      <c r="M1697">
        <v>149.05000000000001</v>
      </c>
      <c r="O1697">
        <v>163.6</v>
      </c>
      <c r="Q1697">
        <v>131.33000000000001</v>
      </c>
      <c r="R1697">
        <v>138.15</v>
      </c>
      <c r="T1697" t="s">
        <v>97</v>
      </c>
      <c r="V1697">
        <v>154.51</v>
      </c>
      <c r="Z1697">
        <v>199.99</v>
      </c>
      <c r="AA1697" t="s">
        <v>97</v>
      </c>
      <c r="AC1697">
        <v>149.05000000000001</v>
      </c>
    </row>
    <row r="1698" spans="1:29" x14ac:dyDescent="0.2">
      <c r="A1698" t="s">
        <v>92</v>
      </c>
      <c r="B1698" t="s">
        <v>3268</v>
      </c>
      <c r="C1698" t="s">
        <v>3297</v>
      </c>
      <c r="D1698" t="s">
        <v>3296</v>
      </c>
      <c r="E1698" t="s">
        <v>96</v>
      </c>
      <c r="F1698">
        <v>199.95</v>
      </c>
      <c r="L1698">
        <v>125.42</v>
      </c>
      <c r="M1698">
        <v>149.05000000000001</v>
      </c>
      <c r="O1698">
        <v>163.6</v>
      </c>
      <c r="Q1698">
        <v>131.33000000000001</v>
      </c>
      <c r="R1698">
        <v>138.15</v>
      </c>
      <c r="T1698" t="s">
        <v>97</v>
      </c>
      <c r="V1698">
        <v>154.51</v>
      </c>
      <c r="W1698">
        <v>154.51</v>
      </c>
      <c r="Y1698">
        <v>145.41999999999999</v>
      </c>
      <c r="Z1698">
        <v>199.95</v>
      </c>
      <c r="AA1698" t="s">
        <v>97</v>
      </c>
    </row>
    <row r="1699" spans="1:29" x14ac:dyDescent="0.2">
      <c r="A1699" t="s">
        <v>92</v>
      </c>
      <c r="B1699" t="s">
        <v>3268</v>
      </c>
      <c r="C1699" t="s">
        <v>3298</v>
      </c>
      <c r="D1699" t="s">
        <v>3299</v>
      </c>
      <c r="E1699" t="s">
        <v>96</v>
      </c>
      <c r="F1699">
        <v>199.95</v>
      </c>
      <c r="L1699">
        <v>125.42</v>
      </c>
      <c r="M1699">
        <v>149.05000000000001</v>
      </c>
      <c r="O1699">
        <v>163.6</v>
      </c>
      <c r="Q1699">
        <v>131.33000000000001</v>
      </c>
      <c r="R1699">
        <v>138.15</v>
      </c>
      <c r="T1699" t="s">
        <v>97</v>
      </c>
      <c r="V1699">
        <v>154.51</v>
      </c>
      <c r="W1699">
        <v>154.51</v>
      </c>
      <c r="Y1699">
        <v>145.41999999999999</v>
      </c>
      <c r="Z1699">
        <v>199.95</v>
      </c>
      <c r="AA1699" t="s">
        <v>97</v>
      </c>
    </row>
    <row r="1700" spans="1:29" x14ac:dyDescent="0.2">
      <c r="A1700" t="s">
        <v>92</v>
      </c>
      <c r="B1700" t="s">
        <v>3268</v>
      </c>
      <c r="C1700" t="s">
        <v>3300</v>
      </c>
      <c r="D1700" t="s">
        <v>3299</v>
      </c>
      <c r="E1700" t="s">
        <v>228</v>
      </c>
      <c r="F1700">
        <v>199.99</v>
      </c>
      <c r="H1700">
        <v>145.41999999999999</v>
      </c>
      <c r="L1700">
        <v>125.42</v>
      </c>
      <c r="M1700">
        <v>149.05000000000001</v>
      </c>
      <c r="O1700">
        <v>163.6</v>
      </c>
      <c r="Q1700">
        <v>131.33000000000001</v>
      </c>
      <c r="R1700">
        <v>138.15</v>
      </c>
      <c r="T1700" t="s">
        <v>97</v>
      </c>
      <c r="V1700">
        <v>154.51</v>
      </c>
      <c r="Z1700">
        <v>199.99</v>
      </c>
      <c r="AA1700" t="s">
        <v>97</v>
      </c>
      <c r="AC1700">
        <v>149.05000000000001</v>
      </c>
    </row>
    <row r="1701" spans="1:29" x14ac:dyDescent="0.2">
      <c r="A1701" t="s">
        <v>92</v>
      </c>
      <c r="B1701" t="s">
        <v>3268</v>
      </c>
      <c r="C1701" t="s">
        <v>3303</v>
      </c>
      <c r="D1701" t="s">
        <v>3302</v>
      </c>
      <c r="E1701" t="s">
        <v>228</v>
      </c>
      <c r="F1701">
        <v>179.99</v>
      </c>
      <c r="H1701">
        <v>130.9</v>
      </c>
      <c r="L1701">
        <v>112.9</v>
      </c>
      <c r="M1701">
        <v>134.16999999999999</v>
      </c>
      <c r="O1701">
        <v>147.26</v>
      </c>
      <c r="Q1701">
        <v>118.22</v>
      </c>
      <c r="R1701">
        <v>124.36</v>
      </c>
      <c r="T1701" t="s">
        <v>97</v>
      </c>
      <c r="V1701">
        <v>139.08000000000001</v>
      </c>
      <c r="Z1701">
        <v>179.99</v>
      </c>
      <c r="AA1701" t="s">
        <v>97</v>
      </c>
      <c r="AC1701">
        <v>134.16999999999999</v>
      </c>
    </row>
    <row r="1702" spans="1:29" x14ac:dyDescent="0.2">
      <c r="A1702" t="s">
        <v>92</v>
      </c>
      <c r="B1702" t="s">
        <v>3268</v>
      </c>
      <c r="C1702" t="s">
        <v>3301</v>
      </c>
      <c r="D1702" t="s">
        <v>3302</v>
      </c>
      <c r="E1702" t="s">
        <v>96</v>
      </c>
      <c r="F1702">
        <v>179.99</v>
      </c>
      <c r="L1702">
        <v>112.9</v>
      </c>
      <c r="M1702">
        <v>134.16999999999999</v>
      </c>
      <c r="O1702">
        <v>147.26</v>
      </c>
      <c r="Q1702">
        <v>118.22</v>
      </c>
      <c r="R1702">
        <v>124.36</v>
      </c>
      <c r="T1702" t="s">
        <v>97</v>
      </c>
      <c r="AA1702" t="s">
        <v>97</v>
      </c>
    </row>
    <row r="1703" spans="1:29" x14ac:dyDescent="0.2">
      <c r="A1703" t="s">
        <v>92</v>
      </c>
      <c r="B1703" t="s">
        <v>3268</v>
      </c>
      <c r="C1703" t="s">
        <v>3304</v>
      </c>
      <c r="D1703" t="s">
        <v>3305</v>
      </c>
      <c r="E1703" t="s">
        <v>96</v>
      </c>
      <c r="F1703">
        <v>449.99</v>
      </c>
      <c r="L1703">
        <v>282.27</v>
      </c>
      <c r="M1703">
        <v>335.45</v>
      </c>
      <c r="O1703">
        <v>368.17</v>
      </c>
      <c r="Q1703">
        <v>295.56</v>
      </c>
      <c r="R1703">
        <v>310.89999999999998</v>
      </c>
      <c r="T1703" t="s">
        <v>97</v>
      </c>
      <c r="AA1703" t="s">
        <v>97</v>
      </c>
    </row>
    <row r="1704" spans="1:29" x14ac:dyDescent="0.2">
      <c r="A1704" t="s">
        <v>92</v>
      </c>
      <c r="B1704" t="s">
        <v>3268</v>
      </c>
      <c r="C1704" t="s">
        <v>3306</v>
      </c>
      <c r="D1704" t="s">
        <v>3305</v>
      </c>
      <c r="E1704" t="s">
        <v>228</v>
      </c>
      <c r="F1704">
        <v>449.99</v>
      </c>
      <c r="H1704">
        <v>327.27</v>
      </c>
      <c r="L1704">
        <v>282.27</v>
      </c>
      <c r="M1704">
        <v>335.45</v>
      </c>
      <c r="O1704">
        <v>368.17</v>
      </c>
      <c r="Q1704">
        <v>295.56</v>
      </c>
      <c r="R1704">
        <v>310.89999999999998</v>
      </c>
      <c r="T1704" t="s">
        <v>97</v>
      </c>
      <c r="V1704">
        <v>347.72</v>
      </c>
      <c r="Z1704">
        <v>449.99</v>
      </c>
      <c r="AA1704" t="s">
        <v>97</v>
      </c>
      <c r="AC1704">
        <v>335.45</v>
      </c>
    </row>
    <row r="1705" spans="1:29" x14ac:dyDescent="0.2">
      <c r="A1705" t="s">
        <v>92</v>
      </c>
      <c r="B1705" t="s">
        <v>3268</v>
      </c>
      <c r="C1705" t="s">
        <v>3307</v>
      </c>
      <c r="D1705" t="s">
        <v>3308</v>
      </c>
      <c r="E1705" t="s">
        <v>96</v>
      </c>
      <c r="F1705">
        <v>299</v>
      </c>
      <c r="T1705" t="s">
        <v>97</v>
      </c>
      <c r="AA1705" t="s">
        <v>97</v>
      </c>
    </row>
    <row r="1706" spans="1:29" x14ac:dyDescent="0.2">
      <c r="A1706" t="s">
        <v>92</v>
      </c>
      <c r="B1706" t="s">
        <v>3268</v>
      </c>
      <c r="C1706" t="s">
        <v>3309</v>
      </c>
      <c r="D1706" t="s">
        <v>3310</v>
      </c>
      <c r="E1706" t="s">
        <v>228</v>
      </c>
      <c r="F1706">
        <v>79.989999999999995</v>
      </c>
      <c r="L1706">
        <v>52.36</v>
      </c>
      <c r="O1706">
        <v>65.45</v>
      </c>
      <c r="R1706">
        <v>55.27</v>
      </c>
      <c r="T1706" t="s">
        <v>97</v>
      </c>
      <c r="AA1706" t="s">
        <v>97</v>
      </c>
    </row>
    <row r="1707" spans="1:29" x14ac:dyDescent="0.2">
      <c r="A1707" t="s">
        <v>92</v>
      </c>
      <c r="B1707" t="s">
        <v>3268</v>
      </c>
      <c r="C1707" t="s">
        <v>3311</v>
      </c>
      <c r="D1707" t="s">
        <v>3312</v>
      </c>
      <c r="E1707" t="s">
        <v>228</v>
      </c>
      <c r="F1707">
        <v>79.989999999999995</v>
      </c>
      <c r="L1707">
        <v>52.36</v>
      </c>
      <c r="O1707">
        <v>65.45</v>
      </c>
      <c r="R1707">
        <v>55.27</v>
      </c>
      <c r="T1707" t="s">
        <v>97</v>
      </c>
      <c r="AA1707" t="s">
        <v>97</v>
      </c>
    </row>
    <row r="1708" spans="1:29" x14ac:dyDescent="0.2">
      <c r="A1708" t="s">
        <v>92</v>
      </c>
      <c r="B1708" t="s">
        <v>3268</v>
      </c>
      <c r="C1708" t="s">
        <v>3313</v>
      </c>
      <c r="D1708" t="s">
        <v>3314</v>
      </c>
      <c r="E1708" t="s">
        <v>290</v>
      </c>
      <c r="F1708">
        <v>79.989999999999995</v>
      </c>
      <c r="L1708">
        <v>52.36</v>
      </c>
      <c r="O1708">
        <v>65.45</v>
      </c>
      <c r="R1708">
        <v>55.27</v>
      </c>
      <c r="T1708" t="s">
        <v>97</v>
      </c>
      <c r="AA1708" t="s">
        <v>97</v>
      </c>
    </row>
    <row r="1709" spans="1:29" x14ac:dyDescent="0.2">
      <c r="A1709" t="s">
        <v>92</v>
      </c>
      <c r="B1709" t="s">
        <v>3268</v>
      </c>
      <c r="C1709" t="s">
        <v>3315</v>
      </c>
      <c r="D1709" t="s">
        <v>3316</v>
      </c>
      <c r="E1709" t="s">
        <v>228</v>
      </c>
      <c r="F1709">
        <v>79.989999999999995</v>
      </c>
      <c r="L1709">
        <v>52.36</v>
      </c>
      <c r="O1709">
        <v>65.45</v>
      </c>
      <c r="R1709">
        <v>55.27</v>
      </c>
      <c r="T1709" t="s">
        <v>97</v>
      </c>
      <c r="AA1709" t="s">
        <v>97</v>
      </c>
    </row>
    <row r="1710" spans="1:29" x14ac:dyDescent="0.2">
      <c r="A1710" t="s">
        <v>92</v>
      </c>
      <c r="B1710" t="s">
        <v>3268</v>
      </c>
      <c r="C1710" t="s">
        <v>3317</v>
      </c>
      <c r="D1710" t="s">
        <v>3318</v>
      </c>
      <c r="E1710" t="s">
        <v>228</v>
      </c>
      <c r="F1710">
        <v>79.989999999999995</v>
      </c>
      <c r="L1710">
        <v>52.36</v>
      </c>
      <c r="O1710">
        <v>65.45</v>
      </c>
      <c r="R1710">
        <v>55.27</v>
      </c>
      <c r="T1710" t="s">
        <v>97</v>
      </c>
      <c r="AA1710" t="s">
        <v>97</v>
      </c>
    </row>
    <row r="1711" spans="1:29" x14ac:dyDescent="0.2">
      <c r="A1711" t="s">
        <v>92</v>
      </c>
      <c r="B1711" t="s">
        <v>3268</v>
      </c>
      <c r="C1711" t="s">
        <v>3319</v>
      </c>
      <c r="D1711" t="s">
        <v>3320</v>
      </c>
      <c r="E1711" t="s">
        <v>228</v>
      </c>
      <c r="F1711">
        <v>79.989999999999995</v>
      </c>
      <c r="L1711">
        <v>52.36</v>
      </c>
      <c r="O1711">
        <v>65.45</v>
      </c>
      <c r="R1711">
        <v>55.27</v>
      </c>
      <c r="T1711" t="s">
        <v>97</v>
      </c>
      <c r="AA1711" t="s">
        <v>97</v>
      </c>
    </row>
    <row r="1712" spans="1:29" x14ac:dyDescent="0.2">
      <c r="A1712" t="s">
        <v>92</v>
      </c>
      <c r="B1712" t="s">
        <v>3268</v>
      </c>
      <c r="C1712" t="s">
        <v>3321</v>
      </c>
      <c r="D1712" t="s">
        <v>3322</v>
      </c>
      <c r="E1712" t="s">
        <v>228</v>
      </c>
      <c r="F1712">
        <v>599.99</v>
      </c>
      <c r="H1712">
        <v>436.36</v>
      </c>
      <c r="L1712">
        <v>392.72</v>
      </c>
      <c r="M1712">
        <v>447.27</v>
      </c>
      <c r="O1712">
        <v>490.9</v>
      </c>
      <c r="R1712">
        <v>414.54</v>
      </c>
      <c r="T1712" t="s">
        <v>97</v>
      </c>
      <c r="V1712">
        <v>463.63</v>
      </c>
      <c r="W1712">
        <v>463.63</v>
      </c>
      <c r="Y1712">
        <v>409.08</v>
      </c>
      <c r="Z1712">
        <v>599.99</v>
      </c>
      <c r="AA1712" t="s">
        <v>97</v>
      </c>
      <c r="AC1712">
        <v>447.27</v>
      </c>
    </row>
    <row r="1713" spans="1:29" x14ac:dyDescent="0.2">
      <c r="A1713" t="s">
        <v>92</v>
      </c>
      <c r="B1713" t="s">
        <v>3268</v>
      </c>
      <c r="C1713" t="s">
        <v>3323</v>
      </c>
      <c r="D1713" t="s">
        <v>3322</v>
      </c>
      <c r="E1713" t="s">
        <v>96</v>
      </c>
      <c r="F1713">
        <v>599.99</v>
      </c>
      <c r="L1713">
        <v>392.72</v>
      </c>
      <c r="M1713">
        <v>447.27</v>
      </c>
      <c r="O1713">
        <v>490.9</v>
      </c>
      <c r="R1713">
        <v>414.54</v>
      </c>
      <c r="T1713" t="s">
        <v>97</v>
      </c>
      <c r="V1713">
        <v>463.63</v>
      </c>
      <c r="W1713">
        <v>463.63</v>
      </c>
      <c r="Y1713">
        <v>409.08</v>
      </c>
      <c r="Z1713">
        <v>599.99</v>
      </c>
      <c r="AA1713" t="s">
        <v>97</v>
      </c>
      <c r="AC1713">
        <v>447.27</v>
      </c>
    </row>
    <row r="1714" spans="1:29" x14ac:dyDescent="0.2">
      <c r="A1714" t="s">
        <v>92</v>
      </c>
      <c r="B1714" t="s">
        <v>3268</v>
      </c>
      <c r="C1714" t="s">
        <v>3324</v>
      </c>
      <c r="D1714" t="s">
        <v>3325</v>
      </c>
      <c r="E1714" t="s">
        <v>228</v>
      </c>
      <c r="F1714">
        <v>599.99</v>
      </c>
      <c r="H1714">
        <v>436.36</v>
      </c>
      <c r="L1714">
        <v>392.72</v>
      </c>
      <c r="M1714">
        <v>447.27</v>
      </c>
      <c r="O1714">
        <v>490.9</v>
      </c>
      <c r="R1714">
        <v>414.54</v>
      </c>
      <c r="T1714" t="s">
        <v>97</v>
      </c>
      <c r="V1714">
        <v>463.63</v>
      </c>
      <c r="W1714">
        <v>463.63</v>
      </c>
      <c r="Y1714">
        <v>409.08</v>
      </c>
      <c r="Z1714">
        <v>599.99</v>
      </c>
      <c r="AA1714" t="s">
        <v>97</v>
      </c>
      <c r="AC1714">
        <v>447.27</v>
      </c>
    </row>
    <row r="1715" spans="1:29" x14ac:dyDescent="0.2">
      <c r="A1715" t="s">
        <v>92</v>
      </c>
      <c r="B1715" t="s">
        <v>3268</v>
      </c>
      <c r="C1715" t="s">
        <v>3326</v>
      </c>
      <c r="D1715" t="s">
        <v>3325</v>
      </c>
      <c r="E1715" t="s">
        <v>96</v>
      </c>
      <c r="F1715">
        <v>599.99</v>
      </c>
      <c r="L1715">
        <v>392.72</v>
      </c>
      <c r="M1715">
        <v>447.27</v>
      </c>
      <c r="O1715">
        <v>490.9</v>
      </c>
      <c r="R1715">
        <v>414.54</v>
      </c>
      <c r="T1715" t="s">
        <v>97</v>
      </c>
      <c r="V1715">
        <v>463.63</v>
      </c>
      <c r="W1715">
        <v>463.63</v>
      </c>
      <c r="Y1715">
        <v>409.08</v>
      </c>
      <c r="Z1715">
        <v>599.99</v>
      </c>
      <c r="AA1715" t="s">
        <v>97</v>
      </c>
      <c r="AC1715">
        <v>447.27</v>
      </c>
    </row>
    <row r="1716" spans="1:29" x14ac:dyDescent="0.2">
      <c r="A1716" t="s">
        <v>92</v>
      </c>
      <c r="B1716" t="s">
        <v>3268</v>
      </c>
      <c r="C1716" t="s">
        <v>3327</v>
      </c>
      <c r="D1716" t="s">
        <v>3328</v>
      </c>
      <c r="E1716" t="s">
        <v>96</v>
      </c>
      <c r="F1716">
        <v>599.99</v>
      </c>
      <c r="L1716">
        <v>392.72</v>
      </c>
      <c r="M1716">
        <v>447.27</v>
      </c>
      <c r="O1716">
        <v>490.9</v>
      </c>
      <c r="R1716">
        <v>414.54</v>
      </c>
      <c r="T1716" t="s">
        <v>97</v>
      </c>
      <c r="V1716">
        <v>463.63</v>
      </c>
      <c r="W1716">
        <v>463.63</v>
      </c>
      <c r="Y1716">
        <v>409.08</v>
      </c>
      <c r="Z1716">
        <v>599.99</v>
      </c>
      <c r="AA1716" t="s">
        <v>97</v>
      </c>
      <c r="AC1716">
        <v>447.27</v>
      </c>
    </row>
    <row r="1717" spans="1:29" x14ac:dyDescent="0.2">
      <c r="A1717" t="s">
        <v>92</v>
      </c>
      <c r="B1717" t="s">
        <v>3268</v>
      </c>
      <c r="C1717" t="s">
        <v>3329</v>
      </c>
      <c r="D1717" t="s">
        <v>3328</v>
      </c>
      <c r="E1717" t="s">
        <v>228</v>
      </c>
      <c r="F1717">
        <v>599.99</v>
      </c>
      <c r="H1717">
        <v>436.36</v>
      </c>
      <c r="L1717">
        <v>392.72</v>
      </c>
      <c r="M1717">
        <v>447.27</v>
      </c>
      <c r="O1717">
        <v>490.9</v>
      </c>
      <c r="R1717">
        <v>414.53</v>
      </c>
      <c r="T1717" t="s">
        <v>97</v>
      </c>
      <c r="V1717">
        <v>463.63</v>
      </c>
      <c r="W1717">
        <v>463.63</v>
      </c>
      <c r="Y1717">
        <v>409.08</v>
      </c>
      <c r="Z1717">
        <v>599.99</v>
      </c>
      <c r="AA1717" t="s">
        <v>97</v>
      </c>
      <c r="AC1717">
        <v>447.27</v>
      </c>
    </row>
    <row r="1718" spans="1:29" x14ac:dyDescent="0.2">
      <c r="A1718" t="s">
        <v>92</v>
      </c>
      <c r="B1718" t="s">
        <v>3268</v>
      </c>
      <c r="C1718" t="s">
        <v>3330</v>
      </c>
      <c r="D1718" t="s">
        <v>3331</v>
      </c>
      <c r="E1718" t="s">
        <v>228</v>
      </c>
      <c r="F1718">
        <v>39.99</v>
      </c>
      <c r="L1718">
        <v>26.18</v>
      </c>
      <c r="O1718">
        <v>32.72</v>
      </c>
      <c r="R1718">
        <v>27.63</v>
      </c>
      <c r="T1718" t="s">
        <v>97</v>
      </c>
      <c r="AA1718" t="s">
        <v>97</v>
      </c>
    </row>
    <row r="1719" spans="1:29" x14ac:dyDescent="0.2">
      <c r="A1719" t="s">
        <v>92</v>
      </c>
      <c r="B1719" t="s">
        <v>3268</v>
      </c>
      <c r="C1719" t="s">
        <v>3332</v>
      </c>
      <c r="D1719" t="s">
        <v>3333</v>
      </c>
      <c r="E1719" t="s">
        <v>228</v>
      </c>
      <c r="F1719">
        <v>599.99</v>
      </c>
      <c r="H1719">
        <v>436.36</v>
      </c>
      <c r="L1719">
        <v>392.72</v>
      </c>
      <c r="M1719">
        <v>447.27</v>
      </c>
      <c r="O1719">
        <v>490.9</v>
      </c>
      <c r="R1719">
        <v>414.54</v>
      </c>
      <c r="T1719" t="s">
        <v>97</v>
      </c>
      <c r="V1719">
        <v>463.63</v>
      </c>
      <c r="W1719">
        <v>463.63</v>
      </c>
      <c r="Y1719">
        <v>409.08</v>
      </c>
      <c r="Z1719">
        <v>599.99</v>
      </c>
      <c r="AA1719" t="s">
        <v>97</v>
      </c>
      <c r="AC1719">
        <v>447.27</v>
      </c>
    </row>
    <row r="1720" spans="1:29" x14ac:dyDescent="0.2">
      <c r="A1720" t="s">
        <v>92</v>
      </c>
      <c r="B1720" t="s">
        <v>3268</v>
      </c>
      <c r="C1720" t="s">
        <v>3334</v>
      </c>
      <c r="D1720" t="s">
        <v>3333</v>
      </c>
      <c r="E1720" t="s">
        <v>96</v>
      </c>
      <c r="F1720">
        <v>599.99</v>
      </c>
      <c r="L1720">
        <v>392.72</v>
      </c>
      <c r="M1720">
        <v>447.27</v>
      </c>
      <c r="O1720">
        <v>490.9</v>
      </c>
      <c r="R1720">
        <v>414.54</v>
      </c>
      <c r="T1720" t="s">
        <v>97</v>
      </c>
      <c r="V1720">
        <v>463.63</v>
      </c>
      <c r="W1720">
        <v>463.63</v>
      </c>
      <c r="Y1720">
        <v>409.08</v>
      </c>
      <c r="Z1720">
        <v>599.99</v>
      </c>
      <c r="AA1720" t="s">
        <v>97</v>
      </c>
      <c r="AC1720">
        <v>447.27</v>
      </c>
    </row>
    <row r="1721" spans="1:29" x14ac:dyDescent="0.2">
      <c r="A1721" t="s">
        <v>92</v>
      </c>
      <c r="B1721" t="s">
        <v>3268</v>
      </c>
      <c r="C1721" t="s">
        <v>3335</v>
      </c>
      <c r="D1721" t="s">
        <v>3336</v>
      </c>
      <c r="E1721" t="s">
        <v>290</v>
      </c>
      <c r="F1721">
        <v>499.99</v>
      </c>
      <c r="L1721">
        <v>327.27</v>
      </c>
      <c r="M1721">
        <v>372.72</v>
      </c>
      <c r="O1721">
        <v>409.08</v>
      </c>
      <c r="Q1721">
        <v>328.4</v>
      </c>
      <c r="R1721">
        <v>345.45</v>
      </c>
      <c r="T1721" t="s">
        <v>97</v>
      </c>
      <c r="Z1721">
        <v>499.99</v>
      </c>
      <c r="AA1721" t="s">
        <v>97</v>
      </c>
    </row>
    <row r="1722" spans="1:29" x14ac:dyDescent="0.2">
      <c r="A1722" t="s">
        <v>92</v>
      </c>
      <c r="B1722" t="s">
        <v>3268</v>
      </c>
      <c r="C1722" t="s">
        <v>3337</v>
      </c>
      <c r="D1722" t="s">
        <v>3336</v>
      </c>
      <c r="E1722" t="s">
        <v>96</v>
      </c>
      <c r="F1722">
        <v>499.99</v>
      </c>
      <c r="L1722">
        <v>327.27</v>
      </c>
      <c r="M1722">
        <v>372.72</v>
      </c>
      <c r="O1722">
        <v>409.08</v>
      </c>
      <c r="Q1722">
        <v>328.4</v>
      </c>
      <c r="R1722">
        <v>345.45</v>
      </c>
      <c r="T1722" t="s">
        <v>97</v>
      </c>
      <c r="AA1722" t="s">
        <v>97</v>
      </c>
    </row>
    <row r="1723" spans="1:29" x14ac:dyDescent="0.2">
      <c r="A1723" t="s">
        <v>92</v>
      </c>
      <c r="B1723" t="s">
        <v>3268</v>
      </c>
      <c r="C1723" t="s">
        <v>3340</v>
      </c>
      <c r="D1723" t="s">
        <v>3339</v>
      </c>
      <c r="E1723" t="s">
        <v>290</v>
      </c>
      <c r="F1723">
        <v>499.99</v>
      </c>
      <c r="L1723">
        <v>327.27</v>
      </c>
      <c r="M1723">
        <v>372.72</v>
      </c>
      <c r="O1723">
        <v>409.08</v>
      </c>
      <c r="Q1723">
        <v>328.4</v>
      </c>
      <c r="R1723">
        <v>345.45</v>
      </c>
      <c r="T1723" t="s">
        <v>97</v>
      </c>
      <c r="Z1723">
        <v>499.99</v>
      </c>
      <c r="AA1723" t="s">
        <v>97</v>
      </c>
    </row>
    <row r="1724" spans="1:29" x14ac:dyDescent="0.2">
      <c r="A1724" t="s">
        <v>92</v>
      </c>
      <c r="B1724" t="s">
        <v>3268</v>
      </c>
      <c r="C1724" t="s">
        <v>3338</v>
      </c>
      <c r="D1724" t="s">
        <v>3339</v>
      </c>
      <c r="E1724" t="s">
        <v>96</v>
      </c>
      <c r="F1724">
        <v>499.99</v>
      </c>
      <c r="L1724">
        <v>327.27</v>
      </c>
      <c r="M1724">
        <v>372.72</v>
      </c>
      <c r="O1724">
        <v>409.08</v>
      </c>
      <c r="Q1724">
        <v>328.4</v>
      </c>
      <c r="R1724">
        <v>345.45</v>
      </c>
      <c r="T1724" t="s">
        <v>97</v>
      </c>
      <c r="AA1724" t="s">
        <v>97</v>
      </c>
    </row>
    <row r="1725" spans="1:29" x14ac:dyDescent="0.2">
      <c r="A1725" t="s">
        <v>92</v>
      </c>
      <c r="B1725" t="s">
        <v>3268</v>
      </c>
      <c r="C1725" t="s">
        <v>3343</v>
      </c>
      <c r="D1725" t="s">
        <v>3342</v>
      </c>
      <c r="E1725" t="s">
        <v>290</v>
      </c>
      <c r="F1725">
        <v>499.99</v>
      </c>
      <c r="L1725">
        <v>327.27</v>
      </c>
      <c r="M1725">
        <v>372.72</v>
      </c>
      <c r="O1725">
        <v>409.08</v>
      </c>
      <c r="Q1725">
        <v>328.4</v>
      </c>
      <c r="R1725">
        <v>345.45</v>
      </c>
      <c r="T1725" t="s">
        <v>97</v>
      </c>
      <c r="Z1725">
        <v>499.99</v>
      </c>
      <c r="AA1725" t="s">
        <v>97</v>
      </c>
    </row>
    <row r="1726" spans="1:29" x14ac:dyDescent="0.2">
      <c r="A1726" t="s">
        <v>92</v>
      </c>
      <c r="B1726" t="s">
        <v>3268</v>
      </c>
      <c r="C1726" t="s">
        <v>3341</v>
      </c>
      <c r="D1726" t="s">
        <v>3342</v>
      </c>
      <c r="E1726" t="s">
        <v>96</v>
      </c>
      <c r="F1726">
        <v>499.99</v>
      </c>
      <c r="L1726">
        <v>327.27</v>
      </c>
      <c r="M1726">
        <v>372.72</v>
      </c>
      <c r="O1726">
        <v>409.08</v>
      </c>
      <c r="Q1726">
        <v>328.4</v>
      </c>
      <c r="R1726">
        <v>345.45</v>
      </c>
      <c r="T1726" t="s">
        <v>97</v>
      </c>
      <c r="AA1726" t="s">
        <v>97</v>
      </c>
    </row>
    <row r="1727" spans="1:29" x14ac:dyDescent="0.2">
      <c r="A1727" t="s">
        <v>92</v>
      </c>
      <c r="B1727" t="s">
        <v>3268</v>
      </c>
      <c r="C1727" t="s">
        <v>3346</v>
      </c>
      <c r="D1727" t="s">
        <v>3345</v>
      </c>
      <c r="E1727" t="s">
        <v>96</v>
      </c>
      <c r="F1727">
        <v>499.99</v>
      </c>
      <c r="L1727">
        <v>327.27</v>
      </c>
      <c r="M1727">
        <v>372.72</v>
      </c>
      <c r="O1727">
        <v>409.08</v>
      </c>
      <c r="Q1727">
        <v>328.4</v>
      </c>
      <c r="R1727">
        <v>345.45</v>
      </c>
      <c r="T1727" t="s">
        <v>97</v>
      </c>
      <c r="AA1727" t="s">
        <v>97</v>
      </c>
    </row>
    <row r="1728" spans="1:29" x14ac:dyDescent="0.2">
      <c r="A1728" t="s">
        <v>92</v>
      </c>
      <c r="B1728" t="s">
        <v>3268</v>
      </c>
      <c r="C1728" t="s">
        <v>3344</v>
      </c>
      <c r="D1728" t="s">
        <v>3345</v>
      </c>
      <c r="E1728" t="s">
        <v>290</v>
      </c>
      <c r="F1728">
        <v>499.99</v>
      </c>
      <c r="L1728">
        <v>327.27</v>
      </c>
      <c r="M1728">
        <v>372.72</v>
      </c>
      <c r="O1728">
        <v>409.08</v>
      </c>
      <c r="Q1728">
        <v>328.4</v>
      </c>
      <c r="R1728">
        <v>345.45</v>
      </c>
      <c r="T1728" t="s">
        <v>97</v>
      </c>
      <c r="Z1728">
        <v>499.99</v>
      </c>
      <c r="AA1728" t="s">
        <v>97</v>
      </c>
    </row>
    <row r="1729" spans="1:29" x14ac:dyDescent="0.2">
      <c r="A1729" t="s">
        <v>92</v>
      </c>
      <c r="B1729" t="s">
        <v>3268</v>
      </c>
      <c r="C1729" t="s">
        <v>3349</v>
      </c>
      <c r="D1729" t="s">
        <v>3348</v>
      </c>
      <c r="E1729" t="s">
        <v>96</v>
      </c>
      <c r="F1729">
        <v>499.99</v>
      </c>
      <c r="L1729">
        <v>327.27</v>
      </c>
      <c r="M1729">
        <v>372.72</v>
      </c>
      <c r="O1729">
        <v>409.08</v>
      </c>
      <c r="Q1729">
        <v>328.4</v>
      </c>
      <c r="R1729">
        <v>345.45</v>
      </c>
      <c r="T1729" t="s">
        <v>97</v>
      </c>
      <c r="AA1729" t="s">
        <v>97</v>
      </c>
    </row>
    <row r="1730" spans="1:29" x14ac:dyDescent="0.2">
      <c r="A1730" t="s">
        <v>92</v>
      </c>
      <c r="B1730" t="s">
        <v>3268</v>
      </c>
      <c r="C1730" t="s">
        <v>3347</v>
      </c>
      <c r="D1730" t="s">
        <v>3348</v>
      </c>
      <c r="E1730" t="s">
        <v>290</v>
      </c>
      <c r="F1730">
        <v>499.99</v>
      </c>
      <c r="L1730">
        <v>327.27</v>
      </c>
      <c r="M1730">
        <v>372.72</v>
      </c>
      <c r="O1730">
        <v>409.08</v>
      </c>
      <c r="Q1730">
        <v>328.4</v>
      </c>
      <c r="R1730">
        <v>345.45</v>
      </c>
      <c r="T1730" t="s">
        <v>97</v>
      </c>
      <c r="Z1730">
        <v>499.99</v>
      </c>
      <c r="AA1730" t="s">
        <v>97</v>
      </c>
    </row>
    <row r="1731" spans="1:29" x14ac:dyDescent="0.2">
      <c r="A1731" t="s">
        <v>92</v>
      </c>
      <c r="B1731" t="s">
        <v>3268</v>
      </c>
      <c r="C1731" t="s">
        <v>3352</v>
      </c>
      <c r="D1731" t="s">
        <v>3351</v>
      </c>
      <c r="E1731" t="s">
        <v>290</v>
      </c>
      <c r="F1731">
        <v>699.99</v>
      </c>
      <c r="L1731">
        <v>458.18</v>
      </c>
      <c r="M1731">
        <v>521.80999999999995</v>
      </c>
      <c r="O1731">
        <v>572.72</v>
      </c>
      <c r="Q1731">
        <v>459.77</v>
      </c>
      <c r="R1731">
        <v>483.63</v>
      </c>
      <c r="T1731" t="s">
        <v>97</v>
      </c>
      <c r="Z1731">
        <v>699.99</v>
      </c>
      <c r="AA1731" t="s">
        <v>97</v>
      </c>
    </row>
    <row r="1732" spans="1:29" x14ac:dyDescent="0.2">
      <c r="A1732" t="s">
        <v>92</v>
      </c>
      <c r="B1732" t="s">
        <v>3268</v>
      </c>
      <c r="C1732" t="s">
        <v>3350</v>
      </c>
      <c r="D1732" t="s">
        <v>3351</v>
      </c>
      <c r="E1732" t="s">
        <v>96</v>
      </c>
      <c r="F1732">
        <v>699.99</v>
      </c>
      <c r="L1732">
        <v>458.18</v>
      </c>
      <c r="M1732">
        <v>521.80999999999995</v>
      </c>
      <c r="O1732">
        <v>572.72</v>
      </c>
      <c r="Q1732">
        <v>459.77</v>
      </c>
      <c r="R1732">
        <v>483.63</v>
      </c>
      <c r="T1732" t="s">
        <v>97</v>
      </c>
      <c r="AA1732" t="s">
        <v>97</v>
      </c>
    </row>
    <row r="1733" spans="1:29" x14ac:dyDescent="0.2">
      <c r="A1733" t="s">
        <v>92</v>
      </c>
      <c r="B1733" t="s">
        <v>3268</v>
      </c>
      <c r="C1733" t="s">
        <v>3353</v>
      </c>
      <c r="D1733" t="s">
        <v>3354</v>
      </c>
      <c r="E1733" t="s">
        <v>290</v>
      </c>
      <c r="F1733">
        <v>699.99</v>
      </c>
      <c r="L1733">
        <v>458.18</v>
      </c>
      <c r="M1733">
        <v>521.80999999999995</v>
      </c>
      <c r="O1733">
        <v>572.72</v>
      </c>
      <c r="Q1733">
        <v>459.77</v>
      </c>
      <c r="R1733">
        <v>483.63</v>
      </c>
      <c r="T1733" t="s">
        <v>97</v>
      </c>
      <c r="V1733">
        <v>540.9</v>
      </c>
      <c r="Z1733">
        <v>699.99</v>
      </c>
      <c r="AA1733" t="s">
        <v>97</v>
      </c>
    </row>
    <row r="1734" spans="1:29" x14ac:dyDescent="0.2">
      <c r="A1734" t="s">
        <v>92</v>
      </c>
      <c r="B1734" t="s">
        <v>3268</v>
      </c>
      <c r="C1734" t="s">
        <v>3355</v>
      </c>
      <c r="D1734" t="s">
        <v>3354</v>
      </c>
      <c r="E1734" t="s">
        <v>96</v>
      </c>
      <c r="F1734">
        <v>699.99</v>
      </c>
      <c r="L1734">
        <v>458.18</v>
      </c>
      <c r="M1734">
        <v>521.80999999999995</v>
      </c>
      <c r="O1734">
        <v>572.72</v>
      </c>
      <c r="Q1734">
        <v>459.77</v>
      </c>
      <c r="R1734">
        <v>483.63</v>
      </c>
      <c r="T1734" t="s">
        <v>97</v>
      </c>
      <c r="AA1734" t="s">
        <v>97</v>
      </c>
    </row>
    <row r="1735" spans="1:29" x14ac:dyDescent="0.2">
      <c r="A1735" t="s">
        <v>92</v>
      </c>
      <c r="B1735" t="s">
        <v>3268</v>
      </c>
      <c r="C1735" t="s">
        <v>3356</v>
      </c>
      <c r="D1735" t="s">
        <v>3357</v>
      </c>
      <c r="E1735" t="s">
        <v>228</v>
      </c>
      <c r="F1735">
        <v>429.99</v>
      </c>
      <c r="H1735">
        <v>312.72000000000003</v>
      </c>
      <c r="L1735">
        <v>281.45</v>
      </c>
      <c r="M1735">
        <v>320.54000000000002</v>
      </c>
      <c r="O1735">
        <v>351.81</v>
      </c>
      <c r="R1735">
        <v>297.08</v>
      </c>
      <c r="T1735" t="s">
        <v>97</v>
      </c>
      <c r="V1735">
        <v>332.27</v>
      </c>
      <c r="W1735">
        <v>332.27</v>
      </c>
      <c r="Y1735">
        <v>293.18</v>
      </c>
      <c r="Z1735">
        <v>429.99</v>
      </c>
      <c r="AA1735" t="s">
        <v>97</v>
      </c>
      <c r="AC1735">
        <v>320.54000000000002</v>
      </c>
    </row>
    <row r="1736" spans="1:29" x14ac:dyDescent="0.2">
      <c r="A1736" t="s">
        <v>92</v>
      </c>
      <c r="B1736" t="s">
        <v>3268</v>
      </c>
      <c r="C1736" t="s">
        <v>3358</v>
      </c>
      <c r="D1736" t="s">
        <v>3357</v>
      </c>
      <c r="E1736" t="s">
        <v>96</v>
      </c>
      <c r="F1736">
        <v>429.99</v>
      </c>
      <c r="L1736">
        <v>281.45</v>
      </c>
      <c r="M1736">
        <v>320.54000000000002</v>
      </c>
      <c r="O1736">
        <v>351.81</v>
      </c>
      <c r="R1736">
        <v>297.08</v>
      </c>
      <c r="T1736" t="s">
        <v>97</v>
      </c>
      <c r="V1736">
        <v>332.27</v>
      </c>
      <c r="W1736">
        <v>332.27</v>
      </c>
      <c r="Y1736">
        <v>293.18</v>
      </c>
      <c r="Z1736">
        <v>429.99</v>
      </c>
      <c r="AA1736" t="s">
        <v>97</v>
      </c>
      <c r="AC1736">
        <v>320.54000000000002</v>
      </c>
    </row>
    <row r="1737" spans="1:29" x14ac:dyDescent="0.2">
      <c r="A1737" t="s">
        <v>92</v>
      </c>
      <c r="B1737" t="s">
        <v>3268</v>
      </c>
      <c r="C1737" t="s">
        <v>3361</v>
      </c>
      <c r="D1737" t="s">
        <v>3360</v>
      </c>
      <c r="E1737" t="s">
        <v>228</v>
      </c>
      <c r="F1737">
        <v>429.99</v>
      </c>
      <c r="H1737">
        <v>312.72000000000003</v>
      </c>
      <c r="L1737">
        <v>281.45</v>
      </c>
      <c r="M1737">
        <v>320.54000000000002</v>
      </c>
      <c r="O1737">
        <v>351.81</v>
      </c>
      <c r="R1737">
        <v>297.08</v>
      </c>
      <c r="T1737" t="s">
        <v>97</v>
      </c>
      <c r="V1737">
        <v>332.27</v>
      </c>
      <c r="W1737">
        <v>332.27</v>
      </c>
      <c r="Y1737">
        <v>293.18</v>
      </c>
      <c r="Z1737">
        <v>429.99</v>
      </c>
      <c r="AA1737" t="s">
        <v>97</v>
      </c>
      <c r="AC1737">
        <v>320.54000000000002</v>
      </c>
    </row>
    <row r="1738" spans="1:29" x14ac:dyDescent="0.2">
      <c r="A1738" t="s">
        <v>92</v>
      </c>
      <c r="B1738" t="s">
        <v>3268</v>
      </c>
      <c r="C1738" t="s">
        <v>3359</v>
      </c>
      <c r="D1738" t="s">
        <v>3360</v>
      </c>
      <c r="E1738" t="s">
        <v>96</v>
      </c>
      <c r="F1738">
        <v>429.99</v>
      </c>
      <c r="L1738">
        <v>281.45</v>
      </c>
      <c r="M1738">
        <v>320.54000000000002</v>
      </c>
      <c r="O1738">
        <v>351.81</v>
      </c>
      <c r="R1738">
        <v>297.08</v>
      </c>
      <c r="T1738" t="s">
        <v>97</v>
      </c>
      <c r="V1738">
        <v>332.27</v>
      </c>
      <c r="W1738">
        <v>332.27</v>
      </c>
      <c r="Y1738">
        <v>293.18</v>
      </c>
      <c r="Z1738">
        <v>429.99</v>
      </c>
      <c r="AA1738" t="s">
        <v>97</v>
      </c>
      <c r="AC1738">
        <v>320.54000000000002</v>
      </c>
    </row>
    <row r="1739" spans="1:29" x14ac:dyDescent="0.2">
      <c r="A1739" t="s">
        <v>92</v>
      </c>
      <c r="B1739" t="s">
        <v>3268</v>
      </c>
      <c r="C1739" t="s">
        <v>3364</v>
      </c>
      <c r="D1739" t="s">
        <v>3363</v>
      </c>
      <c r="E1739" t="s">
        <v>228</v>
      </c>
      <c r="F1739">
        <v>429.99</v>
      </c>
      <c r="H1739">
        <v>312.72000000000003</v>
      </c>
      <c r="L1739">
        <v>281.45</v>
      </c>
      <c r="M1739">
        <v>320.54000000000002</v>
      </c>
      <c r="O1739">
        <v>351.81</v>
      </c>
      <c r="R1739">
        <v>297.08</v>
      </c>
      <c r="T1739" t="s">
        <v>97</v>
      </c>
      <c r="V1739">
        <v>332.27</v>
      </c>
      <c r="W1739">
        <v>332.27</v>
      </c>
      <c r="Y1739">
        <v>293.18</v>
      </c>
      <c r="Z1739">
        <v>429.99</v>
      </c>
      <c r="AA1739" t="s">
        <v>97</v>
      </c>
      <c r="AC1739">
        <v>320.54000000000002</v>
      </c>
    </row>
    <row r="1740" spans="1:29" x14ac:dyDescent="0.2">
      <c r="A1740" t="s">
        <v>92</v>
      </c>
      <c r="B1740" t="s">
        <v>3268</v>
      </c>
      <c r="C1740" t="s">
        <v>3362</v>
      </c>
      <c r="D1740" t="s">
        <v>3363</v>
      </c>
      <c r="E1740" t="s">
        <v>96</v>
      </c>
      <c r="F1740">
        <v>429.99</v>
      </c>
      <c r="L1740">
        <v>281.45</v>
      </c>
      <c r="M1740">
        <v>320.54000000000002</v>
      </c>
      <c r="O1740">
        <v>351.81</v>
      </c>
      <c r="R1740">
        <v>297.08</v>
      </c>
      <c r="T1740" t="s">
        <v>97</v>
      </c>
      <c r="V1740">
        <v>332.27</v>
      </c>
      <c r="W1740">
        <v>332.27</v>
      </c>
      <c r="Y1740">
        <v>293.18</v>
      </c>
      <c r="Z1740">
        <v>429.99</v>
      </c>
      <c r="AA1740" t="s">
        <v>97</v>
      </c>
      <c r="AC1740">
        <v>320.54000000000002</v>
      </c>
    </row>
    <row r="1741" spans="1:29" x14ac:dyDescent="0.2">
      <c r="A1741" t="s">
        <v>92</v>
      </c>
      <c r="B1741" t="s">
        <v>3268</v>
      </c>
      <c r="C1741" t="s">
        <v>3365</v>
      </c>
      <c r="D1741" t="s">
        <v>3366</v>
      </c>
      <c r="E1741" t="s">
        <v>228</v>
      </c>
      <c r="F1741">
        <v>39.99</v>
      </c>
      <c r="L1741">
        <v>26.18</v>
      </c>
      <c r="O1741">
        <v>32.72</v>
      </c>
      <c r="R1741">
        <v>27.63</v>
      </c>
      <c r="T1741" t="s">
        <v>97</v>
      </c>
      <c r="AA1741" t="s">
        <v>97</v>
      </c>
    </row>
    <row r="1742" spans="1:29" x14ac:dyDescent="0.2">
      <c r="A1742" t="s">
        <v>92</v>
      </c>
      <c r="B1742" t="s">
        <v>3268</v>
      </c>
      <c r="C1742" t="s">
        <v>3367</v>
      </c>
      <c r="D1742" t="s">
        <v>3368</v>
      </c>
      <c r="E1742" t="s">
        <v>228</v>
      </c>
      <c r="F1742">
        <v>799.99</v>
      </c>
      <c r="H1742">
        <v>581.80999999999995</v>
      </c>
      <c r="L1742">
        <v>523.63</v>
      </c>
      <c r="M1742">
        <v>596.36</v>
      </c>
      <c r="O1742">
        <v>654.54</v>
      </c>
      <c r="R1742">
        <v>552.72</v>
      </c>
      <c r="T1742" t="s">
        <v>97</v>
      </c>
      <c r="V1742">
        <v>618.16999999999996</v>
      </c>
      <c r="W1742">
        <v>618.16999999999996</v>
      </c>
      <c r="Y1742">
        <v>545.45000000000005</v>
      </c>
      <c r="Z1742">
        <v>799.99</v>
      </c>
      <c r="AA1742" t="s">
        <v>97</v>
      </c>
      <c r="AC1742">
        <v>596.36</v>
      </c>
    </row>
    <row r="1743" spans="1:29" x14ac:dyDescent="0.2">
      <c r="A1743" t="s">
        <v>92</v>
      </c>
      <c r="B1743" t="s">
        <v>3268</v>
      </c>
      <c r="C1743" t="s">
        <v>3369</v>
      </c>
      <c r="D1743" t="s">
        <v>3368</v>
      </c>
      <c r="E1743" t="s">
        <v>96</v>
      </c>
      <c r="F1743">
        <v>799.99</v>
      </c>
      <c r="L1743">
        <v>523.63</v>
      </c>
      <c r="M1743">
        <v>596.36</v>
      </c>
      <c r="O1743">
        <v>654.54</v>
      </c>
      <c r="R1743">
        <v>552.72</v>
      </c>
      <c r="T1743" t="s">
        <v>97</v>
      </c>
      <c r="V1743">
        <v>618.16999999999996</v>
      </c>
      <c r="W1743">
        <v>618.16999999999996</v>
      </c>
      <c r="Y1743">
        <v>545.45000000000005</v>
      </c>
      <c r="Z1743">
        <v>799.99</v>
      </c>
      <c r="AA1743" t="s">
        <v>97</v>
      </c>
      <c r="AC1743">
        <v>596.36</v>
      </c>
    </row>
    <row r="1744" spans="1:29" x14ac:dyDescent="0.2">
      <c r="A1744" t="s">
        <v>92</v>
      </c>
      <c r="B1744" t="s">
        <v>3268</v>
      </c>
      <c r="C1744" t="s">
        <v>3372</v>
      </c>
      <c r="D1744" t="s">
        <v>3371</v>
      </c>
      <c r="E1744" t="s">
        <v>228</v>
      </c>
      <c r="F1744">
        <v>799.99</v>
      </c>
      <c r="H1744">
        <v>581.80999999999995</v>
      </c>
      <c r="L1744">
        <v>523.63</v>
      </c>
      <c r="M1744">
        <v>596.36</v>
      </c>
      <c r="O1744">
        <v>654.54</v>
      </c>
      <c r="R1744">
        <v>552.72</v>
      </c>
      <c r="T1744" t="s">
        <v>97</v>
      </c>
      <c r="V1744">
        <v>618.16999999999996</v>
      </c>
      <c r="W1744">
        <v>618.16999999999996</v>
      </c>
      <c r="Y1744">
        <v>545.45000000000005</v>
      </c>
      <c r="Z1744">
        <v>799.99</v>
      </c>
      <c r="AA1744" t="s">
        <v>97</v>
      </c>
      <c r="AC1744">
        <v>596.36</v>
      </c>
    </row>
    <row r="1745" spans="1:29" x14ac:dyDescent="0.2">
      <c r="A1745" t="s">
        <v>92</v>
      </c>
      <c r="B1745" t="s">
        <v>3268</v>
      </c>
      <c r="C1745" t="s">
        <v>3370</v>
      </c>
      <c r="D1745" t="s">
        <v>3371</v>
      </c>
      <c r="E1745" t="s">
        <v>96</v>
      </c>
      <c r="F1745">
        <v>799.99</v>
      </c>
      <c r="L1745">
        <v>523.63</v>
      </c>
      <c r="M1745">
        <v>596.36</v>
      </c>
      <c r="O1745">
        <v>654.54</v>
      </c>
      <c r="R1745">
        <v>552.72</v>
      </c>
      <c r="T1745" t="s">
        <v>97</v>
      </c>
      <c r="V1745">
        <v>618.16999999999996</v>
      </c>
      <c r="W1745">
        <v>618.16999999999996</v>
      </c>
      <c r="Y1745">
        <v>545.45000000000005</v>
      </c>
      <c r="Z1745">
        <v>799.99</v>
      </c>
      <c r="AA1745" t="s">
        <v>97</v>
      </c>
      <c r="AC1745">
        <v>596.36</v>
      </c>
    </row>
    <row r="1746" spans="1:29" x14ac:dyDescent="0.2">
      <c r="A1746" t="s">
        <v>92</v>
      </c>
      <c r="B1746" t="s">
        <v>3268</v>
      </c>
      <c r="C1746" t="s">
        <v>3373</v>
      </c>
      <c r="D1746" t="s">
        <v>3374</v>
      </c>
      <c r="E1746" t="s">
        <v>228</v>
      </c>
      <c r="F1746">
        <v>799.99</v>
      </c>
      <c r="H1746">
        <v>545.45000000000005</v>
      </c>
      <c r="L1746">
        <v>523.63</v>
      </c>
      <c r="M1746">
        <v>596.36</v>
      </c>
      <c r="O1746">
        <v>654.54</v>
      </c>
      <c r="Q1746">
        <v>525.45000000000005</v>
      </c>
      <c r="R1746">
        <v>552.72</v>
      </c>
      <c r="T1746" t="s">
        <v>97</v>
      </c>
      <c r="AA1746" t="s">
        <v>97</v>
      </c>
      <c r="AC1746">
        <v>596.36</v>
      </c>
    </row>
    <row r="1747" spans="1:29" x14ac:dyDescent="0.2">
      <c r="A1747" t="s">
        <v>92</v>
      </c>
      <c r="B1747" t="s">
        <v>3268</v>
      </c>
      <c r="C1747" t="s">
        <v>3375</v>
      </c>
      <c r="D1747" t="s">
        <v>3376</v>
      </c>
      <c r="E1747" t="s">
        <v>228</v>
      </c>
      <c r="F1747">
        <v>799.99</v>
      </c>
      <c r="H1747">
        <v>545.45000000000005</v>
      </c>
      <c r="L1747">
        <v>523.63</v>
      </c>
      <c r="M1747">
        <v>596.36</v>
      </c>
      <c r="O1747">
        <v>654.54</v>
      </c>
      <c r="Q1747">
        <v>525.45000000000005</v>
      </c>
      <c r="R1747">
        <v>552.72</v>
      </c>
      <c r="T1747" t="s">
        <v>97</v>
      </c>
      <c r="AA1747" t="s">
        <v>97</v>
      </c>
      <c r="AC1747">
        <v>596.36</v>
      </c>
    </row>
    <row r="1748" spans="1:29" x14ac:dyDescent="0.2">
      <c r="A1748" t="s">
        <v>92</v>
      </c>
      <c r="B1748" t="s">
        <v>3268</v>
      </c>
      <c r="C1748" t="s">
        <v>3377</v>
      </c>
      <c r="D1748" t="s">
        <v>3378</v>
      </c>
      <c r="E1748" t="s">
        <v>228</v>
      </c>
      <c r="F1748">
        <v>39.99</v>
      </c>
      <c r="L1748">
        <v>26.18</v>
      </c>
      <c r="O1748">
        <v>32.72</v>
      </c>
      <c r="R1748">
        <v>27.63</v>
      </c>
      <c r="T1748" t="s">
        <v>97</v>
      </c>
      <c r="AA1748" t="s">
        <v>97</v>
      </c>
    </row>
    <row r="1749" spans="1:29" x14ac:dyDescent="0.2">
      <c r="A1749" t="s">
        <v>92</v>
      </c>
      <c r="B1749" t="s">
        <v>3268</v>
      </c>
      <c r="C1749" t="s">
        <v>3381</v>
      </c>
      <c r="D1749" t="s">
        <v>3380</v>
      </c>
      <c r="E1749" t="s">
        <v>96</v>
      </c>
      <c r="F1749">
        <v>799.99</v>
      </c>
      <c r="L1749">
        <v>523.63</v>
      </c>
      <c r="M1749">
        <v>596.36</v>
      </c>
      <c r="O1749">
        <v>654.54</v>
      </c>
      <c r="R1749">
        <v>552.72</v>
      </c>
      <c r="T1749" t="s">
        <v>97</v>
      </c>
      <c r="V1749">
        <v>618.16999999999996</v>
      </c>
      <c r="W1749">
        <v>618.16999999999996</v>
      </c>
      <c r="Y1749">
        <v>545.45000000000005</v>
      </c>
      <c r="Z1749">
        <v>799.99</v>
      </c>
      <c r="AA1749" t="s">
        <v>97</v>
      </c>
      <c r="AC1749">
        <v>596.36</v>
      </c>
    </row>
    <row r="1750" spans="1:29" x14ac:dyDescent="0.2">
      <c r="A1750" t="s">
        <v>92</v>
      </c>
      <c r="B1750" t="s">
        <v>3268</v>
      </c>
      <c r="C1750" t="s">
        <v>3379</v>
      </c>
      <c r="D1750" t="s">
        <v>3380</v>
      </c>
      <c r="E1750" t="s">
        <v>228</v>
      </c>
      <c r="F1750">
        <v>799.99</v>
      </c>
      <c r="H1750">
        <v>581.80999999999995</v>
      </c>
      <c r="L1750">
        <v>523.63</v>
      </c>
      <c r="M1750">
        <v>596.36</v>
      </c>
      <c r="O1750">
        <v>654.54</v>
      </c>
      <c r="R1750">
        <v>552.72</v>
      </c>
      <c r="T1750" t="s">
        <v>97</v>
      </c>
      <c r="V1750">
        <v>618.16999999999996</v>
      </c>
      <c r="W1750">
        <v>618.16999999999996</v>
      </c>
      <c r="Y1750">
        <v>545.45000000000005</v>
      </c>
      <c r="Z1750">
        <v>799.99</v>
      </c>
      <c r="AA1750" t="s">
        <v>97</v>
      </c>
      <c r="AC1750">
        <v>596.36</v>
      </c>
    </row>
    <row r="1751" spans="1:29" x14ac:dyDescent="0.2">
      <c r="A1751" t="s">
        <v>92</v>
      </c>
      <c r="B1751" t="s">
        <v>3268</v>
      </c>
      <c r="C1751" t="s">
        <v>3382</v>
      </c>
      <c r="D1751" t="s">
        <v>3383</v>
      </c>
      <c r="E1751" t="s">
        <v>228</v>
      </c>
      <c r="F1751">
        <v>219.99</v>
      </c>
      <c r="H1751">
        <v>159.99</v>
      </c>
      <c r="I1751">
        <v>159.99</v>
      </c>
      <c r="L1751">
        <v>137.99</v>
      </c>
      <c r="M1751">
        <v>163.99</v>
      </c>
      <c r="O1751">
        <v>179.99</v>
      </c>
      <c r="Q1751">
        <v>144.49</v>
      </c>
      <c r="R1751">
        <v>151.99</v>
      </c>
      <c r="T1751" t="s">
        <v>97</v>
      </c>
      <c r="V1751">
        <v>154.51</v>
      </c>
      <c r="W1751">
        <v>169.99</v>
      </c>
      <c r="Y1751">
        <v>149.99</v>
      </c>
      <c r="Z1751">
        <v>199.99</v>
      </c>
      <c r="AA1751" t="s">
        <v>97</v>
      </c>
      <c r="AC1751">
        <v>163.99</v>
      </c>
    </row>
    <row r="1752" spans="1:29" x14ac:dyDescent="0.2">
      <c r="A1752" t="s">
        <v>92</v>
      </c>
      <c r="B1752" t="s">
        <v>3268</v>
      </c>
      <c r="C1752" t="s">
        <v>3384</v>
      </c>
      <c r="D1752" t="s">
        <v>3383</v>
      </c>
      <c r="E1752" t="s">
        <v>96</v>
      </c>
      <c r="F1752">
        <v>199.95</v>
      </c>
      <c r="L1752">
        <v>125.42</v>
      </c>
      <c r="M1752">
        <v>149.05000000000001</v>
      </c>
      <c r="O1752">
        <v>163.63</v>
      </c>
      <c r="Q1752">
        <v>131.33000000000001</v>
      </c>
      <c r="R1752">
        <v>138.15</v>
      </c>
      <c r="T1752" t="s">
        <v>97</v>
      </c>
      <c r="AA1752" t="s">
        <v>97</v>
      </c>
    </row>
    <row r="1753" spans="1:29" x14ac:dyDescent="0.2">
      <c r="A1753" t="s">
        <v>92</v>
      </c>
      <c r="B1753" t="s">
        <v>3268</v>
      </c>
      <c r="C1753" t="s">
        <v>3385</v>
      </c>
      <c r="D1753" t="s">
        <v>3386</v>
      </c>
      <c r="E1753" t="s">
        <v>290</v>
      </c>
      <c r="F1753">
        <v>179.99</v>
      </c>
      <c r="H1753">
        <v>130.9</v>
      </c>
      <c r="L1753">
        <v>112.9</v>
      </c>
      <c r="M1753">
        <v>134.16999999999999</v>
      </c>
      <c r="O1753">
        <v>147.26</v>
      </c>
      <c r="Q1753">
        <v>118.22</v>
      </c>
      <c r="R1753">
        <v>124.36</v>
      </c>
      <c r="T1753" t="s">
        <v>97</v>
      </c>
      <c r="V1753">
        <v>139.08000000000001</v>
      </c>
      <c r="Z1753">
        <v>179.99</v>
      </c>
      <c r="AA1753" t="s">
        <v>97</v>
      </c>
      <c r="AC1753">
        <v>134.16999999999999</v>
      </c>
    </row>
    <row r="1754" spans="1:29" x14ac:dyDescent="0.2">
      <c r="A1754" t="s">
        <v>92</v>
      </c>
      <c r="B1754" t="s">
        <v>3268</v>
      </c>
      <c r="C1754" t="s">
        <v>3387</v>
      </c>
      <c r="D1754" t="s">
        <v>3386</v>
      </c>
      <c r="E1754" t="s">
        <v>96</v>
      </c>
      <c r="F1754">
        <v>179.99</v>
      </c>
      <c r="L1754">
        <v>112.9</v>
      </c>
      <c r="M1754">
        <v>134.16999999999999</v>
      </c>
      <c r="O1754">
        <v>147.26</v>
      </c>
      <c r="Q1754">
        <v>118.22</v>
      </c>
      <c r="R1754">
        <v>124.36</v>
      </c>
      <c r="T1754" t="s">
        <v>97</v>
      </c>
      <c r="Z1754">
        <v>179.99</v>
      </c>
      <c r="AA1754" t="s">
        <v>97</v>
      </c>
    </row>
    <row r="1755" spans="1:29" x14ac:dyDescent="0.2">
      <c r="A1755" t="s">
        <v>92</v>
      </c>
      <c r="B1755" t="s">
        <v>3268</v>
      </c>
      <c r="C1755" t="s">
        <v>3388</v>
      </c>
      <c r="D1755" t="s">
        <v>3389</v>
      </c>
      <c r="E1755" t="s">
        <v>96</v>
      </c>
      <c r="F1755">
        <v>0</v>
      </c>
      <c r="T1755" t="s">
        <v>97</v>
      </c>
      <c r="AA1755" t="s">
        <v>97</v>
      </c>
    </row>
    <row r="1756" spans="1:29" x14ac:dyDescent="0.2">
      <c r="A1756" t="s">
        <v>92</v>
      </c>
      <c r="B1756" t="s">
        <v>3268</v>
      </c>
      <c r="C1756" t="s">
        <v>3390</v>
      </c>
      <c r="D1756" t="s">
        <v>3391</v>
      </c>
      <c r="E1756" t="s">
        <v>228</v>
      </c>
      <c r="M1756">
        <v>0</v>
      </c>
      <c r="T1756" t="s">
        <v>97</v>
      </c>
      <c r="AA1756" t="s">
        <v>97</v>
      </c>
    </row>
    <row r="1757" spans="1:29" x14ac:dyDescent="0.2">
      <c r="A1757" t="s">
        <v>92</v>
      </c>
      <c r="B1757" t="s">
        <v>3268</v>
      </c>
      <c r="C1757" t="s">
        <v>3392</v>
      </c>
      <c r="D1757" t="s">
        <v>3393</v>
      </c>
      <c r="E1757" t="s">
        <v>228</v>
      </c>
      <c r="M1757">
        <v>0</v>
      </c>
      <c r="T1757" t="s">
        <v>97</v>
      </c>
      <c r="AA1757" t="s">
        <v>97</v>
      </c>
    </row>
    <row r="1758" spans="1:29" x14ac:dyDescent="0.2">
      <c r="A1758" t="s">
        <v>92</v>
      </c>
      <c r="B1758" t="s">
        <v>3268</v>
      </c>
      <c r="C1758" t="s">
        <v>3394</v>
      </c>
      <c r="D1758" t="s">
        <v>3395</v>
      </c>
      <c r="E1758" t="s">
        <v>228</v>
      </c>
      <c r="M1758">
        <v>0</v>
      </c>
      <c r="T1758" t="s">
        <v>97</v>
      </c>
      <c r="AA1758" t="s">
        <v>97</v>
      </c>
    </row>
    <row r="1759" spans="1:29" x14ac:dyDescent="0.2">
      <c r="A1759" t="s">
        <v>92</v>
      </c>
      <c r="B1759" t="s">
        <v>3396</v>
      </c>
      <c r="C1759" t="s">
        <v>3403</v>
      </c>
      <c r="D1759" t="s">
        <v>3404</v>
      </c>
      <c r="E1759" t="s">
        <v>96</v>
      </c>
      <c r="F1759">
        <v>19.989999999999998</v>
      </c>
      <c r="T1759" t="s">
        <v>97</v>
      </c>
      <c r="AA1759" t="s">
        <v>97</v>
      </c>
    </row>
    <row r="1760" spans="1:29" x14ac:dyDescent="0.2">
      <c r="A1760" t="s">
        <v>92</v>
      </c>
      <c r="B1760" t="s">
        <v>3396</v>
      </c>
      <c r="C1760" t="s">
        <v>3405</v>
      </c>
      <c r="D1760" t="s">
        <v>3406</v>
      </c>
      <c r="E1760" t="s">
        <v>96</v>
      </c>
      <c r="F1760">
        <v>659.99</v>
      </c>
      <c r="G1760">
        <v>527.99</v>
      </c>
      <c r="H1760">
        <v>431.99</v>
      </c>
      <c r="I1760">
        <v>479.99</v>
      </c>
      <c r="K1760">
        <v>431.99</v>
      </c>
      <c r="L1760">
        <v>569.99</v>
      </c>
      <c r="M1760">
        <v>599.99</v>
      </c>
      <c r="Q1760">
        <v>539.99</v>
      </c>
      <c r="T1760" t="s">
        <v>97</v>
      </c>
      <c r="AA1760" t="s">
        <v>97</v>
      </c>
    </row>
    <row r="1761" spans="1:27" x14ac:dyDescent="0.2">
      <c r="A1761" t="s">
        <v>92</v>
      </c>
      <c r="B1761" t="s">
        <v>3396</v>
      </c>
      <c r="C1761" t="s">
        <v>3411</v>
      </c>
      <c r="D1761" t="s">
        <v>3412</v>
      </c>
      <c r="E1761" t="s">
        <v>96</v>
      </c>
      <c r="F1761">
        <v>599.99</v>
      </c>
      <c r="G1761">
        <v>479.99</v>
      </c>
      <c r="H1761">
        <v>392.72</v>
      </c>
      <c r="I1761">
        <v>436.36</v>
      </c>
      <c r="J1761">
        <v>495.86</v>
      </c>
      <c r="K1761">
        <v>392.72</v>
      </c>
      <c r="L1761">
        <v>518.16999999999996</v>
      </c>
      <c r="M1761">
        <v>518.16999999999996</v>
      </c>
      <c r="O1761">
        <v>490.9</v>
      </c>
      <c r="Q1761">
        <v>490.9</v>
      </c>
      <c r="T1761" t="s">
        <v>97</v>
      </c>
      <c r="V1761">
        <v>490.9</v>
      </c>
      <c r="W1761">
        <v>490.9</v>
      </c>
      <c r="X1761">
        <v>490.9</v>
      </c>
      <c r="Y1761">
        <v>490.9</v>
      </c>
      <c r="Z1761">
        <v>599.99</v>
      </c>
      <c r="AA1761" t="s">
        <v>97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C945-8AF5-477E-AAAB-837E310E5A4F}">
  <dimension ref="A1:G3278"/>
  <sheetViews>
    <sheetView workbookViewId="0">
      <selection activeCell="B10" sqref="B10"/>
    </sheetView>
  </sheetViews>
  <sheetFormatPr baseColWidth="10" defaultColWidth="8.83203125" defaultRowHeight="16" x14ac:dyDescent="0.2"/>
  <cols>
    <col min="1" max="1" width="22.83203125" bestFit="1" customWidth="1"/>
    <col min="2" max="2" width="80.6640625" bestFit="1" customWidth="1"/>
    <col min="3" max="3" width="16.6640625" bestFit="1" customWidth="1"/>
    <col min="4" max="4" width="18.83203125" bestFit="1" customWidth="1"/>
    <col min="5" max="5" width="17.5" bestFit="1" customWidth="1"/>
    <col min="6" max="6" width="12.33203125" bestFit="1" customWidth="1"/>
    <col min="7" max="7" width="6.5" bestFit="1" customWidth="1"/>
    <col min="8" max="8" width="18" bestFit="1" customWidth="1"/>
    <col min="9" max="11" width="12.6640625" bestFit="1" customWidth="1"/>
    <col min="12" max="12" width="11.6640625" bestFit="1" customWidth="1"/>
  </cols>
  <sheetData>
    <row r="1" spans="1:7" x14ac:dyDescent="0.2">
      <c r="A1" t="s">
        <v>6</v>
      </c>
      <c r="B1" t="s">
        <v>77</v>
      </c>
      <c r="C1" t="s">
        <v>3</v>
      </c>
      <c r="D1" t="s">
        <v>3417</v>
      </c>
      <c r="E1" t="s">
        <v>17</v>
      </c>
      <c r="F1" t="s">
        <v>3418</v>
      </c>
      <c r="G1" t="s">
        <v>3419</v>
      </c>
    </row>
    <row r="2" spans="1:7" x14ac:dyDescent="0.2">
      <c r="A2" t="s">
        <v>3420</v>
      </c>
      <c r="B2" t="s">
        <v>3421</v>
      </c>
      <c r="C2" t="s">
        <v>297</v>
      </c>
      <c r="D2" t="s">
        <v>11</v>
      </c>
      <c r="E2" t="s">
        <v>3422</v>
      </c>
    </row>
    <row r="3" spans="1:7" x14ac:dyDescent="0.2">
      <c r="A3" t="s">
        <v>3423</v>
      </c>
      <c r="B3" t="s">
        <v>3424</v>
      </c>
      <c r="C3" t="s">
        <v>297</v>
      </c>
      <c r="D3" t="s">
        <v>11</v>
      </c>
      <c r="E3" t="s">
        <v>3425</v>
      </c>
    </row>
    <row r="4" spans="1:7" x14ac:dyDescent="0.2">
      <c r="A4" t="s">
        <v>3426</v>
      </c>
      <c r="B4" t="s">
        <v>3427</v>
      </c>
      <c r="C4" t="s">
        <v>297</v>
      </c>
      <c r="D4" t="s">
        <v>11</v>
      </c>
      <c r="E4" t="s">
        <v>3428</v>
      </c>
    </row>
    <row r="5" spans="1:7" x14ac:dyDescent="0.2">
      <c r="A5" t="s">
        <v>3429</v>
      </c>
      <c r="B5" t="s">
        <v>3430</v>
      </c>
      <c r="C5" t="s">
        <v>297</v>
      </c>
      <c r="D5" t="s">
        <v>11</v>
      </c>
      <c r="E5" t="s">
        <v>3431</v>
      </c>
    </row>
    <row r="6" spans="1:7" x14ac:dyDescent="0.2">
      <c r="A6" t="s">
        <v>298</v>
      </c>
      <c r="B6" t="s">
        <v>299</v>
      </c>
      <c r="C6" t="s">
        <v>297</v>
      </c>
      <c r="D6" t="s">
        <v>11</v>
      </c>
      <c r="E6" t="s">
        <v>3432</v>
      </c>
    </row>
    <row r="7" spans="1:7" x14ac:dyDescent="0.2">
      <c r="A7" t="s">
        <v>298</v>
      </c>
      <c r="B7" t="s">
        <v>299</v>
      </c>
      <c r="C7" t="s">
        <v>297</v>
      </c>
      <c r="D7" t="s">
        <v>14</v>
      </c>
    </row>
    <row r="8" spans="1:7" x14ac:dyDescent="0.2">
      <c r="A8" t="s">
        <v>3433</v>
      </c>
      <c r="B8" t="s">
        <v>3434</v>
      </c>
      <c r="C8" t="s">
        <v>297</v>
      </c>
      <c r="D8" t="s">
        <v>11</v>
      </c>
      <c r="E8" t="s">
        <v>3435</v>
      </c>
    </row>
    <row r="9" spans="1:7" x14ac:dyDescent="0.2">
      <c r="A9" t="s">
        <v>3436</v>
      </c>
      <c r="B9" t="s">
        <v>3437</v>
      </c>
      <c r="C9" t="s">
        <v>297</v>
      </c>
      <c r="D9" t="s">
        <v>11</v>
      </c>
      <c r="E9" t="s">
        <v>3438</v>
      </c>
    </row>
    <row r="10" spans="1:7" x14ac:dyDescent="0.2">
      <c r="A10" t="s">
        <v>300</v>
      </c>
      <c r="B10" t="s">
        <v>301</v>
      </c>
      <c r="C10" t="s">
        <v>297</v>
      </c>
      <c r="D10" t="s">
        <v>11</v>
      </c>
      <c r="E10" t="s">
        <v>3439</v>
      </c>
    </row>
    <row r="11" spans="1:7" x14ac:dyDescent="0.2">
      <c r="A11" t="s">
        <v>3440</v>
      </c>
      <c r="B11" t="s">
        <v>3441</v>
      </c>
      <c r="C11" t="s">
        <v>297</v>
      </c>
      <c r="D11" t="s">
        <v>11</v>
      </c>
      <c r="E11" t="s">
        <v>3442</v>
      </c>
    </row>
    <row r="12" spans="1:7" x14ac:dyDescent="0.2">
      <c r="A12" t="s">
        <v>2017</v>
      </c>
      <c r="B12" t="s">
        <v>2018</v>
      </c>
      <c r="C12" t="s">
        <v>1980</v>
      </c>
      <c r="D12" t="s">
        <v>11</v>
      </c>
      <c r="E12" t="s">
        <v>8498</v>
      </c>
    </row>
    <row r="13" spans="1:7" x14ac:dyDescent="0.2">
      <c r="A13" t="s">
        <v>2084</v>
      </c>
      <c r="B13" t="s">
        <v>2085</v>
      </c>
      <c r="C13" t="s">
        <v>1980</v>
      </c>
      <c r="D13" t="s">
        <v>14</v>
      </c>
      <c r="E13" t="s">
        <v>3443</v>
      </c>
      <c r="F13">
        <v>-8</v>
      </c>
      <c r="G13">
        <v>15</v>
      </c>
    </row>
    <row r="14" spans="1:7" x14ac:dyDescent="0.2">
      <c r="A14" t="s">
        <v>2084</v>
      </c>
      <c r="B14" t="s">
        <v>2085</v>
      </c>
      <c r="C14" t="s">
        <v>1980</v>
      </c>
      <c r="D14" t="s">
        <v>10</v>
      </c>
      <c r="E14" t="s">
        <v>3444</v>
      </c>
      <c r="F14">
        <v>-4.333333333333333</v>
      </c>
      <c r="G14">
        <v>83</v>
      </c>
    </row>
    <row r="15" spans="1:7" x14ac:dyDescent="0.2">
      <c r="A15" t="s">
        <v>2078</v>
      </c>
      <c r="B15" t="s">
        <v>2079</v>
      </c>
      <c r="C15" t="s">
        <v>1980</v>
      </c>
      <c r="D15" t="s">
        <v>11</v>
      </c>
      <c r="E15" t="s">
        <v>8499</v>
      </c>
      <c r="F15">
        <v>3.6666666666666665</v>
      </c>
      <c r="G15">
        <v>0</v>
      </c>
    </row>
    <row r="16" spans="1:7" x14ac:dyDescent="0.2">
      <c r="A16" t="s">
        <v>2078</v>
      </c>
      <c r="B16" t="s">
        <v>2079</v>
      </c>
      <c r="C16" t="s">
        <v>1980</v>
      </c>
      <c r="D16" t="s">
        <v>14</v>
      </c>
      <c r="E16" t="s">
        <v>3445</v>
      </c>
      <c r="F16">
        <v>77.5</v>
      </c>
      <c r="G16">
        <v>23</v>
      </c>
    </row>
    <row r="17" spans="1:7" x14ac:dyDescent="0.2">
      <c r="A17" t="s">
        <v>2078</v>
      </c>
      <c r="B17" t="s">
        <v>2079</v>
      </c>
      <c r="C17" t="s">
        <v>1980</v>
      </c>
      <c r="D17" t="s">
        <v>10</v>
      </c>
      <c r="E17" t="s">
        <v>3446</v>
      </c>
      <c r="F17">
        <v>22.833333333333332</v>
      </c>
      <c r="G17">
        <v>48</v>
      </c>
    </row>
    <row r="18" spans="1:7" x14ac:dyDescent="0.2">
      <c r="A18" t="s">
        <v>2086</v>
      </c>
      <c r="B18" t="s">
        <v>2087</v>
      </c>
      <c r="C18" t="s">
        <v>1980</v>
      </c>
      <c r="D18" t="s">
        <v>14</v>
      </c>
      <c r="E18" t="s">
        <v>3447</v>
      </c>
      <c r="F18">
        <v>44.5</v>
      </c>
      <c r="G18">
        <v>1547</v>
      </c>
    </row>
    <row r="19" spans="1:7" x14ac:dyDescent="0.2">
      <c r="A19" t="s">
        <v>2086</v>
      </c>
      <c r="B19" t="s">
        <v>2087</v>
      </c>
      <c r="C19" t="s">
        <v>1980</v>
      </c>
      <c r="D19" t="s">
        <v>10</v>
      </c>
      <c r="E19" t="s">
        <v>3448</v>
      </c>
      <c r="F19">
        <v>24.833333333333332</v>
      </c>
      <c r="G19">
        <v>485</v>
      </c>
    </row>
    <row r="20" spans="1:7" x14ac:dyDescent="0.2">
      <c r="A20" t="s">
        <v>2086</v>
      </c>
      <c r="B20" t="s">
        <v>2087</v>
      </c>
      <c r="C20" t="s">
        <v>1980</v>
      </c>
      <c r="D20" t="s">
        <v>12</v>
      </c>
      <c r="F20">
        <v>8</v>
      </c>
      <c r="G20">
        <v>437</v>
      </c>
    </row>
    <row r="21" spans="1:7" x14ac:dyDescent="0.2">
      <c r="A21" t="s">
        <v>8402</v>
      </c>
      <c r="B21" t="s">
        <v>8403</v>
      </c>
      <c r="C21" t="s">
        <v>1980</v>
      </c>
      <c r="D21" t="s">
        <v>14</v>
      </c>
      <c r="E21" t="s">
        <v>8935</v>
      </c>
      <c r="F21">
        <v>19.166666666666668</v>
      </c>
      <c r="G21">
        <v>992</v>
      </c>
    </row>
    <row r="22" spans="1:7" x14ac:dyDescent="0.2">
      <c r="A22" t="s">
        <v>8400</v>
      </c>
      <c r="B22" t="s">
        <v>8401</v>
      </c>
      <c r="C22" t="s">
        <v>1980</v>
      </c>
      <c r="D22" t="s">
        <v>10</v>
      </c>
      <c r="E22" t="s">
        <v>8936</v>
      </c>
      <c r="F22">
        <v>1.1666666666666667</v>
      </c>
      <c r="G22">
        <v>378</v>
      </c>
    </row>
    <row r="23" spans="1:7" x14ac:dyDescent="0.2">
      <c r="A23" t="s">
        <v>8400</v>
      </c>
      <c r="B23" t="s">
        <v>8401</v>
      </c>
      <c r="C23" t="s">
        <v>1980</v>
      </c>
      <c r="D23" t="s">
        <v>12</v>
      </c>
      <c r="F23">
        <v>2.8333333333333335</v>
      </c>
      <c r="G23">
        <v>571</v>
      </c>
    </row>
    <row r="24" spans="1:7" x14ac:dyDescent="0.2">
      <c r="A24" t="s">
        <v>8404</v>
      </c>
      <c r="B24" t="s">
        <v>8405</v>
      </c>
      <c r="C24" t="s">
        <v>1980</v>
      </c>
      <c r="D24" t="s">
        <v>14</v>
      </c>
      <c r="E24" t="s">
        <v>8937</v>
      </c>
      <c r="F24">
        <v>14.166666666666666</v>
      </c>
      <c r="G24">
        <v>528</v>
      </c>
    </row>
    <row r="25" spans="1:7" x14ac:dyDescent="0.2">
      <c r="A25" t="s">
        <v>8396</v>
      </c>
      <c r="B25" t="s">
        <v>8397</v>
      </c>
      <c r="C25" t="s">
        <v>1980</v>
      </c>
      <c r="D25" t="s">
        <v>10</v>
      </c>
      <c r="E25" t="s">
        <v>8938</v>
      </c>
      <c r="F25">
        <v>1.8333333333333333</v>
      </c>
      <c r="G25">
        <v>546</v>
      </c>
    </row>
    <row r="26" spans="1:7" x14ac:dyDescent="0.2">
      <c r="A26" t="s">
        <v>2049</v>
      </c>
      <c r="B26" t="s">
        <v>2050</v>
      </c>
      <c r="C26" t="s">
        <v>1980</v>
      </c>
      <c r="D26" t="s">
        <v>10</v>
      </c>
      <c r="E26" t="s">
        <v>3450</v>
      </c>
      <c r="F26">
        <v>57.166666666666664</v>
      </c>
      <c r="G26">
        <v>123</v>
      </c>
    </row>
    <row r="27" spans="1:7" x14ac:dyDescent="0.2">
      <c r="A27" t="s">
        <v>2051</v>
      </c>
      <c r="B27" t="s">
        <v>2052</v>
      </c>
      <c r="C27" t="s">
        <v>1980</v>
      </c>
      <c r="D27" t="s">
        <v>14</v>
      </c>
      <c r="E27" t="s">
        <v>3449</v>
      </c>
      <c r="F27">
        <v>1.1666666666666667</v>
      </c>
      <c r="G27">
        <v>-1</v>
      </c>
    </row>
    <row r="28" spans="1:7" x14ac:dyDescent="0.2">
      <c r="A28" t="s">
        <v>2008</v>
      </c>
      <c r="B28" t="s">
        <v>2009</v>
      </c>
      <c r="C28" t="s">
        <v>1980</v>
      </c>
      <c r="D28" t="s">
        <v>11</v>
      </c>
      <c r="E28" t="s">
        <v>8500</v>
      </c>
      <c r="F28">
        <v>0.66666666666666663</v>
      </c>
      <c r="G28">
        <v>20</v>
      </c>
    </row>
    <row r="29" spans="1:7" x14ac:dyDescent="0.2">
      <c r="A29" t="s">
        <v>2008</v>
      </c>
      <c r="B29" t="s">
        <v>2009</v>
      </c>
      <c r="C29" t="s">
        <v>1980</v>
      </c>
      <c r="D29" t="s">
        <v>12</v>
      </c>
      <c r="F29">
        <v>44.333333333333336</v>
      </c>
      <c r="G29">
        <v>447</v>
      </c>
    </row>
    <row r="30" spans="1:7" x14ac:dyDescent="0.2">
      <c r="A30" t="s">
        <v>2040</v>
      </c>
      <c r="B30" t="s">
        <v>2041</v>
      </c>
      <c r="C30" t="s">
        <v>1980</v>
      </c>
      <c r="D30" t="s">
        <v>14</v>
      </c>
      <c r="E30" t="s">
        <v>3451</v>
      </c>
      <c r="F30">
        <v>10.333333333333334</v>
      </c>
      <c r="G30">
        <v>164</v>
      </c>
    </row>
    <row r="31" spans="1:7" x14ac:dyDescent="0.2">
      <c r="A31" t="s">
        <v>2069</v>
      </c>
      <c r="B31" t="s">
        <v>2070</v>
      </c>
      <c r="C31" t="s">
        <v>1980</v>
      </c>
      <c r="D31" t="s">
        <v>11</v>
      </c>
      <c r="E31" t="s">
        <v>8501</v>
      </c>
    </row>
    <row r="32" spans="1:7" x14ac:dyDescent="0.2">
      <c r="A32" t="s">
        <v>2071</v>
      </c>
      <c r="B32" t="s">
        <v>2072</v>
      </c>
      <c r="C32" t="s">
        <v>1980</v>
      </c>
      <c r="D32" t="s">
        <v>14</v>
      </c>
      <c r="E32" t="s">
        <v>3452</v>
      </c>
      <c r="F32">
        <v>4.666666666666667</v>
      </c>
      <c r="G32">
        <v>384</v>
      </c>
    </row>
    <row r="33" spans="1:7" x14ac:dyDescent="0.2">
      <c r="A33" t="s">
        <v>2067</v>
      </c>
      <c r="B33" t="s">
        <v>2068</v>
      </c>
      <c r="C33" t="s">
        <v>1980</v>
      </c>
      <c r="D33" t="s">
        <v>11</v>
      </c>
      <c r="E33" t="s">
        <v>8502</v>
      </c>
      <c r="F33">
        <v>0.66666666666666663</v>
      </c>
      <c r="G33">
        <v>5</v>
      </c>
    </row>
    <row r="34" spans="1:7" x14ac:dyDescent="0.2">
      <c r="A34" t="s">
        <v>2013</v>
      </c>
      <c r="B34" t="s">
        <v>2014</v>
      </c>
      <c r="C34" t="s">
        <v>1980</v>
      </c>
      <c r="D34" t="s">
        <v>11</v>
      </c>
      <c r="E34" t="s">
        <v>8503</v>
      </c>
      <c r="F34">
        <v>12.833333333333334</v>
      </c>
      <c r="G34">
        <v>18</v>
      </c>
    </row>
    <row r="35" spans="1:7" x14ac:dyDescent="0.2">
      <c r="A35" t="s">
        <v>2038</v>
      </c>
      <c r="B35" t="s">
        <v>2039</v>
      </c>
      <c r="C35" t="s">
        <v>1980</v>
      </c>
      <c r="D35" t="s">
        <v>14</v>
      </c>
      <c r="E35" t="s">
        <v>3453</v>
      </c>
      <c r="F35">
        <v>6.5</v>
      </c>
      <c r="G35">
        <v>412</v>
      </c>
    </row>
    <row r="36" spans="1:7" x14ac:dyDescent="0.2">
      <c r="A36" t="s">
        <v>2036</v>
      </c>
      <c r="B36" t="s">
        <v>2037</v>
      </c>
      <c r="C36" t="s">
        <v>1980</v>
      </c>
      <c r="D36" t="s">
        <v>14</v>
      </c>
      <c r="E36" t="s">
        <v>3454</v>
      </c>
      <c r="F36">
        <v>8.8333333333333339</v>
      </c>
      <c r="G36">
        <v>175</v>
      </c>
    </row>
    <row r="37" spans="1:7" x14ac:dyDescent="0.2">
      <c r="A37" t="s">
        <v>2056</v>
      </c>
      <c r="B37" t="s">
        <v>2057</v>
      </c>
      <c r="C37" t="s">
        <v>1980</v>
      </c>
      <c r="D37" t="s">
        <v>11</v>
      </c>
      <c r="E37" t="s">
        <v>8504</v>
      </c>
    </row>
    <row r="38" spans="1:7" x14ac:dyDescent="0.2">
      <c r="A38" t="s">
        <v>2056</v>
      </c>
      <c r="B38" t="s">
        <v>2057</v>
      </c>
      <c r="C38" t="s">
        <v>1980</v>
      </c>
      <c r="D38" t="s">
        <v>14</v>
      </c>
      <c r="E38" t="s">
        <v>8505</v>
      </c>
      <c r="F38">
        <v>4.833333333333333</v>
      </c>
      <c r="G38">
        <v>226</v>
      </c>
    </row>
    <row r="39" spans="1:7" x14ac:dyDescent="0.2">
      <c r="A39" t="s">
        <v>2056</v>
      </c>
      <c r="B39" t="s">
        <v>2057</v>
      </c>
      <c r="C39" t="s">
        <v>1980</v>
      </c>
      <c r="D39" t="s">
        <v>10</v>
      </c>
      <c r="E39" t="s">
        <v>8506</v>
      </c>
      <c r="F39">
        <v>1</v>
      </c>
      <c r="G39">
        <v>3</v>
      </c>
    </row>
    <row r="40" spans="1:7" x14ac:dyDescent="0.2">
      <c r="A40" t="s">
        <v>2058</v>
      </c>
      <c r="B40" t="s">
        <v>2059</v>
      </c>
      <c r="C40" t="s">
        <v>1980</v>
      </c>
      <c r="D40" t="s">
        <v>11</v>
      </c>
      <c r="E40" t="s">
        <v>8507</v>
      </c>
    </row>
    <row r="41" spans="1:7" x14ac:dyDescent="0.2">
      <c r="A41" t="s">
        <v>2058</v>
      </c>
      <c r="B41" t="s">
        <v>2059</v>
      </c>
      <c r="C41" t="s">
        <v>1980</v>
      </c>
      <c r="D41" t="s">
        <v>14</v>
      </c>
      <c r="E41" t="s">
        <v>8508</v>
      </c>
      <c r="F41">
        <v>1.5</v>
      </c>
      <c r="G41">
        <v>1</v>
      </c>
    </row>
    <row r="42" spans="1:7" x14ac:dyDescent="0.2">
      <c r="A42" t="s">
        <v>2058</v>
      </c>
      <c r="B42" t="s">
        <v>2059</v>
      </c>
      <c r="C42" t="s">
        <v>1980</v>
      </c>
      <c r="D42" t="s">
        <v>10</v>
      </c>
      <c r="E42" t="s">
        <v>8509</v>
      </c>
    </row>
    <row r="43" spans="1:7" x14ac:dyDescent="0.2">
      <c r="A43" t="s">
        <v>8376</v>
      </c>
      <c r="B43" t="s">
        <v>8377</v>
      </c>
      <c r="C43" t="s">
        <v>1980</v>
      </c>
      <c r="D43" t="s">
        <v>14</v>
      </c>
      <c r="E43" t="s">
        <v>8939</v>
      </c>
      <c r="F43">
        <v>3.1666666666666665</v>
      </c>
      <c r="G43">
        <v>342</v>
      </c>
    </row>
    <row r="44" spans="1:7" x14ac:dyDescent="0.2">
      <c r="A44" t="s">
        <v>2023</v>
      </c>
      <c r="B44" t="s">
        <v>2024</v>
      </c>
      <c r="C44" t="s">
        <v>1980</v>
      </c>
      <c r="D44" t="s">
        <v>14</v>
      </c>
      <c r="E44" t="s">
        <v>3455</v>
      </c>
      <c r="F44">
        <v>7.333333333333333</v>
      </c>
      <c r="G44">
        <v>161</v>
      </c>
    </row>
    <row r="45" spans="1:7" x14ac:dyDescent="0.2">
      <c r="A45" t="s">
        <v>2082</v>
      </c>
      <c r="B45" t="s">
        <v>2083</v>
      </c>
      <c r="C45" t="s">
        <v>1980</v>
      </c>
      <c r="D45" t="s">
        <v>11</v>
      </c>
      <c r="E45" t="s">
        <v>8510</v>
      </c>
      <c r="F45">
        <v>1.6666666666666667</v>
      </c>
      <c r="G45">
        <v>9</v>
      </c>
    </row>
    <row r="46" spans="1:7" x14ac:dyDescent="0.2">
      <c r="A46" t="s">
        <v>2082</v>
      </c>
      <c r="B46" t="s">
        <v>2083</v>
      </c>
      <c r="C46" t="s">
        <v>1980</v>
      </c>
      <c r="D46" t="s">
        <v>14</v>
      </c>
      <c r="E46" t="s">
        <v>3456</v>
      </c>
      <c r="F46">
        <v>23</v>
      </c>
      <c r="G46">
        <v>216</v>
      </c>
    </row>
    <row r="47" spans="1:7" x14ac:dyDescent="0.2">
      <c r="A47" t="s">
        <v>2082</v>
      </c>
      <c r="B47" t="s">
        <v>2083</v>
      </c>
      <c r="C47" t="s">
        <v>1980</v>
      </c>
      <c r="D47" t="s">
        <v>10</v>
      </c>
      <c r="E47" t="s">
        <v>3457</v>
      </c>
      <c r="F47">
        <v>10.166666666666666</v>
      </c>
      <c r="G47">
        <v>134</v>
      </c>
    </row>
    <row r="48" spans="1:7" x14ac:dyDescent="0.2">
      <c r="A48" t="s">
        <v>438</v>
      </c>
      <c r="B48" t="s">
        <v>439</v>
      </c>
      <c r="C48" t="s">
        <v>433</v>
      </c>
      <c r="D48" t="s">
        <v>11</v>
      </c>
      <c r="E48" t="s">
        <v>3458</v>
      </c>
    </row>
    <row r="49" spans="1:5" x14ac:dyDescent="0.2">
      <c r="A49" t="s">
        <v>434</v>
      </c>
      <c r="B49" t="s">
        <v>435</v>
      </c>
      <c r="C49" t="s">
        <v>433</v>
      </c>
      <c r="D49" t="s">
        <v>11</v>
      </c>
      <c r="E49" t="s">
        <v>3459</v>
      </c>
    </row>
    <row r="50" spans="1:5" x14ac:dyDescent="0.2">
      <c r="A50" t="s">
        <v>442</v>
      </c>
      <c r="B50" t="s">
        <v>443</v>
      </c>
      <c r="C50" t="s">
        <v>433</v>
      </c>
      <c r="D50" t="s">
        <v>11</v>
      </c>
      <c r="E50" t="s">
        <v>3460</v>
      </c>
    </row>
    <row r="51" spans="1:5" x14ac:dyDescent="0.2">
      <c r="A51" t="s">
        <v>440</v>
      </c>
      <c r="B51" t="s">
        <v>441</v>
      </c>
      <c r="C51" t="s">
        <v>433</v>
      </c>
      <c r="D51" t="s">
        <v>11</v>
      </c>
      <c r="E51" t="s">
        <v>3461</v>
      </c>
    </row>
    <row r="52" spans="1:5" x14ac:dyDescent="0.2">
      <c r="A52" t="s">
        <v>436</v>
      </c>
      <c r="B52" t="s">
        <v>437</v>
      </c>
      <c r="C52" t="s">
        <v>433</v>
      </c>
      <c r="D52" t="s">
        <v>11</v>
      </c>
      <c r="E52" t="s">
        <v>3462</v>
      </c>
    </row>
    <row r="53" spans="1:5" x14ac:dyDescent="0.2">
      <c r="A53" t="s">
        <v>444</v>
      </c>
      <c r="B53" t="s">
        <v>445</v>
      </c>
      <c r="C53" t="s">
        <v>433</v>
      </c>
      <c r="D53" t="s">
        <v>11</v>
      </c>
      <c r="E53" t="s">
        <v>3463</v>
      </c>
    </row>
    <row r="54" spans="1:5" x14ac:dyDescent="0.2">
      <c r="A54" t="s">
        <v>3464</v>
      </c>
      <c r="B54" t="s">
        <v>3465</v>
      </c>
      <c r="C54" t="s">
        <v>2403</v>
      </c>
      <c r="D54" t="s">
        <v>11</v>
      </c>
      <c r="E54" t="s">
        <v>3466</v>
      </c>
    </row>
    <row r="55" spans="1:5" x14ac:dyDescent="0.2">
      <c r="A55" t="s">
        <v>3464</v>
      </c>
      <c r="B55" t="s">
        <v>3465</v>
      </c>
      <c r="C55" t="s">
        <v>2403</v>
      </c>
      <c r="D55" t="s">
        <v>14</v>
      </c>
    </row>
    <row r="56" spans="1:5" x14ac:dyDescent="0.2">
      <c r="A56" t="s">
        <v>1868</v>
      </c>
      <c r="B56" t="s">
        <v>1869</v>
      </c>
      <c r="C56" t="s">
        <v>1863</v>
      </c>
      <c r="D56" t="s">
        <v>10</v>
      </c>
      <c r="E56" t="s">
        <v>3467</v>
      </c>
    </row>
    <row r="57" spans="1:5" x14ac:dyDescent="0.2">
      <c r="A57" t="s">
        <v>1868</v>
      </c>
      <c r="B57" t="s">
        <v>1869</v>
      </c>
      <c r="C57" t="s">
        <v>1863</v>
      </c>
      <c r="D57" t="s">
        <v>8</v>
      </c>
      <c r="E57" t="s">
        <v>3468</v>
      </c>
    </row>
    <row r="58" spans="1:5" x14ac:dyDescent="0.2">
      <c r="A58" t="s">
        <v>1868</v>
      </c>
      <c r="B58" t="s">
        <v>1869</v>
      </c>
      <c r="C58" t="s">
        <v>1863</v>
      </c>
      <c r="D58" t="s">
        <v>3469</v>
      </c>
    </row>
    <row r="59" spans="1:5" x14ac:dyDescent="0.2">
      <c r="A59" t="s">
        <v>1870</v>
      </c>
      <c r="B59" t="s">
        <v>1871</v>
      </c>
      <c r="C59" t="s">
        <v>1863</v>
      </c>
      <c r="D59" t="s">
        <v>10</v>
      </c>
      <c r="E59" t="s">
        <v>3470</v>
      </c>
    </row>
    <row r="60" spans="1:5" x14ac:dyDescent="0.2">
      <c r="A60" t="s">
        <v>1870</v>
      </c>
      <c r="B60" t="s">
        <v>1871</v>
      </c>
      <c r="C60" t="s">
        <v>1863</v>
      </c>
      <c r="D60" t="s">
        <v>3471</v>
      </c>
      <c r="E60" t="s">
        <v>3472</v>
      </c>
    </row>
    <row r="61" spans="1:5" x14ac:dyDescent="0.2">
      <c r="A61" t="s">
        <v>1870</v>
      </c>
      <c r="B61" t="s">
        <v>1871</v>
      </c>
      <c r="C61" t="s">
        <v>1863</v>
      </c>
      <c r="D61" t="s">
        <v>8</v>
      </c>
      <c r="E61" t="s">
        <v>3473</v>
      </c>
    </row>
    <row r="62" spans="1:5" x14ac:dyDescent="0.2">
      <c r="A62" t="s">
        <v>1870</v>
      </c>
      <c r="B62" t="s">
        <v>1871</v>
      </c>
      <c r="C62" t="s">
        <v>1863</v>
      </c>
      <c r="D62" t="s">
        <v>3469</v>
      </c>
    </row>
    <row r="63" spans="1:5" x14ac:dyDescent="0.2">
      <c r="A63" t="s">
        <v>1876</v>
      </c>
      <c r="B63" t="s">
        <v>1877</v>
      </c>
      <c r="C63" t="s">
        <v>1863</v>
      </c>
      <c r="D63" t="s">
        <v>10</v>
      </c>
      <c r="E63" t="s">
        <v>3474</v>
      </c>
    </row>
    <row r="64" spans="1:5" x14ac:dyDescent="0.2">
      <c r="A64" t="s">
        <v>1876</v>
      </c>
      <c r="B64" t="s">
        <v>1877</v>
      </c>
      <c r="C64" t="s">
        <v>1863</v>
      </c>
      <c r="D64" t="s">
        <v>8</v>
      </c>
      <c r="E64" t="s">
        <v>3475</v>
      </c>
    </row>
    <row r="65" spans="1:5" x14ac:dyDescent="0.2">
      <c r="A65" t="s">
        <v>1876</v>
      </c>
      <c r="B65" t="s">
        <v>1877</v>
      </c>
      <c r="C65" t="s">
        <v>1863</v>
      </c>
      <c r="D65" t="s">
        <v>3469</v>
      </c>
    </row>
    <row r="66" spans="1:5" x14ac:dyDescent="0.2">
      <c r="A66" t="s">
        <v>1874</v>
      </c>
      <c r="B66" t="s">
        <v>1875</v>
      </c>
      <c r="C66" t="s">
        <v>1863</v>
      </c>
      <c r="D66" t="s">
        <v>10</v>
      </c>
      <c r="E66" t="s">
        <v>3476</v>
      </c>
    </row>
    <row r="67" spans="1:5" x14ac:dyDescent="0.2">
      <c r="A67" t="s">
        <v>1874</v>
      </c>
      <c r="B67" t="s">
        <v>1875</v>
      </c>
      <c r="C67" t="s">
        <v>1863</v>
      </c>
      <c r="D67" t="s">
        <v>3471</v>
      </c>
      <c r="E67" t="s">
        <v>3477</v>
      </c>
    </row>
    <row r="68" spans="1:5" x14ac:dyDescent="0.2">
      <c r="A68" t="s">
        <v>1874</v>
      </c>
      <c r="B68" t="s">
        <v>1875</v>
      </c>
      <c r="C68" t="s">
        <v>1863</v>
      </c>
      <c r="D68" t="s">
        <v>8</v>
      </c>
      <c r="E68" t="s">
        <v>3478</v>
      </c>
    </row>
    <row r="69" spans="1:5" x14ac:dyDescent="0.2">
      <c r="A69" t="s">
        <v>1874</v>
      </c>
      <c r="B69" t="s">
        <v>1875</v>
      </c>
      <c r="C69" t="s">
        <v>1863</v>
      </c>
      <c r="D69" t="s">
        <v>3469</v>
      </c>
    </row>
    <row r="70" spans="1:5" x14ac:dyDescent="0.2">
      <c r="A70" t="s">
        <v>1872</v>
      </c>
      <c r="B70" t="s">
        <v>1873</v>
      </c>
      <c r="C70" t="s">
        <v>1863</v>
      </c>
      <c r="D70" t="s">
        <v>10</v>
      </c>
      <c r="E70" t="s">
        <v>3479</v>
      </c>
    </row>
    <row r="71" spans="1:5" x14ac:dyDescent="0.2">
      <c r="A71" t="s">
        <v>1872</v>
      </c>
      <c r="B71" t="s">
        <v>1873</v>
      </c>
      <c r="C71" t="s">
        <v>1863</v>
      </c>
      <c r="D71" t="s">
        <v>8</v>
      </c>
      <c r="E71" t="s">
        <v>3480</v>
      </c>
    </row>
    <row r="72" spans="1:5" x14ac:dyDescent="0.2">
      <c r="A72" t="s">
        <v>1872</v>
      </c>
      <c r="B72" t="s">
        <v>1873</v>
      </c>
      <c r="C72" t="s">
        <v>1863</v>
      </c>
      <c r="D72" t="s">
        <v>3469</v>
      </c>
    </row>
    <row r="73" spans="1:5" x14ac:dyDescent="0.2">
      <c r="A73" t="s">
        <v>1882</v>
      </c>
      <c r="B73" t="s">
        <v>1883</v>
      </c>
      <c r="C73" t="s">
        <v>1863</v>
      </c>
      <c r="D73" t="s">
        <v>10</v>
      </c>
      <c r="E73" t="s">
        <v>3481</v>
      </c>
    </row>
    <row r="74" spans="1:5" x14ac:dyDescent="0.2">
      <c r="A74" t="s">
        <v>1882</v>
      </c>
      <c r="B74" t="s">
        <v>1883</v>
      </c>
      <c r="C74" t="s">
        <v>1863</v>
      </c>
      <c r="D74" t="s">
        <v>3471</v>
      </c>
      <c r="E74" t="s">
        <v>3482</v>
      </c>
    </row>
    <row r="75" spans="1:5" x14ac:dyDescent="0.2">
      <c r="A75" t="s">
        <v>1882</v>
      </c>
      <c r="B75" t="s">
        <v>1883</v>
      </c>
      <c r="C75" t="s">
        <v>1863</v>
      </c>
      <c r="D75" t="s">
        <v>8</v>
      </c>
      <c r="E75" t="s">
        <v>3483</v>
      </c>
    </row>
    <row r="76" spans="1:5" x14ac:dyDescent="0.2">
      <c r="A76" t="s">
        <v>1882</v>
      </c>
      <c r="B76" t="s">
        <v>1883</v>
      </c>
      <c r="C76" t="s">
        <v>1863</v>
      </c>
      <c r="D76" t="s">
        <v>3484</v>
      </c>
    </row>
    <row r="77" spans="1:5" x14ac:dyDescent="0.2">
      <c r="A77" t="s">
        <v>1878</v>
      </c>
      <c r="B77" t="s">
        <v>1879</v>
      </c>
      <c r="C77" t="s">
        <v>1863</v>
      </c>
      <c r="D77" t="s">
        <v>8</v>
      </c>
      <c r="E77" t="s">
        <v>3485</v>
      </c>
    </row>
    <row r="78" spans="1:5" x14ac:dyDescent="0.2">
      <c r="A78" t="s">
        <v>1878</v>
      </c>
      <c r="B78" t="s">
        <v>1879</v>
      </c>
      <c r="C78" t="s">
        <v>1863</v>
      </c>
      <c r="D78" t="s">
        <v>3469</v>
      </c>
    </row>
    <row r="79" spans="1:5" x14ac:dyDescent="0.2">
      <c r="A79" t="s">
        <v>1880</v>
      </c>
      <c r="B79" t="s">
        <v>1881</v>
      </c>
      <c r="C79" t="s">
        <v>1863</v>
      </c>
      <c r="D79" t="s">
        <v>11</v>
      </c>
      <c r="E79" t="s">
        <v>3486</v>
      </c>
    </row>
    <row r="80" spans="1:5" x14ac:dyDescent="0.2">
      <c r="A80" t="s">
        <v>1880</v>
      </c>
      <c r="B80" t="s">
        <v>1881</v>
      </c>
      <c r="C80" t="s">
        <v>1863</v>
      </c>
      <c r="D80" t="s">
        <v>3471</v>
      </c>
      <c r="E80" t="s">
        <v>3487</v>
      </c>
    </row>
    <row r="81" spans="1:7" x14ac:dyDescent="0.2">
      <c r="A81" t="s">
        <v>1880</v>
      </c>
      <c r="B81" t="s">
        <v>1881</v>
      </c>
      <c r="C81" t="s">
        <v>1863</v>
      </c>
      <c r="D81" t="s">
        <v>8</v>
      </c>
      <c r="E81" t="s">
        <v>3488</v>
      </c>
    </row>
    <row r="82" spans="1:7" x14ac:dyDescent="0.2">
      <c r="A82" t="s">
        <v>1880</v>
      </c>
      <c r="B82" t="s">
        <v>1881</v>
      </c>
      <c r="C82" t="s">
        <v>1863</v>
      </c>
      <c r="D82" t="s">
        <v>3469</v>
      </c>
    </row>
    <row r="83" spans="1:7" x14ac:dyDescent="0.2">
      <c r="A83" t="s">
        <v>2926</v>
      </c>
      <c r="B83" t="s">
        <v>2927</v>
      </c>
      <c r="C83" t="s">
        <v>2925</v>
      </c>
      <c r="D83" t="s">
        <v>11</v>
      </c>
      <c r="E83" t="s">
        <v>3489</v>
      </c>
    </row>
    <row r="84" spans="1:7" x14ac:dyDescent="0.2">
      <c r="A84" t="s">
        <v>2926</v>
      </c>
      <c r="B84" t="s">
        <v>2927</v>
      </c>
      <c r="C84" t="s">
        <v>2925</v>
      </c>
      <c r="D84" t="s">
        <v>10</v>
      </c>
      <c r="E84" t="s">
        <v>3490</v>
      </c>
    </row>
    <row r="85" spans="1:7" x14ac:dyDescent="0.2">
      <c r="A85" t="s">
        <v>2926</v>
      </c>
      <c r="B85" t="s">
        <v>2927</v>
      </c>
      <c r="C85" t="s">
        <v>2925</v>
      </c>
      <c r="D85" t="s">
        <v>8</v>
      </c>
      <c r="E85" t="s">
        <v>3491</v>
      </c>
    </row>
    <row r="86" spans="1:7" x14ac:dyDescent="0.2">
      <c r="A86" t="s">
        <v>1866</v>
      </c>
      <c r="B86" t="s">
        <v>1867</v>
      </c>
      <c r="C86" t="s">
        <v>1863</v>
      </c>
      <c r="D86" t="s">
        <v>8</v>
      </c>
      <c r="E86" t="s">
        <v>3492</v>
      </c>
    </row>
    <row r="87" spans="1:7" x14ac:dyDescent="0.2">
      <c r="A87" t="s">
        <v>1886</v>
      </c>
      <c r="B87" t="s">
        <v>1887</v>
      </c>
      <c r="C87" t="s">
        <v>1863</v>
      </c>
      <c r="D87" t="s">
        <v>8</v>
      </c>
      <c r="E87" t="s">
        <v>3493</v>
      </c>
    </row>
    <row r="88" spans="1:7" x14ac:dyDescent="0.2">
      <c r="A88" t="s">
        <v>1864</v>
      </c>
      <c r="B88" t="s">
        <v>1865</v>
      </c>
      <c r="C88" t="s">
        <v>1863</v>
      </c>
      <c r="D88" t="s">
        <v>3494</v>
      </c>
    </row>
    <row r="89" spans="1:7" x14ac:dyDescent="0.2">
      <c r="A89" t="s">
        <v>1864</v>
      </c>
      <c r="B89" t="s">
        <v>1865</v>
      </c>
      <c r="C89" t="s">
        <v>1863</v>
      </c>
      <c r="D89" t="s">
        <v>3471</v>
      </c>
      <c r="E89" t="s">
        <v>3495</v>
      </c>
    </row>
    <row r="90" spans="1:7" x14ac:dyDescent="0.2">
      <c r="A90" t="s">
        <v>1864</v>
      </c>
      <c r="B90" t="s">
        <v>1865</v>
      </c>
      <c r="C90" t="s">
        <v>1863</v>
      </c>
      <c r="D90" t="s">
        <v>8</v>
      </c>
      <c r="E90" t="s">
        <v>3496</v>
      </c>
    </row>
    <row r="91" spans="1:7" x14ac:dyDescent="0.2">
      <c r="A91" t="s">
        <v>1864</v>
      </c>
      <c r="B91" t="s">
        <v>1865</v>
      </c>
      <c r="C91" t="s">
        <v>1863</v>
      </c>
      <c r="D91" t="s">
        <v>3469</v>
      </c>
    </row>
    <row r="92" spans="1:7" x14ac:dyDescent="0.2">
      <c r="A92" t="s">
        <v>1998</v>
      </c>
      <c r="B92" t="s">
        <v>8858</v>
      </c>
      <c r="C92" t="s">
        <v>1980</v>
      </c>
      <c r="D92" t="s">
        <v>11</v>
      </c>
      <c r="E92" t="s">
        <v>8511</v>
      </c>
      <c r="F92">
        <v>0.83333333333333337</v>
      </c>
      <c r="G92">
        <v>4</v>
      </c>
    </row>
    <row r="93" spans="1:7" x14ac:dyDescent="0.2">
      <c r="A93" t="s">
        <v>1998</v>
      </c>
      <c r="B93" t="s">
        <v>8858</v>
      </c>
      <c r="C93" t="s">
        <v>1980</v>
      </c>
      <c r="D93" t="s">
        <v>14</v>
      </c>
      <c r="E93" t="s">
        <v>3497</v>
      </c>
      <c r="F93">
        <v>37.833333333333336</v>
      </c>
      <c r="G93">
        <v>676</v>
      </c>
    </row>
    <row r="94" spans="1:7" x14ac:dyDescent="0.2">
      <c r="A94" t="s">
        <v>1998</v>
      </c>
      <c r="B94" t="s">
        <v>8858</v>
      </c>
      <c r="C94" t="s">
        <v>1980</v>
      </c>
      <c r="D94" t="s">
        <v>10</v>
      </c>
      <c r="E94" t="s">
        <v>3498</v>
      </c>
      <c r="F94">
        <v>17.666666666666668</v>
      </c>
      <c r="G94">
        <v>366</v>
      </c>
    </row>
    <row r="95" spans="1:7" x14ac:dyDescent="0.2">
      <c r="A95" t="s">
        <v>1998</v>
      </c>
      <c r="B95" t="s">
        <v>8858</v>
      </c>
      <c r="C95" t="s">
        <v>1980</v>
      </c>
      <c r="D95" t="s">
        <v>12</v>
      </c>
      <c r="F95">
        <v>3.6666666666666665</v>
      </c>
      <c r="G95">
        <v>395</v>
      </c>
    </row>
    <row r="96" spans="1:7" x14ac:dyDescent="0.2">
      <c r="A96" t="s">
        <v>2002</v>
      </c>
      <c r="B96" t="s">
        <v>8864</v>
      </c>
      <c r="C96" t="s">
        <v>1980</v>
      </c>
      <c r="D96" t="s">
        <v>14</v>
      </c>
      <c r="E96" t="s">
        <v>3499</v>
      </c>
      <c r="F96">
        <v>0.5</v>
      </c>
      <c r="G96">
        <v>7</v>
      </c>
    </row>
    <row r="97" spans="1:7" x14ac:dyDescent="0.2">
      <c r="A97" t="s">
        <v>2002</v>
      </c>
      <c r="B97" t="s">
        <v>8864</v>
      </c>
      <c r="C97" t="s">
        <v>1980</v>
      </c>
      <c r="D97" t="s">
        <v>12</v>
      </c>
      <c r="F97">
        <v>0</v>
      </c>
      <c r="G97">
        <v>0</v>
      </c>
    </row>
    <row r="98" spans="1:7" x14ac:dyDescent="0.2">
      <c r="A98" t="s">
        <v>2042</v>
      </c>
      <c r="B98" t="s">
        <v>8884</v>
      </c>
      <c r="C98" t="s">
        <v>1980</v>
      </c>
      <c r="D98" t="s">
        <v>14</v>
      </c>
      <c r="E98" t="s">
        <v>3500</v>
      </c>
      <c r="F98">
        <v>5.166666666666667</v>
      </c>
      <c r="G98">
        <v>391</v>
      </c>
    </row>
    <row r="99" spans="1:7" x14ac:dyDescent="0.2">
      <c r="A99" t="s">
        <v>2042</v>
      </c>
      <c r="B99" t="s">
        <v>8884</v>
      </c>
      <c r="C99" t="s">
        <v>1980</v>
      </c>
      <c r="D99" t="s">
        <v>10</v>
      </c>
      <c r="E99" t="s">
        <v>8940</v>
      </c>
      <c r="F99">
        <v>0</v>
      </c>
      <c r="G99">
        <v>2</v>
      </c>
    </row>
    <row r="100" spans="1:7" x14ac:dyDescent="0.2">
      <c r="A100" t="s">
        <v>2042</v>
      </c>
      <c r="B100" t="s">
        <v>8884</v>
      </c>
      <c r="C100" t="s">
        <v>1980</v>
      </c>
      <c r="D100" t="s">
        <v>12</v>
      </c>
      <c r="F100">
        <v>0</v>
      </c>
      <c r="G100">
        <v>0</v>
      </c>
    </row>
    <row r="101" spans="1:7" x14ac:dyDescent="0.2">
      <c r="A101" t="s">
        <v>2043</v>
      </c>
      <c r="B101" t="s">
        <v>8885</v>
      </c>
      <c r="C101" t="s">
        <v>1980</v>
      </c>
      <c r="D101" t="s">
        <v>11</v>
      </c>
      <c r="E101" t="s">
        <v>8512</v>
      </c>
      <c r="F101">
        <v>19.5</v>
      </c>
      <c r="G101">
        <v>76</v>
      </c>
    </row>
    <row r="102" spans="1:7" x14ac:dyDescent="0.2">
      <c r="A102" t="s">
        <v>2043</v>
      </c>
      <c r="B102" t="s">
        <v>8885</v>
      </c>
      <c r="C102" t="s">
        <v>1980</v>
      </c>
      <c r="D102" t="s">
        <v>14</v>
      </c>
      <c r="E102" t="s">
        <v>3501</v>
      </c>
      <c r="F102">
        <v>70.166666666666671</v>
      </c>
      <c r="G102">
        <v>1161</v>
      </c>
    </row>
    <row r="103" spans="1:7" x14ac:dyDescent="0.2">
      <c r="A103" t="s">
        <v>2043</v>
      </c>
      <c r="B103" t="s">
        <v>8885</v>
      </c>
      <c r="C103" t="s">
        <v>1980</v>
      </c>
      <c r="D103" t="s">
        <v>10</v>
      </c>
      <c r="E103" t="s">
        <v>3502</v>
      </c>
      <c r="F103">
        <v>36.5</v>
      </c>
      <c r="G103">
        <v>302</v>
      </c>
    </row>
    <row r="104" spans="1:7" x14ac:dyDescent="0.2">
      <c r="A104" t="s">
        <v>2043</v>
      </c>
      <c r="B104" t="s">
        <v>8885</v>
      </c>
      <c r="C104" t="s">
        <v>1980</v>
      </c>
      <c r="D104" t="s">
        <v>12</v>
      </c>
      <c r="F104">
        <v>6.666666666666667</v>
      </c>
      <c r="G104">
        <v>396</v>
      </c>
    </row>
    <row r="105" spans="1:7" x14ac:dyDescent="0.2">
      <c r="A105" t="s">
        <v>2073</v>
      </c>
      <c r="B105" t="s">
        <v>8903</v>
      </c>
      <c r="C105" t="s">
        <v>1980</v>
      </c>
      <c r="D105" t="s">
        <v>14</v>
      </c>
      <c r="E105" t="s">
        <v>3503</v>
      </c>
      <c r="F105">
        <v>1.3333333333333333</v>
      </c>
      <c r="G105">
        <v>12</v>
      </c>
    </row>
    <row r="106" spans="1:7" x14ac:dyDescent="0.2">
      <c r="A106" t="s">
        <v>2028</v>
      </c>
      <c r="B106" t="s">
        <v>8880</v>
      </c>
      <c r="C106" t="s">
        <v>1980</v>
      </c>
      <c r="D106" t="s">
        <v>14</v>
      </c>
      <c r="E106" t="s">
        <v>8513</v>
      </c>
      <c r="F106">
        <v>0.33333333333333331</v>
      </c>
      <c r="G106">
        <v>-1</v>
      </c>
    </row>
    <row r="107" spans="1:7" x14ac:dyDescent="0.2">
      <c r="A107" t="s">
        <v>2012</v>
      </c>
      <c r="B107" t="s">
        <v>8872</v>
      </c>
      <c r="C107" t="s">
        <v>1980</v>
      </c>
      <c r="D107" t="s">
        <v>14</v>
      </c>
      <c r="E107" t="s">
        <v>3504</v>
      </c>
      <c r="G107">
        <v>28</v>
      </c>
    </row>
    <row r="108" spans="1:7" x14ac:dyDescent="0.2">
      <c r="A108" t="s">
        <v>2048</v>
      </c>
      <c r="B108" t="s">
        <v>8886</v>
      </c>
      <c r="C108" t="s">
        <v>1980</v>
      </c>
      <c r="D108" t="s">
        <v>11</v>
      </c>
      <c r="E108" t="s">
        <v>8514</v>
      </c>
      <c r="F108">
        <v>0.83333333333333337</v>
      </c>
      <c r="G108">
        <v>0</v>
      </c>
    </row>
    <row r="109" spans="1:7" x14ac:dyDescent="0.2">
      <c r="A109" t="s">
        <v>2048</v>
      </c>
      <c r="B109" t="s">
        <v>8886</v>
      </c>
      <c r="C109" t="s">
        <v>1980</v>
      </c>
      <c r="D109" t="s">
        <v>14</v>
      </c>
      <c r="E109" t="s">
        <v>3505</v>
      </c>
      <c r="F109">
        <v>13.166666666666666</v>
      </c>
      <c r="G109">
        <v>425</v>
      </c>
    </row>
    <row r="110" spans="1:7" x14ac:dyDescent="0.2">
      <c r="A110" t="s">
        <v>2048</v>
      </c>
      <c r="B110" t="s">
        <v>8886</v>
      </c>
      <c r="C110" t="s">
        <v>1980</v>
      </c>
      <c r="D110" t="s">
        <v>10</v>
      </c>
      <c r="E110" t="s">
        <v>3506</v>
      </c>
      <c r="F110">
        <v>11.5</v>
      </c>
      <c r="G110">
        <v>159</v>
      </c>
    </row>
    <row r="111" spans="1:7" x14ac:dyDescent="0.2">
      <c r="A111" t="s">
        <v>1995</v>
      </c>
      <c r="B111" t="s">
        <v>8845</v>
      </c>
      <c r="C111" t="s">
        <v>1980</v>
      </c>
      <c r="D111" t="s">
        <v>14</v>
      </c>
      <c r="E111" t="s">
        <v>8515</v>
      </c>
      <c r="F111">
        <v>0.16666666666666666</v>
      </c>
      <c r="G111">
        <v>28</v>
      </c>
    </row>
    <row r="112" spans="1:7" x14ac:dyDescent="0.2">
      <c r="A112" t="s">
        <v>2010</v>
      </c>
      <c r="B112" t="s">
        <v>2011</v>
      </c>
      <c r="C112" t="s">
        <v>1980</v>
      </c>
      <c r="D112" t="s">
        <v>14</v>
      </c>
      <c r="E112" t="s">
        <v>3507</v>
      </c>
      <c r="F112">
        <v>0.5</v>
      </c>
      <c r="G112">
        <v>157</v>
      </c>
    </row>
    <row r="113" spans="1:7" x14ac:dyDescent="0.2">
      <c r="A113" t="s">
        <v>2029</v>
      </c>
      <c r="B113" t="s">
        <v>2030</v>
      </c>
      <c r="C113" t="s">
        <v>1980</v>
      </c>
      <c r="D113" t="s">
        <v>14</v>
      </c>
      <c r="E113" t="s">
        <v>3508</v>
      </c>
      <c r="F113">
        <v>0.16666666666666666</v>
      </c>
      <c r="G113">
        <v>2</v>
      </c>
    </row>
    <row r="114" spans="1:7" x14ac:dyDescent="0.2">
      <c r="A114" t="s">
        <v>2074</v>
      </c>
      <c r="B114" t="s">
        <v>2075</v>
      </c>
      <c r="C114" t="s">
        <v>1980</v>
      </c>
      <c r="D114" t="s">
        <v>14</v>
      </c>
      <c r="E114" t="s">
        <v>3509</v>
      </c>
      <c r="F114">
        <v>0.16666666666666666</v>
      </c>
      <c r="G114">
        <v>39</v>
      </c>
    </row>
    <row r="115" spans="1:7" x14ac:dyDescent="0.2">
      <c r="A115" t="s">
        <v>2074</v>
      </c>
      <c r="B115" t="s">
        <v>2075</v>
      </c>
      <c r="C115" t="s">
        <v>1980</v>
      </c>
      <c r="D115" t="s">
        <v>10</v>
      </c>
      <c r="E115" t="s">
        <v>3510</v>
      </c>
    </row>
    <row r="116" spans="1:7" x14ac:dyDescent="0.2">
      <c r="A116" t="s">
        <v>2032</v>
      </c>
      <c r="B116" t="s">
        <v>2033</v>
      </c>
      <c r="C116" t="s">
        <v>1980</v>
      </c>
      <c r="D116" t="s">
        <v>14</v>
      </c>
      <c r="E116" t="s">
        <v>3511</v>
      </c>
      <c r="F116">
        <v>0.16666666666666666</v>
      </c>
      <c r="G116">
        <v>28</v>
      </c>
    </row>
    <row r="117" spans="1:7" x14ac:dyDescent="0.2">
      <c r="A117" t="s">
        <v>2032</v>
      </c>
      <c r="B117" t="s">
        <v>2033</v>
      </c>
      <c r="C117" t="s">
        <v>1980</v>
      </c>
      <c r="D117" t="s">
        <v>10</v>
      </c>
      <c r="E117" t="s">
        <v>3512</v>
      </c>
      <c r="F117">
        <v>0.5</v>
      </c>
      <c r="G117">
        <v>360</v>
      </c>
    </row>
    <row r="118" spans="1:7" x14ac:dyDescent="0.2">
      <c r="A118" t="s">
        <v>2004</v>
      </c>
      <c r="B118" t="s">
        <v>2005</v>
      </c>
      <c r="C118" t="s">
        <v>1980</v>
      </c>
      <c r="D118" t="s">
        <v>14</v>
      </c>
      <c r="E118" t="s">
        <v>3513</v>
      </c>
      <c r="F118">
        <v>1.8333333333333333</v>
      </c>
      <c r="G118">
        <v>27</v>
      </c>
    </row>
    <row r="119" spans="1:7" x14ac:dyDescent="0.2">
      <c r="A119" t="s">
        <v>1991</v>
      </c>
      <c r="B119" t="s">
        <v>1992</v>
      </c>
      <c r="C119" t="s">
        <v>1980</v>
      </c>
      <c r="D119" t="s">
        <v>14</v>
      </c>
      <c r="E119" t="s">
        <v>3514</v>
      </c>
      <c r="F119">
        <v>2.6666666666666665</v>
      </c>
      <c r="G119">
        <v>27</v>
      </c>
    </row>
    <row r="120" spans="1:7" x14ac:dyDescent="0.2">
      <c r="A120" t="s">
        <v>1999</v>
      </c>
      <c r="B120" t="s">
        <v>2000</v>
      </c>
      <c r="C120" t="s">
        <v>1980</v>
      </c>
      <c r="D120" t="s">
        <v>14</v>
      </c>
      <c r="E120" t="s">
        <v>3515</v>
      </c>
      <c r="F120">
        <v>7.5</v>
      </c>
      <c r="G120">
        <v>408</v>
      </c>
    </row>
    <row r="121" spans="1:7" x14ac:dyDescent="0.2">
      <c r="A121" t="s">
        <v>1999</v>
      </c>
      <c r="B121" t="s">
        <v>2000</v>
      </c>
      <c r="C121" t="s">
        <v>1980</v>
      </c>
      <c r="D121" t="s">
        <v>10</v>
      </c>
      <c r="E121" t="s">
        <v>3516</v>
      </c>
      <c r="F121">
        <v>5.833333333333333</v>
      </c>
      <c r="G121">
        <v>222</v>
      </c>
    </row>
    <row r="122" spans="1:7" x14ac:dyDescent="0.2">
      <c r="A122" t="s">
        <v>1987</v>
      </c>
      <c r="B122" t="s">
        <v>8831</v>
      </c>
      <c r="C122" t="s">
        <v>1980</v>
      </c>
      <c r="D122" t="s">
        <v>14</v>
      </c>
      <c r="E122" t="s">
        <v>8516</v>
      </c>
      <c r="F122">
        <v>5.833333333333333</v>
      </c>
      <c r="G122">
        <v>454</v>
      </c>
    </row>
    <row r="123" spans="1:7" x14ac:dyDescent="0.2">
      <c r="A123" t="s">
        <v>2031</v>
      </c>
      <c r="B123" t="s">
        <v>8881</v>
      </c>
      <c r="C123" t="s">
        <v>1980</v>
      </c>
      <c r="D123" t="s">
        <v>14</v>
      </c>
      <c r="E123" t="s">
        <v>8517</v>
      </c>
      <c r="F123">
        <v>1</v>
      </c>
      <c r="G123">
        <v>18</v>
      </c>
    </row>
    <row r="124" spans="1:7" x14ac:dyDescent="0.2">
      <c r="A124" t="s">
        <v>1988</v>
      </c>
      <c r="B124" t="s">
        <v>8836</v>
      </c>
      <c r="C124" t="s">
        <v>1980</v>
      </c>
      <c r="D124" t="s">
        <v>14</v>
      </c>
      <c r="E124" t="s">
        <v>3517</v>
      </c>
      <c r="F124">
        <v>3.3333333333333335</v>
      </c>
      <c r="G124">
        <v>733</v>
      </c>
    </row>
    <row r="125" spans="1:7" x14ac:dyDescent="0.2">
      <c r="A125" t="s">
        <v>1988</v>
      </c>
      <c r="B125" t="s">
        <v>8836</v>
      </c>
      <c r="C125" t="s">
        <v>1980</v>
      </c>
      <c r="D125" t="s">
        <v>10</v>
      </c>
      <c r="E125" t="s">
        <v>8941</v>
      </c>
    </row>
    <row r="126" spans="1:7" x14ac:dyDescent="0.2">
      <c r="A126" t="s">
        <v>2060</v>
      </c>
      <c r="B126" t="s">
        <v>2061</v>
      </c>
      <c r="C126" t="s">
        <v>1980</v>
      </c>
      <c r="D126" t="s">
        <v>14</v>
      </c>
      <c r="E126" t="s">
        <v>8518</v>
      </c>
      <c r="F126">
        <v>1</v>
      </c>
      <c r="G126">
        <v>64</v>
      </c>
    </row>
    <row r="127" spans="1:7" x14ac:dyDescent="0.2">
      <c r="A127" t="s">
        <v>2060</v>
      </c>
      <c r="B127" t="s">
        <v>2061</v>
      </c>
      <c r="C127" t="s">
        <v>1980</v>
      </c>
      <c r="D127" t="s">
        <v>10</v>
      </c>
      <c r="E127" t="s">
        <v>8942</v>
      </c>
    </row>
    <row r="128" spans="1:7" x14ac:dyDescent="0.2">
      <c r="A128" t="s">
        <v>2062</v>
      </c>
      <c r="B128" t="s">
        <v>2063</v>
      </c>
      <c r="C128" t="s">
        <v>1980</v>
      </c>
      <c r="D128" t="s">
        <v>14</v>
      </c>
      <c r="E128" t="s">
        <v>8519</v>
      </c>
      <c r="F128">
        <v>1</v>
      </c>
      <c r="G128">
        <v>4</v>
      </c>
    </row>
    <row r="129" spans="1:7" x14ac:dyDescent="0.2">
      <c r="A129" t="s">
        <v>2062</v>
      </c>
      <c r="B129" t="s">
        <v>2063</v>
      </c>
      <c r="C129" t="s">
        <v>1980</v>
      </c>
      <c r="D129" t="s">
        <v>10</v>
      </c>
      <c r="E129" t="s">
        <v>8520</v>
      </c>
      <c r="F129">
        <v>0.66666666666666663</v>
      </c>
      <c r="G129">
        <v>1</v>
      </c>
    </row>
    <row r="130" spans="1:7" x14ac:dyDescent="0.2">
      <c r="A130" t="s">
        <v>2044</v>
      </c>
      <c r="B130" t="s">
        <v>2045</v>
      </c>
      <c r="C130" t="s">
        <v>1980</v>
      </c>
      <c r="D130" t="s">
        <v>14</v>
      </c>
      <c r="E130" t="s">
        <v>3518</v>
      </c>
      <c r="F130">
        <v>3.3333333333333335</v>
      </c>
      <c r="G130">
        <v>605</v>
      </c>
    </row>
    <row r="131" spans="1:7" x14ac:dyDescent="0.2">
      <c r="A131" t="s">
        <v>2044</v>
      </c>
      <c r="B131" t="s">
        <v>2045</v>
      </c>
      <c r="C131" t="s">
        <v>1980</v>
      </c>
      <c r="D131" t="s">
        <v>10</v>
      </c>
      <c r="E131" t="s">
        <v>3519</v>
      </c>
      <c r="F131">
        <v>3.6666666666666665</v>
      </c>
      <c r="G131">
        <v>361</v>
      </c>
    </row>
    <row r="132" spans="1:7" x14ac:dyDescent="0.2">
      <c r="A132" t="s">
        <v>2053</v>
      </c>
      <c r="B132" t="s">
        <v>8891</v>
      </c>
      <c r="C132" t="s">
        <v>1980</v>
      </c>
      <c r="D132" t="s">
        <v>14</v>
      </c>
      <c r="E132" t="s">
        <v>3520</v>
      </c>
      <c r="F132">
        <v>15.333333333333334</v>
      </c>
      <c r="G132">
        <v>451</v>
      </c>
    </row>
    <row r="133" spans="1:7" x14ac:dyDescent="0.2">
      <c r="A133" t="s">
        <v>2003</v>
      </c>
      <c r="B133" t="s">
        <v>8865</v>
      </c>
      <c r="C133" t="s">
        <v>1980</v>
      </c>
      <c r="D133" t="s">
        <v>14</v>
      </c>
      <c r="E133" t="s">
        <v>3521</v>
      </c>
      <c r="F133">
        <v>4.5</v>
      </c>
      <c r="G133">
        <v>214</v>
      </c>
    </row>
    <row r="134" spans="1:7" x14ac:dyDescent="0.2">
      <c r="A134" t="s">
        <v>2066</v>
      </c>
      <c r="B134" t="s">
        <v>8896</v>
      </c>
      <c r="C134" t="s">
        <v>1980</v>
      </c>
      <c r="D134" t="s">
        <v>14</v>
      </c>
      <c r="E134" t="s">
        <v>3522</v>
      </c>
      <c r="F134">
        <v>0.16666666666666666</v>
      </c>
      <c r="G134">
        <v>72</v>
      </c>
    </row>
    <row r="135" spans="1:7" x14ac:dyDescent="0.2">
      <c r="A135" t="s">
        <v>2066</v>
      </c>
      <c r="B135" t="s">
        <v>8896</v>
      </c>
      <c r="C135" t="s">
        <v>1980</v>
      </c>
      <c r="D135" t="s">
        <v>10</v>
      </c>
      <c r="E135" t="s">
        <v>3523</v>
      </c>
      <c r="F135">
        <v>0.5</v>
      </c>
      <c r="G135">
        <v>400</v>
      </c>
    </row>
    <row r="136" spans="1:7" x14ac:dyDescent="0.2">
      <c r="A136" t="s">
        <v>2066</v>
      </c>
      <c r="B136" t="s">
        <v>8896</v>
      </c>
      <c r="C136" t="s">
        <v>1980</v>
      </c>
      <c r="D136" t="s">
        <v>12</v>
      </c>
      <c r="F136">
        <v>0.16666666666666666</v>
      </c>
      <c r="G136">
        <v>164</v>
      </c>
    </row>
    <row r="137" spans="1:7" x14ac:dyDescent="0.2">
      <c r="A137" t="s">
        <v>2001</v>
      </c>
      <c r="B137" t="s">
        <v>8863</v>
      </c>
      <c r="C137" t="s">
        <v>1980</v>
      </c>
      <c r="D137" t="s">
        <v>14</v>
      </c>
      <c r="E137" t="s">
        <v>3524</v>
      </c>
      <c r="F137">
        <v>0.66666666666666663</v>
      </c>
      <c r="G137">
        <v>52</v>
      </c>
    </row>
    <row r="138" spans="1:7" x14ac:dyDescent="0.2">
      <c r="A138" t="s">
        <v>2001</v>
      </c>
      <c r="B138" t="s">
        <v>8863</v>
      </c>
      <c r="C138" t="s">
        <v>1980</v>
      </c>
      <c r="D138" t="s">
        <v>10</v>
      </c>
      <c r="E138" t="s">
        <v>3525</v>
      </c>
      <c r="F138">
        <v>0</v>
      </c>
      <c r="G138">
        <v>101</v>
      </c>
    </row>
    <row r="139" spans="1:7" x14ac:dyDescent="0.2">
      <c r="A139" t="s">
        <v>2001</v>
      </c>
      <c r="B139" t="s">
        <v>8863</v>
      </c>
      <c r="C139" t="s">
        <v>1980</v>
      </c>
      <c r="D139" t="s">
        <v>12</v>
      </c>
      <c r="F139">
        <v>0</v>
      </c>
      <c r="G139">
        <v>0</v>
      </c>
    </row>
    <row r="140" spans="1:7" x14ac:dyDescent="0.2">
      <c r="A140" t="s">
        <v>1993</v>
      </c>
      <c r="B140" t="s">
        <v>1994</v>
      </c>
      <c r="C140" t="s">
        <v>1980</v>
      </c>
      <c r="D140" t="s">
        <v>14</v>
      </c>
      <c r="E140" t="s">
        <v>3526</v>
      </c>
      <c r="F140">
        <v>0.83333333333333337</v>
      </c>
      <c r="G140">
        <v>73</v>
      </c>
    </row>
    <row r="141" spans="1:7" x14ac:dyDescent="0.2">
      <c r="A141" t="s">
        <v>1993</v>
      </c>
      <c r="B141" t="s">
        <v>1994</v>
      </c>
      <c r="C141" t="s">
        <v>1980</v>
      </c>
      <c r="D141" t="s">
        <v>10</v>
      </c>
      <c r="E141" t="s">
        <v>3527</v>
      </c>
      <c r="F141">
        <v>1</v>
      </c>
      <c r="G141">
        <v>315</v>
      </c>
    </row>
    <row r="142" spans="1:7" x14ac:dyDescent="0.2">
      <c r="A142" t="s">
        <v>2046</v>
      </c>
      <c r="B142" t="s">
        <v>2047</v>
      </c>
      <c r="C142" t="s">
        <v>1980</v>
      </c>
      <c r="D142" t="s">
        <v>14</v>
      </c>
      <c r="E142" t="s">
        <v>3528</v>
      </c>
      <c r="F142">
        <v>2.8333333333333335</v>
      </c>
      <c r="G142">
        <v>396</v>
      </c>
    </row>
    <row r="143" spans="1:7" x14ac:dyDescent="0.2">
      <c r="A143" t="s">
        <v>2034</v>
      </c>
      <c r="B143" t="s">
        <v>2035</v>
      </c>
      <c r="C143" t="s">
        <v>1980</v>
      </c>
      <c r="D143" t="s">
        <v>14</v>
      </c>
      <c r="E143" t="s">
        <v>3529</v>
      </c>
      <c r="F143">
        <v>2.3333333333333335</v>
      </c>
      <c r="G143">
        <v>691</v>
      </c>
    </row>
    <row r="144" spans="1:7" x14ac:dyDescent="0.2">
      <c r="A144" t="s">
        <v>2034</v>
      </c>
      <c r="B144" t="s">
        <v>2035</v>
      </c>
      <c r="C144" t="s">
        <v>1980</v>
      </c>
      <c r="D144" t="s">
        <v>10</v>
      </c>
      <c r="E144" t="s">
        <v>3530</v>
      </c>
      <c r="F144">
        <v>0.66666666666666663</v>
      </c>
      <c r="G144">
        <v>428</v>
      </c>
    </row>
    <row r="145" spans="1:7" x14ac:dyDescent="0.2">
      <c r="A145" t="s">
        <v>1989</v>
      </c>
      <c r="B145" t="s">
        <v>1990</v>
      </c>
      <c r="C145" t="s">
        <v>1980</v>
      </c>
      <c r="D145" t="s">
        <v>14</v>
      </c>
      <c r="E145" t="s">
        <v>3531</v>
      </c>
      <c r="F145">
        <v>7.333333333333333</v>
      </c>
      <c r="G145">
        <v>77</v>
      </c>
    </row>
    <row r="146" spans="1:7" x14ac:dyDescent="0.2">
      <c r="A146" t="s">
        <v>2006</v>
      </c>
      <c r="B146" t="s">
        <v>2007</v>
      </c>
      <c r="C146" t="s">
        <v>1980</v>
      </c>
      <c r="D146" t="s">
        <v>14</v>
      </c>
      <c r="E146" t="s">
        <v>8943</v>
      </c>
    </row>
    <row r="147" spans="1:7" x14ac:dyDescent="0.2">
      <c r="A147" t="s">
        <v>2080</v>
      </c>
      <c r="B147" t="s">
        <v>2081</v>
      </c>
      <c r="C147" t="s">
        <v>1980</v>
      </c>
      <c r="D147" t="s">
        <v>14</v>
      </c>
      <c r="E147" t="s">
        <v>3532</v>
      </c>
      <c r="F147">
        <v>4.166666666666667</v>
      </c>
      <c r="G147">
        <v>199</v>
      </c>
    </row>
    <row r="148" spans="1:7" x14ac:dyDescent="0.2">
      <c r="A148" t="s">
        <v>2015</v>
      </c>
      <c r="B148" t="s">
        <v>2016</v>
      </c>
      <c r="C148" t="s">
        <v>1980</v>
      </c>
      <c r="D148" t="s">
        <v>14</v>
      </c>
      <c r="E148" t="s">
        <v>8521</v>
      </c>
      <c r="F148">
        <v>0.33333333333333331</v>
      </c>
      <c r="G148">
        <v>9</v>
      </c>
    </row>
    <row r="149" spans="1:7" x14ac:dyDescent="0.2">
      <c r="A149" t="s">
        <v>2054</v>
      </c>
      <c r="B149" t="s">
        <v>2055</v>
      </c>
      <c r="C149" t="s">
        <v>1980</v>
      </c>
      <c r="D149" t="s">
        <v>14</v>
      </c>
      <c r="E149" t="s">
        <v>8522</v>
      </c>
      <c r="F149">
        <v>0.33333333333333331</v>
      </c>
      <c r="G149">
        <v>17</v>
      </c>
    </row>
    <row r="150" spans="1:7" x14ac:dyDescent="0.2">
      <c r="A150" t="s">
        <v>2076</v>
      </c>
      <c r="B150" t="s">
        <v>2077</v>
      </c>
      <c r="C150" t="s">
        <v>1980</v>
      </c>
      <c r="D150" t="s">
        <v>14</v>
      </c>
      <c r="E150" t="s">
        <v>8523</v>
      </c>
      <c r="F150">
        <v>0.16666666666666666</v>
      </c>
      <c r="G150">
        <v>10</v>
      </c>
    </row>
    <row r="151" spans="1:7" x14ac:dyDescent="0.2">
      <c r="A151" t="s">
        <v>3533</v>
      </c>
      <c r="B151" t="s">
        <v>3534</v>
      </c>
      <c r="C151" t="s">
        <v>2403</v>
      </c>
      <c r="D151" t="s">
        <v>11</v>
      </c>
      <c r="E151" t="s">
        <v>3535</v>
      </c>
    </row>
    <row r="152" spans="1:7" x14ac:dyDescent="0.2">
      <c r="A152" t="s">
        <v>3533</v>
      </c>
      <c r="B152" t="s">
        <v>3534</v>
      </c>
      <c r="C152" t="s">
        <v>2403</v>
      </c>
      <c r="D152" t="s">
        <v>14</v>
      </c>
    </row>
    <row r="153" spans="1:7" x14ac:dyDescent="0.2">
      <c r="A153" t="s">
        <v>3536</v>
      </c>
      <c r="B153" t="s">
        <v>3537</v>
      </c>
      <c r="C153" t="s">
        <v>2403</v>
      </c>
      <c r="D153" t="s">
        <v>11</v>
      </c>
      <c r="E153" t="s">
        <v>3538</v>
      </c>
    </row>
    <row r="154" spans="1:7" x14ac:dyDescent="0.2">
      <c r="A154" t="s">
        <v>3536</v>
      </c>
      <c r="B154" t="s">
        <v>3537</v>
      </c>
      <c r="C154" t="s">
        <v>2403</v>
      </c>
      <c r="D154" t="s">
        <v>14</v>
      </c>
    </row>
    <row r="155" spans="1:7" x14ac:dyDescent="0.2">
      <c r="A155" t="s">
        <v>3539</v>
      </c>
      <c r="B155" t="s">
        <v>3540</v>
      </c>
      <c r="C155" t="s">
        <v>2403</v>
      </c>
      <c r="D155" t="s">
        <v>11</v>
      </c>
      <c r="E155" t="s">
        <v>3541</v>
      </c>
    </row>
    <row r="156" spans="1:7" x14ac:dyDescent="0.2">
      <c r="A156" t="s">
        <v>3539</v>
      </c>
      <c r="B156" t="s">
        <v>3540</v>
      </c>
      <c r="C156" t="s">
        <v>2403</v>
      </c>
      <c r="D156" t="s">
        <v>14</v>
      </c>
    </row>
    <row r="157" spans="1:7" x14ac:dyDescent="0.2">
      <c r="A157" t="s">
        <v>3542</v>
      </c>
      <c r="B157" t="s">
        <v>3543</v>
      </c>
      <c r="C157" t="s">
        <v>2403</v>
      </c>
      <c r="D157" t="s">
        <v>11</v>
      </c>
      <c r="E157" t="s">
        <v>3544</v>
      </c>
    </row>
    <row r="158" spans="1:7" x14ac:dyDescent="0.2">
      <c r="A158" t="s">
        <v>3542</v>
      </c>
      <c r="B158" t="s">
        <v>3543</v>
      </c>
      <c r="C158" t="s">
        <v>2403</v>
      </c>
      <c r="D158" t="s">
        <v>14</v>
      </c>
    </row>
    <row r="159" spans="1:7" x14ac:dyDescent="0.2">
      <c r="A159" t="s">
        <v>3545</v>
      </c>
      <c r="B159" t="s">
        <v>3546</v>
      </c>
      <c r="C159" t="s">
        <v>2403</v>
      </c>
      <c r="D159" t="s">
        <v>11</v>
      </c>
      <c r="E159" t="s">
        <v>3547</v>
      </c>
    </row>
    <row r="160" spans="1:7" x14ac:dyDescent="0.2">
      <c r="A160" t="s">
        <v>2404</v>
      </c>
      <c r="B160" t="s">
        <v>2405</v>
      </c>
      <c r="C160" t="s">
        <v>2403</v>
      </c>
      <c r="D160" t="s">
        <v>11</v>
      </c>
      <c r="E160" t="s">
        <v>3548</v>
      </c>
    </row>
    <row r="161" spans="1:5" x14ac:dyDescent="0.2">
      <c r="A161" t="s">
        <v>3549</v>
      </c>
      <c r="B161" t="s">
        <v>3550</v>
      </c>
      <c r="C161" t="s">
        <v>2403</v>
      </c>
      <c r="D161" t="s">
        <v>11</v>
      </c>
      <c r="E161" t="s">
        <v>3551</v>
      </c>
    </row>
    <row r="162" spans="1:5" x14ac:dyDescent="0.2">
      <c r="A162" t="s">
        <v>3552</v>
      </c>
      <c r="B162" t="s">
        <v>3553</v>
      </c>
      <c r="C162" t="s">
        <v>3554</v>
      </c>
      <c r="D162" t="s">
        <v>11</v>
      </c>
      <c r="E162" t="s">
        <v>3555</v>
      </c>
    </row>
    <row r="163" spans="1:5" x14ac:dyDescent="0.2">
      <c r="A163" t="s">
        <v>3556</v>
      </c>
      <c r="B163" t="s">
        <v>3557</v>
      </c>
      <c r="C163" t="s">
        <v>3554</v>
      </c>
      <c r="D163" t="s">
        <v>11</v>
      </c>
      <c r="E163" t="s">
        <v>3558</v>
      </c>
    </row>
    <row r="164" spans="1:5" x14ac:dyDescent="0.2">
      <c r="A164" t="s">
        <v>3559</v>
      </c>
      <c r="B164" t="s">
        <v>3560</v>
      </c>
      <c r="C164" t="s">
        <v>3561</v>
      </c>
      <c r="D164" t="s">
        <v>11</v>
      </c>
      <c r="E164" t="s">
        <v>3562</v>
      </c>
    </row>
    <row r="165" spans="1:5" x14ac:dyDescent="0.2">
      <c r="A165" t="s">
        <v>3563</v>
      </c>
      <c r="B165" t="s">
        <v>3564</v>
      </c>
      <c r="C165" t="s">
        <v>3561</v>
      </c>
      <c r="D165" t="s">
        <v>11</v>
      </c>
      <c r="E165" t="s">
        <v>3565</v>
      </c>
    </row>
    <row r="166" spans="1:5" x14ac:dyDescent="0.2">
      <c r="A166" t="s">
        <v>3566</v>
      </c>
      <c r="B166" t="s">
        <v>3567</v>
      </c>
      <c r="C166" t="s">
        <v>3561</v>
      </c>
      <c r="D166" t="s">
        <v>11</v>
      </c>
      <c r="E166" t="s">
        <v>3568</v>
      </c>
    </row>
    <row r="167" spans="1:5" x14ac:dyDescent="0.2">
      <c r="A167" t="s">
        <v>3569</v>
      </c>
      <c r="B167" t="s">
        <v>3570</v>
      </c>
      <c r="C167" t="s">
        <v>3554</v>
      </c>
      <c r="D167" t="s">
        <v>11</v>
      </c>
      <c r="E167" t="s">
        <v>3571</v>
      </c>
    </row>
    <row r="168" spans="1:5" x14ac:dyDescent="0.2">
      <c r="A168" t="s">
        <v>3572</v>
      </c>
      <c r="B168" t="s">
        <v>3573</v>
      </c>
      <c r="C168" t="s">
        <v>3554</v>
      </c>
      <c r="D168" t="s">
        <v>11</v>
      </c>
      <c r="E168" t="s">
        <v>3574</v>
      </c>
    </row>
    <row r="169" spans="1:5" x14ac:dyDescent="0.2">
      <c r="A169" t="s">
        <v>3575</v>
      </c>
      <c r="B169" t="s">
        <v>3576</v>
      </c>
      <c r="C169" t="s">
        <v>3554</v>
      </c>
      <c r="D169" t="s">
        <v>11</v>
      </c>
      <c r="E169" t="s">
        <v>3577</v>
      </c>
    </row>
    <row r="170" spans="1:5" x14ac:dyDescent="0.2">
      <c r="A170" t="s">
        <v>3578</v>
      </c>
      <c r="B170" t="s">
        <v>3579</v>
      </c>
      <c r="C170" t="s">
        <v>3554</v>
      </c>
      <c r="D170" t="s">
        <v>11</v>
      </c>
      <c r="E170" t="s">
        <v>3580</v>
      </c>
    </row>
    <row r="171" spans="1:5" x14ac:dyDescent="0.2">
      <c r="A171" t="s">
        <v>3581</v>
      </c>
      <c r="B171" t="s">
        <v>3582</v>
      </c>
      <c r="C171" t="s">
        <v>3561</v>
      </c>
      <c r="D171" t="s">
        <v>11</v>
      </c>
      <c r="E171" t="s">
        <v>3583</v>
      </c>
    </row>
    <row r="172" spans="1:5" x14ac:dyDescent="0.2">
      <c r="A172" t="s">
        <v>3584</v>
      </c>
      <c r="B172" t="s">
        <v>3585</v>
      </c>
      <c r="C172" t="s">
        <v>3561</v>
      </c>
      <c r="D172" t="s">
        <v>11</v>
      </c>
      <c r="E172" t="s">
        <v>3586</v>
      </c>
    </row>
    <row r="173" spans="1:5" x14ac:dyDescent="0.2">
      <c r="A173" t="s">
        <v>3587</v>
      </c>
      <c r="B173" t="s">
        <v>3588</v>
      </c>
      <c r="C173" t="s">
        <v>3554</v>
      </c>
      <c r="D173" t="s">
        <v>11</v>
      </c>
      <c r="E173" t="s">
        <v>3589</v>
      </c>
    </row>
    <row r="174" spans="1:5" x14ac:dyDescent="0.2">
      <c r="A174" t="s">
        <v>3590</v>
      </c>
      <c r="B174" t="s">
        <v>3591</v>
      </c>
      <c r="C174" t="s">
        <v>3554</v>
      </c>
      <c r="D174" t="s">
        <v>11</v>
      </c>
      <c r="E174" t="s">
        <v>3592</v>
      </c>
    </row>
    <row r="175" spans="1:5" x14ac:dyDescent="0.2">
      <c r="A175" t="s">
        <v>3593</v>
      </c>
      <c r="B175" t="s">
        <v>3594</v>
      </c>
      <c r="C175" t="s">
        <v>3554</v>
      </c>
      <c r="D175" t="s">
        <v>11</v>
      </c>
      <c r="E175" t="s">
        <v>3595</v>
      </c>
    </row>
    <row r="176" spans="1:5" x14ac:dyDescent="0.2">
      <c r="A176" t="s">
        <v>3596</v>
      </c>
      <c r="B176" t="s">
        <v>3597</v>
      </c>
      <c r="C176" t="s">
        <v>3561</v>
      </c>
      <c r="D176" t="s">
        <v>11</v>
      </c>
      <c r="E176" t="s">
        <v>3598</v>
      </c>
    </row>
    <row r="177" spans="1:7" x14ac:dyDescent="0.2">
      <c r="A177" t="s">
        <v>3599</v>
      </c>
      <c r="B177" t="s">
        <v>3600</v>
      </c>
      <c r="C177" t="s">
        <v>3561</v>
      </c>
      <c r="D177" t="s">
        <v>11</v>
      </c>
      <c r="E177" t="s">
        <v>3601</v>
      </c>
    </row>
    <row r="178" spans="1:7" x14ac:dyDescent="0.2">
      <c r="A178" t="s">
        <v>3602</v>
      </c>
      <c r="B178" t="s">
        <v>3603</v>
      </c>
      <c r="C178" t="s">
        <v>3554</v>
      </c>
      <c r="D178" t="s">
        <v>11</v>
      </c>
      <c r="E178" t="s">
        <v>3604</v>
      </c>
    </row>
    <row r="179" spans="1:7" x14ac:dyDescent="0.2">
      <c r="A179" t="s">
        <v>3605</v>
      </c>
      <c r="B179" t="s">
        <v>3606</v>
      </c>
      <c r="C179" t="s">
        <v>3554</v>
      </c>
      <c r="D179" t="s">
        <v>11</v>
      </c>
      <c r="E179" t="s">
        <v>3607</v>
      </c>
    </row>
    <row r="180" spans="1:7" x14ac:dyDescent="0.2">
      <c r="A180" t="s">
        <v>3608</v>
      </c>
      <c r="B180" t="s">
        <v>3609</v>
      </c>
      <c r="C180" t="s">
        <v>3561</v>
      </c>
      <c r="D180" t="s">
        <v>11</v>
      </c>
      <c r="E180" t="s">
        <v>3610</v>
      </c>
    </row>
    <row r="181" spans="1:7" x14ac:dyDescent="0.2">
      <c r="A181" t="s">
        <v>3611</v>
      </c>
      <c r="B181" t="s">
        <v>3612</v>
      </c>
      <c r="C181" t="s">
        <v>3554</v>
      </c>
      <c r="D181" t="s">
        <v>11</v>
      </c>
      <c r="E181" t="s">
        <v>3613</v>
      </c>
    </row>
    <row r="182" spans="1:7" x14ac:dyDescent="0.2">
      <c r="A182" t="s">
        <v>3614</v>
      </c>
      <c r="B182" t="s">
        <v>3615</v>
      </c>
      <c r="C182" t="s">
        <v>3554</v>
      </c>
      <c r="D182" t="s">
        <v>11</v>
      </c>
      <c r="E182" t="s">
        <v>3616</v>
      </c>
    </row>
    <row r="183" spans="1:7" x14ac:dyDescent="0.2">
      <c r="A183" t="s">
        <v>3617</v>
      </c>
      <c r="B183" t="s">
        <v>3618</v>
      </c>
      <c r="C183" t="s">
        <v>3554</v>
      </c>
      <c r="D183" t="s">
        <v>11</v>
      </c>
      <c r="E183" t="s">
        <v>3619</v>
      </c>
    </row>
    <row r="184" spans="1:7" x14ac:dyDescent="0.2">
      <c r="A184" t="s">
        <v>3620</v>
      </c>
      <c r="B184" t="s">
        <v>3621</v>
      </c>
      <c r="C184" t="s">
        <v>2852</v>
      </c>
      <c r="D184" t="s">
        <v>3471</v>
      </c>
      <c r="E184" t="s">
        <v>3622</v>
      </c>
    </row>
    <row r="185" spans="1:7" x14ac:dyDescent="0.2">
      <c r="A185" t="s">
        <v>3286</v>
      </c>
      <c r="B185" t="s">
        <v>3287</v>
      </c>
      <c r="C185" t="s">
        <v>3268</v>
      </c>
      <c r="D185" t="s">
        <v>11</v>
      </c>
      <c r="E185" t="s">
        <v>3623</v>
      </c>
    </row>
    <row r="186" spans="1:7" x14ac:dyDescent="0.2">
      <c r="A186" t="s">
        <v>2855</v>
      </c>
      <c r="B186" t="s">
        <v>2856</v>
      </c>
      <c r="C186" t="s">
        <v>2852</v>
      </c>
      <c r="D186" t="s">
        <v>3471</v>
      </c>
      <c r="E186" t="s">
        <v>3624</v>
      </c>
      <c r="F186">
        <v>0</v>
      </c>
      <c r="G186">
        <v>0</v>
      </c>
    </row>
    <row r="187" spans="1:7" x14ac:dyDescent="0.2">
      <c r="A187" t="s">
        <v>2853</v>
      </c>
      <c r="B187" t="s">
        <v>2854</v>
      </c>
      <c r="C187" t="s">
        <v>2852</v>
      </c>
      <c r="D187" t="s">
        <v>3471</v>
      </c>
      <c r="E187" t="s">
        <v>3625</v>
      </c>
      <c r="F187">
        <v>0</v>
      </c>
      <c r="G187">
        <v>0</v>
      </c>
    </row>
    <row r="188" spans="1:7" x14ac:dyDescent="0.2">
      <c r="A188" t="s">
        <v>3626</v>
      </c>
      <c r="B188" t="s">
        <v>3627</v>
      </c>
      <c r="C188" t="s">
        <v>3561</v>
      </c>
      <c r="D188" t="s">
        <v>11</v>
      </c>
      <c r="E188" t="s">
        <v>3628</v>
      </c>
    </row>
    <row r="189" spans="1:7" x14ac:dyDescent="0.2">
      <c r="A189" t="s">
        <v>2885</v>
      </c>
      <c r="B189" t="s">
        <v>2886</v>
      </c>
      <c r="C189" t="s">
        <v>2852</v>
      </c>
      <c r="D189" t="s">
        <v>3471</v>
      </c>
      <c r="E189" t="s">
        <v>3629</v>
      </c>
      <c r="F189">
        <v>0</v>
      </c>
      <c r="G189">
        <v>0</v>
      </c>
    </row>
    <row r="190" spans="1:7" x14ac:dyDescent="0.2">
      <c r="A190" t="s">
        <v>3630</v>
      </c>
      <c r="B190" t="s">
        <v>2432</v>
      </c>
      <c r="C190" t="s">
        <v>2425</v>
      </c>
      <c r="D190" t="s">
        <v>11</v>
      </c>
      <c r="E190" t="s">
        <v>3631</v>
      </c>
    </row>
    <row r="191" spans="1:7" x14ac:dyDescent="0.2">
      <c r="A191" t="s">
        <v>3632</v>
      </c>
      <c r="B191" t="s">
        <v>2430</v>
      </c>
      <c r="C191" t="s">
        <v>2425</v>
      </c>
      <c r="D191" t="s">
        <v>11</v>
      </c>
      <c r="E191" t="s">
        <v>3633</v>
      </c>
    </row>
    <row r="192" spans="1:7" x14ac:dyDescent="0.2">
      <c r="A192" t="s">
        <v>3632</v>
      </c>
      <c r="B192" t="s">
        <v>2430</v>
      </c>
      <c r="C192" t="s">
        <v>2425</v>
      </c>
      <c r="D192" t="s">
        <v>14</v>
      </c>
    </row>
    <row r="193" spans="1:7" x14ac:dyDescent="0.2">
      <c r="A193" t="s">
        <v>3634</v>
      </c>
      <c r="B193" t="s">
        <v>3635</v>
      </c>
      <c r="C193" t="s">
        <v>2425</v>
      </c>
      <c r="D193" t="s">
        <v>11</v>
      </c>
      <c r="E193" t="s">
        <v>3636</v>
      </c>
    </row>
    <row r="194" spans="1:7" x14ac:dyDescent="0.2">
      <c r="A194" t="s">
        <v>2436</v>
      </c>
      <c r="B194" t="s">
        <v>2437</v>
      </c>
      <c r="C194" t="s">
        <v>2425</v>
      </c>
      <c r="D194" t="s">
        <v>14</v>
      </c>
    </row>
    <row r="195" spans="1:7" x14ac:dyDescent="0.2">
      <c r="A195" t="s">
        <v>2436</v>
      </c>
      <c r="B195" t="s">
        <v>2437</v>
      </c>
      <c r="C195" t="s">
        <v>2425</v>
      </c>
      <c r="D195" t="s">
        <v>10</v>
      </c>
      <c r="E195" t="s">
        <v>3637</v>
      </c>
    </row>
    <row r="196" spans="1:7" x14ac:dyDescent="0.2">
      <c r="A196" t="s">
        <v>2436</v>
      </c>
      <c r="B196" t="s">
        <v>2437</v>
      </c>
      <c r="C196" t="s">
        <v>2425</v>
      </c>
      <c r="D196" t="s">
        <v>8</v>
      </c>
      <c r="E196" t="s">
        <v>3638</v>
      </c>
    </row>
    <row r="197" spans="1:7" x14ac:dyDescent="0.2">
      <c r="A197" t="s">
        <v>2436</v>
      </c>
      <c r="B197" t="s">
        <v>2437</v>
      </c>
      <c r="C197" t="s">
        <v>2425</v>
      </c>
      <c r="D197" t="s">
        <v>12</v>
      </c>
    </row>
    <row r="198" spans="1:7" x14ac:dyDescent="0.2">
      <c r="A198" t="s">
        <v>2431</v>
      </c>
      <c r="B198" t="s">
        <v>2432</v>
      </c>
      <c r="C198" t="s">
        <v>2425</v>
      </c>
      <c r="D198" t="s">
        <v>11</v>
      </c>
      <c r="E198" t="s">
        <v>3639</v>
      </c>
    </row>
    <row r="199" spans="1:7" x14ac:dyDescent="0.2">
      <c r="A199" t="s">
        <v>2431</v>
      </c>
      <c r="B199" t="s">
        <v>2432</v>
      </c>
      <c r="C199" t="s">
        <v>2425</v>
      </c>
      <c r="D199" t="s">
        <v>14</v>
      </c>
      <c r="F199">
        <v>0</v>
      </c>
      <c r="G199">
        <v>1</v>
      </c>
    </row>
    <row r="200" spans="1:7" x14ac:dyDescent="0.2">
      <c r="A200" t="s">
        <v>2431</v>
      </c>
      <c r="B200" t="s">
        <v>2432</v>
      </c>
      <c r="C200" t="s">
        <v>2425</v>
      </c>
      <c r="D200" t="s">
        <v>10</v>
      </c>
      <c r="E200" t="s">
        <v>3640</v>
      </c>
    </row>
    <row r="201" spans="1:7" x14ac:dyDescent="0.2">
      <c r="A201" t="s">
        <v>2431</v>
      </c>
      <c r="B201" t="s">
        <v>2432</v>
      </c>
      <c r="C201" t="s">
        <v>2425</v>
      </c>
      <c r="D201" t="s">
        <v>8</v>
      </c>
      <c r="E201" t="s">
        <v>3641</v>
      </c>
    </row>
    <row r="202" spans="1:7" x14ac:dyDescent="0.2">
      <c r="A202" t="s">
        <v>2429</v>
      </c>
      <c r="B202" t="s">
        <v>2430</v>
      </c>
      <c r="C202" t="s">
        <v>2425</v>
      </c>
      <c r="D202" t="s">
        <v>11</v>
      </c>
      <c r="E202" t="s">
        <v>3642</v>
      </c>
    </row>
    <row r="203" spans="1:7" x14ac:dyDescent="0.2">
      <c r="A203" t="s">
        <v>2429</v>
      </c>
      <c r="B203" t="s">
        <v>2430</v>
      </c>
      <c r="C203" t="s">
        <v>2425</v>
      </c>
      <c r="D203" t="s">
        <v>14</v>
      </c>
    </row>
    <row r="204" spans="1:7" x14ac:dyDescent="0.2">
      <c r="A204" t="s">
        <v>2429</v>
      </c>
      <c r="B204" t="s">
        <v>2430</v>
      </c>
      <c r="C204" t="s">
        <v>2425</v>
      </c>
      <c r="D204" t="s">
        <v>10</v>
      </c>
      <c r="E204" t="s">
        <v>3643</v>
      </c>
    </row>
    <row r="205" spans="1:7" x14ac:dyDescent="0.2">
      <c r="A205" t="s">
        <v>2429</v>
      </c>
      <c r="B205" t="s">
        <v>2430</v>
      </c>
      <c r="C205" t="s">
        <v>2425</v>
      </c>
      <c r="D205" t="s">
        <v>8</v>
      </c>
      <c r="E205" t="s">
        <v>3644</v>
      </c>
    </row>
    <row r="206" spans="1:7" x14ac:dyDescent="0.2">
      <c r="A206" t="s">
        <v>2426</v>
      </c>
      <c r="B206" t="s">
        <v>2427</v>
      </c>
      <c r="C206" t="s">
        <v>2425</v>
      </c>
      <c r="D206" t="s">
        <v>14</v>
      </c>
      <c r="F206">
        <v>0</v>
      </c>
      <c r="G206">
        <v>2</v>
      </c>
    </row>
    <row r="207" spans="1:7" x14ac:dyDescent="0.2">
      <c r="A207" t="s">
        <v>2426</v>
      </c>
      <c r="B207" t="s">
        <v>2427</v>
      </c>
      <c r="C207" t="s">
        <v>2425</v>
      </c>
      <c r="D207" t="s">
        <v>10</v>
      </c>
      <c r="E207" t="s">
        <v>3645</v>
      </c>
    </row>
    <row r="208" spans="1:7" x14ac:dyDescent="0.2">
      <c r="A208" t="s">
        <v>2426</v>
      </c>
      <c r="B208" t="s">
        <v>2427</v>
      </c>
      <c r="C208" t="s">
        <v>2425</v>
      </c>
      <c r="D208" t="s">
        <v>8</v>
      </c>
      <c r="E208" t="s">
        <v>3646</v>
      </c>
    </row>
    <row r="209" spans="1:7" x14ac:dyDescent="0.2">
      <c r="A209" t="s">
        <v>2438</v>
      </c>
      <c r="B209" t="s">
        <v>2439</v>
      </c>
      <c r="C209" t="s">
        <v>2425</v>
      </c>
      <c r="D209" t="s">
        <v>14</v>
      </c>
    </row>
    <row r="210" spans="1:7" x14ac:dyDescent="0.2">
      <c r="A210" t="s">
        <v>2438</v>
      </c>
      <c r="B210" t="s">
        <v>2439</v>
      </c>
      <c r="C210" t="s">
        <v>2425</v>
      </c>
      <c r="D210" t="s">
        <v>8</v>
      </c>
      <c r="E210" t="s">
        <v>3647</v>
      </c>
    </row>
    <row r="211" spans="1:7" x14ac:dyDescent="0.2">
      <c r="A211" t="s">
        <v>3648</v>
      </c>
      <c r="B211" t="s">
        <v>3649</v>
      </c>
      <c r="C211" t="s">
        <v>2425</v>
      </c>
      <c r="D211" t="s">
        <v>11</v>
      </c>
      <c r="E211" t="s">
        <v>3650</v>
      </c>
    </row>
    <row r="212" spans="1:7" x14ac:dyDescent="0.2">
      <c r="A212" t="s">
        <v>3648</v>
      </c>
      <c r="B212" t="s">
        <v>3649</v>
      </c>
      <c r="C212" t="s">
        <v>2425</v>
      </c>
      <c r="D212" t="s">
        <v>14</v>
      </c>
      <c r="F212">
        <v>0</v>
      </c>
      <c r="G212">
        <v>1</v>
      </c>
    </row>
    <row r="213" spans="1:7" x14ac:dyDescent="0.2">
      <c r="A213" t="s">
        <v>3651</v>
      </c>
      <c r="B213" t="s">
        <v>3652</v>
      </c>
      <c r="C213" t="s">
        <v>2425</v>
      </c>
      <c r="D213" t="s">
        <v>11</v>
      </c>
      <c r="E213" t="s">
        <v>3653</v>
      </c>
    </row>
    <row r="214" spans="1:7" x14ac:dyDescent="0.2">
      <c r="A214" t="s">
        <v>3651</v>
      </c>
      <c r="B214" t="s">
        <v>3652</v>
      </c>
      <c r="C214" t="s">
        <v>2425</v>
      </c>
      <c r="D214" t="s">
        <v>14</v>
      </c>
    </row>
    <row r="215" spans="1:7" x14ac:dyDescent="0.2">
      <c r="A215" t="s">
        <v>3654</v>
      </c>
      <c r="B215" t="s">
        <v>3655</v>
      </c>
      <c r="C215" t="s">
        <v>2425</v>
      </c>
      <c r="D215" t="s">
        <v>11</v>
      </c>
      <c r="E215" t="s">
        <v>3656</v>
      </c>
    </row>
    <row r="216" spans="1:7" x14ac:dyDescent="0.2">
      <c r="A216" t="s">
        <v>3654</v>
      </c>
      <c r="B216" t="s">
        <v>3655</v>
      </c>
      <c r="C216" t="s">
        <v>2425</v>
      </c>
      <c r="D216" t="s">
        <v>14</v>
      </c>
    </row>
    <row r="217" spans="1:7" x14ac:dyDescent="0.2">
      <c r="A217" t="s">
        <v>3654</v>
      </c>
      <c r="B217" t="s">
        <v>3655</v>
      </c>
      <c r="C217" t="s">
        <v>2425</v>
      </c>
      <c r="D217" t="s">
        <v>10</v>
      </c>
      <c r="E217" t="s">
        <v>3657</v>
      </c>
    </row>
    <row r="218" spans="1:7" x14ac:dyDescent="0.2">
      <c r="A218" t="s">
        <v>3654</v>
      </c>
      <c r="B218" t="s">
        <v>3655</v>
      </c>
      <c r="C218" t="s">
        <v>2425</v>
      </c>
      <c r="D218" t="s">
        <v>8</v>
      </c>
      <c r="E218" t="s">
        <v>3658</v>
      </c>
    </row>
    <row r="219" spans="1:7" x14ac:dyDescent="0.2">
      <c r="A219" t="s">
        <v>3659</v>
      </c>
      <c r="B219" t="s">
        <v>3660</v>
      </c>
      <c r="C219" t="s">
        <v>2425</v>
      </c>
      <c r="D219" t="s">
        <v>11</v>
      </c>
      <c r="E219" t="s">
        <v>3661</v>
      </c>
    </row>
    <row r="220" spans="1:7" x14ac:dyDescent="0.2">
      <c r="A220" t="s">
        <v>3662</v>
      </c>
      <c r="B220" t="s">
        <v>3663</v>
      </c>
      <c r="C220" t="s">
        <v>2425</v>
      </c>
      <c r="D220" t="s">
        <v>11</v>
      </c>
      <c r="E220" t="s">
        <v>3664</v>
      </c>
    </row>
    <row r="221" spans="1:7" x14ac:dyDescent="0.2">
      <c r="A221" t="s">
        <v>3665</v>
      </c>
      <c r="B221" t="s">
        <v>3666</v>
      </c>
      <c r="C221" t="s">
        <v>2425</v>
      </c>
      <c r="D221" t="s">
        <v>11</v>
      </c>
      <c r="E221" t="s">
        <v>3667</v>
      </c>
    </row>
    <row r="222" spans="1:7" x14ac:dyDescent="0.2">
      <c r="A222" t="s">
        <v>3665</v>
      </c>
      <c r="B222" t="s">
        <v>3666</v>
      </c>
      <c r="C222" t="s">
        <v>2425</v>
      </c>
      <c r="D222" t="s">
        <v>10</v>
      </c>
      <c r="E222" t="s">
        <v>3668</v>
      </c>
    </row>
    <row r="223" spans="1:7" x14ac:dyDescent="0.2">
      <c r="A223" t="s">
        <v>3669</v>
      </c>
      <c r="B223" t="s">
        <v>3670</v>
      </c>
      <c r="C223" t="s">
        <v>2425</v>
      </c>
      <c r="D223" t="s">
        <v>11</v>
      </c>
      <c r="E223" t="s">
        <v>3671</v>
      </c>
    </row>
    <row r="224" spans="1:7" x14ac:dyDescent="0.2">
      <c r="A224" t="s">
        <v>3672</v>
      </c>
      <c r="B224" t="s">
        <v>3673</v>
      </c>
      <c r="C224" t="s">
        <v>2425</v>
      </c>
      <c r="D224" t="s">
        <v>11</v>
      </c>
      <c r="E224" t="s">
        <v>3674</v>
      </c>
    </row>
    <row r="225" spans="1:7" x14ac:dyDescent="0.2">
      <c r="A225" t="s">
        <v>3672</v>
      </c>
      <c r="B225" t="s">
        <v>3673</v>
      </c>
      <c r="C225" t="s">
        <v>2425</v>
      </c>
      <c r="D225" t="s">
        <v>14</v>
      </c>
      <c r="F225">
        <v>0</v>
      </c>
      <c r="G225">
        <v>5</v>
      </c>
    </row>
    <row r="226" spans="1:7" x14ac:dyDescent="0.2">
      <c r="A226" t="s">
        <v>3672</v>
      </c>
      <c r="B226" t="s">
        <v>3673</v>
      </c>
      <c r="C226" t="s">
        <v>2425</v>
      </c>
      <c r="D226" t="s">
        <v>10</v>
      </c>
      <c r="E226" t="s">
        <v>3675</v>
      </c>
    </row>
    <row r="227" spans="1:7" x14ac:dyDescent="0.2">
      <c r="A227" t="s">
        <v>3672</v>
      </c>
      <c r="B227" t="s">
        <v>3673</v>
      </c>
      <c r="C227" t="s">
        <v>2425</v>
      </c>
      <c r="D227" t="s">
        <v>8</v>
      </c>
      <c r="E227" t="s">
        <v>3676</v>
      </c>
    </row>
    <row r="228" spans="1:7" x14ac:dyDescent="0.2">
      <c r="A228" t="s">
        <v>3677</v>
      </c>
      <c r="B228" t="s">
        <v>3678</v>
      </c>
      <c r="C228" t="s">
        <v>2425</v>
      </c>
      <c r="D228" t="s">
        <v>14</v>
      </c>
      <c r="F228">
        <v>0</v>
      </c>
      <c r="G228">
        <v>3</v>
      </c>
    </row>
    <row r="229" spans="1:7" x14ac:dyDescent="0.2">
      <c r="A229" t="s">
        <v>3677</v>
      </c>
      <c r="B229" t="s">
        <v>3678</v>
      </c>
      <c r="C229" t="s">
        <v>2425</v>
      </c>
      <c r="D229" t="s">
        <v>10</v>
      </c>
      <c r="E229" t="s">
        <v>3679</v>
      </c>
    </row>
    <row r="230" spans="1:7" x14ac:dyDescent="0.2">
      <c r="A230" t="s">
        <v>3677</v>
      </c>
      <c r="B230" t="s">
        <v>3678</v>
      </c>
      <c r="C230" t="s">
        <v>2425</v>
      </c>
      <c r="D230" t="s">
        <v>8</v>
      </c>
      <c r="E230" t="s">
        <v>3680</v>
      </c>
    </row>
    <row r="231" spans="1:7" x14ac:dyDescent="0.2">
      <c r="A231" t="s">
        <v>3681</v>
      </c>
      <c r="B231" t="s">
        <v>3682</v>
      </c>
      <c r="C231" t="s">
        <v>2425</v>
      </c>
      <c r="D231" t="s">
        <v>14</v>
      </c>
    </row>
    <row r="232" spans="1:7" x14ac:dyDescent="0.2">
      <c r="A232" t="s">
        <v>3681</v>
      </c>
      <c r="B232" t="s">
        <v>3682</v>
      </c>
      <c r="C232" t="s">
        <v>2425</v>
      </c>
      <c r="D232" t="s">
        <v>8</v>
      </c>
      <c r="E232" t="s">
        <v>3683</v>
      </c>
    </row>
    <row r="233" spans="1:7" x14ac:dyDescent="0.2">
      <c r="A233" t="s">
        <v>3684</v>
      </c>
      <c r="B233" t="s">
        <v>3685</v>
      </c>
      <c r="C233" t="s">
        <v>2425</v>
      </c>
      <c r="D233" t="s">
        <v>14</v>
      </c>
    </row>
    <row r="234" spans="1:7" x14ac:dyDescent="0.2">
      <c r="A234" t="s">
        <v>3684</v>
      </c>
      <c r="B234" t="s">
        <v>3685</v>
      </c>
      <c r="C234" t="s">
        <v>2425</v>
      </c>
      <c r="D234" t="s">
        <v>8</v>
      </c>
      <c r="E234" t="s">
        <v>3686</v>
      </c>
    </row>
    <row r="235" spans="1:7" x14ac:dyDescent="0.2">
      <c r="A235" t="s">
        <v>3687</v>
      </c>
      <c r="B235" t="s">
        <v>3688</v>
      </c>
      <c r="C235" t="s">
        <v>2425</v>
      </c>
      <c r="D235" t="s">
        <v>8</v>
      </c>
      <c r="E235" t="s">
        <v>3689</v>
      </c>
    </row>
    <row r="236" spans="1:7" x14ac:dyDescent="0.2">
      <c r="A236" t="s">
        <v>3690</v>
      </c>
      <c r="B236" t="s">
        <v>3691</v>
      </c>
      <c r="C236" t="s">
        <v>2425</v>
      </c>
      <c r="D236" t="s">
        <v>11</v>
      </c>
      <c r="E236" t="s">
        <v>3692</v>
      </c>
    </row>
    <row r="237" spans="1:7" x14ac:dyDescent="0.2">
      <c r="A237" t="s">
        <v>3690</v>
      </c>
      <c r="B237" t="s">
        <v>3691</v>
      </c>
      <c r="C237" t="s">
        <v>2425</v>
      </c>
      <c r="D237" t="s">
        <v>10</v>
      </c>
      <c r="E237" t="s">
        <v>3693</v>
      </c>
    </row>
    <row r="238" spans="1:7" x14ac:dyDescent="0.2">
      <c r="A238" t="s">
        <v>3690</v>
      </c>
      <c r="B238" t="s">
        <v>3691</v>
      </c>
      <c r="C238" t="s">
        <v>2425</v>
      </c>
      <c r="D238" t="s">
        <v>8</v>
      </c>
      <c r="E238" t="s">
        <v>3694</v>
      </c>
    </row>
    <row r="239" spans="1:7" x14ac:dyDescent="0.2">
      <c r="A239" t="s">
        <v>3690</v>
      </c>
      <c r="B239" t="s">
        <v>3691</v>
      </c>
      <c r="C239" t="s">
        <v>2425</v>
      </c>
      <c r="D239" t="s">
        <v>12</v>
      </c>
    </row>
    <row r="240" spans="1:7" x14ac:dyDescent="0.2">
      <c r="A240" t="s">
        <v>3695</v>
      </c>
      <c r="B240" t="s">
        <v>3696</v>
      </c>
      <c r="C240" t="s">
        <v>2425</v>
      </c>
      <c r="D240" t="s">
        <v>11</v>
      </c>
      <c r="E240" t="s">
        <v>3697</v>
      </c>
    </row>
    <row r="241" spans="1:7" x14ac:dyDescent="0.2">
      <c r="A241" t="s">
        <v>3695</v>
      </c>
      <c r="B241" t="s">
        <v>3696</v>
      </c>
      <c r="C241" t="s">
        <v>2425</v>
      </c>
      <c r="D241" t="s">
        <v>10</v>
      </c>
      <c r="E241" t="s">
        <v>7161</v>
      </c>
    </row>
    <row r="242" spans="1:7" x14ac:dyDescent="0.2">
      <c r="A242" t="s">
        <v>3698</v>
      </c>
      <c r="B242" t="s">
        <v>3699</v>
      </c>
      <c r="C242" t="s">
        <v>2425</v>
      </c>
      <c r="D242" t="s">
        <v>8</v>
      </c>
      <c r="E242" t="s">
        <v>3700</v>
      </c>
    </row>
    <row r="243" spans="1:7" x14ac:dyDescent="0.2">
      <c r="A243" t="s">
        <v>3701</v>
      </c>
      <c r="B243" t="s">
        <v>3702</v>
      </c>
      <c r="C243" t="s">
        <v>2425</v>
      </c>
      <c r="D243" t="s">
        <v>10</v>
      </c>
      <c r="E243" t="s">
        <v>3703</v>
      </c>
    </row>
    <row r="244" spans="1:7" x14ac:dyDescent="0.2">
      <c r="A244" t="s">
        <v>2907</v>
      </c>
      <c r="B244" t="s">
        <v>2908</v>
      </c>
      <c r="C244" t="s">
        <v>2852</v>
      </c>
      <c r="D244" t="s">
        <v>3471</v>
      </c>
      <c r="E244" t="s">
        <v>3704</v>
      </c>
      <c r="F244">
        <v>0</v>
      </c>
      <c r="G244">
        <v>0</v>
      </c>
    </row>
    <row r="245" spans="1:7" x14ac:dyDescent="0.2">
      <c r="A245" t="s">
        <v>2867</v>
      </c>
      <c r="B245" t="s">
        <v>2868</v>
      </c>
      <c r="C245" t="s">
        <v>2852</v>
      </c>
      <c r="D245" t="s">
        <v>11</v>
      </c>
      <c r="E245" t="s">
        <v>8524</v>
      </c>
    </row>
    <row r="246" spans="1:7" x14ac:dyDescent="0.2">
      <c r="A246" t="s">
        <v>2867</v>
      </c>
      <c r="B246" t="s">
        <v>2868</v>
      </c>
      <c r="C246" t="s">
        <v>2852</v>
      </c>
      <c r="D246" t="s">
        <v>10</v>
      </c>
      <c r="E246" t="s">
        <v>3705</v>
      </c>
    </row>
    <row r="247" spans="1:7" x14ac:dyDescent="0.2">
      <c r="A247" t="s">
        <v>2867</v>
      </c>
      <c r="B247" t="s">
        <v>2868</v>
      </c>
      <c r="C247" t="s">
        <v>2852</v>
      </c>
      <c r="D247" t="s">
        <v>3471</v>
      </c>
      <c r="E247" t="s">
        <v>3706</v>
      </c>
      <c r="F247">
        <v>0.33333333333333331</v>
      </c>
      <c r="G247">
        <v>-2</v>
      </c>
    </row>
    <row r="248" spans="1:7" x14ac:dyDescent="0.2">
      <c r="A248" t="s">
        <v>2867</v>
      </c>
      <c r="B248" t="s">
        <v>2868</v>
      </c>
      <c r="C248" t="s">
        <v>2852</v>
      </c>
      <c r="D248" t="s">
        <v>8</v>
      </c>
      <c r="E248" t="s">
        <v>3707</v>
      </c>
      <c r="F248">
        <v>0</v>
      </c>
      <c r="G248">
        <v>1</v>
      </c>
    </row>
    <row r="249" spans="1:7" x14ac:dyDescent="0.2">
      <c r="A249" t="s">
        <v>2877</v>
      </c>
      <c r="B249" t="s">
        <v>2878</v>
      </c>
      <c r="C249" t="s">
        <v>2852</v>
      </c>
      <c r="D249" t="s">
        <v>10</v>
      </c>
      <c r="E249" t="s">
        <v>8525</v>
      </c>
    </row>
    <row r="250" spans="1:7" x14ac:dyDescent="0.2">
      <c r="A250" t="s">
        <v>2873</v>
      </c>
      <c r="B250" t="s">
        <v>2874</v>
      </c>
      <c r="C250" t="s">
        <v>2852</v>
      </c>
      <c r="D250" t="s">
        <v>10</v>
      </c>
      <c r="E250" t="s">
        <v>3708</v>
      </c>
    </row>
    <row r="251" spans="1:7" x14ac:dyDescent="0.2">
      <c r="A251" t="s">
        <v>2873</v>
      </c>
      <c r="B251" t="s">
        <v>2874</v>
      </c>
      <c r="C251" t="s">
        <v>2852</v>
      </c>
      <c r="D251" t="s">
        <v>3471</v>
      </c>
      <c r="E251" t="s">
        <v>3709</v>
      </c>
      <c r="F251">
        <v>0</v>
      </c>
      <c r="G251">
        <v>0</v>
      </c>
    </row>
    <row r="252" spans="1:7" x14ac:dyDescent="0.2">
      <c r="A252" t="s">
        <v>2871</v>
      </c>
      <c r="B252" t="s">
        <v>2872</v>
      </c>
      <c r="C252" t="s">
        <v>2852</v>
      </c>
      <c r="D252" t="s">
        <v>10</v>
      </c>
      <c r="E252" t="s">
        <v>8526</v>
      </c>
    </row>
    <row r="253" spans="1:7" x14ac:dyDescent="0.2">
      <c r="A253" t="s">
        <v>2919</v>
      </c>
      <c r="B253" t="s">
        <v>2920</v>
      </c>
      <c r="C253" t="s">
        <v>2852</v>
      </c>
      <c r="D253" t="s">
        <v>11</v>
      </c>
      <c r="E253" t="s">
        <v>3710</v>
      </c>
    </row>
    <row r="254" spans="1:7" x14ac:dyDescent="0.2">
      <c r="A254" t="s">
        <v>2919</v>
      </c>
      <c r="B254" t="s">
        <v>2920</v>
      </c>
      <c r="C254" t="s">
        <v>2852</v>
      </c>
      <c r="D254" t="s">
        <v>11</v>
      </c>
      <c r="E254" t="s">
        <v>3711</v>
      </c>
    </row>
    <row r="255" spans="1:7" x14ac:dyDescent="0.2">
      <c r="A255" t="s">
        <v>2919</v>
      </c>
      <c r="B255" t="s">
        <v>2920</v>
      </c>
      <c r="C255" t="s">
        <v>2852</v>
      </c>
      <c r="D255" t="s">
        <v>3471</v>
      </c>
      <c r="E255" t="s">
        <v>3712</v>
      </c>
      <c r="F255">
        <v>0</v>
      </c>
      <c r="G255">
        <v>0</v>
      </c>
    </row>
    <row r="256" spans="1:7" x14ac:dyDescent="0.2">
      <c r="A256" t="s">
        <v>2915</v>
      </c>
      <c r="B256" t="s">
        <v>2916</v>
      </c>
      <c r="C256" t="s">
        <v>2852</v>
      </c>
      <c r="D256" t="s">
        <v>10</v>
      </c>
      <c r="E256" t="s">
        <v>3713</v>
      </c>
    </row>
    <row r="257" spans="1:7" x14ac:dyDescent="0.2">
      <c r="A257" t="s">
        <v>2915</v>
      </c>
      <c r="B257" t="s">
        <v>2916</v>
      </c>
      <c r="C257" t="s">
        <v>2852</v>
      </c>
      <c r="D257" t="s">
        <v>3471</v>
      </c>
      <c r="E257" t="s">
        <v>3714</v>
      </c>
      <c r="F257">
        <v>0</v>
      </c>
      <c r="G257">
        <v>0</v>
      </c>
    </row>
    <row r="258" spans="1:7" x14ac:dyDescent="0.2">
      <c r="A258" t="s">
        <v>2913</v>
      </c>
      <c r="B258" t="s">
        <v>2914</v>
      </c>
      <c r="C258" t="s">
        <v>2852</v>
      </c>
      <c r="D258" t="s">
        <v>3471</v>
      </c>
      <c r="E258" t="s">
        <v>3715</v>
      </c>
      <c r="F258">
        <v>0</v>
      </c>
      <c r="G258">
        <v>0</v>
      </c>
    </row>
    <row r="259" spans="1:7" x14ac:dyDescent="0.2">
      <c r="A259" t="s">
        <v>3716</v>
      </c>
      <c r="B259" t="s">
        <v>3717</v>
      </c>
      <c r="C259" t="s">
        <v>2852</v>
      </c>
      <c r="D259" t="s">
        <v>11</v>
      </c>
      <c r="E259" t="s">
        <v>3718</v>
      </c>
    </row>
    <row r="260" spans="1:7" x14ac:dyDescent="0.2">
      <c r="A260" t="s">
        <v>2893</v>
      </c>
      <c r="B260" t="s">
        <v>2894</v>
      </c>
      <c r="C260" t="s">
        <v>2852</v>
      </c>
      <c r="D260" t="s">
        <v>11</v>
      </c>
      <c r="E260" t="s">
        <v>3719</v>
      </c>
    </row>
    <row r="261" spans="1:7" x14ac:dyDescent="0.2">
      <c r="A261" t="s">
        <v>2893</v>
      </c>
      <c r="B261" t="s">
        <v>2894</v>
      </c>
      <c r="C261" t="s">
        <v>2852</v>
      </c>
      <c r="D261" t="s">
        <v>3471</v>
      </c>
      <c r="E261" t="s">
        <v>3720</v>
      </c>
      <c r="F261">
        <v>0</v>
      </c>
      <c r="G261">
        <v>0</v>
      </c>
    </row>
    <row r="262" spans="1:7" x14ac:dyDescent="0.2">
      <c r="A262" t="s">
        <v>2893</v>
      </c>
      <c r="B262" t="s">
        <v>2894</v>
      </c>
      <c r="C262" t="s">
        <v>2852</v>
      </c>
      <c r="D262" t="s">
        <v>8</v>
      </c>
      <c r="E262" t="s">
        <v>3721</v>
      </c>
      <c r="F262">
        <v>0</v>
      </c>
      <c r="G262">
        <v>26</v>
      </c>
    </row>
    <row r="263" spans="1:7" x14ac:dyDescent="0.2">
      <c r="A263" t="s">
        <v>2899</v>
      </c>
      <c r="B263" t="s">
        <v>2900</v>
      </c>
      <c r="C263" t="s">
        <v>2852</v>
      </c>
      <c r="D263" t="s">
        <v>3471</v>
      </c>
      <c r="E263" t="s">
        <v>3722</v>
      </c>
      <c r="F263">
        <v>0</v>
      </c>
      <c r="G263">
        <v>0</v>
      </c>
    </row>
    <row r="264" spans="1:7" x14ac:dyDescent="0.2">
      <c r="A264" t="s">
        <v>2895</v>
      </c>
      <c r="B264" t="s">
        <v>2896</v>
      </c>
      <c r="C264" t="s">
        <v>2852</v>
      </c>
      <c r="D264" t="s">
        <v>10</v>
      </c>
      <c r="E264" t="s">
        <v>3723</v>
      </c>
    </row>
    <row r="265" spans="1:7" x14ac:dyDescent="0.2">
      <c r="A265" t="s">
        <v>2895</v>
      </c>
      <c r="B265" t="s">
        <v>2896</v>
      </c>
      <c r="C265" t="s">
        <v>2852</v>
      </c>
      <c r="D265" t="s">
        <v>3471</v>
      </c>
      <c r="E265" t="s">
        <v>3724</v>
      </c>
      <c r="F265">
        <v>0</v>
      </c>
      <c r="G265">
        <v>0</v>
      </c>
    </row>
    <row r="266" spans="1:7" x14ac:dyDescent="0.2">
      <c r="A266" t="s">
        <v>2883</v>
      </c>
      <c r="B266" t="s">
        <v>2884</v>
      </c>
      <c r="C266" t="s">
        <v>2852</v>
      </c>
      <c r="D266" t="s">
        <v>3471</v>
      </c>
      <c r="E266" t="s">
        <v>3725</v>
      </c>
      <c r="F266">
        <v>0</v>
      </c>
      <c r="G266">
        <v>0</v>
      </c>
    </row>
    <row r="267" spans="1:7" x14ac:dyDescent="0.2">
      <c r="A267" t="s">
        <v>3726</v>
      </c>
      <c r="B267" t="s">
        <v>3727</v>
      </c>
      <c r="C267" t="s">
        <v>1897</v>
      </c>
      <c r="D267" t="s">
        <v>11</v>
      </c>
      <c r="E267" t="s">
        <v>3728</v>
      </c>
    </row>
    <row r="268" spans="1:7" x14ac:dyDescent="0.2">
      <c r="A268" t="s">
        <v>3729</v>
      </c>
      <c r="B268" t="s">
        <v>3730</v>
      </c>
      <c r="C268" t="s">
        <v>1897</v>
      </c>
      <c r="D268" t="s">
        <v>11</v>
      </c>
      <c r="E268" t="s">
        <v>3731</v>
      </c>
    </row>
    <row r="269" spans="1:7" x14ac:dyDescent="0.2">
      <c r="A269" t="s">
        <v>3732</v>
      </c>
      <c r="B269" t="s">
        <v>3733</v>
      </c>
      <c r="C269" t="s">
        <v>1897</v>
      </c>
      <c r="D269" t="s">
        <v>11</v>
      </c>
      <c r="E269" t="s">
        <v>3734</v>
      </c>
    </row>
    <row r="270" spans="1:7" x14ac:dyDescent="0.2">
      <c r="A270" t="s">
        <v>3735</v>
      </c>
      <c r="B270" t="s">
        <v>3736</v>
      </c>
      <c r="C270" t="s">
        <v>1897</v>
      </c>
      <c r="D270" t="s">
        <v>11</v>
      </c>
      <c r="E270" t="s">
        <v>3737</v>
      </c>
    </row>
    <row r="271" spans="1:7" x14ac:dyDescent="0.2">
      <c r="A271" t="s">
        <v>1922</v>
      </c>
      <c r="B271" t="s">
        <v>1923</v>
      </c>
      <c r="C271" t="s">
        <v>1897</v>
      </c>
      <c r="D271" t="s">
        <v>11</v>
      </c>
      <c r="E271" t="s">
        <v>3738</v>
      </c>
    </row>
    <row r="272" spans="1:7" x14ac:dyDescent="0.2">
      <c r="A272" t="s">
        <v>1924</v>
      </c>
      <c r="B272" t="s">
        <v>1925</v>
      </c>
      <c r="C272" t="s">
        <v>1897</v>
      </c>
      <c r="D272" t="s">
        <v>11</v>
      </c>
      <c r="E272" t="s">
        <v>3739</v>
      </c>
    </row>
    <row r="273" spans="1:5" x14ac:dyDescent="0.2">
      <c r="A273" t="s">
        <v>3740</v>
      </c>
      <c r="B273" t="s">
        <v>3741</v>
      </c>
      <c r="C273" t="s">
        <v>1897</v>
      </c>
      <c r="D273" t="s">
        <v>11</v>
      </c>
      <c r="E273" t="s">
        <v>3742</v>
      </c>
    </row>
    <row r="274" spans="1:5" x14ac:dyDescent="0.2">
      <c r="A274" t="s">
        <v>3743</v>
      </c>
      <c r="B274" t="s">
        <v>3744</v>
      </c>
      <c r="C274" t="s">
        <v>1897</v>
      </c>
      <c r="D274" t="s">
        <v>11</v>
      </c>
      <c r="E274" t="s">
        <v>3745</v>
      </c>
    </row>
    <row r="275" spans="1:5" x14ac:dyDescent="0.2">
      <c r="A275" t="s">
        <v>3746</v>
      </c>
      <c r="B275" t="s">
        <v>3747</v>
      </c>
      <c r="C275" t="s">
        <v>1897</v>
      </c>
      <c r="D275" t="s">
        <v>11</v>
      </c>
      <c r="E275" t="s">
        <v>3748</v>
      </c>
    </row>
    <row r="276" spans="1:5" x14ac:dyDescent="0.2">
      <c r="A276" t="s">
        <v>3749</v>
      </c>
      <c r="B276" t="s">
        <v>3750</v>
      </c>
      <c r="C276" t="s">
        <v>1897</v>
      </c>
      <c r="D276" t="s">
        <v>11</v>
      </c>
      <c r="E276" t="s">
        <v>3751</v>
      </c>
    </row>
    <row r="277" spans="1:5" x14ac:dyDescent="0.2">
      <c r="A277" t="s">
        <v>3752</v>
      </c>
      <c r="B277" t="s">
        <v>3753</v>
      </c>
      <c r="C277" t="s">
        <v>1897</v>
      </c>
      <c r="D277" t="s">
        <v>11</v>
      </c>
      <c r="E277" t="s">
        <v>3754</v>
      </c>
    </row>
    <row r="278" spans="1:5" x14ac:dyDescent="0.2">
      <c r="A278" t="s">
        <v>1904</v>
      </c>
      <c r="B278" t="s">
        <v>1905</v>
      </c>
      <c r="C278" t="s">
        <v>1897</v>
      </c>
      <c r="D278" t="s">
        <v>11</v>
      </c>
      <c r="E278" t="s">
        <v>3755</v>
      </c>
    </row>
    <row r="279" spans="1:5" x14ac:dyDescent="0.2">
      <c r="A279" t="s">
        <v>3756</v>
      </c>
      <c r="B279" t="s">
        <v>3757</v>
      </c>
      <c r="C279" t="s">
        <v>1897</v>
      </c>
      <c r="D279" t="s">
        <v>11</v>
      </c>
      <c r="E279" t="s">
        <v>3758</v>
      </c>
    </row>
    <row r="280" spans="1:5" x14ac:dyDescent="0.2">
      <c r="A280" t="s">
        <v>3759</v>
      </c>
      <c r="B280" t="s">
        <v>3760</v>
      </c>
      <c r="C280" t="s">
        <v>1897</v>
      </c>
      <c r="D280" t="s">
        <v>11</v>
      </c>
      <c r="E280" t="s">
        <v>3761</v>
      </c>
    </row>
    <row r="281" spans="1:5" x14ac:dyDescent="0.2">
      <c r="A281" t="s">
        <v>3762</v>
      </c>
      <c r="B281" t="s">
        <v>3763</v>
      </c>
      <c r="C281" t="s">
        <v>1897</v>
      </c>
      <c r="D281" t="s">
        <v>11</v>
      </c>
      <c r="E281" t="s">
        <v>3764</v>
      </c>
    </row>
    <row r="282" spans="1:5" x14ac:dyDescent="0.2">
      <c r="A282" t="s">
        <v>3765</v>
      </c>
      <c r="B282" t="s">
        <v>3766</v>
      </c>
      <c r="C282" t="s">
        <v>1897</v>
      </c>
      <c r="D282" t="s">
        <v>11</v>
      </c>
      <c r="E282" t="s">
        <v>3767</v>
      </c>
    </row>
    <row r="283" spans="1:5" x14ac:dyDescent="0.2">
      <c r="A283" t="s">
        <v>1906</v>
      </c>
      <c r="B283" t="s">
        <v>1907</v>
      </c>
      <c r="C283" t="s">
        <v>1897</v>
      </c>
      <c r="D283" t="s">
        <v>11</v>
      </c>
      <c r="E283" t="s">
        <v>3768</v>
      </c>
    </row>
    <row r="284" spans="1:5" x14ac:dyDescent="0.2">
      <c r="A284" t="s">
        <v>3769</v>
      </c>
      <c r="B284" t="s">
        <v>3770</v>
      </c>
      <c r="C284" t="s">
        <v>1897</v>
      </c>
      <c r="D284" t="s">
        <v>11</v>
      </c>
      <c r="E284" t="s">
        <v>3771</v>
      </c>
    </row>
    <row r="285" spans="1:5" x14ac:dyDescent="0.2">
      <c r="A285" t="s">
        <v>3772</v>
      </c>
      <c r="B285" t="s">
        <v>3773</v>
      </c>
      <c r="C285" t="s">
        <v>1897</v>
      </c>
      <c r="D285" t="s">
        <v>11</v>
      </c>
      <c r="E285" t="s">
        <v>3774</v>
      </c>
    </row>
    <row r="286" spans="1:5" x14ac:dyDescent="0.2">
      <c r="A286" t="s">
        <v>3775</v>
      </c>
      <c r="B286" t="s">
        <v>3776</v>
      </c>
      <c r="C286" t="s">
        <v>1897</v>
      </c>
      <c r="D286" t="s">
        <v>11</v>
      </c>
      <c r="E286" t="s">
        <v>3777</v>
      </c>
    </row>
    <row r="287" spans="1:5" x14ac:dyDescent="0.2">
      <c r="A287" t="s">
        <v>3778</v>
      </c>
      <c r="B287" t="s">
        <v>3779</v>
      </c>
      <c r="C287" t="s">
        <v>1897</v>
      </c>
      <c r="D287" t="s">
        <v>11</v>
      </c>
      <c r="E287" t="s">
        <v>3780</v>
      </c>
    </row>
    <row r="288" spans="1:5" x14ac:dyDescent="0.2">
      <c r="A288" t="s">
        <v>3781</v>
      </c>
      <c r="B288" t="s">
        <v>3782</v>
      </c>
      <c r="C288" t="s">
        <v>1897</v>
      </c>
      <c r="D288" t="s">
        <v>11</v>
      </c>
      <c r="E288" t="s">
        <v>3783</v>
      </c>
    </row>
    <row r="289" spans="1:5" x14ac:dyDescent="0.2">
      <c r="A289" t="s">
        <v>1908</v>
      </c>
      <c r="B289" t="s">
        <v>1909</v>
      </c>
      <c r="C289" t="s">
        <v>1897</v>
      </c>
      <c r="D289" t="s">
        <v>11</v>
      </c>
      <c r="E289" t="s">
        <v>3784</v>
      </c>
    </row>
    <row r="290" spans="1:5" x14ac:dyDescent="0.2">
      <c r="A290" t="s">
        <v>3785</v>
      </c>
      <c r="B290" t="s">
        <v>3786</v>
      </c>
      <c r="C290" t="s">
        <v>1897</v>
      </c>
      <c r="D290" t="s">
        <v>11</v>
      </c>
      <c r="E290" t="s">
        <v>3787</v>
      </c>
    </row>
    <row r="291" spans="1:5" x14ac:dyDescent="0.2">
      <c r="A291" t="s">
        <v>3788</v>
      </c>
      <c r="B291" t="s">
        <v>3789</v>
      </c>
      <c r="C291" t="s">
        <v>1897</v>
      </c>
      <c r="D291" t="s">
        <v>11</v>
      </c>
      <c r="E291" t="s">
        <v>3790</v>
      </c>
    </row>
    <row r="292" spans="1:5" x14ac:dyDescent="0.2">
      <c r="A292" t="s">
        <v>1934</v>
      </c>
      <c r="B292" t="s">
        <v>1935</v>
      </c>
      <c r="C292" t="s">
        <v>1897</v>
      </c>
      <c r="D292" t="s">
        <v>11</v>
      </c>
      <c r="E292" t="s">
        <v>3791</v>
      </c>
    </row>
    <row r="293" spans="1:5" x14ac:dyDescent="0.2">
      <c r="A293" t="s">
        <v>3792</v>
      </c>
      <c r="B293" t="s">
        <v>3793</v>
      </c>
      <c r="C293" t="s">
        <v>1897</v>
      </c>
      <c r="D293" t="s">
        <v>11</v>
      </c>
      <c r="E293" t="s">
        <v>3794</v>
      </c>
    </row>
    <row r="294" spans="1:5" x14ac:dyDescent="0.2">
      <c r="A294" t="s">
        <v>3795</v>
      </c>
      <c r="B294" t="s">
        <v>3796</v>
      </c>
      <c r="C294" t="s">
        <v>1897</v>
      </c>
      <c r="D294" t="s">
        <v>11</v>
      </c>
      <c r="E294" t="s">
        <v>3797</v>
      </c>
    </row>
    <row r="295" spans="1:5" x14ac:dyDescent="0.2">
      <c r="A295" t="s">
        <v>3798</v>
      </c>
      <c r="B295" t="s">
        <v>3799</v>
      </c>
      <c r="C295" t="s">
        <v>1897</v>
      </c>
      <c r="D295" t="s">
        <v>11</v>
      </c>
      <c r="E295" t="s">
        <v>3800</v>
      </c>
    </row>
    <row r="296" spans="1:5" x14ac:dyDescent="0.2">
      <c r="A296" t="s">
        <v>3801</v>
      </c>
      <c r="B296" t="s">
        <v>3802</v>
      </c>
      <c r="C296" t="s">
        <v>1897</v>
      </c>
      <c r="D296" t="s">
        <v>11</v>
      </c>
      <c r="E296" t="s">
        <v>3803</v>
      </c>
    </row>
    <row r="297" spans="1:5" x14ac:dyDescent="0.2">
      <c r="A297" t="s">
        <v>3804</v>
      </c>
      <c r="B297" t="s">
        <v>3805</v>
      </c>
      <c r="C297" t="s">
        <v>1897</v>
      </c>
      <c r="D297" t="s">
        <v>11</v>
      </c>
      <c r="E297" t="s">
        <v>3806</v>
      </c>
    </row>
    <row r="298" spans="1:5" x14ac:dyDescent="0.2">
      <c r="A298" t="s">
        <v>3807</v>
      </c>
      <c r="B298" t="s">
        <v>3808</v>
      </c>
      <c r="C298" t="s">
        <v>1897</v>
      </c>
      <c r="D298" t="s">
        <v>11</v>
      </c>
      <c r="E298" t="s">
        <v>3809</v>
      </c>
    </row>
    <row r="299" spans="1:5" x14ac:dyDescent="0.2">
      <c r="A299" t="s">
        <v>3810</v>
      </c>
      <c r="B299" t="s">
        <v>3811</v>
      </c>
      <c r="C299" t="s">
        <v>1897</v>
      </c>
      <c r="D299" t="s">
        <v>11</v>
      </c>
      <c r="E299" t="s">
        <v>3812</v>
      </c>
    </row>
    <row r="300" spans="1:5" x14ac:dyDescent="0.2">
      <c r="A300" t="s">
        <v>3813</v>
      </c>
      <c r="B300" t="s">
        <v>3814</v>
      </c>
      <c r="C300" t="s">
        <v>1897</v>
      </c>
      <c r="D300" t="s">
        <v>11</v>
      </c>
      <c r="E300" t="s">
        <v>3815</v>
      </c>
    </row>
    <row r="301" spans="1:5" x14ac:dyDescent="0.2">
      <c r="A301" t="s">
        <v>3816</v>
      </c>
      <c r="B301" t="s">
        <v>3817</v>
      </c>
      <c r="C301" t="s">
        <v>1897</v>
      </c>
      <c r="D301" t="s">
        <v>11</v>
      </c>
      <c r="E301" t="s">
        <v>3818</v>
      </c>
    </row>
    <row r="302" spans="1:5" x14ac:dyDescent="0.2">
      <c r="A302" t="s">
        <v>3819</v>
      </c>
      <c r="B302" t="s">
        <v>3820</v>
      </c>
      <c r="C302" t="s">
        <v>1897</v>
      </c>
      <c r="D302" t="s">
        <v>11</v>
      </c>
      <c r="E302" t="s">
        <v>3821</v>
      </c>
    </row>
    <row r="303" spans="1:5" x14ac:dyDescent="0.2">
      <c r="A303" t="s">
        <v>3822</v>
      </c>
      <c r="B303" t="s">
        <v>3823</v>
      </c>
      <c r="C303" t="s">
        <v>1897</v>
      </c>
      <c r="D303" t="s">
        <v>11</v>
      </c>
      <c r="E303" t="s">
        <v>3824</v>
      </c>
    </row>
    <row r="304" spans="1:5" x14ac:dyDescent="0.2">
      <c r="A304" t="s">
        <v>3825</v>
      </c>
      <c r="B304" t="s">
        <v>3826</v>
      </c>
      <c r="C304" t="s">
        <v>1897</v>
      </c>
      <c r="D304" t="s">
        <v>11</v>
      </c>
      <c r="E304" t="s">
        <v>3827</v>
      </c>
    </row>
    <row r="305" spans="1:5" x14ac:dyDescent="0.2">
      <c r="A305" t="s">
        <v>3828</v>
      </c>
      <c r="B305" t="s">
        <v>3829</v>
      </c>
      <c r="C305" t="s">
        <v>1897</v>
      </c>
      <c r="D305" t="s">
        <v>11</v>
      </c>
      <c r="E305" t="s">
        <v>3830</v>
      </c>
    </row>
    <row r="306" spans="1:5" x14ac:dyDescent="0.2">
      <c r="A306" t="s">
        <v>3831</v>
      </c>
      <c r="B306" t="s">
        <v>3832</v>
      </c>
      <c r="C306" t="s">
        <v>1897</v>
      </c>
      <c r="D306" t="s">
        <v>11</v>
      </c>
      <c r="E306" t="s">
        <v>3833</v>
      </c>
    </row>
    <row r="307" spans="1:5" x14ac:dyDescent="0.2">
      <c r="A307" t="s">
        <v>3834</v>
      </c>
      <c r="B307" t="s">
        <v>3835</v>
      </c>
      <c r="C307" t="s">
        <v>1897</v>
      </c>
      <c r="D307" t="s">
        <v>11</v>
      </c>
      <c r="E307" t="s">
        <v>3836</v>
      </c>
    </row>
    <row r="308" spans="1:5" x14ac:dyDescent="0.2">
      <c r="A308" t="s">
        <v>3837</v>
      </c>
      <c r="B308" t="s">
        <v>3838</v>
      </c>
      <c r="C308" t="s">
        <v>1897</v>
      </c>
      <c r="D308" t="s">
        <v>11</v>
      </c>
      <c r="E308" t="s">
        <v>3839</v>
      </c>
    </row>
    <row r="309" spans="1:5" x14ac:dyDescent="0.2">
      <c r="A309" t="s">
        <v>1932</v>
      </c>
      <c r="B309" t="s">
        <v>1933</v>
      </c>
      <c r="C309" t="s">
        <v>1897</v>
      </c>
      <c r="D309" t="s">
        <v>11</v>
      </c>
      <c r="E309" t="s">
        <v>3840</v>
      </c>
    </row>
    <row r="310" spans="1:5" x14ac:dyDescent="0.2">
      <c r="A310" t="s">
        <v>1932</v>
      </c>
      <c r="B310" t="s">
        <v>1933</v>
      </c>
      <c r="C310" t="s">
        <v>1897</v>
      </c>
      <c r="D310" t="s">
        <v>10</v>
      </c>
      <c r="E310" t="s">
        <v>3841</v>
      </c>
    </row>
    <row r="311" spans="1:5" x14ac:dyDescent="0.2">
      <c r="A311" t="s">
        <v>1930</v>
      </c>
      <c r="B311" t="s">
        <v>1931</v>
      </c>
      <c r="C311" t="s">
        <v>1897</v>
      </c>
      <c r="D311" t="s">
        <v>11</v>
      </c>
      <c r="E311" t="s">
        <v>3842</v>
      </c>
    </row>
    <row r="312" spans="1:5" x14ac:dyDescent="0.2">
      <c r="A312" t="s">
        <v>1930</v>
      </c>
      <c r="B312" t="s">
        <v>1931</v>
      </c>
      <c r="C312" t="s">
        <v>1897</v>
      </c>
      <c r="D312" t="s">
        <v>10</v>
      </c>
      <c r="E312" t="s">
        <v>3843</v>
      </c>
    </row>
    <row r="313" spans="1:5" x14ac:dyDescent="0.2">
      <c r="A313" t="s">
        <v>3844</v>
      </c>
      <c r="B313" t="s">
        <v>3845</v>
      </c>
      <c r="C313" t="s">
        <v>1897</v>
      </c>
      <c r="D313" t="s">
        <v>11</v>
      </c>
      <c r="E313" t="s">
        <v>3846</v>
      </c>
    </row>
    <row r="314" spans="1:5" x14ac:dyDescent="0.2">
      <c r="A314" t="s">
        <v>3847</v>
      </c>
      <c r="B314" t="s">
        <v>3848</v>
      </c>
      <c r="C314" t="s">
        <v>1897</v>
      </c>
      <c r="D314" t="s">
        <v>11</v>
      </c>
      <c r="E314" t="s">
        <v>3849</v>
      </c>
    </row>
    <row r="315" spans="1:5" x14ac:dyDescent="0.2">
      <c r="A315" t="s">
        <v>3850</v>
      </c>
      <c r="B315" t="s">
        <v>3851</v>
      </c>
      <c r="C315" t="s">
        <v>1897</v>
      </c>
      <c r="D315" t="s">
        <v>11</v>
      </c>
      <c r="E315" t="s">
        <v>3852</v>
      </c>
    </row>
    <row r="316" spans="1:5" x14ac:dyDescent="0.2">
      <c r="A316" t="s">
        <v>3853</v>
      </c>
      <c r="B316" t="s">
        <v>3854</v>
      </c>
      <c r="C316" t="s">
        <v>1897</v>
      </c>
      <c r="D316" t="s">
        <v>11</v>
      </c>
      <c r="E316" t="s">
        <v>3855</v>
      </c>
    </row>
    <row r="317" spans="1:5" x14ac:dyDescent="0.2">
      <c r="A317" t="s">
        <v>3856</v>
      </c>
      <c r="B317" t="s">
        <v>3857</v>
      </c>
      <c r="C317" t="s">
        <v>1897</v>
      </c>
      <c r="D317" t="s">
        <v>11</v>
      </c>
      <c r="E317" t="s">
        <v>3858</v>
      </c>
    </row>
    <row r="318" spans="1:5" x14ac:dyDescent="0.2">
      <c r="A318" t="s">
        <v>3859</v>
      </c>
      <c r="B318" t="s">
        <v>3860</v>
      </c>
      <c r="C318" t="s">
        <v>1897</v>
      </c>
      <c r="D318" t="s">
        <v>11</v>
      </c>
      <c r="E318" t="s">
        <v>3861</v>
      </c>
    </row>
    <row r="319" spans="1:5" x14ac:dyDescent="0.2">
      <c r="A319" t="s">
        <v>3862</v>
      </c>
      <c r="B319" t="s">
        <v>3863</v>
      </c>
      <c r="C319" t="s">
        <v>1897</v>
      </c>
      <c r="D319" t="s">
        <v>11</v>
      </c>
      <c r="E319" t="s">
        <v>3864</v>
      </c>
    </row>
    <row r="320" spans="1:5" x14ac:dyDescent="0.2">
      <c r="A320" t="s">
        <v>3865</v>
      </c>
      <c r="B320" t="s">
        <v>3866</v>
      </c>
      <c r="C320" t="s">
        <v>1897</v>
      </c>
      <c r="D320" t="s">
        <v>11</v>
      </c>
      <c r="E320" t="s">
        <v>3867</v>
      </c>
    </row>
    <row r="321" spans="1:5" x14ac:dyDescent="0.2">
      <c r="A321" t="s">
        <v>3868</v>
      </c>
      <c r="B321" t="s">
        <v>3869</v>
      </c>
      <c r="C321" t="s">
        <v>1897</v>
      </c>
      <c r="D321" t="s">
        <v>11</v>
      </c>
      <c r="E321" t="s">
        <v>3870</v>
      </c>
    </row>
    <row r="322" spans="1:5" x14ac:dyDescent="0.2">
      <c r="A322" t="s">
        <v>3871</v>
      </c>
      <c r="B322" t="s">
        <v>3872</v>
      </c>
      <c r="C322" t="s">
        <v>1897</v>
      </c>
      <c r="D322" t="s">
        <v>11</v>
      </c>
      <c r="E322" t="s">
        <v>3873</v>
      </c>
    </row>
    <row r="323" spans="1:5" x14ac:dyDescent="0.2">
      <c r="A323" t="s">
        <v>3874</v>
      </c>
      <c r="B323" t="s">
        <v>3875</v>
      </c>
      <c r="C323" t="s">
        <v>1897</v>
      </c>
      <c r="D323" t="s">
        <v>11</v>
      </c>
      <c r="E323" t="s">
        <v>3876</v>
      </c>
    </row>
    <row r="324" spans="1:5" x14ac:dyDescent="0.2">
      <c r="A324" t="s">
        <v>3877</v>
      </c>
      <c r="B324" t="s">
        <v>3878</v>
      </c>
      <c r="C324" t="s">
        <v>1897</v>
      </c>
      <c r="D324" t="s">
        <v>11</v>
      </c>
      <c r="E324" t="s">
        <v>3879</v>
      </c>
    </row>
    <row r="325" spans="1:5" x14ac:dyDescent="0.2">
      <c r="A325" t="s">
        <v>3880</v>
      </c>
      <c r="B325" t="s">
        <v>3881</v>
      </c>
      <c r="C325" t="s">
        <v>1897</v>
      </c>
      <c r="D325" t="s">
        <v>11</v>
      </c>
      <c r="E325" t="s">
        <v>3882</v>
      </c>
    </row>
    <row r="326" spans="1:5" x14ac:dyDescent="0.2">
      <c r="A326" t="s">
        <v>3883</v>
      </c>
      <c r="B326" t="s">
        <v>3884</v>
      </c>
      <c r="C326" t="s">
        <v>1897</v>
      </c>
      <c r="D326" t="s">
        <v>11</v>
      </c>
      <c r="E326" t="s">
        <v>3885</v>
      </c>
    </row>
    <row r="327" spans="1:5" x14ac:dyDescent="0.2">
      <c r="A327" t="s">
        <v>3886</v>
      </c>
      <c r="B327" t="s">
        <v>3887</v>
      </c>
      <c r="C327" t="s">
        <v>1897</v>
      </c>
      <c r="D327" t="s">
        <v>11</v>
      </c>
      <c r="E327" t="s">
        <v>3888</v>
      </c>
    </row>
    <row r="328" spans="1:5" x14ac:dyDescent="0.2">
      <c r="A328" t="s">
        <v>3889</v>
      </c>
      <c r="B328" t="s">
        <v>3890</v>
      </c>
      <c r="C328" t="s">
        <v>1897</v>
      </c>
      <c r="D328" t="s">
        <v>11</v>
      </c>
      <c r="E328" t="s">
        <v>3891</v>
      </c>
    </row>
    <row r="329" spans="1:5" x14ac:dyDescent="0.2">
      <c r="A329" t="s">
        <v>3892</v>
      </c>
      <c r="B329" t="s">
        <v>3893</v>
      </c>
      <c r="C329" t="s">
        <v>1897</v>
      </c>
      <c r="D329" t="s">
        <v>11</v>
      </c>
      <c r="E329" t="s">
        <v>3894</v>
      </c>
    </row>
    <row r="330" spans="1:5" x14ac:dyDescent="0.2">
      <c r="A330" t="s">
        <v>3892</v>
      </c>
      <c r="B330" t="s">
        <v>3893</v>
      </c>
      <c r="C330" t="s">
        <v>1897</v>
      </c>
      <c r="D330" t="s">
        <v>11</v>
      </c>
      <c r="E330" t="s">
        <v>3895</v>
      </c>
    </row>
    <row r="331" spans="1:5" x14ac:dyDescent="0.2">
      <c r="A331" t="s">
        <v>3896</v>
      </c>
      <c r="B331" t="s">
        <v>3897</v>
      </c>
      <c r="C331" t="s">
        <v>1897</v>
      </c>
      <c r="D331" t="s">
        <v>11</v>
      </c>
      <c r="E331" t="s">
        <v>3898</v>
      </c>
    </row>
    <row r="332" spans="1:5" x14ac:dyDescent="0.2">
      <c r="A332" t="s">
        <v>3899</v>
      </c>
      <c r="B332" t="s">
        <v>3900</v>
      </c>
      <c r="C332" t="s">
        <v>1897</v>
      </c>
      <c r="D332" t="s">
        <v>11</v>
      </c>
      <c r="E332" t="s">
        <v>3901</v>
      </c>
    </row>
    <row r="333" spans="1:5" x14ac:dyDescent="0.2">
      <c r="A333" t="s">
        <v>3902</v>
      </c>
      <c r="B333" t="s">
        <v>3903</v>
      </c>
      <c r="C333" t="s">
        <v>1897</v>
      </c>
      <c r="D333" t="s">
        <v>11</v>
      </c>
      <c r="E333" t="s">
        <v>3904</v>
      </c>
    </row>
    <row r="334" spans="1:5" x14ac:dyDescent="0.2">
      <c r="A334" t="s">
        <v>3905</v>
      </c>
      <c r="B334" t="s">
        <v>3906</v>
      </c>
      <c r="C334" t="s">
        <v>1897</v>
      </c>
      <c r="D334" t="s">
        <v>11</v>
      </c>
      <c r="E334" t="s">
        <v>3907</v>
      </c>
    </row>
    <row r="335" spans="1:5" x14ac:dyDescent="0.2">
      <c r="A335" t="s">
        <v>3908</v>
      </c>
      <c r="B335" t="s">
        <v>3909</v>
      </c>
      <c r="C335" t="s">
        <v>1897</v>
      </c>
      <c r="D335" t="s">
        <v>11</v>
      </c>
      <c r="E335" t="s">
        <v>3910</v>
      </c>
    </row>
    <row r="336" spans="1:5" x14ac:dyDescent="0.2">
      <c r="A336" t="s">
        <v>3911</v>
      </c>
      <c r="B336" t="s">
        <v>3912</v>
      </c>
      <c r="C336" t="s">
        <v>1897</v>
      </c>
      <c r="D336" t="s">
        <v>11</v>
      </c>
      <c r="E336" t="s">
        <v>3913</v>
      </c>
    </row>
    <row r="337" spans="1:5" x14ac:dyDescent="0.2">
      <c r="A337" t="s">
        <v>3914</v>
      </c>
      <c r="B337" t="s">
        <v>3915</v>
      </c>
      <c r="C337" t="s">
        <v>1897</v>
      </c>
      <c r="D337" t="s">
        <v>11</v>
      </c>
      <c r="E337" t="s">
        <v>3916</v>
      </c>
    </row>
    <row r="338" spans="1:5" x14ac:dyDescent="0.2">
      <c r="A338" t="s">
        <v>3917</v>
      </c>
      <c r="B338" t="s">
        <v>3918</v>
      </c>
      <c r="C338" t="s">
        <v>1897</v>
      </c>
      <c r="D338" t="s">
        <v>11</v>
      </c>
      <c r="E338" t="s">
        <v>3919</v>
      </c>
    </row>
    <row r="339" spans="1:5" x14ac:dyDescent="0.2">
      <c r="A339" t="s">
        <v>3920</v>
      </c>
      <c r="B339" t="s">
        <v>3921</v>
      </c>
      <c r="C339" t="s">
        <v>1897</v>
      </c>
      <c r="D339" t="s">
        <v>11</v>
      </c>
      <c r="E339" t="s">
        <v>3922</v>
      </c>
    </row>
    <row r="340" spans="1:5" x14ac:dyDescent="0.2">
      <c r="A340" t="s">
        <v>3923</v>
      </c>
      <c r="B340" t="s">
        <v>3924</v>
      </c>
      <c r="C340" t="s">
        <v>1897</v>
      </c>
      <c r="D340" t="s">
        <v>11</v>
      </c>
      <c r="E340" t="s">
        <v>3925</v>
      </c>
    </row>
    <row r="341" spans="1:5" x14ac:dyDescent="0.2">
      <c r="A341" t="s">
        <v>3926</v>
      </c>
      <c r="B341" t="s">
        <v>3927</v>
      </c>
      <c r="C341" t="s">
        <v>1897</v>
      </c>
      <c r="D341" t="s">
        <v>11</v>
      </c>
      <c r="E341" t="s">
        <v>3928</v>
      </c>
    </row>
    <row r="342" spans="1:5" x14ac:dyDescent="0.2">
      <c r="A342" t="s">
        <v>1916</v>
      </c>
      <c r="B342" t="s">
        <v>1917</v>
      </c>
      <c r="C342" t="s">
        <v>1897</v>
      </c>
      <c r="D342" t="s">
        <v>11</v>
      </c>
      <c r="E342" t="s">
        <v>3929</v>
      </c>
    </row>
    <row r="343" spans="1:5" x14ac:dyDescent="0.2">
      <c r="A343" t="s">
        <v>3930</v>
      </c>
      <c r="B343" t="s">
        <v>3931</v>
      </c>
      <c r="C343" t="s">
        <v>1897</v>
      </c>
      <c r="D343" t="s">
        <v>11</v>
      </c>
      <c r="E343" t="s">
        <v>3932</v>
      </c>
    </row>
    <row r="344" spans="1:5" x14ac:dyDescent="0.2">
      <c r="A344" t="s">
        <v>3933</v>
      </c>
      <c r="B344" t="s">
        <v>3934</v>
      </c>
      <c r="C344" t="s">
        <v>1897</v>
      </c>
      <c r="D344" t="s">
        <v>11</v>
      </c>
      <c r="E344" t="s">
        <v>3935</v>
      </c>
    </row>
    <row r="345" spans="1:5" x14ac:dyDescent="0.2">
      <c r="A345" t="s">
        <v>3936</v>
      </c>
      <c r="B345" t="s">
        <v>3937</v>
      </c>
      <c r="C345" t="s">
        <v>1897</v>
      </c>
      <c r="D345" t="s">
        <v>11</v>
      </c>
      <c r="E345" t="s">
        <v>3938</v>
      </c>
    </row>
    <row r="346" spans="1:5" x14ac:dyDescent="0.2">
      <c r="A346" t="s">
        <v>3939</v>
      </c>
      <c r="B346" t="s">
        <v>3940</v>
      </c>
      <c r="C346" t="s">
        <v>1897</v>
      </c>
      <c r="D346" t="s">
        <v>11</v>
      </c>
      <c r="E346" t="s">
        <v>3941</v>
      </c>
    </row>
    <row r="347" spans="1:5" x14ac:dyDescent="0.2">
      <c r="A347" t="s">
        <v>3942</v>
      </c>
      <c r="B347" t="s">
        <v>3943</v>
      </c>
      <c r="C347" t="s">
        <v>1897</v>
      </c>
      <c r="D347" t="s">
        <v>11</v>
      </c>
      <c r="E347" t="s">
        <v>3944</v>
      </c>
    </row>
    <row r="348" spans="1:5" x14ac:dyDescent="0.2">
      <c r="A348" t="s">
        <v>3945</v>
      </c>
      <c r="B348" t="s">
        <v>3946</v>
      </c>
      <c r="C348" t="s">
        <v>1897</v>
      </c>
      <c r="D348" t="s">
        <v>11</v>
      </c>
      <c r="E348" t="s">
        <v>3947</v>
      </c>
    </row>
    <row r="349" spans="1:5" x14ac:dyDescent="0.2">
      <c r="A349" t="s">
        <v>3948</v>
      </c>
      <c r="B349" t="s">
        <v>3949</v>
      </c>
      <c r="C349" t="s">
        <v>1897</v>
      </c>
      <c r="D349" t="s">
        <v>11</v>
      </c>
      <c r="E349" t="s">
        <v>3950</v>
      </c>
    </row>
    <row r="350" spans="1:5" x14ac:dyDescent="0.2">
      <c r="A350" t="s">
        <v>3951</v>
      </c>
      <c r="B350" t="s">
        <v>3952</v>
      </c>
      <c r="C350" t="s">
        <v>1897</v>
      </c>
      <c r="D350" t="s">
        <v>11</v>
      </c>
      <c r="E350" t="s">
        <v>3953</v>
      </c>
    </row>
    <row r="351" spans="1:5" x14ac:dyDescent="0.2">
      <c r="A351" t="s">
        <v>3954</v>
      </c>
      <c r="B351" t="s">
        <v>3955</v>
      </c>
      <c r="C351" t="s">
        <v>1897</v>
      </c>
      <c r="D351" t="s">
        <v>11</v>
      </c>
      <c r="E351" t="s">
        <v>3956</v>
      </c>
    </row>
    <row r="352" spans="1:5" x14ac:dyDescent="0.2">
      <c r="A352" t="s">
        <v>3957</v>
      </c>
      <c r="B352" t="s">
        <v>3958</v>
      </c>
      <c r="C352" t="s">
        <v>1897</v>
      </c>
      <c r="D352" t="s">
        <v>11</v>
      </c>
      <c r="E352" t="s">
        <v>3959</v>
      </c>
    </row>
    <row r="353" spans="1:5" x14ac:dyDescent="0.2">
      <c r="A353" t="s">
        <v>3960</v>
      </c>
      <c r="B353" t="s">
        <v>3961</v>
      </c>
      <c r="C353" t="s">
        <v>1897</v>
      </c>
      <c r="D353" t="s">
        <v>11</v>
      </c>
      <c r="E353" t="s">
        <v>3962</v>
      </c>
    </row>
    <row r="354" spans="1:5" x14ac:dyDescent="0.2">
      <c r="A354" t="s">
        <v>3963</v>
      </c>
      <c r="B354" t="s">
        <v>3964</v>
      </c>
      <c r="C354" t="s">
        <v>1897</v>
      </c>
      <c r="D354" t="s">
        <v>11</v>
      </c>
      <c r="E354" t="s">
        <v>3965</v>
      </c>
    </row>
    <row r="355" spans="1:5" x14ac:dyDescent="0.2">
      <c r="A355" t="s">
        <v>3966</v>
      </c>
      <c r="B355" t="s">
        <v>3967</v>
      </c>
      <c r="C355" t="s">
        <v>1897</v>
      </c>
      <c r="D355" t="s">
        <v>11</v>
      </c>
      <c r="E355" t="s">
        <v>3968</v>
      </c>
    </row>
    <row r="356" spans="1:5" x14ac:dyDescent="0.2">
      <c r="A356" t="s">
        <v>3969</v>
      </c>
      <c r="B356" t="s">
        <v>3970</v>
      </c>
      <c r="C356" t="s">
        <v>1897</v>
      </c>
      <c r="D356" t="s">
        <v>11</v>
      </c>
      <c r="E356" t="s">
        <v>3971</v>
      </c>
    </row>
    <row r="357" spans="1:5" x14ac:dyDescent="0.2">
      <c r="A357" t="s">
        <v>1972</v>
      </c>
      <c r="B357" t="s">
        <v>1973</v>
      </c>
      <c r="C357" t="s">
        <v>1897</v>
      </c>
      <c r="D357" t="s">
        <v>11</v>
      </c>
      <c r="E357" t="s">
        <v>3972</v>
      </c>
    </row>
    <row r="358" spans="1:5" x14ac:dyDescent="0.2">
      <c r="A358" t="s">
        <v>3973</v>
      </c>
      <c r="B358" t="s">
        <v>3974</v>
      </c>
      <c r="C358" t="s">
        <v>1897</v>
      </c>
      <c r="D358" t="s">
        <v>11</v>
      </c>
      <c r="E358" t="s">
        <v>3975</v>
      </c>
    </row>
    <row r="359" spans="1:5" x14ac:dyDescent="0.2">
      <c r="A359" t="s">
        <v>3976</v>
      </c>
      <c r="B359" t="s">
        <v>3977</v>
      </c>
      <c r="C359" t="s">
        <v>1897</v>
      </c>
      <c r="D359" t="s">
        <v>11</v>
      </c>
      <c r="E359" t="s">
        <v>3978</v>
      </c>
    </row>
    <row r="360" spans="1:5" x14ac:dyDescent="0.2">
      <c r="A360" t="s">
        <v>3979</v>
      </c>
      <c r="B360" t="s">
        <v>3980</v>
      </c>
      <c r="C360" t="s">
        <v>1897</v>
      </c>
      <c r="D360" t="s">
        <v>11</v>
      </c>
      <c r="E360" t="s">
        <v>3981</v>
      </c>
    </row>
    <row r="361" spans="1:5" x14ac:dyDescent="0.2">
      <c r="A361" t="s">
        <v>1970</v>
      </c>
      <c r="B361" t="s">
        <v>1971</v>
      </c>
      <c r="C361" t="s">
        <v>1897</v>
      </c>
      <c r="D361" t="s">
        <v>11</v>
      </c>
      <c r="E361" t="s">
        <v>3982</v>
      </c>
    </row>
    <row r="362" spans="1:5" x14ac:dyDescent="0.2">
      <c r="A362" t="s">
        <v>1974</v>
      </c>
      <c r="B362" t="s">
        <v>1975</v>
      </c>
      <c r="C362" t="s">
        <v>1897</v>
      </c>
      <c r="D362" t="s">
        <v>11</v>
      </c>
      <c r="E362" t="s">
        <v>3983</v>
      </c>
    </row>
    <row r="363" spans="1:5" x14ac:dyDescent="0.2">
      <c r="A363" t="s">
        <v>1968</v>
      </c>
      <c r="B363" t="s">
        <v>1969</v>
      </c>
      <c r="C363" t="s">
        <v>1897</v>
      </c>
      <c r="D363" t="s">
        <v>11</v>
      </c>
      <c r="E363" t="s">
        <v>3984</v>
      </c>
    </row>
    <row r="364" spans="1:5" x14ac:dyDescent="0.2">
      <c r="A364" t="s">
        <v>1968</v>
      </c>
      <c r="B364" t="s">
        <v>1969</v>
      </c>
      <c r="C364" t="s">
        <v>1897</v>
      </c>
      <c r="D364" t="s">
        <v>10</v>
      </c>
      <c r="E364" t="s">
        <v>3985</v>
      </c>
    </row>
    <row r="365" spans="1:5" x14ac:dyDescent="0.2">
      <c r="A365" t="s">
        <v>3986</v>
      </c>
      <c r="B365" t="s">
        <v>3987</v>
      </c>
      <c r="C365" t="s">
        <v>1897</v>
      </c>
      <c r="D365" t="s">
        <v>11</v>
      </c>
      <c r="E365" t="s">
        <v>3988</v>
      </c>
    </row>
    <row r="366" spans="1:5" x14ac:dyDescent="0.2">
      <c r="A366" t="s">
        <v>1966</v>
      </c>
      <c r="B366" t="s">
        <v>1967</v>
      </c>
      <c r="C366" t="s">
        <v>1897</v>
      </c>
      <c r="D366" t="s">
        <v>11</v>
      </c>
      <c r="E366" t="s">
        <v>3989</v>
      </c>
    </row>
    <row r="367" spans="1:5" x14ac:dyDescent="0.2">
      <c r="A367" t="s">
        <v>3990</v>
      </c>
      <c r="B367" t="s">
        <v>3991</v>
      </c>
      <c r="C367" t="s">
        <v>1897</v>
      </c>
      <c r="D367" t="s">
        <v>11</v>
      </c>
      <c r="E367" t="s">
        <v>3992</v>
      </c>
    </row>
    <row r="368" spans="1:5" x14ac:dyDescent="0.2">
      <c r="A368" t="s">
        <v>3993</v>
      </c>
      <c r="B368" t="s">
        <v>3994</v>
      </c>
      <c r="C368" t="s">
        <v>1897</v>
      </c>
      <c r="D368" t="s">
        <v>11</v>
      </c>
      <c r="E368" t="s">
        <v>3995</v>
      </c>
    </row>
    <row r="369" spans="1:5" x14ac:dyDescent="0.2">
      <c r="A369" t="s">
        <v>1962</v>
      </c>
      <c r="B369" t="s">
        <v>1963</v>
      </c>
      <c r="C369" t="s">
        <v>1897</v>
      </c>
      <c r="D369" t="s">
        <v>11</v>
      </c>
      <c r="E369" t="s">
        <v>3996</v>
      </c>
    </row>
    <row r="370" spans="1:5" x14ac:dyDescent="0.2">
      <c r="A370" t="s">
        <v>3997</v>
      </c>
      <c r="B370" t="s">
        <v>3998</v>
      </c>
      <c r="C370" t="s">
        <v>1897</v>
      </c>
      <c r="D370" t="s">
        <v>11</v>
      </c>
      <c r="E370" t="s">
        <v>3999</v>
      </c>
    </row>
    <row r="371" spans="1:5" x14ac:dyDescent="0.2">
      <c r="A371" t="s">
        <v>4000</v>
      </c>
      <c r="B371" t="s">
        <v>4001</v>
      </c>
      <c r="C371" t="s">
        <v>1897</v>
      </c>
      <c r="D371" t="s">
        <v>11</v>
      </c>
      <c r="E371" t="s">
        <v>4002</v>
      </c>
    </row>
    <row r="372" spans="1:5" x14ac:dyDescent="0.2">
      <c r="A372" t="s">
        <v>4003</v>
      </c>
      <c r="B372" t="s">
        <v>4004</v>
      </c>
      <c r="C372" t="s">
        <v>1897</v>
      </c>
      <c r="D372" t="s">
        <v>11</v>
      </c>
      <c r="E372" t="s">
        <v>4005</v>
      </c>
    </row>
    <row r="373" spans="1:5" x14ac:dyDescent="0.2">
      <c r="A373" t="s">
        <v>4006</v>
      </c>
      <c r="B373" t="s">
        <v>4007</v>
      </c>
      <c r="C373" t="s">
        <v>1897</v>
      </c>
      <c r="D373" t="s">
        <v>11</v>
      </c>
      <c r="E373" t="s">
        <v>4008</v>
      </c>
    </row>
    <row r="374" spans="1:5" x14ac:dyDescent="0.2">
      <c r="A374" t="s">
        <v>4009</v>
      </c>
      <c r="B374" t="s">
        <v>4010</v>
      </c>
      <c r="C374" t="s">
        <v>1897</v>
      </c>
      <c r="D374" t="s">
        <v>11</v>
      </c>
      <c r="E374" t="s">
        <v>4011</v>
      </c>
    </row>
    <row r="375" spans="1:5" x14ac:dyDescent="0.2">
      <c r="A375" t="s">
        <v>4012</v>
      </c>
      <c r="B375" t="s">
        <v>4013</v>
      </c>
      <c r="C375" t="s">
        <v>1897</v>
      </c>
      <c r="D375" t="s">
        <v>11</v>
      </c>
      <c r="E375" t="s">
        <v>4014</v>
      </c>
    </row>
    <row r="376" spans="1:5" x14ac:dyDescent="0.2">
      <c r="A376" t="s">
        <v>4015</v>
      </c>
      <c r="B376" t="s">
        <v>4016</v>
      </c>
      <c r="C376" t="s">
        <v>1897</v>
      </c>
      <c r="D376" t="s">
        <v>11</v>
      </c>
      <c r="E376" t="s">
        <v>4017</v>
      </c>
    </row>
    <row r="377" spans="1:5" x14ac:dyDescent="0.2">
      <c r="A377" t="s">
        <v>4018</v>
      </c>
      <c r="B377" t="s">
        <v>4019</v>
      </c>
      <c r="C377" t="s">
        <v>1897</v>
      </c>
      <c r="D377" t="s">
        <v>11</v>
      </c>
      <c r="E377" t="s">
        <v>4020</v>
      </c>
    </row>
    <row r="378" spans="1:5" x14ac:dyDescent="0.2">
      <c r="A378" t="s">
        <v>4021</v>
      </c>
      <c r="B378" t="s">
        <v>4022</v>
      </c>
      <c r="C378" t="s">
        <v>1897</v>
      </c>
      <c r="D378" t="s">
        <v>11</v>
      </c>
      <c r="E378" t="s">
        <v>4023</v>
      </c>
    </row>
    <row r="379" spans="1:5" x14ac:dyDescent="0.2">
      <c r="A379" t="s">
        <v>4024</v>
      </c>
      <c r="B379" t="s">
        <v>4025</v>
      </c>
      <c r="C379" t="s">
        <v>1897</v>
      </c>
      <c r="D379" t="s">
        <v>11</v>
      </c>
      <c r="E379" t="s">
        <v>4026</v>
      </c>
    </row>
    <row r="380" spans="1:5" x14ac:dyDescent="0.2">
      <c r="A380" t="s">
        <v>4027</v>
      </c>
      <c r="B380" t="s">
        <v>4028</v>
      </c>
      <c r="C380" t="s">
        <v>1897</v>
      </c>
      <c r="D380" t="s">
        <v>11</v>
      </c>
      <c r="E380" t="s">
        <v>4029</v>
      </c>
    </row>
    <row r="381" spans="1:5" x14ac:dyDescent="0.2">
      <c r="A381" t="s">
        <v>4030</v>
      </c>
      <c r="B381" t="s">
        <v>4031</v>
      </c>
      <c r="C381" t="s">
        <v>1897</v>
      </c>
      <c r="D381" t="s">
        <v>11</v>
      </c>
      <c r="E381" t="s">
        <v>4032</v>
      </c>
    </row>
    <row r="382" spans="1:5" x14ac:dyDescent="0.2">
      <c r="A382" t="s">
        <v>4033</v>
      </c>
      <c r="B382" t="s">
        <v>4034</v>
      </c>
      <c r="C382" t="s">
        <v>1897</v>
      </c>
      <c r="D382" t="s">
        <v>11</v>
      </c>
      <c r="E382" t="s">
        <v>4035</v>
      </c>
    </row>
    <row r="383" spans="1:5" x14ac:dyDescent="0.2">
      <c r="A383" t="s">
        <v>4036</v>
      </c>
      <c r="B383" t="s">
        <v>4037</v>
      </c>
      <c r="C383" t="s">
        <v>1897</v>
      </c>
      <c r="D383" t="s">
        <v>11</v>
      </c>
      <c r="E383" t="s">
        <v>4038</v>
      </c>
    </row>
    <row r="384" spans="1:5" x14ac:dyDescent="0.2">
      <c r="A384" t="s">
        <v>4039</v>
      </c>
      <c r="B384" t="s">
        <v>4040</v>
      </c>
      <c r="C384" t="s">
        <v>1897</v>
      </c>
      <c r="D384" t="s">
        <v>11</v>
      </c>
      <c r="E384" t="s">
        <v>4041</v>
      </c>
    </row>
    <row r="385" spans="1:5" x14ac:dyDescent="0.2">
      <c r="A385" t="s">
        <v>4042</v>
      </c>
      <c r="B385" t="s">
        <v>4043</v>
      </c>
      <c r="C385" t="s">
        <v>1897</v>
      </c>
      <c r="D385" t="s">
        <v>11</v>
      </c>
      <c r="E385" t="s">
        <v>4044</v>
      </c>
    </row>
    <row r="386" spans="1:5" x14ac:dyDescent="0.2">
      <c r="A386" t="s">
        <v>4045</v>
      </c>
      <c r="B386" t="s">
        <v>4046</v>
      </c>
      <c r="C386" t="s">
        <v>1897</v>
      </c>
      <c r="D386" t="s">
        <v>11</v>
      </c>
      <c r="E386" t="s">
        <v>4047</v>
      </c>
    </row>
    <row r="387" spans="1:5" x14ac:dyDescent="0.2">
      <c r="A387" t="s">
        <v>4048</v>
      </c>
      <c r="B387" t="s">
        <v>4049</v>
      </c>
      <c r="C387" t="s">
        <v>1897</v>
      </c>
      <c r="D387" t="s">
        <v>11</v>
      </c>
      <c r="E387" t="s">
        <v>4050</v>
      </c>
    </row>
    <row r="388" spans="1:5" x14ac:dyDescent="0.2">
      <c r="A388" t="s">
        <v>4051</v>
      </c>
      <c r="B388" t="s">
        <v>4052</v>
      </c>
      <c r="C388" t="s">
        <v>1897</v>
      </c>
      <c r="D388" t="s">
        <v>11</v>
      </c>
      <c r="E388" t="s">
        <v>4053</v>
      </c>
    </row>
    <row r="389" spans="1:5" x14ac:dyDescent="0.2">
      <c r="A389" t="s">
        <v>4054</v>
      </c>
      <c r="B389" t="s">
        <v>4055</v>
      </c>
      <c r="C389" t="s">
        <v>1897</v>
      </c>
      <c r="D389" t="s">
        <v>11</v>
      </c>
      <c r="E389" t="s">
        <v>4056</v>
      </c>
    </row>
    <row r="390" spans="1:5" x14ac:dyDescent="0.2">
      <c r="A390" t="s">
        <v>4057</v>
      </c>
      <c r="B390" t="s">
        <v>4058</v>
      </c>
      <c r="C390" t="s">
        <v>1897</v>
      </c>
      <c r="D390" t="s">
        <v>11</v>
      </c>
      <c r="E390" t="s">
        <v>4059</v>
      </c>
    </row>
    <row r="391" spans="1:5" x14ac:dyDescent="0.2">
      <c r="A391" t="s">
        <v>4060</v>
      </c>
      <c r="B391" t="s">
        <v>4061</v>
      </c>
      <c r="C391" t="s">
        <v>1897</v>
      </c>
      <c r="D391" t="s">
        <v>11</v>
      </c>
      <c r="E391" t="s">
        <v>4062</v>
      </c>
    </row>
    <row r="392" spans="1:5" x14ac:dyDescent="0.2">
      <c r="A392" t="s">
        <v>4063</v>
      </c>
      <c r="B392" t="s">
        <v>4064</v>
      </c>
      <c r="C392" t="s">
        <v>1897</v>
      </c>
      <c r="D392" t="s">
        <v>11</v>
      </c>
      <c r="E392" t="s">
        <v>4065</v>
      </c>
    </row>
    <row r="393" spans="1:5" x14ac:dyDescent="0.2">
      <c r="A393" t="s">
        <v>4066</v>
      </c>
      <c r="B393" t="s">
        <v>4067</v>
      </c>
      <c r="C393" t="s">
        <v>1897</v>
      </c>
      <c r="D393" t="s">
        <v>11</v>
      </c>
      <c r="E393" t="s">
        <v>4068</v>
      </c>
    </row>
    <row r="394" spans="1:5" x14ac:dyDescent="0.2">
      <c r="A394" t="s">
        <v>4069</v>
      </c>
      <c r="B394" t="s">
        <v>4070</v>
      </c>
      <c r="C394" t="s">
        <v>1897</v>
      </c>
      <c r="D394" t="s">
        <v>11</v>
      </c>
      <c r="E394" t="s">
        <v>4071</v>
      </c>
    </row>
    <row r="395" spans="1:5" x14ac:dyDescent="0.2">
      <c r="A395" t="s">
        <v>4072</v>
      </c>
      <c r="B395" t="s">
        <v>4073</v>
      </c>
      <c r="C395" t="s">
        <v>1897</v>
      </c>
      <c r="D395" t="s">
        <v>11</v>
      </c>
      <c r="E395" t="s">
        <v>4074</v>
      </c>
    </row>
    <row r="396" spans="1:5" x14ac:dyDescent="0.2">
      <c r="A396" t="s">
        <v>4075</v>
      </c>
      <c r="B396" t="s">
        <v>4076</v>
      </c>
      <c r="C396" t="s">
        <v>1897</v>
      </c>
      <c r="D396" t="s">
        <v>11</v>
      </c>
      <c r="E396" t="s">
        <v>4077</v>
      </c>
    </row>
    <row r="397" spans="1:5" x14ac:dyDescent="0.2">
      <c r="A397" t="s">
        <v>4078</v>
      </c>
      <c r="B397" t="s">
        <v>4079</v>
      </c>
      <c r="C397" t="s">
        <v>1897</v>
      </c>
      <c r="D397" t="s">
        <v>11</v>
      </c>
      <c r="E397" t="s">
        <v>4080</v>
      </c>
    </row>
    <row r="398" spans="1:5" x14ac:dyDescent="0.2">
      <c r="A398" t="s">
        <v>4081</v>
      </c>
      <c r="B398" t="s">
        <v>4082</v>
      </c>
      <c r="C398" t="s">
        <v>1897</v>
      </c>
      <c r="D398" t="s">
        <v>11</v>
      </c>
      <c r="E398" t="s">
        <v>4083</v>
      </c>
    </row>
    <row r="399" spans="1:5" x14ac:dyDescent="0.2">
      <c r="A399" t="s">
        <v>4084</v>
      </c>
      <c r="B399" t="s">
        <v>4085</v>
      </c>
      <c r="C399" t="s">
        <v>1897</v>
      </c>
      <c r="D399" t="s">
        <v>11</v>
      </c>
      <c r="E399" t="s">
        <v>4086</v>
      </c>
    </row>
    <row r="400" spans="1:5" x14ac:dyDescent="0.2">
      <c r="A400" t="s">
        <v>4087</v>
      </c>
      <c r="B400" t="s">
        <v>4088</v>
      </c>
      <c r="C400" t="s">
        <v>1897</v>
      </c>
      <c r="D400" t="s">
        <v>11</v>
      </c>
      <c r="E400" t="s">
        <v>4089</v>
      </c>
    </row>
    <row r="401" spans="1:5" x14ac:dyDescent="0.2">
      <c r="A401" t="s">
        <v>4090</v>
      </c>
      <c r="B401" t="s">
        <v>4091</v>
      </c>
      <c r="C401" t="s">
        <v>1897</v>
      </c>
      <c r="D401" t="s">
        <v>11</v>
      </c>
      <c r="E401" t="s">
        <v>4092</v>
      </c>
    </row>
    <row r="402" spans="1:5" x14ac:dyDescent="0.2">
      <c r="A402" t="s">
        <v>4093</v>
      </c>
      <c r="B402" t="s">
        <v>4094</v>
      </c>
      <c r="C402" t="s">
        <v>1897</v>
      </c>
      <c r="D402" t="s">
        <v>11</v>
      </c>
      <c r="E402" t="s">
        <v>4095</v>
      </c>
    </row>
    <row r="403" spans="1:5" x14ac:dyDescent="0.2">
      <c r="A403" t="s">
        <v>4096</v>
      </c>
      <c r="B403" t="s">
        <v>4097</v>
      </c>
      <c r="C403" t="s">
        <v>1897</v>
      </c>
      <c r="D403" t="s">
        <v>11</v>
      </c>
      <c r="E403" t="s">
        <v>4098</v>
      </c>
    </row>
    <row r="404" spans="1:5" x14ac:dyDescent="0.2">
      <c r="A404" t="s">
        <v>4099</v>
      </c>
      <c r="B404" t="s">
        <v>4100</v>
      </c>
      <c r="C404" t="s">
        <v>1897</v>
      </c>
      <c r="D404" t="s">
        <v>11</v>
      </c>
      <c r="E404" t="s">
        <v>4101</v>
      </c>
    </row>
    <row r="405" spans="1:5" x14ac:dyDescent="0.2">
      <c r="A405" t="s">
        <v>4102</v>
      </c>
      <c r="B405" t="s">
        <v>4103</v>
      </c>
      <c r="C405" t="s">
        <v>1897</v>
      </c>
      <c r="D405" t="s">
        <v>11</v>
      </c>
      <c r="E405" t="s">
        <v>4104</v>
      </c>
    </row>
    <row r="406" spans="1:5" x14ac:dyDescent="0.2">
      <c r="A406" t="s">
        <v>4105</v>
      </c>
      <c r="B406" t="s">
        <v>4106</v>
      </c>
      <c r="C406" t="s">
        <v>1897</v>
      </c>
      <c r="D406" t="s">
        <v>11</v>
      </c>
      <c r="E406" t="s">
        <v>4107</v>
      </c>
    </row>
    <row r="407" spans="1:5" x14ac:dyDescent="0.2">
      <c r="A407" t="s">
        <v>4108</v>
      </c>
      <c r="B407" t="s">
        <v>4109</v>
      </c>
      <c r="C407" t="s">
        <v>1897</v>
      </c>
      <c r="D407" t="s">
        <v>11</v>
      </c>
      <c r="E407" t="s">
        <v>4110</v>
      </c>
    </row>
    <row r="408" spans="1:5" x14ac:dyDescent="0.2">
      <c r="A408" t="s">
        <v>4111</v>
      </c>
      <c r="B408" t="s">
        <v>4112</v>
      </c>
      <c r="C408" t="s">
        <v>1897</v>
      </c>
      <c r="D408" t="s">
        <v>11</v>
      </c>
      <c r="E408" t="s">
        <v>4113</v>
      </c>
    </row>
    <row r="409" spans="1:5" x14ac:dyDescent="0.2">
      <c r="A409" t="s">
        <v>4114</v>
      </c>
      <c r="B409" t="s">
        <v>4115</v>
      </c>
      <c r="C409" t="s">
        <v>1897</v>
      </c>
      <c r="D409" t="s">
        <v>11</v>
      </c>
      <c r="E409" t="s">
        <v>4116</v>
      </c>
    </row>
    <row r="410" spans="1:5" x14ac:dyDescent="0.2">
      <c r="A410" t="s">
        <v>4117</v>
      </c>
      <c r="B410" t="s">
        <v>4118</v>
      </c>
      <c r="C410" t="s">
        <v>1897</v>
      </c>
      <c r="D410" t="s">
        <v>11</v>
      </c>
      <c r="E410" t="s">
        <v>4119</v>
      </c>
    </row>
    <row r="411" spans="1:5" x14ac:dyDescent="0.2">
      <c r="A411" t="s">
        <v>4120</v>
      </c>
      <c r="B411" t="s">
        <v>4121</v>
      </c>
      <c r="C411" t="s">
        <v>1897</v>
      </c>
      <c r="D411" t="s">
        <v>11</v>
      </c>
      <c r="E411" t="s">
        <v>4122</v>
      </c>
    </row>
    <row r="412" spans="1:5" x14ac:dyDescent="0.2">
      <c r="A412" t="s">
        <v>4123</v>
      </c>
      <c r="B412" t="s">
        <v>4124</v>
      </c>
      <c r="C412" t="s">
        <v>1897</v>
      </c>
      <c r="D412" t="s">
        <v>11</v>
      </c>
      <c r="E412" t="s">
        <v>4125</v>
      </c>
    </row>
    <row r="413" spans="1:5" x14ac:dyDescent="0.2">
      <c r="A413" t="s">
        <v>4126</v>
      </c>
      <c r="B413" t="s">
        <v>4127</v>
      </c>
      <c r="C413" t="s">
        <v>1897</v>
      </c>
      <c r="D413" t="s">
        <v>11</v>
      </c>
      <c r="E413" t="s">
        <v>4128</v>
      </c>
    </row>
    <row r="414" spans="1:5" x14ac:dyDescent="0.2">
      <c r="A414" t="s">
        <v>4129</v>
      </c>
      <c r="B414" t="s">
        <v>4130</v>
      </c>
      <c r="C414" t="s">
        <v>1897</v>
      </c>
      <c r="D414" t="s">
        <v>11</v>
      </c>
      <c r="E414" t="s">
        <v>4131</v>
      </c>
    </row>
    <row r="415" spans="1:5" x14ac:dyDescent="0.2">
      <c r="A415" t="s">
        <v>4132</v>
      </c>
      <c r="B415" t="s">
        <v>4133</v>
      </c>
      <c r="C415" t="s">
        <v>1897</v>
      </c>
      <c r="D415" t="s">
        <v>3471</v>
      </c>
      <c r="E415" t="s">
        <v>4134</v>
      </c>
    </row>
    <row r="416" spans="1:5" x14ac:dyDescent="0.2">
      <c r="A416" t="s">
        <v>4135</v>
      </c>
      <c r="B416" t="s">
        <v>4136</v>
      </c>
      <c r="C416" t="s">
        <v>1897</v>
      </c>
      <c r="D416" t="s">
        <v>11</v>
      </c>
      <c r="E416" t="s">
        <v>4137</v>
      </c>
    </row>
    <row r="417" spans="1:5" x14ac:dyDescent="0.2">
      <c r="A417" t="s">
        <v>4138</v>
      </c>
      <c r="B417" t="s">
        <v>4139</v>
      </c>
      <c r="C417" t="s">
        <v>1897</v>
      </c>
      <c r="D417" t="s">
        <v>11</v>
      </c>
      <c r="E417" t="s">
        <v>4140</v>
      </c>
    </row>
    <row r="418" spans="1:5" x14ac:dyDescent="0.2">
      <c r="A418" t="s">
        <v>4141</v>
      </c>
      <c r="B418" t="s">
        <v>4142</v>
      </c>
      <c r="C418" t="s">
        <v>1897</v>
      </c>
      <c r="D418" t="s">
        <v>11</v>
      </c>
      <c r="E418" t="s">
        <v>4143</v>
      </c>
    </row>
    <row r="419" spans="1:5" x14ac:dyDescent="0.2">
      <c r="A419" t="s">
        <v>4144</v>
      </c>
      <c r="B419" t="s">
        <v>4145</v>
      </c>
      <c r="C419" t="s">
        <v>1897</v>
      </c>
      <c r="D419" t="s">
        <v>11</v>
      </c>
      <c r="E419" t="s">
        <v>4146</v>
      </c>
    </row>
    <row r="420" spans="1:5" x14ac:dyDescent="0.2">
      <c r="A420" t="s">
        <v>4147</v>
      </c>
      <c r="B420" t="s">
        <v>4148</v>
      </c>
      <c r="C420" t="s">
        <v>1897</v>
      </c>
      <c r="D420" t="s">
        <v>11</v>
      </c>
      <c r="E420" t="s">
        <v>4149</v>
      </c>
    </row>
    <row r="421" spans="1:5" x14ac:dyDescent="0.2">
      <c r="A421" t="s">
        <v>4150</v>
      </c>
      <c r="B421" t="s">
        <v>4151</v>
      </c>
      <c r="C421" t="s">
        <v>1897</v>
      </c>
      <c r="D421" t="s">
        <v>11</v>
      </c>
      <c r="E421" t="s">
        <v>4152</v>
      </c>
    </row>
    <row r="422" spans="1:5" x14ac:dyDescent="0.2">
      <c r="A422" t="s">
        <v>4153</v>
      </c>
      <c r="B422" t="s">
        <v>4154</v>
      </c>
      <c r="C422" t="s">
        <v>1897</v>
      </c>
      <c r="D422" t="s">
        <v>11</v>
      </c>
      <c r="E422" t="s">
        <v>4155</v>
      </c>
    </row>
    <row r="423" spans="1:5" x14ac:dyDescent="0.2">
      <c r="A423" t="s">
        <v>4156</v>
      </c>
      <c r="B423" t="s">
        <v>4157</v>
      </c>
      <c r="C423" t="s">
        <v>1897</v>
      </c>
      <c r="D423" t="s">
        <v>11</v>
      </c>
      <c r="E423" t="s">
        <v>4158</v>
      </c>
    </row>
    <row r="424" spans="1:5" x14ac:dyDescent="0.2">
      <c r="A424" t="s">
        <v>4159</v>
      </c>
      <c r="B424" t="s">
        <v>4160</v>
      </c>
      <c r="C424" t="s">
        <v>1897</v>
      </c>
      <c r="D424" t="s">
        <v>11</v>
      </c>
      <c r="E424" t="s">
        <v>4161</v>
      </c>
    </row>
    <row r="425" spans="1:5" x14ac:dyDescent="0.2">
      <c r="A425" t="s">
        <v>4162</v>
      </c>
      <c r="B425" t="s">
        <v>4163</v>
      </c>
      <c r="C425" t="s">
        <v>1897</v>
      </c>
      <c r="D425" t="s">
        <v>11</v>
      </c>
      <c r="E425" t="s">
        <v>4164</v>
      </c>
    </row>
    <row r="426" spans="1:5" x14ac:dyDescent="0.2">
      <c r="A426" t="s">
        <v>4165</v>
      </c>
      <c r="B426" t="s">
        <v>4166</v>
      </c>
      <c r="C426" t="s">
        <v>1897</v>
      </c>
      <c r="D426" t="s">
        <v>11</v>
      </c>
      <c r="E426" t="s">
        <v>4167</v>
      </c>
    </row>
    <row r="427" spans="1:5" x14ac:dyDescent="0.2">
      <c r="A427" t="s">
        <v>4168</v>
      </c>
      <c r="B427" t="s">
        <v>4169</v>
      </c>
      <c r="C427" t="s">
        <v>1897</v>
      </c>
      <c r="D427" t="s">
        <v>11</v>
      </c>
      <c r="E427" t="s">
        <v>4170</v>
      </c>
    </row>
    <row r="428" spans="1:5" x14ac:dyDescent="0.2">
      <c r="A428" t="s">
        <v>4171</v>
      </c>
      <c r="B428" t="s">
        <v>4172</v>
      </c>
      <c r="C428" t="s">
        <v>1897</v>
      </c>
      <c r="D428" t="s">
        <v>11</v>
      </c>
      <c r="E428" t="s">
        <v>4173</v>
      </c>
    </row>
    <row r="429" spans="1:5" x14ac:dyDescent="0.2">
      <c r="A429" t="s">
        <v>4174</v>
      </c>
      <c r="B429" t="s">
        <v>4175</v>
      </c>
      <c r="C429" t="s">
        <v>1897</v>
      </c>
      <c r="D429" t="s">
        <v>11</v>
      </c>
      <c r="E429" t="s">
        <v>4176</v>
      </c>
    </row>
    <row r="430" spans="1:5" x14ac:dyDescent="0.2">
      <c r="A430" t="s">
        <v>1918</v>
      </c>
      <c r="B430" t="s">
        <v>1919</v>
      </c>
      <c r="C430" t="s">
        <v>1897</v>
      </c>
      <c r="D430" t="s">
        <v>11</v>
      </c>
      <c r="E430" t="s">
        <v>4177</v>
      </c>
    </row>
    <row r="431" spans="1:5" x14ac:dyDescent="0.2">
      <c r="A431" t="s">
        <v>4178</v>
      </c>
      <c r="B431" t="s">
        <v>4179</v>
      </c>
      <c r="C431" t="s">
        <v>1897</v>
      </c>
      <c r="D431" t="s">
        <v>11</v>
      </c>
      <c r="E431" t="s">
        <v>4180</v>
      </c>
    </row>
    <row r="432" spans="1:5" x14ac:dyDescent="0.2">
      <c r="A432" t="s">
        <v>4181</v>
      </c>
      <c r="B432" t="s">
        <v>4182</v>
      </c>
      <c r="C432" t="s">
        <v>1897</v>
      </c>
      <c r="D432" t="s">
        <v>11</v>
      </c>
      <c r="E432" t="s">
        <v>4183</v>
      </c>
    </row>
    <row r="433" spans="1:7" x14ac:dyDescent="0.2">
      <c r="A433" t="s">
        <v>4184</v>
      </c>
      <c r="B433" t="s">
        <v>4185</v>
      </c>
      <c r="C433" t="s">
        <v>1897</v>
      </c>
      <c r="D433" t="s">
        <v>11</v>
      </c>
      <c r="E433" t="s">
        <v>4186</v>
      </c>
    </row>
    <row r="434" spans="1:7" x14ac:dyDescent="0.2">
      <c r="A434" t="s">
        <v>1948</v>
      </c>
      <c r="B434" t="s">
        <v>1949</v>
      </c>
      <c r="C434" t="s">
        <v>1897</v>
      </c>
      <c r="D434" t="s">
        <v>11</v>
      </c>
      <c r="E434" t="s">
        <v>4187</v>
      </c>
    </row>
    <row r="435" spans="1:7" x14ac:dyDescent="0.2">
      <c r="A435" t="s">
        <v>1950</v>
      </c>
      <c r="B435" t="s">
        <v>1951</v>
      </c>
      <c r="C435" t="s">
        <v>1897</v>
      </c>
      <c r="D435" t="s">
        <v>11</v>
      </c>
      <c r="E435" t="s">
        <v>4188</v>
      </c>
    </row>
    <row r="436" spans="1:7" x14ac:dyDescent="0.2">
      <c r="A436" t="s">
        <v>1936</v>
      </c>
      <c r="B436" t="s">
        <v>1937</v>
      </c>
      <c r="C436" t="s">
        <v>1897</v>
      </c>
      <c r="D436" t="s">
        <v>11</v>
      </c>
      <c r="E436" t="s">
        <v>4189</v>
      </c>
    </row>
    <row r="437" spans="1:7" x14ac:dyDescent="0.2">
      <c r="A437" t="s">
        <v>1938</v>
      </c>
      <c r="B437" t="s">
        <v>1939</v>
      </c>
      <c r="C437" t="s">
        <v>1897</v>
      </c>
      <c r="D437" t="s">
        <v>11</v>
      </c>
      <c r="E437" t="s">
        <v>4190</v>
      </c>
    </row>
    <row r="438" spans="1:7" x14ac:dyDescent="0.2">
      <c r="A438" t="s">
        <v>4191</v>
      </c>
      <c r="B438" t="s">
        <v>4192</v>
      </c>
      <c r="C438" t="s">
        <v>1897</v>
      </c>
      <c r="D438" t="s">
        <v>11</v>
      </c>
      <c r="E438" t="s">
        <v>4193</v>
      </c>
    </row>
    <row r="439" spans="1:7" x14ac:dyDescent="0.2">
      <c r="A439" t="s">
        <v>4194</v>
      </c>
      <c r="B439" t="s">
        <v>4195</v>
      </c>
      <c r="C439" t="s">
        <v>2852</v>
      </c>
      <c r="D439" t="s">
        <v>11</v>
      </c>
      <c r="E439" t="s">
        <v>4196</v>
      </c>
    </row>
    <row r="440" spans="1:7" x14ac:dyDescent="0.2">
      <c r="A440" t="s">
        <v>4197</v>
      </c>
      <c r="B440" t="s">
        <v>4198</v>
      </c>
      <c r="C440" t="s">
        <v>2852</v>
      </c>
      <c r="D440" t="s">
        <v>11</v>
      </c>
      <c r="E440" t="s">
        <v>4199</v>
      </c>
    </row>
    <row r="441" spans="1:7" x14ac:dyDescent="0.2">
      <c r="A441" t="s">
        <v>4200</v>
      </c>
      <c r="B441" t="s">
        <v>4201</v>
      </c>
      <c r="C441" t="s">
        <v>2852</v>
      </c>
      <c r="D441" t="s">
        <v>11</v>
      </c>
      <c r="E441" t="s">
        <v>4202</v>
      </c>
    </row>
    <row r="442" spans="1:7" x14ac:dyDescent="0.2">
      <c r="A442" t="s">
        <v>4203</v>
      </c>
      <c r="B442" t="s">
        <v>4204</v>
      </c>
      <c r="C442" t="s">
        <v>2852</v>
      </c>
      <c r="D442" t="s">
        <v>3471</v>
      </c>
      <c r="E442" t="s">
        <v>4205</v>
      </c>
    </row>
    <row r="443" spans="1:7" x14ac:dyDescent="0.2">
      <c r="A443" t="s">
        <v>4206</v>
      </c>
      <c r="B443" t="s">
        <v>4207</v>
      </c>
      <c r="C443" t="s">
        <v>2852</v>
      </c>
      <c r="D443" t="s">
        <v>3471</v>
      </c>
      <c r="E443" t="s">
        <v>4208</v>
      </c>
    </row>
    <row r="444" spans="1:7" x14ac:dyDescent="0.2">
      <c r="A444" t="s">
        <v>4209</v>
      </c>
      <c r="B444" t="s">
        <v>4210</v>
      </c>
      <c r="C444" t="s">
        <v>2852</v>
      </c>
      <c r="D444" t="s">
        <v>3471</v>
      </c>
      <c r="E444" t="s">
        <v>4211</v>
      </c>
    </row>
    <row r="445" spans="1:7" x14ac:dyDescent="0.2">
      <c r="A445" t="s">
        <v>1856</v>
      </c>
      <c r="B445" t="s">
        <v>1857</v>
      </c>
      <c r="C445" t="s">
        <v>1811</v>
      </c>
      <c r="D445" t="s">
        <v>8</v>
      </c>
      <c r="E445" t="s">
        <v>4212</v>
      </c>
      <c r="F445">
        <v>0</v>
      </c>
      <c r="G445">
        <v>11</v>
      </c>
    </row>
    <row r="446" spans="1:7" x14ac:dyDescent="0.2">
      <c r="A446" t="s">
        <v>4213</v>
      </c>
      <c r="B446" t="s">
        <v>4214</v>
      </c>
      <c r="C446" t="s">
        <v>2852</v>
      </c>
      <c r="D446" t="s">
        <v>11</v>
      </c>
      <c r="E446" t="s">
        <v>4215</v>
      </c>
    </row>
    <row r="447" spans="1:7" x14ac:dyDescent="0.2">
      <c r="A447" t="s">
        <v>2879</v>
      </c>
      <c r="B447" t="s">
        <v>2880</v>
      </c>
      <c r="C447" t="s">
        <v>2852</v>
      </c>
      <c r="D447" t="s">
        <v>11</v>
      </c>
      <c r="E447" t="s">
        <v>4216</v>
      </c>
    </row>
    <row r="448" spans="1:7" x14ac:dyDescent="0.2">
      <c r="A448" t="s">
        <v>2879</v>
      </c>
      <c r="B448" t="s">
        <v>2880</v>
      </c>
      <c r="C448" t="s">
        <v>2852</v>
      </c>
      <c r="D448" t="s">
        <v>3471</v>
      </c>
      <c r="E448" t="s">
        <v>4217</v>
      </c>
      <c r="F448">
        <v>0</v>
      </c>
      <c r="G448">
        <v>0</v>
      </c>
    </row>
    <row r="449" spans="1:7" x14ac:dyDescent="0.2">
      <c r="A449" t="s">
        <v>233</v>
      </c>
      <c r="B449" t="s">
        <v>234</v>
      </c>
      <c r="C449" t="s">
        <v>223</v>
      </c>
      <c r="D449" t="s">
        <v>11</v>
      </c>
      <c r="E449" t="s">
        <v>4218</v>
      </c>
    </row>
    <row r="450" spans="1:7" x14ac:dyDescent="0.2">
      <c r="A450" t="s">
        <v>231</v>
      </c>
      <c r="B450" t="s">
        <v>232</v>
      </c>
      <c r="C450" t="s">
        <v>223</v>
      </c>
      <c r="D450" t="s">
        <v>11</v>
      </c>
      <c r="E450" t="s">
        <v>4219</v>
      </c>
    </row>
    <row r="451" spans="1:7" x14ac:dyDescent="0.2">
      <c r="A451" t="s">
        <v>231</v>
      </c>
      <c r="B451" t="s">
        <v>232</v>
      </c>
      <c r="C451" t="s">
        <v>223</v>
      </c>
      <c r="D451" t="s">
        <v>14</v>
      </c>
      <c r="F451">
        <v>0</v>
      </c>
      <c r="G451">
        <v>3</v>
      </c>
    </row>
    <row r="452" spans="1:7" x14ac:dyDescent="0.2">
      <c r="A452" t="s">
        <v>231</v>
      </c>
      <c r="B452" t="s">
        <v>232</v>
      </c>
      <c r="C452" t="s">
        <v>223</v>
      </c>
      <c r="D452" t="s">
        <v>10</v>
      </c>
      <c r="E452" t="s">
        <v>4220</v>
      </c>
      <c r="F452">
        <v>0</v>
      </c>
      <c r="G452">
        <v>10</v>
      </c>
    </row>
    <row r="453" spans="1:7" x14ac:dyDescent="0.2">
      <c r="A453" t="s">
        <v>237</v>
      </c>
      <c r="B453" t="s">
        <v>238</v>
      </c>
      <c r="C453" t="s">
        <v>223</v>
      </c>
      <c r="D453" t="s">
        <v>11</v>
      </c>
      <c r="E453" t="s">
        <v>4221</v>
      </c>
    </row>
    <row r="454" spans="1:7" x14ac:dyDescent="0.2">
      <c r="A454" t="s">
        <v>237</v>
      </c>
      <c r="B454" t="s">
        <v>238</v>
      </c>
      <c r="C454" t="s">
        <v>223</v>
      </c>
      <c r="D454" t="s">
        <v>14</v>
      </c>
      <c r="F454">
        <v>0</v>
      </c>
      <c r="G454">
        <v>2</v>
      </c>
    </row>
    <row r="455" spans="1:7" x14ac:dyDescent="0.2">
      <c r="A455" t="s">
        <v>237</v>
      </c>
      <c r="B455" t="s">
        <v>238</v>
      </c>
      <c r="C455" t="s">
        <v>223</v>
      </c>
      <c r="D455" t="s">
        <v>10</v>
      </c>
      <c r="E455" t="s">
        <v>4222</v>
      </c>
    </row>
    <row r="456" spans="1:7" x14ac:dyDescent="0.2">
      <c r="A456" t="s">
        <v>239</v>
      </c>
      <c r="B456" t="s">
        <v>240</v>
      </c>
      <c r="C456" t="s">
        <v>223</v>
      </c>
      <c r="D456" t="s">
        <v>11</v>
      </c>
      <c r="E456" t="s">
        <v>4223</v>
      </c>
    </row>
    <row r="457" spans="1:7" x14ac:dyDescent="0.2">
      <c r="A457" t="s">
        <v>4224</v>
      </c>
      <c r="B457" t="s">
        <v>4225</v>
      </c>
      <c r="C457" t="s">
        <v>223</v>
      </c>
      <c r="D457" t="s">
        <v>11</v>
      </c>
      <c r="E457" t="s">
        <v>4226</v>
      </c>
    </row>
    <row r="458" spans="1:7" x14ac:dyDescent="0.2">
      <c r="A458" t="s">
        <v>226</v>
      </c>
      <c r="B458" t="s">
        <v>227</v>
      </c>
      <c r="C458" t="s">
        <v>223</v>
      </c>
      <c r="D458" t="s">
        <v>11</v>
      </c>
      <c r="E458" t="s">
        <v>4227</v>
      </c>
      <c r="F458">
        <v>1.6666666666666667</v>
      </c>
      <c r="G458">
        <v>4</v>
      </c>
    </row>
    <row r="459" spans="1:7" x14ac:dyDescent="0.2">
      <c r="A459" t="s">
        <v>226</v>
      </c>
      <c r="B459" t="s">
        <v>227</v>
      </c>
      <c r="C459" t="s">
        <v>223</v>
      </c>
      <c r="D459" t="s">
        <v>14</v>
      </c>
      <c r="F459">
        <v>2.5</v>
      </c>
      <c r="G459">
        <v>170</v>
      </c>
    </row>
    <row r="460" spans="1:7" x14ac:dyDescent="0.2">
      <c r="A460" t="s">
        <v>226</v>
      </c>
      <c r="B460" t="s">
        <v>227</v>
      </c>
      <c r="C460" t="s">
        <v>223</v>
      </c>
      <c r="D460" t="s">
        <v>10</v>
      </c>
      <c r="E460" t="s">
        <v>4228</v>
      </c>
    </row>
    <row r="461" spans="1:7" x14ac:dyDescent="0.2">
      <c r="A461" t="s">
        <v>226</v>
      </c>
      <c r="B461" t="s">
        <v>227</v>
      </c>
      <c r="C461" t="s">
        <v>223</v>
      </c>
      <c r="D461" t="s">
        <v>3471</v>
      </c>
      <c r="E461" t="s">
        <v>4229</v>
      </c>
      <c r="F461">
        <v>0</v>
      </c>
      <c r="G461">
        <v>0</v>
      </c>
    </row>
    <row r="462" spans="1:7" x14ac:dyDescent="0.2">
      <c r="A462" t="s">
        <v>226</v>
      </c>
      <c r="B462" t="s">
        <v>227</v>
      </c>
      <c r="C462" t="s">
        <v>223</v>
      </c>
      <c r="D462" t="s">
        <v>8</v>
      </c>
      <c r="E462" t="s">
        <v>4230</v>
      </c>
      <c r="F462">
        <v>5.5</v>
      </c>
      <c r="G462">
        <v>187</v>
      </c>
    </row>
    <row r="463" spans="1:7" x14ac:dyDescent="0.2">
      <c r="A463" t="s">
        <v>226</v>
      </c>
      <c r="B463" t="s">
        <v>227</v>
      </c>
      <c r="C463" t="s">
        <v>223</v>
      </c>
      <c r="D463" t="s">
        <v>3469</v>
      </c>
    </row>
    <row r="464" spans="1:7" x14ac:dyDescent="0.2">
      <c r="A464" t="s">
        <v>229</v>
      </c>
      <c r="B464" t="s">
        <v>230</v>
      </c>
      <c r="C464" t="s">
        <v>223</v>
      </c>
      <c r="D464" t="s">
        <v>11</v>
      </c>
      <c r="E464" t="s">
        <v>4231</v>
      </c>
      <c r="F464">
        <v>0.16666666666666666</v>
      </c>
      <c r="G464">
        <v>0</v>
      </c>
    </row>
    <row r="465" spans="1:7" x14ac:dyDescent="0.2">
      <c r="A465" t="s">
        <v>229</v>
      </c>
      <c r="B465" t="s">
        <v>230</v>
      </c>
      <c r="C465" t="s">
        <v>223</v>
      </c>
      <c r="D465" t="s">
        <v>10</v>
      </c>
      <c r="E465" t="s">
        <v>4232</v>
      </c>
    </row>
    <row r="466" spans="1:7" x14ac:dyDescent="0.2">
      <c r="A466" t="s">
        <v>229</v>
      </c>
      <c r="B466" t="s">
        <v>230</v>
      </c>
      <c r="C466" t="s">
        <v>223</v>
      </c>
      <c r="D466" t="s">
        <v>3471</v>
      </c>
      <c r="E466" t="s">
        <v>4233</v>
      </c>
      <c r="F466">
        <v>0</v>
      </c>
      <c r="G466">
        <v>0</v>
      </c>
    </row>
    <row r="467" spans="1:7" x14ac:dyDescent="0.2">
      <c r="A467" t="s">
        <v>229</v>
      </c>
      <c r="B467" t="s">
        <v>230</v>
      </c>
      <c r="C467" t="s">
        <v>223</v>
      </c>
      <c r="D467" t="s">
        <v>8</v>
      </c>
      <c r="E467" t="s">
        <v>4234</v>
      </c>
      <c r="F467">
        <v>0.5</v>
      </c>
      <c r="G467">
        <v>14</v>
      </c>
    </row>
    <row r="468" spans="1:7" x14ac:dyDescent="0.2">
      <c r="A468" t="s">
        <v>229</v>
      </c>
      <c r="B468" t="s">
        <v>230</v>
      </c>
      <c r="C468" t="s">
        <v>223</v>
      </c>
      <c r="D468" t="s">
        <v>3469</v>
      </c>
    </row>
    <row r="469" spans="1:7" x14ac:dyDescent="0.2">
      <c r="A469" t="s">
        <v>4235</v>
      </c>
      <c r="B469" t="s">
        <v>4236</v>
      </c>
      <c r="C469" t="s">
        <v>223</v>
      </c>
      <c r="D469" t="s">
        <v>11</v>
      </c>
      <c r="E469" t="s">
        <v>4237</v>
      </c>
    </row>
    <row r="470" spans="1:7" x14ac:dyDescent="0.2">
      <c r="A470" t="s">
        <v>249</v>
      </c>
      <c r="B470" t="s">
        <v>250</v>
      </c>
      <c r="C470" t="s">
        <v>223</v>
      </c>
      <c r="D470" t="s">
        <v>11</v>
      </c>
      <c r="E470" t="s">
        <v>4238</v>
      </c>
    </row>
    <row r="471" spans="1:7" x14ac:dyDescent="0.2">
      <c r="A471" t="s">
        <v>249</v>
      </c>
      <c r="B471" t="s">
        <v>250</v>
      </c>
      <c r="C471" t="s">
        <v>223</v>
      </c>
      <c r="D471" t="s">
        <v>14</v>
      </c>
      <c r="F471">
        <v>0</v>
      </c>
      <c r="G471">
        <v>4</v>
      </c>
    </row>
    <row r="472" spans="1:7" x14ac:dyDescent="0.2">
      <c r="A472" t="s">
        <v>249</v>
      </c>
      <c r="B472" t="s">
        <v>250</v>
      </c>
      <c r="C472" t="s">
        <v>223</v>
      </c>
      <c r="D472" t="s">
        <v>10</v>
      </c>
      <c r="E472" t="s">
        <v>4239</v>
      </c>
      <c r="F472">
        <v>52</v>
      </c>
      <c r="G472">
        <v>162</v>
      </c>
    </row>
    <row r="473" spans="1:7" x14ac:dyDescent="0.2">
      <c r="A473" t="s">
        <v>249</v>
      </c>
      <c r="B473" t="s">
        <v>250</v>
      </c>
      <c r="C473" t="s">
        <v>223</v>
      </c>
      <c r="D473" t="s">
        <v>3471</v>
      </c>
      <c r="E473" t="s">
        <v>4240</v>
      </c>
      <c r="F473">
        <v>0</v>
      </c>
      <c r="G473">
        <v>0</v>
      </c>
    </row>
    <row r="474" spans="1:7" x14ac:dyDescent="0.2">
      <c r="A474" t="s">
        <v>249</v>
      </c>
      <c r="B474" t="s">
        <v>250</v>
      </c>
      <c r="C474" t="s">
        <v>223</v>
      </c>
      <c r="D474" t="s">
        <v>8</v>
      </c>
      <c r="E474" t="s">
        <v>4241</v>
      </c>
      <c r="F474">
        <v>30.333333333333332</v>
      </c>
      <c r="G474">
        <v>157</v>
      </c>
    </row>
    <row r="475" spans="1:7" x14ac:dyDescent="0.2">
      <c r="A475" t="s">
        <v>4242</v>
      </c>
      <c r="B475" t="s">
        <v>4243</v>
      </c>
      <c r="C475" t="s">
        <v>223</v>
      </c>
      <c r="D475" t="s">
        <v>11</v>
      </c>
      <c r="E475" t="s">
        <v>4244</v>
      </c>
    </row>
    <row r="476" spans="1:7" x14ac:dyDescent="0.2">
      <c r="A476" t="s">
        <v>4242</v>
      </c>
      <c r="B476" t="s">
        <v>4243</v>
      </c>
      <c r="C476" t="s">
        <v>223</v>
      </c>
      <c r="D476" t="s">
        <v>10</v>
      </c>
      <c r="E476" t="s">
        <v>4245</v>
      </c>
    </row>
    <row r="477" spans="1:7" x14ac:dyDescent="0.2">
      <c r="A477" t="s">
        <v>4246</v>
      </c>
      <c r="B477" t="s">
        <v>4247</v>
      </c>
      <c r="C477" t="s">
        <v>223</v>
      </c>
      <c r="D477" t="s">
        <v>11</v>
      </c>
      <c r="E477" t="s">
        <v>4248</v>
      </c>
    </row>
    <row r="478" spans="1:7" x14ac:dyDescent="0.2">
      <c r="A478" t="s">
        <v>247</v>
      </c>
      <c r="B478" t="s">
        <v>248</v>
      </c>
      <c r="C478" t="s">
        <v>223</v>
      </c>
      <c r="D478" t="s">
        <v>11</v>
      </c>
      <c r="E478" t="s">
        <v>4249</v>
      </c>
      <c r="F478">
        <v>1.1666666666666667</v>
      </c>
      <c r="G478">
        <v>5</v>
      </c>
    </row>
    <row r="479" spans="1:7" x14ac:dyDescent="0.2">
      <c r="A479" t="s">
        <v>247</v>
      </c>
      <c r="B479" t="s">
        <v>248</v>
      </c>
      <c r="C479" t="s">
        <v>223</v>
      </c>
      <c r="D479" t="s">
        <v>14</v>
      </c>
      <c r="F479">
        <v>1.6666666666666667</v>
      </c>
      <c r="G479">
        <v>95</v>
      </c>
    </row>
    <row r="480" spans="1:7" x14ac:dyDescent="0.2">
      <c r="A480" t="s">
        <v>247</v>
      </c>
      <c r="B480" t="s">
        <v>248</v>
      </c>
      <c r="C480" t="s">
        <v>223</v>
      </c>
      <c r="D480" t="s">
        <v>10</v>
      </c>
      <c r="E480" t="s">
        <v>4250</v>
      </c>
      <c r="F480">
        <v>51.166666666666664</v>
      </c>
      <c r="G480">
        <v>299</v>
      </c>
    </row>
    <row r="481" spans="1:7" x14ac:dyDescent="0.2">
      <c r="A481" t="s">
        <v>247</v>
      </c>
      <c r="B481" t="s">
        <v>248</v>
      </c>
      <c r="C481" t="s">
        <v>223</v>
      </c>
      <c r="D481" t="s">
        <v>3471</v>
      </c>
      <c r="E481" t="s">
        <v>4251</v>
      </c>
      <c r="F481">
        <v>0</v>
      </c>
      <c r="G481">
        <v>0</v>
      </c>
    </row>
    <row r="482" spans="1:7" x14ac:dyDescent="0.2">
      <c r="A482" t="s">
        <v>247</v>
      </c>
      <c r="B482" t="s">
        <v>248</v>
      </c>
      <c r="C482" t="s">
        <v>223</v>
      </c>
      <c r="D482" t="s">
        <v>8</v>
      </c>
      <c r="E482" t="s">
        <v>4252</v>
      </c>
      <c r="F482">
        <v>0.33333333333333331</v>
      </c>
      <c r="G482">
        <v>5</v>
      </c>
    </row>
    <row r="483" spans="1:7" x14ac:dyDescent="0.2">
      <c r="A483" t="s">
        <v>243</v>
      </c>
      <c r="B483" t="s">
        <v>244</v>
      </c>
      <c r="C483" t="s">
        <v>223</v>
      </c>
      <c r="D483" t="s">
        <v>11</v>
      </c>
      <c r="E483" t="s">
        <v>4253</v>
      </c>
    </row>
    <row r="484" spans="1:7" x14ac:dyDescent="0.2">
      <c r="A484" t="s">
        <v>243</v>
      </c>
      <c r="B484" t="s">
        <v>244</v>
      </c>
      <c r="C484" t="s">
        <v>223</v>
      </c>
      <c r="D484" t="s">
        <v>14</v>
      </c>
      <c r="F484">
        <v>3.6666666666666665</v>
      </c>
      <c r="G484">
        <v>122</v>
      </c>
    </row>
    <row r="485" spans="1:7" x14ac:dyDescent="0.2">
      <c r="A485" t="s">
        <v>243</v>
      </c>
      <c r="B485" t="s">
        <v>244</v>
      </c>
      <c r="C485" t="s">
        <v>223</v>
      </c>
      <c r="D485" t="s">
        <v>10</v>
      </c>
      <c r="E485" t="s">
        <v>4254</v>
      </c>
      <c r="F485">
        <v>31.833333333333332</v>
      </c>
      <c r="G485">
        <v>224</v>
      </c>
    </row>
    <row r="486" spans="1:7" x14ac:dyDescent="0.2">
      <c r="A486" t="s">
        <v>243</v>
      </c>
      <c r="B486" t="s">
        <v>244</v>
      </c>
      <c r="C486" t="s">
        <v>223</v>
      </c>
      <c r="D486" t="s">
        <v>3471</v>
      </c>
      <c r="E486" t="s">
        <v>4255</v>
      </c>
      <c r="F486">
        <v>0</v>
      </c>
      <c r="G486">
        <v>0</v>
      </c>
    </row>
    <row r="487" spans="1:7" x14ac:dyDescent="0.2">
      <c r="A487" t="s">
        <v>243</v>
      </c>
      <c r="B487" t="s">
        <v>244</v>
      </c>
      <c r="C487" t="s">
        <v>223</v>
      </c>
      <c r="D487" t="s">
        <v>8</v>
      </c>
      <c r="E487" t="s">
        <v>4256</v>
      </c>
      <c r="F487">
        <v>23</v>
      </c>
      <c r="G487">
        <v>215</v>
      </c>
    </row>
    <row r="488" spans="1:7" x14ac:dyDescent="0.2">
      <c r="A488" t="s">
        <v>279</v>
      </c>
      <c r="B488" t="s">
        <v>280</v>
      </c>
      <c r="C488" t="s">
        <v>223</v>
      </c>
      <c r="D488" t="s">
        <v>11</v>
      </c>
      <c r="E488" t="s">
        <v>4257</v>
      </c>
    </row>
    <row r="489" spans="1:7" x14ac:dyDescent="0.2">
      <c r="A489" t="s">
        <v>279</v>
      </c>
      <c r="B489" t="s">
        <v>280</v>
      </c>
      <c r="C489" t="s">
        <v>223</v>
      </c>
      <c r="D489" t="s">
        <v>10</v>
      </c>
      <c r="E489" t="s">
        <v>4258</v>
      </c>
      <c r="F489">
        <v>0.16666666666666666</v>
      </c>
      <c r="G489">
        <v>1</v>
      </c>
    </row>
    <row r="490" spans="1:7" x14ac:dyDescent="0.2">
      <c r="A490" t="s">
        <v>279</v>
      </c>
      <c r="B490" t="s">
        <v>280</v>
      </c>
      <c r="C490" t="s">
        <v>223</v>
      </c>
      <c r="D490" t="s">
        <v>3471</v>
      </c>
      <c r="E490" t="s">
        <v>4259</v>
      </c>
      <c r="F490">
        <v>0</v>
      </c>
      <c r="G490">
        <v>0</v>
      </c>
    </row>
    <row r="491" spans="1:7" x14ac:dyDescent="0.2">
      <c r="A491" t="s">
        <v>279</v>
      </c>
      <c r="B491" t="s">
        <v>280</v>
      </c>
      <c r="C491" t="s">
        <v>223</v>
      </c>
      <c r="D491" t="s">
        <v>8</v>
      </c>
      <c r="E491" t="s">
        <v>4260</v>
      </c>
      <c r="F491">
        <v>0.16666666666666666</v>
      </c>
      <c r="G491">
        <v>2</v>
      </c>
    </row>
    <row r="492" spans="1:7" x14ac:dyDescent="0.2">
      <c r="A492" t="s">
        <v>245</v>
      </c>
      <c r="B492" t="s">
        <v>246</v>
      </c>
      <c r="C492" t="s">
        <v>223</v>
      </c>
      <c r="D492" t="s">
        <v>11</v>
      </c>
      <c r="E492" t="s">
        <v>4261</v>
      </c>
      <c r="F492">
        <v>1.5</v>
      </c>
      <c r="G492">
        <v>7</v>
      </c>
    </row>
    <row r="493" spans="1:7" x14ac:dyDescent="0.2">
      <c r="A493" t="s">
        <v>245</v>
      </c>
      <c r="B493" t="s">
        <v>246</v>
      </c>
      <c r="C493" t="s">
        <v>223</v>
      </c>
      <c r="D493" t="s">
        <v>14</v>
      </c>
      <c r="F493">
        <v>4.333333333333333</v>
      </c>
      <c r="G493">
        <v>109</v>
      </c>
    </row>
    <row r="494" spans="1:7" x14ac:dyDescent="0.2">
      <c r="A494" t="s">
        <v>245</v>
      </c>
      <c r="B494" t="s">
        <v>246</v>
      </c>
      <c r="C494" t="s">
        <v>223</v>
      </c>
      <c r="D494" t="s">
        <v>10</v>
      </c>
      <c r="E494" t="s">
        <v>4262</v>
      </c>
      <c r="F494">
        <v>35.166666666666664</v>
      </c>
      <c r="G494">
        <v>292</v>
      </c>
    </row>
    <row r="495" spans="1:7" x14ac:dyDescent="0.2">
      <c r="A495" t="s">
        <v>245</v>
      </c>
      <c r="B495" t="s">
        <v>246</v>
      </c>
      <c r="C495" t="s">
        <v>223</v>
      </c>
      <c r="D495" t="s">
        <v>3471</v>
      </c>
      <c r="E495" t="s">
        <v>4263</v>
      </c>
      <c r="F495">
        <v>0</v>
      </c>
      <c r="G495">
        <v>0</v>
      </c>
    </row>
    <row r="496" spans="1:7" x14ac:dyDescent="0.2">
      <c r="A496" t="s">
        <v>245</v>
      </c>
      <c r="B496" t="s">
        <v>246</v>
      </c>
      <c r="C496" t="s">
        <v>223</v>
      </c>
      <c r="D496" t="s">
        <v>8</v>
      </c>
      <c r="E496" t="s">
        <v>4264</v>
      </c>
      <c r="F496">
        <v>16.333333333333332</v>
      </c>
      <c r="G496">
        <v>192</v>
      </c>
    </row>
    <row r="497" spans="1:7" x14ac:dyDescent="0.2">
      <c r="A497" t="s">
        <v>261</v>
      </c>
      <c r="B497" t="s">
        <v>262</v>
      </c>
      <c r="C497" t="s">
        <v>223</v>
      </c>
      <c r="D497" t="s">
        <v>11</v>
      </c>
      <c r="E497" t="s">
        <v>4265</v>
      </c>
    </row>
    <row r="498" spans="1:7" x14ac:dyDescent="0.2">
      <c r="A498" t="s">
        <v>261</v>
      </c>
      <c r="B498" t="s">
        <v>262</v>
      </c>
      <c r="C498" t="s">
        <v>223</v>
      </c>
      <c r="D498" t="s">
        <v>10</v>
      </c>
      <c r="E498" t="s">
        <v>4266</v>
      </c>
      <c r="F498">
        <v>0</v>
      </c>
      <c r="G498">
        <v>3</v>
      </c>
    </row>
    <row r="499" spans="1:7" x14ac:dyDescent="0.2">
      <c r="A499" t="s">
        <v>251</v>
      </c>
      <c r="B499" t="s">
        <v>252</v>
      </c>
      <c r="C499" t="s">
        <v>223</v>
      </c>
      <c r="D499" t="s">
        <v>11</v>
      </c>
      <c r="E499" t="s">
        <v>4267</v>
      </c>
      <c r="F499">
        <v>0.16666666666666666</v>
      </c>
      <c r="G499">
        <v>3</v>
      </c>
    </row>
    <row r="500" spans="1:7" x14ac:dyDescent="0.2">
      <c r="A500" t="s">
        <v>251</v>
      </c>
      <c r="B500" t="s">
        <v>252</v>
      </c>
      <c r="C500" t="s">
        <v>223</v>
      </c>
      <c r="D500" t="s">
        <v>14</v>
      </c>
      <c r="F500">
        <v>0.66666666666666663</v>
      </c>
      <c r="G500">
        <v>212</v>
      </c>
    </row>
    <row r="501" spans="1:7" x14ac:dyDescent="0.2">
      <c r="A501" t="s">
        <v>251</v>
      </c>
      <c r="B501" t="s">
        <v>252</v>
      </c>
      <c r="C501" t="s">
        <v>223</v>
      </c>
      <c r="D501" t="s">
        <v>10</v>
      </c>
      <c r="E501" t="s">
        <v>4268</v>
      </c>
      <c r="F501">
        <v>4.166666666666667</v>
      </c>
      <c r="G501">
        <v>253</v>
      </c>
    </row>
    <row r="502" spans="1:7" x14ac:dyDescent="0.2">
      <c r="A502" t="s">
        <v>251</v>
      </c>
      <c r="B502" t="s">
        <v>252</v>
      </c>
      <c r="C502" t="s">
        <v>223</v>
      </c>
      <c r="D502" t="s">
        <v>3471</v>
      </c>
      <c r="E502" t="s">
        <v>4269</v>
      </c>
      <c r="F502">
        <v>0</v>
      </c>
      <c r="G502">
        <v>0</v>
      </c>
    </row>
    <row r="503" spans="1:7" x14ac:dyDescent="0.2">
      <c r="A503" t="s">
        <v>251</v>
      </c>
      <c r="B503" t="s">
        <v>252</v>
      </c>
      <c r="C503" t="s">
        <v>223</v>
      </c>
      <c r="D503" t="s">
        <v>8</v>
      </c>
      <c r="E503" t="s">
        <v>4270</v>
      </c>
      <c r="F503">
        <v>8.5</v>
      </c>
      <c r="G503">
        <v>290</v>
      </c>
    </row>
    <row r="504" spans="1:7" x14ac:dyDescent="0.2">
      <c r="A504" t="s">
        <v>253</v>
      </c>
      <c r="B504" t="s">
        <v>254</v>
      </c>
      <c r="C504" t="s">
        <v>223</v>
      </c>
      <c r="D504" t="s">
        <v>11</v>
      </c>
      <c r="E504" t="s">
        <v>4271</v>
      </c>
    </row>
    <row r="505" spans="1:7" x14ac:dyDescent="0.2">
      <c r="A505" t="s">
        <v>253</v>
      </c>
      <c r="B505" t="s">
        <v>254</v>
      </c>
      <c r="C505" t="s">
        <v>223</v>
      </c>
      <c r="D505" t="s">
        <v>10</v>
      </c>
      <c r="E505" t="s">
        <v>4272</v>
      </c>
      <c r="F505">
        <v>4</v>
      </c>
      <c r="G505">
        <v>124</v>
      </c>
    </row>
    <row r="506" spans="1:7" x14ac:dyDescent="0.2">
      <c r="A506" t="s">
        <v>253</v>
      </c>
      <c r="B506" t="s">
        <v>254</v>
      </c>
      <c r="C506" t="s">
        <v>223</v>
      </c>
      <c r="D506" t="s">
        <v>3471</v>
      </c>
      <c r="E506" t="s">
        <v>4273</v>
      </c>
      <c r="F506">
        <v>0</v>
      </c>
      <c r="G506">
        <v>0</v>
      </c>
    </row>
    <row r="507" spans="1:7" x14ac:dyDescent="0.2">
      <c r="A507" t="s">
        <v>253</v>
      </c>
      <c r="B507" t="s">
        <v>254</v>
      </c>
      <c r="C507" t="s">
        <v>223</v>
      </c>
      <c r="D507" t="s">
        <v>8</v>
      </c>
      <c r="E507" t="s">
        <v>253</v>
      </c>
      <c r="F507">
        <v>2.5</v>
      </c>
      <c r="G507">
        <v>27</v>
      </c>
    </row>
    <row r="508" spans="1:7" x14ac:dyDescent="0.2">
      <c r="A508" t="s">
        <v>255</v>
      </c>
      <c r="B508" t="s">
        <v>256</v>
      </c>
      <c r="C508" t="s">
        <v>223</v>
      </c>
      <c r="D508" t="s">
        <v>11</v>
      </c>
      <c r="E508" t="s">
        <v>4274</v>
      </c>
    </row>
    <row r="509" spans="1:7" x14ac:dyDescent="0.2">
      <c r="A509" t="s">
        <v>255</v>
      </c>
      <c r="B509" t="s">
        <v>256</v>
      </c>
      <c r="C509" t="s">
        <v>223</v>
      </c>
      <c r="D509" t="s">
        <v>14</v>
      </c>
      <c r="F509">
        <v>0.33333333333333331</v>
      </c>
      <c r="G509">
        <v>37</v>
      </c>
    </row>
    <row r="510" spans="1:7" x14ac:dyDescent="0.2">
      <c r="A510" t="s">
        <v>255</v>
      </c>
      <c r="B510" t="s">
        <v>256</v>
      </c>
      <c r="C510" t="s">
        <v>223</v>
      </c>
      <c r="D510" t="s">
        <v>3471</v>
      </c>
      <c r="E510" t="s">
        <v>4275</v>
      </c>
    </row>
    <row r="511" spans="1:7" x14ac:dyDescent="0.2">
      <c r="A511" t="s">
        <v>255</v>
      </c>
      <c r="B511" t="s">
        <v>256</v>
      </c>
      <c r="C511" t="s">
        <v>223</v>
      </c>
      <c r="D511" t="s">
        <v>8</v>
      </c>
      <c r="E511" t="s">
        <v>4276</v>
      </c>
      <c r="F511">
        <v>0</v>
      </c>
      <c r="G511">
        <v>1</v>
      </c>
    </row>
    <row r="512" spans="1:7" x14ac:dyDescent="0.2">
      <c r="A512" t="s">
        <v>255</v>
      </c>
      <c r="B512" t="s">
        <v>256</v>
      </c>
      <c r="C512" t="s">
        <v>223</v>
      </c>
      <c r="D512" t="s">
        <v>3469</v>
      </c>
    </row>
    <row r="513" spans="1:7" x14ac:dyDescent="0.2">
      <c r="A513" t="s">
        <v>257</v>
      </c>
      <c r="B513" t="s">
        <v>258</v>
      </c>
      <c r="C513" t="s">
        <v>223</v>
      </c>
      <c r="D513" t="s">
        <v>11</v>
      </c>
      <c r="E513" t="s">
        <v>4277</v>
      </c>
    </row>
    <row r="514" spans="1:7" x14ac:dyDescent="0.2">
      <c r="A514" t="s">
        <v>257</v>
      </c>
      <c r="B514" t="s">
        <v>258</v>
      </c>
      <c r="C514" t="s">
        <v>223</v>
      </c>
      <c r="D514" t="s">
        <v>3471</v>
      </c>
      <c r="E514" t="s">
        <v>4278</v>
      </c>
    </row>
    <row r="515" spans="1:7" x14ac:dyDescent="0.2">
      <c r="A515" t="s">
        <v>257</v>
      </c>
      <c r="B515" t="s">
        <v>258</v>
      </c>
      <c r="C515" t="s">
        <v>223</v>
      </c>
      <c r="D515" t="s">
        <v>8</v>
      </c>
      <c r="E515" t="s">
        <v>4279</v>
      </c>
      <c r="F515">
        <v>0.16666666666666666</v>
      </c>
      <c r="G515">
        <v>6</v>
      </c>
    </row>
    <row r="516" spans="1:7" x14ac:dyDescent="0.2">
      <c r="A516" t="s">
        <v>257</v>
      </c>
      <c r="B516" t="s">
        <v>258</v>
      </c>
      <c r="C516" t="s">
        <v>223</v>
      </c>
      <c r="D516" t="s">
        <v>3469</v>
      </c>
    </row>
    <row r="517" spans="1:7" x14ac:dyDescent="0.2">
      <c r="A517" t="s">
        <v>259</v>
      </c>
      <c r="B517" t="s">
        <v>260</v>
      </c>
      <c r="C517" t="s">
        <v>223</v>
      </c>
      <c r="D517" t="s">
        <v>11</v>
      </c>
      <c r="E517" t="s">
        <v>4280</v>
      </c>
    </row>
    <row r="518" spans="1:7" x14ac:dyDescent="0.2">
      <c r="A518" t="s">
        <v>259</v>
      </c>
      <c r="B518" t="s">
        <v>260</v>
      </c>
      <c r="C518" t="s">
        <v>223</v>
      </c>
      <c r="D518" t="s">
        <v>10</v>
      </c>
      <c r="E518" t="s">
        <v>4281</v>
      </c>
      <c r="F518">
        <v>0.5</v>
      </c>
      <c r="G518">
        <v>65</v>
      </c>
    </row>
    <row r="519" spans="1:7" x14ac:dyDescent="0.2">
      <c r="A519" t="s">
        <v>259</v>
      </c>
      <c r="B519" t="s">
        <v>260</v>
      </c>
      <c r="C519" t="s">
        <v>223</v>
      </c>
      <c r="D519" t="s">
        <v>3471</v>
      </c>
      <c r="E519" t="s">
        <v>4282</v>
      </c>
    </row>
    <row r="520" spans="1:7" x14ac:dyDescent="0.2">
      <c r="A520" t="s">
        <v>259</v>
      </c>
      <c r="B520" t="s">
        <v>260</v>
      </c>
      <c r="C520" t="s">
        <v>223</v>
      </c>
      <c r="D520" t="s">
        <v>8</v>
      </c>
      <c r="E520" t="s">
        <v>259</v>
      </c>
      <c r="F520">
        <v>-0.16666666666666666</v>
      </c>
      <c r="G520">
        <v>97</v>
      </c>
    </row>
    <row r="521" spans="1:7" x14ac:dyDescent="0.2">
      <c r="A521" t="s">
        <v>259</v>
      </c>
      <c r="B521" t="s">
        <v>260</v>
      </c>
      <c r="C521" t="s">
        <v>223</v>
      </c>
      <c r="D521" t="s">
        <v>3469</v>
      </c>
    </row>
    <row r="522" spans="1:7" x14ac:dyDescent="0.2">
      <c r="A522" t="s">
        <v>4283</v>
      </c>
      <c r="B522" t="s">
        <v>4284</v>
      </c>
      <c r="C522" t="s">
        <v>223</v>
      </c>
      <c r="D522" t="s">
        <v>11</v>
      </c>
      <c r="E522" t="s">
        <v>4285</v>
      </c>
    </row>
    <row r="523" spans="1:7" x14ac:dyDescent="0.2">
      <c r="A523" t="s">
        <v>4283</v>
      </c>
      <c r="B523" t="s">
        <v>4284</v>
      </c>
      <c r="C523" t="s">
        <v>223</v>
      </c>
      <c r="D523" t="s">
        <v>14</v>
      </c>
      <c r="F523">
        <v>0</v>
      </c>
      <c r="G523">
        <v>4</v>
      </c>
    </row>
    <row r="524" spans="1:7" x14ac:dyDescent="0.2">
      <c r="A524" t="s">
        <v>263</v>
      </c>
      <c r="B524" t="s">
        <v>264</v>
      </c>
      <c r="C524" t="s">
        <v>223</v>
      </c>
      <c r="D524" t="s">
        <v>11</v>
      </c>
      <c r="E524" t="s">
        <v>4286</v>
      </c>
    </row>
    <row r="525" spans="1:7" x14ac:dyDescent="0.2">
      <c r="A525" t="s">
        <v>263</v>
      </c>
      <c r="B525" t="s">
        <v>264</v>
      </c>
      <c r="C525" t="s">
        <v>223</v>
      </c>
      <c r="D525" t="s">
        <v>10</v>
      </c>
      <c r="E525" t="s">
        <v>4287</v>
      </c>
      <c r="F525">
        <v>0.16666666666666666</v>
      </c>
      <c r="G525">
        <v>2</v>
      </c>
    </row>
    <row r="526" spans="1:7" x14ac:dyDescent="0.2">
      <c r="A526" t="s">
        <v>263</v>
      </c>
      <c r="B526" t="s">
        <v>264</v>
      </c>
      <c r="C526" t="s">
        <v>223</v>
      </c>
      <c r="D526" t="s">
        <v>8</v>
      </c>
      <c r="E526" t="s">
        <v>4288</v>
      </c>
    </row>
    <row r="527" spans="1:7" x14ac:dyDescent="0.2">
      <c r="A527" t="s">
        <v>4289</v>
      </c>
      <c r="B527" t="s">
        <v>4290</v>
      </c>
      <c r="C527" t="s">
        <v>223</v>
      </c>
      <c r="D527" t="s">
        <v>11</v>
      </c>
      <c r="E527" t="s">
        <v>4291</v>
      </c>
    </row>
    <row r="528" spans="1:7" x14ac:dyDescent="0.2">
      <c r="A528" t="s">
        <v>265</v>
      </c>
      <c r="B528" t="s">
        <v>266</v>
      </c>
      <c r="C528" t="s">
        <v>223</v>
      </c>
      <c r="D528" t="s">
        <v>11</v>
      </c>
      <c r="E528" t="s">
        <v>4292</v>
      </c>
    </row>
    <row r="529" spans="1:7" x14ac:dyDescent="0.2">
      <c r="A529" t="s">
        <v>265</v>
      </c>
      <c r="B529" t="s">
        <v>266</v>
      </c>
      <c r="C529" t="s">
        <v>223</v>
      </c>
      <c r="D529" t="s">
        <v>14</v>
      </c>
      <c r="F529">
        <v>0</v>
      </c>
      <c r="G529">
        <v>2</v>
      </c>
    </row>
    <row r="530" spans="1:7" x14ac:dyDescent="0.2">
      <c r="A530" t="s">
        <v>265</v>
      </c>
      <c r="B530" t="s">
        <v>266</v>
      </c>
      <c r="C530" t="s">
        <v>223</v>
      </c>
      <c r="D530" t="s">
        <v>10</v>
      </c>
      <c r="E530" t="s">
        <v>4293</v>
      </c>
      <c r="F530">
        <v>0</v>
      </c>
      <c r="G530">
        <v>6</v>
      </c>
    </row>
    <row r="531" spans="1:7" x14ac:dyDescent="0.2">
      <c r="A531" t="s">
        <v>4294</v>
      </c>
      <c r="B531" t="s">
        <v>4295</v>
      </c>
      <c r="C531" t="s">
        <v>223</v>
      </c>
      <c r="D531" t="s">
        <v>11</v>
      </c>
      <c r="E531" t="s">
        <v>4296</v>
      </c>
    </row>
    <row r="532" spans="1:7" x14ac:dyDescent="0.2">
      <c r="A532" t="s">
        <v>4297</v>
      </c>
      <c r="B532" t="s">
        <v>4298</v>
      </c>
      <c r="C532" t="s">
        <v>223</v>
      </c>
      <c r="D532" t="s">
        <v>11</v>
      </c>
      <c r="E532" t="s">
        <v>4299</v>
      </c>
    </row>
    <row r="533" spans="1:7" x14ac:dyDescent="0.2">
      <c r="A533" t="s">
        <v>4300</v>
      </c>
      <c r="B533" t="s">
        <v>4301</v>
      </c>
      <c r="C533" t="s">
        <v>223</v>
      </c>
      <c r="D533" t="s">
        <v>11</v>
      </c>
      <c r="E533" t="s">
        <v>4302</v>
      </c>
    </row>
    <row r="534" spans="1:7" x14ac:dyDescent="0.2">
      <c r="A534" t="s">
        <v>273</v>
      </c>
      <c r="B534" t="s">
        <v>274</v>
      </c>
      <c r="C534" t="s">
        <v>223</v>
      </c>
      <c r="D534" t="s">
        <v>11</v>
      </c>
      <c r="E534" t="s">
        <v>4303</v>
      </c>
      <c r="F534">
        <v>0.66666666666666663</v>
      </c>
      <c r="G534">
        <v>2</v>
      </c>
    </row>
    <row r="535" spans="1:7" x14ac:dyDescent="0.2">
      <c r="A535" t="s">
        <v>273</v>
      </c>
      <c r="B535" t="s">
        <v>274</v>
      </c>
      <c r="C535" t="s">
        <v>223</v>
      </c>
      <c r="D535" t="s">
        <v>14</v>
      </c>
      <c r="F535">
        <v>2.6666666666666665</v>
      </c>
      <c r="G535">
        <v>112</v>
      </c>
    </row>
    <row r="536" spans="1:7" x14ac:dyDescent="0.2">
      <c r="A536" t="s">
        <v>273</v>
      </c>
      <c r="B536" t="s">
        <v>274</v>
      </c>
      <c r="C536" t="s">
        <v>223</v>
      </c>
      <c r="D536" t="s">
        <v>10</v>
      </c>
      <c r="E536" t="s">
        <v>4304</v>
      </c>
    </row>
    <row r="537" spans="1:7" x14ac:dyDescent="0.2">
      <c r="A537" t="s">
        <v>273</v>
      </c>
      <c r="B537" t="s">
        <v>274</v>
      </c>
      <c r="C537" t="s">
        <v>223</v>
      </c>
      <c r="D537" t="s">
        <v>3471</v>
      </c>
      <c r="E537" t="s">
        <v>4305</v>
      </c>
      <c r="F537">
        <v>0</v>
      </c>
      <c r="G537">
        <v>0</v>
      </c>
    </row>
    <row r="538" spans="1:7" x14ac:dyDescent="0.2">
      <c r="A538" t="s">
        <v>273</v>
      </c>
      <c r="B538" t="s">
        <v>274</v>
      </c>
      <c r="C538" t="s">
        <v>223</v>
      </c>
      <c r="D538" t="s">
        <v>8</v>
      </c>
      <c r="E538" t="s">
        <v>4306</v>
      </c>
      <c r="F538">
        <v>3.6666666666666665</v>
      </c>
      <c r="G538">
        <v>178</v>
      </c>
    </row>
    <row r="539" spans="1:7" x14ac:dyDescent="0.2">
      <c r="A539" t="s">
        <v>4307</v>
      </c>
      <c r="B539" t="s">
        <v>4308</v>
      </c>
      <c r="C539" t="s">
        <v>223</v>
      </c>
      <c r="D539" t="s">
        <v>11</v>
      </c>
      <c r="E539" t="s">
        <v>4309</v>
      </c>
    </row>
    <row r="540" spans="1:7" x14ac:dyDescent="0.2">
      <c r="A540" t="s">
        <v>275</v>
      </c>
      <c r="B540" t="s">
        <v>276</v>
      </c>
      <c r="C540" t="s">
        <v>223</v>
      </c>
      <c r="D540" t="s">
        <v>11</v>
      </c>
      <c r="E540" t="s">
        <v>4310</v>
      </c>
    </row>
    <row r="541" spans="1:7" x14ac:dyDescent="0.2">
      <c r="A541" t="s">
        <v>275</v>
      </c>
      <c r="B541" t="s">
        <v>276</v>
      </c>
      <c r="C541" t="s">
        <v>223</v>
      </c>
      <c r="D541" t="s">
        <v>14</v>
      </c>
      <c r="F541">
        <v>1.5</v>
      </c>
      <c r="G541">
        <v>75</v>
      </c>
    </row>
    <row r="542" spans="1:7" x14ac:dyDescent="0.2">
      <c r="A542" t="s">
        <v>275</v>
      </c>
      <c r="B542" t="s">
        <v>276</v>
      </c>
      <c r="C542" t="s">
        <v>223</v>
      </c>
      <c r="D542" t="s">
        <v>10</v>
      </c>
      <c r="E542" t="s">
        <v>4311</v>
      </c>
    </row>
    <row r="543" spans="1:7" x14ac:dyDescent="0.2">
      <c r="A543" t="s">
        <v>275</v>
      </c>
      <c r="B543" t="s">
        <v>276</v>
      </c>
      <c r="C543" t="s">
        <v>223</v>
      </c>
      <c r="D543" t="s">
        <v>3471</v>
      </c>
      <c r="E543" t="s">
        <v>4312</v>
      </c>
      <c r="F543">
        <v>0</v>
      </c>
      <c r="G543">
        <v>0</v>
      </c>
    </row>
    <row r="544" spans="1:7" x14ac:dyDescent="0.2">
      <c r="A544" t="s">
        <v>275</v>
      </c>
      <c r="B544" t="s">
        <v>276</v>
      </c>
      <c r="C544" t="s">
        <v>223</v>
      </c>
      <c r="D544" t="s">
        <v>8</v>
      </c>
      <c r="E544" t="s">
        <v>4313</v>
      </c>
      <c r="F544">
        <v>0</v>
      </c>
      <c r="G544">
        <v>5</v>
      </c>
    </row>
    <row r="545" spans="1:7" x14ac:dyDescent="0.2">
      <c r="A545" t="s">
        <v>4314</v>
      </c>
      <c r="B545" t="s">
        <v>4315</v>
      </c>
      <c r="C545" t="s">
        <v>223</v>
      </c>
      <c r="D545" t="s">
        <v>11</v>
      </c>
      <c r="E545" t="s">
        <v>4316</v>
      </c>
    </row>
    <row r="546" spans="1:7" x14ac:dyDescent="0.2">
      <c r="A546" t="s">
        <v>277</v>
      </c>
      <c r="B546" t="s">
        <v>278</v>
      </c>
      <c r="C546" t="s">
        <v>223</v>
      </c>
      <c r="D546" t="s">
        <v>11</v>
      </c>
      <c r="E546" t="s">
        <v>4317</v>
      </c>
    </row>
    <row r="547" spans="1:7" x14ac:dyDescent="0.2">
      <c r="A547" t="s">
        <v>277</v>
      </c>
      <c r="B547" t="s">
        <v>278</v>
      </c>
      <c r="C547" t="s">
        <v>223</v>
      </c>
      <c r="D547" t="s">
        <v>10</v>
      </c>
      <c r="E547" t="s">
        <v>4318</v>
      </c>
    </row>
    <row r="548" spans="1:7" x14ac:dyDescent="0.2">
      <c r="A548" t="s">
        <v>277</v>
      </c>
      <c r="B548" t="s">
        <v>278</v>
      </c>
      <c r="C548" t="s">
        <v>223</v>
      </c>
      <c r="D548" t="s">
        <v>3471</v>
      </c>
      <c r="E548" t="s">
        <v>4319</v>
      </c>
      <c r="F548">
        <v>0</v>
      </c>
      <c r="G548">
        <v>4</v>
      </c>
    </row>
    <row r="549" spans="1:7" x14ac:dyDescent="0.2">
      <c r="A549" t="s">
        <v>283</v>
      </c>
      <c r="B549" t="s">
        <v>284</v>
      </c>
      <c r="C549" t="s">
        <v>223</v>
      </c>
      <c r="D549" t="s">
        <v>10</v>
      </c>
      <c r="E549" t="s">
        <v>4320</v>
      </c>
      <c r="F549">
        <v>6.5</v>
      </c>
      <c r="G549">
        <v>98</v>
      </c>
    </row>
    <row r="550" spans="1:7" x14ac:dyDescent="0.2">
      <c r="A550" t="s">
        <v>8289</v>
      </c>
      <c r="B550" t="s">
        <v>8290</v>
      </c>
      <c r="C550" t="s">
        <v>223</v>
      </c>
      <c r="D550" t="s">
        <v>10</v>
      </c>
      <c r="E550" t="s">
        <v>8527</v>
      </c>
    </row>
    <row r="551" spans="1:7" x14ac:dyDescent="0.2">
      <c r="A551" t="s">
        <v>285</v>
      </c>
      <c r="B551" t="s">
        <v>286</v>
      </c>
      <c r="C551" t="s">
        <v>223</v>
      </c>
      <c r="D551" t="s">
        <v>10</v>
      </c>
      <c r="E551" t="s">
        <v>4321</v>
      </c>
      <c r="F551">
        <v>9.3333333333333339</v>
      </c>
      <c r="G551">
        <v>133</v>
      </c>
    </row>
    <row r="552" spans="1:7" x14ac:dyDescent="0.2">
      <c r="A552" t="s">
        <v>4322</v>
      </c>
      <c r="B552" t="s">
        <v>4323</v>
      </c>
      <c r="C552" t="s">
        <v>223</v>
      </c>
      <c r="D552" t="s">
        <v>11</v>
      </c>
      <c r="E552" t="s">
        <v>4324</v>
      </c>
    </row>
    <row r="553" spans="1:7" x14ac:dyDescent="0.2">
      <c r="A553" t="s">
        <v>4325</v>
      </c>
      <c r="B553" t="s">
        <v>4326</v>
      </c>
      <c r="C553" t="s">
        <v>223</v>
      </c>
      <c r="D553" t="s">
        <v>11</v>
      </c>
      <c r="E553" t="s">
        <v>4327</v>
      </c>
    </row>
    <row r="554" spans="1:7" x14ac:dyDescent="0.2">
      <c r="A554" t="s">
        <v>4328</v>
      </c>
      <c r="B554" t="s">
        <v>4329</v>
      </c>
      <c r="C554" t="s">
        <v>4330</v>
      </c>
      <c r="D554" t="s">
        <v>11</v>
      </c>
      <c r="E554" t="s">
        <v>4331</v>
      </c>
    </row>
    <row r="555" spans="1:7" x14ac:dyDescent="0.2">
      <c r="A555" t="s">
        <v>4332</v>
      </c>
      <c r="B555" t="s">
        <v>4333</v>
      </c>
      <c r="C555" t="s">
        <v>2852</v>
      </c>
      <c r="D555" t="s">
        <v>11</v>
      </c>
      <c r="E555" t="s">
        <v>4334</v>
      </c>
    </row>
    <row r="556" spans="1:7" x14ac:dyDescent="0.2">
      <c r="A556" t="s">
        <v>4332</v>
      </c>
      <c r="B556" t="s">
        <v>4333</v>
      </c>
      <c r="C556" t="s">
        <v>2852</v>
      </c>
      <c r="D556" t="s">
        <v>10</v>
      </c>
      <c r="E556" t="s">
        <v>4335</v>
      </c>
    </row>
    <row r="557" spans="1:7" x14ac:dyDescent="0.2">
      <c r="A557" t="s">
        <v>4336</v>
      </c>
      <c r="B557" t="s">
        <v>4337</v>
      </c>
      <c r="C557" t="s">
        <v>2852</v>
      </c>
      <c r="D557" t="s">
        <v>11</v>
      </c>
      <c r="E557" t="s">
        <v>4338</v>
      </c>
    </row>
    <row r="558" spans="1:7" x14ac:dyDescent="0.2">
      <c r="A558" t="s">
        <v>4336</v>
      </c>
      <c r="B558" t="s">
        <v>4337</v>
      </c>
      <c r="C558" t="s">
        <v>2852</v>
      </c>
      <c r="D558" t="s">
        <v>10</v>
      </c>
      <c r="E558" t="s">
        <v>4339</v>
      </c>
    </row>
    <row r="559" spans="1:7" x14ac:dyDescent="0.2">
      <c r="A559" t="s">
        <v>4340</v>
      </c>
      <c r="B559" t="s">
        <v>4341</v>
      </c>
      <c r="C559" t="s">
        <v>4330</v>
      </c>
      <c r="D559" t="s">
        <v>11</v>
      </c>
      <c r="E559" t="s">
        <v>4342</v>
      </c>
    </row>
    <row r="560" spans="1:7" x14ac:dyDescent="0.2">
      <c r="A560" t="s">
        <v>4343</v>
      </c>
      <c r="B560" t="s">
        <v>4344</v>
      </c>
      <c r="C560" t="s">
        <v>223</v>
      </c>
      <c r="D560" t="s">
        <v>11</v>
      </c>
      <c r="E560" t="s">
        <v>4345</v>
      </c>
    </row>
    <row r="561" spans="1:7" x14ac:dyDescent="0.2">
      <c r="A561" t="s">
        <v>281</v>
      </c>
      <c r="B561" t="s">
        <v>282</v>
      </c>
      <c r="C561" t="s">
        <v>223</v>
      </c>
      <c r="D561" t="s">
        <v>11</v>
      </c>
      <c r="E561" t="s">
        <v>4346</v>
      </c>
    </row>
    <row r="562" spans="1:7" x14ac:dyDescent="0.2">
      <c r="A562" t="s">
        <v>281</v>
      </c>
      <c r="B562" t="s">
        <v>282</v>
      </c>
      <c r="C562" t="s">
        <v>223</v>
      </c>
      <c r="D562" t="s">
        <v>10</v>
      </c>
      <c r="E562" t="s">
        <v>4347</v>
      </c>
    </row>
    <row r="563" spans="1:7" x14ac:dyDescent="0.2">
      <c r="A563" t="s">
        <v>281</v>
      </c>
      <c r="B563" t="s">
        <v>282</v>
      </c>
      <c r="C563" t="s">
        <v>223</v>
      </c>
      <c r="D563" t="s">
        <v>3471</v>
      </c>
      <c r="E563" t="s">
        <v>4348</v>
      </c>
      <c r="F563">
        <v>0.16666666666666666</v>
      </c>
      <c r="G563">
        <v>0</v>
      </c>
    </row>
    <row r="564" spans="1:7" x14ac:dyDescent="0.2">
      <c r="A564" t="s">
        <v>281</v>
      </c>
      <c r="B564" t="s">
        <v>282</v>
      </c>
      <c r="C564" t="s">
        <v>223</v>
      </c>
      <c r="D564" t="s">
        <v>8</v>
      </c>
      <c r="E564" t="s">
        <v>4349</v>
      </c>
      <c r="F564">
        <v>1</v>
      </c>
      <c r="G564">
        <v>0</v>
      </c>
    </row>
    <row r="565" spans="1:7" x14ac:dyDescent="0.2">
      <c r="A565" t="s">
        <v>241</v>
      </c>
      <c r="B565" t="s">
        <v>242</v>
      </c>
      <c r="C565" t="s">
        <v>223</v>
      </c>
      <c r="D565" t="s">
        <v>11</v>
      </c>
      <c r="E565" t="s">
        <v>4350</v>
      </c>
    </row>
    <row r="566" spans="1:7" x14ac:dyDescent="0.2">
      <c r="A566" t="s">
        <v>4351</v>
      </c>
      <c r="B566" t="s">
        <v>4352</v>
      </c>
      <c r="C566" t="s">
        <v>223</v>
      </c>
      <c r="D566" t="s">
        <v>11</v>
      </c>
      <c r="E566" t="s">
        <v>4353</v>
      </c>
    </row>
    <row r="567" spans="1:7" x14ac:dyDescent="0.2">
      <c r="A567" t="s">
        <v>4354</v>
      </c>
      <c r="B567" t="s">
        <v>4355</v>
      </c>
      <c r="C567" t="s">
        <v>223</v>
      </c>
      <c r="D567" t="s">
        <v>11</v>
      </c>
      <c r="E567" t="s">
        <v>4356</v>
      </c>
    </row>
    <row r="568" spans="1:7" x14ac:dyDescent="0.2">
      <c r="A568" t="s">
        <v>4357</v>
      </c>
      <c r="B568" t="s">
        <v>4358</v>
      </c>
      <c r="C568" t="s">
        <v>2852</v>
      </c>
      <c r="D568" t="s">
        <v>11</v>
      </c>
      <c r="E568" t="s">
        <v>4359</v>
      </c>
    </row>
    <row r="569" spans="1:7" x14ac:dyDescent="0.2">
      <c r="A569" t="s">
        <v>295</v>
      </c>
      <c r="B569" t="s">
        <v>296</v>
      </c>
      <c r="C569" t="s">
        <v>287</v>
      </c>
      <c r="D569" t="s">
        <v>11</v>
      </c>
      <c r="E569" t="s">
        <v>4360</v>
      </c>
    </row>
    <row r="570" spans="1:7" x14ac:dyDescent="0.2">
      <c r="A570" t="s">
        <v>293</v>
      </c>
      <c r="B570" t="s">
        <v>294</v>
      </c>
      <c r="C570" t="s">
        <v>287</v>
      </c>
      <c r="D570" t="s">
        <v>11</v>
      </c>
      <c r="E570" t="s">
        <v>4361</v>
      </c>
    </row>
    <row r="571" spans="1:7" x14ac:dyDescent="0.2">
      <c r="A571" t="s">
        <v>293</v>
      </c>
      <c r="B571" t="s">
        <v>294</v>
      </c>
      <c r="C571" t="s">
        <v>287</v>
      </c>
      <c r="D571" t="s">
        <v>10</v>
      </c>
      <c r="E571" t="s">
        <v>4362</v>
      </c>
      <c r="F571">
        <v>0.33333333333333331</v>
      </c>
      <c r="G571">
        <v>1</v>
      </c>
    </row>
    <row r="572" spans="1:7" x14ac:dyDescent="0.2">
      <c r="A572" t="s">
        <v>288</v>
      </c>
      <c r="B572" t="s">
        <v>289</v>
      </c>
      <c r="C572" t="s">
        <v>287</v>
      </c>
      <c r="D572" t="s">
        <v>11</v>
      </c>
      <c r="E572" t="s">
        <v>4363</v>
      </c>
    </row>
    <row r="573" spans="1:7" x14ac:dyDescent="0.2">
      <c r="A573" t="s">
        <v>288</v>
      </c>
      <c r="B573" t="s">
        <v>289</v>
      </c>
      <c r="C573" t="s">
        <v>287</v>
      </c>
      <c r="D573" t="s">
        <v>10</v>
      </c>
      <c r="E573" t="s">
        <v>4364</v>
      </c>
    </row>
    <row r="574" spans="1:7" x14ac:dyDescent="0.2">
      <c r="A574" t="s">
        <v>291</v>
      </c>
      <c r="B574" t="s">
        <v>292</v>
      </c>
      <c r="C574" t="s">
        <v>287</v>
      </c>
      <c r="D574" t="s">
        <v>11</v>
      </c>
      <c r="E574" t="s">
        <v>4365</v>
      </c>
    </row>
    <row r="575" spans="1:7" x14ac:dyDescent="0.2">
      <c r="A575" t="s">
        <v>291</v>
      </c>
      <c r="B575" t="s">
        <v>292</v>
      </c>
      <c r="C575" t="s">
        <v>287</v>
      </c>
      <c r="D575" t="s">
        <v>10</v>
      </c>
      <c r="E575" t="s">
        <v>4366</v>
      </c>
    </row>
    <row r="576" spans="1:7" x14ac:dyDescent="0.2">
      <c r="A576" t="s">
        <v>4367</v>
      </c>
      <c r="B576" t="s">
        <v>4368</v>
      </c>
      <c r="C576" t="s">
        <v>2852</v>
      </c>
      <c r="D576" t="s">
        <v>11</v>
      </c>
      <c r="E576" t="s">
        <v>4369</v>
      </c>
    </row>
    <row r="577" spans="1:7" x14ac:dyDescent="0.2">
      <c r="A577" t="s">
        <v>4370</v>
      </c>
      <c r="B577" t="s">
        <v>4371</v>
      </c>
      <c r="C577" t="s">
        <v>2852</v>
      </c>
      <c r="D577" t="s">
        <v>11</v>
      </c>
      <c r="E577" t="s">
        <v>4372</v>
      </c>
    </row>
    <row r="578" spans="1:7" x14ac:dyDescent="0.2">
      <c r="A578" t="s">
        <v>2923</v>
      </c>
      <c r="B578" t="s">
        <v>2924</v>
      </c>
      <c r="C578" t="s">
        <v>2852</v>
      </c>
      <c r="D578" t="s">
        <v>11</v>
      </c>
      <c r="E578" t="s">
        <v>4373</v>
      </c>
    </row>
    <row r="579" spans="1:7" x14ac:dyDescent="0.2">
      <c r="A579" t="s">
        <v>2923</v>
      </c>
      <c r="B579" t="s">
        <v>2924</v>
      </c>
      <c r="C579" t="s">
        <v>2852</v>
      </c>
      <c r="D579" t="s">
        <v>3471</v>
      </c>
      <c r="E579" t="s">
        <v>4374</v>
      </c>
      <c r="F579">
        <v>0</v>
      </c>
      <c r="G579">
        <v>0</v>
      </c>
    </row>
    <row r="580" spans="1:7" x14ac:dyDescent="0.2">
      <c r="A580" t="s">
        <v>2923</v>
      </c>
      <c r="B580" t="s">
        <v>2924</v>
      </c>
      <c r="C580" t="s">
        <v>2852</v>
      </c>
      <c r="D580" t="s">
        <v>8</v>
      </c>
      <c r="E580" t="s">
        <v>4375</v>
      </c>
    </row>
    <row r="581" spans="1:7" x14ac:dyDescent="0.2">
      <c r="A581" t="s">
        <v>4376</v>
      </c>
      <c r="B581" t="s">
        <v>4377</v>
      </c>
      <c r="C581" t="s">
        <v>2852</v>
      </c>
      <c r="D581" t="s">
        <v>11</v>
      </c>
      <c r="E581" t="s">
        <v>4378</v>
      </c>
    </row>
    <row r="582" spans="1:7" x14ac:dyDescent="0.2">
      <c r="A582" t="s">
        <v>4379</v>
      </c>
      <c r="B582" t="s">
        <v>4380</v>
      </c>
      <c r="C582" t="s">
        <v>2852</v>
      </c>
      <c r="D582" t="s">
        <v>11</v>
      </c>
      <c r="E582" t="s">
        <v>4381</v>
      </c>
    </row>
    <row r="583" spans="1:7" x14ac:dyDescent="0.2">
      <c r="A583" t="s">
        <v>4382</v>
      </c>
      <c r="B583" t="s">
        <v>4383</v>
      </c>
      <c r="C583" t="s">
        <v>2852</v>
      </c>
      <c r="D583" t="s">
        <v>11</v>
      </c>
      <c r="E583" t="s">
        <v>4384</v>
      </c>
    </row>
    <row r="584" spans="1:7" x14ac:dyDescent="0.2">
      <c r="A584" t="s">
        <v>1814</v>
      </c>
      <c r="B584" t="s">
        <v>1815</v>
      </c>
      <c r="C584" t="s">
        <v>1811</v>
      </c>
      <c r="D584" t="s">
        <v>8</v>
      </c>
      <c r="E584" t="s">
        <v>4385</v>
      </c>
      <c r="F584">
        <v>0</v>
      </c>
      <c r="G584">
        <v>2</v>
      </c>
    </row>
    <row r="585" spans="1:7" x14ac:dyDescent="0.2">
      <c r="A585" t="s">
        <v>4386</v>
      </c>
      <c r="B585" t="s">
        <v>4387</v>
      </c>
      <c r="C585" t="s">
        <v>304</v>
      </c>
      <c r="D585" t="s">
        <v>3484</v>
      </c>
    </row>
    <row r="586" spans="1:7" x14ac:dyDescent="0.2">
      <c r="A586" t="s">
        <v>305</v>
      </c>
      <c r="B586" t="s">
        <v>306</v>
      </c>
      <c r="C586" t="s">
        <v>304</v>
      </c>
      <c r="D586" t="s">
        <v>3484</v>
      </c>
    </row>
    <row r="587" spans="1:7" x14ac:dyDescent="0.2">
      <c r="A587" t="s">
        <v>4388</v>
      </c>
      <c r="B587" t="s">
        <v>4389</v>
      </c>
      <c r="C587" t="s">
        <v>4390</v>
      </c>
      <c r="D587" t="s">
        <v>11</v>
      </c>
      <c r="E587" t="s">
        <v>4391</v>
      </c>
    </row>
    <row r="588" spans="1:7" x14ac:dyDescent="0.2">
      <c r="A588" t="s">
        <v>1030</v>
      </c>
      <c r="B588" t="s">
        <v>1031</v>
      </c>
      <c r="C588" t="s">
        <v>1029</v>
      </c>
      <c r="D588" t="s">
        <v>11</v>
      </c>
      <c r="E588" t="s">
        <v>4392</v>
      </c>
    </row>
    <row r="589" spans="1:7" x14ac:dyDescent="0.2">
      <c r="A589" t="s">
        <v>4393</v>
      </c>
      <c r="B589" t="s">
        <v>4394</v>
      </c>
      <c r="C589" t="s">
        <v>1012</v>
      </c>
      <c r="D589" t="s">
        <v>3471</v>
      </c>
      <c r="E589" t="s">
        <v>4395</v>
      </c>
    </row>
    <row r="590" spans="1:7" x14ac:dyDescent="0.2">
      <c r="A590" t="s">
        <v>1013</v>
      </c>
      <c r="B590" t="s">
        <v>1014</v>
      </c>
      <c r="C590" t="s">
        <v>1012</v>
      </c>
      <c r="D590" t="s">
        <v>10</v>
      </c>
      <c r="E590" t="s">
        <v>4396</v>
      </c>
      <c r="F590">
        <v>0</v>
      </c>
      <c r="G590">
        <v>6</v>
      </c>
    </row>
    <row r="591" spans="1:7" x14ac:dyDescent="0.2">
      <c r="A591" t="s">
        <v>1013</v>
      </c>
      <c r="B591" t="s">
        <v>1014</v>
      </c>
      <c r="C591" t="s">
        <v>1012</v>
      </c>
      <c r="D591" t="s">
        <v>3471</v>
      </c>
      <c r="E591" t="s">
        <v>4397</v>
      </c>
    </row>
    <row r="592" spans="1:7" x14ac:dyDescent="0.2">
      <c r="A592" t="s">
        <v>4398</v>
      </c>
      <c r="B592" t="s">
        <v>4399</v>
      </c>
      <c r="C592" t="s">
        <v>1012</v>
      </c>
      <c r="D592" t="s">
        <v>10</v>
      </c>
      <c r="E592" t="s">
        <v>4400</v>
      </c>
    </row>
    <row r="593" spans="1:7" x14ac:dyDescent="0.2">
      <c r="A593" t="s">
        <v>4398</v>
      </c>
      <c r="B593" t="s">
        <v>4399</v>
      </c>
      <c r="C593" t="s">
        <v>1012</v>
      </c>
      <c r="D593" t="s">
        <v>3471</v>
      </c>
      <c r="E593" t="s">
        <v>4401</v>
      </c>
    </row>
    <row r="594" spans="1:7" x14ac:dyDescent="0.2">
      <c r="A594" t="s">
        <v>4402</v>
      </c>
      <c r="B594" t="s">
        <v>4403</v>
      </c>
      <c r="C594" t="s">
        <v>1012</v>
      </c>
      <c r="D594" t="s">
        <v>10</v>
      </c>
      <c r="E594" t="s">
        <v>4404</v>
      </c>
    </row>
    <row r="595" spans="1:7" x14ac:dyDescent="0.2">
      <c r="A595" t="s">
        <v>4405</v>
      </c>
      <c r="B595" t="s">
        <v>4406</v>
      </c>
      <c r="C595" t="s">
        <v>1012</v>
      </c>
      <c r="D595" t="s">
        <v>10</v>
      </c>
      <c r="E595" t="s">
        <v>4407</v>
      </c>
    </row>
    <row r="596" spans="1:7" x14ac:dyDescent="0.2">
      <c r="A596" t="s">
        <v>4408</v>
      </c>
      <c r="B596" t="s">
        <v>4409</v>
      </c>
      <c r="C596" t="s">
        <v>1012</v>
      </c>
      <c r="D596" t="s">
        <v>10</v>
      </c>
      <c r="E596" t="s">
        <v>4410</v>
      </c>
    </row>
    <row r="597" spans="1:7" x14ac:dyDescent="0.2">
      <c r="A597" t="s">
        <v>4411</v>
      </c>
      <c r="B597" t="s">
        <v>4412</v>
      </c>
      <c r="C597" t="s">
        <v>1012</v>
      </c>
      <c r="D597" t="s">
        <v>10</v>
      </c>
      <c r="E597" t="s">
        <v>4413</v>
      </c>
    </row>
    <row r="598" spans="1:7" x14ac:dyDescent="0.2">
      <c r="A598" t="s">
        <v>4411</v>
      </c>
      <c r="B598" t="s">
        <v>4412</v>
      </c>
      <c r="C598" t="s">
        <v>1012</v>
      </c>
      <c r="D598" t="s">
        <v>3471</v>
      </c>
      <c r="E598" t="s">
        <v>4414</v>
      </c>
    </row>
    <row r="599" spans="1:7" x14ac:dyDescent="0.2">
      <c r="A599" t="s">
        <v>4415</v>
      </c>
      <c r="B599" t="s">
        <v>4416</v>
      </c>
      <c r="C599" t="s">
        <v>1012</v>
      </c>
      <c r="D599" t="s">
        <v>10</v>
      </c>
      <c r="E599" t="s">
        <v>4417</v>
      </c>
    </row>
    <row r="600" spans="1:7" x14ac:dyDescent="0.2">
      <c r="A600" t="s">
        <v>4418</v>
      </c>
      <c r="B600" t="s">
        <v>4419</v>
      </c>
      <c r="C600" t="s">
        <v>1012</v>
      </c>
      <c r="D600" t="s">
        <v>10</v>
      </c>
      <c r="E600" t="s">
        <v>4420</v>
      </c>
    </row>
    <row r="601" spans="1:7" x14ac:dyDescent="0.2">
      <c r="A601" t="s">
        <v>4418</v>
      </c>
      <c r="B601" t="s">
        <v>4419</v>
      </c>
      <c r="C601" t="s">
        <v>1012</v>
      </c>
      <c r="D601" t="s">
        <v>3471</v>
      </c>
      <c r="E601" t="s">
        <v>4421</v>
      </c>
    </row>
    <row r="602" spans="1:7" x14ac:dyDescent="0.2">
      <c r="A602" t="s">
        <v>4422</v>
      </c>
      <c r="B602" t="s">
        <v>4423</v>
      </c>
      <c r="C602" t="s">
        <v>1012</v>
      </c>
      <c r="D602" t="s">
        <v>10</v>
      </c>
      <c r="E602" t="s">
        <v>4424</v>
      </c>
    </row>
    <row r="603" spans="1:7" x14ac:dyDescent="0.2">
      <c r="A603" t="s">
        <v>4422</v>
      </c>
      <c r="B603" t="s">
        <v>4423</v>
      </c>
      <c r="C603" t="s">
        <v>1012</v>
      </c>
      <c r="D603" t="s">
        <v>3471</v>
      </c>
      <c r="E603" t="s">
        <v>4425</v>
      </c>
    </row>
    <row r="604" spans="1:7" x14ac:dyDescent="0.2">
      <c r="A604" t="s">
        <v>4426</v>
      </c>
      <c r="B604" t="s">
        <v>4427</v>
      </c>
      <c r="C604" t="s">
        <v>1012</v>
      </c>
      <c r="D604" t="s">
        <v>10</v>
      </c>
      <c r="E604" t="s">
        <v>4428</v>
      </c>
      <c r="F604">
        <v>0</v>
      </c>
      <c r="G604">
        <v>2</v>
      </c>
    </row>
    <row r="605" spans="1:7" x14ac:dyDescent="0.2">
      <c r="A605" t="s">
        <v>4429</v>
      </c>
      <c r="B605" t="s">
        <v>4430</v>
      </c>
      <c r="C605" t="s">
        <v>1012</v>
      </c>
      <c r="D605" t="s">
        <v>10</v>
      </c>
      <c r="E605" t="s">
        <v>4431</v>
      </c>
      <c r="F605">
        <v>0</v>
      </c>
      <c r="G605">
        <v>5</v>
      </c>
    </row>
    <row r="606" spans="1:7" x14ac:dyDescent="0.2">
      <c r="A606" t="s">
        <v>4432</v>
      </c>
      <c r="B606" t="s">
        <v>4433</v>
      </c>
      <c r="C606" t="s">
        <v>1012</v>
      </c>
      <c r="D606" t="s">
        <v>14</v>
      </c>
      <c r="F606">
        <v>0</v>
      </c>
      <c r="G606">
        <v>13</v>
      </c>
    </row>
    <row r="607" spans="1:7" x14ac:dyDescent="0.2">
      <c r="A607" t="s">
        <v>4432</v>
      </c>
      <c r="B607" t="s">
        <v>4433</v>
      </c>
      <c r="C607" t="s">
        <v>1012</v>
      </c>
      <c r="D607" t="s">
        <v>10</v>
      </c>
      <c r="E607" t="s">
        <v>4434</v>
      </c>
      <c r="F607">
        <v>0</v>
      </c>
      <c r="G607">
        <v>2</v>
      </c>
    </row>
    <row r="608" spans="1:7" x14ac:dyDescent="0.2">
      <c r="A608" t="s">
        <v>4432</v>
      </c>
      <c r="B608" t="s">
        <v>4433</v>
      </c>
      <c r="C608" t="s">
        <v>1012</v>
      </c>
      <c r="D608" t="s">
        <v>3484</v>
      </c>
    </row>
    <row r="609" spans="1:7" x14ac:dyDescent="0.2">
      <c r="A609" t="s">
        <v>1015</v>
      </c>
      <c r="B609" t="s">
        <v>1016</v>
      </c>
      <c r="C609" t="s">
        <v>1012</v>
      </c>
      <c r="D609" t="s">
        <v>14</v>
      </c>
    </row>
    <row r="610" spans="1:7" x14ac:dyDescent="0.2">
      <c r="A610" t="s">
        <v>1015</v>
      </c>
      <c r="B610" t="s">
        <v>1016</v>
      </c>
      <c r="C610" t="s">
        <v>1012</v>
      </c>
      <c r="D610" t="s">
        <v>10</v>
      </c>
      <c r="E610" t="s">
        <v>4435</v>
      </c>
      <c r="F610">
        <v>0</v>
      </c>
      <c r="G610">
        <v>9</v>
      </c>
    </row>
    <row r="611" spans="1:7" x14ac:dyDescent="0.2">
      <c r="A611" t="s">
        <v>4436</v>
      </c>
      <c r="B611" t="s">
        <v>4437</v>
      </c>
      <c r="C611" t="s">
        <v>1012</v>
      </c>
      <c r="D611" t="s">
        <v>3484</v>
      </c>
    </row>
    <row r="612" spans="1:7" x14ac:dyDescent="0.2">
      <c r="A612" t="s">
        <v>4438</v>
      </c>
      <c r="B612" t="s">
        <v>4439</v>
      </c>
      <c r="C612" t="s">
        <v>1012</v>
      </c>
      <c r="D612" t="s">
        <v>14</v>
      </c>
      <c r="F612">
        <v>0</v>
      </c>
      <c r="G612">
        <v>6</v>
      </c>
    </row>
    <row r="613" spans="1:7" x14ac:dyDescent="0.2">
      <c r="A613" t="s">
        <v>4438</v>
      </c>
      <c r="B613" t="s">
        <v>4439</v>
      </c>
      <c r="C613" t="s">
        <v>1012</v>
      </c>
      <c r="D613" t="s">
        <v>10</v>
      </c>
      <c r="E613" t="s">
        <v>4440</v>
      </c>
      <c r="F613">
        <v>0.33333333333333331</v>
      </c>
      <c r="G613">
        <v>5</v>
      </c>
    </row>
    <row r="614" spans="1:7" x14ac:dyDescent="0.2">
      <c r="A614" t="s">
        <v>4441</v>
      </c>
      <c r="B614" t="s">
        <v>4442</v>
      </c>
      <c r="C614" t="s">
        <v>1012</v>
      </c>
      <c r="D614" t="s">
        <v>3471</v>
      </c>
      <c r="E614" t="s">
        <v>4443</v>
      </c>
    </row>
    <row r="615" spans="1:7" x14ac:dyDescent="0.2">
      <c r="A615" t="s">
        <v>4444</v>
      </c>
      <c r="B615" t="s">
        <v>4445</v>
      </c>
      <c r="C615" t="s">
        <v>1012</v>
      </c>
      <c r="D615" t="s">
        <v>14</v>
      </c>
    </row>
    <row r="616" spans="1:7" x14ac:dyDescent="0.2">
      <c r="A616" t="s">
        <v>4444</v>
      </c>
      <c r="B616" t="s">
        <v>4445</v>
      </c>
      <c r="C616" t="s">
        <v>1012</v>
      </c>
      <c r="D616" t="s">
        <v>10</v>
      </c>
      <c r="E616" t="s">
        <v>4446</v>
      </c>
    </row>
    <row r="617" spans="1:7" x14ac:dyDescent="0.2">
      <c r="A617" t="s">
        <v>4447</v>
      </c>
      <c r="B617" t="s">
        <v>4448</v>
      </c>
      <c r="C617" t="s">
        <v>1012</v>
      </c>
      <c r="D617" t="s">
        <v>14</v>
      </c>
      <c r="F617">
        <v>0</v>
      </c>
      <c r="G617">
        <v>1</v>
      </c>
    </row>
    <row r="618" spans="1:7" x14ac:dyDescent="0.2">
      <c r="A618" t="s">
        <v>4449</v>
      </c>
      <c r="B618" t="s">
        <v>4450</v>
      </c>
      <c r="C618" t="s">
        <v>1012</v>
      </c>
      <c r="D618" t="s">
        <v>14</v>
      </c>
    </row>
    <row r="619" spans="1:7" x14ac:dyDescent="0.2">
      <c r="A619" t="s">
        <v>4449</v>
      </c>
      <c r="B619" t="s">
        <v>4450</v>
      </c>
      <c r="C619" t="s">
        <v>1012</v>
      </c>
      <c r="D619" t="s">
        <v>10</v>
      </c>
      <c r="E619" t="s">
        <v>4451</v>
      </c>
    </row>
    <row r="620" spans="1:7" x14ac:dyDescent="0.2">
      <c r="A620" t="s">
        <v>4452</v>
      </c>
      <c r="B620" t="s">
        <v>4453</v>
      </c>
      <c r="C620" t="s">
        <v>1012</v>
      </c>
      <c r="D620" t="s">
        <v>14</v>
      </c>
    </row>
    <row r="621" spans="1:7" x14ac:dyDescent="0.2">
      <c r="A621" t="s">
        <v>4452</v>
      </c>
      <c r="B621" t="s">
        <v>4453</v>
      </c>
      <c r="C621" t="s">
        <v>1012</v>
      </c>
      <c r="D621" t="s">
        <v>10</v>
      </c>
      <c r="E621" t="s">
        <v>4454</v>
      </c>
      <c r="F621">
        <v>0</v>
      </c>
      <c r="G621">
        <v>3</v>
      </c>
    </row>
    <row r="622" spans="1:7" x14ac:dyDescent="0.2">
      <c r="A622" t="s">
        <v>4455</v>
      </c>
      <c r="B622" t="s">
        <v>4456</v>
      </c>
      <c r="C622" t="s">
        <v>1012</v>
      </c>
      <c r="D622" t="s">
        <v>14</v>
      </c>
    </row>
    <row r="623" spans="1:7" x14ac:dyDescent="0.2">
      <c r="A623" t="s">
        <v>4455</v>
      </c>
      <c r="B623" t="s">
        <v>4456</v>
      </c>
      <c r="C623" t="s">
        <v>1012</v>
      </c>
      <c r="D623" t="s">
        <v>10</v>
      </c>
      <c r="E623" t="s">
        <v>4457</v>
      </c>
      <c r="F623">
        <v>0</v>
      </c>
      <c r="G623">
        <v>1</v>
      </c>
    </row>
    <row r="624" spans="1:7" x14ac:dyDescent="0.2">
      <c r="A624" t="s">
        <v>4458</v>
      </c>
      <c r="B624" t="s">
        <v>4459</v>
      </c>
      <c r="C624" t="s">
        <v>1012</v>
      </c>
      <c r="D624" t="s">
        <v>3471</v>
      </c>
      <c r="E624" t="s">
        <v>4460</v>
      </c>
    </row>
    <row r="625" spans="1:7" x14ac:dyDescent="0.2">
      <c r="A625" t="s">
        <v>4461</v>
      </c>
      <c r="B625" t="s">
        <v>4462</v>
      </c>
      <c r="C625" t="s">
        <v>4463</v>
      </c>
      <c r="D625" t="s">
        <v>11</v>
      </c>
      <c r="E625" t="s">
        <v>4464</v>
      </c>
    </row>
    <row r="626" spans="1:7" x14ac:dyDescent="0.2">
      <c r="A626" t="s">
        <v>4465</v>
      </c>
      <c r="B626" t="s">
        <v>4466</v>
      </c>
      <c r="C626" t="s">
        <v>4463</v>
      </c>
      <c r="D626" t="s">
        <v>11</v>
      </c>
      <c r="E626" t="s">
        <v>4467</v>
      </c>
    </row>
    <row r="627" spans="1:7" x14ac:dyDescent="0.2">
      <c r="A627" t="s">
        <v>4468</v>
      </c>
      <c r="B627" t="s">
        <v>4469</v>
      </c>
      <c r="C627" t="s">
        <v>4463</v>
      </c>
      <c r="D627" t="s">
        <v>11</v>
      </c>
      <c r="E627" t="s">
        <v>4470</v>
      </c>
    </row>
    <row r="628" spans="1:7" x14ac:dyDescent="0.2">
      <c r="A628" t="s">
        <v>4468</v>
      </c>
      <c r="B628" t="s">
        <v>4469</v>
      </c>
      <c r="C628" t="s">
        <v>4463</v>
      </c>
      <c r="D628" t="s">
        <v>3471</v>
      </c>
      <c r="E628" t="s">
        <v>4471</v>
      </c>
    </row>
    <row r="629" spans="1:7" x14ac:dyDescent="0.2">
      <c r="A629" t="s">
        <v>4472</v>
      </c>
      <c r="B629" t="s">
        <v>4473</v>
      </c>
      <c r="C629" t="s">
        <v>4463</v>
      </c>
      <c r="D629" t="s">
        <v>11</v>
      </c>
      <c r="E629" t="s">
        <v>4474</v>
      </c>
    </row>
    <row r="630" spans="1:7" x14ac:dyDescent="0.2">
      <c r="A630" t="s">
        <v>4472</v>
      </c>
      <c r="B630" t="s">
        <v>4473</v>
      </c>
      <c r="C630" t="s">
        <v>4463</v>
      </c>
      <c r="D630" t="s">
        <v>14</v>
      </c>
      <c r="F630">
        <v>0</v>
      </c>
      <c r="G630">
        <v>1</v>
      </c>
    </row>
    <row r="631" spans="1:7" x14ac:dyDescent="0.2">
      <c r="A631" t="s">
        <v>4472</v>
      </c>
      <c r="B631" t="s">
        <v>4473</v>
      </c>
      <c r="C631" t="s">
        <v>4463</v>
      </c>
      <c r="D631" t="s">
        <v>8</v>
      </c>
      <c r="E631" t="s">
        <v>4475</v>
      </c>
    </row>
    <row r="632" spans="1:7" x14ac:dyDescent="0.2">
      <c r="A632" t="s">
        <v>4476</v>
      </c>
      <c r="B632" t="s">
        <v>4477</v>
      </c>
      <c r="C632" t="s">
        <v>4463</v>
      </c>
      <c r="D632" t="s">
        <v>11</v>
      </c>
      <c r="E632" t="s">
        <v>4478</v>
      </c>
    </row>
    <row r="633" spans="1:7" x14ac:dyDescent="0.2">
      <c r="A633" t="s">
        <v>4476</v>
      </c>
      <c r="B633" t="s">
        <v>4477</v>
      </c>
      <c r="C633" t="s">
        <v>4463</v>
      </c>
      <c r="D633" t="s">
        <v>3471</v>
      </c>
      <c r="E633" t="s">
        <v>4479</v>
      </c>
    </row>
    <row r="634" spans="1:7" x14ac:dyDescent="0.2">
      <c r="A634" t="s">
        <v>4480</v>
      </c>
      <c r="B634" t="s">
        <v>4481</v>
      </c>
      <c r="C634" t="s">
        <v>4463</v>
      </c>
      <c r="D634" t="s">
        <v>11</v>
      </c>
      <c r="E634" t="s">
        <v>4482</v>
      </c>
    </row>
    <row r="635" spans="1:7" x14ac:dyDescent="0.2">
      <c r="A635" t="s">
        <v>4480</v>
      </c>
      <c r="B635" t="s">
        <v>4481</v>
      </c>
      <c r="C635" t="s">
        <v>4463</v>
      </c>
      <c r="D635" t="s">
        <v>14</v>
      </c>
      <c r="F635">
        <v>0</v>
      </c>
      <c r="G635">
        <v>1</v>
      </c>
    </row>
    <row r="636" spans="1:7" x14ac:dyDescent="0.2">
      <c r="A636" t="s">
        <v>4480</v>
      </c>
      <c r="B636" t="s">
        <v>4481</v>
      </c>
      <c r="C636" t="s">
        <v>4463</v>
      </c>
      <c r="D636" t="s">
        <v>8</v>
      </c>
      <c r="E636" t="s">
        <v>4483</v>
      </c>
    </row>
    <row r="637" spans="1:7" x14ac:dyDescent="0.2">
      <c r="A637" t="s">
        <v>4484</v>
      </c>
      <c r="B637" t="s">
        <v>4485</v>
      </c>
      <c r="C637" t="s">
        <v>4486</v>
      </c>
      <c r="D637" t="s">
        <v>11</v>
      </c>
      <c r="E637" t="s">
        <v>4487</v>
      </c>
    </row>
    <row r="638" spans="1:7" x14ac:dyDescent="0.2">
      <c r="A638" t="s">
        <v>4488</v>
      </c>
      <c r="B638" t="s">
        <v>4489</v>
      </c>
      <c r="C638" t="s">
        <v>4463</v>
      </c>
      <c r="D638" t="s">
        <v>11</v>
      </c>
      <c r="E638" t="s">
        <v>4490</v>
      </c>
    </row>
    <row r="639" spans="1:7" x14ac:dyDescent="0.2">
      <c r="A639" t="s">
        <v>4491</v>
      </c>
      <c r="B639" t="s">
        <v>4492</v>
      </c>
      <c r="C639" t="s">
        <v>4463</v>
      </c>
      <c r="D639" t="s">
        <v>11</v>
      </c>
      <c r="E639" t="s">
        <v>4493</v>
      </c>
    </row>
    <row r="640" spans="1:7" x14ac:dyDescent="0.2">
      <c r="A640" t="s">
        <v>4494</v>
      </c>
      <c r="B640" t="s">
        <v>4495</v>
      </c>
      <c r="C640" t="s">
        <v>4463</v>
      </c>
      <c r="D640" t="s">
        <v>11</v>
      </c>
      <c r="E640" t="s">
        <v>4496</v>
      </c>
    </row>
    <row r="641" spans="1:7" x14ac:dyDescent="0.2">
      <c r="A641" t="s">
        <v>4494</v>
      </c>
      <c r="B641" t="s">
        <v>4495</v>
      </c>
      <c r="C641" t="s">
        <v>4463</v>
      </c>
      <c r="D641" t="s">
        <v>3471</v>
      </c>
      <c r="E641" t="s">
        <v>4497</v>
      </c>
      <c r="F641">
        <v>0</v>
      </c>
      <c r="G641">
        <v>9</v>
      </c>
    </row>
    <row r="642" spans="1:7" x14ac:dyDescent="0.2">
      <c r="A642" t="s">
        <v>4498</v>
      </c>
      <c r="B642" t="s">
        <v>4499</v>
      </c>
      <c r="C642" t="s">
        <v>4463</v>
      </c>
      <c r="D642" t="s">
        <v>11</v>
      </c>
      <c r="E642" t="s">
        <v>4500</v>
      </c>
    </row>
    <row r="643" spans="1:7" x14ac:dyDescent="0.2">
      <c r="A643" t="s">
        <v>4501</v>
      </c>
      <c r="B643" t="s">
        <v>4502</v>
      </c>
      <c r="C643" t="s">
        <v>4463</v>
      </c>
      <c r="D643" t="s">
        <v>11</v>
      </c>
      <c r="E643" t="s">
        <v>4503</v>
      </c>
    </row>
    <row r="644" spans="1:7" x14ac:dyDescent="0.2">
      <c r="A644" t="s">
        <v>4501</v>
      </c>
      <c r="B644" t="s">
        <v>4502</v>
      </c>
      <c r="C644" t="s">
        <v>4463</v>
      </c>
      <c r="D644" t="s">
        <v>14</v>
      </c>
      <c r="F644">
        <v>0.5</v>
      </c>
      <c r="G644">
        <v>18</v>
      </c>
    </row>
    <row r="645" spans="1:7" x14ac:dyDescent="0.2">
      <c r="A645" t="s">
        <v>4504</v>
      </c>
      <c r="B645" t="s">
        <v>4505</v>
      </c>
      <c r="C645" t="s">
        <v>4463</v>
      </c>
      <c r="D645" t="s">
        <v>11</v>
      </c>
      <c r="E645" t="s">
        <v>4506</v>
      </c>
    </row>
    <row r="646" spans="1:7" x14ac:dyDescent="0.2">
      <c r="A646" t="s">
        <v>4504</v>
      </c>
      <c r="B646" t="s">
        <v>4505</v>
      </c>
      <c r="C646" t="s">
        <v>4463</v>
      </c>
      <c r="D646" t="s">
        <v>14</v>
      </c>
      <c r="F646">
        <v>0</v>
      </c>
      <c r="G646">
        <v>15</v>
      </c>
    </row>
    <row r="647" spans="1:7" x14ac:dyDescent="0.2">
      <c r="A647" t="s">
        <v>4507</v>
      </c>
      <c r="B647" t="s">
        <v>4508</v>
      </c>
      <c r="C647" t="s">
        <v>4463</v>
      </c>
      <c r="D647" t="s">
        <v>11</v>
      </c>
      <c r="E647" t="s">
        <v>4509</v>
      </c>
    </row>
    <row r="648" spans="1:7" x14ac:dyDescent="0.2">
      <c r="A648" t="s">
        <v>4507</v>
      </c>
      <c r="B648" t="s">
        <v>4508</v>
      </c>
      <c r="C648" t="s">
        <v>4463</v>
      </c>
      <c r="D648" t="s">
        <v>14</v>
      </c>
      <c r="F648">
        <v>0.16666666666666666</v>
      </c>
      <c r="G648">
        <v>15</v>
      </c>
    </row>
    <row r="649" spans="1:7" x14ac:dyDescent="0.2">
      <c r="A649" t="s">
        <v>4507</v>
      </c>
      <c r="B649" t="s">
        <v>4508</v>
      </c>
      <c r="C649" t="s">
        <v>4463</v>
      </c>
      <c r="D649" t="s">
        <v>3471</v>
      </c>
      <c r="E649" t="s">
        <v>4510</v>
      </c>
    </row>
    <row r="650" spans="1:7" x14ac:dyDescent="0.2">
      <c r="A650" t="s">
        <v>4511</v>
      </c>
      <c r="B650" t="s">
        <v>4512</v>
      </c>
      <c r="C650" t="s">
        <v>4463</v>
      </c>
      <c r="D650" t="s">
        <v>11</v>
      </c>
      <c r="E650" t="s">
        <v>4513</v>
      </c>
    </row>
    <row r="651" spans="1:7" x14ac:dyDescent="0.2">
      <c r="A651" t="s">
        <v>4514</v>
      </c>
      <c r="B651" t="s">
        <v>4515</v>
      </c>
      <c r="C651" t="s">
        <v>4463</v>
      </c>
      <c r="D651" t="s">
        <v>11</v>
      </c>
      <c r="E651" t="s">
        <v>4516</v>
      </c>
    </row>
    <row r="652" spans="1:7" x14ac:dyDescent="0.2">
      <c r="A652" t="s">
        <v>4517</v>
      </c>
      <c r="B652" t="s">
        <v>4518</v>
      </c>
      <c r="C652" t="s">
        <v>4463</v>
      </c>
      <c r="D652" t="s">
        <v>11</v>
      </c>
      <c r="E652" t="s">
        <v>4519</v>
      </c>
    </row>
    <row r="653" spans="1:7" x14ac:dyDescent="0.2">
      <c r="A653" t="s">
        <v>4517</v>
      </c>
      <c r="B653" t="s">
        <v>4518</v>
      </c>
      <c r="C653" t="s">
        <v>4463</v>
      </c>
      <c r="D653" t="s">
        <v>14</v>
      </c>
      <c r="F653">
        <v>0.33333333333333331</v>
      </c>
      <c r="G653">
        <v>50</v>
      </c>
    </row>
    <row r="654" spans="1:7" x14ac:dyDescent="0.2">
      <c r="A654" t="s">
        <v>4520</v>
      </c>
      <c r="B654" t="s">
        <v>4521</v>
      </c>
      <c r="C654" t="s">
        <v>4463</v>
      </c>
      <c r="D654" t="s">
        <v>11</v>
      </c>
      <c r="E654" t="s">
        <v>4522</v>
      </c>
    </row>
    <row r="655" spans="1:7" x14ac:dyDescent="0.2">
      <c r="A655" t="s">
        <v>4520</v>
      </c>
      <c r="B655" t="s">
        <v>4521</v>
      </c>
      <c r="C655" t="s">
        <v>4463</v>
      </c>
      <c r="D655" t="s">
        <v>3471</v>
      </c>
      <c r="E655" t="s">
        <v>4523</v>
      </c>
      <c r="F655">
        <v>0.16666666666666666</v>
      </c>
      <c r="G655">
        <v>1</v>
      </c>
    </row>
    <row r="656" spans="1:7" x14ac:dyDescent="0.2">
      <c r="A656" t="s">
        <v>4524</v>
      </c>
      <c r="B656" t="s">
        <v>4525</v>
      </c>
      <c r="C656" t="s">
        <v>4463</v>
      </c>
      <c r="D656" t="s">
        <v>11</v>
      </c>
      <c r="E656" t="s">
        <v>4526</v>
      </c>
    </row>
    <row r="657" spans="1:7" x14ac:dyDescent="0.2">
      <c r="A657" t="s">
        <v>4524</v>
      </c>
      <c r="B657" t="s">
        <v>4525</v>
      </c>
      <c r="C657" t="s">
        <v>4463</v>
      </c>
      <c r="D657" t="s">
        <v>14</v>
      </c>
      <c r="F657">
        <v>0.33333333333333331</v>
      </c>
      <c r="G657">
        <v>53</v>
      </c>
    </row>
    <row r="658" spans="1:7" x14ac:dyDescent="0.2">
      <c r="A658" t="s">
        <v>4524</v>
      </c>
      <c r="B658" t="s">
        <v>4525</v>
      </c>
      <c r="C658" t="s">
        <v>4463</v>
      </c>
      <c r="D658" t="s">
        <v>3471</v>
      </c>
      <c r="E658" t="s">
        <v>4527</v>
      </c>
    </row>
    <row r="659" spans="1:7" x14ac:dyDescent="0.2">
      <c r="A659" t="s">
        <v>4528</v>
      </c>
      <c r="B659" t="s">
        <v>4529</v>
      </c>
      <c r="C659" t="s">
        <v>4463</v>
      </c>
      <c r="D659" t="s">
        <v>11</v>
      </c>
      <c r="E659" t="s">
        <v>4530</v>
      </c>
    </row>
    <row r="660" spans="1:7" x14ac:dyDescent="0.2">
      <c r="A660" t="s">
        <v>4528</v>
      </c>
      <c r="B660" t="s">
        <v>4529</v>
      </c>
      <c r="C660" t="s">
        <v>4463</v>
      </c>
      <c r="D660" t="s">
        <v>14</v>
      </c>
      <c r="F660">
        <v>0.16666666666666666</v>
      </c>
      <c r="G660">
        <v>31</v>
      </c>
    </row>
    <row r="661" spans="1:7" x14ac:dyDescent="0.2">
      <c r="A661" t="s">
        <v>4528</v>
      </c>
      <c r="B661" t="s">
        <v>4529</v>
      </c>
      <c r="C661" t="s">
        <v>4463</v>
      </c>
      <c r="D661" t="s">
        <v>3471</v>
      </c>
      <c r="E661" t="s">
        <v>4531</v>
      </c>
      <c r="F661">
        <v>0.5</v>
      </c>
      <c r="G661">
        <v>5</v>
      </c>
    </row>
    <row r="662" spans="1:7" x14ac:dyDescent="0.2">
      <c r="A662" t="s">
        <v>4532</v>
      </c>
      <c r="B662" t="s">
        <v>4533</v>
      </c>
      <c r="C662" t="s">
        <v>4463</v>
      </c>
      <c r="D662" t="s">
        <v>11</v>
      </c>
      <c r="E662" t="s">
        <v>4534</v>
      </c>
    </row>
    <row r="663" spans="1:7" x14ac:dyDescent="0.2">
      <c r="A663" t="s">
        <v>4532</v>
      </c>
      <c r="B663" t="s">
        <v>4533</v>
      </c>
      <c r="C663" t="s">
        <v>4463</v>
      </c>
      <c r="D663" t="s">
        <v>14</v>
      </c>
      <c r="F663">
        <v>0.5</v>
      </c>
      <c r="G663">
        <v>35</v>
      </c>
    </row>
    <row r="664" spans="1:7" x14ac:dyDescent="0.2">
      <c r="A664" t="s">
        <v>4532</v>
      </c>
      <c r="B664" t="s">
        <v>4533</v>
      </c>
      <c r="C664" t="s">
        <v>4463</v>
      </c>
      <c r="D664" t="s">
        <v>3471</v>
      </c>
      <c r="E664" t="s">
        <v>4535</v>
      </c>
    </row>
    <row r="665" spans="1:7" x14ac:dyDescent="0.2">
      <c r="A665" t="s">
        <v>4536</v>
      </c>
      <c r="B665" t="s">
        <v>4537</v>
      </c>
      <c r="C665" t="s">
        <v>4463</v>
      </c>
      <c r="D665" t="s">
        <v>14</v>
      </c>
      <c r="F665">
        <v>0</v>
      </c>
      <c r="G665">
        <v>25</v>
      </c>
    </row>
    <row r="666" spans="1:7" x14ac:dyDescent="0.2">
      <c r="A666" t="s">
        <v>4536</v>
      </c>
      <c r="B666" t="s">
        <v>4537</v>
      </c>
      <c r="C666" t="s">
        <v>4463</v>
      </c>
      <c r="D666" t="s">
        <v>3471</v>
      </c>
      <c r="E666" t="s">
        <v>4538</v>
      </c>
      <c r="F666">
        <v>0</v>
      </c>
      <c r="G666">
        <v>3</v>
      </c>
    </row>
    <row r="667" spans="1:7" x14ac:dyDescent="0.2">
      <c r="A667" t="s">
        <v>4536</v>
      </c>
      <c r="B667" t="s">
        <v>4537</v>
      </c>
      <c r="C667" t="s">
        <v>4463</v>
      </c>
      <c r="D667" t="s">
        <v>8</v>
      </c>
      <c r="E667" t="s">
        <v>4539</v>
      </c>
    </row>
    <row r="668" spans="1:7" x14ac:dyDescent="0.2">
      <c r="A668" t="s">
        <v>4540</v>
      </c>
      <c r="B668" t="s">
        <v>4541</v>
      </c>
      <c r="C668" t="s">
        <v>4463</v>
      </c>
      <c r="D668" t="s">
        <v>14</v>
      </c>
      <c r="F668">
        <v>0.16666666666666666</v>
      </c>
      <c r="G668">
        <v>13</v>
      </c>
    </row>
    <row r="669" spans="1:7" x14ac:dyDescent="0.2">
      <c r="A669" t="s">
        <v>4540</v>
      </c>
      <c r="B669" t="s">
        <v>4541</v>
      </c>
      <c r="C669" t="s">
        <v>4463</v>
      </c>
      <c r="D669" t="s">
        <v>3471</v>
      </c>
      <c r="E669" t="s">
        <v>4542</v>
      </c>
      <c r="F669">
        <v>0</v>
      </c>
      <c r="G669">
        <v>5</v>
      </c>
    </row>
    <row r="670" spans="1:7" x14ac:dyDescent="0.2">
      <c r="A670" t="s">
        <v>4540</v>
      </c>
      <c r="B670" t="s">
        <v>4541</v>
      </c>
      <c r="C670" t="s">
        <v>4463</v>
      </c>
      <c r="D670" t="s">
        <v>8</v>
      </c>
      <c r="E670" t="s">
        <v>4543</v>
      </c>
    </row>
    <row r="671" spans="1:7" x14ac:dyDescent="0.2">
      <c r="A671" t="s">
        <v>3330</v>
      </c>
      <c r="B671" t="s">
        <v>3331</v>
      </c>
      <c r="C671" t="s">
        <v>3268</v>
      </c>
      <c r="D671" t="s">
        <v>10</v>
      </c>
      <c r="E671" t="s">
        <v>4544</v>
      </c>
      <c r="F671">
        <v>0</v>
      </c>
      <c r="G671">
        <v>3</v>
      </c>
    </row>
    <row r="672" spans="1:7" x14ac:dyDescent="0.2">
      <c r="A672" t="s">
        <v>3365</v>
      </c>
      <c r="B672" t="s">
        <v>3366</v>
      </c>
      <c r="C672" t="s">
        <v>3268</v>
      </c>
      <c r="D672" t="s">
        <v>11</v>
      </c>
      <c r="E672" t="s">
        <v>8528</v>
      </c>
    </row>
    <row r="673" spans="1:7" x14ac:dyDescent="0.2">
      <c r="A673" t="s">
        <v>3365</v>
      </c>
      <c r="B673" t="s">
        <v>3366</v>
      </c>
      <c r="C673" t="s">
        <v>3268</v>
      </c>
      <c r="D673" t="s">
        <v>10</v>
      </c>
      <c r="E673" t="s">
        <v>4545</v>
      </c>
    </row>
    <row r="674" spans="1:7" x14ac:dyDescent="0.2">
      <c r="A674" t="s">
        <v>3377</v>
      </c>
      <c r="B674" t="s">
        <v>3378</v>
      </c>
      <c r="C674" t="s">
        <v>3268</v>
      </c>
      <c r="D674" t="s">
        <v>10</v>
      </c>
      <c r="E674" t="s">
        <v>4546</v>
      </c>
      <c r="F674">
        <v>0</v>
      </c>
      <c r="G674">
        <v>2</v>
      </c>
    </row>
    <row r="675" spans="1:7" x14ac:dyDescent="0.2">
      <c r="A675" t="s">
        <v>1021</v>
      </c>
      <c r="B675" t="s">
        <v>1022</v>
      </c>
      <c r="C675" t="s">
        <v>1020</v>
      </c>
      <c r="D675" t="s">
        <v>10</v>
      </c>
      <c r="E675" t="s">
        <v>4547</v>
      </c>
      <c r="F675">
        <v>0</v>
      </c>
      <c r="G675">
        <v>6</v>
      </c>
    </row>
    <row r="676" spans="1:7" x14ac:dyDescent="0.2">
      <c r="A676" t="s">
        <v>1023</v>
      </c>
      <c r="B676" t="s">
        <v>1024</v>
      </c>
      <c r="C676" t="s">
        <v>1020</v>
      </c>
      <c r="D676" t="s">
        <v>10</v>
      </c>
      <c r="E676" t="s">
        <v>4548</v>
      </c>
    </row>
    <row r="677" spans="1:7" x14ac:dyDescent="0.2">
      <c r="A677" t="s">
        <v>4549</v>
      </c>
      <c r="B677" t="s">
        <v>4550</v>
      </c>
      <c r="C677" t="s">
        <v>4486</v>
      </c>
      <c r="D677" t="s">
        <v>11</v>
      </c>
      <c r="E677" t="s">
        <v>4551</v>
      </c>
    </row>
    <row r="678" spans="1:7" x14ac:dyDescent="0.2">
      <c r="A678" t="s">
        <v>4552</v>
      </c>
      <c r="B678" t="s">
        <v>4553</v>
      </c>
      <c r="C678" t="s">
        <v>4486</v>
      </c>
      <c r="D678" t="s">
        <v>11</v>
      </c>
      <c r="E678" t="s">
        <v>4554</v>
      </c>
    </row>
    <row r="679" spans="1:7" x14ac:dyDescent="0.2">
      <c r="A679" t="s">
        <v>4555</v>
      </c>
      <c r="B679" t="s">
        <v>4556</v>
      </c>
      <c r="C679" t="s">
        <v>4486</v>
      </c>
      <c r="D679" t="s">
        <v>11</v>
      </c>
      <c r="E679" t="s">
        <v>4557</v>
      </c>
    </row>
    <row r="680" spans="1:7" x14ac:dyDescent="0.2">
      <c r="A680" t="s">
        <v>4558</v>
      </c>
      <c r="B680" t="s">
        <v>4559</v>
      </c>
      <c r="C680" t="s">
        <v>4486</v>
      </c>
      <c r="D680" t="s">
        <v>11</v>
      </c>
      <c r="E680" t="s">
        <v>4560</v>
      </c>
    </row>
    <row r="681" spans="1:7" x14ac:dyDescent="0.2">
      <c r="A681" t="s">
        <v>4561</v>
      </c>
      <c r="B681" t="s">
        <v>4562</v>
      </c>
      <c r="C681" t="s">
        <v>4486</v>
      </c>
      <c r="D681" t="s">
        <v>11</v>
      </c>
      <c r="E681" t="s">
        <v>4563</v>
      </c>
    </row>
    <row r="682" spans="1:7" x14ac:dyDescent="0.2">
      <c r="A682" t="s">
        <v>4564</v>
      </c>
      <c r="B682" t="s">
        <v>4565</v>
      </c>
      <c r="C682" t="s">
        <v>4486</v>
      </c>
      <c r="D682" t="s">
        <v>11</v>
      </c>
      <c r="E682" t="s">
        <v>4566</v>
      </c>
    </row>
    <row r="683" spans="1:7" x14ac:dyDescent="0.2">
      <c r="A683" t="s">
        <v>4567</v>
      </c>
      <c r="B683" t="s">
        <v>4568</v>
      </c>
      <c r="C683" t="s">
        <v>4486</v>
      </c>
      <c r="D683" t="s">
        <v>11</v>
      </c>
      <c r="E683" t="s">
        <v>4569</v>
      </c>
    </row>
    <row r="684" spans="1:7" x14ac:dyDescent="0.2">
      <c r="A684" t="s">
        <v>4570</v>
      </c>
      <c r="B684" t="s">
        <v>4571</v>
      </c>
      <c r="C684" t="s">
        <v>4486</v>
      </c>
      <c r="D684" t="s">
        <v>11</v>
      </c>
      <c r="E684" t="s">
        <v>4572</v>
      </c>
    </row>
    <row r="685" spans="1:7" x14ac:dyDescent="0.2">
      <c r="A685" t="s">
        <v>4573</v>
      </c>
      <c r="B685" t="s">
        <v>4574</v>
      </c>
      <c r="C685" t="s">
        <v>4486</v>
      </c>
      <c r="D685" t="s">
        <v>11</v>
      </c>
      <c r="E685" t="s">
        <v>4575</v>
      </c>
    </row>
    <row r="686" spans="1:7" x14ac:dyDescent="0.2">
      <c r="A686" t="s">
        <v>4576</v>
      </c>
      <c r="B686" t="s">
        <v>4577</v>
      </c>
      <c r="C686" t="s">
        <v>4486</v>
      </c>
      <c r="D686" t="s">
        <v>11</v>
      </c>
      <c r="E686" t="s">
        <v>4578</v>
      </c>
    </row>
    <row r="687" spans="1:7" x14ac:dyDescent="0.2">
      <c r="A687" t="s">
        <v>4579</v>
      </c>
      <c r="B687" t="s">
        <v>4580</v>
      </c>
      <c r="C687" t="s">
        <v>4486</v>
      </c>
      <c r="D687" t="s">
        <v>11</v>
      </c>
      <c r="E687" t="s">
        <v>4581</v>
      </c>
    </row>
    <row r="688" spans="1:7" x14ac:dyDescent="0.2">
      <c r="A688" t="s">
        <v>4582</v>
      </c>
      <c r="B688" t="s">
        <v>4583</v>
      </c>
      <c r="C688" t="s">
        <v>4486</v>
      </c>
      <c r="D688" t="s">
        <v>11</v>
      </c>
      <c r="E688" t="s">
        <v>4584</v>
      </c>
    </row>
    <row r="689" spans="1:7" x14ac:dyDescent="0.2">
      <c r="A689" t="s">
        <v>4585</v>
      </c>
      <c r="B689" t="s">
        <v>4586</v>
      </c>
      <c r="C689" t="s">
        <v>4463</v>
      </c>
      <c r="D689" t="s">
        <v>14</v>
      </c>
    </row>
    <row r="690" spans="1:7" x14ac:dyDescent="0.2">
      <c r="A690" t="s">
        <v>4585</v>
      </c>
      <c r="B690" t="s">
        <v>4586</v>
      </c>
      <c r="C690" t="s">
        <v>4463</v>
      </c>
      <c r="D690" t="s">
        <v>8</v>
      </c>
      <c r="E690" t="s">
        <v>4587</v>
      </c>
    </row>
    <row r="691" spans="1:7" x14ac:dyDescent="0.2">
      <c r="A691" t="s">
        <v>2881</v>
      </c>
      <c r="B691" t="s">
        <v>2882</v>
      </c>
      <c r="C691" t="s">
        <v>2852</v>
      </c>
      <c r="D691" t="s">
        <v>3471</v>
      </c>
      <c r="E691" t="s">
        <v>4588</v>
      </c>
      <c r="F691">
        <v>0</v>
      </c>
      <c r="G691">
        <v>0</v>
      </c>
    </row>
    <row r="692" spans="1:7" x14ac:dyDescent="0.2">
      <c r="A692" t="s">
        <v>2887</v>
      </c>
      <c r="B692" t="s">
        <v>2888</v>
      </c>
      <c r="C692" t="s">
        <v>2852</v>
      </c>
      <c r="D692" t="s">
        <v>3471</v>
      </c>
      <c r="E692" t="s">
        <v>4589</v>
      </c>
      <c r="F692">
        <v>0</v>
      </c>
      <c r="G692">
        <v>0</v>
      </c>
    </row>
    <row r="693" spans="1:7" x14ac:dyDescent="0.2">
      <c r="A693" t="s">
        <v>4590</v>
      </c>
      <c r="B693" t="s">
        <v>4591</v>
      </c>
      <c r="C693" t="s">
        <v>4463</v>
      </c>
      <c r="D693" t="s">
        <v>8</v>
      </c>
      <c r="E693" t="s">
        <v>4592</v>
      </c>
    </row>
    <row r="694" spans="1:7" x14ac:dyDescent="0.2">
      <c r="A694" t="s">
        <v>4590</v>
      </c>
      <c r="B694" t="s">
        <v>4591</v>
      </c>
      <c r="C694" t="s">
        <v>4463</v>
      </c>
      <c r="D694" t="s">
        <v>3484</v>
      </c>
    </row>
    <row r="695" spans="1:7" x14ac:dyDescent="0.2">
      <c r="A695" t="s">
        <v>4593</v>
      </c>
      <c r="B695" t="s">
        <v>4594</v>
      </c>
      <c r="C695" t="s">
        <v>4463</v>
      </c>
      <c r="D695" t="s">
        <v>11</v>
      </c>
      <c r="E695" t="s">
        <v>4595</v>
      </c>
    </row>
    <row r="696" spans="1:7" x14ac:dyDescent="0.2">
      <c r="A696" t="s">
        <v>4593</v>
      </c>
      <c r="B696" t="s">
        <v>4594</v>
      </c>
      <c r="C696" t="s">
        <v>4463</v>
      </c>
      <c r="D696" t="s">
        <v>8</v>
      </c>
      <c r="E696" t="s">
        <v>4596</v>
      </c>
    </row>
    <row r="697" spans="1:7" x14ac:dyDescent="0.2">
      <c r="A697" t="s">
        <v>4593</v>
      </c>
      <c r="B697" t="s">
        <v>4594</v>
      </c>
      <c r="C697" t="s">
        <v>4463</v>
      </c>
      <c r="D697" t="s">
        <v>3484</v>
      </c>
    </row>
    <row r="698" spans="1:7" x14ac:dyDescent="0.2">
      <c r="A698" t="s">
        <v>2609</v>
      </c>
      <c r="B698" t="s">
        <v>2610</v>
      </c>
      <c r="C698" t="s">
        <v>2502</v>
      </c>
      <c r="D698" t="s">
        <v>14</v>
      </c>
      <c r="F698">
        <v>0</v>
      </c>
      <c r="G698">
        <v>2</v>
      </c>
    </row>
    <row r="699" spans="1:7" x14ac:dyDescent="0.2">
      <c r="A699" t="s">
        <v>2609</v>
      </c>
      <c r="B699" t="s">
        <v>2610</v>
      </c>
      <c r="C699" t="s">
        <v>2502</v>
      </c>
      <c r="D699" t="s">
        <v>3494</v>
      </c>
    </row>
    <row r="700" spans="1:7" x14ac:dyDescent="0.2">
      <c r="A700" t="s">
        <v>2609</v>
      </c>
      <c r="B700" t="s">
        <v>2610</v>
      </c>
      <c r="C700" t="s">
        <v>2502</v>
      </c>
      <c r="D700" t="s">
        <v>10</v>
      </c>
      <c r="E700" t="s">
        <v>4597</v>
      </c>
    </row>
    <row r="701" spans="1:7" x14ac:dyDescent="0.2">
      <c r="A701" t="s">
        <v>2609</v>
      </c>
      <c r="B701" t="s">
        <v>2610</v>
      </c>
      <c r="C701" t="s">
        <v>2502</v>
      </c>
      <c r="D701" t="s">
        <v>3471</v>
      </c>
      <c r="E701" t="s">
        <v>4598</v>
      </c>
    </row>
    <row r="702" spans="1:7" x14ac:dyDescent="0.2">
      <c r="A702" t="s">
        <v>2609</v>
      </c>
      <c r="B702" t="s">
        <v>2610</v>
      </c>
      <c r="C702" t="s">
        <v>2502</v>
      </c>
      <c r="D702" t="s">
        <v>8</v>
      </c>
      <c r="E702" t="s">
        <v>4599</v>
      </c>
      <c r="F702">
        <v>0.16666666666666666</v>
      </c>
      <c r="G702">
        <v>0</v>
      </c>
    </row>
    <row r="703" spans="1:7" x14ac:dyDescent="0.2">
      <c r="A703" t="s">
        <v>4600</v>
      </c>
      <c r="B703" t="s">
        <v>4601</v>
      </c>
      <c r="C703" t="s">
        <v>4463</v>
      </c>
      <c r="D703" t="s">
        <v>11</v>
      </c>
      <c r="E703" t="s">
        <v>4602</v>
      </c>
    </row>
    <row r="704" spans="1:7" x14ac:dyDescent="0.2">
      <c r="A704" t="s">
        <v>589</v>
      </c>
      <c r="B704" t="s">
        <v>590</v>
      </c>
      <c r="C704" t="s">
        <v>446</v>
      </c>
      <c r="D704" t="s">
        <v>8</v>
      </c>
      <c r="E704" t="s">
        <v>4603</v>
      </c>
      <c r="F704">
        <v>0</v>
      </c>
      <c r="G704">
        <v>2</v>
      </c>
    </row>
    <row r="705" spans="1:7" x14ac:dyDescent="0.2">
      <c r="A705" t="s">
        <v>581</v>
      </c>
      <c r="B705" t="s">
        <v>582</v>
      </c>
      <c r="C705" t="s">
        <v>446</v>
      </c>
      <c r="D705" t="s">
        <v>8</v>
      </c>
      <c r="E705" t="s">
        <v>4604</v>
      </c>
      <c r="F705">
        <v>0</v>
      </c>
      <c r="G705">
        <v>4</v>
      </c>
    </row>
    <row r="706" spans="1:7" x14ac:dyDescent="0.2">
      <c r="A706" t="s">
        <v>563</v>
      </c>
      <c r="B706" t="s">
        <v>564</v>
      </c>
      <c r="C706" t="s">
        <v>446</v>
      </c>
      <c r="D706" t="s">
        <v>8</v>
      </c>
      <c r="E706" t="s">
        <v>4605</v>
      </c>
      <c r="F706">
        <v>0</v>
      </c>
      <c r="G706">
        <v>4</v>
      </c>
    </row>
    <row r="707" spans="1:7" x14ac:dyDescent="0.2">
      <c r="A707" t="s">
        <v>557</v>
      </c>
      <c r="B707" t="s">
        <v>558</v>
      </c>
      <c r="C707" t="s">
        <v>446</v>
      </c>
      <c r="D707" t="s">
        <v>8</v>
      </c>
      <c r="E707" t="s">
        <v>4606</v>
      </c>
      <c r="F707">
        <v>0</v>
      </c>
      <c r="G707">
        <v>4</v>
      </c>
    </row>
    <row r="708" spans="1:7" x14ac:dyDescent="0.2">
      <c r="A708" t="s">
        <v>565</v>
      </c>
      <c r="B708" t="s">
        <v>566</v>
      </c>
      <c r="C708" t="s">
        <v>446</v>
      </c>
      <c r="D708" t="s">
        <v>8</v>
      </c>
      <c r="E708" t="s">
        <v>4607</v>
      </c>
      <c r="F708">
        <v>0</v>
      </c>
      <c r="G708">
        <v>4</v>
      </c>
    </row>
    <row r="709" spans="1:7" x14ac:dyDescent="0.2">
      <c r="A709" t="s">
        <v>561</v>
      </c>
      <c r="B709" t="s">
        <v>562</v>
      </c>
      <c r="C709" t="s">
        <v>446</v>
      </c>
      <c r="D709" t="s">
        <v>8</v>
      </c>
      <c r="E709" t="s">
        <v>4608</v>
      </c>
      <c r="F709">
        <v>0</v>
      </c>
      <c r="G709">
        <v>4</v>
      </c>
    </row>
    <row r="710" spans="1:7" x14ac:dyDescent="0.2">
      <c r="A710" t="s">
        <v>559</v>
      </c>
      <c r="B710" t="s">
        <v>560</v>
      </c>
      <c r="C710" t="s">
        <v>446</v>
      </c>
      <c r="D710" t="s">
        <v>8</v>
      </c>
      <c r="E710" t="s">
        <v>4609</v>
      </c>
      <c r="F710">
        <v>0</v>
      </c>
      <c r="G710">
        <v>4</v>
      </c>
    </row>
    <row r="711" spans="1:7" x14ac:dyDescent="0.2">
      <c r="A711" t="s">
        <v>567</v>
      </c>
      <c r="B711" t="s">
        <v>568</v>
      </c>
      <c r="C711" t="s">
        <v>446</v>
      </c>
      <c r="D711" t="s">
        <v>8</v>
      </c>
      <c r="E711" t="s">
        <v>4610</v>
      </c>
      <c r="F711">
        <v>0</v>
      </c>
      <c r="G711">
        <v>4</v>
      </c>
    </row>
    <row r="712" spans="1:7" x14ac:dyDescent="0.2">
      <c r="A712" t="s">
        <v>577</v>
      </c>
      <c r="B712" t="s">
        <v>578</v>
      </c>
      <c r="C712" t="s">
        <v>446</v>
      </c>
      <c r="D712" t="s">
        <v>8</v>
      </c>
      <c r="E712" t="s">
        <v>4611</v>
      </c>
      <c r="F712">
        <v>0</v>
      </c>
      <c r="G712">
        <v>4</v>
      </c>
    </row>
    <row r="713" spans="1:7" x14ac:dyDescent="0.2">
      <c r="A713" t="s">
        <v>575</v>
      </c>
      <c r="B713" t="s">
        <v>576</v>
      </c>
      <c r="C713" t="s">
        <v>446</v>
      </c>
      <c r="D713" t="s">
        <v>8</v>
      </c>
      <c r="E713" t="s">
        <v>4612</v>
      </c>
      <c r="F713">
        <v>0</v>
      </c>
      <c r="G713">
        <v>4</v>
      </c>
    </row>
    <row r="714" spans="1:7" x14ac:dyDescent="0.2">
      <c r="A714" t="s">
        <v>579</v>
      </c>
      <c r="B714" t="s">
        <v>580</v>
      </c>
      <c r="C714" t="s">
        <v>446</v>
      </c>
      <c r="D714" t="s">
        <v>8</v>
      </c>
      <c r="E714" t="s">
        <v>4613</v>
      </c>
      <c r="F714">
        <v>0</v>
      </c>
      <c r="G714">
        <v>4</v>
      </c>
    </row>
    <row r="715" spans="1:7" x14ac:dyDescent="0.2">
      <c r="A715" t="s">
        <v>603</v>
      </c>
      <c r="B715" t="s">
        <v>604</v>
      </c>
      <c r="C715" t="s">
        <v>446</v>
      </c>
      <c r="D715" t="s">
        <v>8</v>
      </c>
      <c r="E715" t="s">
        <v>8529</v>
      </c>
      <c r="F715">
        <v>0</v>
      </c>
      <c r="G715">
        <v>2</v>
      </c>
    </row>
    <row r="716" spans="1:7" x14ac:dyDescent="0.2">
      <c r="A716" t="s">
        <v>609</v>
      </c>
      <c r="B716" t="s">
        <v>610</v>
      </c>
      <c r="C716" t="s">
        <v>446</v>
      </c>
      <c r="D716" t="s">
        <v>8</v>
      </c>
      <c r="E716" t="s">
        <v>8530</v>
      </c>
      <c r="F716">
        <v>0</v>
      </c>
      <c r="G716">
        <v>2</v>
      </c>
    </row>
    <row r="717" spans="1:7" x14ac:dyDescent="0.2">
      <c r="A717" t="s">
        <v>607</v>
      </c>
      <c r="B717" t="s">
        <v>608</v>
      </c>
      <c r="C717" t="s">
        <v>446</v>
      </c>
      <c r="D717" t="s">
        <v>8</v>
      </c>
      <c r="E717" t="s">
        <v>8531</v>
      </c>
      <c r="F717">
        <v>0</v>
      </c>
      <c r="G717">
        <v>2</v>
      </c>
    </row>
    <row r="718" spans="1:7" x14ac:dyDescent="0.2">
      <c r="A718" t="s">
        <v>605</v>
      </c>
      <c r="B718" t="s">
        <v>606</v>
      </c>
      <c r="C718" t="s">
        <v>446</v>
      </c>
      <c r="D718" t="s">
        <v>8</v>
      </c>
      <c r="E718" t="s">
        <v>8532</v>
      </c>
      <c r="F718">
        <v>0</v>
      </c>
      <c r="G718">
        <v>2</v>
      </c>
    </row>
    <row r="719" spans="1:7" x14ac:dyDescent="0.2">
      <c r="A719" t="s">
        <v>599</v>
      </c>
      <c r="B719" t="s">
        <v>600</v>
      </c>
      <c r="C719" t="s">
        <v>446</v>
      </c>
      <c r="D719" t="s">
        <v>8</v>
      </c>
      <c r="E719" t="s">
        <v>8533</v>
      </c>
      <c r="F719">
        <v>0</v>
      </c>
      <c r="G719">
        <v>2</v>
      </c>
    </row>
    <row r="720" spans="1:7" x14ac:dyDescent="0.2">
      <c r="A720" t="s">
        <v>601</v>
      </c>
      <c r="B720" t="s">
        <v>602</v>
      </c>
      <c r="C720" t="s">
        <v>446</v>
      </c>
      <c r="D720" t="s">
        <v>8</v>
      </c>
      <c r="E720" t="s">
        <v>8534</v>
      </c>
      <c r="F720">
        <v>0</v>
      </c>
      <c r="G720">
        <v>2</v>
      </c>
    </row>
    <row r="721" spans="1:7" x14ac:dyDescent="0.2">
      <c r="A721" t="s">
        <v>569</v>
      </c>
      <c r="B721" t="s">
        <v>570</v>
      </c>
      <c r="C721" t="s">
        <v>446</v>
      </c>
      <c r="D721" t="s">
        <v>8</v>
      </c>
      <c r="E721" t="s">
        <v>8535</v>
      </c>
      <c r="F721">
        <v>0</v>
      </c>
      <c r="G721">
        <v>2</v>
      </c>
    </row>
    <row r="722" spans="1:7" x14ac:dyDescent="0.2">
      <c r="A722" t="s">
        <v>571</v>
      </c>
      <c r="B722" t="s">
        <v>572</v>
      </c>
      <c r="C722" t="s">
        <v>446</v>
      </c>
      <c r="D722" t="s">
        <v>8</v>
      </c>
      <c r="E722" t="s">
        <v>8536</v>
      </c>
      <c r="F722">
        <v>0</v>
      </c>
      <c r="G722">
        <v>2</v>
      </c>
    </row>
    <row r="723" spans="1:7" x14ac:dyDescent="0.2">
      <c r="A723" t="s">
        <v>573</v>
      </c>
      <c r="B723" t="s">
        <v>574</v>
      </c>
      <c r="C723" t="s">
        <v>446</v>
      </c>
      <c r="D723" t="s">
        <v>8</v>
      </c>
      <c r="E723" t="s">
        <v>8537</v>
      </c>
      <c r="F723">
        <v>0</v>
      </c>
      <c r="G723">
        <v>2</v>
      </c>
    </row>
    <row r="724" spans="1:7" x14ac:dyDescent="0.2">
      <c r="A724" t="s">
        <v>591</v>
      </c>
      <c r="B724" t="s">
        <v>592</v>
      </c>
      <c r="C724" t="s">
        <v>446</v>
      </c>
      <c r="D724" t="s">
        <v>8</v>
      </c>
      <c r="E724" t="s">
        <v>4614</v>
      </c>
      <c r="F724">
        <v>0</v>
      </c>
      <c r="G724">
        <v>12</v>
      </c>
    </row>
    <row r="725" spans="1:7" x14ac:dyDescent="0.2">
      <c r="A725" t="s">
        <v>583</v>
      </c>
      <c r="B725" t="s">
        <v>584</v>
      </c>
      <c r="C725" t="s">
        <v>446</v>
      </c>
      <c r="D725" t="s">
        <v>8</v>
      </c>
      <c r="E725" t="s">
        <v>4615</v>
      </c>
      <c r="F725">
        <v>0</v>
      </c>
      <c r="G725">
        <v>10</v>
      </c>
    </row>
    <row r="726" spans="1:7" x14ac:dyDescent="0.2">
      <c r="A726" t="s">
        <v>585</v>
      </c>
      <c r="B726" t="s">
        <v>586</v>
      </c>
      <c r="C726" t="s">
        <v>446</v>
      </c>
      <c r="D726" t="s">
        <v>8</v>
      </c>
      <c r="E726" t="s">
        <v>4616</v>
      </c>
      <c r="F726">
        <v>0</v>
      </c>
      <c r="G726">
        <v>10</v>
      </c>
    </row>
    <row r="727" spans="1:7" x14ac:dyDescent="0.2">
      <c r="A727" t="s">
        <v>595</v>
      </c>
      <c r="B727" t="s">
        <v>596</v>
      </c>
      <c r="C727" t="s">
        <v>446</v>
      </c>
      <c r="D727" t="s">
        <v>8</v>
      </c>
      <c r="E727" t="s">
        <v>4617</v>
      </c>
      <c r="F727">
        <v>0</v>
      </c>
      <c r="G727">
        <v>10</v>
      </c>
    </row>
    <row r="728" spans="1:7" x14ac:dyDescent="0.2">
      <c r="A728" t="s">
        <v>593</v>
      </c>
      <c r="B728" t="s">
        <v>594</v>
      </c>
      <c r="C728" t="s">
        <v>446</v>
      </c>
      <c r="D728" t="s">
        <v>8</v>
      </c>
      <c r="E728" t="s">
        <v>4618</v>
      </c>
      <c r="F728">
        <v>0</v>
      </c>
      <c r="G728">
        <v>10</v>
      </c>
    </row>
    <row r="729" spans="1:7" x14ac:dyDescent="0.2">
      <c r="A729" t="s">
        <v>587</v>
      </c>
      <c r="B729" t="s">
        <v>588</v>
      </c>
      <c r="C729" t="s">
        <v>446</v>
      </c>
      <c r="D729" t="s">
        <v>8</v>
      </c>
      <c r="E729" t="s">
        <v>4619</v>
      </c>
      <c r="F729">
        <v>0</v>
      </c>
      <c r="G729">
        <v>2</v>
      </c>
    </row>
    <row r="730" spans="1:7" x14ac:dyDescent="0.2">
      <c r="A730" t="s">
        <v>597</v>
      </c>
      <c r="B730" t="s">
        <v>598</v>
      </c>
      <c r="C730" t="s">
        <v>446</v>
      </c>
      <c r="D730" t="s">
        <v>8</v>
      </c>
      <c r="E730" t="s">
        <v>4620</v>
      </c>
      <c r="F730">
        <v>0</v>
      </c>
      <c r="G730">
        <v>10</v>
      </c>
    </row>
    <row r="731" spans="1:7" x14ac:dyDescent="0.2">
      <c r="A731" t="s">
        <v>613</v>
      </c>
      <c r="B731" t="s">
        <v>614</v>
      </c>
      <c r="C731" t="s">
        <v>446</v>
      </c>
      <c r="D731" t="s">
        <v>8</v>
      </c>
      <c r="E731" t="s">
        <v>4621</v>
      </c>
      <c r="F731">
        <v>0</v>
      </c>
      <c r="G731">
        <v>10</v>
      </c>
    </row>
    <row r="732" spans="1:7" x14ac:dyDescent="0.2">
      <c r="A732" t="s">
        <v>1981</v>
      </c>
      <c r="B732" t="s">
        <v>1982</v>
      </c>
      <c r="C732" t="s">
        <v>1980</v>
      </c>
      <c r="D732" t="s">
        <v>11</v>
      </c>
      <c r="E732" t="s">
        <v>8538</v>
      </c>
      <c r="F732">
        <v>0.66666666666666663</v>
      </c>
      <c r="G732">
        <v>23</v>
      </c>
    </row>
    <row r="733" spans="1:7" x14ac:dyDescent="0.2">
      <c r="A733" t="s">
        <v>2385</v>
      </c>
      <c r="B733" t="s">
        <v>2386</v>
      </c>
      <c r="C733" t="s">
        <v>2374</v>
      </c>
      <c r="D733" t="s">
        <v>11</v>
      </c>
      <c r="E733" t="s">
        <v>4622</v>
      </c>
    </row>
    <row r="734" spans="1:7" x14ac:dyDescent="0.2">
      <c r="A734" t="s">
        <v>2385</v>
      </c>
      <c r="B734" t="s">
        <v>2386</v>
      </c>
      <c r="C734" t="s">
        <v>2374</v>
      </c>
      <c r="D734" t="s">
        <v>12</v>
      </c>
      <c r="F734">
        <v>0</v>
      </c>
      <c r="G734">
        <v>3</v>
      </c>
    </row>
    <row r="735" spans="1:7" x14ac:dyDescent="0.2">
      <c r="A735" t="s">
        <v>1834</v>
      </c>
      <c r="B735" t="s">
        <v>1835</v>
      </c>
      <c r="C735" t="s">
        <v>1811</v>
      </c>
      <c r="D735" t="s">
        <v>8</v>
      </c>
      <c r="E735" t="s">
        <v>4623</v>
      </c>
      <c r="F735">
        <v>0.16666666666666666</v>
      </c>
      <c r="G735">
        <v>0</v>
      </c>
    </row>
    <row r="736" spans="1:7" x14ac:dyDescent="0.2">
      <c r="A736" t="s">
        <v>1836</v>
      </c>
      <c r="B736" t="s">
        <v>1837</v>
      </c>
      <c r="C736" t="s">
        <v>1811</v>
      </c>
      <c r="D736" t="s">
        <v>8</v>
      </c>
      <c r="E736" t="s">
        <v>4624</v>
      </c>
    </row>
    <row r="737" spans="1:7" x14ac:dyDescent="0.2">
      <c r="A737" t="s">
        <v>1830</v>
      </c>
      <c r="B737" t="s">
        <v>1831</v>
      </c>
      <c r="C737" t="s">
        <v>1811</v>
      </c>
      <c r="D737" t="s">
        <v>8</v>
      </c>
      <c r="E737" t="s">
        <v>4625</v>
      </c>
      <c r="F737">
        <v>0.33333333333333331</v>
      </c>
      <c r="G737">
        <v>3</v>
      </c>
    </row>
    <row r="738" spans="1:7" x14ac:dyDescent="0.2">
      <c r="A738" t="s">
        <v>1832</v>
      </c>
      <c r="B738" t="s">
        <v>1833</v>
      </c>
      <c r="C738" t="s">
        <v>1811</v>
      </c>
      <c r="D738" t="s">
        <v>8</v>
      </c>
      <c r="E738" t="s">
        <v>4626</v>
      </c>
      <c r="F738">
        <v>0.33333333333333331</v>
      </c>
      <c r="G738">
        <v>0</v>
      </c>
    </row>
    <row r="739" spans="1:7" x14ac:dyDescent="0.2">
      <c r="A739" t="s">
        <v>4627</v>
      </c>
      <c r="B739" t="s">
        <v>4628</v>
      </c>
      <c r="C739" t="s">
        <v>2852</v>
      </c>
      <c r="D739" t="s">
        <v>8</v>
      </c>
      <c r="E739" t="s">
        <v>4629</v>
      </c>
      <c r="F739">
        <v>0</v>
      </c>
      <c r="G739">
        <v>1</v>
      </c>
    </row>
    <row r="740" spans="1:7" x14ac:dyDescent="0.2">
      <c r="A740" t="s">
        <v>4630</v>
      </c>
      <c r="B740" t="s">
        <v>4631</v>
      </c>
      <c r="C740" t="s">
        <v>446</v>
      </c>
      <c r="D740" t="s">
        <v>8</v>
      </c>
      <c r="E740" t="s">
        <v>4632</v>
      </c>
    </row>
    <row r="741" spans="1:7" x14ac:dyDescent="0.2">
      <c r="A741" t="s">
        <v>4630</v>
      </c>
      <c r="B741" t="s">
        <v>4631</v>
      </c>
      <c r="C741" t="s">
        <v>446</v>
      </c>
      <c r="D741" t="s">
        <v>3469</v>
      </c>
      <c r="F741">
        <v>0</v>
      </c>
      <c r="G741">
        <v>0</v>
      </c>
    </row>
    <row r="742" spans="1:7" x14ac:dyDescent="0.2">
      <c r="A742" t="s">
        <v>4630</v>
      </c>
      <c r="B742" t="s">
        <v>4631</v>
      </c>
      <c r="C742" t="s">
        <v>446</v>
      </c>
      <c r="D742" t="s">
        <v>12</v>
      </c>
    </row>
    <row r="743" spans="1:7" x14ac:dyDescent="0.2">
      <c r="A743" t="s">
        <v>924</v>
      </c>
      <c r="B743" t="s">
        <v>925</v>
      </c>
      <c r="C743" t="s">
        <v>446</v>
      </c>
      <c r="D743" t="s">
        <v>3469</v>
      </c>
      <c r="F743">
        <v>0</v>
      </c>
      <c r="G743">
        <v>0</v>
      </c>
    </row>
    <row r="744" spans="1:7" x14ac:dyDescent="0.2">
      <c r="A744" t="s">
        <v>924</v>
      </c>
      <c r="B744" t="s">
        <v>925</v>
      </c>
      <c r="C744" t="s">
        <v>446</v>
      </c>
      <c r="D744" t="s">
        <v>12</v>
      </c>
    </row>
    <row r="745" spans="1:7" x14ac:dyDescent="0.2">
      <c r="A745" t="s">
        <v>4633</v>
      </c>
      <c r="B745" t="s">
        <v>4634</v>
      </c>
      <c r="C745" t="s">
        <v>446</v>
      </c>
      <c r="D745" t="s">
        <v>10</v>
      </c>
      <c r="E745" t="s">
        <v>4635</v>
      </c>
    </row>
    <row r="746" spans="1:7" x14ac:dyDescent="0.2">
      <c r="A746" t="s">
        <v>4633</v>
      </c>
      <c r="B746" t="s">
        <v>4634</v>
      </c>
      <c r="C746" t="s">
        <v>446</v>
      </c>
      <c r="D746" t="s">
        <v>3471</v>
      </c>
      <c r="E746" t="s">
        <v>4636</v>
      </c>
    </row>
    <row r="747" spans="1:7" x14ac:dyDescent="0.2">
      <c r="A747" t="s">
        <v>4633</v>
      </c>
      <c r="B747" t="s">
        <v>4634</v>
      </c>
      <c r="C747" t="s">
        <v>446</v>
      </c>
      <c r="D747" t="s">
        <v>8</v>
      </c>
      <c r="E747" t="s">
        <v>4637</v>
      </c>
    </row>
    <row r="748" spans="1:7" x14ac:dyDescent="0.2">
      <c r="A748" t="s">
        <v>4633</v>
      </c>
      <c r="B748" t="s">
        <v>4634</v>
      </c>
      <c r="C748" t="s">
        <v>446</v>
      </c>
      <c r="D748" t="s">
        <v>3469</v>
      </c>
      <c r="F748">
        <v>0</v>
      </c>
      <c r="G748">
        <v>0</v>
      </c>
    </row>
    <row r="749" spans="1:7" x14ac:dyDescent="0.2">
      <c r="A749" t="s">
        <v>4633</v>
      </c>
      <c r="B749" t="s">
        <v>4634</v>
      </c>
      <c r="C749" t="s">
        <v>446</v>
      </c>
      <c r="D749" t="s">
        <v>12</v>
      </c>
    </row>
    <row r="750" spans="1:7" x14ac:dyDescent="0.2">
      <c r="A750" t="s">
        <v>721</v>
      </c>
      <c r="B750" t="s">
        <v>722</v>
      </c>
      <c r="C750" t="s">
        <v>446</v>
      </c>
      <c r="D750" t="s">
        <v>3471</v>
      </c>
      <c r="E750" t="s">
        <v>4638</v>
      </c>
      <c r="F750">
        <v>0</v>
      </c>
      <c r="G750">
        <v>0</v>
      </c>
    </row>
    <row r="751" spans="1:7" x14ac:dyDescent="0.2">
      <c r="A751" t="s">
        <v>721</v>
      </c>
      <c r="B751" t="s">
        <v>722</v>
      </c>
      <c r="C751" t="s">
        <v>446</v>
      </c>
      <c r="D751" t="s">
        <v>12</v>
      </c>
      <c r="F751">
        <v>-0.16666666666666666</v>
      </c>
      <c r="G751">
        <v>4</v>
      </c>
    </row>
    <row r="752" spans="1:7" x14ac:dyDescent="0.2">
      <c r="A752" t="s">
        <v>719</v>
      </c>
      <c r="B752" t="s">
        <v>720</v>
      </c>
      <c r="C752" t="s">
        <v>446</v>
      </c>
      <c r="D752" t="s">
        <v>3471</v>
      </c>
      <c r="E752" t="s">
        <v>4639</v>
      </c>
      <c r="F752">
        <v>0</v>
      </c>
      <c r="G752">
        <v>0</v>
      </c>
    </row>
    <row r="753" spans="1:7" x14ac:dyDescent="0.2">
      <c r="A753" t="s">
        <v>719</v>
      </c>
      <c r="B753" t="s">
        <v>720</v>
      </c>
      <c r="C753" t="s">
        <v>446</v>
      </c>
      <c r="D753" t="s">
        <v>12</v>
      </c>
      <c r="F753">
        <v>2.1666666666666665</v>
      </c>
      <c r="G753">
        <v>61</v>
      </c>
    </row>
    <row r="754" spans="1:7" x14ac:dyDescent="0.2">
      <c r="A754" t="s">
        <v>723</v>
      </c>
      <c r="B754" t="s">
        <v>724</v>
      </c>
      <c r="C754" t="s">
        <v>446</v>
      </c>
      <c r="D754" t="s">
        <v>3471</v>
      </c>
      <c r="E754" t="s">
        <v>4640</v>
      </c>
      <c r="F754">
        <v>0</v>
      </c>
      <c r="G754">
        <v>0</v>
      </c>
    </row>
    <row r="755" spans="1:7" x14ac:dyDescent="0.2">
      <c r="A755" t="s">
        <v>723</v>
      </c>
      <c r="B755" t="s">
        <v>724</v>
      </c>
      <c r="C755" t="s">
        <v>446</v>
      </c>
      <c r="D755" t="s">
        <v>12</v>
      </c>
      <c r="F755">
        <v>0.5</v>
      </c>
      <c r="G755">
        <v>8</v>
      </c>
    </row>
    <row r="756" spans="1:7" x14ac:dyDescent="0.2">
      <c r="A756" t="s">
        <v>4641</v>
      </c>
      <c r="B756" t="s">
        <v>4642</v>
      </c>
      <c r="C756" t="s">
        <v>446</v>
      </c>
      <c r="D756" t="s">
        <v>12</v>
      </c>
    </row>
    <row r="757" spans="1:7" x14ac:dyDescent="0.2">
      <c r="A757" t="s">
        <v>4643</v>
      </c>
      <c r="B757" t="s">
        <v>4644</v>
      </c>
      <c r="C757" t="s">
        <v>446</v>
      </c>
      <c r="D757" t="s">
        <v>3469</v>
      </c>
      <c r="F757">
        <v>0</v>
      </c>
      <c r="G757">
        <v>0</v>
      </c>
    </row>
    <row r="758" spans="1:7" x14ac:dyDescent="0.2">
      <c r="A758" t="s">
        <v>4643</v>
      </c>
      <c r="B758" t="s">
        <v>4644</v>
      </c>
      <c r="C758" t="s">
        <v>446</v>
      </c>
      <c r="D758" t="s">
        <v>12</v>
      </c>
    </row>
    <row r="759" spans="1:7" x14ac:dyDescent="0.2">
      <c r="A759" t="s">
        <v>4645</v>
      </c>
      <c r="B759" t="s">
        <v>4646</v>
      </c>
      <c r="C759" t="s">
        <v>446</v>
      </c>
      <c r="D759" t="s">
        <v>3484</v>
      </c>
    </row>
    <row r="760" spans="1:7" x14ac:dyDescent="0.2">
      <c r="A760" t="s">
        <v>4647</v>
      </c>
      <c r="B760" t="s">
        <v>4648</v>
      </c>
      <c r="C760" t="s">
        <v>446</v>
      </c>
      <c r="D760" t="s">
        <v>8</v>
      </c>
      <c r="E760" t="s">
        <v>4649</v>
      </c>
    </row>
    <row r="761" spans="1:7" x14ac:dyDescent="0.2">
      <c r="A761" t="s">
        <v>4647</v>
      </c>
      <c r="B761" t="s">
        <v>4648</v>
      </c>
      <c r="C761" t="s">
        <v>446</v>
      </c>
      <c r="D761" t="s">
        <v>3469</v>
      </c>
      <c r="F761">
        <v>0</v>
      </c>
      <c r="G761">
        <v>0</v>
      </c>
    </row>
    <row r="762" spans="1:7" x14ac:dyDescent="0.2">
      <c r="A762" t="s">
        <v>4647</v>
      </c>
      <c r="B762" t="s">
        <v>4648</v>
      </c>
      <c r="C762" t="s">
        <v>446</v>
      </c>
      <c r="D762" t="s">
        <v>12</v>
      </c>
      <c r="F762">
        <v>0</v>
      </c>
      <c r="G762">
        <v>1</v>
      </c>
    </row>
    <row r="763" spans="1:7" x14ac:dyDescent="0.2">
      <c r="A763" t="s">
        <v>4650</v>
      </c>
      <c r="B763" t="s">
        <v>4651</v>
      </c>
      <c r="C763" t="s">
        <v>446</v>
      </c>
      <c r="D763" t="s">
        <v>10</v>
      </c>
      <c r="E763" t="s">
        <v>4652</v>
      </c>
    </row>
    <row r="764" spans="1:7" x14ac:dyDescent="0.2">
      <c r="A764" t="s">
        <v>4650</v>
      </c>
      <c r="B764" t="s">
        <v>4651</v>
      </c>
      <c r="C764" t="s">
        <v>446</v>
      </c>
      <c r="D764" t="s">
        <v>8</v>
      </c>
      <c r="E764" t="s">
        <v>4653</v>
      </c>
    </row>
    <row r="765" spans="1:7" x14ac:dyDescent="0.2">
      <c r="A765" t="s">
        <v>4650</v>
      </c>
      <c r="B765" t="s">
        <v>4651</v>
      </c>
      <c r="C765" t="s">
        <v>446</v>
      </c>
      <c r="D765" t="s">
        <v>3469</v>
      </c>
      <c r="F765">
        <v>0</v>
      </c>
      <c r="G765">
        <v>0</v>
      </c>
    </row>
    <row r="766" spans="1:7" x14ac:dyDescent="0.2">
      <c r="A766" t="s">
        <v>4650</v>
      </c>
      <c r="B766" t="s">
        <v>4651</v>
      </c>
      <c r="C766" t="s">
        <v>446</v>
      </c>
      <c r="D766" t="s">
        <v>12</v>
      </c>
      <c r="F766">
        <v>0</v>
      </c>
      <c r="G766">
        <v>1</v>
      </c>
    </row>
    <row r="767" spans="1:7" x14ac:dyDescent="0.2">
      <c r="A767" t="s">
        <v>4650</v>
      </c>
      <c r="B767" t="s">
        <v>4651</v>
      </c>
      <c r="C767" t="s">
        <v>446</v>
      </c>
      <c r="D767" t="s">
        <v>3484</v>
      </c>
    </row>
    <row r="768" spans="1:7" x14ac:dyDescent="0.2">
      <c r="A768" t="s">
        <v>926</v>
      </c>
      <c r="B768" t="s">
        <v>927</v>
      </c>
      <c r="C768" t="s">
        <v>446</v>
      </c>
      <c r="D768" t="s">
        <v>8</v>
      </c>
      <c r="E768" t="s">
        <v>4654</v>
      </c>
    </row>
    <row r="769" spans="1:7" x14ac:dyDescent="0.2">
      <c r="A769" t="s">
        <v>926</v>
      </c>
      <c r="B769" t="s">
        <v>927</v>
      </c>
      <c r="C769" t="s">
        <v>446</v>
      </c>
      <c r="D769" t="s">
        <v>3469</v>
      </c>
    </row>
    <row r="770" spans="1:7" x14ac:dyDescent="0.2">
      <c r="A770" t="s">
        <v>926</v>
      </c>
      <c r="B770" t="s">
        <v>927</v>
      </c>
      <c r="C770" t="s">
        <v>446</v>
      </c>
      <c r="D770" t="s">
        <v>12</v>
      </c>
      <c r="F770">
        <v>0.16666666666666666</v>
      </c>
      <c r="G770">
        <v>4</v>
      </c>
    </row>
    <row r="771" spans="1:7" x14ac:dyDescent="0.2">
      <c r="A771" t="s">
        <v>4655</v>
      </c>
      <c r="B771" t="s">
        <v>4656</v>
      </c>
      <c r="C771" t="s">
        <v>446</v>
      </c>
      <c r="D771" t="s">
        <v>3469</v>
      </c>
      <c r="F771">
        <v>0</v>
      </c>
      <c r="G771">
        <v>0</v>
      </c>
    </row>
    <row r="772" spans="1:7" x14ac:dyDescent="0.2">
      <c r="A772" t="s">
        <v>4655</v>
      </c>
      <c r="B772" t="s">
        <v>4656</v>
      </c>
      <c r="C772" t="s">
        <v>446</v>
      </c>
      <c r="D772" t="s">
        <v>12</v>
      </c>
    </row>
    <row r="773" spans="1:7" x14ac:dyDescent="0.2">
      <c r="A773" t="s">
        <v>4657</v>
      </c>
      <c r="B773" t="s">
        <v>4658</v>
      </c>
      <c r="C773" t="s">
        <v>446</v>
      </c>
      <c r="D773" t="s">
        <v>12</v>
      </c>
    </row>
    <row r="774" spans="1:7" x14ac:dyDescent="0.2">
      <c r="A774" t="s">
        <v>972</v>
      </c>
      <c r="B774" t="s">
        <v>973</v>
      </c>
      <c r="C774" t="s">
        <v>446</v>
      </c>
      <c r="D774" t="s">
        <v>10</v>
      </c>
      <c r="E774" t="s">
        <v>4659</v>
      </c>
      <c r="F774">
        <v>15.333333333333334</v>
      </c>
      <c r="G774">
        <v>262</v>
      </c>
    </row>
    <row r="775" spans="1:7" x14ac:dyDescent="0.2">
      <c r="A775" t="s">
        <v>972</v>
      </c>
      <c r="B775" t="s">
        <v>973</v>
      </c>
      <c r="C775" t="s">
        <v>446</v>
      </c>
      <c r="D775" t="s">
        <v>3471</v>
      </c>
      <c r="E775" t="s">
        <v>4660</v>
      </c>
      <c r="F775">
        <v>0</v>
      </c>
      <c r="G775">
        <v>0</v>
      </c>
    </row>
    <row r="776" spans="1:7" x14ac:dyDescent="0.2">
      <c r="A776" t="s">
        <v>972</v>
      </c>
      <c r="B776" t="s">
        <v>973</v>
      </c>
      <c r="C776" t="s">
        <v>446</v>
      </c>
      <c r="D776" t="s">
        <v>8</v>
      </c>
      <c r="E776" t="s">
        <v>4661</v>
      </c>
    </row>
    <row r="777" spans="1:7" x14ac:dyDescent="0.2">
      <c r="A777" t="s">
        <v>972</v>
      </c>
      <c r="B777" t="s">
        <v>973</v>
      </c>
      <c r="C777" t="s">
        <v>446</v>
      </c>
      <c r="D777" t="s">
        <v>12</v>
      </c>
      <c r="F777">
        <v>0.16666666666666666</v>
      </c>
      <c r="G777">
        <v>2</v>
      </c>
    </row>
    <row r="778" spans="1:7" x14ac:dyDescent="0.2">
      <c r="A778" t="s">
        <v>733</v>
      </c>
      <c r="B778" t="s">
        <v>734</v>
      </c>
      <c r="C778" t="s">
        <v>446</v>
      </c>
      <c r="D778" t="s">
        <v>13</v>
      </c>
      <c r="F778">
        <v>1</v>
      </c>
      <c r="G778">
        <v>61</v>
      </c>
    </row>
    <row r="779" spans="1:7" x14ac:dyDescent="0.2">
      <c r="A779" t="s">
        <v>733</v>
      </c>
      <c r="B779" t="s">
        <v>734</v>
      </c>
      <c r="C779" t="s">
        <v>446</v>
      </c>
      <c r="D779" t="s">
        <v>3471</v>
      </c>
      <c r="E779" t="s">
        <v>4662</v>
      </c>
      <c r="F779">
        <v>0</v>
      </c>
      <c r="G779">
        <v>0</v>
      </c>
    </row>
    <row r="780" spans="1:7" x14ac:dyDescent="0.2">
      <c r="A780" t="s">
        <v>733</v>
      </c>
      <c r="B780" t="s">
        <v>734</v>
      </c>
      <c r="C780" t="s">
        <v>446</v>
      </c>
      <c r="D780" t="s">
        <v>8</v>
      </c>
      <c r="E780" t="s">
        <v>4663</v>
      </c>
      <c r="F780">
        <v>78.833333333333329</v>
      </c>
      <c r="G780">
        <v>329</v>
      </c>
    </row>
    <row r="781" spans="1:7" x14ac:dyDescent="0.2">
      <c r="A781" t="s">
        <v>733</v>
      </c>
      <c r="B781" t="s">
        <v>734</v>
      </c>
      <c r="C781" t="s">
        <v>446</v>
      </c>
      <c r="D781" t="s">
        <v>3469</v>
      </c>
      <c r="F781">
        <v>0.16666666666666666</v>
      </c>
      <c r="G781">
        <v>3</v>
      </c>
    </row>
    <row r="782" spans="1:7" x14ac:dyDescent="0.2">
      <c r="A782" t="s">
        <v>735</v>
      </c>
      <c r="B782" t="s">
        <v>736</v>
      </c>
      <c r="C782" t="s">
        <v>446</v>
      </c>
      <c r="D782" t="s">
        <v>3471</v>
      </c>
      <c r="E782" t="s">
        <v>4664</v>
      </c>
      <c r="F782">
        <v>0</v>
      </c>
      <c r="G782">
        <v>0</v>
      </c>
    </row>
    <row r="783" spans="1:7" x14ac:dyDescent="0.2">
      <c r="A783" t="s">
        <v>735</v>
      </c>
      <c r="B783" t="s">
        <v>736</v>
      </c>
      <c r="C783" t="s">
        <v>446</v>
      </c>
      <c r="D783" t="s">
        <v>8</v>
      </c>
      <c r="E783" t="s">
        <v>4665</v>
      </c>
      <c r="F783">
        <v>78.666666666666671</v>
      </c>
      <c r="G783">
        <v>467</v>
      </c>
    </row>
    <row r="784" spans="1:7" x14ac:dyDescent="0.2">
      <c r="A784" t="s">
        <v>745</v>
      </c>
      <c r="B784" t="s">
        <v>746</v>
      </c>
      <c r="C784" t="s">
        <v>446</v>
      </c>
      <c r="D784" t="s">
        <v>10</v>
      </c>
      <c r="E784" t="s">
        <v>4666</v>
      </c>
      <c r="F784">
        <v>55.5</v>
      </c>
      <c r="G784">
        <v>534</v>
      </c>
    </row>
    <row r="785" spans="1:7" x14ac:dyDescent="0.2">
      <c r="A785" t="s">
        <v>745</v>
      </c>
      <c r="B785" t="s">
        <v>746</v>
      </c>
      <c r="C785" t="s">
        <v>446</v>
      </c>
      <c r="D785" t="s">
        <v>3471</v>
      </c>
      <c r="E785" t="s">
        <v>4667</v>
      </c>
      <c r="F785">
        <v>0</v>
      </c>
      <c r="G785">
        <v>0</v>
      </c>
    </row>
    <row r="786" spans="1:7" x14ac:dyDescent="0.2">
      <c r="A786" t="s">
        <v>745</v>
      </c>
      <c r="B786" t="s">
        <v>746</v>
      </c>
      <c r="C786" t="s">
        <v>446</v>
      </c>
      <c r="D786" t="s">
        <v>12</v>
      </c>
      <c r="F786">
        <v>9.1666666666666661</v>
      </c>
      <c r="G786">
        <v>273</v>
      </c>
    </row>
    <row r="787" spans="1:7" x14ac:dyDescent="0.2">
      <c r="A787" t="s">
        <v>751</v>
      </c>
      <c r="B787" t="s">
        <v>752</v>
      </c>
      <c r="C787" t="s">
        <v>446</v>
      </c>
      <c r="D787" t="s">
        <v>10</v>
      </c>
      <c r="E787" t="s">
        <v>4668</v>
      </c>
      <c r="F787">
        <v>30.833333333333332</v>
      </c>
      <c r="G787">
        <v>455</v>
      </c>
    </row>
    <row r="788" spans="1:7" x14ac:dyDescent="0.2">
      <c r="A788" t="s">
        <v>751</v>
      </c>
      <c r="B788" t="s">
        <v>752</v>
      </c>
      <c r="C788" t="s">
        <v>446</v>
      </c>
      <c r="D788" t="s">
        <v>3471</v>
      </c>
      <c r="E788" t="s">
        <v>4669</v>
      </c>
      <c r="F788">
        <v>0</v>
      </c>
      <c r="G788">
        <v>0</v>
      </c>
    </row>
    <row r="789" spans="1:7" x14ac:dyDescent="0.2">
      <c r="A789" t="s">
        <v>751</v>
      </c>
      <c r="B789" t="s">
        <v>752</v>
      </c>
      <c r="C789" t="s">
        <v>446</v>
      </c>
      <c r="D789" t="s">
        <v>12</v>
      </c>
      <c r="F789">
        <v>3.1666666666666665</v>
      </c>
      <c r="G789">
        <v>127</v>
      </c>
    </row>
    <row r="790" spans="1:7" x14ac:dyDescent="0.2">
      <c r="A790" t="s">
        <v>741</v>
      </c>
      <c r="B790" t="s">
        <v>742</v>
      </c>
      <c r="C790" t="s">
        <v>446</v>
      </c>
      <c r="D790" t="s">
        <v>13</v>
      </c>
      <c r="F790">
        <v>0.83333333333333337</v>
      </c>
      <c r="G790">
        <v>36</v>
      </c>
    </row>
    <row r="791" spans="1:7" x14ac:dyDescent="0.2">
      <c r="A791" t="s">
        <v>741</v>
      </c>
      <c r="B791" t="s">
        <v>742</v>
      </c>
      <c r="C791" t="s">
        <v>446</v>
      </c>
      <c r="D791" t="s">
        <v>10</v>
      </c>
      <c r="E791" t="s">
        <v>4670</v>
      </c>
      <c r="F791">
        <v>59.166666666666664</v>
      </c>
      <c r="G791">
        <v>482</v>
      </c>
    </row>
    <row r="792" spans="1:7" x14ac:dyDescent="0.2">
      <c r="A792" t="s">
        <v>741</v>
      </c>
      <c r="B792" t="s">
        <v>742</v>
      </c>
      <c r="C792" t="s">
        <v>446</v>
      </c>
      <c r="D792" t="s">
        <v>3471</v>
      </c>
      <c r="E792" t="s">
        <v>4671</v>
      </c>
      <c r="F792">
        <v>0</v>
      </c>
      <c r="G792">
        <v>0</v>
      </c>
    </row>
    <row r="793" spans="1:7" x14ac:dyDescent="0.2">
      <c r="A793" t="s">
        <v>741</v>
      </c>
      <c r="B793" t="s">
        <v>742</v>
      </c>
      <c r="C793" t="s">
        <v>446</v>
      </c>
      <c r="D793" t="s">
        <v>12</v>
      </c>
      <c r="F793">
        <v>6.166666666666667</v>
      </c>
      <c r="G793">
        <v>275</v>
      </c>
    </row>
    <row r="794" spans="1:7" x14ac:dyDescent="0.2">
      <c r="A794" t="s">
        <v>743</v>
      </c>
      <c r="B794" t="s">
        <v>744</v>
      </c>
      <c r="C794" t="s">
        <v>446</v>
      </c>
      <c r="D794" t="s">
        <v>13</v>
      </c>
      <c r="F794">
        <v>0.16666666666666666</v>
      </c>
      <c r="G794">
        <v>40</v>
      </c>
    </row>
    <row r="795" spans="1:7" x14ac:dyDescent="0.2">
      <c r="A795" t="s">
        <v>743</v>
      </c>
      <c r="B795" t="s">
        <v>744</v>
      </c>
      <c r="C795" t="s">
        <v>446</v>
      </c>
      <c r="D795" t="s">
        <v>10</v>
      </c>
      <c r="E795" t="s">
        <v>4672</v>
      </c>
      <c r="F795">
        <v>37.333333333333336</v>
      </c>
      <c r="G795">
        <v>330</v>
      </c>
    </row>
    <row r="796" spans="1:7" x14ac:dyDescent="0.2">
      <c r="A796" t="s">
        <v>743</v>
      </c>
      <c r="B796" t="s">
        <v>744</v>
      </c>
      <c r="C796" t="s">
        <v>446</v>
      </c>
      <c r="D796" t="s">
        <v>3471</v>
      </c>
      <c r="E796" t="s">
        <v>4673</v>
      </c>
      <c r="F796">
        <v>0</v>
      </c>
      <c r="G796">
        <v>0</v>
      </c>
    </row>
    <row r="797" spans="1:7" x14ac:dyDescent="0.2">
      <c r="A797" t="s">
        <v>743</v>
      </c>
      <c r="B797" t="s">
        <v>744</v>
      </c>
      <c r="C797" t="s">
        <v>446</v>
      </c>
      <c r="D797" t="s">
        <v>12</v>
      </c>
      <c r="F797">
        <v>4.166666666666667</v>
      </c>
      <c r="G797">
        <v>276</v>
      </c>
    </row>
    <row r="798" spans="1:7" x14ac:dyDescent="0.2">
      <c r="A798" t="s">
        <v>950</v>
      </c>
      <c r="B798" t="s">
        <v>951</v>
      </c>
      <c r="C798" t="s">
        <v>446</v>
      </c>
      <c r="D798" t="s">
        <v>10</v>
      </c>
      <c r="E798" t="s">
        <v>4674</v>
      </c>
      <c r="F798">
        <v>0</v>
      </c>
      <c r="G798">
        <v>3</v>
      </c>
    </row>
    <row r="799" spans="1:7" x14ac:dyDescent="0.2">
      <c r="A799" t="s">
        <v>950</v>
      </c>
      <c r="B799" t="s">
        <v>951</v>
      </c>
      <c r="C799" t="s">
        <v>446</v>
      </c>
      <c r="D799" t="s">
        <v>3471</v>
      </c>
      <c r="E799" t="s">
        <v>4675</v>
      </c>
      <c r="F799">
        <v>0</v>
      </c>
      <c r="G799">
        <v>0</v>
      </c>
    </row>
    <row r="800" spans="1:7" x14ac:dyDescent="0.2">
      <c r="A800" t="s">
        <v>950</v>
      </c>
      <c r="B800" t="s">
        <v>951</v>
      </c>
      <c r="C800" t="s">
        <v>446</v>
      </c>
      <c r="D800" t="s">
        <v>8</v>
      </c>
      <c r="E800" t="s">
        <v>4676</v>
      </c>
      <c r="F800">
        <v>52.833333333333336</v>
      </c>
      <c r="G800">
        <v>725</v>
      </c>
    </row>
    <row r="801" spans="1:7" x14ac:dyDescent="0.2">
      <c r="A801" t="s">
        <v>950</v>
      </c>
      <c r="B801" t="s">
        <v>951</v>
      </c>
      <c r="C801" t="s">
        <v>446</v>
      </c>
      <c r="D801" t="s">
        <v>3469</v>
      </c>
      <c r="F801">
        <v>0</v>
      </c>
      <c r="G801">
        <v>2</v>
      </c>
    </row>
    <row r="802" spans="1:7" x14ac:dyDescent="0.2">
      <c r="A802" t="s">
        <v>950</v>
      </c>
      <c r="B802" t="s">
        <v>951</v>
      </c>
      <c r="C802" t="s">
        <v>446</v>
      </c>
      <c r="D802" t="s">
        <v>12</v>
      </c>
      <c r="F802">
        <v>28.166666666666668</v>
      </c>
      <c r="G802">
        <v>292</v>
      </c>
    </row>
    <row r="803" spans="1:7" x14ac:dyDescent="0.2">
      <c r="A803" t="s">
        <v>950</v>
      </c>
      <c r="B803" t="s">
        <v>951</v>
      </c>
      <c r="C803" t="s">
        <v>446</v>
      </c>
      <c r="D803" t="s">
        <v>3484</v>
      </c>
    </row>
    <row r="804" spans="1:7" x14ac:dyDescent="0.2">
      <c r="A804" t="s">
        <v>952</v>
      </c>
      <c r="B804" t="s">
        <v>953</v>
      </c>
      <c r="C804" t="s">
        <v>446</v>
      </c>
      <c r="D804" t="s">
        <v>10</v>
      </c>
      <c r="E804" t="s">
        <v>4677</v>
      </c>
      <c r="F804">
        <v>0.5</v>
      </c>
      <c r="G804">
        <v>3</v>
      </c>
    </row>
    <row r="805" spans="1:7" x14ac:dyDescent="0.2">
      <c r="A805" t="s">
        <v>952</v>
      </c>
      <c r="B805" t="s">
        <v>953</v>
      </c>
      <c r="C805" t="s">
        <v>446</v>
      </c>
      <c r="D805" t="s">
        <v>3471</v>
      </c>
      <c r="E805" t="s">
        <v>4678</v>
      </c>
      <c r="F805">
        <v>0</v>
      </c>
      <c r="G805">
        <v>0</v>
      </c>
    </row>
    <row r="806" spans="1:7" x14ac:dyDescent="0.2">
      <c r="A806" t="s">
        <v>952</v>
      </c>
      <c r="B806" t="s">
        <v>953</v>
      </c>
      <c r="C806" t="s">
        <v>446</v>
      </c>
      <c r="D806" t="s">
        <v>8</v>
      </c>
      <c r="E806" t="s">
        <v>4679</v>
      </c>
      <c r="F806">
        <v>20.166666666666668</v>
      </c>
      <c r="G806">
        <v>279</v>
      </c>
    </row>
    <row r="807" spans="1:7" x14ac:dyDescent="0.2">
      <c r="A807" t="s">
        <v>952</v>
      </c>
      <c r="B807" t="s">
        <v>953</v>
      </c>
      <c r="C807" t="s">
        <v>446</v>
      </c>
      <c r="D807" t="s">
        <v>3469</v>
      </c>
      <c r="F807">
        <v>0</v>
      </c>
      <c r="G807">
        <v>4</v>
      </c>
    </row>
    <row r="808" spans="1:7" x14ac:dyDescent="0.2">
      <c r="A808" t="s">
        <v>952</v>
      </c>
      <c r="B808" t="s">
        <v>953</v>
      </c>
      <c r="C808" t="s">
        <v>446</v>
      </c>
      <c r="D808" t="s">
        <v>12</v>
      </c>
      <c r="F808">
        <v>8.6666666666666661</v>
      </c>
      <c r="G808">
        <v>173</v>
      </c>
    </row>
    <row r="809" spans="1:7" x14ac:dyDescent="0.2">
      <c r="A809" t="s">
        <v>553</v>
      </c>
      <c r="B809" t="s">
        <v>554</v>
      </c>
      <c r="C809" t="s">
        <v>446</v>
      </c>
      <c r="D809" t="s">
        <v>14</v>
      </c>
      <c r="F809">
        <v>0.16666666666666666</v>
      </c>
      <c r="G809">
        <v>12</v>
      </c>
    </row>
    <row r="810" spans="1:7" x14ac:dyDescent="0.2">
      <c r="A810" t="s">
        <v>553</v>
      </c>
      <c r="B810" t="s">
        <v>554</v>
      </c>
      <c r="C810" t="s">
        <v>446</v>
      </c>
      <c r="D810" t="s">
        <v>3494</v>
      </c>
    </row>
    <row r="811" spans="1:7" x14ac:dyDescent="0.2">
      <c r="A811" t="s">
        <v>553</v>
      </c>
      <c r="B811" t="s">
        <v>554</v>
      </c>
      <c r="C811" t="s">
        <v>446</v>
      </c>
      <c r="D811" t="s">
        <v>10</v>
      </c>
      <c r="E811" t="s">
        <v>4680</v>
      </c>
      <c r="F811">
        <v>0</v>
      </c>
      <c r="G811">
        <v>1</v>
      </c>
    </row>
    <row r="812" spans="1:7" x14ac:dyDescent="0.2">
      <c r="A812" t="s">
        <v>553</v>
      </c>
      <c r="B812" t="s">
        <v>554</v>
      </c>
      <c r="C812" t="s">
        <v>446</v>
      </c>
      <c r="D812" t="s">
        <v>3471</v>
      </c>
      <c r="E812" t="s">
        <v>4681</v>
      </c>
      <c r="F812">
        <v>0</v>
      </c>
      <c r="G812">
        <v>0</v>
      </c>
    </row>
    <row r="813" spans="1:7" x14ac:dyDescent="0.2">
      <c r="A813" t="s">
        <v>553</v>
      </c>
      <c r="B813" t="s">
        <v>554</v>
      </c>
      <c r="C813" t="s">
        <v>446</v>
      </c>
      <c r="D813" t="s">
        <v>8</v>
      </c>
      <c r="E813" t="s">
        <v>4682</v>
      </c>
      <c r="F813">
        <v>91.666666666666671</v>
      </c>
      <c r="G813">
        <v>927</v>
      </c>
    </row>
    <row r="814" spans="1:7" x14ac:dyDescent="0.2">
      <c r="A814" t="s">
        <v>553</v>
      </c>
      <c r="B814" t="s">
        <v>554</v>
      </c>
      <c r="C814" t="s">
        <v>446</v>
      </c>
      <c r="D814" t="s">
        <v>3469</v>
      </c>
      <c r="F814">
        <v>0.16666666666666666</v>
      </c>
      <c r="G814">
        <v>11</v>
      </c>
    </row>
    <row r="815" spans="1:7" x14ac:dyDescent="0.2">
      <c r="A815" t="s">
        <v>553</v>
      </c>
      <c r="B815" t="s">
        <v>554</v>
      </c>
      <c r="C815" t="s">
        <v>446</v>
      </c>
      <c r="D815" t="s">
        <v>12</v>
      </c>
      <c r="F815">
        <v>0.5</v>
      </c>
      <c r="G815">
        <v>1</v>
      </c>
    </row>
    <row r="816" spans="1:7" x14ac:dyDescent="0.2">
      <c r="A816" t="s">
        <v>555</v>
      </c>
      <c r="B816" t="s">
        <v>556</v>
      </c>
      <c r="C816" t="s">
        <v>446</v>
      </c>
      <c r="D816" t="s">
        <v>10</v>
      </c>
      <c r="E816" t="s">
        <v>4683</v>
      </c>
      <c r="F816">
        <v>0</v>
      </c>
      <c r="G816">
        <v>4</v>
      </c>
    </row>
    <row r="817" spans="1:7" x14ac:dyDescent="0.2">
      <c r="A817" t="s">
        <v>555</v>
      </c>
      <c r="B817" t="s">
        <v>556</v>
      </c>
      <c r="C817" t="s">
        <v>446</v>
      </c>
      <c r="D817" t="s">
        <v>3471</v>
      </c>
      <c r="E817" t="s">
        <v>4684</v>
      </c>
      <c r="F817">
        <v>0</v>
      </c>
      <c r="G817">
        <v>0</v>
      </c>
    </row>
    <row r="818" spans="1:7" x14ac:dyDescent="0.2">
      <c r="A818" t="s">
        <v>555</v>
      </c>
      <c r="B818" t="s">
        <v>556</v>
      </c>
      <c r="C818" t="s">
        <v>446</v>
      </c>
      <c r="D818" t="s">
        <v>8</v>
      </c>
      <c r="E818" t="s">
        <v>4685</v>
      </c>
      <c r="F818">
        <v>73.166666666666671</v>
      </c>
      <c r="G818">
        <v>718</v>
      </c>
    </row>
    <row r="819" spans="1:7" x14ac:dyDescent="0.2">
      <c r="A819" t="s">
        <v>555</v>
      </c>
      <c r="B819" t="s">
        <v>556</v>
      </c>
      <c r="C819" t="s">
        <v>446</v>
      </c>
      <c r="D819" t="s">
        <v>3469</v>
      </c>
      <c r="F819">
        <v>0.33333333333333331</v>
      </c>
      <c r="G819">
        <v>4</v>
      </c>
    </row>
    <row r="820" spans="1:7" x14ac:dyDescent="0.2">
      <c r="A820" t="s">
        <v>555</v>
      </c>
      <c r="B820" t="s">
        <v>556</v>
      </c>
      <c r="C820" t="s">
        <v>446</v>
      </c>
      <c r="D820" t="s">
        <v>12</v>
      </c>
      <c r="F820">
        <v>0.16666666666666666</v>
      </c>
      <c r="G820">
        <v>1</v>
      </c>
    </row>
    <row r="821" spans="1:7" x14ac:dyDescent="0.2">
      <c r="A821" t="s">
        <v>4686</v>
      </c>
      <c r="B821" t="s">
        <v>4687</v>
      </c>
      <c r="C821" t="s">
        <v>446</v>
      </c>
      <c r="D821" t="s">
        <v>10</v>
      </c>
      <c r="E821" t="s">
        <v>4688</v>
      </c>
      <c r="F821">
        <v>0</v>
      </c>
      <c r="G821">
        <v>2</v>
      </c>
    </row>
    <row r="822" spans="1:7" x14ac:dyDescent="0.2">
      <c r="A822" t="s">
        <v>4686</v>
      </c>
      <c r="B822" t="s">
        <v>4687</v>
      </c>
      <c r="C822" t="s">
        <v>446</v>
      </c>
      <c r="D822" t="s">
        <v>3469</v>
      </c>
      <c r="F822">
        <v>0</v>
      </c>
      <c r="G822">
        <v>1</v>
      </c>
    </row>
    <row r="823" spans="1:7" x14ac:dyDescent="0.2">
      <c r="A823" t="s">
        <v>4689</v>
      </c>
      <c r="B823" t="s">
        <v>4690</v>
      </c>
      <c r="C823" t="s">
        <v>446</v>
      </c>
      <c r="D823" t="s">
        <v>10</v>
      </c>
      <c r="E823" t="s">
        <v>4691</v>
      </c>
      <c r="F823">
        <v>0.16666666666666666</v>
      </c>
      <c r="G823">
        <v>4</v>
      </c>
    </row>
    <row r="824" spans="1:7" x14ac:dyDescent="0.2">
      <c r="A824" t="s">
        <v>4689</v>
      </c>
      <c r="B824" t="s">
        <v>4690</v>
      </c>
      <c r="C824" t="s">
        <v>446</v>
      </c>
      <c r="D824" t="s">
        <v>3469</v>
      </c>
    </row>
    <row r="825" spans="1:7" x14ac:dyDescent="0.2">
      <c r="A825" t="s">
        <v>841</v>
      </c>
      <c r="B825" t="s">
        <v>842</v>
      </c>
      <c r="C825" t="s">
        <v>446</v>
      </c>
      <c r="D825" t="s">
        <v>10</v>
      </c>
      <c r="E825" t="s">
        <v>4692</v>
      </c>
      <c r="F825">
        <v>1.8333333333333333</v>
      </c>
      <c r="G825">
        <v>44</v>
      </c>
    </row>
    <row r="826" spans="1:7" x14ac:dyDescent="0.2">
      <c r="A826" t="s">
        <v>841</v>
      </c>
      <c r="B826" t="s">
        <v>842</v>
      </c>
      <c r="C826" t="s">
        <v>446</v>
      </c>
      <c r="D826" t="s">
        <v>3471</v>
      </c>
      <c r="E826" t="s">
        <v>4693</v>
      </c>
    </row>
    <row r="827" spans="1:7" x14ac:dyDescent="0.2">
      <c r="A827" t="s">
        <v>841</v>
      </c>
      <c r="B827" t="s">
        <v>842</v>
      </c>
      <c r="C827" t="s">
        <v>446</v>
      </c>
      <c r="D827" t="s">
        <v>3469</v>
      </c>
    </row>
    <row r="828" spans="1:7" x14ac:dyDescent="0.2">
      <c r="A828" t="s">
        <v>841</v>
      </c>
      <c r="B828" t="s">
        <v>842</v>
      </c>
      <c r="C828" t="s">
        <v>446</v>
      </c>
      <c r="D828" t="s">
        <v>12</v>
      </c>
      <c r="F828">
        <v>0.16666666666666666</v>
      </c>
      <c r="G828">
        <v>0</v>
      </c>
    </row>
    <row r="829" spans="1:7" x14ac:dyDescent="0.2">
      <c r="A829" t="s">
        <v>4694</v>
      </c>
      <c r="B829" t="s">
        <v>4695</v>
      </c>
      <c r="C829" t="s">
        <v>446</v>
      </c>
      <c r="D829" t="s">
        <v>10</v>
      </c>
      <c r="E829" t="s">
        <v>4696</v>
      </c>
      <c r="F829">
        <v>0.5</v>
      </c>
      <c r="G829">
        <v>9</v>
      </c>
    </row>
    <row r="830" spans="1:7" x14ac:dyDescent="0.2">
      <c r="A830" t="s">
        <v>4694</v>
      </c>
      <c r="B830" t="s">
        <v>4695</v>
      </c>
      <c r="C830" t="s">
        <v>446</v>
      </c>
      <c r="D830" t="s">
        <v>3471</v>
      </c>
      <c r="E830" t="s">
        <v>4697</v>
      </c>
    </row>
    <row r="831" spans="1:7" x14ac:dyDescent="0.2">
      <c r="A831" t="s">
        <v>4694</v>
      </c>
      <c r="B831" t="s">
        <v>4695</v>
      </c>
      <c r="C831" t="s">
        <v>446</v>
      </c>
      <c r="D831" t="s">
        <v>3469</v>
      </c>
    </row>
    <row r="832" spans="1:7" x14ac:dyDescent="0.2">
      <c r="A832" t="s">
        <v>4694</v>
      </c>
      <c r="B832" t="s">
        <v>4695</v>
      </c>
      <c r="C832" t="s">
        <v>446</v>
      </c>
      <c r="D832" t="s">
        <v>12</v>
      </c>
      <c r="F832">
        <v>0.16666666666666666</v>
      </c>
      <c r="G832">
        <v>0</v>
      </c>
    </row>
    <row r="833" spans="1:7" x14ac:dyDescent="0.2">
      <c r="A833" t="s">
        <v>966</v>
      </c>
      <c r="B833" t="s">
        <v>967</v>
      </c>
      <c r="C833" t="s">
        <v>446</v>
      </c>
      <c r="D833" t="s">
        <v>10</v>
      </c>
      <c r="E833" t="s">
        <v>4698</v>
      </c>
      <c r="F833">
        <v>0.33333333333333331</v>
      </c>
      <c r="G833">
        <v>8</v>
      </c>
    </row>
    <row r="834" spans="1:7" x14ac:dyDescent="0.2">
      <c r="A834" t="s">
        <v>966</v>
      </c>
      <c r="B834" t="s">
        <v>967</v>
      </c>
      <c r="C834" t="s">
        <v>446</v>
      </c>
      <c r="D834" t="s">
        <v>3471</v>
      </c>
      <c r="E834" t="s">
        <v>4699</v>
      </c>
      <c r="F834">
        <v>0</v>
      </c>
      <c r="G834">
        <v>0</v>
      </c>
    </row>
    <row r="835" spans="1:7" x14ac:dyDescent="0.2">
      <c r="A835" t="s">
        <v>966</v>
      </c>
      <c r="B835" t="s">
        <v>967</v>
      </c>
      <c r="C835" t="s">
        <v>446</v>
      </c>
      <c r="D835" t="s">
        <v>8</v>
      </c>
      <c r="E835" t="s">
        <v>4700</v>
      </c>
      <c r="F835">
        <v>1.3333333333333333</v>
      </c>
      <c r="G835">
        <v>8</v>
      </c>
    </row>
    <row r="836" spans="1:7" x14ac:dyDescent="0.2">
      <c r="A836" t="s">
        <v>966</v>
      </c>
      <c r="B836" t="s">
        <v>967</v>
      </c>
      <c r="C836" t="s">
        <v>446</v>
      </c>
      <c r="D836" t="s">
        <v>3469</v>
      </c>
      <c r="F836">
        <v>0.16666666666666666</v>
      </c>
      <c r="G836">
        <v>0</v>
      </c>
    </row>
    <row r="837" spans="1:7" x14ac:dyDescent="0.2">
      <c r="A837" t="s">
        <v>966</v>
      </c>
      <c r="B837" t="s">
        <v>967</v>
      </c>
      <c r="C837" t="s">
        <v>446</v>
      </c>
      <c r="D837" t="s">
        <v>12</v>
      </c>
      <c r="F837">
        <v>0.33333333333333331</v>
      </c>
      <c r="G837">
        <v>0</v>
      </c>
    </row>
    <row r="838" spans="1:7" x14ac:dyDescent="0.2">
      <c r="A838" t="s">
        <v>966</v>
      </c>
      <c r="B838" t="s">
        <v>967</v>
      </c>
      <c r="C838" t="s">
        <v>446</v>
      </c>
      <c r="D838" t="s">
        <v>3484</v>
      </c>
    </row>
    <row r="839" spans="1:7" x14ac:dyDescent="0.2">
      <c r="A839" t="s">
        <v>968</v>
      </c>
      <c r="B839" t="s">
        <v>969</v>
      </c>
      <c r="C839" t="s">
        <v>446</v>
      </c>
      <c r="D839" t="s">
        <v>10</v>
      </c>
      <c r="E839" t="s">
        <v>4701</v>
      </c>
      <c r="F839">
        <v>6.333333333333333</v>
      </c>
      <c r="G839">
        <v>15</v>
      </c>
    </row>
    <row r="840" spans="1:7" x14ac:dyDescent="0.2">
      <c r="A840" t="s">
        <v>968</v>
      </c>
      <c r="B840" t="s">
        <v>969</v>
      </c>
      <c r="C840" t="s">
        <v>446</v>
      </c>
      <c r="D840" t="s">
        <v>3471</v>
      </c>
      <c r="E840" t="s">
        <v>4702</v>
      </c>
      <c r="F840">
        <v>0</v>
      </c>
      <c r="G840">
        <v>0</v>
      </c>
    </row>
    <row r="841" spans="1:7" x14ac:dyDescent="0.2">
      <c r="A841" t="s">
        <v>968</v>
      </c>
      <c r="B841" t="s">
        <v>969</v>
      </c>
      <c r="C841" t="s">
        <v>446</v>
      </c>
      <c r="D841" t="s">
        <v>8</v>
      </c>
      <c r="E841" t="s">
        <v>4703</v>
      </c>
    </row>
    <row r="842" spans="1:7" x14ac:dyDescent="0.2">
      <c r="A842" t="s">
        <v>968</v>
      </c>
      <c r="B842" t="s">
        <v>969</v>
      </c>
      <c r="C842" t="s">
        <v>446</v>
      </c>
      <c r="D842" t="s">
        <v>3469</v>
      </c>
      <c r="F842">
        <v>0</v>
      </c>
      <c r="G842">
        <v>2</v>
      </c>
    </row>
    <row r="843" spans="1:7" x14ac:dyDescent="0.2">
      <c r="A843" t="s">
        <v>968</v>
      </c>
      <c r="B843" t="s">
        <v>969</v>
      </c>
      <c r="C843" t="s">
        <v>446</v>
      </c>
      <c r="D843" t="s">
        <v>12</v>
      </c>
      <c r="F843">
        <v>0.33333333333333331</v>
      </c>
      <c r="G843">
        <v>1</v>
      </c>
    </row>
    <row r="844" spans="1:7" x14ac:dyDescent="0.2">
      <c r="A844" t="s">
        <v>970</v>
      </c>
      <c r="B844" t="s">
        <v>971</v>
      </c>
      <c r="C844" t="s">
        <v>446</v>
      </c>
      <c r="D844" t="s">
        <v>10</v>
      </c>
      <c r="E844" t="s">
        <v>4704</v>
      </c>
      <c r="F844">
        <v>1.8333333333333333</v>
      </c>
      <c r="G844">
        <v>12</v>
      </c>
    </row>
    <row r="845" spans="1:7" x14ac:dyDescent="0.2">
      <c r="A845" t="s">
        <v>970</v>
      </c>
      <c r="B845" t="s">
        <v>971</v>
      </c>
      <c r="C845" t="s">
        <v>446</v>
      </c>
      <c r="D845" t="s">
        <v>3471</v>
      </c>
      <c r="E845" t="s">
        <v>4705</v>
      </c>
    </row>
    <row r="846" spans="1:7" x14ac:dyDescent="0.2">
      <c r="A846" t="s">
        <v>970</v>
      </c>
      <c r="B846" t="s">
        <v>971</v>
      </c>
      <c r="C846" t="s">
        <v>446</v>
      </c>
      <c r="D846" t="s">
        <v>8</v>
      </c>
      <c r="E846" t="s">
        <v>4706</v>
      </c>
    </row>
    <row r="847" spans="1:7" x14ac:dyDescent="0.2">
      <c r="A847" t="s">
        <v>970</v>
      </c>
      <c r="B847" t="s">
        <v>971</v>
      </c>
      <c r="C847" t="s">
        <v>446</v>
      </c>
      <c r="D847" t="s">
        <v>3469</v>
      </c>
      <c r="F847">
        <v>0</v>
      </c>
      <c r="G847">
        <v>3</v>
      </c>
    </row>
    <row r="848" spans="1:7" x14ac:dyDescent="0.2">
      <c r="A848" t="s">
        <v>970</v>
      </c>
      <c r="B848" t="s">
        <v>971</v>
      </c>
      <c r="C848" t="s">
        <v>446</v>
      </c>
      <c r="D848" t="s">
        <v>12</v>
      </c>
    </row>
    <row r="849" spans="1:7" x14ac:dyDescent="0.2">
      <c r="A849" t="s">
        <v>737</v>
      </c>
      <c r="B849" t="s">
        <v>738</v>
      </c>
      <c r="C849" t="s">
        <v>446</v>
      </c>
      <c r="D849" t="s">
        <v>13</v>
      </c>
      <c r="F849">
        <v>2.3333333333333335</v>
      </c>
      <c r="G849">
        <v>77</v>
      </c>
    </row>
    <row r="850" spans="1:7" x14ac:dyDescent="0.2">
      <c r="A850" t="s">
        <v>737</v>
      </c>
      <c r="B850" t="s">
        <v>738</v>
      </c>
      <c r="C850" t="s">
        <v>446</v>
      </c>
      <c r="D850" t="s">
        <v>3471</v>
      </c>
      <c r="E850" t="s">
        <v>4707</v>
      </c>
      <c r="F850">
        <v>0</v>
      </c>
      <c r="G850">
        <v>0</v>
      </c>
    </row>
    <row r="851" spans="1:7" x14ac:dyDescent="0.2">
      <c r="A851" t="s">
        <v>737</v>
      </c>
      <c r="B851" t="s">
        <v>738</v>
      </c>
      <c r="C851" t="s">
        <v>446</v>
      </c>
      <c r="D851" t="s">
        <v>8</v>
      </c>
      <c r="E851" t="s">
        <v>4708</v>
      </c>
      <c r="F851">
        <v>95.166666666666671</v>
      </c>
      <c r="G851">
        <v>516</v>
      </c>
    </row>
    <row r="852" spans="1:7" x14ac:dyDescent="0.2">
      <c r="A852" t="s">
        <v>737</v>
      </c>
      <c r="B852" t="s">
        <v>738</v>
      </c>
      <c r="C852" t="s">
        <v>446</v>
      </c>
      <c r="D852" t="s">
        <v>12</v>
      </c>
      <c r="F852">
        <v>0.16666666666666666</v>
      </c>
      <c r="G852">
        <v>1</v>
      </c>
    </row>
    <row r="853" spans="1:7" x14ac:dyDescent="0.2">
      <c r="A853" t="s">
        <v>739</v>
      </c>
      <c r="B853" t="s">
        <v>740</v>
      </c>
      <c r="C853" t="s">
        <v>446</v>
      </c>
      <c r="D853" t="s">
        <v>3471</v>
      </c>
      <c r="E853" t="s">
        <v>4709</v>
      </c>
      <c r="F853">
        <v>0</v>
      </c>
      <c r="G853">
        <v>0</v>
      </c>
    </row>
    <row r="854" spans="1:7" x14ac:dyDescent="0.2">
      <c r="A854" t="s">
        <v>739</v>
      </c>
      <c r="B854" t="s">
        <v>740</v>
      </c>
      <c r="C854" t="s">
        <v>446</v>
      </c>
      <c r="D854" t="s">
        <v>8</v>
      </c>
      <c r="E854" t="s">
        <v>4710</v>
      </c>
      <c r="F854">
        <v>52.5</v>
      </c>
      <c r="G854">
        <v>350</v>
      </c>
    </row>
    <row r="855" spans="1:7" x14ac:dyDescent="0.2">
      <c r="A855" t="s">
        <v>739</v>
      </c>
      <c r="B855" t="s">
        <v>740</v>
      </c>
      <c r="C855" t="s">
        <v>446</v>
      </c>
      <c r="D855" t="s">
        <v>12</v>
      </c>
      <c r="F855">
        <v>0.83333333333333337</v>
      </c>
      <c r="G855">
        <v>8</v>
      </c>
    </row>
    <row r="856" spans="1:7" x14ac:dyDescent="0.2">
      <c r="A856" t="s">
        <v>729</v>
      </c>
      <c r="B856" t="s">
        <v>730</v>
      </c>
      <c r="C856" t="s">
        <v>446</v>
      </c>
      <c r="D856" t="s">
        <v>3471</v>
      </c>
      <c r="E856" t="s">
        <v>4711</v>
      </c>
      <c r="F856">
        <v>0</v>
      </c>
      <c r="G856">
        <v>0</v>
      </c>
    </row>
    <row r="857" spans="1:7" x14ac:dyDescent="0.2">
      <c r="A857" t="s">
        <v>729</v>
      </c>
      <c r="B857" t="s">
        <v>730</v>
      </c>
      <c r="C857" t="s">
        <v>446</v>
      </c>
      <c r="D857" t="s">
        <v>8</v>
      </c>
      <c r="E857" t="s">
        <v>4712</v>
      </c>
      <c r="F857">
        <v>56.5</v>
      </c>
      <c r="G857">
        <v>723</v>
      </c>
    </row>
    <row r="858" spans="1:7" x14ac:dyDescent="0.2">
      <c r="A858" t="s">
        <v>729</v>
      </c>
      <c r="B858" t="s">
        <v>730</v>
      </c>
      <c r="C858" t="s">
        <v>446</v>
      </c>
      <c r="D858" t="s">
        <v>12</v>
      </c>
      <c r="F858">
        <v>0</v>
      </c>
      <c r="G858">
        <v>1</v>
      </c>
    </row>
    <row r="859" spans="1:7" x14ac:dyDescent="0.2">
      <c r="A859" t="s">
        <v>727</v>
      </c>
      <c r="B859" t="s">
        <v>728</v>
      </c>
      <c r="C859" t="s">
        <v>446</v>
      </c>
      <c r="D859" t="s">
        <v>3471</v>
      </c>
      <c r="E859" t="s">
        <v>4713</v>
      </c>
      <c r="F859">
        <v>0.16666666666666666</v>
      </c>
      <c r="G859">
        <v>0</v>
      </c>
    </row>
    <row r="860" spans="1:7" x14ac:dyDescent="0.2">
      <c r="A860" t="s">
        <v>727</v>
      </c>
      <c r="B860" t="s">
        <v>728</v>
      </c>
      <c r="C860" t="s">
        <v>446</v>
      </c>
      <c r="D860" t="s">
        <v>8</v>
      </c>
      <c r="E860" t="s">
        <v>4714</v>
      </c>
      <c r="F860">
        <v>107.33333333333333</v>
      </c>
      <c r="G860">
        <v>895</v>
      </c>
    </row>
    <row r="861" spans="1:7" x14ac:dyDescent="0.2">
      <c r="A861" t="s">
        <v>727</v>
      </c>
      <c r="B861" t="s">
        <v>728</v>
      </c>
      <c r="C861" t="s">
        <v>446</v>
      </c>
      <c r="D861" t="s">
        <v>12</v>
      </c>
      <c r="F861">
        <v>-0.16666666666666666</v>
      </c>
      <c r="G861">
        <v>13</v>
      </c>
    </row>
    <row r="862" spans="1:7" x14ac:dyDescent="0.2">
      <c r="A862" t="s">
        <v>731</v>
      </c>
      <c r="B862" t="s">
        <v>732</v>
      </c>
      <c r="C862" t="s">
        <v>446</v>
      </c>
      <c r="D862" t="s">
        <v>3471</v>
      </c>
      <c r="E862" t="s">
        <v>4715</v>
      </c>
      <c r="F862">
        <v>0</v>
      </c>
      <c r="G862">
        <v>0</v>
      </c>
    </row>
    <row r="863" spans="1:7" x14ac:dyDescent="0.2">
      <c r="A863" t="s">
        <v>731</v>
      </c>
      <c r="B863" t="s">
        <v>732</v>
      </c>
      <c r="C863" t="s">
        <v>446</v>
      </c>
      <c r="D863" t="s">
        <v>8</v>
      </c>
      <c r="E863" t="s">
        <v>4716</v>
      </c>
      <c r="F863">
        <v>51</v>
      </c>
      <c r="G863">
        <v>577</v>
      </c>
    </row>
    <row r="864" spans="1:7" x14ac:dyDescent="0.2">
      <c r="A864" t="s">
        <v>731</v>
      </c>
      <c r="B864" t="s">
        <v>732</v>
      </c>
      <c r="C864" t="s">
        <v>446</v>
      </c>
      <c r="D864" t="s">
        <v>12</v>
      </c>
      <c r="F864">
        <v>3.8333333333333335</v>
      </c>
      <c r="G864">
        <v>42</v>
      </c>
    </row>
    <row r="865" spans="1:7" x14ac:dyDescent="0.2">
      <c r="A865" t="s">
        <v>747</v>
      </c>
      <c r="B865" t="s">
        <v>748</v>
      </c>
      <c r="C865" t="s">
        <v>446</v>
      </c>
      <c r="D865" t="s">
        <v>3471</v>
      </c>
      <c r="E865" t="s">
        <v>4717</v>
      </c>
      <c r="F865">
        <v>0</v>
      </c>
      <c r="G865">
        <v>0</v>
      </c>
    </row>
    <row r="866" spans="1:7" x14ac:dyDescent="0.2">
      <c r="A866" t="s">
        <v>747</v>
      </c>
      <c r="B866" t="s">
        <v>748</v>
      </c>
      <c r="C866" t="s">
        <v>446</v>
      </c>
      <c r="D866" t="s">
        <v>8</v>
      </c>
      <c r="E866" t="s">
        <v>4718</v>
      </c>
      <c r="F866">
        <v>111.83333333333333</v>
      </c>
      <c r="G866">
        <v>528</v>
      </c>
    </row>
    <row r="867" spans="1:7" x14ac:dyDescent="0.2">
      <c r="A867" t="s">
        <v>747</v>
      </c>
      <c r="B867" t="s">
        <v>748</v>
      </c>
      <c r="C867" t="s">
        <v>446</v>
      </c>
      <c r="D867" t="s">
        <v>3469</v>
      </c>
      <c r="F867">
        <v>0</v>
      </c>
      <c r="G867">
        <v>1</v>
      </c>
    </row>
    <row r="868" spans="1:7" x14ac:dyDescent="0.2">
      <c r="A868" t="s">
        <v>747</v>
      </c>
      <c r="B868" t="s">
        <v>748</v>
      </c>
      <c r="C868" t="s">
        <v>446</v>
      </c>
      <c r="D868" t="s">
        <v>12</v>
      </c>
      <c r="F868">
        <v>0.16666666666666666</v>
      </c>
      <c r="G868">
        <v>4</v>
      </c>
    </row>
    <row r="869" spans="1:7" x14ac:dyDescent="0.2">
      <c r="A869" t="s">
        <v>749</v>
      </c>
      <c r="B869" t="s">
        <v>750</v>
      </c>
      <c r="C869" t="s">
        <v>446</v>
      </c>
      <c r="D869" t="s">
        <v>10</v>
      </c>
      <c r="E869" t="s">
        <v>4719</v>
      </c>
    </row>
    <row r="870" spans="1:7" x14ac:dyDescent="0.2">
      <c r="A870" t="s">
        <v>749</v>
      </c>
      <c r="B870" t="s">
        <v>750</v>
      </c>
      <c r="C870" t="s">
        <v>446</v>
      </c>
      <c r="D870" t="s">
        <v>3471</v>
      </c>
      <c r="E870" t="s">
        <v>4720</v>
      </c>
      <c r="F870">
        <v>0</v>
      </c>
      <c r="G870">
        <v>0</v>
      </c>
    </row>
    <row r="871" spans="1:7" x14ac:dyDescent="0.2">
      <c r="A871" t="s">
        <v>749</v>
      </c>
      <c r="B871" t="s">
        <v>750</v>
      </c>
      <c r="C871" t="s">
        <v>446</v>
      </c>
      <c r="D871" t="s">
        <v>8</v>
      </c>
      <c r="E871" t="s">
        <v>4721</v>
      </c>
      <c r="F871">
        <v>95.166666666666671</v>
      </c>
      <c r="G871">
        <v>602</v>
      </c>
    </row>
    <row r="872" spans="1:7" x14ac:dyDescent="0.2">
      <c r="A872" t="s">
        <v>749</v>
      </c>
      <c r="B872" t="s">
        <v>750</v>
      </c>
      <c r="C872" t="s">
        <v>446</v>
      </c>
      <c r="D872" t="s">
        <v>12</v>
      </c>
      <c r="F872">
        <v>-0.33333333333333331</v>
      </c>
      <c r="G872">
        <v>4</v>
      </c>
    </row>
    <row r="873" spans="1:7" x14ac:dyDescent="0.2">
      <c r="A873" t="s">
        <v>725</v>
      </c>
      <c r="B873" t="s">
        <v>726</v>
      </c>
      <c r="C873" t="s">
        <v>446</v>
      </c>
      <c r="D873" t="s">
        <v>3471</v>
      </c>
      <c r="E873" t="s">
        <v>4722</v>
      </c>
      <c r="F873">
        <v>0</v>
      </c>
      <c r="G873">
        <v>0</v>
      </c>
    </row>
    <row r="874" spans="1:7" x14ac:dyDescent="0.2">
      <c r="A874" t="s">
        <v>725</v>
      </c>
      <c r="B874" t="s">
        <v>726</v>
      </c>
      <c r="C874" t="s">
        <v>446</v>
      </c>
      <c r="D874" t="s">
        <v>8</v>
      </c>
      <c r="E874" t="s">
        <v>4723</v>
      </c>
      <c r="F874">
        <v>101.33333333333333</v>
      </c>
      <c r="G874">
        <v>1318</v>
      </c>
    </row>
    <row r="875" spans="1:7" x14ac:dyDescent="0.2">
      <c r="A875" t="s">
        <v>803</v>
      </c>
      <c r="B875" t="s">
        <v>804</v>
      </c>
      <c r="C875" t="s">
        <v>446</v>
      </c>
      <c r="D875" t="s">
        <v>13</v>
      </c>
      <c r="F875">
        <v>1.5</v>
      </c>
      <c r="G875">
        <v>90</v>
      </c>
    </row>
    <row r="876" spans="1:7" x14ac:dyDescent="0.2">
      <c r="A876" t="s">
        <v>803</v>
      </c>
      <c r="B876" t="s">
        <v>804</v>
      </c>
      <c r="C876" t="s">
        <v>446</v>
      </c>
      <c r="D876" t="s">
        <v>10</v>
      </c>
      <c r="E876" t="s">
        <v>4724</v>
      </c>
      <c r="F876">
        <v>76.333333333333329</v>
      </c>
      <c r="G876">
        <v>318</v>
      </c>
    </row>
    <row r="877" spans="1:7" x14ac:dyDescent="0.2">
      <c r="A877" t="s">
        <v>803</v>
      </c>
      <c r="B877" t="s">
        <v>804</v>
      </c>
      <c r="C877" t="s">
        <v>446</v>
      </c>
      <c r="D877" t="s">
        <v>3471</v>
      </c>
      <c r="E877" t="s">
        <v>8539</v>
      </c>
      <c r="F877">
        <v>0</v>
      </c>
      <c r="G877">
        <v>0</v>
      </c>
    </row>
    <row r="878" spans="1:7" x14ac:dyDescent="0.2">
      <c r="A878" t="s">
        <v>805</v>
      </c>
      <c r="B878" t="s">
        <v>806</v>
      </c>
      <c r="C878" t="s">
        <v>446</v>
      </c>
      <c r="D878" t="s">
        <v>13</v>
      </c>
      <c r="F878">
        <v>0.33333333333333331</v>
      </c>
      <c r="G878">
        <v>63</v>
      </c>
    </row>
    <row r="879" spans="1:7" x14ac:dyDescent="0.2">
      <c r="A879" t="s">
        <v>805</v>
      </c>
      <c r="B879" t="s">
        <v>806</v>
      </c>
      <c r="C879" t="s">
        <v>446</v>
      </c>
      <c r="D879" t="s">
        <v>10</v>
      </c>
      <c r="E879" t="s">
        <v>4725</v>
      </c>
      <c r="F879">
        <v>55</v>
      </c>
      <c r="G879">
        <v>514</v>
      </c>
    </row>
    <row r="880" spans="1:7" x14ac:dyDescent="0.2">
      <c r="A880" t="s">
        <v>805</v>
      </c>
      <c r="B880" t="s">
        <v>806</v>
      </c>
      <c r="C880" t="s">
        <v>446</v>
      </c>
      <c r="D880" t="s">
        <v>3471</v>
      </c>
      <c r="E880" t="s">
        <v>8540</v>
      </c>
      <c r="F880">
        <v>0</v>
      </c>
      <c r="G880">
        <v>0</v>
      </c>
    </row>
    <row r="881" spans="1:7" x14ac:dyDescent="0.2">
      <c r="A881" t="s">
        <v>715</v>
      </c>
      <c r="B881" t="s">
        <v>716</v>
      </c>
      <c r="C881" t="s">
        <v>446</v>
      </c>
      <c r="D881" t="s">
        <v>10</v>
      </c>
      <c r="E881" t="s">
        <v>4726</v>
      </c>
      <c r="F881">
        <v>66.833333333333329</v>
      </c>
      <c r="G881">
        <v>507</v>
      </c>
    </row>
    <row r="882" spans="1:7" x14ac:dyDescent="0.2">
      <c r="A882" t="s">
        <v>715</v>
      </c>
      <c r="B882" t="s">
        <v>716</v>
      </c>
      <c r="C882" t="s">
        <v>446</v>
      </c>
      <c r="D882" t="s">
        <v>3471</v>
      </c>
      <c r="E882" t="s">
        <v>8541</v>
      </c>
      <c r="F882">
        <v>0</v>
      </c>
      <c r="G882">
        <v>0</v>
      </c>
    </row>
    <row r="883" spans="1:7" x14ac:dyDescent="0.2">
      <c r="A883" t="s">
        <v>717</v>
      </c>
      <c r="B883" t="s">
        <v>718</v>
      </c>
      <c r="C883" t="s">
        <v>446</v>
      </c>
      <c r="D883" t="s">
        <v>10</v>
      </c>
      <c r="E883" t="s">
        <v>4727</v>
      </c>
      <c r="F883">
        <v>41.5</v>
      </c>
      <c r="G883">
        <v>473</v>
      </c>
    </row>
    <row r="884" spans="1:7" x14ac:dyDescent="0.2">
      <c r="A884" t="s">
        <v>717</v>
      </c>
      <c r="B884" t="s">
        <v>718</v>
      </c>
      <c r="C884" t="s">
        <v>446</v>
      </c>
      <c r="D884" t="s">
        <v>3471</v>
      </c>
      <c r="E884" t="s">
        <v>8542</v>
      </c>
      <c r="F884">
        <v>0</v>
      </c>
      <c r="G884">
        <v>0</v>
      </c>
    </row>
    <row r="885" spans="1:7" x14ac:dyDescent="0.2">
      <c r="A885" t="s">
        <v>753</v>
      </c>
      <c r="B885" t="s">
        <v>754</v>
      </c>
      <c r="C885" t="s">
        <v>446</v>
      </c>
      <c r="D885" t="s">
        <v>10</v>
      </c>
      <c r="E885" t="s">
        <v>4728</v>
      </c>
      <c r="F885">
        <v>20.666666666666668</v>
      </c>
      <c r="G885">
        <v>397</v>
      </c>
    </row>
    <row r="886" spans="1:7" x14ac:dyDescent="0.2">
      <c r="A886" t="s">
        <v>753</v>
      </c>
      <c r="B886" t="s">
        <v>754</v>
      </c>
      <c r="C886" t="s">
        <v>446</v>
      </c>
      <c r="D886" t="s">
        <v>3471</v>
      </c>
      <c r="E886" t="s">
        <v>8543</v>
      </c>
      <c r="F886">
        <v>0</v>
      </c>
      <c r="G886">
        <v>0</v>
      </c>
    </row>
    <row r="887" spans="1:7" x14ac:dyDescent="0.2">
      <c r="A887" t="s">
        <v>799</v>
      </c>
      <c r="B887" t="s">
        <v>800</v>
      </c>
      <c r="C887" t="s">
        <v>446</v>
      </c>
      <c r="D887" t="s">
        <v>10</v>
      </c>
      <c r="E887" t="s">
        <v>4729</v>
      </c>
      <c r="F887">
        <v>41</v>
      </c>
      <c r="G887">
        <v>493</v>
      </c>
    </row>
    <row r="888" spans="1:7" x14ac:dyDescent="0.2">
      <c r="A888" t="s">
        <v>799</v>
      </c>
      <c r="B888" t="s">
        <v>800</v>
      </c>
      <c r="C888" t="s">
        <v>446</v>
      </c>
      <c r="D888" t="s">
        <v>3471</v>
      </c>
      <c r="E888" t="s">
        <v>8544</v>
      </c>
      <c r="F888">
        <v>0</v>
      </c>
      <c r="G888">
        <v>0</v>
      </c>
    </row>
    <row r="889" spans="1:7" x14ac:dyDescent="0.2">
      <c r="A889" t="s">
        <v>799</v>
      </c>
      <c r="B889" t="s">
        <v>800</v>
      </c>
      <c r="C889" t="s">
        <v>446</v>
      </c>
      <c r="D889" t="s">
        <v>8</v>
      </c>
      <c r="E889" t="s">
        <v>4730</v>
      </c>
      <c r="F889">
        <v>17.833333333333332</v>
      </c>
      <c r="G889">
        <v>273</v>
      </c>
    </row>
    <row r="890" spans="1:7" x14ac:dyDescent="0.2">
      <c r="A890" t="s">
        <v>799</v>
      </c>
      <c r="B890" t="s">
        <v>800</v>
      </c>
      <c r="C890" t="s">
        <v>446</v>
      </c>
      <c r="D890" t="s">
        <v>12</v>
      </c>
      <c r="F890">
        <v>4.333333333333333</v>
      </c>
      <c r="G890">
        <v>138</v>
      </c>
    </row>
    <row r="891" spans="1:7" x14ac:dyDescent="0.2">
      <c r="A891" t="s">
        <v>873</v>
      </c>
      <c r="B891" t="s">
        <v>874</v>
      </c>
      <c r="C891" t="s">
        <v>446</v>
      </c>
      <c r="D891" t="s">
        <v>10</v>
      </c>
      <c r="E891" t="s">
        <v>8944</v>
      </c>
      <c r="F891">
        <v>59.166666666666664</v>
      </c>
      <c r="G891">
        <v>704</v>
      </c>
    </row>
    <row r="892" spans="1:7" x14ac:dyDescent="0.2">
      <c r="A892" t="s">
        <v>875</v>
      </c>
      <c r="B892" t="s">
        <v>876</v>
      </c>
      <c r="C892" t="s">
        <v>446</v>
      </c>
      <c r="D892" t="s">
        <v>10</v>
      </c>
      <c r="E892" t="s">
        <v>8945</v>
      </c>
      <c r="F892">
        <v>35.333333333333336</v>
      </c>
      <c r="G892">
        <v>577</v>
      </c>
    </row>
    <row r="893" spans="1:7" x14ac:dyDescent="0.2">
      <c r="A893" t="s">
        <v>861</v>
      </c>
      <c r="B893" t="s">
        <v>862</v>
      </c>
      <c r="C893" t="s">
        <v>446</v>
      </c>
      <c r="D893" t="s">
        <v>10</v>
      </c>
      <c r="E893" t="s">
        <v>8946</v>
      </c>
      <c r="F893">
        <v>51</v>
      </c>
      <c r="G893">
        <v>473</v>
      </c>
    </row>
    <row r="894" spans="1:7" x14ac:dyDescent="0.2">
      <c r="A894" t="s">
        <v>863</v>
      </c>
      <c r="B894" t="s">
        <v>864</v>
      </c>
      <c r="C894" t="s">
        <v>446</v>
      </c>
      <c r="D894" t="s">
        <v>10</v>
      </c>
      <c r="E894" t="s">
        <v>8947</v>
      </c>
      <c r="F894">
        <v>36.333333333333336</v>
      </c>
      <c r="G894">
        <v>476</v>
      </c>
    </row>
    <row r="895" spans="1:7" x14ac:dyDescent="0.2">
      <c r="A895" t="s">
        <v>869</v>
      </c>
      <c r="B895" t="s">
        <v>870</v>
      </c>
      <c r="C895" t="s">
        <v>446</v>
      </c>
      <c r="D895" t="s">
        <v>10</v>
      </c>
      <c r="E895" t="s">
        <v>8948</v>
      </c>
      <c r="F895">
        <v>41.833333333333336</v>
      </c>
      <c r="G895">
        <v>495</v>
      </c>
    </row>
    <row r="896" spans="1:7" x14ac:dyDescent="0.2">
      <c r="A896" t="s">
        <v>865</v>
      </c>
      <c r="B896" t="s">
        <v>866</v>
      </c>
      <c r="C896" t="s">
        <v>446</v>
      </c>
      <c r="D896" t="s">
        <v>10</v>
      </c>
      <c r="E896" t="s">
        <v>8949</v>
      </c>
      <c r="F896">
        <v>119</v>
      </c>
      <c r="G896">
        <v>369</v>
      </c>
    </row>
    <row r="897" spans="1:7" x14ac:dyDescent="0.2">
      <c r="A897" t="s">
        <v>867</v>
      </c>
      <c r="B897" t="s">
        <v>868</v>
      </c>
      <c r="C897" t="s">
        <v>446</v>
      </c>
      <c r="D897" t="s">
        <v>10</v>
      </c>
      <c r="E897" t="s">
        <v>8950</v>
      </c>
      <c r="F897">
        <v>86.666666666666671</v>
      </c>
      <c r="G897">
        <v>460</v>
      </c>
    </row>
    <row r="898" spans="1:7" x14ac:dyDescent="0.2">
      <c r="A898" t="s">
        <v>4731</v>
      </c>
      <c r="B898" t="s">
        <v>4732</v>
      </c>
      <c r="C898" t="s">
        <v>446</v>
      </c>
      <c r="D898" t="s">
        <v>8</v>
      </c>
      <c r="E898" t="s">
        <v>4733</v>
      </c>
    </row>
    <row r="899" spans="1:7" x14ac:dyDescent="0.2">
      <c r="A899" t="s">
        <v>4734</v>
      </c>
      <c r="B899" t="s">
        <v>4735</v>
      </c>
      <c r="C899" t="s">
        <v>446</v>
      </c>
      <c r="D899" t="s">
        <v>8</v>
      </c>
      <c r="E899" t="s">
        <v>4736</v>
      </c>
    </row>
    <row r="900" spans="1:7" x14ac:dyDescent="0.2">
      <c r="A900" t="s">
        <v>4737</v>
      </c>
      <c r="B900" t="s">
        <v>4738</v>
      </c>
      <c r="C900" t="s">
        <v>446</v>
      </c>
      <c r="D900" t="s">
        <v>8</v>
      </c>
      <c r="E900" t="s">
        <v>4739</v>
      </c>
    </row>
    <row r="901" spans="1:7" x14ac:dyDescent="0.2">
      <c r="A901" t="s">
        <v>4737</v>
      </c>
      <c r="B901" t="s">
        <v>4738</v>
      </c>
      <c r="C901" t="s">
        <v>446</v>
      </c>
      <c r="D901" t="s">
        <v>3484</v>
      </c>
    </row>
    <row r="902" spans="1:7" x14ac:dyDescent="0.2">
      <c r="A902" t="s">
        <v>447</v>
      </c>
      <c r="B902" t="s">
        <v>448</v>
      </c>
      <c r="C902" t="s">
        <v>446</v>
      </c>
      <c r="D902" t="s">
        <v>12</v>
      </c>
      <c r="F902">
        <v>12.833333333333334</v>
      </c>
      <c r="G902">
        <v>339</v>
      </c>
    </row>
    <row r="903" spans="1:7" x14ac:dyDescent="0.2">
      <c r="A903" t="s">
        <v>4740</v>
      </c>
      <c r="B903" t="s">
        <v>4741</v>
      </c>
      <c r="C903" t="s">
        <v>446</v>
      </c>
      <c r="D903" t="s">
        <v>12</v>
      </c>
    </row>
    <row r="904" spans="1:7" x14ac:dyDescent="0.2">
      <c r="A904" t="s">
        <v>4742</v>
      </c>
      <c r="B904" t="s">
        <v>4743</v>
      </c>
      <c r="C904" t="s">
        <v>446</v>
      </c>
      <c r="D904" t="s">
        <v>12</v>
      </c>
    </row>
    <row r="905" spans="1:7" x14ac:dyDescent="0.2">
      <c r="A905" t="s">
        <v>491</v>
      </c>
      <c r="B905" t="s">
        <v>492</v>
      </c>
      <c r="C905" t="s">
        <v>446</v>
      </c>
      <c r="D905" t="s">
        <v>3471</v>
      </c>
      <c r="E905" t="s">
        <v>8545</v>
      </c>
      <c r="F905">
        <v>0</v>
      </c>
      <c r="G905">
        <v>0</v>
      </c>
    </row>
    <row r="906" spans="1:7" x14ac:dyDescent="0.2">
      <c r="A906" t="s">
        <v>491</v>
      </c>
      <c r="B906" t="s">
        <v>492</v>
      </c>
      <c r="C906" t="s">
        <v>446</v>
      </c>
      <c r="D906" t="s">
        <v>8</v>
      </c>
      <c r="E906" t="s">
        <v>4744</v>
      </c>
      <c r="F906">
        <v>19.666666666666668</v>
      </c>
      <c r="G906">
        <v>439</v>
      </c>
    </row>
    <row r="907" spans="1:7" x14ac:dyDescent="0.2">
      <c r="A907" t="s">
        <v>493</v>
      </c>
      <c r="B907" t="s">
        <v>494</v>
      </c>
      <c r="C907" t="s">
        <v>446</v>
      </c>
      <c r="D907" t="s">
        <v>3471</v>
      </c>
      <c r="E907" t="s">
        <v>8546</v>
      </c>
      <c r="F907">
        <v>0</v>
      </c>
      <c r="G907">
        <v>0</v>
      </c>
    </row>
    <row r="908" spans="1:7" x14ac:dyDescent="0.2">
      <c r="A908" t="s">
        <v>493</v>
      </c>
      <c r="B908" t="s">
        <v>494</v>
      </c>
      <c r="C908" t="s">
        <v>446</v>
      </c>
      <c r="D908" t="s">
        <v>8</v>
      </c>
      <c r="E908" t="s">
        <v>4745</v>
      </c>
      <c r="F908">
        <v>16</v>
      </c>
      <c r="G908">
        <v>529</v>
      </c>
    </row>
    <row r="909" spans="1:7" x14ac:dyDescent="0.2">
      <c r="A909" t="s">
        <v>479</v>
      </c>
      <c r="B909" t="s">
        <v>480</v>
      </c>
      <c r="C909" t="s">
        <v>446</v>
      </c>
      <c r="D909" t="s">
        <v>3471</v>
      </c>
      <c r="E909" t="s">
        <v>4746</v>
      </c>
    </row>
    <row r="910" spans="1:7" x14ac:dyDescent="0.2">
      <c r="A910" t="s">
        <v>479</v>
      </c>
      <c r="B910" t="s">
        <v>480</v>
      </c>
      <c r="C910" t="s">
        <v>446</v>
      </c>
      <c r="D910" t="s">
        <v>8</v>
      </c>
      <c r="E910" t="s">
        <v>4747</v>
      </c>
      <c r="F910">
        <v>14.333333333333334</v>
      </c>
      <c r="G910">
        <v>62</v>
      </c>
    </row>
    <row r="911" spans="1:7" x14ac:dyDescent="0.2">
      <c r="A911" t="s">
        <v>479</v>
      </c>
      <c r="B911" t="s">
        <v>480</v>
      </c>
      <c r="C911" t="s">
        <v>446</v>
      </c>
      <c r="D911" t="s">
        <v>12</v>
      </c>
      <c r="F911">
        <v>4</v>
      </c>
      <c r="G911">
        <v>34</v>
      </c>
    </row>
    <row r="912" spans="1:7" x14ac:dyDescent="0.2">
      <c r="A912" t="s">
        <v>481</v>
      </c>
      <c r="B912" t="s">
        <v>482</v>
      </c>
      <c r="C912" t="s">
        <v>446</v>
      </c>
      <c r="D912" t="s">
        <v>3471</v>
      </c>
      <c r="E912" t="s">
        <v>4748</v>
      </c>
    </row>
    <row r="913" spans="1:7" x14ac:dyDescent="0.2">
      <c r="A913" t="s">
        <v>481</v>
      </c>
      <c r="B913" t="s">
        <v>482</v>
      </c>
      <c r="C913" t="s">
        <v>446</v>
      </c>
      <c r="D913" t="s">
        <v>8</v>
      </c>
      <c r="E913" t="s">
        <v>4749</v>
      </c>
      <c r="F913">
        <v>12.166666666666666</v>
      </c>
      <c r="G913">
        <v>40</v>
      </c>
    </row>
    <row r="914" spans="1:7" x14ac:dyDescent="0.2">
      <c r="A914" t="s">
        <v>481</v>
      </c>
      <c r="B914" t="s">
        <v>482</v>
      </c>
      <c r="C914" t="s">
        <v>446</v>
      </c>
      <c r="D914" t="s">
        <v>12</v>
      </c>
      <c r="F914">
        <v>13.333333333333334</v>
      </c>
      <c r="G914">
        <v>4</v>
      </c>
    </row>
    <row r="915" spans="1:7" x14ac:dyDescent="0.2">
      <c r="A915" t="s">
        <v>699</v>
      </c>
      <c r="B915" t="s">
        <v>700</v>
      </c>
      <c r="C915" t="s">
        <v>446</v>
      </c>
      <c r="D915" t="s">
        <v>3471</v>
      </c>
      <c r="E915" t="s">
        <v>8547</v>
      </c>
      <c r="F915">
        <v>0</v>
      </c>
      <c r="G915">
        <v>0</v>
      </c>
    </row>
    <row r="916" spans="1:7" x14ac:dyDescent="0.2">
      <c r="A916" t="s">
        <v>699</v>
      </c>
      <c r="B916" t="s">
        <v>700</v>
      </c>
      <c r="C916" t="s">
        <v>446</v>
      </c>
      <c r="D916" t="s">
        <v>8</v>
      </c>
      <c r="E916" t="s">
        <v>4750</v>
      </c>
      <c r="F916">
        <v>121.16666666666667</v>
      </c>
      <c r="G916">
        <v>549</v>
      </c>
    </row>
    <row r="917" spans="1:7" x14ac:dyDescent="0.2">
      <c r="A917" t="s">
        <v>703</v>
      </c>
      <c r="B917" t="s">
        <v>704</v>
      </c>
      <c r="C917" t="s">
        <v>446</v>
      </c>
      <c r="D917" t="s">
        <v>3471</v>
      </c>
      <c r="E917" t="s">
        <v>8548</v>
      </c>
      <c r="F917">
        <v>0</v>
      </c>
      <c r="G917">
        <v>0</v>
      </c>
    </row>
    <row r="918" spans="1:7" x14ac:dyDescent="0.2">
      <c r="A918" t="s">
        <v>703</v>
      </c>
      <c r="B918" t="s">
        <v>704</v>
      </c>
      <c r="C918" t="s">
        <v>446</v>
      </c>
      <c r="D918" t="s">
        <v>8</v>
      </c>
      <c r="E918" t="s">
        <v>4751</v>
      </c>
      <c r="F918">
        <v>36.666666666666664</v>
      </c>
      <c r="G918">
        <v>239</v>
      </c>
    </row>
    <row r="919" spans="1:7" x14ac:dyDescent="0.2">
      <c r="A919" t="s">
        <v>701</v>
      </c>
      <c r="B919" t="s">
        <v>702</v>
      </c>
      <c r="C919" t="s">
        <v>446</v>
      </c>
      <c r="D919" t="s">
        <v>10</v>
      </c>
      <c r="E919" t="s">
        <v>8549</v>
      </c>
      <c r="F919">
        <v>35.5</v>
      </c>
      <c r="G919">
        <v>455</v>
      </c>
    </row>
    <row r="920" spans="1:7" x14ac:dyDescent="0.2">
      <c r="A920" t="s">
        <v>701</v>
      </c>
      <c r="B920" t="s">
        <v>702</v>
      </c>
      <c r="C920" t="s">
        <v>446</v>
      </c>
      <c r="D920" t="s">
        <v>3471</v>
      </c>
      <c r="E920" t="s">
        <v>8550</v>
      </c>
      <c r="F920">
        <v>0</v>
      </c>
      <c r="G920">
        <v>0</v>
      </c>
    </row>
    <row r="921" spans="1:7" x14ac:dyDescent="0.2">
      <c r="A921" t="s">
        <v>701</v>
      </c>
      <c r="B921" t="s">
        <v>702</v>
      </c>
      <c r="C921" t="s">
        <v>446</v>
      </c>
      <c r="D921" t="s">
        <v>8</v>
      </c>
      <c r="E921" t="s">
        <v>4752</v>
      </c>
      <c r="F921">
        <v>93.833333333333329</v>
      </c>
      <c r="G921">
        <v>337</v>
      </c>
    </row>
    <row r="922" spans="1:7" x14ac:dyDescent="0.2">
      <c r="A922" t="s">
        <v>681</v>
      </c>
      <c r="B922" t="s">
        <v>682</v>
      </c>
      <c r="C922" t="s">
        <v>446</v>
      </c>
      <c r="D922" t="s">
        <v>10</v>
      </c>
      <c r="E922" t="s">
        <v>8951</v>
      </c>
      <c r="F922">
        <v>21.666666666666668</v>
      </c>
      <c r="G922">
        <v>363</v>
      </c>
    </row>
    <row r="923" spans="1:7" x14ac:dyDescent="0.2">
      <c r="A923" t="s">
        <v>681</v>
      </c>
      <c r="B923" t="s">
        <v>682</v>
      </c>
      <c r="C923" t="s">
        <v>446</v>
      </c>
      <c r="D923" t="s">
        <v>3471</v>
      </c>
      <c r="E923" t="s">
        <v>4753</v>
      </c>
    </row>
    <row r="924" spans="1:7" x14ac:dyDescent="0.2">
      <c r="A924" t="s">
        <v>681</v>
      </c>
      <c r="B924" t="s">
        <v>682</v>
      </c>
      <c r="C924" t="s">
        <v>446</v>
      </c>
      <c r="D924" t="s">
        <v>8</v>
      </c>
      <c r="E924" t="s">
        <v>4754</v>
      </c>
      <c r="F924">
        <v>24</v>
      </c>
      <c r="G924">
        <v>65</v>
      </c>
    </row>
    <row r="925" spans="1:7" x14ac:dyDescent="0.2">
      <c r="A925" t="s">
        <v>463</v>
      </c>
      <c r="B925" t="s">
        <v>464</v>
      </c>
      <c r="C925" t="s">
        <v>446</v>
      </c>
      <c r="D925" t="s">
        <v>3471</v>
      </c>
      <c r="E925" t="s">
        <v>4755</v>
      </c>
      <c r="F925">
        <v>0</v>
      </c>
      <c r="G925">
        <v>0</v>
      </c>
    </row>
    <row r="926" spans="1:7" x14ac:dyDescent="0.2">
      <c r="A926" t="s">
        <v>463</v>
      </c>
      <c r="B926" t="s">
        <v>464</v>
      </c>
      <c r="C926" t="s">
        <v>446</v>
      </c>
      <c r="D926" t="s">
        <v>8</v>
      </c>
      <c r="E926" t="s">
        <v>4756</v>
      </c>
      <c r="F926">
        <v>23.833333333333332</v>
      </c>
      <c r="G926">
        <v>471</v>
      </c>
    </row>
    <row r="927" spans="1:7" x14ac:dyDescent="0.2">
      <c r="A927" t="s">
        <v>495</v>
      </c>
      <c r="B927" t="s">
        <v>496</v>
      </c>
      <c r="C927" t="s">
        <v>446</v>
      </c>
      <c r="D927" t="s">
        <v>3471</v>
      </c>
      <c r="E927" t="s">
        <v>8551</v>
      </c>
      <c r="F927">
        <v>0</v>
      </c>
      <c r="G927">
        <v>0</v>
      </c>
    </row>
    <row r="928" spans="1:7" x14ac:dyDescent="0.2">
      <c r="A928" t="s">
        <v>495</v>
      </c>
      <c r="B928" t="s">
        <v>496</v>
      </c>
      <c r="C928" t="s">
        <v>446</v>
      </c>
      <c r="D928" t="s">
        <v>8</v>
      </c>
      <c r="E928" t="s">
        <v>4757</v>
      </c>
      <c r="F928">
        <v>28.833333333333332</v>
      </c>
      <c r="G928">
        <v>341</v>
      </c>
    </row>
    <row r="929" spans="1:7" x14ac:dyDescent="0.2">
      <c r="A929" t="s">
        <v>449</v>
      </c>
      <c r="B929" t="s">
        <v>450</v>
      </c>
      <c r="C929" t="s">
        <v>446</v>
      </c>
      <c r="D929" t="s">
        <v>3471</v>
      </c>
      <c r="E929" t="s">
        <v>4758</v>
      </c>
      <c r="F929">
        <v>0</v>
      </c>
      <c r="G929">
        <v>0</v>
      </c>
    </row>
    <row r="930" spans="1:7" x14ac:dyDescent="0.2">
      <c r="A930" t="s">
        <v>449</v>
      </c>
      <c r="B930" t="s">
        <v>450</v>
      </c>
      <c r="C930" t="s">
        <v>446</v>
      </c>
      <c r="D930" t="s">
        <v>8</v>
      </c>
      <c r="E930" t="s">
        <v>4759</v>
      </c>
      <c r="F930">
        <v>24.666666666666668</v>
      </c>
      <c r="G930">
        <v>37</v>
      </c>
    </row>
    <row r="931" spans="1:7" x14ac:dyDescent="0.2">
      <c r="A931" t="s">
        <v>477</v>
      </c>
      <c r="B931" t="s">
        <v>478</v>
      </c>
      <c r="C931" t="s">
        <v>446</v>
      </c>
      <c r="D931" t="s">
        <v>3471</v>
      </c>
      <c r="E931" t="s">
        <v>4760</v>
      </c>
      <c r="F931">
        <v>0</v>
      </c>
      <c r="G931">
        <v>0</v>
      </c>
    </row>
    <row r="932" spans="1:7" x14ac:dyDescent="0.2">
      <c r="A932" t="s">
        <v>477</v>
      </c>
      <c r="B932" t="s">
        <v>478</v>
      </c>
      <c r="C932" t="s">
        <v>446</v>
      </c>
      <c r="D932" t="s">
        <v>8</v>
      </c>
      <c r="E932" t="s">
        <v>4761</v>
      </c>
      <c r="F932">
        <v>24.166666666666668</v>
      </c>
      <c r="G932">
        <v>477</v>
      </c>
    </row>
    <row r="933" spans="1:7" x14ac:dyDescent="0.2">
      <c r="A933" t="s">
        <v>477</v>
      </c>
      <c r="B933" t="s">
        <v>478</v>
      </c>
      <c r="C933" t="s">
        <v>446</v>
      </c>
      <c r="D933" t="s">
        <v>12</v>
      </c>
      <c r="F933">
        <v>0</v>
      </c>
      <c r="G933">
        <v>0</v>
      </c>
    </row>
    <row r="934" spans="1:7" x14ac:dyDescent="0.2">
      <c r="A934" t="s">
        <v>485</v>
      </c>
      <c r="B934" t="s">
        <v>486</v>
      </c>
      <c r="C934" t="s">
        <v>446</v>
      </c>
      <c r="D934" t="s">
        <v>3471</v>
      </c>
      <c r="E934" t="s">
        <v>4762</v>
      </c>
      <c r="F934">
        <v>0</v>
      </c>
      <c r="G934">
        <v>0</v>
      </c>
    </row>
    <row r="935" spans="1:7" x14ac:dyDescent="0.2">
      <c r="A935" t="s">
        <v>485</v>
      </c>
      <c r="B935" t="s">
        <v>486</v>
      </c>
      <c r="C935" t="s">
        <v>446</v>
      </c>
      <c r="D935" t="s">
        <v>8</v>
      </c>
      <c r="E935" t="s">
        <v>4763</v>
      </c>
      <c r="F935">
        <v>24.833333333333332</v>
      </c>
      <c r="G935">
        <v>459</v>
      </c>
    </row>
    <row r="936" spans="1:7" x14ac:dyDescent="0.2">
      <c r="A936" t="s">
        <v>487</v>
      </c>
      <c r="B936" t="s">
        <v>488</v>
      </c>
      <c r="C936" t="s">
        <v>446</v>
      </c>
      <c r="D936" t="s">
        <v>3471</v>
      </c>
      <c r="E936" t="s">
        <v>4764</v>
      </c>
      <c r="F936">
        <v>0</v>
      </c>
      <c r="G936">
        <v>0</v>
      </c>
    </row>
    <row r="937" spans="1:7" x14ac:dyDescent="0.2">
      <c r="A937" t="s">
        <v>487</v>
      </c>
      <c r="B937" t="s">
        <v>488</v>
      </c>
      <c r="C937" t="s">
        <v>446</v>
      </c>
      <c r="D937" t="s">
        <v>8</v>
      </c>
      <c r="E937" t="s">
        <v>4765</v>
      </c>
      <c r="F937">
        <v>23.833333333333332</v>
      </c>
      <c r="G937">
        <v>426</v>
      </c>
    </row>
    <row r="938" spans="1:7" x14ac:dyDescent="0.2">
      <c r="A938" t="s">
        <v>487</v>
      </c>
      <c r="B938" t="s">
        <v>488</v>
      </c>
      <c r="C938" t="s">
        <v>446</v>
      </c>
      <c r="D938" t="s">
        <v>12</v>
      </c>
    </row>
    <row r="939" spans="1:7" x14ac:dyDescent="0.2">
      <c r="A939" t="s">
        <v>497</v>
      </c>
      <c r="B939" t="s">
        <v>498</v>
      </c>
      <c r="C939" t="s">
        <v>446</v>
      </c>
      <c r="D939" t="s">
        <v>3471</v>
      </c>
      <c r="E939" t="s">
        <v>8552</v>
      </c>
    </row>
    <row r="940" spans="1:7" x14ac:dyDescent="0.2">
      <c r="A940" t="s">
        <v>497</v>
      </c>
      <c r="B940" t="s">
        <v>498</v>
      </c>
      <c r="C940" t="s">
        <v>446</v>
      </c>
      <c r="D940" t="s">
        <v>8</v>
      </c>
      <c r="E940" t="s">
        <v>4766</v>
      </c>
      <c r="F940">
        <v>13.5</v>
      </c>
      <c r="G940">
        <v>150</v>
      </c>
    </row>
    <row r="941" spans="1:7" x14ac:dyDescent="0.2">
      <c r="A941" t="s">
        <v>697</v>
      </c>
      <c r="B941" t="s">
        <v>698</v>
      </c>
      <c r="C941" t="s">
        <v>446</v>
      </c>
      <c r="D941" t="s">
        <v>10</v>
      </c>
      <c r="E941" t="s">
        <v>4767</v>
      </c>
      <c r="F941">
        <v>76.666666666666671</v>
      </c>
      <c r="G941">
        <v>568</v>
      </c>
    </row>
    <row r="942" spans="1:7" x14ac:dyDescent="0.2">
      <c r="A942" t="s">
        <v>697</v>
      </c>
      <c r="B942" t="s">
        <v>698</v>
      </c>
      <c r="C942" t="s">
        <v>446</v>
      </c>
      <c r="D942" t="s">
        <v>3471</v>
      </c>
      <c r="E942" t="s">
        <v>8553</v>
      </c>
      <c r="F942">
        <v>0</v>
      </c>
      <c r="G942">
        <v>0</v>
      </c>
    </row>
    <row r="943" spans="1:7" x14ac:dyDescent="0.2">
      <c r="A943" t="s">
        <v>697</v>
      </c>
      <c r="B943" t="s">
        <v>698</v>
      </c>
      <c r="C943" t="s">
        <v>446</v>
      </c>
      <c r="D943" t="s">
        <v>8</v>
      </c>
      <c r="E943" t="s">
        <v>4768</v>
      </c>
      <c r="F943">
        <v>26.5</v>
      </c>
      <c r="G943">
        <v>91</v>
      </c>
    </row>
    <row r="944" spans="1:7" x14ac:dyDescent="0.2">
      <c r="A944" t="s">
        <v>697</v>
      </c>
      <c r="B944" t="s">
        <v>698</v>
      </c>
      <c r="C944" t="s">
        <v>446</v>
      </c>
      <c r="D944" t="s">
        <v>12</v>
      </c>
      <c r="F944">
        <v>13.166666666666666</v>
      </c>
      <c r="G944">
        <v>260</v>
      </c>
    </row>
    <row r="945" spans="1:7" x14ac:dyDescent="0.2">
      <c r="A945" t="s">
        <v>679</v>
      </c>
      <c r="B945" t="s">
        <v>680</v>
      </c>
      <c r="C945" t="s">
        <v>446</v>
      </c>
      <c r="D945" t="s">
        <v>10</v>
      </c>
      <c r="E945" t="s">
        <v>4769</v>
      </c>
      <c r="F945">
        <v>40</v>
      </c>
      <c r="G945">
        <v>520</v>
      </c>
    </row>
    <row r="946" spans="1:7" x14ac:dyDescent="0.2">
      <c r="A946" t="s">
        <v>679</v>
      </c>
      <c r="B946" t="s">
        <v>680</v>
      </c>
      <c r="C946" t="s">
        <v>446</v>
      </c>
      <c r="D946" t="s">
        <v>3471</v>
      </c>
      <c r="E946" t="s">
        <v>8554</v>
      </c>
      <c r="F946">
        <v>0</v>
      </c>
      <c r="G946">
        <v>0</v>
      </c>
    </row>
    <row r="947" spans="1:7" x14ac:dyDescent="0.2">
      <c r="A947" t="s">
        <v>679</v>
      </c>
      <c r="B947" t="s">
        <v>680</v>
      </c>
      <c r="C947" t="s">
        <v>446</v>
      </c>
      <c r="D947" t="s">
        <v>8</v>
      </c>
      <c r="E947" t="s">
        <v>4770</v>
      </c>
      <c r="F947">
        <v>17.666666666666668</v>
      </c>
      <c r="G947">
        <v>211</v>
      </c>
    </row>
    <row r="948" spans="1:7" x14ac:dyDescent="0.2">
      <c r="A948" t="s">
        <v>679</v>
      </c>
      <c r="B948" t="s">
        <v>680</v>
      </c>
      <c r="C948" t="s">
        <v>446</v>
      </c>
      <c r="D948" t="s">
        <v>12</v>
      </c>
      <c r="F948">
        <v>0</v>
      </c>
      <c r="G948">
        <v>0</v>
      </c>
    </row>
    <row r="949" spans="1:7" x14ac:dyDescent="0.2">
      <c r="A949" t="s">
        <v>906</v>
      </c>
      <c r="B949" t="s">
        <v>907</v>
      </c>
      <c r="C949" t="s">
        <v>446</v>
      </c>
      <c r="D949" t="s">
        <v>12</v>
      </c>
      <c r="F949">
        <v>4.833333333333333</v>
      </c>
      <c r="G949">
        <v>273</v>
      </c>
    </row>
    <row r="950" spans="1:7" x14ac:dyDescent="0.2">
      <c r="A950" t="s">
        <v>8293</v>
      </c>
      <c r="B950" t="s">
        <v>8294</v>
      </c>
      <c r="C950" t="s">
        <v>446</v>
      </c>
      <c r="D950" t="s">
        <v>10</v>
      </c>
      <c r="E950" t="s">
        <v>8952</v>
      </c>
      <c r="F950">
        <v>3.1666666666666665</v>
      </c>
      <c r="G950">
        <v>566</v>
      </c>
    </row>
    <row r="951" spans="1:7" x14ac:dyDescent="0.2">
      <c r="A951" t="s">
        <v>509</v>
      </c>
      <c r="B951" t="s">
        <v>510</v>
      </c>
      <c r="C951" t="s">
        <v>446</v>
      </c>
      <c r="D951" t="s">
        <v>3471</v>
      </c>
      <c r="E951" t="s">
        <v>4771</v>
      </c>
    </row>
    <row r="952" spans="1:7" x14ac:dyDescent="0.2">
      <c r="A952" t="s">
        <v>509</v>
      </c>
      <c r="B952" t="s">
        <v>510</v>
      </c>
      <c r="C952" t="s">
        <v>446</v>
      </c>
      <c r="D952" t="s">
        <v>3469</v>
      </c>
      <c r="F952">
        <v>0</v>
      </c>
      <c r="G952">
        <v>0</v>
      </c>
    </row>
    <row r="953" spans="1:7" x14ac:dyDescent="0.2">
      <c r="A953" t="s">
        <v>509</v>
      </c>
      <c r="B953" t="s">
        <v>510</v>
      </c>
      <c r="C953" t="s">
        <v>446</v>
      </c>
      <c r="D953" t="s">
        <v>12</v>
      </c>
      <c r="F953">
        <v>1</v>
      </c>
      <c r="G953">
        <v>12</v>
      </c>
    </row>
    <row r="954" spans="1:7" x14ac:dyDescent="0.2">
      <c r="A954" t="s">
        <v>511</v>
      </c>
      <c r="B954" t="s">
        <v>512</v>
      </c>
      <c r="C954" t="s">
        <v>446</v>
      </c>
      <c r="D954" t="s">
        <v>3471</v>
      </c>
      <c r="E954" t="s">
        <v>4772</v>
      </c>
      <c r="F954">
        <v>0</v>
      </c>
      <c r="G954">
        <v>0</v>
      </c>
    </row>
    <row r="955" spans="1:7" x14ac:dyDescent="0.2">
      <c r="A955" t="s">
        <v>511</v>
      </c>
      <c r="B955" t="s">
        <v>512</v>
      </c>
      <c r="C955" t="s">
        <v>446</v>
      </c>
      <c r="D955" t="s">
        <v>8</v>
      </c>
      <c r="E955" t="s">
        <v>4773</v>
      </c>
      <c r="F955">
        <v>0.16666666666666666</v>
      </c>
      <c r="G955">
        <v>19</v>
      </c>
    </row>
    <row r="956" spans="1:7" x14ac:dyDescent="0.2">
      <c r="A956" t="s">
        <v>511</v>
      </c>
      <c r="B956" t="s">
        <v>512</v>
      </c>
      <c r="C956" t="s">
        <v>446</v>
      </c>
      <c r="D956" t="s">
        <v>12</v>
      </c>
      <c r="F956">
        <v>0</v>
      </c>
      <c r="G956">
        <v>0</v>
      </c>
    </row>
    <row r="957" spans="1:7" x14ac:dyDescent="0.2">
      <c r="A957" t="s">
        <v>4774</v>
      </c>
      <c r="B957" t="s">
        <v>4775</v>
      </c>
      <c r="C957" t="s">
        <v>446</v>
      </c>
      <c r="D957" t="s">
        <v>12</v>
      </c>
    </row>
    <row r="958" spans="1:7" x14ac:dyDescent="0.2">
      <c r="A958" t="s">
        <v>483</v>
      </c>
      <c r="B958" t="s">
        <v>484</v>
      </c>
      <c r="C958" t="s">
        <v>446</v>
      </c>
      <c r="D958" t="s">
        <v>3471</v>
      </c>
      <c r="E958" t="s">
        <v>4776</v>
      </c>
      <c r="F958">
        <v>0</v>
      </c>
      <c r="G958">
        <v>0</v>
      </c>
    </row>
    <row r="959" spans="1:7" x14ac:dyDescent="0.2">
      <c r="A959" t="s">
        <v>483</v>
      </c>
      <c r="B959" t="s">
        <v>484</v>
      </c>
      <c r="C959" t="s">
        <v>446</v>
      </c>
      <c r="D959" t="s">
        <v>8</v>
      </c>
      <c r="E959" t="s">
        <v>4777</v>
      </c>
      <c r="F959">
        <v>33.166666666666664</v>
      </c>
      <c r="G959">
        <v>646</v>
      </c>
    </row>
    <row r="960" spans="1:7" x14ac:dyDescent="0.2">
      <c r="A960" t="s">
        <v>489</v>
      </c>
      <c r="B960" t="s">
        <v>490</v>
      </c>
      <c r="C960" t="s">
        <v>446</v>
      </c>
      <c r="D960" t="s">
        <v>3471</v>
      </c>
      <c r="E960" t="s">
        <v>4778</v>
      </c>
      <c r="F960">
        <v>0</v>
      </c>
      <c r="G960">
        <v>0</v>
      </c>
    </row>
    <row r="961" spans="1:7" x14ac:dyDescent="0.2">
      <c r="A961" t="s">
        <v>489</v>
      </c>
      <c r="B961" t="s">
        <v>490</v>
      </c>
      <c r="C961" t="s">
        <v>446</v>
      </c>
      <c r="D961" t="s">
        <v>8</v>
      </c>
      <c r="E961" t="s">
        <v>4779</v>
      </c>
      <c r="F961">
        <v>33</v>
      </c>
      <c r="G961">
        <v>620</v>
      </c>
    </row>
    <row r="962" spans="1:7" x14ac:dyDescent="0.2">
      <c r="A962" t="s">
        <v>513</v>
      </c>
      <c r="B962" t="s">
        <v>514</v>
      </c>
      <c r="C962" t="s">
        <v>446</v>
      </c>
      <c r="D962" t="s">
        <v>3471</v>
      </c>
      <c r="E962" t="s">
        <v>4780</v>
      </c>
      <c r="F962">
        <v>0</v>
      </c>
      <c r="G962">
        <v>0</v>
      </c>
    </row>
    <row r="963" spans="1:7" x14ac:dyDescent="0.2">
      <c r="A963" t="s">
        <v>513</v>
      </c>
      <c r="B963" t="s">
        <v>514</v>
      </c>
      <c r="C963" t="s">
        <v>446</v>
      </c>
      <c r="D963" t="s">
        <v>12</v>
      </c>
    </row>
    <row r="964" spans="1:7" x14ac:dyDescent="0.2">
      <c r="A964" t="s">
        <v>817</v>
      </c>
      <c r="B964" t="s">
        <v>818</v>
      </c>
      <c r="C964" t="s">
        <v>446</v>
      </c>
      <c r="D964" t="s">
        <v>8</v>
      </c>
      <c r="E964" t="s">
        <v>4781</v>
      </c>
      <c r="F964">
        <v>18.333333333333332</v>
      </c>
      <c r="G964">
        <v>323</v>
      </c>
    </row>
    <row r="965" spans="1:7" x14ac:dyDescent="0.2">
      <c r="A965" t="s">
        <v>821</v>
      </c>
      <c r="B965" t="s">
        <v>822</v>
      </c>
      <c r="C965" t="s">
        <v>446</v>
      </c>
      <c r="D965" t="s">
        <v>8</v>
      </c>
      <c r="E965" t="s">
        <v>4782</v>
      </c>
      <c r="F965">
        <v>7.166666666666667</v>
      </c>
      <c r="G965">
        <v>197</v>
      </c>
    </row>
    <row r="966" spans="1:7" x14ac:dyDescent="0.2">
      <c r="A966" t="s">
        <v>819</v>
      </c>
      <c r="B966" t="s">
        <v>820</v>
      </c>
      <c r="C966" t="s">
        <v>446</v>
      </c>
      <c r="D966" t="s">
        <v>8</v>
      </c>
      <c r="E966" t="s">
        <v>4783</v>
      </c>
      <c r="F966">
        <v>8.6666666666666661</v>
      </c>
      <c r="G966">
        <v>221</v>
      </c>
    </row>
    <row r="967" spans="1:7" x14ac:dyDescent="0.2">
      <c r="A967" t="s">
        <v>910</v>
      </c>
      <c r="B967" t="s">
        <v>911</v>
      </c>
      <c r="C967" t="s">
        <v>446</v>
      </c>
      <c r="D967" t="s">
        <v>8</v>
      </c>
      <c r="E967" t="s">
        <v>4784</v>
      </c>
      <c r="F967">
        <v>15.5</v>
      </c>
      <c r="G967">
        <v>154</v>
      </c>
    </row>
    <row r="968" spans="1:7" x14ac:dyDescent="0.2">
      <c r="A968" t="s">
        <v>908</v>
      </c>
      <c r="B968" t="s">
        <v>909</v>
      </c>
      <c r="C968" t="s">
        <v>446</v>
      </c>
      <c r="D968" t="s">
        <v>8</v>
      </c>
      <c r="E968" t="s">
        <v>4785</v>
      </c>
      <c r="F968">
        <v>35.166666666666664</v>
      </c>
      <c r="G968">
        <v>308</v>
      </c>
    </row>
    <row r="969" spans="1:7" x14ac:dyDescent="0.2">
      <c r="A969" t="s">
        <v>994</v>
      </c>
      <c r="B969" t="s">
        <v>995</v>
      </c>
      <c r="C969" t="s">
        <v>446</v>
      </c>
      <c r="D969" t="s">
        <v>8</v>
      </c>
      <c r="E969" t="s">
        <v>4786</v>
      </c>
      <c r="F969">
        <v>5.666666666666667</v>
      </c>
      <c r="G969">
        <v>257</v>
      </c>
    </row>
    <row r="970" spans="1:7" x14ac:dyDescent="0.2">
      <c r="A970" t="s">
        <v>992</v>
      </c>
      <c r="B970" t="s">
        <v>993</v>
      </c>
      <c r="C970" t="s">
        <v>446</v>
      </c>
      <c r="D970" t="s">
        <v>8</v>
      </c>
      <c r="E970" t="s">
        <v>4787</v>
      </c>
      <c r="F970">
        <v>3.5</v>
      </c>
      <c r="G970">
        <v>237</v>
      </c>
    </row>
    <row r="971" spans="1:7" x14ac:dyDescent="0.2">
      <c r="A971" t="s">
        <v>457</v>
      </c>
      <c r="B971" t="s">
        <v>458</v>
      </c>
      <c r="C971" t="s">
        <v>446</v>
      </c>
      <c r="D971" t="s">
        <v>3471</v>
      </c>
      <c r="E971" t="s">
        <v>4788</v>
      </c>
      <c r="F971">
        <v>0</v>
      </c>
      <c r="G971">
        <v>0</v>
      </c>
    </row>
    <row r="972" spans="1:7" x14ac:dyDescent="0.2">
      <c r="A972" t="s">
        <v>457</v>
      </c>
      <c r="B972" t="s">
        <v>458</v>
      </c>
      <c r="C972" t="s">
        <v>446</v>
      </c>
      <c r="D972" t="s">
        <v>8</v>
      </c>
      <c r="E972" t="s">
        <v>4789</v>
      </c>
      <c r="F972">
        <v>30.166666666666668</v>
      </c>
      <c r="G972">
        <v>163</v>
      </c>
    </row>
    <row r="973" spans="1:7" x14ac:dyDescent="0.2">
      <c r="A973" t="s">
        <v>451</v>
      </c>
      <c r="B973" t="s">
        <v>452</v>
      </c>
      <c r="C973" t="s">
        <v>446</v>
      </c>
      <c r="D973" t="s">
        <v>3471</v>
      </c>
      <c r="E973" t="s">
        <v>4790</v>
      </c>
    </row>
    <row r="974" spans="1:7" x14ac:dyDescent="0.2">
      <c r="A974" t="s">
        <v>451</v>
      </c>
      <c r="B974" t="s">
        <v>452</v>
      </c>
      <c r="C974" t="s">
        <v>446</v>
      </c>
      <c r="D974" t="s">
        <v>8</v>
      </c>
      <c r="E974" t="s">
        <v>4791</v>
      </c>
      <c r="F974">
        <v>6.833333333333333</v>
      </c>
      <c r="G974">
        <v>33</v>
      </c>
    </row>
    <row r="975" spans="1:7" x14ac:dyDescent="0.2">
      <c r="A975" t="s">
        <v>459</v>
      </c>
      <c r="B975" t="s">
        <v>460</v>
      </c>
      <c r="C975" t="s">
        <v>446</v>
      </c>
      <c r="D975" t="s">
        <v>3471</v>
      </c>
      <c r="E975" t="s">
        <v>4792</v>
      </c>
    </row>
    <row r="976" spans="1:7" x14ac:dyDescent="0.2">
      <c r="A976" t="s">
        <v>459</v>
      </c>
      <c r="B976" t="s">
        <v>460</v>
      </c>
      <c r="C976" t="s">
        <v>446</v>
      </c>
      <c r="D976" t="s">
        <v>8</v>
      </c>
      <c r="E976" t="s">
        <v>4793</v>
      </c>
      <c r="F976">
        <v>18.166666666666668</v>
      </c>
      <c r="G976">
        <v>12</v>
      </c>
    </row>
    <row r="977" spans="1:7" x14ac:dyDescent="0.2">
      <c r="A977" t="s">
        <v>455</v>
      </c>
      <c r="B977" t="s">
        <v>456</v>
      </c>
      <c r="C977" t="s">
        <v>446</v>
      </c>
      <c r="D977" t="s">
        <v>3471</v>
      </c>
      <c r="E977" t="s">
        <v>4794</v>
      </c>
      <c r="F977">
        <v>0</v>
      </c>
      <c r="G977">
        <v>0</v>
      </c>
    </row>
    <row r="978" spans="1:7" x14ac:dyDescent="0.2">
      <c r="A978" t="s">
        <v>455</v>
      </c>
      <c r="B978" t="s">
        <v>456</v>
      </c>
      <c r="C978" t="s">
        <v>446</v>
      </c>
      <c r="D978" t="s">
        <v>8</v>
      </c>
      <c r="E978" t="s">
        <v>4795</v>
      </c>
      <c r="F978">
        <v>21.5</v>
      </c>
      <c r="G978">
        <v>11</v>
      </c>
    </row>
    <row r="979" spans="1:7" x14ac:dyDescent="0.2">
      <c r="A979" t="s">
        <v>453</v>
      </c>
      <c r="B979" t="s">
        <v>454</v>
      </c>
      <c r="C979" t="s">
        <v>446</v>
      </c>
      <c r="D979" t="s">
        <v>3471</v>
      </c>
      <c r="E979" t="s">
        <v>4796</v>
      </c>
    </row>
    <row r="980" spans="1:7" x14ac:dyDescent="0.2">
      <c r="A980" t="s">
        <v>453</v>
      </c>
      <c r="B980" t="s">
        <v>454</v>
      </c>
      <c r="C980" t="s">
        <v>446</v>
      </c>
      <c r="D980" t="s">
        <v>8</v>
      </c>
      <c r="E980" t="s">
        <v>4797</v>
      </c>
      <c r="F980">
        <v>10.833333333333334</v>
      </c>
      <c r="G980">
        <v>135</v>
      </c>
    </row>
    <row r="981" spans="1:7" x14ac:dyDescent="0.2">
      <c r="A981" t="s">
        <v>461</v>
      </c>
      <c r="B981" t="s">
        <v>462</v>
      </c>
      <c r="C981" t="s">
        <v>446</v>
      </c>
      <c r="D981" t="s">
        <v>3471</v>
      </c>
      <c r="E981" t="s">
        <v>4798</v>
      </c>
      <c r="F981">
        <v>0</v>
      </c>
      <c r="G981">
        <v>0</v>
      </c>
    </row>
    <row r="982" spans="1:7" x14ac:dyDescent="0.2">
      <c r="A982" t="s">
        <v>461</v>
      </c>
      <c r="B982" t="s">
        <v>462</v>
      </c>
      <c r="C982" t="s">
        <v>446</v>
      </c>
      <c r="D982" t="s">
        <v>8</v>
      </c>
      <c r="E982" t="s">
        <v>4799</v>
      </c>
      <c r="F982">
        <v>12.333333333333334</v>
      </c>
      <c r="G982">
        <v>273</v>
      </c>
    </row>
    <row r="983" spans="1:7" x14ac:dyDescent="0.2">
      <c r="A983" t="s">
        <v>473</v>
      </c>
      <c r="B983" t="s">
        <v>474</v>
      </c>
      <c r="C983" t="s">
        <v>446</v>
      </c>
      <c r="D983" t="s">
        <v>3471</v>
      </c>
      <c r="E983" t="s">
        <v>4800</v>
      </c>
    </row>
    <row r="984" spans="1:7" x14ac:dyDescent="0.2">
      <c r="A984" t="s">
        <v>473</v>
      </c>
      <c r="B984" t="s">
        <v>474</v>
      </c>
      <c r="C984" t="s">
        <v>446</v>
      </c>
      <c r="D984" t="s">
        <v>8</v>
      </c>
      <c r="E984" t="s">
        <v>4801</v>
      </c>
      <c r="F984">
        <v>13.333333333333334</v>
      </c>
      <c r="G984">
        <v>61</v>
      </c>
    </row>
    <row r="985" spans="1:7" x14ac:dyDescent="0.2">
      <c r="A985" t="s">
        <v>471</v>
      </c>
      <c r="B985" t="s">
        <v>472</v>
      </c>
      <c r="C985" t="s">
        <v>446</v>
      </c>
      <c r="D985" t="s">
        <v>3471</v>
      </c>
      <c r="E985" t="s">
        <v>8555</v>
      </c>
      <c r="F985">
        <v>0.16666666666666666</v>
      </c>
      <c r="G985">
        <v>0</v>
      </c>
    </row>
    <row r="986" spans="1:7" x14ac:dyDescent="0.2">
      <c r="A986" t="s">
        <v>471</v>
      </c>
      <c r="B986" t="s">
        <v>472</v>
      </c>
      <c r="C986" t="s">
        <v>446</v>
      </c>
      <c r="D986" t="s">
        <v>8</v>
      </c>
      <c r="E986" t="s">
        <v>4802</v>
      </c>
      <c r="F986">
        <v>34.666666666666664</v>
      </c>
      <c r="G986">
        <v>227</v>
      </c>
    </row>
    <row r="987" spans="1:7" x14ac:dyDescent="0.2">
      <c r="A987" t="s">
        <v>475</v>
      </c>
      <c r="B987" t="s">
        <v>476</v>
      </c>
      <c r="C987" t="s">
        <v>446</v>
      </c>
      <c r="D987" t="s">
        <v>3471</v>
      </c>
      <c r="E987" t="s">
        <v>4803</v>
      </c>
      <c r="F987">
        <v>0</v>
      </c>
      <c r="G987">
        <v>0</v>
      </c>
    </row>
    <row r="988" spans="1:7" x14ac:dyDescent="0.2">
      <c r="A988" t="s">
        <v>475</v>
      </c>
      <c r="B988" t="s">
        <v>476</v>
      </c>
      <c r="C988" t="s">
        <v>446</v>
      </c>
      <c r="D988" t="s">
        <v>8</v>
      </c>
      <c r="E988" t="s">
        <v>4804</v>
      </c>
      <c r="F988">
        <v>5.166666666666667</v>
      </c>
      <c r="G988">
        <v>21</v>
      </c>
    </row>
    <row r="989" spans="1:7" x14ac:dyDescent="0.2">
      <c r="A989" t="s">
        <v>831</v>
      </c>
      <c r="B989" t="s">
        <v>832</v>
      </c>
      <c r="C989" t="s">
        <v>446</v>
      </c>
      <c r="D989" t="s">
        <v>8</v>
      </c>
      <c r="E989" t="s">
        <v>4805</v>
      </c>
      <c r="F989">
        <v>13.166666666666666</v>
      </c>
      <c r="G989">
        <v>47</v>
      </c>
    </row>
    <row r="990" spans="1:7" x14ac:dyDescent="0.2">
      <c r="A990" t="s">
        <v>837</v>
      </c>
      <c r="B990" t="s">
        <v>838</v>
      </c>
      <c r="C990" t="s">
        <v>446</v>
      </c>
      <c r="D990" t="s">
        <v>8</v>
      </c>
      <c r="E990" t="s">
        <v>4806</v>
      </c>
      <c r="F990">
        <v>4.166666666666667</v>
      </c>
      <c r="G990">
        <v>7</v>
      </c>
    </row>
    <row r="991" spans="1:7" x14ac:dyDescent="0.2">
      <c r="A991" t="s">
        <v>835</v>
      </c>
      <c r="B991" t="s">
        <v>836</v>
      </c>
      <c r="C991" t="s">
        <v>446</v>
      </c>
      <c r="D991" t="s">
        <v>8</v>
      </c>
      <c r="E991" t="s">
        <v>4807</v>
      </c>
      <c r="F991">
        <v>3.5</v>
      </c>
      <c r="G991">
        <v>5</v>
      </c>
    </row>
    <row r="992" spans="1:7" x14ac:dyDescent="0.2">
      <c r="A992" t="s">
        <v>833</v>
      </c>
      <c r="B992" t="s">
        <v>834</v>
      </c>
      <c r="C992" t="s">
        <v>446</v>
      </c>
      <c r="D992" t="s">
        <v>8</v>
      </c>
      <c r="E992" t="s">
        <v>4808</v>
      </c>
      <c r="F992">
        <v>3</v>
      </c>
      <c r="G992">
        <v>6</v>
      </c>
    </row>
    <row r="993" spans="1:7" x14ac:dyDescent="0.2">
      <c r="A993" t="s">
        <v>827</v>
      </c>
      <c r="B993" t="s">
        <v>828</v>
      </c>
      <c r="C993" t="s">
        <v>446</v>
      </c>
      <c r="D993" t="s">
        <v>8</v>
      </c>
      <c r="E993" t="s">
        <v>4809</v>
      </c>
      <c r="F993">
        <v>19</v>
      </c>
      <c r="G993">
        <v>75</v>
      </c>
    </row>
    <row r="994" spans="1:7" x14ac:dyDescent="0.2">
      <c r="A994" t="s">
        <v>829</v>
      </c>
      <c r="B994" t="s">
        <v>830</v>
      </c>
      <c r="C994" t="s">
        <v>446</v>
      </c>
      <c r="D994" t="s">
        <v>8</v>
      </c>
      <c r="E994" t="s">
        <v>4810</v>
      </c>
      <c r="F994">
        <v>8.8333333333333339</v>
      </c>
      <c r="G994">
        <v>20</v>
      </c>
    </row>
    <row r="995" spans="1:7" x14ac:dyDescent="0.2">
      <c r="A995" t="s">
        <v>465</v>
      </c>
      <c r="B995" t="s">
        <v>466</v>
      </c>
      <c r="C995" t="s">
        <v>446</v>
      </c>
      <c r="D995" t="s">
        <v>8</v>
      </c>
      <c r="E995" t="s">
        <v>4811</v>
      </c>
      <c r="F995">
        <v>8.5</v>
      </c>
      <c r="G995">
        <v>42</v>
      </c>
    </row>
    <row r="996" spans="1:7" x14ac:dyDescent="0.2">
      <c r="A996" t="s">
        <v>467</v>
      </c>
      <c r="B996" t="s">
        <v>468</v>
      </c>
      <c r="C996" t="s">
        <v>446</v>
      </c>
      <c r="D996" t="s">
        <v>8</v>
      </c>
      <c r="E996" t="s">
        <v>4812</v>
      </c>
      <c r="F996">
        <v>6.5</v>
      </c>
      <c r="G996">
        <v>13</v>
      </c>
    </row>
    <row r="997" spans="1:7" x14ac:dyDescent="0.2">
      <c r="A997" t="s">
        <v>469</v>
      </c>
      <c r="B997" t="s">
        <v>470</v>
      </c>
      <c r="C997" t="s">
        <v>446</v>
      </c>
      <c r="D997" t="s">
        <v>8</v>
      </c>
      <c r="E997" t="s">
        <v>4813</v>
      </c>
      <c r="F997">
        <v>5.333333333333333</v>
      </c>
      <c r="G997">
        <v>9</v>
      </c>
    </row>
    <row r="998" spans="1:7" x14ac:dyDescent="0.2">
      <c r="A998" t="s">
        <v>4814</v>
      </c>
      <c r="B998" t="s">
        <v>4815</v>
      </c>
      <c r="C998" t="s">
        <v>446</v>
      </c>
      <c r="D998" t="s">
        <v>8</v>
      </c>
      <c r="E998" t="s">
        <v>4816</v>
      </c>
    </row>
    <row r="999" spans="1:7" x14ac:dyDescent="0.2">
      <c r="A999" t="s">
        <v>4817</v>
      </c>
      <c r="B999" t="s">
        <v>4818</v>
      </c>
      <c r="C999" t="s">
        <v>446</v>
      </c>
      <c r="D999" t="s">
        <v>8</v>
      </c>
      <c r="E999" t="s">
        <v>4819</v>
      </c>
    </row>
    <row r="1000" spans="1:7" x14ac:dyDescent="0.2">
      <c r="A1000" t="s">
        <v>4820</v>
      </c>
      <c r="B1000" t="s">
        <v>4821</v>
      </c>
      <c r="C1000" t="s">
        <v>446</v>
      </c>
      <c r="D1000" t="s">
        <v>8</v>
      </c>
      <c r="E1000" t="s">
        <v>4822</v>
      </c>
    </row>
    <row r="1001" spans="1:7" x14ac:dyDescent="0.2">
      <c r="A1001" t="s">
        <v>4823</v>
      </c>
      <c r="B1001" t="s">
        <v>4824</v>
      </c>
      <c r="C1001" t="s">
        <v>446</v>
      </c>
      <c r="D1001" t="s">
        <v>8</v>
      </c>
      <c r="E1001" t="s">
        <v>4825</v>
      </c>
    </row>
    <row r="1002" spans="1:7" x14ac:dyDescent="0.2">
      <c r="A1002" t="s">
        <v>4826</v>
      </c>
      <c r="B1002" t="s">
        <v>4827</v>
      </c>
      <c r="C1002" t="s">
        <v>446</v>
      </c>
      <c r="D1002" t="s">
        <v>8</v>
      </c>
      <c r="E1002" t="s">
        <v>4828</v>
      </c>
    </row>
    <row r="1003" spans="1:7" x14ac:dyDescent="0.2">
      <c r="A1003" t="s">
        <v>4829</v>
      </c>
      <c r="B1003" t="s">
        <v>4830</v>
      </c>
      <c r="C1003" t="s">
        <v>446</v>
      </c>
      <c r="D1003" t="s">
        <v>8</v>
      </c>
      <c r="E1003" t="s">
        <v>4831</v>
      </c>
    </row>
    <row r="1004" spans="1:7" x14ac:dyDescent="0.2">
      <c r="A1004" t="s">
        <v>902</v>
      </c>
      <c r="B1004" t="s">
        <v>903</v>
      </c>
      <c r="C1004" t="s">
        <v>446</v>
      </c>
      <c r="D1004" t="s">
        <v>3471</v>
      </c>
      <c r="E1004" t="s">
        <v>4832</v>
      </c>
      <c r="F1004">
        <v>0</v>
      </c>
      <c r="G1004">
        <v>0</v>
      </c>
    </row>
    <row r="1005" spans="1:7" x14ac:dyDescent="0.2">
      <c r="A1005" t="s">
        <v>902</v>
      </c>
      <c r="B1005" t="s">
        <v>903</v>
      </c>
      <c r="C1005" t="s">
        <v>446</v>
      </c>
      <c r="D1005" t="s">
        <v>8</v>
      </c>
      <c r="E1005" t="s">
        <v>4833</v>
      </c>
      <c r="F1005">
        <v>28.833333333333332</v>
      </c>
      <c r="G1005">
        <v>134</v>
      </c>
    </row>
    <row r="1006" spans="1:7" x14ac:dyDescent="0.2">
      <c r="A1006" t="s">
        <v>515</v>
      </c>
      <c r="B1006" t="s">
        <v>516</v>
      </c>
      <c r="C1006" t="s">
        <v>446</v>
      </c>
      <c r="D1006" t="s">
        <v>8</v>
      </c>
      <c r="E1006" t="s">
        <v>4834</v>
      </c>
      <c r="F1006">
        <v>30.333333333333332</v>
      </c>
      <c r="G1006">
        <v>2681</v>
      </c>
    </row>
    <row r="1007" spans="1:7" x14ac:dyDescent="0.2">
      <c r="A1007" t="s">
        <v>521</v>
      </c>
      <c r="B1007" t="s">
        <v>522</v>
      </c>
      <c r="C1007" t="s">
        <v>446</v>
      </c>
      <c r="D1007" t="s">
        <v>8</v>
      </c>
      <c r="E1007" t="s">
        <v>4835</v>
      </c>
      <c r="F1007">
        <v>22.333333333333332</v>
      </c>
      <c r="G1007">
        <v>2413</v>
      </c>
    </row>
    <row r="1008" spans="1:7" x14ac:dyDescent="0.2">
      <c r="A1008" t="s">
        <v>517</v>
      </c>
      <c r="B1008" t="s">
        <v>518</v>
      </c>
      <c r="C1008" t="s">
        <v>446</v>
      </c>
      <c r="D1008" t="s">
        <v>8</v>
      </c>
      <c r="E1008" t="s">
        <v>4836</v>
      </c>
      <c r="F1008">
        <v>15.5</v>
      </c>
      <c r="G1008">
        <v>2950</v>
      </c>
    </row>
    <row r="1009" spans="1:7" x14ac:dyDescent="0.2">
      <c r="A1009" t="s">
        <v>519</v>
      </c>
      <c r="B1009" t="s">
        <v>520</v>
      </c>
      <c r="C1009" t="s">
        <v>446</v>
      </c>
      <c r="D1009" t="s">
        <v>8</v>
      </c>
      <c r="E1009" t="s">
        <v>4837</v>
      </c>
      <c r="F1009">
        <v>20.333333333333332</v>
      </c>
      <c r="G1009">
        <v>2467</v>
      </c>
    </row>
    <row r="1010" spans="1:7" x14ac:dyDescent="0.2">
      <c r="A1010" t="s">
        <v>529</v>
      </c>
      <c r="B1010" t="s">
        <v>530</v>
      </c>
      <c r="C1010" t="s">
        <v>446</v>
      </c>
      <c r="D1010" t="s">
        <v>8</v>
      </c>
      <c r="E1010" t="s">
        <v>4838</v>
      </c>
      <c r="F1010">
        <v>18.166666666666668</v>
      </c>
      <c r="G1010">
        <v>507</v>
      </c>
    </row>
    <row r="1011" spans="1:7" x14ac:dyDescent="0.2">
      <c r="A1011" t="s">
        <v>533</v>
      </c>
      <c r="B1011" t="s">
        <v>534</v>
      </c>
      <c r="C1011" t="s">
        <v>446</v>
      </c>
      <c r="D1011" t="s">
        <v>8</v>
      </c>
      <c r="E1011" t="s">
        <v>4839</v>
      </c>
      <c r="F1011">
        <v>10.333333333333334</v>
      </c>
      <c r="G1011">
        <v>397</v>
      </c>
    </row>
    <row r="1012" spans="1:7" x14ac:dyDescent="0.2">
      <c r="A1012" t="s">
        <v>531</v>
      </c>
      <c r="B1012" t="s">
        <v>532</v>
      </c>
      <c r="C1012" t="s">
        <v>446</v>
      </c>
      <c r="D1012" t="s">
        <v>8</v>
      </c>
      <c r="E1012" t="s">
        <v>4840</v>
      </c>
      <c r="F1012">
        <v>26.333333333333332</v>
      </c>
      <c r="G1012">
        <v>133</v>
      </c>
    </row>
    <row r="1013" spans="1:7" x14ac:dyDescent="0.2">
      <c r="A1013" t="s">
        <v>535</v>
      </c>
      <c r="B1013" t="s">
        <v>536</v>
      </c>
      <c r="C1013" t="s">
        <v>446</v>
      </c>
      <c r="D1013" t="s">
        <v>8</v>
      </c>
      <c r="E1013" t="s">
        <v>4841</v>
      </c>
      <c r="F1013">
        <v>5.666666666666667</v>
      </c>
      <c r="G1013">
        <v>274</v>
      </c>
    </row>
    <row r="1014" spans="1:7" x14ac:dyDescent="0.2">
      <c r="A1014" t="s">
        <v>847</v>
      </c>
      <c r="B1014" t="s">
        <v>848</v>
      </c>
      <c r="C1014" t="s">
        <v>446</v>
      </c>
      <c r="D1014" t="s">
        <v>8</v>
      </c>
      <c r="E1014" t="s">
        <v>4842</v>
      </c>
      <c r="F1014">
        <v>38.5</v>
      </c>
      <c r="G1014">
        <v>529</v>
      </c>
    </row>
    <row r="1015" spans="1:7" x14ac:dyDescent="0.2">
      <c r="A1015" t="s">
        <v>849</v>
      </c>
      <c r="B1015" t="s">
        <v>850</v>
      </c>
      <c r="C1015" t="s">
        <v>446</v>
      </c>
      <c r="D1015" t="s">
        <v>8</v>
      </c>
      <c r="E1015" t="s">
        <v>4843</v>
      </c>
      <c r="F1015">
        <v>6.333333333333333</v>
      </c>
      <c r="G1015">
        <v>415</v>
      </c>
    </row>
    <row r="1016" spans="1:7" x14ac:dyDescent="0.2">
      <c r="A1016" t="s">
        <v>851</v>
      </c>
      <c r="B1016" t="s">
        <v>852</v>
      </c>
      <c r="C1016" t="s">
        <v>446</v>
      </c>
      <c r="D1016" t="s">
        <v>8</v>
      </c>
      <c r="E1016" t="s">
        <v>4844</v>
      </c>
      <c r="F1016">
        <v>15.833333333333334</v>
      </c>
      <c r="G1016">
        <v>329</v>
      </c>
    </row>
    <row r="1017" spans="1:7" x14ac:dyDescent="0.2">
      <c r="A1017" t="s">
        <v>853</v>
      </c>
      <c r="B1017" t="s">
        <v>854</v>
      </c>
      <c r="C1017" t="s">
        <v>446</v>
      </c>
      <c r="D1017" t="s">
        <v>8</v>
      </c>
      <c r="E1017" t="s">
        <v>4845</v>
      </c>
      <c r="F1017">
        <v>10.333333333333334</v>
      </c>
      <c r="G1017">
        <v>358</v>
      </c>
    </row>
    <row r="1018" spans="1:7" x14ac:dyDescent="0.2">
      <c r="A1018" t="s">
        <v>537</v>
      </c>
      <c r="B1018" t="s">
        <v>538</v>
      </c>
      <c r="C1018" t="s">
        <v>446</v>
      </c>
      <c r="D1018" t="s">
        <v>8</v>
      </c>
      <c r="E1018" t="s">
        <v>4846</v>
      </c>
      <c r="F1018">
        <v>20.666666666666668</v>
      </c>
      <c r="G1018">
        <v>115</v>
      </c>
    </row>
    <row r="1019" spans="1:7" x14ac:dyDescent="0.2">
      <c r="A1019" t="s">
        <v>543</v>
      </c>
      <c r="B1019" t="s">
        <v>544</v>
      </c>
      <c r="C1019" t="s">
        <v>446</v>
      </c>
      <c r="D1019" t="s">
        <v>8</v>
      </c>
      <c r="E1019" t="s">
        <v>4847</v>
      </c>
      <c r="F1019">
        <v>0.66666666666666663</v>
      </c>
      <c r="G1019">
        <v>0</v>
      </c>
    </row>
    <row r="1020" spans="1:7" x14ac:dyDescent="0.2">
      <c r="A1020" t="s">
        <v>539</v>
      </c>
      <c r="B1020" t="s">
        <v>540</v>
      </c>
      <c r="C1020" t="s">
        <v>446</v>
      </c>
      <c r="D1020" t="s">
        <v>8</v>
      </c>
      <c r="E1020" t="s">
        <v>4848</v>
      </c>
      <c r="F1020">
        <v>2.6666666666666665</v>
      </c>
      <c r="G1020">
        <v>20</v>
      </c>
    </row>
    <row r="1021" spans="1:7" x14ac:dyDescent="0.2">
      <c r="A1021" t="s">
        <v>541</v>
      </c>
      <c r="B1021" t="s">
        <v>542</v>
      </c>
      <c r="C1021" t="s">
        <v>446</v>
      </c>
      <c r="D1021" t="s">
        <v>8</v>
      </c>
      <c r="E1021" t="s">
        <v>4849</v>
      </c>
      <c r="F1021">
        <v>2</v>
      </c>
      <c r="G1021">
        <v>23</v>
      </c>
    </row>
    <row r="1022" spans="1:7" x14ac:dyDescent="0.2">
      <c r="A1022" t="s">
        <v>657</v>
      </c>
      <c r="B1022" t="s">
        <v>658</v>
      </c>
      <c r="C1022" t="s">
        <v>446</v>
      </c>
      <c r="D1022" t="s">
        <v>3471</v>
      </c>
      <c r="E1022" t="s">
        <v>8556</v>
      </c>
      <c r="F1022">
        <v>0</v>
      </c>
      <c r="G1022">
        <v>0</v>
      </c>
    </row>
    <row r="1023" spans="1:7" x14ac:dyDescent="0.2">
      <c r="A1023" t="s">
        <v>657</v>
      </c>
      <c r="B1023" t="s">
        <v>658</v>
      </c>
      <c r="C1023" t="s">
        <v>446</v>
      </c>
      <c r="D1023" t="s">
        <v>8</v>
      </c>
      <c r="E1023" t="s">
        <v>4850</v>
      </c>
      <c r="F1023">
        <v>28</v>
      </c>
      <c r="G1023">
        <v>115</v>
      </c>
    </row>
    <row r="1024" spans="1:7" x14ac:dyDescent="0.2">
      <c r="A1024" t="s">
        <v>663</v>
      </c>
      <c r="B1024" t="s">
        <v>664</v>
      </c>
      <c r="C1024" t="s">
        <v>446</v>
      </c>
      <c r="D1024" t="s">
        <v>10</v>
      </c>
      <c r="E1024" t="s">
        <v>8557</v>
      </c>
    </row>
    <row r="1025" spans="1:7" x14ac:dyDescent="0.2">
      <c r="A1025" t="s">
        <v>663</v>
      </c>
      <c r="B1025" t="s">
        <v>664</v>
      </c>
      <c r="C1025" t="s">
        <v>446</v>
      </c>
      <c r="D1025" t="s">
        <v>3471</v>
      </c>
      <c r="E1025" t="s">
        <v>8558</v>
      </c>
      <c r="F1025">
        <v>0</v>
      </c>
      <c r="G1025">
        <v>0</v>
      </c>
    </row>
    <row r="1026" spans="1:7" x14ac:dyDescent="0.2">
      <c r="A1026" t="s">
        <v>663</v>
      </c>
      <c r="B1026" t="s">
        <v>664</v>
      </c>
      <c r="C1026" t="s">
        <v>446</v>
      </c>
      <c r="D1026" t="s">
        <v>8</v>
      </c>
      <c r="E1026" t="s">
        <v>4851</v>
      </c>
      <c r="F1026">
        <v>19.166666666666668</v>
      </c>
      <c r="G1026">
        <v>106</v>
      </c>
    </row>
    <row r="1027" spans="1:7" x14ac:dyDescent="0.2">
      <c r="A1027" t="s">
        <v>661</v>
      </c>
      <c r="B1027" t="s">
        <v>662</v>
      </c>
      <c r="C1027" t="s">
        <v>446</v>
      </c>
      <c r="D1027" t="s">
        <v>3471</v>
      </c>
      <c r="E1027" t="s">
        <v>8559</v>
      </c>
      <c r="F1027">
        <v>0</v>
      </c>
      <c r="G1027">
        <v>0</v>
      </c>
    </row>
    <row r="1028" spans="1:7" x14ac:dyDescent="0.2">
      <c r="A1028" t="s">
        <v>661</v>
      </c>
      <c r="B1028" t="s">
        <v>662</v>
      </c>
      <c r="C1028" t="s">
        <v>446</v>
      </c>
      <c r="D1028" t="s">
        <v>8</v>
      </c>
      <c r="E1028" t="s">
        <v>4852</v>
      </c>
      <c r="F1028">
        <v>7.333333333333333</v>
      </c>
      <c r="G1028">
        <v>58</v>
      </c>
    </row>
    <row r="1029" spans="1:7" x14ac:dyDescent="0.2">
      <c r="A1029" t="s">
        <v>659</v>
      </c>
      <c r="B1029" t="s">
        <v>660</v>
      </c>
      <c r="C1029" t="s">
        <v>446</v>
      </c>
      <c r="D1029" t="s">
        <v>3471</v>
      </c>
      <c r="E1029" t="s">
        <v>8560</v>
      </c>
      <c r="F1029">
        <v>0</v>
      </c>
      <c r="G1029">
        <v>0</v>
      </c>
    </row>
    <row r="1030" spans="1:7" x14ac:dyDescent="0.2">
      <c r="A1030" t="s">
        <v>659</v>
      </c>
      <c r="B1030" t="s">
        <v>660</v>
      </c>
      <c r="C1030" t="s">
        <v>446</v>
      </c>
      <c r="D1030" t="s">
        <v>8</v>
      </c>
      <c r="E1030" t="s">
        <v>4853</v>
      </c>
      <c r="F1030">
        <v>19.333333333333332</v>
      </c>
      <c r="G1030">
        <v>111</v>
      </c>
    </row>
    <row r="1031" spans="1:7" x14ac:dyDescent="0.2">
      <c r="A1031" t="s">
        <v>815</v>
      </c>
      <c r="B1031" t="s">
        <v>816</v>
      </c>
      <c r="C1031" t="s">
        <v>446</v>
      </c>
      <c r="D1031" t="s">
        <v>3471</v>
      </c>
      <c r="E1031" t="s">
        <v>8561</v>
      </c>
      <c r="F1031">
        <v>0</v>
      </c>
      <c r="G1031">
        <v>0</v>
      </c>
    </row>
    <row r="1032" spans="1:7" x14ac:dyDescent="0.2">
      <c r="A1032" t="s">
        <v>815</v>
      </c>
      <c r="B1032" t="s">
        <v>816</v>
      </c>
      <c r="C1032" t="s">
        <v>446</v>
      </c>
      <c r="D1032" t="s">
        <v>8</v>
      </c>
      <c r="E1032" t="s">
        <v>4854</v>
      </c>
      <c r="F1032">
        <v>13</v>
      </c>
      <c r="G1032">
        <v>255</v>
      </c>
    </row>
    <row r="1033" spans="1:7" x14ac:dyDescent="0.2">
      <c r="A1033" t="s">
        <v>809</v>
      </c>
      <c r="B1033" t="s">
        <v>810</v>
      </c>
      <c r="C1033" t="s">
        <v>446</v>
      </c>
      <c r="D1033" t="s">
        <v>3471</v>
      </c>
      <c r="E1033" t="s">
        <v>8562</v>
      </c>
      <c r="F1033">
        <v>0</v>
      </c>
      <c r="G1033">
        <v>0</v>
      </c>
    </row>
    <row r="1034" spans="1:7" x14ac:dyDescent="0.2">
      <c r="A1034" t="s">
        <v>809</v>
      </c>
      <c r="B1034" t="s">
        <v>810</v>
      </c>
      <c r="C1034" t="s">
        <v>446</v>
      </c>
      <c r="D1034" t="s">
        <v>8</v>
      </c>
      <c r="E1034" t="s">
        <v>4855</v>
      </c>
      <c r="F1034">
        <v>13.833333333333334</v>
      </c>
      <c r="G1034">
        <v>196</v>
      </c>
    </row>
    <row r="1035" spans="1:7" x14ac:dyDescent="0.2">
      <c r="A1035" t="s">
        <v>811</v>
      </c>
      <c r="B1035" t="s">
        <v>812</v>
      </c>
      <c r="C1035" t="s">
        <v>446</v>
      </c>
      <c r="D1035" t="s">
        <v>3471</v>
      </c>
      <c r="E1035" t="s">
        <v>8563</v>
      </c>
      <c r="F1035">
        <v>0</v>
      </c>
      <c r="G1035">
        <v>1</v>
      </c>
    </row>
    <row r="1036" spans="1:7" x14ac:dyDescent="0.2">
      <c r="A1036" t="s">
        <v>811</v>
      </c>
      <c r="B1036" t="s">
        <v>812</v>
      </c>
      <c r="C1036" t="s">
        <v>446</v>
      </c>
      <c r="D1036" t="s">
        <v>8</v>
      </c>
      <c r="E1036" t="s">
        <v>4856</v>
      </c>
      <c r="F1036">
        <v>3.8333333333333335</v>
      </c>
      <c r="G1036">
        <v>123</v>
      </c>
    </row>
    <row r="1037" spans="1:7" x14ac:dyDescent="0.2">
      <c r="A1037" t="s">
        <v>813</v>
      </c>
      <c r="B1037" t="s">
        <v>814</v>
      </c>
      <c r="C1037" t="s">
        <v>446</v>
      </c>
      <c r="D1037" t="s">
        <v>3471</v>
      </c>
      <c r="E1037" t="s">
        <v>8564</v>
      </c>
      <c r="F1037">
        <v>0</v>
      </c>
      <c r="G1037">
        <v>0</v>
      </c>
    </row>
    <row r="1038" spans="1:7" x14ac:dyDescent="0.2">
      <c r="A1038" t="s">
        <v>813</v>
      </c>
      <c r="B1038" t="s">
        <v>814</v>
      </c>
      <c r="C1038" t="s">
        <v>446</v>
      </c>
      <c r="D1038" t="s">
        <v>8</v>
      </c>
      <c r="E1038" t="s">
        <v>4857</v>
      </c>
      <c r="F1038">
        <v>4.5</v>
      </c>
      <c r="G1038">
        <v>98</v>
      </c>
    </row>
    <row r="1039" spans="1:7" x14ac:dyDescent="0.2">
      <c r="A1039" t="s">
        <v>651</v>
      </c>
      <c r="B1039" t="s">
        <v>652</v>
      </c>
      <c r="C1039" t="s">
        <v>446</v>
      </c>
      <c r="D1039" t="s">
        <v>10</v>
      </c>
      <c r="E1039" t="s">
        <v>4858</v>
      </c>
      <c r="F1039">
        <v>0.33333333333333331</v>
      </c>
      <c r="G1039">
        <v>8</v>
      </c>
    </row>
    <row r="1040" spans="1:7" x14ac:dyDescent="0.2">
      <c r="A1040" t="s">
        <v>651</v>
      </c>
      <c r="B1040" t="s">
        <v>652</v>
      </c>
      <c r="C1040" t="s">
        <v>446</v>
      </c>
      <c r="D1040" t="s">
        <v>3471</v>
      </c>
      <c r="E1040" t="s">
        <v>4859</v>
      </c>
      <c r="F1040">
        <v>0</v>
      </c>
      <c r="G1040">
        <v>0</v>
      </c>
    </row>
    <row r="1041" spans="1:7" x14ac:dyDescent="0.2">
      <c r="A1041" t="s">
        <v>651</v>
      </c>
      <c r="B1041" t="s">
        <v>652</v>
      </c>
      <c r="C1041" t="s">
        <v>446</v>
      </c>
      <c r="D1041" t="s">
        <v>8</v>
      </c>
      <c r="E1041" t="s">
        <v>4860</v>
      </c>
    </row>
    <row r="1042" spans="1:7" x14ac:dyDescent="0.2">
      <c r="A1042" t="s">
        <v>651</v>
      </c>
      <c r="B1042" t="s">
        <v>652</v>
      </c>
      <c r="C1042" t="s">
        <v>446</v>
      </c>
      <c r="D1042" t="s">
        <v>3484</v>
      </c>
    </row>
    <row r="1043" spans="1:7" x14ac:dyDescent="0.2">
      <c r="A1043" t="s">
        <v>653</v>
      </c>
      <c r="B1043" t="s">
        <v>654</v>
      </c>
      <c r="C1043" t="s">
        <v>446</v>
      </c>
      <c r="D1043" t="s">
        <v>3471</v>
      </c>
      <c r="E1043" t="s">
        <v>8565</v>
      </c>
      <c r="F1043">
        <v>0</v>
      </c>
      <c r="G1043">
        <v>0</v>
      </c>
    </row>
    <row r="1044" spans="1:7" x14ac:dyDescent="0.2">
      <c r="A1044" t="s">
        <v>653</v>
      </c>
      <c r="B1044" t="s">
        <v>654</v>
      </c>
      <c r="C1044" t="s">
        <v>446</v>
      </c>
      <c r="D1044" t="s">
        <v>8</v>
      </c>
      <c r="E1044" t="s">
        <v>4861</v>
      </c>
      <c r="F1044">
        <v>20.333333333333332</v>
      </c>
      <c r="G1044">
        <v>225</v>
      </c>
    </row>
    <row r="1045" spans="1:7" x14ac:dyDescent="0.2">
      <c r="A1045" t="s">
        <v>653</v>
      </c>
      <c r="B1045" t="s">
        <v>654</v>
      </c>
      <c r="C1045" t="s">
        <v>446</v>
      </c>
      <c r="D1045" t="s">
        <v>3469</v>
      </c>
      <c r="F1045">
        <v>0.33333333333333331</v>
      </c>
      <c r="G1045">
        <v>9</v>
      </c>
    </row>
    <row r="1046" spans="1:7" x14ac:dyDescent="0.2">
      <c r="A1046" t="s">
        <v>653</v>
      </c>
      <c r="B1046" t="s">
        <v>654</v>
      </c>
      <c r="C1046" t="s">
        <v>446</v>
      </c>
      <c r="D1046" t="s">
        <v>12</v>
      </c>
      <c r="F1046">
        <v>19.833333333333332</v>
      </c>
      <c r="G1046">
        <v>906</v>
      </c>
    </row>
    <row r="1047" spans="1:7" x14ac:dyDescent="0.2">
      <c r="A1047" t="s">
        <v>655</v>
      </c>
      <c r="B1047" t="s">
        <v>656</v>
      </c>
      <c r="C1047" t="s">
        <v>446</v>
      </c>
      <c r="D1047" t="s">
        <v>3471</v>
      </c>
      <c r="E1047" t="s">
        <v>8566</v>
      </c>
      <c r="F1047">
        <v>0</v>
      </c>
      <c r="G1047">
        <v>0</v>
      </c>
    </row>
    <row r="1048" spans="1:7" x14ac:dyDescent="0.2">
      <c r="A1048" t="s">
        <v>655</v>
      </c>
      <c r="B1048" t="s">
        <v>656</v>
      </c>
      <c r="C1048" t="s">
        <v>446</v>
      </c>
      <c r="D1048" t="s">
        <v>8</v>
      </c>
      <c r="E1048" t="s">
        <v>4862</v>
      </c>
      <c r="F1048">
        <v>19</v>
      </c>
      <c r="G1048">
        <v>396</v>
      </c>
    </row>
    <row r="1049" spans="1:7" x14ac:dyDescent="0.2">
      <c r="A1049" t="s">
        <v>655</v>
      </c>
      <c r="B1049" t="s">
        <v>656</v>
      </c>
      <c r="C1049" t="s">
        <v>446</v>
      </c>
      <c r="D1049" t="s">
        <v>3469</v>
      </c>
      <c r="F1049">
        <v>0</v>
      </c>
      <c r="G1049">
        <v>10</v>
      </c>
    </row>
    <row r="1050" spans="1:7" x14ac:dyDescent="0.2">
      <c r="A1050" t="s">
        <v>655</v>
      </c>
      <c r="B1050" t="s">
        <v>656</v>
      </c>
      <c r="C1050" t="s">
        <v>446</v>
      </c>
      <c r="D1050" t="s">
        <v>12</v>
      </c>
      <c r="F1050">
        <v>0.16666666666666666</v>
      </c>
      <c r="G1050">
        <v>0</v>
      </c>
    </row>
    <row r="1051" spans="1:7" x14ac:dyDescent="0.2">
      <c r="A1051" t="s">
        <v>888</v>
      </c>
      <c r="B1051" t="s">
        <v>889</v>
      </c>
      <c r="C1051" t="s">
        <v>446</v>
      </c>
      <c r="D1051" t="s">
        <v>3471</v>
      </c>
      <c r="E1051" t="s">
        <v>4863</v>
      </c>
      <c r="F1051">
        <v>0</v>
      </c>
      <c r="G1051">
        <v>0</v>
      </c>
    </row>
    <row r="1052" spans="1:7" x14ac:dyDescent="0.2">
      <c r="A1052" t="s">
        <v>888</v>
      </c>
      <c r="B1052" t="s">
        <v>889</v>
      </c>
      <c r="C1052" t="s">
        <v>446</v>
      </c>
      <c r="D1052" t="s">
        <v>8</v>
      </c>
      <c r="E1052" t="s">
        <v>4864</v>
      </c>
      <c r="F1052">
        <v>1.5</v>
      </c>
      <c r="G1052">
        <v>6</v>
      </c>
    </row>
    <row r="1053" spans="1:7" x14ac:dyDescent="0.2">
      <c r="A1053" t="s">
        <v>888</v>
      </c>
      <c r="B1053" t="s">
        <v>889</v>
      </c>
      <c r="C1053" t="s">
        <v>446</v>
      </c>
      <c r="D1053" t="s">
        <v>3469</v>
      </c>
      <c r="F1053">
        <v>0.5</v>
      </c>
      <c r="G1053">
        <v>1</v>
      </c>
    </row>
    <row r="1054" spans="1:7" x14ac:dyDescent="0.2">
      <c r="A1054" t="s">
        <v>886</v>
      </c>
      <c r="B1054" t="s">
        <v>887</v>
      </c>
      <c r="C1054" t="s">
        <v>446</v>
      </c>
      <c r="D1054" t="s">
        <v>8</v>
      </c>
      <c r="E1054" t="s">
        <v>4865</v>
      </c>
    </row>
    <row r="1055" spans="1:7" x14ac:dyDescent="0.2">
      <c r="A1055" t="s">
        <v>886</v>
      </c>
      <c r="B1055" t="s">
        <v>887</v>
      </c>
      <c r="C1055" t="s">
        <v>446</v>
      </c>
      <c r="D1055" t="s">
        <v>3469</v>
      </c>
    </row>
    <row r="1056" spans="1:7" x14ac:dyDescent="0.2">
      <c r="A1056" t="s">
        <v>4866</v>
      </c>
      <c r="B1056" t="s">
        <v>4867</v>
      </c>
      <c r="C1056" t="s">
        <v>446</v>
      </c>
      <c r="D1056" t="s">
        <v>12</v>
      </c>
    </row>
    <row r="1057" spans="1:7" x14ac:dyDescent="0.2">
      <c r="A1057" t="s">
        <v>4868</v>
      </c>
      <c r="B1057" t="s">
        <v>4869</v>
      </c>
      <c r="C1057" t="s">
        <v>446</v>
      </c>
      <c r="D1057" t="s">
        <v>12</v>
      </c>
    </row>
    <row r="1058" spans="1:7" x14ac:dyDescent="0.2">
      <c r="A1058" t="s">
        <v>4870</v>
      </c>
      <c r="B1058" t="s">
        <v>4871</v>
      </c>
      <c r="C1058" t="s">
        <v>446</v>
      </c>
      <c r="D1058" t="s">
        <v>12</v>
      </c>
    </row>
    <row r="1059" spans="1:7" x14ac:dyDescent="0.2">
      <c r="A1059" t="s">
        <v>4872</v>
      </c>
      <c r="B1059" t="s">
        <v>4873</v>
      </c>
      <c r="C1059" t="s">
        <v>446</v>
      </c>
      <c r="D1059" t="s">
        <v>12</v>
      </c>
    </row>
    <row r="1060" spans="1:7" x14ac:dyDescent="0.2">
      <c r="A1060" t="s">
        <v>4874</v>
      </c>
      <c r="B1060" t="s">
        <v>4875</v>
      </c>
      <c r="C1060" t="s">
        <v>446</v>
      </c>
      <c r="D1060" t="s">
        <v>12</v>
      </c>
    </row>
    <row r="1061" spans="1:7" x14ac:dyDescent="0.2">
      <c r="A1061" t="s">
        <v>4876</v>
      </c>
      <c r="B1061" t="s">
        <v>4877</v>
      </c>
      <c r="C1061" t="s">
        <v>446</v>
      </c>
      <c r="D1061" t="s">
        <v>12</v>
      </c>
    </row>
    <row r="1062" spans="1:7" x14ac:dyDescent="0.2">
      <c r="A1062" t="s">
        <v>914</v>
      </c>
      <c r="B1062" t="s">
        <v>915</v>
      </c>
      <c r="C1062" t="s">
        <v>446</v>
      </c>
      <c r="D1062" t="s">
        <v>3471</v>
      </c>
      <c r="E1062" t="s">
        <v>4878</v>
      </c>
      <c r="F1062">
        <v>0</v>
      </c>
      <c r="G1062">
        <v>0</v>
      </c>
    </row>
    <row r="1063" spans="1:7" x14ac:dyDescent="0.2">
      <c r="A1063" t="s">
        <v>914</v>
      </c>
      <c r="B1063" t="s">
        <v>915</v>
      </c>
      <c r="C1063" t="s">
        <v>446</v>
      </c>
      <c r="D1063" t="s">
        <v>8</v>
      </c>
      <c r="E1063" t="s">
        <v>4879</v>
      </c>
      <c r="F1063">
        <v>45.833333333333336</v>
      </c>
      <c r="G1063">
        <v>684</v>
      </c>
    </row>
    <row r="1064" spans="1:7" x14ac:dyDescent="0.2">
      <c r="A1064" t="s">
        <v>914</v>
      </c>
      <c r="B1064" t="s">
        <v>915</v>
      </c>
      <c r="C1064" t="s">
        <v>446</v>
      </c>
      <c r="D1064" t="s">
        <v>3484</v>
      </c>
    </row>
    <row r="1065" spans="1:7" x14ac:dyDescent="0.2">
      <c r="A1065" t="s">
        <v>916</v>
      </c>
      <c r="B1065" t="s">
        <v>917</v>
      </c>
      <c r="C1065" t="s">
        <v>446</v>
      </c>
      <c r="D1065" t="s">
        <v>3471</v>
      </c>
      <c r="E1065" t="s">
        <v>4880</v>
      </c>
      <c r="F1065">
        <v>0</v>
      </c>
      <c r="G1065">
        <v>0</v>
      </c>
    </row>
    <row r="1066" spans="1:7" x14ac:dyDescent="0.2">
      <c r="A1066" t="s">
        <v>916</v>
      </c>
      <c r="B1066" t="s">
        <v>917</v>
      </c>
      <c r="C1066" t="s">
        <v>446</v>
      </c>
      <c r="D1066" t="s">
        <v>8</v>
      </c>
      <c r="E1066" t="s">
        <v>4881</v>
      </c>
      <c r="F1066">
        <v>12.666666666666666</v>
      </c>
      <c r="G1066">
        <v>336</v>
      </c>
    </row>
    <row r="1067" spans="1:7" x14ac:dyDescent="0.2">
      <c r="A1067" t="s">
        <v>912</v>
      </c>
      <c r="B1067" t="s">
        <v>913</v>
      </c>
      <c r="C1067" t="s">
        <v>446</v>
      </c>
      <c r="D1067" t="s">
        <v>10</v>
      </c>
      <c r="E1067" t="s">
        <v>4882</v>
      </c>
    </row>
    <row r="1068" spans="1:7" x14ac:dyDescent="0.2">
      <c r="A1068" t="s">
        <v>912</v>
      </c>
      <c r="B1068" t="s">
        <v>913</v>
      </c>
      <c r="C1068" t="s">
        <v>446</v>
      </c>
      <c r="D1068" t="s">
        <v>3471</v>
      </c>
      <c r="E1068" t="s">
        <v>4883</v>
      </c>
      <c r="F1068">
        <v>0.66666666666666663</v>
      </c>
      <c r="G1068">
        <v>1</v>
      </c>
    </row>
    <row r="1069" spans="1:7" x14ac:dyDescent="0.2">
      <c r="A1069" t="s">
        <v>912</v>
      </c>
      <c r="B1069" t="s">
        <v>913</v>
      </c>
      <c r="C1069" t="s">
        <v>446</v>
      </c>
      <c r="D1069" t="s">
        <v>8</v>
      </c>
      <c r="E1069" t="s">
        <v>4884</v>
      </c>
      <c r="F1069">
        <v>28</v>
      </c>
      <c r="G1069">
        <v>397</v>
      </c>
    </row>
    <row r="1070" spans="1:7" x14ac:dyDescent="0.2">
      <c r="A1070" t="s">
        <v>912</v>
      </c>
      <c r="B1070" t="s">
        <v>913</v>
      </c>
      <c r="C1070" t="s">
        <v>446</v>
      </c>
      <c r="D1070" t="s">
        <v>3484</v>
      </c>
    </row>
    <row r="1071" spans="1:7" x14ac:dyDescent="0.2">
      <c r="A1071" t="s">
        <v>667</v>
      </c>
      <c r="B1071" t="s">
        <v>668</v>
      </c>
      <c r="C1071" t="s">
        <v>446</v>
      </c>
      <c r="D1071" t="s">
        <v>8</v>
      </c>
      <c r="E1071" t="s">
        <v>4885</v>
      </c>
      <c r="F1071">
        <v>50.666666666666664</v>
      </c>
      <c r="G1071">
        <v>604</v>
      </c>
    </row>
    <row r="1072" spans="1:7" x14ac:dyDescent="0.2">
      <c r="A1072" t="s">
        <v>667</v>
      </c>
      <c r="B1072" t="s">
        <v>668</v>
      </c>
      <c r="C1072" t="s">
        <v>446</v>
      </c>
      <c r="D1072" t="s">
        <v>12</v>
      </c>
      <c r="F1072">
        <v>0</v>
      </c>
      <c r="G1072">
        <v>0</v>
      </c>
    </row>
    <row r="1073" spans="1:7" x14ac:dyDescent="0.2">
      <c r="A1073" t="s">
        <v>665</v>
      </c>
      <c r="B1073" t="s">
        <v>666</v>
      </c>
      <c r="C1073" t="s">
        <v>446</v>
      </c>
      <c r="D1073" t="s">
        <v>8</v>
      </c>
      <c r="E1073" t="s">
        <v>4886</v>
      </c>
      <c r="F1073">
        <v>41.166666666666664</v>
      </c>
      <c r="G1073">
        <v>542</v>
      </c>
    </row>
    <row r="1074" spans="1:7" x14ac:dyDescent="0.2">
      <c r="A1074" t="s">
        <v>882</v>
      </c>
      <c r="B1074" t="s">
        <v>883</v>
      </c>
      <c r="C1074" t="s">
        <v>446</v>
      </c>
      <c r="D1074" t="s">
        <v>3471</v>
      </c>
      <c r="E1074" t="s">
        <v>8567</v>
      </c>
      <c r="F1074">
        <v>0</v>
      </c>
      <c r="G1074">
        <v>0</v>
      </c>
    </row>
    <row r="1075" spans="1:7" x14ac:dyDescent="0.2">
      <c r="A1075" t="s">
        <v>882</v>
      </c>
      <c r="B1075" t="s">
        <v>883</v>
      </c>
      <c r="C1075" t="s">
        <v>446</v>
      </c>
      <c r="D1075" t="s">
        <v>8</v>
      </c>
      <c r="E1075" t="s">
        <v>4887</v>
      </c>
      <c r="F1075">
        <v>17.666666666666668</v>
      </c>
      <c r="G1075">
        <v>439</v>
      </c>
    </row>
    <row r="1076" spans="1:7" x14ac:dyDescent="0.2">
      <c r="A1076" t="s">
        <v>894</v>
      </c>
      <c r="B1076" t="s">
        <v>895</v>
      </c>
      <c r="C1076" t="s">
        <v>446</v>
      </c>
      <c r="D1076" t="s">
        <v>3471</v>
      </c>
      <c r="E1076" t="s">
        <v>8568</v>
      </c>
      <c r="F1076">
        <v>0</v>
      </c>
      <c r="G1076">
        <v>0</v>
      </c>
    </row>
    <row r="1077" spans="1:7" x14ac:dyDescent="0.2">
      <c r="A1077" t="s">
        <v>894</v>
      </c>
      <c r="B1077" t="s">
        <v>895</v>
      </c>
      <c r="C1077" t="s">
        <v>446</v>
      </c>
      <c r="D1077" t="s">
        <v>8</v>
      </c>
      <c r="E1077" t="s">
        <v>4888</v>
      </c>
      <c r="F1077">
        <v>21.666666666666668</v>
      </c>
      <c r="G1077">
        <v>314</v>
      </c>
    </row>
    <row r="1078" spans="1:7" x14ac:dyDescent="0.2">
      <c r="A1078" t="s">
        <v>900</v>
      </c>
      <c r="B1078" t="s">
        <v>901</v>
      </c>
      <c r="C1078" t="s">
        <v>446</v>
      </c>
      <c r="D1078" t="s">
        <v>3471</v>
      </c>
      <c r="E1078" t="s">
        <v>8569</v>
      </c>
    </row>
    <row r="1079" spans="1:7" x14ac:dyDescent="0.2">
      <c r="A1079" t="s">
        <v>900</v>
      </c>
      <c r="B1079" t="s">
        <v>901</v>
      </c>
      <c r="C1079" t="s">
        <v>446</v>
      </c>
      <c r="D1079" t="s">
        <v>8</v>
      </c>
      <c r="E1079" t="s">
        <v>4889</v>
      </c>
      <c r="F1079">
        <v>23.666666666666668</v>
      </c>
      <c r="G1079">
        <v>160</v>
      </c>
    </row>
    <row r="1080" spans="1:7" x14ac:dyDescent="0.2">
      <c r="A1080" t="s">
        <v>898</v>
      </c>
      <c r="B1080" t="s">
        <v>899</v>
      </c>
      <c r="C1080" t="s">
        <v>446</v>
      </c>
      <c r="D1080" t="s">
        <v>3471</v>
      </c>
      <c r="E1080" t="s">
        <v>8570</v>
      </c>
    </row>
    <row r="1081" spans="1:7" x14ac:dyDescent="0.2">
      <c r="A1081" t="s">
        <v>898</v>
      </c>
      <c r="B1081" t="s">
        <v>899</v>
      </c>
      <c r="C1081" t="s">
        <v>446</v>
      </c>
      <c r="D1081" t="s">
        <v>8</v>
      </c>
      <c r="E1081" t="s">
        <v>4890</v>
      </c>
      <c r="F1081">
        <v>29.833333333333332</v>
      </c>
      <c r="G1081">
        <v>220</v>
      </c>
    </row>
    <row r="1082" spans="1:7" x14ac:dyDescent="0.2">
      <c r="A1082" t="s">
        <v>896</v>
      </c>
      <c r="B1082" t="s">
        <v>897</v>
      </c>
      <c r="C1082" t="s">
        <v>446</v>
      </c>
      <c r="D1082" t="s">
        <v>3471</v>
      </c>
      <c r="E1082" t="s">
        <v>8571</v>
      </c>
      <c r="F1082">
        <v>0</v>
      </c>
      <c r="G1082">
        <v>0</v>
      </c>
    </row>
    <row r="1083" spans="1:7" x14ac:dyDescent="0.2">
      <c r="A1083" t="s">
        <v>896</v>
      </c>
      <c r="B1083" t="s">
        <v>897</v>
      </c>
      <c r="C1083" t="s">
        <v>446</v>
      </c>
      <c r="D1083" t="s">
        <v>8</v>
      </c>
      <c r="E1083" t="s">
        <v>4891</v>
      </c>
      <c r="F1083">
        <v>99.166666666666671</v>
      </c>
      <c r="G1083">
        <v>796</v>
      </c>
    </row>
    <row r="1084" spans="1:7" x14ac:dyDescent="0.2">
      <c r="A1084" t="s">
        <v>857</v>
      </c>
      <c r="B1084" t="s">
        <v>858</v>
      </c>
      <c r="C1084" t="s">
        <v>446</v>
      </c>
      <c r="D1084" t="s">
        <v>8</v>
      </c>
      <c r="E1084" t="s">
        <v>4892</v>
      </c>
    </row>
    <row r="1085" spans="1:7" x14ac:dyDescent="0.2">
      <c r="A1085" t="s">
        <v>857</v>
      </c>
      <c r="B1085" t="s">
        <v>858</v>
      </c>
      <c r="C1085" t="s">
        <v>446</v>
      </c>
      <c r="D1085" t="s">
        <v>12</v>
      </c>
      <c r="F1085">
        <v>0</v>
      </c>
      <c r="G1085">
        <v>7</v>
      </c>
    </row>
    <row r="1086" spans="1:7" x14ac:dyDescent="0.2">
      <c r="A1086" t="s">
        <v>4893</v>
      </c>
      <c r="B1086" t="s">
        <v>4894</v>
      </c>
      <c r="C1086" t="s">
        <v>446</v>
      </c>
      <c r="D1086" t="s">
        <v>8</v>
      </c>
      <c r="E1086" t="s">
        <v>4895</v>
      </c>
    </row>
    <row r="1087" spans="1:7" x14ac:dyDescent="0.2">
      <c r="A1087" t="s">
        <v>4893</v>
      </c>
      <c r="B1087" t="s">
        <v>4894</v>
      </c>
      <c r="C1087" t="s">
        <v>446</v>
      </c>
      <c r="D1087" t="s">
        <v>12</v>
      </c>
      <c r="F1087">
        <v>0.33333333333333331</v>
      </c>
      <c r="G1087">
        <v>0</v>
      </c>
    </row>
    <row r="1088" spans="1:7" x14ac:dyDescent="0.2">
      <c r="A1088" t="s">
        <v>859</v>
      </c>
      <c r="B1088" t="s">
        <v>860</v>
      </c>
      <c r="C1088" t="s">
        <v>446</v>
      </c>
      <c r="D1088" t="s">
        <v>12</v>
      </c>
      <c r="F1088">
        <v>0.16666666666666666</v>
      </c>
      <c r="G1088">
        <v>1</v>
      </c>
    </row>
    <row r="1089" spans="1:7" x14ac:dyDescent="0.2">
      <c r="A1089" t="s">
        <v>855</v>
      </c>
      <c r="B1089" t="s">
        <v>856</v>
      </c>
      <c r="C1089" t="s">
        <v>446</v>
      </c>
      <c r="D1089" t="s">
        <v>12</v>
      </c>
      <c r="F1089">
        <v>0.16666666666666666</v>
      </c>
      <c r="G1089">
        <v>1</v>
      </c>
    </row>
    <row r="1090" spans="1:7" x14ac:dyDescent="0.2">
      <c r="A1090" t="s">
        <v>890</v>
      </c>
      <c r="B1090" t="s">
        <v>891</v>
      </c>
      <c r="C1090" t="s">
        <v>446</v>
      </c>
      <c r="D1090" t="s">
        <v>3471</v>
      </c>
      <c r="E1090" t="s">
        <v>4896</v>
      </c>
    </row>
    <row r="1091" spans="1:7" x14ac:dyDescent="0.2">
      <c r="A1091" t="s">
        <v>890</v>
      </c>
      <c r="B1091" t="s">
        <v>891</v>
      </c>
      <c r="C1091" t="s">
        <v>446</v>
      </c>
      <c r="D1091" t="s">
        <v>8</v>
      </c>
      <c r="E1091" t="s">
        <v>4897</v>
      </c>
      <c r="F1091">
        <v>45.333333333333336</v>
      </c>
      <c r="G1091">
        <v>236</v>
      </c>
    </row>
    <row r="1092" spans="1:7" x14ac:dyDescent="0.2">
      <c r="A1092" t="s">
        <v>892</v>
      </c>
      <c r="B1092" t="s">
        <v>893</v>
      </c>
      <c r="C1092" t="s">
        <v>446</v>
      </c>
      <c r="D1092" t="s">
        <v>10</v>
      </c>
      <c r="E1092" t="s">
        <v>8953</v>
      </c>
      <c r="F1092">
        <v>75.666666666666671</v>
      </c>
      <c r="G1092">
        <v>512</v>
      </c>
    </row>
    <row r="1093" spans="1:7" x14ac:dyDescent="0.2">
      <c r="A1093" t="s">
        <v>892</v>
      </c>
      <c r="B1093" t="s">
        <v>893</v>
      </c>
      <c r="C1093" t="s">
        <v>446</v>
      </c>
      <c r="D1093" t="s">
        <v>3471</v>
      </c>
      <c r="E1093" t="s">
        <v>4898</v>
      </c>
    </row>
    <row r="1094" spans="1:7" x14ac:dyDescent="0.2">
      <c r="A1094" t="s">
        <v>892</v>
      </c>
      <c r="B1094" t="s">
        <v>893</v>
      </c>
      <c r="C1094" t="s">
        <v>446</v>
      </c>
      <c r="D1094" t="s">
        <v>8</v>
      </c>
      <c r="E1094" t="s">
        <v>4899</v>
      </c>
      <c r="F1094">
        <v>24</v>
      </c>
      <c r="G1094">
        <v>131</v>
      </c>
    </row>
    <row r="1095" spans="1:7" x14ac:dyDescent="0.2">
      <c r="A1095" t="s">
        <v>884</v>
      </c>
      <c r="B1095" t="s">
        <v>885</v>
      </c>
      <c r="C1095" t="s">
        <v>446</v>
      </c>
      <c r="D1095" t="s">
        <v>3471</v>
      </c>
      <c r="E1095" t="s">
        <v>4900</v>
      </c>
      <c r="F1095">
        <v>0</v>
      </c>
      <c r="G1095">
        <v>0</v>
      </c>
    </row>
    <row r="1096" spans="1:7" x14ac:dyDescent="0.2">
      <c r="A1096" t="s">
        <v>884</v>
      </c>
      <c r="B1096" t="s">
        <v>885</v>
      </c>
      <c r="C1096" t="s">
        <v>446</v>
      </c>
      <c r="D1096" t="s">
        <v>8</v>
      </c>
      <c r="E1096" t="s">
        <v>4901</v>
      </c>
      <c r="F1096">
        <v>23.833333333333332</v>
      </c>
      <c r="G1096">
        <v>520</v>
      </c>
    </row>
    <row r="1097" spans="1:7" x14ac:dyDescent="0.2">
      <c r="A1097" t="s">
        <v>884</v>
      </c>
      <c r="B1097" t="s">
        <v>885</v>
      </c>
      <c r="C1097" t="s">
        <v>446</v>
      </c>
      <c r="D1097" t="s">
        <v>3484</v>
      </c>
    </row>
    <row r="1098" spans="1:7" x14ac:dyDescent="0.2">
      <c r="A1098" t="s">
        <v>998</v>
      </c>
      <c r="B1098" t="s">
        <v>999</v>
      </c>
      <c r="C1098" t="s">
        <v>446</v>
      </c>
      <c r="D1098" t="s">
        <v>10</v>
      </c>
      <c r="E1098" t="s">
        <v>8954</v>
      </c>
      <c r="F1098">
        <v>35.166666666666664</v>
      </c>
      <c r="G1098">
        <v>317</v>
      </c>
    </row>
    <row r="1099" spans="1:7" x14ac:dyDescent="0.2">
      <c r="A1099" t="s">
        <v>998</v>
      </c>
      <c r="B1099" t="s">
        <v>999</v>
      </c>
      <c r="C1099" t="s">
        <v>446</v>
      </c>
      <c r="D1099" t="s">
        <v>3471</v>
      </c>
      <c r="E1099" t="s">
        <v>4902</v>
      </c>
    </row>
    <row r="1100" spans="1:7" x14ac:dyDescent="0.2">
      <c r="A1100" t="s">
        <v>998</v>
      </c>
      <c r="B1100" t="s">
        <v>999</v>
      </c>
      <c r="C1100" t="s">
        <v>446</v>
      </c>
      <c r="D1100" t="s">
        <v>8</v>
      </c>
      <c r="E1100" t="s">
        <v>4903</v>
      </c>
      <c r="F1100">
        <v>20.166666666666668</v>
      </c>
      <c r="G1100">
        <v>196</v>
      </c>
    </row>
    <row r="1101" spans="1:7" x14ac:dyDescent="0.2">
      <c r="A1101" t="s">
        <v>1002</v>
      </c>
      <c r="B1101" t="s">
        <v>1003</v>
      </c>
      <c r="C1101" t="s">
        <v>446</v>
      </c>
      <c r="D1101" t="s">
        <v>3471</v>
      </c>
      <c r="E1101" t="s">
        <v>4904</v>
      </c>
    </row>
    <row r="1102" spans="1:7" x14ac:dyDescent="0.2">
      <c r="A1102" t="s">
        <v>1002</v>
      </c>
      <c r="B1102" t="s">
        <v>1003</v>
      </c>
      <c r="C1102" t="s">
        <v>446</v>
      </c>
      <c r="D1102" t="s">
        <v>8</v>
      </c>
      <c r="E1102" t="s">
        <v>4905</v>
      </c>
    </row>
    <row r="1103" spans="1:7" x14ac:dyDescent="0.2">
      <c r="A1103" t="s">
        <v>4906</v>
      </c>
      <c r="B1103" t="s">
        <v>4907</v>
      </c>
      <c r="C1103" t="s">
        <v>446</v>
      </c>
      <c r="D1103" t="s">
        <v>8</v>
      </c>
      <c r="E1103" t="s">
        <v>4908</v>
      </c>
    </row>
    <row r="1104" spans="1:7" x14ac:dyDescent="0.2">
      <c r="A1104" t="s">
        <v>1000</v>
      </c>
      <c r="B1104" t="s">
        <v>1001</v>
      </c>
      <c r="C1104" t="s">
        <v>446</v>
      </c>
      <c r="D1104" t="s">
        <v>3471</v>
      </c>
      <c r="E1104" t="s">
        <v>4909</v>
      </c>
    </row>
    <row r="1105" spans="1:7" x14ac:dyDescent="0.2">
      <c r="A1105" t="s">
        <v>1000</v>
      </c>
      <c r="B1105" t="s">
        <v>1001</v>
      </c>
      <c r="C1105" t="s">
        <v>446</v>
      </c>
      <c r="D1105" t="s">
        <v>8</v>
      </c>
      <c r="E1105" t="s">
        <v>4910</v>
      </c>
      <c r="F1105">
        <v>18.833333333333332</v>
      </c>
      <c r="G1105">
        <v>205</v>
      </c>
    </row>
    <row r="1106" spans="1:7" x14ac:dyDescent="0.2">
      <c r="A1106" t="s">
        <v>996</v>
      </c>
      <c r="B1106" t="s">
        <v>997</v>
      </c>
      <c r="C1106" t="s">
        <v>446</v>
      </c>
      <c r="D1106" t="s">
        <v>8</v>
      </c>
      <c r="E1106" t="s">
        <v>8572</v>
      </c>
      <c r="F1106">
        <v>43.833333333333336</v>
      </c>
      <c r="G1106">
        <v>517</v>
      </c>
    </row>
    <row r="1107" spans="1:7" x14ac:dyDescent="0.2">
      <c r="A1107" t="s">
        <v>4911</v>
      </c>
      <c r="B1107" t="s">
        <v>4912</v>
      </c>
      <c r="C1107" t="s">
        <v>446</v>
      </c>
      <c r="D1107" t="s">
        <v>8</v>
      </c>
      <c r="E1107" t="s">
        <v>4913</v>
      </c>
    </row>
    <row r="1108" spans="1:7" x14ac:dyDescent="0.2">
      <c r="A1108" t="s">
        <v>4911</v>
      </c>
      <c r="B1108" t="s">
        <v>4912</v>
      </c>
      <c r="C1108" t="s">
        <v>446</v>
      </c>
      <c r="D1108" t="s">
        <v>12</v>
      </c>
      <c r="F1108">
        <v>0</v>
      </c>
      <c r="G1108">
        <v>1</v>
      </c>
    </row>
    <row r="1109" spans="1:7" x14ac:dyDescent="0.2">
      <c r="A1109" t="s">
        <v>4914</v>
      </c>
      <c r="B1109" t="s">
        <v>4915</v>
      </c>
      <c r="C1109" t="s">
        <v>446</v>
      </c>
      <c r="D1109" t="s">
        <v>8</v>
      </c>
      <c r="E1109" t="s">
        <v>4916</v>
      </c>
    </row>
    <row r="1110" spans="1:7" x14ac:dyDescent="0.2">
      <c r="A1110" t="s">
        <v>4914</v>
      </c>
      <c r="B1110" t="s">
        <v>4915</v>
      </c>
      <c r="C1110" t="s">
        <v>446</v>
      </c>
      <c r="D1110" t="s">
        <v>12</v>
      </c>
    </row>
    <row r="1111" spans="1:7" x14ac:dyDescent="0.2">
      <c r="A1111" t="s">
        <v>4917</v>
      </c>
      <c r="B1111" t="s">
        <v>4918</v>
      </c>
      <c r="C1111" t="s">
        <v>446</v>
      </c>
      <c r="D1111" t="s">
        <v>8</v>
      </c>
      <c r="E1111" t="s">
        <v>4919</v>
      </c>
    </row>
    <row r="1112" spans="1:7" x14ac:dyDescent="0.2">
      <c r="A1112" t="s">
        <v>4917</v>
      </c>
      <c r="B1112" t="s">
        <v>4918</v>
      </c>
      <c r="C1112" t="s">
        <v>446</v>
      </c>
      <c r="D1112" t="s">
        <v>12</v>
      </c>
    </row>
    <row r="1113" spans="1:7" x14ac:dyDescent="0.2">
      <c r="A1113" t="s">
        <v>4920</v>
      </c>
      <c r="B1113" t="s">
        <v>4921</v>
      </c>
      <c r="C1113" t="s">
        <v>446</v>
      </c>
      <c r="D1113" t="s">
        <v>12</v>
      </c>
    </row>
    <row r="1114" spans="1:7" x14ac:dyDescent="0.2">
      <c r="A1114" t="s">
        <v>4920</v>
      </c>
      <c r="B1114" t="s">
        <v>4921</v>
      </c>
      <c r="C1114" t="s">
        <v>446</v>
      </c>
      <c r="D1114" t="s">
        <v>3484</v>
      </c>
    </row>
    <row r="1115" spans="1:7" x14ac:dyDescent="0.2">
      <c r="A1115" t="s">
        <v>503</v>
      </c>
      <c r="B1115" t="s">
        <v>504</v>
      </c>
      <c r="C1115" t="s">
        <v>446</v>
      </c>
      <c r="D1115" t="s">
        <v>10</v>
      </c>
      <c r="E1115" t="s">
        <v>8955</v>
      </c>
      <c r="F1115">
        <v>67.666666666666671</v>
      </c>
      <c r="G1115">
        <v>98</v>
      </c>
    </row>
    <row r="1116" spans="1:7" x14ac:dyDescent="0.2">
      <c r="A1116" t="s">
        <v>503</v>
      </c>
      <c r="B1116" t="s">
        <v>504</v>
      </c>
      <c r="C1116" t="s">
        <v>446</v>
      </c>
      <c r="D1116" t="s">
        <v>3471</v>
      </c>
      <c r="E1116" t="s">
        <v>4922</v>
      </c>
    </row>
    <row r="1117" spans="1:7" x14ac:dyDescent="0.2">
      <c r="A1117" t="s">
        <v>503</v>
      </c>
      <c r="B1117" t="s">
        <v>504</v>
      </c>
      <c r="C1117" t="s">
        <v>446</v>
      </c>
      <c r="D1117" t="s">
        <v>8</v>
      </c>
      <c r="E1117" t="s">
        <v>4923</v>
      </c>
      <c r="F1117">
        <v>56.333333333333336</v>
      </c>
      <c r="G1117">
        <v>311</v>
      </c>
    </row>
    <row r="1118" spans="1:7" x14ac:dyDescent="0.2">
      <c r="A1118" t="s">
        <v>505</v>
      </c>
      <c r="B1118" t="s">
        <v>506</v>
      </c>
      <c r="C1118" t="s">
        <v>446</v>
      </c>
      <c r="D1118" t="s">
        <v>10</v>
      </c>
      <c r="E1118" t="s">
        <v>8956</v>
      </c>
      <c r="F1118">
        <v>52.166666666666664</v>
      </c>
      <c r="G1118">
        <v>261</v>
      </c>
    </row>
    <row r="1119" spans="1:7" x14ac:dyDescent="0.2">
      <c r="A1119" t="s">
        <v>505</v>
      </c>
      <c r="B1119" t="s">
        <v>506</v>
      </c>
      <c r="C1119" t="s">
        <v>446</v>
      </c>
      <c r="D1119" t="s">
        <v>3471</v>
      </c>
      <c r="E1119" t="s">
        <v>4924</v>
      </c>
    </row>
    <row r="1120" spans="1:7" x14ac:dyDescent="0.2">
      <c r="A1120" t="s">
        <v>505</v>
      </c>
      <c r="B1120" t="s">
        <v>506</v>
      </c>
      <c r="C1120" t="s">
        <v>446</v>
      </c>
      <c r="D1120" t="s">
        <v>8</v>
      </c>
      <c r="E1120" t="s">
        <v>4925</v>
      </c>
      <c r="F1120">
        <v>29.166666666666668</v>
      </c>
      <c r="G1120">
        <v>329</v>
      </c>
    </row>
    <row r="1121" spans="1:7" x14ac:dyDescent="0.2">
      <c r="A1121" t="s">
        <v>4926</v>
      </c>
      <c r="B1121" t="s">
        <v>4927</v>
      </c>
      <c r="C1121" t="s">
        <v>446</v>
      </c>
      <c r="D1121" t="s">
        <v>8</v>
      </c>
      <c r="E1121" t="s">
        <v>4928</v>
      </c>
    </row>
    <row r="1122" spans="1:7" x14ac:dyDescent="0.2">
      <c r="A1122" t="s">
        <v>507</v>
      </c>
      <c r="B1122" t="s">
        <v>508</v>
      </c>
      <c r="C1122" t="s">
        <v>446</v>
      </c>
      <c r="D1122" t="s">
        <v>3471</v>
      </c>
      <c r="E1122" t="s">
        <v>4929</v>
      </c>
    </row>
    <row r="1123" spans="1:7" x14ac:dyDescent="0.2">
      <c r="A1123" t="s">
        <v>507</v>
      </c>
      <c r="B1123" t="s">
        <v>508</v>
      </c>
      <c r="C1123" t="s">
        <v>446</v>
      </c>
      <c r="D1123" t="s">
        <v>8</v>
      </c>
      <c r="E1123" t="s">
        <v>4930</v>
      </c>
      <c r="F1123">
        <v>5.666666666666667</v>
      </c>
      <c r="G1123">
        <v>44</v>
      </c>
    </row>
    <row r="1124" spans="1:7" x14ac:dyDescent="0.2">
      <c r="A1124" t="s">
        <v>1004</v>
      </c>
      <c r="B1124" t="s">
        <v>1005</v>
      </c>
      <c r="C1124" t="s">
        <v>446</v>
      </c>
      <c r="D1124" t="s">
        <v>3471</v>
      </c>
      <c r="E1124" t="s">
        <v>4931</v>
      </c>
    </row>
    <row r="1125" spans="1:7" x14ac:dyDescent="0.2">
      <c r="A1125" t="s">
        <v>1004</v>
      </c>
      <c r="B1125" t="s">
        <v>1005</v>
      </c>
      <c r="C1125" t="s">
        <v>446</v>
      </c>
      <c r="D1125" t="s">
        <v>8</v>
      </c>
      <c r="E1125" t="s">
        <v>4932</v>
      </c>
      <c r="F1125">
        <v>23.166666666666668</v>
      </c>
      <c r="G1125">
        <v>139</v>
      </c>
    </row>
    <row r="1126" spans="1:7" x14ac:dyDescent="0.2">
      <c r="A1126" t="s">
        <v>1004</v>
      </c>
      <c r="B1126" t="s">
        <v>1005</v>
      </c>
      <c r="C1126" t="s">
        <v>446</v>
      </c>
      <c r="D1126" t="s">
        <v>3484</v>
      </c>
    </row>
    <row r="1127" spans="1:7" x14ac:dyDescent="0.2">
      <c r="A1127" t="s">
        <v>1008</v>
      </c>
      <c r="B1127" t="s">
        <v>1009</v>
      </c>
      <c r="C1127" t="s">
        <v>446</v>
      </c>
      <c r="D1127" t="s">
        <v>3471</v>
      </c>
      <c r="E1127" t="s">
        <v>4933</v>
      </c>
    </row>
    <row r="1128" spans="1:7" x14ac:dyDescent="0.2">
      <c r="A1128" t="s">
        <v>1008</v>
      </c>
      <c r="B1128" t="s">
        <v>1009</v>
      </c>
      <c r="C1128" t="s">
        <v>446</v>
      </c>
      <c r="D1128" t="s">
        <v>8</v>
      </c>
      <c r="E1128" t="s">
        <v>4934</v>
      </c>
      <c r="F1128">
        <v>31</v>
      </c>
      <c r="G1128">
        <v>116</v>
      </c>
    </row>
    <row r="1129" spans="1:7" x14ac:dyDescent="0.2">
      <c r="A1129" t="s">
        <v>1008</v>
      </c>
      <c r="B1129" t="s">
        <v>1009</v>
      </c>
      <c r="C1129" t="s">
        <v>446</v>
      </c>
      <c r="D1129" t="s">
        <v>3484</v>
      </c>
    </row>
    <row r="1130" spans="1:7" x14ac:dyDescent="0.2">
      <c r="A1130" t="s">
        <v>1006</v>
      </c>
      <c r="B1130" t="s">
        <v>1007</v>
      </c>
      <c r="C1130" t="s">
        <v>446</v>
      </c>
      <c r="D1130" t="s">
        <v>3471</v>
      </c>
      <c r="E1130" t="s">
        <v>4935</v>
      </c>
    </row>
    <row r="1131" spans="1:7" x14ac:dyDescent="0.2">
      <c r="A1131" t="s">
        <v>1006</v>
      </c>
      <c r="B1131" t="s">
        <v>1007</v>
      </c>
      <c r="C1131" t="s">
        <v>446</v>
      </c>
      <c r="D1131" t="s">
        <v>8</v>
      </c>
      <c r="E1131" t="s">
        <v>4936</v>
      </c>
      <c r="F1131">
        <v>4.5</v>
      </c>
      <c r="G1131">
        <v>23</v>
      </c>
    </row>
    <row r="1132" spans="1:7" x14ac:dyDescent="0.2">
      <c r="A1132" t="s">
        <v>934</v>
      </c>
      <c r="B1132" t="s">
        <v>935</v>
      </c>
      <c r="C1132" t="s">
        <v>446</v>
      </c>
      <c r="D1132" t="s">
        <v>3471</v>
      </c>
      <c r="E1132" t="s">
        <v>4937</v>
      </c>
    </row>
    <row r="1133" spans="1:7" x14ac:dyDescent="0.2">
      <c r="A1133" t="s">
        <v>934</v>
      </c>
      <c r="B1133" t="s">
        <v>935</v>
      </c>
      <c r="C1133" t="s">
        <v>446</v>
      </c>
      <c r="D1133" t="s">
        <v>8</v>
      </c>
      <c r="E1133" t="s">
        <v>4938</v>
      </c>
      <c r="F1133">
        <v>0.66666666666666663</v>
      </c>
      <c r="G1133">
        <v>4</v>
      </c>
    </row>
    <row r="1134" spans="1:7" x14ac:dyDescent="0.2">
      <c r="A1134" t="s">
        <v>934</v>
      </c>
      <c r="B1134" t="s">
        <v>935</v>
      </c>
      <c r="C1134" t="s">
        <v>446</v>
      </c>
      <c r="D1134" t="s">
        <v>12</v>
      </c>
      <c r="F1134">
        <v>0</v>
      </c>
      <c r="G1134">
        <v>3</v>
      </c>
    </row>
    <row r="1135" spans="1:7" x14ac:dyDescent="0.2">
      <c r="A1135" t="s">
        <v>934</v>
      </c>
      <c r="B1135" t="s">
        <v>935</v>
      </c>
      <c r="C1135" t="s">
        <v>446</v>
      </c>
      <c r="D1135" t="s">
        <v>3484</v>
      </c>
    </row>
    <row r="1136" spans="1:7" x14ac:dyDescent="0.2">
      <c r="A1136" t="s">
        <v>932</v>
      </c>
      <c r="B1136" t="s">
        <v>933</v>
      </c>
      <c r="C1136" t="s">
        <v>446</v>
      </c>
      <c r="D1136" t="s">
        <v>13</v>
      </c>
    </row>
    <row r="1137" spans="1:7" x14ac:dyDescent="0.2">
      <c r="A1137" t="s">
        <v>932</v>
      </c>
      <c r="B1137" t="s">
        <v>933</v>
      </c>
      <c r="C1137" t="s">
        <v>446</v>
      </c>
      <c r="D1137" t="s">
        <v>3471</v>
      </c>
      <c r="E1137" t="s">
        <v>4939</v>
      </c>
      <c r="F1137">
        <v>0</v>
      </c>
      <c r="G1137">
        <v>0</v>
      </c>
    </row>
    <row r="1138" spans="1:7" x14ac:dyDescent="0.2">
      <c r="A1138" t="s">
        <v>932</v>
      </c>
      <c r="B1138" t="s">
        <v>933</v>
      </c>
      <c r="C1138" t="s">
        <v>446</v>
      </c>
      <c r="D1138" t="s">
        <v>8</v>
      </c>
      <c r="E1138" t="s">
        <v>4940</v>
      </c>
      <c r="F1138">
        <v>70.666666666666671</v>
      </c>
      <c r="G1138">
        <v>468</v>
      </c>
    </row>
    <row r="1139" spans="1:7" x14ac:dyDescent="0.2">
      <c r="A1139" t="s">
        <v>932</v>
      </c>
      <c r="B1139" t="s">
        <v>933</v>
      </c>
      <c r="C1139" t="s">
        <v>446</v>
      </c>
      <c r="D1139" t="s">
        <v>12</v>
      </c>
      <c r="F1139">
        <v>10.333333333333334</v>
      </c>
      <c r="G1139">
        <v>247</v>
      </c>
    </row>
    <row r="1140" spans="1:7" x14ac:dyDescent="0.2">
      <c r="A1140" t="s">
        <v>932</v>
      </c>
      <c r="B1140" t="s">
        <v>933</v>
      </c>
      <c r="C1140" t="s">
        <v>446</v>
      </c>
      <c r="D1140" t="s">
        <v>3484</v>
      </c>
    </row>
    <row r="1141" spans="1:7" x14ac:dyDescent="0.2">
      <c r="A1141" t="s">
        <v>936</v>
      </c>
      <c r="B1141" t="s">
        <v>937</v>
      </c>
      <c r="C1141" t="s">
        <v>446</v>
      </c>
      <c r="D1141" t="s">
        <v>3471</v>
      </c>
      <c r="E1141" t="s">
        <v>4941</v>
      </c>
      <c r="F1141">
        <v>0</v>
      </c>
      <c r="G1141">
        <v>0</v>
      </c>
    </row>
    <row r="1142" spans="1:7" x14ac:dyDescent="0.2">
      <c r="A1142" t="s">
        <v>936</v>
      </c>
      <c r="B1142" t="s">
        <v>937</v>
      </c>
      <c r="C1142" t="s">
        <v>446</v>
      </c>
      <c r="D1142" t="s">
        <v>8</v>
      </c>
      <c r="E1142" t="s">
        <v>4942</v>
      </c>
      <c r="F1142">
        <v>29.833333333333332</v>
      </c>
      <c r="G1142">
        <v>695</v>
      </c>
    </row>
    <row r="1143" spans="1:7" x14ac:dyDescent="0.2">
      <c r="A1143" t="s">
        <v>930</v>
      </c>
      <c r="B1143" t="s">
        <v>931</v>
      </c>
      <c r="C1143" t="s">
        <v>446</v>
      </c>
      <c r="D1143" t="s">
        <v>3471</v>
      </c>
      <c r="E1143" t="s">
        <v>4943</v>
      </c>
    </row>
    <row r="1144" spans="1:7" x14ac:dyDescent="0.2">
      <c r="A1144" t="s">
        <v>930</v>
      </c>
      <c r="B1144" t="s">
        <v>931</v>
      </c>
      <c r="C1144" t="s">
        <v>446</v>
      </c>
      <c r="D1144" t="s">
        <v>8</v>
      </c>
      <c r="E1144" t="s">
        <v>4944</v>
      </c>
      <c r="F1144">
        <v>0.16666666666666666</v>
      </c>
      <c r="G1144">
        <v>2</v>
      </c>
    </row>
    <row r="1145" spans="1:7" x14ac:dyDescent="0.2">
      <c r="A1145" t="s">
        <v>928</v>
      </c>
      <c r="B1145" t="s">
        <v>929</v>
      </c>
      <c r="C1145" t="s">
        <v>446</v>
      </c>
      <c r="D1145" t="s">
        <v>13</v>
      </c>
    </row>
    <row r="1146" spans="1:7" x14ac:dyDescent="0.2">
      <c r="A1146" t="s">
        <v>928</v>
      </c>
      <c r="B1146" t="s">
        <v>929</v>
      </c>
      <c r="C1146" t="s">
        <v>446</v>
      </c>
      <c r="D1146" t="s">
        <v>3471</v>
      </c>
      <c r="E1146" t="s">
        <v>4945</v>
      </c>
      <c r="F1146">
        <v>0</v>
      </c>
      <c r="G1146">
        <v>0</v>
      </c>
    </row>
    <row r="1147" spans="1:7" x14ac:dyDescent="0.2">
      <c r="A1147" t="s">
        <v>928</v>
      </c>
      <c r="B1147" t="s">
        <v>929</v>
      </c>
      <c r="C1147" t="s">
        <v>446</v>
      </c>
      <c r="D1147" t="s">
        <v>8</v>
      </c>
      <c r="E1147" t="s">
        <v>4946</v>
      </c>
      <c r="F1147">
        <v>43.666666666666664</v>
      </c>
      <c r="G1147">
        <v>457</v>
      </c>
    </row>
    <row r="1148" spans="1:7" x14ac:dyDescent="0.2">
      <c r="A1148" t="s">
        <v>4947</v>
      </c>
      <c r="B1148" t="s">
        <v>4948</v>
      </c>
      <c r="C1148" t="s">
        <v>446</v>
      </c>
      <c r="D1148" t="s">
        <v>12</v>
      </c>
      <c r="F1148">
        <v>0.16666666666666666</v>
      </c>
      <c r="G1148">
        <v>3</v>
      </c>
    </row>
    <row r="1149" spans="1:7" x14ac:dyDescent="0.2">
      <c r="A1149" t="s">
        <v>4949</v>
      </c>
      <c r="B1149" t="s">
        <v>4950</v>
      </c>
      <c r="C1149" t="s">
        <v>446</v>
      </c>
      <c r="D1149" t="s">
        <v>12</v>
      </c>
      <c r="F1149">
        <v>0.33333333333333331</v>
      </c>
      <c r="G1149">
        <v>0</v>
      </c>
    </row>
    <row r="1150" spans="1:7" x14ac:dyDescent="0.2">
      <c r="A1150" t="s">
        <v>669</v>
      </c>
      <c r="B1150" t="s">
        <v>670</v>
      </c>
      <c r="C1150" t="s">
        <v>446</v>
      </c>
      <c r="D1150" t="s">
        <v>12</v>
      </c>
      <c r="F1150">
        <v>0</v>
      </c>
      <c r="G1150">
        <v>2</v>
      </c>
    </row>
    <row r="1151" spans="1:7" x14ac:dyDescent="0.2">
      <c r="A1151" t="s">
        <v>4951</v>
      </c>
      <c r="B1151" t="s">
        <v>4952</v>
      </c>
      <c r="C1151" t="s">
        <v>446</v>
      </c>
      <c r="D1151" t="s">
        <v>12</v>
      </c>
      <c r="F1151">
        <v>0.16666666666666666</v>
      </c>
      <c r="G1151">
        <v>2</v>
      </c>
    </row>
    <row r="1152" spans="1:7" x14ac:dyDescent="0.2">
      <c r="A1152" t="s">
        <v>843</v>
      </c>
      <c r="B1152" t="s">
        <v>844</v>
      </c>
      <c r="C1152" t="s">
        <v>446</v>
      </c>
      <c r="D1152" t="s">
        <v>3471</v>
      </c>
      <c r="E1152" t="s">
        <v>4953</v>
      </c>
      <c r="F1152">
        <v>0</v>
      </c>
      <c r="G1152">
        <v>0</v>
      </c>
    </row>
    <row r="1153" spans="1:7" x14ac:dyDescent="0.2">
      <c r="A1153" t="s">
        <v>843</v>
      </c>
      <c r="B1153" t="s">
        <v>844</v>
      </c>
      <c r="C1153" t="s">
        <v>446</v>
      </c>
      <c r="D1153" t="s">
        <v>8</v>
      </c>
      <c r="E1153" t="s">
        <v>4954</v>
      </c>
      <c r="F1153">
        <v>12.833333333333334</v>
      </c>
      <c r="G1153">
        <v>292</v>
      </c>
    </row>
    <row r="1154" spans="1:7" x14ac:dyDescent="0.2">
      <c r="A1154" t="s">
        <v>845</v>
      </c>
      <c r="B1154" t="s">
        <v>846</v>
      </c>
      <c r="C1154" t="s">
        <v>446</v>
      </c>
      <c r="D1154" t="s">
        <v>3471</v>
      </c>
      <c r="E1154" t="s">
        <v>4955</v>
      </c>
      <c r="F1154">
        <v>0</v>
      </c>
      <c r="G1154">
        <v>0</v>
      </c>
    </row>
    <row r="1155" spans="1:7" x14ac:dyDescent="0.2">
      <c r="A1155" t="s">
        <v>845</v>
      </c>
      <c r="B1155" t="s">
        <v>846</v>
      </c>
      <c r="C1155" t="s">
        <v>446</v>
      </c>
      <c r="D1155" t="s">
        <v>8</v>
      </c>
      <c r="E1155" t="s">
        <v>4956</v>
      </c>
      <c r="F1155">
        <v>12.833333333333334</v>
      </c>
      <c r="G1155">
        <v>351</v>
      </c>
    </row>
    <row r="1156" spans="1:7" x14ac:dyDescent="0.2">
      <c r="A1156" t="s">
        <v>545</v>
      </c>
      <c r="B1156" t="s">
        <v>546</v>
      </c>
      <c r="C1156" t="s">
        <v>446</v>
      </c>
      <c r="D1156" t="s">
        <v>13</v>
      </c>
      <c r="G1156">
        <v>2</v>
      </c>
    </row>
    <row r="1157" spans="1:7" x14ac:dyDescent="0.2">
      <c r="A1157" t="s">
        <v>545</v>
      </c>
      <c r="B1157" t="s">
        <v>546</v>
      </c>
      <c r="C1157" t="s">
        <v>446</v>
      </c>
      <c r="D1157" t="s">
        <v>3471</v>
      </c>
      <c r="E1157" t="s">
        <v>4957</v>
      </c>
    </row>
    <row r="1158" spans="1:7" x14ac:dyDescent="0.2">
      <c r="A1158" t="s">
        <v>545</v>
      </c>
      <c r="B1158" t="s">
        <v>546</v>
      </c>
      <c r="C1158" t="s">
        <v>446</v>
      </c>
      <c r="D1158" t="s">
        <v>8</v>
      </c>
      <c r="E1158" t="s">
        <v>4958</v>
      </c>
      <c r="F1158">
        <v>0.33333333333333331</v>
      </c>
      <c r="G1158">
        <v>0</v>
      </c>
    </row>
    <row r="1159" spans="1:7" x14ac:dyDescent="0.2">
      <c r="A1159" t="s">
        <v>671</v>
      </c>
      <c r="B1159" t="s">
        <v>672</v>
      </c>
      <c r="C1159" t="s">
        <v>446</v>
      </c>
      <c r="D1159" t="s">
        <v>10</v>
      </c>
      <c r="E1159" t="s">
        <v>4959</v>
      </c>
    </row>
    <row r="1160" spans="1:7" x14ac:dyDescent="0.2">
      <c r="A1160" t="s">
        <v>671</v>
      </c>
      <c r="B1160" t="s">
        <v>672</v>
      </c>
      <c r="C1160" t="s">
        <v>446</v>
      </c>
      <c r="D1160" t="s">
        <v>3471</v>
      </c>
      <c r="E1160" t="s">
        <v>4960</v>
      </c>
    </row>
    <row r="1161" spans="1:7" x14ac:dyDescent="0.2">
      <c r="A1161" t="s">
        <v>671</v>
      </c>
      <c r="B1161" t="s">
        <v>672</v>
      </c>
      <c r="C1161" t="s">
        <v>446</v>
      </c>
      <c r="D1161" t="s">
        <v>8</v>
      </c>
      <c r="E1161" t="s">
        <v>4961</v>
      </c>
    </row>
    <row r="1162" spans="1:7" x14ac:dyDescent="0.2">
      <c r="A1162" t="s">
        <v>671</v>
      </c>
      <c r="B1162" t="s">
        <v>672</v>
      </c>
      <c r="C1162" t="s">
        <v>446</v>
      </c>
      <c r="D1162" t="s">
        <v>12</v>
      </c>
    </row>
    <row r="1163" spans="1:7" x14ac:dyDescent="0.2">
      <c r="A1163" t="s">
        <v>4962</v>
      </c>
      <c r="B1163" t="s">
        <v>4963</v>
      </c>
      <c r="C1163" t="s">
        <v>446</v>
      </c>
      <c r="D1163" t="s">
        <v>3471</v>
      </c>
      <c r="E1163" t="s">
        <v>4964</v>
      </c>
      <c r="F1163">
        <v>0</v>
      </c>
      <c r="G1163">
        <v>0</v>
      </c>
    </row>
    <row r="1164" spans="1:7" x14ac:dyDescent="0.2">
      <c r="A1164" t="s">
        <v>4962</v>
      </c>
      <c r="B1164" t="s">
        <v>4963</v>
      </c>
      <c r="C1164" t="s">
        <v>446</v>
      </c>
      <c r="D1164" t="s">
        <v>3469</v>
      </c>
      <c r="F1164">
        <v>0.33333333333333331</v>
      </c>
      <c r="G1164">
        <v>1</v>
      </c>
    </row>
    <row r="1165" spans="1:7" x14ac:dyDescent="0.2">
      <c r="A1165" t="s">
        <v>4962</v>
      </c>
      <c r="B1165" t="s">
        <v>4963</v>
      </c>
      <c r="C1165" t="s">
        <v>446</v>
      </c>
      <c r="D1165" t="s">
        <v>12</v>
      </c>
    </row>
    <row r="1166" spans="1:7" x14ac:dyDescent="0.2">
      <c r="A1166" t="s">
        <v>4962</v>
      </c>
      <c r="B1166" t="s">
        <v>4963</v>
      </c>
      <c r="C1166" t="s">
        <v>446</v>
      </c>
      <c r="D1166" t="s">
        <v>3484</v>
      </c>
    </row>
    <row r="1167" spans="1:7" x14ac:dyDescent="0.2">
      <c r="A1167" t="s">
        <v>4965</v>
      </c>
      <c r="B1167" t="s">
        <v>4966</v>
      </c>
      <c r="C1167" t="s">
        <v>446</v>
      </c>
      <c r="D1167" t="s">
        <v>14</v>
      </c>
      <c r="F1167">
        <v>0</v>
      </c>
      <c r="G1167">
        <v>10</v>
      </c>
    </row>
    <row r="1168" spans="1:7" x14ac:dyDescent="0.2">
      <c r="A1168" t="s">
        <v>4965</v>
      </c>
      <c r="B1168" t="s">
        <v>4966</v>
      </c>
      <c r="C1168" t="s">
        <v>446</v>
      </c>
      <c r="D1168" t="s">
        <v>10</v>
      </c>
      <c r="E1168" t="s">
        <v>4967</v>
      </c>
    </row>
    <row r="1169" spans="1:7" x14ac:dyDescent="0.2">
      <c r="A1169" t="s">
        <v>4965</v>
      </c>
      <c r="B1169" t="s">
        <v>4966</v>
      </c>
      <c r="C1169" t="s">
        <v>446</v>
      </c>
      <c r="D1169" t="s">
        <v>3471</v>
      </c>
      <c r="E1169" t="s">
        <v>4968</v>
      </c>
    </row>
    <row r="1170" spans="1:7" x14ac:dyDescent="0.2">
      <c r="A1170" t="s">
        <v>1010</v>
      </c>
      <c r="B1170" t="s">
        <v>1011</v>
      </c>
      <c r="C1170" t="s">
        <v>446</v>
      </c>
      <c r="D1170" t="s">
        <v>14</v>
      </c>
      <c r="F1170">
        <v>0.5</v>
      </c>
      <c r="G1170">
        <v>10</v>
      </c>
    </row>
    <row r="1171" spans="1:7" x14ac:dyDescent="0.2">
      <c r="A1171" t="s">
        <v>1010</v>
      </c>
      <c r="B1171" t="s">
        <v>1011</v>
      </c>
      <c r="C1171" t="s">
        <v>446</v>
      </c>
      <c r="D1171" t="s">
        <v>10</v>
      </c>
      <c r="E1171" t="s">
        <v>4969</v>
      </c>
      <c r="F1171">
        <v>0</v>
      </c>
      <c r="G1171">
        <v>5</v>
      </c>
    </row>
    <row r="1172" spans="1:7" x14ac:dyDescent="0.2">
      <c r="A1172" t="s">
        <v>1010</v>
      </c>
      <c r="B1172" t="s">
        <v>1011</v>
      </c>
      <c r="C1172" t="s">
        <v>446</v>
      </c>
      <c r="D1172" t="s">
        <v>3471</v>
      </c>
      <c r="E1172" t="s">
        <v>4970</v>
      </c>
    </row>
    <row r="1173" spans="1:7" x14ac:dyDescent="0.2">
      <c r="A1173" t="s">
        <v>1010</v>
      </c>
      <c r="B1173" t="s">
        <v>1011</v>
      </c>
      <c r="C1173" t="s">
        <v>446</v>
      </c>
      <c r="D1173" t="s">
        <v>8</v>
      </c>
      <c r="E1173" t="s">
        <v>4971</v>
      </c>
    </row>
    <row r="1174" spans="1:7" x14ac:dyDescent="0.2">
      <c r="A1174" t="s">
        <v>1010</v>
      </c>
      <c r="B1174" t="s">
        <v>1011</v>
      </c>
      <c r="C1174" t="s">
        <v>446</v>
      </c>
      <c r="D1174" t="s">
        <v>3484</v>
      </c>
    </row>
    <row r="1175" spans="1:7" x14ac:dyDescent="0.2">
      <c r="A1175" t="s">
        <v>4972</v>
      </c>
      <c r="B1175" t="s">
        <v>4973</v>
      </c>
      <c r="C1175" t="s">
        <v>446</v>
      </c>
      <c r="D1175" t="s">
        <v>14</v>
      </c>
      <c r="F1175">
        <v>0</v>
      </c>
      <c r="G1175">
        <v>2</v>
      </c>
    </row>
    <row r="1176" spans="1:7" x14ac:dyDescent="0.2">
      <c r="A1176" t="s">
        <v>4972</v>
      </c>
      <c r="B1176" t="s">
        <v>4973</v>
      </c>
      <c r="C1176" t="s">
        <v>446</v>
      </c>
      <c r="D1176" t="s">
        <v>10</v>
      </c>
      <c r="E1176" t="s">
        <v>4974</v>
      </c>
      <c r="F1176">
        <v>0.16666666666666666</v>
      </c>
      <c r="G1176">
        <v>7</v>
      </c>
    </row>
    <row r="1177" spans="1:7" x14ac:dyDescent="0.2">
      <c r="A1177" t="s">
        <v>4972</v>
      </c>
      <c r="B1177" t="s">
        <v>4973</v>
      </c>
      <c r="C1177" t="s">
        <v>446</v>
      </c>
      <c r="D1177" t="s">
        <v>12</v>
      </c>
      <c r="F1177">
        <v>0.16666666666666666</v>
      </c>
      <c r="G1177">
        <v>5</v>
      </c>
    </row>
    <row r="1178" spans="1:7" x14ac:dyDescent="0.2">
      <c r="A1178" t="s">
        <v>643</v>
      </c>
      <c r="B1178" t="s">
        <v>644</v>
      </c>
      <c r="C1178" t="s">
        <v>446</v>
      </c>
      <c r="D1178" t="s">
        <v>13</v>
      </c>
      <c r="F1178">
        <v>1.3333333333333333</v>
      </c>
      <c r="G1178">
        <v>29</v>
      </c>
    </row>
    <row r="1179" spans="1:7" x14ac:dyDescent="0.2">
      <c r="A1179" t="s">
        <v>643</v>
      </c>
      <c r="B1179" t="s">
        <v>644</v>
      </c>
      <c r="C1179" t="s">
        <v>446</v>
      </c>
      <c r="D1179" t="s">
        <v>14</v>
      </c>
      <c r="F1179">
        <v>7.333333333333333</v>
      </c>
      <c r="G1179">
        <v>129</v>
      </c>
    </row>
    <row r="1180" spans="1:7" x14ac:dyDescent="0.2">
      <c r="A1180" t="s">
        <v>643</v>
      </c>
      <c r="B1180" t="s">
        <v>644</v>
      </c>
      <c r="C1180" t="s">
        <v>446</v>
      </c>
      <c r="D1180" t="s">
        <v>10</v>
      </c>
      <c r="E1180" t="s">
        <v>4975</v>
      </c>
      <c r="F1180">
        <v>31.166666666666668</v>
      </c>
      <c r="G1180">
        <v>296</v>
      </c>
    </row>
    <row r="1181" spans="1:7" x14ac:dyDescent="0.2">
      <c r="A1181" t="s">
        <v>643</v>
      </c>
      <c r="B1181" t="s">
        <v>644</v>
      </c>
      <c r="C1181" t="s">
        <v>446</v>
      </c>
      <c r="D1181" t="s">
        <v>3471</v>
      </c>
      <c r="E1181" t="s">
        <v>4976</v>
      </c>
      <c r="F1181">
        <v>2.1666666666666665</v>
      </c>
      <c r="G1181">
        <v>-3</v>
      </c>
    </row>
    <row r="1182" spans="1:7" x14ac:dyDescent="0.2">
      <c r="A1182" t="s">
        <v>643</v>
      </c>
      <c r="B1182" t="s">
        <v>644</v>
      </c>
      <c r="C1182" t="s">
        <v>446</v>
      </c>
      <c r="D1182" t="s">
        <v>8</v>
      </c>
      <c r="E1182" t="s">
        <v>4977</v>
      </c>
      <c r="F1182">
        <v>47</v>
      </c>
      <c r="G1182">
        <v>382</v>
      </c>
    </row>
    <row r="1183" spans="1:7" x14ac:dyDescent="0.2">
      <c r="A1183" t="s">
        <v>643</v>
      </c>
      <c r="B1183" t="s">
        <v>644</v>
      </c>
      <c r="C1183" t="s">
        <v>446</v>
      </c>
      <c r="D1183" t="s">
        <v>3469</v>
      </c>
      <c r="F1183">
        <v>0.33333333333333331</v>
      </c>
      <c r="G1183">
        <v>1</v>
      </c>
    </row>
    <row r="1184" spans="1:7" x14ac:dyDescent="0.2">
      <c r="A1184" t="s">
        <v>643</v>
      </c>
      <c r="B1184" t="s">
        <v>644</v>
      </c>
      <c r="C1184" t="s">
        <v>446</v>
      </c>
      <c r="D1184" t="s">
        <v>12</v>
      </c>
      <c r="F1184">
        <v>5.5</v>
      </c>
      <c r="G1184">
        <v>310</v>
      </c>
    </row>
    <row r="1185" spans="1:7" x14ac:dyDescent="0.2">
      <c r="A1185" t="s">
        <v>4978</v>
      </c>
      <c r="B1185" t="s">
        <v>4979</v>
      </c>
      <c r="C1185" t="s">
        <v>446</v>
      </c>
      <c r="D1185" t="s">
        <v>10</v>
      </c>
      <c r="E1185" t="s">
        <v>4980</v>
      </c>
    </row>
    <row r="1186" spans="1:7" x14ac:dyDescent="0.2">
      <c r="A1186" t="s">
        <v>4978</v>
      </c>
      <c r="B1186" t="s">
        <v>4979</v>
      </c>
      <c r="C1186" t="s">
        <v>446</v>
      </c>
      <c r="D1186" t="s">
        <v>8</v>
      </c>
      <c r="E1186" t="s">
        <v>4981</v>
      </c>
    </row>
    <row r="1187" spans="1:7" x14ac:dyDescent="0.2">
      <c r="A1187" t="s">
        <v>4978</v>
      </c>
      <c r="B1187" t="s">
        <v>4979</v>
      </c>
      <c r="C1187" t="s">
        <v>446</v>
      </c>
      <c r="D1187" t="s">
        <v>12</v>
      </c>
    </row>
    <row r="1188" spans="1:7" x14ac:dyDescent="0.2">
      <c r="A1188" t="s">
        <v>641</v>
      </c>
      <c r="B1188" t="s">
        <v>642</v>
      </c>
      <c r="C1188" t="s">
        <v>446</v>
      </c>
      <c r="D1188" t="s">
        <v>10</v>
      </c>
      <c r="E1188" t="s">
        <v>4982</v>
      </c>
      <c r="F1188">
        <v>34.333333333333336</v>
      </c>
      <c r="G1188">
        <v>283</v>
      </c>
    </row>
    <row r="1189" spans="1:7" x14ac:dyDescent="0.2">
      <c r="A1189" t="s">
        <v>641</v>
      </c>
      <c r="B1189" t="s">
        <v>642</v>
      </c>
      <c r="C1189" t="s">
        <v>446</v>
      </c>
      <c r="D1189" t="s">
        <v>3471</v>
      </c>
      <c r="E1189" t="s">
        <v>4983</v>
      </c>
      <c r="F1189">
        <v>0</v>
      </c>
      <c r="G1189">
        <v>0</v>
      </c>
    </row>
    <row r="1190" spans="1:7" x14ac:dyDescent="0.2">
      <c r="A1190" t="s">
        <v>641</v>
      </c>
      <c r="B1190" t="s">
        <v>642</v>
      </c>
      <c r="C1190" t="s">
        <v>446</v>
      </c>
      <c r="D1190" t="s">
        <v>8</v>
      </c>
      <c r="E1190" t="s">
        <v>4984</v>
      </c>
      <c r="F1190">
        <v>33.5</v>
      </c>
      <c r="G1190">
        <v>380</v>
      </c>
    </row>
    <row r="1191" spans="1:7" x14ac:dyDescent="0.2">
      <c r="A1191" t="s">
        <v>641</v>
      </c>
      <c r="B1191" t="s">
        <v>642</v>
      </c>
      <c r="C1191" t="s">
        <v>446</v>
      </c>
      <c r="D1191" t="s">
        <v>3469</v>
      </c>
      <c r="F1191">
        <v>0.16666666666666666</v>
      </c>
      <c r="G1191">
        <v>3</v>
      </c>
    </row>
    <row r="1192" spans="1:7" x14ac:dyDescent="0.2">
      <c r="A1192" t="s">
        <v>4985</v>
      </c>
      <c r="B1192" t="s">
        <v>4986</v>
      </c>
      <c r="C1192" t="s">
        <v>446</v>
      </c>
      <c r="D1192" t="s">
        <v>10</v>
      </c>
      <c r="E1192" t="s">
        <v>4987</v>
      </c>
      <c r="F1192">
        <v>0.16666666666666666</v>
      </c>
      <c r="G1192">
        <v>1</v>
      </c>
    </row>
    <row r="1193" spans="1:7" x14ac:dyDescent="0.2">
      <c r="A1193" t="s">
        <v>4985</v>
      </c>
      <c r="B1193" t="s">
        <v>4986</v>
      </c>
      <c r="C1193" t="s">
        <v>446</v>
      </c>
      <c r="D1193" t="s">
        <v>12</v>
      </c>
      <c r="F1193">
        <v>0</v>
      </c>
      <c r="G1193">
        <v>1</v>
      </c>
    </row>
    <row r="1194" spans="1:7" x14ac:dyDescent="0.2">
      <c r="A1194" t="s">
        <v>649</v>
      </c>
      <c r="B1194" t="s">
        <v>650</v>
      </c>
      <c r="C1194" t="s">
        <v>446</v>
      </c>
      <c r="D1194" t="s">
        <v>10</v>
      </c>
      <c r="E1194" t="s">
        <v>4988</v>
      </c>
      <c r="F1194">
        <v>20</v>
      </c>
      <c r="G1194">
        <v>219</v>
      </c>
    </row>
    <row r="1195" spans="1:7" x14ac:dyDescent="0.2">
      <c r="A1195" t="s">
        <v>649</v>
      </c>
      <c r="B1195" t="s">
        <v>650</v>
      </c>
      <c r="C1195" t="s">
        <v>446</v>
      </c>
      <c r="D1195" t="s">
        <v>3471</v>
      </c>
      <c r="E1195" t="s">
        <v>4989</v>
      </c>
      <c r="F1195">
        <v>0</v>
      </c>
      <c r="G1195">
        <v>0</v>
      </c>
    </row>
    <row r="1196" spans="1:7" x14ac:dyDescent="0.2">
      <c r="A1196" t="s">
        <v>649</v>
      </c>
      <c r="B1196" t="s">
        <v>650</v>
      </c>
      <c r="C1196" t="s">
        <v>446</v>
      </c>
      <c r="D1196" t="s">
        <v>8</v>
      </c>
      <c r="E1196" t="s">
        <v>4990</v>
      </c>
      <c r="F1196">
        <v>7.333333333333333</v>
      </c>
      <c r="G1196">
        <v>100</v>
      </c>
    </row>
    <row r="1197" spans="1:7" x14ac:dyDescent="0.2">
      <c r="A1197" t="s">
        <v>649</v>
      </c>
      <c r="B1197" t="s">
        <v>650</v>
      </c>
      <c r="C1197" t="s">
        <v>446</v>
      </c>
      <c r="D1197" t="s">
        <v>3469</v>
      </c>
      <c r="F1197">
        <v>0</v>
      </c>
      <c r="G1197">
        <v>3</v>
      </c>
    </row>
    <row r="1198" spans="1:7" x14ac:dyDescent="0.2">
      <c r="A1198" t="s">
        <v>4991</v>
      </c>
      <c r="B1198" t="s">
        <v>4992</v>
      </c>
      <c r="C1198" t="s">
        <v>446</v>
      </c>
      <c r="D1198" t="s">
        <v>10</v>
      </c>
      <c r="E1198" t="s">
        <v>4993</v>
      </c>
      <c r="F1198">
        <v>0</v>
      </c>
      <c r="G1198">
        <v>7</v>
      </c>
    </row>
    <row r="1199" spans="1:7" x14ac:dyDescent="0.2">
      <c r="A1199" t="s">
        <v>4991</v>
      </c>
      <c r="B1199" t="s">
        <v>4992</v>
      </c>
      <c r="C1199" t="s">
        <v>446</v>
      </c>
      <c r="D1199" t="s">
        <v>8</v>
      </c>
      <c r="E1199" t="s">
        <v>4994</v>
      </c>
    </row>
    <row r="1200" spans="1:7" x14ac:dyDescent="0.2">
      <c r="A1200" t="s">
        <v>4995</v>
      </c>
      <c r="B1200" t="s">
        <v>4996</v>
      </c>
      <c r="C1200" t="s">
        <v>446</v>
      </c>
      <c r="D1200" t="s">
        <v>10</v>
      </c>
      <c r="E1200" t="s">
        <v>4997</v>
      </c>
      <c r="F1200">
        <v>0.16666666666666666</v>
      </c>
      <c r="G1200">
        <v>3</v>
      </c>
    </row>
    <row r="1201" spans="1:7" x14ac:dyDescent="0.2">
      <c r="A1201" t="s">
        <v>4995</v>
      </c>
      <c r="B1201" t="s">
        <v>4996</v>
      </c>
      <c r="C1201" t="s">
        <v>446</v>
      </c>
      <c r="D1201" t="s">
        <v>3471</v>
      </c>
      <c r="E1201" t="s">
        <v>4998</v>
      </c>
    </row>
    <row r="1202" spans="1:7" x14ac:dyDescent="0.2">
      <c r="A1202" t="s">
        <v>4995</v>
      </c>
      <c r="B1202" t="s">
        <v>4996</v>
      </c>
      <c r="C1202" t="s">
        <v>446</v>
      </c>
      <c r="D1202" t="s">
        <v>8</v>
      </c>
      <c r="E1202" t="s">
        <v>4999</v>
      </c>
    </row>
    <row r="1203" spans="1:7" x14ac:dyDescent="0.2">
      <c r="A1203" t="s">
        <v>639</v>
      </c>
      <c r="B1203" t="s">
        <v>640</v>
      </c>
      <c r="C1203" t="s">
        <v>446</v>
      </c>
      <c r="D1203" t="s">
        <v>13</v>
      </c>
      <c r="G1203">
        <v>5</v>
      </c>
    </row>
    <row r="1204" spans="1:7" x14ac:dyDescent="0.2">
      <c r="A1204" t="s">
        <v>639</v>
      </c>
      <c r="B1204" t="s">
        <v>640</v>
      </c>
      <c r="C1204" t="s">
        <v>446</v>
      </c>
      <c r="D1204" t="s">
        <v>10</v>
      </c>
      <c r="E1204" t="s">
        <v>5000</v>
      </c>
      <c r="F1204">
        <v>31</v>
      </c>
      <c r="G1204">
        <v>287</v>
      </c>
    </row>
    <row r="1205" spans="1:7" x14ac:dyDescent="0.2">
      <c r="A1205" t="s">
        <v>639</v>
      </c>
      <c r="B1205" t="s">
        <v>640</v>
      </c>
      <c r="C1205" t="s">
        <v>446</v>
      </c>
      <c r="D1205" t="s">
        <v>3471</v>
      </c>
      <c r="E1205" t="s">
        <v>5001</v>
      </c>
      <c r="F1205">
        <v>0</v>
      </c>
      <c r="G1205">
        <v>0</v>
      </c>
    </row>
    <row r="1206" spans="1:7" x14ac:dyDescent="0.2">
      <c r="A1206" t="s">
        <v>639</v>
      </c>
      <c r="B1206" t="s">
        <v>640</v>
      </c>
      <c r="C1206" t="s">
        <v>446</v>
      </c>
      <c r="D1206" t="s">
        <v>8</v>
      </c>
      <c r="E1206" t="s">
        <v>5002</v>
      </c>
      <c r="F1206">
        <v>44.166666666666664</v>
      </c>
      <c r="G1206">
        <v>345</v>
      </c>
    </row>
    <row r="1207" spans="1:7" x14ac:dyDescent="0.2">
      <c r="A1207" t="s">
        <v>639</v>
      </c>
      <c r="B1207" t="s">
        <v>640</v>
      </c>
      <c r="C1207" t="s">
        <v>446</v>
      </c>
      <c r="D1207" t="s">
        <v>12</v>
      </c>
      <c r="F1207">
        <v>3</v>
      </c>
      <c r="G1207">
        <v>135</v>
      </c>
    </row>
    <row r="1208" spans="1:7" x14ac:dyDescent="0.2">
      <c r="A1208" t="s">
        <v>645</v>
      </c>
      <c r="B1208" t="s">
        <v>646</v>
      </c>
      <c r="C1208" t="s">
        <v>446</v>
      </c>
      <c r="D1208" t="s">
        <v>13</v>
      </c>
    </row>
    <row r="1209" spans="1:7" x14ac:dyDescent="0.2">
      <c r="A1209" t="s">
        <v>645</v>
      </c>
      <c r="B1209" t="s">
        <v>646</v>
      </c>
      <c r="C1209" t="s">
        <v>446</v>
      </c>
      <c r="D1209" t="s">
        <v>10</v>
      </c>
      <c r="E1209" t="s">
        <v>5003</v>
      </c>
      <c r="F1209">
        <v>25.666666666666668</v>
      </c>
      <c r="G1209">
        <v>221</v>
      </c>
    </row>
    <row r="1210" spans="1:7" x14ac:dyDescent="0.2">
      <c r="A1210" t="s">
        <v>645</v>
      </c>
      <c r="B1210" t="s">
        <v>646</v>
      </c>
      <c r="C1210" t="s">
        <v>446</v>
      </c>
      <c r="D1210" t="s">
        <v>3471</v>
      </c>
      <c r="E1210" t="s">
        <v>5004</v>
      </c>
      <c r="F1210">
        <v>0.16666666666666666</v>
      </c>
      <c r="G1210">
        <v>0</v>
      </c>
    </row>
    <row r="1211" spans="1:7" x14ac:dyDescent="0.2">
      <c r="A1211" t="s">
        <v>645</v>
      </c>
      <c r="B1211" t="s">
        <v>646</v>
      </c>
      <c r="C1211" t="s">
        <v>446</v>
      </c>
      <c r="D1211" t="s">
        <v>8</v>
      </c>
      <c r="E1211" t="s">
        <v>5005</v>
      </c>
      <c r="F1211">
        <v>37.333333333333336</v>
      </c>
      <c r="G1211">
        <v>281</v>
      </c>
    </row>
    <row r="1212" spans="1:7" x14ac:dyDescent="0.2">
      <c r="A1212" t="s">
        <v>645</v>
      </c>
      <c r="B1212" t="s">
        <v>646</v>
      </c>
      <c r="C1212" t="s">
        <v>446</v>
      </c>
      <c r="D1212" t="s">
        <v>3469</v>
      </c>
      <c r="F1212">
        <v>0</v>
      </c>
      <c r="G1212">
        <v>1</v>
      </c>
    </row>
    <row r="1213" spans="1:7" x14ac:dyDescent="0.2">
      <c r="A1213" t="s">
        <v>645</v>
      </c>
      <c r="B1213" t="s">
        <v>646</v>
      </c>
      <c r="C1213" t="s">
        <v>446</v>
      </c>
      <c r="D1213" t="s">
        <v>12</v>
      </c>
      <c r="F1213">
        <v>7.5</v>
      </c>
      <c r="G1213">
        <v>347</v>
      </c>
    </row>
    <row r="1214" spans="1:7" x14ac:dyDescent="0.2">
      <c r="A1214" t="s">
        <v>647</v>
      </c>
      <c r="B1214" t="s">
        <v>648</v>
      </c>
      <c r="C1214" t="s">
        <v>446</v>
      </c>
      <c r="D1214" t="s">
        <v>10</v>
      </c>
      <c r="E1214" t="s">
        <v>5006</v>
      </c>
    </row>
    <row r="1215" spans="1:7" x14ac:dyDescent="0.2">
      <c r="A1215" t="s">
        <v>647</v>
      </c>
      <c r="B1215" t="s">
        <v>648</v>
      </c>
      <c r="C1215" t="s">
        <v>446</v>
      </c>
      <c r="D1215" t="s">
        <v>3471</v>
      </c>
      <c r="E1215" t="s">
        <v>5007</v>
      </c>
      <c r="F1215">
        <v>0.16666666666666666</v>
      </c>
      <c r="G1215">
        <v>0</v>
      </c>
    </row>
    <row r="1216" spans="1:7" x14ac:dyDescent="0.2">
      <c r="A1216" t="s">
        <v>647</v>
      </c>
      <c r="B1216" t="s">
        <v>648</v>
      </c>
      <c r="C1216" t="s">
        <v>446</v>
      </c>
      <c r="D1216" t="s">
        <v>3469</v>
      </c>
      <c r="F1216">
        <v>0</v>
      </c>
      <c r="G1216">
        <v>9</v>
      </c>
    </row>
    <row r="1217" spans="1:7" x14ac:dyDescent="0.2">
      <c r="A1217" t="s">
        <v>647</v>
      </c>
      <c r="B1217" t="s">
        <v>648</v>
      </c>
      <c r="C1217" t="s">
        <v>446</v>
      </c>
      <c r="D1217" t="s">
        <v>12</v>
      </c>
      <c r="F1217">
        <v>1.8333333333333333</v>
      </c>
      <c r="G1217">
        <v>176</v>
      </c>
    </row>
    <row r="1218" spans="1:7" x14ac:dyDescent="0.2">
      <c r="A1218" t="s">
        <v>823</v>
      </c>
      <c r="B1218" t="s">
        <v>824</v>
      </c>
      <c r="C1218" t="s">
        <v>446</v>
      </c>
      <c r="D1218" t="s">
        <v>8</v>
      </c>
      <c r="E1218" t="s">
        <v>5008</v>
      </c>
      <c r="F1218">
        <v>43.166666666666664</v>
      </c>
      <c r="G1218">
        <v>476</v>
      </c>
    </row>
    <row r="1219" spans="1:7" x14ac:dyDescent="0.2">
      <c r="A1219" t="s">
        <v>825</v>
      </c>
      <c r="B1219" t="s">
        <v>826</v>
      </c>
      <c r="C1219" t="s">
        <v>446</v>
      </c>
      <c r="D1219" t="s">
        <v>8</v>
      </c>
      <c r="E1219" t="s">
        <v>5009</v>
      </c>
      <c r="F1219">
        <v>4.166666666666667</v>
      </c>
      <c r="G1219">
        <v>208</v>
      </c>
    </row>
    <row r="1220" spans="1:7" x14ac:dyDescent="0.2">
      <c r="A1220" t="s">
        <v>525</v>
      </c>
      <c r="B1220" t="s">
        <v>526</v>
      </c>
      <c r="C1220" t="s">
        <v>446</v>
      </c>
      <c r="D1220" t="s">
        <v>8</v>
      </c>
      <c r="E1220" t="s">
        <v>5010</v>
      </c>
      <c r="F1220">
        <v>42.166666666666664</v>
      </c>
      <c r="G1220">
        <v>358</v>
      </c>
    </row>
    <row r="1221" spans="1:7" x14ac:dyDescent="0.2">
      <c r="A1221" t="s">
        <v>523</v>
      </c>
      <c r="B1221" t="s">
        <v>524</v>
      </c>
      <c r="C1221" t="s">
        <v>446</v>
      </c>
      <c r="D1221" t="s">
        <v>8</v>
      </c>
      <c r="E1221" t="s">
        <v>5011</v>
      </c>
      <c r="F1221">
        <v>59.833333333333336</v>
      </c>
      <c r="G1221">
        <v>310</v>
      </c>
    </row>
    <row r="1222" spans="1:7" x14ac:dyDescent="0.2">
      <c r="A1222" t="s">
        <v>5012</v>
      </c>
      <c r="B1222" t="s">
        <v>5013</v>
      </c>
      <c r="C1222" t="s">
        <v>446</v>
      </c>
      <c r="D1222" t="s">
        <v>12</v>
      </c>
    </row>
    <row r="1223" spans="1:7" x14ac:dyDescent="0.2">
      <c r="A1223" t="s">
        <v>5014</v>
      </c>
      <c r="B1223" t="s">
        <v>5015</v>
      </c>
      <c r="C1223" t="s">
        <v>446</v>
      </c>
      <c r="D1223" t="s">
        <v>12</v>
      </c>
    </row>
    <row r="1224" spans="1:7" x14ac:dyDescent="0.2">
      <c r="A1224" t="s">
        <v>5016</v>
      </c>
      <c r="B1224" t="s">
        <v>5017</v>
      </c>
      <c r="C1224" t="s">
        <v>446</v>
      </c>
      <c r="D1224" t="s">
        <v>10</v>
      </c>
      <c r="E1224" t="s">
        <v>5018</v>
      </c>
    </row>
    <row r="1225" spans="1:7" x14ac:dyDescent="0.2">
      <c r="A1225" t="s">
        <v>5019</v>
      </c>
      <c r="B1225" t="s">
        <v>5020</v>
      </c>
      <c r="C1225" t="s">
        <v>446</v>
      </c>
      <c r="D1225" t="s">
        <v>10</v>
      </c>
      <c r="E1225" t="s">
        <v>5021</v>
      </c>
    </row>
    <row r="1226" spans="1:7" x14ac:dyDescent="0.2">
      <c r="A1226" t="s">
        <v>5019</v>
      </c>
      <c r="B1226" t="s">
        <v>5020</v>
      </c>
      <c r="C1226" t="s">
        <v>446</v>
      </c>
      <c r="D1226" t="s">
        <v>12</v>
      </c>
    </row>
    <row r="1227" spans="1:7" x14ac:dyDescent="0.2">
      <c r="A1227" t="s">
        <v>807</v>
      </c>
      <c r="B1227" t="s">
        <v>808</v>
      </c>
      <c r="C1227" t="s">
        <v>446</v>
      </c>
      <c r="D1227" t="s">
        <v>10</v>
      </c>
      <c r="E1227" t="s">
        <v>5022</v>
      </c>
      <c r="F1227">
        <v>94.833333333333329</v>
      </c>
      <c r="G1227">
        <v>579</v>
      </c>
    </row>
    <row r="1228" spans="1:7" x14ac:dyDescent="0.2">
      <c r="A1228" t="s">
        <v>807</v>
      </c>
      <c r="B1228" t="s">
        <v>808</v>
      </c>
      <c r="C1228" t="s">
        <v>446</v>
      </c>
      <c r="D1228" t="s">
        <v>3471</v>
      </c>
      <c r="E1228" t="s">
        <v>5023</v>
      </c>
      <c r="F1228">
        <v>0</v>
      </c>
      <c r="G1228">
        <v>0</v>
      </c>
    </row>
    <row r="1229" spans="1:7" x14ac:dyDescent="0.2">
      <c r="A1229" t="s">
        <v>807</v>
      </c>
      <c r="B1229" t="s">
        <v>808</v>
      </c>
      <c r="C1229" t="s">
        <v>446</v>
      </c>
      <c r="D1229" t="s">
        <v>8</v>
      </c>
      <c r="E1229" t="s">
        <v>5024</v>
      </c>
      <c r="F1229">
        <v>234.5</v>
      </c>
      <c r="G1229">
        <v>1996</v>
      </c>
    </row>
    <row r="1230" spans="1:7" x14ac:dyDescent="0.2">
      <c r="A1230" t="s">
        <v>807</v>
      </c>
      <c r="B1230" t="s">
        <v>808</v>
      </c>
      <c r="C1230" t="s">
        <v>446</v>
      </c>
      <c r="D1230" t="s">
        <v>12</v>
      </c>
      <c r="F1230">
        <v>12.666666666666666</v>
      </c>
      <c r="G1230">
        <v>297</v>
      </c>
    </row>
    <row r="1231" spans="1:7" x14ac:dyDescent="0.2">
      <c r="A1231" t="s">
        <v>807</v>
      </c>
      <c r="B1231" t="s">
        <v>808</v>
      </c>
      <c r="C1231" t="s">
        <v>446</v>
      </c>
      <c r="D1231" t="s">
        <v>3484</v>
      </c>
    </row>
    <row r="1232" spans="1:7" x14ac:dyDescent="0.2">
      <c r="A1232" t="s">
        <v>693</v>
      </c>
      <c r="B1232" t="s">
        <v>694</v>
      </c>
      <c r="C1232" t="s">
        <v>446</v>
      </c>
      <c r="D1232" t="s">
        <v>13</v>
      </c>
      <c r="F1232">
        <v>1</v>
      </c>
      <c r="G1232">
        <v>92</v>
      </c>
    </row>
    <row r="1233" spans="1:7" x14ac:dyDescent="0.2">
      <c r="A1233" t="s">
        <v>693</v>
      </c>
      <c r="B1233" t="s">
        <v>694</v>
      </c>
      <c r="C1233" t="s">
        <v>446</v>
      </c>
      <c r="D1233" t="s">
        <v>10</v>
      </c>
      <c r="E1233" t="s">
        <v>5025</v>
      </c>
      <c r="F1233">
        <v>91</v>
      </c>
      <c r="G1233">
        <v>622</v>
      </c>
    </row>
    <row r="1234" spans="1:7" x14ac:dyDescent="0.2">
      <c r="A1234" t="s">
        <v>693</v>
      </c>
      <c r="B1234" t="s">
        <v>694</v>
      </c>
      <c r="C1234" t="s">
        <v>446</v>
      </c>
      <c r="D1234" t="s">
        <v>3471</v>
      </c>
      <c r="E1234" t="s">
        <v>5026</v>
      </c>
      <c r="F1234">
        <v>0</v>
      </c>
      <c r="G1234">
        <v>3</v>
      </c>
    </row>
    <row r="1235" spans="1:7" x14ac:dyDescent="0.2">
      <c r="A1235" t="s">
        <v>693</v>
      </c>
      <c r="B1235" t="s">
        <v>694</v>
      </c>
      <c r="C1235" t="s">
        <v>446</v>
      </c>
      <c r="D1235" t="s">
        <v>8</v>
      </c>
      <c r="E1235" t="s">
        <v>5027</v>
      </c>
      <c r="F1235">
        <v>31</v>
      </c>
      <c r="G1235">
        <v>458</v>
      </c>
    </row>
    <row r="1236" spans="1:7" x14ac:dyDescent="0.2">
      <c r="A1236" t="s">
        <v>693</v>
      </c>
      <c r="B1236" t="s">
        <v>694</v>
      </c>
      <c r="C1236" t="s">
        <v>446</v>
      </c>
      <c r="D1236" t="s">
        <v>3469</v>
      </c>
      <c r="F1236">
        <v>0</v>
      </c>
      <c r="G1236">
        <v>2</v>
      </c>
    </row>
    <row r="1237" spans="1:7" x14ac:dyDescent="0.2">
      <c r="A1237" t="s">
        <v>693</v>
      </c>
      <c r="B1237" t="s">
        <v>694</v>
      </c>
      <c r="C1237" t="s">
        <v>446</v>
      </c>
      <c r="D1237" t="s">
        <v>12</v>
      </c>
      <c r="F1237">
        <v>8.1666666666666661</v>
      </c>
      <c r="G1237">
        <v>273</v>
      </c>
    </row>
    <row r="1238" spans="1:7" x14ac:dyDescent="0.2">
      <c r="A1238" t="s">
        <v>693</v>
      </c>
      <c r="B1238" t="s">
        <v>694</v>
      </c>
      <c r="C1238" t="s">
        <v>446</v>
      </c>
      <c r="D1238" t="s">
        <v>3484</v>
      </c>
    </row>
    <row r="1239" spans="1:7" x14ac:dyDescent="0.2">
      <c r="A1239" t="s">
        <v>5028</v>
      </c>
      <c r="B1239" t="s">
        <v>5029</v>
      </c>
      <c r="C1239" t="s">
        <v>446</v>
      </c>
      <c r="D1239" t="s">
        <v>12</v>
      </c>
      <c r="F1239">
        <v>0</v>
      </c>
      <c r="G1239">
        <v>1</v>
      </c>
    </row>
    <row r="1240" spans="1:7" x14ac:dyDescent="0.2">
      <c r="A1240" t="s">
        <v>787</v>
      </c>
      <c r="B1240" t="s">
        <v>788</v>
      </c>
      <c r="C1240" t="s">
        <v>446</v>
      </c>
      <c r="D1240" t="s">
        <v>10</v>
      </c>
      <c r="E1240" t="s">
        <v>5030</v>
      </c>
      <c r="F1240">
        <v>52.666666666666664</v>
      </c>
      <c r="G1240">
        <v>454</v>
      </c>
    </row>
    <row r="1241" spans="1:7" x14ac:dyDescent="0.2">
      <c r="A1241" t="s">
        <v>787</v>
      </c>
      <c r="B1241" t="s">
        <v>788</v>
      </c>
      <c r="C1241" t="s">
        <v>446</v>
      </c>
      <c r="D1241" t="s">
        <v>3471</v>
      </c>
      <c r="E1241" t="s">
        <v>5031</v>
      </c>
      <c r="F1241">
        <v>0</v>
      </c>
      <c r="G1241">
        <v>0</v>
      </c>
    </row>
    <row r="1242" spans="1:7" x14ac:dyDescent="0.2">
      <c r="A1242" t="s">
        <v>787</v>
      </c>
      <c r="B1242" t="s">
        <v>788</v>
      </c>
      <c r="C1242" t="s">
        <v>446</v>
      </c>
      <c r="D1242" t="s">
        <v>8</v>
      </c>
      <c r="E1242" t="s">
        <v>5032</v>
      </c>
      <c r="F1242">
        <v>38.666666666666664</v>
      </c>
      <c r="G1242">
        <v>418</v>
      </c>
    </row>
    <row r="1243" spans="1:7" x14ac:dyDescent="0.2">
      <c r="A1243" t="s">
        <v>787</v>
      </c>
      <c r="B1243" t="s">
        <v>788</v>
      </c>
      <c r="C1243" t="s">
        <v>446</v>
      </c>
      <c r="D1243" t="s">
        <v>12</v>
      </c>
    </row>
    <row r="1244" spans="1:7" x14ac:dyDescent="0.2">
      <c r="A1244" t="s">
        <v>787</v>
      </c>
      <c r="B1244" t="s">
        <v>788</v>
      </c>
      <c r="C1244" t="s">
        <v>446</v>
      </c>
      <c r="D1244" t="s">
        <v>3484</v>
      </c>
    </row>
    <row r="1245" spans="1:7" x14ac:dyDescent="0.2">
      <c r="A1245" t="s">
        <v>775</v>
      </c>
      <c r="B1245" t="s">
        <v>776</v>
      </c>
      <c r="C1245" t="s">
        <v>446</v>
      </c>
      <c r="D1245" t="s">
        <v>10</v>
      </c>
      <c r="E1245" t="s">
        <v>5033</v>
      </c>
      <c r="F1245">
        <v>54.333333333333336</v>
      </c>
      <c r="G1245">
        <v>516</v>
      </c>
    </row>
    <row r="1246" spans="1:7" x14ac:dyDescent="0.2">
      <c r="A1246" t="s">
        <v>775</v>
      </c>
      <c r="B1246" t="s">
        <v>776</v>
      </c>
      <c r="C1246" t="s">
        <v>446</v>
      </c>
      <c r="D1246" t="s">
        <v>3471</v>
      </c>
      <c r="E1246" t="s">
        <v>5034</v>
      </c>
      <c r="F1246">
        <v>0</v>
      </c>
      <c r="G1246">
        <v>0</v>
      </c>
    </row>
    <row r="1247" spans="1:7" x14ac:dyDescent="0.2">
      <c r="A1247" t="s">
        <v>775</v>
      </c>
      <c r="B1247" t="s">
        <v>776</v>
      </c>
      <c r="C1247" t="s">
        <v>446</v>
      </c>
      <c r="D1247" t="s">
        <v>8</v>
      </c>
      <c r="E1247" t="s">
        <v>5035</v>
      </c>
      <c r="F1247">
        <v>8</v>
      </c>
      <c r="G1247">
        <v>46</v>
      </c>
    </row>
    <row r="1248" spans="1:7" x14ac:dyDescent="0.2">
      <c r="A1248" t="s">
        <v>775</v>
      </c>
      <c r="B1248" t="s">
        <v>776</v>
      </c>
      <c r="C1248" t="s">
        <v>446</v>
      </c>
      <c r="D1248" t="s">
        <v>3469</v>
      </c>
      <c r="F1248">
        <v>0</v>
      </c>
      <c r="G1248">
        <v>1</v>
      </c>
    </row>
    <row r="1249" spans="1:7" x14ac:dyDescent="0.2">
      <c r="A1249" t="s">
        <v>775</v>
      </c>
      <c r="B1249" t="s">
        <v>776</v>
      </c>
      <c r="C1249" t="s">
        <v>446</v>
      </c>
      <c r="D1249" t="s">
        <v>12</v>
      </c>
      <c r="F1249">
        <v>4.166666666666667</v>
      </c>
      <c r="G1249">
        <v>133</v>
      </c>
    </row>
    <row r="1250" spans="1:7" x14ac:dyDescent="0.2">
      <c r="A1250" t="s">
        <v>765</v>
      </c>
      <c r="B1250" t="s">
        <v>766</v>
      </c>
      <c r="C1250" t="s">
        <v>446</v>
      </c>
      <c r="D1250" t="s">
        <v>10</v>
      </c>
      <c r="E1250" t="s">
        <v>5036</v>
      </c>
      <c r="F1250">
        <v>78.333333333333329</v>
      </c>
      <c r="G1250">
        <v>534</v>
      </c>
    </row>
    <row r="1251" spans="1:7" x14ac:dyDescent="0.2">
      <c r="A1251" t="s">
        <v>765</v>
      </c>
      <c r="B1251" t="s">
        <v>766</v>
      </c>
      <c r="C1251" t="s">
        <v>446</v>
      </c>
      <c r="D1251" t="s">
        <v>3471</v>
      </c>
      <c r="E1251" t="s">
        <v>5037</v>
      </c>
      <c r="F1251">
        <v>0</v>
      </c>
      <c r="G1251">
        <v>0</v>
      </c>
    </row>
    <row r="1252" spans="1:7" x14ac:dyDescent="0.2">
      <c r="A1252" t="s">
        <v>765</v>
      </c>
      <c r="B1252" t="s">
        <v>766</v>
      </c>
      <c r="C1252" t="s">
        <v>446</v>
      </c>
      <c r="D1252" t="s">
        <v>8</v>
      </c>
      <c r="E1252" t="s">
        <v>5038</v>
      </c>
      <c r="F1252">
        <v>16.5</v>
      </c>
      <c r="G1252">
        <v>223</v>
      </c>
    </row>
    <row r="1253" spans="1:7" x14ac:dyDescent="0.2">
      <c r="A1253" t="s">
        <v>765</v>
      </c>
      <c r="B1253" t="s">
        <v>766</v>
      </c>
      <c r="C1253" t="s">
        <v>446</v>
      </c>
      <c r="D1253" t="s">
        <v>3469</v>
      </c>
      <c r="F1253">
        <v>0.16666666666666666</v>
      </c>
      <c r="G1253">
        <v>1</v>
      </c>
    </row>
    <row r="1254" spans="1:7" x14ac:dyDescent="0.2">
      <c r="A1254" t="s">
        <v>765</v>
      </c>
      <c r="B1254" t="s">
        <v>766</v>
      </c>
      <c r="C1254" t="s">
        <v>446</v>
      </c>
      <c r="D1254" t="s">
        <v>12</v>
      </c>
      <c r="F1254">
        <v>5</v>
      </c>
      <c r="G1254">
        <v>112</v>
      </c>
    </row>
    <row r="1255" spans="1:7" x14ac:dyDescent="0.2">
      <c r="A1255" t="s">
        <v>765</v>
      </c>
      <c r="B1255" t="s">
        <v>766</v>
      </c>
      <c r="C1255" t="s">
        <v>446</v>
      </c>
      <c r="D1255" t="s">
        <v>3484</v>
      </c>
    </row>
    <row r="1256" spans="1:7" x14ac:dyDescent="0.2">
      <c r="A1256" t="s">
        <v>793</v>
      </c>
      <c r="B1256" t="s">
        <v>794</v>
      </c>
      <c r="C1256" t="s">
        <v>446</v>
      </c>
      <c r="D1256" t="s">
        <v>10</v>
      </c>
      <c r="E1256" t="s">
        <v>5039</v>
      </c>
      <c r="F1256">
        <v>31</v>
      </c>
      <c r="G1256">
        <v>226</v>
      </c>
    </row>
    <row r="1257" spans="1:7" x14ac:dyDescent="0.2">
      <c r="A1257" t="s">
        <v>793</v>
      </c>
      <c r="B1257" t="s">
        <v>794</v>
      </c>
      <c r="C1257" t="s">
        <v>446</v>
      </c>
      <c r="D1257" t="s">
        <v>3471</v>
      </c>
      <c r="E1257" t="s">
        <v>5040</v>
      </c>
      <c r="F1257">
        <v>0.33333333333333331</v>
      </c>
      <c r="G1257">
        <v>0</v>
      </c>
    </row>
    <row r="1258" spans="1:7" x14ac:dyDescent="0.2">
      <c r="A1258" t="s">
        <v>793</v>
      </c>
      <c r="B1258" t="s">
        <v>794</v>
      </c>
      <c r="C1258" t="s">
        <v>446</v>
      </c>
      <c r="D1258" t="s">
        <v>8</v>
      </c>
      <c r="E1258" t="s">
        <v>5041</v>
      </c>
      <c r="F1258">
        <v>25.666666666666668</v>
      </c>
      <c r="G1258">
        <v>143</v>
      </c>
    </row>
    <row r="1259" spans="1:7" x14ac:dyDescent="0.2">
      <c r="A1259" t="s">
        <v>793</v>
      </c>
      <c r="B1259" t="s">
        <v>794</v>
      </c>
      <c r="C1259" t="s">
        <v>446</v>
      </c>
      <c r="D1259" t="s">
        <v>3469</v>
      </c>
      <c r="F1259">
        <v>0</v>
      </c>
      <c r="G1259">
        <v>0</v>
      </c>
    </row>
    <row r="1260" spans="1:7" x14ac:dyDescent="0.2">
      <c r="A1260" t="s">
        <v>793</v>
      </c>
      <c r="B1260" t="s">
        <v>794</v>
      </c>
      <c r="C1260" t="s">
        <v>446</v>
      </c>
      <c r="D1260" t="s">
        <v>12</v>
      </c>
    </row>
    <row r="1261" spans="1:7" x14ac:dyDescent="0.2">
      <c r="A1261" t="s">
        <v>793</v>
      </c>
      <c r="B1261" t="s">
        <v>794</v>
      </c>
      <c r="C1261" t="s">
        <v>446</v>
      </c>
      <c r="D1261" t="s">
        <v>3484</v>
      </c>
    </row>
    <row r="1262" spans="1:7" x14ac:dyDescent="0.2">
      <c r="A1262" t="s">
        <v>801</v>
      </c>
      <c r="B1262" t="s">
        <v>802</v>
      </c>
      <c r="C1262" t="s">
        <v>446</v>
      </c>
      <c r="D1262" t="s">
        <v>10</v>
      </c>
      <c r="E1262" t="s">
        <v>5042</v>
      </c>
      <c r="F1262">
        <v>23.166666666666668</v>
      </c>
      <c r="G1262">
        <v>222</v>
      </c>
    </row>
    <row r="1263" spans="1:7" x14ac:dyDescent="0.2">
      <c r="A1263" t="s">
        <v>801</v>
      </c>
      <c r="B1263" t="s">
        <v>802</v>
      </c>
      <c r="C1263" t="s">
        <v>446</v>
      </c>
      <c r="D1263" t="s">
        <v>3471</v>
      </c>
      <c r="E1263" t="s">
        <v>5043</v>
      </c>
      <c r="F1263">
        <v>0.16666666666666666</v>
      </c>
      <c r="G1263">
        <v>1</v>
      </c>
    </row>
    <row r="1264" spans="1:7" x14ac:dyDescent="0.2">
      <c r="A1264" t="s">
        <v>801</v>
      </c>
      <c r="B1264" t="s">
        <v>802</v>
      </c>
      <c r="C1264" t="s">
        <v>446</v>
      </c>
      <c r="D1264" t="s">
        <v>8</v>
      </c>
      <c r="E1264" t="s">
        <v>5044</v>
      </c>
      <c r="F1264">
        <v>20.666666666666668</v>
      </c>
      <c r="G1264">
        <v>90</v>
      </c>
    </row>
    <row r="1265" spans="1:7" x14ac:dyDescent="0.2">
      <c r="A1265" t="s">
        <v>801</v>
      </c>
      <c r="B1265" t="s">
        <v>802</v>
      </c>
      <c r="C1265" t="s">
        <v>446</v>
      </c>
      <c r="D1265" t="s">
        <v>12</v>
      </c>
      <c r="F1265">
        <v>7</v>
      </c>
      <c r="G1265">
        <v>133</v>
      </c>
    </row>
    <row r="1266" spans="1:7" x14ac:dyDescent="0.2">
      <c r="A1266" t="s">
        <v>677</v>
      </c>
      <c r="B1266" t="s">
        <v>678</v>
      </c>
      <c r="C1266" t="s">
        <v>446</v>
      </c>
      <c r="D1266" t="s">
        <v>10</v>
      </c>
      <c r="E1266" t="s">
        <v>5045</v>
      </c>
      <c r="F1266">
        <v>0.16666666666666666</v>
      </c>
      <c r="G1266">
        <v>0</v>
      </c>
    </row>
    <row r="1267" spans="1:7" x14ac:dyDescent="0.2">
      <c r="A1267" t="s">
        <v>677</v>
      </c>
      <c r="B1267" t="s">
        <v>678</v>
      </c>
      <c r="C1267" t="s">
        <v>446</v>
      </c>
      <c r="D1267" t="s">
        <v>8</v>
      </c>
      <c r="E1267" t="s">
        <v>5046</v>
      </c>
    </row>
    <row r="1268" spans="1:7" x14ac:dyDescent="0.2">
      <c r="A1268" t="s">
        <v>677</v>
      </c>
      <c r="B1268" t="s">
        <v>678</v>
      </c>
      <c r="C1268" t="s">
        <v>446</v>
      </c>
      <c r="D1268" t="s">
        <v>12</v>
      </c>
    </row>
    <row r="1269" spans="1:7" x14ac:dyDescent="0.2">
      <c r="A1269" t="s">
        <v>683</v>
      </c>
      <c r="B1269" t="s">
        <v>684</v>
      </c>
      <c r="C1269" t="s">
        <v>446</v>
      </c>
      <c r="D1269" t="s">
        <v>10</v>
      </c>
      <c r="E1269" t="s">
        <v>5047</v>
      </c>
      <c r="F1269">
        <v>0</v>
      </c>
      <c r="G1269">
        <v>1</v>
      </c>
    </row>
    <row r="1270" spans="1:7" x14ac:dyDescent="0.2">
      <c r="A1270" t="s">
        <v>683</v>
      </c>
      <c r="B1270" t="s">
        <v>684</v>
      </c>
      <c r="C1270" t="s">
        <v>446</v>
      </c>
      <c r="D1270" t="s">
        <v>12</v>
      </c>
    </row>
    <row r="1271" spans="1:7" x14ac:dyDescent="0.2">
      <c r="A1271" t="s">
        <v>695</v>
      </c>
      <c r="B1271" t="s">
        <v>696</v>
      </c>
      <c r="C1271" t="s">
        <v>446</v>
      </c>
      <c r="D1271" t="s">
        <v>3471</v>
      </c>
      <c r="E1271" t="s">
        <v>5048</v>
      </c>
      <c r="F1271">
        <v>0</v>
      </c>
      <c r="G1271">
        <v>0</v>
      </c>
    </row>
    <row r="1272" spans="1:7" x14ac:dyDescent="0.2">
      <c r="A1272" t="s">
        <v>695</v>
      </c>
      <c r="B1272" t="s">
        <v>696</v>
      </c>
      <c r="C1272" t="s">
        <v>446</v>
      </c>
      <c r="D1272" t="s">
        <v>8</v>
      </c>
      <c r="E1272" t="s">
        <v>5049</v>
      </c>
      <c r="F1272">
        <v>30.166666666666668</v>
      </c>
      <c r="G1272">
        <v>496</v>
      </c>
    </row>
    <row r="1273" spans="1:7" x14ac:dyDescent="0.2">
      <c r="A1273" t="s">
        <v>695</v>
      </c>
      <c r="B1273" t="s">
        <v>696</v>
      </c>
      <c r="C1273" t="s">
        <v>446</v>
      </c>
      <c r="D1273" t="s">
        <v>3469</v>
      </c>
      <c r="F1273">
        <v>0</v>
      </c>
      <c r="G1273">
        <v>2</v>
      </c>
    </row>
    <row r="1274" spans="1:7" x14ac:dyDescent="0.2">
      <c r="A1274" t="s">
        <v>695</v>
      </c>
      <c r="B1274" t="s">
        <v>696</v>
      </c>
      <c r="C1274" t="s">
        <v>446</v>
      </c>
      <c r="D1274" t="s">
        <v>12</v>
      </c>
      <c r="F1274">
        <v>8.5</v>
      </c>
      <c r="G1274">
        <v>118</v>
      </c>
    </row>
    <row r="1275" spans="1:7" x14ac:dyDescent="0.2">
      <c r="A1275" t="s">
        <v>695</v>
      </c>
      <c r="B1275" t="s">
        <v>696</v>
      </c>
      <c r="C1275" t="s">
        <v>446</v>
      </c>
      <c r="D1275" t="s">
        <v>3484</v>
      </c>
    </row>
    <row r="1276" spans="1:7" x14ac:dyDescent="0.2">
      <c r="A1276" t="s">
        <v>549</v>
      </c>
      <c r="B1276" t="s">
        <v>550</v>
      </c>
      <c r="C1276" t="s">
        <v>446</v>
      </c>
      <c r="D1276" t="s">
        <v>13</v>
      </c>
      <c r="G1276">
        <v>1</v>
      </c>
    </row>
    <row r="1277" spans="1:7" x14ac:dyDescent="0.2">
      <c r="A1277" t="s">
        <v>549</v>
      </c>
      <c r="B1277" t="s">
        <v>550</v>
      </c>
      <c r="C1277" t="s">
        <v>446</v>
      </c>
      <c r="D1277" t="s">
        <v>10</v>
      </c>
      <c r="E1277" t="s">
        <v>5050</v>
      </c>
      <c r="F1277">
        <v>0</v>
      </c>
      <c r="G1277">
        <v>1</v>
      </c>
    </row>
    <row r="1278" spans="1:7" x14ac:dyDescent="0.2">
      <c r="A1278" t="s">
        <v>549</v>
      </c>
      <c r="B1278" t="s">
        <v>550</v>
      </c>
      <c r="C1278" t="s">
        <v>446</v>
      </c>
      <c r="D1278" t="s">
        <v>3471</v>
      </c>
      <c r="E1278" t="s">
        <v>5051</v>
      </c>
      <c r="F1278">
        <v>0</v>
      </c>
      <c r="G1278">
        <v>0</v>
      </c>
    </row>
    <row r="1279" spans="1:7" x14ac:dyDescent="0.2">
      <c r="A1279" t="s">
        <v>549</v>
      </c>
      <c r="B1279" t="s">
        <v>550</v>
      </c>
      <c r="C1279" t="s">
        <v>446</v>
      </c>
      <c r="D1279" t="s">
        <v>8</v>
      </c>
      <c r="E1279" t="s">
        <v>5052</v>
      </c>
      <c r="F1279">
        <v>24.333333333333332</v>
      </c>
      <c r="G1279">
        <v>208</v>
      </c>
    </row>
    <row r="1280" spans="1:7" x14ac:dyDescent="0.2">
      <c r="A1280" t="s">
        <v>549</v>
      </c>
      <c r="B1280" t="s">
        <v>550</v>
      </c>
      <c r="C1280" t="s">
        <v>446</v>
      </c>
      <c r="D1280" t="s">
        <v>3469</v>
      </c>
      <c r="F1280">
        <v>0</v>
      </c>
      <c r="G1280">
        <v>1</v>
      </c>
    </row>
    <row r="1281" spans="1:7" x14ac:dyDescent="0.2">
      <c r="A1281" t="s">
        <v>547</v>
      </c>
      <c r="B1281" t="s">
        <v>548</v>
      </c>
      <c r="C1281" t="s">
        <v>446</v>
      </c>
      <c r="D1281" t="s">
        <v>10</v>
      </c>
      <c r="E1281" t="s">
        <v>5053</v>
      </c>
    </row>
    <row r="1282" spans="1:7" x14ac:dyDescent="0.2">
      <c r="A1282" t="s">
        <v>547</v>
      </c>
      <c r="B1282" t="s">
        <v>548</v>
      </c>
      <c r="C1282" t="s">
        <v>446</v>
      </c>
      <c r="D1282" t="s">
        <v>8</v>
      </c>
      <c r="E1282" t="s">
        <v>5054</v>
      </c>
    </row>
    <row r="1283" spans="1:7" x14ac:dyDescent="0.2">
      <c r="A1283" t="s">
        <v>551</v>
      </c>
      <c r="B1283" t="s">
        <v>552</v>
      </c>
      <c r="C1283" t="s">
        <v>446</v>
      </c>
      <c r="D1283" t="s">
        <v>13</v>
      </c>
      <c r="F1283">
        <v>0.33333333333333331</v>
      </c>
      <c r="G1283">
        <v>57</v>
      </c>
    </row>
    <row r="1284" spans="1:7" x14ac:dyDescent="0.2">
      <c r="A1284" t="s">
        <v>551</v>
      </c>
      <c r="B1284" t="s">
        <v>552</v>
      </c>
      <c r="C1284" t="s">
        <v>446</v>
      </c>
      <c r="D1284" t="s">
        <v>3471</v>
      </c>
      <c r="E1284" t="s">
        <v>5055</v>
      </c>
      <c r="F1284">
        <v>1.1666666666666667</v>
      </c>
      <c r="G1284">
        <v>0</v>
      </c>
    </row>
    <row r="1285" spans="1:7" x14ac:dyDescent="0.2">
      <c r="A1285" t="s">
        <v>551</v>
      </c>
      <c r="B1285" t="s">
        <v>552</v>
      </c>
      <c r="C1285" t="s">
        <v>446</v>
      </c>
      <c r="D1285" t="s">
        <v>8</v>
      </c>
      <c r="E1285" t="s">
        <v>5056</v>
      </c>
      <c r="F1285">
        <v>25.333333333333332</v>
      </c>
      <c r="G1285">
        <v>376</v>
      </c>
    </row>
    <row r="1286" spans="1:7" x14ac:dyDescent="0.2">
      <c r="A1286" t="s">
        <v>551</v>
      </c>
      <c r="B1286" t="s">
        <v>552</v>
      </c>
      <c r="C1286" t="s">
        <v>446</v>
      </c>
      <c r="D1286" t="s">
        <v>12</v>
      </c>
      <c r="F1286">
        <v>25.333333333333332</v>
      </c>
      <c r="G1286">
        <v>341</v>
      </c>
    </row>
    <row r="1287" spans="1:7" x14ac:dyDescent="0.2">
      <c r="A1287" t="s">
        <v>759</v>
      </c>
      <c r="B1287" t="s">
        <v>760</v>
      </c>
      <c r="C1287" t="s">
        <v>446</v>
      </c>
      <c r="D1287" t="s">
        <v>10</v>
      </c>
      <c r="E1287" t="s">
        <v>5057</v>
      </c>
      <c r="F1287">
        <v>90.5</v>
      </c>
      <c r="G1287">
        <v>494</v>
      </c>
    </row>
    <row r="1288" spans="1:7" x14ac:dyDescent="0.2">
      <c r="A1288" t="s">
        <v>759</v>
      </c>
      <c r="B1288" t="s">
        <v>760</v>
      </c>
      <c r="C1288" t="s">
        <v>446</v>
      </c>
      <c r="D1288" t="s">
        <v>3471</v>
      </c>
      <c r="E1288" t="s">
        <v>5058</v>
      </c>
      <c r="F1288">
        <v>0</v>
      </c>
      <c r="G1288">
        <v>0</v>
      </c>
    </row>
    <row r="1289" spans="1:7" x14ac:dyDescent="0.2">
      <c r="A1289" t="s">
        <v>759</v>
      </c>
      <c r="B1289" t="s">
        <v>760</v>
      </c>
      <c r="C1289" t="s">
        <v>446</v>
      </c>
      <c r="D1289" t="s">
        <v>8</v>
      </c>
      <c r="E1289" t="s">
        <v>5059</v>
      </c>
      <c r="F1289">
        <v>111.33333333333333</v>
      </c>
      <c r="G1289">
        <v>554</v>
      </c>
    </row>
    <row r="1290" spans="1:7" x14ac:dyDescent="0.2">
      <c r="A1290" t="s">
        <v>759</v>
      </c>
      <c r="B1290" t="s">
        <v>760</v>
      </c>
      <c r="C1290" t="s">
        <v>446</v>
      </c>
      <c r="D1290" t="s">
        <v>3469</v>
      </c>
      <c r="F1290">
        <v>8.3333333333333339</v>
      </c>
      <c r="G1290">
        <v>2</v>
      </c>
    </row>
    <row r="1291" spans="1:7" x14ac:dyDescent="0.2">
      <c r="A1291" t="s">
        <v>759</v>
      </c>
      <c r="B1291" t="s">
        <v>760</v>
      </c>
      <c r="C1291" t="s">
        <v>446</v>
      </c>
      <c r="D1291" t="s">
        <v>12</v>
      </c>
      <c r="F1291">
        <v>4</v>
      </c>
      <c r="G1291">
        <v>132</v>
      </c>
    </row>
    <row r="1292" spans="1:7" x14ac:dyDescent="0.2">
      <c r="A1292" t="s">
        <v>759</v>
      </c>
      <c r="B1292" t="s">
        <v>760</v>
      </c>
      <c r="C1292" t="s">
        <v>446</v>
      </c>
      <c r="D1292" t="s">
        <v>3484</v>
      </c>
    </row>
    <row r="1293" spans="1:7" x14ac:dyDescent="0.2">
      <c r="A1293" t="s">
        <v>757</v>
      </c>
      <c r="B1293" t="s">
        <v>758</v>
      </c>
      <c r="C1293" t="s">
        <v>446</v>
      </c>
      <c r="D1293" t="s">
        <v>10</v>
      </c>
      <c r="E1293" t="s">
        <v>5060</v>
      </c>
      <c r="F1293">
        <v>34.166666666666664</v>
      </c>
      <c r="G1293">
        <v>404</v>
      </c>
    </row>
    <row r="1294" spans="1:7" x14ac:dyDescent="0.2">
      <c r="A1294" t="s">
        <v>757</v>
      </c>
      <c r="B1294" t="s">
        <v>758</v>
      </c>
      <c r="C1294" t="s">
        <v>446</v>
      </c>
      <c r="D1294" t="s">
        <v>3471</v>
      </c>
      <c r="E1294" t="s">
        <v>5061</v>
      </c>
      <c r="F1294">
        <v>0</v>
      </c>
      <c r="G1294">
        <v>0</v>
      </c>
    </row>
    <row r="1295" spans="1:7" x14ac:dyDescent="0.2">
      <c r="A1295" t="s">
        <v>757</v>
      </c>
      <c r="B1295" t="s">
        <v>758</v>
      </c>
      <c r="C1295" t="s">
        <v>446</v>
      </c>
      <c r="D1295" t="s">
        <v>8</v>
      </c>
      <c r="E1295" t="s">
        <v>5062</v>
      </c>
      <c r="F1295">
        <v>37.833333333333336</v>
      </c>
      <c r="G1295">
        <v>391</v>
      </c>
    </row>
    <row r="1296" spans="1:7" x14ac:dyDescent="0.2">
      <c r="A1296" t="s">
        <v>757</v>
      </c>
      <c r="B1296" t="s">
        <v>758</v>
      </c>
      <c r="C1296" t="s">
        <v>446</v>
      </c>
      <c r="D1296" t="s">
        <v>3469</v>
      </c>
      <c r="F1296">
        <v>0</v>
      </c>
      <c r="G1296">
        <v>3</v>
      </c>
    </row>
    <row r="1297" spans="1:7" x14ac:dyDescent="0.2">
      <c r="A1297" t="s">
        <v>755</v>
      </c>
      <c r="B1297" t="s">
        <v>756</v>
      </c>
      <c r="C1297" t="s">
        <v>446</v>
      </c>
      <c r="D1297" t="s">
        <v>13</v>
      </c>
    </row>
    <row r="1298" spans="1:7" x14ac:dyDescent="0.2">
      <c r="A1298" t="s">
        <v>755</v>
      </c>
      <c r="B1298" t="s">
        <v>756</v>
      </c>
      <c r="C1298" t="s">
        <v>446</v>
      </c>
      <c r="D1298" t="s">
        <v>10</v>
      </c>
      <c r="E1298" t="s">
        <v>5063</v>
      </c>
      <c r="F1298">
        <v>48.333333333333336</v>
      </c>
      <c r="G1298">
        <v>600</v>
      </c>
    </row>
    <row r="1299" spans="1:7" x14ac:dyDescent="0.2">
      <c r="A1299" t="s">
        <v>755</v>
      </c>
      <c r="B1299" t="s">
        <v>756</v>
      </c>
      <c r="C1299" t="s">
        <v>446</v>
      </c>
      <c r="D1299" t="s">
        <v>3471</v>
      </c>
      <c r="E1299" t="s">
        <v>5064</v>
      </c>
      <c r="F1299">
        <v>0</v>
      </c>
      <c r="G1299">
        <v>0</v>
      </c>
    </row>
    <row r="1300" spans="1:7" x14ac:dyDescent="0.2">
      <c r="A1300" t="s">
        <v>755</v>
      </c>
      <c r="B1300" t="s">
        <v>756</v>
      </c>
      <c r="C1300" t="s">
        <v>446</v>
      </c>
      <c r="D1300" t="s">
        <v>8</v>
      </c>
      <c r="E1300" t="s">
        <v>5065</v>
      </c>
      <c r="F1300">
        <v>38.333333333333336</v>
      </c>
      <c r="G1300">
        <v>355</v>
      </c>
    </row>
    <row r="1301" spans="1:7" x14ac:dyDescent="0.2">
      <c r="A1301" t="s">
        <v>755</v>
      </c>
      <c r="B1301" t="s">
        <v>756</v>
      </c>
      <c r="C1301" t="s">
        <v>446</v>
      </c>
      <c r="D1301" t="s">
        <v>12</v>
      </c>
      <c r="F1301">
        <v>6.5</v>
      </c>
      <c r="G1301">
        <v>131</v>
      </c>
    </row>
    <row r="1302" spans="1:7" x14ac:dyDescent="0.2">
      <c r="A1302" t="s">
        <v>755</v>
      </c>
      <c r="B1302" t="s">
        <v>756</v>
      </c>
      <c r="C1302" t="s">
        <v>446</v>
      </c>
      <c r="D1302" t="s">
        <v>3484</v>
      </c>
    </row>
    <row r="1303" spans="1:7" x14ac:dyDescent="0.2">
      <c r="A1303" t="s">
        <v>789</v>
      </c>
      <c r="B1303" t="s">
        <v>790</v>
      </c>
      <c r="C1303" t="s">
        <v>446</v>
      </c>
      <c r="D1303" t="s">
        <v>10</v>
      </c>
      <c r="E1303" t="s">
        <v>5066</v>
      </c>
      <c r="F1303">
        <v>35.166666666666664</v>
      </c>
      <c r="G1303">
        <v>455</v>
      </c>
    </row>
    <row r="1304" spans="1:7" x14ac:dyDescent="0.2">
      <c r="A1304" t="s">
        <v>789</v>
      </c>
      <c r="B1304" t="s">
        <v>790</v>
      </c>
      <c r="C1304" t="s">
        <v>446</v>
      </c>
      <c r="D1304" t="s">
        <v>3471</v>
      </c>
      <c r="E1304" t="s">
        <v>5067</v>
      </c>
      <c r="F1304">
        <v>0.16666666666666666</v>
      </c>
      <c r="G1304">
        <v>-1</v>
      </c>
    </row>
    <row r="1305" spans="1:7" x14ac:dyDescent="0.2">
      <c r="A1305" t="s">
        <v>789</v>
      </c>
      <c r="B1305" t="s">
        <v>790</v>
      </c>
      <c r="C1305" t="s">
        <v>446</v>
      </c>
      <c r="D1305" t="s">
        <v>8</v>
      </c>
      <c r="E1305" t="s">
        <v>5068</v>
      </c>
      <c r="F1305">
        <v>31.333333333333332</v>
      </c>
      <c r="G1305">
        <v>444</v>
      </c>
    </row>
    <row r="1306" spans="1:7" x14ac:dyDescent="0.2">
      <c r="A1306" t="s">
        <v>789</v>
      </c>
      <c r="B1306" t="s">
        <v>790</v>
      </c>
      <c r="C1306" t="s">
        <v>446</v>
      </c>
      <c r="D1306" t="s">
        <v>3469</v>
      </c>
      <c r="F1306">
        <v>0</v>
      </c>
      <c r="G1306">
        <v>5</v>
      </c>
    </row>
    <row r="1307" spans="1:7" x14ac:dyDescent="0.2">
      <c r="A1307" t="s">
        <v>789</v>
      </c>
      <c r="B1307" t="s">
        <v>790</v>
      </c>
      <c r="C1307" t="s">
        <v>446</v>
      </c>
      <c r="D1307" t="s">
        <v>12</v>
      </c>
      <c r="F1307">
        <v>4.333333333333333</v>
      </c>
      <c r="G1307">
        <v>115</v>
      </c>
    </row>
    <row r="1308" spans="1:7" x14ac:dyDescent="0.2">
      <c r="A1308" t="s">
        <v>767</v>
      </c>
      <c r="B1308" t="s">
        <v>768</v>
      </c>
      <c r="C1308" t="s">
        <v>446</v>
      </c>
      <c r="D1308" t="s">
        <v>10</v>
      </c>
      <c r="E1308" t="s">
        <v>5069</v>
      </c>
      <c r="F1308">
        <v>13.333333333333334</v>
      </c>
      <c r="G1308">
        <v>98</v>
      </c>
    </row>
    <row r="1309" spans="1:7" x14ac:dyDescent="0.2">
      <c r="A1309" t="s">
        <v>767</v>
      </c>
      <c r="B1309" t="s">
        <v>768</v>
      </c>
      <c r="C1309" t="s">
        <v>446</v>
      </c>
      <c r="D1309" t="s">
        <v>3471</v>
      </c>
      <c r="E1309" t="s">
        <v>5070</v>
      </c>
    </row>
    <row r="1310" spans="1:7" x14ac:dyDescent="0.2">
      <c r="A1310" t="s">
        <v>767</v>
      </c>
      <c r="B1310" t="s">
        <v>768</v>
      </c>
      <c r="C1310" t="s">
        <v>446</v>
      </c>
      <c r="D1310" t="s">
        <v>8</v>
      </c>
      <c r="E1310" t="s">
        <v>5071</v>
      </c>
    </row>
    <row r="1311" spans="1:7" x14ac:dyDescent="0.2">
      <c r="A1311" t="s">
        <v>767</v>
      </c>
      <c r="B1311" t="s">
        <v>768</v>
      </c>
      <c r="C1311" t="s">
        <v>446</v>
      </c>
      <c r="D1311" t="s">
        <v>3469</v>
      </c>
      <c r="F1311">
        <v>0</v>
      </c>
      <c r="G1311">
        <v>0</v>
      </c>
    </row>
    <row r="1312" spans="1:7" x14ac:dyDescent="0.2">
      <c r="A1312" t="s">
        <v>767</v>
      </c>
      <c r="B1312" t="s">
        <v>768</v>
      </c>
      <c r="C1312" t="s">
        <v>446</v>
      </c>
      <c r="D1312" t="s">
        <v>12</v>
      </c>
      <c r="F1312">
        <v>0</v>
      </c>
      <c r="G1312">
        <v>2</v>
      </c>
    </row>
    <row r="1313" spans="1:7" x14ac:dyDescent="0.2">
      <c r="A1313" t="s">
        <v>763</v>
      </c>
      <c r="B1313" t="s">
        <v>764</v>
      </c>
      <c r="C1313" t="s">
        <v>446</v>
      </c>
      <c r="D1313" t="s">
        <v>10</v>
      </c>
      <c r="E1313" t="s">
        <v>5072</v>
      </c>
      <c r="F1313">
        <v>16.666666666666668</v>
      </c>
      <c r="G1313">
        <v>150</v>
      </c>
    </row>
    <row r="1314" spans="1:7" x14ac:dyDescent="0.2">
      <c r="A1314" t="s">
        <v>763</v>
      </c>
      <c r="B1314" t="s">
        <v>764</v>
      </c>
      <c r="C1314" t="s">
        <v>446</v>
      </c>
      <c r="D1314" t="s">
        <v>3471</v>
      </c>
      <c r="E1314" t="s">
        <v>5073</v>
      </c>
    </row>
    <row r="1315" spans="1:7" x14ac:dyDescent="0.2">
      <c r="A1315" t="s">
        <v>763</v>
      </c>
      <c r="B1315" t="s">
        <v>764</v>
      </c>
      <c r="C1315" t="s">
        <v>446</v>
      </c>
      <c r="D1315" t="s">
        <v>8</v>
      </c>
      <c r="E1315" t="s">
        <v>5074</v>
      </c>
      <c r="F1315">
        <v>0</v>
      </c>
      <c r="G1315">
        <v>0</v>
      </c>
    </row>
    <row r="1316" spans="1:7" x14ac:dyDescent="0.2">
      <c r="A1316" t="s">
        <v>763</v>
      </c>
      <c r="B1316" t="s">
        <v>764</v>
      </c>
      <c r="C1316" t="s">
        <v>446</v>
      </c>
      <c r="D1316" t="s">
        <v>3469</v>
      </c>
      <c r="F1316">
        <v>0</v>
      </c>
      <c r="G1316">
        <v>1</v>
      </c>
    </row>
    <row r="1317" spans="1:7" x14ac:dyDescent="0.2">
      <c r="A1317" t="s">
        <v>763</v>
      </c>
      <c r="B1317" t="s">
        <v>764</v>
      </c>
      <c r="C1317" t="s">
        <v>446</v>
      </c>
      <c r="D1317" t="s">
        <v>12</v>
      </c>
      <c r="F1317">
        <v>0</v>
      </c>
      <c r="G1317">
        <v>0</v>
      </c>
    </row>
    <row r="1318" spans="1:7" x14ac:dyDescent="0.2">
      <c r="A1318" t="s">
        <v>761</v>
      </c>
      <c r="B1318" t="s">
        <v>762</v>
      </c>
      <c r="C1318" t="s">
        <v>446</v>
      </c>
      <c r="D1318" t="s">
        <v>10</v>
      </c>
      <c r="E1318" t="s">
        <v>5075</v>
      </c>
      <c r="F1318">
        <v>22.5</v>
      </c>
      <c r="G1318">
        <v>177</v>
      </c>
    </row>
    <row r="1319" spans="1:7" x14ac:dyDescent="0.2">
      <c r="A1319" t="s">
        <v>761</v>
      </c>
      <c r="B1319" t="s">
        <v>762</v>
      </c>
      <c r="C1319" t="s">
        <v>446</v>
      </c>
      <c r="D1319" t="s">
        <v>3471</v>
      </c>
      <c r="E1319" t="s">
        <v>5076</v>
      </c>
    </row>
    <row r="1320" spans="1:7" x14ac:dyDescent="0.2">
      <c r="A1320" t="s">
        <v>761</v>
      </c>
      <c r="B1320" t="s">
        <v>762</v>
      </c>
      <c r="C1320" t="s">
        <v>446</v>
      </c>
      <c r="D1320" t="s">
        <v>8</v>
      </c>
      <c r="E1320" t="s">
        <v>5077</v>
      </c>
      <c r="F1320">
        <v>0.83333333333333337</v>
      </c>
      <c r="G1320">
        <v>2</v>
      </c>
    </row>
    <row r="1321" spans="1:7" x14ac:dyDescent="0.2">
      <c r="A1321" t="s">
        <v>761</v>
      </c>
      <c r="B1321" t="s">
        <v>762</v>
      </c>
      <c r="C1321" t="s">
        <v>446</v>
      </c>
      <c r="D1321" t="s">
        <v>3469</v>
      </c>
      <c r="F1321">
        <v>0</v>
      </c>
      <c r="G1321">
        <v>0</v>
      </c>
    </row>
    <row r="1322" spans="1:7" x14ac:dyDescent="0.2">
      <c r="A1322" t="s">
        <v>761</v>
      </c>
      <c r="B1322" t="s">
        <v>762</v>
      </c>
      <c r="C1322" t="s">
        <v>446</v>
      </c>
      <c r="D1322" t="s">
        <v>12</v>
      </c>
      <c r="F1322">
        <v>0</v>
      </c>
      <c r="G1322">
        <v>0</v>
      </c>
    </row>
    <row r="1323" spans="1:7" x14ac:dyDescent="0.2">
      <c r="A1323" t="s">
        <v>691</v>
      </c>
      <c r="B1323" t="s">
        <v>692</v>
      </c>
      <c r="C1323" t="s">
        <v>446</v>
      </c>
      <c r="D1323" t="s">
        <v>13</v>
      </c>
      <c r="G1323">
        <v>1</v>
      </c>
    </row>
    <row r="1324" spans="1:7" x14ac:dyDescent="0.2">
      <c r="A1324" t="s">
        <v>691</v>
      </c>
      <c r="B1324" t="s">
        <v>692</v>
      </c>
      <c r="C1324" t="s">
        <v>446</v>
      </c>
      <c r="D1324" t="s">
        <v>10</v>
      </c>
      <c r="E1324" t="s">
        <v>5078</v>
      </c>
      <c r="F1324">
        <v>69.833333333333329</v>
      </c>
      <c r="G1324">
        <v>677</v>
      </c>
    </row>
    <row r="1325" spans="1:7" x14ac:dyDescent="0.2">
      <c r="A1325" t="s">
        <v>691</v>
      </c>
      <c r="B1325" t="s">
        <v>692</v>
      </c>
      <c r="C1325" t="s">
        <v>446</v>
      </c>
      <c r="D1325" t="s">
        <v>3471</v>
      </c>
      <c r="E1325" t="s">
        <v>5079</v>
      </c>
      <c r="F1325">
        <v>0</v>
      </c>
      <c r="G1325">
        <v>0</v>
      </c>
    </row>
    <row r="1326" spans="1:7" x14ac:dyDescent="0.2">
      <c r="A1326" t="s">
        <v>691</v>
      </c>
      <c r="B1326" t="s">
        <v>692</v>
      </c>
      <c r="C1326" t="s">
        <v>446</v>
      </c>
      <c r="D1326" t="s">
        <v>8</v>
      </c>
      <c r="E1326" t="s">
        <v>5080</v>
      </c>
      <c r="F1326">
        <v>13</v>
      </c>
      <c r="G1326">
        <v>266</v>
      </c>
    </row>
    <row r="1327" spans="1:7" x14ac:dyDescent="0.2">
      <c r="A1327" t="s">
        <v>691</v>
      </c>
      <c r="B1327" t="s">
        <v>692</v>
      </c>
      <c r="C1327" t="s">
        <v>446</v>
      </c>
      <c r="D1327" t="s">
        <v>3469</v>
      </c>
      <c r="F1327">
        <v>0</v>
      </c>
      <c r="G1327">
        <v>5</v>
      </c>
    </row>
    <row r="1328" spans="1:7" x14ac:dyDescent="0.2">
      <c r="A1328" t="s">
        <v>691</v>
      </c>
      <c r="B1328" t="s">
        <v>692</v>
      </c>
      <c r="C1328" t="s">
        <v>446</v>
      </c>
      <c r="D1328" t="s">
        <v>12</v>
      </c>
      <c r="F1328">
        <v>10.333333333333334</v>
      </c>
      <c r="G1328">
        <v>270</v>
      </c>
    </row>
    <row r="1329" spans="1:7" x14ac:dyDescent="0.2">
      <c r="A1329" t="s">
        <v>689</v>
      </c>
      <c r="B1329" t="s">
        <v>690</v>
      </c>
      <c r="C1329" t="s">
        <v>446</v>
      </c>
      <c r="D1329" t="s">
        <v>10</v>
      </c>
      <c r="E1329" t="s">
        <v>5081</v>
      </c>
      <c r="F1329">
        <v>45.833333333333336</v>
      </c>
      <c r="G1329">
        <v>616</v>
      </c>
    </row>
    <row r="1330" spans="1:7" x14ac:dyDescent="0.2">
      <c r="A1330" t="s">
        <v>689</v>
      </c>
      <c r="B1330" t="s">
        <v>690</v>
      </c>
      <c r="C1330" t="s">
        <v>446</v>
      </c>
      <c r="D1330" t="s">
        <v>3471</v>
      </c>
      <c r="E1330" t="s">
        <v>5082</v>
      </c>
      <c r="F1330">
        <v>0</v>
      </c>
      <c r="G1330">
        <v>0</v>
      </c>
    </row>
    <row r="1331" spans="1:7" x14ac:dyDescent="0.2">
      <c r="A1331" t="s">
        <v>689</v>
      </c>
      <c r="B1331" t="s">
        <v>690</v>
      </c>
      <c r="C1331" t="s">
        <v>446</v>
      </c>
      <c r="D1331" t="s">
        <v>8</v>
      </c>
      <c r="E1331" t="s">
        <v>5083</v>
      </c>
      <c r="F1331">
        <v>0.5</v>
      </c>
      <c r="G1331">
        <v>13</v>
      </c>
    </row>
    <row r="1332" spans="1:7" x14ac:dyDescent="0.2">
      <c r="A1332" t="s">
        <v>689</v>
      </c>
      <c r="B1332" t="s">
        <v>690</v>
      </c>
      <c r="C1332" t="s">
        <v>446</v>
      </c>
      <c r="D1332" t="s">
        <v>3469</v>
      </c>
      <c r="F1332">
        <v>0</v>
      </c>
      <c r="G1332">
        <v>0</v>
      </c>
    </row>
    <row r="1333" spans="1:7" x14ac:dyDescent="0.2">
      <c r="A1333" t="s">
        <v>689</v>
      </c>
      <c r="B1333" t="s">
        <v>690</v>
      </c>
      <c r="C1333" t="s">
        <v>446</v>
      </c>
      <c r="D1333" t="s">
        <v>12</v>
      </c>
      <c r="F1333">
        <v>0</v>
      </c>
      <c r="G1333">
        <v>3</v>
      </c>
    </row>
    <row r="1334" spans="1:7" x14ac:dyDescent="0.2">
      <c r="A1334" t="s">
        <v>687</v>
      </c>
      <c r="B1334" t="s">
        <v>688</v>
      </c>
      <c r="C1334" t="s">
        <v>446</v>
      </c>
      <c r="D1334" t="s">
        <v>10</v>
      </c>
      <c r="E1334" t="s">
        <v>5084</v>
      </c>
      <c r="F1334">
        <v>28.5</v>
      </c>
      <c r="G1334">
        <v>450</v>
      </c>
    </row>
    <row r="1335" spans="1:7" x14ac:dyDescent="0.2">
      <c r="A1335" t="s">
        <v>687</v>
      </c>
      <c r="B1335" t="s">
        <v>688</v>
      </c>
      <c r="C1335" t="s">
        <v>446</v>
      </c>
      <c r="D1335" t="s">
        <v>3471</v>
      </c>
      <c r="E1335" t="s">
        <v>5085</v>
      </c>
      <c r="F1335">
        <v>0</v>
      </c>
      <c r="G1335">
        <v>0</v>
      </c>
    </row>
    <row r="1336" spans="1:7" x14ac:dyDescent="0.2">
      <c r="A1336" t="s">
        <v>687</v>
      </c>
      <c r="B1336" t="s">
        <v>688</v>
      </c>
      <c r="C1336" t="s">
        <v>446</v>
      </c>
      <c r="D1336" t="s">
        <v>3469</v>
      </c>
      <c r="F1336">
        <v>0</v>
      </c>
      <c r="G1336">
        <v>0</v>
      </c>
    </row>
    <row r="1337" spans="1:7" x14ac:dyDescent="0.2">
      <c r="A1337" t="s">
        <v>687</v>
      </c>
      <c r="B1337" t="s">
        <v>688</v>
      </c>
      <c r="C1337" t="s">
        <v>446</v>
      </c>
      <c r="D1337" t="s">
        <v>12</v>
      </c>
    </row>
    <row r="1338" spans="1:7" x14ac:dyDescent="0.2">
      <c r="A1338" t="s">
        <v>685</v>
      </c>
      <c r="B1338" t="s">
        <v>686</v>
      </c>
      <c r="C1338" t="s">
        <v>446</v>
      </c>
      <c r="D1338" t="s">
        <v>10</v>
      </c>
      <c r="E1338" t="s">
        <v>5086</v>
      </c>
      <c r="F1338">
        <v>20</v>
      </c>
      <c r="G1338">
        <v>423</v>
      </c>
    </row>
    <row r="1339" spans="1:7" x14ac:dyDescent="0.2">
      <c r="A1339" t="s">
        <v>685</v>
      </c>
      <c r="B1339" t="s">
        <v>686</v>
      </c>
      <c r="C1339" t="s">
        <v>446</v>
      </c>
      <c r="D1339" t="s">
        <v>3471</v>
      </c>
      <c r="E1339" t="s">
        <v>5087</v>
      </c>
      <c r="F1339">
        <v>0</v>
      </c>
      <c r="G1339">
        <v>0</v>
      </c>
    </row>
    <row r="1340" spans="1:7" x14ac:dyDescent="0.2">
      <c r="A1340" t="s">
        <v>685</v>
      </c>
      <c r="B1340" t="s">
        <v>686</v>
      </c>
      <c r="C1340" t="s">
        <v>446</v>
      </c>
      <c r="D1340" t="s">
        <v>8</v>
      </c>
      <c r="E1340" t="s">
        <v>5088</v>
      </c>
    </row>
    <row r="1341" spans="1:7" x14ac:dyDescent="0.2">
      <c r="A1341" t="s">
        <v>685</v>
      </c>
      <c r="B1341" t="s">
        <v>686</v>
      </c>
      <c r="C1341" t="s">
        <v>446</v>
      </c>
      <c r="D1341" t="s">
        <v>3469</v>
      </c>
      <c r="F1341">
        <v>0</v>
      </c>
      <c r="G1341">
        <v>0</v>
      </c>
    </row>
    <row r="1342" spans="1:7" x14ac:dyDescent="0.2">
      <c r="A1342" t="s">
        <v>685</v>
      </c>
      <c r="B1342" t="s">
        <v>686</v>
      </c>
      <c r="C1342" t="s">
        <v>446</v>
      </c>
      <c r="D1342" t="s">
        <v>12</v>
      </c>
    </row>
    <row r="1343" spans="1:7" x14ac:dyDescent="0.2">
      <c r="A1343" t="s">
        <v>771</v>
      </c>
      <c r="B1343" t="s">
        <v>772</v>
      </c>
      <c r="C1343" t="s">
        <v>446</v>
      </c>
      <c r="D1343" t="s">
        <v>10</v>
      </c>
      <c r="E1343" t="s">
        <v>5089</v>
      </c>
      <c r="F1343">
        <v>86.666666666666671</v>
      </c>
      <c r="G1343">
        <v>606</v>
      </c>
    </row>
    <row r="1344" spans="1:7" x14ac:dyDescent="0.2">
      <c r="A1344" t="s">
        <v>771</v>
      </c>
      <c r="B1344" t="s">
        <v>772</v>
      </c>
      <c r="C1344" t="s">
        <v>446</v>
      </c>
      <c r="D1344" t="s">
        <v>3471</v>
      </c>
      <c r="E1344" t="s">
        <v>5090</v>
      </c>
      <c r="F1344">
        <v>0</v>
      </c>
      <c r="G1344">
        <v>0</v>
      </c>
    </row>
    <row r="1345" spans="1:7" x14ac:dyDescent="0.2">
      <c r="A1345" t="s">
        <v>771</v>
      </c>
      <c r="B1345" t="s">
        <v>772</v>
      </c>
      <c r="C1345" t="s">
        <v>446</v>
      </c>
      <c r="D1345" t="s">
        <v>8</v>
      </c>
      <c r="E1345" t="s">
        <v>5091</v>
      </c>
      <c r="F1345">
        <v>48</v>
      </c>
      <c r="G1345">
        <v>460</v>
      </c>
    </row>
    <row r="1346" spans="1:7" x14ac:dyDescent="0.2">
      <c r="A1346" t="s">
        <v>771</v>
      </c>
      <c r="B1346" t="s">
        <v>772</v>
      </c>
      <c r="C1346" t="s">
        <v>446</v>
      </c>
      <c r="D1346" t="s">
        <v>3469</v>
      </c>
      <c r="F1346">
        <v>0.16666666666666666</v>
      </c>
      <c r="G1346">
        <v>4</v>
      </c>
    </row>
    <row r="1347" spans="1:7" x14ac:dyDescent="0.2">
      <c r="A1347" t="s">
        <v>785</v>
      </c>
      <c r="B1347" t="s">
        <v>786</v>
      </c>
      <c r="C1347" t="s">
        <v>446</v>
      </c>
      <c r="D1347" t="s">
        <v>10</v>
      </c>
      <c r="E1347" t="s">
        <v>5092</v>
      </c>
      <c r="F1347">
        <v>24.333333333333332</v>
      </c>
      <c r="G1347">
        <v>410</v>
      </c>
    </row>
    <row r="1348" spans="1:7" x14ac:dyDescent="0.2">
      <c r="A1348" t="s">
        <v>785</v>
      </c>
      <c r="B1348" t="s">
        <v>786</v>
      </c>
      <c r="C1348" t="s">
        <v>446</v>
      </c>
      <c r="D1348" t="s">
        <v>3471</v>
      </c>
      <c r="E1348" t="s">
        <v>5093</v>
      </c>
      <c r="F1348">
        <v>0</v>
      </c>
      <c r="G1348">
        <v>0</v>
      </c>
    </row>
    <row r="1349" spans="1:7" x14ac:dyDescent="0.2">
      <c r="A1349" t="s">
        <v>785</v>
      </c>
      <c r="B1349" t="s">
        <v>786</v>
      </c>
      <c r="C1349" t="s">
        <v>446</v>
      </c>
      <c r="D1349" t="s">
        <v>8</v>
      </c>
      <c r="E1349" t="s">
        <v>5094</v>
      </c>
      <c r="F1349">
        <v>10.666666666666666</v>
      </c>
      <c r="G1349">
        <v>36</v>
      </c>
    </row>
    <row r="1350" spans="1:7" x14ac:dyDescent="0.2">
      <c r="A1350" t="s">
        <v>785</v>
      </c>
      <c r="B1350" t="s">
        <v>786</v>
      </c>
      <c r="C1350" t="s">
        <v>446</v>
      </c>
      <c r="D1350" t="s">
        <v>3469</v>
      </c>
      <c r="F1350">
        <v>0</v>
      </c>
      <c r="G1350">
        <v>0</v>
      </c>
    </row>
    <row r="1351" spans="1:7" x14ac:dyDescent="0.2">
      <c r="A1351" t="s">
        <v>783</v>
      </c>
      <c r="B1351" t="s">
        <v>784</v>
      </c>
      <c r="C1351" t="s">
        <v>446</v>
      </c>
      <c r="D1351" t="s">
        <v>10</v>
      </c>
      <c r="E1351" t="s">
        <v>5095</v>
      </c>
      <c r="F1351">
        <v>18.333333333333332</v>
      </c>
      <c r="G1351">
        <v>416</v>
      </c>
    </row>
    <row r="1352" spans="1:7" x14ac:dyDescent="0.2">
      <c r="A1352" t="s">
        <v>783</v>
      </c>
      <c r="B1352" t="s">
        <v>784</v>
      </c>
      <c r="C1352" t="s">
        <v>446</v>
      </c>
      <c r="D1352" t="s">
        <v>3471</v>
      </c>
      <c r="E1352" t="s">
        <v>5096</v>
      </c>
      <c r="F1352">
        <v>0</v>
      </c>
      <c r="G1352">
        <v>0</v>
      </c>
    </row>
    <row r="1353" spans="1:7" x14ac:dyDescent="0.2">
      <c r="A1353" t="s">
        <v>783</v>
      </c>
      <c r="B1353" t="s">
        <v>784</v>
      </c>
      <c r="C1353" t="s">
        <v>446</v>
      </c>
      <c r="D1353" t="s">
        <v>8</v>
      </c>
      <c r="E1353" t="s">
        <v>5097</v>
      </c>
      <c r="F1353">
        <v>7.166666666666667</v>
      </c>
      <c r="G1353">
        <v>13</v>
      </c>
    </row>
    <row r="1354" spans="1:7" x14ac:dyDescent="0.2">
      <c r="A1354" t="s">
        <v>783</v>
      </c>
      <c r="B1354" t="s">
        <v>784</v>
      </c>
      <c r="C1354" t="s">
        <v>446</v>
      </c>
      <c r="D1354" t="s">
        <v>3469</v>
      </c>
      <c r="F1354">
        <v>0.16666666666666666</v>
      </c>
      <c r="G1354">
        <v>2</v>
      </c>
    </row>
    <row r="1355" spans="1:7" x14ac:dyDescent="0.2">
      <c r="A1355" t="s">
        <v>781</v>
      </c>
      <c r="B1355" t="s">
        <v>782</v>
      </c>
      <c r="C1355" t="s">
        <v>446</v>
      </c>
      <c r="D1355" t="s">
        <v>10</v>
      </c>
      <c r="E1355" t="s">
        <v>5098</v>
      </c>
      <c r="F1355">
        <v>16.333333333333332</v>
      </c>
      <c r="G1355">
        <v>408</v>
      </c>
    </row>
    <row r="1356" spans="1:7" x14ac:dyDescent="0.2">
      <c r="A1356" t="s">
        <v>781</v>
      </c>
      <c r="B1356" t="s">
        <v>782</v>
      </c>
      <c r="C1356" t="s">
        <v>446</v>
      </c>
      <c r="D1356" t="s">
        <v>3471</v>
      </c>
      <c r="E1356" t="s">
        <v>5099</v>
      </c>
      <c r="F1356">
        <v>0</v>
      </c>
      <c r="G1356">
        <v>0</v>
      </c>
    </row>
    <row r="1357" spans="1:7" x14ac:dyDescent="0.2">
      <c r="A1357" t="s">
        <v>781</v>
      </c>
      <c r="B1357" t="s">
        <v>782</v>
      </c>
      <c r="C1357" t="s">
        <v>446</v>
      </c>
      <c r="D1357" t="s">
        <v>8</v>
      </c>
      <c r="E1357" t="s">
        <v>5100</v>
      </c>
      <c r="F1357">
        <v>0.16666666666666666</v>
      </c>
      <c r="G1357">
        <v>2</v>
      </c>
    </row>
    <row r="1358" spans="1:7" x14ac:dyDescent="0.2">
      <c r="A1358" t="s">
        <v>781</v>
      </c>
      <c r="B1358" t="s">
        <v>782</v>
      </c>
      <c r="C1358" t="s">
        <v>446</v>
      </c>
      <c r="D1358" t="s">
        <v>3469</v>
      </c>
      <c r="F1358">
        <v>0</v>
      </c>
      <c r="G1358">
        <v>0</v>
      </c>
    </row>
    <row r="1359" spans="1:7" x14ac:dyDescent="0.2">
      <c r="A1359" t="s">
        <v>795</v>
      </c>
      <c r="B1359" t="s">
        <v>796</v>
      </c>
      <c r="C1359" t="s">
        <v>446</v>
      </c>
      <c r="D1359" t="s">
        <v>13</v>
      </c>
    </row>
    <row r="1360" spans="1:7" x14ac:dyDescent="0.2">
      <c r="A1360" t="s">
        <v>795</v>
      </c>
      <c r="B1360" t="s">
        <v>796</v>
      </c>
      <c r="C1360" t="s">
        <v>446</v>
      </c>
      <c r="D1360" t="s">
        <v>10</v>
      </c>
      <c r="E1360" t="s">
        <v>5101</v>
      </c>
      <c r="F1360">
        <v>30.333333333333332</v>
      </c>
      <c r="G1360">
        <v>612</v>
      </c>
    </row>
    <row r="1361" spans="1:7" x14ac:dyDescent="0.2">
      <c r="A1361" t="s">
        <v>795</v>
      </c>
      <c r="B1361" t="s">
        <v>796</v>
      </c>
      <c r="C1361" t="s">
        <v>446</v>
      </c>
      <c r="D1361" t="s">
        <v>3471</v>
      </c>
      <c r="E1361" t="s">
        <v>5102</v>
      </c>
      <c r="F1361">
        <v>0</v>
      </c>
      <c r="G1361">
        <v>0</v>
      </c>
    </row>
    <row r="1362" spans="1:7" x14ac:dyDescent="0.2">
      <c r="A1362" t="s">
        <v>795</v>
      </c>
      <c r="B1362" t="s">
        <v>796</v>
      </c>
      <c r="C1362" t="s">
        <v>446</v>
      </c>
      <c r="D1362" t="s">
        <v>8</v>
      </c>
      <c r="E1362" t="s">
        <v>5103</v>
      </c>
      <c r="F1362">
        <v>15.5</v>
      </c>
      <c r="G1362">
        <v>265</v>
      </c>
    </row>
    <row r="1363" spans="1:7" x14ac:dyDescent="0.2">
      <c r="A1363" t="s">
        <v>795</v>
      </c>
      <c r="B1363" t="s">
        <v>796</v>
      </c>
      <c r="C1363" t="s">
        <v>446</v>
      </c>
      <c r="D1363" t="s">
        <v>3469</v>
      </c>
      <c r="F1363">
        <v>0</v>
      </c>
      <c r="G1363">
        <v>0</v>
      </c>
    </row>
    <row r="1364" spans="1:7" x14ac:dyDescent="0.2">
      <c r="A1364" t="s">
        <v>773</v>
      </c>
      <c r="B1364" t="s">
        <v>774</v>
      </c>
      <c r="C1364" t="s">
        <v>446</v>
      </c>
      <c r="D1364" t="s">
        <v>10</v>
      </c>
      <c r="E1364" t="s">
        <v>5104</v>
      </c>
      <c r="F1364">
        <v>9.6666666666666661</v>
      </c>
      <c r="G1364">
        <v>247</v>
      </c>
    </row>
    <row r="1365" spans="1:7" x14ac:dyDescent="0.2">
      <c r="A1365" t="s">
        <v>773</v>
      </c>
      <c r="B1365" t="s">
        <v>774</v>
      </c>
      <c r="C1365" t="s">
        <v>446</v>
      </c>
      <c r="D1365" t="s">
        <v>3471</v>
      </c>
      <c r="E1365" t="s">
        <v>5105</v>
      </c>
      <c r="F1365">
        <v>0</v>
      </c>
      <c r="G1365">
        <v>0</v>
      </c>
    </row>
    <row r="1366" spans="1:7" x14ac:dyDescent="0.2">
      <c r="A1366" t="s">
        <v>773</v>
      </c>
      <c r="B1366" t="s">
        <v>774</v>
      </c>
      <c r="C1366" t="s">
        <v>446</v>
      </c>
      <c r="D1366" t="s">
        <v>8</v>
      </c>
      <c r="E1366" t="s">
        <v>5106</v>
      </c>
      <c r="F1366">
        <v>12.5</v>
      </c>
      <c r="G1366">
        <v>250</v>
      </c>
    </row>
    <row r="1367" spans="1:7" x14ac:dyDescent="0.2">
      <c r="A1367" t="s">
        <v>773</v>
      </c>
      <c r="B1367" t="s">
        <v>774</v>
      </c>
      <c r="C1367" t="s">
        <v>446</v>
      </c>
      <c r="D1367" t="s">
        <v>3469</v>
      </c>
      <c r="F1367">
        <v>0</v>
      </c>
      <c r="G1367">
        <v>8</v>
      </c>
    </row>
    <row r="1368" spans="1:7" x14ac:dyDescent="0.2">
      <c r="A1368" t="s">
        <v>773</v>
      </c>
      <c r="B1368" t="s">
        <v>774</v>
      </c>
      <c r="C1368" t="s">
        <v>446</v>
      </c>
      <c r="D1368" t="s">
        <v>12</v>
      </c>
      <c r="F1368">
        <v>0</v>
      </c>
      <c r="G1368">
        <v>2</v>
      </c>
    </row>
    <row r="1369" spans="1:7" x14ac:dyDescent="0.2">
      <c r="A1369" t="s">
        <v>675</v>
      </c>
      <c r="B1369" t="s">
        <v>676</v>
      </c>
      <c r="C1369" t="s">
        <v>446</v>
      </c>
      <c r="D1369" t="s">
        <v>13</v>
      </c>
      <c r="G1369">
        <v>10</v>
      </c>
    </row>
    <row r="1370" spans="1:7" x14ac:dyDescent="0.2">
      <c r="A1370" t="s">
        <v>675</v>
      </c>
      <c r="B1370" t="s">
        <v>676</v>
      </c>
      <c r="C1370" t="s">
        <v>446</v>
      </c>
      <c r="D1370" t="s">
        <v>10</v>
      </c>
      <c r="E1370" t="s">
        <v>5107</v>
      </c>
      <c r="F1370">
        <v>26.833333333333332</v>
      </c>
      <c r="G1370">
        <v>426</v>
      </c>
    </row>
    <row r="1371" spans="1:7" x14ac:dyDescent="0.2">
      <c r="A1371" t="s">
        <v>675</v>
      </c>
      <c r="B1371" t="s">
        <v>676</v>
      </c>
      <c r="C1371" t="s">
        <v>446</v>
      </c>
      <c r="D1371" t="s">
        <v>3471</v>
      </c>
      <c r="E1371" t="s">
        <v>5108</v>
      </c>
      <c r="F1371">
        <v>0.16666666666666666</v>
      </c>
      <c r="G1371">
        <v>0</v>
      </c>
    </row>
    <row r="1372" spans="1:7" x14ac:dyDescent="0.2">
      <c r="A1372" t="s">
        <v>675</v>
      </c>
      <c r="B1372" t="s">
        <v>676</v>
      </c>
      <c r="C1372" t="s">
        <v>446</v>
      </c>
      <c r="D1372" t="s">
        <v>8</v>
      </c>
      <c r="E1372" t="s">
        <v>5109</v>
      </c>
      <c r="F1372">
        <v>4.833333333333333</v>
      </c>
      <c r="G1372">
        <v>151</v>
      </c>
    </row>
    <row r="1373" spans="1:7" x14ac:dyDescent="0.2">
      <c r="A1373" t="s">
        <v>675</v>
      </c>
      <c r="B1373" t="s">
        <v>676</v>
      </c>
      <c r="C1373" t="s">
        <v>446</v>
      </c>
      <c r="D1373" t="s">
        <v>3469</v>
      </c>
      <c r="F1373">
        <v>0.16666666666666666</v>
      </c>
      <c r="G1373">
        <v>2</v>
      </c>
    </row>
    <row r="1374" spans="1:7" x14ac:dyDescent="0.2">
      <c r="A1374" t="s">
        <v>797</v>
      </c>
      <c r="B1374" t="s">
        <v>798</v>
      </c>
      <c r="C1374" t="s">
        <v>446</v>
      </c>
      <c r="D1374" t="s">
        <v>10</v>
      </c>
      <c r="E1374" t="s">
        <v>5110</v>
      </c>
      <c r="F1374">
        <v>17</v>
      </c>
      <c r="G1374">
        <v>438</v>
      </c>
    </row>
    <row r="1375" spans="1:7" x14ac:dyDescent="0.2">
      <c r="A1375" t="s">
        <v>797</v>
      </c>
      <c r="B1375" t="s">
        <v>798</v>
      </c>
      <c r="C1375" t="s">
        <v>446</v>
      </c>
      <c r="D1375" t="s">
        <v>3471</v>
      </c>
      <c r="E1375" t="s">
        <v>5111</v>
      </c>
      <c r="F1375">
        <v>0</v>
      </c>
      <c r="G1375">
        <v>0</v>
      </c>
    </row>
    <row r="1376" spans="1:7" x14ac:dyDescent="0.2">
      <c r="A1376" t="s">
        <v>797</v>
      </c>
      <c r="B1376" t="s">
        <v>798</v>
      </c>
      <c r="C1376" t="s">
        <v>446</v>
      </c>
      <c r="D1376" t="s">
        <v>8</v>
      </c>
      <c r="E1376" t="s">
        <v>5112</v>
      </c>
      <c r="F1376">
        <v>11</v>
      </c>
      <c r="G1376">
        <v>210</v>
      </c>
    </row>
    <row r="1377" spans="1:7" x14ac:dyDescent="0.2">
      <c r="A1377" t="s">
        <v>797</v>
      </c>
      <c r="B1377" t="s">
        <v>798</v>
      </c>
      <c r="C1377" t="s">
        <v>446</v>
      </c>
      <c r="D1377" t="s">
        <v>3469</v>
      </c>
      <c r="F1377">
        <v>0</v>
      </c>
      <c r="G1377">
        <v>0</v>
      </c>
    </row>
    <row r="1378" spans="1:7" x14ac:dyDescent="0.2">
      <c r="A1378" t="s">
        <v>797</v>
      </c>
      <c r="B1378" t="s">
        <v>798</v>
      </c>
      <c r="C1378" t="s">
        <v>446</v>
      </c>
      <c r="D1378" t="s">
        <v>12</v>
      </c>
      <c r="F1378">
        <v>4</v>
      </c>
      <c r="G1378">
        <v>135</v>
      </c>
    </row>
    <row r="1379" spans="1:7" x14ac:dyDescent="0.2">
      <c r="A1379" t="s">
        <v>791</v>
      </c>
      <c r="B1379" t="s">
        <v>792</v>
      </c>
      <c r="C1379" t="s">
        <v>446</v>
      </c>
      <c r="D1379" t="s">
        <v>10</v>
      </c>
      <c r="E1379" t="s">
        <v>5113</v>
      </c>
      <c r="F1379">
        <v>28</v>
      </c>
      <c r="G1379">
        <v>350</v>
      </c>
    </row>
    <row r="1380" spans="1:7" x14ac:dyDescent="0.2">
      <c r="A1380" t="s">
        <v>791</v>
      </c>
      <c r="B1380" t="s">
        <v>792</v>
      </c>
      <c r="C1380" t="s">
        <v>446</v>
      </c>
      <c r="D1380" t="s">
        <v>3471</v>
      </c>
      <c r="E1380" t="s">
        <v>5114</v>
      </c>
      <c r="F1380">
        <v>0.66666666666666663</v>
      </c>
      <c r="G1380">
        <v>-2</v>
      </c>
    </row>
    <row r="1381" spans="1:7" x14ac:dyDescent="0.2">
      <c r="A1381" t="s">
        <v>791</v>
      </c>
      <c r="B1381" t="s">
        <v>792</v>
      </c>
      <c r="C1381" t="s">
        <v>446</v>
      </c>
      <c r="D1381" t="s">
        <v>8</v>
      </c>
      <c r="E1381" t="s">
        <v>5115</v>
      </c>
      <c r="F1381">
        <v>26.166666666666668</v>
      </c>
      <c r="G1381">
        <v>347</v>
      </c>
    </row>
    <row r="1382" spans="1:7" x14ac:dyDescent="0.2">
      <c r="A1382" t="s">
        <v>791</v>
      </c>
      <c r="B1382" t="s">
        <v>792</v>
      </c>
      <c r="C1382" t="s">
        <v>446</v>
      </c>
      <c r="D1382" t="s">
        <v>12</v>
      </c>
      <c r="F1382">
        <v>2</v>
      </c>
      <c r="G1382">
        <v>152</v>
      </c>
    </row>
    <row r="1383" spans="1:7" x14ac:dyDescent="0.2">
      <c r="A1383" t="s">
        <v>769</v>
      </c>
      <c r="B1383" t="s">
        <v>770</v>
      </c>
      <c r="C1383" t="s">
        <v>446</v>
      </c>
      <c r="D1383" t="s">
        <v>10</v>
      </c>
      <c r="E1383" t="s">
        <v>5116</v>
      </c>
      <c r="F1383">
        <v>65</v>
      </c>
      <c r="G1383">
        <v>651</v>
      </c>
    </row>
    <row r="1384" spans="1:7" x14ac:dyDescent="0.2">
      <c r="A1384" t="s">
        <v>769</v>
      </c>
      <c r="B1384" t="s">
        <v>770</v>
      </c>
      <c r="C1384" t="s">
        <v>446</v>
      </c>
      <c r="D1384" t="s">
        <v>3471</v>
      </c>
      <c r="E1384" t="s">
        <v>5117</v>
      </c>
    </row>
    <row r="1385" spans="1:7" x14ac:dyDescent="0.2">
      <c r="A1385" t="s">
        <v>769</v>
      </c>
      <c r="B1385" t="s">
        <v>770</v>
      </c>
      <c r="C1385" t="s">
        <v>446</v>
      </c>
      <c r="D1385" t="s">
        <v>8</v>
      </c>
      <c r="E1385" t="s">
        <v>5118</v>
      </c>
      <c r="F1385">
        <v>35.5</v>
      </c>
      <c r="G1385">
        <v>356</v>
      </c>
    </row>
    <row r="1386" spans="1:7" x14ac:dyDescent="0.2">
      <c r="A1386" t="s">
        <v>673</v>
      </c>
      <c r="B1386" t="s">
        <v>674</v>
      </c>
      <c r="C1386" t="s">
        <v>446</v>
      </c>
      <c r="D1386" t="s">
        <v>10</v>
      </c>
      <c r="E1386" t="s">
        <v>5119</v>
      </c>
      <c r="F1386">
        <v>6.666666666666667</v>
      </c>
      <c r="G1386">
        <v>276</v>
      </c>
    </row>
    <row r="1387" spans="1:7" x14ac:dyDescent="0.2">
      <c r="A1387" t="s">
        <v>673</v>
      </c>
      <c r="B1387" t="s">
        <v>674</v>
      </c>
      <c r="C1387" t="s">
        <v>446</v>
      </c>
      <c r="D1387" t="s">
        <v>3471</v>
      </c>
      <c r="E1387" t="s">
        <v>5120</v>
      </c>
      <c r="F1387">
        <v>0</v>
      </c>
      <c r="G1387">
        <v>0</v>
      </c>
    </row>
    <row r="1388" spans="1:7" x14ac:dyDescent="0.2">
      <c r="A1388" t="s">
        <v>673</v>
      </c>
      <c r="B1388" t="s">
        <v>674</v>
      </c>
      <c r="C1388" t="s">
        <v>446</v>
      </c>
      <c r="D1388" t="s">
        <v>8</v>
      </c>
      <c r="E1388" t="s">
        <v>5121</v>
      </c>
      <c r="F1388">
        <v>0.33333333333333331</v>
      </c>
      <c r="G1388">
        <v>5</v>
      </c>
    </row>
    <row r="1389" spans="1:7" x14ac:dyDescent="0.2">
      <c r="A1389" t="s">
        <v>673</v>
      </c>
      <c r="B1389" t="s">
        <v>674</v>
      </c>
      <c r="C1389" t="s">
        <v>446</v>
      </c>
      <c r="D1389" t="s">
        <v>3469</v>
      </c>
      <c r="F1389">
        <v>0</v>
      </c>
      <c r="G1389">
        <v>3</v>
      </c>
    </row>
    <row r="1390" spans="1:7" x14ac:dyDescent="0.2">
      <c r="A1390" t="s">
        <v>940</v>
      </c>
      <c r="B1390" t="s">
        <v>941</v>
      </c>
      <c r="C1390" t="s">
        <v>446</v>
      </c>
      <c r="D1390" t="s">
        <v>13</v>
      </c>
      <c r="F1390">
        <v>4.833333333333333</v>
      </c>
      <c r="G1390">
        <v>149</v>
      </c>
    </row>
    <row r="1391" spans="1:7" x14ac:dyDescent="0.2">
      <c r="A1391" t="s">
        <v>940</v>
      </c>
      <c r="B1391" t="s">
        <v>941</v>
      </c>
      <c r="C1391" t="s">
        <v>446</v>
      </c>
      <c r="D1391" t="s">
        <v>10</v>
      </c>
      <c r="E1391" t="s">
        <v>5122</v>
      </c>
      <c r="F1391">
        <v>356</v>
      </c>
      <c r="G1391">
        <v>2219</v>
      </c>
    </row>
    <row r="1392" spans="1:7" x14ac:dyDescent="0.2">
      <c r="A1392" t="s">
        <v>940</v>
      </c>
      <c r="B1392" t="s">
        <v>941</v>
      </c>
      <c r="C1392" t="s">
        <v>446</v>
      </c>
      <c r="D1392" t="s">
        <v>3471</v>
      </c>
      <c r="E1392" t="s">
        <v>5123</v>
      </c>
      <c r="F1392">
        <v>0</v>
      </c>
      <c r="G1392">
        <v>0</v>
      </c>
    </row>
    <row r="1393" spans="1:7" x14ac:dyDescent="0.2">
      <c r="A1393" t="s">
        <v>940</v>
      </c>
      <c r="B1393" t="s">
        <v>941</v>
      </c>
      <c r="C1393" t="s">
        <v>446</v>
      </c>
      <c r="D1393" t="s">
        <v>8</v>
      </c>
      <c r="E1393" t="s">
        <v>5124</v>
      </c>
      <c r="F1393">
        <v>160.16666666666666</v>
      </c>
      <c r="G1393">
        <v>965</v>
      </c>
    </row>
    <row r="1394" spans="1:7" x14ac:dyDescent="0.2">
      <c r="A1394" t="s">
        <v>940</v>
      </c>
      <c r="B1394" t="s">
        <v>941</v>
      </c>
      <c r="C1394" t="s">
        <v>446</v>
      </c>
      <c r="D1394" t="s">
        <v>12</v>
      </c>
      <c r="F1394">
        <v>18</v>
      </c>
      <c r="G1394">
        <v>481</v>
      </c>
    </row>
    <row r="1395" spans="1:7" x14ac:dyDescent="0.2">
      <c r="A1395" t="s">
        <v>962</v>
      </c>
      <c r="B1395" t="s">
        <v>963</v>
      </c>
      <c r="C1395" t="s">
        <v>446</v>
      </c>
      <c r="D1395" t="s">
        <v>13</v>
      </c>
      <c r="F1395">
        <v>4.166666666666667</v>
      </c>
      <c r="G1395">
        <v>125</v>
      </c>
    </row>
    <row r="1396" spans="1:7" x14ac:dyDescent="0.2">
      <c r="A1396" t="s">
        <v>962</v>
      </c>
      <c r="B1396" t="s">
        <v>963</v>
      </c>
      <c r="C1396" t="s">
        <v>446</v>
      </c>
      <c r="D1396" t="s">
        <v>10</v>
      </c>
      <c r="E1396" t="s">
        <v>5125</v>
      </c>
      <c r="F1396">
        <v>298.83333333333331</v>
      </c>
      <c r="G1396">
        <v>1334</v>
      </c>
    </row>
    <row r="1397" spans="1:7" x14ac:dyDescent="0.2">
      <c r="A1397" t="s">
        <v>962</v>
      </c>
      <c r="B1397" t="s">
        <v>963</v>
      </c>
      <c r="C1397" t="s">
        <v>446</v>
      </c>
      <c r="D1397" t="s">
        <v>3471</v>
      </c>
      <c r="E1397" t="s">
        <v>5126</v>
      </c>
      <c r="F1397">
        <v>0</v>
      </c>
      <c r="G1397">
        <v>0</v>
      </c>
    </row>
    <row r="1398" spans="1:7" x14ac:dyDescent="0.2">
      <c r="A1398" t="s">
        <v>962</v>
      </c>
      <c r="B1398" t="s">
        <v>963</v>
      </c>
      <c r="C1398" t="s">
        <v>446</v>
      </c>
      <c r="D1398" t="s">
        <v>8</v>
      </c>
      <c r="E1398" t="s">
        <v>5127</v>
      </c>
      <c r="F1398">
        <v>245.5</v>
      </c>
      <c r="G1398">
        <v>547</v>
      </c>
    </row>
    <row r="1399" spans="1:7" x14ac:dyDescent="0.2">
      <c r="A1399" t="s">
        <v>962</v>
      </c>
      <c r="B1399" t="s">
        <v>963</v>
      </c>
      <c r="C1399" t="s">
        <v>446</v>
      </c>
      <c r="D1399" t="s">
        <v>12</v>
      </c>
      <c r="F1399">
        <v>16.833333333333332</v>
      </c>
      <c r="G1399">
        <v>271</v>
      </c>
    </row>
    <row r="1400" spans="1:7" x14ac:dyDescent="0.2">
      <c r="A1400" t="s">
        <v>944</v>
      </c>
      <c r="B1400" t="s">
        <v>945</v>
      </c>
      <c r="C1400" t="s">
        <v>446</v>
      </c>
      <c r="D1400" t="s">
        <v>13</v>
      </c>
      <c r="F1400">
        <v>1.1666666666666667</v>
      </c>
      <c r="G1400">
        <v>44</v>
      </c>
    </row>
    <row r="1401" spans="1:7" x14ac:dyDescent="0.2">
      <c r="A1401" t="s">
        <v>944</v>
      </c>
      <c r="B1401" t="s">
        <v>945</v>
      </c>
      <c r="C1401" t="s">
        <v>446</v>
      </c>
      <c r="D1401" t="s">
        <v>10</v>
      </c>
      <c r="E1401" t="s">
        <v>5128</v>
      </c>
      <c r="F1401">
        <v>50.166666666666664</v>
      </c>
      <c r="G1401">
        <v>475</v>
      </c>
    </row>
    <row r="1402" spans="1:7" x14ac:dyDescent="0.2">
      <c r="A1402" t="s">
        <v>944</v>
      </c>
      <c r="B1402" t="s">
        <v>945</v>
      </c>
      <c r="C1402" t="s">
        <v>446</v>
      </c>
      <c r="D1402" t="s">
        <v>3471</v>
      </c>
      <c r="E1402" t="s">
        <v>5129</v>
      </c>
      <c r="F1402">
        <v>0</v>
      </c>
      <c r="G1402">
        <v>0</v>
      </c>
    </row>
    <row r="1403" spans="1:7" x14ac:dyDescent="0.2">
      <c r="A1403" t="s">
        <v>944</v>
      </c>
      <c r="B1403" t="s">
        <v>945</v>
      </c>
      <c r="C1403" t="s">
        <v>446</v>
      </c>
      <c r="D1403" t="s">
        <v>8</v>
      </c>
      <c r="E1403" t="s">
        <v>5130</v>
      </c>
      <c r="F1403">
        <v>43.333333333333336</v>
      </c>
      <c r="G1403">
        <v>398</v>
      </c>
    </row>
    <row r="1404" spans="1:7" x14ac:dyDescent="0.2">
      <c r="A1404" t="s">
        <v>944</v>
      </c>
      <c r="B1404" t="s">
        <v>945</v>
      </c>
      <c r="C1404" t="s">
        <v>446</v>
      </c>
      <c r="D1404" t="s">
        <v>12</v>
      </c>
      <c r="F1404">
        <v>5.833333333333333</v>
      </c>
      <c r="G1404">
        <v>140</v>
      </c>
    </row>
    <row r="1405" spans="1:7" x14ac:dyDescent="0.2">
      <c r="A1405" t="s">
        <v>948</v>
      </c>
      <c r="B1405" t="s">
        <v>949</v>
      </c>
      <c r="C1405" t="s">
        <v>446</v>
      </c>
      <c r="D1405" t="s">
        <v>13</v>
      </c>
      <c r="F1405">
        <v>0.83333333333333337</v>
      </c>
      <c r="G1405">
        <v>32</v>
      </c>
    </row>
    <row r="1406" spans="1:7" x14ac:dyDescent="0.2">
      <c r="A1406" t="s">
        <v>948</v>
      </c>
      <c r="B1406" t="s">
        <v>949</v>
      </c>
      <c r="C1406" t="s">
        <v>446</v>
      </c>
      <c r="D1406" t="s">
        <v>10</v>
      </c>
      <c r="E1406" t="s">
        <v>5131</v>
      </c>
      <c r="F1406">
        <v>36.5</v>
      </c>
      <c r="G1406">
        <v>459</v>
      </c>
    </row>
    <row r="1407" spans="1:7" x14ac:dyDescent="0.2">
      <c r="A1407" t="s">
        <v>948</v>
      </c>
      <c r="B1407" t="s">
        <v>949</v>
      </c>
      <c r="C1407" t="s">
        <v>446</v>
      </c>
      <c r="D1407" t="s">
        <v>3471</v>
      </c>
      <c r="E1407" t="s">
        <v>5132</v>
      </c>
      <c r="F1407">
        <v>0</v>
      </c>
      <c r="G1407">
        <v>0</v>
      </c>
    </row>
    <row r="1408" spans="1:7" x14ac:dyDescent="0.2">
      <c r="A1408" t="s">
        <v>948</v>
      </c>
      <c r="B1408" t="s">
        <v>949</v>
      </c>
      <c r="C1408" t="s">
        <v>446</v>
      </c>
      <c r="D1408" t="s">
        <v>8</v>
      </c>
      <c r="E1408" t="s">
        <v>5133</v>
      </c>
      <c r="F1408">
        <v>41</v>
      </c>
      <c r="G1408">
        <v>120</v>
      </c>
    </row>
    <row r="1409" spans="1:7" x14ac:dyDescent="0.2">
      <c r="A1409" t="s">
        <v>956</v>
      </c>
      <c r="B1409" t="s">
        <v>957</v>
      </c>
      <c r="C1409" t="s">
        <v>446</v>
      </c>
      <c r="D1409" t="s">
        <v>10</v>
      </c>
      <c r="E1409" t="s">
        <v>5134</v>
      </c>
      <c r="F1409">
        <v>230.5</v>
      </c>
      <c r="G1409">
        <v>1022</v>
      </c>
    </row>
    <row r="1410" spans="1:7" x14ac:dyDescent="0.2">
      <c r="A1410" t="s">
        <v>956</v>
      </c>
      <c r="B1410" t="s">
        <v>957</v>
      </c>
      <c r="C1410" t="s">
        <v>446</v>
      </c>
      <c r="D1410" t="s">
        <v>3471</v>
      </c>
      <c r="E1410" t="s">
        <v>5135</v>
      </c>
      <c r="F1410">
        <v>0</v>
      </c>
      <c r="G1410">
        <v>0</v>
      </c>
    </row>
    <row r="1411" spans="1:7" x14ac:dyDescent="0.2">
      <c r="A1411" t="s">
        <v>956</v>
      </c>
      <c r="B1411" t="s">
        <v>957</v>
      </c>
      <c r="C1411" t="s">
        <v>446</v>
      </c>
      <c r="D1411" t="s">
        <v>8</v>
      </c>
      <c r="E1411" t="s">
        <v>5136</v>
      </c>
      <c r="F1411">
        <v>103.66666666666667</v>
      </c>
      <c r="G1411">
        <v>516</v>
      </c>
    </row>
    <row r="1412" spans="1:7" x14ac:dyDescent="0.2">
      <c r="A1412" t="s">
        <v>956</v>
      </c>
      <c r="B1412" t="s">
        <v>957</v>
      </c>
      <c r="C1412" t="s">
        <v>446</v>
      </c>
      <c r="D1412" t="s">
        <v>12</v>
      </c>
      <c r="F1412">
        <v>17.833333333333332</v>
      </c>
      <c r="G1412">
        <v>498</v>
      </c>
    </row>
    <row r="1413" spans="1:7" x14ac:dyDescent="0.2">
      <c r="A1413" t="s">
        <v>942</v>
      </c>
      <c r="B1413" t="s">
        <v>943</v>
      </c>
      <c r="C1413" t="s">
        <v>446</v>
      </c>
      <c r="D1413" t="s">
        <v>10</v>
      </c>
      <c r="E1413" t="s">
        <v>5137</v>
      </c>
      <c r="F1413">
        <v>76.666666666666671</v>
      </c>
      <c r="G1413">
        <v>598</v>
      </c>
    </row>
    <row r="1414" spans="1:7" x14ac:dyDescent="0.2">
      <c r="A1414" t="s">
        <v>942</v>
      </c>
      <c r="B1414" t="s">
        <v>943</v>
      </c>
      <c r="C1414" t="s">
        <v>446</v>
      </c>
      <c r="D1414" t="s">
        <v>3471</v>
      </c>
      <c r="E1414" t="s">
        <v>5138</v>
      </c>
      <c r="F1414">
        <v>0</v>
      </c>
      <c r="G1414">
        <v>0</v>
      </c>
    </row>
    <row r="1415" spans="1:7" x14ac:dyDescent="0.2">
      <c r="A1415" t="s">
        <v>942</v>
      </c>
      <c r="B1415" t="s">
        <v>943</v>
      </c>
      <c r="C1415" t="s">
        <v>446</v>
      </c>
      <c r="D1415" t="s">
        <v>8</v>
      </c>
      <c r="E1415" t="s">
        <v>5139</v>
      </c>
      <c r="F1415">
        <v>9.3333333333333339</v>
      </c>
      <c r="G1415">
        <v>44</v>
      </c>
    </row>
    <row r="1416" spans="1:7" x14ac:dyDescent="0.2">
      <c r="A1416" t="s">
        <v>964</v>
      </c>
      <c r="B1416" t="s">
        <v>965</v>
      </c>
      <c r="C1416" t="s">
        <v>446</v>
      </c>
      <c r="D1416" t="s">
        <v>10</v>
      </c>
      <c r="E1416" t="s">
        <v>5140</v>
      </c>
      <c r="F1416">
        <v>114.16666666666667</v>
      </c>
      <c r="G1416">
        <v>633</v>
      </c>
    </row>
    <row r="1417" spans="1:7" x14ac:dyDescent="0.2">
      <c r="A1417" t="s">
        <v>964</v>
      </c>
      <c r="B1417" t="s">
        <v>965</v>
      </c>
      <c r="C1417" t="s">
        <v>446</v>
      </c>
      <c r="D1417" t="s">
        <v>3471</v>
      </c>
      <c r="E1417" t="s">
        <v>5141</v>
      </c>
      <c r="F1417">
        <v>0</v>
      </c>
      <c r="G1417">
        <v>0</v>
      </c>
    </row>
    <row r="1418" spans="1:7" x14ac:dyDescent="0.2">
      <c r="A1418" t="s">
        <v>964</v>
      </c>
      <c r="B1418" t="s">
        <v>965</v>
      </c>
      <c r="C1418" t="s">
        <v>446</v>
      </c>
      <c r="D1418" t="s">
        <v>8</v>
      </c>
      <c r="E1418" t="s">
        <v>5142</v>
      </c>
      <c r="F1418">
        <v>15.166666666666666</v>
      </c>
      <c r="G1418">
        <v>40</v>
      </c>
    </row>
    <row r="1419" spans="1:7" x14ac:dyDescent="0.2">
      <c r="A1419" t="s">
        <v>958</v>
      </c>
      <c r="B1419" t="s">
        <v>959</v>
      </c>
      <c r="C1419" t="s">
        <v>446</v>
      </c>
      <c r="D1419" t="s">
        <v>10</v>
      </c>
      <c r="E1419" t="s">
        <v>5143</v>
      </c>
      <c r="F1419">
        <v>44.333333333333336</v>
      </c>
      <c r="G1419">
        <v>512</v>
      </c>
    </row>
    <row r="1420" spans="1:7" x14ac:dyDescent="0.2">
      <c r="A1420" t="s">
        <v>958</v>
      </c>
      <c r="B1420" t="s">
        <v>959</v>
      </c>
      <c r="C1420" t="s">
        <v>446</v>
      </c>
      <c r="D1420" t="s">
        <v>3471</v>
      </c>
      <c r="E1420" t="s">
        <v>5144</v>
      </c>
      <c r="F1420">
        <v>0</v>
      </c>
      <c r="G1420">
        <v>1</v>
      </c>
    </row>
    <row r="1421" spans="1:7" x14ac:dyDescent="0.2">
      <c r="A1421" t="s">
        <v>958</v>
      </c>
      <c r="B1421" t="s">
        <v>959</v>
      </c>
      <c r="C1421" t="s">
        <v>446</v>
      </c>
      <c r="D1421" t="s">
        <v>8</v>
      </c>
      <c r="E1421" t="s">
        <v>5145</v>
      </c>
      <c r="F1421">
        <v>13</v>
      </c>
      <c r="G1421">
        <v>23</v>
      </c>
    </row>
    <row r="1422" spans="1:7" x14ac:dyDescent="0.2">
      <c r="A1422" t="s">
        <v>946</v>
      </c>
      <c r="B1422" t="s">
        <v>947</v>
      </c>
      <c r="C1422" t="s">
        <v>446</v>
      </c>
      <c r="D1422" t="s">
        <v>10</v>
      </c>
      <c r="E1422" t="s">
        <v>5146</v>
      </c>
      <c r="F1422">
        <v>14.666666666666666</v>
      </c>
      <c r="G1422">
        <v>448</v>
      </c>
    </row>
    <row r="1423" spans="1:7" x14ac:dyDescent="0.2">
      <c r="A1423" t="s">
        <v>946</v>
      </c>
      <c r="B1423" t="s">
        <v>947</v>
      </c>
      <c r="C1423" t="s">
        <v>446</v>
      </c>
      <c r="D1423" t="s">
        <v>3471</v>
      </c>
      <c r="E1423" t="s">
        <v>5147</v>
      </c>
      <c r="F1423">
        <v>0</v>
      </c>
      <c r="G1423">
        <v>0</v>
      </c>
    </row>
    <row r="1424" spans="1:7" x14ac:dyDescent="0.2">
      <c r="A1424" t="s">
        <v>946</v>
      </c>
      <c r="B1424" t="s">
        <v>947</v>
      </c>
      <c r="C1424" t="s">
        <v>446</v>
      </c>
      <c r="D1424" t="s">
        <v>8</v>
      </c>
      <c r="E1424" t="s">
        <v>5148</v>
      </c>
      <c r="F1424">
        <v>5.666666666666667</v>
      </c>
      <c r="G1424">
        <v>404</v>
      </c>
    </row>
    <row r="1425" spans="1:7" x14ac:dyDescent="0.2">
      <c r="A1425" t="s">
        <v>777</v>
      </c>
      <c r="B1425" t="s">
        <v>778</v>
      </c>
      <c r="C1425" t="s">
        <v>446</v>
      </c>
      <c r="D1425" t="s">
        <v>3471</v>
      </c>
      <c r="E1425" t="s">
        <v>5149</v>
      </c>
      <c r="F1425">
        <v>0</v>
      </c>
      <c r="G1425">
        <v>0</v>
      </c>
    </row>
    <row r="1426" spans="1:7" x14ac:dyDescent="0.2">
      <c r="A1426" t="s">
        <v>777</v>
      </c>
      <c r="B1426" t="s">
        <v>778</v>
      </c>
      <c r="C1426" t="s">
        <v>446</v>
      </c>
      <c r="D1426" t="s">
        <v>8</v>
      </c>
      <c r="E1426" t="s">
        <v>5150</v>
      </c>
      <c r="F1426">
        <v>188.66666666666666</v>
      </c>
      <c r="G1426">
        <v>500</v>
      </c>
    </row>
    <row r="1427" spans="1:7" x14ac:dyDescent="0.2">
      <c r="A1427" t="s">
        <v>777</v>
      </c>
      <c r="B1427" t="s">
        <v>778</v>
      </c>
      <c r="C1427" t="s">
        <v>446</v>
      </c>
      <c r="D1427" t="s">
        <v>3469</v>
      </c>
      <c r="F1427">
        <v>0</v>
      </c>
      <c r="G1427">
        <v>0</v>
      </c>
    </row>
    <row r="1428" spans="1:7" x14ac:dyDescent="0.2">
      <c r="A1428" t="s">
        <v>777</v>
      </c>
      <c r="B1428" t="s">
        <v>778</v>
      </c>
      <c r="C1428" t="s">
        <v>446</v>
      </c>
      <c r="D1428" t="s">
        <v>12</v>
      </c>
      <c r="F1428">
        <v>18</v>
      </c>
      <c r="G1428">
        <v>237</v>
      </c>
    </row>
    <row r="1429" spans="1:7" x14ac:dyDescent="0.2">
      <c r="A1429" t="s">
        <v>779</v>
      </c>
      <c r="B1429" t="s">
        <v>780</v>
      </c>
      <c r="C1429" t="s">
        <v>446</v>
      </c>
      <c r="D1429" t="s">
        <v>10</v>
      </c>
      <c r="E1429" t="s">
        <v>5151</v>
      </c>
    </row>
    <row r="1430" spans="1:7" x14ac:dyDescent="0.2">
      <c r="A1430" t="s">
        <v>779</v>
      </c>
      <c r="B1430" t="s">
        <v>780</v>
      </c>
      <c r="C1430" t="s">
        <v>446</v>
      </c>
      <c r="D1430" t="s">
        <v>3471</v>
      </c>
      <c r="E1430" t="s">
        <v>5152</v>
      </c>
      <c r="F1430">
        <v>0</v>
      </c>
      <c r="G1430">
        <v>0</v>
      </c>
    </row>
    <row r="1431" spans="1:7" x14ac:dyDescent="0.2">
      <c r="A1431" t="s">
        <v>779</v>
      </c>
      <c r="B1431" t="s">
        <v>780</v>
      </c>
      <c r="C1431" t="s">
        <v>446</v>
      </c>
      <c r="D1431" t="s">
        <v>8</v>
      </c>
      <c r="E1431" t="s">
        <v>5153</v>
      </c>
      <c r="F1431">
        <v>11.333333333333334</v>
      </c>
      <c r="G1431">
        <v>48</v>
      </c>
    </row>
    <row r="1432" spans="1:7" x14ac:dyDescent="0.2">
      <c r="A1432" t="s">
        <v>938</v>
      </c>
      <c r="B1432" t="s">
        <v>939</v>
      </c>
      <c r="C1432" t="s">
        <v>446</v>
      </c>
      <c r="D1432" t="s">
        <v>3471</v>
      </c>
      <c r="E1432" t="s">
        <v>5154</v>
      </c>
      <c r="F1432">
        <v>0</v>
      </c>
      <c r="G1432">
        <v>0</v>
      </c>
    </row>
    <row r="1433" spans="1:7" x14ac:dyDescent="0.2">
      <c r="A1433" t="s">
        <v>938</v>
      </c>
      <c r="B1433" t="s">
        <v>939</v>
      </c>
      <c r="C1433" t="s">
        <v>446</v>
      </c>
      <c r="D1433" t="s">
        <v>8</v>
      </c>
      <c r="E1433" t="s">
        <v>5155</v>
      </c>
      <c r="F1433">
        <v>244.33333333333334</v>
      </c>
      <c r="G1433">
        <v>1893</v>
      </c>
    </row>
    <row r="1434" spans="1:7" x14ac:dyDescent="0.2">
      <c r="A1434" t="s">
        <v>938</v>
      </c>
      <c r="B1434" t="s">
        <v>939</v>
      </c>
      <c r="C1434" t="s">
        <v>446</v>
      </c>
      <c r="D1434" t="s">
        <v>3469</v>
      </c>
      <c r="F1434">
        <v>0.16666666666666666</v>
      </c>
      <c r="G1434">
        <v>0</v>
      </c>
    </row>
    <row r="1435" spans="1:7" x14ac:dyDescent="0.2">
      <c r="A1435" t="s">
        <v>938</v>
      </c>
      <c r="B1435" t="s">
        <v>939</v>
      </c>
      <c r="C1435" t="s">
        <v>446</v>
      </c>
      <c r="D1435" t="s">
        <v>12</v>
      </c>
      <c r="F1435">
        <v>6</v>
      </c>
      <c r="G1435">
        <v>124</v>
      </c>
    </row>
    <row r="1436" spans="1:7" x14ac:dyDescent="0.2">
      <c r="A1436" t="s">
        <v>954</v>
      </c>
      <c r="B1436" t="s">
        <v>955</v>
      </c>
      <c r="C1436" t="s">
        <v>446</v>
      </c>
      <c r="D1436" t="s">
        <v>3471</v>
      </c>
      <c r="E1436" t="s">
        <v>8573</v>
      </c>
      <c r="F1436">
        <v>0</v>
      </c>
      <c r="G1436">
        <v>0</v>
      </c>
    </row>
    <row r="1437" spans="1:7" x14ac:dyDescent="0.2">
      <c r="A1437" t="s">
        <v>954</v>
      </c>
      <c r="B1437" t="s">
        <v>955</v>
      </c>
      <c r="C1437" t="s">
        <v>446</v>
      </c>
      <c r="D1437" t="s">
        <v>8</v>
      </c>
      <c r="E1437" t="s">
        <v>5156</v>
      </c>
      <c r="F1437">
        <v>100.33333333333333</v>
      </c>
      <c r="G1437">
        <v>429</v>
      </c>
    </row>
    <row r="1438" spans="1:7" x14ac:dyDescent="0.2">
      <c r="A1438" t="s">
        <v>954</v>
      </c>
      <c r="B1438" t="s">
        <v>955</v>
      </c>
      <c r="C1438" t="s">
        <v>446</v>
      </c>
      <c r="D1438" t="s">
        <v>12</v>
      </c>
      <c r="F1438">
        <v>8.5</v>
      </c>
      <c r="G1438">
        <v>126</v>
      </c>
    </row>
    <row r="1439" spans="1:7" x14ac:dyDescent="0.2">
      <c r="A1439" t="s">
        <v>960</v>
      </c>
      <c r="B1439" t="s">
        <v>961</v>
      </c>
      <c r="C1439" t="s">
        <v>446</v>
      </c>
      <c r="D1439" t="s">
        <v>3471</v>
      </c>
      <c r="E1439" t="s">
        <v>5157</v>
      </c>
      <c r="F1439">
        <v>0</v>
      </c>
      <c r="G1439">
        <v>0</v>
      </c>
    </row>
    <row r="1440" spans="1:7" x14ac:dyDescent="0.2">
      <c r="A1440" t="s">
        <v>960</v>
      </c>
      <c r="B1440" t="s">
        <v>961</v>
      </c>
      <c r="C1440" t="s">
        <v>446</v>
      </c>
      <c r="D1440" t="s">
        <v>8</v>
      </c>
      <c r="E1440" t="s">
        <v>5158</v>
      </c>
      <c r="F1440">
        <v>147.33333333333334</v>
      </c>
      <c r="G1440">
        <v>337</v>
      </c>
    </row>
    <row r="1441" spans="1:7" x14ac:dyDescent="0.2">
      <c r="A1441" t="s">
        <v>960</v>
      </c>
      <c r="B1441" t="s">
        <v>961</v>
      </c>
      <c r="C1441" t="s">
        <v>446</v>
      </c>
      <c r="D1441" t="s">
        <v>3469</v>
      </c>
      <c r="F1441">
        <v>0.33333333333333331</v>
      </c>
      <c r="G1441">
        <v>27</v>
      </c>
    </row>
    <row r="1442" spans="1:7" x14ac:dyDescent="0.2">
      <c r="A1442" t="s">
        <v>960</v>
      </c>
      <c r="B1442" t="s">
        <v>961</v>
      </c>
      <c r="C1442" t="s">
        <v>446</v>
      </c>
      <c r="D1442" t="s">
        <v>12</v>
      </c>
      <c r="F1442">
        <v>7.5</v>
      </c>
      <c r="G1442">
        <v>157</v>
      </c>
    </row>
    <row r="1443" spans="1:7" x14ac:dyDescent="0.2">
      <c r="A1443" t="s">
        <v>984</v>
      </c>
      <c r="B1443" t="s">
        <v>985</v>
      </c>
      <c r="C1443" t="s">
        <v>446</v>
      </c>
      <c r="D1443" t="s">
        <v>10</v>
      </c>
      <c r="E1443" t="s">
        <v>5159</v>
      </c>
      <c r="F1443">
        <v>47</v>
      </c>
      <c r="G1443">
        <v>488</v>
      </c>
    </row>
    <row r="1444" spans="1:7" x14ac:dyDescent="0.2">
      <c r="A1444" t="s">
        <v>984</v>
      </c>
      <c r="B1444" t="s">
        <v>985</v>
      </c>
      <c r="C1444" t="s">
        <v>446</v>
      </c>
      <c r="D1444" t="s">
        <v>8</v>
      </c>
      <c r="E1444" t="s">
        <v>5160</v>
      </c>
      <c r="F1444">
        <v>9.3333333333333339</v>
      </c>
      <c r="G1444">
        <v>32</v>
      </c>
    </row>
    <row r="1445" spans="1:7" x14ac:dyDescent="0.2">
      <c r="A1445" t="s">
        <v>986</v>
      </c>
      <c r="B1445" t="s">
        <v>987</v>
      </c>
      <c r="C1445" t="s">
        <v>446</v>
      </c>
      <c r="D1445" t="s">
        <v>10</v>
      </c>
      <c r="E1445" t="s">
        <v>5161</v>
      </c>
      <c r="F1445">
        <v>32.5</v>
      </c>
      <c r="G1445">
        <v>450</v>
      </c>
    </row>
    <row r="1446" spans="1:7" x14ac:dyDescent="0.2">
      <c r="A1446" t="s">
        <v>986</v>
      </c>
      <c r="B1446" t="s">
        <v>987</v>
      </c>
      <c r="C1446" t="s">
        <v>446</v>
      </c>
      <c r="D1446" t="s">
        <v>8</v>
      </c>
      <c r="E1446" t="s">
        <v>5162</v>
      </c>
      <c r="F1446">
        <v>9</v>
      </c>
      <c r="G1446">
        <v>40</v>
      </c>
    </row>
    <row r="1447" spans="1:7" x14ac:dyDescent="0.2">
      <c r="A1447" t="s">
        <v>988</v>
      </c>
      <c r="B1447" t="s">
        <v>989</v>
      </c>
      <c r="C1447" t="s">
        <v>446</v>
      </c>
      <c r="D1447" t="s">
        <v>10</v>
      </c>
      <c r="E1447" t="s">
        <v>5163</v>
      </c>
      <c r="F1447">
        <v>15.666666666666666</v>
      </c>
      <c r="G1447">
        <v>438</v>
      </c>
    </row>
    <row r="1448" spans="1:7" x14ac:dyDescent="0.2">
      <c r="A1448" t="s">
        <v>988</v>
      </c>
      <c r="B1448" t="s">
        <v>989</v>
      </c>
      <c r="C1448" t="s">
        <v>446</v>
      </c>
      <c r="D1448" t="s">
        <v>8</v>
      </c>
      <c r="E1448" t="s">
        <v>5164</v>
      </c>
      <c r="F1448">
        <v>0.5</v>
      </c>
      <c r="G1448">
        <v>145</v>
      </c>
    </row>
    <row r="1449" spans="1:7" x14ac:dyDescent="0.2">
      <c r="A1449" t="s">
        <v>877</v>
      </c>
      <c r="B1449" t="s">
        <v>8295</v>
      </c>
      <c r="C1449" t="s">
        <v>446</v>
      </c>
      <c r="D1449" t="s">
        <v>10</v>
      </c>
      <c r="E1449" t="s">
        <v>8957</v>
      </c>
      <c r="F1449">
        <v>15</v>
      </c>
      <c r="G1449">
        <v>412</v>
      </c>
    </row>
    <row r="1450" spans="1:7" x14ac:dyDescent="0.2">
      <c r="A1450" t="s">
        <v>871</v>
      </c>
      <c r="B1450" t="s">
        <v>872</v>
      </c>
      <c r="C1450" t="s">
        <v>446</v>
      </c>
      <c r="D1450" t="s">
        <v>10</v>
      </c>
      <c r="E1450" t="s">
        <v>8958</v>
      </c>
      <c r="F1450">
        <v>33.333333333333336</v>
      </c>
      <c r="G1450">
        <v>593</v>
      </c>
    </row>
    <row r="1451" spans="1:7" x14ac:dyDescent="0.2">
      <c r="A1451" t="s">
        <v>922</v>
      </c>
      <c r="B1451" t="s">
        <v>923</v>
      </c>
      <c r="C1451" t="s">
        <v>446</v>
      </c>
      <c r="D1451" t="s">
        <v>3471</v>
      </c>
      <c r="E1451" t="s">
        <v>5165</v>
      </c>
      <c r="F1451">
        <v>0</v>
      </c>
      <c r="G1451">
        <v>0</v>
      </c>
    </row>
    <row r="1452" spans="1:7" x14ac:dyDescent="0.2">
      <c r="A1452" t="s">
        <v>922</v>
      </c>
      <c r="B1452" t="s">
        <v>923</v>
      </c>
      <c r="C1452" t="s">
        <v>446</v>
      </c>
      <c r="D1452" t="s">
        <v>8</v>
      </c>
      <c r="E1452" t="s">
        <v>5166</v>
      </c>
      <c r="F1452">
        <v>0.16666666666666666</v>
      </c>
      <c r="G1452">
        <v>2</v>
      </c>
    </row>
    <row r="1453" spans="1:7" x14ac:dyDescent="0.2">
      <c r="A1453" t="s">
        <v>922</v>
      </c>
      <c r="B1453" t="s">
        <v>923</v>
      </c>
      <c r="C1453" t="s">
        <v>446</v>
      </c>
      <c r="D1453" t="s">
        <v>3469</v>
      </c>
      <c r="F1453">
        <v>0</v>
      </c>
      <c r="G1453">
        <v>0</v>
      </c>
    </row>
    <row r="1454" spans="1:7" x14ac:dyDescent="0.2">
      <c r="A1454" t="s">
        <v>904</v>
      </c>
      <c r="B1454" t="s">
        <v>905</v>
      </c>
      <c r="C1454" t="s">
        <v>446</v>
      </c>
      <c r="D1454" t="s">
        <v>3471</v>
      </c>
      <c r="E1454" t="s">
        <v>5167</v>
      </c>
    </row>
    <row r="1455" spans="1:7" x14ac:dyDescent="0.2">
      <c r="A1455" t="s">
        <v>904</v>
      </c>
      <c r="B1455" t="s">
        <v>905</v>
      </c>
      <c r="C1455" t="s">
        <v>446</v>
      </c>
      <c r="D1455" t="s">
        <v>8</v>
      </c>
      <c r="E1455" t="s">
        <v>5168</v>
      </c>
      <c r="F1455">
        <v>0</v>
      </c>
      <c r="G1455">
        <v>0</v>
      </c>
    </row>
    <row r="1456" spans="1:7" x14ac:dyDescent="0.2">
      <c r="A1456" t="s">
        <v>904</v>
      </c>
      <c r="B1456" t="s">
        <v>905</v>
      </c>
      <c r="C1456" t="s">
        <v>446</v>
      </c>
      <c r="D1456" t="s">
        <v>3469</v>
      </c>
      <c r="F1456">
        <v>0</v>
      </c>
      <c r="G1456">
        <v>0</v>
      </c>
    </row>
    <row r="1457" spans="1:7" x14ac:dyDescent="0.2">
      <c r="A1457" t="s">
        <v>918</v>
      </c>
      <c r="B1457" t="s">
        <v>919</v>
      </c>
      <c r="C1457" t="s">
        <v>446</v>
      </c>
      <c r="D1457" t="s">
        <v>3471</v>
      </c>
      <c r="E1457" t="s">
        <v>5169</v>
      </c>
      <c r="F1457">
        <v>0</v>
      </c>
      <c r="G1457">
        <v>0</v>
      </c>
    </row>
    <row r="1458" spans="1:7" x14ac:dyDescent="0.2">
      <c r="A1458" t="s">
        <v>918</v>
      </c>
      <c r="B1458" t="s">
        <v>919</v>
      </c>
      <c r="C1458" t="s">
        <v>446</v>
      </c>
      <c r="D1458" t="s">
        <v>8</v>
      </c>
      <c r="E1458" t="s">
        <v>5170</v>
      </c>
      <c r="F1458">
        <v>0</v>
      </c>
      <c r="G1458">
        <v>1</v>
      </c>
    </row>
    <row r="1459" spans="1:7" x14ac:dyDescent="0.2">
      <c r="A1459" t="s">
        <v>918</v>
      </c>
      <c r="B1459" t="s">
        <v>919</v>
      </c>
      <c r="C1459" t="s">
        <v>446</v>
      </c>
      <c r="D1459" t="s">
        <v>3469</v>
      </c>
      <c r="F1459">
        <v>0</v>
      </c>
      <c r="G1459">
        <v>0</v>
      </c>
    </row>
    <row r="1460" spans="1:7" x14ac:dyDescent="0.2">
      <c r="A1460" t="s">
        <v>918</v>
      </c>
      <c r="B1460" t="s">
        <v>919</v>
      </c>
      <c r="C1460" t="s">
        <v>446</v>
      </c>
      <c r="D1460" t="s">
        <v>12</v>
      </c>
      <c r="F1460">
        <v>0</v>
      </c>
      <c r="G1460">
        <v>0</v>
      </c>
    </row>
    <row r="1461" spans="1:7" x14ac:dyDescent="0.2">
      <c r="A1461" t="s">
        <v>707</v>
      </c>
      <c r="B1461" t="s">
        <v>708</v>
      </c>
      <c r="C1461" t="s">
        <v>446</v>
      </c>
      <c r="D1461" t="s">
        <v>3471</v>
      </c>
      <c r="E1461" t="s">
        <v>5171</v>
      </c>
      <c r="F1461">
        <v>0</v>
      </c>
      <c r="G1461">
        <v>0</v>
      </c>
    </row>
    <row r="1462" spans="1:7" x14ac:dyDescent="0.2">
      <c r="A1462" t="s">
        <v>707</v>
      </c>
      <c r="B1462" t="s">
        <v>708</v>
      </c>
      <c r="C1462" t="s">
        <v>446</v>
      </c>
      <c r="D1462" t="s">
        <v>8</v>
      </c>
      <c r="E1462" t="s">
        <v>5172</v>
      </c>
      <c r="F1462">
        <v>56.333333333333336</v>
      </c>
      <c r="G1462">
        <v>649</v>
      </c>
    </row>
    <row r="1463" spans="1:7" x14ac:dyDescent="0.2">
      <c r="A1463" t="s">
        <v>707</v>
      </c>
      <c r="B1463" t="s">
        <v>708</v>
      </c>
      <c r="C1463" t="s">
        <v>446</v>
      </c>
      <c r="D1463" t="s">
        <v>3469</v>
      </c>
      <c r="F1463">
        <v>0</v>
      </c>
      <c r="G1463">
        <v>0</v>
      </c>
    </row>
    <row r="1464" spans="1:7" x14ac:dyDescent="0.2">
      <c r="A1464" t="s">
        <v>709</v>
      </c>
      <c r="B1464" t="s">
        <v>710</v>
      </c>
      <c r="C1464" t="s">
        <v>446</v>
      </c>
      <c r="D1464" t="s">
        <v>10</v>
      </c>
      <c r="E1464" t="s">
        <v>5173</v>
      </c>
    </row>
    <row r="1465" spans="1:7" x14ac:dyDescent="0.2">
      <c r="A1465" t="s">
        <v>709</v>
      </c>
      <c r="B1465" t="s">
        <v>710</v>
      </c>
      <c r="C1465" t="s">
        <v>446</v>
      </c>
      <c r="D1465" t="s">
        <v>3471</v>
      </c>
      <c r="E1465" t="s">
        <v>5174</v>
      </c>
      <c r="F1465">
        <v>0.16666666666666666</v>
      </c>
      <c r="G1465">
        <v>0</v>
      </c>
    </row>
    <row r="1466" spans="1:7" x14ac:dyDescent="0.2">
      <c r="A1466" t="s">
        <v>709</v>
      </c>
      <c r="B1466" t="s">
        <v>710</v>
      </c>
      <c r="C1466" t="s">
        <v>446</v>
      </c>
      <c r="D1466" t="s">
        <v>8</v>
      </c>
      <c r="E1466" t="s">
        <v>5175</v>
      </c>
      <c r="F1466">
        <v>37.666666666666664</v>
      </c>
      <c r="G1466">
        <v>720</v>
      </c>
    </row>
    <row r="1467" spans="1:7" x14ac:dyDescent="0.2">
      <c r="A1467" t="s">
        <v>709</v>
      </c>
      <c r="B1467" t="s">
        <v>710</v>
      </c>
      <c r="C1467" t="s">
        <v>446</v>
      </c>
      <c r="D1467" t="s">
        <v>3469</v>
      </c>
      <c r="F1467">
        <v>0.16666666666666666</v>
      </c>
      <c r="G1467">
        <v>1</v>
      </c>
    </row>
    <row r="1468" spans="1:7" x14ac:dyDescent="0.2">
      <c r="A1468" t="s">
        <v>711</v>
      </c>
      <c r="B1468" t="s">
        <v>712</v>
      </c>
      <c r="C1468" t="s">
        <v>446</v>
      </c>
      <c r="D1468" t="s">
        <v>3471</v>
      </c>
      <c r="E1468" t="s">
        <v>5176</v>
      </c>
      <c r="F1468">
        <v>0.66666666666666663</v>
      </c>
      <c r="G1468">
        <v>0</v>
      </c>
    </row>
    <row r="1469" spans="1:7" x14ac:dyDescent="0.2">
      <c r="A1469" t="s">
        <v>711</v>
      </c>
      <c r="B1469" t="s">
        <v>712</v>
      </c>
      <c r="C1469" t="s">
        <v>446</v>
      </c>
      <c r="D1469" t="s">
        <v>8</v>
      </c>
      <c r="E1469" t="s">
        <v>5177</v>
      </c>
      <c r="F1469">
        <v>33.5</v>
      </c>
      <c r="G1469">
        <v>971</v>
      </c>
    </row>
    <row r="1470" spans="1:7" x14ac:dyDescent="0.2">
      <c r="A1470" t="s">
        <v>711</v>
      </c>
      <c r="B1470" t="s">
        <v>712</v>
      </c>
      <c r="C1470" t="s">
        <v>446</v>
      </c>
      <c r="D1470" t="s">
        <v>3469</v>
      </c>
      <c r="F1470">
        <v>0</v>
      </c>
      <c r="G1470">
        <v>0</v>
      </c>
    </row>
    <row r="1471" spans="1:7" x14ac:dyDescent="0.2">
      <c r="A1471" t="s">
        <v>713</v>
      </c>
      <c r="B1471" t="s">
        <v>714</v>
      </c>
      <c r="C1471" t="s">
        <v>446</v>
      </c>
      <c r="D1471" t="s">
        <v>3471</v>
      </c>
      <c r="E1471" t="s">
        <v>5178</v>
      </c>
      <c r="F1471">
        <v>0</v>
      </c>
      <c r="G1471">
        <v>0</v>
      </c>
    </row>
    <row r="1472" spans="1:7" x14ac:dyDescent="0.2">
      <c r="A1472" t="s">
        <v>713</v>
      </c>
      <c r="B1472" t="s">
        <v>714</v>
      </c>
      <c r="C1472" t="s">
        <v>446</v>
      </c>
      <c r="D1472" t="s">
        <v>8</v>
      </c>
      <c r="E1472" t="s">
        <v>5179</v>
      </c>
      <c r="F1472">
        <v>31.5</v>
      </c>
      <c r="G1472">
        <v>722</v>
      </c>
    </row>
    <row r="1473" spans="1:7" x14ac:dyDescent="0.2">
      <c r="A1473" t="s">
        <v>713</v>
      </c>
      <c r="B1473" t="s">
        <v>714</v>
      </c>
      <c r="C1473" t="s">
        <v>446</v>
      </c>
      <c r="D1473" t="s">
        <v>3469</v>
      </c>
      <c r="F1473">
        <v>0.33333333333333331</v>
      </c>
      <c r="G1473">
        <v>1</v>
      </c>
    </row>
    <row r="1474" spans="1:7" x14ac:dyDescent="0.2">
      <c r="A1474" t="s">
        <v>705</v>
      </c>
      <c r="B1474" t="s">
        <v>706</v>
      </c>
      <c r="C1474" t="s">
        <v>446</v>
      </c>
      <c r="D1474" t="s">
        <v>3471</v>
      </c>
      <c r="E1474" t="s">
        <v>5180</v>
      </c>
      <c r="F1474">
        <v>0</v>
      </c>
      <c r="G1474">
        <v>0</v>
      </c>
    </row>
    <row r="1475" spans="1:7" x14ac:dyDescent="0.2">
      <c r="A1475" t="s">
        <v>705</v>
      </c>
      <c r="B1475" t="s">
        <v>706</v>
      </c>
      <c r="C1475" t="s">
        <v>446</v>
      </c>
      <c r="D1475" t="s">
        <v>8</v>
      </c>
      <c r="E1475" t="s">
        <v>5181</v>
      </c>
      <c r="F1475">
        <v>8.6666666666666661</v>
      </c>
      <c r="G1475">
        <v>353</v>
      </c>
    </row>
    <row r="1476" spans="1:7" x14ac:dyDescent="0.2">
      <c r="A1476" t="s">
        <v>705</v>
      </c>
      <c r="B1476" t="s">
        <v>706</v>
      </c>
      <c r="C1476" t="s">
        <v>446</v>
      </c>
      <c r="D1476" t="s">
        <v>3469</v>
      </c>
      <c r="F1476">
        <v>0</v>
      </c>
      <c r="G1476">
        <v>0</v>
      </c>
    </row>
    <row r="1477" spans="1:7" x14ac:dyDescent="0.2">
      <c r="A1477" t="s">
        <v>974</v>
      </c>
      <c r="B1477" t="s">
        <v>975</v>
      </c>
      <c r="C1477" t="s">
        <v>446</v>
      </c>
      <c r="D1477" t="s">
        <v>8</v>
      </c>
      <c r="E1477" t="s">
        <v>5182</v>
      </c>
      <c r="F1477">
        <v>4</v>
      </c>
      <c r="G1477">
        <v>198</v>
      </c>
    </row>
    <row r="1478" spans="1:7" x14ac:dyDescent="0.2">
      <c r="A1478" t="s">
        <v>976</v>
      </c>
      <c r="B1478" t="s">
        <v>977</v>
      </c>
      <c r="C1478" t="s">
        <v>446</v>
      </c>
      <c r="D1478" t="s">
        <v>8</v>
      </c>
      <c r="E1478" t="s">
        <v>5183</v>
      </c>
      <c r="F1478">
        <v>2.1666666666666665</v>
      </c>
      <c r="G1478">
        <v>119</v>
      </c>
    </row>
    <row r="1479" spans="1:7" x14ac:dyDescent="0.2">
      <c r="A1479" t="s">
        <v>978</v>
      </c>
      <c r="B1479" t="s">
        <v>979</v>
      </c>
      <c r="C1479" t="s">
        <v>446</v>
      </c>
      <c r="D1479" t="s">
        <v>8</v>
      </c>
      <c r="E1479" t="s">
        <v>5184</v>
      </c>
      <c r="F1479">
        <v>1.3333333333333333</v>
      </c>
      <c r="G1479">
        <v>115</v>
      </c>
    </row>
    <row r="1480" spans="1:7" x14ac:dyDescent="0.2">
      <c r="A1480" t="s">
        <v>980</v>
      </c>
      <c r="B1480" t="s">
        <v>981</v>
      </c>
      <c r="C1480" t="s">
        <v>446</v>
      </c>
      <c r="D1480" t="s">
        <v>8</v>
      </c>
      <c r="E1480" t="s">
        <v>5185</v>
      </c>
      <c r="F1480">
        <v>0.5</v>
      </c>
      <c r="G1480">
        <v>126</v>
      </c>
    </row>
    <row r="1481" spans="1:7" x14ac:dyDescent="0.2">
      <c r="A1481" t="s">
        <v>990</v>
      </c>
      <c r="B1481" t="s">
        <v>991</v>
      </c>
      <c r="C1481" t="s">
        <v>446</v>
      </c>
      <c r="D1481" t="s">
        <v>8</v>
      </c>
      <c r="E1481" t="s">
        <v>5186</v>
      </c>
      <c r="F1481">
        <v>11.333333333333334</v>
      </c>
      <c r="G1481">
        <v>170</v>
      </c>
    </row>
    <row r="1482" spans="1:7" x14ac:dyDescent="0.2">
      <c r="A1482" t="s">
        <v>839</v>
      </c>
      <c r="B1482" t="s">
        <v>840</v>
      </c>
      <c r="C1482" t="s">
        <v>446</v>
      </c>
      <c r="D1482" t="s">
        <v>8</v>
      </c>
      <c r="E1482" t="s">
        <v>5187</v>
      </c>
      <c r="F1482">
        <v>3.5</v>
      </c>
      <c r="G1482">
        <v>30</v>
      </c>
    </row>
    <row r="1483" spans="1:7" x14ac:dyDescent="0.2">
      <c r="A1483" t="s">
        <v>920</v>
      </c>
      <c r="B1483" t="s">
        <v>921</v>
      </c>
      <c r="C1483" t="s">
        <v>446</v>
      </c>
      <c r="D1483" t="s">
        <v>8</v>
      </c>
      <c r="E1483" t="s">
        <v>5188</v>
      </c>
      <c r="F1483">
        <v>18.666666666666668</v>
      </c>
      <c r="G1483">
        <v>87</v>
      </c>
    </row>
    <row r="1484" spans="1:7" x14ac:dyDescent="0.2">
      <c r="A1484" t="s">
        <v>499</v>
      </c>
      <c r="B1484" t="s">
        <v>500</v>
      </c>
      <c r="C1484" t="s">
        <v>446</v>
      </c>
      <c r="D1484" t="s">
        <v>8</v>
      </c>
      <c r="E1484" t="s">
        <v>5189</v>
      </c>
      <c r="F1484">
        <v>9</v>
      </c>
      <c r="G1484">
        <v>79</v>
      </c>
    </row>
    <row r="1485" spans="1:7" x14ac:dyDescent="0.2">
      <c r="A1485" t="s">
        <v>501</v>
      </c>
      <c r="B1485" t="s">
        <v>502</v>
      </c>
      <c r="C1485" t="s">
        <v>446</v>
      </c>
      <c r="D1485" t="s">
        <v>8</v>
      </c>
      <c r="E1485" t="s">
        <v>5190</v>
      </c>
      <c r="F1485">
        <v>5</v>
      </c>
      <c r="G1485">
        <v>96</v>
      </c>
    </row>
    <row r="1486" spans="1:7" x14ac:dyDescent="0.2">
      <c r="A1486" t="s">
        <v>615</v>
      </c>
      <c r="B1486" t="s">
        <v>616</v>
      </c>
      <c r="C1486" t="s">
        <v>446</v>
      </c>
      <c r="D1486" t="s">
        <v>8</v>
      </c>
      <c r="E1486" t="s">
        <v>5191</v>
      </c>
      <c r="F1486">
        <v>12.5</v>
      </c>
      <c r="G1486">
        <v>80</v>
      </c>
    </row>
    <row r="1487" spans="1:7" x14ac:dyDescent="0.2">
      <c r="A1487" t="s">
        <v>617</v>
      </c>
      <c r="B1487" t="s">
        <v>618</v>
      </c>
      <c r="C1487" t="s">
        <v>446</v>
      </c>
      <c r="D1487" t="s">
        <v>8</v>
      </c>
      <c r="E1487" t="s">
        <v>5192</v>
      </c>
      <c r="F1487">
        <v>5.666666666666667</v>
      </c>
      <c r="G1487">
        <v>59</v>
      </c>
    </row>
    <row r="1488" spans="1:7" x14ac:dyDescent="0.2">
      <c r="A1488" t="s">
        <v>619</v>
      </c>
      <c r="B1488" t="s">
        <v>620</v>
      </c>
      <c r="C1488" t="s">
        <v>446</v>
      </c>
      <c r="D1488" t="s">
        <v>8</v>
      </c>
      <c r="E1488" t="s">
        <v>5193</v>
      </c>
      <c r="F1488">
        <v>5.166666666666667</v>
      </c>
      <c r="G1488">
        <v>64</v>
      </c>
    </row>
    <row r="1489" spans="1:7" x14ac:dyDescent="0.2">
      <c r="A1489" t="s">
        <v>627</v>
      </c>
      <c r="B1489" t="s">
        <v>628</v>
      </c>
      <c r="C1489" t="s">
        <v>446</v>
      </c>
      <c r="D1489" t="s">
        <v>8</v>
      </c>
      <c r="E1489" t="s">
        <v>5194</v>
      </c>
      <c r="F1489">
        <v>17.833333333333332</v>
      </c>
      <c r="G1489">
        <v>68</v>
      </c>
    </row>
    <row r="1490" spans="1:7" x14ac:dyDescent="0.2">
      <c r="A1490" t="s">
        <v>629</v>
      </c>
      <c r="B1490" t="s">
        <v>630</v>
      </c>
      <c r="C1490" t="s">
        <v>446</v>
      </c>
      <c r="D1490" t="s">
        <v>8</v>
      </c>
      <c r="E1490" t="s">
        <v>5195</v>
      </c>
      <c r="F1490">
        <v>6.5</v>
      </c>
      <c r="G1490">
        <v>56</v>
      </c>
    </row>
    <row r="1491" spans="1:7" x14ac:dyDescent="0.2">
      <c r="A1491" t="s">
        <v>631</v>
      </c>
      <c r="B1491" t="s">
        <v>632</v>
      </c>
      <c r="C1491" t="s">
        <v>446</v>
      </c>
      <c r="D1491" t="s">
        <v>8</v>
      </c>
      <c r="E1491" t="s">
        <v>5196</v>
      </c>
      <c r="F1491">
        <v>5</v>
      </c>
      <c r="G1491">
        <v>63</v>
      </c>
    </row>
    <row r="1492" spans="1:7" x14ac:dyDescent="0.2">
      <c r="A1492" t="s">
        <v>982</v>
      </c>
      <c r="B1492" t="s">
        <v>8625</v>
      </c>
      <c r="C1492" t="s">
        <v>446</v>
      </c>
      <c r="D1492" t="s">
        <v>8</v>
      </c>
      <c r="E1492" t="s">
        <v>5197</v>
      </c>
      <c r="F1492">
        <v>57.333333333333336</v>
      </c>
      <c r="G1492">
        <v>399</v>
      </c>
    </row>
    <row r="1493" spans="1:7" x14ac:dyDescent="0.2">
      <c r="A1493" t="s">
        <v>983</v>
      </c>
      <c r="B1493" t="s">
        <v>8626</v>
      </c>
      <c r="C1493" t="s">
        <v>446</v>
      </c>
      <c r="D1493" t="s">
        <v>8</v>
      </c>
      <c r="E1493" t="s">
        <v>5198</v>
      </c>
      <c r="F1493">
        <v>15.833333333333334</v>
      </c>
      <c r="G1493">
        <v>336</v>
      </c>
    </row>
    <row r="1494" spans="1:7" x14ac:dyDescent="0.2">
      <c r="A1494" t="s">
        <v>625</v>
      </c>
      <c r="B1494" t="s">
        <v>626</v>
      </c>
      <c r="C1494" t="s">
        <v>446</v>
      </c>
      <c r="D1494" t="s">
        <v>8</v>
      </c>
      <c r="E1494" t="s">
        <v>5199</v>
      </c>
      <c r="F1494">
        <v>7.5</v>
      </c>
      <c r="G1494">
        <v>102</v>
      </c>
    </row>
    <row r="1495" spans="1:7" x14ac:dyDescent="0.2">
      <c r="A1495" t="s">
        <v>621</v>
      </c>
      <c r="B1495" t="s">
        <v>622</v>
      </c>
      <c r="C1495" t="s">
        <v>446</v>
      </c>
      <c r="D1495" t="s">
        <v>8</v>
      </c>
      <c r="E1495" t="s">
        <v>5200</v>
      </c>
      <c r="F1495">
        <v>5.666666666666667</v>
      </c>
      <c r="G1495">
        <v>92</v>
      </c>
    </row>
    <row r="1496" spans="1:7" x14ac:dyDescent="0.2">
      <c r="A1496" t="s">
        <v>637</v>
      </c>
      <c r="B1496" t="s">
        <v>638</v>
      </c>
      <c r="C1496" t="s">
        <v>446</v>
      </c>
      <c r="D1496" t="s">
        <v>8</v>
      </c>
      <c r="E1496" t="s">
        <v>5201</v>
      </c>
      <c r="F1496">
        <v>8.1666666666666661</v>
      </c>
      <c r="G1496">
        <v>98</v>
      </c>
    </row>
    <row r="1497" spans="1:7" x14ac:dyDescent="0.2">
      <c r="A1497" t="s">
        <v>633</v>
      </c>
      <c r="B1497" t="s">
        <v>634</v>
      </c>
      <c r="C1497" t="s">
        <v>446</v>
      </c>
      <c r="D1497" t="s">
        <v>8</v>
      </c>
      <c r="E1497" t="s">
        <v>5202</v>
      </c>
      <c r="F1497">
        <v>4.833333333333333</v>
      </c>
      <c r="G1497">
        <v>87</v>
      </c>
    </row>
    <row r="1498" spans="1:7" x14ac:dyDescent="0.2">
      <c r="A1498" t="s">
        <v>5203</v>
      </c>
      <c r="B1498" t="s">
        <v>5204</v>
      </c>
      <c r="C1498" t="s">
        <v>4463</v>
      </c>
      <c r="D1498" t="s">
        <v>11</v>
      </c>
      <c r="E1498" t="s">
        <v>5205</v>
      </c>
    </row>
    <row r="1499" spans="1:7" x14ac:dyDescent="0.2">
      <c r="A1499" t="s">
        <v>5203</v>
      </c>
      <c r="B1499" t="s">
        <v>5204</v>
      </c>
      <c r="C1499" t="s">
        <v>4463</v>
      </c>
      <c r="D1499" t="s">
        <v>3471</v>
      </c>
      <c r="E1499" t="s">
        <v>5206</v>
      </c>
    </row>
    <row r="1500" spans="1:7" x14ac:dyDescent="0.2">
      <c r="A1500" t="s">
        <v>5207</v>
      </c>
      <c r="B1500" t="s">
        <v>5208</v>
      </c>
      <c r="C1500" t="s">
        <v>4463</v>
      </c>
      <c r="D1500" t="s">
        <v>11</v>
      </c>
      <c r="E1500" t="s">
        <v>5209</v>
      </c>
    </row>
    <row r="1501" spans="1:7" x14ac:dyDescent="0.2">
      <c r="A1501" t="s">
        <v>1820</v>
      </c>
      <c r="B1501" t="s">
        <v>1821</v>
      </c>
      <c r="C1501" t="s">
        <v>1811</v>
      </c>
      <c r="D1501" t="s">
        <v>8</v>
      </c>
      <c r="E1501" t="s">
        <v>5210</v>
      </c>
    </row>
    <row r="1502" spans="1:7" x14ac:dyDescent="0.2">
      <c r="A1502" t="s">
        <v>2875</v>
      </c>
      <c r="B1502" t="s">
        <v>2876</v>
      </c>
      <c r="C1502" t="s">
        <v>2852</v>
      </c>
      <c r="D1502" t="s">
        <v>3471</v>
      </c>
      <c r="E1502" t="s">
        <v>5211</v>
      </c>
      <c r="F1502">
        <v>0</v>
      </c>
      <c r="G1502">
        <v>0</v>
      </c>
    </row>
    <row r="1503" spans="1:7" x14ac:dyDescent="0.2">
      <c r="A1503" t="s">
        <v>2897</v>
      </c>
      <c r="B1503" t="s">
        <v>2898</v>
      </c>
      <c r="C1503" t="s">
        <v>2852</v>
      </c>
      <c r="D1503" t="s">
        <v>3471</v>
      </c>
      <c r="E1503" t="s">
        <v>5212</v>
      </c>
      <c r="F1503">
        <v>0</v>
      </c>
      <c r="G1503">
        <v>0</v>
      </c>
    </row>
    <row r="1504" spans="1:7" x14ac:dyDescent="0.2">
      <c r="A1504" t="s">
        <v>2917</v>
      </c>
      <c r="B1504" t="s">
        <v>2918</v>
      </c>
      <c r="C1504" t="s">
        <v>2852</v>
      </c>
      <c r="D1504" t="s">
        <v>3471</v>
      </c>
      <c r="E1504" t="s">
        <v>5213</v>
      </c>
      <c r="F1504">
        <v>0</v>
      </c>
      <c r="G1504">
        <v>0</v>
      </c>
    </row>
    <row r="1505" spans="1:7" x14ac:dyDescent="0.2">
      <c r="A1505" t="s">
        <v>2891</v>
      </c>
      <c r="B1505" t="s">
        <v>2892</v>
      </c>
      <c r="C1505" t="s">
        <v>2852</v>
      </c>
      <c r="D1505" t="s">
        <v>3471</v>
      </c>
      <c r="E1505" t="s">
        <v>5214</v>
      </c>
      <c r="F1505">
        <v>0</v>
      </c>
      <c r="G1505">
        <v>0</v>
      </c>
    </row>
    <row r="1506" spans="1:7" x14ac:dyDescent="0.2">
      <c r="A1506" t="s">
        <v>3307</v>
      </c>
      <c r="B1506" t="s">
        <v>3308</v>
      </c>
      <c r="C1506" t="s">
        <v>3268</v>
      </c>
      <c r="D1506" t="s">
        <v>10</v>
      </c>
      <c r="E1506" t="s">
        <v>5215</v>
      </c>
      <c r="F1506">
        <v>0</v>
      </c>
      <c r="G1506">
        <v>20</v>
      </c>
    </row>
    <row r="1507" spans="1:7" x14ac:dyDescent="0.2">
      <c r="A1507" t="s">
        <v>3340</v>
      </c>
      <c r="B1507" t="s">
        <v>3339</v>
      </c>
      <c r="C1507" t="s">
        <v>3268</v>
      </c>
      <c r="D1507" t="s">
        <v>11</v>
      </c>
      <c r="E1507" t="s">
        <v>5216</v>
      </c>
    </row>
    <row r="1508" spans="1:7" x14ac:dyDescent="0.2">
      <c r="A1508" t="s">
        <v>3340</v>
      </c>
      <c r="B1508" t="s">
        <v>3339</v>
      </c>
      <c r="C1508" t="s">
        <v>3268</v>
      </c>
      <c r="D1508" t="s">
        <v>10</v>
      </c>
      <c r="E1508" t="s">
        <v>5217</v>
      </c>
      <c r="F1508">
        <v>0</v>
      </c>
      <c r="G1508">
        <v>12</v>
      </c>
    </row>
    <row r="1509" spans="1:7" x14ac:dyDescent="0.2">
      <c r="A1509" t="s">
        <v>3335</v>
      </c>
      <c r="B1509" t="s">
        <v>3336</v>
      </c>
      <c r="C1509" t="s">
        <v>3268</v>
      </c>
      <c r="D1509" t="s">
        <v>11</v>
      </c>
      <c r="E1509" t="s">
        <v>5218</v>
      </c>
    </row>
    <row r="1510" spans="1:7" x14ac:dyDescent="0.2">
      <c r="A1510" t="s">
        <v>3335</v>
      </c>
      <c r="B1510" t="s">
        <v>3336</v>
      </c>
      <c r="C1510" t="s">
        <v>3268</v>
      </c>
      <c r="D1510" t="s">
        <v>10</v>
      </c>
      <c r="E1510" t="s">
        <v>5219</v>
      </c>
      <c r="F1510">
        <v>0</v>
      </c>
      <c r="G1510">
        <v>4</v>
      </c>
    </row>
    <row r="1511" spans="1:7" x14ac:dyDescent="0.2">
      <c r="A1511" t="s">
        <v>3347</v>
      </c>
      <c r="B1511" t="s">
        <v>3348</v>
      </c>
      <c r="C1511" t="s">
        <v>3268</v>
      </c>
      <c r="D1511" t="s">
        <v>11</v>
      </c>
      <c r="E1511" t="s">
        <v>5220</v>
      </c>
    </row>
    <row r="1512" spans="1:7" x14ac:dyDescent="0.2">
      <c r="A1512" t="s">
        <v>3347</v>
      </c>
      <c r="B1512" t="s">
        <v>3348</v>
      </c>
      <c r="C1512" t="s">
        <v>3268</v>
      </c>
      <c r="D1512" t="s">
        <v>10</v>
      </c>
      <c r="E1512" t="s">
        <v>5221</v>
      </c>
      <c r="F1512">
        <v>0</v>
      </c>
      <c r="G1512">
        <v>9</v>
      </c>
    </row>
    <row r="1513" spans="1:7" x14ac:dyDescent="0.2">
      <c r="A1513" t="s">
        <v>3344</v>
      </c>
      <c r="B1513" t="s">
        <v>3345</v>
      </c>
      <c r="C1513" t="s">
        <v>3268</v>
      </c>
      <c r="D1513" t="s">
        <v>11</v>
      </c>
      <c r="E1513" t="s">
        <v>5222</v>
      </c>
    </row>
    <row r="1514" spans="1:7" x14ac:dyDescent="0.2">
      <c r="A1514" t="s">
        <v>3344</v>
      </c>
      <c r="B1514" t="s">
        <v>3345</v>
      </c>
      <c r="C1514" t="s">
        <v>3268</v>
      </c>
      <c r="D1514" t="s">
        <v>10</v>
      </c>
      <c r="E1514" t="s">
        <v>5223</v>
      </c>
      <c r="F1514">
        <v>0</v>
      </c>
      <c r="G1514">
        <v>12</v>
      </c>
    </row>
    <row r="1515" spans="1:7" x14ac:dyDescent="0.2">
      <c r="A1515" t="s">
        <v>3343</v>
      </c>
      <c r="B1515" t="s">
        <v>3342</v>
      </c>
      <c r="C1515" t="s">
        <v>3268</v>
      </c>
      <c r="D1515" t="s">
        <v>11</v>
      </c>
      <c r="E1515" t="s">
        <v>5224</v>
      </c>
    </row>
    <row r="1516" spans="1:7" x14ac:dyDescent="0.2">
      <c r="A1516" t="s">
        <v>3343</v>
      </c>
      <c r="B1516" t="s">
        <v>3342</v>
      </c>
      <c r="C1516" t="s">
        <v>3268</v>
      </c>
      <c r="D1516" t="s">
        <v>10</v>
      </c>
      <c r="E1516" t="s">
        <v>5225</v>
      </c>
      <c r="F1516">
        <v>-0.16666666666666666</v>
      </c>
      <c r="G1516">
        <v>10</v>
      </c>
    </row>
    <row r="1517" spans="1:7" x14ac:dyDescent="0.2">
      <c r="A1517" t="s">
        <v>3352</v>
      </c>
      <c r="B1517" t="s">
        <v>3351</v>
      </c>
      <c r="C1517" t="s">
        <v>3268</v>
      </c>
      <c r="D1517" t="s">
        <v>11</v>
      </c>
      <c r="E1517" t="s">
        <v>5226</v>
      </c>
    </row>
    <row r="1518" spans="1:7" x14ac:dyDescent="0.2">
      <c r="A1518" t="s">
        <v>3352</v>
      </c>
      <c r="B1518" t="s">
        <v>3351</v>
      </c>
      <c r="C1518" t="s">
        <v>3268</v>
      </c>
      <c r="D1518" t="s">
        <v>10</v>
      </c>
      <c r="E1518" t="s">
        <v>5227</v>
      </c>
      <c r="F1518">
        <v>0</v>
      </c>
      <c r="G1518">
        <v>10</v>
      </c>
    </row>
    <row r="1519" spans="1:7" x14ac:dyDescent="0.2">
      <c r="A1519" t="s">
        <v>3353</v>
      </c>
      <c r="B1519" t="s">
        <v>3354</v>
      </c>
      <c r="C1519" t="s">
        <v>3268</v>
      </c>
      <c r="D1519" t="s">
        <v>11</v>
      </c>
      <c r="E1519" t="s">
        <v>5228</v>
      </c>
    </row>
    <row r="1520" spans="1:7" x14ac:dyDescent="0.2">
      <c r="A1520" t="s">
        <v>3353</v>
      </c>
      <c r="B1520" t="s">
        <v>3354</v>
      </c>
      <c r="C1520" t="s">
        <v>3268</v>
      </c>
      <c r="D1520" t="s">
        <v>10</v>
      </c>
      <c r="E1520" t="s">
        <v>5229</v>
      </c>
      <c r="F1520">
        <v>0</v>
      </c>
      <c r="G1520">
        <v>10</v>
      </c>
    </row>
    <row r="1521" spans="1:7" x14ac:dyDescent="0.2">
      <c r="A1521" t="s">
        <v>3321</v>
      </c>
      <c r="B1521" t="s">
        <v>3322</v>
      </c>
      <c r="C1521" t="s">
        <v>3268</v>
      </c>
      <c r="D1521" t="s">
        <v>11</v>
      </c>
      <c r="E1521" t="s">
        <v>5230</v>
      </c>
      <c r="F1521">
        <v>0.5</v>
      </c>
      <c r="G1521">
        <v>2</v>
      </c>
    </row>
    <row r="1522" spans="1:7" x14ac:dyDescent="0.2">
      <c r="A1522" t="s">
        <v>3321</v>
      </c>
      <c r="B1522" t="s">
        <v>3322</v>
      </c>
      <c r="C1522" t="s">
        <v>3268</v>
      </c>
      <c r="D1522" t="s">
        <v>11</v>
      </c>
      <c r="E1522" t="s">
        <v>5231</v>
      </c>
    </row>
    <row r="1523" spans="1:7" x14ac:dyDescent="0.2">
      <c r="A1523" t="s">
        <v>3321</v>
      </c>
      <c r="B1523" t="s">
        <v>3322</v>
      </c>
      <c r="C1523" t="s">
        <v>3268</v>
      </c>
      <c r="D1523" t="s">
        <v>3494</v>
      </c>
    </row>
    <row r="1524" spans="1:7" x14ac:dyDescent="0.2">
      <c r="A1524" t="s">
        <v>3321</v>
      </c>
      <c r="B1524" t="s">
        <v>3322</v>
      </c>
      <c r="C1524" t="s">
        <v>3268</v>
      </c>
      <c r="D1524" t="s">
        <v>10</v>
      </c>
      <c r="E1524" t="s">
        <v>5232</v>
      </c>
      <c r="F1524">
        <v>0.66666666666666663</v>
      </c>
      <c r="G1524">
        <v>7</v>
      </c>
    </row>
    <row r="1525" spans="1:7" x14ac:dyDescent="0.2">
      <c r="A1525" t="s">
        <v>3321</v>
      </c>
      <c r="B1525" t="s">
        <v>3322</v>
      </c>
      <c r="C1525" t="s">
        <v>3268</v>
      </c>
      <c r="D1525" t="s">
        <v>12</v>
      </c>
      <c r="F1525">
        <v>0</v>
      </c>
      <c r="G1525">
        <v>1</v>
      </c>
    </row>
    <row r="1526" spans="1:7" x14ac:dyDescent="0.2">
      <c r="A1526" t="s">
        <v>3375</v>
      </c>
      <c r="B1526" t="s">
        <v>3376</v>
      </c>
      <c r="C1526" t="s">
        <v>3268</v>
      </c>
      <c r="D1526" t="s">
        <v>11</v>
      </c>
      <c r="E1526" t="s">
        <v>8574</v>
      </c>
    </row>
    <row r="1527" spans="1:7" x14ac:dyDescent="0.2">
      <c r="A1527" t="s">
        <v>3375</v>
      </c>
      <c r="B1527" t="s">
        <v>3376</v>
      </c>
      <c r="C1527" t="s">
        <v>3268</v>
      </c>
      <c r="D1527" t="s">
        <v>3494</v>
      </c>
    </row>
    <row r="1528" spans="1:7" x14ac:dyDescent="0.2">
      <c r="A1528" t="s">
        <v>3375</v>
      </c>
      <c r="B1528" t="s">
        <v>3376</v>
      </c>
      <c r="C1528" t="s">
        <v>3268</v>
      </c>
      <c r="D1528" t="s">
        <v>10</v>
      </c>
      <c r="E1528" t="s">
        <v>5233</v>
      </c>
      <c r="F1528">
        <v>1.3333333333333333</v>
      </c>
      <c r="G1528">
        <v>284</v>
      </c>
    </row>
    <row r="1529" spans="1:7" x14ac:dyDescent="0.2">
      <c r="A1529" t="s">
        <v>3373</v>
      </c>
      <c r="B1529" t="s">
        <v>3374</v>
      </c>
      <c r="C1529" t="s">
        <v>3268</v>
      </c>
      <c r="D1529" t="s">
        <v>11</v>
      </c>
      <c r="E1529" t="s">
        <v>8575</v>
      </c>
      <c r="F1529">
        <v>0.33333333333333331</v>
      </c>
      <c r="G1529">
        <v>0</v>
      </c>
    </row>
    <row r="1530" spans="1:7" x14ac:dyDescent="0.2">
      <c r="A1530" t="s">
        <v>3373</v>
      </c>
      <c r="B1530" t="s">
        <v>3374</v>
      </c>
      <c r="C1530" t="s">
        <v>3268</v>
      </c>
      <c r="D1530" t="s">
        <v>3494</v>
      </c>
    </row>
    <row r="1531" spans="1:7" x14ac:dyDescent="0.2">
      <c r="A1531" t="s">
        <v>3373</v>
      </c>
      <c r="B1531" t="s">
        <v>3374</v>
      </c>
      <c r="C1531" t="s">
        <v>3268</v>
      </c>
      <c r="D1531" t="s">
        <v>10</v>
      </c>
      <c r="E1531" t="s">
        <v>5234</v>
      </c>
      <c r="F1531">
        <v>6.833333333333333</v>
      </c>
      <c r="G1531">
        <v>271</v>
      </c>
    </row>
    <row r="1532" spans="1:7" x14ac:dyDescent="0.2">
      <c r="A1532" t="s">
        <v>3324</v>
      </c>
      <c r="B1532" t="s">
        <v>3325</v>
      </c>
      <c r="C1532" t="s">
        <v>3268</v>
      </c>
      <c r="D1532" t="s">
        <v>11</v>
      </c>
      <c r="E1532" t="s">
        <v>5235</v>
      </c>
    </row>
    <row r="1533" spans="1:7" x14ac:dyDescent="0.2">
      <c r="A1533" t="s">
        <v>3324</v>
      </c>
      <c r="B1533" t="s">
        <v>3325</v>
      </c>
      <c r="C1533" t="s">
        <v>3268</v>
      </c>
      <c r="D1533" t="s">
        <v>3494</v>
      </c>
    </row>
    <row r="1534" spans="1:7" x14ac:dyDescent="0.2">
      <c r="A1534" t="s">
        <v>3324</v>
      </c>
      <c r="B1534" t="s">
        <v>3325</v>
      </c>
      <c r="C1534" t="s">
        <v>3268</v>
      </c>
      <c r="D1534" t="s">
        <v>10</v>
      </c>
      <c r="E1534" t="s">
        <v>5236</v>
      </c>
      <c r="F1534">
        <v>0.66666666666666663</v>
      </c>
      <c r="G1534">
        <v>6</v>
      </c>
    </row>
    <row r="1535" spans="1:7" x14ac:dyDescent="0.2">
      <c r="A1535" t="s">
        <v>3324</v>
      </c>
      <c r="B1535" t="s">
        <v>3325</v>
      </c>
      <c r="C1535" t="s">
        <v>3268</v>
      </c>
      <c r="D1535" t="s">
        <v>12</v>
      </c>
      <c r="F1535">
        <v>0</v>
      </c>
      <c r="G1535">
        <v>3</v>
      </c>
    </row>
    <row r="1536" spans="1:7" x14ac:dyDescent="0.2">
      <c r="A1536" t="s">
        <v>3332</v>
      </c>
      <c r="B1536" t="s">
        <v>3333</v>
      </c>
      <c r="C1536" t="s">
        <v>3268</v>
      </c>
      <c r="D1536" t="s">
        <v>11</v>
      </c>
      <c r="E1536" t="s">
        <v>5237</v>
      </c>
    </row>
    <row r="1537" spans="1:7" x14ac:dyDescent="0.2">
      <c r="A1537" t="s">
        <v>3332</v>
      </c>
      <c r="B1537" t="s">
        <v>3333</v>
      </c>
      <c r="C1537" t="s">
        <v>3268</v>
      </c>
      <c r="D1537" t="s">
        <v>11</v>
      </c>
      <c r="E1537" t="s">
        <v>5238</v>
      </c>
    </row>
    <row r="1538" spans="1:7" x14ac:dyDescent="0.2">
      <c r="A1538" t="s">
        <v>3332</v>
      </c>
      <c r="B1538" t="s">
        <v>3333</v>
      </c>
      <c r="C1538" t="s">
        <v>3268</v>
      </c>
      <c r="D1538" t="s">
        <v>14</v>
      </c>
    </row>
    <row r="1539" spans="1:7" x14ac:dyDescent="0.2">
      <c r="A1539" t="s">
        <v>3332</v>
      </c>
      <c r="B1539" t="s">
        <v>3333</v>
      </c>
      <c r="C1539" t="s">
        <v>3268</v>
      </c>
      <c r="D1539" t="s">
        <v>3494</v>
      </c>
    </row>
    <row r="1540" spans="1:7" x14ac:dyDescent="0.2">
      <c r="A1540" t="s">
        <v>3332</v>
      </c>
      <c r="B1540" t="s">
        <v>3333</v>
      </c>
      <c r="C1540" t="s">
        <v>3268</v>
      </c>
      <c r="D1540" t="s">
        <v>10</v>
      </c>
      <c r="E1540" t="s">
        <v>5239</v>
      </c>
      <c r="F1540">
        <v>14.833333333333334</v>
      </c>
      <c r="G1540">
        <v>440</v>
      </c>
    </row>
    <row r="1541" spans="1:7" x14ac:dyDescent="0.2">
      <c r="A1541" t="s">
        <v>3332</v>
      </c>
      <c r="B1541" t="s">
        <v>3333</v>
      </c>
      <c r="C1541" t="s">
        <v>3268</v>
      </c>
      <c r="D1541" t="s">
        <v>12</v>
      </c>
      <c r="F1541">
        <v>0.5</v>
      </c>
      <c r="G1541">
        <v>34</v>
      </c>
    </row>
    <row r="1542" spans="1:7" x14ac:dyDescent="0.2">
      <c r="A1542" t="s">
        <v>3329</v>
      </c>
      <c r="B1542" t="s">
        <v>3328</v>
      </c>
      <c r="C1542" t="s">
        <v>3268</v>
      </c>
      <c r="D1542" t="s">
        <v>11</v>
      </c>
      <c r="E1542" t="s">
        <v>5240</v>
      </c>
      <c r="F1542">
        <v>0.33333333333333331</v>
      </c>
      <c r="G1542">
        <v>0</v>
      </c>
    </row>
    <row r="1543" spans="1:7" x14ac:dyDescent="0.2">
      <c r="A1543" t="s">
        <v>3329</v>
      </c>
      <c r="B1543" t="s">
        <v>3328</v>
      </c>
      <c r="C1543" t="s">
        <v>3268</v>
      </c>
      <c r="D1543" t="s">
        <v>3494</v>
      </c>
    </row>
    <row r="1544" spans="1:7" x14ac:dyDescent="0.2">
      <c r="A1544" t="s">
        <v>3329</v>
      </c>
      <c r="B1544" t="s">
        <v>3328</v>
      </c>
      <c r="C1544" t="s">
        <v>3268</v>
      </c>
      <c r="D1544" t="s">
        <v>10</v>
      </c>
      <c r="E1544" t="s">
        <v>5241</v>
      </c>
      <c r="F1544">
        <v>9.8333333333333339</v>
      </c>
      <c r="G1544">
        <v>381</v>
      </c>
    </row>
    <row r="1545" spans="1:7" x14ac:dyDescent="0.2">
      <c r="A1545" t="s">
        <v>3329</v>
      </c>
      <c r="B1545" t="s">
        <v>3328</v>
      </c>
      <c r="C1545" t="s">
        <v>3268</v>
      </c>
      <c r="D1545" t="s">
        <v>12</v>
      </c>
      <c r="F1545">
        <v>0</v>
      </c>
      <c r="G1545">
        <v>37</v>
      </c>
    </row>
    <row r="1546" spans="1:7" x14ac:dyDescent="0.2">
      <c r="A1546" t="s">
        <v>3372</v>
      </c>
      <c r="B1546" t="s">
        <v>3371</v>
      </c>
      <c r="C1546" t="s">
        <v>3268</v>
      </c>
      <c r="D1546" t="s">
        <v>11</v>
      </c>
      <c r="E1546" t="s">
        <v>5242</v>
      </c>
    </row>
    <row r="1547" spans="1:7" x14ac:dyDescent="0.2">
      <c r="A1547" t="s">
        <v>3372</v>
      </c>
      <c r="B1547" t="s">
        <v>3371</v>
      </c>
      <c r="C1547" t="s">
        <v>3268</v>
      </c>
      <c r="D1547" t="s">
        <v>3494</v>
      </c>
    </row>
    <row r="1548" spans="1:7" x14ac:dyDescent="0.2">
      <c r="A1548" t="s">
        <v>3372</v>
      </c>
      <c r="B1548" t="s">
        <v>3371</v>
      </c>
      <c r="C1548" t="s">
        <v>3268</v>
      </c>
      <c r="D1548" t="s">
        <v>10</v>
      </c>
      <c r="E1548" t="s">
        <v>5243</v>
      </c>
      <c r="F1548">
        <v>2.8333333333333335</v>
      </c>
      <c r="G1548">
        <v>276</v>
      </c>
    </row>
    <row r="1549" spans="1:7" x14ac:dyDescent="0.2">
      <c r="A1549" t="s">
        <v>3372</v>
      </c>
      <c r="B1549" t="s">
        <v>3371</v>
      </c>
      <c r="C1549" t="s">
        <v>3268</v>
      </c>
      <c r="D1549" t="s">
        <v>12</v>
      </c>
      <c r="F1549">
        <v>0.66666666666666663</v>
      </c>
      <c r="G1549">
        <v>2</v>
      </c>
    </row>
    <row r="1550" spans="1:7" x14ac:dyDescent="0.2">
      <c r="A1550" t="s">
        <v>3379</v>
      </c>
      <c r="B1550" t="s">
        <v>3380</v>
      </c>
      <c r="C1550" t="s">
        <v>3268</v>
      </c>
      <c r="D1550" t="s">
        <v>11</v>
      </c>
      <c r="E1550" t="s">
        <v>5244</v>
      </c>
    </row>
    <row r="1551" spans="1:7" x14ac:dyDescent="0.2">
      <c r="A1551" t="s">
        <v>3379</v>
      </c>
      <c r="B1551" t="s">
        <v>3380</v>
      </c>
      <c r="C1551" t="s">
        <v>3268</v>
      </c>
      <c r="D1551" t="s">
        <v>14</v>
      </c>
    </row>
    <row r="1552" spans="1:7" x14ac:dyDescent="0.2">
      <c r="A1552" t="s">
        <v>3379</v>
      </c>
      <c r="B1552" t="s">
        <v>3380</v>
      </c>
      <c r="C1552" t="s">
        <v>3268</v>
      </c>
      <c r="D1552" t="s">
        <v>3494</v>
      </c>
    </row>
    <row r="1553" spans="1:7" x14ac:dyDescent="0.2">
      <c r="A1553" t="s">
        <v>3379</v>
      </c>
      <c r="B1553" t="s">
        <v>3380</v>
      </c>
      <c r="C1553" t="s">
        <v>3268</v>
      </c>
      <c r="D1553" t="s">
        <v>10</v>
      </c>
      <c r="E1553" t="s">
        <v>5245</v>
      </c>
      <c r="F1553">
        <v>0</v>
      </c>
      <c r="G1553">
        <v>7</v>
      </c>
    </row>
    <row r="1554" spans="1:7" x14ac:dyDescent="0.2">
      <c r="A1554" t="s">
        <v>3379</v>
      </c>
      <c r="B1554" t="s">
        <v>3380</v>
      </c>
      <c r="C1554" t="s">
        <v>3268</v>
      </c>
      <c r="D1554" t="s">
        <v>12</v>
      </c>
      <c r="F1554">
        <v>0</v>
      </c>
      <c r="G1554">
        <v>1</v>
      </c>
    </row>
    <row r="1555" spans="1:7" x14ac:dyDescent="0.2">
      <c r="A1555" t="s">
        <v>3367</v>
      </c>
      <c r="B1555" t="s">
        <v>3368</v>
      </c>
      <c r="C1555" t="s">
        <v>3268</v>
      </c>
      <c r="D1555" t="s">
        <v>11</v>
      </c>
      <c r="E1555" t="s">
        <v>5246</v>
      </c>
      <c r="F1555">
        <v>2</v>
      </c>
      <c r="G1555">
        <v>7</v>
      </c>
    </row>
    <row r="1556" spans="1:7" x14ac:dyDescent="0.2">
      <c r="A1556" t="s">
        <v>3367</v>
      </c>
      <c r="B1556" t="s">
        <v>3368</v>
      </c>
      <c r="C1556" t="s">
        <v>3268</v>
      </c>
      <c r="D1556" t="s">
        <v>3494</v>
      </c>
    </row>
    <row r="1557" spans="1:7" x14ac:dyDescent="0.2">
      <c r="A1557" t="s">
        <v>3367</v>
      </c>
      <c r="B1557" t="s">
        <v>3368</v>
      </c>
      <c r="C1557" t="s">
        <v>3268</v>
      </c>
      <c r="D1557" t="s">
        <v>10</v>
      </c>
      <c r="E1557" t="s">
        <v>5247</v>
      </c>
      <c r="F1557">
        <v>0.33333333333333331</v>
      </c>
      <c r="G1557">
        <v>47</v>
      </c>
    </row>
    <row r="1558" spans="1:7" x14ac:dyDescent="0.2">
      <c r="A1558" t="s">
        <v>3367</v>
      </c>
      <c r="B1558" t="s">
        <v>3368</v>
      </c>
      <c r="C1558" t="s">
        <v>3268</v>
      </c>
      <c r="D1558" t="s">
        <v>12</v>
      </c>
      <c r="F1558">
        <v>0.33333333333333331</v>
      </c>
      <c r="G1558">
        <v>0</v>
      </c>
    </row>
    <row r="1559" spans="1:7" x14ac:dyDescent="0.2">
      <c r="A1559" t="s">
        <v>3364</v>
      </c>
      <c r="B1559" t="s">
        <v>3363</v>
      </c>
      <c r="C1559" t="s">
        <v>3268</v>
      </c>
      <c r="D1559" t="s">
        <v>11</v>
      </c>
      <c r="E1559" t="s">
        <v>5231</v>
      </c>
    </row>
    <row r="1560" spans="1:7" x14ac:dyDescent="0.2">
      <c r="A1560" t="s">
        <v>3364</v>
      </c>
      <c r="B1560" t="s">
        <v>3363</v>
      </c>
      <c r="C1560" t="s">
        <v>3268</v>
      </c>
      <c r="D1560" t="s">
        <v>3494</v>
      </c>
    </row>
    <row r="1561" spans="1:7" x14ac:dyDescent="0.2">
      <c r="A1561" t="s">
        <v>3364</v>
      </c>
      <c r="B1561" t="s">
        <v>3363</v>
      </c>
      <c r="C1561" t="s">
        <v>3268</v>
      </c>
      <c r="D1561" t="s">
        <v>10</v>
      </c>
      <c r="E1561" t="s">
        <v>5248</v>
      </c>
      <c r="F1561">
        <v>-0.33333333333333331</v>
      </c>
      <c r="G1561">
        <v>5</v>
      </c>
    </row>
    <row r="1562" spans="1:7" x14ac:dyDescent="0.2">
      <c r="A1562" t="s">
        <v>3364</v>
      </c>
      <c r="B1562" t="s">
        <v>3363</v>
      </c>
      <c r="C1562" t="s">
        <v>3268</v>
      </c>
      <c r="D1562" t="s">
        <v>12</v>
      </c>
    </row>
    <row r="1563" spans="1:7" x14ac:dyDescent="0.2">
      <c r="A1563" t="s">
        <v>3361</v>
      </c>
      <c r="B1563" t="s">
        <v>3360</v>
      </c>
      <c r="C1563" t="s">
        <v>3268</v>
      </c>
      <c r="D1563" t="s">
        <v>11</v>
      </c>
      <c r="E1563" t="s">
        <v>5237</v>
      </c>
    </row>
    <row r="1564" spans="1:7" x14ac:dyDescent="0.2">
      <c r="A1564" t="s">
        <v>3361</v>
      </c>
      <c r="B1564" t="s">
        <v>3360</v>
      </c>
      <c r="C1564" t="s">
        <v>3268</v>
      </c>
      <c r="D1564" t="s">
        <v>3494</v>
      </c>
    </row>
    <row r="1565" spans="1:7" x14ac:dyDescent="0.2">
      <c r="A1565" t="s">
        <v>3361</v>
      </c>
      <c r="B1565" t="s">
        <v>3360</v>
      </c>
      <c r="C1565" t="s">
        <v>3268</v>
      </c>
      <c r="D1565" t="s">
        <v>10</v>
      </c>
      <c r="E1565" t="s">
        <v>5249</v>
      </c>
      <c r="F1565">
        <v>0.33333333333333331</v>
      </c>
      <c r="G1565">
        <v>2</v>
      </c>
    </row>
    <row r="1566" spans="1:7" x14ac:dyDescent="0.2">
      <c r="A1566" t="s">
        <v>3361</v>
      </c>
      <c r="B1566" t="s">
        <v>3360</v>
      </c>
      <c r="C1566" t="s">
        <v>3268</v>
      </c>
      <c r="D1566" t="s">
        <v>12</v>
      </c>
    </row>
    <row r="1567" spans="1:7" x14ac:dyDescent="0.2">
      <c r="A1567" t="s">
        <v>3356</v>
      </c>
      <c r="B1567" t="s">
        <v>3357</v>
      </c>
      <c r="C1567" t="s">
        <v>3268</v>
      </c>
      <c r="D1567" t="s">
        <v>11</v>
      </c>
      <c r="E1567" t="s">
        <v>5250</v>
      </c>
    </row>
    <row r="1568" spans="1:7" x14ac:dyDescent="0.2">
      <c r="A1568" t="s">
        <v>3356</v>
      </c>
      <c r="B1568" t="s">
        <v>3357</v>
      </c>
      <c r="C1568" t="s">
        <v>3268</v>
      </c>
      <c r="D1568" t="s">
        <v>3494</v>
      </c>
    </row>
    <row r="1569" spans="1:7" x14ac:dyDescent="0.2">
      <c r="A1569" t="s">
        <v>3356</v>
      </c>
      <c r="B1569" t="s">
        <v>3357</v>
      </c>
      <c r="C1569" t="s">
        <v>3268</v>
      </c>
      <c r="D1569" t="s">
        <v>10</v>
      </c>
      <c r="E1569" t="s">
        <v>5251</v>
      </c>
      <c r="F1569">
        <v>0.83333333333333337</v>
      </c>
      <c r="G1569">
        <v>4</v>
      </c>
    </row>
    <row r="1570" spans="1:7" x14ac:dyDescent="0.2">
      <c r="A1570" t="s">
        <v>5252</v>
      </c>
      <c r="B1570" t="s">
        <v>5253</v>
      </c>
      <c r="C1570" t="s">
        <v>5254</v>
      </c>
      <c r="D1570" t="s">
        <v>11</v>
      </c>
      <c r="E1570" t="s">
        <v>5255</v>
      </c>
    </row>
    <row r="1571" spans="1:7" x14ac:dyDescent="0.2">
      <c r="A1571" t="s">
        <v>5252</v>
      </c>
      <c r="B1571" t="s">
        <v>5253</v>
      </c>
      <c r="C1571" t="s">
        <v>5254</v>
      </c>
      <c r="D1571" t="s">
        <v>3494</v>
      </c>
    </row>
    <row r="1572" spans="1:7" x14ac:dyDescent="0.2">
      <c r="A1572" t="s">
        <v>5256</v>
      </c>
      <c r="B1572" t="s">
        <v>5257</v>
      </c>
      <c r="C1572" t="s">
        <v>5254</v>
      </c>
      <c r="D1572" t="s">
        <v>11</v>
      </c>
      <c r="E1572" t="s">
        <v>5258</v>
      </c>
    </row>
    <row r="1573" spans="1:7" x14ac:dyDescent="0.2">
      <c r="A1573" t="s">
        <v>5259</v>
      </c>
      <c r="B1573" t="s">
        <v>5260</v>
      </c>
      <c r="C1573" t="s">
        <v>5254</v>
      </c>
      <c r="D1573" t="s">
        <v>11</v>
      </c>
      <c r="E1573" t="s">
        <v>5261</v>
      </c>
    </row>
    <row r="1574" spans="1:7" x14ac:dyDescent="0.2">
      <c r="A1574" t="s">
        <v>5262</v>
      </c>
      <c r="B1574" t="s">
        <v>5263</v>
      </c>
      <c r="C1574" t="s">
        <v>5254</v>
      </c>
      <c r="D1574" t="s">
        <v>11</v>
      </c>
      <c r="E1574" t="s">
        <v>5264</v>
      </c>
    </row>
    <row r="1575" spans="1:7" x14ac:dyDescent="0.2">
      <c r="A1575" t="s">
        <v>5265</v>
      </c>
      <c r="B1575" t="s">
        <v>5266</v>
      </c>
      <c r="C1575" t="s">
        <v>2852</v>
      </c>
      <c r="D1575" t="s">
        <v>11</v>
      </c>
      <c r="E1575" t="s">
        <v>5267</v>
      </c>
    </row>
    <row r="1576" spans="1:7" x14ac:dyDescent="0.2">
      <c r="A1576" t="s">
        <v>5265</v>
      </c>
      <c r="B1576" t="s">
        <v>5266</v>
      </c>
      <c r="C1576" t="s">
        <v>2852</v>
      </c>
      <c r="D1576" t="s">
        <v>14</v>
      </c>
    </row>
    <row r="1577" spans="1:7" x14ac:dyDescent="0.2">
      <c r="A1577" t="s">
        <v>5265</v>
      </c>
      <c r="B1577" t="s">
        <v>5266</v>
      </c>
      <c r="C1577" t="s">
        <v>2852</v>
      </c>
      <c r="D1577" t="s">
        <v>10</v>
      </c>
      <c r="E1577" t="s">
        <v>5268</v>
      </c>
      <c r="F1577">
        <v>0</v>
      </c>
      <c r="G1577">
        <v>1</v>
      </c>
    </row>
    <row r="1578" spans="1:7" x14ac:dyDescent="0.2">
      <c r="A1578" t="s">
        <v>5265</v>
      </c>
      <c r="B1578" t="s">
        <v>5266</v>
      </c>
      <c r="C1578" t="s">
        <v>2852</v>
      </c>
      <c r="D1578" t="s">
        <v>8</v>
      </c>
      <c r="E1578" t="s">
        <v>5269</v>
      </c>
      <c r="F1578">
        <v>0.16666666666666666</v>
      </c>
      <c r="G1578">
        <v>27</v>
      </c>
    </row>
    <row r="1579" spans="1:7" x14ac:dyDescent="0.2">
      <c r="A1579" t="s">
        <v>2861</v>
      </c>
      <c r="B1579" t="s">
        <v>2862</v>
      </c>
      <c r="C1579" t="s">
        <v>2852</v>
      </c>
      <c r="D1579" t="s">
        <v>11</v>
      </c>
      <c r="E1579" t="s">
        <v>5270</v>
      </c>
    </row>
    <row r="1580" spans="1:7" x14ac:dyDescent="0.2">
      <c r="A1580" t="s">
        <v>2861</v>
      </c>
      <c r="B1580" t="s">
        <v>2862</v>
      </c>
      <c r="C1580" t="s">
        <v>2852</v>
      </c>
      <c r="D1580" t="s">
        <v>14</v>
      </c>
      <c r="F1580">
        <v>0</v>
      </c>
      <c r="G1580">
        <v>1</v>
      </c>
    </row>
    <row r="1581" spans="1:7" x14ac:dyDescent="0.2">
      <c r="A1581" t="s">
        <v>2861</v>
      </c>
      <c r="B1581" t="s">
        <v>2862</v>
      </c>
      <c r="C1581" t="s">
        <v>2852</v>
      </c>
      <c r="D1581" t="s">
        <v>10</v>
      </c>
      <c r="E1581" t="s">
        <v>5271</v>
      </c>
    </row>
    <row r="1582" spans="1:7" x14ac:dyDescent="0.2">
      <c r="A1582" t="s">
        <v>2861</v>
      </c>
      <c r="B1582" t="s">
        <v>2862</v>
      </c>
      <c r="C1582" t="s">
        <v>2852</v>
      </c>
      <c r="D1582" t="s">
        <v>3471</v>
      </c>
      <c r="E1582" t="s">
        <v>5272</v>
      </c>
    </row>
    <row r="1583" spans="1:7" x14ac:dyDescent="0.2">
      <c r="A1583" t="s">
        <v>2861</v>
      </c>
      <c r="B1583" t="s">
        <v>2862</v>
      </c>
      <c r="C1583" t="s">
        <v>2852</v>
      </c>
      <c r="D1583" t="s">
        <v>8</v>
      </c>
      <c r="E1583" t="s">
        <v>5273</v>
      </c>
      <c r="F1583">
        <v>7.666666666666667</v>
      </c>
      <c r="G1583">
        <v>34</v>
      </c>
    </row>
    <row r="1584" spans="1:7" x14ac:dyDescent="0.2">
      <c r="A1584" t="s">
        <v>3309</v>
      </c>
      <c r="B1584" t="s">
        <v>3310</v>
      </c>
      <c r="C1584" t="s">
        <v>3268</v>
      </c>
      <c r="D1584" t="s">
        <v>10</v>
      </c>
      <c r="E1584" t="s">
        <v>5274</v>
      </c>
      <c r="F1584">
        <v>0</v>
      </c>
      <c r="G1584">
        <v>1</v>
      </c>
    </row>
    <row r="1585" spans="1:7" x14ac:dyDescent="0.2">
      <c r="A1585" t="s">
        <v>3313</v>
      </c>
      <c r="B1585" t="s">
        <v>3314</v>
      </c>
      <c r="C1585" t="s">
        <v>3268</v>
      </c>
      <c r="D1585" t="s">
        <v>10</v>
      </c>
      <c r="E1585" t="s">
        <v>5275</v>
      </c>
    </row>
    <row r="1586" spans="1:7" x14ac:dyDescent="0.2">
      <c r="A1586" t="s">
        <v>3311</v>
      </c>
      <c r="B1586" t="s">
        <v>3312</v>
      </c>
      <c r="C1586" t="s">
        <v>3268</v>
      </c>
      <c r="D1586" t="s">
        <v>10</v>
      </c>
      <c r="E1586" t="s">
        <v>5276</v>
      </c>
      <c r="F1586">
        <v>0</v>
      </c>
      <c r="G1586">
        <v>3</v>
      </c>
    </row>
    <row r="1587" spans="1:7" x14ac:dyDescent="0.2">
      <c r="A1587" t="s">
        <v>3315</v>
      </c>
      <c r="B1587" t="s">
        <v>3316</v>
      </c>
      <c r="C1587" t="s">
        <v>3268</v>
      </c>
      <c r="D1587" t="s">
        <v>10</v>
      </c>
      <c r="E1587" t="s">
        <v>5277</v>
      </c>
      <c r="F1587">
        <v>0</v>
      </c>
      <c r="G1587">
        <v>3</v>
      </c>
    </row>
    <row r="1588" spans="1:7" x14ac:dyDescent="0.2">
      <c r="A1588" t="s">
        <v>2901</v>
      </c>
      <c r="B1588" t="s">
        <v>2902</v>
      </c>
      <c r="C1588" t="s">
        <v>2852</v>
      </c>
      <c r="D1588" t="s">
        <v>11</v>
      </c>
      <c r="E1588" t="s">
        <v>5278</v>
      </c>
    </row>
    <row r="1589" spans="1:7" x14ac:dyDescent="0.2">
      <c r="A1589" t="s">
        <v>2901</v>
      </c>
      <c r="B1589" t="s">
        <v>2902</v>
      </c>
      <c r="C1589" t="s">
        <v>2852</v>
      </c>
      <c r="D1589" t="s">
        <v>14</v>
      </c>
      <c r="F1589">
        <v>0</v>
      </c>
      <c r="G1589">
        <v>5</v>
      </c>
    </row>
    <row r="1590" spans="1:7" x14ac:dyDescent="0.2">
      <c r="A1590" t="s">
        <v>2901</v>
      </c>
      <c r="B1590" t="s">
        <v>2902</v>
      </c>
      <c r="C1590" t="s">
        <v>2852</v>
      </c>
      <c r="D1590" t="s">
        <v>3471</v>
      </c>
      <c r="E1590" t="s">
        <v>5279</v>
      </c>
      <c r="F1590">
        <v>0</v>
      </c>
      <c r="G1590">
        <v>0</v>
      </c>
    </row>
    <row r="1591" spans="1:7" x14ac:dyDescent="0.2">
      <c r="A1591" t="s">
        <v>2901</v>
      </c>
      <c r="B1591" t="s">
        <v>2902</v>
      </c>
      <c r="C1591" t="s">
        <v>2852</v>
      </c>
      <c r="D1591" t="s">
        <v>8</v>
      </c>
      <c r="E1591" t="s">
        <v>5280</v>
      </c>
      <c r="F1591">
        <v>3</v>
      </c>
      <c r="G1591">
        <v>111</v>
      </c>
    </row>
    <row r="1592" spans="1:7" x14ac:dyDescent="0.2">
      <c r="A1592" t="s">
        <v>2903</v>
      </c>
      <c r="B1592" t="s">
        <v>2904</v>
      </c>
      <c r="C1592" t="s">
        <v>2852</v>
      </c>
      <c r="D1592" t="s">
        <v>11</v>
      </c>
      <c r="E1592" t="s">
        <v>5281</v>
      </c>
    </row>
    <row r="1593" spans="1:7" x14ac:dyDescent="0.2">
      <c r="A1593" t="s">
        <v>2903</v>
      </c>
      <c r="B1593" t="s">
        <v>2904</v>
      </c>
      <c r="C1593" t="s">
        <v>2852</v>
      </c>
      <c r="D1593" t="s">
        <v>14</v>
      </c>
      <c r="F1593">
        <v>0</v>
      </c>
      <c r="G1593">
        <v>2</v>
      </c>
    </row>
    <row r="1594" spans="1:7" x14ac:dyDescent="0.2">
      <c r="A1594" t="s">
        <v>2903</v>
      </c>
      <c r="B1594" t="s">
        <v>2904</v>
      </c>
      <c r="C1594" t="s">
        <v>2852</v>
      </c>
      <c r="D1594" t="s">
        <v>3471</v>
      </c>
      <c r="E1594" t="s">
        <v>5282</v>
      </c>
      <c r="F1594">
        <v>0</v>
      </c>
      <c r="G1594">
        <v>0</v>
      </c>
    </row>
    <row r="1595" spans="1:7" x14ac:dyDescent="0.2">
      <c r="A1595" t="s">
        <v>2903</v>
      </c>
      <c r="B1595" t="s">
        <v>2904</v>
      </c>
      <c r="C1595" t="s">
        <v>2852</v>
      </c>
      <c r="D1595" t="s">
        <v>8</v>
      </c>
      <c r="E1595" t="s">
        <v>5283</v>
      </c>
      <c r="F1595">
        <v>1.1666666666666667</v>
      </c>
      <c r="G1595">
        <v>40</v>
      </c>
    </row>
    <row r="1596" spans="1:7" x14ac:dyDescent="0.2">
      <c r="A1596" t="s">
        <v>5284</v>
      </c>
      <c r="B1596" t="s">
        <v>5285</v>
      </c>
      <c r="C1596" t="s">
        <v>2852</v>
      </c>
      <c r="D1596" t="s">
        <v>11</v>
      </c>
      <c r="E1596" t="s">
        <v>5286</v>
      </c>
    </row>
    <row r="1597" spans="1:7" x14ac:dyDescent="0.2">
      <c r="A1597" t="s">
        <v>5284</v>
      </c>
      <c r="B1597" t="s">
        <v>5285</v>
      </c>
      <c r="C1597" t="s">
        <v>2852</v>
      </c>
      <c r="D1597" t="s">
        <v>14</v>
      </c>
      <c r="F1597">
        <v>0</v>
      </c>
      <c r="G1597">
        <v>5</v>
      </c>
    </row>
    <row r="1598" spans="1:7" x14ac:dyDescent="0.2">
      <c r="A1598" t="s">
        <v>5287</v>
      </c>
      <c r="B1598" t="s">
        <v>5288</v>
      </c>
      <c r="C1598" t="s">
        <v>2852</v>
      </c>
      <c r="D1598" t="s">
        <v>11</v>
      </c>
      <c r="E1598" t="s">
        <v>5289</v>
      </c>
    </row>
    <row r="1599" spans="1:7" x14ac:dyDescent="0.2">
      <c r="A1599" t="s">
        <v>5287</v>
      </c>
      <c r="B1599" t="s">
        <v>5288</v>
      </c>
      <c r="C1599" t="s">
        <v>2852</v>
      </c>
      <c r="D1599" t="s">
        <v>14</v>
      </c>
    </row>
    <row r="1600" spans="1:7" x14ac:dyDescent="0.2">
      <c r="A1600" t="s">
        <v>2905</v>
      </c>
      <c r="B1600" t="s">
        <v>2906</v>
      </c>
      <c r="C1600" t="s">
        <v>2852</v>
      </c>
      <c r="D1600" t="s">
        <v>11</v>
      </c>
      <c r="E1600" t="s">
        <v>5290</v>
      </c>
    </row>
    <row r="1601" spans="1:7" x14ac:dyDescent="0.2">
      <c r="A1601" t="s">
        <v>2905</v>
      </c>
      <c r="B1601" t="s">
        <v>2906</v>
      </c>
      <c r="C1601" t="s">
        <v>2852</v>
      </c>
      <c r="D1601" t="s">
        <v>14</v>
      </c>
      <c r="F1601">
        <v>0.16666666666666666</v>
      </c>
      <c r="G1601">
        <v>2</v>
      </c>
    </row>
    <row r="1602" spans="1:7" x14ac:dyDescent="0.2">
      <c r="A1602" t="s">
        <v>2905</v>
      </c>
      <c r="B1602" t="s">
        <v>2906</v>
      </c>
      <c r="C1602" t="s">
        <v>2852</v>
      </c>
      <c r="D1602" t="s">
        <v>10</v>
      </c>
      <c r="E1602" t="s">
        <v>5291</v>
      </c>
    </row>
    <row r="1603" spans="1:7" x14ac:dyDescent="0.2">
      <c r="A1603" t="s">
        <v>2905</v>
      </c>
      <c r="B1603" t="s">
        <v>2906</v>
      </c>
      <c r="C1603" t="s">
        <v>2852</v>
      </c>
      <c r="D1603" t="s">
        <v>3471</v>
      </c>
      <c r="E1603" t="s">
        <v>5292</v>
      </c>
      <c r="F1603">
        <v>0</v>
      </c>
      <c r="G1603">
        <v>1</v>
      </c>
    </row>
    <row r="1604" spans="1:7" x14ac:dyDescent="0.2">
      <c r="A1604" t="s">
        <v>2905</v>
      </c>
      <c r="B1604" t="s">
        <v>2906</v>
      </c>
      <c r="C1604" t="s">
        <v>2852</v>
      </c>
      <c r="D1604" t="s">
        <v>8</v>
      </c>
      <c r="E1604" t="s">
        <v>5293</v>
      </c>
      <c r="F1604">
        <v>3.5</v>
      </c>
      <c r="G1604">
        <v>102</v>
      </c>
    </row>
    <row r="1605" spans="1:7" x14ac:dyDescent="0.2">
      <c r="A1605" t="s">
        <v>2909</v>
      </c>
      <c r="B1605" t="s">
        <v>2910</v>
      </c>
      <c r="C1605" t="s">
        <v>2852</v>
      </c>
      <c r="D1605" t="s">
        <v>11</v>
      </c>
      <c r="E1605" t="s">
        <v>5294</v>
      </c>
    </row>
    <row r="1606" spans="1:7" x14ac:dyDescent="0.2">
      <c r="A1606" t="s">
        <v>2909</v>
      </c>
      <c r="B1606" t="s">
        <v>2910</v>
      </c>
      <c r="C1606" t="s">
        <v>2852</v>
      </c>
      <c r="D1606" t="s">
        <v>14</v>
      </c>
    </row>
    <row r="1607" spans="1:7" x14ac:dyDescent="0.2">
      <c r="A1607" t="s">
        <v>2909</v>
      </c>
      <c r="B1607" t="s">
        <v>2910</v>
      </c>
      <c r="C1607" t="s">
        <v>2852</v>
      </c>
      <c r="D1607" t="s">
        <v>3471</v>
      </c>
      <c r="E1607" t="s">
        <v>5295</v>
      </c>
      <c r="F1607">
        <v>0</v>
      </c>
      <c r="G1607">
        <v>0</v>
      </c>
    </row>
    <row r="1608" spans="1:7" x14ac:dyDescent="0.2">
      <c r="A1608" t="s">
        <v>2909</v>
      </c>
      <c r="B1608" t="s">
        <v>2910</v>
      </c>
      <c r="C1608" t="s">
        <v>2852</v>
      </c>
      <c r="D1608" t="s">
        <v>8</v>
      </c>
      <c r="E1608" t="s">
        <v>5296</v>
      </c>
      <c r="F1608">
        <v>1</v>
      </c>
      <c r="G1608">
        <v>20</v>
      </c>
    </row>
    <row r="1609" spans="1:7" x14ac:dyDescent="0.2">
      <c r="A1609" t="s">
        <v>5297</v>
      </c>
      <c r="B1609" t="s">
        <v>5298</v>
      </c>
      <c r="C1609" t="s">
        <v>2852</v>
      </c>
      <c r="D1609" t="s">
        <v>11</v>
      </c>
      <c r="E1609" t="s">
        <v>5299</v>
      </c>
    </row>
    <row r="1610" spans="1:7" x14ac:dyDescent="0.2">
      <c r="A1610" t="s">
        <v>5297</v>
      </c>
      <c r="B1610" t="s">
        <v>5298</v>
      </c>
      <c r="C1610" t="s">
        <v>2852</v>
      </c>
      <c r="D1610" t="s">
        <v>14</v>
      </c>
      <c r="F1610">
        <v>0</v>
      </c>
      <c r="G1610">
        <v>10</v>
      </c>
    </row>
    <row r="1611" spans="1:7" x14ac:dyDescent="0.2">
      <c r="A1611" t="s">
        <v>1895</v>
      </c>
      <c r="B1611" t="s">
        <v>1896</v>
      </c>
      <c r="C1611" t="s">
        <v>1888</v>
      </c>
      <c r="D1611" t="s">
        <v>10</v>
      </c>
      <c r="E1611" t="s">
        <v>5300</v>
      </c>
      <c r="F1611">
        <v>0</v>
      </c>
      <c r="G1611">
        <v>7</v>
      </c>
    </row>
    <row r="1612" spans="1:7" x14ac:dyDescent="0.2">
      <c r="A1612" t="s">
        <v>1895</v>
      </c>
      <c r="B1612" t="s">
        <v>1896</v>
      </c>
      <c r="C1612" t="s">
        <v>1888</v>
      </c>
      <c r="D1612" t="s">
        <v>3471</v>
      </c>
      <c r="E1612" t="s">
        <v>5301</v>
      </c>
    </row>
    <row r="1613" spans="1:7" x14ac:dyDescent="0.2">
      <c r="A1613" t="s">
        <v>1895</v>
      </c>
      <c r="B1613" t="s">
        <v>1896</v>
      </c>
      <c r="C1613" t="s">
        <v>1888</v>
      </c>
      <c r="D1613" t="s">
        <v>8</v>
      </c>
      <c r="E1613" t="s">
        <v>5302</v>
      </c>
      <c r="F1613">
        <v>0</v>
      </c>
      <c r="G1613">
        <v>0</v>
      </c>
    </row>
    <row r="1614" spans="1:7" x14ac:dyDescent="0.2">
      <c r="A1614" t="s">
        <v>1893</v>
      </c>
      <c r="B1614" t="s">
        <v>1894</v>
      </c>
      <c r="C1614" t="s">
        <v>1888</v>
      </c>
      <c r="D1614" t="s">
        <v>10</v>
      </c>
      <c r="E1614" t="s">
        <v>5303</v>
      </c>
      <c r="F1614">
        <v>0</v>
      </c>
      <c r="G1614">
        <v>4</v>
      </c>
    </row>
    <row r="1615" spans="1:7" x14ac:dyDescent="0.2">
      <c r="A1615" t="s">
        <v>1893</v>
      </c>
      <c r="B1615" t="s">
        <v>1894</v>
      </c>
      <c r="C1615" t="s">
        <v>1888</v>
      </c>
      <c r="D1615" t="s">
        <v>3471</v>
      </c>
      <c r="E1615" t="s">
        <v>5304</v>
      </c>
      <c r="F1615">
        <v>0</v>
      </c>
      <c r="G1615">
        <v>1</v>
      </c>
    </row>
    <row r="1616" spans="1:7" x14ac:dyDescent="0.2">
      <c r="A1616" t="s">
        <v>1893</v>
      </c>
      <c r="B1616" t="s">
        <v>1894</v>
      </c>
      <c r="C1616" t="s">
        <v>1888</v>
      </c>
      <c r="D1616" t="s">
        <v>8</v>
      </c>
      <c r="E1616" t="s">
        <v>5305</v>
      </c>
      <c r="F1616">
        <v>0.66666666666666663</v>
      </c>
      <c r="G1616">
        <v>1</v>
      </c>
    </row>
    <row r="1617" spans="1:7" x14ac:dyDescent="0.2">
      <c r="A1617" t="s">
        <v>1893</v>
      </c>
      <c r="B1617" t="s">
        <v>1894</v>
      </c>
      <c r="C1617" t="s">
        <v>1888</v>
      </c>
      <c r="D1617" t="s">
        <v>12</v>
      </c>
      <c r="F1617">
        <v>0</v>
      </c>
      <c r="G1617">
        <v>4</v>
      </c>
    </row>
    <row r="1618" spans="1:7" x14ac:dyDescent="0.2">
      <c r="A1618" t="s">
        <v>1889</v>
      </c>
      <c r="B1618" t="s">
        <v>1890</v>
      </c>
      <c r="C1618" t="s">
        <v>1888</v>
      </c>
      <c r="D1618" t="s">
        <v>10</v>
      </c>
      <c r="E1618" t="s">
        <v>5306</v>
      </c>
      <c r="F1618">
        <v>0</v>
      </c>
      <c r="G1618">
        <v>3</v>
      </c>
    </row>
    <row r="1619" spans="1:7" x14ac:dyDescent="0.2">
      <c r="A1619" t="s">
        <v>1889</v>
      </c>
      <c r="B1619" t="s">
        <v>1890</v>
      </c>
      <c r="C1619" t="s">
        <v>1888</v>
      </c>
      <c r="D1619" t="s">
        <v>8</v>
      </c>
      <c r="E1619" t="s">
        <v>5307</v>
      </c>
    </row>
    <row r="1620" spans="1:7" x14ac:dyDescent="0.2">
      <c r="A1620" t="s">
        <v>1889</v>
      </c>
      <c r="B1620" t="s">
        <v>1890</v>
      </c>
      <c r="C1620" t="s">
        <v>1888</v>
      </c>
      <c r="D1620" t="s">
        <v>12</v>
      </c>
      <c r="F1620">
        <v>0</v>
      </c>
      <c r="G1620">
        <v>2</v>
      </c>
    </row>
    <row r="1621" spans="1:7" x14ac:dyDescent="0.2">
      <c r="A1621" t="s">
        <v>1891</v>
      </c>
      <c r="B1621" t="s">
        <v>1892</v>
      </c>
      <c r="C1621" t="s">
        <v>1888</v>
      </c>
      <c r="D1621" t="s">
        <v>8</v>
      </c>
      <c r="E1621" t="s">
        <v>5307</v>
      </c>
    </row>
    <row r="1622" spans="1:7" x14ac:dyDescent="0.2">
      <c r="A1622" t="s">
        <v>2111</v>
      </c>
      <c r="B1622" t="s">
        <v>2112</v>
      </c>
      <c r="C1622" t="s">
        <v>2088</v>
      </c>
      <c r="D1622" t="s">
        <v>8</v>
      </c>
      <c r="E1622" t="s">
        <v>5308</v>
      </c>
    </row>
    <row r="1623" spans="1:7" x14ac:dyDescent="0.2">
      <c r="A1623" t="s">
        <v>2115</v>
      </c>
      <c r="B1623" t="s">
        <v>2116</v>
      </c>
      <c r="C1623" t="s">
        <v>2088</v>
      </c>
      <c r="D1623" t="s">
        <v>3484</v>
      </c>
    </row>
    <row r="1624" spans="1:7" x14ac:dyDescent="0.2">
      <c r="A1624" t="s">
        <v>2109</v>
      </c>
      <c r="B1624" t="s">
        <v>2110</v>
      </c>
      <c r="C1624" t="s">
        <v>2088</v>
      </c>
      <c r="D1624" t="s">
        <v>3484</v>
      </c>
    </row>
    <row r="1625" spans="1:7" x14ac:dyDescent="0.2">
      <c r="A1625" t="s">
        <v>2105</v>
      </c>
      <c r="B1625" t="s">
        <v>2106</v>
      </c>
      <c r="C1625" t="s">
        <v>2088</v>
      </c>
      <c r="D1625" t="s">
        <v>3471</v>
      </c>
      <c r="E1625" t="s">
        <v>5309</v>
      </c>
    </row>
    <row r="1626" spans="1:7" x14ac:dyDescent="0.2">
      <c r="A1626" t="s">
        <v>2105</v>
      </c>
      <c r="B1626" t="s">
        <v>2106</v>
      </c>
      <c r="C1626" t="s">
        <v>2088</v>
      </c>
      <c r="D1626" t="s">
        <v>3484</v>
      </c>
    </row>
    <row r="1627" spans="1:7" x14ac:dyDescent="0.2">
      <c r="A1627" t="s">
        <v>2129</v>
      </c>
      <c r="B1627" t="s">
        <v>2130</v>
      </c>
      <c r="C1627" t="s">
        <v>2088</v>
      </c>
      <c r="D1627" t="s">
        <v>8</v>
      </c>
      <c r="E1627" t="s">
        <v>5310</v>
      </c>
    </row>
    <row r="1628" spans="1:7" x14ac:dyDescent="0.2">
      <c r="A1628" t="s">
        <v>2129</v>
      </c>
      <c r="B1628" t="s">
        <v>2130</v>
      </c>
      <c r="C1628" t="s">
        <v>2088</v>
      </c>
      <c r="D1628" t="s">
        <v>3484</v>
      </c>
    </row>
    <row r="1629" spans="1:7" x14ac:dyDescent="0.2">
      <c r="A1629" t="s">
        <v>2127</v>
      </c>
      <c r="B1629" t="s">
        <v>2128</v>
      </c>
      <c r="C1629" t="s">
        <v>2088</v>
      </c>
      <c r="D1629" t="s">
        <v>8</v>
      </c>
      <c r="E1629" t="s">
        <v>5311</v>
      </c>
    </row>
    <row r="1630" spans="1:7" x14ac:dyDescent="0.2">
      <c r="A1630" t="s">
        <v>2127</v>
      </c>
      <c r="B1630" t="s">
        <v>2128</v>
      </c>
      <c r="C1630" t="s">
        <v>2088</v>
      </c>
      <c r="D1630" t="s">
        <v>3484</v>
      </c>
    </row>
    <row r="1631" spans="1:7" x14ac:dyDescent="0.2">
      <c r="A1631" t="s">
        <v>2125</v>
      </c>
      <c r="B1631" t="s">
        <v>2126</v>
      </c>
      <c r="C1631" t="s">
        <v>2088</v>
      </c>
      <c r="D1631" t="s">
        <v>3471</v>
      </c>
      <c r="E1631" t="s">
        <v>5312</v>
      </c>
    </row>
    <row r="1632" spans="1:7" x14ac:dyDescent="0.2">
      <c r="A1632" t="s">
        <v>2123</v>
      </c>
      <c r="B1632" t="s">
        <v>2124</v>
      </c>
      <c r="C1632" t="s">
        <v>2088</v>
      </c>
      <c r="D1632" t="s">
        <v>8</v>
      </c>
      <c r="E1632" t="s">
        <v>5313</v>
      </c>
    </row>
    <row r="1633" spans="1:7" x14ac:dyDescent="0.2">
      <c r="A1633" t="s">
        <v>2121</v>
      </c>
      <c r="B1633" t="s">
        <v>2122</v>
      </c>
      <c r="C1633" t="s">
        <v>2088</v>
      </c>
      <c r="D1633" t="s">
        <v>8</v>
      </c>
      <c r="E1633" t="s">
        <v>5314</v>
      </c>
    </row>
    <row r="1634" spans="1:7" x14ac:dyDescent="0.2">
      <c r="A1634" t="s">
        <v>2119</v>
      </c>
      <c r="B1634" t="s">
        <v>2120</v>
      </c>
      <c r="C1634" t="s">
        <v>2088</v>
      </c>
      <c r="D1634" t="s">
        <v>3471</v>
      </c>
      <c r="E1634" t="s">
        <v>5315</v>
      </c>
    </row>
    <row r="1635" spans="1:7" x14ac:dyDescent="0.2">
      <c r="A1635" t="s">
        <v>2117</v>
      </c>
      <c r="B1635" t="s">
        <v>2118</v>
      </c>
      <c r="C1635" t="s">
        <v>2088</v>
      </c>
      <c r="D1635" t="s">
        <v>3471</v>
      </c>
      <c r="E1635" t="s">
        <v>5316</v>
      </c>
    </row>
    <row r="1636" spans="1:7" x14ac:dyDescent="0.2">
      <c r="A1636" t="s">
        <v>2117</v>
      </c>
      <c r="B1636" t="s">
        <v>2118</v>
      </c>
      <c r="C1636" t="s">
        <v>2088</v>
      </c>
      <c r="D1636" t="s">
        <v>8</v>
      </c>
      <c r="E1636" t="s">
        <v>5317</v>
      </c>
    </row>
    <row r="1637" spans="1:7" x14ac:dyDescent="0.2">
      <c r="A1637" t="s">
        <v>2117</v>
      </c>
      <c r="B1637" t="s">
        <v>2118</v>
      </c>
      <c r="C1637" t="s">
        <v>2088</v>
      </c>
      <c r="D1637" t="s">
        <v>3484</v>
      </c>
    </row>
    <row r="1638" spans="1:7" x14ac:dyDescent="0.2">
      <c r="A1638" t="s">
        <v>2093</v>
      </c>
      <c r="B1638" t="s">
        <v>2094</v>
      </c>
      <c r="C1638" t="s">
        <v>2088</v>
      </c>
      <c r="D1638" t="s">
        <v>3471</v>
      </c>
      <c r="E1638" t="s">
        <v>5318</v>
      </c>
    </row>
    <row r="1639" spans="1:7" x14ac:dyDescent="0.2">
      <c r="A1639" t="s">
        <v>2093</v>
      </c>
      <c r="B1639" t="s">
        <v>2094</v>
      </c>
      <c r="C1639" t="s">
        <v>2088</v>
      </c>
      <c r="D1639" t="s">
        <v>8</v>
      </c>
      <c r="E1639" t="s">
        <v>5319</v>
      </c>
    </row>
    <row r="1640" spans="1:7" x14ac:dyDescent="0.2">
      <c r="A1640" t="s">
        <v>2095</v>
      </c>
      <c r="B1640" t="s">
        <v>2096</v>
      </c>
      <c r="C1640" t="s">
        <v>2088</v>
      </c>
      <c r="D1640" t="s">
        <v>8</v>
      </c>
      <c r="E1640" t="s">
        <v>5320</v>
      </c>
    </row>
    <row r="1641" spans="1:7" x14ac:dyDescent="0.2">
      <c r="A1641" t="s">
        <v>2097</v>
      </c>
      <c r="B1641" t="s">
        <v>2098</v>
      </c>
      <c r="C1641" t="s">
        <v>2088</v>
      </c>
      <c r="D1641" t="s">
        <v>8</v>
      </c>
      <c r="E1641" t="s">
        <v>5321</v>
      </c>
    </row>
    <row r="1642" spans="1:7" x14ac:dyDescent="0.2">
      <c r="A1642" t="s">
        <v>2101</v>
      </c>
      <c r="B1642" t="s">
        <v>2102</v>
      </c>
      <c r="C1642" t="s">
        <v>2088</v>
      </c>
      <c r="D1642" t="s">
        <v>8</v>
      </c>
      <c r="E1642" t="s">
        <v>5322</v>
      </c>
    </row>
    <row r="1643" spans="1:7" x14ac:dyDescent="0.2">
      <c r="A1643" t="s">
        <v>2099</v>
      </c>
      <c r="B1643" t="s">
        <v>2100</v>
      </c>
      <c r="C1643" t="s">
        <v>2088</v>
      </c>
      <c r="D1643" t="s">
        <v>8</v>
      </c>
      <c r="E1643" t="s">
        <v>5323</v>
      </c>
    </row>
    <row r="1644" spans="1:7" x14ac:dyDescent="0.2">
      <c r="A1644" t="s">
        <v>2103</v>
      </c>
      <c r="B1644" t="s">
        <v>2104</v>
      </c>
      <c r="C1644" t="s">
        <v>2088</v>
      </c>
      <c r="D1644" t="s">
        <v>8</v>
      </c>
      <c r="E1644" t="s">
        <v>5324</v>
      </c>
    </row>
    <row r="1645" spans="1:7" x14ac:dyDescent="0.2">
      <c r="A1645" t="s">
        <v>2089</v>
      </c>
      <c r="B1645" t="s">
        <v>2090</v>
      </c>
      <c r="C1645" t="s">
        <v>2088</v>
      </c>
      <c r="D1645" t="s">
        <v>8</v>
      </c>
      <c r="E1645" t="s">
        <v>5325</v>
      </c>
    </row>
    <row r="1646" spans="1:7" x14ac:dyDescent="0.2">
      <c r="A1646" t="s">
        <v>2091</v>
      </c>
      <c r="B1646" t="s">
        <v>2092</v>
      </c>
      <c r="C1646" t="s">
        <v>2088</v>
      </c>
      <c r="D1646" t="s">
        <v>8</v>
      </c>
      <c r="E1646" t="s">
        <v>5326</v>
      </c>
    </row>
    <row r="1647" spans="1:7" x14ac:dyDescent="0.2">
      <c r="A1647" t="s">
        <v>5327</v>
      </c>
      <c r="B1647" t="s">
        <v>5328</v>
      </c>
      <c r="C1647" t="s">
        <v>4463</v>
      </c>
      <c r="D1647" t="s">
        <v>14</v>
      </c>
    </row>
    <row r="1648" spans="1:7" x14ac:dyDescent="0.2">
      <c r="A1648" t="s">
        <v>5327</v>
      </c>
      <c r="B1648" t="s">
        <v>5328</v>
      </c>
      <c r="C1648" t="s">
        <v>4463</v>
      </c>
      <c r="D1648" t="s">
        <v>3471</v>
      </c>
      <c r="E1648" t="s">
        <v>5329</v>
      </c>
      <c r="F1648">
        <v>0.33333333333333331</v>
      </c>
      <c r="G1648">
        <v>18</v>
      </c>
    </row>
    <row r="1649" spans="1:7" x14ac:dyDescent="0.2">
      <c r="A1649" t="s">
        <v>5327</v>
      </c>
      <c r="B1649" t="s">
        <v>5328</v>
      </c>
      <c r="C1649" t="s">
        <v>4463</v>
      </c>
      <c r="D1649" t="s">
        <v>8</v>
      </c>
      <c r="E1649" t="s">
        <v>5330</v>
      </c>
    </row>
    <row r="1650" spans="1:7" x14ac:dyDescent="0.2">
      <c r="A1650" t="s">
        <v>5331</v>
      </c>
      <c r="B1650" t="s">
        <v>5332</v>
      </c>
      <c r="C1650" t="s">
        <v>4463</v>
      </c>
      <c r="D1650" t="s">
        <v>14</v>
      </c>
      <c r="F1650">
        <v>0</v>
      </c>
      <c r="G1650">
        <v>4</v>
      </c>
    </row>
    <row r="1651" spans="1:7" x14ac:dyDescent="0.2">
      <c r="A1651" t="s">
        <v>5331</v>
      </c>
      <c r="B1651" t="s">
        <v>5332</v>
      </c>
      <c r="C1651" t="s">
        <v>4463</v>
      </c>
      <c r="D1651" t="s">
        <v>8</v>
      </c>
      <c r="E1651" t="s">
        <v>5333</v>
      </c>
    </row>
    <row r="1652" spans="1:7" x14ac:dyDescent="0.2">
      <c r="A1652" t="s">
        <v>3317</v>
      </c>
      <c r="B1652" t="s">
        <v>3318</v>
      </c>
      <c r="C1652" t="s">
        <v>3268</v>
      </c>
      <c r="D1652" t="s">
        <v>10</v>
      </c>
      <c r="E1652" t="s">
        <v>5334</v>
      </c>
      <c r="F1652">
        <v>1.3333333333333333</v>
      </c>
      <c r="G1652">
        <v>3</v>
      </c>
    </row>
    <row r="1653" spans="1:7" x14ac:dyDescent="0.2">
      <c r="A1653" t="s">
        <v>3319</v>
      </c>
      <c r="B1653" t="s">
        <v>3320</v>
      </c>
      <c r="C1653" t="s">
        <v>3268</v>
      </c>
      <c r="D1653" t="s">
        <v>10</v>
      </c>
      <c r="E1653" t="s">
        <v>5335</v>
      </c>
      <c r="F1653">
        <v>0.16666666666666666</v>
      </c>
      <c r="G1653">
        <v>6</v>
      </c>
    </row>
    <row r="1654" spans="1:7" x14ac:dyDescent="0.2">
      <c r="A1654" t="s">
        <v>2320</v>
      </c>
      <c r="B1654" t="s">
        <v>2321</v>
      </c>
      <c r="C1654" t="s">
        <v>2146</v>
      </c>
      <c r="D1654" t="s">
        <v>3494</v>
      </c>
    </row>
    <row r="1655" spans="1:7" x14ac:dyDescent="0.2">
      <c r="A1655" t="s">
        <v>2320</v>
      </c>
      <c r="B1655" t="s">
        <v>2321</v>
      </c>
      <c r="C1655" t="s">
        <v>2146</v>
      </c>
      <c r="D1655" t="s">
        <v>10</v>
      </c>
      <c r="E1655" t="s">
        <v>5336</v>
      </c>
      <c r="F1655">
        <v>8.1666666666666661</v>
      </c>
      <c r="G1655">
        <v>423</v>
      </c>
    </row>
    <row r="1656" spans="1:7" x14ac:dyDescent="0.2">
      <c r="A1656" t="s">
        <v>2320</v>
      </c>
      <c r="B1656" t="s">
        <v>2321</v>
      </c>
      <c r="C1656" t="s">
        <v>2146</v>
      </c>
      <c r="D1656" t="s">
        <v>3471</v>
      </c>
      <c r="E1656" t="s">
        <v>5337</v>
      </c>
      <c r="F1656">
        <v>0</v>
      </c>
      <c r="G1656">
        <v>0</v>
      </c>
    </row>
    <row r="1657" spans="1:7" x14ac:dyDescent="0.2">
      <c r="A1657" t="s">
        <v>2320</v>
      </c>
      <c r="B1657" t="s">
        <v>2321</v>
      </c>
      <c r="C1657" t="s">
        <v>2146</v>
      </c>
      <c r="D1657" t="s">
        <v>8</v>
      </c>
      <c r="E1657" t="s">
        <v>5338</v>
      </c>
      <c r="F1657">
        <v>0</v>
      </c>
      <c r="G1657">
        <v>7</v>
      </c>
    </row>
    <row r="1658" spans="1:7" x14ac:dyDescent="0.2">
      <c r="A1658" t="s">
        <v>2320</v>
      </c>
      <c r="B1658" t="s">
        <v>2321</v>
      </c>
      <c r="C1658" t="s">
        <v>2146</v>
      </c>
      <c r="D1658" t="s">
        <v>3469</v>
      </c>
      <c r="F1658">
        <v>0</v>
      </c>
      <c r="G1658">
        <v>1</v>
      </c>
    </row>
    <row r="1659" spans="1:7" x14ac:dyDescent="0.2">
      <c r="A1659" t="s">
        <v>2312</v>
      </c>
      <c r="B1659" t="s">
        <v>2313</v>
      </c>
      <c r="C1659" t="s">
        <v>2146</v>
      </c>
      <c r="D1659" t="s">
        <v>10</v>
      </c>
      <c r="E1659" t="s">
        <v>8959</v>
      </c>
      <c r="F1659">
        <v>30.5</v>
      </c>
      <c r="G1659">
        <v>478</v>
      </c>
    </row>
    <row r="1660" spans="1:7" x14ac:dyDescent="0.2">
      <c r="A1660" t="s">
        <v>2248</v>
      </c>
      <c r="B1660" t="s">
        <v>2249</v>
      </c>
      <c r="C1660" t="s">
        <v>2146</v>
      </c>
      <c r="D1660" t="s">
        <v>5339</v>
      </c>
      <c r="E1660" t="s">
        <v>5340</v>
      </c>
      <c r="F1660">
        <v>14.333333333333334</v>
      </c>
      <c r="G1660">
        <v>2391</v>
      </c>
    </row>
    <row r="1661" spans="1:7" x14ac:dyDescent="0.2">
      <c r="A1661" t="s">
        <v>2248</v>
      </c>
      <c r="B1661" t="s">
        <v>2249</v>
      </c>
      <c r="C1661" t="s">
        <v>2146</v>
      </c>
      <c r="D1661" t="s">
        <v>10</v>
      </c>
      <c r="E1661" t="s">
        <v>5341</v>
      </c>
      <c r="F1661">
        <v>9.5</v>
      </c>
      <c r="G1661">
        <v>616</v>
      </c>
    </row>
    <row r="1662" spans="1:7" x14ac:dyDescent="0.2">
      <c r="A1662" t="s">
        <v>2248</v>
      </c>
      <c r="B1662" t="s">
        <v>2249</v>
      </c>
      <c r="C1662" t="s">
        <v>2146</v>
      </c>
      <c r="D1662" t="s">
        <v>8</v>
      </c>
      <c r="E1662" t="s">
        <v>5342</v>
      </c>
      <c r="F1662">
        <v>21.333333333333332</v>
      </c>
      <c r="G1662">
        <v>101</v>
      </c>
    </row>
    <row r="1663" spans="1:7" x14ac:dyDescent="0.2">
      <c r="A1663" t="s">
        <v>2260</v>
      </c>
      <c r="B1663" t="s">
        <v>2261</v>
      </c>
      <c r="C1663" t="s">
        <v>2146</v>
      </c>
      <c r="D1663" t="s">
        <v>5339</v>
      </c>
      <c r="E1663" t="s">
        <v>5343</v>
      </c>
      <c r="F1663">
        <v>25</v>
      </c>
      <c r="G1663">
        <v>2280</v>
      </c>
    </row>
    <row r="1664" spans="1:7" x14ac:dyDescent="0.2">
      <c r="A1664" t="s">
        <v>2260</v>
      </c>
      <c r="B1664" t="s">
        <v>2261</v>
      </c>
      <c r="C1664" t="s">
        <v>2146</v>
      </c>
      <c r="D1664" t="s">
        <v>10</v>
      </c>
      <c r="E1664" t="s">
        <v>5344</v>
      </c>
      <c r="F1664">
        <v>18.166666666666668</v>
      </c>
      <c r="G1664">
        <v>307</v>
      </c>
    </row>
    <row r="1665" spans="1:7" x14ac:dyDescent="0.2">
      <c r="A1665" t="s">
        <v>2260</v>
      </c>
      <c r="B1665" t="s">
        <v>2261</v>
      </c>
      <c r="C1665" t="s">
        <v>2146</v>
      </c>
      <c r="D1665" t="s">
        <v>8</v>
      </c>
      <c r="E1665" t="s">
        <v>5345</v>
      </c>
      <c r="F1665">
        <v>23.166666666666668</v>
      </c>
      <c r="G1665">
        <v>78</v>
      </c>
    </row>
    <row r="1666" spans="1:7" x14ac:dyDescent="0.2">
      <c r="A1666" t="s">
        <v>2250</v>
      </c>
      <c r="B1666" t="s">
        <v>2251</v>
      </c>
      <c r="C1666" t="s">
        <v>2146</v>
      </c>
      <c r="D1666" t="s">
        <v>10</v>
      </c>
      <c r="E1666" t="s">
        <v>5346</v>
      </c>
      <c r="F1666">
        <v>6</v>
      </c>
      <c r="G1666">
        <v>410</v>
      </c>
    </row>
    <row r="1667" spans="1:7" x14ac:dyDescent="0.2">
      <c r="A1667" t="s">
        <v>2250</v>
      </c>
      <c r="B1667" t="s">
        <v>2251</v>
      </c>
      <c r="C1667" t="s">
        <v>2146</v>
      </c>
      <c r="D1667" t="s">
        <v>8</v>
      </c>
      <c r="E1667" t="s">
        <v>5347</v>
      </c>
      <c r="F1667">
        <v>1.1666666666666667</v>
      </c>
      <c r="G1667">
        <v>62</v>
      </c>
    </row>
    <row r="1668" spans="1:7" x14ac:dyDescent="0.2">
      <c r="A1668" t="s">
        <v>2262</v>
      </c>
      <c r="B1668" t="s">
        <v>2263</v>
      </c>
      <c r="C1668" t="s">
        <v>2146</v>
      </c>
      <c r="D1668" t="s">
        <v>10</v>
      </c>
      <c r="E1668" t="s">
        <v>5348</v>
      </c>
      <c r="F1668">
        <v>14</v>
      </c>
      <c r="G1668">
        <v>582</v>
      </c>
    </row>
    <row r="1669" spans="1:7" x14ac:dyDescent="0.2">
      <c r="A1669" t="s">
        <v>2262</v>
      </c>
      <c r="B1669" t="s">
        <v>2263</v>
      </c>
      <c r="C1669" t="s">
        <v>2146</v>
      </c>
      <c r="D1669" t="s">
        <v>8</v>
      </c>
      <c r="E1669" t="s">
        <v>5349</v>
      </c>
      <c r="F1669">
        <v>2.3333333333333335</v>
      </c>
      <c r="G1669">
        <v>33</v>
      </c>
    </row>
    <row r="1670" spans="1:7" x14ac:dyDescent="0.2">
      <c r="A1670" t="s">
        <v>2216</v>
      </c>
      <c r="B1670" t="s">
        <v>2217</v>
      </c>
      <c r="C1670" t="s">
        <v>2146</v>
      </c>
      <c r="D1670" t="s">
        <v>10</v>
      </c>
      <c r="E1670" t="s">
        <v>8960</v>
      </c>
      <c r="F1670">
        <v>0</v>
      </c>
      <c r="G1670">
        <v>10</v>
      </c>
    </row>
    <row r="1671" spans="1:7" x14ac:dyDescent="0.2">
      <c r="A1671" t="s">
        <v>2216</v>
      </c>
      <c r="B1671" t="s">
        <v>2217</v>
      </c>
      <c r="C1671" t="s">
        <v>2146</v>
      </c>
      <c r="D1671" t="s">
        <v>8</v>
      </c>
      <c r="E1671" t="s">
        <v>8576</v>
      </c>
      <c r="F1671">
        <v>0</v>
      </c>
      <c r="G1671">
        <v>14</v>
      </c>
    </row>
    <row r="1672" spans="1:7" x14ac:dyDescent="0.2">
      <c r="A1672" t="s">
        <v>2218</v>
      </c>
      <c r="B1672" t="s">
        <v>2219</v>
      </c>
      <c r="C1672" t="s">
        <v>2146</v>
      </c>
      <c r="D1672" t="s">
        <v>10</v>
      </c>
      <c r="E1672" t="s">
        <v>8961</v>
      </c>
      <c r="F1672">
        <v>0</v>
      </c>
      <c r="G1672">
        <v>10</v>
      </c>
    </row>
    <row r="1673" spans="1:7" x14ac:dyDescent="0.2">
      <c r="A1673" t="s">
        <v>2218</v>
      </c>
      <c r="B1673" t="s">
        <v>2219</v>
      </c>
      <c r="C1673" t="s">
        <v>2146</v>
      </c>
      <c r="D1673" t="s">
        <v>8</v>
      </c>
      <c r="E1673" t="s">
        <v>8577</v>
      </c>
      <c r="F1673">
        <v>0</v>
      </c>
      <c r="G1673">
        <v>19</v>
      </c>
    </row>
    <row r="1674" spans="1:7" x14ac:dyDescent="0.2">
      <c r="A1674" t="s">
        <v>2226</v>
      </c>
      <c r="B1674" t="s">
        <v>2227</v>
      </c>
      <c r="C1674" t="s">
        <v>2146</v>
      </c>
      <c r="D1674" t="s">
        <v>10</v>
      </c>
      <c r="E1674" t="s">
        <v>8578</v>
      </c>
      <c r="F1674">
        <v>5.666666666666667</v>
      </c>
      <c r="G1674">
        <v>450</v>
      </c>
    </row>
    <row r="1675" spans="1:7" x14ac:dyDescent="0.2">
      <c r="A1675" t="s">
        <v>2226</v>
      </c>
      <c r="B1675" t="s">
        <v>2227</v>
      </c>
      <c r="C1675" t="s">
        <v>2146</v>
      </c>
      <c r="D1675" t="s">
        <v>8</v>
      </c>
      <c r="E1675" t="s">
        <v>8579</v>
      </c>
      <c r="F1675">
        <v>8.5</v>
      </c>
      <c r="G1675">
        <v>35</v>
      </c>
    </row>
    <row r="1676" spans="1:7" x14ac:dyDescent="0.2">
      <c r="A1676" t="s">
        <v>2228</v>
      </c>
      <c r="B1676" t="s">
        <v>2229</v>
      </c>
      <c r="C1676" t="s">
        <v>2146</v>
      </c>
      <c r="D1676" t="s">
        <v>10</v>
      </c>
      <c r="E1676" t="s">
        <v>8580</v>
      </c>
      <c r="F1676">
        <v>15.666666666666666</v>
      </c>
      <c r="G1676">
        <v>654</v>
      </c>
    </row>
    <row r="1677" spans="1:7" x14ac:dyDescent="0.2">
      <c r="A1677" t="s">
        <v>2228</v>
      </c>
      <c r="B1677" t="s">
        <v>2229</v>
      </c>
      <c r="C1677" t="s">
        <v>2146</v>
      </c>
      <c r="D1677" t="s">
        <v>8</v>
      </c>
      <c r="E1677" t="s">
        <v>8581</v>
      </c>
      <c r="F1677">
        <v>8.1666666666666661</v>
      </c>
      <c r="G1677">
        <v>31</v>
      </c>
    </row>
    <row r="1678" spans="1:7" x14ac:dyDescent="0.2">
      <c r="A1678" t="s">
        <v>2230</v>
      </c>
      <c r="B1678" t="s">
        <v>2231</v>
      </c>
      <c r="C1678" t="s">
        <v>2146</v>
      </c>
      <c r="D1678" t="s">
        <v>10</v>
      </c>
      <c r="E1678" t="s">
        <v>8582</v>
      </c>
      <c r="F1678">
        <v>1.8333333333333333</v>
      </c>
      <c r="G1678">
        <v>2</v>
      </c>
    </row>
    <row r="1679" spans="1:7" x14ac:dyDescent="0.2">
      <c r="A1679" t="s">
        <v>2230</v>
      </c>
      <c r="B1679" t="s">
        <v>2231</v>
      </c>
      <c r="C1679" t="s">
        <v>2146</v>
      </c>
      <c r="D1679" t="s">
        <v>8</v>
      </c>
      <c r="E1679" t="s">
        <v>8583</v>
      </c>
      <c r="F1679">
        <v>0</v>
      </c>
      <c r="G1679">
        <v>13</v>
      </c>
    </row>
    <row r="1680" spans="1:7" x14ac:dyDescent="0.2">
      <c r="A1680" t="s">
        <v>2230</v>
      </c>
      <c r="B1680" t="s">
        <v>2231</v>
      </c>
      <c r="C1680" t="s">
        <v>2146</v>
      </c>
      <c r="D1680" t="s">
        <v>3469</v>
      </c>
    </row>
    <row r="1681" spans="1:7" x14ac:dyDescent="0.2">
      <c r="A1681" t="s">
        <v>2148</v>
      </c>
      <c r="B1681" t="s">
        <v>2149</v>
      </c>
      <c r="C1681" t="s">
        <v>2146</v>
      </c>
      <c r="D1681" t="s">
        <v>10</v>
      </c>
      <c r="E1681" t="s">
        <v>8962</v>
      </c>
      <c r="F1681">
        <v>16.333333333333332</v>
      </c>
      <c r="G1681">
        <v>472</v>
      </c>
    </row>
    <row r="1682" spans="1:7" x14ac:dyDescent="0.2">
      <c r="A1682" t="s">
        <v>2266</v>
      </c>
      <c r="B1682" t="s">
        <v>2267</v>
      </c>
      <c r="C1682" t="s">
        <v>2146</v>
      </c>
      <c r="D1682" t="s">
        <v>10</v>
      </c>
      <c r="E1682" t="s">
        <v>8584</v>
      </c>
      <c r="F1682">
        <v>0.33333333333333331</v>
      </c>
      <c r="G1682">
        <v>5</v>
      </c>
    </row>
    <row r="1683" spans="1:7" x14ac:dyDescent="0.2">
      <c r="A1683" t="s">
        <v>2162</v>
      </c>
      <c r="B1683" t="s">
        <v>2163</v>
      </c>
      <c r="C1683" t="s">
        <v>2146</v>
      </c>
      <c r="D1683" t="s">
        <v>10</v>
      </c>
      <c r="E1683" t="s">
        <v>5350</v>
      </c>
    </row>
    <row r="1684" spans="1:7" x14ac:dyDescent="0.2">
      <c r="A1684" t="s">
        <v>2162</v>
      </c>
      <c r="B1684" t="s">
        <v>2163</v>
      </c>
      <c r="C1684" t="s">
        <v>2146</v>
      </c>
      <c r="D1684" t="s">
        <v>3471</v>
      </c>
      <c r="E1684" t="s">
        <v>5351</v>
      </c>
    </row>
    <row r="1685" spans="1:7" x14ac:dyDescent="0.2">
      <c r="A1685" t="s">
        <v>2162</v>
      </c>
      <c r="B1685" t="s">
        <v>2163</v>
      </c>
      <c r="C1685" t="s">
        <v>2146</v>
      </c>
      <c r="D1685" t="s">
        <v>8</v>
      </c>
      <c r="E1685" t="s">
        <v>5352</v>
      </c>
      <c r="F1685">
        <v>0.16666666666666666</v>
      </c>
      <c r="G1685">
        <v>0</v>
      </c>
    </row>
    <row r="1686" spans="1:7" x14ac:dyDescent="0.2">
      <c r="A1686" t="s">
        <v>2162</v>
      </c>
      <c r="B1686" t="s">
        <v>2163</v>
      </c>
      <c r="C1686" t="s">
        <v>2146</v>
      </c>
      <c r="D1686" t="s">
        <v>3469</v>
      </c>
    </row>
    <row r="1687" spans="1:7" x14ac:dyDescent="0.2">
      <c r="A1687" t="s">
        <v>2168</v>
      </c>
      <c r="B1687" t="s">
        <v>2169</v>
      </c>
      <c r="C1687" t="s">
        <v>2146</v>
      </c>
      <c r="D1687" t="s">
        <v>3494</v>
      </c>
    </row>
    <row r="1688" spans="1:7" x14ac:dyDescent="0.2">
      <c r="A1688" t="s">
        <v>2168</v>
      </c>
      <c r="B1688" t="s">
        <v>2169</v>
      </c>
      <c r="C1688" t="s">
        <v>2146</v>
      </c>
      <c r="D1688" t="s">
        <v>3471</v>
      </c>
      <c r="E1688" t="s">
        <v>5353</v>
      </c>
      <c r="F1688">
        <v>0</v>
      </c>
      <c r="G1688">
        <v>0</v>
      </c>
    </row>
    <row r="1689" spans="1:7" x14ac:dyDescent="0.2">
      <c r="A1689" t="s">
        <v>2168</v>
      </c>
      <c r="B1689" t="s">
        <v>2169</v>
      </c>
      <c r="C1689" t="s">
        <v>2146</v>
      </c>
      <c r="D1689" t="s">
        <v>8</v>
      </c>
      <c r="E1689" t="s">
        <v>5354</v>
      </c>
      <c r="F1689">
        <v>0.5</v>
      </c>
      <c r="G1689">
        <v>1</v>
      </c>
    </row>
    <row r="1690" spans="1:7" x14ac:dyDescent="0.2">
      <c r="A1690" t="s">
        <v>2168</v>
      </c>
      <c r="B1690" t="s">
        <v>2169</v>
      </c>
      <c r="C1690" t="s">
        <v>2146</v>
      </c>
      <c r="D1690" t="s">
        <v>3469</v>
      </c>
      <c r="F1690">
        <v>0</v>
      </c>
      <c r="G1690">
        <v>4</v>
      </c>
    </row>
    <row r="1691" spans="1:7" x14ac:dyDescent="0.2">
      <c r="A1691" t="s">
        <v>2164</v>
      </c>
      <c r="B1691" t="s">
        <v>2165</v>
      </c>
      <c r="C1691" t="s">
        <v>2146</v>
      </c>
      <c r="D1691" t="s">
        <v>10</v>
      </c>
      <c r="E1691" t="s">
        <v>5355</v>
      </c>
    </row>
    <row r="1692" spans="1:7" x14ac:dyDescent="0.2">
      <c r="A1692" t="s">
        <v>2164</v>
      </c>
      <c r="B1692" t="s">
        <v>2165</v>
      </c>
      <c r="C1692" t="s">
        <v>2146</v>
      </c>
      <c r="D1692" t="s">
        <v>3471</v>
      </c>
      <c r="E1692" t="s">
        <v>5356</v>
      </c>
      <c r="F1692">
        <v>0</v>
      </c>
      <c r="G1692">
        <v>0</v>
      </c>
    </row>
    <row r="1693" spans="1:7" x14ac:dyDescent="0.2">
      <c r="A1693" t="s">
        <v>2164</v>
      </c>
      <c r="B1693" t="s">
        <v>2165</v>
      </c>
      <c r="C1693" t="s">
        <v>2146</v>
      </c>
      <c r="D1693" t="s">
        <v>8</v>
      </c>
      <c r="E1693" t="s">
        <v>5357</v>
      </c>
      <c r="F1693">
        <v>0.16666666666666666</v>
      </c>
      <c r="G1693">
        <v>13</v>
      </c>
    </row>
    <row r="1694" spans="1:7" x14ac:dyDescent="0.2">
      <c r="A1694" t="s">
        <v>2164</v>
      </c>
      <c r="B1694" t="s">
        <v>2165</v>
      </c>
      <c r="C1694" t="s">
        <v>2146</v>
      </c>
      <c r="D1694" t="s">
        <v>3469</v>
      </c>
      <c r="F1694">
        <v>0</v>
      </c>
      <c r="G1694">
        <v>4</v>
      </c>
    </row>
    <row r="1695" spans="1:7" x14ac:dyDescent="0.2">
      <c r="A1695" t="s">
        <v>2172</v>
      </c>
      <c r="B1695" t="s">
        <v>2173</v>
      </c>
      <c r="C1695" t="s">
        <v>2146</v>
      </c>
      <c r="D1695" t="s">
        <v>10</v>
      </c>
      <c r="E1695" t="s">
        <v>5358</v>
      </c>
    </row>
    <row r="1696" spans="1:7" x14ac:dyDescent="0.2">
      <c r="A1696" t="s">
        <v>2172</v>
      </c>
      <c r="B1696" t="s">
        <v>2173</v>
      </c>
      <c r="C1696" t="s">
        <v>2146</v>
      </c>
      <c r="D1696" t="s">
        <v>3471</v>
      </c>
      <c r="E1696" t="s">
        <v>5359</v>
      </c>
    </row>
    <row r="1697" spans="1:7" x14ac:dyDescent="0.2">
      <c r="A1697" t="s">
        <v>2172</v>
      </c>
      <c r="B1697" t="s">
        <v>2173</v>
      </c>
      <c r="C1697" t="s">
        <v>2146</v>
      </c>
      <c r="D1697" t="s">
        <v>8</v>
      </c>
      <c r="E1697" t="s">
        <v>5360</v>
      </c>
      <c r="F1697">
        <v>0.33333333333333331</v>
      </c>
      <c r="G1697">
        <v>0</v>
      </c>
    </row>
    <row r="1698" spans="1:7" x14ac:dyDescent="0.2">
      <c r="A1698" t="s">
        <v>2172</v>
      </c>
      <c r="B1698" t="s">
        <v>2173</v>
      </c>
      <c r="C1698" t="s">
        <v>2146</v>
      </c>
      <c r="D1698" t="s">
        <v>3469</v>
      </c>
      <c r="F1698">
        <v>0</v>
      </c>
      <c r="G1698">
        <v>2</v>
      </c>
    </row>
    <row r="1699" spans="1:7" x14ac:dyDescent="0.2">
      <c r="A1699" t="s">
        <v>2166</v>
      </c>
      <c r="B1699" t="s">
        <v>2167</v>
      </c>
      <c r="C1699" t="s">
        <v>2146</v>
      </c>
      <c r="D1699" t="s">
        <v>3471</v>
      </c>
      <c r="E1699" t="s">
        <v>5361</v>
      </c>
      <c r="F1699">
        <v>0</v>
      </c>
      <c r="G1699">
        <v>1</v>
      </c>
    </row>
    <row r="1700" spans="1:7" x14ac:dyDescent="0.2">
      <c r="A1700" t="s">
        <v>2166</v>
      </c>
      <c r="B1700" t="s">
        <v>2167</v>
      </c>
      <c r="C1700" t="s">
        <v>2146</v>
      </c>
      <c r="D1700" t="s">
        <v>8</v>
      </c>
      <c r="E1700" t="s">
        <v>5362</v>
      </c>
      <c r="F1700">
        <v>0.5</v>
      </c>
      <c r="G1700">
        <v>10</v>
      </c>
    </row>
    <row r="1701" spans="1:7" x14ac:dyDescent="0.2">
      <c r="A1701" t="s">
        <v>2166</v>
      </c>
      <c r="B1701" t="s">
        <v>2167</v>
      </c>
      <c r="C1701" t="s">
        <v>2146</v>
      </c>
      <c r="D1701" t="s">
        <v>3469</v>
      </c>
      <c r="F1701">
        <v>0</v>
      </c>
      <c r="G1701">
        <v>3</v>
      </c>
    </row>
    <row r="1702" spans="1:7" x14ac:dyDescent="0.2">
      <c r="A1702" t="s">
        <v>2160</v>
      </c>
      <c r="B1702" t="s">
        <v>2161</v>
      </c>
      <c r="C1702" t="s">
        <v>2146</v>
      </c>
      <c r="D1702" t="s">
        <v>10</v>
      </c>
      <c r="E1702" t="s">
        <v>5363</v>
      </c>
      <c r="F1702">
        <v>0</v>
      </c>
      <c r="G1702">
        <v>4</v>
      </c>
    </row>
    <row r="1703" spans="1:7" x14ac:dyDescent="0.2">
      <c r="A1703" t="s">
        <v>2160</v>
      </c>
      <c r="B1703" t="s">
        <v>2161</v>
      </c>
      <c r="C1703" t="s">
        <v>2146</v>
      </c>
      <c r="D1703" t="s">
        <v>3471</v>
      </c>
      <c r="E1703" t="s">
        <v>5364</v>
      </c>
      <c r="F1703">
        <v>0</v>
      </c>
      <c r="G1703">
        <v>0</v>
      </c>
    </row>
    <row r="1704" spans="1:7" x14ac:dyDescent="0.2">
      <c r="A1704" t="s">
        <v>2160</v>
      </c>
      <c r="B1704" t="s">
        <v>2161</v>
      </c>
      <c r="C1704" t="s">
        <v>2146</v>
      </c>
      <c r="D1704" t="s">
        <v>8</v>
      </c>
      <c r="E1704" t="s">
        <v>5365</v>
      </c>
      <c r="F1704">
        <v>0.16666666666666666</v>
      </c>
      <c r="G1704">
        <v>12</v>
      </c>
    </row>
    <row r="1705" spans="1:7" x14ac:dyDescent="0.2">
      <c r="A1705" t="s">
        <v>2160</v>
      </c>
      <c r="B1705" t="s">
        <v>2161</v>
      </c>
      <c r="C1705" t="s">
        <v>2146</v>
      </c>
      <c r="D1705" t="s">
        <v>3469</v>
      </c>
      <c r="F1705">
        <v>0</v>
      </c>
      <c r="G1705">
        <v>2</v>
      </c>
    </row>
    <row r="1706" spans="1:7" x14ac:dyDescent="0.2">
      <c r="A1706" t="s">
        <v>2158</v>
      </c>
      <c r="B1706" t="s">
        <v>2159</v>
      </c>
      <c r="C1706" t="s">
        <v>2146</v>
      </c>
      <c r="D1706" t="s">
        <v>5339</v>
      </c>
      <c r="E1706" t="s">
        <v>5366</v>
      </c>
      <c r="F1706">
        <v>0.83333333333333337</v>
      </c>
      <c r="G1706">
        <v>552</v>
      </c>
    </row>
    <row r="1707" spans="1:7" x14ac:dyDescent="0.2">
      <c r="A1707" t="s">
        <v>2158</v>
      </c>
      <c r="B1707" t="s">
        <v>2159</v>
      </c>
      <c r="C1707" t="s">
        <v>2146</v>
      </c>
      <c r="D1707" t="s">
        <v>10</v>
      </c>
      <c r="E1707" t="s">
        <v>5367</v>
      </c>
    </row>
    <row r="1708" spans="1:7" x14ac:dyDescent="0.2">
      <c r="A1708" t="s">
        <v>2158</v>
      </c>
      <c r="B1708" t="s">
        <v>2159</v>
      </c>
      <c r="C1708" t="s">
        <v>2146</v>
      </c>
      <c r="D1708" t="s">
        <v>3471</v>
      </c>
      <c r="E1708" t="s">
        <v>5368</v>
      </c>
      <c r="F1708">
        <v>0</v>
      </c>
      <c r="G1708">
        <v>0</v>
      </c>
    </row>
    <row r="1709" spans="1:7" x14ac:dyDescent="0.2">
      <c r="A1709" t="s">
        <v>2158</v>
      </c>
      <c r="B1709" t="s">
        <v>2159</v>
      </c>
      <c r="C1709" t="s">
        <v>2146</v>
      </c>
      <c r="D1709" t="s">
        <v>8</v>
      </c>
      <c r="E1709" t="s">
        <v>5369</v>
      </c>
      <c r="F1709">
        <v>0.33333333333333331</v>
      </c>
      <c r="G1709">
        <v>57</v>
      </c>
    </row>
    <row r="1710" spans="1:7" x14ac:dyDescent="0.2">
      <c r="A1710" t="s">
        <v>2158</v>
      </c>
      <c r="B1710" t="s">
        <v>2159</v>
      </c>
      <c r="C1710" t="s">
        <v>2146</v>
      </c>
      <c r="D1710" t="s">
        <v>3469</v>
      </c>
      <c r="F1710">
        <v>0</v>
      </c>
      <c r="G1710">
        <v>4</v>
      </c>
    </row>
    <row r="1711" spans="1:7" x14ac:dyDescent="0.2">
      <c r="A1711" t="s">
        <v>2174</v>
      </c>
      <c r="B1711" t="s">
        <v>2175</v>
      </c>
      <c r="C1711" t="s">
        <v>2146</v>
      </c>
      <c r="D1711" t="s">
        <v>10</v>
      </c>
      <c r="E1711" t="s">
        <v>5370</v>
      </c>
      <c r="F1711">
        <v>2.5</v>
      </c>
      <c r="G1711">
        <v>162</v>
      </c>
    </row>
    <row r="1712" spans="1:7" x14ac:dyDescent="0.2">
      <c r="A1712" t="s">
        <v>2170</v>
      </c>
      <c r="B1712" t="s">
        <v>2171</v>
      </c>
      <c r="C1712" t="s">
        <v>2146</v>
      </c>
      <c r="D1712" t="s">
        <v>10</v>
      </c>
      <c r="E1712" t="s">
        <v>5371</v>
      </c>
    </row>
    <row r="1713" spans="1:7" x14ac:dyDescent="0.2">
      <c r="A1713" t="s">
        <v>2170</v>
      </c>
      <c r="B1713" t="s">
        <v>2171</v>
      </c>
      <c r="C1713" t="s">
        <v>2146</v>
      </c>
      <c r="D1713" t="s">
        <v>3471</v>
      </c>
      <c r="E1713" t="s">
        <v>5372</v>
      </c>
      <c r="F1713">
        <v>0</v>
      </c>
      <c r="G1713">
        <v>0</v>
      </c>
    </row>
    <row r="1714" spans="1:7" x14ac:dyDescent="0.2">
      <c r="A1714" t="s">
        <v>2170</v>
      </c>
      <c r="B1714" t="s">
        <v>2171</v>
      </c>
      <c r="C1714" t="s">
        <v>2146</v>
      </c>
      <c r="D1714" t="s">
        <v>8</v>
      </c>
      <c r="E1714" t="s">
        <v>5373</v>
      </c>
      <c r="F1714">
        <v>0.16666666666666666</v>
      </c>
      <c r="G1714">
        <v>47</v>
      </c>
    </row>
    <row r="1715" spans="1:7" x14ac:dyDescent="0.2">
      <c r="A1715" t="s">
        <v>2170</v>
      </c>
      <c r="B1715" t="s">
        <v>2171</v>
      </c>
      <c r="C1715" t="s">
        <v>2146</v>
      </c>
      <c r="D1715" t="s">
        <v>3469</v>
      </c>
      <c r="F1715">
        <v>0</v>
      </c>
      <c r="G1715">
        <v>3</v>
      </c>
    </row>
    <row r="1716" spans="1:7" x14ac:dyDescent="0.2">
      <c r="A1716" t="s">
        <v>1854</v>
      </c>
      <c r="B1716" t="s">
        <v>1855</v>
      </c>
      <c r="C1716" t="s">
        <v>1811</v>
      </c>
      <c r="D1716" t="s">
        <v>8</v>
      </c>
      <c r="E1716" t="s">
        <v>5374</v>
      </c>
      <c r="F1716">
        <v>0</v>
      </c>
      <c r="G1716">
        <v>1</v>
      </c>
    </row>
    <row r="1717" spans="1:7" x14ac:dyDescent="0.2">
      <c r="A1717" t="s">
        <v>2176</v>
      </c>
      <c r="B1717" t="s">
        <v>2177</v>
      </c>
      <c r="C1717" t="s">
        <v>2146</v>
      </c>
      <c r="D1717" t="s">
        <v>3494</v>
      </c>
    </row>
    <row r="1718" spans="1:7" x14ac:dyDescent="0.2">
      <c r="A1718" t="s">
        <v>2176</v>
      </c>
      <c r="B1718" t="s">
        <v>2177</v>
      </c>
      <c r="C1718" t="s">
        <v>2146</v>
      </c>
      <c r="D1718" t="s">
        <v>3471</v>
      </c>
      <c r="E1718" t="s">
        <v>5375</v>
      </c>
      <c r="F1718">
        <v>0</v>
      </c>
      <c r="G1718">
        <v>0</v>
      </c>
    </row>
    <row r="1719" spans="1:7" x14ac:dyDescent="0.2">
      <c r="A1719" t="s">
        <v>2344</v>
      </c>
      <c r="B1719" t="s">
        <v>2345</v>
      </c>
      <c r="C1719" t="s">
        <v>2146</v>
      </c>
      <c r="D1719" t="s">
        <v>11</v>
      </c>
      <c r="E1719" t="s">
        <v>5376</v>
      </c>
    </row>
    <row r="1720" spans="1:7" x14ac:dyDescent="0.2">
      <c r="A1720" t="s">
        <v>2344</v>
      </c>
      <c r="B1720" t="s">
        <v>2345</v>
      </c>
      <c r="C1720" t="s">
        <v>2146</v>
      </c>
      <c r="D1720" t="s">
        <v>10</v>
      </c>
      <c r="E1720" t="s">
        <v>5377</v>
      </c>
    </row>
    <row r="1721" spans="1:7" x14ac:dyDescent="0.2">
      <c r="A1721" t="s">
        <v>2344</v>
      </c>
      <c r="B1721" t="s">
        <v>2345</v>
      </c>
      <c r="C1721" t="s">
        <v>2146</v>
      </c>
      <c r="D1721" t="s">
        <v>3471</v>
      </c>
      <c r="E1721" t="s">
        <v>5378</v>
      </c>
      <c r="F1721">
        <v>0</v>
      </c>
      <c r="G1721">
        <v>1</v>
      </c>
    </row>
    <row r="1722" spans="1:7" x14ac:dyDescent="0.2">
      <c r="A1722" t="s">
        <v>2344</v>
      </c>
      <c r="B1722" t="s">
        <v>2345</v>
      </c>
      <c r="C1722" t="s">
        <v>2146</v>
      </c>
      <c r="D1722" t="s">
        <v>8</v>
      </c>
      <c r="E1722" t="s">
        <v>5379</v>
      </c>
    </row>
    <row r="1723" spans="1:7" x14ac:dyDescent="0.2">
      <c r="A1723" t="s">
        <v>2330</v>
      </c>
      <c r="B1723" t="s">
        <v>2331</v>
      </c>
      <c r="C1723" t="s">
        <v>2146</v>
      </c>
      <c r="D1723" t="s">
        <v>11</v>
      </c>
      <c r="E1723" t="s">
        <v>5380</v>
      </c>
    </row>
    <row r="1724" spans="1:7" x14ac:dyDescent="0.2">
      <c r="A1724" t="s">
        <v>2330</v>
      </c>
      <c r="B1724" t="s">
        <v>2331</v>
      </c>
      <c r="C1724" t="s">
        <v>2146</v>
      </c>
      <c r="D1724" t="s">
        <v>3494</v>
      </c>
    </row>
    <row r="1725" spans="1:7" x14ac:dyDescent="0.2">
      <c r="A1725" t="s">
        <v>2330</v>
      </c>
      <c r="B1725" t="s">
        <v>2331</v>
      </c>
      <c r="C1725" t="s">
        <v>2146</v>
      </c>
      <c r="D1725" t="s">
        <v>3471</v>
      </c>
      <c r="E1725" t="s">
        <v>5381</v>
      </c>
      <c r="F1725">
        <v>0.16666666666666666</v>
      </c>
      <c r="G1725">
        <v>-1</v>
      </c>
    </row>
    <row r="1726" spans="1:7" x14ac:dyDescent="0.2">
      <c r="A1726" t="s">
        <v>2342</v>
      </c>
      <c r="B1726" t="s">
        <v>2343</v>
      </c>
      <c r="C1726" t="s">
        <v>2146</v>
      </c>
      <c r="D1726" t="s">
        <v>11</v>
      </c>
      <c r="E1726" t="s">
        <v>5382</v>
      </c>
    </row>
    <row r="1727" spans="1:7" x14ac:dyDescent="0.2">
      <c r="A1727" t="s">
        <v>2342</v>
      </c>
      <c r="B1727" t="s">
        <v>2343</v>
      </c>
      <c r="C1727" t="s">
        <v>2146</v>
      </c>
      <c r="D1727" t="s">
        <v>3494</v>
      </c>
    </row>
    <row r="1728" spans="1:7" x14ac:dyDescent="0.2">
      <c r="A1728" t="s">
        <v>2342</v>
      </c>
      <c r="B1728" t="s">
        <v>2343</v>
      </c>
      <c r="C1728" t="s">
        <v>2146</v>
      </c>
      <c r="D1728" t="s">
        <v>3471</v>
      </c>
      <c r="E1728" t="s">
        <v>5383</v>
      </c>
      <c r="F1728">
        <v>0</v>
      </c>
      <c r="G1728">
        <v>0</v>
      </c>
    </row>
    <row r="1729" spans="1:7" x14ac:dyDescent="0.2">
      <c r="A1729" t="s">
        <v>2322</v>
      </c>
      <c r="B1729" t="s">
        <v>2323</v>
      </c>
      <c r="C1729" t="s">
        <v>2146</v>
      </c>
      <c r="D1729" t="s">
        <v>3471</v>
      </c>
      <c r="E1729" t="s">
        <v>5384</v>
      </c>
      <c r="F1729">
        <v>0.16666666666666666</v>
      </c>
      <c r="G1729">
        <v>-2</v>
      </c>
    </row>
    <row r="1730" spans="1:7" x14ac:dyDescent="0.2">
      <c r="A1730" t="s">
        <v>2332</v>
      </c>
      <c r="B1730" t="s">
        <v>2333</v>
      </c>
      <c r="C1730" t="s">
        <v>2146</v>
      </c>
      <c r="D1730" t="s">
        <v>11</v>
      </c>
      <c r="E1730" t="s">
        <v>5385</v>
      </c>
    </row>
    <row r="1731" spans="1:7" x14ac:dyDescent="0.2">
      <c r="A1731" t="s">
        <v>2332</v>
      </c>
      <c r="B1731" t="s">
        <v>2333</v>
      </c>
      <c r="C1731" t="s">
        <v>2146</v>
      </c>
      <c r="D1731" t="s">
        <v>3494</v>
      </c>
    </row>
    <row r="1732" spans="1:7" x14ac:dyDescent="0.2">
      <c r="A1732" t="s">
        <v>2332</v>
      </c>
      <c r="B1732" t="s">
        <v>2333</v>
      </c>
      <c r="C1732" t="s">
        <v>2146</v>
      </c>
      <c r="D1732" t="s">
        <v>3471</v>
      </c>
      <c r="E1732" t="s">
        <v>5386</v>
      </c>
      <c r="F1732">
        <v>0.33333333333333331</v>
      </c>
      <c r="G1732">
        <v>0</v>
      </c>
    </row>
    <row r="1733" spans="1:7" x14ac:dyDescent="0.2">
      <c r="A1733" t="s">
        <v>2332</v>
      </c>
      <c r="B1733" t="s">
        <v>2333</v>
      </c>
      <c r="C1733" t="s">
        <v>2146</v>
      </c>
      <c r="D1733" t="s">
        <v>8</v>
      </c>
      <c r="E1733" t="s">
        <v>5387</v>
      </c>
    </row>
    <row r="1734" spans="1:7" x14ac:dyDescent="0.2">
      <c r="A1734" t="s">
        <v>2326</v>
      </c>
      <c r="B1734" t="s">
        <v>2327</v>
      </c>
      <c r="C1734" t="s">
        <v>2146</v>
      </c>
      <c r="D1734" t="s">
        <v>3471</v>
      </c>
      <c r="E1734" t="s">
        <v>5388</v>
      </c>
      <c r="F1734">
        <v>0</v>
      </c>
      <c r="G1734">
        <v>0</v>
      </c>
    </row>
    <row r="1735" spans="1:7" x14ac:dyDescent="0.2">
      <c r="A1735" t="s">
        <v>2324</v>
      </c>
      <c r="B1735" t="s">
        <v>2325</v>
      </c>
      <c r="C1735" t="s">
        <v>2146</v>
      </c>
      <c r="D1735" t="s">
        <v>3471</v>
      </c>
      <c r="E1735" t="s">
        <v>5389</v>
      </c>
      <c r="F1735">
        <v>0</v>
      </c>
      <c r="G1735">
        <v>0</v>
      </c>
    </row>
    <row r="1736" spans="1:7" x14ac:dyDescent="0.2">
      <c r="A1736" t="s">
        <v>2288</v>
      </c>
      <c r="B1736" t="s">
        <v>2289</v>
      </c>
      <c r="C1736" t="s">
        <v>2146</v>
      </c>
      <c r="D1736" t="s">
        <v>3471</v>
      </c>
      <c r="E1736" t="s">
        <v>5390</v>
      </c>
    </row>
    <row r="1737" spans="1:7" x14ac:dyDescent="0.2">
      <c r="A1737" t="s">
        <v>2298</v>
      </c>
      <c r="B1737" t="s">
        <v>2299</v>
      </c>
      <c r="C1737" t="s">
        <v>2146</v>
      </c>
      <c r="D1737" t="s">
        <v>3494</v>
      </c>
    </row>
    <row r="1738" spans="1:7" x14ac:dyDescent="0.2">
      <c r="A1738" t="s">
        <v>2298</v>
      </c>
      <c r="B1738" t="s">
        <v>2299</v>
      </c>
      <c r="C1738" t="s">
        <v>2146</v>
      </c>
      <c r="D1738" t="s">
        <v>3471</v>
      </c>
      <c r="E1738" t="s">
        <v>5391</v>
      </c>
      <c r="F1738">
        <v>0.16666666666666666</v>
      </c>
      <c r="G1738">
        <v>-1</v>
      </c>
    </row>
    <row r="1739" spans="1:7" x14ac:dyDescent="0.2">
      <c r="A1739" t="s">
        <v>2244</v>
      </c>
      <c r="B1739" t="s">
        <v>2245</v>
      </c>
      <c r="C1739" t="s">
        <v>2146</v>
      </c>
      <c r="D1739" t="s">
        <v>10</v>
      </c>
      <c r="E1739" t="s">
        <v>5392</v>
      </c>
      <c r="F1739">
        <v>0</v>
      </c>
      <c r="G1739">
        <v>2</v>
      </c>
    </row>
    <row r="1740" spans="1:7" x14ac:dyDescent="0.2">
      <c r="A1740" t="s">
        <v>2244</v>
      </c>
      <c r="B1740" t="s">
        <v>2245</v>
      </c>
      <c r="C1740" t="s">
        <v>2146</v>
      </c>
      <c r="D1740" t="s">
        <v>3471</v>
      </c>
      <c r="E1740" t="s">
        <v>5393</v>
      </c>
      <c r="F1740">
        <v>0</v>
      </c>
      <c r="G1740">
        <v>0</v>
      </c>
    </row>
    <row r="1741" spans="1:7" x14ac:dyDescent="0.2">
      <c r="A1741" t="s">
        <v>2244</v>
      </c>
      <c r="B1741" t="s">
        <v>2245</v>
      </c>
      <c r="C1741" t="s">
        <v>2146</v>
      </c>
      <c r="D1741" t="s">
        <v>8</v>
      </c>
      <c r="E1741" t="s">
        <v>5394</v>
      </c>
      <c r="F1741">
        <v>0</v>
      </c>
      <c r="G1741">
        <v>0</v>
      </c>
    </row>
    <row r="1742" spans="1:7" x14ac:dyDescent="0.2">
      <c r="A1742" t="s">
        <v>2244</v>
      </c>
      <c r="B1742" t="s">
        <v>2245</v>
      </c>
      <c r="C1742" t="s">
        <v>2146</v>
      </c>
      <c r="D1742" t="s">
        <v>3469</v>
      </c>
    </row>
    <row r="1743" spans="1:7" x14ac:dyDescent="0.2">
      <c r="A1743" t="s">
        <v>2256</v>
      </c>
      <c r="B1743" t="s">
        <v>2257</v>
      </c>
      <c r="C1743" t="s">
        <v>2146</v>
      </c>
      <c r="D1743" t="s">
        <v>11</v>
      </c>
      <c r="E1743" t="s">
        <v>5395</v>
      </c>
    </row>
    <row r="1744" spans="1:7" x14ac:dyDescent="0.2">
      <c r="A1744" t="s">
        <v>2256</v>
      </c>
      <c r="B1744" t="s">
        <v>2257</v>
      </c>
      <c r="C1744" t="s">
        <v>2146</v>
      </c>
      <c r="D1744" t="s">
        <v>10</v>
      </c>
      <c r="E1744" t="s">
        <v>5396</v>
      </c>
      <c r="F1744">
        <v>0</v>
      </c>
      <c r="G1744">
        <v>3</v>
      </c>
    </row>
    <row r="1745" spans="1:7" x14ac:dyDescent="0.2">
      <c r="A1745" t="s">
        <v>2256</v>
      </c>
      <c r="B1745" t="s">
        <v>2257</v>
      </c>
      <c r="C1745" t="s">
        <v>2146</v>
      </c>
      <c r="D1745" t="s">
        <v>3471</v>
      </c>
      <c r="E1745" t="s">
        <v>5397</v>
      </c>
    </row>
    <row r="1746" spans="1:7" x14ac:dyDescent="0.2">
      <c r="A1746" t="s">
        <v>2256</v>
      </c>
      <c r="B1746" t="s">
        <v>2257</v>
      </c>
      <c r="C1746" t="s">
        <v>2146</v>
      </c>
      <c r="D1746" t="s">
        <v>8</v>
      </c>
      <c r="E1746" t="s">
        <v>5398</v>
      </c>
    </row>
    <row r="1747" spans="1:7" x14ac:dyDescent="0.2">
      <c r="A1747" t="s">
        <v>2256</v>
      </c>
      <c r="B1747" t="s">
        <v>2257</v>
      </c>
      <c r="C1747" t="s">
        <v>2146</v>
      </c>
      <c r="D1747" t="s">
        <v>3469</v>
      </c>
    </row>
    <row r="1748" spans="1:7" x14ac:dyDescent="0.2">
      <c r="A1748" t="s">
        <v>2212</v>
      </c>
      <c r="B1748" t="s">
        <v>2213</v>
      </c>
      <c r="C1748" t="s">
        <v>2146</v>
      </c>
      <c r="D1748" t="s">
        <v>11</v>
      </c>
      <c r="E1748" t="s">
        <v>5399</v>
      </c>
    </row>
    <row r="1749" spans="1:7" x14ac:dyDescent="0.2">
      <c r="A1749" t="s">
        <v>2212</v>
      </c>
      <c r="B1749" t="s">
        <v>2213</v>
      </c>
      <c r="C1749" t="s">
        <v>2146</v>
      </c>
      <c r="D1749" t="s">
        <v>10</v>
      </c>
      <c r="E1749" t="s">
        <v>5400</v>
      </c>
      <c r="F1749">
        <v>0.16666666666666666</v>
      </c>
      <c r="G1749">
        <v>4</v>
      </c>
    </row>
    <row r="1750" spans="1:7" x14ac:dyDescent="0.2">
      <c r="A1750" t="s">
        <v>2212</v>
      </c>
      <c r="B1750" t="s">
        <v>2213</v>
      </c>
      <c r="C1750" t="s">
        <v>2146</v>
      </c>
      <c r="D1750" t="s">
        <v>3471</v>
      </c>
      <c r="E1750" t="s">
        <v>5401</v>
      </c>
    </row>
    <row r="1751" spans="1:7" x14ac:dyDescent="0.2">
      <c r="A1751" t="s">
        <v>2212</v>
      </c>
      <c r="B1751" t="s">
        <v>2213</v>
      </c>
      <c r="C1751" t="s">
        <v>2146</v>
      </c>
      <c r="D1751" t="s">
        <v>3469</v>
      </c>
    </row>
    <row r="1752" spans="1:7" x14ac:dyDescent="0.2">
      <c r="A1752" t="s">
        <v>2246</v>
      </c>
      <c r="B1752" t="s">
        <v>2247</v>
      </c>
      <c r="C1752" t="s">
        <v>2146</v>
      </c>
      <c r="D1752" t="s">
        <v>3494</v>
      </c>
    </row>
    <row r="1753" spans="1:7" x14ac:dyDescent="0.2">
      <c r="A1753" t="s">
        <v>2246</v>
      </c>
      <c r="B1753" t="s">
        <v>2247</v>
      </c>
      <c r="C1753" t="s">
        <v>2146</v>
      </c>
      <c r="D1753" t="s">
        <v>10</v>
      </c>
      <c r="E1753" t="s">
        <v>5402</v>
      </c>
      <c r="F1753">
        <v>0.16666666666666666</v>
      </c>
      <c r="G1753">
        <v>11</v>
      </c>
    </row>
    <row r="1754" spans="1:7" x14ac:dyDescent="0.2">
      <c r="A1754" t="s">
        <v>2246</v>
      </c>
      <c r="B1754" t="s">
        <v>2247</v>
      </c>
      <c r="C1754" t="s">
        <v>2146</v>
      </c>
      <c r="D1754" t="s">
        <v>3471</v>
      </c>
      <c r="E1754" t="s">
        <v>5403</v>
      </c>
    </row>
    <row r="1755" spans="1:7" x14ac:dyDescent="0.2">
      <c r="A1755" t="s">
        <v>2246</v>
      </c>
      <c r="B1755" t="s">
        <v>2247</v>
      </c>
      <c r="C1755" t="s">
        <v>2146</v>
      </c>
      <c r="D1755" t="s">
        <v>8</v>
      </c>
      <c r="E1755" t="s">
        <v>5404</v>
      </c>
    </row>
    <row r="1756" spans="1:7" x14ac:dyDescent="0.2">
      <c r="A1756" t="s">
        <v>2246</v>
      </c>
      <c r="B1756" t="s">
        <v>2247</v>
      </c>
      <c r="C1756" t="s">
        <v>2146</v>
      </c>
      <c r="D1756" t="s">
        <v>3469</v>
      </c>
      <c r="F1756">
        <v>0</v>
      </c>
      <c r="G1756">
        <v>2</v>
      </c>
    </row>
    <row r="1757" spans="1:7" x14ac:dyDescent="0.2">
      <c r="A1757" t="s">
        <v>2258</v>
      </c>
      <c r="B1757" t="s">
        <v>2259</v>
      </c>
      <c r="C1757" t="s">
        <v>2146</v>
      </c>
      <c r="D1757" t="s">
        <v>11</v>
      </c>
      <c r="E1757" t="s">
        <v>8585</v>
      </c>
    </row>
    <row r="1758" spans="1:7" x14ac:dyDescent="0.2">
      <c r="A1758" t="s">
        <v>2258</v>
      </c>
      <c r="B1758" t="s">
        <v>2259</v>
      </c>
      <c r="C1758" t="s">
        <v>2146</v>
      </c>
      <c r="D1758" t="s">
        <v>3494</v>
      </c>
    </row>
    <row r="1759" spans="1:7" x14ac:dyDescent="0.2">
      <c r="A1759" t="s">
        <v>2258</v>
      </c>
      <c r="B1759" t="s">
        <v>2259</v>
      </c>
      <c r="C1759" t="s">
        <v>2146</v>
      </c>
      <c r="D1759" t="s">
        <v>10</v>
      </c>
      <c r="E1759" t="s">
        <v>5405</v>
      </c>
      <c r="F1759">
        <v>0</v>
      </c>
      <c r="G1759">
        <v>7</v>
      </c>
    </row>
    <row r="1760" spans="1:7" x14ac:dyDescent="0.2">
      <c r="A1760" t="s">
        <v>2258</v>
      </c>
      <c r="B1760" t="s">
        <v>2259</v>
      </c>
      <c r="C1760" t="s">
        <v>2146</v>
      </c>
      <c r="D1760" t="s">
        <v>3471</v>
      </c>
      <c r="E1760" t="s">
        <v>5406</v>
      </c>
    </row>
    <row r="1761" spans="1:7" x14ac:dyDescent="0.2">
      <c r="A1761" t="s">
        <v>2258</v>
      </c>
      <c r="B1761" t="s">
        <v>2259</v>
      </c>
      <c r="C1761" t="s">
        <v>2146</v>
      </c>
      <c r="D1761" t="s">
        <v>8</v>
      </c>
      <c r="E1761" t="s">
        <v>5407</v>
      </c>
    </row>
    <row r="1762" spans="1:7" x14ac:dyDescent="0.2">
      <c r="A1762" t="s">
        <v>2258</v>
      </c>
      <c r="B1762" t="s">
        <v>2259</v>
      </c>
      <c r="C1762" t="s">
        <v>2146</v>
      </c>
      <c r="D1762" t="s">
        <v>3469</v>
      </c>
    </row>
    <row r="1763" spans="1:7" x14ac:dyDescent="0.2">
      <c r="A1763" t="s">
        <v>2214</v>
      </c>
      <c r="B1763" t="s">
        <v>2215</v>
      </c>
      <c r="C1763" t="s">
        <v>2146</v>
      </c>
      <c r="D1763" t="s">
        <v>11</v>
      </c>
    </row>
    <row r="1764" spans="1:7" x14ac:dyDescent="0.2">
      <c r="A1764" t="s">
        <v>2214</v>
      </c>
      <c r="B1764" t="s">
        <v>2215</v>
      </c>
      <c r="C1764" t="s">
        <v>2146</v>
      </c>
      <c r="D1764" t="s">
        <v>11</v>
      </c>
      <c r="E1764" t="s">
        <v>5408</v>
      </c>
    </row>
    <row r="1765" spans="1:7" x14ac:dyDescent="0.2">
      <c r="A1765" t="s">
        <v>2214</v>
      </c>
      <c r="B1765" t="s">
        <v>2215</v>
      </c>
      <c r="C1765" t="s">
        <v>2146</v>
      </c>
      <c r="D1765" t="s">
        <v>3494</v>
      </c>
    </row>
    <row r="1766" spans="1:7" x14ac:dyDescent="0.2">
      <c r="A1766" t="s">
        <v>2214</v>
      </c>
      <c r="B1766" t="s">
        <v>2215</v>
      </c>
      <c r="C1766" t="s">
        <v>2146</v>
      </c>
      <c r="D1766" t="s">
        <v>10</v>
      </c>
      <c r="E1766" t="s">
        <v>5409</v>
      </c>
    </row>
    <row r="1767" spans="1:7" x14ac:dyDescent="0.2">
      <c r="A1767" t="s">
        <v>2214</v>
      </c>
      <c r="B1767" t="s">
        <v>2215</v>
      </c>
      <c r="C1767" t="s">
        <v>2146</v>
      </c>
      <c r="D1767" t="s">
        <v>3471</v>
      </c>
      <c r="E1767" t="s">
        <v>5410</v>
      </c>
    </row>
    <row r="1768" spans="1:7" x14ac:dyDescent="0.2">
      <c r="A1768" t="s">
        <v>2214</v>
      </c>
      <c r="B1768" t="s">
        <v>2215</v>
      </c>
      <c r="C1768" t="s">
        <v>2146</v>
      </c>
      <c r="D1768" t="s">
        <v>3469</v>
      </c>
    </row>
    <row r="1769" spans="1:7" x14ac:dyDescent="0.2">
      <c r="A1769" t="s">
        <v>2220</v>
      </c>
      <c r="B1769" t="s">
        <v>2221</v>
      </c>
      <c r="C1769" t="s">
        <v>2146</v>
      </c>
      <c r="D1769" t="s">
        <v>11</v>
      </c>
      <c r="E1769" t="s">
        <v>5411</v>
      </c>
    </row>
    <row r="1770" spans="1:7" x14ac:dyDescent="0.2">
      <c r="A1770" t="s">
        <v>2220</v>
      </c>
      <c r="B1770" t="s">
        <v>2221</v>
      </c>
      <c r="C1770" t="s">
        <v>2146</v>
      </c>
      <c r="D1770" t="s">
        <v>5339</v>
      </c>
      <c r="E1770" t="s">
        <v>5412</v>
      </c>
      <c r="F1770">
        <v>0</v>
      </c>
      <c r="G1770">
        <v>1</v>
      </c>
    </row>
    <row r="1771" spans="1:7" x14ac:dyDescent="0.2">
      <c r="A1771" t="s">
        <v>2220</v>
      </c>
      <c r="B1771" t="s">
        <v>2221</v>
      </c>
      <c r="C1771" t="s">
        <v>2146</v>
      </c>
      <c r="D1771" t="s">
        <v>10</v>
      </c>
      <c r="E1771" t="s">
        <v>5413</v>
      </c>
      <c r="F1771">
        <v>1</v>
      </c>
      <c r="G1771">
        <v>15</v>
      </c>
    </row>
    <row r="1772" spans="1:7" x14ac:dyDescent="0.2">
      <c r="A1772" t="s">
        <v>2220</v>
      </c>
      <c r="B1772" t="s">
        <v>2221</v>
      </c>
      <c r="C1772" t="s">
        <v>2146</v>
      </c>
      <c r="D1772" t="s">
        <v>3471</v>
      </c>
      <c r="E1772" t="s">
        <v>5414</v>
      </c>
    </row>
    <row r="1773" spans="1:7" x14ac:dyDescent="0.2">
      <c r="A1773" t="s">
        <v>2220</v>
      </c>
      <c r="B1773" t="s">
        <v>2221</v>
      </c>
      <c r="C1773" t="s">
        <v>2146</v>
      </c>
      <c r="D1773" t="s">
        <v>8</v>
      </c>
      <c r="E1773" t="s">
        <v>5415</v>
      </c>
      <c r="F1773">
        <v>0.16666666666666666</v>
      </c>
      <c r="G1773">
        <v>0</v>
      </c>
    </row>
    <row r="1774" spans="1:7" x14ac:dyDescent="0.2">
      <c r="A1774" t="s">
        <v>2220</v>
      </c>
      <c r="B1774" t="s">
        <v>2221</v>
      </c>
      <c r="C1774" t="s">
        <v>2146</v>
      </c>
      <c r="D1774" t="s">
        <v>3469</v>
      </c>
    </row>
    <row r="1775" spans="1:7" x14ac:dyDescent="0.2">
      <c r="A1775" t="s">
        <v>2222</v>
      </c>
      <c r="B1775" t="s">
        <v>2223</v>
      </c>
      <c r="C1775" t="s">
        <v>2146</v>
      </c>
      <c r="D1775" t="s">
        <v>10</v>
      </c>
      <c r="E1775" t="s">
        <v>5416</v>
      </c>
      <c r="F1775">
        <v>0.16666666666666666</v>
      </c>
      <c r="G1775">
        <v>5</v>
      </c>
    </row>
    <row r="1776" spans="1:7" x14ac:dyDescent="0.2">
      <c r="A1776" t="s">
        <v>2222</v>
      </c>
      <c r="B1776" t="s">
        <v>2223</v>
      </c>
      <c r="C1776" t="s">
        <v>2146</v>
      </c>
      <c r="D1776" t="s">
        <v>3471</v>
      </c>
      <c r="E1776" t="s">
        <v>5417</v>
      </c>
    </row>
    <row r="1777" spans="1:7" x14ac:dyDescent="0.2">
      <c r="A1777" t="s">
        <v>2222</v>
      </c>
      <c r="B1777" t="s">
        <v>2223</v>
      </c>
      <c r="C1777" t="s">
        <v>2146</v>
      </c>
      <c r="D1777" t="s">
        <v>8</v>
      </c>
      <c r="E1777" t="s">
        <v>5418</v>
      </c>
      <c r="F1777">
        <v>0.66666666666666663</v>
      </c>
      <c r="G1777">
        <v>3</v>
      </c>
    </row>
    <row r="1778" spans="1:7" x14ac:dyDescent="0.2">
      <c r="A1778" t="s">
        <v>2222</v>
      </c>
      <c r="B1778" t="s">
        <v>2223</v>
      </c>
      <c r="C1778" t="s">
        <v>2146</v>
      </c>
      <c r="D1778" t="s">
        <v>3469</v>
      </c>
    </row>
    <row r="1779" spans="1:7" x14ac:dyDescent="0.2">
      <c r="A1779" t="s">
        <v>2224</v>
      </c>
      <c r="B1779" t="s">
        <v>2225</v>
      </c>
      <c r="C1779" t="s">
        <v>2146</v>
      </c>
      <c r="D1779" t="s">
        <v>11</v>
      </c>
    </row>
    <row r="1780" spans="1:7" x14ac:dyDescent="0.2">
      <c r="A1780" t="s">
        <v>2224</v>
      </c>
      <c r="B1780" t="s">
        <v>2225</v>
      </c>
      <c r="C1780" t="s">
        <v>2146</v>
      </c>
      <c r="D1780" t="s">
        <v>11</v>
      </c>
      <c r="E1780" t="s">
        <v>5419</v>
      </c>
    </row>
    <row r="1781" spans="1:7" x14ac:dyDescent="0.2">
      <c r="A1781" t="s">
        <v>2224</v>
      </c>
      <c r="B1781" t="s">
        <v>2225</v>
      </c>
      <c r="C1781" t="s">
        <v>2146</v>
      </c>
      <c r="D1781" t="s">
        <v>10</v>
      </c>
      <c r="E1781" t="s">
        <v>5420</v>
      </c>
    </row>
    <row r="1782" spans="1:7" x14ac:dyDescent="0.2">
      <c r="A1782" t="s">
        <v>2224</v>
      </c>
      <c r="B1782" t="s">
        <v>2225</v>
      </c>
      <c r="C1782" t="s">
        <v>2146</v>
      </c>
      <c r="D1782" t="s">
        <v>3471</v>
      </c>
      <c r="E1782" t="s">
        <v>5421</v>
      </c>
    </row>
    <row r="1783" spans="1:7" x14ac:dyDescent="0.2">
      <c r="A1783" t="s">
        <v>2224</v>
      </c>
      <c r="B1783" t="s">
        <v>2225</v>
      </c>
      <c r="C1783" t="s">
        <v>2146</v>
      </c>
      <c r="D1783" t="s">
        <v>3469</v>
      </c>
    </row>
    <row r="1784" spans="1:7" x14ac:dyDescent="0.2">
      <c r="A1784" t="s">
        <v>2234</v>
      </c>
      <c r="B1784" t="s">
        <v>2235</v>
      </c>
      <c r="C1784" t="s">
        <v>2146</v>
      </c>
      <c r="D1784" t="s">
        <v>10</v>
      </c>
      <c r="E1784" t="s">
        <v>5422</v>
      </c>
      <c r="F1784">
        <v>0.33333333333333331</v>
      </c>
      <c r="G1784">
        <v>1</v>
      </c>
    </row>
    <row r="1785" spans="1:7" x14ac:dyDescent="0.2">
      <c r="A1785" t="s">
        <v>2234</v>
      </c>
      <c r="B1785" t="s">
        <v>2235</v>
      </c>
      <c r="C1785" t="s">
        <v>2146</v>
      </c>
      <c r="D1785" t="s">
        <v>8</v>
      </c>
      <c r="E1785" t="s">
        <v>5423</v>
      </c>
    </row>
    <row r="1786" spans="1:7" x14ac:dyDescent="0.2">
      <c r="A1786" t="s">
        <v>2236</v>
      </c>
      <c r="B1786" t="s">
        <v>2237</v>
      </c>
      <c r="C1786" t="s">
        <v>2146</v>
      </c>
      <c r="D1786" t="s">
        <v>10</v>
      </c>
      <c r="E1786" t="s">
        <v>5424</v>
      </c>
      <c r="F1786">
        <v>0</v>
      </c>
      <c r="G1786">
        <v>4</v>
      </c>
    </row>
    <row r="1787" spans="1:7" x14ac:dyDescent="0.2">
      <c r="A1787" t="s">
        <v>2236</v>
      </c>
      <c r="B1787" t="s">
        <v>2237</v>
      </c>
      <c r="C1787" t="s">
        <v>2146</v>
      </c>
      <c r="D1787" t="s">
        <v>8</v>
      </c>
      <c r="E1787" t="s">
        <v>5425</v>
      </c>
    </row>
    <row r="1788" spans="1:7" x14ac:dyDescent="0.2">
      <c r="A1788" t="s">
        <v>2238</v>
      </c>
      <c r="B1788" t="s">
        <v>2239</v>
      </c>
      <c r="C1788" t="s">
        <v>2146</v>
      </c>
      <c r="D1788" t="s">
        <v>10</v>
      </c>
      <c r="E1788" t="s">
        <v>5426</v>
      </c>
      <c r="F1788">
        <v>0</v>
      </c>
      <c r="G1788">
        <v>4</v>
      </c>
    </row>
    <row r="1789" spans="1:7" x14ac:dyDescent="0.2">
      <c r="A1789" t="s">
        <v>2238</v>
      </c>
      <c r="B1789" t="s">
        <v>2239</v>
      </c>
      <c r="C1789" t="s">
        <v>2146</v>
      </c>
      <c r="D1789" t="s">
        <v>3471</v>
      </c>
      <c r="E1789" t="s">
        <v>5427</v>
      </c>
    </row>
    <row r="1790" spans="1:7" x14ac:dyDescent="0.2">
      <c r="A1790" t="s">
        <v>2238</v>
      </c>
      <c r="B1790" t="s">
        <v>2239</v>
      </c>
      <c r="C1790" t="s">
        <v>2146</v>
      </c>
      <c r="D1790" t="s">
        <v>8</v>
      </c>
      <c r="E1790" t="s">
        <v>5428</v>
      </c>
      <c r="F1790">
        <v>0.16666666666666666</v>
      </c>
      <c r="G1790">
        <v>1</v>
      </c>
    </row>
    <row r="1791" spans="1:7" x14ac:dyDescent="0.2">
      <c r="A1791" t="s">
        <v>2238</v>
      </c>
      <c r="B1791" t="s">
        <v>2239</v>
      </c>
      <c r="C1791" t="s">
        <v>2146</v>
      </c>
      <c r="D1791" t="s">
        <v>3469</v>
      </c>
    </row>
    <row r="1792" spans="1:7" x14ac:dyDescent="0.2">
      <c r="A1792" t="s">
        <v>2150</v>
      </c>
      <c r="B1792" t="s">
        <v>2151</v>
      </c>
      <c r="C1792" t="s">
        <v>2146</v>
      </c>
      <c r="D1792" t="s">
        <v>3469</v>
      </c>
    </row>
    <row r="1793" spans="1:7" x14ac:dyDescent="0.2">
      <c r="A1793" t="s">
        <v>2152</v>
      </c>
      <c r="B1793" t="s">
        <v>2153</v>
      </c>
      <c r="C1793" t="s">
        <v>2146</v>
      </c>
      <c r="D1793" t="s">
        <v>11</v>
      </c>
      <c r="E1793" t="s">
        <v>5429</v>
      </c>
    </row>
    <row r="1794" spans="1:7" x14ac:dyDescent="0.2">
      <c r="A1794" t="s">
        <v>2152</v>
      </c>
      <c r="B1794" t="s">
        <v>2153</v>
      </c>
      <c r="C1794" t="s">
        <v>2146</v>
      </c>
      <c r="D1794" t="s">
        <v>5339</v>
      </c>
      <c r="E1794" t="s">
        <v>5430</v>
      </c>
      <c r="F1794">
        <v>13.833333333333334</v>
      </c>
      <c r="G1794">
        <v>513</v>
      </c>
    </row>
    <row r="1795" spans="1:7" x14ac:dyDescent="0.2">
      <c r="A1795" t="s">
        <v>2152</v>
      </c>
      <c r="B1795" t="s">
        <v>2153</v>
      </c>
      <c r="C1795" t="s">
        <v>2146</v>
      </c>
      <c r="D1795" t="s">
        <v>10</v>
      </c>
      <c r="E1795" t="s">
        <v>5431</v>
      </c>
      <c r="F1795">
        <v>15.5</v>
      </c>
      <c r="G1795">
        <v>333</v>
      </c>
    </row>
    <row r="1796" spans="1:7" x14ac:dyDescent="0.2">
      <c r="A1796" t="s">
        <v>2152</v>
      </c>
      <c r="B1796" t="s">
        <v>2153</v>
      </c>
      <c r="C1796" t="s">
        <v>2146</v>
      </c>
      <c r="D1796" t="s">
        <v>3471</v>
      </c>
      <c r="E1796" t="s">
        <v>5432</v>
      </c>
    </row>
    <row r="1797" spans="1:7" x14ac:dyDescent="0.2">
      <c r="A1797" t="s">
        <v>2152</v>
      </c>
      <c r="B1797" t="s">
        <v>2153</v>
      </c>
      <c r="C1797" t="s">
        <v>2146</v>
      </c>
      <c r="D1797" t="s">
        <v>8</v>
      </c>
      <c r="E1797" t="s">
        <v>5433</v>
      </c>
      <c r="F1797">
        <v>0.66666666666666663</v>
      </c>
      <c r="G1797">
        <v>3</v>
      </c>
    </row>
    <row r="1798" spans="1:7" x14ac:dyDescent="0.2">
      <c r="A1798" t="s">
        <v>2152</v>
      </c>
      <c r="B1798" t="s">
        <v>2153</v>
      </c>
      <c r="C1798" t="s">
        <v>2146</v>
      </c>
      <c r="D1798" t="s">
        <v>3469</v>
      </c>
    </row>
    <row r="1799" spans="1:7" x14ac:dyDescent="0.2">
      <c r="A1799" t="s">
        <v>2154</v>
      </c>
      <c r="B1799" t="s">
        <v>2155</v>
      </c>
      <c r="C1799" t="s">
        <v>2146</v>
      </c>
      <c r="D1799" t="s">
        <v>11</v>
      </c>
      <c r="E1799" t="s">
        <v>8586</v>
      </c>
      <c r="F1799">
        <v>0.33333333333333331</v>
      </c>
      <c r="G1799">
        <v>0</v>
      </c>
    </row>
    <row r="1800" spans="1:7" x14ac:dyDescent="0.2">
      <c r="A1800" t="s">
        <v>2154</v>
      </c>
      <c r="B1800" t="s">
        <v>2155</v>
      </c>
      <c r="C1800" t="s">
        <v>2146</v>
      </c>
      <c r="D1800" t="s">
        <v>3494</v>
      </c>
    </row>
    <row r="1801" spans="1:7" x14ac:dyDescent="0.2">
      <c r="A1801" t="s">
        <v>2154</v>
      </c>
      <c r="B1801" t="s">
        <v>2155</v>
      </c>
      <c r="C1801" t="s">
        <v>2146</v>
      </c>
      <c r="D1801" t="s">
        <v>10</v>
      </c>
      <c r="E1801" t="s">
        <v>5434</v>
      </c>
      <c r="F1801">
        <v>17.666666666666668</v>
      </c>
      <c r="G1801">
        <v>428</v>
      </c>
    </row>
    <row r="1802" spans="1:7" x14ac:dyDescent="0.2">
      <c r="A1802" t="s">
        <v>2154</v>
      </c>
      <c r="B1802" t="s">
        <v>2155</v>
      </c>
      <c r="C1802" t="s">
        <v>2146</v>
      </c>
      <c r="D1802" t="s">
        <v>3471</v>
      </c>
      <c r="E1802" t="s">
        <v>5435</v>
      </c>
      <c r="F1802">
        <v>0</v>
      </c>
      <c r="G1802">
        <v>0</v>
      </c>
    </row>
    <row r="1803" spans="1:7" x14ac:dyDescent="0.2">
      <c r="A1803" t="s">
        <v>2154</v>
      </c>
      <c r="B1803" t="s">
        <v>2155</v>
      </c>
      <c r="C1803" t="s">
        <v>2146</v>
      </c>
      <c r="D1803" t="s">
        <v>8</v>
      </c>
      <c r="E1803" t="s">
        <v>5436</v>
      </c>
      <c r="F1803">
        <v>0.66666666666666663</v>
      </c>
      <c r="G1803">
        <v>0</v>
      </c>
    </row>
    <row r="1804" spans="1:7" x14ac:dyDescent="0.2">
      <c r="A1804" t="s">
        <v>2154</v>
      </c>
      <c r="B1804" t="s">
        <v>2155</v>
      </c>
      <c r="C1804" t="s">
        <v>2146</v>
      </c>
      <c r="D1804" t="s">
        <v>3469</v>
      </c>
      <c r="F1804">
        <v>0.33333333333333331</v>
      </c>
      <c r="G1804">
        <v>1</v>
      </c>
    </row>
    <row r="1805" spans="1:7" x14ac:dyDescent="0.2">
      <c r="A1805" t="s">
        <v>2306</v>
      </c>
      <c r="B1805" t="s">
        <v>2307</v>
      </c>
      <c r="C1805" t="s">
        <v>2146</v>
      </c>
      <c r="D1805" t="s">
        <v>3471</v>
      </c>
      <c r="E1805" t="s">
        <v>5437</v>
      </c>
    </row>
    <row r="1806" spans="1:7" x14ac:dyDescent="0.2">
      <c r="A1806" t="s">
        <v>2306</v>
      </c>
      <c r="B1806" t="s">
        <v>2307</v>
      </c>
      <c r="C1806" t="s">
        <v>2146</v>
      </c>
      <c r="D1806" t="s">
        <v>3469</v>
      </c>
    </row>
    <row r="1807" spans="1:7" x14ac:dyDescent="0.2">
      <c r="A1807" t="s">
        <v>2306</v>
      </c>
      <c r="B1807" t="s">
        <v>2307</v>
      </c>
      <c r="C1807" t="s">
        <v>2146</v>
      </c>
      <c r="D1807" t="s">
        <v>12</v>
      </c>
    </row>
    <row r="1808" spans="1:7" x14ac:dyDescent="0.2">
      <c r="A1808" t="s">
        <v>2308</v>
      </c>
      <c r="B1808" t="s">
        <v>2309</v>
      </c>
      <c r="C1808" t="s">
        <v>2146</v>
      </c>
      <c r="D1808" t="s">
        <v>10</v>
      </c>
      <c r="E1808" t="s">
        <v>5438</v>
      </c>
      <c r="F1808">
        <v>0.66666666666666663</v>
      </c>
      <c r="G1808">
        <v>57</v>
      </c>
    </row>
    <row r="1809" spans="1:7" x14ac:dyDescent="0.2">
      <c r="A1809" t="s">
        <v>2308</v>
      </c>
      <c r="B1809" t="s">
        <v>2309</v>
      </c>
      <c r="C1809" t="s">
        <v>2146</v>
      </c>
      <c r="D1809" t="s">
        <v>3471</v>
      </c>
      <c r="E1809" t="s">
        <v>5439</v>
      </c>
      <c r="F1809">
        <v>0</v>
      </c>
      <c r="G1809">
        <v>0</v>
      </c>
    </row>
    <row r="1810" spans="1:7" x14ac:dyDescent="0.2">
      <c r="A1810" t="s">
        <v>2308</v>
      </c>
      <c r="B1810" t="s">
        <v>2309</v>
      </c>
      <c r="C1810" t="s">
        <v>2146</v>
      </c>
      <c r="D1810" t="s">
        <v>3469</v>
      </c>
    </row>
    <row r="1811" spans="1:7" x14ac:dyDescent="0.2">
      <c r="A1811" t="s">
        <v>2308</v>
      </c>
      <c r="B1811" t="s">
        <v>2309</v>
      </c>
      <c r="C1811" t="s">
        <v>2146</v>
      </c>
      <c r="D1811" t="s">
        <v>12</v>
      </c>
    </row>
    <row r="1812" spans="1:7" x14ac:dyDescent="0.2">
      <c r="A1812" t="s">
        <v>2310</v>
      </c>
      <c r="B1812" t="s">
        <v>2311</v>
      </c>
      <c r="C1812" t="s">
        <v>2146</v>
      </c>
      <c r="D1812" t="s">
        <v>3494</v>
      </c>
    </row>
    <row r="1813" spans="1:7" x14ac:dyDescent="0.2">
      <c r="A1813" t="s">
        <v>2310</v>
      </c>
      <c r="B1813" t="s">
        <v>2311</v>
      </c>
      <c r="C1813" t="s">
        <v>2146</v>
      </c>
      <c r="D1813" t="s">
        <v>10</v>
      </c>
      <c r="E1813" t="s">
        <v>5440</v>
      </c>
    </row>
    <row r="1814" spans="1:7" x14ac:dyDescent="0.2">
      <c r="A1814" t="s">
        <v>2310</v>
      </c>
      <c r="B1814" t="s">
        <v>2311</v>
      </c>
      <c r="C1814" t="s">
        <v>2146</v>
      </c>
      <c r="D1814" t="s">
        <v>3471</v>
      </c>
      <c r="E1814" t="s">
        <v>5441</v>
      </c>
      <c r="F1814">
        <v>0</v>
      </c>
      <c r="G1814">
        <v>0</v>
      </c>
    </row>
    <row r="1815" spans="1:7" x14ac:dyDescent="0.2">
      <c r="A1815" t="s">
        <v>2310</v>
      </c>
      <c r="B1815" t="s">
        <v>2311</v>
      </c>
      <c r="C1815" t="s">
        <v>2146</v>
      </c>
      <c r="D1815" t="s">
        <v>3469</v>
      </c>
    </row>
    <row r="1816" spans="1:7" x14ac:dyDescent="0.2">
      <c r="A1816" t="s">
        <v>2310</v>
      </c>
      <c r="B1816" t="s">
        <v>2311</v>
      </c>
      <c r="C1816" t="s">
        <v>2146</v>
      </c>
      <c r="D1816" t="s">
        <v>12</v>
      </c>
      <c r="F1816">
        <v>0</v>
      </c>
      <c r="G1816">
        <v>1</v>
      </c>
    </row>
    <row r="1817" spans="1:7" x14ac:dyDescent="0.2">
      <c r="A1817" t="s">
        <v>5442</v>
      </c>
      <c r="B1817" t="s">
        <v>5443</v>
      </c>
      <c r="C1817" t="s">
        <v>2411</v>
      </c>
      <c r="D1817" t="s">
        <v>11</v>
      </c>
      <c r="E1817" t="s">
        <v>5444</v>
      </c>
    </row>
    <row r="1818" spans="1:7" x14ac:dyDescent="0.2">
      <c r="A1818" t="s">
        <v>2423</v>
      </c>
      <c r="B1818" t="s">
        <v>2424</v>
      </c>
      <c r="C1818" t="s">
        <v>2411</v>
      </c>
      <c r="D1818" t="s">
        <v>11</v>
      </c>
      <c r="E1818" t="s">
        <v>5445</v>
      </c>
    </row>
    <row r="1819" spans="1:7" x14ac:dyDescent="0.2">
      <c r="A1819" t="s">
        <v>5446</v>
      </c>
      <c r="B1819" t="s">
        <v>5447</v>
      </c>
      <c r="C1819" t="s">
        <v>2411</v>
      </c>
      <c r="D1819" t="s">
        <v>11</v>
      </c>
      <c r="E1819" t="s">
        <v>5448</v>
      </c>
    </row>
    <row r="1820" spans="1:7" x14ac:dyDescent="0.2">
      <c r="A1820" t="s">
        <v>5449</v>
      </c>
      <c r="B1820" t="s">
        <v>5450</v>
      </c>
      <c r="C1820" t="s">
        <v>2411</v>
      </c>
      <c r="D1820" t="s">
        <v>14</v>
      </c>
    </row>
    <row r="1821" spans="1:7" x14ac:dyDescent="0.2">
      <c r="A1821" t="s">
        <v>5451</v>
      </c>
      <c r="B1821" t="s">
        <v>5452</v>
      </c>
      <c r="C1821" t="s">
        <v>2411</v>
      </c>
      <c r="D1821" t="s">
        <v>11</v>
      </c>
      <c r="E1821" t="s">
        <v>5453</v>
      </c>
    </row>
    <row r="1822" spans="1:7" x14ac:dyDescent="0.2">
      <c r="A1822" t="s">
        <v>5454</v>
      </c>
      <c r="B1822" t="s">
        <v>5455</v>
      </c>
      <c r="C1822" t="s">
        <v>2411</v>
      </c>
      <c r="D1822" t="s">
        <v>11</v>
      </c>
      <c r="E1822" t="s">
        <v>5456</v>
      </c>
    </row>
    <row r="1823" spans="1:7" x14ac:dyDescent="0.2">
      <c r="A1823" t="s">
        <v>5457</v>
      </c>
      <c r="B1823" t="s">
        <v>5458</v>
      </c>
      <c r="C1823" t="s">
        <v>2411</v>
      </c>
      <c r="D1823" t="s">
        <v>11</v>
      </c>
      <c r="E1823" t="s">
        <v>5459</v>
      </c>
    </row>
    <row r="1824" spans="1:7" x14ac:dyDescent="0.2">
      <c r="A1824" t="s">
        <v>5460</v>
      </c>
      <c r="B1824" t="s">
        <v>5461</v>
      </c>
      <c r="C1824" t="s">
        <v>2411</v>
      </c>
      <c r="D1824" t="s">
        <v>11</v>
      </c>
      <c r="E1824" t="s">
        <v>5462</v>
      </c>
    </row>
    <row r="1825" spans="1:5" x14ac:dyDescent="0.2">
      <c r="A1825" t="s">
        <v>5463</v>
      </c>
      <c r="B1825" t="s">
        <v>5464</v>
      </c>
      <c r="C1825" t="s">
        <v>2411</v>
      </c>
      <c r="D1825" t="s">
        <v>11</v>
      </c>
      <c r="E1825" t="s">
        <v>5465</v>
      </c>
    </row>
    <row r="1826" spans="1:5" x14ac:dyDescent="0.2">
      <c r="A1826" t="s">
        <v>2414</v>
      </c>
      <c r="B1826" t="s">
        <v>2415</v>
      </c>
      <c r="C1826" t="s">
        <v>2411</v>
      </c>
      <c r="D1826" t="s">
        <v>11</v>
      </c>
      <c r="E1826" t="s">
        <v>5466</v>
      </c>
    </row>
    <row r="1827" spans="1:5" x14ac:dyDescent="0.2">
      <c r="A1827" t="s">
        <v>5467</v>
      </c>
      <c r="B1827" t="s">
        <v>5468</v>
      </c>
      <c r="C1827" t="s">
        <v>2411</v>
      </c>
      <c r="D1827" t="s">
        <v>11</v>
      </c>
      <c r="E1827" t="s">
        <v>5469</v>
      </c>
    </row>
    <row r="1828" spans="1:5" x14ac:dyDescent="0.2">
      <c r="A1828" t="s">
        <v>5470</v>
      </c>
      <c r="B1828" t="s">
        <v>5471</v>
      </c>
      <c r="C1828" t="s">
        <v>2411</v>
      </c>
      <c r="D1828" t="s">
        <v>11</v>
      </c>
      <c r="E1828" t="s">
        <v>5472</v>
      </c>
    </row>
    <row r="1829" spans="1:5" x14ac:dyDescent="0.2">
      <c r="A1829" t="s">
        <v>5473</v>
      </c>
      <c r="B1829" t="s">
        <v>5474</v>
      </c>
      <c r="C1829" t="s">
        <v>2411</v>
      </c>
      <c r="D1829" t="s">
        <v>11</v>
      </c>
      <c r="E1829" t="s">
        <v>5475</v>
      </c>
    </row>
    <row r="1830" spans="1:5" x14ac:dyDescent="0.2">
      <c r="A1830" t="s">
        <v>5476</v>
      </c>
      <c r="B1830" t="s">
        <v>5477</v>
      </c>
      <c r="C1830" t="s">
        <v>2374</v>
      </c>
      <c r="D1830" t="s">
        <v>11</v>
      </c>
      <c r="E1830" t="s">
        <v>5478</v>
      </c>
    </row>
    <row r="1831" spans="1:5" x14ac:dyDescent="0.2">
      <c r="A1831" t="s">
        <v>2375</v>
      </c>
      <c r="B1831" t="s">
        <v>2376</v>
      </c>
      <c r="C1831" t="s">
        <v>2374</v>
      </c>
      <c r="D1831" t="s">
        <v>11</v>
      </c>
      <c r="E1831" t="s">
        <v>5479</v>
      </c>
    </row>
    <row r="1832" spans="1:5" x14ac:dyDescent="0.2">
      <c r="A1832" t="s">
        <v>2375</v>
      </c>
      <c r="B1832" t="s">
        <v>2376</v>
      </c>
      <c r="C1832" t="s">
        <v>2374</v>
      </c>
      <c r="D1832" t="s">
        <v>12</v>
      </c>
    </row>
    <row r="1833" spans="1:5" x14ac:dyDescent="0.2">
      <c r="A1833" t="s">
        <v>5480</v>
      </c>
      <c r="B1833" t="s">
        <v>5481</v>
      </c>
      <c r="C1833" t="s">
        <v>2411</v>
      </c>
      <c r="D1833" t="s">
        <v>11</v>
      </c>
      <c r="E1833" t="s">
        <v>5482</v>
      </c>
    </row>
    <row r="1834" spans="1:5" x14ac:dyDescent="0.2">
      <c r="A1834" t="s">
        <v>5483</v>
      </c>
      <c r="B1834" t="s">
        <v>5484</v>
      </c>
      <c r="C1834" t="s">
        <v>2411</v>
      </c>
      <c r="D1834" t="s">
        <v>11</v>
      </c>
      <c r="E1834" t="s">
        <v>5485</v>
      </c>
    </row>
    <row r="1835" spans="1:5" x14ac:dyDescent="0.2">
      <c r="A1835" t="s">
        <v>5486</v>
      </c>
      <c r="B1835" t="s">
        <v>5487</v>
      </c>
      <c r="C1835" t="s">
        <v>2411</v>
      </c>
      <c r="D1835" t="s">
        <v>11</v>
      </c>
      <c r="E1835" t="s">
        <v>5488</v>
      </c>
    </row>
    <row r="1836" spans="1:5" x14ac:dyDescent="0.2">
      <c r="A1836" t="s">
        <v>5489</v>
      </c>
      <c r="B1836" t="s">
        <v>5490</v>
      </c>
      <c r="C1836" t="s">
        <v>2411</v>
      </c>
      <c r="D1836" t="s">
        <v>11</v>
      </c>
      <c r="E1836" t="s">
        <v>5491</v>
      </c>
    </row>
    <row r="1837" spans="1:5" x14ac:dyDescent="0.2">
      <c r="A1837" t="s">
        <v>5492</v>
      </c>
      <c r="B1837" t="s">
        <v>5493</v>
      </c>
      <c r="C1837" t="s">
        <v>2411</v>
      </c>
      <c r="D1837" t="s">
        <v>11</v>
      </c>
      <c r="E1837" t="s">
        <v>5494</v>
      </c>
    </row>
    <row r="1838" spans="1:5" x14ac:dyDescent="0.2">
      <c r="A1838" t="s">
        <v>5495</v>
      </c>
      <c r="B1838" t="s">
        <v>5496</v>
      </c>
      <c r="C1838" t="s">
        <v>2411</v>
      </c>
      <c r="D1838" t="s">
        <v>11</v>
      </c>
      <c r="E1838" t="s">
        <v>5497</v>
      </c>
    </row>
    <row r="1839" spans="1:5" x14ac:dyDescent="0.2">
      <c r="A1839" t="s">
        <v>5498</v>
      </c>
      <c r="B1839" t="s">
        <v>5499</v>
      </c>
      <c r="C1839" t="s">
        <v>2411</v>
      </c>
      <c r="D1839" t="s">
        <v>11</v>
      </c>
      <c r="E1839" t="s">
        <v>5500</v>
      </c>
    </row>
    <row r="1840" spans="1:5" x14ac:dyDescent="0.2">
      <c r="A1840" t="s">
        <v>5501</v>
      </c>
      <c r="B1840" t="s">
        <v>5502</v>
      </c>
      <c r="C1840" t="s">
        <v>2411</v>
      </c>
      <c r="D1840" t="s">
        <v>11</v>
      </c>
      <c r="E1840" t="s">
        <v>5503</v>
      </c>
    </row>
    <row r="1841" spans="1:7" x14ac:dyDescent="0.2">
      <c r="A1841" t="s">
        <v>5504</v>
      </c>
      <c r="B1841" t="s">
        <v>5505</v>
      </c>
      <c r="C1841" t="s">
        <v>2411</v>
      </c>
      <c r="D1841" t="s">
        <v>11</v>
      </c>
      <c r="E1841" t="s">
        <v>5506</v>
      </c>
    </row>
    <row r="1842" spans="1:7" x14ac:dyDescent="0.2">
      <c r="A1842" t="s">
        <v>5507</v>
      </c>
      <c r="B1842" t="s">
        <v>5508</v>
      </c>
      <c r="C1842" t="s">
        <v>2411</v>
      </c>
      <c r="D1842" t="s">
        <v>11</v>
      </c>
      <c r="E1842" t="s">
        <v>5509</v>
      </c>
    </row>
    <row r="1843" spans="1:7" x14ac:dyDescent="0.2">
      <c r="A1843" t="s">
        <v>5510</v>
      </c>
      <c r="B1843" t="s">
        <v>5511</v>
      </c>
      <c r="C1843" t="s">
        <v>2411</v>
      </c>
      <c r="D1843" t="s">
        <v>11</v>
      </c>
      <c r="E1843" t="s">
        <v>5512</v>
      </c>
    </row>
    <row r="1844" spans="1:7" x14ac:dyDescent="0.2">
      <c r="A1844" t="s">
        <v>5513</v>
      </c>
      <c r="B1844" t="s">
        <v>5514</v>
      </c>
      <c r="C1844" t="s">
        <v>2411</v>
      </c>
      <c r="D1844" t="s">
        <v>11</v>
      </c>
      <c r="E1844" t="s">
        <v>5515</v>
      </c>
    </row>
    <row r="1845" spans="1:7" x14ac:dyDescent="0.2">
      <c r="A1845" t="s">
        <v>5516</v>
      </c>
      <c r="B1845" t="s">
        <v>5517</v>
      </c>
      <c r="C1845" t="s">
        <v>2411</v>
      </c>
      <c r="D1845" t="s">
        <v>11</v>
      </c>
      <c r="E1845" t="s">
        <v>5518</v>
      </c>
    </row>
    <row r="1846" spans="1:7" x14ac:dyDescent="0.2">
      <c r="A1846" t="s">
        <v>5519</v>
      </c>
      <c r="B1846" t="s">
        <v>5520</v>
      </c>
      <c r="C1846" t="s">
        <v>2411</v>
      </c>
      <c r="D1846" t="s">
        <v>11</v>
      </c>
      <c r="E1846" t="s">
        <v>5521</v>
      </c>
    </row>
    <row r="1847" spans="1:7" x14ac:dyDescent="0.2">
      <c r="A1847" t="s">
        <v>5522</v>
      </c>
      <c r="B1847" t="s">
        <v>5523</v>
      </c>
      <c r="C1847" t="s">
        <v>2411</v>
      </c>
      <c r="D1847" t="s">
        <v>11</v>
      </c>
      <c r="E1847" t="s">
        <v>5524</v>
      </c>
    </row>
    <row r="1848" spans="1:7" x14ac:dyDescent="0.2">
      <c r="A1848" t="s">
        <v>5525</v>
      </c>
      <c r="B1848" t="s">
        <v>5526</v>
      </c>
      <c r="C1848" t="s">
        <v>2411</v>
      </c>
      <c r="D1848" t="s">
        <v>11</v>
      </c>
      <c r="E1848" t="s">
        <v>5527</v>
      </c>
    </row>
    <row r="1849" spans="1:7" x14ac:dyDescent="0.2">
      <c r="A1849" t="s">
        <v>5528</v>
      </c>
      <c r="B1849" t="s">
        <v>5529</v>
      </c>
      <c r="C1849" t="s">
        <v>2411</v>
      </c>
      <c r="D1849" t="s">
        <v>11</v>
      </c>
      <c r="E1849" t="s">
        <v>5530</v>
      </c>
    </row>
    <row r="1850" spans="1:7" x14ac:dyDescent="0.2">
      <c r="A1850" t="s">
        <v>5531</v>
      </c>
      <c r="B1850" t="s">
        <v>5532</v>
      </c>
      <c r="C1850" t="s">
        <v>2411</v>
      </c>
      <c r="D1850" t="s">
        <v>11</v>
      </c>
      <c r="E1850" t="s">
        <v>5533</v>
      </c>
    </row>
    <row r="1851" spans="1:7" x14ac:dyDescent="0.2">
      <c r="A1851" t="s">
        <v>2391</v>
      </c>
      <c r="B1851" t="s">
        <v>2392</v>
      </c>
      <c r="C1851" t="s">
        <v>2374</v>
      </c>
      <c r="D1851" t="s">
        <v>11</v>
      </c>
      <c r="E1851" t="s">
        <v>5534</v>
      </c>
    </row>
    <row r="1852" spans="1:7" x14ac:dyDescent="0.2">
      <c r="A1852" t="s">
        <v>2391</v>
      </c>
      <c r="B1852" t="s">
        <v>2392</v>
      </c>
      <c r="C1852" t="s">
        <v>2374</v>
      </c>
      <c r="D1852" t="s">
        <v>3471</v>
      </c>
      <c r="E1852" t="s">
        <v>5535</v>
      </c>
    </row>
    <row r="1853" spans="1:7" x14ac:dyDescent="0.2">
      <c r="A1853" t="s">
        <v>2391</v>
      </c>
      <c r="B1853" t="s">
        <v>2392</v>
      </c>
      <c r="C1853" t="s">
        <v>2374</v>
      </c>
      <c r="D1853" t="s">
        <v>12</v>
      </c>
    </row>
    <row r="1854" spans="1:7" x14ac:dyDescent="0.2">
      <c r="A1854" t="s">
        <v>2272</v>
      </c>
      <c r="B1854" t="s">
        <v>2273</v>
      </c>
      <c r="C1854" t="s">
        <v>2146</v>
      </c>
      <c r="D1854" t="s">
        <v>11</v>
      </c>
      <c r="E1854" t="s">
        <v>5536</v>
      </c>
    </row>
    <row r="1855" spans="1:7" x14ac:dyDescent="0.2">
      <c r="A1855" t="s">
        <v>2272</v>
      </c>
      <c r="B1855" t="s">
        <v>2273</v>
      </c>
      <c r="C1855" t="s">
        <v>2146</v>
      </c>
      <c r="D1855" t="s">
        <v>14</v>
      </c>
      <c r="F1855">
        <v>0</v>
      </c>
      <c r="G1855">
        <v>2</v>
      </c>
    </row>
    <row r="1856" spans="1:7" x14ac:dyDescent="0.2">
      <c r="A1856" t="s">
        <v>2272</v>
      </c>
      <c r="B1856" t="s">
        <v>2273</v>
      </c>
      <c r="C1856" t="s">
        <v>2146</v>
      </c>
      <c r="D1856" t="s">
        <v>10</v>
      </c>
      <c r="E1856" t="s">
        <v>5537</v>
      </c>
    </row>
    <row r="1857" spans="1:7" x14ac:dyDescent="0.2">
      <c r="A1857" t="s">
        <v>5538</v>
      </c>
      <c r="B1857" t="s">
        <v>5539</v>
      </c>
      <c r="C1857" t="s">
        <v>2146</v>
      </c>
      <c r="D1857" t="s">
        <v>11</v>
      </c>
      <c r="E1857" t="s">
        <v>5540</v>
      </c>
    </row>
    <row r="1858" spans="1:7" x14ac:dyDescent="0.2">
      <c r="A1858" t="s">
        <v>5538</v>
      </c>
      <c r="B1858" t="s">
        <v>5539</v>
      </c>
      <c r="C1858" t="s">
        <v>2146</v>
      </c>
      <c r="D1858" t="s">
        <v>3469</v>
      </c>
    </row>
    <row r="1859" spans="1:7" x14ac:dyDescent="0.2">
      <c r="A1859" t="s">
        <v>5541</v>
      </c>
      <c r="B1859" t="s">
        <v>5542</v>
      </c>
      <c r="C1859" t="s">
        <v>2146</v>
      </c>
      <c r="D1859" t="s">
        <v>11</v>
      </c>
      <c r="E1859" t="s">
        <v>5543</v>
      </c>
    </row>
    <row r="1860" spans="1:7" x14ac:dyDescent="0.2">
      <c r="A1860" t="s">
        <v>5541</v>
      </c>
      <c r="B1860" t="s">
        <v>5542</v>
      </c>
      <c r="C1860" t="s">
        <v>2146</v>
      </c>
      <c r="D1860" t="s">
        <v>10</v>
      </c>
      <c r="E1860" t="s">
        <v>5544</v>
      </c>
    </row>
    <row r="1861" spans="1:7" x14ac:dyDescent="0.2">
      <c r="A1861" t="s">
        <v>5545</v>
      </c>
      <c r="B1861" t="s">
        <v>5546</v>
      </c>
      <c r="C1861" t="s">
        <v>2146</v>
      </c>
      <c r="D1861" t="s">
        <v>11</v>
      </c>
      <c r="E1861" t="s">
        <v>5547</v>
      </c>
    </row>
    <row r="1862" spans="1:7" x14ac:dyDescent="0.2">
      <c r="A1862" t="s">
        <v>2274</v>
      </c>
      <c r="B1862" t="s">
        <v>2275</v>
      </c>
      <c r="C1862" t="s">
        <v>2146</v>
      </c>
      <c r="D1862" t="s">
        <v>11</v>
      </c>
      <c r="E1862" t="s">
        <v>5548</v>
      </c>
    </row>
    <row r="1863" spans="1:7" x14ac:dyDescent="0.2">
      <c r="A1863" t="s">
        <v>5549</v>
      </c>
      <c r="B1863" t="s">
        <v>5550</v>
      </c>
      <c r="C1863" t="s">
        <v>2146</v>
      </c>
      <c r="D1863" t="s">
        <v>11</v>
      </c>
      <c r="E1863" t="s">
        <v>5551</v>
      </c>
    </row>
    <row r="1864" spans="1:7" x14ac:dyDescent="0.2">
      <c r="A1864" t="s">
        <v>2178</v>
      </c>
      <c r="B1864" t="s">
        <v>2179</v>
      </c>
      <c r="C1864" t="s">
        <v>2146</v>
      </c>
      <c r="D1864" t="s">
        <v>11</v>
      </c>
      <c r="E1864" t="s">
        <v>5552</v>
      </c>
    </row>
    <row r="1865" spans="1:7" x14ac:dyDescent="0.2">
      <c r="A1865" t="s">
        <v>2178</v>
      </c>
      <c r="B1865" t="s">
        <v>2179</v>
      </c>
      <c r="C1865" t="s">
        <v>2146</v>
      </c>
      <c r="D1865" t="s">
        <v>14</v>
      </c>
      <c r="F1865">
        <v>0</v>
      </c>
      <c r="G1865">
        <v>2</v>
      </c>
    </row>
    <row r="1866" spans="1:7" x14ac:dyDescent="0.2">
      <c r="A1866" t="s">
        <v>2178</v>
      </c>
      <c r="B1866" t="s">
        <v>2179</v>
      </c>
      <c r="C1866" t="s">
        <v>2146</v>
      </c>
      <c r="D1866" t="s">
        <v>10</v>
      </c>
      <c r="E1866" t="s">
        <v>5553</v>
      </c>
    </row>
    <row r="1867" spans="1:7" x14ac:dyDescent="0.2">
      <c r="A1867" t="s">
        <v>2178</v>
      </c>
      <c r="B1867" t="s">
        <v>2179</v>
      </c>
      <c r="C1867" t="s">
        <v>2146</v>
      </c>
      <c r="D1867" t="s">
        <v>3469</v>
      </c>
    </row>
    <row r="1868" spans="1:7" x14ac:dyDescent="0.2">
      <c r="A1868" t="s">
        <v>2190</v>
      </c>
      <c r="B1868" t="s">
        <v>2191</v>
      </c>
      <c r="C1868" t="s">
        <v>2146</v>
      </c>
      <c r="D1868" t="s">
        <v>11</v>
      </c>
      <c r="E1868" t="s">
        <v>5554</v>
      </c>
    </row>
    <row r="1869" spans="1:7" x14ac:dyDescent="0.2">
      <c r="A1869" t="s">
        <v>2190</v>
      </c>
      <c r="B1869" t="s">
        <v>2191</v>
      </c>
      <c r="C1869" t="s">
        <v>2146</v>
      </c>
      <c r="D1869" t="s">
        <v>14</v>
      </c>
      <c r="F1869">
        <v>0</v>
      </c>
      <c r="G1869">
        <v>2</v>
      </c>
    </row>
    <row r="1870" spans="1:7" x14ac:dyDescent="0.2">
      <c r="A1870" t="s">
        <v>2190</v>
      </c>
      <c r="B1870" t="s">
        <v>2191</v>
      </c>
      <c r="C1870" t="s">
        <v>2146</v>
      </c>
      <c r="D1870" t="s">
        <v>10</v>
      </c>
      <c r="E1870" t="s">
        <v>5555</v>
      </c>
    </row>
    <row r="1871" spans="1:7" x14ac:dyDescent="0.2">
      <c r="A1871" t="s">
        <v>2190</v>
      </c>
      <c r="B1871" t="s">
        <v>2191</v>
      </c>
      <c r="C1871" t="s">
        <v>2146</v>
      </c>
      <c r="D1871" t="s">
        <v>3471</v>
      </c>
      <c r="E1871" t="s">
        <v>5556</v>
      </c>
    </row>
    <row r="1872" spans="1:7" x14ac:dyDescent="0.2">
      <c r="A1872" t="s">
        <v>2190</v>
      </c>
      <c r="B1872" t="s">
        <v>2191</v>
      </c>
      <c r="C1872" t="s">
        <v>2146</v>
      </c>
      <c r="D1872" t="s">
        <v>3469</v>
      </c>
    </row>
    <row r="1873" spans="1:7" x14ac:dyDescent="0.2">
      <c r="A1873" t="s">
        <v>2190</v>
      </c>
      <c r="B1873" t="s">
        <v>2191</v>
      </c>
      <c r="C1873" t="s">
        <v>2146</v>
      </c>
      <c r="D1873" t="s">
        <v>12</v>
      </c>
    </row>
    <row r="1874" spans="1:7" x14ac:dyDescent="0.2">
      <c r="A1874" t="s">
        <v>2188</v>
      </c>
      <c r="B1874" t="s">
        <v>2189</v>
      </c>
      <c r="C1874" t="s">
        <v>2146</v>
      </c>
      <c r="D1874" t="s">
        <v>10</v>
      </c>
      <c r="E1874" t="s">
        <v>5557</v>
      </c>
    </row>
    <row r="1875" spans="1:7" x14ac:dyDescent="0.2">
      <c r="A1875" t="s">
        <v>2334</v>
      </c>
      <c r="B1875" t="s">
        <v>2335</v>
      </c>
      <c r="C1875" t="s">
        <v>2146</v>
      </c>
      <c r="D1875" t="s">
        <v>11</v>
      </c>
      <c r="E1875" t="s">
        <v>5558</v>
      </c>
    </row>
    <row r="1876" spans="1:7" x14ac:dyDescent="0.2">
      <c r="A1876" t="s">
        <v>2334</v>
      </c>
      <c r="B1876" t="s">
        <v>2335</v>
      </c>
      <c r="C1876" t="s">
        <v>2146</v>
      </c>
      <c r="D1876" t="s">
        <v>5339</v>
      </c>
      <c r="E1876" t="s">
        <v>5559</v>
      </c>
      <c r="F1876">
        <v>6.333333333333333</v>
      </c>
      <c r="G1876">
        <v>21</v>
      </c>
    </row>
    <row r="1877" spans="1:7" x14ac:dyDescent="0.2">
      <c r="A1877" t="s">
        <v>2334</v>
      </c>
      <c r="B1877" t="s">
        <v>2335</v>
      </c>
      <c r="C1877" t="s">
        <v>2146</v>
      </c>
      <c r="D1877" t="s">
        <v>14</v>
      </c>
      <c r="F1877">
        <v>0</v>
      </c>
      <c r="G1877">
        <v>2</v>
      </c>
    </row>
    <row r="1878" spans="1:7" x14ac:dyDescent="0.2">
      <c r="A1878" t="s">
        <v>2334</v>
      </c>
      <c r="B1878" t="s">
        <v>2335</v>
      </c>
      <c r="C1878" t="s">
        <v>2146</v>
      </c>
      <c r="D1878" t="s">
        <v>10</v>
      </c>
      <c r="E1878" t="s">
        <v>5560</v>
      </c>
      <c r="F1878">
        <v>0.5</v>
      </c>
      <c r="G1878">
        <v>1</v>
      </c>
    </row>
    <row r="1879" spans="1:7" x14ac:dyDescent="0.2">
      <c r="A1879" t="s">
        <v>2334</v>
      </c>
      <c r="B1879" t="s">
        <v>2335</v>
      </c>
      <c r="C1879" t="s">
        <v>2146</v>
      </c>
      <c r="D1879" t="s">
        <v>3471</v>
      </c>
      <c r="E1879" t="s">
        <v>5561</v>
      </c>
    </row>
    <row r="1880" spans="1:7" x14ac:dyDescent="0.2">
      <c r="A1880" t="s">
        <v>2334</v>
      </c>
      <c r="B1880" t="s">
        <v>2335</v>
      </c>
      <c r="C1880" t="s">
        <v>2146</v>
      </c>
      <c r="D1880" t="s">
        <v>8</v>
      </c>
      <c r="E1880" t="s">
        <v>5562</v>
      </c>
    </row>
    <row r="1881" spans="1:7" x14ac:dyDescent="0.2">
      <c r="A1881" t="s">
        <v>2334</v>
      </c>
      <c r="B1881" t="s">
        <v>2335</v>
      </c>
      <c r="C1881" t="s">
        <v>2146</v>
      </c>
      <c r="D1881" t="s">
        <v>3469</v>
      </c>
    </row>
    <row r="1882" spans="1:7" x14ac:dyDescent="0.2">
      <c r="A1882" t="s">
        <v>2334</v>
      </c>
      <c r="B1882" t="s">
        <v>2335</v>
      </c>
      <c r="C1882" t="s">
        <v>2146</v>
      </c>
      <c r="D1882" t="s">
        <v>12</v>
      </c>
      <c r="F1882">
        <v>0</v>
      </c>
      <c r="G1882">
        <v>1</v>
      </c>
    </row>
    <row r="1883" spans="1:7" x14ac:dyDescent="0.2">
      <c r="A1883" t="s">
        <v>2338</v>
      </c>
      <c r="B1883" t="s">
        <v>2339</v>
      </c>
      <c r="C1883" t="s">
        <v>2146</v>
      </c>
      <c r="D1883" t="s">
        <v>11</v>
      </c>
      <c r="E1883" t="s">
        <v>5563</v>
      </c>
    </row>
    <row r="1884" spans="1:7" x14ac:dyDescent="0.2">
      <c r="A1884" t="s">
        <v>2338</v>
      </c>
      <c r="B1884" t="s">
        <v>2339</v>
      </c>
      <c r="C1884" t="s">
        <v>2146</v>
      </c>
      <c r="D1884" t="s">
        <v>5339</v>
      </c>
      <c r="E1884" t="s">
        <v>5564</v>
      </c>
      <c r="F1884">
        <v>0.83333333333333337</v>
      </c>
      <c r="G1884">
        <v>14</v>
      </c>
    </row>
    <row r="1885" spans="1:7" x14ac:dyDescent="0.2">
      <c r="A1885" t="s">
        <v>2338</v>
      </c>
      <c r="B1885" t="s">
        <v>2339</v>
      </c>
      <c r="C1885" t="s">
        <v>2146</v>
      </c>
      <c r="D1885" t="s">
        <v>14</v>
      </c>
      <c r="F1885">
        <v>0</v>
      </c>
      <c r="G1885">
        <v>1</v>
      </c>
    </row>
    <row r="1886" spans="1:7" x14ac:dyDescent="0.2">
      <c r="A1886" t="s">
        <v>2338</v>
      </c>
      <c r="B1886" t="s">
        <v>2339</v>
      </c>
      <c r="C1886" t="s">
        <v>2146</v>
      </c>
      <c r="D1886" t="s">
        <v>10</v>
      </c>
      <c r="E1886" t="s">
        <v>5565</v>
      </c>
      <c r="F1886">
        <v>0.16666666666666666</v>
      </c>
      <c r="G1886">
        <v>4</v>
      </c>
    </row>
    <row r="1887" spans="1:7" x14ac:dyDescent="0.2">
      <c r="A1887" t="s">
        <v>2338</v>
      </c>
      <c r="B1887" t="s">
        <v>2339</v>
      </c>
      <c r="C1887" t="s">
        <v>2146</v>
      </c>
      <c r="D1887" t="s">
        <v>3471</v>
      </c>
      <c r="E1887" t="s">
        <v>5566</v>
      </c>
      <c r="F1887">
        <v>0</v>
      </c>
      <c r="G1887">
        <v>0</v>
      </c>
    </row>
    <row r="1888" spans="1:7" x14ac:dyDescent="0.2">
      <c r="A1888" t="s">
        <v>2338</v>
      </c>
      <c r="B1888" t="s">
        <v>2339</v>
      </c>
      <c r="C1888" t="s">
        <v>2146</v>
      </c>
      <c r="D1888" t="s">
        <v>8</v>
      </c>
      <c r="E1888" t="s">
        <v>5567</v>
      </c>
      <c r="F1888">
        <v>1.6666666666666667</v>
      </c>
      <c r="G1888">
        <v>59</v>
      </c>
    </row>
    <row r="1889" spans="1:7" x14ac:dyDescent="0.2">
      <c r="A1889" t="s">
        <v>2338</v>
      </c>
      <c r="B1889" t="s">
        <v>2339</v>
      </c>
      <c r="C1889" t="s">
        <v>2146</v>
      </c>
      <c r="D1889" t="s">
        <v>3469</v>
      </c>
    </row>
    <row r="1890" spans="1:7" x14ac:dyDescent="0.2">
      <c r="A1890" t="s">
        <v>2338</v>
      </c>
      <c r="B1890" t="s">
        <v>2339</v>
      </c>
      <c r="C1890" t="s">
        <v>2146</v>
      </c>
      <c r="D1890" t="s">
        <v>12</v>
      </c>
      <c r="F1890">
        <v>0</v>
      </c>
      <c r="G1890">
        <v>8</v>
      </c>
    </row>
    <row r="1891" spans="1:7" x14ac:dyDescent="0.2">
      <c r="A1891" t="s">
        <v>2336</v>
      </c>
      <c r="B1891" t="s">
        <v>2337</v>
      </c>
      <c r="C1891" t="s">
        <v>2146</v>
      </c>
      <c r="D1891" t="s">
        <v>11</v>
      </c>
      <c r="E1891" t="s">
        <v>5568</v>
      </c>
    </row>
    <row r="1892" spans="1:7" x14ac:dyDescent="0.2">
      <c r="A1892" t="s">
        <v>2336</v>
      </c>
      <c r="B1892" t="s">
        <v>2337</v>
      </c>
      <c r="C1892" t="s">
        <v>2146</v>
      </c>
      <c r="D1892" t="s">
        <v>14</v>
      </c>
    </row>
    <row r="1893" spans="1:7" x14ac:dyDescent="0.2">
      <c r="A1893" t="s">
        <v>2336</v>
      </c>
      <c r="B1893" t="s">
        <v>2337</v>
      </c>
      <c r="C1893" t="s">
        <v>2146</v>
      </c>
      <c r="D1893" t="s">
        <v>10</v>
      </c>
      <c r="E1893" t="s">
        <v>5569</v>
      </c>
    </row>
    <row r="1894" spans="1:7" x14ac:dyDescent="0.2">
      <c r="A1894" t="s">
        <v>2336</v>
      </c>
      <c r="B1894" t="s">
        <v>2337</v>
      </c>
      <c r="C1894" t="s">
        <v>2146</v>
      </c>
      <c r="D1894" t="s">
        <v>3471</v>
      </c>
      <c r="E1894" t="s">
        <v>5570</v>
      </c>
      <c r="F1894">
        <v>0</v>
      </c>
      <c r="G1894">
        <v>0</v>
      </c>
    </row>
    <row r="1895" spans="1:7" x14ac:dyDescent="0.2">
      <c r="A1895" t="s">
        <v>2336</v>
      </c>
      <c r="B1895" t="s">
        <v>2337</v>
      </c>
      <c r="C1895" t="s">
        <v>2146</v>
      </c>
      <c r="D1895" t="s">
        <v>8</v>
      </c>
      <c r="E1895" t="s">
        <v>5571</v>
      </c>
      <c r="F1895">
        <v>0.16666666666666666</v>
      </c>
      <c r="G1895">
        <v>0</v>
      </c>
    </row>
    <row r="1896" spans="1:7" x14ac:dyDescent="0.2">
      <c r="A1896" t="s">
        <v>2336</v>
      </c>
      <c r="B1896" t="s">
        <v>2337</v>
      </c>
      <c r="C1896" t="s">
        <v>2146</v>
      </c>
      <c r="D1896" t="s">
        <v>3469</v>
      </c>
    </row>
    <row r="1897" spans="1:7" x14ac:dyDescent="0.2">
      <c r="A1897" t="s">
        <v>2336</v>
      </c>
      <c r="B1897" t="s">
        <v>2337</v>
      </c>
      <c r="C1897" t="s">
        <v>2146</v>
      </c>
      <c r="D1897" t="s">
        <v>12</v>
      </c>
      <c r="F1897">
        <v>0.16666666666666666</v>
      </c>
      <c r="G1897">
        <v>1</v>
      </c>
    </row>
    <row r="1898" spans="1:7" x14ac:dyDescent="0.2">
      <c r="A1898" t="s">
        <v>2340</v>
      </c>
      <c r="B1898" t="s">
        <v>2341</v>
      </c>
      <c r="C1898" t="s">
        <v>2146</v>
      </c>
      <c r="D1898" t="s">
        <v>11</v>
      </c>
      <c r="E1898" t="s">
        <v>5572</v>
      </c>
    </row>
    <row r="1899" spans="1:7" x14ac:dyDescent="0.2">
      <c r="A1899" t="s">
        <v>2340</v>
      </c>
      <c r="B1899" t="s">
        <v>2341</v>
      </c>
      <c r="C1899" t="s">
        <v>2146</v>
      </c>
      <c r="D1899" t="s">
        <v>10</v>
      </c>
      <c r="E1899" t="s">
        <v>5573</v>
      </c>
    </row>
    <row r="1900" spans="1:7" x14ac:dyDescent="0.2">
      <c r="A1900" t="s">
        <v>2340</v>
      </c>
      <c r="B1900" t="s">
        <v>2341</v>
      </c>
      <c r="C1900" t="s">
        <v>2146</v>
      </c>
      <c r="D1900" t="s">
        <v>3471</v>
      </c>
      <c r="E1900" t="s">
        <v>5574</v>
      </c>
      <c r="F1900">
        <v>0</v>
      </c>
      <c r="G1900">
        <v>0</v>
      </c>
    </row>
    <row r="1901" spans="1:7" x14ac:dyDescent="0.2">
      <c r="A1901" t="s">
        <v>2340</v>
      </c>
      <c r="B1901" t="s">
        <v>2341</v>
      </c>
      <c r="C1901" t="s">
        <v>2146</v>
      </c>
      <c r="D1901" t="s">
        <v>3469</v>
      </c>
    </row>
    <row r="1902" spans="1:7" x14ac:dyDescent="0.2">
      <c r="A1902" t="s">
        <v>2340</v>
      </c>
      <c r="B1902" t="s">
        <v>2341</v>
      </c>
      <c r="C1902" t="s">
        <v>2146</v>
      </c>
      <c r="D1902" t="s">
        <v>12</v>
      </c>
      <c r="F1902">
        <v>0</v>
      </c>
      <c r="G1902">
        <v>1</v>
      </c>
    </row>
    <row r="1903" spans="1:7" x14ac:dyDescent="0.2">
      <c r="A1903" t="s">
        <v>2242</v>
      </c>
      <c r="B1903" t="s">
        <v>2243</v>
      </c>
      <c r="C1903" t="s">
        <v>2146</v>
      </c>
      <c r="D1903" t="s">
        <v>11</v>
      </c>
      <c r="E1903" t="s">
        <v>5575</v>
      </c>
      <c r="F1903">
        <v>0.33333333333333331</v>
      </c>
      <c r="G1903">
        <v>2</v>
      </c>
    </row>
    <row r="1904" spans="1:7" x14ac:dyDescent="0.2">
      <c r="A1904" t="s">
        <v>2242</v>
      </c>
      <c r="B1904" t="s">
        <v>2243</v>
      </c>
      <c r="C1904" t="s">
        <v>2146</v>
      </c>
      <c r="D1904" t="s">
        <v>5339</v>
      </c>
      <c r="E1904" t="s">
        <v>5576</v>
      </c>
      <c r="F1904">
        <v>0.16666666666666666</v>
      </c>
      <c r="G1904">
        <v>2</v>
      </c>
    </row>
    <row r="1905" spans="1:7" x14ac:dyDescent="0.2">
      <c r="A1905" t="s">
        <v>2242</v>
      </c>
      <c r="B1905" t="s">
        <v>2243</v>
      </c>
      <c r="C1905" t="s">
        <v>2146</v>
      </c>
      <c r="D1905" t="s">
        <v>10</v>
      </c>
      <c r="E1905" t="s">
        <v>5577</v>
      </c>
    </row>
    <row r="1906" spans="1:7" x14ac:dyDescent="0.2">
      <c r="A1906" t="s">
        <v>2242</v>
      </c>
      <c r="B1906" t="s">
        <v>2243</v>
      </c>
      <c r="C1906" t="s">
        <v>2146</v>
      </c>
      <c r="D1906" t="s">
        <v>3471</v>
      </c>
      <c r="E1906" t="s">
        <v>5578</v>
      </c>
    </row>
    <row r="1907" spans="1:7" x14ac:dyDescent="0.2">
      <c r="A1907" t="s">
        <v>2242</v>
      </c>
      <c r="B1907" t="s">
        <v>2243</v>
      </c>
      <c r="C1907" t="s">
        <v>2146</v>
      </c>
      <c r="D1907" t="s">
        <v>8</v>
      </c>
      <c r="E1907" t="s">
        <v>5579</v>
      </c>
    </row>
    <row r="1908" spans="1:7" x14ac:dyDescent="0.2">
      <c r="A1908" t="s">
        <v>2242</v>
      </c>
      <c r="B1908" t="s">
        <v>2243</v>
      </c>
      <c r="C1908" t="s">
        <v>2146</v>
      </c>
      <c r="D1908" t="s">
        <v>3469</v>
      </c>
    </row>
    <row r="1909" spans="1:7" x14ac:dyDescent="0.2">
      <c r="A1909" t="s">
        <v>2242</v>
      </c>
      <c r="B1909" t="s">
        <v>2243</v>
      </c>
      <c r="C1909" t="s">
        <v>2146</v>
      </c>
      <c r="D1909" t="s">
        <v>12</v>
      </c>
    </row>
    <row r="1910" spans="1:7" x14ac:dyDescent="0.2">
      <c r="A1910" t="s">
        <v>2252</v>
      </c>
      <c r="B1910" t="s">
        <v>2253</v>
      </c>
      <c r="C1910" t="s">
        <v>2146</v>
      </c>
      <c r="D1910" t="s">
        <v>11</v>
      </c>
      <c r="E1910" t="s">
        <v>5580</v>
      </c>
    </row>
    <row r="1911" spans="1:7" x14ac:dyDescent="0.2">
      <c r="A1911" t="s">
        <v>2252</v>
      </c>
      <c r="B1911" t="s">
        <v>2253</v>
      </c>
      <c r="C1911" t="s">
        <v>2146</v>
      </c>
      <c r="D1911" t="s">
        <v>5339</v>
      </c>
      <c r="E1911" t="s">
        <v>5581</v>
      </c>
      <c r="F1911">
        <v>0.33333333333333331</v>
      </c>
      <c r="G1911">
        <v>2</v>
      </c>
    </row>
    <row r="1912" spans="1:7" x14ac:dyDescent="0.2">
      <c r="A1912" t="s">
        <v>2252</v>
      </c>
      <c r="B1912" t="s">
        <v>2253</v>
      </c>
      <c r="C1912" t="s">
        <v>2146</v>
      </c>
      <c r="D1912" t="s">
        <v>10</v>
      </c>
      <c r="E1912" t="s">
        <v>5582</v>
      </c>
    </row>
    <row r="1913" spans="1:7" x14ac:dyDescent="0.2">
      <c r="A1913" t="s">
        <v>2252</v>
      </c>
      <c r="B1913" t="s">
        <v>2253</v>
      </c>
      <c r="C1913" t="s">
        <v>2146</v>
      </c>
      <c r="D1913" t="s">
        <v>12</v>
      </c>
    </row>
    <row r="1914" spans="1:7" x14ac:dyDescent="0.2">
      <c r="A1914" t="s">
        <v>2254</v>
      </c>
      <c r="B1914" t="s">
        <v>2255</v>
      </c>
      <c r="C1914" t="s">
        <v>2146</v>
      </c>
      <c r="D1914" t="s">
        <v>11</v>
      </c>
      <c r="E1914" t="s">
        <v>5583</v>
      </c>
    </row>
    <row r="1915" spans="1:7" x14ac:dyDescent="0.2">
      <c r="A1915" t="s">
        <v>2254</v>
      </c>
      <c r="B1915" t="s">
        <v>2255</v>
      </c>
      <c r="C1915" t="s">
        <v>2146</v>
      </c>
      <c r="D1915" t="s">
        <v>5339</v>
      </c>
      <c r="E1915" t="s">
        <v>5584</v>
      </c>
    </row>
    <row r="1916" spans="1:7" x14ac:dyDescent="0.2">
      <c r="A1916" t="s">
        <v>2254</v>
      </c>
      <c r="B1916" t="s">
        <v>2255</v>
      </c>
      <c r="C1916" t="s">
        <v>2146</v>
      </c>
      <c r="D1916" t="s">
        <v>10</v>
      </c>
      <c r="E1916" t="s">
        <v>5585</v>
      </c>
    </row>
    <row r="1917" spans="1:7" x14ac:dyDescent="0.2">
      <c r="A1917" t="s">
        <v>2254</v>
      </c>
      <c r="B1917" t="s">
        <v>2255</v>
      </c>
      <c r="C1917" t="s">
        <v>2146</v>
      </c>
      <c r="D1917" t="s">
        <v>3471</v>
      </c>
      <c r="E1917" t="s">
        <v>5586</v>
      </c>
    </row>
    <row r="1918" spans="1:7" x14ac:dyDescent="0.2">
      <c r="A1918" t="s">
        <v>2254</v>
      </c>
      <c r="B1918" t="s">
        <v>2255</v>
      </c>
      <c r="C1918" t="s">
        <v>2146</v>
      </c>
      <c r="D1918" t="s">
        <v>8</v>
      </c>
      <c r="E1918" t="s">
        <v>5587</v>
      </c>
    </row>
    <row r="1919" spans="1:7" x14ac:dyDescent="0.2">
      <c r="A1919" t="s">
        <v>2254</v>
      </c>
      <c r="B1919" t="s">
        <v>2255</v>
      </c>
      <c r="C1919" t="s">
        <v>2146</v>
      </c>
      <c r="D1919" t="s">
        <v>12</v>
      </c>
    </row>
    <row r="1920" spans="1:7" x14ac:dyDescent="0.2">
      <c r="A1920" t="s">
        <v>2264</v>
      </c>
      <c r="B1920" t="s">
        <v>2265</v>
      </c>
      <c r="C1920" t="s">
        <v>2146</v>
      </c>
      <c r="D1920" t="s">
        <v>11</v>
      </c>
      <c r="E1920" t="s">
        <v>5588</v>
      </c>
    </row>
    <row r="1921" spans="1:7" x14ac:dyDescent="0.2">
      <c r="A1921" t="s">
        <v>2264</v>
      </c>
      <c r="B1921" t="s">
        <v>2265</v>
      </c>
      <c r="C1921" t="s">
        <v>2146</v>
      </c>
      <c r="D1921" t="s">
        <v>5339</v>
      </c>
      <c r="E1921" t="s">
        <v>5589</v>
      </c>
    </row>
    <row r="1922" spans="1:7" x14ac:dyDescent="0.2">
      <c r="A1922" t="s">
        <v>2264</v>
      </c>
      <c r="B1922" t="s">
        <v>2265</v>
      </c>
      <c r="C1922" t="s">
        <v>2146</v>
      </c>
      <c r="D1922" t="s">
        <v>10</v>
      </c>
      <c r="E1922" t="s">
        <v>5590</v>
      </c>
    </row>
    <row r="1923" spans="1:7" x14ac:dyDescent="0.2">
      <c r="A1923" t="s">
        <v>2346</v>
      </c>
      <c r="B1923" t="s">
        <v>2347</v>
      </c>
      <c r="C1923" t="s">
        <v>2146</v>
      </c>
      <c r="D1923" t="s">
        <v>11</v>
      </c>
      <c r="E1923" t="s">
        <v>5591</v>
      </c>
    </row>
    <row r="1924" spans="1:7" x14ac:dyDescent="0.2">
      <c r="A1924" t="s">
        <v>2346</v>
      </c>
      <c r="B1924" t="s">
        <v>2347</v>
      </c>
      <c r="C1924" t="s">
        <v>2146</v>
      </c>
      <c r="D1924" t="s">
        <v>5339</v>
      </c>
      <c r="E1924" t="s">
        <v>5592</v>
      </c>
      <c r="F1924">
        <v>3.6666666666666665</v>
      </c>
      <c r="G1924">
        <v>29</v>
      </c>
    </row>
    <row r="1925" spans="1:7" x14ac:dyDescent="0.2">
      <c r="A1925" t="s">
        <v>2346</v>
      </c>
      <c r="B1925" t="s">
        <v>2347</v>
      </c>
      <c r="C1925" t="s">
        <v>2146</v>
      </c>
      <c r="D1925" t="s">
        <v>14</v>
      </c>
      <c r="F1925">
        <v>0</v>
      </c>
      <c r="G1925">
        <v>1</v>
      </c>
    </row>
    <row r="1926" spans="1:7" x14ac:dyDescent="0.2">
      <c r="A1926" t="s">
        <v>2346</v>
      </c>
      <c r="B1926" t="s">
        <v>2347</v>
      </c>
      <c r="C1926" t="s">
        <v>2146</v>
      </c>
      <c r="D1926" t="s">
        <v>10</v>
      </c>
      <c r="E1926" t="s">
        <v>5593</v>
      </c>
      <c r="F1926">
        <v>0.16666666666666666</v>
      </c>
      <c r="G1926">
        <v>1</v>
      </c>
    </row>
    <row r="1927" spans="1:7" x14ac:dyDescent="0.2">
      <c r="A1927" t="s">
        <v>2346</v>
      </c>
      <c r="B1927" t="s">
        <v>2347</v>
      </c>
      <c r="C1927" t="s">
        <v>2146</v>
      </c>
      <c r="D1927" t="s">
        <v>3471</v>
      </c>
      <c r="E1927" t="s">
        <v>5594</v>
      </c>
      <c r="F1927">
        <v>0</v>
      </c>
      <c r="G1927">
        <v>1</v>
      </c>
    </row>
    <row r="1928" spans="1:7" x14ac:dyDescent="0.2">
      <c r="A1928" t="s">
        <v>2346</v>
      </c>
      <c r="B1928" t="s">
        <v>2347</v>
      </c>
      <c r="C1928" t="s">
        <v>2146</v>
      </c>
      <c r="D1928" t="s">
        <v>3469</v>
      </c>
      <c r="F1928">
        <v>0</v>
      </c>
      <c r="G1928">
        <v>1</v>
      </c>
    </row>
    <row r="1929" spans="1:7" x14ac:dyDescent="0.2">
      <c r="A1929" t="s">
        <v>2346</v>
      </c>
      <c r="B1929" t="s">
        <v>2347</v>
      </c>
      <c r="C1929" t="s">
        <v>2146</v>
      </c>
      <c r="D1929" t="s">
        <v>12</v>
      </c>
      <c r="F1929">
        <v>0</v>
      </c>
      <c r="G1929">
        <v>10</v>
      </c>
    </row>
    <row r="1930" spans="1:7" x14ac:dyDescent="0.2">
      <c r="A1930" t="s">
        <v>2360</v>
      </c>
      <c r="B1930" t="s">
        <v>2361</v>
      </c>
      <c r="C1930" t="s">
        <v>2146</v>
      </c>
      <c r="D1930" t="s">
        <v>11</v>
      </c>
      <c r="E1930" t="s">
        <v>5595</v>
      </c>
    </row>
    <row r="1931" spans="1:7" x14ac:dyDescent="0.2">
      <c r="A1931" t="s">
        <v>2360</v>
      </c>
      <c r="B1931" t="s">
        <v>2361</v>
      </c>
      <c r="C1931" t="s">
        <v>2146</v>
      </c>
      <c r="D1931" t="s">
        <v>5339</v>
      </c>
      <c r="E1931" t="s">
        <v>5596</v>
      </c>
      <c r="F1931">
        <v>5.666666666666667</v>
      </c>
      <c r="G1931">
        <v>51</v>
      </c>
    </row>
    <row r="1932" spans="1:7" x14ac:dyDescent="0.2">
      <c r="A1932" t="s">
        <v>2360</v>
      </c>
      <c r="B1932" t="s">
        <v>2361</v>
      </c>
      <c r="C1932" t="s">
        <v>2146</v>
      </c>
      <c r="D1932" t="s">
        <v>14</v>
      </c>
      <c r="F1932">
        <v>0</v>
      </c>
      <c r="G1932">
        <v>6</v>
      </c>
    </row>
    <row r="1933" spans="1:7" x14ac:dyDescent="0.2">
      <c r="A1933" t="s">
        <v>2360</v>
      </c>
      <c r="B1933" t="s">
        <v>2361</v>
      </c>
      <c r="C1933" t="s">
        <v>2146</v>
      </c>
      <c r="D1933" t="s">
        <v>3494</v>
      </c>
    </row>
    <row r="1934" spans="1:7" x14ac:dyDescent="0.2">
      <c r="A1934" t="s">
        <v>2360</v>
      </c>
      <c r="B1934" t="s">
        <v>2361</v>
      </c>
      <c r="C1934" t="s">
        <v>2146</v>
      </c>
      <c r="D1934" t="s">
        <v>10</v>
      </c>
      <c r="E1934" t="s">
        <v>5597</v>
      </c>
      <c r="F1934">
        <v>0</v>
      </c>
      <c r="G1934">
        <v>5</v>
      </c>
    </row>
    <row r="1935" spans="1:7" x14ac:dyDescent="0.2">
      <c r="A1935" t="s">
        <v>2360</v>
      </c>
      <c r="B1935" t="s">
        <v>2361</v>
      </c>
      <c r="C1935" t="s">
        <v>2146</v>
      </c>
      <c r="D1935" t="s">
        <v>3471</v>
      </c>
      <c r="E1935" t="s">
        <v>5598</v>
      </c>
      <c r="F1935">
        <v>0</v>
      </c>
      <c r="G1935">
        <v>0</v>
      </c>
    </row>
    <row r="1936" spans="1:7" x14ac:dyDescent="0.2">
      <c r="A1936" t="s">
        <v>2360</v>
      </c>
      <c r="B1936" t="s">
        <v>2361</v>
      </c>
      <c r="C1936" t="s">
        <v>2146</v>
      </c>
      <c r="D1936" t="s">
        <v>8</v>
      </c>
      <c r="E1936" t="s">
        <v>5599</v>
      </c>
      <c r="F1936">
        <v>0.83333333333333337</v>
      </c>
      <c r="G1936">
        <v>84</v>
      </c>
    </row>
    <row r="1937" spans="1:7" x14ac:dyDescent="0.2">
      <c r="A1937" t="s">
        <v>2360</v>
      </c>
      <c r="B1937" t="s">
        <v>2361</v>
      </c>
      <c r="C1937" t="s">
        <v>2146</v>
      </c>
      <c r="D1937" t="s">
        <v>3469</v>
      </c>
    </row>
    <row r="1938" spans="1:7" x14ac:dyDescent="0.2">
      <c r="A1938" t="s">
        <v>2360</v>
      </c>
      <c r="B1938" t="s">
        <v>2361</v>
      </c>
      <c r="C1938" t="s">
        <v>2146</v>
      </c>
      <c r="D1938" t="s">
        <v>12</v>
      </c>
      <c r="F1938">
        <v>0.16666666666666666</v>
      </c>
      <c r="G1938">
        <v>7</v>
      </c>
    </row>
    <row r="1939" spans="1:7" x14ac:dyDescent="0.2">
      <c r="A1939" t="s">
        <v>2348</v>
      </c>
      <c r="B1939" t="s">
        <v>2349</v>
      </c>
      <c r="C1939" t="s">
        <v>2146</v>
      </c>
      <c r="D1939" t="s">
        <v>11</v>
      </c>
      <c r="E1939" t="s">
        <v>5600</v>
      </c>
    </row>
    <row r="1940" spans="1:7" x14ac:dyDescent="0.2">
      <c r="A1940" t="s">
        <v>2348</v>
      </c>
      <c r="B1940" t="s">
        <v>2349</v>
      </c>
      <c r="C1940" t="s">
        <v>2146</v>
      </c>
      <c r="D1940" t="s">
        <v>10</v>
      </c>
      <c r="E1940" t="s">
        <v>5601</v>
      </c>
      <c r="F1940">
        <v>0</v>
      </c>
      <c r="G1940">
        <v>2</v>
      </c>
    </row>
    <row r="1941" spans="1:7" x14ac:dyDescent="0.2">
      <c r="A1941" t="s">
        <v>2348</v>
      </c>
      <c r="B1941" t="s">
        <v>2349</v>
      </c>
      <c r="C1941" t="s">
        <v>2146</v>
      </c>
      <c r="D1941" t="s">
        <v>3471</v>
      </c>
      <c r="E1941" t="s">
        <v>5602</v>
      </c>
      <c r="F1941">
        <v>0.16666666666666666</v>
      </c>
      <c r="G1941">
        <v>0</v>
      </c>
    </row>
    <row r="1942" spans="1:7" x14ac:dyDescent="0.2">
      <c r="A1942" t="s">
        <v>2348</v>
      </c>
      <c r="B1942" t="s">
        <v>2349</v>
      </c>
      <c r="C1942" t="s">
        <v>2146</v>
      </c>
      <c r="D1942" t="s">
        <v>3469</v>
      </c>
      <c r="F1942">
        <v>0</v>
      </c>
      <c r="G1942">
        <v>4</v>
      </c>
    </row>
    <row r="1943" spans="1:7" x14ac:dyDescent="0.2">
      <c r="A1943" t="s">
        <v>2362</v>
      </c>
      <c r="B1943" t="s">
        <v>2363</v>
      </c>
      <c r="C1943" t="s">
        <v>2146</v>
      </c>
      <c r="D1943" t="s">
        <v>11</v>
      </c>
      <c r="E1943" t="s">
        <v>5603</v>
      </c>
    </row>
    <row r="1944" spans="1:7" x14ac:dyDescent="0.2">
      <c r="A1944" t="s">
        <v>2362</v>
      </c>
      <c r="B1944" t="s">
        <v>2363</v>
      </c>
      <c r="C1944" t="s">
        <v>2146</v>
      </c>
      <c r="D1944" t="s">
        <v>10</v>
      </c>
      <c r="E1944" t="s">
        <v>5604</v>
      </c>
    </row>
    <row r="1945" spans="1:7" x14ac:dyDescent="0.2">
      <c r="A1945" t="s">
        <v>2362</v>
      </c>
      <c r="B1945" t="s">
        <v>2363</v>
      </c>
      <c r="C1945" t="s">
        <v>2146</v>
      </c>
      <c r="D1945" t="s">
        <v>3471</v>
      </c>
      <c r="E1945" t="s">
        <v>5605</v>
      </c>
      <c r="F1945">
        <v>0</v>
      </c>
      <c r="G1945">
        <v>0</v>
      </c>
    </row>
    <row r="1946" spans="1:7" x14ac:dyDescent="0.2">
      <c r="A1946" t="s">
        <v>2362</v>
      </c>
      <c r="B1946" t="s">
        <v>2363</v>
      </c>
      <c r="C1946" t="s">
        <v>2146</v>
      </c>
      <c r="D1946" t="s">
        <v>8</v>
      </c>
      <c r="E1946" t="s">
        <v>5606</v>
      </c>
    </row>
    <row r="1947" spans="1:7" x14ac:dyDescent="0.2">
      <c r="A1947" t="s">
        <v>2362</v>
      </c>
      <c r="B1947" t="s">
        <v>2363</v>
      </c>
      <c r="C1947" t="s">
        <v>2146</v>
      </c>
      <c r="D1947" t="s">
        <v>3469</v>
      </c>
    </row>
    <row r="1948" spans="1:7" x14ac:dyDescent="0.2">
      <c r="A1948" t="s">
        <v>2358</v>
      </c>
      <c r="B1948" t="s">
        <v>2359</v>
      </c>
      <c r="C1948" t="s">
        <v>2146</v>
      </c>
      <c r="D1948" t="s">
        <v>11</v>
      </c>
      <c r="E1948" t="s">
        <v>5607</v>
      </c>
    </row>
    <row r="1949" spans="1:7" x14ac:dyDescent="0.2">
      <c r="A1949" t="s">
        <v>2358</v>
      </c>
      <c r="B1949" t="s">
        <v>2359</v>
      </c>
      <c r="C1949" t="s">
        <v>2146</v>
      </c>
      <c r="D1949" t="s">
        <v>14</v>
      </c>
      <c r="F1949">
        <v>0</v>
      </c>
      <c r="G1949">
        <v>12</v>
      </c>
    </row>
    <row r="1950" spans="1:7" x14ac:dyDescent="0.2">
      <c r="A1950" t="s">
        <v>2358</v>
      </c>
      <c r="B1950" t="s">
        <v>2359</v>
      </c>
      <c r="C1950" t="s">
        <v>2146</v>
      </c>
      <c r="D1950" t="s">
        <v>10</v>
      </c>
      <c r="E1950" t="s">
        <v>5608</v>
      </c>
    </row>
    <row r="1951" spans="1:7" x14ac:dyDescent="0.2">
      <c r="A1951" t="s">
        <v>2358</v>
      </c>
      <c r="B1951" t="s">
        <v>2359</v>
      </c>
      <c r="C1951" t="s">
        <v>2146</v>
      </c>
      <c r="D1951" t="s">
        <v>3471</v>
      </c>
      <c r="E1951" t="s">
        <v>5609</v>
      </c>
      <c r="F1951">
        <v>0</v>
      </c>
      <c r="G1951">
        <v>0</v>
      </c>
    </row>
    <row r="1952" spans="1:7" x14ac:dyDescent="0.2">
      <c r="A1952" t="s">
        <v>2358</v>
      </c>
      <c r="B1952" t="s">
        <v>2359</v>
      </c>
      <c r="C1952" t="s">
        <v>2146</v>
      </c>
      <c r="D1952" t="s">
        <v>3469</v>
      </c>
    </row>
    <row r="1953" spans="1:7" x14ac:dyDescent="0.2">
      <c r="A1953" t="s">
        <v>2358</v>
      </c>
      <c r="B1953" t="s">
        <v>2359</v>
      </c>
      <c r="C1953" t="s">
        <v>2146</v>
      </c>
      <c r="D1953" t="s">
        <v>12</v>
      </c>
      <c r="F1953">
        <v>0</v>
      </c>
      <c r="G1953">
        <v>0</v>
      </c>
    </row>
    <row r="1954" spans="1:7" x14ac:dyDescent="0.2">
      <c r="A1954" t="s">
        <v>2356</v>
      </c>
      <c r="B1954" t="s">
        <v>2357</v>
      </c>
      <c r="C1954" t="s">
        <v>2146</v>
      </c>
      <c r="D1954" t="s">
        <v>11</v>
      </c>
      <c r="E1954" t="s">
        <v>5610</v>
      </c>
    </row>
    <row r="1955" spans="1:7" x14ac:dyDescent="0.2">
      <c r="A1955" t="s">
        <v>2356</v>
      </c>
      <c r="B1955" t="s">
        <v>2357</v>
      </c>
      <c r="C1955" t="s">
        <v>2146</v>
      </c>
      <c r="D1955" t="s">
        <v>10</v>
      </c>
      <c r="E1955" t="s">
        <v>5611</v>
      </c>
    </row>
    <row r="1956" spans="1:7" x14ac:dyDescent="0.2">
      <c r="A1956" t="s">
        <v>2356</v>
      </c>
      <c r="B1956" t="s">
        <v>2357</v>
      </c>
      <c r="C1956" t="s">
        <v>2146</v>
      </c>
      <c r="D1956" t="s">
        <v>3471</v>
      </c>
      <c r="E1956" t="s">
        <v>5612</v>
      </c>
      <c r="F1956">
        <v>0</v>
      </c>
      <c r="G1956">
        <v>0</v>
      </c>
    </row>
    <row r="1957" spans="1:7" x14ac:dyDescent="0.2">
      <c r="A1957" t="s">
        <v>2356</v>
      </c>
      <c r="B1957" t="s">
        <v>2357</v>
      </c>
      <c r="C1957" t="s">
        <v>2146</v>
      </c>
      <c r="D1957" t="s">
        <v>3469</v>
      </c>
      <c r="F1957">
        <v>0</v>
      </c>
      <c r="G1957">
        <v>3</v>
      </c>
    </row>
    <row r="1958" spans="1:7" x14ac:dyDescent="0.2">
      <c r="A1958" t="s">
        <v>2356</v>
      </c>
      <c r="B1958" t="s">
        <v>2357</v>
      </c>
      <c r="C1958" t="s">
        <v>2146</v>
      </c>
      <c r="D1958" t="s">
        <v>12</v>
      </c>
    </row>
    <row r="1959" spans="1:7" x14ac:dyDescent="0.2">
      <c r="A1959" t="s">
        <v>2354</v>
      </c>
      <c r="B1959" t="s">
        <v>2355</v>
      </c>
      <c r="C1959" t="s">
        <v>2146</v>
      </c>
      <c r="D1959" t="s">
        <v>11</v>
      </c>
    </row>
    <row r="1960" spans="1:7" x14ac:dyDescent="0.2">
      <c r="A1960" t="s">
        <v>2354</v>
      </c>
      <c r="B1960" t="s">
        <v>2355</v>
      </c>
      <c r="C1960" t="s">
        <v>2146</v>
      </c>
      <c r="D1960" t="s">
        <v>11</v>
      </c>
      <c r="E1960" t="s">
        <v>5613</v>
      </c>
    </row>
    <row r="1961" spans="1:7" x14ac:dyDescent="0.2">
      <c r="A1961" t="s">
        <v>2354</v>
      </c>
      <c r="B1961" t="s">
        <v>2355</v>
      </c>
      <c r="C1961" t="s">
        <v>2146</v>
      </c>
      <c r="D1961" t="s">
        <v>10</v>
      </c>
      <c r="E1961" t="s">
        <v>5614</v>
      </c>
      <c r="F1961">
        <v>0.16666666666666666</v>
      </c>
      <c r="G1961">
        <v>5</v>
      </c>
    </row>
    <row r="1962" spans="1:7" x14ac:dyDescent="0.2">
      <c r="A1962" t="s">
        <v>2354</v>
      </c>
      <c r="B1962" t="s">
        <v>2355</v>
      </c>
      <c r="C1962" t="s">
        <v>2146</v>
      </c>
      <c r="D1962" t="s">
        <v>3471</v>
      </c>
      <c r="E1962" t="s">
        <v>5615</v>
      </c>
      <c r="F1962">
        <v>0</v>
      </c>
      <c r="G1962">
        <v>0</v>
      </c>
    </row>
    <row r="1963" spans="1:7" x14ac:dyDescent="0.2">
      <c r="A1963" t="s">
        <v>2354</v>
      </c>
      <c r="B1963" t="s">
        <v>2355</v>
      </c>
      <c r="C1963" t="s">
        <v>2146</v>
      </c>
      <c r="D1963" t="s">
        <v>8</v>
      </c>
      <c r="E1963" t="s">
        <v>5616</v>
      </c>
    </row>
    <row r="1964" spans="1:7" x14ac:dyDescent="0.2">
      <c r="A1964" t="s">
        <v>2354</v>
      </c>
      <c r="B1964" t="s">
        <v>2355</v>
      </c>
      <c r="C1964" t="s">
        <v>2146</v>
      </c>
      <c r="D1964" t="s">
        <v>3469</v>
      </c>
      <c r="F1964">
        <v>0.16666666666666666</v>
      </c>
      <c r="G1964">
        <v>0</v>
      </c>
    </row>
    <row r="1965" spans="1:7" x14ac:dyDescent="0.2">
      <c r="A1965" t="s">
        <v>2350</v>
      </c>
      <c r="B1965" t="s">
        <v>2351</v>
      </c>
      <c r="C1965" t="s">
        <v>2146</v>
      </c>
      <c r="D1965" t="s">
        <v>11</v>
      </c>
      <c r="E1965" t="s">
        <v>5617</v>
      </c>
    </row>
    <row r="1966" spans="1:7" x14ac:dyDescent="0.2">
      <c r="A1966" t="s">
        <v>2350</v>
      </c>
      <c r="B1966" t="s">
        <v>2351</v>
      </c>
      <c r="C1966" t="s">
        <v>2146</v>
      </c>
      <c r="D1966" t="s">
        <v>10</v>
      </c>
      <c r="E1966" t="s">
        <v>5618</v>
      </c>
    </row>
    <row r="1967" spans="1:7" x14ac:dyDescent="0.2">
      <c r="A1967" t="s">
        <v>2350</v>
      </c>
      <c r="B1967" t="s">
        <v>2351</v>
      </c>
      <c r="C1967" t="s">
        <v>2146</v>
      </c>
      <c r="D1967" t="s">
        <v>3471</v>
      </c>
      <c r="E1967" t="s">
        <v>5619</v>
      </c>
    </row>
    <row r="1968" spans="1:7" x14ac:dyDescent="0.2">
      <c r="A1968" t="s">
        <v>2350</v>
      </c>
      <c r="B1968" t="s">
        <v>2351</v>
      </c>
      <c r="C1968" t="s">
        <v>2146</v>
      </c>
      <c r="D1968" t="s">
        <v>8</v>
      </c>
      <c r="E1968" t="s">
        <v>5620</v>
      </c>
    </row>
    <row r="1969" spans="1:7" x14ac:dyDescent="0.2">
      <c r="A1969" t="s">
        <v>2350</v>
      </c>
      <c r="B1969" t="s">
        <v>2351</v>
      </c>
      <c r="C1969" t="s">
        <v>2146</v>
      </c>
      <c r="D1969" t="s">
        <v>3469</v>
      </c>
    </row>
    <row r="1970" spans="1:7" x14ac:dyDescent="0.2">
      <c r="A1970" t="s">
        <v>2350</v>
      </c>
      <c r="B1970" t="s">
        <v>2351</v>
      </c>
      <c r="C1970" t="s">
        <v>2146</v>
      </c>
      <c r="D1970" t="s">
        <v>12</v>
      </c>
      <c r="F1970">
        <v>0.16666666666666666</v>
      </c>
      <c r="G1970">
        <v>8</v>
      </c>
    </row>
    <row r="1971" spans="1:7" x14ac:dyDescent="0.2">
      <c r="A1971" t="s">
        <v>2352</v>
      </c>
      <c r="B1971" t="s">
        <v>2353</v>
      </c>
      <c r="C1971" t="s">
        <v>2146</v>
      </c>
      <c r="D1971" t="s">
        <v>11</v>
      </c>
      <c r="E1971" t="s">
        <v>5621</v>
      </c>
    </row>
    <row r="1972" spans="1:7" x14ac:dyDescent="0.2">
      <c r="A1972" t="s">
        <v>2352</v>
      </c>
      <c r="B1972" t="s">
        <v>2353</v>
      </c>
      <c r="C1972" t="s">
        <v>2146</v>
      </c>
      <c r="D1972" t="s">
        <v>14</v>
      </c>
      <c r="F1972">
        <v>0.16666666666666666</v>
      </c>
      <c r="G1972">
        <v>4</v>
      </c>
    </row>
    <row r="1973" spans="1:7" x14ac:dyDescent="0.2">
      <c r="A1973" t="s">
        <v>2352</v>
      </c>
      <c r="B1973" t="s">
        <v>2353</v>
      </c>
      <c r="C1973" t="s">
        <v>2146</v>
      </c>
      <c r="D1973" t="s">
        <v>10</v>
      </c>
      <c r="E1973" t="s">
        <v>5622</v>
      </c>
      <c r="F1973">
        <v>0</v>
      </c>
      <c r="G1973">
        <v>1</v>
      </c>
    </row>
    <row r="1974" spans="1:7" x14ac:dyDescent="0.2">
      <c r="A1974" t="s">
        <v>2352</v>
      </c>
      <c r="B1974" t="s">
        <v>2353</v>
      </c>
      <c r="C1974" t="s">
        <v>2146</v>
      </c>
      <c r="D1974" t="s">
        <v>3471</v>
      </c>
      <c r="E1974" t="s">
        <v>5623</v>
      </c>
    </row>
    <row r="1975" spans="1:7" x14ac:dyDescent="0.2">
      <c r="A1975" t="s">
        <v>2352</v>
      </c>
      <c r="B1975" t="s">
        <v>2353</v>
      </c>
      <c r="C1975" t="s">
        <v>2146</v>
      </c>
      <c r="D1975" t="s">
        <v>12</v>
      </c>
    </row>
    <row r="1976" spans="1:7" x14ac:dyDescent="0.2">
      <c r="A1976" t="s">
        <v>2208</v>
      </c>
      <c r="B1976" t="s">
        <v>2209</v>
      </c>
      <c r="C1976" t="s">
        <v>2146</v>
      </c>
      <c r="D1976" t="s">
        <v>11</v>
      </c>
      <c r="E1976" t="s">
        <v>5624</v>
      </c>
    </row>
    <row r="1977" spans="1:7" x14ac:dyDescent="0.2">
      <c r="A1977" t="s">
        <v>2208</v>
      </c>
      <c r="B1977" t="s">
        <v>2209</v>
      </c>
      <c r="C1977" t="s">
        <v>2146</v>
      </c>
      <c r="D1977" t="s">
        <v>10</v>
      </c>
      <c r="E1977" t="s">
        <v>5625</v>
      </c>
      <c r="F1977">
        <v>0.33333333333333331</v>
      </c>
      <c r="G1977">
        <v>1</v>
      </c>
    </row>
    <row r="1978" spans="1:7" x14ac:dyDescent="0.2">
      <c r="A1978" t="s">
        <v>2208</v>
      </c>
      <c r="B1978" t="s">
        <v>2209</v>
      </c>
      <c r="C1978" t="s">
        <v>2146</v>
      </c>
      <c r="D1978" t="s">
        <v>3471</v>
      </c>
      <c r="E1978" t="s">
        <v>5626</v>
      </c>
      <c r="F1978">
        <v>0</v>
      </c>
      <c r="G1978">
        <v>0</v>
      </c>
    </row>
    <row r="1979" spans="1:7" x14ac:dyDescent="0.2">
      <c r="A1979" t="s">
        <v>2208</v>
      </c>
      <c r="B1979" t="s">
        <v>2209</v>
      </c>
      <c r="C1979" t="s">
        <v>2146</v>
      </c>
      <c r="D1979" t="s">
        <v>8</v>
      </c>
      <c r="E1979" t="s">
        <v>5627</v>
      </c>
    </row>
    <row r="1980" spans="1:7" x14ac:dyDescent="0.2">
      <c r="A1980" t="s">
        <v>2208</v>
      </c>
      <c r="B1980" t="s">
        <v>2209</v>
      </c>
      <c r="C1980" t="s">
        <v>2146</v>
      </c>
      <c r="D1980" t="s">
        <v>3469</v>
      </c>
      <c r="F1980">
        <v>0</v>
      </c>
      <c r="G1980">
        <v>3</v>
      </c>
    </row>
    <row r="1981" spans="1:7" x14ac:dyDescent="0.2">
      <c r="A1981" t="s">
        <v>2208</v>
      </c>
      <c r="B1981" t="s">
        <v>2209</v>
      </c>
      <c r="C1981" t="s">
        <v>2146</v>
      </c>
      <c r="D1981" t="s">
        <v>12</v>
      </c>
    </row>
    <row r="1982" spans="1:7" x14ac:dyDescent="0.2">
      <c r="A1982" t="s">
        <v>2210</v>
      </c>
      <c r="B1982" t="s">
        <v>2211</v>
      </c>
      <c r="C1982" t="s">
        <v>2146</v>
      </c>
      <c r="D1982" t="s">
        <v>11</v>
      </c>
      <c r="E1982" t="s">
        <v>5628</v>
      </c>
    </row>
    <row r="1983" spans="1:7" x14ac:dyDescent="0.2">
      <c r="A1983" t="s">
        <v>2210</v>
      </c>
      <c r="B1983" t="s">
        <v>2211</v>
      </c>
      <c r="C1983" t="s">
        <v>2146</v>
      </c>
      <c r="D1983" t="s">
        <v>10</v>
      </c>
      <c r="E1983" t="s">
        <v>5629</v>
      </c>
    </row>
    <row r="1984" spans="1:7" x14ac:dyDescent="0.2">
      <c r="A1984" t="s">
        <v>2210</v>
      </c>
      <c r="B1984" t="s">
        <v>2211</v>
      </c>
      <c r="C1984" t="s">
        <v>2146</v>
      </c>
      <c r="D1984" t="s">
        <v>3471</v>
      </c>
      <c r="E1984" t="s">
        <v>5630</v>
      </c>
    </row>
    <row r="1985" spans="1:7" x14ac:dyDescent="0.2">
      <c r="A1985" t="s">
        <v>2210</v>
      </c>
      <c r="B1985" t="s">
        <v>2211</v>
      </c>
      <c r="C1985" t="s">
        <v>2146</v>
      </c>
      <c r="D1985" t="s">
        <v>8</v>
      </c>
      <c r="E1985" t="s">
        <v>5631</v>
      </c>
      <c r="F1985">
        <v>0.16666666666666666</v>
      </c>
      <c r="G1985">
        <v>0</v>
      </c>
    </row>
    <row r="1986" spans="1:7" x14ac:dyDescent="0.2">
      <c r="A1986" t="s">
        <v>2210</v>
      </c>
      <c r="B1986" t="s">
        <v>2211</v>
      </c>
      <c r="C1986" t="s">
        <v>2146</v>
      </c>
      <c r="D1986" t="s">
        <v>3469</v>
      </c>
    </row>
    <row r="1987" spans="1:7" x14ac:dyDescent="0.2">
      <c r="A1987" t="s">
        <v>2210</v>
      </c>
      <c r="B1987" t="s">
        <v>2211</v>
      </c>
      <c r="C1987" t="s">
        <v>2146</v>
      </c>
      <c r="D1987" t="s">
        <v>12</v>
      </c>
    </row>
    <row r="1988" spans="1:7" x14ac:dyDescent="0.2">
      <c r="A1988" t="s">
        <v>2232</v>
      </c>
      <c r="B1988" t="s">
        <v>2233</v>
      </c>
      <c r="C1988" t="s">
        <v>2146</v>
      </c>
      <c r="D1988" t="s">
        <v>11</v>
      </c>
      <c r="E1988" t="s">
        <v>5632</v>
      </c>
    </row>
    <row r="1989" spans="1:7" x14ac:dyDescent="0.2">
      <c r="A1989" t="s">
        <v>2232</v>
      </c>
      <c r="B1989" t="s">
        <v>2233</v>
      </c>
      <c r="C1989" t="s">
        <v>2146</v>
      </c>
      <c r="D1989" t="s">
        <v>5339</v>
      </c>
      <c r="E1989" t="s">
        <v>5633</v>
      </c>
      <c r="F1989">
        <v>1.3333333333333333</v>
      </c>
      <c r="G1989">
        <v>244</v>
      </c>
    </row>
    <row r="1990" spans="1:7" x14ac:dyDescent="0.2">
      <c r="A1990" t="s">
        <v>2232</v>
      </c>
      <c r="B1990" t="s">
        <v>2233</v>
      </c>
      <c r="C1990" t="s">
        <v>2146</v>
      </c>
      <c r="D1990" t="s">
        <v>10</v>
      </c>
      <c r="E1990" t="s">
        <v>5634</v>
      </c>
      <c r="F1990">
        <v>0.16666666666666666</v>
      </c>
      <c r="G1990">
        <v>9</v>
      </c>
    </row>
    <row r="1991" spans="1:7" x14ac:dyDescent="0.2">
      <c r="A1991" t="s">
        <v>2232</v>
      </c>
      <c r="B1991" t="s">
        <v>2233</v>
      </c>
      <c r="C1991" t="s">
        <v>2146</v>
      </c>
      <c r="D1991" t="s">
        <v>3471</v>
      </c>
      <c r="E1991" t="s">
        <v>5635</v>
      </c>
    </row>
    <row r="1992" spans="1:7" x14ac:dyDescent="0.2">
      <c r="A1992" t="s">
        <v>2232</v>
      </c>
      <c r="B1992" t="s">
        <v>2233</v>
      </c>
      <c r="C1992" t="s">
        <v>2146</v>
      </c>
      <c r="D1992" t="s">
        <v>8</v>
      </c>
      <c r="E1992" t="s">
        <v>5636</v>
      </c>
    </row>
    <row r="1993" spans="1:7" x14ac:dyDescent="0.2">
      <c r="A1993" t="s">
        <v>2232</v>
      </c>
      <c r="B1993" t="s">
        <v>2233</v>
      </c>
      <c r="C1993" t="s">
        <v>2146</v>
      </c>
      <c r="D1993" t="s">
        <v>3469</v>
      </c>
    </row>
    <row r="1994" spans="1:7" x14ac:dyDescent="0.2">
      <c r="A1994" t="s">
        <v>2232</v>
      </c>
      <c r="B1994" t="s">
        <v>2233</v>
      </c>
      <c r="C1994" t="s">
        <v>2146</v>
      </c>
      <c r="D1994" t="s">
        <v>12</v>
      </c>
    </row>
    <row r="1995" spans="1:7" x14ac:dyDescent="0.2">
      <c r="A1995" t="s">
        <v>2240</v>
      </c>
      <c r="B1995" t="s">
        <v>2241</v>
      </c>
      <c r="C1995" t="s">
        <v>2146</v>
      </c>
      <c r="D1995" t="s">
        <v>11</v>
      </c>
      <c r="E1995" t="s">
        <v>5637</v>
      </c>
    </row>
    <row r="1996" spans="1:7" x14ac:dyDescent="0.2">
      <c r="A1996" t="s">
        <v>2240</v>
      </c>
      <c r="B1996" t="s">
        <v>2241</v>
      </c>
      <c r="C1996" t="s">
        <v>2146</v>
      </c>
      <c r="D1996" t="s">
        <v>5339</v>
      </c>
      <c r="E1996" t="s">
        <v>5638</v>
      </c>
      <c r="F1996">
        <v>0.16666666666666666</v>
      </c>
      <c r="G1996">
        <v>2</v>
      </c>
    </row>
    <row r="1997" spans="1:7" x14ac:dyDescent="0.2">
      <c r="A1997" t="s">
        <v>2240</v>
      </c>
      <c r="B1997" t="s">
        <v>2241</v>
      </c>
      <c r="C1997" t="s">
        <v>2146</v>
      </c>
      <c r="D1997" t="s">
        <v>14</v>
      </c>
    </row>
    <row r="1998" spans="1:7" x14ac:dyDescent="0.2">
      <c r="A1998" t="s">
        <v>2240</v>
      </c>
      <c r="B1998" t="s">
        <v>2241</v>
      </c>
      <c r="C1998" t="s">
        <v>2146</v>
      </c>
      <c r="D1998" t="s">
        <v>10</v>
      </c>
      <c r="E1998" t="s">
        <v>5639</v>
      </c>
    </row>
    <row r="1999" spans="1:7" x14ac:dyDescent="0.2">
      <c r="A1999" t="s">
        <v>2240</v>
      </c>
      <c r="B1999" t="s">
        <v>2241</v>
      </c>
      <c r="C1999" t="s">
        <v>2146</v>
      </c>
      <c r="D1999" t="s">
        <v>3471</v>
      </c>
      <c r="E1999" t="s">
        <v>5640</v>
      </c>
    </row>
    <row r="2000" spans="1:7" x14ac:dyDescent="0.2">
      <c r="A2000" t="s">
        <v>2240</v>
      </c>
      <c r="B2000" t="s">
        <v>2241</v>
      </c>
      <c r="C2000" t="s">
        <v>2146</v>
      </c>
      <c r="D2000" t="s">
        <v>8</v>
      </c>
      <c r="E2000" t="s">
        <v>5641</v>
      </c>
    </row>
    <row r="2001" spans="1:7" x14ac:dyDescent="0.2">
      <c r="A2001" t="s">
        <v>2240</v>
      </c>
      <c r="B2001" t="s">
        <v>2241</v>
      </c>
      <c r="C2001" t="s">
        <v>2146</v>
      </c>
      <c r="D2001" t="s">
        <v>12</v>
      </c>
    </row>
    <row r="2002" spans="1:7" x14ac:dyDescent="0.2">
      <c r="A2002" t="s">
        <v>2302</v>
      </c>
      <c r="B2002" t="s">
        <v>2303</v>
      </c>
      <c r="C2002" t="s">
        <v>2146</v>
      </c>
      <c r="D2002" t="s">
        <v>3471</v>
      </c>
      <c r="E2002" t="s">
        <v>5642</v>
      </c>
      <c r="F2002">
        <v>0</v>
      </c>
      <c r="G2002">
        <v>1</v>
      </c>
    </row>
    <row r="2003" spans="1:7" x14ac:dyDescent="0.2">
      <c r="A2003" t="s">
        <v>2302</v>
      </c>
      <c r="B2003" t="s">
        <v>2303</v>
      </c>
      <c r="C2003" t="s">
        <v>2146</v>
      </c>
      <c r="D2003" t="s">
        <v>3469</v>
      </c>
      <c r="F2003">
        <v>0</v>
      </c>
      <c r="G2003">
        <v>1</v>
      </c>
    </row>
    <row r="2004" spans="1:7" x14ac:dyDescent="0.2">
      <c r="A2004" t="s">
        <v>2304</v>
      </c>
      <c r="B2004" t="s">
        <v>2305</v>
      </c>
      <c r="C2004" t="s">
        <v>2146</v>
      </c>
      <c r="D2004" t="s">
        <v>3471</v>
      </c>
      <c r="E2004" t="s">
        <v>5643</v>
      </c>
      <c r="F2004">
        <v>0</v>
      </c>
      <c r="G2004">
        <v>0</v>
      </c>
    </row>
    <row r="2005" spans="1:7" x14ac:dyDescent="0.2">
      <c r="A2005" t="s">
        <v>2304</v>
      </c>
      <c r="B2005" t="s">
        <v>2305</v>
      </c>
      <c r="C2005" t="s">
        <v>2146</v>
      </c>
      <c r="D2005" t="s">
        <v>3469</v>
      </c>
    </row>
    <row r="2006" spans="1:7" x14ac:dyDescent="0.2">
      <c r="A2006" t="s">
        <v>2286</v>
      </c>
      <c r="B2006" t="s">
        <v>2287</v>
      </c>
      <c r="C2006" t="s">
        <v>2146</v>
      </c>
      <c r="D2006" t="s">
        <v>11</v>
      </c>
      <c r="E2006" t="s">
        <v>5644</v>
      </c>
    </row>
    <row r="2007" spans="1:7" x14ac:dyDescent="0.2">
      <c r="A2007" t="s">
        <v>2286</v>
      </c>
      <c r="B2007" t="s">
        <v>2287</v>
      </c>
      <c r="C2007" t="s">
        <v>2146</v>
      </c>
      <c r="D2007" t="s">
        <v>10</v>
      </c>
      <c r="E2007" t="s">
        <v>5645</v>
      </c>
      <c r="F2007">
        <v>0.16666666666666666</v>
      </c>
      <c r="G2007">
        <v>10</v>
      </c>
    </row>
    <row r="2008" spans="1:7" x14ac:dyDescent="0.2">
      <c r="A2008" t="s">
        <v>2286</v>
      </c>
      <c r="B2008" t="s">
        <v>2287</v>
      </c>
      <c r="C2008" t="s">
        <v>2146</v>
      </c>
      <c r="D2008" t="s">
        <v>3471</v>
      </c>
      <c r="E2008" t="s">
        <v>5646</v>
      </c>
      <c r="F2008">
        <v>0</v>
      </c>
      <c r="G2008">
        <v>0</v>
      </c>
    </row>
    <row r="2009" spans="1:7" x14ac:dyDescent="0.2">
      <c r="A2009" t="s">
        <v>2286</v>
      </c>
      <c r="B2009" t="s">
        <v>2287</v>
      </c>
      <c r="C2009" t="s">
        <v>2146</v>
      </c>
      <c r="D2009" t="s">
        <v>3469</v>
      </c>
    </row>
    <row r="2010" spans="1:7" x14ac:dyDescent="0.2">
      <c r="A2010" t="s">
        <v>2286</v>
      </c>
      <c r="B2010" t="s">
        <v>2287</v>
      </c>
      <c r="C2010" t="s">
        <v>2146</v>
      </c>
      <c r="D2010" t="s">
        <v>12</v>
      </c>
      <c r="F2010">
        <v>0</v>
      </c>
      <c r="G2010">
        <v>1</v>
      </c>
    </row>
    <row r="2011" spans="1:7" x14ac:dyDescent="0.2">
      <c r="A2011" t="s">
        <v>2294</v>
      </c>
      <c r="B2011" t="s">
        <v>2295</v>
      </c>
      <c r="C2011" t="s">
        <v>2146</v>
      </c>
      <c r="D2011" t="s">
        <v>10</v>
      </c>
      <c r="E2011" t="s">
        <v>5647</v>
      </c>
    </row>
    <row r="2012" spans="1:7" x14ac:dyDescent="0.2">
      <c r="A2012" t="s">
        <v>2294</v>
      </c>
      <c r="B2012" t="s">
        <v>2295</v>
      </c>
      <c r="C2012" t="s">
        <v>2146</v>
      </c>
      <c r="D2012" t="s">
        <v>3471</v>
      </c>
      <c r="E2012" t="s">
        <v>5648</v>
      </c>
      <c r="F2012">
        <v>0</v>
      </c>
      <c r="G2012">
        <v>0</v>
      </c>
    </row>
    <row r="2013" spans="1:7" x14ac:dyDescent="0.2">
      <c r="A2013" t="s">
        <v>2294</v>
      </c>
      <c r="B2013" t="s">
        <v>2295</v>
      </c>
      <c r="C2013" t="s">
        <v>2146</v>
      </c>
      <c r="D2013" t="s">
        <v>8</v>
      </c>
      <c r="E2013" t="s">
        <v>5649</v>
      </c>
    </row>
    <row r="2014" spans="1:7" x14ac:dyDescent="0.2">
      <c r="A2014" t="s">
        <v>2294</v>
      </c>
      <c r="B2014" t="s">
        <v>2295</v>
      </c>
      <c r="C2014" t="s">
        <v>2146</v>
      </c>
      <c r="D2014" t="s">
        <v>3469</v>
      </c>
      <c r="F2014">
        <v>0</v>
      </c>
      <c r="G2014">
        <v>2</v>
      </c>
    </row>
    <row r="2015" spans="1:7" x14ac:dyDescent="0.2">
      <c r="A2015" t="s">
        <v>2292</v>
      </c>
      <c r="B2015" t="s">
        <v>2293</v>
      </c>
      <c r="C2015" t="s">
        <v>2146</v>
      </c>
      <c r="D2015" t="s">
        <v>11</v>
      </c>
      <c r="E2015" t="s">
        <v>5650</v>
      </c>
    </row>
    <row r="2016" spans="1:7" x14ac:dyDescent="0.2">
      <c r="A2016" t="s">
        <v>2292</v>
      </c>
      <c r="B2016" t="s">
        <v>2293</v>
      </c>
      <c r="C2016" t="s">
        <v>2146</v>
      </c>
      <c r="D2016" t="s">
        <v>10</v>
      </c>
      <c r="E2016" t="s">
        <v>5651</v>
      </c>
      <c r="F2016">
        <v>0</v>
      </c>
      <c r="G2016">
        <v>7</v>
      </c>
    </row>
    <row r="2017" spans="1:7" x14ac:dyDescent="0.2">
      <c r="A2017" t="s">
        <v>2292</v>
      </c>
      <c r="B2017" t="s">
        <v>2293</v>
      </c>
      <c r="C2017" t="s">
        <v>2146</v>
      </c>
      <c r="D2017" t="s">
        <v>3471</v>
      </c>
      <c r="E2017" t="s">
        <v>5652</v>
      </c>
      <c r="F2017">
        <v>0.33333333333333331</v>
      </c>
      <c r="G2017">
        <v>0</v>
      </c>
    </row>
    <row r="2018" spans="1:7" x14ac:dyDescent="0.2">
      <c r="A2018" t="s">
        <v>2292</v>
      </c>
      <c r="B2018" t="s">
        <v>2293</v>
      </c>
      <c r="C2018" t="s">
        <v>2146</v>
      </c>
      <c r="D2018" t="s">
        <v>8</v>
      </c>
      <c r="E2018" t="s">
        <v>5653</v>
      </c>
    </row>
    <row r="2019" spans="1:7" x14ac:dyDescent="0.2">
      <c r="A2019" t="s">
        <v>2292</v>
      </c>
      <c r="B2019" t="s">
        <v>2293</v>
      </c>
      <c r="C2019" t="s">
        <v>2146</v>
      </c>
      <c r="D2019" t="s">
        <v>3469</v>
      </c>
    </row>
    <row r="2020" spans="1:7" x14ac:dyDescent="0.2">
      <c r="A2020" t="s">
        <v>2292</v>
      </c>
      <c r="B2020" t="s">
        <v>2293</v>
      </c>
      <c r="C2020" t="s">
        <v>2146</v>
      </c>
      <c r="D2020" t="s">
        <v>12</v>
      </c>
      <c r="F2020">
        <v>0</v>
      </c>
      <c r="G2020">
        <v>2</v>
      </c>
    </row>
    <row r="2021" spans="1:7" x14ac:dyDescent="0.2">
      <c r="A2021" t="s">
        <v>2296</v>
      </c>
      <c r="B2021" t="s">
        <v>2297</v>
      </c>
      <c r="C2021" t="s">
        <v>2146</v>
      </c>
      <c r="D2021" t="s">
        <v>11</v>
      </c>
      <c r="E2021" t="s">
        <v>5654</v>
      </c>
    </row>
    <row r="2022" spans="1:7" x14ac:dyDescent="0.2">
      <c r="A2022" t="s">
        <v>2296</v>
      </c>
      <c r="B2022" t="s">
        <v>2297</v>
      </c>
      <c r="C2022" t="s">
        <v>2146</v>
      </c>
      <c r="D2022" t="s">
        <v>10</v>
      </c>
      <c r="E2022" t="s">
        <v>5655</v>
      </c>
    </row>
    <row r="2023" spans="1:7" x14ac:dyDescent="0.2">
      <c r="A2023" t="s">
        <v>2296</v>
      </c>
      <c r="B2023" t="s">
        <v>2297</v>
      </c>
      <c r="C2023" t="s">
        <v>2146</v>
      </c>
      <c r="D2023" t="s">
        <v>3471</v>
      </c>
      <c r="E2023" t="s">
        <v>5656</v>
      </c>
      <c r="F2023">
        <v>0</v>
      </c>
      <c r="G2023">
        <v>0</v>
      </c>
    </row>
    <row r="2024" spans="1:7" x14ac:dyDescent="0.2">
      <c r="A2024" t="s">
        <v>2296</v>
      </c>
      <c r="B2024" t="s">
        <v>2297</v>
      </c>
      <c r="C2024" t="s">
        <v>2146</v>
      </c>
      <c r="D2024" t="s">
        <v>8</v>
      </c>
      <c r="E2024" t="s">
        <v>5657</v>
      </c>
    </row>
    <row r="2025" spans="1:7" x14ac:dyDescent="0.2">
      <c r="A2025" t="s">
        <v>2296</v>
      </c>
      <c r="B2025" t="s">
        <v>2297</v>
      </c>
      <c r="C2025" t="s">
        <v>2146</v>
      </c>
      <c r="D2025" t="s">
        <v>3469</v>
      </c>
      <c r="F2025">
        <v>0</v>
      </c>
      <c r="G2025">
        <v>1</v>
      </c>
    </row>
    <row r="2026" spans="1:7" x14ac:dyDescent="0.2">
      <c r="A2026" t="s">
        <v>2290</v>
      </c>
      <c r="B2026" t="s">
        <v>2291</v>
      </c>
      <c r="C2026" t="s">
        <v>2146</v>
      </c>
      <c r="D2026" t="s">
        <v>11</v>
      </c>
      <c r="E2026" t="s">
        <v>5658</v>
      </c>
    </row>
    <row r="2027" spans="1:7" x14ac:dyDescent="0.2">
      <c r="A2027" t="s">
        <v>2290</v>
      </c>
      <c r="B2027" t="s">
        <v>2291</v>
      </c>
      <c r="C2027" t="s">
        <v>2146</v>
      </c>
      <c r="D2027" t="s">
        <v>10</v>
      </c>
      <c r="E2027" t="s">
        <v>5659</v>
      </c>
    </row>
    <row r="2028" spans="1:7" x14ac:dyDescent="0.2">
      <c r="A2028" t="s">
        <v>2290</v>
      </c>
      <c r="B2028" t="s">
        <v>2291</v>
      </c>
      <c r="C2028" t="s">
        <v>2146</v>
      </c>
      <c r="D2028" t="s">
        <v>3471</v>
      </c>
      <c r="E2028" t="s">
        <v>5660</v>
      </c>
    </row>
    <row r="2029" spans="1:7" x14ac:dyDescent="0.2">
      <c r="A2029" t="s">
        <v>2290</v>
      </c>
      <c r="B2029" t="s">
        <v>2291</v>
      </c>
      <c r="C2029" t="s">
        <v>2146</v>
      </c>
      <c r="D2029" t="s">
        <v>3469</v>
      </c>
    </row>
    <row r="2030" spans="1:7" x14ac:dyDescent="0.2">
      <c r="A2030" t="s">
        <v>8416</v>
      </c>
      <c r="B2030" t="s">
        <v>8417</v>
      </c>
      <c r="C2030" t="s">
        <v>2146</v>
      </c>
      <c r="D2030" t="s">
        <v>10</v>
      </c>
      <c r="E2030" t="s">
        <v>8963</v>
      </c>
      <c r="F2030">
        <v>5.666666666666667</v>
      </c>
      <c r="G2030">
        <v>1</v>
      </c>
    </row>
    <row r="2031" spans="1:7" x14ac:dyDescent="0.2">
      <c r="A2031" t="s">
        <v>5661</v>
      </c>
      <c r="B2031" t="s">
        <v>5662</v>
      </c>
      <c r="C2031" t="s">
        <v>2411</v>
      </c>
      <c r="D2031" t="s">
        <v>11</v>
      </c>
      <c r="E2031" t="s">
        <v>5663</v>
      </c>
    </row>
    <row r="2032" spans="1:7" x14ac:dyDescent="0.2">
      <c r="A2032" t="s">
        <v>5664</v>
      </c>
      <c r="B2032" t="s">
        <v>5665</v>
      </c>
      <c r="C2032" t="s">
        <v>2411</v>
      </c>
      <c r="D2032" t="s">
        <v>11</v>
      </c>
      <c r="E2032" t="s">
        <v>5666</v>
      </c>
    </row>
    <row r="2033" spans="1:7" x14ac:dyDescent="0.2">
      <c r="A2033" t="s">
        <v>2393</v>
      </c>
      <c r="B2033" t="s">
        <v>2394</v>
      </c>
      <c r="C2033" t="s">
        <v>2374</v>
      </c>
      <c r="D2033" t="s">
        <v>11</v>
      </c>
      <c r="E2033" t="s">
        <v>5667</v>
      </c>
    </row>
    <row r="2034" spans="1:7" x14ac:dyDescent="0.2">
      <c r="A2034" t="s">
        <v>2395</v>
      </c>
      <c r="B2034" t="s">
        <v>2396</v>
      </c>
      <c r="C2034" t="s">
        <v>2374</v>
      </c>
      <c r="D2034" t="s">
        <v>11</v>
      </c>
      <c r="E2034" t="s">
        <v>5668</v>
      </c>
    </row>
    <row r="2035" spans="1:7" x14ac:dyDescent="0.2">
      <c r="A2035" t="s">
        <v>2395</v>
      </c>
      <c r="B2035" t="s">
        <v>2396</v>
      </c>
      <c r="C2035" t="s">
        <v>2374</v>
      </c>
      <c r="D2035" t="s">
        <v>12</v>
      </c>
      <c r="F2035">
        <v>0</v>
      </c>
      <c r="G2035">
        <v>2</v>
      </c>
    </row>
    <row r="2036" spans="1:7" x14ac:dyDescent="0.2">
      <c r="A2036" t="s">
        <v>2397</v>
      </c>
      <c r="B2036" t="s">
        <v>2398</v>
      </c>
      <c r="C2036" t="s">
        <v>2374</v>
      </c>
      <c r="D2036" t="s">
        <v>11</v>
      </c>
      <c r="E2036" t="s">
        <v>5669</v>
      </c>
    </row>
    <row r="2037" spans="1:7" x14ac:dyDescent="0.2">
      <c r="A2037" t="s">
        <v>2383</v>
      </c>
      <c r="B2037" t="s">
        <v>2384</v>
      </c>
      <c r="C2037" t="s">
        <v>2374</v>
      </c>
      <c r="D2037" t="s">
        <v>11</v>
      </c>
      <c r="E2037" t="s">
        <v>5670</v>
      </c>
    </row>
    <row r="2038" spans="1:7" x14ac:dyDescent="0.2">
      <c r="A2038" t="s">
        <v>2383</v>
      </c>
      <c r="B2038" t="s">
        <v>2384</v>
      </c>
      <c r="C2038" t="s">
        <v>2374</v>
      </c>
      <c r="D2038" t="s">
        <v>14</v>
      </c>
    </row>
    <row r="2039" spans="1:7" x14ac:dyDescent="0.2">
      <c r="A2039" t="s">
        <v>2383</v>
      </c>
      <c r="B2039" t="s">
        <v>2384</v>
      </c>
      <c r="C2039" t="s">
        <v>2374</v>
      </c>
      <c r="D2039" t="s">
        <v>12</v>
      </c>
    </row>
    <row r="2040" spans="1:7" x14ac:dyDescent="0.2">
      <c r="A2040" t="s">
        <v>880</v>
      </c>
      <c r="B2040" t="s">
        <v>881</v>
      </c>
      <c r="C2040" t="s">
        <v>446</v>
      </c>
      <c r="D2040" t="s">
        <v>11</v>
      </c>
      <c r="E2040" t="s">
        <v>5671</v>
      </c>
    </row>
    <row r="2041" spans="1:7" x14ac:dyDescent="0.2">
      <c r="A2041" t="s">
        <v>880</v>
      </c>
      <c r="B2041" t="s">
        <v>881</v>
      </c>
      <c r="C2041" t="s">
        <v>446</v>
      </c>
      <c r="D2041" t="s">
        <v>14</v>
      </c>
    </row>
    <row r="2042" spans="1:7" x14ac:dyDescent="0.2">
      <c r="A2042" t="s">
        <v>5672</v>
      </c>
      <c r="B2042" t="s">
        <v>5673</v>
      </c>
      <c r="C2042" t="s">
        <v>2411</v>
      </c>
      <c r="D2042" t="s">
        <v>11</v>
      </c>
      <c r="E2042" t="s">
        <v>5674</v>
      </c>
    </row>
    <row r="2043" spans="1:7" x14ac:dyDescent="0.2">
      <c r="A2043" t="s">
        <v>527</v>
      </c>
      <c r="B2043" t="s">
        <v>528</v>
      </c>
      <c r="C2043" t="s">
        <v>446</v>
      </c>
      <c r="D2043" t="s">
        <v>11</v>
      </c>
      <c r="E2043" t="s">
        <v>5675</v>
      </c>
    </row>
    <row r="2044" spans="1:7" x14ac:dyDescent="0.2">
      <c r="A2044" t="s">
        <v>2389</v>
      </c>
      <c r="B2044" t="s">
        <v>2390</v>
      </c>
      <c r="C2044" t="s">
        <v>2374</v>
      </c>
      <c r="D2044" t="s">
        <v>11</v>
      </c>
      <c r="E2044" t="s">
        <v>5676</v>
      </c>
    </row>
    <row r="2045" spans="1:7" x14ac:dyDescent="0.2">
      <c r="A2045" t="s">
        <v>2389</v>
      </c>
      <c r="B2045" t="s">
        <v>2390</v>
      </c>
      <c r="C2045" t="s">
        <v>2374</v>
      </c>
      <c r="D2045" t="s">
        <v>12</v>
      </c>
      <c r="F2045">
        <v>0</v>
      </c>
      <c r="G2045">
        <v>1</v>
      </c>
    </row>
    <row r="2046" spans="1:7" x14ac:dyDescent="0.2">
      <c r="A2046" t="s">
        <v>5677</v>
      </c>
      <c r="B2046" t="s">
        <v>5678</v>
      </c>
      <c r="C2046" t="s">
        <v>2411</v>
      </c>
      <c r="D2046" t="s">
        <v>11</v>
      </c>
      <c r="E2046" t="s">
        <v>5679</v>
      </c>
    </row>
    <row r="2047" spans="1:7" x14ac:dyDescent="0.2">
      <c r="A2047" t="s">
        <v>5680</v>
      </c>
      <c r="B2047" t="s">
        <v>5681</v>
      </c>
      <c r="C2047" t="s">
        <v>2411</v>
      </c>
      <c r="D2047" t="s">
        <v>11</v>
      </c>
      <c r="E2047" t="s">
        <v>5682</v>
      </c>
    </row>
    <row r="2048" spans="1:7" x14ac:dyDescent="0.2">
      <c r="A2048" t="s">
        <v>5683</v>
      </c>
      <c r="B2048" t="s">
        <v>5684</v>
      </c>
      <c r="C2048" t="s">
        <v>2411</v>
      </c>
      <c r="D2048" t="s">
        <v>11</v>
      </c>
      <c r="E2048" t="s">
        <v>5685</v>
      </c>
    </row>
    <row r="2049" spans="1:7" x14ac:dyDescent="0.2">
      <c r="A2049" t="s">
        <v>5686</v>
      </c>
      <c r="B2049" t="s">
        <v>5687</v>
      </c>
      <c r="C2049" t="s">
        <v>446</v>
      </c>
      <c r="D2049" t="s">
        <v>11</v>
      </c>
      <c r="E2049" t="s">
        <v>5688</v>
      </c>
    </row>
    <row r="2050" spans="1:7" x14ac:dyDescent="0.2">
      <c r="A2050" t="s">
        <v>5689</v>
      </c>
      <c r="B2050" t="s">
        <v>5690</v>
      </c>
      <c r="C2050" t="s">
        <v>2411</v>
      </c>
      <c r="D2050" t="s">
        <v>11</v>
      </c>
      <c r="E2050" t="s">
        <v>5691</v>
      </c>
    </row>
    <row r="2051" spans="1:7" x14ac:dyDescent="0.2">
      <c r="A2051" t="s">
        <v>2412</v>
      </c>
      <c r="B2051" t="s">
        <v>2413</v>
      </c>
      <c r="C2051" t="s">
        <v>2411</v>
      </c>
      <c r="D2051" t="s">
        <v>14</v>
      </c>
    </row>
    <row r="2052" spans="1:7" x14ac:dyDescent="0.2">
      <c r="A2052" t="s">
        <v>5692</v>
      </c>
      <c r="B2052" t="s">
        <v>5693</v>
      </c>
      <c r="C2052" t="s">
        <v>2411</v>
      </c>
      <c r="D2052" t="s">
        <v>14</v>
      </c>
    </row>
    <row r="2053" spans="1:7" x14ac:dyDescent="0.2">
      <c r="A2053" t="s">
        <v>5694</v>
      </c>
      <c r="B2053" t="s">
        <v>5695</v>
      </c>
      <c r="C2053" t="s">
        <v>2411</v>
      </c>
      <c r="D2053" t="s">
        <v>14</v>
      </c>
    </row>
    <row r="2054" spans="1:7" x14ac:dyDescent="0.2">
      <c r="A2054" t="s">
        <v>5696</v>
      </c>
      <c r="B2054" t="s">
        <v>5697</v>
      </c>
      <c r="C2054" t="s">
        <v>2411</v>
      </c>
      <c r="D2054" t="s">
        <v>11</v>
      </c>
      <c r="E2054" t="s">
        <v>5698</v>
      </c>
    </row>
    <row r="2055" spans="1:7" x14ac:dyDescent="0.2">
      <c r="A2055" t="s">
        <v>5696</v>
      </c>
      <c r="B2055" t="s">
        <v>5697</v>
      </c>
      <c r="C2055" t="s">
        <v>2411</v>
      </c>
      <c r="D2055" t="s">
        <v>14</v>
      </c>
      <c r="F2055">
        <v>0.16666666666666666</v>
      </c>
      <c r="G2055">
        <v>5</v>
      </c>
    </row>
    <row r="2056" spans="1:7" x14ac:dyDescent="0.2">
      <c r="A2056" t="s">
        <v>5699</v>
      </c>
      <c r="B2056" t="s">
        <v>5700</v>
      </c>
      <c r="C2056" t="s">
        <v>2411</v>
      </c>
      <c r="D2056" t="s">
        <v>11</v>
      </c>
      <c r="E2056" t="s">
        <v>5701</v>
      </c>
    </row>
    <row r="2057" spans="1:7" x14ac:dyDescent="0.2">
      <c r="A2057" t="s">
        <v>5702</v>
      </c>
      <c r="B2057" t="s">
        <v>5703</v>
      </c>
      <c r="C2057" t="s">
        <v>2411</v>
      </c>
      <c r="D2057" t="s">
        <v>11</v>
      </c>
      <c r="E2057" t="s">
        <v>5704</v>
      </c>
    </row>
    <row r="2058" spans="1:7" x14ac:dyDescent="0.2">
      <c r="A2058" t="s">
        <v>5705</v>
      </c>
      <c r="B2058" t="s">
        <v>5706</v>
      </c>
      <c r="C2058" t="s">
        <v>2411</v>
      </c>
      <c r="D2058" t="s">
        <v>11</v>
      </c>
      <c r="E2058" t="s">
        <v>5707</v>
      </c>
    </row>
    <row r="2059" spans="1:7" x14ac:dyDescent="0.2">
      <c r="A2059" t="s">
        <v>5708</v>
      </c>
      <c r="B2059" t="s">
        <v>5709</v>
      </c>
      <c r="C2059" t="s">
        <v>446</v>
      </c>
      <c r="D2059" t="s">
        <v>14</v>
      </c>
      <c r="F2059">
        <v>0</v>
      </c>
      <c r="G2059">
        <v>3</v>
      </c>
    </row>
    <row r="2060" spans="1:7" x14ac:dyDescent="0.2">
      <c r="A2060" t="s">
        <v>5710</v>
      </c>
      <c r="B2060" t="s">
        <v>5711</v>
      </c>
      <c r="C2060" t="s">
        <v>446</v>
      </c>
      <c r="D2060" t="s">
        <v>14</v>
      </c>
    </row>
    <row r="2061" spans="1:7" x14ac:dyDescent="0.2">
      <c r="A2061" t="s">
        <v>5712</v>
      </c>
      <c r="B2061" t="s">
        <v>5713</v>
      </c>
      <c r="C2061" t="s">
        <v>2411</v>
      </c>
      <c r="D2061" t="s">
        <v>14</v>
      </c>
      <c r="F2061">
        <v>0</v>
      </c>
      <c r="G2061">
        <v>4</v>
      </c>
    </row>
    <row r="2062" spans="1:7" x14ac:dyDescent="0.2">
      <c r="A2062" t="s">
        <v>2401</v>
      </c>
      <c r="B2062" t="s">
        <v>2402</v>
      </c>
      <c r="C2062" t="s">
        <v>2374</v>
      </c>
      <c r="D2062" t="s">
        <v>11</v>
      </c>
      <c r="E2062" t="s">
        <v>5714</v>
      </c>
    </row>
    <row r="2063" spans="1:7" x14ac:dyDescent="0.2">
      <c r="A2063" t="s">
        <v>2401</v>
      </c>
      <c r="B2063" t="s">
        <v>2402</v>
      </c>
      <c r="C2063" t="s">
        <v>2374</v>
      </c>
      <c r="D2063" t="s">
        <v>14</v>
      </c>
      <c r="F2063">
        <v>0</v>
      </c>
      <c r="G2063">
        <v>1</v>
      </c>
    </row>
    <row r="2064" spans="1:7" x14ac:dyDescent="0.2">
      <c r="A2064" t="s">
        <v>2401</v>
      </c>
      <c r="B2064" t="s">
        <v>2402</v>
      </c>
      <c r="C2064" t="s">
        <v>2374</v>
      </c>
      <c r="D2064" t="s">
        <v>10</v>
      </c>
      <c r="E2064" t="s">
        <v>5715</v>
      </c>
    </row>
    <row r="2065" spans="1:7" x14ac:dyDescent="0.2">
      <c r="A2065" t="s">
        <v>2401</v>
      </c>
      <c r="B2065" t="s">
        <v>2402</v>
      </c>
      <c r="C2065" t="s">
        <v>2374</v>
      </c>
      <c r="D2065" t="s">
        <v>12</v>
      </c>
      <c r="F2065">
        <v>0</v>
      </c>
      <c r="G2065">
        <v>1</v>
      </c>
    </row>
    <row r="2066" spans="1:7" x14ac:dyDescent="0.2">
      <c r="A2066" t="s">
        <v>2379</v>
      </c>
      <c r="B2066" t="s">
        <v>2380</v>
      </c>
      <c r="C2066" t="s">
        <v>2374</v>
      </c>
      <c r="D2066" t="s">
        <v>11</v>
      </c>
      <c r="E2066" t="s">
        <v>5716</v>
      </c>
    </row>
    <row r="2067" spans="1:7" x14ac:dyDescent="0.2">
      <c r="A2067" t="s">
        <v>2379</v>
      </c>
      <c r="B2067" t="s">
        <v>2380</v>
      </c>
      <c r="C2067" t="s">
        <v>2374</v>
      </c>
      <c r="D2067" t="s">
        <v>14</v>
      </c>
    </row>
    <row r="2068" spans="1:7" x14ac:dyDescent="0.2">
      <c r="A2068" t="s">
        <v>2379</v>
      </c>
      <c r="B2068" t="s">
        <v>2380</v>
      </c>
      <c r="C2068" t="s">
        <v>2374</v>
      </c>
      <c r="D2068" t="s">
        <v>12</v>
      </c>
    </row>
    <row r="2069" spans="1:7" x14ac:dyDescent="0.2">
      <c r="A2069" t="s">
        <v>2387</v>
      </c>
      <c r="B2069" t="s">
        <v>2388</v>
      </c>
      <c r="C2069" t="s">
        <v>2374</v>
      </c>
      <c r="D2069" t="s">
        <v>11</v>
      </c>
      <c r="E2069" t="s">
        <v>5717</v>
      </c>
    </row>
    <row r="2070" spans="1:7" x14ac:dyDescent="0.2">
      <c r="A2070" t="s">
        <v>2387</v>
      </c>
      <c r="B2070" t="s">
        <v>2388</v>
      </c>
      <c r="C2070" t="s">
        <v>2374</v>
      </c>
      <c r="D2070" t="s">
        <v>14</v>
      </c>
    </row>
    <row r="2071" spans="1:7" x14ac:dyDescent="0.2">
      <c r="A2071" t="s">
        <v>2387</v>
      </c>
      <c r="B2071" t="s">
        <v>2388</v>
      </c>
      <c r="C2071" t="s">
        <v>2374</v>
      </c>
      <c r="D2071" t="s">
        <v>12</v>
      </c>
      <c r="F2071">
        <v>0</v>
      </c>
      <c r="G2071">
        <v>2</v>
      </c>
    </row>
    <row r="2072" spans="1:7" x14ac:dyDescent="0.2">
      <c r="A2072" t="s">
        <v>2446</v>
      </c>
      <c r="B2072" t="s">
        <v>2447</v>
      </c>
      <c r="C2072" t="s">
        <v>2445</v>
      </c>
      <c r="D2072" t="s">
        <v>10</v>
      </c>
      <c r="E2072" t="s">
        <v>5718</v>
      </c>
      <c r="F2072">
        <v>26</v>
      </c>
      <c r="G2072">
        <v>271</v>
      </c>
    </row>
    <row r="2073" spans="1:7" x14ac:dyDescent="0.2">
      <c r="A2073" t="s">
        <v>5719</v>
      </c>
      <c r="B2073" t="s">
        <v>5720</v>
      </c>
      <c r="C2073" t="s">
        <v>4463</v>
      </c>
      <c r="D2073" t="s">
        <v>11</v>
      </c>
      <c r="E2073" t="s">
        <v>5721</v>
      </c>
    </row>
    <row r="2074" spans="1:7" x14ac:dyDescent="0.2">
      <c r="A2074" t="s">
        <v>2465</v>
      </c>
      <c r="B2074" t="s">
        <v>2466</v>
      </c>
      <c r="C2074" t="s">
        <v>2448</v>
      </c>
      <c r="D2074" t="s">
        <v>10</v>
      </c>
      <c r="E2074" t="s">
        <v>5722</v>
      </c>
    </row>
    <row r="2075" spans="1:7" x14ac:dyDescent="0.2">
      <c r="A2075" t="s">
        <v>2465</v>
      </c>
      <c r="B2075" t="s">
        <v>2466</v>
      </c>
      <c r="C2075" t="s">
        <v>2448</v>
      </c>
      <c r="D2075" t="s">
        <v>8</v>
      </c>
      <c r="E2075" t="s">
        <v>5723</v>
      </c>
    </row>
    <row r="2076" spans="1:7" x14ac:dyDescent="0.2">
      <c r="A2076" t="s">
        <v>2463</v>
      </c>
      <c r="B2076" t="s">
        <v>2464</v>
      </c>
      <c r="C2076" t="s">
        <v>2448</v>
      </c>
      <c r="D2076" t="s">
        <v>14</v>
      </c>
      <c r="F2076">
        <v>0</v>
      </c>
      <c r="G2076">
        <v>5</v>
      </c>
    </row>
    <row r="2077" spans="1:7" x14ac:dyDescent="0.2">
      <c r="A2077" t="s">
        <v>2463</v>
      </c>
      <c r="B2077" t="s">
        <v>2464</v>
      </c>
      <c r="C2077" t="s">
        <v>2448</v>
      </c>
      <c r="D2077" t="s">
        <v>10</v>
      </c>
      <c r="E2077" t="s">
        <v>5724</v>
      </c>
      <c r="F2077">
        <v>0</v>
      </c>
      <c r="G2077">
        <v>7</v>
      </c>
    </row>
    <row r="2078" spans="1:7" x14ac:dyDescent="0.2">
      <c r="A2078" t="s">
        <v>2463</v>
      </c>
      <c r="B2078" t="s">
        <v>2464</v>
      </c>
      <c r="C2078" t="s">
        <v>2448</v>
      </c>
      <c r="D2078" t="s">
        <v>8</v>
      </c>
      <c r="E2078" t="s">
        <v>5725</v>
      </c>
    </row>
    <row r="2079" spans="1:7" x14ac:dyDescent="0.2">
      <c r="A2079" t="s">
        <v>2467</v>
      </c>
      <c r="B2079" t="s">
        <v>2468</v>
      </c>
      <c r="C2079" t="s">
        <v>2448</v>
      </c>
      <c r="D2079" t="s">
        <v>14</v>
      </c>
    </row>
    <row r="2080" spans="1:7" x14ac:dyDescent="0.2">
      <c r="A2080" t="s">
        <v>2467</v>
      </c>
      <c r="B2080" t="s">
        <v>2468</v>
      </c>
      <c r="C2080" t="s">
        <v>2448</v>
      </c>
      <c r="D2080" t="s">
        <v>10</v>
      </c>
      <c r="E2080" t="s">
        <v>5726</v>
      </c>
      <c r="F2080">
        <v>0</v>
      </c>
      <c r="G2080">
        <v>1</v>
      </c>
    </row>
    <row r="2081" spans="1:7" x14ac:dyDescent="0.2">
      <c r="A2081" t="s">
        <v>2469</v>
      </c>
      <c r="B2081" t="s">
        <v>2470</v>
      </c>
      <c r="C2081" t="s">
        <v>2448</v>
      </c>
      <c r="D2081" t="s">
        <v>14</v>
      </c>
    </row>
    <row r="2082" spans="1:7" x14ac:dyDescent="0.2">
      <c r="A2082" t="s">
        <v>2469</v>
      </c>
      <c r="B2082" t="s">
        <v>2470</v>
      </c>
      <c r="C2082" t="s">
        <v>2448</v>
      </c>
      <c r="D2082" t="s">
        <v>10</v>
      </c>
      <c r="E2082" t="s">
        <v>5727</v>
      </c>
      <c r="F2082">
        <v>0</v>
      </c>
      <c r="G2082">
        <v>1</v>
      </c>
    </row>
    <row r="2083" spans="1:7" x14ac:dyDescent="0.2">
      <c r="A2083" t="s">
        <v>2479</v>
      </c>
      <c r="B2083" t="s">
        <v>2480</v>
      </c>
      <c r="C2083" t="s">
        <v>2448</v>
      </c>
      <c r="D2083" t="s">
        <v>10</v>
      </c>
      <c r="E2083" t="s">
        <v>5728</v>
      </c>
    </row>
    <row r="2084" spans="1:7" x14ac:dyDescent="0.2">
      <c r="A2084" t="s">
        <v>2479</v>
      </c>
      <c r="B2084" t="s">
        <v>2480</v>
      </c>
      <c r="C2084" t="s">
        <v>2448</v>
      </c>
      <c r="D2084" t="s">
        <v>3471</v>
      </c>
      <c r="E2084" t="s">
        <v>5729</v>
      </c>
    </row>
    <row r="2085" spans="1:7" x14ac:dyDescent="0.2">
      <c r="A2085" t="s">
        <v>2479</v>
      </c>
      <c r="B2085" t="s">
        <v>2480</v>
      </c>
      <c r="C2085" t="s">
        <v>2448</v>
      </c>
      <c r="D2085" t="s">
        <v>8</v>
      </c>
      <c r="E2085" t="s">
        <v>5730</v>
      </c>
      <c r="F2085">
        <v>0</v>
      </c>
      <c r="G2085">
        <v>1</v>
      </c>
    </row>
    <row r="2086" spans="1:7" x14ac:dyDescent="0.2">
      <c r="A2086" t="s">
        <v>2471</v>
      </c>
      <c r="B2086" t="s">
        <v>2472</v>
      </c>
      <c r="C2086" t="s">
        <v>2448</v>
      </c>
      <c r="D2086" t="s">
        <v>14</v>
      </c>
      <c r="F2086">
        <v>0.5</v>
      </c>
      <c r="G2086">
        <v>23</v>
      </c>
    </row>
    <row r="2087" spans="1:7" x14ac:dyDescent="0.2">
      <c r="A2087" t="s">
        <v>2471</v>
      </c>
      <c r="B2087" t="s">
        <v>2472</v>
      </c>
      <c r="C2087" t="s">
        <v>2448</v>
      </c>
      <c r="D2087" t="s">
        <v>10</v>
      </c>
      <c r="E2087" t="s">
        <v>5731</v>
      </c>
      <c r="F2087">
        <v>0.33333333333333331</v>
      </c>
      <c r="G2087">
        <v>5</v>
      </c>
    </row>
    <row r="2088" spans="1:7" x14ac:dyDescent="0.2">
      <c r="A2088" t="s">
        <v>2471</v>
      </c>
      <c r="B2088" t="s">
        <v>2472</v>
      </c>
      <c r="C2088" t="s">
        <v>2448</v>
      </c>
      <c r="D2088" t="s">
        <v>3471</v>
      </c>
      <c r="E2088" t="s">
        <v>5732</v>
      </c>
      <c r="F2088">
        <v>0</v>
      </c>
      <c r="G2088">
        <v>0</v>
      </c>
    </row>
    <row r="2089" spans="1:7" x14ac:dyDescent="0.2">
      <c r="A2089" t="s">
        <v>2471</v>
      </c>
      <c r="B2089" t="s">
        <v>2472</v>
      </c>
      <c r="C2089" t="s">
        <v>2448</v>
      </c>
      <c r="D2089" t="s">
        <v>8</v>
      </c>
      <c r="E2089" t="s">
        <v>5733</v>
      </c>
    </row>
    <row r="2090" spans="1:7" x14ac:dyDescent="0.2">
      <c r="A2090" t="s">
        <v>2473</v>
      </c>
      <c r="B2090" t="s">
        <v>2474</v>
      </c>
      <c r="C2090" t="s">
        <v>2448</v>
      </c>
      <c r="D2090" t="s">
        <v>14</v>
      </c>
      <c r="F2090">
        <v>1.8333333333333333</v>
      </c>
      <c r="G2090">
        <v>40</v>
      </c>
    </row>
    <row r="2091" spans="1:7" x14ac:dyDescent="0.2">
      <c r="A2091" t="s">
        <v>2473</v>
      </c>
      <c r="B2091" t="s">
        <v>2474</v>
      </c>
      <c r="C2091" t="s">
        <v>2448</v>
      </c>
      <c r="D2091" t="s">
        <v>10</v>
      </c>
      <c r="E2091" t="s">
        <v>5734</v>
      </c>
      <c r="F2091">
        <v>0</v>
      </c>
      <c r="G2091">
        <v>3</v>
      </c>
    </row>
    <row r="2092" spans="1:7" x14ac:dyDescent="0.2">
      <c r="A2092" t="s">
        <v>2473</v>
      </c>
      <c r="B2092" t="s">
        <v>2474</v>
      </c>
      <c r="C2092" t="s">
        <v>2448</v>
      </c>
      <c r="D2092" t="s">
        <v>3471</v>
      </c>
      <c r="E2092" t="s">
        <v>5735</v>
      </c>
    </row>
    <row r="2093" spans="1:7" x14ac:dyDescent="0.2">
      <c r="A2093" t="s">
        <v>2473</v>
      </c>
      <c r="B2093" t="s">
        <v>2474</v>
      </c>
      <c r="C2093" t="s">
        <v>2448</v>
      </c>
      <c r="D2093" t="s">
        <v>8</v>
      </c>
      <c r="E2093" t="s">
        <v>5736</v>
      </c>
      <c r="F2093">
        <v>0.66666666666666663</v>
      </c>
      <c r="G2093">
        <v>4</v>
      </c>
    </row>
    <row r="2094" spans="1:7" x14ac:dyDescent="0.2">
      <c r="A2094" t="s">
        <v>2475</v>
      </c>
      <c r="B2094" t="s">
        <v>2476</v>
      </c>
      <c r="C2094" t="s">
        <v>2448</v>
      </c>
      <c r="D2094" t="s">
        <v>13</v>
      </c>
      <c r="G2094">
        <v>3</v>
      </c>
    </row>
    <row r="2095" spans="1:7" x14ac:dyDescent="0.2">
      <c r="A2095" t="s">
        <v>2475</v>
      </c>
      <c r="B2095" t="s">
        <v>2476</v>
      </c>
      <c r="C2095" t="s">
        <v>2448</v>
      </c>
      <c r="D2095" t="s">
        <v>14</v>
      </c>
      <c r="F2095">
        <v>1</v>
      </c>
      <c r="G2095">
        <v>67</v>
      </c>
    </row>
    <row r="2096" spans="1:7" x14ac:dyDescent="0.2">
      <c r="A2096" t="s">
        <v>2475</v>
      </c>
      <c r="B2096" t="s">
        <v>2476</v>
      </c>
      <c r="C2096" t="s">
        <v>2448</v>
      </c>
      <c r="D2096" t="s">
        <v>10</v>
      </c>
      <c r="E2096" t="s">
        <v>5737</v>
      </c>
      <c r="F2096">
        <v>0.66666666666666663</v>
      </c>
      <c r="G2096">
        <v>15</v>
      </c>
    </row>
    <row r="2097" spans="1:7" x14ac:dyDescent="0.2">
      <c r="A2097" t="s">
        <v>2475</v>
      </c>
      <c r="B2097" t="s">
        <v>2476</v>
      </c>
      <c r="C2097" t="s">
        <v>2448</v>
      </c>
      <c r="D2097" t="s">
        <v>3471</v>
      </c>
      <c r="E2097" t="s">
        <v>5738</v>
      </c>
    </row>
    <row r="2098" spans="1:7" x14ac:dyDescent="0.2">
      <c r="A2098" t="s">
        <v>2475</v>
      </c>
      <c r="B2098" t="s">
        <v>2476</v>
      </c>
      <c r="C2098" t="s">
        <v>2448</v>
      </c>
      <c r="D2098" t="s">
        <v>8</v>
      </c>
      <c r="E2098" t="s">
        <v>5739</v>
      </c>
      <c r="F2098">
        <v>1.8333333333333333</v>
      </c>
      <c r="G2098">
        <v>10</v>
      </c>
    </row>
    <row r="2099" spans="1:7" x14ac:dyDescent="0.2">
      <c r="A2099" t="s">
        <v>2481</v>
      </c>
      <c r="B2099" t="s">
        <v>2482</v>
      </c>
      <c r="C2099" t="s">
        <v>2448</v>
      </c>
      <c r="D2099" t="s">
        <v>14</v>
      </c>
    </row>
    <row r="2100" spans="1:7" x14ac:dyDescent="0.2">
      <c r="A2100" t="s">
        <v>2481</v>
      </c>
      <c r="B2100" t="s">
        <v>2482</v>
      </c>
      <c r="C2100" t="s">
        <v>2448</v>
      </c>
      <c r="D2100" t="s">
        <v>10</v>
      </c>
      <c r="E2100" t="s">
        <v>5740</v>
      </c>
    </row>
    <row r="2101" spans="1:7" x14ac:dyDescent="0.2">
      <c r="A2101" t="s">
        <v>2481</v>
      </c>
      <c r="B2101" t="s">
        <v>2482</v>
      </c>
      <c r="C2101" t="s">
        <v>2448</v>
      </c>
      <c r="D2101" t="s">
        <v>3471</v>
      </c>
      <c r="E2101" t="s">
        <v>5741</v>
      </c>
    </row>
    <row r="2102" spans="1:7" x14ac:dyDescent="0.2">
      <c r="A2102" t="s">
        <v>2481</v>
      </c>
      <c r="B2102" t="s">
        <v>2482</v>
      </c>
      <c r="C2102" t="s">
        <v>2448</v>
      </c>
      <c r="D2102" t="s">
        <v>8</v>
      </c>
      <c r="E2102" t="s">
        <v>5742</v>
      </c>
      <c r="F2102">
        <v>1.8333333333333333</v>
      </c>
      <c r="G2102">
        <v>0</v>
      </c>
    </row>
    <row r="2103" spans="1:7" x14ac:dyDescent="0.2">
      <c r="A2103" t="s">
        <v>2483</v>
      </c>
      <c r="B2103" t="s">
        <v>2484</v>
      </c>
      <c r="C2103" t="s">
        <v>2448</v>
      </c>
      <c r="D2103" t="s">
        <v>13</v>
      </c>
      <c r="F2103">
        <v>-0.16666666666666666</v>
      </c>
      <c r="G2103">
        <v>5</v>
      </c>
    </row>
    <row r="2104" spans="1:7" x14ac:dyDescent="0.2">
      <c r="A2104" t="s">
        <v>2483</v>
      </c>
      <c r="B2104" t="s">
        <v>2484</v>
      </c>
      <c r="C2104" t="s">
        <v>2448</v>
      </c>
      <c r="D2104" t="s">
        <v>14</v>
      </c>
      <c r="F2104">
        <v>1.8333333333333333</v>
      </c>
      <c r="G2104">
        <v>185</v>
      </c>
    </row>
    <row r="2105" spans="1:7" x14ac:dyDescent="0.2">
      <c r="A2105" t="s">
        <v>2483</v>
      </c>
      <c r="B2105" t="s">
        <v>2484</v>
      </c>
      <c r="C2105" t="s">
        <v>2448</v>
      </c>
      <c r="D2105" t="s">
        <v>10</v>
      </c>
      <c r="E2105" t="s">
        <v>5743</v>
      </c>
      <c r="F2105">
        <v>3</v>
      </c>
      <c r="G2105">
        <v>70</v>
      </c>
    </row>
    <row r="2106" spans="1:7" x14ac:dyDescent="0.2">
      <c r="A2106" t="s">
        <v>2483</v>
      </c>
      <c r="B2106" t="s">
        <v>2484</v>
      </c>
      <c r="C2106" t="s">
        <v>2448</v>
      </c>
      <c r="D2106" t="s">
        <v>10</v>
      </c>
      <c r="E2106" t="s">
        <v>8587</v>
      </c>
    </row>
    <row r="2107" spans="1:7" x14ac:dyDescent="0.2">
      <c r="A2107" t="s">
        <v>2483</v>
      </c>
      <c r="B2107" t="s">
        <v>2484</v>
      </c>
      <c r="C2107" t="s">
        <v>2448</v>
      </c>
      <c r="D2107" t="s">
        <v>3471</v>
      </c>
      <c r="E2107" t="s">
        <v>5744</v>
      </c>
    </row>
    <row r="2108" spans="1:7" x14ac:dyDescent="0.2">
      <c r="A2108" t="s">
        <v>2483</v>
      </c>
      <c r="B2108" t="s">
        <v>2484</v>
      </c>
      <c r="C2108" t="s">
        <v>2448</v>
      </c>
      <c r="D2108" t="s">
        <v>8</v>
      </c>
      <c r="E2108" t="s">
        <v>5745</v>
      </c>
      <c r="F2108">
        <v>3.3333333333333335</v>
      </c>
      <c r="G2108">
        <v>13</v>
      </c>
    </row>
    <row r="2109" spans="1:7" x14ac:dyDescent="0.2">
      <c r="A2109" t="s">
        <v>2485</v>
      </c>
      <c r="B2109" t="s">
        <v>2486</v>
      </c>
      <c r="C2109" t="s">
        <v>2448</v>
      </c>
      <c r="D2109" t="s">
        <v>14</v>
      </c>
      <c r="F2109">
        <v>0</v>
      </c>
      <c r="G2109">
        <v>3</v>
      </c>
    </row>
    <row r="2110" spans="1:7" x14ac:dyDescent="0.2">
      <c r="A2110" t="s">
        <v>2485</v>
      </c>
      <c r="B2110" t="s">
        <v>2486</v>
      </c>
      <c r="C2110" t="s">
        <v>2448</v>
      </c>
      <c r="D2110" t="s">
        <v>10</v>
      </c>
      <c r="E2110" t="s">
        <v>5746</v>
      </c>
    </row>
    <row r="2111" spans="1:7" x14ac:dyDescent="0.2">
      <c r="A2111" t="s">
        <v>2485</v>
      </c>
      <c r="B2111" t="s">
        <v>2486</v>
      </c>
      <c r="C2111" t="s">
        <v>2448</v>
      </c>
      <c r="D2111" t="s">
        <v>3471</v>
      </c>
      <c r="E2111" t="s">
        <v>5747</v>
      </c>
    </row>
    <row r="2112" spans="1:7" x14ac:dyDescent="0.2">
      <c r="A2112" t="s">
        <v>2485</v>
      </c>
      <c r="B2112" t="s">
        <v>2486</v>
      </c>
      <c r="C2112" t="s">
        <v>2448</v>
      </c>
      <c r="D2112" t="s">
        <v>8</v>
      </c>
      <c r="E2112" t="s">
        <v>5748</v>
      </c>
      <c r="F2112">
        <v>0.16666666666666666</v>
      </c>
      <c r="G2112">
        <v>0</v>
      </c>
    </row>
    <row r="2113" spans="1:7" x14ac:dyDescent="0.2">
      <c r="A2113" t="s">
        <v>2477</v>
      </c>
      <c r="B2113" t="s">
        <v>2478</v>
      </c>
      <c r="C2113" t="s">
        <v>2448</v>
      </c>
      <c r="D2113" t="s">
        <v>13</v>
      </c>
      <c r="G2113">
        <v>3</v>
      </c>
    </row>
    <row r="2114" spans="1:7" x14ac:dyDescent="0.2">
      <c r="A2114" t="s">
        <v>2477</v>
      </c>
      <c r="B2114" t="s">
        <v>2478</v>
      </c>
      <c r="C2114" t="s">
        <v>2448</v>
      </c>
      <c r="D2114" t="s">
        <v>14</v>
      </c>
      <c r="F2114">
        <v>1.5</v>
      </c>
      <c r="G2114">
        <v>93</v>
      </c>
    </row>
    <row r="2115" spans="1:7" x14ac:dyDescent="0.2">
      <c r="A2115" t="s">
        <v>2477</v>
      </c>
      <c r="B2115" t="s">
        <v>2478</v>
      </c>
      <c r="C2115" t="s">
        <v>2448</v>
      </c>
      <c r="D2115" t="s">
        <v>10</v>
      </c>
      <c r="E2115" t="s">
        <v>5749</v>
      </c>
      <c r="F2115">
        <v>0.16666666666666666</v>
      </c>
      <c r="G2115">
        <v>4</v>
      </c>
    </row>
    <row r="2116" spans="1:7" x14ac:dyDescent="0.2">
      <c r="A2116" t="s">
        <v>2477</v>
      </c>
      <c r="B2116" t="s">
        <v>2478</v>
      </c>
      <c r="C2116" t="s">
        <v>2448</v>
      </c>
      <c r="D2116" t="s">
        <v>3471</v>
      </c>
      <c r="E2116" t="s">
        <v>5750</v>
      </c>
    </row>
    <row r="2117" spans="1:7" x14ac:dyDescent="0.2">
      <c r="A2117" t="s">
        <v>2477</v>
      </c>
      <c r="B2117" t="s">
        <v>2478</v>
      </c>
      <c r="C2117" t="s">
        <v>2448</v>
      </c>
      <c r="D2117" t="s">
        <v>8</v>
      </c>
      <c r="E2117" t="s">
        <v>5751</v>
      </c>
      <c r="F2117">
        <v>0.66666666666666663</v>
      </c>
      <c r="G2117">
        <v>3</v>
      </c>
    </row>
    <row r="2118" spans="1:7" x14ac:dyDescent="0.2">
      <c r="A2118" t="s">
        <v>2487</v>
      </c>
      <c r="B2118" t="s">
        <v>2488</v>
      </c>
      <c r="C2118" t="s">
        <v>2448</v>
      </c>
      <c r="D2118" t="s">
        <v>13</v>
      </c>
      <c r="G2118">
        <v>1</v>
      </c>
    </row>
    <row r="2119" spans="1:7" x14ac:dyDescent="0.2">
      <c r="A2119" t="s">
        <v>2487</v>
      </c>
      <c r="B2119" t="s">
        <v>2488</v>
      </c>
      <c r="C2119" t="s">
        <v>2448</v>
      </c>
      <c r="D2119" t="s">
        <v>14</v>
      </c>
      <c r="F2119">
        <v>2.1666666666666665</v>
      </c>
      <c r="G2119">
        <v>111</v>
      </c>
    </row>
    <row r="2120" spans="1:7" x14ac:dyDescent="0.2">
      <c r="A2120" t="s">
        <v>2487</v>
      </c>
      <c r="B2120" t="s">
        <v>2488</v>
      </c>
      <c r="C2120" t="s">
        <v>2448</v>
      </c>
      <c r="D2120" t="s">
        <v>10</v>
      </c>
      <c r="E2120" t="s">
        <v>5752</v>
      </c>
      <c r="F2120">
        <v>0.33333333333333331</v>
      </c>
      <c r="G2120">
        <v>2</v>
      </c>
    </row>
    <row r="2121" spans="1:7" x14ac:dyDescent="0.2">
      <c r="A2121" t="s">
        <v>2487</v>
      </c>
      <c r="B2121" t="s">
        <v>2488</v>
      </c>
      <c r="C2121" t="s">
        <v>2448</v>
      </c>
      <c r="D2121" t="s">
        <v>3471</v>
      </c>
      <c r="E2121" t="s">
        <v>5753</v>
      </c>
    </row>
    <row r="2122" spans="1:7" x14ac:dyDescent="0.2">
      <c r="A2122" t="s">
        <v>2487</v>
      </c>
      <c r="B2122" t="s">
        <v>2488</v>
      </c>
      <c r="C2122" t="s">
        <v>2448</v>
      </c>
      <c r="D2122" t="s">
        <v>8</v>
      </c>
      <c r="E2122" t="s">
        <v>5754</v>
      </c>
      <c r="F2122">
        <v>1.5</v>
      </c>
      <c r="G2122">
        <v>1</v>
      </c>
    </row>
    <row r="2123" spans="1:7" x14ac:dyDescent="0.2">
      <c r="A2123" t="s">
        <v>2454</v>
      </c>
      <c r="B2123" t="s">
        <v>2455</v>
      </c>
      <c r="C2123" t="s">
        <v>2448</v>
      </c>
      <c r="D2123" t="s">
        <v>8</v>
      </c>
      <c r="E2123" t="s">
        <v>8588</v>
      </c>
      <c r="F2123">
        <v>5.5</v>
      </c>
      <c r="G2123">
        <v>86</v>
      </c>
    </row>
    <row r="2124" spans="1:7" x14ac:dyDescent="0.2">
      <c r="A2124" t="s">
        <v>2449</v>
      </c>
      <c r="B2124" t="s">
        <v>2450</v>
      </c>
      <c r="C2124" t="s">
        <v>2448</v>
      </c>
      <c r="D2124" t="s">
        <v>10</v>
      </c>
      <c r="E2124" t="s">
        <v>8589</v>
      </c>
    </row>
    <row r="2125" spans="1:7" x14ac:dyDescent="0.2">
      <c r="A2125" t="s">
        <v>2451</v>
      </c>
      <c r="B2125" t="s">
        <v>2452</v>
      </c>
      <c r="C2125" t="s">
        <v>2448</v>
      </c>
      <c r="D2125" t="s">
        <v>10</v>
      </c>
      <c r="E2125" t="s">
        <v>5755</v>
      </c>
    </row>
    <row r="2126" spans="1:7" x14ac:dyDescent="0.2">
      <c r="A2126" t="s">
        <v>2451</v>
      </c>
      <c r="B2126" t="s">
        <v>2452</v>
      </c>
      <c r="C2126" t="s">
        <v>2448</v>
      </c>
      <c r="D2126" t="s">
        <v>10</v>
      </c>
      <c r="E2126" t="s">
        <v>5756</v>
      </c>
      <c r="F2126">
        <v>77</v>
      </c>
      <c r="G2126">
        <v>759</v>
      </c>
    </row>
    <row r="2127" spans="1:7" x14ac:dyDescent="0.2">
      <c r="A2127" t="s">
        <v>2451</v>
      </c>
      <c r="B2127" t="s">
        <v>2452</v>
      </c>
      <c r="C2127" t="s">
        <v>2448</v>
      </c>
      <c r="D2127" t="s">
        <v>8</v>
      </c>
      <c r="E2127" t="s">
        <v>5757</v>
      </c>
      <c r="F2127">
        <v>44.666666666666664</v>
      </c>
      <c r="G2127">
        <v>403</v>
      </c>
    </row>
    <row r="2128" spans="1:7" x14ac:dyDescent="0.2">
      <c r="A2128" t="s">
        <v>2453</v>
      </c>
      <c r="B2128" t="s">
        <v>8675</v>
      </c>
      <c r="C2128" t="s">
        <v>2448</v>
      </c>
      <c r="D2128" t="s">
        <v>10</v>
      </c>
      <c r="E2128" t="s">
        <v>5758</v>
      </c>
      <c r="F2128">
        <v>54</v>
      </c>
      <c r="G2128">
        <v>449</v>
      </c>
    </row>
    <row r="2129" spans="1:7" x14ac:dyDescent="0.2">
      <c r="A2129" t="s">
        <v>2453</v>
      </c>
      <c r="B2129" t="s">
        <v>8675</v>
      </c>
      <c r="C2129" t="s">
        <v>2448</v>
      </c>
      <c r="D2129" t="s">
        <v>8</v>
      </c>
      <c r="E2129" t="s">
        <v>5759</v>
      </c>
      <c r="F2129">
        <v>31.5</v>
      </c>
      <c r="G2129">
        <v>238</v>
      </c>
    </row>
    <row r="2130" spans="1:7" x14ac:dyDescent="0.2">
      <c r="A2130" t="s">
        <v>2456</v>
      </c>
      <c r="B2130" t="s">
        <v>2457</v>
      </c>
      <c r="C2130" t="s">
        <v>2448</v>
      </c>
      <c r="D2130" t="s">
        <v>10</v>
      </c>
      <c r="E2130" t="s">
        <v>8590</v>
      </c>
    </row>
    <row r="2131" spans="1:7" x14ac:dyDescent="0.2">
      <c r="A2131" t="s">
        <v>2458</v>
      </c>
      <c r="B2131" t="s">
        <v>8676</v>
      </c>
      <c r="C2131" t="s">
        <v>2448</v>
      </c>
      <c r="D2131" t="s">
        <v>10</v>
      </c>
      <c r="E2131" t="s">
        <v>5760</v>
      </c>
      <c r="F2131">
        <v>37.666666666666664</v>
      </c>
      <c r="G2131">
        <v>547</v>
      </c>
    </row>
    <row r="2132" spans="1:7" x14ac:dyDescent="0.2">
      <c r="A2132" t="s">
        <v>2458</v>
      </c>
      <c r="B2132" t="s">
        <v>8676</v>
      </c>
      <c r="C2132" t="s">
        <v>2448</v>
      </c>
      <c r="D2132" t="s">
        <v>8</v>
      </c>
      <c r="E2132" t="s">
        <v>5761</v>
      </c>
      <c r="F2132">
        <v>17.666666666666668</v>
      </c>
      <c r="G2132">
        <v>214</v>
      </c>
    </row>
    <row r="2133" spans="1:7" x14ac:dyDescent="0.2">
      <c r="A2133" t="s">
        <v>2459</v>
      </c>
      <c r="B2133" t="s">
        <v>8677</v>
      </c>
      <c r="C2133" t="s">
        <v>2448</v>
      </c>
      <c r="D2133" t="s">
        <v>10</v>
      </c>
      <c r="E2133" t="s">
        <v>5762</v>
      </c>
    </row>
    <row r="2134" spans="1:7" x14ac:dyDescent="0.2">
      <c r="A2134" t="s">
        <v>2460</v>
      </c>
      <c r="B2134" t="s">
        <v>8678</v>
      </c>
      <c r="C2134" t="s">
        <v>2448</v>
      </c>
      <c r="D2134" t="s">
        <v>10</v>
      </c>
      <c r="E2134" t="s">
        <v>5763</v>
      </c>
      <c r="F2134">
        <v>72.666666666666671</v>
      </c>
      <c r="G2134">
        <v>391</v>
      </c>
    </row>
    <row r="2135" spans="1:7" x14ac:dyDescent="0.2">
      <c r="A2135" t="s">
        <v>2460</v>
      </c>
      <c r="B2135" t="s">
        <v>8678</v>
      </c>
      <c r="C2135" t="s">
        <v>2448</v>
      </c>
      <c r="D2135" t="s">
        <v>8</v>
      </c>
      <c r="E2135" t="s">
        <v>5764</v>
      </c>
      <c r="F2135">
        <v>27.666666666666668</v>
      </c>
      <c r="G2135">
        <v>108</v>
      </c>
    </row>
    <row r="2136" spans="1:7" x14ac:dyDescent="0.2">
      <c r="A2136" t="s">
        <v>2461</v>
      </c>
      <c r="B2136" t="s">
        <v>2462</v>
      </c>
      <c r="C2136" t="s">
        <v>2448</v>
      </c>
      <c r="D2136" t="s">
        <v>10</v>
      </c>
      <c r="E2136" t="s">
        <v>5765</v>
      </c>
      <c r="F2136">
        <v>62.333333333333336</v>
      </c>
      <c r="G2136">
        <v>685</v>
      </c>
    </row>
    <row r="2137" spans="1:7" x14ac:dyDescent="0.2">
      <c r="A2137" t="s">
        <v>5766</v>
      </c>
      <c r="B2137" t="s">
        <v>5767</v>
      </c>
      <c r="C2137" t="s">
        <v>4463</v>
      </c>
      <c r="D2137" t="s">
        <v>14</v>
      </c>
      <c r="F2137">
        <v>0</v>
      </c>
      <c r="G2137">
        <v>6</v>
      </c>
    </row>
    <row r="2138" spans="1:7" x14ac:dyDescent="0.2">
      <c r="A2138" t="s">
        <v>5766</v>
      </c>
      <c r="B2138" t="s">
        <v>5767</v>
      </c>
      <c r="C2138" t="s">
        <v>4463</v>
      </c>
      <c r="D2138" t="s">
        <v>3471</v>
      </c>
      <c r="E2138" t="s">
        <v>5768</v>
      </c>
    </row>
    <row r="2139" spans="1:7" x14ac:dyDescent="0.2">
      <c r="A2139" t="s">
        <v>5769</v>
      </c>
      <c r="B2139" t="s">
        <v>5770</v>
      </c>
      <c r="C2139" t="s">
        <v>4463</v>
      </c>
      <c r="D2139" t="s">
        <v>11</v>
      </c>
      <c r="E2139" t="s">
        <v>5771</v>
      </c>
    </row>
    <row r="2140" spans="1:7" x14ac:dyDescent="0.2">
      <c r="A2140" t="s">
        <v>2865</v>
      </c>
      <c r="B2140" t="s">
        <v>2866</v>
      </c>
      <c r="C2140" t="s">
        <v>2852</v>
      </c>
      <c r="D2140" t="s">
        <v>10</v>
      </c>
      <c r="E2140" t="s">
        <v>5772</v>
      </c>
    </row>
    <row r="2141" spans="1:7" x14ac:dyDescent="0.2">
      <c r="A2141" t="s">
        <v>2865</v>
      </c>
      <c r="B2141" t="s">
        <v>2866</v>
      </c>
      <c r="C2141" t="s">
        <v>2852</v>
      </c>
      <c r="D2141" t="s">
        <v>3471</v>
      </c>
      <c r="E2141" t="s">
        <v>5773</v>
      </c>
    </row>
    <row r="2142" spans="1:7" x14ac:dyDescent="0.2">
      <c r="A2142" t="s">
        <v>5774</v>
      </c>
      <c r="B2142" t="s">
        <v>5775</v>
      </c>
      <c r="C2142" t="s">
        <v>2852</v>
      </c>
      <c r="D2142" t="s">
        <v>10</v>
      </c>
      <c r="E2142" t="s">
        <v>5776</v>
      </c>
    </row>
    <row r="2143" spans="1:7" x14ac:dyDescent="0.2">
      <c r="A2143" t="s">
        <v>5777</v>
      </c>
      <c r="B2143" t="s">
        <v>5778</v>
      </c>
      <c r="C2143" t="s">
        <v>4463</v>
      </c>
      <c r="D2143" t="s">
        <v>11</v>
      </c>
      <c r="E2143" t="s">
        <v>5779</v>
      </c>
    </row>
    <row r="2144" spans="1:7" x14ac:dyDescent="0.2">
      <c r="A2144" t="s">
        <v>5780</v>
      </c>
      <c r="B2144" t="s">
        <v>5781</v>
      </c>
      <c r="C2144" t="s">
        <v>4463</v>
      </c>
      <c r="D2144" t="s">
        <v>11</v>
      </c>
      <c r="E2144" t="s">
        <v>5782</v>
      </c>
    </row>
    <row r="2145" spans="1:7" x14ac:dyDescent="0.2">
      <c r="A2145" t="s">
        <v>5783</v>
      </c>
      <c r="B2145" t="s">
        <v>5784</v>
      </c>
      <c r="C2145" t="s">
        <v>4463</v>
      </c>
      <c r="D2145" t="s">
        <v>11</v>
      </c>
      <c r="E2145" t="s">
        <v>5785</v>
      </c>
    </row>
    <row r="2146" spans="1:7" x14ac:dyDescent="0.2">
      <c r="A2146" t="s">
        <v>5786</v>
      </c>
      <c r="B2146" t="s">
        <v>5787</v>
      </c>
      <c r="C2146" t="s">
        <v>2852</v>
      </c>
      <c r="D2146" t="s">
        <v>11</v>
      </c>
      <c r="E2146" t="s">
        <v>5788</v>
      </c>
    </row>
    <row r="2147" spans="1:7" x14ac:dyDescent="0.2">
      <c r="A2147" t="s">
        <v>2132</v>
      </c>
      <c r="B2147" t="s">
        <v>2133</v>
      </c>
      <c r="C2147" t="s">
        <v>2131</v>
      </c>
      <c r="D2147" t="s">
        <v>11</v>
      </c>
      <c r="E2147" t="s">
        <v>5789</v>
      </c>
    </row>
    <row r="2148" spans="1:7" x14ac:dyDescent="0.2">
      <c r="A2148" t="s">
        <v>2132</v>
      </c>
      <c r="B2148" t="s">
        <v>2133</v>
      </c>
      <c r="C2148" t="s">
        <v>2131</v>
      </c>
      <c r="D2148" t="s">
        <v>14</v>
      </c>
      <c r="F2148">
        <v>0.16666666666666666</v>
      </c>
      <c r="G2148">
        <v>2</v>
      </c>
    </row>
    <row r="2149" spans="1:7" x14ac:dyDescent="0.2">
      <c r="A2149" t="s">
        <v>5790</v>
      </c>
      <c r="B2149" t="s">
        <v>5791</v>
      </c>
      <c r="C2149" t="s">
        <v>2131</v>
      </c>
      <c r="D2149" t="s">
        <v>14</v>
      </c>
      <c r="F2149">
        <v>0</v>
      </c>
      <c r="G2149">
        <v>3</v>
      </c>
    </row>
    <row r="2150" spans="1:7" x14ac:dyDescent="0.2">
      <c r="A2150" t="s">
        <v>2138</v>
      </c>
      <c r="B2150" t="s">
        <v>2139</v>
      </c>
      <c r="C2150" t="s">
        <v>2131</v>
      </c>
      <c r="D2150" t="s">
        <v>11</v>
      </c>
      <c r="E2150" t="s">
        <v>5792</v>
      </c>
    </row>
    <row r="2151" spans="1:7" x14ac:dyDescent="0.2">
      <c r="A2151" t="s">
        <v>2138</v>
      </c>
      <c r="B2151" t="s">
        <v>2139</v>
      </c>
      <c r="C2151" t="s">
        <v>2131</v>
      </c>
      <c r="D2151" t="s">
        <v>14</v>
      </c>
      <c r="F2151">
        <v>0</v>
      </c>
      <c r="G2151">
        <v>2</v>
      </c>
    </row>
    <row r="2152" spans="1:7" x14ac:dyDescent="0.2">
      <c r="A2152" t="s">
        <v>2140</v>
      </c>
      <c r="B2152" t="s">
        <v>2141</v>
      </c>
      <c r="C2152" t="s">
        <v>2131</v>
      </c>
      <c r="D2152" t="s">
        <v>11</v>
      </c>
      <c r="E2152" t="s">
        <v>5793</v>
      </c>
    </row>
    <row r="2153" spans="1:7" x14ac:dyDescent="0.2">
      <c r="A2153" t="s">
        <v>2140</v>
      </c>
      <c r="B2153" t="s">
        <v>2141</v>
      </c>
      <c r="C2153" t="s">
        <v>2131</v>
      </c>
      <c r="D2153" t="s">
        <v>14</v>
      </c>
      <c r="F2153">
        <v>0</v>
      </c>
      <c r="G2153">
        <v>5</v>
      </c>
    </row>
    <row r="2154" spans="1:7" x14ac:dyDescent="0.2">
      <c r="A2154" t="s">
        <v>2134</v>
      </c>
      <c r="B2154" t="s">
        <v>2135</v>
      </c>
      <c r="C2154" t="s">
        <v>2131</v>
      </c>
      <c r="D2154" t="s">
        <v>11</v>
      </c>
      <c r="E2154" t="s">
        <v>5794</v>
      </c>
    </row>
    <row r="2155" spans="1:7" x14ac:dyDescent="0.2">
      <c r="A2155" t="s">
        <v>2134</v>
      </c>
      <c r="B2155" t="s">
        <v>2135</v>
      </c>
      <c r="C2155" t="s">
        <v>2131</v>
      </c>
      <c r="D2155" t="s">
        <v>14</v>
      </c>
      <c r="F2155">
        <v>0</v>
      </c>
      <c r="G2155">
        <v>3</v>
      </c>
    </row>
    <row r="2156" spans="1:7" x14ac:dyDescent="0.2">
      <c r="A2156" t="s">
        <v>2134</v>
      </c>
      <c r="B2156" t="s">
        <v>2135</v>
      </c>
      <c r="C2156" t="s">
        <v>2131</v>
      </c>
      <c r="D2156" t="s">
        <v>8</v>
      </c>
      <c r="E2156" t="s">
        <v>5795</v>
      </c>
    </row>
    <row r="2157" spans="1:7" x14ac:dyDescent="0.2">
      <c r="A2157" t="s">
        <v>2136</v>
      </c>
      <c r="B2157" t="s">
        <v>2137</v>
      </c>
      <c r="C2157" t="s">
        <v>2131</v>
      </c>
      <c r="D2157" t="s">
        <v>11</v>
      </c>
      <c r="E2157" t="s">
        <v>5796</v>
      </c>
    </row>
    <row r="2158" spans="1:7" x14ac:dyDescent="0.2">
      <c r="A2158" t="s">
        <v>2136</v>
      </c>
      <c r="B2158" t="s">
        <v>2137</v>
      </c>
      <c r="C2158" t="s">
        <v>2131</v>
      </c>
      <c r="D2158" t="s">
        <v>14</v>
      </c>
      <c r="F2158">
        <v>0</v>
      </c>
      <c r="G2158">
        <v>6</v>
      </c>
    </row>
    <row r="2159" spans="1:7" x14ac:dyDescent="0.2">
      <c r="A2159" t="s">
        <v>2142</v>
      </c>
      <c r="B2159" t="s">
        <v>2143</v>
      </c>
      <c r="C2159" t="s">
        <v>2131</v>
      </c>
      <c r="D2159" t="s">
        <v>11</v>
      </c>
      <c r="E2159" t="s">
        <v>5797</v>
      </c>
    </row>
    <row r="2160" spans="1:7" x14ac:dyDescent="0.2">
      <c r="A2160" t="s">
        <v>2142</v>
      </c>
      <c r="B2160" t="s">
        <v>2143</v>
      </c>
      <c r="C2160" t="s">
        <v>2131</v>
      </c>
      <c r="D2160" t="s">
        <v>14</v>
      </c>
      <c r="F2160">
        <v>0</v>
      </c>
      <c r="G2160">
        <v>2</v>
      </c>
    </row>
    <row r="2161" spans="1:7" x14ac:dyDescent="0.2">
      <c r="A2161" t="s">
        <v>2142</v>
      </c>
      <c r="B2161" t="s">
        <v>2143</v>
      </c>
      <c r="C2161" t="s">
        <v>2131</v>
      </c>
      <c r="D2161" t="s">
        <v>8</v>
      </c>
      <c r="E2161" t="s">
        <v>5798</v>
      </c>
    </row>
    <row r="2162" spans="1:7" x14ac:dyDescent="0.2">
      <c r="A2162" t="s">
        <v>2144</v>
      </c>
      <c r="B2162" t="s">
        <v>2145</v>
      </c>
      <c r="C2162" t="s">
        <v>2131</v>
      </c>
      <c r="D2162" t="s">
        <v>14</v>
      </c>
      <c r="F2162">
        <v>0</v>
      </c>
      <c r="G2162">
        <v>2</v>
      </c>
    </row>
    <row r="2163" spans="1:7" x14ac:dyDescent="0.2">
      <c r="A2163" t="s">
        <v>5799</v>
      </c>
      <c r="B2163" t="s">
        <v>5800</v>
      </c>
      <c r="C2163" t="s">
        <v>2495</v>
      </c>
      <c r="D2163" t="s">
        <v>11</v>
      </c>
      <c r="E2163" t="s">
        <v>5801</v>
      </c>
    </row>
    <row r="2164" spans="1:7" x14ac:dyDescent="0.2">
      <c r="A2164" t="s">
        <v>5802</v>
      </c>
      <c r="B2164" t="s">
        <v>5803</v>
      </c>
      <c r="C2164" t="s">
        <v>2495</v>
      </c>
      <c r="D2164" t="s">
        <v>11</v>
      </c>
      <c r="E2164" t="s">
        <v>5804</v>
      </c>
    </row>
    <row r="2165" spans="1:7" x14ac:dyDescent="0.2">
      <c r="A2165" t="s">
        <v>2500</v>
      </c>
      <c r="B2165" t="s">
        <v>2501</v>
      </c>
      <c r="C2165" t="s">
        <v>2495</v>
      </c>
      <c r="D2165" t="s">
        <v>11</v>
      </c>
      <c r="E2165" t="s">
        <v>5805</v>
      </c>
    </row>
    <row r="2166" spans="1:7" x14ac:dyDescent="0.2">
      <c r="A2166" t="s">
        <v>5806</v>
      </c>
      <c r="B2166" t="s">
        <v>5807</v>
      </c>
      <c r="C2166" t="s">
        <v>2495</v>
      </c>
      <c r="D2166" t="s">
        <v>11</v>
      </c>
      <c r="E2166" t="s">
        <v>5808</v>
      </c>
    </row>
    <row r="2167" spans="1:7" x14ac:dyDescent="0.2">
      <c r="A2167" t="s">
        <v>2498</v>
      </c>
      <c r="B2167" t="s">
        <v>2499</v>
      </c>
      <c r="C2167" t="s">
        <v>2495</v>
      </c>
      <c r="D2167" t="s">
        <v>11</v>
      </c>
      <c r="E2167" t="s">
        <v>5809</v>
      </c>
    </row>
    <row r="2168" spans="1:7" x14ac:dyDescent="0.2">
      <c r="A2168" t="s">
        <v>5810</v>
      </c>
      <c r="B2168" t="s">
        <v>5811</v>
      </c>
      <c r="C2168" t="s">
        <v>2495</v>
      </c>
      <c r="D2168" t="s">
        <v>11</v>
      </c>
      <c r="E2168" t="s">
        <v>5812</v>
      </c>
    </row>
    <row r="2169" spans="1:7" x14ac:dyDescent="0.2">
      <c r="A2169" t="s">
        <v>5813</v>
      </c>
      <c r="B2169" t="s">
        <v>5814</v>
      </c>
      <c r="C2169" t="s">
        <v>2495</v>
      </c>
      <c r="D2169" t="s">
        <v>10</v>
      </c>
      <c r="E2169" t="s">
        <v>5815</v>
      </c>
    </row>
    <row r="2170" spans="1:7" x14ac:dyDescent="0.2">
      <c r="A2170" t="s">
        <v>5816</v>
      </c>
      <c r="B2170" t="s">
        <v>5817</v>
      </c>
      <c r="C2170" t="s">
        <v>2495</v>
      </c>
      <c r="D2170" t="s">
        <v>11</v>
      </c>
      <c r="E2170" t="s">
        <v>5818</v>
      </c>
    </row>
    <row r="2171" spans="1:7" x14ac:dyDescent="0.2">
      <c r="A2171" t="s">
        <v>5819</v>
      </c>
      <c r="B2171" t="s">
        <v>5820</v>
      </c>
      <c r="C2171" t="s">
        <v>2852</v>
      </c>
      <c r="D2171" t="s">
        <v>3471</v>
      </c>
      <c r="E2171" t="s">
        <v>5821</v>
      </c>
    </row>
    <row r="2172" spans="1:7" x14ac:dyDescent="0.2">
      <c r="A2172" t="s">
        <v>5822</v>
      </c>
      <c r="B2172" t="s">
        <v>5823</v>
      </c>
      <c r="C2172" t="s">
        <v>2852</v>
      </c>
      <c r="D2172" t="s">
        <v>10</v>
      </c>
      <c r="E2172" t="s">
        <v>5824</v>
      </c>
      <c r="F2172">
        <v>0</v>
      </c>
      <c r="G2172">
        <v>1</v>
      </c>
    </row>
    <row r="2173" spans="1:7" x14ac:dyDescent="0.2">
      <c r="A2173" t="s">
        <v>5825</v>
      </c>
      <c r="B2173" t="s">
        <v>5826</v>
      </c>
      <c r="C2173" t="s">
        <v>2852</v>
      </c>
      <c r="D2173" t="s">
        <v>11</v>
      </c>
      <c r="E2173" t="s">
        <v>5827</v>
      </c>
    </row>
    <row r="2174" spans="1:7" x14ac:dyDescent="0.2">
      <c r="A2174" t="s">
        <v>1697</v>
      </c>
      <c r="B2174" t="s">
        <v>1698</v>
      </c>
      <c r="C2174" t="s">
        <v>1696</v>
      </c>
      <c r="D2174" t="s">
        <v>11</v>
      </c>
      <c r="E2174" t="s">
        <v>5828</v>
      </c>
    </row>
    <row r="2175" spans="1:7" x14ac:dyDescent="0.2">
      <c r="A2175" t="s">
        <v>1702</v>
      </c>
      <c r="B2175" t="s">
        <v>1703</v>
      </c>
      <c r="C2175" t="s">
        <v>1696</v>
      </c>
      <c r="D2175" t="s">
        <v>11</v>
      </c>
      <c r="E2175" t="s">
        <v>5829</v>
      </c>
    </row>
    <row r="2176" spans="1:7" x14ac:dyDescent="0.2">
      <c r="A2176" t="s">
        <v>5830</v>
      </c>
      <c r="B2176" t="s">
        <v>5831</v>
      </c>
      <c r="C2176" t="s">
        <v>4463</v>
      </c>
      <c r="D2176" t="s">
        <v>11</v>
      </c>
      <c r="E2176" t="s">
        <v>5832</v>
      </c>
    </row>
    <row r="2177" spans="1:5" x14ac:dyDescent="0.2">
      <c r="A2177" t="s">
        <v>5833</v>
      </c>
      <c r="B2177" t="s">
        <v>5834</v>
      </c>
      <c r="C2177" t="s">
        <v>4463</v>
      </c>
      <c r="D2177" t="s">
        <v>11</v>
      </c>
      <c r="E2177" t="s">
        <v>5835</v>
      </c>
    </row>
    <row r="2178" spans="1:5" x14ac:dyDescent="0.2">
      <c r="A2178" t="s">
        <v>5836</v>
      </c>
      <c r="B2178" t="s">
        <v>5837</v>
      </c>
      <c r="C2178" t="s">
        <v>1692</v>
      </c>
      <c r="D2178" t="s">
        <v>11</v>
      </c>
      <c r="E2178" t="s">
        <v>5838</v>
      </c>
    </row>
    <row r="2179" spans="1:5" x14ac:dyDescent="0.2">
      <c r="A2179" t="s">
        <v>5839</v>
      </c>
      <c r="B2179" t="s">
        <v>5840</v>
      </c>
      <c r="C2179" t="s">
        <v>1692</v>
      </c>
      <c r="D2179" t="s">
        <v>11</v>
      </c>
      <c r="E2179" t="s">
        <v>5841</v>
      </c>
    </row>
    <row r="2180" spans="1:5" x14ac:dyDescent="0.2">
      <c r="A2180" t="s">
        <v>5839</v>
      </c>
      <c r="B2180" t="s">
        <v>5840</v>
      </c>
      <c r="C2180" t="s">
        <v>1692</v>
      </c>
      <c r="D2180" t="s">
        <v>3484</v>
      </c>
    </row>
    <row r="2181" spans="1:5" x14ac:dyDescent="0.2">
      <c r="A2181" t="s">
        <v>5842</v>
      </c>
      <c r="B2181" t="s">
        <v>5843</v>
      </c>
      <c r="C2181" t="s">
        <v>1858</v>
      </c>
      <c r="D2181" t="s">
        <v>11</v>
      </c>
      <c r="E2181" t="s">
        <v>5844</v>
      </c>
    </row>
    <row r="2182" spans="1:5" x14ac:dyDescent="0.2">
      <c r="A2182" t="s">
        <v>5845</v>
      </c>
      <c r="B2182" t="s">
        <v>5846</v>
      </c>
      <c r="C2182" t="s">
        <v>5847</v>
      </c>
      <c r="D2182" t="s">
        <v>11</v>
      </c>
      <c r="E2182" t="s">
        <v>5848</v>
      </c>
    </row>
    <row r="2183" spans="1:5" x14ac:dyDescent="0.2">
      <c r="A2183" t="s">
        <v>5845</v>
      </c>
      <c r="B2183" t="s">
        <v>5846</v>
      </c>
      <c r="C2183" t="s">
        <v>5847</v>
      </c>
      <c r="D2183" t="s">
        <v>3484</v>
      </c>
    </row>
    <row r="2184" spans="1:5" x14ac:dyDescent="0.2">
      <c r="A2184" t="s">
        <v>5849</v>
      </c>
      <c r="B2184" t="s">
        <v>5850</v>
      </c>
      <c r="C2184" t="s">
        <v>1692</v>
      </c>
      <c r="D2184" t="s">
        <v>11</v>
      </c>
      <c r="E2184" t="s">
        <v>5851</v>
      </c>
    </row>
    <row r="2185" spans="1:5" x14ac:dyDescent="0.2">
      <c r="A2185" t="s">
        <v>5852</v>
      </c>
      <c r="B2185" t="s">
        <v>5853</v>
      </c>
      <c r="C2185" t="s">
        <v>1692</v>
      </c>
      <c r="D2185" t="s">
        <v>11</v>
      </c>
      <c r="E2185" t="s">
        <v>5854</v>
      </c>
    </row>
    <row r="2186" spans="1:5" x14ac:dyDescent="0.2">
      <c r="A2186" t="s">
        <v>5855</v>
      </c>
      <c r="B2186" t="s">
        <v>5856</v>
      </c>
      <c r="C2186" t="s">
        <v>1692</v>
      </c>
      <c r="D2186" t="s">
        <v>11</v>
      </c>
      <c r="E2186" t="s">
        <v>5857</v>
      </c>
    </row>
    <row r="2187" spans="1:5" x14ac:dyDescent="0.2">
      <c r="A2187" t="s">
        <v>5858</v>
      </c>
      <c r="B2187" t="s">
        <v>5859</v>
      </c>
      <c r="C2187" t="s">
        <v>1692</v>
      </c>
      <c r="D2187" t="s">
        <v>11</v>
      </c>
      <c r="E2187" t="s">
        <v>5860</v>
      </c>
    </row>
    <row r="2188" spans="1:5" x14ac:dyDescent="0.2">
      <c r="A2188" t="s">
        <v>5861</v>
      </c>
      <c r="B2188" t="s">
        <v>5862</v>
      </c>
      <c r="C2188" t="s">
        <v>1692</v>
      </c>
      <c r="D2188" t="s">
        <v>11</v>
      </c>
      <c r="E2188" t="s">
        <v>5863</v>
      </c>
    </row>
    <row r="2189" spans="1:5" x14ac:dyDescent="0.2">
      <c r="A2189" t="s">
        <v>5864</v>
      </c>
      <c r="B2189" t="s">
        <v>5865</v>
      </c>
      <c r="C2189" t="s">
        <v>1692</v>
      </c>
      <c r="D2189" t="s">
        <v>11</v>
      </c>
      <c r="E2189" t="s">
        <v>5866</v>
      </c>
    </row>
    <row r="2190" spans="1:5" x14ac:dyDescent="0.2">
      <c r="A2190" t="s">
        <v>5867</v>
      </c>
      <c r="B2190" t="s">
        <v>5868</v>
      </c>
      <c r="C2190" t="s">
        <v>4463</v>
      </c>
      <c r="D2190" t="s">
        <v>11</v>
      </c>
      <c r="E2190" t="s">
        <v>5869</v>
      </c>
    </row>
    <row r="2191" spans="1:5" x14ac:dyDescent="0.2">
      <c r="A2191" t="s">
        <v>5867</v>
      </c>
      <c r="B2191" t="s">
        <v>5868</v>
      </c>
      <c r="C2191" t="s">
        <v>4463</v>
      </c>
      <c r="D2191" t="s">
        <v>3471</v>
      </c>
      <c r="E2191" t="s">
        <v>5870</v>
      </c>
    </row>
    <row r="2192" spans="1:5" x14ac:dyDescent="0.2">
      <c r="A2192" t="s">
        <v>1693</v>
      </c>
      <c r="B2192" t="s">
        <v>1694</v>
      </c>
      <c r="C2192" t="s">
        <v>1692</v>
      </c>
      <c r="D2192" t="s">
        <v>11</v>
      </c>
      <c r="E2192" t="s">
        <v>5871</v>
      </c>
    </row>
    <row r="2193" spans="1:7" x14ac:dyDescent="0.2">
      <c r="A2193" t="s">
        <v>5872</v>
      </c>
      <c r="B2193" t="s">
        <v>5873</v>
      </c>
      <c r="C2193" t="s">
        <v>1692</v>
      </c>
      <c r="D2193" t="s">
        <v>11</v>
      </c>
      <c r="E2193" t="s">
        <v>5874</v>
      </c>
    </row>
    <row r="2194" spans="1:7" x14ac:dyDescent="0.2">
      <c r="A2194" t="s">
        <v>5875</v>
      </c>
      <c r="B2194" t="s">
        <v>5876</v>
      </c>
      <c r="C2194" t="s">
        <v>1692</v>
      </c>
      <c r="D2194" t="s">
        <v>11</v>
      </c>
      <c r="E2194" t="s">
        <v>5877</v>
      </c>
    </row>
    <row r="2195" spans="1:7" x14ac:dyDescent="0.2">
      <c r="A2195" t="s">
        <v>5878</v>
      </c>
      <c r="B2195" t="s">
        <v>5879</v>
      </c>
      <c r="C2195" t="s">
        <v>1692</v>
      </c>
      <c r="D2195" t="s">
        <v>11</v>
      </c>
      <c r="E2195" t="s">
        <v>5880</v>
      </c>
    </row>
    <row r="2196" spans="1:7" x14ac:dyDescent="0.2">
      <c r="A2196" t="s">
        <v>5881</v>
      </c>
      <c r="B2196" t="s">
        <v>5882</v>
      </c>
      <c r="C2196" t="s">
        <v>1692</v>
      </c>
      <c r="D2196" t="s">
        <v>11</v>
      </c>
      <c r="E2196" t="s">
        <v>5883</v>
      </c>
    </row>
    <row r="2197" spans="1:7" x14ac:dyDescent="0.2">
      <c r="A2197" t="s">
        <v>5884</v>
      </c>
      <c r="B2197" t="s">
        <v>5885</v>
      </c>
      <c r="C2197" t="s">
        <v>5847</v>
      </c>
      <c r="D2197" t="s">
        <v>11</v>
      </c>
      <c r="E2197" t="s">
        <v>5886</v>
      </c>
    </row>
    <row r="2198" spans="1:7" x14ac:dyDescent="0.2">
      <c r="A2198" t="s">
        <v>5887</v>
      </c>
      <c r="B2198" t="s">
        <v>5888</v>
      </c>
      <c r="C2198" t="s">
        <v>1692</v>
      </c>
      <c r="D2198" t="s">
        <v>11</v>
      </c>
      <c r="E2198" t="s">
        <v>5889</v>
      </c>
    </row>
    <row r="2199" spans="1:7" x14ac:dyDescent="0.2">
      <c r="A2199" t="s">
        <v>5890</v>
      </c>
      <c r="B2199" t="s">
        <v>5891</v>
      </c>
      <c r="C2199" t="s">
        <v>1692</v>
      </c>
      <c r="D2199" t="s">
        <v>11</v>
      </c>
      <c r="E2199" t="s">
        <v>5892</v>
      </c>
    </row>
    <row r="2200" spans="1:7" x14ac:dyDescent="0.2">
      <c r="A2200" t="s">
        <v>5893</v>
      </c>
      <c r="B2200" t="s">
        <v>5894</v>
      </c>
      <c r="C2200" t="s">
        <v>1692</v>
      </c>
      <c r="D2200" t="s">
        <v>11</v>
      </c>
      <c r="E2200" t="s">
        <v>5895</v>
      </c>
    </row>
    <row r="2201" spans="1:7" x14ac:dyDescent="0.2">
      <c r="A2201" t="s">
        <v>5896</v>
      </c>
      <c r="B2201" t="s">
        <v>5897</v>
      </c>
      <c r="C2201" t="s">
        <v>1692</v>
      </c>
      <c r="D2201" t="s">
        <v>11</v>
      </c>
      <c r="E2201" t="s">
        <v>5898</v>
      </c>
    </row>
    <row r="2202" spans="1:7" x14ac:dyDescent="0.2">
      <c r="A2202" t="s">
        <v>5899</v>
      </c>
      <c r="B2202" t="s">
        <v>5900</v>
      </c>
      <c r="C2202" t="s">
        <v>1692</v>
      </c>
      <c r="D2202" t="s">
        <v>11</v>
      </c>
      <c r="E2202" t="s">
        <v>5901</v>
      </c>
    </row>
    <row r="2203" spans="1:7" x14ac:dyDescent="0.2">
      <c r="A2203" t="s">
        <v>3385</v>
      </c>
      <c r="B2203" t="s">
        <v>3386</v>
      </c>
      <c r="C2203" t="s">
        <v>3268</v>
      </c>
      <c r="D2203" t="s">
        <v>11</v>
      </c>
      <c r="E2203" t="s">
        <v>5902</v>
      </c>
    </row>
    <row r="2204" spans="1:7" x14ac:dyDescent="0.2">
      <c r="A2204" t="s">
        <v>3385</v>
      </c>
      <c r="B2204" t="s">
        <v>3386</v>
      </c>
      <c r="C2204" t="s">
        <v>3268</v>
      </c>
      <c r="D2204" t="s">
        <v>13</v>
      </c>
    </row>
    <row r="2205" spans="1:7" x14ac:dyDescent="0.2">
      <c r="A2205" t="s">
        <v>3385</v>
      </c>
      <c r="B2205" t="s">
        <v>3386</v>
      </c>
      <c r="C2205" t="s">
        <v>3268</v>
      </c>
      <c r="D2205" t="s">
        <v>10</v>
      </c>
      <c r="E2205" t="s">
        <v>5903</v>
      </c>
      <c r="F2205">
        <v>0.83333333333333337</v>
      </c>
      <c r="G2205">
        <v>21</v>
      </c>
    </row>
    <row r="2206" spans="1:7" x14ac:dyDescent="0.2">
      <c r="A2206" t="s">
        <v>3385</v>
      </c>
      <c r="B2206" t="s">
        <v>3386</v>
      </c>
      <c r="C2206" t="s">
        <v>3268</v>
      </c>
      <c r="D2206" t="s">
        <v>8</v>
      </c>
      <c r="E2206" t="s">
        <v>5904</v>
      </c>
    </row>
    <row r="2207" spans="1:7" x14ac:dyDescent="0.2">
      <c r="A2207" t="s">
        <v>3385</v>
      </c>
      <c r="B2207" t="s">
        <v>3386</v>
      </c>
      <c r="C2207" t="s">
        <v>3268</v>
      </c>
      <c r="D2207" t="s">
        <v>12</v>
      </c>
      <c r="F2207">
        <v>0.5</v>
      </c>
      <c r="G2207">
        <v>21</v>
      </c>
    </row>
    <row r="2208" spans="1:7" x14ac:dyDescent="0.2">
      <c r="A2208" t="s">
        <v>3269</v>
      </c>
      <c r="B2208" t="s">
        <v>3270</v>
      </c>
      <c r="C2208" t="s">
        <v>3268</v>
      </c>
      <c r="D2208" t="s">
        <v>11</v>
      </c>
      <c r="E2208" t="s">
        <v>8591</v>
      </c>
      <c r="F2208">
        <v>2</v>
      </c>
      <c r="G2208">
        <v>4</v>
      </c>
    </row>
    <row r="2209" spans="1:7" x14ac:dyDescent="0.2">
      <c r="A2209" t="s">
        <v>3269</v>
      </c>
      <c r="B2209" t="s">
        <v>3270</v>
      </c>
      <c r="C2209" t="s">
        <v>3268</v>
      </c>
      <c r="D2209" t="s">
        <v>14</v>
      </c>
      <c r="F2209">
        <v>0.5</v>
      </c>
      <c r="G2209">
        <v>26</v>
      </c>
    </row>
    <row r="2210" spans="1:7" x14ac:dyDescent="0.2">
      <c r="A2210" t="s">
        <v>3269</v>
      </c>
      <c r="B2210" t="s">
        <v>3270</v>
      </c>
      <c r="C2210" t="s">
        <v>3268</v>
      </c>
      <c r="D2210" t="s">
        <v>10</v>
      </c>
      <c r="E2210" t="s">
        <v>5905</v>
      </c>
      <c r="F2210">
        <v>4.166666666666667</v>
      </c>
      <c r="G2210">
        <v>448</v>
      </c>
    </row>
    <row r="2211" spans="1:7" x14ac:dyDescent="0.2">
      <c r="A2211" t="s">
        <v>3269</v>
      </c>
      <c r="B2211" t="s">
        <v>3270</v>
      </c>
      <c r="C2211" t="s">
        <v>3268</v>
      </c>
      <c r="D2211" t="s">
        <v>8</v>
      </c>
      <c r="E2211" t="s">
        <v>8592</v>
      </c>
      <c r="F2211">
        <v>0.16666666666666666</v>
      </c>
      <c r="G2211">
        <v>7</v>
      </c>
    </row>
    <row r="2212" spans="1:7" x14ac:dyDescent="0.2">
      <c r="A2212" t="s">
        <v>5906</v>
      </c>
      <c r="B2212" t="s">
        <v>5907</v>
      </c>
      <c r="C2212" t="s">
        <v>5908</v>
      </c>
      <c r="D2212" t="s">
        <v>10</v>
      </c>
      <c r="E2212" t="s">
        <v>5909</v>
      </c>
      <c r="F2212">
        <v>0</v>
      </c>
      <c r="G2212">
        <v>1</v>
      </c>
    </row>
    <row r="2213" spans="1:7" x14ac:dyDescent="0.2">
      <c r="A2213" t="s">
        <v>5910</v>
      </c>
      <c r="B2213" t="s">
        <v>5911</v>
      </c>
      <c r="C2213" t="s">
        <v>2852</v>
      </c>
      <c r="D2213" t="s">
        <v>11</v>
      </c>
      <c r="E2213" t="s">
        <v>5912</v>
      </c>
    </row>
    <row r="2214" spans="1:7" x14ac:dyDescent="0.2">
      <c r="A2214" t="s">
        <v>5913</v>
      </c>
      <c r="B2214" t="s">
        <v>5914</v>
      </c>
      <c r="C2214" t="s">
        <v>2852</v>
      </c>
      <c r="D2214" t="s">
        <v>11</v>
      </c>
      <c r="E2214" t="s">
        <v>5915</v>
      </c>
    </row>
    <row r="2215" spans="1:7" x14ac:dyDescent="0.2">
      <c r="A2215" t="s">
        <v>1859</v>
      </c>
      <c r="B2215" t="s">
        <v>1860</v>
      </c>
      <c r="C2215" t="s">
        <v>1858</v>
      </c>
      <c r="D2215" t="s">
        <v>11</v>
      </c>
      <c r="E2215" t="s">
        <v>5916</v>
      </c>
    </row>
    <row r="2216" spans="1:7" x14ac:dyDescent="0.2">
      <c r="A2216" t="s">
        <v>1859</v>
      </c>
      <c r="B2216" t="s">
        <v>1860</v>
      </c>
      <c r="C2216" t="s">
        <v>1858</v>
      </c>
      <c r="D2216" t="s">
        <v>11</v>
      </c>
      <c r="E2216" t="s">
        <v>5917</v>
      </c>
    </row>
    <row r="2217" spans="1:7" x14ac:dyDescent="0.2">
      <c r="A2217" t="s">
        <v>5918</v>
      </c>
      <c r="B2217" t="s">
        <v>5919</v>
      </c>
      <c r="C2217" t="s">
        <v>4463</v>
      </c>
      <c r="D2217" t="s">
        <v>11</v>
      </c>
      <c r="E2217" t="s">
        <v>5920</v>
      </c>
    </row>
    <row r="2218" spans="1:7" x14ac:dyDescent="0.2">
      <c r="A2218" t="s">
        <v>5921</v>
      </c>
      <c r="B2218" t="s">
        <v>5922</v>
      </c>
      <c r="C2218" t="s">
        <v>2852</v>
      </c>
      <c r="D2218" t="s">
        <v>11</v>
      </c>
      <c r="E2218" t="s">
        <v>5923</v>
      </c>
    </row>
    <row r="2219" spans="1:7" x14ac:dyDescent="0.2">
      <c r="A2219" t="s">
        <v>5924</v>
      </c>
      <c r="B2219" t="s">
        <v>5925</v>
      </c>
      <c r="C2219" t="s">
        <v>2502</v>
      </c>
      <c r="D2219" t="s">
        <v>14</v>
      </c>
      <c r="F2219">
        <v>0.16666666666666666</v>
      </c>
      <c r="G2219">
        <v>1</v>
      </c>
    </row>
    <row r="2220" spans="1:7" x14ac:dyDescent="0.2">
      <c r="A2220" t="s">
        <v>5924</v>
      </c>
      <c r="B2220" t="s">
        <v>5925</v>
      </c>
      <c r="C2220" t="s">
        <v>2502</v>
      </c>
      <c r="D2220" t="s">
        <v>10</v>
      </c>
      <c r="E2220" t="s">
        <v>5926</v>
      </c>
      <c r="F2220">
        <v>0</v>
      </c>
      <c r="G2220">
        <v>7</v>
      </c>
    </row>
    <row r="2221" spans="1:7" x14ac:dyDescent="0.2">
      <c r="A2221" t="s">
        <v>5924</v>
      </c>
      <c r="B2221" t="s">
        <v>5925</v>
      </c>
      <c r="C2221" t="s">
        <v>2502</v>
      </c>
      <c r="D2221" t="s">
        <v>3471</v>
      </c>
      <c r="E2221" t="s">
        <v>5927</v>
      </c>
    </row>
    <row r="2222" spans="1:7" x14ac:dyDescent="0.2">
      <c r="A2222" t="s">
        <v>5924</v>
      </c>
      <c r="B2222" t="s">
        <v>5925</v>
      </c>
      <c r="C2222" t="s">
        <v>2502</v>
      </c>
      <c r="D2222" t="s">
        <v>8</v>
      </c>
      <c r="E2222" t="s">
        <v>5928</v>
      </c>
    </row>
    <row r="2223" spans="1:7" x14ac:dyDescent="0.2">
      <c r="A2223" t="s">
        <v>5924</v>
      </c>
      <c r="B2223" t="s">
        <v>5925</v>
      </c>
      <c r="C2223" t="s">
        <v>2502</v>
      </c>
      <c r="D2223" t="s">
        <v>3469</v>
      </c>
    </row>
    <row r="2224" spans="1:7" x14ac:dyDescent="0.2">
      <c r="A2224" t="s">
        <v>5924</v>
      </c>
      <c r="B2224" t="s">
        <v>5925</v>
      </c>
      <c r="C2224" t="s">
        <v>2502</v>
      </c>
      <c r="D2224" t="s">
        <v>3484</v>
      </c>
    </row>
    <row r="2225" spans="1:7" x14ac:dyDescent="0.2">
      <c r="A2225" t="s">
        <v>2541</v>
      </c>
      <c r="B2225" t="s">
        <v>2542</v>
      </c>
      <c r="C2225" t="s">
        <v>2502</v>
      </c>
      <c r="D2225" t="s">
        <v>10</v>
      </c>
      <c r="E2225" t="s">
        <v>5929</v>
      </c>
    </row>
    <row r="2226" spans="1:7" x14ac:dyDescent="0.2">
      <c r="A2226" t="s">
        <v>2541</v>
      </c>
      <c r="B2226" t="s">
        <v>2542</v>
      </c>
      <c r="C2226" t="s">
        <v>2502</v>
      </c>
      <c r="D2226" t="s">
        <v>3471</v>
      </c>
      <c r="E2226" t="s">
        <v>5930</v>
      </c>
      <c r="F2226">
        <v>0.16666666666666666</v>
      </c>
      <c r="G2226">
        <v>0</v>
      </c>
    </row>
    <row r="2227" spans="1:7" x14ac:dyDescent="0.2">
      <c r="A2227" t="s">
        <v>2541</v>
      </c>
      <c r="B2227" t="s">
        <v>2542</v>
      </c>
      <c r="C2227" t="s">
        <v>2502</v>
      </c>
      <c r="D2227" t="s">
        <v>8</v>
      </c>
      <c r="E2227" t="s">
        <v>5931</v>
      </c>
      <c r="F2227">
        <v>0.66666666666666663</v>
      </c>
      <c r="G2227">
        <v>4</v>
      </c>
    </row>
    <row r="2228" spans="1:7" x14ac:dyDescent="0.2">
      <c r="A2228" t="s">
        <v>2541</v>
      </c>
      <c r="B2228" t="s">
        <v>2542</v>
      </c>
      <c r="C2228" t="s">
        <v>2502</v>
      </c>
      <c r="D2228" t="s">
        <v>3469</v>
      </c>
      <c r="F2228">
        <v>0.33333333333333331</v>
      </c>
      <c r="G2228">
        <v>9</v>
      </c>
    </row>
    <row r="2229" spans="1:7" x14ac:dyDescent="0.2">
      <c r="A2229" t="s">
        <v>2555</v>
      </c>
      <c r="B2229" t="s">
        <v>2556</v>
      </c>
      <c r="C2229" t="s">
        <v>2502</v>
      </c>
      <c r="D2229" t="s">
        <v>10</v>
      </c>
      <c r="E2229" t="s">
        <v>5932</v>
      </c>
      <c r="F2229">
        <v>1</v>
      </c>
      <c r="G2229">
        <v>12</v>
      </c>
    </row>
    <row r="2230" spans="1:7" x14ac:dyDescent="0.2">
      <c r="A2230" t="s">
        <v>2555</v>
      </c>
      <c r="B2230" t="s">
        <v>2556</v>
      </c>
      <c r="C2230" t="s">
        <v>2502</v>
      </c>
      <c r="D2230" t="s">
        <v>3471</v>
      </c>
      <c r="E2230" t="s">
        <v>5933</v>
      </c>
      <c r="F2230">
        <v>0</v>
      </c>
      <c r="G2230">
        <v>0</v>
      </c>
    </row>
    <row r="2231" spans="1:7" x14ac:dyDescent="0.2">
      <c r="A2231" t="s">
        <v>2555</v>
      </c>
      <c r="B2231" t="s">
        <v>2556</v>
      </c>
      <c r="C2231" t="s">
        <v>2502</v>
      </c>
      <c r="D2231" t="s">
        <v>8</v>
      </c>
      <c r="E2231" t="s">
        <v>5934</v>
      </c>
      <c r="F2231">
        <v>1.5</v>
      </c>
      <c r="G2231">
        <v>2</v>
      </c>
    </row>
    <row r="2232" spans="1:7" x14ac:dyDescent="0.2">
      <c r="A2232" t="s">
        <v>2553</v>
      </c>
      <c r="B2232" t="s">
        <v>2554</v>
      </c>
      <c r="C2232" t="s">
        <v>2502</v>
      </c>
      <c r="D2232" t="s">
        <v>10</v>
      </c>
      <c r="E2232" t="s">
        <v>5935</v>
      </c>
      <c r="F2232">
        <v>0</v>
      </c>
      <c r="G2232">
        <v>1</v>
      </c>
    </row>
    <row r="2233" spans="1:7" x14ac:dyDescent="0.2">
      <c r="A2233" t="s">
        <v>2553</v>
      </c>
      <c r="B2233" t="s">
        <v>2554</v>
      </c>
      <c r="C2233" t="s">
        <v>2502</v>
      </c>
      <c r="D2233" t="s">
        <v>3471</v>
      </c>
      <c r="E2233" t="s">
        <v>5936</v>
      </c>
    </row>
    <row r="2234" spans="1:7" x14ac:dyDescent="0.2">
      <c r="A2234" t="s">
        <v>2553</v>
      </c>
      <c r="B2234" t="s">
        <v>2554</v>
      </c>
      <c r="C2234" t="s">
        <v>2502</v>
      </c>
      <c r="D2234" t="s">
        <v>3469</v>
      </c>
    </row>
    <row r="2235" spans="1:7" x14ac:dyDescent="0.2">
      <c r="A2235" t="s">
        <v>2591</v>
      </c>
      <c r="B2235" t="s">
        <v>2592</v>
      </c>
      <c r="C2235" t="s">
        <v>2502</v>
      </c>
      <c r="D2235" t="s">
        <v>3471</v>
      </c>
      <c r="E2235" t="s">
        <v>5937</v>
      </c>
      <c r="F2235">
        <v>0</v>
      </c>
      <c r="G2235">
        <v>0</v>
      </c>
    </row>
    <row r="2236" spans="1:7" x14ac:dyDescent="0.2">
      <c r="A2236" t="s">
        <v>2591</v>
      </c>
      <c r="B2236" t="s">
        <v>2592</v>
      </c>
      <c r="C2236" t="s">
        <v>2502</v>
      </c>
      <c r="D2236" t="s">
        <v>8</v>
      </c>
      <c r="E2236" t="s">
        <v>5938</v>
      </c>
      <c r="F2236">
        <v>0.5</v>
      </c>
      <c r="G2236">
        <v>21</v>
      </c>
    </row>
    <row r="2237" spans="1:7" x14ac:dyDescent="0.2">
      <c r="A2237" t="s">
        <v>5939</v>
      </c>
      <c r="B2237" t="s">
        <v>5940</v>
      </c>
      <c r="C2237" t="s">
        <v>2502</v>
      </c>
      <c r="D2237" t="s">
        <v>8</v>
      </c>
      <c r="E2237" t="s">
        <v>5941</v>
      </c>
    </row>
    <row r="2238" spans="1:7" x14ac:dyDescent="0.2">
      <c r="A2238" t="s">
        <v>2595</v>
      </c>
      <c r="B2238" t="s">
        <v>2596</v>
      </c>
      <c r="C2238" t="s">
        <v>2502</v>
      </c>
      <c r="D2238" t="s">
        <v>14</v>
      </c>
      <c r="F2238">
        <v>0.16666666666666666</v>
      </c>
      <c r="G2238">
        <v>9</v>
      </c>
    </row>
    <row r="2239" spans="1:7" x14ac:dyDescent="0.2">
      <c r="A2239" t="s">
        <v>2595</v>
      </c>
      <c r="B2239" t="s">
        <v>2596</v>
      </c>
      <c r="C2239" t="s">
        <v>2502</v>
      </c>
      <c r="D2239" t="s">
        <v>3494</v>
      </c>
    </row>
    <row r="2240" spans="1:7" x14ac:dyDescent="0.2">
      <c r="A2240" t="s">
        <v>2595</v>
      </c>
      <c r="B2240" t="s">
        <v>2596</v>
      </c>
      <c r="C2240" t="s">
        <v>2502</v>
      </c>
      <c r="D2240" t="s">
        <v>3471</v>
      </c>
      <c r="E2240" t="s">
        <v>5942</v>
      </c>
      <c r="F2240">
        <v>3</v>
      </c>
      <c r="G2240">
        <v>0</v>
      </c>
    </row>
    <row r="2241" spans="1:7" x14ac:dyDescent="0.2">
      <c r="A2241" t="s">
        <v>2595</v>
      </c>
      <c r="B2241" t="s">
        <v>2596</v>
      </c>
      <c r="C2241" t="s">
        <v>2502</v>
      </c>
      <c r="D2241" t="s">
        <v>8</v>
      </c>
      <c r="E2241" t="s">
        <v>5943</v>
      </c>
      <c r="F2241">
        <v>3.6666666666666665</v>
      </c>
      <c r="G2241">
        <v>28</v>
      </c>
    </row>
    <row r="2242" spans="1:7" x14ac:dyDescent="0.2">
      <c r="A2242" t="s">
        <v>2595</v>
      </c>
      <c r="B2242" t="s">
        <v>2596</v>
      </c>
      <c r="C2242" t="s">
        <v>2502</v>
      </c>
      <c r="D2242" t="s">
        <v>3484</v>
      </c>
    </row>
    <row r="2243" spans="1:7" x14ac:dyDescent="0.2">
      <c r="A2243" t="s">
        <v>5944</v>
      </c>
      <c r="B2243" t="s">
        <v>5945</v>
      </c>
      <c r="C2243" t="s">
        <v>2502</v>
      </c>
      <c r="D2243" t="s">
        <v>8</v>
      </c>
      <c r="E2243" t="s">
        <v>5946</v>
      </c>
    </row>
    <row r="2244" spans="1:7" x14ac:dyDescent="0.2">
      <c r="A2244" t="s">
        <v>2593</v>
      </c>
      <c r="B2244" t="s">
        <v>2594</v>
      </c>
      <c r="C2244" t="s">
        <v>2502</v>
      </c>
      <c r="D2244" t="s">
        <v>3494</v>
      </c>
    </row>
    <row r="2245" spans="1:7" x14ac:dyDescent="0.2">
      <c r="A2245" t="s">
        <v>2593</v>
      </c>
      <c r="B2245" t="s">
        <v>2594</v>
      </c>
      <c r="C2245" t="s">
        <v>2502</v>
      </c>
      <c r="D2245" t="s">
        <v>10</v>
      </c>
      <c r="E2245" t="s">
        <v>5947</v>
      </c>
    </row>
    <row r="2246" spans="1:7" x14ac:dyDescent="0.2">
      <c r="A2246" t="s">
        <v>2593</v>
      </c>
      <c r="B2246" t="s">
        <v>2594</v>
      </c>
      <c r="C2246" t="s">
        <v>2502</v>
      </c>
      <c r="D2246" t="s">
        <v>3471</v>
      </c>
      <c r="E2246" t="s">
        <v>5948</v>
      </c>
      <c r="F2246">
        <v>0</v>
      </c>
      <c r="G2246">
        <v>0</v>
      </c>
    </row>
    <row r="2247" spans="1:7" x14ac:dyDescent="0.2">
      <c r="A2247" t="s">
        <v>2593</v>
      </c>
      <c r="B2247" t="s">
        <v>2594</v>
      </c>
      <c r="C2247" t="s">
        <v>2502</v>
      </c>
      <c r="D2247" t="s">
        <v>8</v>
      </c>
      <c r="E2247" t="s">
        <v>5949</v>
      </c>
    </row>
    <row r="2248" spans="1:7" x14ac:dyDescent="0.2">
      <c r="A2248" t="s">
        <v>5950</v>
      </c>
      <c r="B2248" t="s">
        <v>5951</v>
      </c>
      <c r="C2248" t="s">
        <v>2502</v>
      </c>
      <c r="D2248" t="s">
        <v>10</v>
      </c>
      <c r="E2248" t="s">
        <v>5952</v>
      </c>
    </row>
    <row r="2249" spans="1:7" x14ac:dyDescent="0.2">
      <c r="A2249" t="s">
        <v>2545</v>
      </c>
      <c r="B2249" t="s">
        <v>2546</v>
      </c>
      <c r="C2249" t="s">
        <v>2502</v>
      </c>
      <c r="D2249" t="s">
        <v>3471</v>
      </c>
      <c r="E2249" t="s">
        <v>5953</v>
      </c>
    </row>
    <row r="2250" spans="1:7" x14ac:dyDescent="0.2">
      <c r="A2250" t="s">
        <v>2545</v>
      </c>
      <c r="B2250" t="s">
        <v>2546</v>
      </c>
      <c r="C2250" t="s">
        <v>2502</v>
      </c>
      <c r="D2250" t="s">
        <v>8</v>
      </c>
      <c r="E2250" t="s">
        <v>5954</v>
      </c>
    </row>
    <row r="2251" spans="1:7" x14ac:dyDescent="0.2">
      <c r="A2251" t="s">
        <v>2545</v>
      </c>
      <c r="B2251" t="s">
        <v>2546</v>
      </c>
      <c r="C2251" t="s">
        <v>2502</v>
      </c>
      <c r="D2251" t="s">
        <v>3469</v>
      </c>
    </row>
    <row r="2252" spans="1:7" x14ac:dyDescent="0.2">
      <c r="A2252" t="s">
        <v>2575</v>
      </c>
      <c r="B2252" t="s">
        <v>2576</v>
      </c>
      <c r="C2252" t="s">
        <v>2502</v>
      </c>
      <c r="D2252" t="s">
        <v>3471</v>
      </c>
      <c r="E2252" t="s">
        <v>5955</v>
      </c>
    </row>
    <row r="2253" spans="1:7" x14ac:dyDescent="0.2">
      <c r="A2253" t="s">
        <v>5956</v>
      </c>
      <c r="B2253" t="s">
        <v>5957</v>
      </c>
      <c r="C2253" t="s">
        <v>2502</v>
      </c>
      <c r="D2253" t="s">
        <v>3471</v>
      </c>
      <c r="E2253" t="s">
        <v>5958</v>
      </c>
    </row>
    <row r="2254" spans="1:7" x14ac:dyDescent="0.2">
      <c r="A2254" t="s">
        <v>2547</v>
      </c>
      <c r="B2254" t="s">
        <v>2548</v>
      </c>
      <c r="C2254" t="s">
        <v>2502</v>
      </c>
      <c r="D2254" t="s">
        <v>3469</v>
      </c>
      <c r="F2254">
        <v>0.16666666666666666</v>
      </c>
      <c r="G2254">
        <v>1</v>
      </c>
    </row>
    <row r="2255" spans="1:7" x14ac:dyDescent="0.2">
      <c r="A2255" t="s">
        <v>2761</v>
      </c>
      <c r="B2255" t="s">
        <v>2762</v>
      </c>
      <c r="C2255" t="s">
        <v>2502</v>
      </c>
      <c r="D2255" t="s">
        <v>3471</v>
      </c>
      <c r="E2255" t="s">
        <v>5959</v>
      </c>
    </row>
    <row r="2256" spans="1:7" x14ac:dyDescent="0.2">
      <c r="A2256" t="s">
        <v>2761</v>
      </c>
      <c r="B2256" t="s">
        <v>2762</v>
      </c>
      <c r="C2256" t="s">
        <v>2502</v>
      </c>
      <c r="D2256" t="s">
        <v>8</v>
      </c>
      <c r="E2256" t="s">
        <v>5960</v>
      </c>
      <c r="F2256">
        <v>2</v>
      </c>
      <c r="G2256">
        <v>3</v>
      </c>
    </row>
    <row r="2257" spans="1:7" x14ac:dyDescent="0.2">
      <c r="A2257" t="s">
        <v>2759</v>
      </c>
      <c r="B2257" t="s">
        <v>2760</v>
      </c>
      <c r="C2257" t="s">
        <v>2502</v>
      </c>
      <c r="D2257" t="s">
        <v>10</v>
      </c>
      <c r="E2257" t="s">
        <v>5961</v>
      </c>
      <c r="F2257">
        <v>0</v>
      </c>
      <c r="G2257">
        <v>1</v>
      </c>
    </row>
    <row r="2258" spans="1:7" x14ac:dyDescent="0.2">
      <c r="A2258" t="s">
        <v>2759</v>
      </c>
      <c r="B2258" t="s">
        <v>2760</v>
      </c>
      <c r="C2258" t="s">
        <v>2502</v>
      </c>
      <c r="D2258" t="s">
        <v>3471</v>
      </c>
      <c r="E2258" t="s">
        <v>5962</v>
      </c>
    </row>
    <row r="2259" spans="1:7" x14ac:dyDescent="0.2">
      <c r="A2259" t="s">
        <v>2759</v>
      </c>
      <c r="B2259" t="s">
        <v>2760</v>
      </c>
      <c r="C2259" t="s">
        <v>2502</v>
      </c>
      <c r="D2259" t="s">
        <v>8</v>
      </c>
      <c r="E2259" t="s">
        <v>5963</v>
      </c>
    </row>
    <row r="2260" spans="1:7" x14ac:dyDescent="0.2">
      <c r="A2260" t="s">
        <v>2759</v>
      </c>
      <c r="B2260" t="s">
        <v>2760</v>
      </c>
      <c r="C2260" t="s">
        <v>2502</v>
      </c>
      <c r="D2260" t="s">
        <v>3469</v>
      </c>
    </row>
    <row r="2261" spans="1:7" x14ac:dyDescent="0.2">
      <c r="A2261" t="s">
        <v>2551</v>
      </c>
      <c r="B2261" t="s">
        <v>2552</v>
      </c>
      <c r="C2261" t="s">
        <v>2502</v>
      </c>
      <c r="D2261" t="s">
        <v>10</v>
      </c>
      <c r="E2261" t="s">
        <v>5964</v>
      </c>
      <c r="F2261">
        <v>0</v>
      </c>
      <c r="G2261">
        <v>1</v>
      </c>
    </row>
    <row r="2262" spans="1:7" x14ac:dyDescent="0.2">
      <c r="A2262" t="s">
        <v>2551</v>
      </c>
      <c r="B2262" t="s">
        <v>2552</v>
      </c>
      <c r="C2262" t="s">
        <v>2502</v>
      </c>
      <c r="D2262" t="s">
        <v>3469</v>
      </c>
    </row>
    <row r="2263" spans="1:7" x14ac:dyDescent="0.2">
      <c r="A2263" t="s">
        <v>2549</v>
      </c>
      <c r="B2263" t="s">
        <v>2550</v>
      </c>
      <c r="C2263" t="s">
        <v>2502</v>
      </c>
      <c r="D2263" t="s">
        <v>10</v>
      </c>
      <c r="E2263" t="s">
        <v>5965</v>
      </c>
      <c r="F2263">
        <v>0</v>
      </c>
      <c r="G2263">
        <v>8</v>
      </c>
    </row>
    <row r="2264" spans="1:7" x14ac:dyDescent="0.2">
      <c r="A2264" t="s">
        <v>2549</v>
      </c>
      <c r="B2264" t="s">
        <v>2550</v>
      </c>
      <c r="C2264" t="s">
        <v>2502</v>
      </c>
      <c r="D2264" t="s">
        <v>3471</v>
      </c>
      <c r="E2264" t="s">
        <v>5966</v>
      </c>
      <c r="F2264">
        <v>0.16666666666666666</v>
      </c>
      <c r="G2264">
        <v>0</v>
      </c>
    </row>
    <row r="2265" spans="1:7" x14ac:dyDescent="0.2">
      <c r="A2265" t="s">
        <v>2549</v>
      </c>
      <c r="B2265" t="s">
        <v>2550</v>
      </c>
      <c r="C2265" t="s">
        <v>2502</v>
      </c>
      <c r="D2265" t="s">
        <v>3469</v>
      </c>
    </row>
    <row r="2266" spans="1:7" x14ac:dyDescent="0.2">
      <c r="A2266" t="s">
        <v>2563</v>
      </c>
      <c r="B2266" t="s">
        <v>2564</v>
      </c>
      <c r="C2266" t="s">
        <v>2502</v>
      </c>
      <c r="D2266" t="s">
        <v>10</v>
      </c>
      <c r="E2266" t="s">
        <v>5967</v>
      </c>
    </row>
    <row r="2267" spans="1:7" x14ac:dyDescent="0.2">
      <c r="A2267" t="s">
        <v>2563</v>
      </c>
      <c r="B2267" t="s">
        <v>2564</v>
      </c>
      <c r="C2267" t="s">
        <v>2502</v>
      </c>
      <c r="D2267" t="s">
        <v>8</v>
      </c>
      <c r="E2267" t="s">
        <v>5968</v>
      </c>
    </row>
    <row r="2268" spans="1:7" x14ac:dyDescent="0.2">
      <c r="A2268" t="s">
        <v>5969</v>
      </c>
      <c r="B2268" t="s">
        <v>5970</v>
      </c>
      <c r="C2268" t="s">
        <v>2502</v>
      </c>
      <c r="D2268" t="s">
        <v>10</v>
      </c>
      <c r="E2268" t="s">
        <v>5971</v>
      </c>
    </row>
    <row r="2269" spans="1:7" x14ac:dyDescent="0.2">
      <c r="A2269" t="s">
        <v>5969</v>
      </c>
      <c r="B2269" t="s">
        <v>5970</v>
      </c>
      <c r="C2269" t="s">
        <v>2502</v>
      </c>
      <c r="D2269" t="s">
        <v>8</v>
      </c>
      <c r="E2269" t="s">
        <v>5972</v>
      </c>
    </row>
    <row r="2270" spans="1:7" x14ac:dyDescent="0.2">
      <c r="A2270" t="s">
        <v>5973</v>
      </c>
      <c r="B2270" t="s">
        <v>5974</v>
      </c>
      <c r="C2270" t="s">
        <v>2502</v>
      </c>
      <c r="D2270" t="s">
        <v>10</v>
      </c>
      <c r="E2270" t="s">
        <v>5975</v>
      </c>
    </row>
    <row r="2271" spans="1:7" x14ac:dyDescent="0.2">
      <c r="A2271" t="s">
        <v>5973</v>
      </c>
      <c r="B2271" t="s">
        <v>5974</v>
      </c>
      <c r="C2271" t="s">
        <v>2502</v>
      </c>
      <c r="D2271" t="s">
        <v>3469</v>
      </c>
      <c r="F2271">
        <v>0</v>
      </c>
      <c r="G2271">
        <v>4</v>
      </c>
    </row>
    <row r="2272" spans="1:7" x14ac:dyDescent="0.2">
      <c r="A2272" t="s">
        <v>5976</v>
      </c>
      <c r="B2272" t="s">
        <v>5977</v>
      </c>
      <c r="C2272" t="s">
        <v>2502</v>
      </c>
      <c r="D2272" t="s">
        <v>10</v>
      </c>
      <c r="E2272" t="s">
        <v>5978</v>
      </c>
      <c r="F2272">
        <v>0</v>
      </c>
      <c r="G2272">
        <v>1</v>
      </c>
    </row>
    <row r="2273" spans="1:7" x14ac:dyDescent="0.2">
      <c r="A2273" t="s">
        <v>2569</v>
      </c>
      <c r="B2273" t="s">
        <v>2570</v>
      </c>
      <c r="C2273" t="s">
        <v>2502</v>
      </c>
      <c r="D2273" t="s">
        <v>14</v>
      </c>
      <c r="F2273">
        <v>0.5</v>
      </c>
      <c r="G2273">
        <v>3</v>
      </c>
    </row>
    <row r="2274" spans="1:7" x14ac:dyDescent="0.2">
      <c r="A2274" t="s">
        <v>2569</v>
      </c>
      <c r="B2274" t="s">
        <v>2570</v>
      </c>
      <c r="C2274" t="s">
        <v>2502</v>
      </c>
      <c r="D2274" t="s">
        <v>3494</v>
      </c>
    </row>
    <row r="2275" spans="1:7" x14ac:dyDescent="0.2">
      <c r="A2275" t="s">
        <v>2569</v>
      </c>
      <c r="B2275" t="s">
        <v>2570</v>
      </c>
      <c r="C2275" t="s">
        <v>2502</v>
      </c>
      <c r="D2275" t="s">
        <v>10</v>
      </c>
      <c r="E2275" t="s">
        <v>5979</v>
      </c>
    </row>
    <row r="2276" spans="1:7" x14ac:dyDescent="0.2">
      <c r="A2276" t="s">
        <v>2569</v>
      </c>
      <c r="B2276" t="s">
        <v>2570</v>
      </c>
      <c r="C2276" t="s">
        <v>2502</v>
      </c>
      <c r="D2276" t="s">
        <v>3471</v>
      </c>
      <c r="E2276" t="s">
        <v>5980</v>
      </c>
      <c r="F2276">
        <v>1</v>
      </c>
      <c r="G2276">
        <v>0</v>
      </c>
    </row>
    <row r="2277" spans="1:7" x14ac:dyDescent="0.2">
      <c r="A2277" t="s">
        <v>2569</v>
      </c>
      <c r="B2277" t="s">
        <v>2570</v>
      </c>
      <c r="C2277" t="s">
        <v>2502</v>
      </c>
      <c r="D2277" t="s">
        <v>8</v>
      </c>
      <c r="E2277" t="s">
        <v>5981</v>
      </c>
      <c r="F2277">
        <v>48.5</v>
      </c>
      <c r="G2277">
        <v>415</v>
      </c>
    </row>
    <row r="2278" spans="1:7" x14ac:dyDescent="0.2">
      <c r="A2278" t="s">
        <v>2641</v>
      </c>
      <c r="B2278" t="s">
        <v>2642</v>
      </c>
      <c r="C2278" t="s">
        <v>2502</v>
      </c>
      <c r="D2278" t="s">
        <v>14</v>
      </c>
      <c r="F2278">
        <v>0</v>
      </c>
      <c r="G2278">
        <v>10</v>
      </c>
    </row>
    <row r="2279" spans="1:7" x14ac:dyDescent="0.2">
      <c r="A2279" t="s">
        <v>2641</v>
      </c>
      <c r="B2279" t="s">
        <v>2642</v>
      </c>
      <c r="C2279" t="s">
        <v>2502</v>
      </c>
      <c r="D2279" t="s">
        <v>3494</v>
      </c>
    </row>
    <row r="2280" spans="1:7" x14ac:dyDescent="0.2">
      <c r="A2280" t="s">
        <v>2641</v>
      </c>
      <c r="B2280" t="s">
        <v>2642</v>
      </c>
      <c r="C2280" t="s">
        <v>2502</v>
      </c>
      <c r="D2280" t="s">
        <v>10</v>
      </c>
      <c r="E2280" t="s">
        <v>5982</v>
      </c>
      <c r="F2280">
        <v>0</v>
      </c>
      <c r="G2280">
        <v>3</v>
      </c>
    </row>
    <row r="2281" spans="1:7" x14ac:dyDescent="0.2">
      <c r="A2281" t="s">
        <v>2641</v>
      </c>
      <c r="B2281" t="s">
        <v>2642</v>
      </c>
      <c r="C2281" t="s">
        <v>2502</v>
      </c>
      <c r="D2281" t="s">
        <v>3471</v>
      </c>
      <c r="E2281" t="s">
        <v>5983</v>
      </c>
      <c r="F2281">
        <v>0</v>
      </c>
      <c r="G2281">
        <v>0</v>
      </c>
    </row>
    <row r="2282" spans="1:7" x14ac:dyDescent="0.2">
      <c r="A2282" t="s">
        <v>2641</v>
      </c>
      <c r="B2282" t="s">
        <v>2642</v>
      </c>
      <c r="C2282" t="s">
        <v>2502</v>
      </c>
      <c r="D2282" t="s">
        <v>8</v>
      </c>
      <c r="E2282" t="s">
        <v>5984</v>
      </c>
      <c r="F2282">
        <v>1.3333333333333333</v>
      </c>
      <c r="G2282">
        <v>4</v>
      </c>
    </row>
    <row r="2283" spans="1:7" x14ac:dyDescent="0.2">
      <c r="A2283" t="s">
        <v>2641</v>
      </c>
      <c r="B2283" t="s">
        <v>2642</v>
      </c>
      <c r="C2283" t="s">
        <v>2502</v>
      </c>
      <c r="D2283" t="s">
        <v>3484</v>
      </c>
    </row>
    <row r="2284" spans="1:7" x14ac:dyDescent="0.2">
      <c r="A2284" t="s">
        <v>2643</v>
      </c>
      <c r="B2284" t="s">
        <v>2644</v>
      </c>
      <c r="C2284" t="s">
        <v>2502</v>
      </c>
      <c r="D2284" t="s">
        <v>14</v>
      </c>
      <c r="F2284">
        <v>0.33333333333333331</v>
      </c>
      <c r="G2284">
        <v>7</v>
      </c>
    </row>
    <row r="2285" spans="1:7" x14ac:dyDescent="0.2">
      <c r="A2285" t="s">
        <v>2643</v>
      </c>
      <c r="B2285" t="s">
        <v>2644</v>
      </c>
      <c r="C2285" t="s">
        <v>2502</v>
      </c>
      <c r="D2285" t="s">
        <v>3494</v>
      </c>
    </row>
    <row r="2286" spans="1:7" x14ac:dyDescent="0.2">
      <c r="A2286" t="s">
        <v>2643</v>
      </c>
      <c r="B2286" t="s">
        <v>2644</v>
      </c>
      <c r="C2286" t="s">
        <v>2502</v>
      </c>
      <c r="D2286" t="s">
        <v>10</v>
      </c>
      <c r="E2286" t="s">
        <v>5985</v>
      </c>
      <c r="F2286">
        <v>0.5</v>
      </c>
      <c r="G2286">
        <v>1</v>
      </c>
    </row>
    <row r="2287" spans="1:7" x14ac:dyDescent="0.2">
      <c r="A2287" t="s">
        <v>2643</v>
      </c>
      <c r="B2287" t="s">
        <v>2644</v>
      </c>
      <c r="C2287" t="s">
        <v>2502</v>
      </c>
      <c r="D2287" t="s">
        <v>3471</v>
      </c>
      <c r="E2287" t="s">
        <v>5986</v>
      </c>
      <c r="F2287">
        <v>0.5</v>
      </c>
      <c r="G2287">
        <v>0</v>
      </c>
    </row>
    <row r="2288" spans="1:7" x14ac:dyDescent="0.2">
      <c r="A2288" t="s">
        <v>2643</v>
      </c>
      <c r="B2288" t="s">
        <v>2644</v>
      </c>
      <c r="C2288" t="s">
        <v>2502</v>
      </c>
      <c r="D2288" t="s">
        <v>8</v>
      </c>
      <c r="E2288" t="s">
        <v>5987</v>
      </c>
      <c r="F2288">
        <v>1.3333333333333333</v>
      </c>
      <c r="G2288">
        <v>7</v>
      </c>
    </row>
    <row r="2289" spans="1:7" x14ac:dyDescent="0.2">
      <c r="A2289" t="s">
        <v>2645</v>
      </c>
      <c r="B2289" t="s">
        <v>2646</v>
      </c>
      <c r="C2289" t="s">
        <v>2502</v>
      </c>
      <c r="D2289" t="s">
        <v>14</v>
      </c>
    </row>
    <row r="2290" spans="1:7" x14ac:dyDescent="0.2">
      <c r="A2290" t="s">
        <v>2645</v>
      </c>
      <c r="B2290" t="s">
        <v>2646</v>
      </c>
      <c r="C2290" t="s">
        <v>2502</v>
      </c>
      <c r="D2290" t="s">
        <v>3494</v>
      </c>
    </row>
    <row r="2291" spans="1:7" x14ac:dyDescent="0.2">
      <c r="A2291" t="s">
        <v>2645</v>
      </c>
      <c r="B2291" t="s">
        <v>2646</v>
      </c>
      <c r="C2291" t="s">
        <v>2502</v>
      </c>
      <c r="D2291" t="s">
        <v>10</v>
      </c>
      <c r="E2291" t="s">
        <v>5988</v>
      </c>
      <c r="F2291">
        <v>0.83333333333333337</v>
      </c>
      <c r="G2291">
        <v>2</v>
      </c>
    </row>
    <row r="2292" spans="1:7" x14ac:dyDescent="0.2">
      <c r="A2292" t="s">
        <v>2645</v>
      </c>
      <c r="B2292" t="s">
        <v>2646</v>
      </c>
      <c r="C2292" t="s">
        <v>2502</v>
      </c>
      <c r="D2292" t="s">
        <v>3471</v>
      </c>
      <c r="E2292" t="s">
        <v>5989</v>
      </c>
      <c r="F2292">
        <v>0.16666666666666666</v>
      </c>
      <c r="G2292">
        <v>0</v>
      </c>
    </row>
    <row r="2293" spans="1:7" x14ac:dyDescent="0.2">
      <c r="A2293" t="s">
        <v>2645</v>
      </c>
      <c r="B2293" t="s">
        <v>2646</v>
      </c>
      <c r="C2293" t="s">
        <v>2502</v>
      </c>
      <c r="D2293" t="s">
        <v>8</v>
      </c>
      <c r="E2293" t="s">
        <v>5990</v>
      </c>
      <c r="F2293">
        <v>14.166666666666666</v>
      </c>
      <c r="G2293">
        <v>255</v>
      </c>
    </row>
    <row r="2294" spans="1:7" x14ac:dyDescent="0.2">
      <c r="A2294" t="s">
        <v>2645</v>
      </c>
      <c r="B2294" t="s">
        <v>2646</v>
      </c>
      <c r="C2294" t="s">
        <v>2502</v>
      </c>
      <c r="D2294" t="s">
        <v>3484</v>
      </c>
    </row>
    <row r="2295" spans="1:7" x14ac:dyDescent="0.2">
      <c r="A2295" t="s">
        <v>2519</v>
      </c>
      <c r="B2295" t="s">
        <v>2520</v>
      </c>
      <c r="C2295" t="s">
        <v>2502</v>
      </c>
      <c r="D2295" t="s">
        <v>14</v>
      </c>
      <c r="F2295">
        <v>0</v>
      </c>
      <c r="G2295">
        <v>1</v>
      </c>
    </row>
    <row r="2296" spans="1:7" x14ac:dyDescent="0.2">
      <c r="A2296" t="s">
        <v>2519</v>
      </c>
      <c r="B2296" t="s">
        <v>2520</v>
      </c>
      <c r="C2296" t="s">
        <v>2502</v>
      </c>
      <c r="D2296" t="s">
        <v>3494</v>
      </c>
    </row>
    <row r="2297" spans="1:7" x14ac:dyDescent="0.2">
      <c r="A2297" t="s">
        <v>2519</v>
      </c>
      <c r="B2297" t="s">
        <v>2520</v>
      </c>
      <c r="C2297" t="s">
        <v>2502</v>
      </c>
      <c r="D2297" t="s">
        <v>10</v>
      </c>
      <c r="E2297" t="s">
        <v>5991</v>
      </c>
      <c r="F2297">
        <v>3.3333333333333335</v>
      </c>
      <c r="G2297">
        <v>3</v>
      </c>
    </row>
    <row r="2298" spans="1:7" x14ac:dyDescent="0.2">
      <c r="A2298" t="s">
        <v>2519</v>
      </c>
      <c r="B2298" t="s">
        <v>2520</v>
      </c>
      <c r="C2298" t="s">
        <v>2502</v>
      </c>
      <c r="D2298" t="s">
        <v>3471</v>
      </c>
      <c r="E2298" t="s">
        <v>5992</v>
      </c>
    </row>
    <row r="2299" spans="1:7" x14ac:dyDescent="0.2">
      <c r="A2299" t="s">
        <v>2519</v>
      </c>
      <c r="B2299" t="s">
        <v>2520</v>
      </c>
      <c r="C2299" t="s">
        <v>2502</v>
      </c>
      <c r="D2299" t="s">
        <v>8</v>
      </c>
      <c r="E2299" t="s">
        <v>5993</v>
      </c>
      <c r="F2299">
        <v>4</v>
      </c>
      <c r="G2299">
        <v>9</v>
      </c>
    </row>
    <row r="2300" spans="1:7" x14ac:dyDescent="0.2">
      <c r="A2300" t="s">
        <v>2519</v>
      </c>
      <c r="B2300" t="s">
        <v>2520</v>
      </c>
      <c r="C2300" t="s">
        <v>2502</v>
      </c>
      <c r="D2300" t="s">
        <v>3469</v>
      </c>
      <c r="F2300">
        <v>1.1666666666666667</v>
      </c>
      <c r="G2300">
        <v>5</v>
      </c>
    </row>
    <row r="2301" spans="1:7" x14ac:dyDescent="0.2">
      <c r="A2301" t="s">
        <v>2707</v>
      </c>
      <c r="B2301" t="s">
        <v>2708</v>
      </c>
      <c r="C2301" t="s">
        <v>2502</v>
      </c>
      <c r="D2301" t="s">
        <v>10</v>
      </c>
      <c r="E2301" t="s">
        <v>5994</v>
      </c>
    </row>
    <row r="2302" spans="1:7" x14ac:dyDescent="0.2">
      <c r="A2302" t="s">
        <v>2707</v>
      </c>
      <c r="B2302" t="s">
        <v>2708</v>
      </c>
      <c r="C2302" t="s">
        <v>2502</v>
      </c>
      <c r="D2302" t="s">
        <v>3471</v>
      </c>
      <c r="E2302" t="s">
        <v>5995</v>
      </c>
    </row>
    <row r="2303" spans="1:7" x14ac:dyDescent="0.2">
      <c r="A2303" t="s">
        <v>2707</v>
      </c>
      <c r="B2303" t="s">
        <v>2708</v>
      </c>
      <c r="C2303" t="s">
        <v>2502</v>
      </c>
      <c r="D2303" t="s">
        <v>8</v>
      </c>
      <c r="E2303" t="s">
        <v>5996</v>
      </c>
    </row>
    <row r="2304" spans="1:7" x14ac:dyDescent="0.2">
      <c r="A2304" t="s">
        <v>2707</v>
      </c>
      <c r="B2304" t="s">
        <v>2708</v>
      </c>
      <c r="C2304" t="s">
        <v>2502</v>
      </c>
      <c r="D2304" t="s">
        <v>3469</v>
      </c>
      <c r="F2304">
        <v>0</v>
      </c>
      <c r="G2304">
        <v>0</v>
      </c>
    </row>
    <row r="2305" spans="1:7" x14ac:dyDescent="0.2">
      <c r="A2305" t="s">
        <v>5997</v>
      </c>
      <c r="B2305" t="s">
        <v>5998</v>
      </c>
      <c r="C2305" t="s">
        <v>2502</v>
      </c>
      <c r="D2305" t="s">
        <v>14</v>
      </c>
    </row>
    <row r="2306" spans="1:7" x14ac:dyDescent="0.2">
      <c r="A2306" t="s">
        <v>5997</v>
      </c>
      <c r="B2306" t="s">
        <v>5998</v>
      </c>
      <c r="C2306" t="s">
        <v>2502</v>
      </c>
      <c r="D2306" t="s">
        <v>10</v>
      </c>
      <c r="E2306" t="s">
        <v>5999</v>
      </c>
      <c r="F2306">
        <v>0.16666666666666666</v>
      </c>
      <c r="G2306">
        <v>17</v>
      </c>
    </row>
    <row r="2307" spans="1:7" x14ac:dyDescent="0.2">
      <c r="A2307" t="s">
        <v>5997</v>
      </c>
      <c r="B2307" t="s">
        <v>5998</v>
      </c>
      <c r="C2307" t="s">
        <v>2502</v>
      </c>
      <c r="D2307" t="s">
        <v>3469</v>
      </c>
      <c r="F2307">
        <v>0</v>
      </c>
      <c r="G2307">
        <v>0</v>
      </c>
    </row>
    <row r="2308" spans="1:7" x14ac:dyDescent="0.2">
      <c r="A2308" t="s">
        <v>2701</v>
      </c>
      <c r="B2308" t="s">
        <v>2702</v>
      </c>
      <c r="C2308" t="s">
        <v>2502</v>
      </c>
      <c r="D2308" t="s">
        <v>14</v>
      </c>
      <c r="F2308">
        <v>0.33333333333333331</v>
      </c>
      <c r="G2308">
        <v>29</v>
      </c>
    </row>
    <row r="2309" spans="1:7" x14ac:dyDescent="0.2">
      <c r="A2309" t="s">
        <v>2701</v>
      </c>
      <c r="B2309" t="s">
        <v>2702</v>
      </c>
      <c r="C2309" t="s">
        <v>2502</v>
      </c>
      <c r="D2309" t="s">
        <v>10</v>
      </c>
      <c r="E2309" t="s">
        <v>6000</v>
      </c>
      <c r="F2309">
        <v>0</v>
      </c>
      <c r="G2309">
        <v>7</v>
      </c>
    </row>
    <row r="2310" spans="1:7" x14ac:dyDescent="0.2">
      <c r="A2310" t="s">
        <v>2701</v>
      </c>
      <c r="B2310" t="s">
        <v>2702</v>
      </c>
      <c r="C2310" t="s">
        <v>2502</v>
      </c>
      <c r="D2310" t="s">
        <v>3471</v>
      </c>
      <c r="E2310" t="s">
        <v>6001</v>
      </c>
    </row>
    <row r="2311" spans="1:7" x14ac:dyDescent="0.2">
      <c r="A2311" t="s">
        <v>2701</v>
      </c>
      <c r="B2311" t="s">
        <v>2702</v>
      </c>
      <c r="C2311" t="s">
        <v>2502</v>
      </c>
      <c r="D2311" t="s">
        <v>8</v>
      </c>
      <c r="E2311" t="s">
        <v>6002</v>
      </c>
    </row>
    <row r="2312" spans="1:7" x14ac:dyDescent="0.2">
      <c r="A2312" t="s">
        <v>2701</v>
      </c>
      <c r="B2312" t="s">
        <v>2702</v>
      </c>
      <c r="C2312" t="s">
        <v>2502</v>
      </c>
      <c r="D2312" t="s">
        <v>3469</v>
      </c>
    </row>
    <row r="2313" spans="1:7" x14ac:dyDescent="0.2">
      <c r="A2313" t="s">
        <v>2701</v>
      </c>
      <c r="B2313" t="s">
        <v>2702</v>
      </c>
      <c r="C2313" t="s">
        <v>2502</v>
      </c>
      <c r="D2313" t="s">
        <v>3484</v>
      </c>
    </row>
    <row r="2314" spans="1:7" x14ac:dyDescent="0.2">
      <c r="A2314" t="s">
        <v>6003</v>
      </c>
      <c r="B2314" t="s">
        <v>6004</v>
      </c>
      <c r="C2314" t="s">
        <v>2502</v>
      </c>
      <c r="D2314" t="s">
        <v>3471</v>
      </c>
      <c r="E2314" t="s">
        <v>6005</v>
      </c>
    </row>
    <row r="2315" spans="1:7" x14ac:dyDescent="0.2">
      <c r="A2315" t="s">
        <v>6003</v>
      </c>
      <c r="B2315" t="s">
        <v>6004</v>
      </c>
      <c r="C2315" t="s">
        <v>2502</v>
      </c>
      <c r="D2315" t="s">
        <v>3469</v>
      </c>
    </row>
    <row r="2316" spans="1:7" x14ac:dyDescent="0.2">
      <c r="A2316" t="s">
        <v>6006</v>
      </c>
      <c r="B2316" t="s">
        <v>6007</v>
      </c>
      <c r="C2316" t="s">
        <v>2502</v>
      </c>
      <c r="D2316" t="s">
        <v>10</v>
      </c>
      <c r="E2316" t="s">
        <v>6008</v>
      </c>
      <c r="F2316">
        <v>0</v>
      </c>
      <c r="G2316">
        <v>1</v>
      </c>
    </row>
    <row r="2317" spans="1:7" x14ac:dyDescent="0.2">
      <c r="A2317" t="s">
        <v>6009</v>
      </c>
      <c r="B2317" t="s">
        <v>6010</v>
      </c>
      <c r="C2317" t="s">
        <v>2502</v>
      </c>
      <c r="D2317" t="s">
        <v>10</v>
      </c>
      <c r="E2317" t="s">
        <v>6011</v>
      </c>
    </row>
    <row r="2318" spans="1:7" x14ac:dyDescent="0.2">
      <c r="A2318" t="s">
        <v>2671</v>
      </c>
      <c r="B2318" t="s">
        <v>2672</v>
      </c>
      <c r="C2318" t="s">
        <v>2502</v>
      </c>
      <c r="D2318" t="s">
        <v>10</v>
      </c>
      <c r="E2318" t="s">
        <v>6012</v>
      </c>
    </row>
    <row r="2319" spans="1:7" x14ac:dyDescent="0.2">
      <c r="A2319" t="s">
        <v>2671</v>
      </c>
      <c r="B2319" t="s">
        <v>2672</v>
      </c>
      <c r="C2319" t="s">
        <v>2502</v>
      </c>
      <c r="D2319" t="s">
        <v>3471</v>
      </c>
      <c r="E2319" t="s">
        <v>6013</v>
      </c>
    </row>
    <row r="2320" spans="1:7" x14ac:dyDescent="0.2">
      <c r="A2320" t="s">
        <v>2671</v>
      </c>
      <c r="B2320" t="s">
        <v>2672</v>
      </c>
      <c r="C2320" t="s">
        <v>2502</v>
      </c>
      <c r="D2320" t="s">
        <v>8</v>
      </c>
      <c r="E2320" t="s">
        <v>6014</v>
      </c>
    </row>
    <row r="2321" spans="1:7" x14ac:dyDescent="0.2">
      <c r="A2321" t="s">
        <v>2671</v>
      </c>
      <c r="B2321" t="s">
        <v>2672</v>
      </c>
      <c r="C2321" t="s">
        <v>2502</v>
      </c>
      <c r="D2321" t="s">
        <v>3469</v>
      </c>
    </row>
    <row r="2322" spans="1:7" x14ac:dyDescent="0.2">
      <c r="A2322" t="s">
        <v>6015</v>
      </c>
      <c r="B2322" t="s">
        <v>6016</v>
      </c>
      <c r="C2322" t="s">
        <v>2502</v>
      </c>
      <c r="D2322" t="s">
        <v>3469</v>
      </c>
    </row>
    <row r="2323" spans="1:7" x14ac:dyDescent="0.2">
      <c r="A2323" t="s">
        <v>2679</v>
      </c>
      <c r="B2323" t="s">
        <v>2680</v>
      </c>
      <c r="C2323" t="s">
        <v>2502</v>
      </c>
      <c r="D2323" t="s">
        <v>10</v>
      </c>
      <c r="E2323" t="s">
        <v>6017</v>
      </c>
    </row>
    <row r="2324" spans="1:7" x14ac:dyDescent="0.2">
      <c r="A2324" t="s">
        <v>2679</v>
      </c>
      <c r="B2324" t="s">
        <v>2680</v>
      </c>
      <c r="C2324" t="s">
        <v>2502</v>
      </c>
      <c r="D2324" t="s">
        <v>3471</v>
      </c>
      <c r="E2324" t="s">
        <v>6018</v>
      </c>
      <c r="F2324">
        <v>0</v>
      </c>
      <c r="G2324">
        <v>0</v>
      </c>
    </row>
    <row r="2325" spans="1:7" x14ac:dyDescent="0.2">
      <c r="A2325" t="s">
        <v>6019</v>
      </c>
      <c r="B2325" t="s">
        <v>6020</v>
      </c>
      <c r="C2325" t="s">
        <v>2502</v>
      </c>
      <c r="D2325" t="s">
        <v>3494</v>
      </c>
    </row>
    <row r="2326" spans="1:7" x14ac:dyDescent="0.2">
      <c r="A2326" t="s">
        <v>6019</v>
      </c>
      <c r="B2326" t="s">
        <v>6020</v>
      </c>
      <c r="C2326" t="s">
        <v>2502</v>
      </c>
      <c r="D2326" t="s">
        <v>10</v>
      </c>
      <c r="E2326" t="s">
        <v>6021</v>
      </c>
    </row>
    <row r="2327" spans="1:7" x14ac:dyDescent="0.2">
      <c r="A2327" t="s">
        <v>6019</v>
      </c>
      <c r="B2327" t="s">
        <v>6020</v>
      </c>
      <c r="C2327" t="s">
        <v>2502</v>
      </c>
      <c r="D2327" t="s">
        <v>3471</v>
      </c>
      <c r="E2327" t="s">
        <v>6022</v>
      </c>
    </row>
    <row r="2328" spans="1:7" x14ac:dyDescent="0.2">
      <c r="A2328" t="s">
        <v>6019</v>
      </c>
      <c r="B2328" t="s">
        <v>6020</v>
      </c>
      <c r="C2328" t="s">
        <v>2502</v>
      </c>
      <c r="D2328" t="s">
        <v>8</v>
      </c>
      <c r="E2328" t="s">
        <v>6023</v>
      </c>
    </row>
    <row r="2329" spans="1:7" x14ac:dyDescent="0.2">
      <c r="A2329" t="s">
        <v>6024</v>
      </c>
      <c r="B2329" t="s">
        <v>6025</v>
      </c>
      <c r="C2329" t="s">
        <v>2502</v>
      </c>
      <c r="D2329" t="s">
        <v>3494</v>
      </c>
    </row>
    <row r="2330" spans="1:7" x14ac:dyDescent="0.2">
      <c r="A2330" t="s">
        <v>6024</v>
      </c>
      <c r="B2330" t="s">
        <v>6025</v>
      </c>
      <c r="C2330" t="s">
        <v>2502</v>
      </c>
      <c r="D2330" t="s">
        <v>10</v>
      </c>
      <c r="E2330" t="s">
        <v>6026</v>
      </c>
      <c r="F2330">
        <v>0</v>
      </c>
      <c r="G2330">
        <v>7</v>
      </c>
    </row>
    <row r="2331" spans="1:7" x14ac:dyDescent="0.2">
      <c r="A2331" t="s">
        <v>6024</v>
      </c>
      <c r="B2331" t="s">
        <v>6025</v>
      </c>
      <c r="C2331" t="s">
        <v>2502</v>
      </c>
      <c r="D2331" t="s">
        <v>3471</v>
      </c>
      <c r="E2331" t="s">
        <v>6027</v>
      </c>
    </row>
    <row r="2332" spans="1:7" x14ac:dyDescent="0.2">
      <c r="A2332" t="s">
        <v>6024</v>
      </c>
      <c r="B2332" t="s">
        <v>6025</v>
      </c>
      <c r="C2332" t="s">
        <v>2502</v>
      </c>
      <c r="D2332" t="s">
        <v>8</v>
      </c>
      <c r="E2332" t="s">
        <v>6028</v>
      </c>
    </row>
    <row r="2333" spans="1:7" x14ac:dyDescent="0.2">
      <c r="A2333" t="s">
        <v>6029</v>
      </c>
      <c r="B2333" t="s">
        <v>6030</v>
      </c>
      <c r="C2333" t="s">
        <v>2502</v>
      </c>
      <c r="D2333" t="s">
        <v>3494</v>
      </c>
    </row>
    <row r="2334" spans="1:7" x14ac:dyDescent="0.2">
      <c r="A2334" t="s">
        <v>6029</v>
      </c>
      <c r="B2334" t="s">
        <v>6030</v>
      </c>
      <c r="C2334" t="s">
        <v>2502</v>
      </c>
      <c r="D2334" t="s">
        <v>10</v>
      </c>
      <c r="E2334" t="s">
        <v>6031</v>
      </c>
      <c r="F2334">
        <v>0.33333333333333331</v>
      </c>
      <c r="G2334">
        <v>6</v>
      </c>
    </row>
    <row r="2335" spans="1:7" x14ac:dyDescent="0.2">
      <c r="A2335" t="s">
        <v>6029</v>
      </c>
      <c r="B2335" t="s">
        <v>6030</v>
      </c>
      <c r="C2335" t="s">
        <v>2502</v>
      </c>
      <c r="D2335" t="s">
        <v>3471</v>
      </c>
      <c r="E2335" t="s">
        <v>6032</v>
      </c>
    </row>
    <row r="2336" spans="1:7" x14ac:dyDescent="0.2">
      <c r="A2336" t="s">
        <v>6029</v>
      </c>
      <c r="B2336" t="s">
        <v>6030</v>
      </c>
      <c r="C2336" t="s">
        <v>2502</v>
      </c>
      <c r="D2336" t="s">
        <v>8</v>
      </c>
      <c r="E2336" t="s">
        <v>6033</v>
      </c>
    </row>
    <row r="2337" spans="1:7" x14ac:dyDescent="0.2">
      <c r="A2337" t="s">
        <v>6034</v>
      </c>
      <c r="B2337" t="s">
        <v>6035</v>
      </c>
      <c r="C2337" t="s">
        <v>2502</v>
      </c>
      <c r="D2337" t="s">
        <v>3469</v>
      </c>
      <c r="F2337">
        <v>0</v>
      </c>
      <c r="G2337">
        <v>5</v>
      </c>
    </row>
    <row r="2338" spans="1:7" x14ac:dyDescent="0.2">
      <c r="A2338" t="s">
        <v>6036</v>
      </c>
      <c r="B2338" t="s">
        <v>6037</v>
      </c>
      <c r="C2338" t="s">
        <v>2502</v>
      </c>
      <c r="D2338" t="s">
        <v>3471</v>
      </c>
      <c r="E2338" t="s">
        <v>6038</v>
      </c>
    </row>
    <row r="2339" spans="1:7" x14ac:dyDescent="0.2">
      <c r="A2339" t="s">
        <v>6036</v>
      </c>
      <c r="B2339" t="s">
        <v>6037</v>
      </c>
      <c r="C2339" t="s">
        <v>2502</v>
      </c>
      <c r="D2339" t="s">
        <v>3469</v>
      </c>
    </row>
    <row r="2340" spans="1:7" x14ac:dyDescent="0.2">
      <c r="A2340" t="s">
        <v>2597</v>
      </c>
      <c r="B2340" t="s">
        <v>2598</v>
      </c>
      <c r="C2340" t="s">
        <v>2502</v>
      </c>
      <c r="D2340" t="s">
        <v>3494</v>
      </c>
    </row>
    <row r="2341" spans="1:7" x14ac:dyDescent="0.2">
      <c r="A2341" t="s">
        <v>2597</v>
      </c>
      <c r="B2341" t="s">
        <v>2598</v>
      </c>
      <c r="C2341" t="s">
        <v>2502</v>
      </c>
      <c r="D2341" t="s">
        <v>3471</v>
      </c>
      <c r="E2341" t="s">
        <v>8593</v>
      </c>
      <c r="F2341">
        <v>1.3333333333333333</v>
      </c>
      <c r="G2341">
        <v>0</v>
      </c>
    </row>
    <row r="2342" spans="1:7" x14ac:dyDescent="0.2">
      <c r="A2342" t="s">
        <v>2597</v>
      </c>
      <c r="B2342" t="s">
        <v>2598</v>
      </c>
      <c r="C2342" t="s">
        <v>2502</v>
      </c>
      <c r="D2342" t="s">
        <v>3469</v>
      </c>
      <c r="F2342">
        <v>1.8333333333333333</v>
      </c>
      <c r="G2342">
        <v>5</v>
      </c>
    </row>
    <row r="2343" spans="1:7" x14ac:dyDescent="0.2">
      <c r="A2343" t="s">
        <v>2527</v>
      </c>
      <c r="B2343" t="s">
        <v>2528</v>
      </c>
      <c r="C2343" t="s">
        <v>2502</v>
      </c>
      <c r="D2343" t="s">
        <v>14</v>
      </c>
      <c r="F2343">
        <v>1.8333333333333333</v>
      </c>
      <c r="G2343">
        <v>55</v>
      </c>
    </row>
    <row r="2344" spans="1:7" x14ac:dyDescent="0.2">
      <c r="A2344" t="s">
        <v>2527</v>
      </c>
      <c r="B2344" t="s">
        <v>2528</v>
      </c>
      <c r="C2344" t="s">
        <v>2502</v>
      </c>
      <c r="D2344" t="s">
        <v>3494</v>
      </c>
    </row>
    <row r="2345" spans="1:7" x14ac:dyDescent="0.2">
      <c r="A2345" t="s">
        <v>2527</v>
      </c>
      <c r="B2345" t="s">
        <v>2528</v>
      </c>
      <c r="C2345" t="s">
        <v>2502</v>
      </c>
      <c r="D2345" t="s">
        <v>10</v>
      </c>
      <c r="E2345" t="s">
        <v>6039</v>
      </c>
      <c r="F2345">
        <v>17.833333333333332</v>
      </c>
      <c r="G2345">
        <v>227</v>
      </c>
    </row>
    <row r="2346" spans="1:7" x14ac:dyDescent="0.2">
      <c r="A2346" t="s">
        <v>2527</v>
      </c>
      <c r="B2346" t="s">
        <v>2528</v>
      </c>
      <c r="C2346" t="s">
        <v>2502</v>
      </c>
      <c r="D2346" t="s">
        <v>3471</v>
      </c>
      <c r="E2346" t="s">
        <v>6040</v>
      </c>
      <c r="F2346">
        <v>0.16666666666666666</v>
      </c>
      <c r="G2346">
        <v>0</v>
      </c>
    </row>
    <row r="2347" spans="1:7" x14ac:dyDescent="0.2">
      <c r="A2347" t="s">
        <v>2527</v>
      </c>
      <c r="B2347" t="s">
        <v>2528</v>
      </c>
      <c r="C2347" t="s">
        <v>2502</v>
      </c>
      <c r="D2347" t="s">
        <v>3469</v>
      </c>
      <c r="F2347">
        <v>0.33333333333333331</v>
      </c>
      <c r="G2347">
        <v>8</v>
      </c>
    </row>
    <row r="2348" spans="1:7" x14ac:dyDescent="0.2">
      <c r="A2348" t="s">
        <v>2573</v>
      </c>
      <c r="B2348" t="s">
        <v>2574</v>
      </c>
      <c r="C2348" t="s">
        <v>2502</v>
      </c>
      <c r="D2348" t="s">
        <v>3471</v>
      </c>
      <c r="E2348" t="s">
        <v>6041</v>
      </c>
      <c r="F2348">
        <v>0</v>
      </c>
      <c r="G2348">
        <v>0</v>
      </c>
    </row>
    <row r="2349" spans="1:7" x14ac:dyDescent="0.2">
      <c r="A2349" t="s">
        <v>2605</v>
      </c>
      <c r="B2349" t="s">
        <v>2606</v>
      </c>
      <c r="C2349" t="s">
        <v>2502</v>
      </c>
      <c r="D2349" t="s">
        <v>3494</v>
      </c>
    </row>
    <row r="2350" spans="1:7" x14ac:dyDescent="0.2">
      <c r="A2350" t="s">
        <v>2605</v>
      </c>
      <c r="B2350" t="s">
        <v>2606</v>
      </c>
      <c r="C2350" t="s">
        <v>2502</v>
      </c>
      <c r="D2350" t="s">
        <v>10</v>
      </c>
      <c r="E2350" t="s">
        <v>6042</v>
      </c>
    </row>
    <row r="2351" spans="1:7" x14ac:dyDescent="0.2">
      <c r="A2351" t="s">
        <v>2605</v>
      </c>
      <c r="B2351" t="s">
        <v>2606</v>
      </c>
      <c r="C2351" t="s">
        <v>2502</v>
      </c>
      <c r="D2351" t="s">
        <v>3471</v>
      </c>
      <c r="E2351" t="s">
        <v>6043</v>
      </c>
      <c r="F2351">
        <v>0.16666666666666666</v>
      </c>
      <c r="G2351">
        <v>0</v>
      </c>
    </row>
    <row r="2352" spans="1:7" x14ac:dyDescent="0.2">
      <c r="A2352" t="s">
        <v>2607</v>
      </c>
      <c r="B2352" t="s">
        <v>2608</v>
      </c>
      <c r="C2352" t="s">
        <v>2502</v>
      </c>
      <c r="D2352" t="s">
        <v>10</v>
      </c>
      <c r="E2352" t="s">
        <v>6044</v>
      </c>
    </row>
    <row r="2353" spans="1:7" x14ac:dyDescent="0.2">
      <c r="A2353" t="s">
        <v>2607</v>
      </c>
      <c r="B2353" t="s">
        <v>2608</v>
      </c>
      <c r="C2353" t="s">
        <v>2502</v>
      </c>
      <c r="D2353" t="s">
        <v>3471</v>
      </c>
      <c r="E2353" t="s">
        <v>6045</v>
      </c>
      <c r="F2353">
        <v>0.33333333333333331</v>
      </c>
      <c r="G2353">
        <v>0</v>
      </c>
    </row>
    <row r="2354" spans="1:7" x14ac:dyDescent="0.2">
      <c r="A2354" t="s">
        <v>6046</v>
      </c>
      <c r="B2354" t="s">
        <v>6047</v>
      </c>
      <c r="C2354" t="s">
        <v>2502</v>
      </c>
      <c r="D2354" t="s">
        <v>3469</v>
      </c>
    </row>
    <row r="2355" spans="1:7" x14ac:dyDescent="0.2">
      <c r="A2355" t="s">
        <v>2621</v>
      </c>
      <c r="B2355" t="s">
        <v>2622</v>
      </c>
      <c r="C2355" t="s">
        <v>2502</v>
      </c>
      <c r="D2355" t="s">
        <v>10</v>
      </c>
      <c r="E2355" t="s">
        <v>8594</v>
      </c>
      <c r="F2355">
        <v>5.166666666666667</v>
      </c>
      <c r="G2355">
        <v>202</v>
      </c>
    </row>
    <row r="2356" spans="1:7" x14ac:dyDescent="0.2">
      <c r="A2356" t="s">
        <v>2623</v>
      </c>
      <c r="B2356" t="s">
        <v>2624</v>
      </c>
      <c r="C2356" t="s">
        <v>2502</v>
      </c>
      <c r="D2356" t="s">
        <v>10</v>
      </c>
      <c r="E2356" t="s">
        <v>8964</v>
      </c>
      <c r="F2356">
        <v>0</v>
      </c>
      <c r="G2356">
        <v>2</v>
      </c>
    </row>
    <row r="2357" spans="1:7" x14ac:dyDescent="0.2">
      <c r="A2357" t="s">
        <v>2647</v>
      </c>
      <c r="B2357" t="s">
        <v>2648</v>
      </c>
      <c r="C2357" t="s">
        <v>2502</v>
      </c>
      <c r="D2357" t="s">
        <v>14</v>
      </c>
      <c r="F2357">
        <v>0.16666666666666666</v>
      </c>
      <c r="G2357">
        <v>6</v>
      </c>
    </row>
    <row r="2358" spans="1:7" x14ac:dyDescent="0.2">
      <c r="A2358" t="s">
        <v>2647</v>
      </c>
      <c r="B2358" t="s">
        <v>2648</v>
      </c>
      <c r="C2358" t="s">
        <v>2502</v>
      </c>
      <c r="D2358" t="s">
        <v>3471</v>
      </c>
      <c r="E2358" t="s">
        <v>6048</v>
      </c>
      <c r="F2358">
        <v>0</v>
      </c>
      <c r="G2358">
        <v>0</v>
      </c>
    </row>
    <row r="2359" spans="1:7" x14ac:dyDescent="0.2">
      <c r="A2359" t="s">
        <v>2647</v>
      </c>
      <c r="B2359" t="s">
        <v>2648</v>
      </c>
      <c r="C2359" t="s">
        <v>2502</v>
      </c>
      <c r="D2359" t="s">
        <v>8</v>
      </c>
      <c r="E2359" t="s">
        <v>6049</v>
      </c>
      <c r="F2359">
        <v>0.16666666666666666</v>
      </c>
      <c r="G2359">
        <v>10</v>
      </c>
    </row>
    <row r="2360" spans="1:7" x14ac:dyDescent="0.2">
      <c r="A2360" t="s">
        <v>2649</v>
      </c>
      <c r="B2360" t="s">
        <v>2650</v>
      </c>
      <c r="C2360" t="s">
        <v>2502</v>
      </c>
      <c r="D2360" t="s">
        <v>14</v>
      </c>
      <c r="F2360">
        <v>0</v>
      </c>
      <c r="G2360">
        <v>5</v>
      </c>
    </row>
    <row r="2361" spans="1:7" x14ac:dyDescent="0.2">
      <c r="A2361" t="s">
        <v>2649</v>
      </c>
      <c r="B2361" t="s">
        <v>2650</v>
      </c>
      <c r="C2361" t="s">
        <v>2502</v>
      </c>
      <c r="D2361" t="s">
        <v>3494</v>
      </c>
    </row>
    <row r="2362" spans="1:7" x14ac:dyDescent="0.2">
      <c r="A2362" t="s">
        <v>2649</v>
      </c>
      <c r="B2362" t="s">
        <v>2650</v>
      </c>
      <c r="C2362" t="s">
        <v>2502</v>
      </c>
      <c r="D2362" t="s">
        <v>3471</v>
      </c>
      <c r="E2362" t="s">
        <v>6050</v>
      </c>
      <c r="F2362">
        <v>0</v>
      </c>
      <c r="G2362">
        <v>0</v>
      </c>
    </row>
    <row r="2363" spans="1:7" x14ac:dyDescent="0.2">
      <c r="A2363" t="s">
        <v>2649</v>
      </c>
      <c r="B2363" t="s">
        <v>2650</v>
      </c>
      <c r="C2363" t="s">
        <v>2502</v>
      </c>
      <c r="D2363" t="s">
        <v>8</v>
      </c>
      <c r="E2363" t="s">
        <v>6051</v>
      </c>
      <c r="F2363">
        <v>0.5</v>
      </c>
      <c r="G2363">
        <v>30</v>
      </c>
    </row>
    <row r="2364" spans="1:7" x14ac:dyDescent="0.2">
      <c r="A2364" t="s">
        <v>2651</v>
      </c>
      <c r="B2364" t="s">
        <v>2652</v>
      </c>
      <c r="C2364" t="s">
        <v>2502</v>
      </c>
      <c r="D2364" t="s">
        <v>3471</v>
      </c>
      <c r="E2364" t="s">
        <v>8595</v>
      </c>
      <c r="F2364">
        <v>0</v>
      </c>
      <c r="G2364">
        <v>0</v>
      </c>
    </row>
    <row r="2365" spans="1:7" x14ac:dyDescent="0.2">
      <c r="A2365" t="s">
        <v>2653</v>
      </c>
      <c r="B2365" t="s">
        <v>2654</v>
      </c>
      <c r="C2365" t="s">
        <v>2502</v>
      </c>
      <c r="D2365" t="s">
        <v>3494</v>
      </c>
    </row>
    <row r="2366" spans="1:7" x14ac:dyDescent="0.2">
      <c r="A2366" t="s">
        <v>2653</v>
      </c>
      <c r="B2366" t="s">
        <v>2654</v>
      </c>
      <c r="C2366" t="s">
        <v>2502</v>
      </c>
      <c r="D2366" t="s">
        <v>3471</v>
      </c>
      <c r="E2366" t="s">
        <v>8596</v>
      </c>
      <c r="F2366">
        <v>0</v>
      </c>
      <c r="G2366">
        <v>0</v>
      </c>
    </row>
    <row r="2367" spans="1:7" x14ac:dyDescent="0.2">
      <c r="A2367" t="s">
        <v>6052</v>
      </c>
      <c r="B2367" t="s">
        <v>6053</v>
      </c>
      <c r="C2367" t="s">
        <v>2502</v>
      </c>
      <c r="D2367" t="s">
        <v>10</v>
      </c>
      <c r="E2367" t="s">
        <v>6054</v>
      </c>
    </row>
    <row r="2368" spans="1:7" x14ac:dyDescent="0.2">
      <c r="A2368" t="s">
        <v>6052</v>
      </c>
      <c r="B2368" t="s">
        <v>6053</v>
      </c>
      <c r="C2368" t="s">
        <v>2502</v>
      </c>
      <c r="D2368" t="s">
        <v>8</v>
      </c>
      <c r="E2368" t="s">
        <v>6055</v>
      </c>
    </row>
    <row r="2369" spans="1:7" x14ac:dyDescent="0.2">
      <c r="A2369" t="s">
        <v>6056</v>
      </c>
      <c r="B2369" t="s">
        <v>6057</v>
      </c>
      <c r="C2369" t="s">
        <v>2502</v>
      </c>
      <c r="D2369" t="s">
        <v>10</v>
      </c>
      <c r="E2369" t="s">
        <v>6058</v>
      </c>
    </row>
    <row r="2370" spans="1:7" x14ac:dyDescent="0.2">
      <c r="A2370" t="s">
        <v>6056</v>
      </c>
      <c r="B2370" t="s">
        <v>6057</v>
      </c>
      <c r="C2370" t="s">
        <v>2502</v>
      </c>
      <c r="D2370" t="s">
        <v>8</v>
      </c>
      <c r="E2370" t="s">
        <v>6059</v>
      </c>
    </row>
    <row r="2371" spans="1:7" x14ac:dyDescent="0.2">
      <c r="A2371" t="s">
        <v>6060</v>
      </c>
      <c r="B2371" t="s">
        <v>6061</v>
      </c>
      <c r="C2371" t="s">
        <v>2502</v>
      </c>
      <c r="D2371" t="s">
        <v>10</v>
      </c>
      <c r="E2371" t="s">
        <v>6062</v>
      </c>
    </row>
    <row r="2372" spans="1:7" x14ac:dyDescent="0.2">
      <c r="A2372" t="s">
        <v>6060</v>
      </c>
      <c r="B2372" t="s">
        <v>6061</v>
      </c>
      <c r="C2372" t="s">
        <v>2502</v>
      </c>
      <c r="D2372" t="s">
        <v>8</v>
      </c>
      <c r="E2372" t="s">
        <v>6063</v>
      </c>
    </row>
    <row r="2373" spans="1:7" x14ac:dyDescent="0.2">
      <c r="A2373" t="s">
        <v>6064</v>
      </c>
      <c r="B2373" t="s">
        <v>6065</v>
      </c>
      <c r="C2373" t="s">
        <v>2502</v>
      </c>
      <c r="D2373" t="s">
        <v>10</v>
      </c>
      <c r="E2373" t="s">
        <v>6066</v>
      </c>
    </row>
    <row r="2374" spans="1:7" x14ac:dyDescent="0.2">
      <c r="A2374" t="s">
        <v>6064</v>
      </c>
      <c r="B2374" t="s">
        <v>6065</v>
      </c>
      <c r="C2374" t="s">
        <v>2502</v>
      </c>
      <c r="D2374" t="s">
        <v>8</v>
      </c>
      <c r="E2374" t="s">
        <v>6067</v>
      </c>
      <c r="F2374">
        <v>0</v>
      </c>
      <c r="G2374">
        <v>-1</v>
      </c>
    </row>
    <row r="2375" spans="1:7" x14ac:dyDescent="0.2">
      <c r="A2375" t="s">
        <v>6068</v>
      </c>
      <c r="B2375" t="s">
        <v>6069</v>
      </c>
      <c r="C2375" t="s">
        <v>2502</v>
      </c>
      <c r="D2375" t="s">
        <v>10</v>
      </c>
      <c r="E2375" t="s">
        <v>6070</v>
      </c>
      <c r="F2375">
        <v>0</v>
      </c>
      <c r="G2375">
        <v>1</v>
      </c>
    </row>
    <row r="2376" spans="1:7" x14ac:dyDescent="0.2">
      <c r="A2376" t="s">
        <v>6068</v>
      </c>
      <c r="B2376" t="s">
        <v>6069</v>
      </c>
      <c r="C2376" t="s">
        <v>2502</v>
      </c>
      <c r="D2376" t="s">
        <v>3471</v>
      </c>
      <c r="E2376" t="s">
        <v>6071</v>
      </c>
    </row>
    <row r="2377" spans="1:7" x14ac:dyDescent="0.2">
      <c r="A2377" t="s">
        <v>6068</v>
      </c>
      <c r="B2377" t="s">
        <v>6069</v>
      </c>
      <c r="C2377" t="s">
        <v>2502</v>
      </c>
      <c r="D2377" t="s">
        <v>8</v>
      </c>
      <c r="E2377" t="s">
        <v>6072</v>
      </c>
    </row>
    <row r="2378" spans="1:7" x14ac:dyDescent="0.2">
      <c r="A2378" t="s">
        <v>6073</v>
      </c>
      <c r="B2378" t="s">
        <v>6074</v>
      </c>
      <c r="C2378" t="s">
        <v>2502</v>
      </c>
      <c r="D2378" t="s">
        <v>10</v>
      </c>
      <c r="E2378" t="s">
        <v>6075</v>
      </c>
    </row>
    <row r="2379" spans="1:7" x14ac:dyDescent="0.2">
      <c r="A2379" t="s">
        <v>6073</v>
      </c>
      <c r="B2379" t="s">
        <v>6074</v>
      </c>
      <c r="C2379" t="s">
        <v>2502</v>
      </c>
      <c r="D2379" t="s">
        <v>8</v>
      </c>
      <c r="E2379" t="s">
        <v>6076</v>
      </c>
    </row>
    <row r="2380" spans="1:7" x14ac:dyDescent="0.2">
      <c r="A2380" t="s">
        <v>2731</v>
      </c>
      <c r="B2380" t="s">
        <v>2732</v>
      </c>
      <c r="C2380" t="s">
        <v>2502</v>
      </c>
      <c r="D2380" t="s">
        <v>14</v>
      </c>
      <c r="F2380">
        <v>0.16666666666666666</v>
      </c>
      <c r="G2380">
        <v>1</v>
      </c>
    </row>
    <row r="2381" spans="1:7" x14ac:dyDescent="0.2">
      <c r="A2381" t="s">
        <v>2731</v>
      </c>
      <c r="B2381" t="s">
        <v>2732</v>
      </c>
      <c r="C2381" t="s">
        <v>2502</v>
      </c>
      <c r="D2381" t="s">
        <v>10</v>
      </c>
      <c r="E2381" t="s">
        <v>6077</v>
      </c>
      <c r="F2381">
        <v>0</v>
      </c>
      <c r="G2381">
        <v>2</v>
      </c>
    </row>
    <row r="2382" spans="1:7" x14ac:dyDescent="0.2">
      <c r="A2382" t="s">
        <v>2731</v>
      </c>
      <c r="B2382" t="s">
        <v>2732</v>
      </c>
      <c r="C2382" t="s">
        <v>2502</v>
      </c>
      <c r="D2382" t="s">
        <v>3471</v>
      </c>
      <c r="E2382" t="s">
        <v>8597</v>
      </c>
      <c r="F2382">
        <v>0</v>
      </c>
      <c r="G2382">
        <v>0</v>
      </c>
    </row>
    <row r="2383" spans="1:7" x14ac:dyDescent="0.2">
      <c r="A2383" t="s">
        <v>2731</v>
      </c>
      <c r="B2383" t="s">
        <v>2732</v>
      </c>
      <c r="C2383" t="s">
        <v>2502</v>
      </c>
      <c r="D2383" t="s">
        <v>8</v>
      </c>
      <c r="E2383" t="s">
        <v>8598</v>
      </c>
      <c r="F2383">
        <v>0</v>
      </c>
      <c r="G2383">
        <v>16</v>
      </c>
    </row>
    <row r="2384" spans="1:7" x14ac:dyDescent="0.2">
      <c r="A2384" t="s">
        <v>2733</v>
      </c>
      <c r="B2384" t="s">
        <v>2734</v>
      </c>
      <c r="C2384" t="s">
        <v>2502</v>
      </c>
      <c r="D2384" t="s">
        <v>14</v>
      </c>
      <c r="F2384">
        <v>0.16666666666666666</v>
      </c>
      <c r="G2384">
        <v>5</v>
      </c>
    </row>
    <row r="2385" spans="1:7" x14ac:dyDescent="0.2">
      <c r="A2385" t="s">
        <v>2733</v>
      </c>
      <c r="B2385" t="s">
        <v>2734</v>
      </c>
      <c r="C2385" t="s">
        <v>2502</v>
      </c>
      <c r="D2385" t="s">
        <v>10</v>
      </c>
      <c r="E2385" t="s">
        <v>6078</v>
      </c>
    </row>
    <row r="2386" spans="1:7" x14ac:dyDescent="0.2">
      <c r="A2386" t="s">
        <v>2733</v>
      </c>
      <c r="B2386" t="s">
        <v>2734</v>
      </c>
      <c r="C2386" t="s">
        <v>2502</v>
      </c>
      <c r="D2386" t="s">
        <v>3471</v>
      </c>
      <c r="E2386" t="s">
        <v>8599</v>
      </c>
      <c r="F2386">
        <v>0</v>
      </c>
      <c r="G2386">
        <v>0</v>
      </c>
    </row>
    <row r="2387" spans="1:7" x14ac:dyDescent="0.2">
      <c r="A2387" t="s">
        <v>2733</v>
      </c>
      <c r="B2387" t="s">
        <v>2734</v>
      </c>
      <c r="C2387" t="s">
        <v>2502</v>
      </c>
      <c r="D2387" t="s">
        <v>8</v>
      </c>
      <c r="E2387" t="s">
        <v>8600</v>
      </c>
      <c r="F2387">
        <v>0.16666666666666666</v>
      </c>
      <c r="G2387">
        <v>13</v>
      </c>
    </row>
    <row r="2388" spans="1:7" x14ac:dyDescent="0.2">
      <c r="A2388" t="s">
        <v>2741</v>
      </c>
      <c r="B2388" t="s">
        <v>2742</v>
      </c>
      <c r="C2388" t="s">
        <v>2502</v>
      </c>
      <c r="D2388" t="s">
        <v>14</v>
      </c>
      <c r="F2388">
        <v>0</v>
      </c>
      <c r="G2388">
        <v>19</v>
      </c>
    </row>
    <row r="2389" spans="1:7" x14ac:dyDescent="0.2">
      <c r="A2389" t="s">
        <v>2741</v>
      </c>
      <c r="B2389" t="s">
        <v>2742</v>
      </c>
      <c r="C2389" t="s">
        <v>2502</v>
      </c>
      <c r="D2389" t="s">
        <v>10</v>
      </c>
      <c r="E2389" t="s">
        <v>6079</v>
      </c>
    </row>
    <row r="2390" spans="1:7" x14ac:dyDescent="0.2">
      <c r="A2390" t="s">
        <v>2741</v>
      </c>
      <c r="B2390" t="s">
        <v>2742</v>
      </c>
      <c r="C2390" t="s">
        <v>2502</v>
      </c>
      <c r="D2390" t="s">
        <v>3471</v>
      </c>
      <c r="E2390" t="s">
        <v>8601</v>
      </c>
      <c r="F2390">
        <v>0</v>
      </c>
      <c r="G2390">
        <v>0</v>
      </c>
    </row>
    <row r="2391" spans="1:7" x14ac:dyDescent="0.2">
      <c r="A2391" t="s">
        <v>2741</v>
      </c>
      <c r="B2391" t="s">
        <v>2742</v>
      </c>
      <c r="C2391" t="s">
        <v>2502</v>
      </c>
      <c r="D2391" t="s">
        <v>8</v>
      </c>
      <c r="E2391" t="s">
        <v>8602</v>
      </c>
      <c r="F2391">
        <v>0.16666666666666666</v>
      </c>
      <c r="G2391">
        <v>17</v>
      </c>
    </row>
    <row r="2392" spans="1:7" x14ac:dyDescent="0.2">
      <c r="A2392" t="s">
        <v>2743</v>
      </c>
      <c r="B2392" t="s">
        <v>2744</v>
      </c>
      <c r="C2392" t="s">
        <v>2502</v>
      </c>
      <c r="D2392" t="s">
        <v>14</v>
      </c>
      <c r="F2392">
        <v>0</v>
      </c>
      <c r="G2392">
        <v>17</v>
      </c>
    </row>
    <row r="2393" spans="1:7" x14ac:dyDescent="0.2">
      <c r="A2393" t="s">
        <v>2743</v>
      </c>
      <c r="B2393" t="s">
        <v>2744</v>
      </c>
      <c r="C2393" t="s">
        <v>2502</v>
      </c>
      <c r="D2393" t="s">
        <v>10</v>
      </c>
      <c r="E2393" t="s">
        <v>6080</v>
      </c>
      <c r="F2393">
        <v>0.33333333333333331</v>
      </c>
      <c r="G2393">
        <v>1</v>
      </c>
    </row>
    <row r="2394" spans="1:7" x14ac:dyDescent="0.2">
      <c r="A2394" t="s">
        <v>2743</v>
      </c>
      <c r="B2394" t="s">
        <v>2744</v>
      </c>
      <c r="C2394" t="s">
        <v>2502</v>
      </c>
      <c r="D2394" t="s">
        <v>3471</v>
      </c>
      <c r="E2394" t="s">
        <v>8603</v>
      </c>
      <c r="F2394">
        <v>0</v>
      </c>
      <c r="G2394">
        <v>0</v>
      </c>
    </row>
    <row r="2395" spans="1:7" x14ac:dyDescent="0.2">
      <c r="A2395" t="s">
        <v>2743</v>
      </c>
      <c r="B2395" t="s">
        <v>2744</v>
      </c>
      <c r="C2395" t="s">
        <v>2502</v>
      </c>
      <c r="D2395" t="s">
        <v>8</v>
      </c>
      <c r="E2395" t="s">
        <v>8604</v>
      </c>
      <c r="F2395">
        <v>0.16666666666666666</v>
      </c>
      <c r="G2395">
        <v>15</v>
      </c>
    </row>
    <row r="2396" spans="1:7" x14ac:dyDescent="0.2">
      <c r="A2396" t="s">
        <v>2589</v>
      </c>
      <c r="B2396" t="s">
        <v>2590</v>
      </c>
      <c r="C2396" t="s">
        <v>2502</v>
      </c>
      <c r="D2396" t="s">
        <v>14</v>
      </c>
      <c r="F2396">
        <v>0.16666666666666666</v>
      </c>
      <c r="G2396">
        <v>2</v>
      </c>
    </row>
    <row r="2397" spans="1:7" x14ac:dyDescent="0.2">
      <c r="A2397" t="s">
        <v>2589</v>
      </c>
      <c r="B2397" t="s">
        <v>2590</v>
      </c>
      <c r="C2397" t="s">
        <v>2502</v>
      </c>
      <c r="D2397" t="s">
        <v>10</v>
      </c>
      <c r="E2397" t="s">
        <v>6081</v>
      </c>
    </row>
    <row r="2398" spans="1:7" x14ac:dyDescent="0.2">
      <c r="A2398" t="s">
        <v>2589</v>
      </c>
      <c r="B2398" t="s">
        <v>2590</v>
      </c>
      <c r="C2398" t="s">
        <v>2502</v>
      </c>
      <c r="D2398" t="s">
        <v>3471</v>
      </c>
      <c r="E2398" t="s">
        <v>8605</v>
      </c>
      <c r="F2398">
        <v>0</v>
      </c>
      <c r="G2398">
        <v>0</v>
      </c>
    </row>
    <row r="2399" spans="1:7" x14ac:dyDescent="0.2">
      <c r="A2399" t="s">
        <v>2589</v>
      </c>
      <c r="B2399" t="s">
        <v>2590</v>
      </c>
      <c r="C2399" t="s">
        <v>2502</v>
      </c>
      <c r="D2399" t="s">
        <v>8</v>
      </c>
      <c r="E2399" t="s">
        <v>8606</v>
      </c>
      <c r="F2399">
        <v>0</v>
      </c>
      <c r="G2399">
        <v>19</v>
      </c>
    </row>
    <row r="2400" spans="1:7" x14ac:dyDescent="0.2">
      <c r="A2400" t="s">
        <v>2735</v>
      </c>
      <c r="B2400" t="s">
        <v>2736</v>
      </c>
      <c r="C2400" t="s">
        <v>2502</v>
      </c>
      <c r="D2400" t="s">
        <v>14</v>
      </c>
      <c r="F2400">
        <v>0</v>
      </c>
      <c r="G2400">
        <v>12</v>
      </c>
    </row>
    <row r="2401" spans="1:7" x14ac:dyDescent="0.2">
      <c r="A2401" t="s">
        <v>2735</v>
      </c>
      <c r="B2401" t="s">
        <v>2736</v>
      </c>
      <c r="C2401" t="s">
        <v>2502</v>
      </c>
      <c r="D2401" t="s">
        <v>10</v>
      </c>
      <c r="E2401" t="s">
        <v>6082</v>
      </c>
      <c r="F2401">
        <v>4.166666666666667</v>
      </c>
      <c r="G2401">
        <v>235</v>
      </c>
    </row>
    <row r="2402" spans="1:7" x14ac:dyDescent="0.2">
      <c r="A2402" t="s">
        <v>2735</v>
      </c>
      <c r="B2402" t="s">
        <v>2736</v>
      </c>
      <c r="C2402" t="s">
        <v>2502</v>
      </c>
      <c r="D2402" t="s">
        <v>3471</v>
      </c>
      <c r="E2402" t="s">
        <v>8607</v>
      </c>
      <c r="F2402">
        <v>0</v>
      </c>
      <c r="G2402">
        <v>0</v>
      </c>
    </row>
    <row r="2403" spans="1:7" x14ac:dyDescent="0.2">
      <c r="A2403" t="s">
        <v>2735</v>
      </c>
      <c r="B2403" t="s">
        <v>2736</v>
      </c>
      <c r="C2403" t="s">
        <v>2502</v>
      </c>
      <c r="D2403" t="s">
        <v>8</v>
      </c>
      <c r="E2403" t="s">
        <v>8608</v>
      </c>
      <c r="F2403">
        <v>0.16666666666666666</v>
      </c>
      <c r="G2403">
        <v>16</v>
      </c>
    </row>
    <row r="2404" spans="1:7" x14ac:dyDescent="0.2">
      <c r="A2404" t="s">
        <v>2737</v>
      </c>
      <c r="B2404" t="s">
        <v>2738</v>
      </c>
      <c r="C2404" t="s">
        <v>2502</v>
      </c>
      <c r="D2404" t="s">
        <v>14</v>
      </c>
      <c r="F2404">
        <v>0.33333333333333331</v>
      </c>
      <c r="G2404">
        <v>4</v>
      </c>
    </row>
    <row r="2405" spans="1:7" x14ac:dyDescent="0.2">
      <c r="A2405" t="s">
        <v>2737</v>
      </c>
      <c r="B2405" t="s">
        <v>2738</v>
      </c>
      <c r="C2405" t="s">
        <v>2502</v>
      </c>
      <c r="D2405" t="s">
        <v>10</v>
      </c>
      <c r="E2405" t="s">
        <v>6083</v>
      </c>
      <c r="F2405">
        <v>2.5</v>
      </c>
      <c r="G2405">
        <v>232</v>
      </c>
    </row>
    <row r="2406" spans="1:7" x14ac:dyDescent="0.2">
      <c r="A2406" t="s">
        <v>2737</v>
      </c>
      <c r="B2406" t="s">
        <v>2738</v>
      </c>
      <c r="C2406" t="s">
        <v>2502</v>
      </c>
      <c r="D2406" t="s">
        <v>3471</v>
      </c>
      <c r="E2406" t="s">
        <v>8609</v>
      </c>
      <c r="F2406">
        <v>0</v>
      </c>
      <c r="G2406">
        <v>0</v>
      </c>
    </row>
    <row r="2407" spans="1:7" x14ac:dyDescent="0.2">
      <c r="A2407" t="s">
        <v>2737</v>
      </c>
      <c r="B2407" t="s">
        <v>2738</v>
      </c>
      <c r="C2407" t="s">
        <v>2502</v>
      </c>
      <c r="D2407" t="s">
        <v>8</v>
      </c>
      <c r="E2407" t="s">
        <v>8610</v>
      </c>
      <c r="F2407">
        <v>0</v>
      </c>
      <c r="G2407">
        <v>16</v>
      </c>
    </row>
    <row r="2408" spans="1:7" x14ac:dyDescent="0.2">
      <c r="A2408" t="s">
        <v>2739</v>
      </c>
      <c r="B2408" t="s">
        <v>2740</v>
      </c>
      <c r="C2408" t="s">
        <v>2502</v>
      </c>
      <c r="D2408" t="s">
        <v>14</v>
      </c>
      <c r="F2408">
        <v>0.33333333333333331</v>
      </c>
      <c r="G2408">
        <v>4</v>
      </c>
    </row>
    <row r="2409" spans="1:7" x14ac:dyDescent="0.2">
      <c r="A2409" t="s">
        <v>2739</v>
      </c>
      <c r="B2409" t="s">
        <v>2740</v>
      </c>
      <c r="C2409" t="s">
        <v>2502</v>
      </c>
      <c r="D2409" t="s">
        <v>10</v>
      </c>
      <c r="E2409" t="s">
        <v>6084</v>
      </c>
      <c r="F2409">
        <v>3.5</v>
      </c>
      <c r="G2409">
        <v>276</v>
      </c>
    </row>
    <row r="2410" spans="1:7" x14ac:dyDescent="0.2">
      <c r="A2410" t="s">
        <v>2739</v>
      </c>
      <c r="B2410" t="s">
        <v>2740</v>
      </c>
      <c r="C2410" t="s">
        <v>2502</v>
      </c>
      <c r="D2410" t="s">
        <v>3471</v>
      </c>
      <c r="E2410" t="s">
        <v>8611</v>
      </c>
      <c r="F2410">
        <v>0</v>
      </c>
      <c r="G2410">
        <v>0</v>
      </c>
    </row>
    <row r="2411" spans="1:7" x14ac:dyDescent="0.2">
      <c r="A2411" t="s">
        <v>2739</v>
      </c>
      <c r="B2411" t="s">
        <v>2740</v>
      </c>
      <c r="C2411" t="s">
        <v>2502</v>
      </c>
      <c r="D2411" t="s">
        <v>8</v>
      </c>
      <c r="E2411" t="s">
        <v>8612</v>
      </c>
      <c r="F2411">
        <v>0.33333333333333331</v>
      </c>
      <c r="G2411">
        <v>14</v>
      </c>
    </row>
    <row r="2412" spans="1:7" x14ac:dyDescent="0.2">
      <c r="A2412" t="s">
        <v>2757</v>
      </c>
      <c r="B2412" t="s">
        <v>2758</v>
      </c>
      <c r="C2412" t="s">
        <v>2502</v>
      </c>
      <c r="D2412" t="s">
        <v>3494</v>
      </c>
    </row>
    <row r="2413" spans="1:7" x14ac:dyDescent="0.2">
      <c r="A2413" t="s">
        <v>2757</v>
      </c>
      <c r="B2413" t="s">
        <v>2758</v>
      </c>
      <c r="C2413" t="s">
        <v>2502</v>
      </c>
      <c r="D2413" t="s">
        <v>3471</v>
      </c>
      <c r="E2413" t="s">
        <v>6085</v>
      </c>
      <c r="F2413">
        <v>0</v>
      </c>
      <c r="G2413">
        <v>0</v>
      </c>
    </row>
    <row r="2414" spans="1:7" x14ac:dyDescent="0.2">
      <c r="A2414" t="s">
        <v>2757</v>
      </c>
      <c r="B2414" t="s">
        <v>2758</v>
      </c>
      <c r="C2414" t="s">
        <v>2502</v>
      </c>
      <c r="D2414" t="s">
        <v>8</v>
      </c>
      <c r="E2414" t="s">
        <v>6086</v>
      </c>
      <c r="F2414">
        <v>2.3333333333333335</v>
      </c>
      <c r="G2414">
        <v>19</v>
      </c>
    </row>
    <row r="2415" spans="1:7" x14ac:dyDescent="0.2">
      <c r="A2415" t="s">
        <v>2753</v>
      </c>
      <c r="B2415" t="s">
        <v>2754</v>
      </c>
      <c r="C2415" t="s">
        <v>2502</v>
      </c>
      <c r="D2415" t="s">
        <v>3494</v>
      </c>
    </row>
    <row r="2416" spans="1:7" x14ac:dyDescent="0.2">
      <c r="A2416" t="s">
        <v>2753</v>
      </c>
      <c r="B2416" t="s">
        <v>2754</v>
      </c>
      <c r="C2416" t="s">
        <v>2502</v>
      </c>
      <c r="D2416" t="s">
        <v>10</v>
      </c>
      <c r="E2416" t="s">
        <v>6087</v>
      </c>
      <c r="F2416">
        <v>15.333333333333334</v>
      </c>
      <c r="G2416">
        <v>223</v>
      </c>
    </row>
    <row r="2417" spans="1:7" x14ac:dyDescent="0.2">
      <c r="A2417" t="s">
        <v>2753</v>
      </c>
      <c r="B2417" t="s">
        <v>2754</v>
      </c>
      <c r="C2417" t="s">
        <v>2502</v>
      </c>
      <c r="D2417" t="s">
        <v>3471</v>
      </c>
      <c r="E2417" t="s">
        <v>6088</v>
      </c>
      <c r="F2417">
        <v>0</v>
      </c>
      <c r="G2417">
        <v>0</v>
      </c>
    </row>
    <row r="2418" spans="1:7" x14ac:dyDescent="0.2">
      <c r="A2418" t="s">
        <v>2753</v>
      </c>
      <c r="B2418" t="s">
        <v>2754</v>
      </c>
      <c r="C2418" t="s">
        <v>2502</v>
      </c>
      <c r="D2418" t="s">
        <v>8</v>
      </c>
      <c r="E2418" t="s">
        <v>6089</v>
      </c>
      <c r="F2418">
        <v>1.6666666666666667</v>
      </c>
      <c r="G2418">
        <v>18</v>
      </c>
    </row>
    <row r="2419" spans="1:7" x14ac:dyDescent="0.2">
      <c r="A2419" t="s">
        <v>2755</v>
      </c>
      <c r="B2419" t="s">
        <v>2756</v>
      </c>
      <c r="C2419" t="s">
        <v>2502</v>
      </c>
      <c r="D2419" t="s">
        <v>3494</v>
      </c>
    </row>
    <row r="2420" spans="1:7" x14ac:dyDescent="0.2">
      <c r="A2420" t="s">
        <v>2755</v>
      </c>
      <c r="B2420" t="s">
        <v>2756</v>
      </c>
      <c r="C2420" t="s">
        <v>2502</v>
      </c>
      <c r="D2420" t="s">
        <v>10</v>
      </c>
      <c r="E2420" t="s">
        <v>6090</v>
      </c>
      <c r="F2420">
        <v>12.333333333333334</v>
      </c>
      <c r="G2420">
        <v>162</v>
      </c>
    </row>
    <row r="2421" spans="1:7" x14ac:dyDescent="0.2">
      <c r="A2421" t="s">
        <v>2755</v>
      </c>
      <c r="B2421" t="s">
        <v>2756</v>
      </c>
      <c r="C2421" t="s">
        <v>2502</v>
      </c>
      <c r="D2421" t="s">
        <v>3471</v>
      </c>
      <c r="E2421" t="s">
        <v>6091</v>
      </c>
      <c r="F2421">
        <v>0</v>
      </c>
      <c r="G2421">
        <v>0</v>
      </c>
    </row>
    <row r="2422" spans="1:7" x14ac:dyDescent="0.2">
      <c r="A2422" t="s">
        <v>2755</v>
      </c>
      <c r="B2422" t="s">
        <v>2756</v>
      </c>
      <c r="C2422" t="s">
        <v>2502</v>
      </c>
      <c r="D2422" t="s">
        <v>8</v>
      </c>
      <c r="E2422" t="s">
        <v>6092</v>
      </c>
      <c r="F2422">
        <v>2.8333333333333335</v>
      </c>
      <c r="G2422">
        <v>8</v>
      </c>
    </row>
    <row r="2423" spans="1:7" x14ac:dyDescent="0.2">
      <c r="A2423" t="s">
        <v>2751</v>
      </c>
      <c r="B2423" t="s">
        <v>2752</v>
      </c>
      <c r="C2423" t="s">
        <v>2502</v>
      </c>
      <c r="D2423" t="s">
        <v>3494</v>
      </c>
    </row>
    <row r="2424" spans="1:7" x14ac:dyDescent="0.2">
      <c r="A2424" t="s">
        <v>2751</v>
      </c>
      <c r="B2424" t="s">
        <v>2752</v>
      </c>
      <c r="C2424" t="s">
        <v>2502</v>
      </c>
      <c r="D2424" t="s">
        <v>3471</v>
      </c>
      <c r="E2424" t="s">
        <v>6093</v>
      </c>
      <c r="F2424">
        <v>0</v>
      </c>
      <c r="G2424">
        <v>0</v>
      </c>
    </row>
    <row r="2425" spans="1:7" x14ac:dyDescent="0.2">
      <c r="A2425" t="s">
        <v>2751</v>
      </c>
      <c r="B2425" t="s">
        <v>2752</v>
      </c>
      <c r="C2425" t="s">
        <v>2502</v>
      </c>
      <c r="D2425" t="s">
        <v>8</v>
      </c>
      <c r="E2425" t="s">
        <v>6094</v>
      </c>
      <c r="F2425">
        <v>4.166666666666667</v>
      </c>
      <c r="G2425">
        <v>10</v>
      </c>
    </row>
    <row r="2426" spans="1:7" x14ac:dyDescent="0.2">
      <c r="A2426" t="s">
        <v>2747</v>
      </c>
      <c r="B2426" t="s">
        <v>2748</v>
      </c>
      <c r="C2426" t="s">
        <v>2502</v>
      </c>
      <c r="D2426" t="s">
        <v>3494</v>
      </c>
    </row>
    <row r="2427" spans="1:7" x14ac:dyDescent="0.2">
      <c r="A2427" t="s">
        <v>2747</v>
      </c>
      <c r="B2427" t="s">
        <v>2748</v>
      </c>
      <c r="C2427" t="s">
        <v>2502</v>
      </c>
      <c r="D2427" t="s">
        <v>10</v>
      </c>
      <c r="E2427" t="s">
        <v>6095</v>
      </c>
      <c r="F2427">
        <v>2.1666666666666665</v>
      </c>
      <c r="G2427">
        <v>4</v>
      </c>
    </row>
    <row r="2428" spans="1:7" x14ac:dyDescent="0.2">
      <c r="A2428" t="s">
        <v>2747</v>
      </c>
      <c r="B2428" t="s">
        <v>2748</v>
      </c>
      <c r="C2428" t="s">
        <v>2502</v>
      </c>
      <c r="D2428" t="s">
        <v>3471</v>
      </c>
      <c r="E2428" t="s">
        <v>6096</v>
      </c>
      <c r="F2428">
        <v>1</v>
      </c>
      <c r="G2428">
        <v>-1</v>
      </c>
    </row>
    <row r="2429" spans="1:7" x14ac:dyDescent="0.2">
      <c r="A2429" t="s">
        <v>2747</v>
      </c>
      <c r="B2429" t="s">
        <v>2748</v>
      </c>
      <c r="C2429" t="s">
        <v>2502</v>
      </c>
      <c r="D2429" t="s">
        <v>8</v>
      </c>
      <c r="E2429" t="s">
        <v>6097</v>
      </c>
      <c r="F2429">
        <v>7.5</v>
      </c>
      <c r="G2429">
        <v>9</v>
      </c>
    </row>
    <row r="2430" spans="1:7" x14ac:dyDescent="0.2">
      <c r="A2430" t="s">
        <v>2749</v>
      </c>
      <c r="B2430" t="s">
        <v>2750</v>
      </c>
      <c r="C2430" t="s">
        <v>2502</v>
      </c>
      <c r="D2430" t="s">
        <v>3494</v>
      </c>
    </row>
    <row r="2431" spans="1:7" x14ac:dyDescent="0.2">
      <c r="A2431" t="s">
        <v>2749</v>
      </c>
      <c r="B2431" t="s">
        <v>2750</v>
      </c>
      <c r="C2431" t="s">
        <v>2502</v>
      </c>
      <c r="D2431" t="s">
        <v>10</v>
      </c>
      <c r="E2431" t="s">
        <v>6098</v>
      </c>
      <c r="F2431">
        <v>1</v>
      </c>
      <c r="G2431">
        <v>1</v>
      </c>
    </row>
    <row r="2432" spans="1:7" x14ac:dyDescent="0.2">
      <c r="A2432" t="s">
        <v>2749</v>
      </c>
      <c r="B2432" t="s">
        <v>2750</v>
      </c>
      <c r="C2432" t="s">
        <v>2502</v>
      </c>
      <c r="D2432" t="s">
        <v>3471</v>
      </c>
      <c r="E2432" t="s">
        <v>8613</v>
      </c>
      <c r="F2432">
        <v>0.16666666666666666</v>
      </c>
      <c r="G2432">
        <v>0</v>
      </c>
    </row>
    <row r="2433" spans="1:7" x14ac:dyDescent="0.2">
      <c r="A2433" t="s">
        <v>2749</v>
      </c>
      <c r="B2433" t="s">
        <v>2750</v>
      </c>
      <c r="C2433" t="s">
        <v>2502</v>
      </c>
      <c r="D2433" t="s">
        <v>8</v>
      </c>
      <c r="E2433" t="s">
        <v>6099</v>
      </c>
      <c r="F2433">
        <v>6.333333333333333</v>
      </c>
      <c r="G2433">
        <v>4</v>
      </c>
    </row>
    <row r="2434" spans="1:7" x14ac:dyDescent="0.2">
      <c r="A2434" t="s">
        <v>2577</v>
      </c>
      <c r="B2434" t="s">
        <v>2578</v>
      </c>
      <c r="C2434" t="s">
        <v>2502</v>
      </c>
      <c r="D2434" t="s">
        <v>3494</v>
      </c>
    </row>
    <row r="2435" spans="1:7" x14ac:dyDescent="0.2">
      <c r="A2435" t="s">
        <v>2577</v>
      </c>
      <c r="B2435" t="s">
        <v>2578</v>
      </c>
      <c r="C2435" t="s">
        <v>2502</v>
      </c>
      <c r="D2435" t="s">
        <v>3471</v>
      </c>
      <c r="E2435" t="s">
        <v>6100</v>
      </c>
    </row>
    <row r="2436" spans="1:7" x14ac:dyDescent="0.2">
      <c r="A2436" t="s">
        <v>2577</v>
      </c>
      <c r="B2436" t="s">
        <v>2578</v>
      </c>
      <c r="C2436" t="s">
        <v>2502</v>
      </c>
      <c r="D2436" t="s">
        <v>8</v>
      </c>
      <c r="E2436" t="s">
        <v>6101</v>
      </c>
      <c r="F2436">
        <v>7.833333333333333</v>
      </c>
      <c r="G2436">
        <v>33</v>
      </c>
    </row>
    <row r="2437" spans="1:7" x14ac:dyDescent="0.2">
      <c r="A2437" t="s">
        <v>2577</v>
      </c>
      <c r="B2437" t="s">
        <v>2578</v>
      </c>
      <c r="C2437" t="s">
        <v>2502</v>
      </c>
      <c r="D2437" t="s">
        <v>3469</v>
      </c>
    </row>
    <row r="2438" spans="1:7" x14ac:dyDescent="0.2">
      <c r="A2438" t="s">
        <v>2579</v>
      </c>
      <c r="B2438" t="s">
        <v>2580</v>
      </c>
      <c r="C2438" t="s">
        <v>2502</v>
      </c>
      <c r="D2438" t="s">
        <v>3494</v>
      </c>
    </row>
    <row r="2439" spans="1:7" x14ac:dyDescent="0.2">
      <c r="A2439" t="s">
        <v>2579</v>
      </c>
      <c r="B2439" t="s">
        <v>2580</v>
      </c>
      <c r="C2439" t="s">
        <v>2502</v>
      </c>
      <c r="D2439" t="s">
        <v>3471</v>
      </c>
      <c r="E2439" t="s">
        <v>6102</v>
      </c>
    </row>
    <row r="2440" spans="1:7" x14ac:dyDescent="0.2">
      <c r="A2440" t="s">
        <v>2579</v>
      </c>
      <c r="B2440" t="s">
        <v>2580</v>
      </c>
      <c r="C2440" t="s">
        <v>2502</v>
      </c>
      <c r="D2440" t="s">
        <v>8</v>
      </c>
      <c r="E2440" t="s">
        <v>6103</v>
      </c>
    </row>
    <row r="2441" spans="1:7" x14ac:dyDescent="0.2">
      <c r="A2441" t="s">
        <v>2579</v>
      </c>
      <c r="B2441" t="s">
        <v>2580</v>
      </c>
      <c r="C2441" t="s">
        <v>2502</v>
      </c>
      <c r="D2441" t="s">
        <v>3469</v>
      </c>
      <c r="F2441">
        <v>0</v>
      </c>
      <c r="G2441">
        <v>1</v>
      </c>
    </row>
    <row r="2442" spans="1:7" x14ac:dyDescent="0.2">
      <c r="A2442" t="s">
        <v>2581</v>
      </c>
      <c r="B2442" t="s">
        <v>2582</v>
      </c>
      <c r="C2442" t="s">
        <v>2502</v>
      </c>
      <c r="D2442" t="s">
        <v>3494</v>
      </c>
    </row>
    <row r="2443" spans="1:7" x14ac:dyDescent="0.2">
      <c r="A2443" t="s">
        <v>2581</v>
      </c>
      <c r="B2443" t="s">
        <v>2582</v>
      </c>
      <c r="C2443" t="s">
        <v>2502</v>
      </c>
      <c r="D2443" t="s">
        <v>3471</v>
      </c>
      <c r="E2443" t="s">
        <v>6104</v>
      </c>
    </row>
    <row r="2444" spans="1:7" x14ac:dyDescent="0.2">
      <c r="A2444" t="s">
        <v>2581</v>
      </c>
      <c r="B2444" t="s">
        <v>2582</v>
      </c>
      <c r="C2444" t="s">
        <v>2502</v>
      </c>
      <c r="D2444" t="s">
        <v>8</v>
      </c>
      <c r="E2444" t="s">
        <v>6105</v>
      </c>
      <c r="F2444">
        <v>-0.16666666666666666</v>
      </c>
      <c r="G2444">
        <v>1</v>
      </c>
    </row>
    <row r="2445" spans="1:7" x14ac:dyDescent="0.2">
      <c r="A2445" t="s">
        <v>2581</v>
      </c>
      <c r="B2445" t="s">
        <v>2582</v>
      </c>
      <c r="C2445" t="s">
        <v>2502</v>
      </c>
      <c r="D2445" t="s">
        <v>3469</v>
      </c>
    </row>
    <row r="2446" spans="1:7" x14ac:dyDescent="0.2">
      <c r="A2446" t="s">
        <v>2583</v>
      </c>
      <c r="B2446" t="s">
        <v>2584</v>
      </c>
      <c r="C2446" t="s">
        <v>2502</v>
      </c>
      <c r="D2446" t="s">
        <v>3494</v>
      </c>
    </row>
    <row r="2447" spans="1:7" x14ac:dyDescent="0.2">
      <c r="A2447" t="s">
        <v>2583</v>
      </c>
      <c r="B2447" t="s">
        <v>2584</v>
      </c>
      <c r="C2447" t="s">
        <v>2502</v>
      </c>
      <c r="D2447" t="s">
        <v>3471</v>
      </c>
      <c r="E2447" t="s">
        <v>6106</v>
      </c>
    </row>
    <row r="2448" spans="1:7" x14ac:dyDescent="0.2">
      <c r="A2448" t="s">
        <v>2583</v>
      </c>
      <c r="B2448" t="s">
        <v>2584</v>
      </c>
      <c r="C2448" t="s">
        <v>2502</v>
      </c>
      <c r="D2448" t="s">
        <v>8</v>
      </c>
      <c r="E2448" t="s">
        <v>6107</v>
      </c>
    </row>
    <row r="2449" spans="1:7" x14ac:dyDescent="0.2">
      <c r="A2449" t="s">
        <v>2583</v>
      </c>
      <c r="B2449" t="s">
        <v>2584</v>
      </c>
      <c r="C2449" t="s">
        <v>2502</v>
      </c>
      <c r="D2449" t="s">
        <v>3469</v>
      </c>
      <c r="F2449">
        <v>0</v>
      </c>
      <c r="G2449">
        <v>0</v>
      </c>
    </row>
    <row r="2450" spans="1:7" x14ac:dyDescent="0.2">
      <c r="A2450" t="s">
        <v>2585</v>
      </c>
      <c r="B2450" t="s">
        <v>2586</v>
      </c>
      <c r="C2450" t="s">
        <v>2502</v>
      </c>
      <c r="D2450" t="s">
        <v>3471</v>
      </c>
      <c r="E2450" t="s">
        <v>6108</v>
      </c>
    </row>
    <row r="2451" spans="1:7" x14ac:dyDescent="0.2">
      <c r="A2451" t="s">
        <v>2585</v>
      </c>
      <c r="B2451" t="s">
        <v>2586</v>
      </c>
      <c r="C2451" t="s">
        <v>2502</v>
      </c>
      <c r="D2451" t="s">
        <v>8</v>
      </c>
      <c r="E2451" t="s">
        <v>6109</v>
      </c>
      <c r="F2451">
        <v>0.16666666666666666</v>
      </c>
      <c r="G2451">
        <v>1</v>
      </c>
    </row>
    <row r="2452" spans="1:7" x14ac:dyDescent="0.2">
      <c r="A2452" t="s">
        <v>2585</v>
      </c>
      <c r="B2452" t="s">
        <v>2586</v>
      </c>
      <c r="C2452" t="s">
        <v>2502</v>
      </c>
      <c r="D2452" t="s">
        <v>3469</v>
      </c>
    </row>
    <row r="2453" spans="1:7" x14ac:dyDescent="0.2">
      <c r="A2453" t="s">
        <v>2587</v>
      </c>
      <c r="B2453" t="s">
        <v>2588</v>
      </c>
      <c r="C2453" t="s">
        <v>2502</v>
      </c>
      <c r="D2453" t="s">
        <v>3494</v>
      </c>
    </row>
    <row r="2454" spans="1:7" x14ac:dyDescent="0.2">
      <c r="A2454" t="s">
        <v>2587</v>
      </c>
      <c r="B2454" t="s">
        <v>2588</v>
      </c>
      <c r="C2454" t="s">
        <v>2502</v>
      </c>
      <c r="D2454" t="s">
        <v>10</v>
      </c>
      <c r="E2454" t="s">
        <v>6110</v>
      </c>
    </row>
    <row r="2455" spans="1:7" x14ac:dyDescent="0.2">
      <c r="A2455" t="s">
        <v>2587</v>
      </c>
      <c r="B2455" t="s">
        <v>2588</v>
      </c>
      <c r="C2455" t="s">
        <v>2502</v>
      </c>
      <c r="D2455" t="s">
        <v>3471</v>
      </c>
      <c r="E2455" t="s">
        <v>6111</v>
      </c>
    </row>
    <row r="2456" spans="1:7" x14ac:dyDescent="0.2">
      <c r="A2456" t="s">
        <v>2587</v>
      </c>
      <c r="B2456" t="s">
        <v>2588</v>
      </c>
      <c r="C2456" t="s">
        <v>2502</v>
      </c>
      <c r="D2456" t="s">
        <v>8</v>
      </c>
      <c r="E2456" t="s">
        <v>6112</v>
      </c>
    </row>
    <row r="2457" spans="1:7" x14ac:dyDescent="0.2">
      <c r="A2457" t="s">
        <v>2587</v>
      </c>
      <c r="B2457" t="s">
        <v>2588</v>
      </c>
      <c r="C2457" t="s">
        <v>2502</v>
      </c>
      <c r="D2457" t="s">
        <v>3469</v>
      </c>
      <c r="F2457">
        <v>0.16666666666666666</v>
      </c>
      <c r="G2457">
        <v>0</v>
      </c>
    </row>
    <row r="2458" spans="1:7" x14ac:dyDescent="0.2">
      <c r="A2458" t="s">
        <v>2603</v>
      </c>
      <c r="B2458" t="s">
        <v>2604</v>
      </c>
      <c r="C2458" t="s">
        <v>2502</v>
      </c>
      <c r="D2458" t="s">
        <v>14</v>
      </c>
    </row>
    <row r="2459" spans="1:7" x14ac:dyDescent="0.2">
      <c r="A2459" t="s">
        <v>2603</v>
      </c>
      <c r="B2459" t="s">
        <v>2604</v>
      </c>
      <c r="C2459" t="s">
        <v>2502</v>
      </c>
      <c r="D2459" t="s">
        <v>3471</v>
      </c>
      <c r="E2459" t="s">
        <v>6113</v>
      </c>
      <c r="F2459">
        <v>0</v>
      </c>
      <c r="G2459">
        <v>0</v>
      </c>
    </row>
    <row r="2460" spans="1:7" x14ac:dyDescent="0.2">
      <c r="A2460" t="s">
        <v>2603</v>
      </c>
      <c r="B2460" t="s">
        <v>2604</v>
      </c>
      <c r="C2460" t="s">
        <v>2502</v>
      </c>
      <c r="D2460" t="s">
        <v>3469</v>
      </c>
      <c r="F2460">
        <v>0.16666666666666666</v>
      </c>
      <c r="G2460">
        <v>0</v>
      </c>
    </row>
    <row r="2461" spans="1:7" x14ac:dyDescent="0.2">
      <c r="A2461" t="s">
        <v>6114</v>
      </c>
      <c r="B2461" t="s">
        <v>6115</v>
      </c>
      <c r="C2461" t="s">
        <v>2502</v>
      </c>
      <c r="D2461" t="s">
        <v>10</v>
      </c>
      <c r="E2461" t="s">
        <v>6116</v>
      </c>
      <c r="F2461">
        <v>0</v>
      </c>
      <c r="G2461">
        <v>8</v>
      </c>
    </row>
    <row r="2462" spans="1:7" x14ac:dyDescent="0.2">
      <c r="A2462" t="s">
        <v>6117</v>
      </c>
      <c r="B2462" t="s">
        <v>6118</v>
      </c>
      <c r="C2462" t="s">
        <v>2502</v>
      </c>
      <c r="D2462" t="s">
        <v>13</v>
      </c>
    </row>
    <row r="2463" spans="1:7" x14ac:dyDescent="0.2">
      <c r="A2463" t="s">
        <v>6117</v>
      </c>
      <c r="B2463" t="s">
        <v>6118</v>
      </c>
      <c r="C2463" t="s">
        <v>2502</v>
      </c>
      <c r="D2463" t="s">
        <v>10</v>
      </c>
      <c r="E2463" t="s">
        <v>6119</v>
      </c>
    </row>
    <row r="2464" spans="1:7" x14ac:dyDescent="0.2">
      <c r="A2464" t="s">
        <v>2509</v>
      </c>
      <c r="B2464" t="s">
        <v>2510</v>
      </c>
      <c r="C2464" t="s">
        <v>2502</v>
      </c>
      <c r="D2464" t="s">
        <v>14</v>
      </c>
      <c r="F2464">
        <v>13.166666666666666</v>
      </c>
      <c r="G2464">
        <v>345</v>
      </c>
    </row>
    <row r="2465" spans="1:7" x14ac:dyDescent="0.2">
      <c r="A2465" t="s">
        <v>2509</v>
      </c>
      <c r="B2465" t="s">
        <v>2510</v>
      </c>
      <c r="C2465" t="s">
        <v>2502</v>
      </c>
      <c r="D2465" t="s">
        <v>3494</v>
      </c>
    </row>
    <row r="2466" spans="1:7" x14ac:dyDescent="0.2">
      <c r="A2466" t="s">
        <v>2509</v>
      </c>
      <c r="B2466" t="s">
        <v>2510</v>
      </c>
      <c r="C2466" t="s">
        <v>2502</v>
      </c>
      <c r="D2466" t="s">
        <v>10</v>
      </c>
      <c r="E2466" t="s">
        <v>6120</v>
      </c>
      <c r="F2466">
        <v>73.166666666666671</v>
      </c>
      <c r="G2466">
        <v>473</v>
      </c>
    </row>
    <row r="2467" spans="1:7" x14ac:dyDescent="0.2">
      <c r="A2467" t="s">
        <v>2509</v>
      </c>
      <c r="B2467" t="s">
        <v>2510</v>
      </c>
      <c r="C2467" t="s">
        <v>2502</v>
      </c>
      <c r="D2467" t="s">
        <v>3471</v>
      </c>
      <c r="E2467" t="s">
        <v>6121</v>
      </c>
      <c r="F2467">
        <v>0.33333333333333331</v>
      </c>
      <c r="G2467">
        <v>0</v>
      </c>
    </row>
    <row r="2468" spans="1:7" x14ac:dyDescent="0.2">
      <c r="A2468" t="s">
        <v>2509</v>
      </c>
      <c r="B2468" t="s">
        <v>2510</v>
      </c>
      <c r="C2468" t="s">
        <v>2502</v>
      </c>
      <c r="D2468" t="s">
        <v>8</v>
      </c>
      <c r="E2468" t="s">
        <v>6122</v>
      </c>
      <c r="F2468">
        <v>3</v>
      </c>
      <c r="G2468">
        <v>7</v>
      </c>
    </row>
    <row r="2469" spans="1:7" x14ac:dyDescent="0.2">
      <c r="A2469" t="s">
        <v>2509</v>
      </c>
      <c r="B2469" t="s">
        <v>2510</v>
      </c>
      <c r="C2469" t="s">
        <v>2502</v>
      </c>
      <c r="D2469" t="s">
        <v>3469</v>
      </c>
      <c r="F2469">
        <v>0.16666666666666666</v>
      </c>
      <c r="G2469">
        <v>1</v>
      </c>
    </row>
    <row r="2470" spans="1:7" x14ac:dyDescent="0.2">
      <c r="A2470" t="s">
        <v>2523</v>
      </c>
      <c r="B2470" t="s">
        <v>2524</v>
      </c>
      <c r="C2470" t="s">
        <v>2502</v>
      </c>
      <c r="D2470" t="s">
        <v>14</v>
      </c>
      <c r="F2470">
        <v>0.66666666666666663</v>
      </c>
      <c r="G2470">
        <v>35</v>
      </c>
    </row>
    <row r="2471" spans="1:7" x14ac:dyDescent="0.2">
      <c r="A2471" t="s">
        <v>2523</v>
      </c>
      <c r="B2471" t="s">
        <v>2524</v>
      </c>
      <c r="C2471" t="s">
        <v>2502</v>
      </c>
      <c r="D2471" t="s">
        <v>3494</v>
      </c>
    </row>
    <row r="2472" spans="1:7" x14ac:dyDescent="0.2">
      <c r="A2472" t="s">
        <v>2523</v>
      </c>
      <c r="B2472" t="s">
        <v>2524</v>
      </c>
      <c r="C2472" t="s">
        <v>2502</v>
      </c>
      <c r="D2472" t="s">
        <v>10</v>
      </c>
      <c r="E2472" t="s">
        <v>6123</v>
      </c>
      <c r="F2472">
        <v>11</v>
      </c>
      <c r="G2472">
        <v>236</v>
      </c>
    </row>
    <row r="2473" spans="1:7" x14ac:dyDescent="0.2">
      <c r="A2473" t="s">
        <v>2523</v>
      </c>
      <c r="B2473" t="s">
        <v>2524</v>
      </c>
      <c r="C2473" t="s">
        <v>2502</v>
      </c>
      <c r="D2473" t="s">
        <v>3471</v>
      </c>
      <c r="E2473" t="s">
        <v>6124</v>
      </c>
      <c r="F2473">
        <v>0</v>
      </c>
      <c r="G2473">
        <v>1</v>
      </c>
    </row>
    <row r="2474" spans="1:7" x14ac:dyDescent="0.2">
      <c r="A2474" t="s">
        <v>2523</v>
      </c>
      <c r="B2474" t="s">
        <v>2524</v>
      </c>
      <c r="C2474" t="s">
        <v>2502</v>
      </c>
      <c r="D2474" t="s">
        <v>3469</v>
      </c>
      <c r="F2474">
        <v>0</v>
      </c>
      <c r="G2474">
        <v>0</v>
      </c>
    </row>
    <row r="2475" spans="1:7" x14ac:dyDescent="0.2">
      <c r="A2475" t="s">
        <v>2525</v>
      </c>
      <c r="B2475" t="s">
        <v>2526</v>
      </c>
      <c r="C2475" t="s">
        <v>2502</v>
      </c>
      <c r="D2475" t="s">
        <v>14</v>
      </c>
      <c r="F2475">
        <v>1.8333333333333333</v>
      </c>
      <c r="G2475">
        <v>45</v>
      </c>
    </row>
    <row r="2476" spans="1:7" x14ac:dyDescent="0.2">
      <c r="A2476" t="s">
        <v>2525</v>
      </c>
      <c r="B2476" t="s">
        <v>2526</v>
      </c>
      <c r="C2476" t="s">
        <v>2502</v>
      </c>
      <c r="D2476" t="s">
        <v>10</v>
      </c>
      <c r="E2476" t="s">
        <v>6125</v>
      </c>
      <c r="F2476">
        <v>13</v>
      </c>
      <c r="G2476">
        <v>293</v>
      </c>
    </row>
    <row r="2477" spans="1:7" x14ac:dyDescent="0.2">
      <c r="A2477" t="s">
        <v>2525</v>
      </c>
      <c r="B2477" t="s">
        <v>2526</v>
      </c>
      <c r="C2477" t="s">
        <v>2502</v>
      </c>
      <c r="D2477" t="s">
        <v>3471</v>
      </c>
      <c r="E2477" t="s">
        <v>6126</v>
      </c>
      <c r="F2477">
        <v>0.33333333333333331</v>
      </c>
      <c r="G2477">
        <v>0</v>
      </c>
    </row>
    <row r="2478" spans="1:7" x14ac:dyDescent="0.2">
      <c r="A2478" t="s">
        <v>2525</v>
      </c>
      <c r="B2478" t="s">
        <v>2526</v>
      </c>
      <c r="C2478" t="s">
        <v>2502</v>
      </c>
      <c r="D2478" t="s">
        <v>8</v>
      </c>
      <c r="E2478" t="s">
        <v>6127</v>
      </c>
    </row>
    <row r="2479" spans="1:7" x14ac:dyDescent="0.2">
      <c r="A2479" t="s">
        <v>2525</v>
      </c>
      <c r="B2479" t="s">
        <v>2526</v>
      </c>
      <c r="C2479" t="s">
        <v>2502</v>
      </c>
      <c r="D2479" t="s">
        <v>3469</v>
      </c>
      <c r="F2479">
        <v>1.5</v>
      </c>
      <c r="G2479">
        <v>3</v>
      </c>
    </row>
    <row r="2480" spans="1:7" x14ac:dyDescent="0.2">
      <c r="A2480" t="s">
        <v>2531</v>
      </c>
      <c r="B2480" t="s">
        <v>2532</v>
      </c>
      <c r="C2480" t="s">
        <v>2502</v>
      </c>
      <c r="D2480" t="s">
        <v>14</v>
      </c>
      <c r="F2480">
        <v>0</v>
      </c>
      <c r="G2480">
        <v>31</v>
      </c>
    </row>
    <row r="2481" spans="1:7" x14ac:dyDescent="0.2">
      <c r="A2481" t="s">
        <v>2531</v>
      </c>
      <c r="B2481" t="s">
        <v>2532</v>
      </c>
      <c r="C2481" t="s">
        <v>2502</v>
      </c>
      <c r="D2481" t="s">
        <v>3494</v>
      </c>
    </row>
    <row r="2482" spans="1:7" x14ac:dyDescent="0.2">
      <c r="A2482" t="s">
        <v>2531</v>
      </c>
      <c r="B2482" t="s">
        <v>2532</v>
      </c>
      <c r="C2482" t="s">
        <v>2502</v>
      </c>
      <c r="D2482" t="s">
        <v>10</v>
      </c>
      <c r="E2482" t="s">
        <v>6128</v>
      </c>
      <c r="F2482">
        <v>18.666666666666668</v>
      </c>
      <c r="G2482">
        <v>458</v>
      </c>
    </row>
    <row r="2483" spans="1:7" x14ac:dyDescent="0.2">
      <c r="A2483" t="s">
        <v>2531</v>
      </c>
      <c r="B2483" t="s">
        <v>2532</v>
      </c>
      <c r="C2483" t="s">
        <v>2502</v>
      </c>
      <c r="D2483" t="s">
        <v>3471</v>
      </c>
      <c r="E2483" t="s">
        <v>6129</v>
      </c>
      <c r="F2483">
        <v>0</v>
      </c>
      <c r="G2483">
        <v>0</v>
      </c>
    </row>
    <row r="2484" spans="1:7" x14ac:dyDescent="0.2">
      <c r="A2484" t="s">
        <v>2531</v>
      </c>
      <c r="B2484" t="s">
        <v>2532</v>
      </c>
      <c r="C2484" t="s">
        <v>2502</v>
      </c>
      <c r="D2484" t="s">
        <v>3469</v>
      </c>
      <c r="F2484">
        <v>0</v>
      </c>
      <c r="G2484">
        <v>0</v>
      </c>
    </row>
    <row r="2485" spans="1:7" x14ac:dyDescent="0.2">
      <c r="A2485" t="s">
        <v>2533</v>
      </c>
      <c r="B2485" t="s">
        <v>2534</v>
      </c>
      <c r="C2485" t="s">
        <v>2502</v>
      </c>
      <c r="D2485" t="s">
        <v>14</v>
      </c>
      <c r="F2485">
        <v>3.8333333333333335</v>
      </c>
      <c r="G2485">
        <v>159</v>
      </c>
    </row>
    <row r="2486" spans="1:7" x14ac:dyDescent="0.2">
      <c r="A2486" t="s">
        <v>2533</v>
      </c>
      <c r="B2486" t="s">
        <v>2534</v>
      </c>
      <c r="C2486" t="s">
        <v>2502</v>
      </c>
      <c r="D2486" t="s">
        <v>10</v>
      </c>
      <c r="E2486" t="s">
        <v>6130</v>
      </c>
      <c r="F2486">
        <v>28.833333333333332</v>
      </c>
      <c r="G2486">
        <v>449</v>
      </c>
    </row>
    <row r="2487" spans="1:7" x14ac:dyDescent="0.2">
      <c r="A2487" t="s">
        <v>2533</v>
      </c>
      <c r="B2487" t="s">
        <v>2534</v>
      </c>
      <c r="C2487" t="s">
        <v>2502</v>
      </c>
      <c r="D2487" t="s">
        <v>3471</v>
      </c>
      <c r="E2487" t="s">
        <v>6131</v>
      </c>
      <c r="F2487">
        <v>1</v>
      </c>
      <c r="G2487">
        <v>3</v>
      </c>
    </row>
    <row r="2488" spans="1:7" x14ac:dyDescent="0.2">
      <c r="A2488" t="s">
        <v>2533</v>
      </c>
      <c r="B2488" t="s">
        <v>2534</v>
      </c>
      <c r="C2488" t="s">
        <v>2502</v>
      </c>
      <c r="D2488" t="s">
        <v>8</v>
      </c>
      <c r="E2488" t="s">
        <v>6132</v>
      </c>
      <c r="F2488">
        <v>0</v>
      </c>
      <c r="G2488">
        <v>2</v>
      </c>
    </row>
    <row r="2489" spans="1:7" x14ac:dyDescent="0.2">
      <c r="A2489" t="s">
        <v>2533</v>
      </c>
      <c r="B2489" t="s">
        <v>2534</v>
      </c>
      <c r="C2489" t="s">
        <v>2502</v>
      </c>
      <c r="D2489" t="s">
        <v>3469</v>
      </c>
      <c r="F2489">
        <v>0</v>
      </c>
      <c r="G2489">
        <v>16</v>
      </c>
    </row>
    <row r="2490" spans="1:7" x14ac:dyDescent="0.2">
      <c r="A2490" t="s">
        <v>2535</v>
      </c>
      <c r="B2490" t="s">
        <v>2536</v>
      </c>
      <c r="C2490" t="s">
        <v>2502</v>
      </c>
      <c r="D2490" t="s">
        <v>14</v>
      </c>
      <c r="F2490">
        <v>0.33333333333333331</v>
      </c>
      <c r="G2490">
        <v>36</v>
      </c>
    </row>
    <row r="2491" spans="1:7" x14ac:dyDescent="0.2">
      <c r="A2491" t="s">
        <v>2535</v>
      </c>
      <c r="B2491" t="s">
        <v>2536</v>
      </c>
      <c r="C2491" t="s">
        <v>2502</v>
      </c>
      <c r="D2491" t="s">
        <v>3494</v>
      </c>
    </row>
    <row r="2492" spans="1:7" x14ac:dyDescent="0.2">
      <c r="A2492" t="s">
        <v>2535</v>
      </c>
      <c r="B2492" t="s">
        <v>2536</v>
      </c>
      <c r="C2492" t="s">
        <v>2502</v>
      </c>
      <c r="D2492" t="s">
        <v>10</v>
      </c>
      <c r="E2492" t="s">
        <v>6133</v>
      </c>
      <c r="F2492">
        <v>18</v>
      </c>
      <c r="G2492">
        <v>402</v>
      </c>
    </row>
    <row r="2493" spans="1:7" x14ac:dyDescent="0.2">
      <c r="A2493" t="s">
        <v>2535</v>
      </c>
      <c r="B2493" t="s">
        <v>2536</v>
      </c>
      <c r="C2493" t="s">
        <v>2502</v>
      </c>
      <c r="D2493" t="s">
        <v>3471</v>
      </c>
      <c r="E2493" t="s">
        <v>6134</v>
      </c>
      <c r="F2493">
        <v>0</v>
      </c>
      <c r="G2493">
        <v>0</v>
      </c>
    </row>
    <row r="2494" spans="1:7" x14ac:dyDescent="0.2">
      <c r="A2494" t="s">
        <v>2535</v>
      </c>
      <c r="B2494" t="s">
        <v>2536</v>
      </c>
      <c r="C2494" t="s">
        <v>2502</v>
      </c>
      <c r="D2494" t="s">
        <v>3469</v>
      </c>
      <c r="F2494">
        <v>0.33333333333333331</v>
      </c>
      <c r="G2494">
        <v>1</v>
      </c>
    </row>
    <row r="2495" spans="1:7" x14ac:dyDescent="0.2">
      <c r="A2495" t="s">
        <v>2537</v>
      </c>
      <c r="B2495" t="s">
        <v>2538</v>
      </c>
      <c r="C2495" t="s">
        <v>2502</v>
      </c>
      <c r="D2495" t="s">
        <v>14</v>
      </c>
      <c r="F2495">
        <v>3.1666666666666665</v>
      </c>
      <c r="G2495">
        <v>166</v>
      </c>
    </row>
    <row r="2496" spans="1:7" x14ac:dyDescent="0.2">
      <c r="A2496" t="s">
        <v>2537</v>
      </c>
      <c r="B2496" t="s">
        <v>2538</v>
      </c>
      <c r="C2496" t="s">
        <v>2502</v>
      </c>
      <c r="D2496" t="s">
        <v>10</v>
      </c>
      <c r="E2496" t="s">
        <v>6135</v>
      </c>
      <c r="F2496">
        <v>19.333333333333332</v>
      </c>
      <c r="G2496">
        <v>331</v>
      </c>
    </row>
    <row r="2497" spans="1:7" x14ac:dyDescent="0.2">
      <c r="A2497" t="s">
        <v>2537</v>
      </c>
      <c r="B2497" t="s">
        <v>2538</v>
      </c>
      <c r="C2497" t="s">
        <v>2502</v>
      </c>
      <c r="D2497" t="s">
        <v>3471</v>
      </c>
      <c r="E2497" t="s">
        <v>6136</v>
      </c>
      <c r="F2497">
        <v>0.5</v>
      </c>
      <c r="G2497">
        <v>2</v>
      </c>
    </row>
    <row r="2498" spans="1:7" x14ac:dyDescent="0.2">
      <c r="A2498" t="s">
        <v>2537</v>
      </c>
      <c r="B2498" t="s">
        <v>2538</v>
      </c>
      <c r="C2498" t="s">
        <v>2502</v>
      </c>
      <c r="D2498" t="s">
        <v>8</v>
      </c>
      <c r="E2498" t="s">
        <v>6137</v>
      </c>
      <c r="F2498">
        <v>0</v>
      </c>
      <c r="G2498">
        <v>1</v>
      </c>
    </row>
    <row r="2499" spans="1:7" x14ac:dyDescent="0.2">
      <c r="A2499" t="s">
        <v>2537</v>
      </c>
      <c r="B2499" t="s">
        <v>2538</v>
      </c>
      <c r="C2499" t="s">
        <v>2502</v>
      </c>
      <c r="D2499" t="s">
        <v>3469</v>
      </c>
      <c r="F2499">
        <v>0.5</v>
      </c>
      <c r="G2499">
        <v>1</v>
      </c>
    </row>
    <row r="2500" spans="1:7" x14ac:dyDescent="0.2">
      <c r="A2500" t="s">
        <v>2693</v>
      </c>
      <c r="B2500" t="s">
        <v>2694</v>
      </c>
      <c r="C2500" t="s">
        <v>2502</v>
      </c>
      <c r="D2500" t="s">
        <v>14</v>
      </c>
      <c r="F2500">
        <v>0.33333333333333331</v>
      </c>
      <c r="G2500">
        <v>8</v>
      </c>
    </row>
    <row r="2501" spans="1:7" x14ac:dyDescent="0.2">
      <c r="A2501" t="s">
        <v>2693</v>
      </c>
      <c r="B2501" t="s">
        <v>2694</v>
      </c>
      <c r="C2501" t="s">
        <v>2502</v>
      </c>
      <c r="D2501" t="s">
        <v>3471</v>
      </c>
      <c r="E2501" t="s">
        <v>6138</v>
      </c>
      <c r="F2501">
        <v>0.16666666666666666</v>
      </c>
      <c r="G2501">
        <v>0</v>
      </c>
    </row>
    <row r="2502" spans="1:7" x14ac:dyDescent="0.2">
      <c r="A2502" t="s">
        <v>8485</v>
      </c>
      <c r="B2502" t="s">
        <v>8486</v>
      </c>
      <c r="C2502" t="s">
        <v>2502</v>
      </c>
      <c r="D2502" t="s">
        <v>10</v>
      </c>
      <c r="E2502" t="s">
        <v>8965</v>
      </c>
      <c r="F2502">
        <v>0</v>
      </c>
      <c r="G2502">
        <v>150</v>
      </c>
    </row>
    <row r="2503" spans="1:7" x14ac:dyDescent="0.2">
      <c r="A2503" t="s">
        <v>2517</v>
      </c>
      <c r="B2503" t="s">
        <v>2518</v>
      </c>
      <c r="C2503" t="s">
        <v>2502</v>
      </c>
      <c r="D2503" t="s">
        <v>10</v>
      </c>
      <c r="E2503" t="s">
        <v>6139</v>
      </c>
    </row>
    <row r="2504" spans="1:7" x14ac:dyDescent="0.2">
      <c r="A2504" t="s">
        <v>2517</v>
      </c>
      <c r="B2504" t="s">
        <v>2518</v>
      </c>
      <c r="C2504" t="s">
        <v>2502</v>
      </c>
      <c r="D2504" t="s">
        <v>3471</v>
      </c>
      <c r="E2504" t="s">
        <v>6140</v>
      </c>
      <c r="F2504">
        <v>0</v>
      </c>
      <c r="G2504">
        <v>0</v>
      </c>
    </row>
    <row r="2505" spans="1:7" x14ac:dyDescent="0.2">
      <c r="A2505" t="s">
        <v>2517</v>
      </c>
      <c r="B2505" t="s">
        <v>2518</v>
      </c>
      <c r="C2505" t="s">
        <v>2502</v>
      </c>
      <c r="D2505" t="s">
        <v>3469</v>
      </c>
      <c r="F2505">
        <v>0.33333333333333331</v>
      </c>
      <c r="G2505">
        <v>4</v>
      </c>
    </row>
    <row r="2506" spans="1:7" x14ac:dyDescent="0.2">
      <c r="A2506" t="s">
        <v>2631</v>
      </c>
      <c r="B2506" t="s">
        <v>2632</v>
      </c>
      <c r="C2506" t="s">
        <v>2502</v>
      </c>
      <c r="D2506" t="s">
        <v>3471</v>
      </c>
      <c r="E2506" t="s">
        <v>6141</v>
      </c>
      <c r="F2506">
        <v>0</v>
      </c>
      <c r="G2506">
        <v>0</v>
      </c>
    </row>
    <row r="2507" spans="1:7" x14ac:dyDescent="0.2">
      <c r="A2507" t="s">
        <v>2521</v>
      </c>
      <c r="B2507" t="s">
        <v>2522</v>
      </c>
      <c r="C2507" t="s">
        <v>2502</v>
      </c>
      <c r="D2507" t="s">
        <v>10</v>
      </c>
      <c r="E2507" t="s">
        <v>6142</v>
      </c>
      <c r="F2507">
        <v>0</v>
      </c>
      <c r="G2507">
        <v>1</v>
      </c>
    </row>
    <row r="2508" spans="1:7" x14ac:dyDescent="0.2">
      <c r="A2508" t="s">
        <v>2521</v>
      </c>
      <c r="B2508" t="s">
        <v>2522</v>
      </c>
      <c r="C2508" t="s">
        <v>2502</v>
      </c>
      <c r="D2508" t="s">
        <v>3471</v>
      </c>
      <c r="E2508" t="s">
        <v>6143</v>
      </c>
      <c r="F2508">
        <v>0</v>
      </c>
      <c r="G2508">
        <v>0</v>
      </c>
    </row>
    <row r="2509" spans="1:7" x14ac:dyDescent="0.2">
      <c r="A2509" t="s">
        <v>2521</v>
      </c>
      <c r="B2509" t="s">
        <v>2522</v>
      </c>
      <c r="C2509" t="s">
        <v>2502</v>
      </c>
      <c r="D2509" t="s">
        <v>3469</v>
      </c>
    </row>
    <row r="2510" spans="1:7" x14ac:dyDescent="0.2">
      <c r="A2510" t="s">
        <v>2673</v>
      </c>
      <c r="B2510" t="s">
        <v>2674</v>
      </c>
      <c r="C2510" t="s">
        <v>2502</v>
      </c>
      <c r="D2510" t="s">
        <v>3471</v>
      </c>
      <c r="E2510" t="s">
        <v>6144</v>
      </c>
      <c r="F2510">
        <v>0</v>
      </c>
      <c r="G2510">
        <v>0</v>
      </c>
    </row>
    <row r="2511" spans="1:7" x14ac:dyDescent="0.2">
      <c r="A2511" t="s">
        <v>2611</v>
      </c>
      <c r="B2511" t="s">
        <v>2612</v>
      </c>
      <c r="C2511" t="s">
        <v>2502</v>
      </c>
      <c r="D2511" t="s">
        <v>3471</v>
      </c>
      <c r="E2511" t="s">
        <v>8614</v>
      </c>
      <c r="F2511">
        <v>0</v>
      </c>
      <c r="G2511">
        <v>0</v>
      </c>
    </row>
    <row r="2512" spans="1:7" x14ac:dyDescent="0.2">
      <c r="A2512" t="s">
        <v>2613</v>
      </c>
      <c r="B2512" t="s">
        <v>2614</v>
      </c>
      <c r="C2512" t="s">
        <v>2502</v>
      </c>
      <c r="D2512" t="s">
        <v>3471</v>
      </c>
      <c r="E2512" t="s">
        <v>8615</v>
      </c>
      <c r="F2512">
        <v>0</v>
      </c>
      <c r="G2512">
        <v>0</v>
      </c>
    </row>
    <row r="2513" spans="1:7" x14ac:dyDescent="0.2">
      <c r="A2513" t="s">
        <v>2615</v>
      </c>
      <c r="B2513" t="s">
        <v>2616</v>
      </c>
      <c r="C2513" t="s">
        <v>2502</v>
      </c>
      <c r="D2513" t="s">
        <v>3471</v>
      </c>
      <c r="E2513" t="s">
        <v>8616</v>
      </c>
      <c r="F2513">
        <v>0</v>
      </c>
      <c r="G2513">
        <v>0</v>
      </c>
    </row>
    <row r="2514" spans="1:7" x14ac:dyDescent="0.2">
      <c r="A2514" t="s">
        <v>2617</v>
      </c>
      <c r="B2514" t="s">
        <v>2618</v>
      </c>
      <c r="C2514" t="s">
        <v>2502</v>
      </c>
      <c r="D2514" t="s">
        <v>3471</v>
      </c>
      <c r="E2514" t="s">
        <v>8617</v>
      </c>
      <c r="F2514">
        <v>0</v>
      </c>
      <c r="G2514">
        <v>0</v>
      </c>
    </row>
    <row r="2515" spans="1:7" x14ac:dyDescent="0.2">
      <c r="A2515" t="s">
        <v>2619</v>
      </c>
      <c r="B2515" t="s">
        <v>2620</v>
      </c>
      <c r="C2515" t="s">
        <v>2502</v>
      </c>
      <c r="D2515" t="s">
        <v>3471</v>
      </c>
      <c r="E2515" t="s">
        <v>8618</v>
      </c>
      <c r="F2515">
        <v>0</v>
      </c>
      <c r="G2515">
        <v>0</v>
      </c>
    </row>
    <row r="2516" spans="1:7" x14ac:dyDescent="0.2">
      <c r="A2516" t="s">
        <v>6145</v>
      </c>
      <c r="B2516" t="s">
        <v>6146</v>
      </c>
      <c r="C2516" t="s">
        <v>2502</v>
      </c>
      <c r="D2516" t="s">
        <v>10</v>
      </c>
      <c r="E2516" t="s">
        <v>6147</v>
      </c>
    </row>
    <row r="2517" spans="1:7" x14ac:dyDescent="0.2">
      <c r="A2517" t="s">
        <v>6145</v>
      </c>
      <c r="B2517" t="s">
        <v>6146</v>
      </c>
      <c r="C2517" t="s">
        <v>2502</v>
      </c>
      <c r="D2517" t="s">
        <v>3471</v>
      </c>
      <c r="E2517" t="s">
        <v>6148</v>
      </c>
    </row>
    <row r="2518" spans="1:7" x14ac:dyDescent="0.2">
      <c r="A2518" t="s">
        <v>6149</v>
      </c>
      <c r="B2518" t="s">
        <v>6150</v>
      </c>
      <c r="C2518" t="s">
        <v>2502</v>
      </c>
      <c r="D2518" t="s">
        <v>10</v>
      </c>
      <c r="E2518" t="s">
        <v>6151</v>
      </c>
    </row>
    <row r="2519" spans="1:7" x14ac:dyDescent="0.2">
      <c r="A2519" t="s">
        <v>2635</v>
      </c>
      <c r="B2519" t="s">
        <v>2636</v>
      </c>
      <c r="C2519" t="s">
        <v>2502</v>
      </c>
      <c r="D2519" t="s">
        <v>14</v>
      </c>
      <c r="F2519">
        <v>0</v>
      </c>
      <c r="G2519">
        <v>4</v>
      </c>
    </row>
    <row r="2520" spans="1:7" x14ac:dyDescent="0.2">
      <c r="A2520" t="s">
        <v>2635</v>
      </c>
      <c r="B2520" t="s">
        <v>2636</v>
      </c>
      <c r="C2520" t="s">
        <v>2502</v>
      </c>
      <c r="D2520" t="s">
        <v>3471</v>
      </c>
      <c r="E2520" t="s">
        <v>6152</v>
      </c>
    </row>
    <row r="2521" spans="1:7" x14ac:dyDescent="0.2">
      <c r="A2521" t="s">
        <v>6153</v>
      </c>
      <c r="B2521" t="s">
        <v>6154</v>
      </c>
      <c r="C2521" t="s">
        <v>2502</v>
      </c>
      <c r="D2521" t="s">
        <v>10</v>
      </c>
      <c r="E2521" t="s">
        <v>6155</v>
      </c>
      <c r="F2521">
        <v>-0.16666666666666666</v>
      </c>
      <c r="G2521">
        <v>5</v>
      </c>
    </row>
    <row r="2522" spans="1:7" x14ac:dyDescent="0.2">
      <c r="A2522" t="s">
        <v>6153</v>
      </c>
      <c r="B2522" t="s">
        <v>6154</v>
      </c>
      <c r="C2522" t="s">
        <v>2502</v>
      </c>
      <c r="D2522" t="s">
        <v>3471</v>
      </c>
      <c r="E2522" t="s">
        <v>6156</v>
      </c>
    </row>
    <row r="2523" spans="1:7" x14ac:dyDescent="0.2">
      <c r="A2523" t="s">
        <v>6153</v>
      </c>
      <c r="B2523" t="s">
        <v>6154</v>
      </c>
      <c r="C2523" t="s">
        <v>2502</v>
      </c>
      <c r="D2523" t="s">
        <v>3469</v>
      </c>
    </row>
    <row r="2524" spans="1:7" x14ac:dyDescent="0.2">
      <c r="A2524" t="s">
        <v>6157</v>
      </c>
      <c r="B2524" t="s">
        <v>6158</v>
      </c>
      <c r="C2524" t="s">
        <v>2502</v>
      </c>
      <c r="D2524" t="s">
        <v>14</v>
      </c>
      <c r="F2524">
        <v>0</v>
      </c>
      <c r="G2524">
        <v>5</v>
      </c>
    </row>
    <row r="2525" spans="1:7" x14ac:dyDescent="0.2">
      <c r="A2525" t="s">
        <v>6157</v>
      </c>
      <c r="B2525" t="s">
        <v>6158</v>
      </c>
      <c r="C2525" t="s">
        <v>2502</v>
      </c>
      <c r="D2525" t="s">
        <v>10</v>
      </c>
      <c r="E2525" t="s">
        <v>6159</v>
      </c>
    </row>
    <row r="2526" spans="1:7" x14ac:dyDescent="0.2">
      <c r="A2526" t="s">
        <v>6157</v>
      </c>
      <c r="B2526" t="s">
        <v>6158</v>
      </c>
      <c r="C2526" t="s">
        <v>2502</v>
      </c>
      <c r="D2526" t="s">
        <v>3471</v>
      </c>
      <c r="E2526" t="s">
        <v>6160</v>
      </c>
    </row>
    <row r="2527" spans="1:7" x14ac:dyDescent="0.2">
      <c r="A2527" t="s">
        <v>6157</v>
      </c>
      <c r="B2527" t="s">
        <v>6158</v>
      </c>
      <c r="C2527" t="s">
        <v>2502</v>
      </c>
      <c r="D2527" t="s">
        <v>8</v>
      </c>
      <c r="E2527" t="s">
        <v>6161</v>
      </c>
    </row>
    <row r="2528" spans="1:7" x14ac:dyDescent="0.2">
      <c r="A2528" t="s">
        <v>6157</v>
      </c>
      <c r="B2528" t="s">
        <v>6158</v>
      </c>
      <c r="C2528" t="s">
        <v>2502</v>
      </c>
      <c r="D2528" t="s">
        <v>3484</v>
      </c>
    </row>
    <row r="2529" spans="1:7" x14ac:dyDescent="0.2">
      <c r="A2529" t="s">
        <v>6162</v>
      </c>
      <c r="B2529" t="s">
        <v>6163</v>
      </c>
      <c r="C2529" t="s">
        <v>2502</v>
      </c>
      <c r="D2529" t="s">
        <v>10</v>
      </c>
      <c r="E2529" t="s">
        <v>6164</v>
      </c>
    </row>
    <row r="2530" spans="1:7" x14ac:dyDescent="0.2">
      <c r="A2530" t="s">
        <v>6162</v>
      </c>
      <c r="B2530" t="s">
        <v>6163</v>
      </c>
      <c r="C2530" t="s">
        <v>2502</v>
      </c>
      <c r="D2530" t="s">
        <v>3469</v>
      </c>
    </row>
    <row r="2531" spans="1:7" x14ac:dyDescent="0.2">
      <c r="A2531" t="s">
        <v>2657</v>
      </c>
      <c r="B2531" t="s">
        <v>2658</v>
      </c>
      <c r="C2531" t="s">
        <v>2502</v>
      </c>
      <c r="D2531" t="s">
        <v>10</v>
      </c>
      <c r="E2531" t="s">
        <v>6165</v>
      </c>
    </row>
    <row r="2532" spans="1:7" x14ac:dyDescent="0.2">
      <c r="A2532" t="s">
        <v>2657</v>
      </c>
      <c r="B2532" t="s">
        <v>2658</v>
      </c>
      <c r="C2532" t="s">
        <v>2502</v>
      </c>
      <c r="D2532" t="s">
        <v>3471</v>
      </c>
      <c r="E2532" t="s">
        <v>6166</v>
      </c>
    </row>
    <row r="2533" spans="1:7" x14ac:dyDescent="0.2">
      <c r="A2533" t="s">
        <v>6167</v>
      </c>
      <c r="B2533" t="s">
        <v>6168</v>
      </c>
      <c r="C2533" t="s">
        <v>2502</v>
      </c>
      <c r="D2533" t="s">
        <v>3471</v>
      </c>
      <c r="E2533" t="s">
        <v>6169</v>
      </c>
    </row>
    <row r="2534" spans="1:7" x14ac:dyDescent="0.2">
      <c r="A2534" t="s">
        <v>6167</v>
      </c>
      <c r="B2534" t="s">
        <v>6168</v>
      </c>
      <c r="C2534" t="s">
        <v>2502</v>
      </c>
      <c r="D2534" t="s">
        <v>8</v>
      </c>
      <c r="E2534" t="s">
        <v>6170</v>
      </c>
    </row>
    <row r="2535" spans="1:7" x14ac:dyDescent="0.2">
      <c r="A2535" t="s">
        <v>6167</v>
      </c>
      <c r="B2535" t="s">
        <v>6168</v>
      </c>
      <c r="C2535" t="s">
        <v>2502</v>
      </c>
      <c r="D2535" t="s">
        <v>3469</v>
      </c>
    </row>
    <row r="2536" spans="1:7" x14ac:dyDescent="0.2">
      <c r="A2536" t="s">
        <v>2561</v>
      </c>
      <c r="B2536" t="s">
        <v>2562</v>
      </c>
      <c r="C2536" t="s">
        <v>2502</v>
      </c>
      <c r="D2536" t="s">
        <v>14</v>
      </c>
      <c r="F2536">
        <v>45</v>
      </c>
      <c r="G2536">
        <v>677</v>
      </c>
    </row>
    <row r="2537" spans="1:7" x14ac:dyDescent="0.2">
      <c r="A2537" t="s">
        <v>2561</v>
      </c>
      <c r="B2537" t="s">
        <v>2562</v>
      </c>
      <c r="C2537" t="s">
        <v>2502</v>
      </c>
      <c r="D2537" t="s">
        <v>10</v>
      </c>
      <c r="E2537" t="s">
        <v>6171</v>
      </c>
      <c r="F2537">
        <v>133.5</v>
      </c>
      <c r="G2537">
        <v>1730</v>
      </c>
    </row>
    <row r="2538" spans="1:7" x14ac:dyDescent="0.2">
      <c r="A2538" t="s">
        <v>2561</v>
      </c>
      <c r="B2538" t="s">
        <v>2562</v>
      </c>
      <c r="C2538" t="s">
        <v>2502</v>
      </c>
      <c r="D2538" t="s">
        <v>3471</v>
      </c>
      <c r="E2538" t="s">
        <v>6172</v>
      </c>
      <c r="F2538">
        <v>0.5</v>
      </c>
      <c r="G2538">
        <v>0</v>
      </c>
    </row>
    <row r="2539" spans="1:7" x14ac:dyDescent="0.2">
      <c r="A2539" t="s">
        <v>2561</v>
      </c>
      <c r="B2539" t="s">
        <v>2562</v>
      </c>
      <c r="C2539" t="s">
        <v>2502</v>
      </c>
      <c r="D2539" t="s">
        <v>3469</v>
      </c>
      <c r="F2539">
        <v>1.5</v>
      </c>
      <c r="G2539">
        <v>29</v>
      </c>
    </row>
    <row r="2540" spans="1:7" x14ac:dyDescent="0.2">
      <c r="A2540" t="s">
        <v>2561</v>
      </c>
      <c r="B2540" t="s">
        <v>2562</v>
      </c>
      <c r="C2540" t="s">
        <v>2502</v>
      </c>
      <c r="D2540" t="s">
        <v>3484</v>
      </c>
    </row>
    <row r="2541" spans="1:7" x14ac:dyDescent="0.2">
      <c r="A2541" t="s">
        <v>2559</v>
      </c>
      <c r="B2541" t="s">
        <v>2560</v>
      </c>
      <c r="C2541" t="s">
        <v>2502</v>
      </c>
      <c r="D2541" t="s">
        <v>14</v>
      </c>
      <c r="F2541">
        <v>0</v>
      </c>
      <c r="G2541">
        <v>1</v>
      </c>
    </row>
    <row r="2542" spans="1:7" x14ac:dyDescent="0.2">
      <c r="A2542" t="s">
        <v>2559</v>
      </c>
      <c r="B2542" t="s">
        <v>2560</v>
      </c>
      <c r="C2542" t="s">
        <v>2502</v>
      </c>
      <c r="D2542" t="s">
        <v>10</v>
      </c>
      <c r="E2542" t="s">
        <v>6173</v>
      </c>
    </row>
    <row r="2543" spans="1:7" x14ac:dyDescent="0.2">
      <c r="A2543" t="s">
        <v>2559</v>
      </c>
      <c r="B2543" t="s">
        <v>2560</v>
      </c>
      <c r="C2543" t="s">
        <v>2502</v>
      </c>
      <c r="D2543" t="s">
        <v>3471</v>
      </c>
      <c r="E2543" t="s">
        <v>6174</v>
      </c>
      <c r="F2543">
        <v>0.33333333333333331</v>
      </c>
      <c r="G2543">
        <v>0</v>
      </c>
    </row>
    <row r="2544" spans="1:7" x14ac:dyDescent="0.2">
      <c r="A2544" t="s">
        <v>2559</v>
      </c>
      <c r="B2544" t="s">
        <v>2560</v>
      </c>
      <c r="C2544" t="s">
        <v>2502</v>
      </c>
      <c r="D2544" t="s">
        <v>8</v>
      </c>
      <c r="E2544" t="s">
        <v>6175</v>
      </c>
      <c r="F2544">
        <v>0</v>
      </c>
      <c r="G2544">
        <v>1</v>
      </c>
    </row>
    <row r="2545" spans="1:7" x14ac:dyDescent="0.2">
      <c r="A2545" t="s">
        <v>2559</v>
      </c>
      <c r="B2545" t="s">
        <v>2560</v>
      </c>
      <c r="C2545" t="s">
        <v>2502</v>
      </c>
      <c r="D2545" t="s">
        <v>3469</v>
      </c>
      <c r="F2545">
        <v>0.16666666666666666</v>
      </c>
      <c r="G2545">
        <v>24</v>
      </c>
    </row>
    <row r="2546" spans="1:7" x14ac:dyDescent="0.2">
      <c r="A2546" t="s">
        <v>2503</v>
      </c>
      <c r="B2546" t="s">
        <v>2504</v>
      </c>
      <c r="C2546" t="s">
        <v>2502</v>
      </c>
      <c r="D2546" t="s">
        <v>14</v>
      </c>
      <c r="F2546">
        <v>0</v>
      </c>
      <c r="G2546">
        <v>1</v>
      </c>
    </row>
    <row r="2547" spans="1:7" x14ac:dyDescent="0.2">
      <c r="A2547" t="s">
        <v>2503</v>
      </c>
      <c r="B2547" t="s">
        <v>2504</v>
      </c>
      <c r="C2547" t="s">
        <v>2502</v>
      </c>
      <c r="D2547" t="s">
        <v>3494</v>
      </c>
    </row>
    <row r="2548" spans="1:7" x14ac:dyDescent="0.2">
      <c r="A2548" t="s">
        <v>2503</v>
      </c>
      <c r="B2548" t="s">
        <v>2504</v>
      </c>
      <c r="C2548" t="s">
        <v>2502</v>
      </c>
      <c r="D2548" t="s">
        <v>10</v>
      </c>
      <c r="E2548" t="s">
        <v>6176</v>
      </c>
      <c r="F2548">
        <v>3.3333333333333335</v>
      </c>
      <c r="G2548">
        <v>91</v>
      </c>
    </row>
    <row r="2549" spans="1:7" x14ac:dyDescent="0.2">
      <c r="A2549" t="s">
        <v>2503</v>
      </c>
      <c r="B2549" t="s">
        <v>2504</v>
      </c>
      <c r="C2549" t="s">
        <v>2502</v>
      </c>
      <c r="D2549" t="s">
        <v>3471</v>
      </c>
      <c r="E2549" t="s">
        <v>6177</v>
      </c>
      <c r="F2549">
        <v>0</v>
      </c>
      <c r="G2549">
        <v>1</v>
      </c>
    </row>
    <row r="2550" spans="1:7" x14ac:dyDescent="0.2">
      <c r="A2550" t="s">
        <v>2503</v>
      </c>
      <c r="B2550" t="s">
        <v>2504</v>
      </c>
      <c r="C2550" t="s">
        <v>2502</v>
      </c>
      <c r="D2550" t="s">
        <v>8</v>
      </c>
      <c r="E2550" t="s">
        <v>6178</v>
      </c>
    </row>
    <row r="2551" spans="1:7" x14ac:dyDescent="0.2">
      <c r="A2551" t="s">
        <v>2503</v>
      </c>
      <c r="B2551" t="s">
        <v>2504</v>
      </c>
      <c r="C2551" t="s">
        <v>2502</v>
      </c>
      <c r="D2551" t="s">
        <v>3469</v>
      </c>
      <c r="F2551">
        <v>0.33333333333333331</v>
      </c>
      <c r="G2551">
        <v>3</v>
      </c>
    </row>
    <row r="2552" spans="1:7" x14ac:dyDescent="0.2">
      <c r="A2552" t="s">
        <v>2503</v>
      </c>
      <c r="B2552" t="s">
        <v>2504</v>
      </c>
      <c r="C2552" t="s">
        <v>2502</v>
      </c>
      <c r="D2552" t="s">
        <v>3484</v>
      </c>
    </row>
    <row r="2553" spans="1:7" x14ac:dyDescent="0.2">
      <c r="A2553" t="s">
        <v>2507</v>
      </c>
      <c r="B2553" t="s">
        <v>2508</v>
      </c>
      <c r="C2553" t="s">
        <v>2502</v>
      </c>
      <c r="D2553" t="s">
        <v>3494</v>
      </c>
    </row>
    <row r="2554" spans="1:7" x14ac:dyDescent="0.2">
      <c r="A2554" t="s">
        <v>2507</v>
      </c>
      <c r="B2554" t="s">
        <v>2508</v>
      </c>
      <c r="C2554" t="s">
        <v>2502</v>
      </c>
      <c r="D2554" t="s">
        <v>3471</v>
      </c>
      <c r="E2554" t="s">
        <v>6179</v>
      </c>
      <c r="F2554">
        <v>0</v>
      </c>
      <c r="G2554">
        <v>0</v>
      </c>
    </row>
    <row r="2555" spans="1:7" x14ac:dyDescent="0.2">
      <c r="A2555" t="s">
        <v>2507</v>
      </c>
      <c r="B2555" t="s">
        <v>2508</v>
      </c>
      <c r="C2555" t="s">
        <v>2502</v>
      </c>
      <c r="D2555" t="s">
        <v>8</v>
      </c>
      <c r="E2555" t="s">
        <v>6180</v>
      </c>
    </row>
    <row r="2556" spans="1:7" x14ac:dyDescent="0.2">
      <c r="A2556" t="s">
        <v>2507</v>
      </c>
      <c r="B2556" t="s">
        <v>2508</v>
      </c>
      <c r="C2556" t="s">
        <v>2502</v>
      </c>
      <c r="D2556" t="s">
        <v>3469</v>
      </c>
      <c r="F2556">
        <v>0.33333333333333331</v>
      </c>
      <c r="G2556">
        <v>4</v>
      </c>
    </row>
    <row r="2557" spans="1:7" x14ac:dyDescent="0.2">
      <c r="A2557" t="s">
        <v>2507</v>
      </c>
      <c r="B2557" t="s">
        <v>2508</v>
      </c>
      <c r="C2557" t="s">
        <v>2502</v>
      </c>
      <c r="D2557" t="s">
        <v>3484</v>
      </c>
    </row>
    <row r="2558" spans="1:7" x14ac:dyDescent="0.2">
      <c r="A2558" t="s">
        <v>2665</v>
      </c>
      <c r="B2558" t="s">
        <v>2666</v>
      </c>
      <c r="C2558" t="s">
        <v>2502</v>
      </c>
      <c r="D2558" t="s">
        <v>14</v>
      </c>
      <c r="F2558">
        <v>12.166666666666666</v>
      </c>
      <c r="G2558">
        <v>229</v>
      </c>
    </row>
    <row r="2559" spans="1:7" x14ac:dyDescent="0.2">
      <c r="A2559" t="s">
        <v>2665</v>
      </c>
      <c r="B2559" t="s">
        <v>2666</v>
      </c>
      <c r="C2559" t="s">
        <v>2502</v>
      </c>
      <c r="D2559" t="s">
        <v>10</v>
      </c>
      <c r="E2559" t="s">
        <v>6181</v>
      </c>
      <c r="F2559">
        <v>13.333333333333334</v>
      </c>
      <c r="G2559">
        <v>267</v>
      </c>
    </row>
    <row r="2560" spans="1:7" x14ac:dyDescent="0.2">
      <c r="A2560" t="s">
        <v>2665</v>
      </c>
      <c r="B2560" t="s">
        <v>2666</v>
      </c>
      <c r="C2560" t="s">
        <v>2502</v>
      </c>
      <c r="D2560" t="s">
        <v>3471</v>
      </c>
      <c r="E2560" t="s">
        <v>6182</v>
      </c>
      <c r="F2560">
        <v>0</v>
      </c>
      <c r="G2560">
        <v>0</v>
      </c>
    </row>
    <row r="2561" spans="1:7" x14ac:dyDescent="0.2">
      <c r="A2561" t="s">
        <v>2665</v>
      </c>
      <c r="B2561" t="s">
        <v>2666</v>
      </c>
      <c r="C2561" t="s">
        <v>2502</v>
      </c>
      <c r="D2561" t="s">
        <v>8</v>
      </c>
      <c r="E2561" t="s">
        <v>6183</v>
      </c>
      <c r="F2561">
        <v>0.66666666666666663</v>
      </c>
      <c r="G2561">
        <v>4</v>
      </c>
    </row>
    <row r="2562" spans="1:7" x14ac:dyDescent="0.2">
      <c r="A2562" t="s">
        <v>2665</v>
      </c>
      <c r="B2562" t="s">
        <v>2666</v>
      </c>
      <c r="C2562" t="s">
        <v>2502</v>
      </c>
      <c r="D2562" t="s">
        <v>3469</v>
      </c>
      <c r="F2562">
        <v>0</v>
      </c>
      <c r="G2562">
        <v>3</v>
      </c>
    </row>
    <row r="2563" spans="1:7" x14ac:dyDescent="0.2">
      <c r="A2563" t="s">
        <v>2665</v>
      </c>
      <c r="B2563" t="s">
        <v>2666</v>
      </c>
      <c r="C2563" t="s">
        <v>2502</v>
      </c>
      <c r="D2563" t="s">
        <v>3484</v>
      </c>
    </row>
    <row r="2564" spans="1:7" x14ac:dyDescent="0.2">
      <c r="A2564" t="s">
        <v>2717</v>
      </c>
      <c r="B2564" t="s">
        <v>2718</v>
      </c>
      <c r="C2564" t="s">
        <v>2502</v>
      </c>
      <c r="D2564" t="s">
        <v>3471</v>
      </c>
      <c r="E2564" t="s">
        <v>6184</v>
      </c>
      <c r="F2564">
        <v>1.8333333333333333</v>
      </c>
      <c r="G2564">
        <v>4</v>
      </c>
    </row>
    <row r="2565" spans="1:7" x14ac:dyDescent="0.2">
      <c r="A2565" t="s">
        <v>2717</v>
      </c>
      <c r="B2565" t="s">
        <v>2718</v>
      </c>
      <c r="C2565" t="s">
        <v>2502</v>
      </c>
      <c r="D2565" t="s">
        <v>8</v>
      </c>
      <c r="E2565" t="s">
        <v>6185</v>
      </c>
      <c r="F2565">
        <v>4.333333333333333</v>
      </c>
      <c r="G2565">
        <v>29</v>
      </c>
    </row>
    <row r="2566" spans="1:7" x14ac:dyDescent="0.2">
      <c r="A2566" t="s">
        <v>2717</v>
      </c>
      <c r="B2566" t="s">
        <v>2718</v>
      </c>
      <c r="C2566" t="s">
        <v>2502</v>
      </c>
      <c r="D2566" t="s">
        <v>3469</v>
      </c>
      <c r="F2566">
        <v>1.1666666666666667</v>
      </c>
      <c r="G2566">
        <v>22</v>
      </c>
    </row>
    <row r="2567" spans="1:7" x14ac:dyDescent="0.2">
      <c r="A2567" t="s">
        <v>6186</v>
      </c>
      <c r="B2567" t="s">
        <v>6187</v>
      </c>
      <c r="C2567" t="s">
        <v>2502</v>
      </c>
      <c r="D2567" t="s">
        <v>3471</v>
      </c>
      <c r="E2567" t="s">
        <v>6188</v>
      </c>
    </row>
    <row r="2568" spans="1:7" x14ac:dyDescent="0.2">
      <c r="A2568" t="s">
        <v>6186</v>
      </c>
      <c r="B2568" t="s">
        <v>6187</v>
      </c>
      <c r="C2568" t="s">
        <v>2502</v>
      </c>
      <c r="D2568" t="s">
        <v>8</v>
      </c>
      <c r="E2568" t="s">
        <v>6189</v>
      </c>
    </row>
    <row r="2569" spans="1:7" x14ac:dyDescent="0.2">
      <c r="A2569" t="s">
        <v>6186</v>
      </c>
      <c r="B2569" t="s">
        <v>6187</v>
      </c>
      <c r="C2569" t="s">
        <v>2502</v>
      </c>
      <c r="D2569" t="s">
        <v>3469</v>
      </c>
    </row>
    <row r="2570" spans="1:7" x14ac:dyDescent="0.2">
      <c r="A2570" t="s">
        <v>2715</v>
      </c>
      <c r="B2570" t="s">
        <v>2716</v>
      </c>
      <c r="C2570" t="s">
        <v>2502</v>
      </c>
      <c r="D2570" t="s">
        <v>10</v>
      </c>
      <c r="E2570" t="s">
        <v>6190</v>
      </c>
      <c r="F2570">
        <v>33.666666666666664</v>
      </c>
      <c r="G2570">
        <v>462</v>
      </c>
    </row>
    <row r="2571" spans="1:7" x14ac:dyDescent="0.2">
      <c r="A2571" t="s">
        <v>2715</v>
      </c>
      <c r="B2571" t="s">
        <v>2716</v>
      </c>
      <c r="C2571" t="s">
        <v>2502</v>
      </c>
      <c r="D2571" t="s">
        <v>3471</v>
      </c>
      <c r="E2571" t="s">
        <v>6191</v>
      </c>
      <c r="F2571">
        <v>0</v>
      </c>
      <c r="G2571">
        <v>0</v>
      </c>
    </row>
    <row r="2572" spans="1:7" x14ac:dyDescent="0.2">
      <c r="A2572" t="s">
        <v>2715</v>
      </c>
      <c r="B2572" t="s">
        <v>2716</v>
      </c>
      <c r="C2572" t="s">
        <v>2502</v>
      </c>
      <c r="D2572" t="s">
        <v>8</v>
      </c>
      <c r="E2572" t="s">
        <v>6192</v>
      </c>
      <c r="F2572">
        <v>0</v>
      </c>
      <c r="G2572">
        <v>0</v>
      </c>
    </row>
    <row r="2573" spans="1:7" x14ac:dyDescent="0.2">
      <c r="A2573" t="s">
        <v>2715</v>
      </c>
      <c r="B2573" t="s">
        <v>2716</v>
      </c>
      <c r="C2573" t="s">
        <v>2502</v>
      </c>
      <c r="D2573" t="s">
        <v>3469</v>
      </c>
      <c r="F2573">
        <v>0</v>
      </c>
      <c r="G2573">
        <v>8</v>
      </c>
    </row>
    <row r="2574" spans="1:7" x14ac:dyDescent="0.2">
      <c r="A2574" t="s">
        <v>6193</v>
      </c>
      <c r="B2574" t="s">
        <v>6194</v>
      </c>
      <c r="C2574" t="s">
        <v>2502</v>
      </c>
      <c r="D2574" t="s">
        <v>3471</v>
      </c>
      <c r="E2574" t="s">
        <v>6195</v>
      </c>
    </row>
    <row r="2575" spans="1:7" x14ac:dyDescent="0.2">
      <c r="A2575" t="s">
        <v>6193</v>
      </c>
      <c r="B2575" t="s">
        <v>6194</v>
      </c>
      <c r="C2575" t="s">
        <v>2502</v>
      </c>
      <c r="D2575" t="s">
        <v>8</v>
      </c>
      <c r="E2575" t="s">
        <v>6196</v>
      </c>
    </row>
    <row r="2576" spans="1:7" x14ac:dyDescent="0.2">
      <c r="A2576" t="s">
        <v>6193</v>
      </c>
      <c r="B2576" t="s">
        <v>6194</v>
      </c>
      <c r="C2576" t="s">
        <v>2502</v>
      </c>
      <c r="D2576" t="s">
        <v>3469</v>
      </c>
    </row>
    <row r="2577" spans="1:7" x14ac:dyDescent="0.2">
      <c r="A2577" t="s">
        <v>6197</v>
      </c>
      <c r="B2577" t="s">
        <v>6198</v>
      </c>
      <c r="C2577" t="s">
        <v>2502</v>
      </c>
      <c r="D2577" t="s">
        <v>10</v>
      </c>
      <c r="E2577" t="s">
        <v>6199</v>
      </c>
    </row>
    <row r="2578" spans="1:7" x14ac:dyDescent="0.2">
      <c r="A2578" t="s">
        <v>6197</v>
      </c>
      <c r="B2578" t="s">
        <v>6198</v>
      </c>
      <c r="C2578" t="s">
        <v>2502</v>
      </c>
      <c r="D2578" t="s">
        <v>3471</v>
      </c>
      <c r="E2578" t="s">
        <v>6200</v>
      </c>
    </row>
    <row r="2579" spans="1:7" x14ac:dyDescent="0.2">
      <c r="A2579" t="s">
        <v>6197</v>
      </c>
      <c r="B2579" t="s">
        <v>6198</v>
      </c>
      <c r="C2579" t="s">
        <v>2502</v>
      </c>
      <c r="D2579" t="s">
        <v>3469</v>
      </c>
    </row>
    <row r="2580" spans="1:7" x14ac:dyDescent="0.2">
      <c r="A2580" t="s">
        <v>6201</v>
      </c>
      <c r="B2580" t="s">
        <v>6202</v>
      </c>
      <c r="C2580" t="s">
        <v>2502</v>
      </c>
      <c r="D2580" t="s">
        <v>10</v>
      </c>
      <c r="E2580" t="s">
        <v>6203</v>
      </c>
    </row>
    <row r="2581" spans="1:7" x14ac:dyDescent="0.2">
      <c r="A2581" t="s">
        <v>6201</v>
      </c>
      <c r="B2581" t="s">
        <v>6202</v>
      </c>
      <c r="C2581" t="s">
        <v>2502</v>
      </c>
      <c r="D2581" t="s">
        <v>3471</v>
      </c>
      <c r="E2581" t="s">
        <v>6204</v>
      </c>
    </row>
    <row r="2582" spans="1:7" x14ac:dyDescent="0.2">
      <c r="A2582" t="s">
        <v>6201</v>
      </c>
      <c r="B2582" t="s">
        <v>6202</v>
      </c>
      <c r="C2582" t="s">
        <v>2502</v>
      </c>
      <c r="D2582" t="s">
        <v>8</v>
      </c>
      <c r="E2582" t="s">
        <v>6205</v>
      </c>
    </row>
    <row r="2583" spans="1:7" x14ac:dyDescent="0.2">
      <c r="A2583" t="s">
        <v>6201</v>
      </c>
      <c r="B2583" t="s">
        <v>6202</v>
      </c>
      <c r="C2583" t="s">
        <v>2502</v>
      </c>
      <c r="D2583" t="s">
        <v>3469</v>
      </c>
    </row>
    <row r="2584" spans="1:7" x14ac:dyDescent="0.2">
      <c r="A2584" t="s">
        <v>6206</v>
      </c>
      <c r="B2584" t="s">
        <v>6207</v>
      </c>
      <c r="C2584" t="s">
        <v>2502</v>
      </c>
      <c r="D2584" t="s">
        <v>10</v>
      </c>
      <c r="E2584" t="s">
        <v>6208</v>
      </c>
    </row>
    <row r="2585" spans="1:7" x14ac:dyDescent="0.2">
      <c r="A2585" t="s">
        <v>6206</v>
      </c>
      <c r="B2585" t="s">
        <v>6207</v>
      </c>
      <c r="C2585" t="s">
        <v>2502</v>
      </c>
      <c r="D2585" t="s">
        <v>3471</v>
      </c>
      <c r="E2585" t="s">
        <v>6209</v>
      </c>
    </row>
    <row r="2586" spans="1:7" x14ac:dyDescent="0.2">
      <c r="A2586" t="s">
        <v>6206</v>
      </c>
      <c r="B2586" t="s">
        <v>6207</v>
      </c>
      <c r="C2586" t="s">
        <v>2502</v>
      </c>
      <c r="D2586" t="s">
        <v>8</v>
      </c>
      <c r="E2586" t="s">
        <v>6210</v>
      </c>
    </row>
    <row r="2587" spans="1:7" x14ac:dyDescent="0.2">
      <c r="A2587" t="s">
        <v>2669</v>
      </c>
      <c r="B2587" t="s">
        <v>2670</v>
      </c>
      <c r="C2587" t="s">
        <v>2502</v>
      </c>
      <c r="D2587" t="s">
        <v>14</v>
      </c>
      <c r="F2587">
        <v>9</v>
      </c>
      <c r="G2587">
        <v>260</v>
      </c>
    </row>
    <row r="2588" spans="1:7" x14ac:dyDescent="0.2">
      <c r="A2588" t="s">
        <v>2669</v>
      </c>
      <c r="B2588" t="s">
        <v>2670</v>
      </c>
      <c r="C2588" t="s">
        <v>2502</v>
      </c>
      <c r="D2588" t="s">
        <v>10</v>
      </c>
      <c r="E2588" t="s">
        <v>6211</v>
      </c>
      <c r="F2588">
        <v>48.166666666666664</v>
      </c>
      <c r="G2588">
        <v>620</v>
      </c>
    </row>
    <row r="2589" spans="1:7" x14ac:dyDescent="0.2">
      <c r="A2589" t="s">
        <v>2669</v>
      </c>
      <c r="B2589" t="s">
        <v>2670</v>
      </c>
      <c r="C2589" t="s">
        <v>2502</v>
      </c>
      <c r="D2589" t="s">
        <v>3471</v>
      </c>
      <c r="E2589" t="s">
        <v>6212</v>
      </c>
      <c r="F2589">
        <v>0</v>
      </c>
      <c r="G2589">
        <v>0</v>
      </c>
    </row>
    <row r="2590" spans="1:7" x14ac:dyDescent="0.2">
      <c r="A2590" t="s">
        <v>2669</v>
      </c>
      <c r="B2590" t="s">
        <v>2670</v>
      </c>
      <c r="C2590" t="s">
        <v>2502</v>
      </c>
      <c r="D2590" t="s">
        <v>8</v>
      </c>
      <c r="E2590" t="s">
        <v>6213</v>
      </c>
      <c r="F2590">
        <v>1.1666666666666667</v>
      </c>
      <c r="G2590">
        <v>9</v>
      </c>
    </row>
    <row r="2591" spans="1:7" x14ac:dyDescent="0.2">
      <c r="A2591" t="s">
        <v>2669</v>
      </c>
      <c r="B2591" t="s">
        <v>2670</v>
      </c>
      <c r="C2591" t="s">
        <v>2502</v>
      </c>
      <c r="D2591" t="s">
        <v>3484</v>
      </c>
    </row>
    <row r="2592" spans="1:7" x14ac:dyDescent="0.2">
      <c r="A2592" t="s">
        <v>6214</v>
      </c>
      <c r="B2592" t="s">
        <v>6215</v>
      </c>
      <c r="C2592" t="s">
        <v>2502</v>
      </c>
      <c r="D2592" t="s">
        <v>10</v>
      </c>
      <c r="E2592" t="s">
        <v>6216</v>
      </c>
    </row>
    <row r="2593" spans="1:7" x14ac:dyDescent="0.2">
      <c r="A2593" t="s">
        <v>6214</v>
      </c>
      <c r="B2593" t="s">
        <v>6215</v>
      </c>
      <c r="C2593" t="s">
        <v>2502</v>
      </c>
      <c r="D2593" t="s">
        <v>3471</v>
      </c>
      <c r="E2593" t="s">
        <v>6217</v>
      </c>
    </row>
    <row r="2594" spans="1:7" x14ac:dyDescent="0.2">
      <c r="A2594" t="s">
        <v>6214</v>
      </c>
      <c r="B2594" t="s">
        <v>6215</v>
      </c>
      <c r="C2594" t="s">
        <v>2502</v>
      </c>
      <c r="D2594" t="s">
        <v>8</v>
      </c>
      <c r="E2594" t="s">
        <v>6218</v>
      </c>
    </row>
    <row r="2595" spans="1:7" x14ac:dyDescent="0.2">
      <c r="A2595" t="s">
        <v>6214</v>
      </c>
      <c r="B2595" t="s">
        <v>6215</v>
      </c>
      <c r="C2595" t="s">
        <v>2502</v>
      </c>
      <c r="D2595" t="s">
        <v>3469</v>
      </c>
    </row>
    <row r="2596" spans="1:7" x14ac:dyDescent="0.2">
      <c r="A2596" t="s">
        <v>6219</v>
      </c>
      <c r="B2596" t="s">
        <v>6220</v>
      </c>
      <c r="C2596" t="s">
        <v>2502</v>
      </c>
      <c r="D2596" t="s">
        <v>10</v>
      </c>
      <c r="E2596" t="s">
        <v>6221</v>
      </c>
    </row>
    <row r="2597" spans="1:7" x14ac:dyDescent="0.2">
      <c r="A2597" t="s">
        <v>6219</v>
      </c>
      <c r="B2597" t="s">
        <v>6220</v>
      </c>
      <c r="C2597" t="s">
        <v>2502</v>
      </c>
      <c r="D2597" t="s">
        <v>3471</v>
      </c>
      <c r="E2597" t="s">
        <v>6222</v>
      </c>
    </row>
    <row r="2598" spans="1:7" x14ac:dyDescent="0.2">
      <c r="A2598" t="s">
        <v>2711</v>
      </c>
      <c r="B2598" t="s">
        <v>2712</v>
      </c>
      <c r="C2598" t="s">
        <v>2502</v>
      </c>
      <c r="D2598" t="s">
        <v>10</v>
      </c>
      <c r="E2598" t="s">
        <v>6223</v>
      </c>
    </row>
    <row r="2599" spans="1:7" x14ac:dyDescent="0.2">
      <c r="A2599" t="s">
        <v>2711</v>
      </c>
      <c r="B2599" t="s">
        <v>2712</v>
      </c>
      <c r="C2599" t="s">
        <v>2502</v>
      </c>
      <c r="D2599" t="s">
        <v>3471</v>
      </c>
      <c r="E2599" t="s">
        <v>6224</v>
      </c>
      <c r="F2599">
        <v>0.33333333333333331</v>
      </c>
      <c r="G2599">
        <v>0</v>
      </c>
    </row>
    <row r="2600" spans="1:7" x14ac:dyDescent="0.2">
      <c r="A2600" t="s">
        <v>2711</v>
      </c>
      <c r="B2600" t="s">
        <v>2712</v>
      </c>
      <c r="C2600" t="s">
        <v>2502</v>
      </c>
      <c r="D2600" t="s">
        <v>8</v>
      </c>
      <c r="E2600" t="s">
        <v>6225</v>
      </c>
      <c r="F2600">
        <v>0</v>
      </c>
      <c r="G2600">
        <v>1</v>
      </c>
    </row>
    <row r="2601" spans="1:7" x14ac:dyDescent="0.2">
      <c r="A2601" t="s">
        <v>2711</v>
      </c>
      <c r="B2601" t="s">
        <v>2712</v>
      </c>
      <c r="C2601" t="s">
        <v>2502</v>
      </c>
      <c r="D2601" t="s">
        <v>3469</v>
      </c>
      <c r="F2601">
        <v>0.5</v>
      </c>
      <c r="G2601">
        <v>12</v>
      </c>
    </row>
    <row r="2602" spans="1:7" x14ac:dyDescent="0.2">
      <c r="A2602" t="s">
        <v>2709</v>
      </c>
      <c r="B2602" t="s">
        <v>2710</v>
      </c>
      <c r="C2602" t="s">
        <v>2502</v>
      </c>
      <c r="D2602" t="s">
        <v>3471</v>
      </c>
      <c r="E2602" t="s">
        <v>6226</v>
      </c>
    </row>
    <row r="2603" spans="1:7" x14ac:dyDescent="0.2">
      <c r="A2603" t="s">
        <v>2709</v>
      </c>
      <c r="B2603" t="s">
        <v>2710</v>
      </c>
      <c r="C2603" t="s">
        <v>2502</v>
      </c>
      <c r="D2603" t="s">
        <v>3469</v>
      </c>
      <c r="F2603">
        <v>0</v>
      </c>
      <c r="G2603">
        <v>1</v>
      </c>
    </row>
    <row r="2604" spans="1:7" x14ac:dyDescent="0.2">
      <c r="A2604" t="s">
        <v>2687</v>
      </c>
      <c r="B2604" t="s">
        <v>2688</v>
      </c>
      <c r="C2604" t="s">
        <v>2502</v>
      </c>
      <c r="D2604" t="s">
        <v>14</v>
      </c>
      <c r="F2604">
        <v>3.1666666666666665</v>
      </c>
      <c r="G2604">
        <v>253</v>
      </c>
    </row>
    <row r="2605" spans="1:7" x14ac:dyDescent="0.2">
      <c r="A2605" t="s">
        <v>2687</v>
      </c>
      <c r="B2605" t="s">
        <v>2688</v>
      </c>
      <c r="C2605" t="s">
        <v>2502</v>
      </c>
      <c r="D2605" t="s">
        <v>10</v>
      </c>
      <c r="E2605" t="s">
        <v>6227</v>
      </c>
      <c r="F2605">
        <v>8.3333333333333339</v>
      </c>
      <c r="G2605">
        <v>217</v>
      </c>
    </row>
    <row r="2606" spans="1:7" x14ac:dyDescent="0.2">
      <c r="A2606" t="s">
        <v>2687</v>
      </c>
      <c r="B2606" t="s">
        <v>2688</v>
      </c>
      <c r="C2606" t="s">
        <v>2502</v>
      </c>
      <c r="D2606" t="s">
        <v>3471</v>
      </c>
      <c r="E2606" t="s">
        <v>6228</v>
      </c>
      <c r="F2606">
        <v>0.33333333333333331</v>
      </c>
      <c r="G2606">
        <v>0</v>
      </c>
    </row>
    <row r="2607" spans="1:7" x14ac:dyDescent="0.2">
      <c r="A2607" t="s">
        <v>2687</v>
      </c>
      <c r="B2607" t="s">
        <v>2688</v>
      </c>
      <c r="C2607" t="s">
        <v>2502</v>
      </c>
      <c r="D2607" t="s">
        <v>8</v>
      </c>
      <c r="E2607" t="s">
        <v>6229</v>
      </c>
      <c r="F2607">
        <v>0.16666666666666666</v>
      </c>
      <c r="G2607">
        <v>1</v>
      </c>
    </row>
    <row r="2608" spans="1:7" x14ac:dyDescent="0.2">
      <c r="A2608" t="s">
        <v>2687</v>
      </c>
      <c r="B2608" t="s">
        <v>2688</v>
      </c>
      <c r="C2608" t="s">
        <v>2502</v>
      </c>
      <c r="D2608" t="s">
        <v>3469</v>
      </c>
      <c r="F2608">
        <v>1.1666666666666667</v>
      </c>
      <c r="G2608">
        <v>3</v>
      </c>
    </row>
    <row r="2609" spans="1:7" x14ac:dyDescent="0.2">
      <c r="A2609" t="s">
        <v>2687</v>
      </c>
      <c r="B2609" t="s">
        <v>2688</v>
      </c>
      <c r="C2609" t="s">
        <v>2502</v>
      </c>
      <c r="D2609" t="s">
        <v>3484</v>
      </c>
    </row>
    <row r="2610" spans="1:7" x14ac:dyDescent="0.2">
      <c r="A2610" t="s">
        <v>2685</v>
      </c>
      <c r="B2610" t="s">
        <v>2686</v>
      </c>
      <c r="C2610" t="s">
        <v>2502</v>
      </c>
      <c r="D2610" t="s">
        <v>10</v>
      </c>
      <c r="E2610" t="s">
        <v>6230</v>
      </c>
      <c r="F2610">
        <v>0</v>
      </c>
      <c r="G2610">
        <v>5</v>
      </c>
    </row>
    <row r="2611" spans="1:7" x14ac:dyDescent="0.2">
      <c r="A2611" t="s">
        <v>2685</v>
      </c>
      <c r="B2611" t="s">
        <v>2686</v>
      </c>
      <c r="C2611" t="s">
        <v>2502</v>
      </c>
      <c r="D2611" t="s">
        <v>3471</v>
      </c>
      <c r="E2611" t="s">
        <v>6231</v>
      </c>
      <c r="F2611">
        <v>0</v>
      </c>
      <c r="G2611">
        <v>0</v>
      </c>
    </row>
    <row r="2612" spans="1:7" x14ac:dyDescent="0.2">
      <c r="A2612" t="s">
        <v>2685</v>
      </c>
      <c r="B2612" t="s">
        <v>2686</v>
      </c>
      <c r="C2612" t="s">
        <v>2502</v>
      </c>
      <c r="D2612" t="s">
        <v>3469</v>
      </c>
      <c r="F2612">
        <v>0</v>
      </c>
      <c r="G2612">
        <v>2</v>
      </c>
    </row>
    <row r="2613" spans="1:7" x14ac:dyDescent="0.2">
      <c r="A2613" t="s">
        <v>6232</v>
      </c>
      <c r="B2613" t="s">
        <v>6233</v>
      </c>
      <c r="C2613" t="s">
        <v>2502</v>
      </c>
      <c r="D2613" t="s">
        <v>14</v>
      </c>
      <c r="F2613">
        <v>0</v>
      </c>
      <c r="G2613">
        <v>4</v>
      </c>
    </row>
    <row r="2614" spans="1:7" x14ac:dyDescent="0.2">
      <c r="A2614" t="s">
        <v>6232</v>
      </c>
      <c r="B2614" t="s">
        <v>6233</v>
      </c>
      <c r="C2614" t="s">
        <v>2502</v>
      </c>
      <c r="D2614" t="s">
        <v>3471</v>
      </c>
      <c r="E2614" t="s">
        <v>6234</v>
      </c>
    </row>
    <row r="2615" spans="1:7" x14ac:dyDescent="0.2">
      <c r="A2615" t="s">
        <v>6232</v>
      </c>
      <c r="B2615" t="s">
        <v>6233</v>
      </c>
      <c r="C2615" t="s">
        <v>2502</v>
      </c>
      <c r="D2615" t="s">
        <v>8</v>
      </c>
      <c r="E2615" t="s">
        <v>6235</v>
      </c>
    </row>
    <row r="2616" spans="1:7" x14ac:dyDescent="0.2">
      <c r="A2616" t="s">
        <v>6232</v>
      </c>
      <c r="B2616" t="s">
        <v>6233</v>
      </c>
      <c r="C2616" t="s">
        <v>2502</v>
      </c>
      <c r="D2616" t="s">
        <v>3469</v>
      </c>
      <c r="F2616">
        <v>0</v>
      </c>
      <c r="G2616">
        <v>7</v>
      </c>
    </row>
    <row r="2617" spans="1:7" x14ac:dyDescent="0.2">
      <c r="A2617" t="s">
        <v>6232</v>
      </c>
      <c r="B2617" t="s">
        <v>6233</v>
      </c>
      <c r="C2617" t="s">
        <v>2502</v>
      </c>
      <c r="D2617" t="s">
        <v>3484</v>
      </c>
    </row>
    <row r="2618" spans="1:7" x14ac:dyDescent="0.2">
      <c r="A2618" t="s">
        <v>6236</v>
      </c>
      <c r="B2618" t="s">
        <v>6237</v>
      </c>
      <c r="C2618" t="s">
        <v>2502</v>
      </c>
      <c r="D2618" t="s">
        <v>10</v>
      </c>
      <c r="E2618" t="s">
        <v>6238</v>
      </c>
    </row>
    <row r="2619" spans="1:7" x14ac:dyDescent="0.2">
      <c r="A2619" t="s">
        <v>6236</v>
      </c>
      <c r="B2619" t="s">
        <v>6237</v>
      </c>
      <c r="C2619" t="s">
        <v>2502</v>
      </c>
      <c r="D2619" t="s">
        <v>3471</v>
      </c>
      <c r="E2619" t="s">
        <v>6239</v>
      </c>
    </row>
    <row r="2620" spans="1:7" x14ac:dyDescent="0.2">
      <c r="A2620" t="s">
        <v>6236</v>
      </c>
      <c r="B2620" t="s">
        <v>6237</v>
      </c>
      <c r="C2620" t="s">
        <v>2502</v>
      </c>
      <c r="D2620" t="s">
        <v>3469</v>
      </c>
    </row>
    <row r="2621" spans="1:7" x14ac:dyDescent="0.2">
      <c r="A2621" t="s">
        <v>6240</v>
      </c>
      <c r="B2621" t="s">
        <v>6241</v>
      </c>
      <c r="C2621" t="s">
        <v>2502</v>
      </c>
      <c r="D2621" t="s">
        <v>10</v>
      </c>
      <c r="E2621" t="s">
        <v>6242</v>
      </c>
      <c r="F2621">
        <v>0</v>
      </c>
      <c r="G2621">
        <v>10</v>
      </c>
    </row>
    <row r="2622" spans="1:7" x14ac:dyDescent="0.2">
      <c r="A2622" t="s">
        <v>6240</v>
      </c>
      <c r="B2622" t="s">
        <v>6241</v>
      </c>
      <c r="C2622" t="s">
        <v>2502</v>
      </c>
      <c r="D2622" t="s">
        <v>10</v>
      </c>
      <c r="E2622" t="s">
        <v>6243</v>
      </c>
    </row>
    <row r="2623" spans="1:7" x14ac:dyDescent="0.2">
      <c r="A2623" t="s">
        <v>6240</v>
      </c>
      <c r="B2623" t="s">
        <v>6241</v>
      </c>
      <c r="C2623" t="s">
        <v>2502</v>
      </c>
      <c r="D2623" t="s">
        <v>3471</v>
      </c>
      <c r="E2623" t="s">
        <v>6244</v>
      </c>
      <c r="F2623">
        <v>0</v>
      </c>
      <c r="G2623">
        <v>0</v>
      </c>
    </row>
    <row r="2624" spans="1:7" x14ac:dyDescent="0.2">
      <c r="A2624" t="s">
        <v>2683</v>
      </c>
      <c r="B2624" t="s">
        <v>2684</v>
      </c>
      <c r="C2624" t="s">
        <v>2502</v>
      </c>
      <c r="D2624" t="s">
        <v>3471</v>
      </c>
      <c r="E2624" t="s">
        <v>6245</v>
      </c>
      <c r="F2624">
        <v>0</v>
      </c>
      <c r="G2624">
        <v>0</v>
      </c>
    </row>
    <row r="2625" spans="1:7" x14ac:dyDescent="0.2">
      <c r="A2625" t="s">
        <v>2683</v>
      </c>
      <c r="B2625" t="s">
        <v>2684</v>
      </c>
      <c r="C2625" t="s">
        <v>2502</v>
      </c>
      <c r="D2625" t="s">
        <v>3469</v>
      </c>
      <c r="F2625">
        <v>0</v>
      </c>
      <c r="G2625">
        <v>2</v>
      </c>
    </row>
    <row r="2626" spans="1:7" x14ac:dyDescent="0.2">
      <c r="A2626" t="s">
        <v>2681</v>
      </c>
      <c r="B2626" t="s">
        <v>2682</v>
      </c>
      <c r="C2626" t="s">
        <v>2502</v>
      </c>
      <c r="D2626" t="s">
        <v>10</v>
      </c>
      <c r="E2626" t="s">
        <v>6246</v>
      </c>
    </row>
    <row r="2627" spans="1:7" x14ac:dyDescent="0.2">
      <c r="A2627" t="s">
        <v>2681</v>
      </c>
      <c r="B2627" t="s">
        <v>2682</v>
      </c>
      <c r="C2627" t="s">
        <v>2502</v>
      </c>
      <c r="D2627" t="s">
        <v>3471</v>
      </c>
      <c r="E2627" t="s">
        <v>6247</v>
      </c>
      <c r="F2627">
        <v>0</v>
      </c>
      <c r="G2627">
        <v>0</v>
      </c>
    </row>
    <row r="2628" spans="1:7" x14ac:dyDescent="0.2">
      <c r="A2628" t="s">
        <v>2681</v>
      </c>
      <c r="B2628" t="s">
        <v>2682</v>
      </c>
      <c r="C2628" t="s">
        <v>2502</v>
      </c>
      <c r="D2628" t="s">
        <v>3469</v>
      </c>
      <c r="F2628">
        <v>0</v>
      </c>
      <c r="G2628">
        <v>0</v>
      </c>
    </row>
    <row r="2629" spans="1:7" x14ac:dyDescent="0.2">
      <c r="A2629" t="s">
        <v>2539</v>
      </c>
      <c r="B2629" t="s">
        <v>2540</v>
      </c>
      <c r="C2629" t="s">
        <v>2502</v>
      </c>
      <c r="D2629" t="s">
        <v>14</v>
      </c>
      <c r="F2629">
        <v>0</v>
      </c>
      <c r="G2629">
        <v>3</v>
      </c>
    </row>
    <row r="2630" spans="1:7" x14ac:dyDescent="0.2">
      <c r="A2630" t="s">
        <v>2539</v>
      </c>
      <c r="B2630" t="s">
        <v>2540</v>
      </c>
      <c r="C2630" t="s">
        <v>2502</v>
      </c>
      <c r="D2630" t="s">
        <v>3494</v>
      </c>
    </row>
    <row r="2631" spans="1:7" x14ac:dyDescent="0.2">
      <c r="A2631" t="s">
        <v>2539</v>
      </c>
      <c r="B2631" t="s">
        <v>2540</v>
      </c>
      <c r="C2631" t="s">
        <v>2502</v>
      </c>
      <c r="D2631" t="s">
        <v>10</v>
      </c>
      <c r="E2631" t="s">
        <v>6248</v>
      </c>
    </row>
    <row r="2632" spans="1:7" x14ac:dyDescent="0.2">
      <c r="A2632" t="s">
        <v>2539</v>
      </c>
      <c r="B2632" t="s">
        <v>2540</v>
      </c>
      <c r="C2632" t="s">
        <v>2502</v>
      </c>
      <c r="D2632" t="s">
        <v>3471</v>
      </c>
      <c r="E2632" t="s">
        <v>6249</v>
      </c>
      <c r="F2632">
        <v>0.16666666666666666</v>
      </c>
      <c r="G2632">
        <v>0</v>
      </c>
    </row>
    <row r="2633" spans="1:7" x14ac:dyDescent="0.2">
      <c r="A2633" t="s">
        <v>2539</v>
      </c>
      <c r="B2633" t="s">
        <v>2540</v>
      </c>
      <c r="C2633" t="s">
        <v>2502</v>
      </c>
      <c r="D2633" t="s">
        <v>8</v>
      </c>
      <c r="E2633" t="s">
        <v>6250</v>
      </c>
      <c r="F2633">
        <v>0.16666666666666666</v>
      </c>
      <c r="G2633">
        <v>0</v>
      </c>
    </row>
    <row r="2634" spans="1:7" x14ac:dyDescent="0.2">
      <c r="A2634" t="s">
        <v>2539</v>
      </c>
      <c r="B2634" t="s">
        <v>2540</v>
      </c>
      <c r="C2634" t="s">
        <v>2502</v>
      </c>
      <c r="D2634" t="s">
        <v>3469</v>
      </c>
      <c r="F2634">
        <v>0.33333333333333331</v>
      </c>
      <c r="G2634">
        <v>10</v>
      </c>
    </row>
    <row r="2635" spans="1:7" x14ac:dyDescent="0.2">
      <c r="A2635" t="s">
        <v>2539</v>
      </c>
      <c r="B2635" t="s">
        <v>2540</v>
      </c>
      <c r="C2635" t="s">
        <v>2502</v>
      </c>
      <c r="D2635" t="s">
        <v>3484</v>
      </c>
    </row>
    <row r="2636" spans="1:7" x14ac:dyDescent="0.2">
      <c r="A2636" t="s">
        <v>6251</v>
      </c>
      <c r="B2636" t="s">
        <v>6252</v>
      </c>
      <c r="C2636" t="s">
        <v>2502</v>
      </c>
      <c r="D2636" t="s">
        <v>14</v>
      </c>
      <c r="F2636">
        <v>0</v>
      </c>
      <c r="G2636">
        <v>41</v>
      </c>
    </row>
    <row r="2637" spans="1:7" x14ac:dyDescent="0.2">
      <c r="A2637" t="s">
        <v>6251</v>
      </c>
      <c r="B2637" t="s">
        <v>6252</v>
      </c>
      <c r="C2637" t="s">
        <v>2502</v>
      </c>
      <c r="D2637" t="s">
        <v>3471</v>
      </c>
      <c r="E2637" t="s">
        <v>6253</v>
      </c>
    </row>
    <row r="2638" spans="1:7" x14ac:dyDescent="0.2">
      <c r="A2638" t="s">
        <v>6251</v>
      </c>
      <c r="B2638" t="s">
        <v>6252</v>
      </c>
      <c r="C2638" t="s">
        <v>2502</v>
      </c>
      <c r="D2638" t="s">
        <v>3469</v>
      </c>
    </row>
    <row r="2639" spans="1:7" x14ac:dyDescent="0.2">
      <c r="A2639" t="s">
        <v>6254</v>
      </c>
      <c r="B2639" t="s">
        <v>6255</v>
      </c>
      <c r="C2639" t="s">
        <v>2502</v>
      </c>
      <c r="D2639" t="s">
        <v>10</v>
      </c>
      <c r="E2639" t="s">
        <v>6256</v>
      </c>
      <c r="F2639">
        <v>0</v>
      </c>
      <c r="G2639">
        <v>10</v>
      </c>
    </row>
    <row r="2640" spans="1:7" x14ac:dyDescent="0.2">
      <c r="A2640" t="s">
        <v>6254</v>
      </c>
      <c r="B2640" t="s">
        <v>6255</v>
      </c>
      <c r="C2640" t="s">
        <v>2502</v>
      </c>
      <c r="D2640" t="s">
        <v>3471</v>
      </c>
      <c r="E2640" t="s">
        <v>6257</v>
      </c>
    </row>
    <row r="2641" spans="1:7" x14ac:dyDescent="0.2">
      <c r="A2641" t="s">
        <v>6254</v>
      </c>
      <c r="B2641" t="s">
        <v>6255</v>
      </c>
      <c r="C2641" t="s">
        <v>2502</v>
      </c>
      <c r="D2641" t="s">
        <v>3469</v>
      </c>
    </row>
    <row r="2642" spans="1:7" x14ac:dyDescent="0.2">
      <c r="A2642" t="s">
        <v>6258</v>
      </c>
      <c r="B2642" t="s">
        <v>6259</v>
      </c>
      <c r="C2642" t="s">
        <v>2502</v>
      </c>
      <c r="D2642" t="s">
        <v>10</v>
      </c>
      <c r="E2642" t="s">
        <v>6260</v>
      </c>
    </row>
    <row r="2643" spans="1:7" x14ac:dyDescent="0.2">
      <c r="A2643" t="s">
        <v>6258</v>
      </c>
      <c r="B2643" t="s">
        <v>6259</v>
      </c>
      <c r="C2643" t="s">
        <v>2502</v>
      </c>
      <c r="D2643" t="s">
        <v>3471</v>
      </c>
      <c r="E2643" t="s">
        <v>6261</v>
      </c>
    </row>
    <row r="2644" spans="1:7" x14ac:dyDescent="0.2">
      <c r="A2644" t="s">
        <v>2557</v>
      </c>
      <c r="B2644" t="s">
        <v>2558</v>
      </c>
      <c r="C2644" t="s">
        <v>2502</v>
      </c>
      <c r="D2644" t="s">
        <v>10</v>
      </c>
      <c r="E2644" t="s">
        <v>6262</v>
      </c>
      <c r="F2644">
        <v>0</v>
      </c>
      <c r="G2644">
        <v>28</v>
      </c>
    </row>
    <row r="2645" spans="1:7" x14ac:dyDescent="0.2">
      <c r="A2645" t="s">
        <v>2557</v>
      </c>
      <c r="B2645" t="s">
        <v>2558</v>
      </c>
      <c r="C2645" t="s">
        <v>2502</v>
      </c>
      <c r="D2645" t="s">
        <v>3471</v>
      </c>
      <c r="E2645" t="s">
        <v>6263</v>
      </c>
      <c r="F2645">
        <v>0</v>
      </c>
      <c r="G2645">
        <v>0</v>
      </c>
    </row>
    <row r="2646" spans="1:7" x14ac:dyDescent="0.2">
      <c r="A2646" t="s">
        <v>2557</v>
      </c>
      <c r="B2646" t="s">
        <v>2558</v>
      </c>
      <c r="C2646" t="s">
        <v>2502</v>
      </c>
      <c r="D2646" t="s">
        <v>8</v>
      </c>
      <c r="E2646" t="s">
        <v>6264</v>
      </c>
    </row>
    <row r="2647" spans="1:7" x14ac:dyDescent="0.2">
      <c r="A2647" t="s">
        <v>2557</v>
      </c>
      <c r="B2647" t="s">
        <v>2558</v>
      </c>
      <c r="C2647" t="s">
        <v>2502</v>
      </c>
      <c r="D2647" t="s">
        <v>3469</v>
      </c>
      <c r="F2647">
        <v>0</v>
      </c>
      <c r="G2647">
        <v>6</v>
      </c>
    </row>
    <row r="2648" spans="1:7" x14ac:dyDescent="0.2">
      <c r="A2648" t="s">
        <v>6265</v>
      </c>
      <c r="B2648" t="s">
        <v>6266</v>
      </c>
      <c r="C2648" t="s">
        <v>2502</v>
      </c>
      <c r="D2648" t="s">
        <v>10</v>
      </c>
      <c r="E2648" t="s">
        <v>6267</v>
      </c>
      <c r="F2648">
        <v>0</v>
      </c>
      <c r="G2648">
        <v>4</v>
      </c>
    </row>
    <row r="2649" spans="1:7" x14ac:dyDescent="0.2">
      <c r="A2649" t="s">
        <v>6265</v>
      </c>
      <c r="B2649" t="s">
        <v>6266</v>
      </c>
      <c r="C2649" t="s">
        <v>2502</v>
      </c>
      <c r="D2649" t="s">
        <v>3471</v>
      </c>
      <c r="E2649" t="s">
        <v>6268</v>
      </c>
    </row>
    <row r="2650" spans="1:7" x14ac:dyDescent="0.2">
      <c r="A2650" t="s">
        <v>6265</v>
      </c>
      <c r="B2650" t="s">
        <v>6266</v>
      </c>
      <c r="C2650" t="s">
        <v>2502</v>
      </c>
      <c r="D2650" t="s">
        <v>8</v>
      </c>
      <c r="E2650" t="s">
        <v>6269</v>
      </c>
    </row>
    <row r="2651" spans="1:7" x14ac:dyDescent="0.2">
      <c r="A2651" t="s">
        <v>2719</v>
      </c>
      <c r="B2651" t="s">
        <v>2720</v>
      </c>
      <c r="C2651" t="s">
        <v>2502</v>
      </c>
      <c r="D2651" t="s">
        <v>10</v>
      </c>
      <c r="E2651" t="s">
        <v>6270</v>
      </c>
      <c r="F2651">
        <v>0</v>
      </c>
      <c r="G2651">
        <v>1</v>
      </c>
    </row>
    <row r="2652" spans="1:7" x14ac:dyDescent="0.2">
      <c r="A2652" t="s">
        <v>2719</v>
      </c>
      <c r="B2652" t="s">
        <v>2720</v>
      </c>
      <c r="C2652" t="s">
        <v>2502</v>
      </c>
      <c r="D2652" t="s">
        <v>3471</v>
      </c>
      <c r="E2652" t="s">
        <v>6271</v>
      </c>
      <c r="F2652">
        <v>0</v>
      </c>
      <c r="G2652">
        <v>0</v>
      </c>
    </row>
    <row r="2653" spans="1:7" x14ac:dyDescent="0.2">
      <c r="A2653" t="s">
        <v>2719</v>
      </c>
      <c r="B2653" t="s">
        <v>2720</v>
      </c>
      <c r="C2653" t="s">
        <v>2502</v>
      </c>
      <c r="D2653" t="s">
        <v>8</v>
      </c>
      <c r="E2653" t="s">
        <v>6272</v>
      </c>
      <c r="F2653">
        <v>0.16666666666666666</v>
      </c>
      <c r="G2653">
        <v>1</v>
      </c>
    </row>
    <row r="2654" spans="1:7" x14ac:dyDescent="0.2">
      <c r="A2654" t="s">
        <v>2719</v>
      </c>
      <c r="B2654" t="s">
        <v>2720</v>
      </c>
      <c r="C2654" t="s">
        <v>2502</v>
      </c>
      <c r="D2654" t="s">
        <v>3469</v>
      </c>
      <c r="F2654">
        <v>0</v>
      </c>
      <c r="G2654">
        <v>0</v>
      </c>
    </row>
    <row r="2655" spans="1:7" x14ac:dyDescent="0.2">
      <c r="A2655" t="s">
        <v>6273</v>
      </c>
      <c r="B2655" t="s">
        <v>6274</v>
      </c>
      <c r="C2655" t="s">
        <v>2502</v>
      </c>
      <c r="D2655" t="s">
        <v>3471</v>
      </c>
      <c r="E2655" t="s">
        <v>6275</v>
      </c>
    </row>
    <row r="2656" spans="1:7" x14ac:dyDescent="0.2">
      <c r="A2656" t="s">
        <v>6273</v>
      </c>
      <c r="B2656" t="s">
        <v>6274</v>
      </c>
      <c r="C2656" t="s">
        <v>2502</v>
      </c>
      <c r="D2656" t="s">
        <v>8</v>
      </c>
      <c r="E2656" t="s">
        <v>6276</v>
      </c>
    </row>
    <row r="2657" spans="1:7" x14ac:dyDescent="0.2">
      <c r="A2657" t="s">
        <v>6273</v>
      </c>
      <c r="B2657" t="s">
        <v>6274</v>
      </c>
      <c r="C2657" t="s">
        <v>2502</v>
      </c>
      <c r="D2657" t="s">
        <v>3484</v>
      </c>
    </row>
    <row r="2658" spans="1:7" x14ac:dyDescent="0.2">
      <c r="A2658" t="s">
        <v>2529</v>
      </c>
      <c r="B2658" t="s">
        <v>2530</v>
      </c>
      <c r="C2658" t="s">
        <v>2502</v>
      </c>
      <c r="D2658" t="s">
        <v>3494</v>
      </c>
    </row>
    <row r="2659" spans="1:7" x14ac:dyDescent="0.2">
      <c r="A2659" t="s">
        <v>2529</v>
      </c>
      <c r="B2659" t="s">
        <v>2530</v>
      </c>
      <c r="C2659" t="s">
        <v>2502</v>
      </c>
      <c r="D2659" t="s">
        <v>10</v>
      </c>
      <c r="E2659" t="s">
        <v>6277</v>
      </c>
    </row>
    <row r="2660" spans="1:7" x14ac:dyDescent="0.2">
      <c r="A2660" t="s">
        <v>2529</v>
      </c>
      <c r="B2660" t="s">
        <v>2530</v>
      </c>
      <c r="C2660" t="s">
        <v>2502</v>
      </c>
      <c r="D2660" t="s">
        <v>3471</v>
      </c>
      <c r="E2660" t="s">
        <v>6278</v>
      </c>
      <c r="F2660">
        <v>0</v>
      </c>
      <c r="G2660">
        <v>0</v>
      </c>
    </row>
    <row r="2661" spans="1:7" x14ac:dyDescent="0.2">
      <c r="A2661" t="s">
        <v>2529</v>
      </c>
      <c r="B2661" t="s">
        <v>2530</v>
      </c>
      <c r="C2661" t="s">
        <v>2502</v>
      </c>
      <c r="D2661" t="s">
        <v>8</v>
      </c>
      <c r="E2661" t="s">
        <v>6279</v>
      </c>
    </row>
    <row r="2662" spans="1:7" x14ac:dyDescent="0.2">
      <c r="A2662" t="s">
        <v>2529</v>
      </c>
      <c r="B2662" t="s">
        <v>2530</v>
      </c>
      <c r="C2662" t="s">
        <v>2502</v>
      </c>
      <c r="D2662" t="s">
        <v>3469</v>
      </c>
      <c r="F2662">
        <v>0.16666666666666666</v>
      </c>
      <c r="G2662">
        <v>5</v>
      </c>
    </row>
    <row r="2663" spans="1:7" x14ac:dyDescent="0.2">
      <c r="A2663" t="s">
        <v>2727</v>
      </c>
      <c r="B2663" t="s">
        <v>2728</v>
      </c>
      <c r="C2663" t="s">
        <v>2502</v>
      </c>
      <c r="D2663" t="s">
        <v>3471</v>
      </c>
      <c r="E2663" t="s">
        <v>6280</v>
      </c>
      <c r="F2663">
        <v>0.5</v>
      </c>
      <c r="G2663">
        <v>3</v>
      </c>
    </row>
    <row r="2664" spans="1:7" x14ac:dyDescent="0.2">
      <c r="A2664" t="s">
        <v>2727</v>
      </c>
      <c r="B2664" t="s">
        <v>2728</v>
      </c>
      <c r="C2664" t="s">
        <v>2502</v>
      </c>
      <c r="D2664" t="s">
        <v>8</v>
      </c>
      <c r="E2664" t="s">
        <v>6281</v>
      </c>
      <c r="F2664">
        <v>1.1666666666666667</v>
      </c>
      <c r="G2664">
        <v>11</v>
      </c>
    </row>
    <row r="2665" spans="1:7" x14ac:dyDescent="0.2">
      <c r="A2665" t="s">
        <v>2727</v>
      </c>
      <c r="B2665" t="s">
        <v>2728</v>
      </c>
      <c r="C2665" t="s">
        <v>2502</v>
      </c>
      <c r="D2665" t="s">
        <v>3469</v>
      </c>
      <c r="F2665">
        <v>1.1666666666666667</v>
      </c>
      <c r="G2665">
        <v>8</v>
      </c>
    </row>
    <row r="2666" spans="1:7" x14ac:dyDescent="0.2">
      <c r="A2666" t="s">
        <v>2729</v>
      </c>
      <c r="B2666" t="s">
        <v>2730</v>
      </c>
      <c r="C2666" t="s">
        <v>2502</v>
      </c>
      <c r="D2666" t="s">
        <v>10</v>
      </c>
      <c r="E2666" t="s">
        <v>6282</v>
      </c>
      <c r="F2666">
        <v>0</v>
      </c>
      <c r="G2666">
        <v>5</v>
      </c>
    </row>
    <row r="2667" spans="1:7" x14ac:dyDescent="0.2">
      <c r="A2667" t="s">
        <v>2729</v>
      </c>
      <c r="B2667" t="s">
        <v>2730</v>
      </c>
      <c r="C2667" t="s">
        <v>2502</v>
      </c>
      <c r="D2667" t="s">
        <v>3469</v>
      </c>
    </row>
    <row r="2668" spans="1:7" x14ac:dyDescent="0.2">
      <c r="A2668" t="s">
        <v>2729</v>
      </c>
      <c r="B2668" t="s">
        <v>2730</v>
      </c>
      <c r="C2668" t="s">
        <v>2502</v>
      </c>
      <c r="D2668" t="s">
        <v>3484</v>
      </c>
    </row>
    <row r="2669" spans="1:7" x14ac:dyDescent="0.2">
      <c r="A2669" t="s">
        <v>2691</v>
      </c>
      <c r="B2669" t="s">
        <v>2692</v>
      </c>
      <c r="C2669" t="s">
        <v>2502</v>
      </c>
      <c r="D2669" t="s">
        <v>3471</v>
      </c>
      <c r="E2669" t="s">
        <v>6283</v>
      </c>
      <c r="F2669">
        <v>0</v>
      </c>
      <c r="G2669">
        <v>0</v>
      </c>
    </row>
    <row r="2670" spans="1:7" x14ac:dyDescent="0.2">
      <c r="A2670" t="s">
        <v>2691</v>
      </c>
      <c r="B2670" t="s">
        <v>2692</v>
      </c>
      <c r="C2670" t="s">
        <v>2502</v>
      </c>
      <c r="D2670" t="s">
        <v>3469</v>
      </c>
      <c r="F2670">
        <v>0</v>
      </c>
      <c r="G2670">
        <v>1</v>
      </c>
    </row>
    <row r="2671" spans="1:7" x14ac:dyDescent="0.2">
      <c r="A2671" t="s">
        <v>2721</v>
      </c>
      <c r="B2671" t="s">
        <v>2722</v>
      </c>
      <c r="C2671" t="s">
        <v>2502</v>
      </c>
      <c r="D2671" t="s">
        <v>3471</v>
      </c>
      <c r="E2671" t="s">
        <v>6284</v>
      </c>
    </row>
    <row r="2672" spans="1:7" x14ac:dyDescent="0.2">
      <c r="A2672" t="s">
        <v>2721</v>
      </c>
      <c r="B2672" t="s">
        <v>2722</v>
      </c>
      <c r="C2672" t="s">
        <v>2502</v>
      </c>
      <c r="D2672" t="s">
        <v>3469</v>
      </c>
      <c r="F2672">
        <v>0</v>
      </c>
      <c r="G2672">
        <v>1</v>
      </c>
    </row>
    <row r="2673" spans="1:7" x14ac:dyDescent="0.2">
      <c r="A2673" t="s">
        <v>2505</v>
      </c>
      <c r="B2673" t="s">
        <v>2506</v>
      </c>
      <c r="C2673" t="s">
        <v>2502</v>
      </c>
      <c r="D2673" t="s">
        <v>14</v>
      </c>
    </row>
    <row r="2674" spans="1:7" x14ac:dyDescent="0.2">
      <c r="A2674" t="s">
        <v>2505</v>
      </c>
      <c r="B2674" t="s">
        <v>2506</v>
      </c>
      <c r="C2674" t="s">
        <v>2502</v>
      </c>
      <c r="D2674" t="s">
        <v>3494</v>
      </c>
    </row>
    <row r="2675" spans="1:7" x14ac:dyDescent="0.2">
      <c r="A2675" t="s">
        <v>2505</v>
      </c>
      <c r="B2675" t="s">
        <v>2506</v>
      </c>
      <c r="C2675" t="s">
        <v>2502</v>
      </c>
      <c r="D2675" t="s">
        <v>10</v>
      </c>
      <c r="E2675" t="s">
        <v>6285</v>
      </c>
      <c r="F2675">
        <v>0</v>
      </c>
      <c r="G2675">
        <v>3</v>
      </c>
    </row>
    <row r="2676" spans="1:7" x14ac:dyDescent="0.2">
      <c r="A2676" t="s">
        <v>2505</v>
      </c>
      <c r="B2676" t="s">
        <v>2506</v>
      </c>
      <c r="C2676" t="s">
        <v>2502</v>
      </c>
      <c r="D2676" t="s">
        <v>3471</v>
      </c>
      <c r="E2676" t="s">
        <v>6286</v>
      </c>
      <c r="F2676">
        <v>0.16666666666666666</v>
      </c>
      <c r="G2676">
        <v>0</v>
      </c>
    </row>
    <row r="2677" spans="1:7" x14ac:dyDescent="0.2">
      <c r="A2677" t="s">
        <v>2505</v>
      </c>
      <c r="B2677" t="s">
        <v>2506</v>
      </c>
      <c r="C2677" t="s">
        <v>2502</v>
      </c>
      <c r="D2677" t="s">
        <v>8</v>
      </c>
      <c r="E2677" t="s">
        <v>6287</v>
      </c>
    </row>
    <row r="2678" spans="1:7" x14ac:dyDescent="0.2">
      <c r="A2678" t="s">
        <v>2505</v>
      </c>
      <c r="B2678" t="s">
        <v>2506</v>
      </c>
      <c r="C2678" t="s">
        <v>2502</v>
      </c>
      <c r="D2678" t="s">
        <v>3469</v>
      </c>
      <c r="F2678">
        <v>0</v>
      </c>
      <c r="G2678">
        <v>4</v>
      </c>
    </row>
    <row r="2679" spans="1:7" x14ac:dyDescent="0.2">
      <c r="A2679" t="s">
        <v>2505</v>
      </c>
      <c r="B2679" t="s">
        <v>2506</v>
      </c>
      <c r="C2679" t="s">
        <v>2502</v>
      </c>
      <c r="D2679" t="s">
        <v>3484</v>
      </c>
    </row>
    <row r="2680" spans="1:7" x14ac:dyDescent="0.2">
      <c r="A2680" t="s">
        <v>2633</v>
      </c>
      <c r="B2680" t="s">
        <v>2634</v>
      </c>
      <c r="C2680" t="s">
        <v>2502</v>
      </c>
      <c r="D2680" t="s">
        <v>10</v>
      </c>
      <c r="E2680" t="s">
        <v>6288</v>
      </c>
    </row>
    <row r="2681" spans="1:7" x14ac:dyDescent="0.2">
      <c r="A2681" t="s">
        <v>2633</v>
      </c>
      <c r="B2681" t="s">
        <v>2634</v>
      </c>
      <c r="C2681" t="s">
        <v>2502</v>
      </c>
      <c r="D2681" t="s">
        <v>3471</v>
      </c>
      <c r="E2681" t="s">
        <v>6289</v>
      </c>
      <c r="F2681">
        <v>0</v>
      </c>
      <c r="G2681">
        <v>0</v>
      </c>
    </row>
    <row r="2682" spans="1:7" x14ac:dyDescent="0.2">
      <c r="A2682" t="s">
        <v>2513</v>
      </c>
      <c r="B2682" t="s">
        <v>2514</v>
      </c>
      <c r="C2682" t="s">
        <v>2502</v>
      </c>
      <c r="D2682" t="s">
        <v>14</v>
      </c>
      <c r="F2682">
        <v>3</v>
      </c>
      <c r="G2682">
        <v>213</v>
      </c>
    </row>
    <row r="2683" spans="1:7" x14ac:dyDescent="0.2">
      <c r="A2683" t="s">
        <v>2513</v>
      </c>
      <c r="B2683" t="s">
        <v>2514</v>
      </c>
      <c r="C2683" t="s">
        <v>2502</v>
      </c>
      <c r="D2683" t="s">
        <v>10</v>
      </c>
      <c r="E2683" t="s">
        <v>6290</v>
      </c>
      <c r="F2683">
        <v>4</v>
      </c>
      <c r="G2683">
        <v>89</v>
      </c>
    </row>
    <row r="2684" spans="1:7" x14ac:dyDescent="0.2">
      <c r="A2684" t="s">
        <v>2513</v>
      </c>
      <c r="B2684" t="s">
        <v>2514</v>
      </c>
      <c r="C2684" t="s">
        <v>2502</v>
      </c>
      <c r="D2684" t="s">
        <v>3471</v>
      </c>
      <c r="E2684" t="s">
        <v>6291</v>
      </c>
      <c r="F2684">
        <v>1</v>
      </c>
      <c r="G2684">
        <v>-6</v>
      </c>
    </row>
    <row r="2685" spans="1:7" x14ac:dyDescent="0.2">
      <c r="A2685" t="s">
        <v>2513</v>
      </c>
      <c r="B2685" t="s">
        <v>2514</v>
      </c>
      <c r="C2685" t="s">
        <v>2502</v>
      </c>
      <c r="D2685" t="s">
        <v>8</v>
      </c>
      <c r="E2685" t="s">
        <v>6292</v>
      </c>
      <c r="F2685">
        <v>4.5</v>
      </c>
      <c r="G2685">
        <v>13</v>
      </c>
    </row>
    <row r="2686" spans="1:7" x14ac:dyDescent="0.2">
      <c r="A2686" t="s">
        <v>2513</v>
      </c>
      <c r="B2686" t="s">
        <v>2514</v>
      </c>
      <c r="C2686" t="s">
        <v>2502</v>
      </c>
      <c r="D2686" t="s">
        <v>3469</v>
      </c>
      <c r="F2686">
        <v>0.16666666666666666</v>
      </c>
      <c r="G2686">
        <v>2</v>
      </c>
    </row>
    <row r="2687" spans="1:7" x14ac:dyDescent="0.2">
      <c r="A2687" t="s">
        <v>2513</v>
      </c>
      <c r="B2687" t="s">
        <v>2514</v>
      </c>
      <c r="C2687" t="s">
        <v>2502</v>
      </c>
      <c r="D2687" t="s">
        <v>3484</v>
      </c>
    </row>
    <row r="2688" spans="1:7" x14ac:dyDescent="0.2">
      <c r="A2688" t="s">
        <v>2543</v>
      </c>
      <c r="B2688" t="s">
        <v>2544</v>
      </c>
      <c r="C2688" t="s">
        <v>2502</v>
      </c>
      <c r="D2688" t="s">
        <v>14</v>
      </c>
      <c r="F2688">
        <v>2</v>
      </c>
      <c r="G2688">
        <v>115</v>
      </c>
    </row>
    <row r="2689" spans="1:7" x14ac:dyDescent="0.2">
      <c r="A2689" t="s">
        <v>2543</v>
      </c>
      <c r="B2689" t="s">
        <v>2544</v>
      </c>
      <c r="C2689" t="s">
        <v>2502</v>
      </c>
      <c r="D2689" t="s">
        <v>10</v>
      </c>
      <c r="E2689" t="s">
        <v>6293</v>
      </c>
      <c r="F2689">
        <v>0.33333333333333331</v>
      </c>
      <c r="G2689">
        <v>19</v>
      </c>
    </row>
    <row r="2690" spans="1:7" x14ac:dyDescent="0.2">
      <c r="A2690" t="s">
        <v>2543</v>
      </c>
      <c r="B2690" t="s">
        <v>2544</v>
      </c>
      <c r="C2690" t="s">
        <v>2502</v>
      </c>
      <c r="D2690" t="s">
        <v>3471</v>
      </c>
      <c r="E2690" t="s">
        <v>6294</v>
      </c>
    </row>
    <row r="2691" spans="1:7" x14ac:dyDescent="0.2">
      <c r="A2691" t="s">
        <v>2543</v>
      </c>
      <c r="B2691" t="s">
        <v>2544</v>
      </c>
      <c r="C2691" t="s">
        <v>2502</v>
      </c>
      <c r="D2691" t="s">
        <v>8</v>
      </c>
      <c r="E2691" t="s">
        <v>6295</v>
      </c>
    </row>
    <row r="2692" spans="1:7" x14ac:dyDescent="0.2">
      <c r="A2692" t="s">
        <v>2543</v>
      </c>
      <c r="B2692" t="s">
        <v>2544</v>
      </c>
      <c r="C2692" t="s">
        <v>2502</v>
      </c>
      <c r="D2692" t="s">
        <v>3469</v>
      </c>
      <c r="F2692">
        <v>0</v>
      </c>
      <c r="G2692">
        <v>0</v>
      </c>
    </row>
    <row r="2693" spans="1:7" x14ac:dyDescent="0.2">
      <c r="A2693" t="s">
        <v>2543</v>
      </c>
      <c r="B2693" t="s">
        <v>2544</v>
      </c>
      <c r="C2693" t="s">
        <v>2502</v>
      </c>
      <c r="D2693" t="s">
        <v>3484</v>
      </c>
    </row>
    <row r="2694" spans="1:7" x14ac:dyDescent="0.2">
      <c r="A2694" t="s">
        <v>2705</v>
      </c>
      <c r="B2694" t="s">
        <v>2706</v>
      </c>
      <c r="C2694" t="s">
        <v>2502</v>
      </c>
      <c r="D2694" t="s">
        <v>3471</v>
      </c>
      <c r="E2694" t="s">
        <v>6296</v>
      </c>
      <c r="F2694">
        <v>0</v>
      </c>
      <c r="G2694">
        <v>0</v>
      </c>
    </row>
    <row r="2695" spans="1:7" x14ac:dyDescent="0.2">
      <c r="A2695" t="s">
        <v>2713</v>
      </c>
      <c r="B2695" t="s">
        <v>2714</v>
      </c>
      <c r="C2695" t="s">
        <v>2502</v>
      </c>
      <c r="D2695" t="s">
        <v>14</v>
      </c>
      <c r="F2695">
        <v>24.833333333333332</v>
      </c>
      <c r="G2695">
        <v>456</v>
      </c>
    </row>
    <row r="2696" spans="1:7" x14ac:dyDescent="0.2">
      <c r="A2696" t="s">
        <v>2713</v>
      </c>
      <c r="B2696" t="s">
        <v>2714</v>
      </c>
      <c r="C2696" t="s">
        <v>2502</v>
      </c>
      <c r="D2696" t="s">
        <v>10</v>
      </c>
      <c r="E2696" t="s">
        <v>6297</v>
      </c>
      <c r="F2696">
        <v>47.5</v>
      </c>
      <c r="G2696">
        <v>526</v>
      </c>
    </row>
    <row r="2697" spans="1:7" x14ac:dyDescent="0.2">
      <c r="A2697" t="s">
        <v>2713</v>
      </c>
      <c r="B2697" t="s">
        <v>2714</v>
      </c>
      <c r="C2697" t="s">
        <v>2502</v>
      </c>
      <c r="D2697" t="s">
        <v>3471</v>
      </c>
      <c r="E2697" t="s">
        <v>6298</v>
      </c>
      <c r="F2697">
        <v>0</v>
      </c>
      <c r="G2697">
        <v>0</v>
      </c>
    </row>
    <row r="2698" spans="1:7" x14ac:dyDescent="0.2">
      <c r="A2698" t="s">
        <v>2713</v>
      </c>
      <c r="B2698" t="s">
        <v>2714</v>
      </c>
      <c r="C2698" t="s">
        <v>2502</v>
      </c>
      <c r="D2698" t="s">
        <v>3469</v>
      </c>
      <c r="F2698">
        <v>0.5</v>
      </c>
      <c r="G2698">
        <v>15</v>
      </c>
    </row>
    <row r="2699" spans="1:7" x14ac:dyDescent="0.2">
      <c r="A2699" t="s">
        <v>2713</v>
      </c>
      <c r="B2699" t="s">
        <v>2714</v>
      </c>
      <c r="C2699" t="s">
        <v>2502</v>
      </c>
      <c r="D2699" t="s">
        <v>3484</v>
      </c>
    </row>
    <row r="2700" spans="1:7" x14ac:dyDescent="0.2">
      <c r="A2700" t="s">
        <v>2675</v>
      </c>
      <c r="B2700" t="s">
        <v>2676</v>
      </c>
      <c r="C2700" t="s">
        <v>2502</v>
      </c>
      <c r="D2700" t="s">
        <v>10</v>
      </c>
      <c r="E2700" t="s">
        <v>6299</v>
      </c>
    </row>
    <row r="2701" spans="1:7" x14ac:dyDescent="0.2">
      <c r="A2701" t="s">
        <v>2675</v>
      </c>
      <c r="B2701" t="s">
        <v>2676</v>
      </c>
      <c r="C2701" t="s">
        <v>2502</v>
      </c>
      <c r="D2701" t="s">
        <v>3471</v>
      </c>
      <c r="E2701" t="s">
        <v>6300</v>
      </c>
      <c r="F2701">
        <v>0</v>
      </c>
      <c r="G2701">
        <v>0</v>
      </c>
    </row>
    <row r="2702" spans="1:7" x14ac:dyDescent="0.2">
      <c r="A2702" t="s">
        <v>2675</v>
      </c>
      <c r="B2702" t="s">
        <v>2676</v>
      </c>
      <c r="C2702" t="s">
        <v>2502</v>
      </c>
      <c r="D2702" t="s">
        <v>3469</v>
      </c>
      <c r="F2702">
        <v>0.5</v>
      </c>
      <c r="G2702">
        <v>2</v>
      </c>
    </row>
    <row r="2703" spans="1:7" x14ac:dyDescent="0.2">
      <c r="A2703" t="s">
        <v>2677</v>
      </c>
      <c r="B2703" t="s">
        <v>2678</v>
      </c>
      <c r="C2703" t="s">
        <v>2502</v>
      </c>
      <c r="D2703" t="s">
        <v>10</v>
      </c>
      <c r="E2703" t="s">
        <v>6301</v>
      </c>
      <c r="F2703">
        <v>0</v>
      </c>
      <c r="G2703">
        <v>2</v>
      </c>
    </row>
    <row r="2704" spans="1:7" x14ac:dyDescent="0.2">
      <c r="A2704" t="s">
        <v>2677</v>
      </c>
      <c r="B2704" t="s">
        <v>2678</v>
      </c>
      <c r="C2704" t="s">
        <v>2502</v>
      </c>
      <c r="D2704" t="s">
        <v>3471</v>
      </c>
      <c r="E2704" t="s">
        <v>6302</v>
      </c>
      <c r="F2704">
        <v>0</v>
      </c>
      <c r="G2704">
        <v>0</v>
      </c>
    </row>
    <row r="2705" spans="1:7" x14ac:dyDescent="0.2">
      <c r="A2705" t="s">
        <v>2677</v>
      </c>
      <c r="B2705" t="s">
        <v>2678</v>
      </c>
      <c r="C2705" t="s">
        <v>2502</v>
      </c>
      <c r="D2705" t="s">
        <v>3469</v>
      </c>
      <c r="F2705">
        <v>0</v>
      </c>
      <c r="G2705">
        <v>0</v>
      </c>
    </row>
    <row r="2706" spans="1:7" x14ac:dyDescent="0.2">
      <c r="A2706" t="s">
        <v>6303</v>
      </c>
      <c r="B2706" t="s">
        <v>6304</v>
      </c>
      <c r="C2706" t="s">
        <v>2502</v>
      </c>
      <c r="D2706" t="s">
        <v>10</v>
      </c>
      <c r="E2706" t="s">
        <v>6305</v>
      </c>
    </row>
    <row r="2707" spans="1:7" x14ac:dyDescent="0.2">
      <c r="A2707" t="s">
        <v>2515</v>
      </c>
      <c r="B2707" t="s">
        <v>2516</v>
      </c>
      <c r="C2707" t="s">
        <v>2502</v>
      </c>
      <c r="D2707" t="s">
        <v>14</v>
      </c>
      <c r="F2707">
        <v>0</v>
      </c>
      <c r="G2707">
        <v>1</v>
      </c>
    </row>
    <row r="2708" spans="1:7" x14ac:dyDescent="0.2">
      <c r="A2708" t="s">
        <v>2515</v>
      </c>
      <c r="B2708" t="s">
        <v>2516</v>
      </c>
      <c r="C2708" t="s">
        <v>2502</v>
      </c>
      <c r="D2708" t="s">
        <v>10</v>
      </c>
      <c r="E2708" t="s">
        <v>6306</v>
      </c>
      <c r="F2708">
        <v>0.16666666666666666</v>
      </c>
      <c r="G2708">
        <v>13</v>
      </c>
    </row>
    <row r="2709" spans="1:7" x14ac:dyDescent="0.2">
      <c r="A2709" t="s">
        <v>2515</v>
      </c>
      <c r="B2709" t="s">
        <v>2516</v>
      </c>
      <c r="C2709" t="s">
        <v>2502</v>
      </c>
      <c r="D2709" t="s">
        <v>3471</v>
      </c>
      <c r="E2709" t="s">
        <v>6307</v>
      </c>
      <c r="F2709">
        <v>0</v>
      </c>
      <c r="G2709">
        <v>0</v>
      </c>
    </row>
    <row r="2710" spans="1:7" x14ac:dyDescent="0.2">
      <c r="A2710" t="s">
        <v>2515</v>
      </c>
      <c r="B2710" t="s">
        <v>2516</v>
      </c>
      <c r="C2710" t="s">
        <v>2502</v>
      </c>
      <c r="D2710" t="s">
        <v>8</v>
      </c>
      <c r="E2710" t="s">
        <v>6308</v>
      </c>
    </row>
    <row r="2711" spans="1:7" x14ac:dyDescent="0.2">
      <c r="A2711" t="s">
        <v>6309</v>
      </c>
      <c r="B2711" t="s">
        <v>6310</v>
      </c>
      <c r="C2711" t="s">
        <v>2502</v>
      </c>
      <c r="D2711" t="s">
        <v>10</v>
      </c>
      <c r="E2711" t="s">
        <v>6311</v>
      </c>
    </row>
    <row r="2712" spans="1:7" x14ac:dyDescent="0.2">
      <c r="A2712" t="s">
        <v>6309</v>
      </c>
      <c r="B2712" t="s">
        <v>6310</v>
      </c>
      <c r="C2712" t="s">
        <v>2502</v>
      </c>
      <c r="D2712" t="s">
        <v>3471</v>
      </c>
      <c r="E2712" t="s">
        <v>6312</v>
      </c>
    </row>
    <row r="2713" spans="1:7" x14ac:dyDescent="0.2">
      <c r="A2713" t="s">
        <v>6309</v>
      </c>
      <c r="B2713" t="s">
        <v>6310</v>
      </c>
      <c r="C2713" t="s">
        <v>2502</v>
      </c>
      <c r="D2713" t="s">
        <v>8</v>
      </c>
      <c r="E2713" t="s">
        <v>6313</v>
      </c>
    </row>
    <row r="2714" spans="1:7" x14ac:dyDescent="0.2">
      <c r="A2714" t="s">
        <v>6309</v>
      </c>
      <c r="B2714" t="s">
        <v>6310</v>
      </c>
      <c r="C2714" t="s">
        <v>2502</v>
      </c>
      <c r="D2714" t="s">
        <v>3469</v>
      </c>
      <c r="F2714">
        <v>0</v>
      </c>
      <c r="G2714">
        <v>0</v>
      </c>
    </row>
    <row r="2715" spans="1:7" x14ac:dyDescent="0.2">
      <c r="A2715" t="s">
        <v>2667</v>
      </c>
      <c r="B2715" t="s">
        <v>2668</v>
      </c>
      <c r="C2715" t="s">
        <v>2502</v>
      </c>
      <c r="D2715" t="s">
        <v>10</v>
      </c>
      <c r="E2715" t="s">
        <v>6314</v>
      </c>
      <c r="F2715">
        <v>0.5</v>
      </c>
      <c r="G2715">
        <v>2</v>
      </c>
    </row>
    <row r="2716" spans="1:7" x14ac:dyDescent="0.2">
      <c r="A2716" t="s">
        <v>2667</v>
      </c>
      <c r="B2716" t="s">
        <v>2668</v>
      </c>
      <c r="C2716" t="s">
        <v>2502</v>
      </c>
      <c r="D2716" t="s">
        <v>3471</v>
      </c>
      <c r="E2716" t="s">
        <v>6315</v>
      </c>
      <c r="F2716">
        <v>1.1666666666666667</v>
      </c>
      <c r="G2716">
        <v>0</v>
      </c>
    </row>
    <row r="2717" spans="1:7" x14ac:dyDescent="0.2">
      <c r="A2717" t="s">
        <v>2667</v>
      </c>
      <c r="B2717" t="s">
        <v>2668</v>
      </c>
      <c r="C2717" t="s">
        <v>2502</v>
      </c>
      <c r="D2717" t="s">
        <v>8</v>
      </c>
      <c r="E2717" t="s">
        <v>6316</v>
      </c>
    </row>
    <row r="2718" spans="1:7" x14ac:dyDescent="0.2">
      <c r="A2718" t="s">
        <v>2667</v>
      </c>
      <c r="B2718" t="s">
        <v>2668</v>
      </c>
      <c r="C2718" t="s">
        <v>2502</v>
      </c>
      <c r="D2718" t="s">
        <v>3469</v>
      </c>
    </row>
    <row r="2719" spans="1:7" x14ac:dyDescent="0.2">
      <c r="A2719" t="s">
        <v>6317</v>
      </c>
      <c r="B2719" t="s">
        <v>6318</v>
      </c>
      <c r="C2719" t="s">
        <v>2502</v>
      </c>
      <c r="D2719" t="s">
        <v>10</v>
      </c>
      <c r="E2719" t="s">
        <v>6319</v>
      </c>
      <c r="F2719">
        <v>0</v>
      </c>
      <c r="G2719">
        <v>1</v>
      </c>
    </row>
    <row r="2720" spans="1:7" x14ac:dyDescent="0.2">
      <c r="A2720" t="s">
        <v>6317</v>
      </c>
      <c r="B2720" t="s">
        <v>6318</v>
      </c>
      <c r="C2720" t="s">
        <v>2502</v>
      </c>
      <c r="D2720" t="s">
        <v>3471</v>
      </c>
      <c r="E2720" t="s">
        <v>6320</v>
      </c>
    </row>
    <row r="2721" spans="1:7" x14ac:dyDescent="0.2">
      <c r="A2721" t="s">
        <v>6317</v>
      </c>
      <c r="B2721" t="s">
        <v>6318</v>
      </c>
      <c r="C2721" t="s">
        <v>2502</v>
      </c>
      <c r="D2721" t="s">
        <v>3469</v>
      </c>
      <c r="F2721">
        <v>0</v>
      </c>
      <c r="G2721">
        <v>0</v>
      </c>
    </row>
    <row r="2722" spans="1:7" x14ac:dyDescent="0.2">
      <c r="A2722" t="s">
        <v>6321</v>
      </c>
      <c r="B2722" t="s">
        <v>6322</v>
      </c>
      <c r="C2722" t="s">
        <v>2502</v>
      </c>
      <c r="D2722" t="s">
        <v>10</v>
      </c>
      <c r="E2722" t="s">
        <v>6323</v>
      </c>
    </row>
    <row r="2723" spans="1:7" x14ac:dyDescent="0.2">
      <c r="A2723" t="s">
        <v>6321</v>
      </c>
      <c r="B2723" t="s">
        <v>6322</v>
      </c>
      <c r="C2723" t="s">
        <v>2502</v>
      </c>
      <c r="D2723" t="s">
        <v>3471</v>
      </c>
      <c r="E2723" t="s">
        <v>6324</v>
      </c>
    </row>
    <row r="2724" spans="1:7" x14ac:dyDescent="0.2">
      <c r="A2724" t="s">
        <v>6321</v>
      </c>
      <c r="B2724" t="s">
        <v>6322</v>
      </c>
      <c r="C2724" t="s">
        <v>2502</v>
      </c>
      <c r="D2724" t="s">
        <v>3469</v>
      </c>
      <c r="F2724">
        <v>0</v>
      </c>
      <c r="G2724">
        <v>0</v>
      </c>
    </row>
    <row r="2725" spans="1:7" x14ac:dyDescent="0.2">
      <c r="A2725" t="s">
        <v>2689</v>
      </c>
      <c r="B2725" t="s">
        <v>2690</v>
      </c>
      <c r="C2725" t="s">
        <v>2502</v>
      </c>
      <c r="D2725" t="s">
        <v>10</v>
      </c>
      <c r="E2725" t="s">
        <v>6325</v>
      </c>
    </row>
    <row r="2726" spans="1:7" x14ac:dyDescent="0.2">
      <c r="A2726" t="s">
        <v>2689</v>
      </c>
      <c r="B2726" t="s">
        <v>2690</v>
      </c>
      <c r="C2726" t="s">
        <v>2502</v>
      </c>
      <c r="D2726" t="s">
        <v>3471</v>
      </c>
      <c r="E2726" t="s">
        <v>6326</v>
      </c>
    </row>
    <row r="2727" spans="1:7" x14ac:dyDescent="0.2">
      <c r="A2727" t="s">
        <v>2689</v>
      </c>
      <c r="B2727" t="s">
        <v>2690</v>
      </c>
      <c r="C2727" t="s">
        <v>2502</v>
      </c>
      <c r="D2727" t="s">
        <v>3469</v>
      </c>
      <c r="F2727">
        <v>0.33333333333333331</v>
      </c>
      <c r="G2727">
        <v>0</v>
      </c>
    </row>
    <row r="2728" spans="1:7" x14ac:dyDescent="0.2">
      <c r="A2728" t="s">
        <v>6327</v>
      </c>
      <c r="B2728" t="s">
        <v>6328</v>
      </c>
      <c r="C2728" t="s">
        <v>2502</v>
      </c>
      <c r="D2728" t="s">
        <v>10</v>
      </c>
      <c r="E2728" t="s">
        <v>6329</v>
      </c>
      <c r="F2728">
        <v>0</v>
      </c>
      <c r="G2728">
        <v>1</v>
      </c>
    </row>
    <row r="2729" spans="1:7" x14ac:dyDescent="0.2">
      <c r="A2729" t="s">
        <v>2695</v>
      </c>
      <c r="B2729" t="s">
        <v>2696</v>
      </c>
      <c r="C2729" t="s">
        <v>2502</v>
      </c>
      <c r="D2729" t="s">
        <v>14</v>
      </c>
      <c r="F2729">
        <v>0</v>
      </c>
      <c r="G2729">
        <v>2</v>
      </c>
    </row>
    <row r="2730" spans="1:7" x14ac:dyDescent="0.2">
      <c r="A2730" t="s">
        <v>2695</v>
      </c>
      <c r="B2730" t="s">
        <v>2696</v>
      </c>
      <c r="C2730" t="s">
        <v>2502</v>
      </c>
      <c r="D2730" t="s">
        <v>10</v>
      </c>
      <c r="E2730" t="s">
        <v>6330</v>
      </c>
      <c r="F2730">
        <v>0</v>
      </c>
      <c r="G2730">
        <v>7</v>
      </c>
    </row>
    <row r="2731" spans="1:7" x14ac:dyDescent="0.2">
      <c r="A2731" t="s">
        <v>2695</v>
      </c>
      <c r="B2731" t="s">
        <v>2696</v>
      </c>
      <c r="C2731" t="s">
        <v>2502</v>
      </c>
      <c r="D2731" t="s">
        <v>3471</v>
      </c>
      <c r="E2731" t="s">
        <v>6331</v>
      </c>
    </row>
    <row r="2732" spans="1:7" x14ac:dyDescent="0.2">
      <c r="A2732" t="s">
        <v>2695</v>
      </c>
      <c r="B2732" t="s">
        <v>2696</v>
      </c>
      <c r="C2732" t="s">
        <v>2502</v>
      </c>
      <c r="D2732" t="s">
        <v>3469</v>
      </c>
      <c r="F2732">
        <v>0</v>
      </c>
      <c r="G2732">
        <v>0</v>
      </c>
    </row>
    <row r="2733" spans="1:7" x14ac:dyDescent="0.2">
      <c r="A2733" t="s">
        <v>2697</v>
      </c>
      <c r="B2733" t="s">
        <v>2698</v>
      </c>
      <c r="C2733" t="s">
        <v>2502</v>
      </c>
      <c r="D2733" t="s">
        <v>3471</v>
      </c>
      <c r="E2733" t="s">
        <v>6332</v>
      </c>
    </row>
    <row r="2734" spans="1:7" x14ac:dyDescent="0.2">
      <c r="A2734" t="s">
        <v>2699</v>
      </c>
      <c r="B2734" t="s">
        <v>2700</v>
      </c>
      <c r="C2734" t="s">
        <v>2502</v>
      </c>
      <c r="D2734" t="s">
        <v>10</v>
      </c>
      <c r="E2734" t="s">
        <v>6333</v>
      </c>
      <c r="F2734">
        <v>0</v>
      </c>
      <c r="G2734">
        <v>12</v>
      </c>
    </row>
    <row r="2735" spans="1:7" x14ac:dyDescent="0.2">
      <c r="A2735" t="s">
        <v>2699</v>
      </c>
      <c r="B2735" t="s">
        <v>2700</v>
      </c>
      <c r="C2735" t="s">
        <v>2502</v>
      </c>
      <c r="D2735" t="s">
        <v>3471</v>
      </c>
      <c r="E2735" t="s">
        <v>6334</v>
      </c>
    </row>
    <row r="2736" spans="1:7" x14ac:dyDescent="0.2">
      <c r="A2736" t="s">
        <v>6335</v>
      </c>
      <c r="B2736" t="s">
        <v>6336</v>
      </c>
      <c r="C2736" t="s">
        <v>2502</v>
      </c>
      <c r="D2736" t="s">
        <v>10</v>
      </c>
      <c r="E2736" t="s">
        <v>6337</v>
      </c>
    </row>
    <row r="2737" spans="1:7" x14ac:dyDescent="0.2">
      <c r="A2737" t="s">
        <v>6338</v>
      </c>
      <c r="B2737" t="s">
        <v>6339</v>
      </c>
      <c r="C2737" t="s">
        <v>2502</v>
      </c>
      <c r="D2737" t="s">
        <v>10</v>
      </c>
      <c r="E2737" t="s">
        <v>6340</v>
      </c>
    </row>
    <row r="2738" spans="1:7" x14ac:dyDescent="0.2">
      <c r="A2738" t="s">
        <v>6341</v>
      </c>
      <c r="B2738" t="s">
        <v>6342</v>
      </c>
      <c r="C2738" t="s">
        <v>2502</v>
      </c>
      <c r="D2738" t="s">
        <v>3471</v>
      </c>
      <c r="E2738" t="s">
        <v>6343</v>
      </c>
    </row>
    <row r="2739" spans="1:7" x14ac:dyDescent="0.2">
      <c r="A2739" t="s">
        <v>6341</v>
      </c>
      <c r="B2739" t="s">
        <v>6342</v>
      </c>
      <c r="C2739" t="s">
        <v>2502</v>
      </c>
      <c r="D2739" t="s">
        <v>8</v>
      </c>
      <c r="E2739" t="s">
        <v>6344</v>
      </c>
    </row>
    <row r="2740" spans="1:7" x14ac:dyDescent="0.2">
      <c r="A2740" t="s">
        <v>6341</v>
      </c>
      <c r="B2740" t="s">
        <v>6342</v>
      </c>
      <c r="C2740" t="s">
        <v>2502</v>
      </c>
      <c r="D2740" t="s">
        <v>3469</v>
      </c>
      <c r="F2740">
        <v>0</v>
      </c>
      <c r="G2740">
        <v>0</v>
      </c>
    </row>
    <row r="2741" spans="1:7" x14ac:dyDescent="0.2">
      <c r="A2741" t="s">
        <v>6341</v>
      </c>
      <c r="B2741" t="s">
        <v>6342</v>
      </c>
      <c r="C2741" t="s">
        <v>2502</v>
      </c>
      <c r="D2741" t="s">
        <v>3484</v>
      </c>
    </row>
    <row r="2742" spans="1:7" x14ac:dyDescent="0.2">
      <c r="A2742" t="s">
        <v>2703</v>
      </c>
      <c r="B2742" t="s">
        <v>2704</v>
      </c>
      <c r="C2742" t="s">
        <v>2502</v>
      </c>
      <c r="D2742" t="s">
        <v>10</v>
      </c>
      <c r="E2742" t="s">
        <v>6345</v>
      </c>
      <c r="F2742">
        <v>0.16666666666666666</v>
      </c>
      <c r="G2742">
        <v>14</v>
      </c>
    </row>
    <row r="2743" spans="1:7" x14ac:dyDescent="0.2">
      <c r="A2743" t="s">
        <v>2703</v>
      </c>
      <c r="B2743" t="s">
        <v>2704</v>
      </c>
      <c r="C2743" t="s">
        <v>2502</v>
      </c>
      <c r="D2743" t="s">
        <v>3471</v>
      </c>
      <c r="E2743" t="s">
        <v>6346</v>
      </c>
    </row>
    <row r="2744" spans="1:7" x14ac:dyDescent="0.2">
      <c r="A2744" t="s">
        <v>2703</v>
      </c>
      <c r="B2744" t="s">
        <v>2704</v>
      </c>
      <c r="C2744" t="s">
        <v>2502</v>
      </c>
      <c r="D2744" t="s">
        <v>8</v>
      </c>
      <c r="E2744" t="s">
        <v>6347</v>
      </c>
    </row>
    <row r="2745" spans="1:7" x14ac:dyDescent="0.2">
      <c r="A2745" t="s">
        <v>2703</v>
      </c>
      <c r="B2745" t="s">
        <v>2704</v>
      </c>
      <c r="C2745" t="s">
        <v>2502</v>
      </c>
      <c r="D2745" t="s">
        <v>3469</v>
      </c>
    </row>
    <row r="2746" spans="1:7" x14ac:dyDescent="0.2">
      <c r="A2746" t="s">
        <v>6348</v>
      </c>
      <c r="B2746" t="s">
        <v>6349</v>
      </c>
      <c r="C2746" t="s">
        <v>2502</v>
      </c>
      <c r="D2746" t="s">
        <v>14</v>
      </c>
      <c r="F2746">
        <v>0</v>
      </c>
      <c r="G2746">
        <v>2</v>
      </c>
    </row>
    <row r="2747" spans="1:7" x14ac:dyDescent="0.2">
      <c r="A2747" t="s">
        <v>6348</v>
      </c>
      <c r="B2747" t="s">
        <v>6349</v>
      </c>
      <c r="C2747" t="s">
        <v>2502</v>
      </c>
      <c r="D2747" t="s">
        <v>10</v>
      </c>
      <c r="E2747" t="s">
        <v>6350</v>
      </c>
      <c r="F2747">
        <v>0</v>
      </c>
      <c r="G2747">
        <v>3</v>
      </c>
    </row>
    <row r="2748" spans="1:7" x14ac:dyDescent="0.2">
      <c r="A2748" t="s">
        <v>6348</v>
      </c>
      <c r="B2748" t="s">
        <v>6349</v>
      </c>
      <c r="C2748" t="s">
        <v>2502</v>
      </c>
      <c r="D2748" t="s">
        <v>3471</v>
      </c>
      <c r="E2748" t="s">
        <v>6351</v>
      </c>
    </row>
    <row r="2749" spans="1:7" x14ac:dyDescent="0.2">
      <c r="A2749" t="s">
        <v>6348</v>
      </c>
      <c r="B2749" t="s">
        <v>6349</v>
      </c>
      <c r="C2749" t="s">
        <v>2502</v>
      </c>
      <c r="D2749" t="s">
        <v>8</v>
      </c>
      <c r="E2749" t="s">
        <v>6352</v>
      </c>
    </row>
    <row r="2750" spans="1:7" x14ac:dyDescent="0.2">
      <c r="A2750" t="s">
        <v>6348</v>
      </c>
      <c r="B2750" t="s">
        <v>6349</v>
      </c>
      <c r="C2750" t="s">
        <v>2502</v>
      </c>
      <c r="D2750" t="s">
        <v>3469</v>
      </c>
    </row>
    <row r="2751" spans="1:7" x14ac:dyDescent="0.2">
      <c r="A2751" t="s">
        <v>6348</v>
      </c>
      <c r="B2751" t="s">
        <v>6349</v>
      </c>
      <c r="C2751" t="s">
        <v>2502</v>
      </c>
      <c r="D2751" t="s">
        <v>3484</v>
      </c>
    </row>
    <row r="2752" spans="1:7" x14ac:dyDescent="0.2">
      <c r="A2752" t="s">
        <v>6353</v>
      </c>
      <c r="B2752" t="s">
        <v>6354</v>
      </c>
      <c r="C2752" t="s">
        <v>2502</v>
      </c>
      <c r="D2752" t="s">
        <v>10</v>
      </c>
      <c r="E2752" t="s">
        <v>6355</v>
      </c>
    </row>
    <row r="2753" spans="1:7" x14ac:dyDescent="0.2">
      <c r="A2753" t="s">
        <v>6353</v>
      </c>
      <c r="B2753" t="s">
        <v>6354</v>
      </c>
      <c r="C2753" t="s">
        <v>2502</v>
      </c>
      <c r="D2753" t="s">
        <v>3471</v>
      </c>
      <c r="E2753" t="s">
        <v>6356</v>
      </c>
    </row>
    <row r="2754" spans="1:7" x14ac:dyDescent="0.2">
      <c r="A2754" t="s">
        <v>6353</v>
      </c>
      <c r="B2754" t="s">
        <v>6354</v>
      </c>
      <c r="C2754" t="s">
        <v>2502</v>
      </c>
      <c r="D2754" t="s">
        <v>3469</v>
      </c>
    </row>
    <row r="2755" spans="1:7" x14ac:dyDescent="0.2">
      <c r="A2755" t="s">
        <v>2637</v>
      </c>
      <c r="B2755" t="s">
        <v>2638</v>
      </c>
      <c r="C2755" t="s">
        <v>2502</v>
      </c>
      <c r="D2755" t="s">
        <v>14</v>
      </c>
      <c r="F2755">
        <v>0.16666666666666666</v>
      </c>
      <c r="G2755">
        <v>7</v>
      </c>
    </row>
    <row r="2756" spans="1:7" x14ac:dyDescent="0.2">
      <c r="A2756" t="s">
        <v>2637</v>
      </c>
      <c r="B2756" t="s">
        <v>2638</v>
      </c>
      <c r="C2756" t="s">
        <v>2502</v>
      </c>
      <c r="D2756" t="s">
        <v>3494</v>
      </c>
    </row>
    <row r="2757" spans="1:7" x14ac:dyDescent="0.2">
      <c r="A2757" t="s">
        <v>2637</v>
      </c>
      <c r="B2757" t="s">
        <v>2638</v>
      </c>
      <c r="C2757" t="s">
        <v>2502</v>
      </c>
      <c r="D2757" t="s">
        <v>10</v>
      </c>
      <c r="E2757" t="s">
        <v>6357</v>
      </c>
      <c r="F2757">
        <v>0</v>
      </c>
      <c r="G2757">
        <v>3</v>
      </c>
    </row>
    <row r="2758" spans="1:7" x14ac:dyDescent="0.2">
      <c r="A2758" t="s">
        <v>2637</v>
      </c>
      <c r="B2758" t="s">
        <v>2638</v>
      </c>
      <c r="C2758" t="s">
        <v>2502</v>
      </c>
      <c r="D2758" t="s">
        <v>3471</v>
      </c>
      <c r="E2758" t="s">
        <v>6358</v>
      </c>
      <c r="F2758">
        <v>1</v>
      </c>
      <c r="G2758">
        <v>-3</v>
      </c>
    </row>
    <row r="2759" spans="1:7" x14ac:dyDescent="0.2">
      <c r="A2759" t="s">
        <v>2637</v>
      </c>
      <c r="B2759" t="s">
        <v>2638</v>
      </c>
      <c r="C2759" t="s">
        <v>2502</v>
      </c>
      <c r="D2759" t="s">
        <v>8</v>
      </c>
      <c r="E2759" t="s">
        <v>6359</v>
      </c>
      <c r="F2759">
        <v>0.16666666666666666</v>
      </c>
      <c r="G2759">
        <v>0</v>
      </c>
    </row>
    <row r="2760" spans="1:7" x14ac:dyDescent="0.2">
      <c r="A2760" t="s">
        <v>2639</v>
      </c>
      <c r="B2760" t="s">
        <v>2640</v>
      </c>
      <c r="C2760" t="s">
        <v>2502</v>
      </c>
      <c r="D2760" t="s">
        <v>14</v>
      </c>
      <c r="F2760">
        <v>0</v>
      </c>
      <c r="G2760">
        <v>1</v>
      </c>
    </row>
    <row r="2761" spans="1:7" x14ac:dyDescent="0.2">
      <c r="A2761" t="s">
        <v>2639</v>
      </c>
      <c r="B2761" t="s">
        <v>2640</v>
      </c>
      <c r="C2761" t="s">
        <v>2502</v>
      </c>
      <c r="D2761" t="s">
        <v>3494</v>
      </c>
    </row>
    <row r="2762" spans="1:7" x14ac:dyDescent="0.2">
      <c r="A2762" t="s">
        <v>2639</v>
      </c>
      <c r="B2762" t="s">
        <v>2640</v>
      </c>
      <c r="C2762" t="s">
        <v>2502</v>
      </c>
      <c r="D2762" t="s">
        <v>10</v>
      </c>
      <c r="E2762" t="s">
        <v>6360</v>
      </c>
      <c r="F2762">
        <v>3.8333333333333335</v>
      </c>
      <c r="G2762">
        <v>4</v>
      </c>
    </row>
    <row r="2763" spans="1:7" x14ac:dyDescent="0.2">
      <c r="A2763" t="s">
        <v>2639</v>
      </c>
      <c r="B2763" t="s">
        <v>2640</v>
      </c>
      <c r="C2763" t="s">
        <v>2502</v>
      </c>
      <c r="D2763" t="s">
        <v>3471</v>
      </c>
      <c r="E2763" t="s">
        <v>6361</v>
      </c>
      <c r="F2763">
        <v>0.16666666666666666</v>
      </c>
      <c r="G2763">
        <v>0</v>
      </c>
    </row>
    <row r="2764" spans="1:7" x14ac:dyDescent="0.2">
      <c r="A2764" t="s">
        <v>2639</v>
      </c>
      <c r="B2764" t="s">
        <v>2640</v>
      </c>
      <c r="C2764" t="s">
        <v>2502</v>
      </c>
      <c r="D2764" t="s">
        <v>8</v>
      </c>
      <c r="E2764" t="s">
        <v>6362</v>
      </c>
      <c r="F2764">
        <v>13</v>
      </c>
      <c r="G2764">
        <v>289</v>
      </c>
    </row>
    <row r="2765" spans="1:7" x14ac:dyDescent="0.2">
      <c r="A2765" t="s">
        <v>6363</v>
      </c>
      <c r="B2765" t="s">
        <v>6364</v>
      </c>
      <c r="C2765" t="s">
        <v>2502</v>
      </c>
      <c r="D2765" t="s">
        <v>3469</v>
      </c>
    </row>
    <row r="2766" spans="1:7" x14ac:dyDescent="0.2">
      <c r="A2766" t="s">
        <v>2601</v>
      </c>
      <c r="B2766" t="s">
        <v>2602</v>
      </c>
      <c r="C2766" t="s">
        <v>2502</v>
      </c>
      <c r="D2766" t="s">
        <v>10</v>
      </c>
      <c r="E2766" t="s">
        <v>6365</v>
      </c>
      <c r="F2766">
        <v>0</v>
      </c>
      <c r="G2766">
        <v>5</v>
      </c>
    </row>
    <row r="2767" spans="1:7" x14ac:dyDescent="0.2">
      <c r="A2767" t="s">
        <v>2599</v>
      </c>
      <c r="B2767" t="s">
        <v>2600</v>
      </c>
      <c r="C2767" t="s">
        <v>2502</v>
      </c>
      <c r="D2767" t="s">
        <v>14</v>
      </c>
      <c r="F2767">
        <v>0</v>
      </c>
      <c r="G2767">
        <v>1</v>
      </c>
    </row>
    <row r="2768" spans="1:7" x14ac:dyDescent="0.2">
      <c r="A2768" t="s">
        <v>2599</v>
      </c>
      <c r="B2768" t="s">
        <v>2600</v>
      </c>
      <c r="C2768" t="s">
        <v>2502</v>
      </c>
      <c r="D2768" t="s">
        <v>3494</v>
      </c>
    </row>
    <row r="2769" spans="1:7" x14ac:dyDescent="0.2">
      <c r="A2769" t="s">
        <v>2599</v>
      </c>
      <c r="B2769" t="s">
        <v>2600</v>
      </c>
      <c r="C2769" t="s">
        <v>2502</v>
      </c>
      <c r="D2769" t="s">
        <v>10</v>
      </c>
      <c r="E2769" t="s">
        <v>6366</v>
      </c>
      <c r="F2769">
        <v>0</v>
      </c>
      <c r="G2769">
        <v>2</v>
      </c>
    </row>
    <row r="2770" spans="1:7" x14ac:dyDescent="0.2">
      <c r="A2770" t="s">
        <v>2599</v>
      </c>
      <c r="B2770" t="s">
        <v>2600</v>
      </c>
      <c r="C2770" t="s">
        <v>2502</v>
      </c>
      <c r="D2770" t="s">
        <v>3471</v>
      </c>
      <c r="E2770" t="s">
        <v>6367</v>
      </c>
      <c r="F2770">
        <v>0</v>
      </c>
      <c r="G2770">
        <v>0</v>
      </c>
    </row>
    <row r="2771" spans="1:7" x14ac:dyDescent="0.2">
      <c r="A2771" t="s">
        <v>2599</v>
      </c>
      <c r="B2771" t="s">
        <v>2600</v>
      </c>
      <c r="C2771" t="s">
        <v>2502</v>
      </c>
      <c r="D2771" t="s">
        <v>3469</v>
      </c>
      <c r="F2771">
        <v>0</v>
      </c>
      <c r="G2771">
        <v>0</v>
      </c>
    </row>
    <row r="2772" spans="1:7" x14ac:dyDescent="0.2">
      <c r="A2772" t="s">
        <v>6368</v>
      </c>
      <c r="B2772" t="s">
        <v>6369</v>
      </c>
      <c r="C2772" t="s">
        <v>2502</v>
      </c>
      <c r="D2772" t="s">
        <v>14</v>
      </c>
      <c r="F2772">
        <v>0</v>
      </c>
      <c r="G2772">
        <v>4</v>
      </c>
    </row>
    <row r="2773" spans="1:7" x14ac:dyDescent="0.2">
      <c r="A2773" t="s">
        <v>6368</v>
      </c>
      <c r="B2773" t="s">
        <v>6369</v>
      </c>
      <c r="C2773" t="s">
        <v>2502</v>
      </c>
      <c r="D2773" t="s">
        <v>10</v>
      </c>
      <c r="E2773" t="s">
        <v>6370</v>
      </c>
      <c r="F2773">
        <v>0.16666666666666666</v>
      </c>
      <c r="G2773">
        <v>2</v>
      </c>
    </row>
    <row r="2774" spans="1:7" x14ac:dyDescent="0.2">
      <c r="A2774" t="s">
        <v>6368</v>
      </c>
      <c r="B2774" t="s">
        <v>6369</v>
      </c>
      <c r="C2774" t="s">
        <v>2502</v>
      </c>
      <c r="D2774" t="s">
        <v>3471</v>
      </c>
      <c r="E2774" t="s">
        <v>6371</v>
      </c>
    </row>
    <row r="2775" spans="1:7" x14ac:dyDescent="0.2">
      <c r="A2775" t="s">
        <v>6372</v>
      </c>
      <c r="B2775" t="s">
        <v>6373</v>
      </c>
      <c r="C2775" t="s">
        <v>2502</v>
      </c>
      <c r="D2775" t="s">
        <v>10</v>
      </c>
      <c r="E2775" t="s">
        <v>6374</v>
      </c>
    </row>
    <row r="2776" spans="1:7" x14ac:dyDescent="0.2">
      <c r="A2776" t="s">
        <v>6372</v>
      </c>
      <c r="B2776" t="s">
        <v>6373</v>
      </c>
      <c r="C2776" t="s">
        <v>2502</v>
      </c>
      <c r="D2776" t="s">
        <v>3471</v>
      </c>
      <c r="E2776" t="s">
        <v>6375</v>
      </c>
    </row>
    <row r="2777" spans="1:7" x14ac:dyDescent="0.2">
      <c r="A2777" t="s">
        <v>2745</v>
      </c>
      <c r="B2777" t="s">
        <v>2746</v>
      </c>
      <c r="C2777" t="s">
        <v>2502</v>
      </c>
      <c r="D2777" t="s">
        <v>14</v>
      </c>
      <c r="F2777">
        <v>0</v>
      </c>
      <c r="G2777">
        <v>8</v>
      </c>
    </row>
    <row r="2778" spans="1:7" x14ac:dyDescent="0.2">
      <c r="A2778" t="s">
        <v>2745</v>
      </c>
      <c r="B2778" t="s">
        <v>2746</v>
      </c>
      <c r="C2778" t="s">
        <v>2502</v>
      </c>
      <c r="D2778" t="s">
        <v>3471</v>
      </c>
      <c r="E2778" t="s">
        <v>8619</v>
      </c>
      <c r="F2778">
        <v>0</v>
      </c>
      <c r="G2778">
        <v>0</v>
      </c>
    </row>
    <row r="2779" spans="1:7" x14ac:dyDescent="0.2">
      <c r="A2779" t="s">
        <v>2745</v>
      </c>
      <c r="B2779" t="s">
        <v>2746</v>
      </c>
      <c r="C2779" t="s">
        <v>2502</v>
      </c>
      <c r="D2779" t="s">
        <v>3469</v>
      </c>
      <c r="F2779">
        <v>0</v>
      </c>
      <c r="G2779">
        <v>5</v>
      </c>
    </row>
    <row r="2780" spans="1:7" x14ac:dyDescent="0.2">
      <c r="A2780" t="s">
        <v>2511</v>
      </c>
      <c r="B2780" t="s">
        <v>2512</v>
      </c>
      <c r="C2780" t="s">
        <v>2502</v>
      </c>
      <c r="D2780" t="s">
        <v>3494</v>
      </c>
    </row>
    <row r="2781" spans="1:7" x14ac:dyDescent="0.2">
      <c r="A2781" t="s">
        <v>2511</v>
      </c>
      <c r="B2781" t="s">
        <v>2512</v>
      </c>
      <c r="C2781" t="s">
        <v>2502</v>
      </c>
      <c r="D2781" t="s">
        <v>3471</v>
      </c>
      <c r="E2781" t="s">
        <v>6376</v>
      </c>
      <c r="F2781">
        <v>0</v>
      </c>
      <c r="G2781">
        <v>0</v>
      </c>
    </row>
    <row r="2782" spans="1:7" x14ac:dyDescent="0.2">
      <c r="A2782" t="s">
        <v>2511</v>
      </c>
      <c r="B2782" t="s">
        <v>2512</v>
      </c>
      <c r="C2782" t="s">
        <v>2502</v>
      </c>
      <c r="D2782" t="s">
        <v>3469</v>
      </c>
      <c r="F2782">
        <v>0</v>
      </c>
      <c r="G2782">
        <v>1</v>
      </c>
    </row>
    <row r="2783" spans="1:7" x14ac:dyDescent="0.2">
      <c r="A2783" t="s">
        <v>6377</v>
      </c>
      <c r="B2783" t="s">
        <v>6378</v>
      </c>
      <c r="C2783" t="s">
        <v>2502</v>
      </c>
      <c r="D2783" t="s">
        <v>10</v>
      </c>
      <c r="E2783" t="s">
        <v>6379</v>
      </c>
      <c r="F2783">
        <v>0</v>
      </c>
      <c r="G2783">
        <v>7</v>
      </c>
    </row>
    <row r="2784" spans="1:7" x14ac:dyDescent="0.2">
      <c r="A2784" t="s">
        <v>2571</v>
      </c>
      <c r="B2784" t="s">
        <v>2572</v>
      </c>
      <c r="C2784" t="s">
        <v>2502</v>
      </c>
      <c r="D2784" t="s">
        <v>14</v>
      </c>
      <c r="F2784">
        <v>0.16666666666666666</v>
      </c>
      <c r="G2784">
        <v>16</v>
      </c>
    </row>
    <row r="2785" spans="1:7" x14ac:dyDescent="0.2">
      <c r="A2785" t="s">
        <v>2571</v>
      </c>
      <c r="B2785" t="s">
        <v>2572</v>
      </c>
      <c r="C2785" t="s">
        <v>2502</v>
      </c>
      <c r="D2785" t="s">
        <v>10</v>
      </c>
      <c r="E2785" t="s">
        <v>6380</v>
      </c>
      <c r="F2785">
        <v>23.5</v>
      </c>
      <c r="G2785">
        <v>246</v>
      </c>
    </row>
    <row r="2786" spans="1:7" x14ac:dyDescent="0.2">
      <c r="A2786" t="s">
        <v>2571</v>
      </c>
      <c r="B2786" t="s">
        <v>2572</v>
      </c>
      <c r="C2786" t="s">
        <v>2502</v>
      </c>
      <c r="D2786" t="s">
        <v>3471</v>
      </c>
      <c r="E2786" t="s">
        <v>6381</v>
      </c>
      <c r="F2786">
        <v>0</v>
      </c>
      <c r="G2786">
        <v>0</v>
      </c>
    </row>
    <row r="2787" spans="1:7" x14ac:dyDescent="0.2">
      <c r="A2787" t="s">
        <v>2571</v>
      </c>
      <c r="B2787" t="s">
        <v>2572</v>
      </c>
      <c r="C2787" t="s">
        <v>2502</v>
      </c>
      <c r="D2787" t="s">
        <v>8</v>
      </c>
      <c r="E2787" t="s">
        <v>6382</v>
      </c>
      <c r="F2787">
        <v>3.3333333333333335</v>
      </c>
      <c r="G2787">
        <v>1</v>
      </c>
    </row>
    <row r="2788" spans="1:7" x14ac:dyDescent="0.2">
      <c r="A2788" t="s">
        <v>2571</v>
      </c>
      <c r="B2788" t="s">
        <v>2572</v>
      </c>
      <c r="C2788" t="s">
        <v>2502</v>
      </c>
      <c r="D2788" t="s">
        <v>3469</v>
      </c>
      <c r="F2788">
        <v>0.16666666666666666</v>
      </c>
      <c r="G2788">
        <v>7</v>
      </c>
    </row>
    <row r="2789" spans="1:7" x14ac:dyDescent="0.2">
      <c r="A2789" t="s">
        <v>6383</v>
      </c>
      <c r="B2789" t="s">
        <v>6384</v>
      </c>
      <c r="C2789" t="s">
        <v>2502</v>
      </c>
      <c r="D2789" t="s">
        <v>14</v>
      </c>
    </row>
    <row r="2790" spans="1:7" x14ac:dyDescent="0.2">
      <c r="A2790" t="s">
        <v>6383</v>
      </c>
      <c r="B2790" t="s">
        <v>6384</v>
      </c>
      <c r="C2790" t="s">
        <v>2502</v>
      </c>
      <c r="D2790" t="s">
        <v>3471</v>
      </c>
      <c r="E2790" t="s">
        <v>6385</v>
      </c>
    </row>
    <row r="2791" spans="1:7" x14ac:dyDescent="0.2">
      <c r="A2791" t="s">
        <v>6383</v>
      </c>
      <c r="B2791" t="s">
        <v>6384</v>
      </c>
      <c r="C2791" t="s">
        <v>2502</v>
      </c>
      <c r="D2791" t="s">
        <v>8</v>
      </c>
      <c r="E2791" t="s">
        <v>6386</v>
      </c>
    </row>
    <row r="2792" spans="1:7" x14ac:dyDescent="0.2">
      <c r="A2792" t="s">
        <v>6383</v>
      </c>
      <c r="B2792" t="s">
        <v>6384</v>
      </c>
      <c r="C2792" t="s">
        <v>2502</v>
      </c>
      <c r="D2792" t="s">
        <v>3469</v>
      </c>
    </row>
    <row r="2793" spans="1:7" x14ac:dyDescent="0.2">
      <c r="A2793" t="s">
        <v>6383</v>
      </c>
      <c r="B2793" t="s">
        <v>6384</v>
      </c>
      <c r="C2793" t="s">
        <v>2502</v>
      </c>
      <c r="D2793" t="s">
        <v>3484</v>
      </c>
    </row>
    <row r="2794" spans="1:7" x14ac:dyDescent="0.2">
      <c r="A2794" t="s">
        <v>6387</v>
      </c>
      <c r="B2794" t="s">
        <v>6388</v>
      </c>
      <c r="C2794" t="s">
        <v>2502</v>
      </c>
      <c r="D2794" t="s">
        <v>14</v>
      </c>
    </row>
    <row r="2795" spans="1:7" x14ac:dyDescent="0.2">
      <c r="A2795" t="s">
        <v>6387</v>
      </c>
      <c r="B2795" t="s">
        <v>6388</v>
      </c>
      <c r="C2795" t="s">
        <v>2502</v>
      </c>
      <c r="D2795" t="s">
        <v>3471</v>
      </c>
      <c r="E2795" t="s">
        <v>6389</v>
      </c>
    </row>
    <row r="2796" spans="1:7" x14ac:dyDescent="0.2">
      <c r="A2796" t="s">
        <v>6387</v>
      </c>
      <c r="B2796" t="s">
        <v>6388</v>
      </c>
      <c r="C2796" t="s">
        <v>2502</v>
      </c>
      <c r="D2796" t="s">
        <v>8</v>
      </c>
      <c r="E2796" t="s">
        <v>6390</v>
      </c>
    </row>
    <row r="2797" spans="1:7" x14ac:dyDescent="0.2">
      <c r="A2797" t="s">
        <v>6387</v>
      </c>
      <c r="B2797" t="s">
        <v>6388</v>
      </c>
      <c r="C2797" t="s">
        <v>2502</v>
      </c>
      <c r="D2797" t="s">
        <v>3469</v>
      </c>
      <c r="F2797">
        <v>0</v>
      </c>
      <c r="G2797">
        <v>2</v>
      </c>
    </row>
    <row r="2798" spans="1:7" x14ac:dyDescent="0.2">
      <c r="A2798" t="s">
        <v>6387</v>
      </c>
      <c r="B2798" t="s">
        <v>6388</v>
      </c>
      <c r="C2798" t="s">
        <v>2502</v>
      </c>
      <c r="D2798" t="s">
        <v>3484</v>
      </c>
    </row>
    <row r="2799" spans="1:7" x14ac:dyDescent="0.2">
      <c r="A2799" t="s">
        <v>2659</v>
      </c>
      <c r="B2799" t="s">
        <v>2660</v>
      </c>
      <c r="C2799" t="s">
        <v>2502</v>
      </c>
      <c r="D2799" t="s">
        <v>3471</v>
      </c>
      <c r="E2799" t="s">
        <v>6391</v>
      </c>
      <c r="F2799">
        <v>0</v>
      </c>
      <c r="G2799">
        <v>0</v>
      </c>
    </row>
    <row r="2800" spans="1:7" x14ac:dyDescent="0.2">
      <c r="A2800" t="s">
        <v>2659</v>
      </c>
      <c r="B2800" t="s">
        <v>2660</v>
      </c>
      <c r="C2800" t="s">
        <v>2502</v>
      </c>
      <c r="D2800" t="s">
        <v>8</v>
      </c>
      <c r="E2800" t="s">
        <v>6392</v>
      </c>
    </row>
    <row r="2801" spans="1:7" x14ac:dyDescent="0.2">
      <c r="A2801" t="s">
        <v>2659</v>
      </c>
      <c r="B2801" t="s">
        <v>2660</v>
      </c>
      <c r="C2801" t="s">
        <v>2502</v>
      </c>
      <c r="D2801" t="s">
        <v>3469</v>
      </c>
      <c r="F2801">
        <v>0</v>
      </c>
      <c r="G2801">
        <v>0</v>
      </c>
    </row>
    <row r="2802" spans="1:7" x14ac:dyDescent="0.2">
      <c r="A2802" t="s">
        <v>2659</v>
      </c>
      <c r="B2802" t="s">
        <v>2660</v>
      </c>
      <c r="C2802" t="s">
        <v>2502</v>
      </c>
      <c r="D2802" t="s">
        <v>3484</v>
      </c>
    </row>
    <row r="2803" spans="1:7" x14ac:dyDescent="0.2">
      <c r="A2803" t="s">
        <v>2567</v>
      </c>
      <c r="B2803" t="s">
        <v>2568</v>
      </c>
      <c r="C2803" t="s">
        <v>2502</v>
      </c>
      <c r="D2803" t="s">
        <v>14</v>
      </c>
      <c r="F2803">
        <v>0</v>
      </c>
      <c r="G2803">
        <v>12</v>
      </c>
    </row>
    <row r="2804" spans="1:7" x14ac:dyDescent="0.2">
      <c r="A2804" t="s">
        <v>2567</v>
      </c>
      <c r="B2804" t="s">
        <v>2568</v>
      </c>
      <c r="C2804" t="s">
        <v>2502</v>
      </c>
      <c r="D2804" t="s">
        <v>10</v>
      </c>
      <c r="E2804" t="s">
        <v>6393</v>
      </c>
    </row>
    <row r="2805" spans="1:7" x14ac:dyDescent="0.2">
      <c r="A2805" t="s">
        <v>2567</v>
      </c>
      <c r="B2805" t="s">
        <v>2568</v>
      </c>
      <c r="C2805" t="s">
        <v>2502</v>
      </c>
      <c r="D2805" t="s">
        <v>3471</v>
      </c>
      <c r="E2805" t="s">
        <v>6394</v>
      </c>
      <c r="F2805">
        <v>0</v>
      </c>
      <c r="G2805">
        <v>0</v>
      </c>
    </row>
    <row r="2806" spans="1:7" x14ac:dyDescent="0.2">
      <c r="A2806" t="s">
        <v>2567</v>
      </c>
      <c r="B2806" t="s">
        <v>2568</v>
      </c>
      <c r="C2806" t="s">
        <v>2502</v>
      </c>
      <c r="D2806" t="s">
        <v>8</v>
      </c>
      <c r="E2806" t="s">
        <v>6395</v>
      </c>
      <c r="F2806">
        <v>5.333333333333333</v>
      </c>
      <c r="G2806">
        <v>5</v>
      </c>
    </row>
    <row r="2807" spans="1:7" x14ac:dyDescent="0.2">
      <c r="A2807" t="s">
        <v>2565</v>
      </c>
      <c r="B2807" t="s">
        <v>2566</v>
      </c>
      <c r="C2807" t="s">
        <v>2502</v>
      </c>
      <c r="D2807" t="s">
        <v>14</v>
      </c>
    </row>
    <row r="2808" spans="1:7" x14ac:dyDescent="0.2">
      <c r="A2808" t="s">
        <v>2565</v>
      </c>
      <c r="B2808" t="s">
        <v>2566</v>
      </c>
      <c r="C2808" t="s">
        <v>2502</v>
      </c>
      <c r="D2808" t="s">
        <v>3471</v>
      </c>
      <c r="E2808" t="s">
        <v>6396</v>
      </c>
      <c r="F2808">
        <v>0.5</v>
      </c>
      <c r="G2808">
        <v>0</v>
      </c>
    </row>
    <row r="2809" spans="1:7" x14ac:dyDescent="0.2">
      <c r="A2809" t="s">
        <v>2565</v>
      </c>
      <c r="B2809" t="s">
        <v>2566</v>
      </c>
      <c r="C2809" t="s">
        <v>2502</v>
      </c>
      <c r="D2809" t="s">
        <v>8</v>
      </c>
      <c r="E2809" t="s">
        <v>6397</v>
      </c>
      <c r="F2809">
        <v>2.6666666666666665</v>
      </c>
      <c r="G2809">
        <v>6</v>
      </c>
    </row>
    <row r="2810" spans="1:7" x14ac:dyDescent="0.2">
      <c r="A2810" t="s">
        <v>2655</v>
      </c>
      <c r="B2810" t="s">
        <v>2656</v>
      </c>
      <c r="C2810" t="s">
        <v>2502</v>
      </c>
      <c r="D2810" t="s">
        <v>3471</v>
      </c>
      <c r="E2810" t="s">
        <v>6398</v>
      </c>
      <c r="F2810">
        <v>1.8333333333333333</v>
      </c>
      <c r="G2810">
        <v>-5</v>
      </c>
    </row>
    <row r="2811" spans="1:7" x14ac:dyDescent="0.2">
      <c r="A2811" t="s">
        <v>2655</v>
      </c>
      <c r="B2811" t="s">
        <v>2656</v>
      </c>
      <c r="C2811" t="s">
        <v>2502</v>
      </c>
      <c r="D2811" t="s">
        <v>8</v>
      </c>
      <c r="E2811" t="s">
        <v>6399</v>
      </c>
      <c r="F2811">
        <v>0.66666666666666663</v>
      </c>
      <c r="G2811">
        <v>2</v>
      </c>
    </row>
    <row r="2812" spans="1:7" x14ac:dyDescent="0.2">
      <c r="A2812" t="s">
        <v>2655</v>
      </c>
      <c r="B2812" t="s">
        <v>2656</v>
      </c>
      <c r="C2812" t="s">
        <v>2502</v>
      </c>
      <c r="D2812" t="s">
        <v>3469</v>
      </c>
      <c r="F2812">
        <v>4.5</v>
      </c>
      <c r="G2812">
        <v>16</v>
      </c>
    </row>
    <row r="2813" spans="1:7" x14ac:dyDescent="0.2">
      <c r="A2813" t="s">
        <v>2725</v>
      </c>
      <c r="B2813" t="s">
        <v>2726</v>
      </c>
      <c r="C2813" t="s">
        <v>2502</v>
      </c>
      <c r="D2813" t="s">
        <v>10</v>
      </c>
      <c r="E2813" t="s">
        <v>6400</v>
      </c>
    </row>
    <row r="2814" spans="1:7" x14ac:dyDescent="0.2">
      <c r="A2814" t="s">
        <v>2725</v>
      </c>
      <c r="B2814" t="s">
        <v>2726</v>
      </c>
      <c r="C2814" t="s">
        <v>2502</v>
      </c>
      <c r="D2814" t="s">
        <v>3471</v>
      </c>
      <c r="E2814" t="s">
        <v>6401</v>
      </c>
    </row>
    <row r="2815" spans="1:7" x14ac:dyDescent="0.2">
      <c r="A2815" t="s">
        <v>2725</v>
      </c>
      <c r="B2815" t="s">
        <v>2726</v>
      </c>
      <c r="C2815" t="s">
        <v>2502</v>
      </c>
      <c r="D2815" t="s">
        <v>8</v>
      </c>
      <c r="E2815" t="s">
        <v>6402</v>
      </c>
      <c r="F2815">
        <v>0.33333333333333331</v>
      </c>
      <c r="G2815">
        <v>0</v>
      </c>
    </row>
    <row r="2816" spans="1:7" x14ac:dyDescent="0.2">
      <c r="A2816" t="s">
        <v>2725</v>
      </c>
      <c r="B2816" t="s">
        <v>2726</v>
      </c>
      <c r="C2816" t="s">
        <v>2502</v>
      </c>
      <c r="D2816" t="s">
        <v>3469</v>
      </c>
    </row>
    <row r="2817" spans="1:7" x14ac:dyDescent="0.2">
      <c r="A2817" t="s">
        <v>6403</v>
      </c>
      <c r="B2817" t="s">
        <v>6404</v>
      </c>
      <c r="C2817" t="s">
        <v>6405</v>
      </c>
      <c r="D2817" t="s">
        <v>11</v>
      </c>
      <c r="E2817" t="s">
        <v>6406</v>
      </c>
    </row>
    <row r="2818" spans="1:7" x14ac:dyDescent="0.2">
      <c r="A2818" t="s">
        <v>6407</v>
      </c>
      <c r="B2818" t="s">
        <v>6408</v>
      </c>
      <c r="C2818" t="s">
        <v>6405</v>
      </c>
      <c r="D2818" t="s">
        <v>11</v>
      </c>
      <c r="E2818" t="s">
        <v>6409</v>
      </c>
    </row>
    <row r="2819" spans="1:7" x14ac:dyDescent="0.2">
      <c r="A2819" t="s">
        <v>6410</v>
      </c>
      <c r="B2819" t="s">
        <v>6411</v>
      </c>
      <c r="C2819" t="s">
        <v>6405</v>
      </c>
      <c r="D2819" t="s">
        <v>11</v>
      </c>
      <c r="E2819" t="s">
        <v>6412</v>
      </c>
    </row>
    <row r="2820" spans="1:7" x14ac:dyDescent="0.2">
      <c r="A2820" t="s">
        <v>6413</v>
      </c>
      <c r="B2820" t="s">
        <v>6414</v>
      </c>
      <c r="C2820" t="s">
        <v>6405</v>
      </c>
      <c r="D2820" t="s">
        <v>11</v>
      </c>
      <c r="E2820" t="s">
        <v>6415</v>
      </c>
    </row>
    <row r="2821" spans="1:7" x14ac:dyDescent="0.2">
      <c r="A2821" t="s">
        <v>6416</v>
      </c>
      <c r="B2821" t="s">
        <v>6417</v>
      </c>
      <c r="C2821" t="s">
        <v>6405</v>
      </c>
      <c r="D2821" t="s">
        <v>11</v>
      </c>
      <c r="E2821" t="s">
        <v>6418</v>
      </c>
    </row>
    <row r="2822" spans="1:7" x14ac:dyDescent="0.2">
      <c r="A2822" t="s">
        <v>6419</v>
      </c>
      <c r="B2822" t="s">
        <v>6420</v>
      </c>
      <c r="C2822" t="s">
        <v>6405</v>
      </c>
      <c r="D2822" t="s">
        <v>11</v>
      </c>
      <c r="E2822" t="s">
        <v>6421</v>
      </c>
    </row>
    <row r="2823" spans="1:7" x14ac:dyDescent="0.2">
      <c r="A2823" t="s">
        <v>6422</v>
      </c>
      <c r="B2823" t="s">
        <v>6423</v>
      </c>
      <c r="C2823" t="s">
        <v>6405</v>
      </c>
      <c r="D2823" t="s">
        <v>11</v>
      </c>
      <c r="E2823" t="s">
        <v>6424</v>
      </c>
    </row>
    <row r="2824" spans="1:7" x14ac:dyDescent="0.2">
      <c r="A2824" t="s">
        <v>6425</v>
      </c>
      <c r="B2824" t="s">
        <v>6426</v>
      </c>
      <c r="C2824" t="s">
        <v>6405</v>
      </c>
      <c r="D2824" t="s">
        <v>11</v>
      </c>
      <c r="E2824" t="s">
        <v>6427</v>
      </c>
    </row>
    <row r="2825" spans="1:7" x14ac:dyDescent="0.2">
      <c r="A2825" t="s">
        <v>6428</v>
      </c>
      <c r="B2825" t="s">
        <v>6429</v>
      </c>
      <c r="C2825" t="s">
        <v>223</v>
      </c>
      <c r="D2825" t="s">
        <v>11</v>
      </c>
      <c r="E2825" t="s">
        <v>6430</v>
      </c>
    </row>
    <row r="2826" spans="1:7" x14ac:dyDescent="0.2">
      <c r="A2826" t="s">
        <v>2973</v>
      </c>
      <c r="B2826" t="s">
        <v>2974</v>
      </c>
      <c r="C2826" t="s">
        <v>2928</v>
      </c>
      <c r="D2826" t="s">
        <v>11</v>
      </c>
      <c r="E2826" t="s">
        <v>6431</v>
      </c>
    </row>
    <row r="2827" spans="1:7" x14ac:dyDescent="0.2">
      <c r="A2827" t="s">
        <v>2975</v>
      </c>
      <c r="B2827" t="s">
        <v>2976</v>
      </c>
      <c r="C2827" t="s">
        <v>2928</v>
      </c>
      <c r="D2827" t="s">
        <v>11</v>
      </c>
      <c r="E2827" t="s">
        <v>6432</v>
      </c>
    </row>
    <row r="2828" spans="1:7" x14ac:dyDescent="0.2">
      <c r="A2828" t="s">
        <v>2975</v>
      </c>
      <c r="B2828" t="s">
        <v>2976</v>
      </c>
      <c r="C2828" t="s">
        <v>2928</v>
      </c>
      <c r="D2828" t="s">
        <v>3471</v>
      </c>
      <c r="E2828" t="s">
        <v>6433</v>
      </c>
    </row>
    <row r="2829" spans="1:7" x14ac:dyDescent="0.2">
      <c r="A2829" t="s">
        <v>2945</v>
      </c>
      <c r="B2829" t="s">
        <v>2946</v>
      </c>
      <c r="C2829" t="s">
        <v>2928</v>
      </c>
      <c r="D2829" t="s">
        <v>11</v>
      </c>
      <c r="E2829" t="s">
        <v>6434</v>
      </c>
    </row>
    <row r="2830" spans="1:7" x14ac:dyDescent="0.2">
      <c r="A2830" t="s">
        <v>2947</v>
      </c>
      <c r="B2830" t="s">
        <v>2948</v>
      </c>
      <c r="C2830" t="s">
        <v>2928</v>
      </c>
      <c r="D2830" t="s">
        <v>11</v>
      </c>
      <c r="E2830" t="s">
        <v>6435</v>
      </c>
    </row>
    <row r="2831" spans="1:7" x14ac:dyDescent="0.2">
      <c r="A2831" t="s">
        <v>2949</v>
      </c>
      <c r="B2831" t="s">
        <v>2950</v>
      </c>
      <c r="C2831" t="s">
        <v>2928</v>
      </c>
      <c r="D2831" t="s">
        <v>10</v>
      </c>
      <c r="E2831" t="s">
        <v>6436</v>
      </c>
      <c r="F2831">
        <v>0</v>
      </c>
      <c r="G2831">
        <v>2</v>
      </c>
    </row>
    <row r="2832" spans="1:7" x14ac:dyDescent="0.2">
      <c r="A2832" t="s">
        <v>2951</v>
      </c>
      <c r="B2832" t="s">
        <v>2952</v>
      </c>
      <c r="C2832" t="s">
        <v>2928</v>
      </c>
      <c r="D2832" t="s">
        <v>11</v>
      </c>
      <c r="E2832" t="s">
        <v>6437</v>
      </c>
    </row>
    <row r="2833" spans="1:7" x14ac:dyDescent="0.2">
      <c r="A2833" t="s">
        <v>2951</v>
      </c>
      <c r="B2833" t="s">
        <v>2952</v>
      </c>
      <c r="C2833" t="s">
        <v>2928</v>
      </c>
      <c r="D2833" t="s">
        <v>10</v>
      </c>
      <c r="E2833" t="s">
        <v>6438</v>
      </c>
    </row>
    <row r="2834" spans="1:7" x14ac:dyDescent="0.2">
      <c r="A2834" t="s">
        <v>2943</v>
      </c>
      <c r="B2834" t="s">
        <v>2944</v>
      </c>
      <c r="C2834" t="s">
        <v>2928</v>
      </c>
      <c r="D2834" t="s">
        <v>10</v>
      </c>
      <c r="E2834" t="s">
        <v>6439</v>
      </c>
      <c r="F2834">
        <v>0</v>
      </c>
      <c r="G2834">
        <v>1</v>
      </c>
    </row>
    <row r="2835" spans="1:7" x14ac:dyDescent="0.2">
      <c r="A2835" t="s">
        <v>2943</v>
      </c>
      <c r="B2835" t="s">
        <v>2944</v>
      </c>
      <c r="C2835" t="s">
        <v>2928</v>
      </c>
      <c r="D2835" t="s">
        <v>3471</v>
      </c>
      <c r="E2835" t="s">
        <v>6440</v>
      </c>
    </row>
    <row r="2836" spans="1:7" x14ac:dyDescent="0.2">
      <c r="A2836" t="s">
        <v>2941</v>
      </c>
      <c r="B2836" t="s">
        <v>2942</v>
      </c>
      <c r="C2836" t="s">
        <v>2928</v>
      </c>
      <c r="D2836" t="s">
        <v>11</v>
      </c>
      <c r="E2836" t="s">
        <v>6441</v>
      </c>
    </row>
    <row r="2837" spans="1:7" x14ac:dyDescent="0.2">
      <c r="A2837" t="s">
        <v>2955</v>
      </c>
      <c r="B2837" t="s">
        <v>2956</v>
      </c>
      <c r="C2837" t="s">
        <v>2928</v>
      </c>
      <c r="D2837" t="s">
        <v>11</v>
      </c>
      <c r="E2837" t="s">
        <v>6442</v>
      </c>
    </row>
    <row r="2838" spans="1:7" x14ac:dyDescent="0.2">
      <c r="A2838" t="s">
        <v>6443</v>
      </c>
      <c r="B2838" t="s">
        <v>6444</v>
      </c>
      <c r="C2838" t="s">
        <v>2928</v>
      </c>
      <c r="D2838" t="s">
        <v>11</v>
      </c>
      <c r="E2838" t="s">
        <v>6445</v>
      </c>
    </row>
    <row r="2839" spans="1:7" x14ac:dyDescent="0.2">
      <c r="A2839" t="s">
        <v>2965</v>
      </c>
      <c r="B2839" t="s">
        <v>2966</v>
      </c>
      <c r="C2839" t="s">
        <v>2928</v>
      </c>
      <c r="D2839" t="s">
        <v>10</v>
      </c>
      <c r="E2839" t="s">
        <v>6446</v>
      </c>
    </row>
    <row r="2840" spans="1:7" x14ac:dyDescent="0.2">
      <c r="A2840" t="s">
        <v>2957</v>
      </c>
      <c r="B2840" t="s">
        <v>2958</v>
      </c>
      <c r="C2840" t="s">
        <v>2928</v>
      </c>
      <c r="D2840" t="s">
        <v>11</v>
      </c>
      <c r="E2840" t="s">
        <v>6447</v>
      </c>
    </row>
    <row r="2841" spans="1:7" x14ac:dyDescent="0.2">
      <c r="A2841" t="s">
        <v>2953</v>
      </c>
      <c r="B2841" t="s">
        <v>2954</v>
      </c>
      <c r="C2841" t="s">
        <v>2928</v>
      </c>
      <c r="D2841" t="s">
        <v>11</v>
      </c>
      <c r="E2841" t="s">
        <v>6448</v>
      </c>
    </row>
    <row r="2842" spans="1:7" x14ac:dyDescent="0.2">
      <c r="A2842" t="s">
        <v>2953</v>
      </c>
      <c r="B2842" t="s">
        <v>2954</v>
      </c>
      <c r="C2842" t="s">
        <v>2928</v>
      </c>
      <c r="D2842" t="s">
        <v>10</v>
      </c>
      <c r="E2842" t="s">
        <v>6449</v>
      </c>
      <c r="F2842">
        <v>0</v>
      </c>
      <c r="G2842">
        <v>6</v>
      </c>
    </row>
    <row r="2843" spans="1:7" x14ac:dyDescent="0.2">
      <c r="A2843" t="s">
        <v>2937</v>
      </c>
      <c r="B2843" t="s">
        <v>2938</v>
      </c>
      <c r="C2843" t="s">
        <v>2928</v>
      </c>
      <c r="D2843" t="s">
        <v>11</v>
      </c>
      <c r="E2843" t="s">
        <v>6450</v>
      </c>
    </row>
    <row r="2844" spans="1:7" x14ac:dyDescent="0.2">
      <c r="A2844" t="s">
        <v>2937</v>
      </c>
      <c r="B2844" t="s">
        <v>2938</v>
      </c>
      <c r="C2844" t="s">
        <v>2928</v>
      </c>
      <c r="D2844" t="s">
        <v>3494</v>
      </c>
    </row>
    <row r="2845" spans="1:7" x14ac:dyDescent="0.2">
      <c r="A2845" t="s">
        <v>2937</v>
      </c>
      <c r="B2845" t="s">
        <v>2938</v>
      </c>
      <c r="C2845" t="s">
        <v>2928</v>
      </c>
      <c r="D2845" t="s">
        <v>10</v>
      </c>
      <c r="E2845" t="s">
        <v>6451</v>
      </c>
    </row>
    <row r="2846" spans="1:7" x14ac:dyDescent="0.2">
      <c r="A2846" t="s">
        <v>2963</v>
      </c>
      <c r="B2846" t="s">
        <v>2964</v>
      </c>
      <c r="C2846" t="s">
        <v>2928</v>
      </c>
      <c r="D2846" t="s">
        <v>11</v>
      </c>
      <c r="E2846" t="s">
        <v>6452</v>
      </c>
    </row>
    <row r="2847" spans="1:7" x14ac:dyDescent="0.2">
      <c r="A2847" t="s">
        <v>2963</v>
      </c>
      <c r="B2847" t="s">
        <v>2964</v>
      </c>
      <c r="C2847" t="s">
        <v>2928</v>
      </c>
      <c r="D2847" t="s">
        <v>3494</v>
      </c>
    </row>
    <row r="2848" spans="1:7" x14ac:dyDescent="0.2">
      <c r="A2848" t="s">
        <v>2963</v>
      </c>
      <c r="B2848" t="s">
        <v>2964</v>
      </c>
      <c r="C2848" t="s">
        <v>2928</v>
      </c>
      <c r="D2848" t="s">
        <v>10</v>
      </c>
      <c r="E2848" t="s">
        <v>6453</v>
      </c>
    </row>
    <row r="2849" spans="1:7" x14ac:dyDescent="0.2">
      <c r="A2849" t="s">
        <v>2959</v>
      </c>
      <c r="B2849" t="s">
        <v>2960</v>
      </c>
      <c r="C2849" t="s">
        <v>2928</v>
      </c>
      <c r="D2849" t="s">
        <v>11</v>
      </c>
      <c r="E2849" t="s">
        <v>6454</v>
      </c>
    </row>
    <row r="2850" spans="1:7" x14ac:dyDescent="0.2">
      <c r="A2850" t="s">
        <v>2959</v>
      </c>
      <c r="B2850" t="s">
        <v>2960</v>
      </c>
      <c r="C2850" t="s">
        <v>2928</v>
      </c>
      <c r="D2850" t="s">
        <v>10</v>
      </c>
      <c r="E2850" t="s">
        <v>6455</v>
      </c>
    </row>
    <row r="2851" spans="1:7" x14ac:dyDescent="0.2">
      <c r="A2851" t="s">
        <v>2931</v>
      </c>
      <c r="B2851" t="s">
        <v>2932</v>
      </c>
      <c r="C2851" t="s">
        <v>2928</v>
      </c>
      <c r="D2851" t="s">
        <v>11</v>
      </c>
      <c r="E2851" t="s">
        <v>6456</v>
      </c>
    </row>
    <row r="2852" spans="1:7" x14ac:dyDescent="0.2">
      <c r="A2852" t="s">
        <v>2931</v>
      </c>
      <c r="B2852" t="s">
        <v>2932</v>
      </c>
      <c r="C2852" t="s">
        <v>2928</v>
      </c>
      <c r="D2852" t="s">
        <v>10</v>
      </c>
      <c r="E2852" t="s">
        <v>6457</v>
      </c>
    </row>
    <row r="2853" spans="1:7" x14ac:dyDescent="0.2">
      <c r="A2853" t="s">
        <v>2929</v>
      </c>
      <c r="B2853" t="s">
        <v>2930</v>
      </c>
      <c r="C2853" t="s">
        <v>2928</v>
      </c>
      <c r="D2853" t="s">
        <v>11</v>
      </c>
      <c r="E2853" t="s">
        <v>6458</v>
      </c>
    </row>
    <row r="2854" spans="1:7" x14ac:dyDescent="0.2">
      <c r="A2854" t="s">
        <v>2933</v>
      </c>
      <c r="B2854" t="s">
        <v>2934</v>
      </c>
      <c r="C2854" t="s">
        <v>2928</v>
      </c>
      <c r="D2854" t="s">
        <v>11</v>
      </c>
      <c r="E2854" t="s">
        <v>6459</v>
      </c>
    </row>
    <row r="2855" spans="1:7" x14ac:dyDescent="0.2">
      <c r="A2855" t="s">
        <v>2933</v>
      </c>
      <c r="B2855" t="s">
        <v>2934</v>
      </c>
      <c r="C2855" t="s">
        <v>2928</v>
      </c>
      <c r="D2855" t="s">
        <v>3494</v>
      </c>
    </row>
    <row r="2856" spans="1:7" x14ac:dyDescent="0.2">
      <c r="A2856" t="s">
        <v>2933</v>
      </c>
      <c r="B2856" t="s">
        <v>2934</v>
      </c>
      <c r="C2856" t="s">
        <v>2928</v>
      </c>
      <c r="D2856" t="s">
        <v>10</v>
      </c>
      <c r="E2856" t="s">
        <v>6460</v>
      </c>
      <c r="F2856">
        <v>0</v>
      </c>
      <c r="G2856">
        <v>2</v>
      </c>
    </row>
    <row r="2857" spans="1:7" x14ac:dyDescent="0.2">
      <c r="A2857" t="s">
        <v>2983</v>
      </c>
      <c r="B2857" t="s">
        <v>2984</v>
      </c>
      <c r="C2857" t="s">
        <v>2928</v>
      </c>
      <c r="D2857" t="s">
        <v>11</v>
      </c>
      <c r="E2857" t="s">
        <v>6461</v>
      </c>
    </row>
    <row r="2858" spans="1:7" x14ac:dyDescent="0.2">
      <c r="A2858" t="s">
        <v>2983</v>
      </c>
      <c r="B2858" t="s">
        <v>2984</v>
      </c>
      <c r="C2858" t="s">
        <v>2928</v>
      </c>
      <c r="D2858" t="s">
        <v>10</v>
      </c>
      <c r="E2858" t="s">
        <v>6462</v>
      </c>
    </row>
    <row r="2859" spans="1:7" x14ac:dyDescent="0.2">
      <c r="A2859" t="s">
        <v>2985</v>
      </c>
      <c r="B2859" t="s">
        <v>2986</v>
      </c>
      <c r="C2859" t="s">
        <v>2928</v>
      </c>
      <c r="D2859" t="s">
        <v>10</v>
      </c>
      <c r="E2859" t="s">
        <v>6463</v>
      </c>
      <c r="F2859">
        <v>0</v>
      </c>
      <c r="G2859">
        <v>9</v>
      </c>
    </row>
    <row r="2860" spans="1:7" x14ac:dyDescent="0.2">
      <c r="A2860" t="s">
        <v>2961</v>
      </c>
      <c r="B2860" t="s">
        <v>2962</v>
      </c>
      <c r="C2860" t="s">
        <v>2928</v>
      </c>
      <c r="D2860" t="s">
        <v>11</v>
      </c>
      <c r="E2860" t="s">
        <v>6464</v>
      </c>
    </row>
    <row r="2861" spans="1:7" x14ac:dyDescent="0.2">
      <c r="A2861" t="s">
        <v>2961</v>
      </c>
      <c r="B2861" t="s">
        <v>2962</v>
      </c>
      <c r="C2861" t="s">
        <v>2928</v>
      </c>
      <c r="D2861" t="s">
        <v>3471</v>
      </c>
      <c r="E2861" t="s">
        <v>6465</v>
      </c>
    </row>
    <row r="2862" spans="1:7" x14ac:dyDescent="0.2">
      <c r="A2862" t="s">
        <v>2977</v>
      </c>
      <c r="B2862" t="s">
        <v>2978</v>
      </c>
      <c r="C2862" t="s">
        <v>2928</v>
      </c>
      <c r="D2862" t="s">
        <v>11</v>
      </c>
    </row>
    <row r="2863" spans="1:7" x14ac:dyDescent="0.2">
      <c r="A2863" t="s">
        <v>2977</v>
      </c>
      <c r="B2863" t="s">
        <v>2978</v>
      </c>
      <c r="C2863" t="s">
        <v>2928</v>
      </c>
      <c r="D2863" t="s">
        <v>10</v>
      </c>
      <c r="E2863" t="s">
        <v>6466</v>
      </c>
      <c r="F2863">
        <v>0</v>
      </c>
      <c r="G2863">
        <v>1</v>
      </c>
    </row>
    <row r="2864" spans="1:7" x14ac:dyDescent="0.2">
      <c r="A2864" t="s">
        <v>2967</v>
      </c>
      <c r="B2864" t="s">
        <v>2968</v>
      </c>
      <c r="C2864" t="s">
        <v>2928</v>
      </c>
      <c r="D2864" t="s">
        <v>11</v>
      </c>
      <c r="E2864" t="s">
        <v>6467</v>
      </c>
    </row>
    <row r="2865" spans="1:7" x14ac:dyDescent="0.2">
      <c r="A2865" t="s">
        <v>2967</v>
      </c>
      <c r="B2865" t="s">
        <v>2968</v>
      </c>
      <c r="C2865" t="s">
        <v>2928</v>
      </c>
      <c r="D2865" t="s">
        <v>14</v>
      </c>
    </row>
    <row r="2866" spans="1:7" x14ac:dyDescent="0.2">
      <c r="A2866" t="s">
        <v>2967</v>
      </c>
      <c r="B2866" t="s">
        <v>2968</v>
      </c>
      <c r="C2866" t="s">
        <v>2928</v>
      </c>
      <c r="D2866" t="s">
        <v>3469</v>
      </c>
    </row>
    <row r="2867" spans="1:7" x14ac:dyDescent="0.2">
      <c r="A2867" t="s">
        <v>2935</v>
      </c>
      <c r="B2867" t="s">
        <v>2936</v>
      </c>
      <c r="C2867" t="s">
        <v>2928</v>
      </c>
      <c r="D2867" t="s">
        <v>11</v>
      </c>
      <c r="E2867" t="s">
        <v>6468</v>
      </c>
    </row>
    <row r="2868" spans="1:7" x14ac:dyDescent="0.2">
      <c r="A2868" t="s">
        <v>2935</v>
      </c>
      <c r="B2868" t="s">
        <v>2936</v>
      </c>
      <c r="C2868" t="s">
        <v>2928</v>
      </c>
      <c r="D2868" t="s">
        <v>3494</v>
      </c>
    </row>
    <row r="2869" spans="1:7" x14ac:dyDescent="0.2">
      <c r="A2869" t="s">
        <v>2969</v>
      </c>
      <c r="B2869" t="s">
        <v>2970</v>
      </c>
      <c r="C2869" t="s">
        <v>2928</v>
      </c>
      <c r="D2869" t="s">
        <v>11</v>
      </c>
      <c r="E2869" t="s">
        <v>6469</v>
      </c>
    </row>
    <row r="2870" spans="1:7" x14ac:dyDescent="0.2">
      <c r="A2870" t="s">
        <v>2971</v>
      </c>
      <c r="B2870" t="s">
        <v>2972</v>
      </c>
      <c r="C2870" t="s">
        <v>2928</v>
      </c>
      <c r="D2870" t="s">
        <v>11</v>
      </c>
      <c r="E2870" t="s">
        <v>6470</v>
      </c>
    </row>
    <row r="2871" spans="1:7" x14ac:dyDescent="0.2">
      <c r="A2871" t="s">
        <v>2981</v>
      </c>
      <c r="B2871" t="s">
        <v>2982</v>
      </c>
      <c r="C2871" t="s">
        <v>2928</v>
      </c>
      <c r="D2871" t="s">
        <v>11</v>
      </c>
      <c r="E2871" t="s">
        <v>6471</v>
      </c>
    </row>
    <row r="2872" spans="1:7" x14ac:dyDescent="0.2">
      <c r="A2872" t="s">
        <v>6472</v>
      </c>
      <c r="B2872" t="s">
        <v>6473</v>
      </c>
      <c r="C2872" t="s">
        <v>6405</v>
      </c>
      <c r="D2872" t="s">
        <v>11</v>
      </c>
      <c r="E2872" t="s">
        <v>6474</v>
      </c>
    </row>
    <row r="2873" spans="1:7" x14ac:dyDescent="0.2">
      <c r="A2873" t="s">
        <v>6475</v>
      </c>
      <c r="B2873" t="s">
        <v>6476</v>
      </c>
      <c r="C2873" t="s">
        <v>6405</v>
      </c>
      <c r="D2873" t="s">
        <v>11</v>
      </c>
      <c r="E2873" t="s">
        <v>6477</v>
      </c>
    </row>
    <row r="2874" spans="1:7" x14ac:dyDescent="0.2">
      <c r="A2874" t="s">
        <v>2988</v>
      </c>
      <c r="B2874" t="s">
        <v>2989</v>
      </c>
      <c r="C2874" t="s">
        <v>2987</v>
      </c>
      <c r="D2874" t="s">
        <v>11</v>
      </c>
      <c r="E2874" t="s">
        <v>6478</v>
      </c>
    </row>
    <row r="2875" spans="1:7" x14ac:dyDescent="0.2">
      <c r="A2875" t="s">
        <v>2988</v>
      </c>
      <c r="B2875" t="s">
        <v>2989</v>
      </c>
      <c r="C2875" t="s">
        <v>2987</v>
      </c>
      <c r="D2875" t="s">
        <v>13</v>
      </c>
    </row>
    <row r="2876" spans="1:7" x14ac:dyDescent="0.2">
      <c r="A2876" t="s">
        <v>2988</v>
      </c>
      <c r="B2876" t="s">
        <v>2989</v>
      </c>
      <c r="C2876" t="s">
        <v>2987</v>
      </c>
      <c r="D2876" t="s">
        <v>14</v>
      </c>
      <c r="F2876">
        <v>0.16666666666666666</v>
      </c>
      <c r="G2876">
        <v>14</v>
      </c>
    </row>
    <row r="2877" spans="1:7" x14ac:dyDescent="0.2">
      <c r="A2877" t="s">
        <v>2988</v>
      </c>
      <c r="B2877" t="s">
        <v>2989</v>
      </c>
      <c r="C2877" t="s">
        <v>2987</v>
      </c>
      <c r="D2877" t="s">
        <v>10</v>
      </c>
      <c r="E2877" t="s">
        <v>6479</v>
      </c>
      <c r="F2877">
        <v>1.3333333333333333</v>
      </c>
      <c r="G2877">
        <v>19</v>
      </c>
    </row>
    <row r="2878" spans="1:7" x14ac:dyDescent="0.2">
      <c r="A2878" t="s">
        <v>2988</v>
      </c>
      <c r="B2878" t="s">
        <v>2989</v>
      </c>
      <c r="C2878" t="s">
        <v>2987</v>
      </c>
      <c r="D2878" t="s">
        <v>3471</v>
      </c>
      <c r="E2878" t="s">
        <v>6480</v>
      </c>
    </row>
    <row r="2879" spans="1:7" x14ac:dyDescent="0.2">
      <c r="A2879" t="s">
        <v>2988</v>
      </c>
      <c r="B2879" t="s">
        <v>2989</v>
      </c>
      <c r="C2879" t="s">
        <v>2987</v>
      </c>
      <c r="D2879" t="s">
        <v>8</v>
      </c>
      <c r="E2879" t="s">
        <v>6481</v>
      </c>
      <c r="F2879">
        <v>1.1666666666666667</v>
      </c>
      <c r="G2879">
        <v>6</v>
      </c>
    </row>
    <row r="2880" spans="1:7" x14ac:dyDescent="0.2">
      <c r="A2880" t="s">
        <v>2988</v>
      </c>
      <c r="B2880" t="s">
        <v>2989</v>
      </c>
      <c r="C2880" t="s">
        <v>2987</v>
      </c>
      <c r="D2880" t="s">
        <v>3469</v>
      </c>
      <c r="F2880">
        <v>0</v>
      </c>
      <c r="G2880">
        <v>0</v>
      </c>
    </row>
    <row r="2881" spans="1:7" x14ac:dyDescent="0.2">
      <c r="A2881" t="s">
        <v>2988</v>
      </c>
      <c r="B2881" t="s">
        <v>2989</v>
      </c>
      <c r="C2881" t="s">
        <v>2987</v>
      </c>
      <c r="D2881" t="s">
        <v>12</v>
      </c>
      <c r="F2881">
        <v>13.333333333333334</v>
      </c>
      <c r="G2881">
        <v>4</v>
      </c>
    </row>
    <row r="2882" spans="1:7" x14ac:dyDescent="0.2">
      <c r="A2882" t="s">
        <v>3019</v>
      </c>
      <c r="B2882" t="s">
        <v>3020</v>
      </c>
      <c r="C2882" t="s">
        <v>2987</v>
      </c>
      <c r="D2882" t="s">
        <v>11</v>
      </c>
      <c r="E2882" t="s">
        <v>6482</v>
      </c>
      <c r="F2882">
        <v>0.33333333333333331</v>
      </c>
      <c r="G2882">
        <v>0</v>
      </c>
    </row>
    <row r="2883" spans="1:7" x14ac:dyDescent="0.2">
      <c r="A2883" t="s">
        <v>3019</v>
      </c>
      <c r="B2883" t="s">
        <v>3020</v>
      </c>
      <c r="C2883" t="s">
        <v>2987</v>
      </c>
      <c r="D2883" t="s">
        <v>10</v>
      </c>
      <c r="E2883" t="s">
        <v>6483</v>
      </c>
      <c r="F2883">
        <v>1.6666666666666667</v>
      </c>
      <c r="G2883">
        <v>58</v>
      </c>
    </row>
    <row r="2884" spans="1:7" x14ac:dyDescent="0.2">
      <c r="A2884" t="s">
        <v>3019</v>
      </c>
      <c r="B2884" t="s">
        <v>3020</v>
      </c>
      <c r="C2884" t="s">
        <v>2987</v>
      </c>
      <c r="D2884" t="s">
        <v>3471</v>
      </c>
      <c r="E2884" t="s">
        <v>6484</v>
      </c>
      <c r="F2884">
        <v>0</v>
      </c>
      <c r="G2884">
        <v>0</v>
      </c>
    </row>
    <row r="2885" spans="1:7" x14ac:dyDescent="0.2">
      <c r="A2885" t="s">
        <v>3019</v>
      </c>
      <c r="B2885" t="s">
        <v>3020</v>
      </c>
      <c r="C2885" t="s">
        <v>2987</v>
      </c>
      <c r="D2885" t="s">
        <v>8</v>
      </c>
      <c r="E2885" t="s">
        <v>6485</v>
      </c>
      <c r="F2885">
        <v>15.5</v>
      </c>
      <c r="G2885">
        <v>190</v>
      </c>
    </row>
    <row r="2886" spans="1:7" x14ac:dyDescent="0.2">
      <c r="A2886" t="s">
        <v>3019</v>
      </c>
      <c r="B2886" t="s">
        <v>3020</v>
      </c>
      <c r="C2886" t="s">
        <v>2987</v>
      </c>
      <c r="D2886" t="s">
        <v>3469</v>
      </c>
      <c r="F2886">
        <v>0.16666666666666666</v>
      </c>
      <c r="G2886">
        <v>0</v>
      </c>
    </row>
    <row r="2887" spans="1:7" x14ac:dyDescent="0.2">
      <c r="A2887" t="s">
        <v>3019</v>
      </c>
      <c r="B2887" t="s">
        <v>3020</v>
      </c>
      <c r="C2887" t="s">
        <v>2987</v>
      </c>
      <c r="D2887" t="s">
        <v>3484</v>
      </c>
    </row>
    <row r="2888" spans="1:7" x14ac:dyDescent="0.2">
      <c r="A2888" t="s">
        <v>3021</v>
      </c>
      <c r="B2888" t="s">
        <v>3022</v>
      </c>
      <c r="C2888" t="s">
        <v>2987</v>
      </c>
      <c r="D2888" t="s">
        <v>11</v>
      </c>
      <c r="E2888" t="s">
        <v>6486</v>
      </c>
    </row>
    <row r="2889" spans="1:7" x14ac:dyDescent="0.2">
      <c r="A2889" t="s">
        <v>3021</v>
      </c>
      <c r="B2889" t="s">
        <v>3022</v>
      </c>
      <c r="C2889" t="s">
        <v>2987</v>
      </c>
      <c r="D2889" t="s">
        <v>10</v>
      </c>
      <c r="E2889" t="s">
        <v>6487</v>
      </c>
      <c r="F2889">
        <v>0.16666666666666666</v>
      </c>
      <c r="G2889">
        <v>0</v>
      </c>
    </row>
    <row r="2890" spans="1:7" x14ac:dyDescent="0.2">
      <c r="A2890" t="s">
        <v>3021</v>
      </c>
      <c r="B2890" t="s">
        <v>3022</v>
      </c>
      <c r="C2890" t="s">
        <v>2987</v>
      </c>
      <c r="D2890" t="s">
        <v>3471</v>
      </c>
      <c r="E2890" t="s">
        <v>6488</v>
      </c>
      <c r="F2890">
        <v>0</v>
      </c>
      <c r="G2890">
        <v>0</v>
      </c>
    </row>
    <row r="2891" spans="1:7" x14ac:dyDescent="0.2">
      <c r="A2891" t="s">
        <v>3021</v>
      </c>
      <c r="B2891" t="s">
        <v>3022</v>
      </c>
      <c r="C2891" t="s">
        <v>2987</v>
      </c>
      <c r="D2891" t="s">
        <v>8</v>
      </c>
      <c r="E2891" t="s">
        <v>6489</v>
      </c>
      <c r="F2891">
        <v>0.83333333333333337</v>
      </c>
      <c r="G2891">
        <v>4</v>
      </c>
    </row>
    <row r="2892" spans="1:7" x14ac:dyDescent="0.2">
      <c r="A2892" t="s">
        <v>3021</v>
      </c>
      <c r="B2892" t="s">
        <v>3022</v>
      </c>
      <c r="C2892" t="s">
        <v>2987</v>
      </c>
      <c r="D2892" t="s">
        <v>3469</v>
      </c>
      <c r="F2892">
        <v>0</v>
      </c>
      <c r="G2892">
        <v>0</v>
      </c>
    </row>
    <row r="2893" spans="1:7" x14ac:dyDescent="0.2">
      <c r="A2893" t="s">
        <v>6490</v>
      </c>
      <c r="B2893" t="s">
        <v>6491</v>
      </c>
      <c r="C2893" t="s">
        <v>2987</v>
      </c>
      <c r="D2893" t="s">
        <v>3469</v>
      </c>
    </row>
    <row r="2894" spans="1:7" x14ac:dyDescent="0.2">
      <c r="A2894" t="s">
        <v>6492</v>
      </c>
      <c r="B2894" t="s">
        <v>6493</v>
      </c>
      <c r="C2894" t="s">
        <v>2987</v>
      </c>
      <c r="D2894" t="s">
        <v>3469</v>
      </c>
    </row>
    <row r="2895" spans="1:7" x14ac:dyDescent="0.2">
      <c r="A2895" t="s">
        <v>3059</v>
      </c>
      <c r="B2895" t="s">
        <v>3060</v>
      </c>
      <c r="C2895" t="s">
        <v>2987</v>
      </c>
      <c r="D2895" t="s">
        <v>11</v>
      </c>
      <c r="E2895" t="s">
        <v>6494</v>
      </c>
    </row>
    <row r="2896" spans="1:7" x14ac:dyDescent="0.2">
      <c r="A2896" t="s">
        <v>3059</v>
      </c>
      <c r="B2896" t="s">
        <v>3060</v>
      </c>
      <c r="C2896" t="s">
        <v>2987</v>
      </c>
      <c r="D2896" t="s">
        <v>10</v>
      </c>
      <c r="E2896" t="s">
        <v>6495</v>
      </c>
    </row>
    <row r="2897" spans="1:7" x14ac:dyDescent="0.2">
      <c r="A2897" t="s">
        <v>3059</v>
      </c>
      <c r="B2897" t="s">
        <v>3060</v>
      </c>
      <c r="C2897" t="s">
        <v>2987</v>
      </c>
      <c r="D2897" t="s">
        <v>3471</v>
      </c>
      <c r="E2897" t="s">
        <v>6496</v>
      </c>
      <c r="F2897">
        <v>0</v>
      </c>
      <c r="G2897">
        <v>0</v>
      </c>
    </row>
    <row r="2898" spans="1:7" x14ac:dyDescent="0.2">
      <c r="A2898" t="s">
        <v>3059</v>
      </c>
      <c r="B2898" t="s">
        <v>3060</v>
      </c>
      <c r="C2898" t="s">
        <v>2987</v>
      </c>
      <c r="D2898" t="s">
        <v>8</v>
      </c>
      <c r="E2898" t="s">
        <v>6497</v>
      </c>
      <c r="F2898">
        <v>0.66666666666666663</v>
      </c>
      <c r="G2898">
        <v>6</v>
      </c>
    </row>
    <row r="2899" spans="1:7" x14ac:dyDescent="0.2">
      <c r="A2899" t="s">
        <v>3059</v>
      </c>
      <c r="B2899" t="s">
        <v>3060</v>
      </c>
      <c r="C2899" t="s">
        <v>2987</v>
      </c>
      <c r="D2899" t="s">
        <v>3469</v>
      </c>
      <c r="F2899">
        <v>0</v>
      </c>
      <c r="G2899">
        <v>0</v>
      </c>
    </row>
    <row r="2900" spans="1:7" x14ac:dyDescent="0.2">
      <c r="A2900" t="s">
        <v>6498</v>
      </c>
      <c r="B2900" t="s">
        <v>6499</v>
      </c>
      <c r="C2900" t="s">
        <v>2987</v>
      </c>
      <c r="D2900" t="s">
        <v>11</v>
      </c>
      <c r="E2900" t="s">
        <v>6500</v>
      </c>
    </row>
    <row r="2901" spans="1:7" x14ac:dyDescent="0.2">
      <c r="A2901" t="s">
        <v>3051</v>
      </c>
      <c r="B2901" t="s">
        <v>3052</v>
      </c>
      <c r="C2901" t="s">
        <v>2987</v>
      </c>
      <c r="D2901" t="s">
        <v>11</v>
      </c>
      <c r="E2901" t="s">
        <v>6501</v>
      </c>
    </row>
    <row r="2902" spans="1:7" x14ac:dyDescent="0.2">
      <c r="A2902" t="s">
        <v>3051</v>
      </c>
      <c r="B2902" t="s">
        <v>3052</v>
      </c>
      <c r="C2902" t="s">
        <v>2987</v>
      </c>
      <c r="D2902" t="s">
        <v>10</v>
      </c>
      <c r="E2902" t="s">
        <v>6502</v>
      </c>
    </row>
    <row r="2903" spans="1:7" x14ac:dyDescent="0.2">
      <c r="A2903" t="s">
        <v>3051</v>
      </c>
      <c r="B2903" t="s">
        <v>3052</v>
      </c>
      <c r="C2903" t="s">
        <v>2987</v>
      </c>
      <c r="D2903" t="s">
        <v>3471</v>
      </c>
      <c r="E2903" t="s">
        <v>6503</v>
      </c>
    </row>
    <row r="2904" spans="1:7" x14ac:dyDescent="0.2">
      <c r="A2904" t="s">
        <v>3051</v>
      </c>
      <c r="B2904" t="s">
        <v>3052</v>
      </c>
      <c r="C2904" t="s">
        <v>2987</v>
      </c>
      <c r="D2904" t="s">
        <v>8</v>
      </c>
      <c r="E2904" t="s">
        <v>6504</v>
      </c>
      <c r="F2904">
        <v>2</v>
      </c>
      <c r="G2904">
        <v>7</v>
      </c>
    </row>
    <row r="2905" spans="1:7" x14ac:dyDescent="0.2">
      <c r="A2905" t="s">
        <v>3051</v>
      </c>
      <c r="B2905" t="s">
        <v>3052</v>
      </c>
      <c r="C2905" t="s">
        <v>2987</v>
      </c>
      <c r="D2905" t="s">
        <v>3469</v>
      </c>
      <c r="F2905">
        <v>0</v>
      </c>
      <c r="G2905">
        <v>0</v>
      </c>
    </row>
    <row r="2906" spans="1:7" x14ac:dyDescent="0.2">
      <c r="A2906" t="s">
        <v>6505</v>
      </c>
      <c r="B2906" t="s">
        <v>6506</v>
      </c>
      <c r="C2906" t="s">
        <v>2987</v>
      </c>
      <c r="D2906" t="s">
        <v>11</v>
      </c>
      <c r="E2906" t="s">
        <v>6507</v>
      </c>
    </row>
    <row r="2907" spans="1:7" x14ac:dyDescent="0.2">
      <c r="A2907" t="s">
        <v>6505</v>
      </c>
      <c r="B2907" t="s">
        <v>6506</v>
      </c>
      <c r="C2907" t="s">
        <v>2987</v>
      </c>
      <c r="D2907" t="s">
        <v>10</v>
      </c>
      <c r="E2907" t="s">
        <v>6508</v>
      </c>
    </row>
    <row r="2908" spans="1:7" x14ac:dyDescent="0.2">
      <c r="A2908" t="s">
        <v>6505</v>
      </c>
      <c r="B2908" t="s">
        <v>6506</v>
      </c>
      <c r="C2908" t="s">
        <v>2987</v>
      </c>
      <c r="D2908" t="s">
        <v>3484</v>
      </c>
    </row>
    <row r="2909" spans="1:7" x14ac:dyDescent="0.2">
      <c r="A2909" t="s">
        <v>6509</v>
      </c>
      <c r="B2909" t="s">
        <v>6510</v>
      </c>
      <c r="C2909" t="s">
        <v>2987</v>
      </c>
      <c r="D2909" t="s">
        <v>11</v>
      </c>
      <c r="E2909" t="s">
        <v>6511</v>
      </c>
    </row>
    <row r="2910" spans="1:7" x14ac:dyDescent="0.2">
      <c r="A2910" t="s">
        <v>3037</v>
      </c>
      <c r="B2910" t="s">
        <v>3038</v>
      </c>
      <c r="C2910" t="s">
        <v>2987</v>
      </c>
      <c r="D2910" t="s">
        <v>11</v>
      </c>
      <c r="E2910" t="s">
        <v>6512</v>
      </c>
    </row>
    <row r="2911" spans="1:7" x14ac:dyDescent="0.2">
      <c r="A2911" t="s">
        <v>3037</v>
      </c>
      <c r="B2911" t="s">
        <v>3038</v>
      </c>
      <c r="C2911" t="s">
        <v>2987</v>
      </c>
      <c r="D2911" t="s">
        <v>10</v>
      </c>
      <c r="E2911" t="s">
        <v>6513</v>
      </c>
      <c r="F2911">
        <v>0.83333333333333337</v>
      </c>
      <c r="G2911">
        <v>7</v>
      </c>
    </row>
    <row r="2912" spans="1:7" x14ac:dyDescent="0.2">
      <c r="A2912" t="s">
        <v>3037</v>
      </c>
      <c r="B2912" t="s">
        <v>3038</v>
      </c>
      <c r="C2912" t="s">
        <v>2987</v>
      </c>
      <c r="D2912" t="s">
        <v>3471</v>
      </c>
      <c r="E2912" t="s">
        <v>6514</v>
      </c>
      <c r="F2912">
        <v>0</v>
      </c>
      <c r="G2912">
        <v>0</v>
      </c>
    </row>
    <row r="2913" spans="1:7" x14ac:dyDescent="0.2">
      <c r="A2913" t="s">
        <v>3037</v>
      </c>
      <c r="B2913" t="s">
        <v>3038</v>
      </c>
      <c r="C2913" t="s">
        <v>2987</v>
      </c>
      <c r="D2913" t="s">
        <v>8</v>
      </c>
      <c r="E2913" t="s">
        <v>6515</v>
      </c>
      <c r="F2913">
        <v>2.5</v>
      </c>
      <c r="G2913">
        <v>18</v>
      </c>
    </row>
    <row r="2914" spans="1:7" x14ac:dyDescent="0.2">
      <c r="A2914" t="s">
        <v>3039</v>
      </c>
      <c r="B2914" t="s">
        <v>3040</v>
      </c>
      <c r="C2914" t="s">
        <v>2987</v>
      </c>
      <c r="D2914" t="s">
        <v>11</v>
      </c>
      <c r="E2914" t="s">
        <v>6516</v>
      </c>
    </row>
    <row r="2915" spans="1:7" x14ac:dyDescent="0.2">
      <c r="A2915" t="s">
        <v>3039</v>
      </c>
      <c r="B2915" t="s">
        <v>3040</v>
      </c>
      <c r="C2915" t="s">
        <v>2987</v>
      </c>
      <c r="D2915" t="s">
        <v>10</v>
      </c>
      <c r="E2915" t="s">
        <v>6517</v>
      </c>
      <c r="F2915">
        <v>0.33333333333333331</v>
      </c>
      <c r="G2915">
        <v>11</v>
      </c>
    </row>
    <row r="2916" spans="1:7" x14ac:dyDescent="0.2">
      <c r="A2916" t="s">
        <v>3039</v>
      </c>
      <c r="B2916" t="s">
        <v>3040</v>
      </c>
      <c r="C2916" t="s">
        <v>2987</v>
      </c>
      <c r="D2916" t="s">
        <v>3471</v>
      </c>
      <c r="E2916" t="s">
        <v>6518</v>
      </c>
      <c r="F2916">
        <v>0</v>
      </c>
      <c r="G2916">
        <v>0</v>
      </c>
    </row>
    <row r="2917" spans="1:7" x14ac:dyDescent="0.2">
      <c r="A2917" t="s">
        <v>3039</v>
      </c>
      <c r="B2917" t="s">
        <v>3040</v>
      </c>
      <c r="C2917" t="s">
        <v>2987</v>
      </c>
      <c r="D2917" t="s">
        <v>8</v>
      </c>
      <c r="E2917" t="s">
        <v>6519</v>
      </c>
      <c r="F2917">
        <v>3.3333333333333335</v>
      </c>
      <c r="G2917">
        <v>7</v>
      </c>
    </row>
    <row r="2918" spans="1:7" x14ac:dyDescent="0.2">
      <c r="A2918" t="s">
        <v>3039</v>
      </c>
      <c r="B2918" t="s">
        <v>3040</v>
      </c>
      <c r="C2918" t="s">
        <v>2987</v>
      </c>
      <c r="D2918" t="s">
        <v>3469</v>
      </c>
    </row>
    <row r="2919" spans="1:7" x14ac:dyDescent="0.2">
      <c r="A2919" t="s">
        <v>34</v>
      </c>
      <c r="B2919" t="s">
        <v>3004</v>
      </c>
      <c r="C2919" t="s">
        <v>2987</v>
      </c>
      <c r="D2919" t="s">
        <v>11</v>
      </c>
      <c r="E2919" t="s">
        <v>6520</v>
      </c>
      <c r="F2919">
        <v>54.833333333333336</v>
      </c>
      <c r="G2919">
        <v>391</v>
      </c>
    </row>
    <row r="2920" spans="1:7" x14ac:dyDescent="0.2">
      <c r="A2920" t="s">
        <v>34</v>
      </c>
      <c r="B2920" t="s">
        <v>3004</v>
      </c>
      <c r="C2920" t="s">
        <v>2987</v>
      </c>
      <c r="D2920" t="s">
        <v>13</v>
      </c>
      <c r="G2920">
        <v>2</v>
      </c>
    </row>
    <row r="2921" spans="1:7" x14ac:dyDescent="0.2">
      <c r="A2921" t="s">
        <v>34</v>
      </c>
      <c r="B2921" t="s">
        <v>3004</v>
      </c>
      <c r="C2921" t="s">
        <v>2987</v>
      </c>
      <c r="D2921" t="s">
        <v>14</v>
      </c>
      <c r="F2921">
        <v>17.833333333333332</v>
      </c>
      <c r="G2921">
        <v>492</v>
      </c>
    </row>
    <row r="2922" spans="1:7" x14ac:dyDescent="0.2">
      <c r="A2922" t="s">
        <v>34</v>
      </c>
      <c r="B2922" t="s">
        <v>3004</v>
      </c>
      <c r="C2922" t="s">
        <v>2987</v>
      </c>
      <c r="D2922" t="s">
        <v>10</v>
      </c>
      <c r="E2922" t="s">
        <v>6521</v>
      </c>
      <c r="F2922">
        <v>324.83333333333331</v>
      </c>
      <c r="G2922">
        <v>3180</v>
      </c>
    </row>
    <row r="2923" spans="1:7" x14ac:dyDescent="0.2">
      <c r="A2923" t="s">
        <v>34</v>
      </c>
      <c r="B2923" t="s">
        <v>3004</v>
      </c>
      <c r="C2923" t="s">
        <v>2987</v>
      </c>
      <c r="D2923" t="s">
        <v>3471</v>
      </c>
      <c r="E2923" t="s">
        <v>6522</v>
      </c>
      <c r="F2923">
        <v>0.33333333333333331</v>
      </c>
      <c r="G2923">
        <v>0</v>
      </c>
    </row>
    <row r="2924" spans="1:7" x14ac:dyDescent="0.2">
      <c r="A2924" t="s">
        <v>34</v>
      </c>
      <c r="B2924" t="s">
        <v>3004</v>
      </c>
      <c r="C2924" t="s">
        <v>2987</v>
      </c>
      <c r="D2924" t="s">
        <v>8</v>
      </c>
      <c r="E2924" t="s">
        <v>6523</v>
      </c>
      <c r="F2924">
        <v>40.666666666666664</v>
      </c>
      <c r="G2924">
        <v>509</v>
      </c>
    </row>
    <row r="2925" spans="1:7" x14ac:dyDescent="0.2">
      <c r="A2925" t="s">
        <v>34</v>
      </c>
      <c r="B2925" t="s">
        <v>3004</v>
      </c>
      <c r="C2925" t="s">
        <v>2987</v>
      </c>
      <c r="D2925" t="s">
        <v>3469</v>
      </c>
    </row>
    <row r="2926" spans="1:7" x14ac:dyDescent="0.2">
      <c r="A2926" t="s">
        <v>34</v>
      </c>
      <c r="B2926" t="s">
        <v>3004</v>
      </c>
      <c r="C2926" t="s">
        <v>2987</v>
      </c>
      <c r="D2926" t="s">
        <v>12</v>
      </c>
      <c r="F2926">
        <v>2.8333333333333335</v>
      </c>
      <c r="G2926">
        <v>39</v>
      </c>
    </row>
    <row r="2927" spans="1:7" x14ac:dyDescent="0.2">
      <c r="A2927" t="s">
        <v>34</v>
      </c>
      <c r="B2927" t="s">
        <v>3004</v>
      </c>
      <c r="C2927" t="s">
        <v>2987</v>
      </c>
      <c r="D2927" t="s">
        <v>3484</v>
      </c>
    </row>
    <row r="2928" spans="1:7" x14ac:dyDescent="0.2">
      <c r="A2928" t="s">
        <v>3041</v>
      </c>
      <c r="B2928" t="s">
        <v>3042</v>
      </c>
      <c r="C2928" t="s">
        <v>2987</v>
      </c>
      <c r="D2928" t="s">
        <v>11</v>
      </c>
      <c r="E2928" t="s">
        <v>6524</v>
      </c>
    </row>
    <row r="2929" spans="1:7" x14ac:dyDescent="0.2">
      <c r="A2929" t="s">
        <v>3041</v>
      </c>
      <c r="B2929" t="s">
        <v>3042</v>
      </c>
      <c r="C2929" t="s">
        <v>2987</v>
      </c>
      <c r="D2929" t="s">
        <v>10</v>
      </c>
      <c r="E2929" t="s">
        <v>6525</v>
      </c>
    </row>
    <row r="2930" spans="1:7" x14ac:dyDescent="0.2">
      <c r="A2930" t="s">
        <v>3041</v>
      </c>
      <c r="B2930" t="s">
        <v>3042</v>
      </c>
      <c r="C2930" t="s">
        <v>2987</v>
      </c>
      <c r="D2930" t="s">
        <v>3471</v>
      </c>
      <c r="E2930" t="s">
        <v>6526</v>
      </c>
      <c r="F2930">
        <v>0.33333333333333331</v>
      </c>
      <c r="G2930">
        <v>0</v>
      </c>
    </row>
    <row r="2931" spans="1:7" x14ac:dyDescent="0.2">
      <c r="A2931" t="s">
        <v>3041</v>
      </c>
      <c r="B2931" t="s">
        <v>3042</v>
      </c>
      <c r="C2931" t="s">
        <v>2987</v>
      </c>
      <c r="D2931" t="s">
        <v>8</v>
      </c>
      <c r="E2931" t="s">
        <v>6527</v>
      </c>
      <c r="F2931">
        <v>1</v>
      </c>
      <c r="G2931">
        <v>4</v>
      </c>
    </row>
    <row r="2932" spans="1:7" x14ac:dyDescent="0.2">
      <c r="A2932" t="s">
        <v>3041</v>
      </c>
      <c r="B2932" t="s">
        <v>3042</v>
      </c>
      <c r="C2932" t="s">
        <v>2987</v>
      </c>
      <c r="D2932" t="s">
        <v>3469</v>
      </c>
    </row>
    <row r="2933" spans="1:7" x14ac:dyDescent="0.2">
      <c r="A2933" t="s">
        <v>3007</v>
      </c>
      <c r="B2933" t="s">
        <v>3008</v>
      </c>
      <c r="C2933" t="s">
        <v>2987</v>
      </c>
      <c r="D2933" t="s">
        <v>11</v>
      </c>
      <c r="E2933" t="s">
        <v>6528</v>
      </c>
    </row>
    <row r="2934" spans="1:7" x14ac:dyDescent="0.2">
      <c r="A2934" t="s">
        <v>3007</v>
      </c>
      <c r="B2934" t="s">
        <v>3008</v>
      </c>
      <c r="C2934" t="s">
        <v>2987</v>
      </c>
      <c r="D2934" t="s">
        <v>10</v>
      </c>
      <c r="E2934" t="s">
        <v>6529</v>
      </c>
    </row>
    <row r="2935" spans="1:7" x14ac:dyDescent="0.2">
      <c r="A2935" t="s">
        <v>3007</v>
      </c>
      <c r="B2935" t="s">
        <v>3008</v>
      </c>
      <c r="C2935" t="s">
        <v>2987</v>
      </c>
      <c r="D2935" t="s">
        <v>3469</v>
      </c>
      <c r="F2935">
        <v>0</v>
      </c>
      <c r="G2935">
        <v>1</v>
      </c>
    </row>
    <row r="2936" spans="1:7" x14ac:dyDescent="0.2">
      <c r="A2936" t="s">
        <v>3011</v>
      </c>
      <c r="B2936" t="s">
        <v>3012</v>
      </c>
      <c r="C2936" t="s">
        <v>2987</v>
      </c>
      <c r="D2936" t="s">
        <v>11</v>
      </c>
      <c r="E2936" t="s">
        <v>6530</v>
      </c>
    </row>
    <row r="2937" spans="1:7" x14ac:dyDescent="0.2">
      <c r="A2937" t="s">
        <v>3011</v>
      </c>
      <c r="B2937" t="s">
        <v>3012</v>
      </c>
      <c r="C2937" t="s">
        <v>2987</v>
      </c>
      <c r="D2937" t="s">
        <v>3471</v>
      </c>
      <c r="E2937" t="s">
        <v>6531</v>
      </c>
      <c r="F2937">
        <v>0</v>
      </c>
      <c r="G2937">
        <v>0</v>
      </c>
    </row>
    <row r="2938" spans="1:7" x14ac:dyDescent="0.2">
      <c r="A2938" t="s">
        <v>3011</v>
      </c>
      <c r="B2938" t="s">
        <v>3012</v>
      </c>
      <c r="C2938" t="s">
        <v>2987</v>
      </c>
      <c r="D2938" t="s">
        <v>3469</v>
      </c>
      <c r="F2938">
        <v>0.16666666666666666</v>
      </c>
      <c r="G2938">
        <v>1</v>
      </c>
    </row>
    <row r="2939" spans="1:7" x14ac:dyDescent="0.2">
      <c r="A2939" t="s">
        <v>3009</v>
      </c>
      <c r="B2939" t="s">
        <v>3010</v>
      </c>
      <c r="C2939" t="s">
        <v>2987</v>
      </c>
      <c r="D2939" t="s">
        <v>11</v>
      </c>
    </row>
    <row r="2940" spans="1:7" x14ac:dyDescent="0.2">
      <c r="A2940" t="s">
        <v>3009</v>
      </c>
      <c r="B2940" t="s">
        <v>3010</v>
      </c>
      <c r="C2940" t="s">
        <v>2987</v>
      </c>
      <c r="D2940" t="s">
        <v>11</v>
      </c>
      <c r="E2940" t="s">
        <v>6532</v>
      </c>
    </row>
    <row r="2941" spans="1:7" x14ac:dyDescent="0.2">
      <c r="A2941" t="s">
        <v>3009</v>
      </c>
      <c r="B2941" t="s">
        <v>3010</v>
      </c>
      <c r="C2941" t="s">
        <v>2987</v>
      </c>
      <c r="D2941" t="s">
        <v>3471</v>
      </c>
      <c r="E2941" t="s">
        <v>6533</v>
      </c>
      <c r="F2941">
        <v>0</v>
      </c>
      <c r="G2941">
        <v>0</v>
      </c>
    </row>
    <row r="2942" spans="1:7" x14ac:dyDescent="0.2">
      <c r="A2942" t="s">
        <v>3009</v>
      </c>
      <c r="B2942" t="s">
        <v>3010</v>
      </c>
      <c r="C2942" t="s">
        <v>2987</v>
      </c>
      <c r="D2942" t="s">
        <v>3469</v>
      </c>
      <c r="F2942">
        <v>0</v>
      </c>
      <c r="G2942">
        <v>2</v>
      </c>
    </row>
    <row r="2943" spans="1:7" x14ac:dyDescent="0.2">
      <c r="A2943" t="s">
        <v>3075</v>
      </c>
      <c r="B2943" t="s">
        <v>3076</v>
      </c>
      <c r="C2943" t="s">
        <v>2987</v>
      </c>
      <c r="D2943" t="s">
        <v>11</v>
      </c>
      <c r="E2943" t="s">
        <v>6534</v>
      </c>
    </row>
    <row r="2944" spans="1:7" x14ac:dyDescent="0.2">
      <c r="A2944" t="s">
        <v>3075</v>
      </c>
      <c r="B2944" t="s">
        <v>3076</v>
      </c>
      <c r="C2944" t="s">
        <v>2987</v>
      </c>
      <c r="D2944" t="s">
        <v>3471</v>
      </c>
      <c r="E2944" t="s">
        <v>6535</v>
      </c>
      <c r="F2944">
        <v>0</v>
      </c>
      <c r="G2944">
        <v>0</v>
      </c>
    </row>
    <row r="2945" spans="1:7" x14ac:dyDescent="0.2">
      <c r="A2945" t="s">
        <v>3049</v>
      </c>
      <c r="B2945" t="s">
        <v>3050</v>
      </c>
      <c r="C2945" t="s">
        <v>2987</v>
      </c>
      <c r="D2945" t="s">
        <v>11</v>
      </c>
      <c r="E2945" t="s">
        <v>6536</v>
      </c>
    </row>
    <row r="2946" spans="1:7" x14ac:dyDescent="0.2">
      <c r="A2946" t="s">
        <v>3049</v>
      </c>
      <c r="B2946" t="s">
        <v>3050</v>
      </c>
      <c r="C2946" t="s">
        <v>2987</v>
      </c>
      <c r="D2946" t="s">
        <v>10</v>
      </c>
      <c r="E2946" t="s">
        <v>6537</v>
      </c>
    </row>
    <row r="2947" spans="1:7" x14ac:dyDescent="0.2">
      <c r="A2947" t="s">
        <v>3049</v>
      </c>
      <c r="B2947" t="s">
        <v>3050</v>
      </c>
      <c r="C2947" t="s">
        <v>2987</v>
      </c>
      <c r="D2947" t="s">
        <v>3469</v>
      </c>
      <c r="F2947">
        <v>0</v>
      </c>
      <c r="G2947">
        <v>0</v>
      </c>
    </row>
    <row r="2948" spans="1:7" x14ac:dyDescent="0.2">
      <c r="A2948" t="s">
        <v>6538</v>
      </c>
      <c r="B2948" t="s">
        <v>6539</v>
      </c>
      <c r="C2948" t="s">
        <v>2987</v>
      </c>
      <c r="D2948" t="s">
        <v>11</v>
      </c>
      <c r="E2948" t="s">
        <v>6540</v>
      </c>
    </row>
    <row r="2949" spans="1:7" x14ac:dyDescent="0.2">
      <c r="A2949" t="s">
        <v>6538</v>
      </c>
      <c r="B2949" t="s">
        <v>6539</v>
      </c>
      <c r="C2949" t="s">
        <v>2987</v>
      </c>
      <c r="D2949" t="s">
        <v>3469</v>
      </c>
      <c r="F2949">
        <v>0</v>
      </c>
      <c r="G2949">
        <v>4</v>
      </c>
    </row>
    <row r="2950" spans="1:7" x14ac:dyDescent="0.2">
      <c r="A2950" t="s">
        <v>3002</v>
      </c>
      <c r="B2950" t="s">
        <v>3003</v>
      </c>
      <c r="C2950" t="s">
        <v>2987</v>
      </c>
      <c r="D2950" t="s">
        <v>11</v>
      </c>
      <c r="E2950" t="s">
        <v>6541</v>
      </c>
    </row>
    <row r="2951" spans="1:7" x14ac:dyDescent="0.2">
      <c r="A2951" t="s">
        <v>3002</v>
      </c>
      <c r="B2951" t="s">
        <v>3003</v>
      </c>
      <c r="C2951" t="s">
        <v>2987</v>
      </c>
      <c r="D2951" t="s">
        <v>14</v>
      </c>
      <c r="F2951">
        <v>0</v>
      </c>
      <c r="G2951">
        <v>4</v>
      </c>
    </row>
    <row r="2952" spans="1:7" x14ac:dyDescent="0.2">
      <c r="A2952" t="s">
        <v>3002</v>
      </c>
      <c r="B2952" t="s">
        <v>3003</v>
      </c>
      <c r="C2952" t="s">
        <v>2987</v>
      </c>
      <c r="D2952" t="s">
        <v>10</v>
      </c>
      <c r="E2952" t="s">
        <v>6542</v>
      </c>
    </row>
    <row r="2953" spans="1:7" x14ac:dyDescent="0.2">
      <c r="A2953" t="s">
        <v>3002</v>
      </c>
      <c r="B2953" t="s">
        <v>3003</v>
      </c>
      <c r="C2953" t="s">
        <v>2987</v>
      </c>
      <c r="D2953" t="s">
        <v>3471</v>
      </c>
      <c r="E2953" t="s">
        <v>6543</v>
      </c>
    </row>
    <row r="2954" spans="1:7" x14ac:dyDescent="0.2">
      <c r="A2954" t="s">
        <v>2998</v>
      </c>
      <c r="B2954" t="s">
        <v>2999</v>
      </c>
      <c r="C2954" t="s">
        <v>2987</v>
      </c>
      <c r="D2954" t="s">
        <v>11</v>
      </c>
      <c r="E2954" t="s">
        <v>8966</v>
      </c>
      <c r="F2954">
        <v>12.833333333333334</v>
      </c>
      <c r="G2954">
        <v>94</v>
      </c>
    </row>
    <row r="2955" spans="1:7" x14ac:dyDescent="0.2">
      <c r="A2955" t="s">
        <v>2998</v>
      </c>
      <c r="B2955" t="s">
        <v>2999</v>
      </c>
      <c r="C2955" t="s">
        <v>2987</v>
      </c>
      <c r="D2955" t="s">
        <v>14</v>
      </c>
      <c r="F2955">
        <v>0.16666666666666666</v>
      </c>
      <c r="G2955">
        <v>27</v>
      </c>
    </row>
    <row r="2956" spans="1:7" x14ac:dyDescent="0.2">
      <c r="A2956" t="s">
        <v>2998</v>
      </c>
      <c r="B2956" t="s">
        <v>2999</v>
      </c>
      <c r="C2956" t="s">
        <v>2987</v>
      </c>
      <c r="D2956" t="s">
        <v>10</v>
      </c>
      <c r="E2956" t="s">
        <v>6544</v>
      </c>
      <c r="F2956">
        <v>113.83333333333333</v>
      </c>
      <c r="G2956">
        <v>1029</v>
      </c>
    </row>
    <row r="2957" spans="1:7" x14ac:dyDescent="0.2">
      <c r="A2957" t="s">
        <v>2998</v>
      </c>
      <c r="B2957" t="s">
        <v>2999</v>
      </c>
      <c r="C2957" t="s">
        <v>2987</v>
      </c>
      <c r="D2957" t="s">
        <v>3471</v>
      </c>
      <c r="E2957" t="s">
        <v>6545</v>
      </c>
      <c r="F2957">
        <v>0</v>
      </c>
      <c r="G2957">
        <v>0</v>
      </c>
    </row>
    <row r="2958" spans="1:7" x14ac:dyDescent="0.2">
      <c r="A2958" t="s">
        <v>2998</v>
      </c>
      <c r="B2958" t="s">
        <v>2999</v>
      </c>
      <c r="C2958" t="s">
        <v>2987</v>
      </c>
      <c r="D2958" t="s">
        <v>8</v>
      </c>
      <c r="E2958" t="s">
        <v>6546</v>
      </c>
      <c r="F2958">
        <v>27.333333333333332</v>
      </c>
      <c r="G2958">
        <v>262</v>
      </c>
    </row>
    <row r="2959" spans="1:7" x14ac:dyDescent="0.2">
      <c r="A2959" t="s">
        <v>2998</v>
      </c>
      <c r="B2959" t="s">
        <v>2999</v>
      </c>
      <c r="C2959" t="s">
        <v>2987</v>
      </c>
      <c r="D2959" t="s">
        <v>3469</v>
      </c>
      <c r="F2959">
        <v>0</v>
      </c>
      <c r="G2959">
        <v>0</v>
      </c>
    </row>
    <row r="2960" spans="1:7" x14ac:dyDescent="0.2">
      <c r="A2960" t="s">
        <v>3045</v>
      </c>
      <c r="B2960" t="s">
        <v>3046</v>
      </c>
      <c r="C2960" t="s">
        <v>2987</v>
      </c>
      <c r="D2960" t="s">
        <v>11</v>
      </c>
      <c r="E2960" t="s">
        <v>8620</v>
      </c>
    </row>
    <row r="2961" spans="1:7" x14ac:dyDescent="0.2">
      <c r="A2961" t="s">
        <v>3045</v>
      </c>
      <c r="B2961" t="s">
        <v>3046</v>
      </c>
      <c r="C2961" t="s">
        <v>2987</v>
      </c>
      <c r="D2961" t="s">
        <v>3471</v>
      </c>
      <c r="E2961" t="s">
        <v>6547</v>
      </c>
      <c r="F2961">
        <v>0</v>
      </c>
      <c r="G2961">
        <v>0</v>
      </c>
    </row>
    <row r="2962" spans="1:7" x14ac:dyDescent="0.2">
      <c r="A2962" t="s">
        <v>3045</v>
      </c>
      <c r="B2962" t="s">
        <v>3046</v>
      </c>
      <c r="C2962" t="s">
        <v>2987</v>
      </c>
      <c r="D2962" t="s">
        <v>3469</v>
      </c>
      <c r="F2962">
        <v>0</v>
      </c>
      <c r="G2962">
        <v>0</v>
      </c>
    </row>
    <row r="2963" spans="1:7" x14ac:dyDescent="0.2">
      <c r="A2963" t="s">
        <v>3047</v>
      </c>
      <c r="B2963" t="s">
        <v>3048</v>
      </c>
      <c r="C2963" t="s">
        <v>2987</v>
      </c>
      <c r="D2963" t="s">
        <v>11</v>
      </c>
      <c r="E2963" t="s">
        <v>8621</v>
      </c>
    </row>
    <row r="2964" spans="1:7" x14ac:dyDescent="0.2">
      <c r="A2964" t="s">
        <v>3047</v>
      </c>
      <c r="B2964" t="s">
        <v>3048</v>
      </c>
      <c r="C2964" t="s">
        <v>2987</v>
      </c>
      <c r="D2964" t="s">
        <v>3471</v>
      </c>
      <c r="E2964" t="s">
        <v>6548</v>
      </c>
      <c r="F2964">
        <v>0</v>
      </c>
      <c r="G2964">
        <v>0</v>
      </c>
    </row>
    <row r="2965" spans="1:7" x14ac:dyDescent="0.2">
      <c r="A2965" t="s">
        <v>3047</v>
      </c>
      <c r="B2965" t="s">
        <v>3048</v>
      </c>
      <c r="C2965" t="s">
        <v>2987</v>
      </c>
      <c r="D2965" t="s">
        <v>3469</v>
      </c>
      <c r="F2965">
        <v>0</v>
      </c>
      <c r="G2965">
        <v>0</v>
      </c>
    </row>
    <row r="2966" spans="1:7" x14ac:dyDescent="0.2">
      <c r="A2966" t="s">
        <v>3015</v>
      </c>
      <c r="B2966" t="s">
        <v>3016</v>
      </c>
      <c r="C2966" t="s">
        <v>2987</v>
      </c>
      <c r="D2966" t="s">
        <v>11</v>
      </c>
      <c r="E2966" t="s">
        <v>8622</v>
      </c>
    </row>
    <row r="2967" spans="1:7" x14ac:dyDescent="0.2">
      <c r="A2967" t="s">
        <v>3015</v>
      </c>
      <c r="B2967" t="s">
        <v>3016</v>
      </c>
      <c r="C2967" t="s">
        <v>2987</v>
      </c>
      <c r="D2967" t="s">
        <v>10</v>
      </c>
      <c r="E2967" t="s">
        <v>6549</v>
      </c>
      <c r="F2967">
        <v>0.16666666666666666</v>
      </c>
      <c r="G2967">
        <v>2</v>
      </c>
    </row>
    <row r="2968" spans="1:7" x14ac:dyDescent="0.2">
      <c r="A2968" t="s">
        <v>3015</v>
      </c>
      <c r="B2968" t="s">
        <v>3016</v>
      </c>
      <c r="C2968" t="s">
        <v>2987</v>
      </c>
      <c r="D2968" t="s">
        <v>3471</v>
      </c>
      <c r="E2968" t="s">
        <v>6550</v>
      </c>
      <c r="F2968">
        <v>0</v>
      </c>
      <c r="G2968">
        <v>0</v>
      </c>
    </row>
    <row r="2969" spans="1:7" x14ac:dyDescent="0.2">
      <c r="A2969" t="s">
        <v>3015</v>
      </c>
      <c r="B2969" t="s">
        <v>3016</v>
      </c>
      <c r="C2969" t="s">
        <v>2987</v>
      </c>
      <c r="D2969" t="s">
        <v>8</v>
      </c>
      <c r="E2969" t="s">
        <v>6551</v>
      </c>
      <c r="F2969">
        <v>0.16666666666666666</v>
      </c>
      <c r="G2969">
        <v>90</v>
      </c>
    </row>
    <row r="2970" spans="1:7" x14ac:dyDescent="0.2">
      <c r="A2970" t="s">
        <v>3015</v>
      </c>
      <c r="B2970" t="s">
        <v>3016</v>
      </c>
      <c r="C2970" t="s">
        <v>2987</v>
      </c>
      <c r="D2970" t="s">
        <v>3469</v>
      </c>
      <c r="F2970">
        <v>0</v>
      </c>
      <c r="G2970">
        <v>0</v>
      </c>
    </row>
    <row r="2971" spans="1:7" x14ac:dyDescent="0.2">
      <c r="A2971" t="s">
        <v>3013</v>
      </c>
      <c r="B2971" t="s">
        <v>3014</v>
      </c>
      <c r="C2971" t="s">
        <v>2987</v>
      </c>
      <c r="D2971" t="s">
        <v>11</v>
      </c>
      <c r="E2971" t="s">
        <v>8623</v>
      </c>
    </row>
    <row r="2972" spans="1:7" x14ac:dyDescent="0.2">
      <c r="A2972" t="s">
        <v>3013</v>
      </c>
      <c r="B2972" t="s">
        <v>3014</v>
      </c>
      <c r="C2972" t="s">
        <v>2987</v>
      </c>
      <c r="D2972" t="s">
        <v>10</v>
      </c>
      <c r="E2972" t="s">
        <v>6552</v>
      </c>
    </row>
    <row r="2973" spans="1:7" x14ac:dyDescent="0.2">
      <c r="A2973" t="s">
        <v>3013</v>
      </c>
      <c r="B2973" t="s">
        <v>3014</v>
      </c>
      <c r="C2973" t="s">
        <v>2987</v>
      </c>
      <c r="D2973" t="s">
        <v>3471</v>
      </c>
      <c r="E2973" t="s">
        <v>6553</v>
      </c>
      <c r="F2973">
        <v>0</v>
      </c>
      <c r="G2973">
        <v>0</v>
      </c>
    </row>
    <row r="2974" spans="1:7" x14ac:dyDescent="0.2">
      <c r="A2974" t="s">
        <v>3013</v>
      </c>
      <c r="B2974" t="s">
        <v>3014</v>
      </c>
      <c r="C2974" t="s">
        <v>2987</v>
      </c>
      <c r="D2974" t="s">
        <v>8</v>
      </c>
      <c r="E2974" t="s">
        <v>6554</v>
      </c>
      <c r="F2974">
        <v>0</v>
      </c>
      <c r="G2974">
        <v>1</v>
      </c>
    </row>
    <row r="2975" spans="1:7" x14ac:dyDescent="0.2">
      <c r="A2975" t="s">
        <v>3013</v>
      </c>
      <c r="B2975" t="s">
        <v>3014</v>
      </c>
      <c r="C2975" t="s">
        <v>2987</v>
      </c>
      <c r="D2975" t="s">
        <v>3469</v>
      </c>
      <c r="F2975">
        <v>0</v>
      </c>
      <c r="G2975">
        <v>2</v>
      </c>
    </row>
    <row r="2976" spans="1:7" x14ac:dyDescent="0.2">
      <c r="A2976" t="s">
        <v>3017</v>
      </c>
      <c r="B2976" t="s">
        <v>3018</v>
      </c>
      <c r="C2976" t="s">
        <v>2987</v>
      </c>
      <c r="D2976" t="s">
        <v>11</v>
      </c>
      <c r="E2976" t="s">
        <v>6555</v>
      </c>
    </row>
    <row r="2977" spans="1:7" x14ac:dyDescent="0.2">
      <c r="A2977" t="s">
        <v>3017</v>
      </c>
      <c r="B2977" t="s">
        <v>3018</v>
      </c>
      <c r="C2977" t="s">
        <v>2987</v>
      </c>
      <c r="D2977" t="s">
        <v>10</v>
      </c>
      <c r="E2977" t="s">
        <v>6556</v>
      </c>
    </row>
    <row r="2978" spans="1:7" x14ac:dyDescent="0.2">
      <c r="A2978" t="s">
        <v>3017</v>
      </c>
      <c r="B2978" t="s">
        <v>3018</v>
      </c>
      <c r="C2978" t="s">
        <v>2987</v>
      </c>
      <c r="D2978" t="s">
        <v>3471</v>
      </c>
      <c r="E2978" t="s">
        <v>6557</v>
      </c>
      <c r="F2978">
        <v>0</v>
      </c>
      <c r="G2978">
        <v>0</v>
      </c>
    </row>
    <row r="2979" spans="1:7" x14ac:dyDescent="0.2">
      <c r="A2979" t="s">
        <v>3017</v>
      </c>
      <c r="B2979" t="s">
        <v>3018</v>
      </c>
      <c r="C2979" t="s">
        <v>2987</v>
      </c>
      <c r="D2979" t="s">
        <v>8</v>
      </c>
      <c r="E2979" t="s">
        <v>6558</v>
      </c>
    </row>
    <row r="2980" spans="1:7" x14ac:dyDescent="0.2">
      <c r="A2980" t="s">
        <v>3017</v>
      </c>
      <c r="B2980" t="s">
        <v>3018</v>
      </c>
      <c r="C2980" t="s">
        <v>2987</v>
      </c>
      <c r="D2980" t="s">
        <v>3469</v>
      </c>
      <c r="F2980">
        <v>0</v>
      </c>
      <c r="G2980">
        <v>0</v>
      </c>
    </row>
    <row r="2981" spans="1:7" x14ac:dyDescent="0.2">
      <c r="A2981" t="s">
        <v>3065</v>
      </c>
      <c r="B2981" t="s">
        <v>3066</v>
      </c>
      <c r="C2981" t="s">
        <v>2987</v>
      </c>
      <c r="D2981" t="s">
        <v>10</v>
      </c>
      <c r="E2981" t="s">
        <v>6559</v>
      </c>
      <c r="F2981">
        <v>0</v>
      </c>
      <c r="G2981">
        <v>1</v>
      </c>
    </row>
    <row r="2982" spans="1:7" x14ac:dyDescent="0.2">
      <c r="A2982" t="s">
        <v>3065</v>
      </c>
      <c r="B2982" t="s">
        <v>3066</v>
      </c>
      <c r="C2982" t="s">
        <v>2987</v>
      </c>
      <c r="D2982" t="s">
        <v>3469</v>
      </c>
      <c r="F2982">
        <v>0</v>
      </c>
      <c r="G2982">
        <v>9</v>
      </c>
    </row>
    <row r="2983" spans="1:7" x14ac:dyDescent="0.2">
      <c r="A2983" t="s">
        <v>3063</v>
      </c>
      <c r="B2983" t="s">
        <v>3064</v>
      </c>
      <c r="C2983" t="s">
        <v>2987</v>
      </c>
      <c r="D2983" t="s">
        <v>10</v>
      </c>
      <c r="E2983" t="s">
        <v>6560</v>
      </c>
      <c r="F2983">
        <v>0</v>
      </c>
      <c r="G2983">
        <v>3</v>
      </c>
    </row>
    <row r="2984" spans="1:7" x14ac:dyDescent="0.2">
      <c r="A2984" t="s">
        <v>3063</v>
      </c>
      <c r="B2984" t="s">
        <v>3064</v>
      </c>
      <c r="C2984" t="s">
        <v>2987</v>
      </c>
      <c r="D2984" t="s">
        <v>3469</v>
      </c>
      <c r="F2984">
        <v>0.16666666666666666</v>
      </c>
      <c r="G2984">
        <v>1</v>
      </c>
    </row>
    <row r="2985" spans="1:7" x14ac:dyDescent="0.2">
      <c r="A2985" t="s">
        <v>3000</v>
      </c>
      <c r="B2985" t="s">
        <v>3001</v>
      </c>
      <c r="C2985" t="s">
        <v>2987</v>
      </c>
      <c r="D2985" t="s">
        <v>14</v>
      </c>
      <c r="F2985">
        <v>17.333333333333332</v>
      </c>
      <c r="G2985">
        <v>361</v>
      </c>
    </row>
    <row r="2986" spans="1:7" x14ac:dyDescent="0.2">
      <c r="A2986" t="s">
        <v>3000</v>
      </c>
      <c r="B2986" t="s">
        <v>3001</v>
      </c>
      <c r="C2986" t="s">
        <v>2987</v>
      </c>
      <c r="D2986" t="s">
        <v>10</v>
      </c>
      <c r="E2986" t="s">
        <v>6561</v>
      </c>
      <c r="F2986">
        <v>5.5</v>
      </c>
      <c r="G2986">
        <v>91</v>
      </c>
    </row>
    <row r="2987" spans="1:7" x14ac:dyDescent="0.2">
      <c r="A2987" t="s">
        <v>3000</v>
      </c>
      <c r="B2987" t="s">
        <v>3001</v>
      </c>
      <c r="C2987" t="s">
        <v>2987</v>
      </c>
      <c r="D2987" t="s">
        <v>3471</v>
      </c>
      <c r="E2987" t="s">
        <v>6562</v>
      </c>
      <c r="F2987">
        <v>0</v>
      </c>
      <c r="G2987">
        <v>0</v>
      </c>
    </row>
    <row r="2988" spans="1:7" x14ac:dyDescent="0.2">
      <c r="A2988" t="s">
        <v>3000</v>
      </c>
      <c r="B2988" t="s">
        <v>3001</v>
      </c>
      <c r="C2988" t="s">
        <v>2987</v>
      </c>
      <c r="D2988" t="s">
        <v>3469</v>
      </c>
      <c r="F2988">
        <v>0.66666666666666663</v>
      </c>
      <c r="G2988">
        <v>0</v>
      </c>
    </row>
    <row r="2989" spans="1:7" x14ac:dyDescent="0.2">
      <c r="A2989" t="s">
        <v>2992</v>
      </c>
      <c r="B2989" t="s">
        <v>2993</v>
      </c>
      <c r="C2989" t="s">
        <v>2987</v>
      </c>
      <c r="D2989" t="s">
        <v>11</v>
      </c>
      <c r="E2989" t="s">
        <v>8967</v>
      </c>
      <c r="F2989">
        <v>10</v>
      </c>
      <c r="G2989">
        <v>26</v>
      </c>
    </row>
    <row r="2990" spans="1:7" x14ac:dyDescent="0.2">
      <c r="A2990" t="s">
        <v>2992</v>
      </c>
      <c r="B2990" t="s">
        <v>2993</v>
      </c>
      <c r="C2990" t="s">
        <v>2987</v>
      </c>
      <c r="D2990" t="s">
        <v>14</v>
      </c>
      <c r="F2990">
        <v>14.333333333333334</v>
      </c>
      <c r="G2990">
        <v>366</v>
      </c>
    </row>
    <row r="2991" spans="1:7" x14ac:dyDescent="0.2">
      <c r="A2991" t="s">
        <v>2992</v>
      </c>
      <c r="B2991" t="s">
        <v>2993</v>
      </c>
      <c r="C2991" t="s">
        <v>2987</v>
      </c>
      <c r="D2991" t="s">
        <v>10</v>
      </c>
      <c r="E2991" t="s">
        <v>6563</v>
      </c>
      <c r="F2991">
        <v>140.16666666666666</v>
      </c>
      <c r="G2991">
        <v>1394</v>
      </c>
    </row>
    <row r="2992" spans="1:7" x14ac:dyDescent="0.2">
      <c r="A2992" t="s">
        <v>2992</v>
      </c>
      <c r="B2992" t="s">
        <v>2993</v>
      </c>
      <c r="C2992" t="s">
        <v>2987</v>
      </c>
      <c r="D2992" t="s">
        <v>3471</v>
      </c>
      <c r="E2992" t="s">
        <v>6564</v>
      </c>
      <c r="F2992">
        <v>0</v>
      </c>
      <c r="G2992">
        <v>0</v>
      </c>
    </row>
    <row r="2993" spans="1:7" x14ac:dyDescent="0.2">
      <c r="A2993" t="s">
        <v>2992</v>
      </c>
      <c r="B2993" t="s">
        <v>2993</v>
      </c>
      <c r="C2993" t="s">
        <v>2987</v>
      </c>
      <c r="D2993" t="s">
        <v>8</v>
      </c>
      <c r="E2993" t="s">
        <v>6546</v>
      </c>
    </row>
    <row r="2994" spans="1:7" x14ac:dyDescent="0.2">
      <c r="A2994" t="s">
        <v>2992</v>
      </c>
      <c r="B2994" t="s">
        <v>2993</v>
      </c>
      <c r="C2994" t="s">
        <v>2987</v>
      </c>
      <c r="D2994" t="s">
        <v>3469</v>
      </c>
      <c r="F2994">
        <v>0</v>
      </c>
      <c r="G2994">
        <v>0</v>
      </c>
    </row>
    <row r="2995" spans="1:7" x14ac:dyDescent="0.2">
      <c r="A2995" t="s">
        <v>2994</v>
      </c>
      <c r="B2995" t="s">
        <v>2995</v>
      </c>
      <c r="C2995" t="s">
        <v>2987</v>
      </c>
      <c r="D2995" t="s">
        <v>14</v>
      </c>
      <c r="F2995">
        <v>4.833333333333333</v>
      </c>
      <c r="G2995">
        <v>286</v>
      </c>
    </row>
    <row r="2996" spans="1:7" x14ac:dyDescent="0.2">
      <c r="A2996" t="s">
        <v>2994</v>
      </c>
      <c r="B2996" t="s">
        <v>2995</v>
      </c>
      <c r="C2996" t="s">
        <v>2987</v>
      </c>
      <c r="D2996" t="s">
        <v>10</v>
      </c>
      <c r="E2996" t="s">
        <v>6565</v>
      </c>
      <c r="F2996">
        <v>75.5</v>
      </c>
      <c r="G2996">
        <v>887</v>
      </c>
    </row>
    <row r="2997" spans="1:7" x14ac:dyDescent="0.2">
      <c r="A2997" t="s">
        <v>2994</v>
      </c>
      <c r="B2997" t="s">
        <v>2995</v>
      </c>
      <c r="C2997" t="s">
        <v>2987</v>
      </c>
      <c r="D2997" t="s">
        <v>3471</v>
      </c>
      <c r="E2997" t="s">
        <v>6566</v>
      </c>
      <c r="F2997">
        <v>0</v>
      </c>
      <c r="G2997">
        <v>0</v>
      </c>
    </row>
    <row r="2998" spans="1:7" x14ac:dyDescent="0.2">
      <c r="A2998" t="s">
        <v>2994</v>
      </c>
      <c r="B2998" t="s">
        <v>2995</v>
      </c>
      <c r="C2998" t="s">
        <v>2987</v>
      </c>
      <c r="D2998" t="s">
        <v>3469</v>
      </c>
      <c r="F2998">
        <v>0</v>
      </c>
      <c r="G2998">
        <v>0</v>
      </c>
    </row>
    <row r="2999" spans="1:7" x14ac:dyDescent="0.2">
      <c r="A2999" t="s">
        <v>2996</v>
      </c>
      <c r="B2999" t="s">
        <v>2997</v>
      </c>
      <c r="C2999" t="s">
        <v>2987</v>
      </c>
      <c r="D2999" t="s">
        <v>10</v>
      </c>
      <c r="E2999" t="s">
        <v>6567</v>
      </c>
      <c r="F2999">
        <v>14.333333333333334</v>
      </c>
      <c r="G2999">
        <v>38</v>
      </c>
    </row>
    <row r="3000" spans="1:7" x14ac:dyDescent="0.2">
      <c r="A3000" t="s">
        <v>6568</v>
      </c>
      <c r="B3000" t="s">
        <v>6569</v>
      </c>
      <c r="C3000" t="s">
        <v>6405</v>
      </c>
      <c r="D3000" t="s">
        <v>11</v>
      </c>
      <c r="E3000" t="s">
        <v>6570</v>
      </c>
    </row>
    <row r="3001" spans="1:7" x14ac:dyDescent="0.2">
      <c r="A3001" t="s">
        <v>6571</v>
      </c>
      <c r="B3001" t="s">
        <v>6572</v>
      </c>
      <c r="C3001" t="s">
        <v>2987</v>
      </c>
      <c r="D3001" t="s">
        <v>11</v>
      </c>
      <c r="E3001" t="s">
        <v>6573</v>
      </c>
    </row>
    <row r="3002" spans="1:7" x14ac:dyDescent="0.2">
      <c r="A3002" t="s">
        <v>6574</v>
      </c>
      <c r="B3002" t="s">
        <v>6575</v>
      </c>
      <c r="C3002" t="s">
        <v>2987</v>
      </c>
      <c r="D3002" t="s">
        <v>11</v>
      </c>
      <c r="E3002" t="s">
        <v>6576</v>
      </c>
    </row>
    <row r="3003" spans="1:7" x14ac:dyDescent="0.2">
      <c r="A3003" t="s">
        <v>6574</v>
      </c>
      <c r="B3003" t="s">
        <v>6575</v>
      </c>
      <c r="C3003" t="s">
        <v>2987</v>
      </c>
      <c r="D3003" t="s">
        <v>14</v>
      </c>
      <c r="F3003">
        <v>0</v>
      </c>
      <c r="G3003">
        <v>4</v>
      </c>
    </row>
    <row r="3004" spans="1:7" x14ac:dyDescent="0.2">
      <c r="A3004" t="s">
        <v>6574</v>
      </c>
      <c r="B3004" t="s">
        <v>6575</v>
      </c>
      <c r="C3004" t="s">
        <v>2987</v>
      </c>
      <c r="D3004" t="s">
        <v>10</v>
      </c>
      <c r="E3004" t="s">
        <v>6577</v>
      </c>
    </row>
    <row r="3005" spans="1:7" x14ac:dyDescent="0.2">
      <c r="A3005" t="s">
        <v>6574</v>
      </c>
      <c r="B3005" t="s">
        <v>6575</v>
      </c>
      <c r="C3005" t="s">
        <v>2987</v>
      </c>
      <c r="D3005" t="s">
        <v>3471</v>
      </c>
      <c r="E3005" t="s">
        <v>6578</v>
      </c>
    </row>
    <row r="3006" spans="1:7" x14ac:dyDescent="0.2">
      <c r="A3006" t="s">
        <v>6574</v>
      </c>
      <c r="B3006" t="s">
        <v>6575</v>
      </c>
      <c r="C3006" t="s">
        <v>2987</v>
      </c>
      <c r="D3006" t="s">
        <v>8</v>
      </c>
      <c r="E3006" t="s">
        <v>6579</v>
      </c>
    </row>
    <row r="3007" spans="1:7" x14ac:dyDescent="0.2">
      <c r="A3007" t="s">
        <v>6580</v>
      </c>
      <c r="B3007" t="s">
        <v>6581</v>
      </c>
      <c r="C3007" t="s">
        <v>2987</v>
      </c>
      <c r="D3007" t="s">
        <v>11</v>
      </c>
      <c r="E3007" t="s">
        <v>6582</v>
      </c>
    </row>
    <row r="3008" spans="1:7" x14ac:dyDescent="0.2">
      <c r="A3008" t="s">
        <v>6583</v>
      </c>
      <c r="B3008" t="s">
        <v>6584</v>
      </c>
      <c r="C3008" t="s">
        <v>2987</v>
      </c>
      <c r="D3008" t="s">
        <v>11</v>
      </c>
      <c r="E3008" t="s">
        <v>6585</v>
      </c>
    </row>
    <row r="3009" spans="1:5" x14ac:dyDescent="0.2">
      <c r="A3009" t="s">
        <v>6586</v>
      </c>
      <c r="B3009" t="s">
        <v>6587</v>
      </c>
      <c r="C3009" t="s">
        <v>2987</v>
      </c>
      <c r="D3009" t="s">
        <v>11</v>
      </c>
      <c r="E3009" t="s">
        <v>6588</v>
      </c>
    </row>
    <row r="3010" spans="1:5" x14ac:dyDescent="0.2">
      <c r="A3010" t="s">
        <v>6589</v>
      </c>
      <c r="B3010" t="s">
        <v>6590</v>
      </c>
      <c r="C3010" t="s">
        <v>2987</v>
      </c>
      <c r="D3010" t="s">
        <v>11</v>
      </c>
      <c r="E3010" t="s">
        <v>6591</v>
      </c>
    </row>
    <row r="3011" spans="1:5" x14ac:dyDescent="0.2">
      <c r="A3011" t="s">
        <v>6592</v>
      </c>
      <c r="B3011" t="s">
        <v>6593</v>
      </c>
      <c r="C3011" t="s">
        <v>2987</v>
      </c>
      <c r="D3011" t="s">
        <v>11</v>
      </c>
      <c r="E3011" t="s">
        <v>6594</v>
      </c>
    </row>
    <row r="3012" spans="1:5" x14ac:dyDescent="0.2">
      <c r="A3012" t="s">
        <v>6595</v>
      </c>
      <c r="B3012" t="s">
        <v>6596</v>
      </c>
      <c r="C3012" t="s">
        <v>2987</v>
      </c>
      <c r="D3012" t="s">
        <v>11</v>
      </c>
      <c r="E3012" t="s">
        <v>6597</v>
      </c>
    </row>
    <row r="3013" spans="1:5" x14ac:dyDescent="0.2">
      <c r="A3013" t="s">
        <v>6598</v>
      </c>
      <c r="B3013" t="s">
        <v>6599</v>
      </c>
      <c r="C3013" t="s">
        <v>2987</v>
      </c>
      <c r="D3013" t="s">
        <v>11</v>
      </c>
      <c r="E3013" t="s">
        <v>6600</v>
      </c>
    </row>
    <row r="3014" spans="1:5" x14ac:dyDescent="0.2">
      <c r="A3014" t="s">
        <v>6601</v>
      </c>
      <c r="B3014" t="s">
        <v>6602</v>
      </c>
      <c r="C3014" t="s">
        <v>2987</v>
      </c>
      <c r="D3014" t="s">
        <v>11</v>
      </c>
      <c r="E3014" t="s">
        <v>6603</v>
      </c>
    </row>
    <row r="3015" spans="1:5" x14ac:dyDescent="0.2">
      <c r="A3015" t="s">
        <v>6604</v>
      </c>
      <c r="B3015" t="s">
        <v>6605</v>
      </c>
      <c r="C3015" t="s">
        <v>2987</v>
      </c>
      <c r="D3015" t="s">
        <v>11</v>
      </c>
      <c r="E3015" t="s">
        <v>6606</v>
      </c>
    </row>
    <row r="3016" spans="1:5" x14ac:dyDescent="0.2">
      <c r="A3016" t="s">
        <v>6607</v>
      </c>
      <c r="B3016" t="s">
        <v>6608</v>
      </c>
      <c r="C3016" t="s">
        <v>2987</v>
      </c>
      <c r="D3016" t="s">
        <v>11</v>
      </c>
      <c r="E3016" t="s">
        <v>6609</v>
      </c>
    </row>
    <row r="3017" spans="1:5" x14ac:dyDescent="0.2">
      <c r="A3017" t="s">
        <v>6610</v>
      </c>
      <c r="B3017" t="s">
        <v>6611</v>
      </c>
      <c r="C3017" t="s">
        <v>2987</v>
      </c>
      <c r="D3017" t="s">
        <v>11</v>
      </c>
      <c r="E3017" t="s">
        <v>6612</v>
      </c>
    </row>
    <row r="3018" spans="1:5" x14ac:dyDescent="0.2">
      <c r="A3018" t="s">
        <v>6613</v>
      </c>
      <c r="B3018" t="s">
        <v>6614</v>
      </c>
      <c r="C3018" t="s">
        <v>2987</v>
      </c>
      <c r="D3018" t="s">
        <v>11</v>
      </c>
      <c r="E3018" t="s">
        <v>6615</v>
      </c>
    </row>
    <row r="3019" spans="1:5" x14ac:dyDescent="0.2">
      <c r="A3019" t="s">
        <v>6616</v>
      </c>
      <c r="B3019" t="s">
        <v>6617</v>
      </c>
      <c r="C3019" t="s">
        <v>2987</v>
      </c>
      <c r="D3019" t="s">
        <v>11</v>
      </c>
      <c r="E3019" t="s">
        <v>6618</v>
      </c>
    </row>
    <row r="3020" spans="1:5" x14ac:dyDescent="0.2">
      <c r="A3020" t="s">
        <v>6619</v>
      </c>
      <c r="B3020" t="s">
        <v>6620</v>
      </c>
      <c r="C3020" t="s">
        <v>2987</v>
      </c>
      <c r="D3020" t="s">
        <v>11</v>
      </c>
      <c r="E3020" t="s">
        <v>6621</v>
      </c>
    </row>
    <row r="3021" spans="1:5" x14ac:dyDescent="0.2">
      <c r="A3021" t="s">
        <v>6622</v>
      </c>
      <c r="B3021" t="s">
        <v>6623</v>
      </c>
      <c r="C3021" t="s">
        <v>2987</v>
      </c>
      <c r="D3021" t="s">
        <v>11</v>
      </c>
      <c r="E3021" t="s">
        <v>6624</v>
      </c>
    </row>
    <row r="3022" spans="1:5" x14ac:dyDescent="0.2">
      <c r="A3022" t="s">
        <v>6625</v>
      </c>
      <c r="B3022" t="s">
        <v>6626</v>
      </c>
      <c r="C3022" t="s">
        <v>2987</v>
      </c>
      <c r="D3022" t="s">
        <v>11</v>
      </c>
      <c r="E3022" t="s">
        <v>6627</v>
      </c>
    </row>
    <row r="3023" spans="1:5" x14ac:dyDescent="0.2">
      <c r="A3023" t="s">
        <v>6628</v>
      </c>
      <c r="B3023" t="s">
        <v>6629</v>
      </c>
      <c r="C3023" t="s">
        <v>2987</v>
      </c>
      <c r="D3023" t="s">
        <v>11</v>
      </c>
      <c r="E3023" t="s">
        <v>6630</v>
      </c>
    </row>
    <row r="3024" spans="1:5" x14ac:dyDescent="0.2">
      <c r="A3024" t="s">
        <v>6631</v>
      </c>
      <c r="B3024" t="s">
        <v>6632</v>
      </c>
      <c r="C3024" t="s">
        <v>2987</v>
      </c>
      <c r="D3024" t="s">
        <v>11</v>
      </c>
      <c r="E3024" t="s">
        <v>6633</v>
      </c>
    </row>
    <row r="3025" spans="1:7" x14ac:dyDescent="0.2">
      <c r="A3025" t="s">
        <v>6634</v>
      </c>
      <c r="B3025" t="s">
        <v>6635</v>
      </c>
      <c r="C3025" t="s">
        <v>2987</v>
      </c>
      <c r="D3025" t="s">
        <v>11</v>
      </c>
      <c r="E3025" t="s">
        <v>6636</v>
      </c>
    </row>
    <row r="3026" spans="1:7" x14ac:dyDescent="0.2">
      <c r="A3026" t="s">
        <v>6637</v>
      </c>
      <c r="B3026" t="s">
        <v>6638</v>
      </c>
      <c r="C3026" t="s">
        <v>2987</v>
      </c>
      <c r="D3026" t="s">
        <v>11</v>
      </c>
      <c r="E3026" t="s">
        <v>6639</v>
      </c>
    </row>
    <row r="3027" spans="1:7" x14ac:dyDescent="0.2">
      <c r="A3027" t="s">
        <v>6640</v>
      </c>
      <c r="B3027" t="s">
        <v>6641</v>
      </c>
      <c r="C3027" t="s">
        <v>2987</v>
      </c>
      <c r="D3027" t="s">
        <v>11</v>
      </c>
      <c r="E3027" t="s">
        <v>6642</v>
      </c>
    </row>
    <row r="3028" spans="1:7" x14ac:dyDescent="0.2">
      <c r="A3028" t="s">
        <v>6643</v>
      </c>
      <c r="B3028" t="s">
        <v>6644</v>
      </c>
      <c r="C3028" t="s">
        <v>2987</v>
      </c>
      <c r="D3028" t="s">
        <v>11</v>
      </c>
      <c r="E3028" t="s">
        <v>6645</v>
      </c>
    </row>
    <row r="3029" spans="1:7" x14ac:dyDescent="0.2">
      <c r="A3029" t="s">
        <v>6643</v>
      </c>
      <c r="B3029" t="s">
        <v>6644</v>
      </c>
      <c r="C3029" t="s">
        <v>2987</v>
      </c>
      <c r="D3029" t="s">
        <v>10</v>
      </c>
      <c r="E3029" t="s">
        <v>6646</v>
      </c>
      <c r="F3029">
        <v>0.16666666666666666</v>
      </c>
      <c r="G3029">
        <v>1</v>
      </c>
    </row>
    <row r="3030" spans="1:7" x14ac:dyDescent="0.2">
      <c r="A3030" t="s">
        <v>3023</v>
      </c>
      <c r="B3030" t="s">
        <v>3024</v>
      </c>
      <c r="C3030" t="s">
        <v>2987</v>
      </c>
      <c r="D3030" t="s">
        <v>11</v>
      </c>
      <c r="E3030" t="s">
        <v>6647</v>
      </c>
      <c r="F3030">
        <v>3.1666666666666665</v>
      </c>
      <c r="G3030">
        <v>0</v>
      </c>
    </row>
    <row r="3031" spans="1:7" x14ac:dyDescent="0.2">
      <c r="A3031" t="s">
        <v>3023</v>
      </c>
      <c r="B3031" t="s">
        <v>3024</v>
      </c>
      <c r="C3031" t="s">
        <v>2987</v>
      </c>
      <c r="D3031" t="s">
        <v>14</v>
      </c>
      <c r="F3031">
        <v>1.1666666666666667</v>
      </c>
      <c r="G3031">
        <v>61</v>
      </c>
    </row>
    <row r="3032" spans="1:7" x14ac:dyDescent="0.2">
      <c r="A3032" t="s">
        <v>3023</v>
      </c>
      <c r="B3032" t="s">
        <v>3024</v>
      </c>
      <c r="C3032" t="s">
        <v>2987</v>
      </c>
      <c r="D3032" t="s">
        <v>10</v>
      </c>
      <c r="E3032" t="s">
        <v>6648</v>
      </c>
      <c r="F3032">
        <v>1.3333333333333333</v>
      </c>
      <c r="G3032">
        <v>19</v>
      </c>
    </row>
    <row r="3033" spans="1:7" x14ac:dyDescent="0.2">
      <c r="A3033" t="s">
        <v>3023</v>
      </c>
      <c r="B3033" t="s">
        <v>3024</v>
      </c>
      <c r="C3033" t="s">
        <v>2987</v>
      </c>
      <c r="D3033" t="s">
        <v>3471</v>
      </c>
      <c r="E3033" t="s">
        <v>6649</v>
      </c>
      <c r="F3033">
        <v>0</v>
      </c>
      <c r="G3033">
        <v>0</v>
      </c>
    </row>
    <row r="3034" spans="1:7" x14ac:dyDescent="0.2">
      <c r="A3034" t="s">
        <v>3023</v>
      </c>
      <c r="B3034" t="s">
        <v>3024</v>
      </c>
      <c r="C3034" t="s">
        <v>2987</v>
      </c>
      <c r="D3034" t="s">
        <v>8</v>
      </c>
      <c r="E3034" t="s">
        <v>6650</v>
      </c>
      <c r="F3034">
        <v>37.833333333333336</v>
      </c>
      <c r="G3034">
        <v>251</v>
      </c>
    </row>
    <row r="3035" spans="1:7" x14ac:dyDescent="0.2">
      <c r="A3035" t="s">
        <v>3023</v>
      </c>
      <c r="B3035" t="s">
        <v>3024</v>
      </c>
      <c r="C3035" t="s">
        <v>2987</v>
      </c>
      <c r="D3035" t="s">
        <v>3469</v>
      </c>
      <c r="F3035">
        <v>0</v>
      </c>
      <c r="G3035">
        <v>0</v>
      </c>
    </row>
    <row r="3036" spans="1:7" x14ac:dyDescent="0.2">
      <c r="A3036" t="s">
        <v>6651</v>
      </c>
      <c r="B3036" t="s">
        <v>6652</v>
      </c>
      <c r="C3036" t="s">
        <v>2987</v>
      </c>
      <c r="D3036" t="s">
        <v>11</v>
      </c>
      <c r="E3036" t="s">
        <v>6653</v>
      </c>
    </row>
    <row r="3037" spans="1:7" x14ac:dyDescent="0.2">
      <c r="A3037" t="s">
        <v>6654</v>
      </c>
      <c r="B3037" t="s">
        <v>6655</v>
      </c>
      <c r="C3037" t="s">
        <v>2987</v>
      </c>
      <c r="D3037" t="s">
        <v>11</v>
      </c>
      <c r="E3037" t="s">
        <v>6656</v>
      </c>
    </row>
    <row r="3038" spans="1:7" x14ac:dyDescent="0.2">
      <c r="A3038" t="s">
        <v>6657</v>
      </c>
      <c r="B3038" t="s">
        <v>6658</v>
      </c>
      <c r="C3038" t="s">
        <v>2987</v>
      </c>
      <c r="D3038" t="s">
        <v>11</v>
      </c>
      <c r="E3038" t="s">
        <v>6659</v>
      </c>
    </row>
    <row r="3039" spans="1:7" x14ac:dyDescent="0.2">
      <c r="A3039" t="s">
        <v>6660</v>
      </c>
      <c r="B3039" t="s">
        <v>6661</v>
      </c>
      <c r="C3039" t="s">
        <v>2987</v>
      </c>
      <c r="D3039" t="s">
        <v>11</v>
      </c>
      <c r="E3039" t="s">
        <v>6662</v>
      </c>
    </row>
    <row r="3040" spans="1:7" x14ac:dyDescent="0.2">
      <c r="A3040" t="s">
        <v>6663</v>
      </c>
      <c r="B3040" t="s">
        <v>6664</v>
      </c>
      <c r="C3040" t="s">
        <v>2987</v>
      </c>
      <c r="D3040" t="s">
        <v>11</v>
      </c>
      <c r="E3040" t="s">
        <v>6665</v>
      </c>
    </row>
    <row r="3041" spans="1:7" x14ac:dyDescent="0.2">
      <c r="A3041" t="s">
        <v>6663</v>
      </c>
      <c r="B3041" t="s">
        <v>6664</v>
      </c>
      <c r="C3041" t="s">
        <v>2987</v>
      </c>
      <c r="D3041" t="s">
        <v>3484</v>
      </c>
    </row>
    <row r="3042" spans="1:7" x14ac:dyDescent="0.2">
      <c r="A3042" t="s">
        <v>6666</v>
      </c>
      <c r="B3042" t="s">
        <v>6667</v>
      </c>
      <c r="C3042" t="s">
        <v>2987</v>
      </c>
      <c r="D3042" t="s">
        <v>11</v>
      </c>
      <c r="E3042" t="s">
        <v>6668</v>
      </c>
    </row>
    <row r="3043" spans="1:7" x14ac:dyDescent="0.2">
      <c r="A3043" t="s">
        <v>6669</v>
      </c>
      <c r="B3043" t="s">
        <v>6670</v>
      </c>
      <c r="C3043" t="s">
        <v>2987</v>
      </c>
      <c r="D3043" t="s">
        <v>11</v>
      </c>
      <c r="E3043" t="s">
        <v>6671</v>
      </c>
    </row>
    <row r="3044" spans="1:7" x14ac:dyDescent="0.2">
      <c r="A3044" t="s">
        <v>6672</v>
      </c>
      <c r="B3044" t="s">
        <v>6673</v>
      </c>
      <c r="C3044" t="s">
        <v>2987</v>
      </c>
      <c r="D3044" t="s">
        <v>11</v>
      </c>
      <c r="E3044" t="s">
        <v>6674</v>
      </c>
    </row>
    <row r="3045" spans="1:7" x14ac:dyDescent="0.2">
      <c r="A3045" t="s">
        <v>6675</v>
      </c>
      <c r="B3045" t="s">
        <v>6676</v>
      </c>
      <c r="C3045" t="s">
        <v>2987</v>
      </c>
      <c r="D3045" t="s">
        <v>11</v>
      </c>
      <c r="E3045" t="s">
        <v>6677</v>
      </c>
    </row>
    <row r="3046" spans="1:7" x14ac:dyDescent="0.2">
      <c r="A3046" t="s">
        <v>6678</v>
      </c>
      <c r="B3046" t="s">
        <v>6679</v>
      </c>
      <c r="C3046" t="s">
        <v>2987</v>
      </c>
      <c r="D3046" t="s">
        <v>11</v>
      </c>
      <c r="E3046" t="s">
        <v>6680</v>
      </c>
    </row>
    <row r="3047" spans="1:7" x14ac:dyDescent="0.2">
      <c r="A3047" t="s">
        <v>6681</v>
      </c>
      <c r="B3047" t="s">
        <v>6682</v>
      </c>
      <c r="C3047" t="s">
        <v>2987</v>
      </c>
      <c r="D3047" t="s">
        <v>11</v>
      </c>
      <c r="E3047" t="s">
        <v>6683</v>
      </c>
    </row>
    <row r="3048" spans="1:7" x14ac:dyDescent="0.2">
      <c r="A3048" t="s">
        <v>6684</v>
      </c>
      <c r="B3048" t="s">
        <v>6685</v>
      </c>
      <c r="C3048" t="s">
        <v>2987</v>
      </c>
      <c r="D3048" t="s">
        <v>11</v>
      </c>
      <c r="E3048" t="s">
        <v>6686</v>
      </c>
    </row>
    <row r="3049" spans="1:7" x14ac:dyDescent="0.2">
      <c r="A3049" t="s">
        <v>6687</v>
      </c>
      <c r="B3049" t="s">
        <v>6688</v>
      </c>
      <c r="C3049" t="s">
        <v>2987</v>
      </c>
      <c r="D3049" t="s">
        <v>11</v>
      </c>
      <c r="E3049" t="s">
        <v>6689</v>
      </c>
    </row>
    <row r="3050" spans="1:7" x14ac:dyDescent="0.2">
      <c r="A3050" t="s">
        <v>6690</v>
      </c>
      <c r="B3050" t="s">
        <v>6691</v>
      </c>
      <c r="C3050" t="s">
        <v>2987</v>
      </c>
      <c r="D3050" t="s">
        <v>11</v>
      </c>
      <c r="E3050" t="s">
        <v>6692</v>
      </c>
    </row>
    <row r="3051" spans="1:7" x14ac:dyDescent="0.2">
      <c r="A3051" t="s">
        <v>6690</v>
      </c>
      <c r="B3051" t="s">
        <v>6691</v>
      </c>
      <c r="C3051" t="s">
        <v>2987</v>
      </c>
      <c r="D3051" t="s">
        <v>14</v>
      </c>
    </row>
    <row r="3052" spans="1:7" x14ac:dyDescent="0.2">
      <c r="A3052" t="s">
        <v>6690</v>
      </c>
      <c r="B3052" t="s">
        <v>6691</v>
      </c>
      <c r="C3052" t="s">
        <v>2987</v>
      </c>
      <c r="D3052" t="s">
        <v>10</v>
      </c>
      <c r="E3052" t="s">
        <v>6693</v>
      </c>
      <c r="F3052">
        <v>0</v>
      </c>
      <c r="G3052">
        <v>1</v>
      </c>
    </row>
    <row r="3053" spans="1:7" x14ac:dyDescent="0.2">
      <c r="A3053" t="s">
        <v>6694</v>
      </c>
      <c r="B3053" t="s">
        <v>6695</v>
      </c>
      <c r="C3053" t="s">
        <v>2987</v>
      </c>
      <c r="D3053" t="s">
        <v>11</v>
      </c>
      <c r="E3053" t="s">
        <v>6696</v>
      </c>
    </row>
    <row r="3054" spans="1:7" x14ac:dyDescent="0.2">
      <c r="A3054" t="s">
        <v>3005</v>
      </c>
      <c r="B3054" t="s">
        <v>3006</v>
      </c>
      <c r="C3054" t="s">
        <v>2987</v>
      </c>
      <c r="D3054" t="s">
        <v>11</v>
      </c>
      <c r="E3054" t="s">
        <v>6697</v>
      </c>
    </row>
    <row r="3055" spans="1:7" x14ac:dyDescent="0.2">
      <c r="A3055" t="s">
        <v>3005</v>
      </c>
      <c r="B3055" t="s">
        <v>3006</v>
      </c>
      <c r="C3055" t="s">
        <v>2987</v>
      </c>
      <c r="D3055" t="s">
        <v>14</v>
      </c>
      <c r="F3055">
        <v>0</v>
      </c>
      <c r="G3055">
        <v>2</v>
      </c>
    </row>
    <row r="3056" spans="1:7" x14ac:dyDescent="0.2">
      <c r="A3056" t="s">
        <v>3005</v>
      </c>
      <c r="B3056" t="s">
        <v>3006</v>
      </c>
      <c r="C3056" t="s">
        <v>2987</v>
      </c>
      <c r="D3056" t="s">
        <v>3471</v>
      </c>
      <c r="E3056" t="s">
        <v>6698</v>
      </c>
      <c r="F3056">
        <v>0</v>
      </c>
      <c r="G3056">
        <v>0</v>
      </c>
    </row>
    <row r="3057" spans="1:7" x14ac:dyDescent="0.2">
      <c r="A3057" t="s">
        <v>6699</v>
      </c>
      <c r="B3057" t="s">
        <v>6700</v>
      </c>
      <c r="C3057" t="s">
        <v>2987</v>
      </c>
      <c r="D3057" t="s">
        <v>11</v>
      </c>
      <c r="E3057" t="s">
        <v>6701</v>
      </c>
    </row>
    <row r="3058" spans="1:7" x14ac:dyDescent="0.2">
      <c r="A3058" t="s">
        <v>6702</v>
      </c>
      <c r="B3058" t="s">
        <v>6703</v>
      </c>
      <c r="C3058" t="s">
        <v>2987</v>
      </c>
      <c r="D3058" t="s">
        <v>11</v>
      </c>
      <c r="E3058" t="s">
        <v>6704</v>
      </c>
    </row>
    <row r="3059" spans="1:7" x14ac:dyDescent="0.2">
      <c r="A3059" t="s">
        <v>6702</v>
      </c>
      <c r="B3059" t="s">
        <v>6703</v>
      </c>
      <c r="C3059" t="s">
        <v>2987</v>
      </c>
      <c r="D3059" t="s">
        <v>3471</v>
      </c>
      <c r="E3059" t="s">
        <v>6705</v>
      </c>
    </row>
    <row r="3060" spans="1:7" x14ac:dyDescent="0.2">
      <c r="A3060" t="s">
        <v>6702</v>
      </c>
      <c r="B3060" t="s">
        <v>6703</v>
      </c>
      <c r="C3060" t="s">
        <v>2987</v>
      </c>
      <c r="D3060" t="s">
        <v>3469</v>
      </c>
      <c r="F3060">
        <v>0</v>
      </c>
      <c r="G3060">
        <v>0</v>
      </c>
    </row>
    <row r="3061" spans="1:7" x14ac:dyDescent="0.2">
      <c r="A3061" t="s">
        <v>6702</v>
      </c>
      <c r="B3061" t="s">
        <v>6703</v>
      </c>
      <c r="C3061" t="s">
        <v>2987</v>
      </c>
      <c r="D3061" t="s">
        <v>3484</v>
      </c>
    </row>
    <row r="3062" spans="1:7" x14ac:dyDescent="0.2">
      <c r="A3062" t="s">
        <v>6706</v>
      </c>
      <c r="B3062" t="s">
        <v>6707</v>
      </c>
      <c r="C3062" t="s">
        <v>2987</v>
      </c>
      <c r="D3062" t="s">
        <v>11</v>
      </c>
      <c r="E3062" t="s">
        <v>6708</v>
      </c>
    </row>
    <row r="3063" spans="1:7" x14ac:dyDescent="0.2">
      <c r="A3063" t="s">
        <v>3061</v>
      </c>
      <c r="B3063" t="s">
        <v>3062</v>
      </c>
      <c r="C3063" t="s">
        <v>2987</v>
      </c>
      <c r="D3063" t="s">
        <v>11</v>
      </c>
      <c r="E3063" t="s">
        <v>6709</v>
      </c>
    </row>
    <row r="3064" spans="1:7" x14ac:dyDescent="0.2">
      <c r="A3064" t="s">
        <v>6710</v>
      </c>
      <c r="B3064" t="s">
        <v>6711</v>
      </c>
      <c r="C3064" t="s">
        <v>2987</v>
      </c>
      <c r="D3064" t="s">
        <v>11</v>
      </c>
      <c r="E3064" t="s">
        <v>6712</v>
      </c>
    </row>
    <row r="3065" spans="1:7" x14ac:dyDescent="0.2">
      <c r="A3065" t="s">
        <v>6713</v>
      </c>
      <c r="B3065" t="s">
        <v>6714</v>
      </c>
      <c r="C3065" t="s">
        <v>2987</v>
      </c>
      <c r="D3065" t="s">
        <v>11</v>
      </c>
      <c r="E3065" t="s">
        <v>6715</v>
      </c>
    </row>
    <row r="3066" spans="1:7" x14ac:dyDescent="0.2">
      <c r="A3066" t="s">
        <v>6716</v>
      </c>
      <c r="B3066" t="s">
        <v>6717</v>
      </c>
      <c r="C3066" t="s">
        <v>2987</v>
      </c>
      <c r="D3066" t="s">
        <v>11</v>
      </c>
      <c r="E3066" t="s">
        <v>6718</v>
      </c>
    </row>
    <row r="3067" spans="1:7" x14ac:dyDescent="0.2">
      <c r="A3067" t="s">
        <v>3053</v>
      </c>
      <c r="B3067" t="s">
        <v>3054</v>
      </c>
      <c r="C3067" t="s">
        <v>2987</v>
      </c>
      <c r="D3067" t="s">
        <v>11</v>
      </c>
      <c r="E3067" t="s">
        <v>6719</v>
      </c>
    </row>
    <row r="3068" spans="1:7" x14ac:dyDescent="0.2">
      <c r="A3068" t="s">
        <v>6720</v>
      </c>
      <c r="B3068" t="s">
        <v>6721</v>
      </c>
      <c r="C3068" t="s">
        <v>2987</v>
      </c>
      <c r="D3068" t="s">
        <v>11</v>
      </c>
      <c r="E3068" t="s">
        <v>6722</v>
      </c>
    </row>
    <row r="3069" spans="1:7" x14ac:dyDescent="0.2">
      <c r="A3069" t="s">
        <v>6723</v>
      </c>
      <c r="B3069" t="s">
        <v>6724</v>
      </c>
      <c r="C3069" t="s">
        <v>2987</v>
      </c>
      <c r="D3069" t="s">
        <v>11</v>
      </c>
      <c r="E3069" t="s">
        <v>6725</v>
      </c>
    </row>
    <row r="3070" spans="1:7" x14ac:dyDescent="0.2">
      <c r="A3070" t="s">
        <v>6726</v>
      </c>
      <c r="B3070" t="s">
        <v>6727</v>
      </c>
      <c r="C3070" t="s">
        <v>2987</v>
      </c>
      <c r="D3070" t="s">
        <v>11</v>
      </c>
      <c r="E3070" t="s">
        <v>6728</v>
      </c>
    </row>
    <row r="3071" spans="1:7" x14ac:dyDescent="0.2">
      <c r="A3071" t="s">
        <v>6729</v>
      </c>
      <c r="B3071" t="s">
        <v>6730</v>
      </c>
      <c r="C3071" t="s">
        <v>2987</v>
      </c>
      <c r="D3071" t="s">
        <v>11</v>
      </c>
      <c r="E3071" t="s">
        <v>6731</v>
      </c>
    </row>
    <row r="3072" spans="1:7" x14ac:dyDescent="0.2">
      <c r="A3072" t="s">
        <v>6732</v>
      </c>
      <c r="B3072" t="s">
        <v>6733</v>
      </c>
      <c r="C3072" t="s">
        <v>2987</v>
      </c>
      <c r="D3072" t="s">
        <v>11</v>
      </c>
      <c r="E3072" t="s">
        <v>6734</v>
      </c>
    </row>
    <row r="3073" spans="1:7" x14ac:dyDescent="0.2">
      <c r="A3073" t="s">
        <v>6735</v>
      </c>
      <c r="B3073" t="s">
        <v>6736</v>
      </c>
      <c r="C3073" t="s">
        <v>2987</v>
      </c>
      <c r="D3073" t="s">
        <v>11</v>
      </c>
      <c r="E3073" t="s">
        <v>6737</v>
      </c>
    </row>
    <row r="3074" spans="1:7" x14ac:dyDescent="0.2">
      <c r="A3074" t="s">
        <v>6738</v>
      </c>
      <c r="B3074" t="s">
        <v>6739</v>
      </c>
      <c r="C3074" t="s">
        <v>2987</v>
      </c>
      <c r="D3074" t="s">
        <v>11</v>
      </c>
      <c r="E3074" t="s">
        <v>6740</v>
      </c>
    </row>
    <row r="3075" spans="1:7" x14ac:dyDescent="0.2">
      <c r="A3075" t="s">
        <v>6741</v>
      </c>
      <c r="B3075" t="s">
        <v>6742</v>
      </c>
      <c r="C3075" t="s">
        <v>2987</v>
      </c>
      <c r="D3075" t="s">
        <v>11</v>
      </c>
      <c r="E3075" t="s">
        <v>6743</v>
      </c>
    </row>
    <row r="3076" spans="1:7" x14ac:dyDescent="0.2">
      <c r="A3076" t="s">
        <v>6744</v>
      </c>
      <c r="B3076" t="s">
        <v>6745</v>
      </c>
      <c r="C3076" t="s">
        <v>2987</v>
      </c>
      <c r="D3076" t="s">
        <v>11</v>
      </c>
      <c r="E3076" t="s">
        <v>6746</v>
      </c>
    </row>
    <row r="3077" spans="1:7" x14ac:dyDescent="0.2">
      <c r="A3077" t="s">
        <v>6747</v>
      </c>
      <c r="B3077" t="s">
        <v>6748</v>
      </c>
      <c r="C3077" t="s">
        <v>2987</v>
      </c>
      <c r="D3077" t="s">
        <v>11</v>
      </c>
      <c r="E3077" t="s">
        <v>6749</v>
      </c>
    </row>
    <row r="3078" spans="1:7" x14ac:dyDescent="0.2">
      <c r="A3078" t="s">
        <v>6750</v>
      </c>
      <c r="B3078" t="s">
        <v>6751</v>
      </c>
      <c r="C3078" t="s">
        <v>2987</v>
      </c>
      <c r="D3078" t="s">
        <v>11</v>
      </c>
      <c r="E3078" t="s">
        <v>6752</v>
      </c>
    </row>
    <row r="3079" spans="1:7" x14ac:dyDescent="0.2">
      <c r="A3079" t="s">
        <v>6753</v>
      </c>
      <c r="B3079" t="s">
        <v>6754</v>
      </c>
      <c r="C3079" t="s">
        <v>2987</v>
      </c>
      <c r="D3079" t="s">
        <v>11</v>
      </c>
      <c r="E3079" t="s">
        <v>6755</v>
      </c>
    </row>
    <row r="3080" spans="1:7" x14ac:dyDescent="0.2">
      <c r="A3080" t="s">
        <v>6756</v>
      </c>
      <c r="B3080" t="s">
        <v>6757</v>
      </c>
      <c r="C3080" t="s">
        <v>2987</v>
      </c>
      <c r="D3080" t="s">
        <v>11</v>
      </c>
      <c r="E3080" t="s">
        <v>6758</v>
      </c>
    </row>
    <row r="3081" spans="1:7" x14ac:dyDescent="0.2">
      <c r="A3081" t="s">
        <v>6759</v>
      </c>
      <c r="B3081" t="s">
        <v>6760</v>
      </c>
      <c r="C3081" t="s">
        <v>2987</v>
      </c>
      <c r="D3081" t="s">
        <v>11</v>
      </c>
      <c r="E3081" t="s">
        <v>6761</v>
      </c>
    </row>
    <row r="3082" spans="1:7" x14ac:dyDescent="0.2">
      <c r="A3082" t="s">
        <v>3035</v>
      </c>
      <c r="B3082" t="s">
        <v>3036</v>
      </c>
      <c r="C3082" t="s">
        <v>2987</v>
      </c>
      <c r="D3082" t="s">
        <v>11</v>
      </c>
      <c r="E3082" t="s">
        <v>6762</v>
      </c>
    </row>
    <row r="3083" spans="1:7" x14ac:dyDescent="0.2">
      <c r="A3083" t="s">
        <v>3035</v>
      </c>
      <c r="B3083" t="s">
        <v>3036</v>
      </c>
      <c r="C3083" t="s">
        <v>2987</v>
      </c>
      <c r="D3083" t="s">
        <v>10</v>
      </c>
      <c r="E3083" t="s">
        <v>6763</v>
      </c>
    </row>
    <row r="3084" spans="1:7" x14ac:dyDescent="0.2">
      <c r="A3084" t="s">
        <v>3035</v>
      </c>
      <c r="B3084" t="s">
        <v>3036</v>
      </c>
      <c r="C3084" t="s">
        <v>2987</v>
      </c>
      <c r="D3084" t="s">
        <v>8</v>
      </c>
      <c r="E3084" t="s">
        <v>6764</v>
      </c>
    </row>
    <row r="3085" spans="1:7" x14ac:dyDescent="0.2">
      <c r="A3085" t="s">
        <v>3035</v>
      </c>
      <c r="B3085" t="s">
        <v>3036</v>
      </c>
      <c r="C3085" t="s">
        <v>2987</v>
      </c>
      <c r="D3085" t="s">
        <v>3469</v>
      </c>
      <c r="F3085">
        <v>0</v>
      </c>
      <c r="G3085">
        <v>0</v>
      </c>
    </row>
    <row r="3086" spans="1:7" x14ac:dyDescent="0.2">
      <c r="A3086" t="s">
        <v>6765</v>
      </c>
      <c r="B3086" t="s">
        <v>6766</v>
      </c>
      <c r="C3086" t="s">
        <v>2987</v>
      </c>
      <c r="D3086" t="s">
        <v>11</v>
      </c>
      <c r="E3086" t="s">
        <v>6767</v>
      </c>
    </row>
    <row r="3087" spans="1:7" x14ac:dyDescent="0.2">
      <c r="A3087" t="s">
        <v>6765</v>
      </c>
      <c r="B3087" t="s">
        <v>6766</v>
      </c>
      <c r="C3087" t="s">
        <v>2987</v>
      </c>
      <c r="D3087" t="s">
        <v>10</v>
      </c>
      <c r="E3087" t="s">
        <v>6768</v>
      </c>
    </row>
    <row r="3088" spans="1:7" x14ac:dyDescent="0.2">
      <c r="A3088" t="s">
        <v>6769</v>
      </c>
      <c r="B3088" t="s">
        <v>6770</v>
      </c>
      <c r="C3088" t="s">
        <v>2987</v>
      </c>
      <c r="D3088" t="s">
        <v>11</v>
      </c>
      <c r="E3088" t="s">
        <v>6771</v>
      </c>
    </row>
    <row r="3089" spans="1:7" x14ac:dyDescent="0.2">
      <c r="A3089" t="s">
        <v>3071</v>
      </c>
      <c r="B3089" t="s">
        <v>3072</v>
      </c>
      <c r="C3089" t="s">
        <v>2987</v>
      </c>
      <c r="D3089" t="s">
        <v>11</v>
      </c>
      <c r="E3089" t="s">
        <v>6772</v>
      </c>
    </row>
    <row r="3090" spans="1:7" x14ac:dyDescent="0.2">
      <c r="A3090" t="s">
        <v>3071</v>
      </c>
      <c r="B3090" t="s">
        <v>3072</v>
      </c>
      <c r="C3090" t="s">
        <v>2987</v>
      </c>
      <c r="D3090" t="s">
        <v>10</v>
      </c>
      <c r="E3090" t="s">
        <v>6773</v>
      </c>
    </row>
    <row r="3091" spans="1:7" x14ac:dyDescent="0.2">
      <c r="A3091" t="s">
        <v>3071</v>
      </c>
      <c r="B3091" t="s">
        <v>3072</v>
      </c>
      <c r="C3091" t="s">
        <v>2987</v>
      </c>
      <c r="D3091" t="s">
        <v>3471</v>
      </c>
      <c r="E3091" t="s">
        <v>6774</v>
      </c>
    </row>
    <row r="3092" spans="1:7" x14ac:dyDescent="0.2">
      <c r="A3092" t="s">
        <v>3071</v>
      </c>
      <c r="B3092" t="s">
        <v>3072</v>
      </c>
      <c r="C3092" t="s">
        <v>2987</v>
      </c>
      <c r="D3092" t="s">
        <v>8</v>
      </c>
      <c r="E3092" t="s">
        <v>6775</v>
      </c>
    </row>
    <row r="3093" spans="1:7" x14ac:dyDescent="0.2">
      <c r="A3093" t="s">
        <v>3071</v>
      </c>
      <c r="B3093" t="s">
        <v>3072</v>
      </c>
      <c r="C3093" t="s">
        <v>2987</v>
      </c>
      <c r="D3093" t="s">
        <v>3469</v>
      </c>
    </row>
    <row r="3094" spans="1:7" x14ac:dyDescent="0.2">
      <c r="A3094" t="s">
        <v>2990</v>
      </c>
      <c r="B3094" t="s">
        <v>2991</v>
      </c>
      <c r="C3094" t="s">
        <v>2987</v>
      </c>
      <c r="D3094" t="s">
        <v>11</v>
      </c>
      <c r="E3094" t="s">
        <v>6776</v>
      </c>
    </row>
    <row r="3095" spans="1:7" x14ac:dyDescent="0.2">
      <c r="A3095" t="s">
        <v>2990</v>
      </c>
      <c r="B3095" t="s">
        <v>2991</v>
      </c>
      <c r="C3095" t="s">
        <v>2987</v>
      </c>
      <c r="D3095" t="s">
        <v>13</v>
      </c>
    </row>
    <row r="3096" spans="1:7" x14ac:dyDescent="0.2">
      <c r="A3096" t="s">
        <v>2990</v>
      </c>
      <c r="B3096" t="s">
        <v>2991</v>
      </c>
      <c r="C3096" t="s">
        <v>2987</v>
      </c>
      <c r="D3096" t="s">
        <v>14</v>
      </c>
      <c r="F3096">
        <v>0.5</v>
      </c>
      <c r="G3096">
        <v>7</v>
      </c>
    </row>
    <row r="3097" spans="1:7" x14ac:dyDescent="0.2">
      <c r="A3097" t="s">
        <v>2990</v>
      </c>
      <c r="B3097" t="s">
        <v>2991</v>
      </c>
      <c r="C3097" t="s">
        <v>2987</v>
      </c>
      <c r="D3097" t="s">
        <v>10</v>
      </c>
      <c r="E3097" t="s">
        <v>6777</v>
      </c>
      <c r="F3097">
        <v>1.6666666666666667</v>
      </c>
      <c r="G3097">
        <v>61</v>
      </c>
    </row>
    <row r="3098" spans="1:7" x14ac:dyDescent="0.2">
      <c r="A3098" t="s">
        <v>2990</v>
      </c>
      <c r="B3098" t="s">
        <v>2991</v>
      </c>
      <c r="C3098" t="s">
        <v>2987</v>
      </c>
      <c r="D3098" t="s">
        <v>3471</v>
      </c>
      <c r="E3098" t="s">
        <v>6778</v>
      </c>
    </row>
    <row r="3099" spans="1:7" x14ac:dyDescent="0.2">
      <c r="A3099" t="s">
        <v>2990</v>
      </c>
      <c r="B3099" t="s">
        <v>2991</v>
      </c>
      <c r="C3099" t="s">
        <v>2987</v>
      </c>
      <c r="D3099" t="s">
        <v>8</v>
      </c>
      <c r="E3099" t="s">
        <v>6779</v>
      </c>
      <c r="F3099">
        <v>0.16666666666666666</v>
      </c>
      <c r="G3099">
        <v>2</v>
      </c>
    </row>
    <row r="3100" spans="1:7" x14ac:dyDescent="0.2">
      <c r="A3100" t="s">
        <v>2990</v>
      </c>
      <c r="B3100" t="s">
        <v>2991</v>
      </c>
      <c r="C3100" t="s">
        <v>2987</v>
      </c>
      <c r="D3100" t="s">
        <v>3469</v>
      </c>
      <c r="F3100">
        <v>0.16666666666666666</v>
      </c>
      <c r="G3100">
        <v>7</v>
      </c>
    </row>
    <row r="3101" spans="1:7" x14ac:dyDescent="0.2">
      <c r="A3101" t="s">
        <v>2990</v>
      </c>
      <c r="B3101" t="s">
        <v>2991</v>
      </c>
      <c r="C3101" t="s">
        <v>2987</v>
      </c>
      <c r="D3101" t="s">
        <v>12</v>
      </c>
      <c r="F3101">
        <v>0</v>
      </c>
      <c r="G3101">
        <v>1</v>
      </c>
    </row>
    <row r="3102" spans="1:7" x14ac:dyDescent="0.2">
      <c r="A3102" t="s">
        <v>2990</v>
      </c>
      <c r="B3102" t="s">
        <v>2991</v>
      </c>
      <c r="C3102" t="s">
        <v>2987</v>
      </c>
      <c r="D3102" t="s">
        <v>3484</v>
      </c>
    </row>
    <row r="3103" spans="1:7" x14ac:dyDescent="0.2">
      <c r="A3103" t="s">
        <v>6780</v>
      </c>
      <c r="B3103" t="s">
        <v>6781</v>
      </c>
      <c r="C3103" t="s">
        <v>2987</v>
      </c>
      <c r="D3103" t="s">
        <v>11</v>
      </c>
      <c r="E3103" t="s">
        <v>6782</v>
      </c>
    </row>
    <row r="3104" spans="1:7" x14ac:dyDescent="0.2">
      <c r="A3104" t="s">
        <v>6780</v>
      </c>
      <c r="B3104" t="s">
        <v>6781</v>
      </c>
      <c r="C3104" t="s">
        <v>2987</v>
      </c>
      <c r="D3104" t="s">
        <v>14</v>
      </c>
      <c r="F3104">
        <v>0</v>
      </c>
      <c r="G3104">
        <v>5</v>
      </c>
    </row>
    <row r="3105" spans="1:7" x14ac:dyDescent="0.2">
      <c r="A3105" t="s">
        <v>6783</v>
      </c>
      <c r="B3105" t="s">
        <v>6784</v>
      </c>
      <c r="C3105" t="s">
        <v>2987</v>
      </c>
      <c r="D3105" t="s">
        <v>11</v>
      </c>
      <c r="E3105" t="s">
        <v>6785</v>
      </c>
    </row>
    <row r="3106" spans="1:7" x14ac:dyDescent="0.2">
      <c r="A3106" t="s">
        <v>6783</v>
      </c>
      <c r="B3106" t="s">
        <v>6784</v>
      </c>
      <c r="C3106" t="s">
        <v>2987</v>
      </c>
      <c r="D3106" t="s">
        <v>13</v>
      </c>
    </row>
    <row r="3107" spans="1:7" x14ac:dyDescent="0.2">
      <c r="A3107" t="s">
        <v>6783</v>
      </c>
      <c r="B3107" t="s">
        <v>6784</v>
      </c>
      <c r="C3107" t="s">
        <v>2987</v>
      </c>
      <c r="D3107" t="s">
        <v>14</v>
      </c>
      <c r="F3107">
        <v>0.16666666666666666</v>
      </c>
      <c r="G3107">
        <v>5</v>
      </c>
    </row>
    <row r="3108" spans="1:7" x14ac:dyDescent="0.2">
      <c r="A3108" t="s">
        <v>6783</v>
      </c>
      <c r="B3108" t="s">
        <v>6784</v>
      </c>
      <c r="C3108" t="s">
        <v>2987</v>
      </c>
      <c r="D3108" t="s">
        <v>10</v>
      </c>
      <c r="E3108" t="s">
        <v>6786</v>
      </c>
      <c r="F3108">
        <v>0</v>
      </c>
      <c r="G3108">
        <v>1</v>
      </c>
    </row>
    <row r="3109" spans="1:7" x14ac:dyDescent="0.2">
      <c r="A3109" t="s">
        <v>6783</v>
      </c>
      <c r="B3109" t="s">
        <v>6784</v>
      </c>
      <c r="C3109" t="s">
        <v>2987</v>
      </c>
      <c r="D3109" t="s">
        <v>3471</v>
      </c>
      <c r="E3109" t="s">
        <v>6787</v>
      </c>
    </row>
    <row r="3110" spans="1:7" x14ac:dyDescent="0.2">
      <c r="A3110" t="s">
        <v>6783</v>
      </c>
      <c r="B3110" t="s">
        <v>6784</v>
      </c>
      <c r="C3110" t="s">
        <v>2987</v>
      </c>
      <c r="D3110" t="s">
        <v>8</v>
      </c>
      <c r="E3110" t="s">
        <v>6788</v>
      </c>
    </row>
    <row r="3111" spans="1:7" x14ac:dyDescent="0.2">
      <c r="A3111" t="s">
        <v>6783</v>
      </c>
      <c r="B3111" t="s">
        <v>6784</v>
      </c>
      <c r="C3111" t="s">
        <v>2987</v>
      </c>
      <c r="D3111" t="s">
        <v>3469</v>
      </c>
      <c r="F3111">
        <v>0</v>
      </c>
      <c r="G3111">
        <v>3</v>
      </c>
    </row>
    <row r="3112" spans="1:7" x14ac:dyDescent="0.2">
      <c r="A3112" t="s">
        <v>3025</v>
      </c>
      <c r="B3112" t="s">
        <v>3026</v>
      </c>
      <c r="C3112" t="s">
        <v>2987</v>
      </c>
      <c r="D3112" t="s">
        <v>11</v>
      </c>
      <c r="E3112" t="s">
        <v>6789</v>
      </c>
      <c r="F3112">
        <v>1.5</v>
      </c>
      <c r="G3112">
        <v>9</v>
      </c>
    </row>
    <row r="3113" spans="1:7" x14ac:dyDescent="0.2">
      <c r="A3113" t="s">
        <v>3025</v>
      </c>
      <c r="B3113" t="s">
        <v>3026</v>
      </c>
      <c r="C3113" t="s">
        <v>2987</v>
      </c>
      <c r="D3113" t="s">
        <v>14</v>
      </c>
      <c r="F3113">
        <v>0.16666666666666666</v>
      </c>
      <c r="G3113">
        <v>8</v>
      </c>
    </row>
    <row r="3114" spans="1:7" x14ac:dyDescent="0.2">
      <c r="A3114" t="s">
        <v>3025</v>
      </c>
      <c r="B3114" t="s">
        <v>3026</v>
      </c>
      <c r="C3114" t="s">
        <v>2987</v>
      </c>
      <c r="D3114" t="s">
        <v>3494</v>
      </c>
    </row>
    <row r="3115" spans="1:7" x14ac:dyDescent="0.2">
      <c r="A3115" t="s">
        <v>3025</v>
      </c>
      <c r="B3115" t="s">
        <v>3026</v>
      </c>
      <c r="C3115" t="s">
        <v>2987</v>
      </c>
      <c r="D3115" t="s">
        <v>10</v>
      </c>
      <c r="E3115" t="s">
        <v>6790</v>
      </c>
      <c r="F3115">
        <v>0.33333333333333331</v>
      </c>
      <c r="G3115">
        <v>5</v>
      </c>
    </row>
    <row r="3116" spans="1:7" x14ac:dyDescent="0.2">
      <c r="A3116" t="s">
        <v>3025</v>
      </c>
      <c r="B3116" t="s">
        <v>3026</v>
      </c>
      <c r="C3116" t="s">
        <v>2987</v>
      </c>
      <c r="D3116" t="s">
        <v>3471</v>
      </c>
      <c r="E3116" t="s">
        <v>6791</v>
      </c>
      <c r="F3116">
        <v>0</v>
      </c>
      <c r="G3116">
        <v>0</v>
      </c>
    </row>
    <row r="3117" spans="1:7" x14ac:dyDescent="0.2">
      <c r="A3117" t="s">
        <v>3025</v>
      </c>
      <c r="B3117" t="s">
        <v>3026</v>
      </c>
      <c r="C3117" t="s">
        <v>2987</v>
      </c>
      <c r="D3117" t="s">
        <v>8</v>
      </c>
      <c r="E3117" t="s">
        <v>6792</v>
      </c>
      <c r="F3117">
        <v>20.166666666666668</v>
      </c>
      <c r="G3117">
        <v>219</v>
      </c>
    </row>
    <row r="3118" spans="1:7" x14ac:dyDescent="0.2">
      <c r="A3118" t="s">
        <v>3025</v>
      </c>
      <c r="B3118" t="s">
        <v>3026</v>
      </c>
      <c r="C3118" t="s">
        <v>2987</v>
      </c>
      <c r="D3118" t="s">
        <v>3469</v>
      </c>
      <c r="F3118">
        <v>0</v>
      </c>
      <c r="G3118">
        <v>2</v>
      </c>
    </row>
    <row r="3119" spans="1:7" x14ac:dyDescent="0.2">
      <c r="A3119" t="s">
        <v>6793</v>
      </c>
      <c r="B3119" t="s">
        <v>6794</v>
      </c>
      <c r="C3119" t="s">
        <v>2987</v>
      </c>
      <c r="D3119" t="s">
        <v>11</v>
      </c>
      <c r="E3119" t="s">
        <v>6795</v>
      </c>
    </row>
    <row r="3120" spans="1:7" x14ac:dyDescent="0.2">
      <c r="A3120" t="s">
        <v>6796</v>
      </c>
      <c r="B3120" t="s">
        <v>6797</v>
      </c>
      <c r="C3120" t="s">
        <v>2987</v>
      </c>
      <c r="D3120" t="s">
        <v>11</v>
      </c>
      <c r="E3120" t="s">
        <v>6798</v>
      </c>
    </row>
    <row r="3121" spans="1:7" x14ac:dyDescent="0.2">
      <c r="A3121" t="s">
        <v>6799</v>
      </c>
      <c r="B3121" t="s">
        <v>6800</v>
      </c>
      <c r="C3121" t="s">
        <v>2987</v>
      </c>
      <c r="D3121" t="s">
        <v>11</v>
      </c>
      <c r="E3121" t="s">
        <v>6801</v>
      </c>
    </row>
    <row r="3122" spans="1:7" x14ac:dyDescent="0.2">
      <c r="A3122" t="s">
        <v>6802</v>
      </c>
      <c r="B3122" t="s">
        <v>6803</v>
      </c>
      <c r="C3122" t="s">
        <v>2987</v>
      </c>
      <c r="D3122" t="s">
        <v>11</v>
      </c>
      <c r="E3122" t="s">
        <v>6804</v>
      </c>
    </row>
    <row r="3123" spans="1:7" x14ac:dyDescent="0.2">
      <c r="A3123" t="s">
        <v>6805</v>
      </c>
      <c r="B3123" t="s">
        <v>6806</v>
      </c>
      <c r="C3123" t="s">
        <v>2987</v>
      </c>
      <c r="D3123" t="s">
        <v>11</v>
      </c>
      <c r="E3123" t="s">
        <v>6807</v>
      </c>
    </row>
    <row r="3124" spans="1:7" x14ac:dyDescent="0.2">
      <c r="A3124" t="s">
        <v>6808</v>
      </c>
      <c r="B3124" t="s">
        <v>6809</v>
      </c>
      <c r="C3124" t="s">
        <v>2987</v>
      </c>
      <c r="D3124" t="s">
        <v>11</v>
      </c>
      <c r="E3124" t="s">
        <v>6810</v>
      </c>
    </row>
    <row r="3125" spans="1:7" x14ac:dyDescent="0.2">
      <c r="A3125" t="s">
        <v>6811</v>
      </c>
      <c r="B3125" t="s">
        <v>6812</v>
      </c>
      <c r="C3125" t="s">
        <v>2987</v>
      </c>
      <c r="D3125" t="s">
        <v>11</v>
      </c>
      <c r="E3125" t="s">
        <v>6813</v>
      </c>
    </row>
    <row r="3126" spans="1:7" x14ac:dyDescent="0.2">
      <c r="A3126" t="s">
        <v>6814</v>
      </c>
      <c r="B3126" t="s">
        <v>6815</v>
      </c>
      <c r="C3126" t="s">
        <v>2987</v>
      </c>
      <c r="D3126" t="s">
        <v>11</v>
      </c>
      <c r="E3126" t="s">
        <v>6816</v>
      </c>
    </row>
    <row r="3127" spans="1:7" x14ac:dyDescent="0.2">
      <c r="A3127" t="s">
        <v>6817</v>
      </c>
      <c r="B3127" t="s">
        <v>6818</v>
      </c>
      <c r="C3127" t="s">
        <v>2987</v>
      </c>
      <c r="D3127" t="s">
        <v>11</v>
      </c>
      <c r="E3127" t="s">
        <v>6819</v>
      </c>
    </row>
    <row r="3128" spans="1:7" x14ac:dyDescent="0.2">
      <c r="A3128" t="s">
        <v>6820</v>
      </c>
      <c r="B3128" t="s">
        <v>6821</v>
      </c>
      <c r="C3128" t="s">
        <v>2987</v>
      </c>
      <c r="D3128" t="s">
        <v>11</v>
      </c>
      <c r="E3128" t="s">
        <v>6822</v>
      </c>
    </row>
    <row r="3129" spans="1:7" x14ac:dyDescent="0.2">
      <c r="A3129" t="s">
        <v>6823</v>
      </c>
      <c r="B3129" t="s">
        <v>6824</v>
      </c>
      <c r="C3129" t="s">
        <v>2987</v>
      </c>
      <c r="D3129" t="s">
        <v>11</v>
      </c>
      <c r="E3129" t="s">
        <v>6825</v>
      </c>
    </row>
    <row r="3130" spans="1:7" x14ac:dyDescent="0.2">
      <c r="A3130" t="s">
        <v>6826</v>
      </c>
      <c r="B3130" t="s">
        <v>6827</v>
      </c>
      <c r="C3130" t="s">
        <v>2987</v>
      </c>
      <c r="D3130" t="s">
        <v>11</v>
      </c>
      <c r="E3130" t="s">
        <v>6828</v>
      </c>
    </row>
    <row r="3131" spans="1:7" x14ac:dyDescent="0.2">
      <c r="A3131" t="s">
        <v>6829</v>
      </c>
      <c r="B3131" t="s">
        <v>6830</v>
      </c>
      <c r="C3131" t="s">
        <v>2987</v>
      </c>
      <c r="D3131" t="s">
        <v>11</v>
      </c>
      <c r="E3131" t="s">
        <v>6831</v>
      </c>
    </row>
    <row r="3132" spans="1:7" x14ac:dyDescent="0.2">
      <c r="A3132" t="s">
        <v>6829</v>
      </c>
      <c r="B3132" t="s">
        <v>6830</v>
      </c>
      <c r="C3132" t="s">
        <v>2987</v>
      </c>
      <c r="D3132" t="s">
        <v>10</v>
      </c>
      <c r="E3132" t="s">
        <v>6832</v>
      </c>
    </row>
    <row r="3133" spans="1:7" x14ac:dyDescent="0.2">
      <c r="A3133" t="s">
        <v>6829</v>
      </c>
      <c r="B3133" t="s">
        <v>6830</v>
      </c>
      <c r="C3133" t="s">
        <v>2987</v>
      </c>
      <c r="D3133" t="s">
        <v>8</v>
      </c>
      <c r="E3133" t="s">
        <v>6833</v>
      </c>
    </row>
    <row r="3134" spans="1:7" x14ac:dyDescent="0.2">
      <c r="A3134" t="s">
        <v>6834</v>
      </c>
      <c r="B3134" t="s">
        <v>6835</v>
      </c>
      <c r="C3134" t="s">
        <v>2987</v>
      </c>
      <c r="D3134" t="s">
        <v>11</v>
      </c>
      <c r="E3134" t="s">
        <v>6836</v>
      </c>
    </row>
    <row r="3135" spans="1:7" x14ac:dyDescent="0.2">
      <c r="A3135" t="s">
        <v>6834</v>
      </c>
      <c r="B3135" t="s">
        <v>6835</v>
      </c>
      <c r="C3135" t="s">
        <v>2987</v>
      </c>
      <c r="D3135" t="s">
        <v>10</v>
      </c>
      <c r="E3135" t="s">
        <v>6837</v>
      </c>
    </row>
    <row r="3136" spans="1:7" x14ac:dyDescent="0.2">
      <c r="A3136" t="s">
        <v>6834</v>
      </c>
      <c r="B3136" t="s">
        <v>6835</v>
      </c>
      <c r="C3136" t="s">
        <v>2987</v>
      </c>
      <c r="D3136" t="s">
        <v>3471</v>
      </c>
      <c r="E3136" t="s">
        <v>6838</v>
      </c>
      <c r="F3136">
        <v>0</v>
      </c>
      <c r="G3136">
        <v>0</v>
      </c>
    </row>
    <row r="3137" spans="1:7" x14ac:dyDescent="0.2">
      <c r="A3137" t="s">
        <v>6834</v>
      </c>
      <c r="B3137" t="s">
        <v>6835</v>
      </c>
      <c r="C3137" t="s">
        <v>2987</v>
      </c>
      <c r="D3137" t="s">
        <v>8</v>
      </c>
      <c r="E3137" t="s">
        <v>6839</v>
      </c>
    </row>
    <row r="3138" spans="1:7" x14ac:dyDescent="0.2">
      <c r="A3138" t="s">
        <v>6834</v>
      </c>
      <c r="B3138" t="s">
        <v>6835</v>
      </c>
      <c r="C3138" t="s">
        <v>2987</v>
      </c>
      <c r="D3138" t="s">
        <v>3469</v>
      </c>
      <c r="F3138">
        <v>0.16666666666666666</v>
      </c>
      <c r="G3138">
        <v>4</v>
      </c>
    </row>
    <row r="3139" spans="1:7" x14ac:dyDescent="0.2">
      <c r="A3139" t="s">
        <v>6840</v>
      </c>
      <c r="B3139" t="s">
        <v>6841</v>
      </c>
      <c r="C3139" t="s">
        <v>2987</v>
      </c>
      <c r="D3139" t="s">
        <v>11</v>
      </c>
      <c r="E3139" t="s">
        <v>6842</v>
      </c>
    </row>
    <row r="3140" spans="1:7" x14ac:dyDescent="0.2">
      <c r="A3140" t="s">
        <v>6840</v>
      </c>
      <c r="B3140" t="s">
        <v>6841</v>
      </c>
      <c r="C3140" t="s">
        <v>2987</v>
      </c>
      <c r="D3140" t="s">
        <v>10</v>
      </c>
      <c r="E3140" t="s">
        <v>6843</v>
      </c>
    </row>
    <row r="3141" spans="1:7" x14ac:dyDescent="0.2">
      <c r="A3141" t="s">
        <v>6844</v>
      </c>
      <c r="B3141" t="s">
        <v>6845</v>
      </c>
      <c r="C3141" t="s">
        <v>2987</v>
      </c>
      <c r="D3141" t="s">
        <v>11</v>
      </c>
      <c r="E3141" t="s">
        <v>6846</v>
      </c>
    </row>
    <row r="3142" spans="1:7" x14ac:dyDescent="0.2">
      <c r="A3142" t="s">
        <v>6847</v>
      </c>
      <c r="B3142" t="s">
        <v>6848</v>
      </c>
      <c r="C3142" t="s">
        <v>2987</v>
      </c>
      <c r="D3142" t="s">
        <v>11</v>
      </c>
      <c r="E3142" t="s">
        <v>6849</v>
      </c>
    </row>
    <row r="3143" spans="1:7" x14ac:dyDescent="0.2">
      <c r="A3143" t="s">
        <v>6850</v>
      </c>
      <c r="B3143" t="s">
        <v>6851</v>
      </c>
      <c r="C3143" t="s">
        <v>2987</v>
      </c>
      <c r="D3143" t="s">
        <v>11</v>
      </c>
      <c r="E3143" t="s">
        <v>6852</v>
      </c>
    </row>
    <row r="3144" spans="1:7" x14ac:dyDescent="0.2">
      <c r="A3144" t="s">
        <v>6853</v>
      </c>
      <c r="B3144" t="s">
        <v>6854</v>
      </c>
      <c r="C3144" t="s">
        <v>2987</v>
      </c>
      <c r="D3144" t="s">
        <v>11</v>
      </c>
      <c r="E3144" t="s">
        <v>6855</v>
      </c>
    </row>
    <row r="3145" spans="1:7" x14ac:dyDescent="0.2">
      <c r="A3145" t="s">
        <v>6853</v>
      </c>
      <c r="B3145" t="s">
        <v>6854</v>
      </c>
      <c r="C3145" t="s">
        <v>2987</v>
      </c>
      <c r="D3145" t="s">
        <v>10</v>
      </c>
      <c r="E3145" t="s">
        <v>6856</v>
      </c>
      <c r="F3145">
        <v>0</v>
      </c>
      <c r="G3145">
        <v>9</v>
      </c>
    </row>
    <row r="3146" spans="1:7" x14ac:dyDescent="0.2">
      <c r="A3146" t="s">
        <v>6853</v>
      </c>
      <c r="B3146" t="s">
        <v>6854</v>
      </c>
      <c r="C3146" t="s">
        <v>2987</v>
      </c>
      <c r="D3146" t="s">
        <v>8</v>
      </c>
      <c r="E3146" t="s">
        <v>6857</v>
      </c>
    </row>
    <row r="3147" spans="1:7" x14ac:dyDescent="0.2">
      <c r="A3147" t="s">
        <v>6858</v>
      </c>
      <c r="B3147" t="s">
        <v>6859</v>
      </c>
      <c r="C3147" t="s">
        <v>2987</v>
      </c>
      <c r="D3147" t="s">
        <v>11</v>
      </c>
      <c r="E3147" t="s">
        <v>6860</v>
      </c>
    </row>
    <row r="3148" spans="1:7" x14ac:dyDescent="0.2">
      <c r="A3148" t="s">
        <v>6861</v>
      </c>
      <c r="B3148" t="s">
        <v>6862</v>
      </c>
      <c r="C3148" t="s">
        <v>2987</v>
      </c>
      <c r="D3148" t="s">
        <v>11</v>
      </c>
      <c r="E3148" t="s">
        <v>6863</v>
      </c>
    </row>
    <row r="3149" spans="1:7" x14ac:dyDescent="0.2">
      <c r="A3149" t="s">
        <v>3067</v>
      </c>
      <c r="B3149" t="s">
        <v>3068</v>
      </c>
      <c r="C3149" t="s">
        <v>2987</v>
      </c>
      <c r="D3149" t="s">
        <v>11</v>
      </c>
      <c r="E3149" t="s">
        <v>6864</v>
      </c>
    </row>
    <row r="3150" spans="1:7" x14ac:dyDescent="0.2">
      <c r="A3150" t="s">
        <v>3067</v>
      </c>
      <c r="B3150" t="s">
        <v>3068</v>
      </c>
      <c r="C3150" t="s">
        <v>2987</v>
      </c>
      <c r="D3150" t="s">
        <v>3471</v>
      </c>
      <c r="E3150" t="s">
        <v>6865</v>
      </c>
      <c r="F3150">
        <v>0.16666666666666666</v>
      </c>
      <c r="G3150">
        <v>0</v>
      </c>
    </row>
    <row r="3151" spans="1:7" x14ac:dyDescent="0.2">
      <c r="A3151" t="s">
        <v>6866</v>
      </c>
      <c r="B3151" t="s">
        <v>6867</v>
      </c>
      <c r="C3151" t="s">
        <v>2987</v>
      </c>
      <c r="D3151" t="s">
        <v>11</v>
      </c>
      <c r="E3151" t="s">
        <v>6868</v>
      </c>
    </row>
    <row r="3152" spans="1:7" x14ac:dyDescent="0.2">
      <c r="A3152" t="s">
        <v>6866</v>
      </c>
      <c r="B3152" t="s">
        <v>6867</v>
      </c>
      <c r="C3152" t="s">
        <v>2987</v>
      </c>
      <c r="D3152" t="s">
        <v>3469</v>
      </c>
    </row>
    <row r="3153" spans="1:5" x14ac:dyDescent="0.2">
      <c r="A3153" t="s">
        <v>6869</v>
      </c>
      <c r="B3153" t="s">
        <v>6870</v>
      </c>
      <c r="C3153" t="s">
        <v>2987</v>
      </c>
      <c r="D3153" t="s">
        <v>11</v>
      </c>
      <c r="E3153" t="s">
        <v>6871</v>
      </c>
    </row>
    <row r="3154" spans="1:5" x14ac:dyDescent="0.2">
      <c r="A3154" t="s">
        <v>6869</v>
      </c>
      <c r="B3154" t="s">
        <v>6870</v>
      </c>
      <c r="C3154" t="s">
        <v>2987</v>
      </c>
      <c r="D3154" t="s">
        <v>10</v>
      </c>
      <c r="E3154" t="s">
        <v>6872</v>
      </c>
    </row>
    <row r="3155" spans="1:5" x14ac:dyDescent="0.2">
      <c r="A3155" t="s">
        <v>6873</v>
      </c>
      <c r="B3155" t="s">
        <v>6874</v>
      </c>
      <c r="C3155" t="s">
        <v>2987</v>
      </c>
      <c r="D3155" t="s">
        <v>11</v>
      </c>
      <c r="E3155" t="s">
        <v>6875</v>
      </c>
    </row>
    <row r="3156" spans="1:5" x14ac:dyDescent="0.2">
      <c r="A3156" t="s">
        <v>6876</v>
      </c>
      <c r="B3156" t="s">
        <v>6877</v>
      </c>
      <c r="C3156" t="s">
        <v>2987</v>
      </c>
      <c r="D3156" t="s">
        <v>11</v>
      </c>
      <c r="E3156" t="s">
        <v>6878</v>
      </c>
    </row>
    <row r="3157" spans="1:5" x14ac:dyDescent="0.2">
      <c r="A3157" t="s">
        <v>6879</v>
      </c>
      <c r="B3157" t="s">
        <v>6880</v>
      </c>
      <c r="C3157" t="s">
        <v>2987</v>
      </c>
      <c r="D3157" t="s">
        <v>11</v>
      </c>
      <c r="E3157" t="s">
        <v>6881</v>
      </c>
    </row>
    <row r="3158" spans="1:5" x14ac:dyDescent="0.2">
      <c r="A3158" t="s">
        <v>6882</v>
      </c>
      <c r="B3158" t="s">
        <v>6883</v>
      </c>
      <c r="C3158" t="s">
        <v>2987</v>
      </c>
      <c r="D3158" t="s">
        <v>11</v>
      </c>
      <c r="E3158" t="s">
        <v>6884</v>
      </c>
    </row>
    <row r="3159" spans="1:5" x14ac:dyDescent="0.2">
      <c r="A3159" t="s">
        <v>6885</v>
      </c>
      <c r="B3159" t="s">
        <v>6886</v>
      </c>
      <c r="C3159" t="s">
        <v>2987</v>
      </c>
      <c r="D3159" t="s">
        <v>10</v>
      </c>
      <c r="E3159" t="s">
        <v>6887</v>
      </c>
    </row>
    <row r="3160" spans="1:5" x14ac:dyDescent="0.2">
      <c r="A3160" t="s">
        <v>6888</v>
      </c>
      <c r="B3160" t="s">
        <v>6889</v>
      </c>
      <c r="C3160" t="s">
        <v>2987</v>
      </c>
      <c r="D3160" t="s">
        <v>11</v>
      </c>
      <c r="E3160" t="s">
        <v>6890</v>
      </c>
    </row>
    <row r="3161" spans="1:5" x14ac:dyDescent="0.2">
      <c r="A3161" t="s">
        <v>6891</v>
      </c>
      <c r="B3161" t="s">
        <v>6892</v>
      </c>
      <c r="C3161" t="s">
        <v>2987</v>
      </c>
      <c r="D3161" t="s">
        <v>11</v>
      </c>
      <c r="E3161" t="s">
        <v>6893</v>
      </c>
    </row>
    <row r="3162" spans="1:5" x14ac:dyDescent="0.2">
      <c r="A3162" t="s">
        <v>6894</v>
      </c>
      <c r="B3162" t="s">
        <v>6895</v>
      </c>
      <c r="C3162" t="s">
        <v>2987</v>
      </c>
      <c r="D3162" t="s">
        <v>11</v>
      </c>
      <c r="E3162" t="s">
        <v>6896</v>
      </c>
    </row>
    <row r="3163" spans="1:5" x14ac:dyDescent="0.2">
      <c r="A3163" t="s">
        <v>6897</v>
      </c>
      <c r="B3163" t="s">
        <v>6898</v>
      </c>
      <c r="C3163" t="s">
        <v>2987</v>
      </c>
      <c r="D3163" t="s">
        <v>11</v>
      </c>
      <c r="E3163" t="s">
        <v>6899</v>
      </c>
    </row>
    <row r="3164" spans="1:5" x14ac:dyDescent="0.2">
      <c r="A3164" t="s">
        <v>6900</v>
      </c>
      <c r="B3164" t="s">
        <v>6901</v>
      </c>
      <c r="C3164" t="s">
        <v>2987</v>
      </c>
      <c r="D3164" t="s">
        <v>11</v>
      </c>
      <c r="E3164" t="s">
        <v>6902</v>
      </c>
    </row>
    <row r="3165" spans="1:5" x14ac:dyDescent="0.2">
      <c r="A3165" t="s">
        <v>6900</v>
      </c>
      <c r="B3165" t="s">
        <v>6901</v>
      </c>
      <c r="C3165" t="s">
        <v>2987</v>
      </c>
      <c r="D3165" t="s">
        <v>3471</v>
      </c>
      <c r="E3165" t="s">
        <v>6903</v>
      </c>
    </row>
    <row r="3166" spans="1:5" x14ac:dyDescent="0.2">
      <c r="A3166" t="s">
        <v>3069</v>
      </c>
      <c r="B3166" t="s">
        <v>3070</v>
      </c>
      <c r="C3166" t="s">
        <v>2987</v>
      </c>
      <c r="D3166" t="s">
        <v>11</v>
      </c>
      <c r="E3166" t="s">
        <v>6904</v>
      </c>
    </row>
    <row r="3167" spans="1:5" x14ac:dyDescent="0.2">
      <c r="A3167" t="s">
        <v>3043</v>
      </c>
      <c r="B3167" t="s">
        <v>3044</v>
      </c>
      <c r="C3167" t="s">
        <v>2987</v>
      </c>
      <c r="D3167" t="s">
        <v>11</v>
      </c>
      <c r="E3167" t="s">
        <v>6905</v>
      </c>
    </row>
    <row r="3168" spans="1:5" x14ac:dyDescent="0.2">
      <c r="A3168" t="s">
        <v>3073</v>
      </c>
      <c r="B3168" t="s">
        <v>3074</v>
      </c>
      <c r="C3168" t="s">
        <v>2987</v>
      </c>
      <c r="D3168" t="s">
        <v>11</v>
      </c>
      <c r="E3168" t="s">
        <v>6906</v>
      </c>
    </row>
    <row r="3169" spans="1:7" x14ac:dyDescent="0.2">
      <c r="A3169" t="s">
        <v>3073</v>
      </c>
      <c r="B3169" t="s">
        <v>3074</v>
      </c>
      <c r="C3169" t="s">
        <v>2987</v>
      </c>
      <c r="D3169" t="s">
        <v>3471</v>
      </c>
      <c r="E3169" t="s">
        <v>6907</v>
      </c>
    </row>
    <row r="3170" spans="1:7" x14ac:dyDescent="0.2">
      <c r="A3170" t="s">
        <v>6908</v>
      </c>
      <c r="B3170" t="s">
        <v>6909</v>
      </c>
      <c r="C3170" t="s">
        <v>2987</v>
      </c>
      <c r="D3170" t="s">
        <v>11</v>
      </c>
      <c r="E3170" t="s">
        <v>6910</v>
      </c>
    </row>
    <row r="3171" spans="1:7" x14ac:dyDescent="0.2">
      <c r="A3171" t="s">
        <v>6911</v>
      </c>
      <c r="B3171" t="s">
        <v>6912</v>
      </c>
      <c r="C3171" t="s">
        <v>2987</v>
      </c>
      <c r="D3171" t="s">
        <v>11</v>
      </c>
      <c r="E3171" t="s">
        <v>6913</v>
      </c>
    </row>
    <row r="3172" spans="1:7" x14ac:dyDescent="0.2">
      <c r="A3172" t="s">
        <v>6914</v>
      </c>
      <c r="B3172" t="s">
        <v>6915</v>
      </c>
      <c r="C3172" t="s">
        <v>2987</v>
      </c>
      <c r="D3172" t="s">
        <v>11</v>
      </c>
      <c r="E3172" t="s">
        <v>6916</v>
      </c>
    </row>
    <row r="3173" spans="1:7" x14ac:dyDescent="0.2">
      <c r="A3173" t="s">
        <v>6917</v>
      </c>
      <c r="B3173" t="s">
        <v>6918</v>
      </c>
      <c r="C3173" t="s">
        <v>2987</v>
      </c>
      <c r="D3173" t="s">
        <v>11</v>
      </c>
      <c r="E3173" t="s">
        <v>6919</v>
      </c>
    </row>
    <row r="3174" spans="1:7" x14ac:dyDescent="0.2">
      <c r="A3174" t="s">
        <v>6920</v>
      </c>
      <c r="B3174" t="s">
        <v>6921</v>
      </c>
      <c r="C3174" t="s">
        <v>2987</v>
      </c>
      <c r="D3174" t="s">
        <v>11</v>
      </c>
      <c r="E3174" t="s">
        <v>6922</v>
      </c>
    </row>
    <row r="3175" spans="1:7" x14ac:dyDescent="0.2">
      <c r="A3175" t="s">
        <v>6923</v>
      </c>
      <c r="B3175" t="s">
        <v>6924</v>
      </c>
      <c r="C3175" t="s">
        <v>2987</v>
      </c>
      <c r="D3175" t="s">
        <v>11</v>
      </c>
      <c r="E3175" t="s">
        <v>6925</v>
      </c>
    </row>
    <row r="3176" spans="1:7" x14ac:dyDescent="0.2">
      <c r="A3176" t="s">
        <v>6923</v>
      </c>
      <c r="B3176" t="s">
        <v>6924</v>
      </c>
      <c r="C3176" t="s">
        <v>2987</v>
      </c>
      <c r="D3176" t="s">
        <v>10</v>
      </c>
      <c r="E3176" t="s">
        <v>6926</v>
      </c>
    </row>
    <row r="3177" spans="1:7" x14ac:dyDescent="0.2">
      <c r="A3177" t="s">
        <v>6927</v>
      </c>
      <c r="B3177" t="s">
        <v>6928</v>
      </c>
      <c r="C3177" t="s">
        <v>2987</v>
      </c>
      <c r="D3177" t="s">
        <v>11</v>
      </c>
      <c r="E3177" t="s">
        <v>6929</v>
      </c>
    </row>
    <row r="3178" spans="1:7" x14ac:dyDescent="0.2">
      <c r="A3178" t="s">
        <v>6927</v>
      </c>
      <c r="B3178" t="s">
        <v>6928</v>
      </c>
      <c r="C3178" t="s">
        <v>2987</v>
      </c>
      <c r="D3178" t="s">
        <v>3471</v>
      </c>
      <c r="E3178" t="s">
        <v>6930</v>
      </c>
    </row>
    <row r="3179" spans="1:7" x14ac:dyDescent="0.2">
      <c r="A3179" t="s">
        <v>6927</v>
      </c>
      <c r="B3179" t="s">
        <v>6928</v>
      </c>
      <c r="C3179" t="s">
        <v>2987</v>
      </c>
      <c r="D3179" t="s">
        <v>8</v>
      </c>
      <c r="E3179" t="s">
        <v>6931</v>
      </c>
    </row>
    <row r="3180" spans="1:7" x14ac:dyDescent="0.2">
      <c r="A3180" t="s">
        <v>6927</v>
      </c>
      <c r="B3180" t="s">
        <v>6928</v>
      </c>
      <c r="C3180" t="s">
        <v>2987</v>
      </c>
      <c r="D3180" t="s">
        <v>3469</v>
      </c>
      <c r="F3180">
        <v>0</v>
      </c>
      <c r="G3180">
        <v>0</v>
      </c>
    </row>
    <row r="3181" spans="1:7" x14ac:dyDescent="0.2">
      <c r="A3181" t="s">
        <v>3055</v>
      </c>
      <c r="B3181" t="s">
        <v>3056</v>
      </c>
      <c r="C3181" t="s">
        <v>2987</v>
      </c>
      <c r="D3181" t="s">
        <v>11</v>
      </c>
      <c r="E3181" t="s">
        <v>6932</v>
      </c>
      <c r="F3181">
        <v>1</v>
      </c>
      <c r="G3181">
        <v>15</v>
      </c>
    </row>
    <row r="3182" spans="1:7" x14ac:dyDescent="0.2">
      <c r="A3182" t="s">
        <v>3055</v>
      </c>
      <c r="B3182" t="s">
        <v>3056</v>
      </c>
      <c r="C3182" t="s">
        <v>2987</v>
      </c>
      <c r="D3182" t="s">
        <v>10</v>
      </c>
      <c r="E3182" t="s">
        <v>6933</v>
      </c>
      <c r="F3182">
        <v>17.5</v>
      </c>
      <c r="G3182">
        <v>209</v>
      </c>
    </row>
    <row r="3183" spans="1:7" x14ac:dyDescent="0.2">
      <c r="A3183" t="s">
        <v>3055</v>
      </c>
      <c r="B3183" t="s">
        <v>3056</v>
      </c>
      <c r="C3183" t="s">
        <v>2987</v>
      </c>
      <c r="D3183" t="s">
        <v>3471</v>
      </c>
      <c r="E3183" t="s">
        <v>6934</v>
      </c>
      <c r="F3183">
        <v>0</v>
      </c>
      <c r="G3183">
        <v>0</v>
      </c>
    </row>
    <row r="3184" spans="1:7" x14ac:dyDescent="0.2">
      <c r="A3184" t="s">
        <v>3055</v>
      </c>
      <c r="B3184" t="s">
        <v>3056</v>
      </c>
      <c r="C3184" t="s">
        <v>2987</v>
      </c>
      <c r="D3184" t="s">
        <v>8</v>
      </c>
      <c r="E3184" t="s">
        <v>6935</v>
      </c>
      <c r="F3184">
        <v>15.166666666666666</v>
      </c>
      <c r="G3184">
        <v>451</v>
      </c>
    </row>
    <row r="3185" spans="1:7" x14ac:dyDescent="0.2">
      <c r="A3185" t="s">
        <v>3055</v>
      </c>
      <c r="B3185" t="s">
        <v>3056</v>
      </c>
      <c r="C3185" t="s">
        <v>2987</v>
      </c>
      <c r="D3185" t="s">
        <v>12</v>
      </c>
    </row>
    <row r="3186" spans="1:7" x14ac:dyDescent="0.2">
      <c r="A3186" t="s">
        <v>3057</v>
      </c>
      <c r="B3186" t="s">
        <v>3058</v>
      </c>
      <c r="C3186" t="s">
        <v>2987</v>
      </c>
      <c r="D3186" t="s">
        <v>11</v>
      </c>
      <c r="E3186" t="s">
        <v>6936</v>
      </c>
    </row>
    <row r="3187" spans="1:7" x14ac:dyDescent="0.2">
      <c r="A3187" t="s">
        <v>3057</v>
      </c>
      <c r="B3187" t="s">
        <v>3058</v>
      </c>
      <c r="C3187" t="s">
        <v>2987</v>
      </c>
      <c r="D3187" t="s">
        <v>10</v>
      </c>
      <c r="E3187" t="s">
        <v>6937</v>
      </c>
      <c r="F3187">
        <v>0</v>
      </c>
      <c r="G3187">
        <v>2</v>
      </c>
    </row>
    <row r="3188" spans="1:7" x14ac:dyDescent="0.2">
      <c r="A3188" t="s">
        <v>3057</v>
      </c>
      <c r="B3188" t="s">
        <v>3058</v>
      </c>
      <c r="C3188" t="s">
        <v>2987</v>
      </c>
      <c r="D3188" t="s">
        <v>3471</v>
      </c>
      <c r="E3188" t="s">
        <v>6938</v>
      </c>
      <c r="F3188">
        <v>0</v>
      </c>
      <c r="G3188">
        <v>0</v>
      </c>
    </row>
    <row r="3189" spans="1:7" x14ac:dyDescent="0.2">
      <c r="A3189" t="s">
        <v>3057</v>
      </c>
      <c r="B3189" t="s">
        <v>3058</v>
      </c>
      <c r="C3189" t="s">
        <v>2987</v>
      </c>
      <c r="D3189" t="s">
        <v>8</v>
      </c>
      <c r="E3189" t="s">
        <v>6939</v>
      </c>
      <c r="F3189">
        <v>7.666666666666667</v>
      </c>
      <c r="G3189">
        <v>427</v>
      </c>
    </row>
    <row r="3190" spans="1:7" x14ac:dyDescent="0.2">
      <c r="A3190" t="s">
        <v>3057</v>
      </c>
      <c r="B3190" t="s">
        <v>3058</v>
      </c>
      <c r="C3190" t="s">
        <v>2987</v>
      </c>
      <c r="D3190" t="s">
        <v>3469</v>
      </c>
      <c r="F3190">
        <v>0</v>
      </c>
      <c r="G3190">
        <v>0</v>
      </c>
    </row>
    <row r="3191" spans="1:7" x14ac:dyDescent="0.2">
      <c r="A3191" t="s">
        <v>6940</v>
      </c>
      <c r="B3191" t="s">
        <v>6941</v>
      </c>
      <c r="C3191" t="s">
        <v>2987</v>
      </c>
      <c r="D3191" t="s">
        <v>11</v>
      </c>
      <c r="E3191" t="s">
        <v>6942</v>
      </c>
    </row>
    <row r="3192" spans="1:7" x14ac:dyDescent="0.2">
      <c r="A3192" t="s">
        <v>6940</v>
      </c>
      <c r="B3192" t="s">
        <v>6941</v>
      </c>
      <c r="C3192" t="s">
        <v>2987</v>
      </c>
      <c r="D3192" t="s">
        <v>3471</v>
      </c>
      <c r="E3192" t="s">
        <v>6943</v>
      </c>
    </row>
    <row r="3193" spans="1:7" x14ac:dyDescent="0.2">
      <c r="A3193" t="s">
        <v>6940</v>
      </c>
      <c r="B3193" t="s">
        <v>6941</v>
      </c>
      <c r="C3193" t="s">
        <v>2987</v>
      </c>
      <c r="D3193" t="s">
        <v>3469</v>
      </c>
      <c r="F3193">
        <v>0</v>
      </c>
      <c r="G3193">
        <v>0</v>
      </c>
    </row>
    <row r="3194" spans="1:7" x14ac:dyDescent="0.2">
      <c r="A3194" t="s">
        <v>6944</v>
      </c>
      <c r="B3194" t="s">
        <v>6945</v>
      </c>
      <c r="C3194" t="s">
        <v>2987</v>
      </c>
      <c r="D3194" t="s">
        <v>11</v>
      </c>
      <c r="E3194" t="s">
        <v>6946</v>
      </c>
    </row>
    <row r="3195" spans="1:7" x14ac:dyDescent="0.2">
      <c r="A3195" t="s">
        <v>6944</v>
      </c>
      <c r="B3195" t="s">
        <v>6945</v>
      </c>
      <c r="C3195" t="s">
        <v>2987</v>
      </c>
      <c r="D3195" t="s">
        <v>3469</v>
      </c>
      <c r="F3195">
        <v>0</v>
      </c>
      <c r="G3195">
        <v>7</v>
      </c>
    </row>
    <row r="3196" spans="1:7" x14ac:dyDescent="0.2">
      <c r="A3196" t="s">
        <v>6947</v>
      </c>
      <c r="B3196" t="s">
        <v>6948</v>
      </c>
      <c r="C3196" t="s">
        <v>2987</v>
      </c>
      <c r="D3196" t="s">
        <v>3469</v>
      </c>
    </row>
    <row r="3197" spans="1:7" x14ac:dyDescent="0.2">
      <c r="A3197" t="s">
        <v>6949</v>
      </c>
      <c r="B3197" t="s">
        <v>6950</v>
      </c>
      <c r="C3197" t="s">
        <v>2987</v>
      </c>
      <c r="D3197" t="s">
        <v>11</v>
      </c>
      <c r="E3197" t="s">
        <v>6951</v>
      </c>
    </row>
    <row r="3198" spans="1:7" x14ac:dyDescent="0.2">
      <c r="A3198" t="s">
        <v>6952</v>
      </c>
      <c r="B3198" t="s">
        <v>6953</v>
      </c>
      <c r="C3198" t="s">
        <v>6954</v>
      </c>
      <c r="D3198" t="s">
        <v>11</v>
      </c>
      <c r="E3198" t="s">
        <v>6955</v>
      </c>
    </row>
    <row r="3199" spans="1:7" x14ac:dyDescent="0.2">
      <c r="A3199" t="s">
        <v>6952</v>
      </c>
      <c r="B3199" t="s">
        <v>6953</v>
      </c>
      <c r="C3199" t="s">
        <v>6954</v>
      </c>
      <c r="D3199" t="s">
        <v>14</v>
      </c>
      <c r="F3199">
        <v>0</v>
      </c>
      <c r="G3199">
        <v>9</v>
      </c>
    </row>
    <row r="3200" spans="1:7" x14ac:dyDescent="0.2">
      <c r="A3200" t="s">
        <v>6956</v>
      </c>
      <c r="B3200" t="s">
        <v>6957</v>
      </c>
      <c r="C3200" t="s">
        <v>6954</v>
      </c>
      <c r="D3200" t="s">
        <v>11</v>
      </c>
      <c r="E3200" t="s">
        <v>6958</v>
      </c>
    </row>
    <row r="3201" spans="1:7" x14ac:dyDescent="0.2">
      <c r="A3201" t="s">
        <v>6956</v>
      </c>
      <c r="B3201" t="s">
        <v>6957</v>
      </c>
      <c r="C3201" t="s">
        <v>6954</v>
      </c>
      <c r="D3201" t="s">
        <v>14</v>
      </c>
    </row>
    <row r="3202" spans="1:7" x14ac:dyDescent="0.2">
      <c r="A3202" t="s">
        <v>6959</v>
      </c>
      <c r="B3202" t="s">
        <v>6960</v>
      </c>
      <c r="C3202" t="s">
        <v>6954</v>
      </c>
      <c r="D3202" t="s">
        <v>11</v>
      </c>
      <c r="E3202" t="s">
        <v>6961</v>
      </c>
    </row>
    <row r="3203" spans="1:7" x14ac:dyDescent="0.2">
      <c r="A3203" t="s">
        <v>6959</v>
      </c>
      <c r="B3203" t="s">
        <v>6960</v>
      </c>
      <c r="C3203" t="s">
        <v>6954</v>
      </c>
      <c r="D3203" t="s">
        <v>14</v>
      </c>
      <c r="F3203">
        <v>0</v>
      </c>
      <c r="G3203">
        <v>2</v>
      </c>
    </row>
    <row r="3204" spans="1:7" x14ac:dyDescent="0.2">
      <c r="A3204" t="s">
        <v>1826</v>
      </c>
      <c r="B3204" t="s">
        <v>1827</v>
      </c>
      <c r="C3204" t="s">
        <v>1811</v>
      </c>
      <c r="D3204" t="s">
        <v>8</v>
      </c>
      <c r="E3204" t="s">
        <v>6962</v>
      </c>
    </row>
    <row r="3205" spans="1:7" x14ac:dyDescent="0.2">
      <c r="A3205" t="s">
        <v>1824</v>
      </c>
      <c r="B3205" t="s">
        <v>1825</v>
      </c>
      <c r="C3205" t="s">
        <v>1811</v>
      </c>
      <c r="D3205" t="s">
        <v>8</v>
      </c>
      <c r="E3205" t="s">
        <v>6963</v>
      </c>
    </row>
    <row r="3206" spans="1:7" x14ac:dyDescent="0.2">
      <c r="A3206" t="s">
        <v>1816</v>
      </c>
      <c r="B3206" t="s">
        <v>1817</v>
      </c>
      <c r="C3206" t="s">
        <v>1811</v>
      </c>
      <c r="D3206" t="s">
        <v>8</v>
      </c>
      <c r="E3206" t="s">
        <v>6964</v>
      </c>
    </row>
    <row r="3207" spans="1:7" x14ac:dyDescent="0.2">
      <c r="A3207" t="s">
        <v>1818</v>
      </c>
      <c r="B3207" t="s">
        <v>1819</v>
      </c>
      <c r="C3207" t="s">
        <v>1811</v>
      </c>
      <c r="D3207" t="s">
        <v>8</v>
      </c>
      <c r="E3207" t="s">
        <v>6965</v>
      </c>
    </row>
    <row r="3208" spans="1:7" x14ac:dyDescent="0.2">
      <c r="A3208" t="s">
        <v>1822</v>
      </c>
      <c r="B3208" t="s">
        <v>1823</v>
      </c>
      <c r="C3208" t="s">
        <v>1811</v>
      </c>
      <c r="D3208" t="s">
        <v>8</v>
      </c>
      <c r="E3208" t="s">
        <v>6966</v>
      </c>
    </row>
    <row r="3209" spans="1:7" x14ac:dyDescent="0.2">
      <c r="A3209" t="s">
        <v>1828</v>
      </c>
      <c r="B3209" t="s">
        <v>1829</v>
      </c>
      <c r="C3209" t="s">
        <v>1811</v>
      </c>
      <c r="D3209" t="s">
        <v>8</v>
      </c>
      <c r="E3209" t="s">
        <v>6967</v>
      </c>
    </row>
    <row r="3210" spans="1:7" x14ac:dyDescent="0.2">
      <c r="A3210" t="s">
        <v>3283</v>
      </c>
      <c r="B3210" t="s">
        <v>3284</v>
      </c>
      <c r="C3210" t="s">
        <v>3268</v>
      </c>
      <c r="D3210" t="s">
        <v>11</v>
      </c>
      <c r="E3210" t="s">
        <v>6968</v>
      </c>
    </row>
    <row r="3211" spans="1:7" x14ac:dyDescent="0.2">
      <c r="A3211" t="s">
        <v>3283</v>
      </c>
      <c r="B3211" t="s">
        <v>3284</v>
      </c>
      <c r="C3211" t="s">
        <v>3268</v>
      </c>
      <c r="D3211" t="s">
        <v>10</v>
      </c>
      <c r="E3211" t="s">
        <v>6969</v>
      </c>
    </row>
    <row r="3212" spans="1:7" x14ac:dyDescent="0.2">
      <c r="A3212" t="s">
        <v>3283</v>
      </c>
      <c r="B3212" t="s">
        <v>3284</v>
      </c>
      <c r="C3212" t="s">
        <v>3268</v>
      </c>
      <c r="D3212" t="s">
        <v>8</v>
      </c>
      <c r="E3212" t="s">
        <v>6970</v>
      </c>
    </row>
    <row r="3213" spans="1:7" x14ac:dyDescent="0.2">
      <c r="A3213" t="s">
        <v>3283</v>
      </c>
      <c r="B3213" t="s">
        <v>3284</v>
      </c>
      <c r="C3213" t="s">
        <v>3268</v>
      </c>
      <c r="D3213" t="s">
        <v>12</v>
      </c>
      <c r="F3213">
        <v>0.16666666666666666</v>
      </c>
      <c r="G3213">
        <v>4</v>
      </c>
    </row>
    <row r="3214" spans="1:7" x14ac:dyDescent="0.2">
      <c r="A3214" t="s">
        <v>3273</v>
      </c>
      <c r="B3214" t="s">
        <v>3272</v>
      </c>
      <c r="C3214" t="s">
        <v>3268</v>
      </c>
      <c r="D3214" t="s">
        <v>11</v>
      </c>
      <c r="E3214" t="s">
        <v>6971</v>
      </c>
    </row>
    <row r="3215" spans="1:7" x14ac:dyDescent="0.2">
      <c r="A3215" t="s">
        <v>3273</v>
      </c>
      <c r="B3215" t="s">
        <v>3272</v>
      </c>
      <c r="C3215" t="s">
        <v>3268</v>
      </c>
      <c r="D3215" t="s">
        <v>14</v>
      </c>
      <c r="F3215">
        <v>0</v>
      </c>
      <c r="G3215">
        <v>1</v>
      </c>
    </row>
    <row r="3216" spans="1:7" x14ac:dyDescent="0.2">
      <c r="A3216" t="s">
        <v>3273</v>
      </c>
      <c r="B3216" t="s">
        <v>3272</v>
      </c>
      <c r="C3216" t="s">
        <v>3268</v>
      </c>
      <c r="D3216" t="s">
        <v>10</v>
      </c>
      <c r="E3216" t="s">
        <v>6972</v>
      </c>
    </row>
    <row r="3217" spans="1:7" x14ac:dyDescent="0.2">
      <c r="A3217" t="s">
        <v>3273</v>
      </c>
      <c r="B3217" t="s">
        <v>3272</v>
      </c>
      <c r="C3217" t="s">
        <v>3268</v>
      </c>
      <c r="D3217" t="s">
        <v>8</v>
      </c>
      <c r="E3217" t="s">
        <v>6973</v>
      </c>
    </row>
    <row r="3218" spans="1:7" x14ac:dyDescent="0.2">
      <c r="A3218" t="s">
        <v>3273</v>
      </c>
      <c r="B3218" t="s">
        <v>3272</v>
      </c>
      <c r="C3218" t="s">
        <v>3268</v>
      </c>
      <c r="D3218" t="s">
        <v>12</v>
      </c>
      <c r="F3218">
        <v>0</v>
      </c>
      <c r="G3218">
        <v>4</v>
      </c>
    </row>
    <row r="3219" spans="1:7" x14ac:dyDescent="0.2">
      <c r="A3219" t="s">
        <v>3276</v>
      </c>
      <c r="B3219" t="s">
        <v>3275</v>
      </c>
      <c r="C3219" t="s">
        <v>3268</v>
      </c>
      <c r="D3219" t="s">
        <v>11</v>
      </c>
      <c r="E3219" t="s">
        <v>6974</v>
      </c>
    </row>
    <row r="3220" spans="1:7" x14ac:dyDescent="0.2">
      <c r="A3220" t="s">
        <v>3276</v>
      </c>
      <c r="B3220" t="s">
        <v>3275</v>
      </c>
      <c r="C3220" t="s">
        <v>3268</v>
      </c>
      <c r="D3220" t="s">
        <v>10</v>
      </c>
      <c r="E3220" t="s">
        <v>6975</v>
      </c>
    </row>
    <row r="3221" spans="1:7" x14ac:dyDescent="0.2">
      <c r="A3221" t="s">
        <v>3276</v>
      </c>
      <c r="B3221" t="s">
        <v>3275</v>
      </c>
      <c r="C3221" t="s">
        <v>3268</v>
      </c>
      <c r="D3221" t="s">
        <v>8</v>
      </c>
      <c r="E3221" t="s">
        <v>6976</v>
      </c>
      <c r="F3221">
        <v>0</v>
      </c>
      <c r="G3221">
        <v>0</v>
      </c>
    </row>
    <row r="3222" spans="1:7" x14ac:dyDescent="0.2">
      <c r="A3222" t="s">
        <v>3276</v>
      </c>
      <c r="B3222" t="s">
        <v>3275</v>
      </c>
      <c r="C3222" t="s">
        <v>3268</v>
      </c>
      <c r="D3222" t="s">
        <v>12</v>
      </c>
      <c r="F3222">
        <v>0.16666666666666666</v>
      </c>
      <c r="G3222">
        <v>2</v>
      </c>
    </row>
    <row r="3223" spans="1:7" x14ac:dyDescent="0.2">
      <c r="A3223" t="s">
        <v>3279</v>
      </c>
      <c r="B3223" t="s">
        <v>3278</v>
      </c>
      <c r="C3223" t="s">
        <v>3268</v>
      </c>
      <c r="D3223" t="s">
        <v>11</v>
      </c>
      <c r="E3223" t="s">
        <v>6977</v>
      </c>
      <c r="F3223">
        <v>7.166666666666667</v>
      </c>
      <c r="G3223">
        <v>24</v>
      </c>
    </row>
    <row r="3224" spans="1:7" x14ac:dyDescent="0.2">
      <c r="A3224" t="s">
        <v>3279</v>
      </c>
      <c r="B3224" t="s">
        <v>3278</v>
      </c>
      <c r="C3224" t="s">
        <v>3268</v>
      </c>
      <c r="D3224" t="s">
        <v>13</v>
      </c>
      <c r="F3224">
        <v>0.5</v>
      </c>
      <c r="G3224">
        <v>33</v>
      </c>
    </row>
    <row r="3225" spans="1:7" x14ac:dyDescent="0.2">
      <c r="A3225" t="s">
        <v>3279</v>
      </c>
      <c r="B3225" t="s">
        <v>3278</v>
      </c>
      <c r="C3225" t="s">
        <v>3268</v>
      </c>
      <c r="D3225" t="s">
        <v>14</v>
      </c>
      <c r="F3225">
        <v>8.3333333333333339</v>
      </c>
      <c r="G3225">
        <v>179</v>
      </c>
    </row>
    <row r="3226" spans="1:7" x14ac:dyDescent="0.2">
      <c r="A3226" t="s">
        <v>3279</v>
      </c>
      <c r="B3226" t="s">
        <v>3278</v>
      </c>
      <c r="C3226" t="s">
        <v>3268</v>
      </c>
      <c r="D3226" t="s">
        <v>10</v>
      </c>
      <c r="E3226" t="s">
        <v>6978</v>
      </c>
      <c r="F3226">
        <v>27.833333333333332</v>
      </c>
      <c r="G3226">
        <v>413</v>
      </c>
    </row>
    <row r="3227" spans="1:7" x14ac:dyDescent="0.2">
      <c r="A3227" t="s">
        <v>3279</v>
      </c>
      <c r="B3227" t="s">
        <v>3278</v>
      </c>
      <c r="C3227" t="s">
        <v>3268</v>
      </c>
      <c r="D3227" t="s">
        <v>8</v>
      </c>
      <c r="E3227" t="s">
        <v>6979</v>
      </c>
      <c r="F3227">
        <v>3.1666666666666665</v>
      </c>
      <c r="G3227">
        <v>126</v>
      </c>
    </row>
    <row r="3228" spans="1:7" x14ac:dyDescent="0.2">
      <c r="A3228" t="s">
        <v>3279</v>
      </c>
      <c r="B3228" t="s">
        <v>3278</v>
      </c>
      <c r="C3228" t="s">
        <v>3268</v>
      </c>
      <c r="D3228" t="s">
        <v>12</v>
      </c>
      <c r="F3228">
        <v>12</v>
      </c>
      <c r="G3228">
        <v>298</v>
      </c>
    </row>
    <row r="3229" spans="1:7" x14ac:dyDescent="0.2">
      <c r="A3229" t="s">
        <v>3282</v>
      </c>
      <c r="B3229" t="s">
        <v>3281</v>
      </c>
      <c r="C3229" t="s">
        <v>3268</v>
      </c>
      <c r="D3229" t="s">
        <v>11</v>
      </c>
      <c r="E3229" t="s">
        <v>6980</v>
      </c>
      <c r="F3229">
        <v>6.333333333333333</v>
      </c>
      <c r="G3229">
        <v>19</v>
      </c>
    </row>
    <row r="3230" spans="1:7" x14ac:dyDescent="0.2">
      <c r="A3230" t="s">
        <v>3282</v>
      </c>
      <c r="B3230" t="s">
        <v>3281</v>
      </c>
      <c r="C3230" t="s">
        <v>3268</v>
      </c>
      <c r="D3230" t="s">
        <v>13</v>
      </c>
      <c r="F3230">
        <v>0.33333333333333331</v>
      </c>
      <c r="G3230">
        <v>20</v>
      </c>
    </row>
    <row r="3231" spans="1:7" x14ac:dyDescent="0.2">
      <c r="A3231" t="s">
        <v>3282</v>
      </c>
      <c r="B3231" t="s">
        <v>3281</v>
      </c>
      <c r="C3231" t="s">
        <v>3268</v>
      </c>
      <c r="D3231" t="s">
        <v>14</v>
      </c>
      <c r="F3231">
        <v>1.1666666666666667</v>
      </c>
      <c r="G3231">
        <v>15</v>
      </c>
    </row>
    <row r="3232" spans="1:7" x14ac:dyDescent="0.2">
      <c r="A3232" t="s">
        <v>3282</v>
      </c>
      <c r="B3232" t="s">
        <v>3281</v>
      </c>
      <c r="C3232" t="s">
        <v>3268</v>
      </c>
      <c r="D3232" t="s">
        <v>3494</v>
      </c>
    </row>
    <row r="3233" spans="1:7" x14ac:dyDescent="0.2">
      <c r="A3233" t="s">
        <v>3282</v>
      </c>
      <c r="B3233" t="s">
        <v>3281</v>
      </c>
      <c r="C3233" t="s">
        <v>3268</v>
      </c>
      <c r="D3233" t="s">
        <v>10</v>
      </c>
      <c r="E3233" t="s">
        <v>6981</v>
      </c>
      <c r="F3233">
        <v>15.333333333333334</v>
      </c>
      <c r="G3233">
        <v>340</v>
      </c>
    </row>
    <row r="3234" spans="1:7" x14ac:dyDescent="0.2">
      <c r="A3234" t="s">
        <v>3282</v>
      </c>
      <c r="B3234" t="s">
        <v>3281</v>
      </c>
      <c r="C3234" t="s">
        <v>3268</v>
      </c>
      <c r="D3234" t="s">
        <v>12</v>
      </c>
      <c r="F3234">
        <v>9.6666666666666661</v>
      </c>
      <c r="G3234">
        <v>287</v>
      </c>
    </row>
    <row r="3235" spans="1:7" x14ac:dyDescent="0.2">
      <c r="A3235" t="s">
        <v>3292</v>
      </c>
      <c r="B3235" t="s">
        <v>3293</v>
      </c>
      <c r="C3235" t="s">
        <v>3268</v>
      </c>
      <c r="D3235" t="s">
        <v>11</v>
      </c>
      <c r="E3235" t="s">
        <v>6982</v>
      </c>
      <c r="F3235">
        <v>2.8333333333333335</v>
      </c>
      <c r="G3235">
        <v>16</v>
      </c>
    </row>
    <row r="3236" spans="1:7" x14ac:dyDescent="0.2">
      <c r="A3236" t="s">
        <v>3292</v>
      </c>
      <c r="B3236" t="s">
        <v>3293</v>
      </c>
      <c r="C3236" t="s">
        <v>3268</v>
      </c>
      <c r="D3236" t="s">
        <v>13</v>
      </c>
      <c r="F3236">
        <v>1.6666666666666667</v>
      </c>
      <c r="G3236">
        <v>11</v>
      </c>
    </row>
    <row r="3237" spans="1:7" x14ac:dyDescent="0.2">
      <c r="A3237" t="s">
        <v>3292</v>
      </c>
      <c r="B3237" t="s">
        <v>3293</v>
      </c>
      <c r="C3237" t="s">
        <v>3268</v>
      </c>
      <c r="D3237" t="s">
        <v>14</v>
      </c>
      <c r="F3237">
        <v>0.83333333333333337</v>
      </c>
      <c r="G3237">
        <v>33</v>
      </c>
    </row>
    <row r="3238" spans="1:7" x14ac:dyDescent="0.2">
      <c r="A3238" t="s">
        <v>3292</v>
      </c>
      <c r="B3238" t="s">
        <v>3293</v>
      </c>
      <c r="C3238" t="s">
        <v>3268</v>
      </c>
      <c r="D3238" t="s">
        <v>3494</v>
      </c>
    </row>
    <row r="3239" spans="1:7" x14ac:dyDescent="0.2">
      <c r="A3239" t="s">
        <v>3292</v>
      </c>
      <c r="B3239" t="s">
        <v>3293</v>
      </c>
      <c r="C3239" t="s">
        <v>3268</v>
      </c>
      <c r="D3239" t="s">
        <v>10</v>
      </c>
      <c r="E3239" t="s">
        <v>6983</v>
      </c>
      <c r="F3239">
        <v>15.833333333333334</v>
      </c>
      <c r="G3239">
        <v>197</v>
      </c>
    </row>
    <row r="3240" spans="1:7" x14ac:dyDescent="0.2">
      <c r="A3240" t="s">
        <v>3292</v>
      </c>
      <c r="B3240" t="s">
        <v>3293</v>
      </c>
      <c r="C3240" t="s">
        <v>3268</v>
      </c>
      <c r="D3240" t="s">
        <v>8</v>
      </c>
      <c r="E3240" t="s">
        <v>6984</v>
      </c>
      <c r="F3240">
        <v>0.5</v>
      </c>
      <c r="G3240">
        <v>8</v>
      </c>
    </row>
    <row r="3241" spans="1:7" x14ac:dyDescent="0.2">
      <c r="A3241" t="s">
        <v>3292</v>
      </c>
      <c r="B3241" t="s">
        <v>3293</v>
      </c>
      <c r="C3241" t="s">
        <v>3268</v>
      </c>
      <c r="D3241" t="s">
        <v>12</v>
      </c>
      <c r="F3241">
        <v>2.3333333333333335</v>
      </c>
      <c r="G3241">
        <v>45</v>
      </c>
    </row>
    <row r="3242" spans="1:7" x14ac:dyDescent="0.2">
      <c r="A3242" t="s">
        <v>3289</v>
      </c>
      <c r="B3242" t="s">
        <v>3290</v>
      </c>
      <c r="C3242" t="s">
        <v>3268</v>
      </c>
      <c r="D3242" t="s">
        <v>11</v>
      </c>
      <c r="E3242" t="s">
        <v>6985</v>
      </c>
      <c r="F3242">
        <v>7.166666666666667</v>
      </c>
      <c r="G3242">
        <v>32</v>
      </c>
    </row>
    <row r="3243" spans="1:7" x14ac:dyDescent="0.2">
      <c r="A3243" t="s">
        <v>3289</v>
      </c>
      <c r="B3243" t="s">
        <v>3290</v>
      </c>
      <c r="C3243" t="s">
        <v>3268</v>
      </c>
      <c r="D3243" t="s">
        <v>13</v>
      </c>
      <c r="F3243">
        <v>0.16666666666666666</v>
      </c>
      <c r="G3243">
        <v>24</v>
      </c>
    </row>
    <row r="3244" spans="1:7" x14ac:dyDescent="0.2">
      <c r="A3244" t="s">
        <v>3289</v>
      </c>
      <c r="B3244" t="s">
        <v>3290</v>
      </c>
      <c r="C3244" t="s">
        <v>3268</v>
      </c>
      <c r="D3244" t="s">
        <v>14</v>
      </c>
      <c r="F3244">
        <v>7.166666666666667</v>
      </c>
      <c r="G3244">
        <v>158</v>
      </c>
    </row>
    <row r="3245" spans="1:7" x14ac:dyDescent="0.2">
      <c r="A3245" t="s">
        <v>3289</v>
      </c>
      <c r="B3245" t="s">
        <v>3290</v>
      </c>
      <c r="C3245" t="s">
        <v>3268</v>
      </c>
      <c r="D3245" t="s">
        <v>10</v>
      </c>
      <c r="E3245" t="s">
        <v>6986</v>
      </c>
      <c r="F3245">
        <v>25.666666666666668</v>
      </c>
      <c r="G3245">
        <v>478</v>
      </c>
    </row>
    <row r="3246" spans="1:7" x14ac:dyDescent="0.2">
      <c r="A3246" t="s">
        <v>3289</v>
      </c>
      <c r="B3246" t="s">
        <v>3290</v>
      </c>
      <c r="C3246" t="s">
        <v>3268</v>
      </c>
      <c r="D3246" t="s">
        <v>8</v>
      </c>
      <c r="E3246" t="s">
        <v>6987</v>
      </c>
      <c r="F3246">
        <v>4</v>
      </c>
      <c r="G3246">
        <v>125</v>
      </c>
    </row>
    <row r="3247" spans="1:7" x14ac:dyDescent="0.2">
      <c r="A3247" t="s">
        <v>3289</v>
      </c>
      <c r="B3247" t="s">
        <v>3290</v>
      </c>
      <c r="C3247" t="s">
        <v>3268</v>
      </c>
      <c r="D3247" t="s">
        <v>12</v>
      </c>
      <c r="F3247">
        <v>4.666666666666667</v>
      </c>
      <c r="G3247">
        <v>254</v>
      </c>
    </row>
    <row r="3248" spans="1:7" x14ac:dyDescent="0.2">
      <c r="A3248" t="s">
        <v>3295</v>
      </c>
      <c r="B3248" t="s">
        <v>3296</v>
      </c>
      <c r="C3248" t="s">
        <v>3268</v>
      </c>
      <c r="D3248" t="s">
        <v>11</v>
      </c>
      <c r="E3248" t="s">
        <v>6988</v>
      </c>
      <c r="F3248">
        <v>18</v>
      </c>
      <c r="G3248">
        <v>2</v>
      </c>
    </row>
    <row r="3249" spans="1:7" x14ac:dyDescent="0.2">
      <c r="A3249" t="s">
        <v>3295</v>
      </c>
      <c r="B3249" t="s">
        <v>3296</v>
      </c>
      <c r="C3249" t="s">
        <v>3268</v>
      </c>
      <c r="D3249" t="s">
        <v>13</v>
      </c>
      <c r="F3249">
        <v>8.8333333333333339</v>
      </c>
      <c r="G3249">
        <v>106</v>
      </c>
    </row>
    <row r="3250" spans="1:7" x14ac:dyDescent="0.2">
      <c r="A3250" t="s">
        <v>3295</v>
      </c>
      <c r="B3250" t="s">
        <v>3296</v>
      </c>
      <c r="C3250" t="s">
        <v>3268</v>
      </c>
      <c r="D3250" t="s">
        <v>14</v>
      </c>
      <c r="F3250">
        <v>10.5</v>
      </c>
      <c r="G3250">
        <v>141</v>
      </c>
    </row>
    <row r="3251" spans="1:7" x14ac:dyDescent="0.2">
      <c r="A3251" t="s">
        <v>3295</v>
      </c>
      <c r="B3251" t="s">
        <v>3296</v>
      </c>
      <c r="C3251" t="s">
        <v>3268</v>
      </c>
      <c r="D3251" t="s">
        <v>10</v>
      </c>
      <c r="E3251" t="s">
        <v>6989</v>
      </c>
      <c r="F3251">
        <v>55.833333333333336</v>
      </c>
      <c r="G3251">
        <v>351</v>
      </c>
    </row>
    <row r="3252" spans="1:7" x14ac:dyDescent="0.2">
      <c r="A3252" t="s">
        <v>3295</v>
      </c>
      <c r="B3252" t="s">
        <v>3296</v>
      </c>
      <c r="C3252" t="s">
        <v>3268</v>
      </c>
      <c r="D3252" t="s">
        <v>8</v>
      </c>
      <c r="E3252" t="s">
        <v>6990</v>
      </c>
      <c r="F3252">
        <v>5.833333333333333</v>
      </c>
      <c r="G3252">
        <v>80</v>
      </c>
    </row>
    <row r="3253" spans="1:7" x14ac:dyDescent="0.2">
      <c r="A3253" t="s">
        <v>3295</v>
      </c>
      <c r="B3253" t="s">
        <v>3296</v>
      </c>
      <c r="C3253" t="s">
        <v>3268</v>
      </c>
      <c r="D3253" t="s">
        <v>12</v>
      </c>
      <c r="F3253">
        <v>24.333333333333332</v>
      </c>
      <c r="G3253">
        <v>278</v>
      </c>
    </row>
    <row r="3254" spans="1:7" x14ac:dyDescent="0.2">
      <c r="A3254" t="s">
        <v>3300</v>
      </c>
      <c r="B3254" t="s">
        <v>3299</v>
      </c>
      <c r="C3254" t="s">
        <v>3268</v>
      </c>
      <c r="D3254" t="s">
        <v>11</v>
      </c>
      <c r="E3254" t="s">
        <v>6991</v>
      </c>
      <c r="F3254">
        <v>13</v>
      </c>
      <c r="G3254">
        <v>31</v>
      </c>
    </row>
    <row r="3255" spans="1:7" x14ac:dyDescent="0.2">
      <c r="A3255" t="s">
        <v>3300</v>
      </c>
      <c r="B3255" t="s">
        <v>3299</v>
      </c>
      <c r="C3255" t="s">
        <v>3268</v>
      </c>
      <c r="D3255" t="s">
        <v>13</v>
      </c>
      <c r="G3255">
        <v>3</v>
      </c>
    </row>
    <row r="3256" spans="1:7" x14ac:dyDescent="0.2">
      <c r="A3256" t="s">
        <v>3300</v>
      </c>
      <c r="B3256" t="s">
        <v>3299</v>
      </c>
      <c r="C3256" t="s">
        <v>3268</v>
      </c>
      <c r="D3256" t="s">
        <v>14</v>
      </c>
      <c r="F3256">
        <v>0.66666666666666663</v>
      </c>
      <c r="G3256">
        <v>31</v>
      </c>
    </row>
    <row r="3257" spans="1:7" x14ac:dyDescent="0.2">
      <c r="A3257" t="s">
        <v>3300</v>
      </c>
      <c r="B3257" t="s">
        <v>3299</v>
      </c>
      <c r="C3257" t="s">
        <v>3268</v>
      </c>
      <c r="D3257" t="s">
        <v>3494</v>
      </c>
    </row>
    <row r="3258" spans="1:7" x14ac:dyDescent="0.2">
      <c r="A3258" t="s">
        <v>3300</v>
      </c>
      <c r="B3258" t="s">
        <v>3299</v>
      </c>
      <c r="C3258" t="s">
        <v>3268</v>
      </c>
      <c r="D3258" t="s">
        <v>10</v>
      </c>
      <c r="E3258" t="s">
        <v>6992</v>
      </c>
      <c r="F3258">
        <v>30.833333333333332</v>
      </c>
      <c r="G3258">
        <v>325</v>
      </c>
    </row>
    <row r="3259" spans="1:7" x14ac:dyDescent="0.2">
      <c r="A3259" t="s">
        <v>3300</v>
      </c>
      <c r="B3259" t="s">
        <v>3299</v>
      </c>
      <c r="C3259" t="s">
        <v>3268</v>
      </c>
      <c r="D3259" t="s">
        <v>8</v>
      </c>
      <c r="E3259" t="s">
        <v>6993</v>
      </c>
      <c r="F3259">
        <v>1.1666666666666667</v>
      </c>
      <c r="G3259">
        <v>1</v>
      </c>
    </row>
    <row r="3260" spans="1:7" x14ac:dyDescent="0.2">
      <c r="A3260" t="s">
        <v>3300</v>
      </c>
      <c r="B3260" t="s">
        <v>3299</v>
      </c>
      <c r="C3260" t="s">
        <v>3268</v>
      </c>
      <c r="D3260" t="s">
        <v>12</v>
      </c>
      <c r="F3260">
        <v>16.5</v>
      </c>
      <c r="G3260">
        <v>260</v>
      </c>
    </row>
    <row r="3261" spans="1:7" x14ac:dyDescent="0.2">
      <c r="A3261" t="s">
        <v>3392</v>
      </c>
      <c r="B3261" t="s">
        <v>3393</v>
      </c>
      <c r="C3261" t="s">
        <v>3268</v>
      </c>
      <c r="D3261" t="s">
        <v>14</v>
      </c>
      <c r="F3261">
        <v>0</v>
      </c>
      <c r="G3261">
        <v>1</v>
      </c>
    </row>
    <row r="3262" spans="1:7" x14ac:dyDescent="0.2">
      <c r="A3262" t="s">
        <v>3306</v>
      </c>
      <c r="B3262" t="s">
        <v>3305</v>
      </c>
      <c r="C3262" t="s">
        <v>3268</v>
      </c>
      <c r="D3262" t="s">
        <v>11</v>
      </c>
      <c r="E3262" t="s">
        <v>6994</v>
      </c>
    </row>
    <row r="3263" spans="1:7" x14ac:dyDescent="0.2">
      <c r="A3263" t="s">
        <v>3306</v>
      </c>
      <c r="B3263" t="s">
        <v>3305</v>
      </c>
      <c r="C3263" t="s">
        <v>3268</v>
      </c>
      <c r="D3263" t="s">
        <v>13</v>
      </c>
    </row>
    <row r="3264" spans="1:7" x14ac:dyDescent="0.2">
      <c r="A3264" t="s">
        <v>3306</v>
      </c>
      <c r="B3264" t="s">
        <v>3305</v>
      </c>
      <c r="C3264" t="s">
        <v>3268</v>
      </c>
      <c r="D3264" t="s">
        <v>10</v>
      </c>
      <c r="E3264" t="s">
        <v>6995</v>
      </c>
      <c r="F3264">
        <v>2.3333333333333335</v>
      </c>
      <c r="G3264">
        <v>15</v>
      </c>
    </row>
    <row r="3265" spans="1:7" x14ac:dyDescent="0.2">
      <c r="A3265" t="s">
        <v>3306</v>
      </c>
      <c r="B3265" t="s">
        <v>3305</v>
      </c>
      <c r="C3265" t="s">
        <v>3268</v>
      </c>
      <c r="D3265" t="s">
        <v>8</v>
      </c>
      <c r="E3265" t="s">
        <v>6996</v>
      </c>
      <c r="F3265">
        <v>0.66666666666666663</v>
      </c>
      <c r="G3265">
        <v>11</v>
      </c>
    </row>
    <row r="3266" spans="1:7" x14ac:dyDescent="0.2">
      <c r="A3266" t="s">
        <v>3306</v>
      </c>
      <c r="B3266" t="s">
        <v>3305</v>
      </c>
      <c r="C3266" t="s">
        <v>3268</v>
      </c>
      <c r="D3266" t="s">
        <v>12</v>
      </c>
      <c r="F3266">
        <v>0</v>
      </c>
      <c r="G3266">
        <v>1</v>
      </c>
    </row>
    <row r="3267" spans="1:7" x14ac:dyDescent="0.2">
      <c r="A3267" t="s">
        <v>3303</v>
      </c>
      <c r="B3267" t="s">
        <v>3302</v>
      </c>
      <c r="C3267" t="s">
        <v>3268</v>
      </c>
      <c r="D3267" t="s">
        <v>11</v>
      </c>
      <c r="E3267" t="s">
        <v>6997</v>
      </c>
      <c r="F3267">
        <v>19</v>
      </c>
      <c r="G3267">
        <v>71</v>
      </c>
    </row>
    <row r="3268" spans="1:7" x14ac:dyDescent="0.2">
      <c r="A3268" t="s">
        <v>3303</v>
      </c>
      <c r="B3268" t="s">
        <v>3302</v>
      </c>
      <c r="C3268" t="s">
        <v>3268</v>
      </c>
      <c r="D3268" t="s">
        <v>13</v>
      </c>
    </row>
    <row r="3269" spans="1:7" x14ac:dyDescent="0.2">
      <c r="A3269" t="s">
        <v>3303</v>
      </c>
      <c r="B3269" t="s">
        <v>3302</v>
      </c>
      <c r="C3269" t="s">
        <v>3268</v>
      </c>
      <c r="D3269" t="s">
        <v>10</v>
      </c>
      <c r="E3269" t="s">
        <v>6998</v>
      </c>
      <c r="F3269">
        <v>28</v>
      </c>
      <c r="G3269">
        <v>379</v>
      </c>
    </row>
    <row r="3270" spans="1:7" x14ac:dyDescent="0.2">
      <c r="A3270" t="s">
        <v>3303</v>
      </c>
      <c r="B3270" t="s">
        <v>3302</v>
      </c>
      <c r="C3270" t="s">
        <v>3268</v>
      </c>
      <c r="D3270" t="s">
        <v>8</v>
      </c>
      <c r="E3270" t="s">
        <v>6999</v>
      </c>
      <c r="F3270">
        <v>4.833333333333333</v>
      </c>
      <c r="G3270">
        <v>68</v>
      </c>
    </row>
    <row r="3271" spans="1:7" x14ac:dyDescent="0.2">
      <c r="A3271" t="s">
        <v>3303</v>
      </c>
      <c r="B3271" t="s">
        <v>3302</v>
      </c>
      <c r="C3271" t="s">
        <v>3268</v>
      </c>
      <c r="D3271" t="s">
        <v>12</v>
      </c>
      <c r="F3271">
        <v>1.3333333333333333</v>
      </c>
      <c r="G3271">
        <v>33</v>
      </c>
    </row>
    <row r="3272" spans="1:7" x14ac:dyDescent="0.2">
      <c r="A3272" t="s">
        <v>3382</v>
      </c>
      <c r="B3272" t="s">
        <v>3383</v>
      </c>
      <c r="C3272" t="s">
        <v>3268</v>
      </c>
      <c r="D3272" t="s">
        <v>11</v>
      </c>
      <c r="E3272" t="s">
        <v>7000</v>
      </c>
    </row>
    <row r="3273" spans="1:7" x14ac:dyDescent="0.2">
      <c r="A3273" t="s">
        <v>3382</v>
      </c>
      <c r="B3273" t="s">
        <v>3383</v>
      </c>
      <c r="C3273" t="s">
        <v>3268</v>
      </c>
      <c r="D3273" t="s">
        <v>13</v>
      </c>
      <c r="G3273">
        <v>23</v>
      </c>
    </row>
    <row r="3274" spans="1:7" x14ac:dyDescent="0.2">
      <c r="A3274" t="s">
        <v>3382</v>
      </c>
      <c r="B3274" t="s">
        <v>3383</v>
      </c>
      <c r="C3274" t="s">
        <v>3268</v>
      </c>
      <c r="D3274" t="s">
        <v>14</v>
      </c>
      <c r="F3274">
        <v>3.6666666666666665</v>
      </c>
      <c r="G3274">
        <v>178</v>
      </c>
    </row>
    <row r="3275" spans="1:7" x14ac:dyDescent="0.2">
      <c r="A3275" t="s">
        <v>3382</v>
      </c>
      <c r="B3275" t="s">
        <v>3383</v>
      </c>
      <c r="C3275" t="s">
        <v>3268</v>
      </c>
      <c r="D3275" t="s">
        <v>10</v>
      </c>
      <c r="E3275" t="s">
        <v>7001</v>
      </c>
      <c r="F3275">
        <v>13.5</v>
      </c>
      <c r="G3275">
        <v>473</v>
      </c>
    </row>
    <row r="3276" spans="1:7" x14ac:dyDescent="0.2">
      <c r="A3276" t="s">
        <v>3382</v>
      </c>
      <c r="B3276" t="s">
        <v>3383</v>
      </c>
      <c r="C3276" t="s">
        <v>3268</v>
      </c>
      <c r="D3276" t="s">
        <v>8</v>
      </c>
      <c r="E3276" t="s">
        <v>7002</v>
      </c>
      <c r="F3276">
        <v>1.5</v>
      </c>
      <c r="G3276">
        <v>97</v>
      </c>
    </row>
    <row r="3277" spans="1:7" x14ac:dyDescent="0.2">
      <c r="A3277" t="s">
        <v>3382</v>
      </c>
      <c r="B3277" t="s">
        <v>3383</v>
      </c>
      <c r="C3277" t="s">
        <v>3268</v>
      </c>
      <c r="D3277" t="s">
        <v>12</v>
      </c>
      <c r="F3277">
        <v>0.33333333333333331</v>
      </c>
      <c r="G3277">
        <v>34</v>
      </c>
    </row>
    <row r="3278" spans="1:7" x14ac:dyDescent="0.2">
      <c r="A3278" t="s">
        <v>3409</v>
      </c>
      <c r="B3278" t="s">
        <v>3410</v>
      </c>
      <c r="C3278" t="s">
        <v>3396</v>
      </c>
      <c r="D3278" t="s">
        <v>10</v>
      </c>
      <c r="E3278" t="s">
        <v>7003</v>
      </c>
      <c r="F3278">
        <v>0</v>
      </c>
      <c r="G3278">
        <v>1</v>
      </c>
    </row>
  </sheetData>
  <phoneticPr fontId="25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A9EF-831E-4636-A71A-CB56117D52CC}">
  <dimension ref="A1:P3824"/>
  <sheetViews>
    <sheetView workbookViewId="0">
      <selection activeCell="C29" sqref="C29"/>
    </sheetView>
  </sheetViews>
  <sheetFormatPr baseColWidth="10" defaultColWidth="8.83203125" defaultRowHeight="16" x14ac:dyDescent="0.2"/>
  <cols>
    <col min="1" max="1" width="22.1640625" bestFit="1" customWidth="1"/>
    <col min="2" max="2" width="17.83203125" bestFit="1" customWidth="1"/>
    <col min="3" max="3" width="81" bestFit="1" customWidth="1"/>
    <col min="4" max="4" width="16.83203125" bestFit="1" customWidth="1"/>
    <col min="5" max="5" width="10.83203125" bestFit="1" customWidth="1"/>
    <col min="6" max="6" width="11.5" bestFit="1" customWidth="1"/>
    <col min="7" max="7" width="19.33203125" bestFit="1" customWidth="1"/>
    <col min="8" max="8" width="12.5" bestFit="1" customWidth="1"/>
    <col min="9" max="9" width="8.6640625" bestFit="1" customWidth="1"/>
    <col min="10" max="10" width="5.33203125" bestFit="1" customWidth="1"/>
    <col min="11" max="11" width="12.1640625" bestFit="1" customWidth="1"/>
    <col min="12" max="12" width="7.6640625" bestFit="1" customWidth="1"/>
    <col min="13" max="13" width="11.83203125" bestFit="1" customWidth="1"/>
    <col min="14" max="14" width="12.5" bestFit="1" customWidth="1"/>
    <col min="15" max="15" width="12.6640625" bestFit="1" customWidth="1"/>
    <col min="16" max="16" width="6.83203125" bestFit="1" customWidth="1"/>
    <col min="17" max="17" width="12.83203125" bestFit="1" customWidth="1"/>
    <col min="18" max="18" width="6.83203125" bestFit="1" customWidth="1"/>
  </cols>
  <sheetData>
    <row r="1" spans="1:16" x14ac:dyDescent="0.2">
      <c r="A1" t="s">
        <v>7004</v>
      </c>
      <c r="B1" t="s">
        <v>17</v>
      </c>
      <c r="C1" t="s">
        <v>7005</v>
      </c>
      <c r="D1" t="s">
        <v>3</v>
      </c>
      <c r="E1" t="s">
        <v>78</v>
      </c>
      <c r="F1" t="s">
        <v>7006</v>
      </c>
      <c r="G1" t="s">
        <v>3417</v>
      </c>
      <c r="H1" t="s">
        <v>7007</v>
      </c>
      <c r="I1" t="s">
        <v>7008</v>
      </c>
      <c r="J1" t="s">
        <v>7009</v>
      </c>
      <c r="K1" t="s">
        <v>7010</v>
      </c>
      <c r="L1" t="s">
        <v>7011</v>
      </c>
      <c r="M1" t="s">
        <v>7012</v>
      </c>
      <c r="N1" t="s">
        <v>3418</v>
      </c>
      <c r="O1" t="s">
        <v>7013</v>
      </c>
      <c r="P1" t="s">
        <v>3419</v>
      </c>
    </row>
    <row r="2" spans="1:16" x14ac:dyDescent="0.2">
      <c r="A2" t="s">
        <v>34</v>
      </c>
      <c r="B2" t="s">
        <v>6521</v>
      </c>
      <c r="C2" t="s">
        <v>3004</v>
      </c>
      <c r="D2" t="s">
        <v>2987</v>
      </c>
      <c r="E2" t="s">
        <v>228</v>
      </c>
      <c r="F2">
        <v>59.99</v>
      </c>
      <c r="G2" t="s">
        <v>7014</v>
      </c>
      <c r="H2">
        <v>0.10210391511159896</v>
      </c>
      <c r="I2" t="s">
        <v>7015</v>
      </c>
      <c r="M2">
        <v>9.4079173838209975</v>
      </c>
      <c r="N2">
        <v>484.16666666666669</v>
      </c>
      <c r="O2">
        <v>28915</v>
      </c>
      <c r="P2">
        <v>4555</v>
      </c>
    </row>
    <row r="3" spans="1:16" x14ac:dyDescent="0.2">
      <c r="A3" t="s">
        <v>940</v>
      </c>
      <c r="B3" t="s">
        <v>5122</v>
      </c>
      <c r="C3" t="s">
        <v>941</v>
      </c>
      <c r="D3" t="s">
        <v>446</v>
      </c>
      <c r="E3" t="s">
        <v>228</v>
      </c>
      <c r="F3">
        <v>15.99</v>
      </c>
      <c r="G3" t="s">
        <v>7014</v>
      </c>
      <c r="H3">
        <v>0.14341390786477493</v>
      </c>
      <c r="I3" t="s">
        <v>7015</v>
      </c>
      <c r="M3">
        <v>6.5208452312964029</v>
      </c>
      <c r="N3">
        <v>291.83333333333331</v>
      </c>
      <c r="O3">
        <v>4765</v>
      </c>
      <c r="P3">
        <v>1903</v>
      </c>
    </row>
    <row r="4" spans="1:16" x14ac:dyDescent="0.2">
      <c r="A4" t="s">
        <v>2561</v>
      </c>
      <c r="B4" t="s">
        <v>6171</v>
      </c>
      <c r="C4" t="s">
        <v>2562</v>
      </c>
      <c r="D4" t="s">
        <v>2502</v>
      </c>
      <c r="E4" t="s">
        <v>228</v>
      </c>
      <c r="F4">
        <v>17.989999999999998</v>
      </c>
      <c r="G4" t="s">
        <v>7014</v>
      </c>
      <c r="H4">
        <v>3.6031702400586403E-2</v>
      </c>
      <c r="I4" t="s">
        <v>7015</v>
      </c>
      <c r="M4">
        <v>31.543352601156069</v>
      </c>
      <c r="N4">
        <v>230.66666666666666</v>
      </c>
      <c r="O4">
        <v>4839</v>
      </c>
      <c r="P4">
        <v>7276</v>
      </c>
    </row>
    <row r="5" spans="1:16" x14ac:dyDescent="0.2">
      <c r="A5" t="s">
        <v>962</v>
      </c>
      <c r="B5" t="s">
        <v>5125</v>
      </c>
      <c r="C5" t="s">
        <v>963</v>
      </c>
      <c r="D5" t="s">
        <v>446</v>
      </c>
      <c r="E5" t="s">
        <v>228</v>
      </c>
      <c r="F5">
        <v>14.99</v>
      </c>
      <c r="G5" t="s">
        <v>7014</v>
      </c>
      <c r="H5">
        <v>0.21372549019607845</v>
      </c>
      <c r="I5" t="s">
        <v>7015</v>
      </c>
      <c r="M5">
        <v>4.1402214022140216</v>
      </c>
      <c r="N5">
        <v>225.83333333333334</v>
      </c>
      <c r="O5">
        <v>3433</v>
      </c>
      <c r="P5">
        <v>935</v>
      </c>
    </row>
    <row r="6" spans="1:16" x14ac:dyDescent="0.2">
      <c r="A6" t="s">
        <v>940</v>
      </c>
      <c r="B6" t="s">
        <v>5124</v>
      </c>
      <c r="C6" t="s">
        <v>941</v>
      </c>
      <c r="D6" t="s">
        <v>446</v>
      </c>
      <c r="E6" t="s">
        <v>228</v>
      </c>
      <c r="F6">
        <v>15.99</v>
      </c>
      <c r="G6" t="s">
        <v>8</v>
      </c>
      <c r="H6">
        <v>0.11336633663366336</v>
      </c>
      <c r="J6">
        <v>1</v>
      </c>
      <c r="K6">
        <v>61</v>
      </c>
      <c r="L6">
        <v>1958</v>
      </c>
      <c r="M6">
        <v>9.6612641815235012</v>
      </c>
      <c r="N6">
        <v>205.66666666666666</v>
      </c>
      <c r="O6">
        <v>3454</v>
      </c>
      <c r="P6">
        <v>1987</v>
      </c>
    </row>
    <row r="7" spans="1:16" x14ac:dyDescent="0.2">
      <c r="A7" t="s">
        <v>960</v>
      </c>
      <c r="B7" t="s">
        <v>5158</v>
      </c>
      <c r="C7" t="s">
        <v>961</v>
      </c>
      <c r="D7" t="s">
        <v>446</v>
      </c>
      <c r="E7" t="s">
        <v>228</v>
      </c>
      <c r="F7">
        <v>14.99</v>
      </c>
      <c r="G7" t="s">
        <v>8</v>
      </c>
      <c r="H7">
        <v>0.20139500734214391</v>
      </c>
      <c r="J7">
        <v>27</v>
      </c>
      <c r="K7">
        <v>40</v>
      </c>
      <c r="L7">
        <v>1068</v>
      </c>
      <c r="M7">
        <v>6.2977099236641223</v>
      </c>
      <c r="N7">
        <v>218.33333333333334</v>
      </c>
      <c r="O7">
        <v>3208</v>
      </c>
      <c r="P7">
        <v>1375</v>
      </c>
    </row>
    <row r="8" spans="1:16" x14ac:dyDescent="0.2">
      <c r="A8" t="s">
        <v>938</v>
      </c>
      <c r="B8" t="s">
        <v>5155</v>
      </c>
      <c r="C8" t="s">
        <v>939</v>
      </c>
      <c r="D8" t="s">
        <v>446</v>
      </c>
      <c r="E8" t="s">
        <v>228</v>
      </c>
      <c r="F8">
        <v>15.99</v>
      </c>
      <c r="G8" t="s">
        <v>8</v>
      </c>
      <c r="H8">
        <v>0.20094760312151616</v>
      </c>
      <c r="J8">
        <v>21</v>
      </c>
      <c r="K8">
        <v>38</v>
      </c>
      <c r="L8">
        <v>1137</v>
      </c>
      <c r="M8">
        <v>4.8865979381443294</v>
      </c>
      <c r="N8">
        <v>226.33333333333334</v>
      </c>
      <c r="O8">
        <v>3326</v>
      </c>
      <c r="P8">
        <v>1106</v>
      </c>
    </row>
    <row r="9" spans="1:16" x14ac:dyDescent="0.2">
      <c r="A9" t="s">
        <v>807</v>
      </c>
      <c r="B9" t="s">
        <v>5024</v>
      </c>
      <c r="C9" t="s">
        <v>808</v>
      </c>
      <c r="D9" t="s">
        <v>446</v>
      </c>
      <c r="E9" t="s">
        <v>228</v>
      </c>
      <c r="F9">
        <v>19.989999999999998</v>
      </c>
      <c r="G9" t="s">
        <v>8</v>
      </c>
      <c r="H9">
        <v>0.13857323232323232</v>
      </c>
      <c r="J9">
        <v>19</v>
      </c>
      <c r="K9">
        <v>38</v>
      </c>
      <c r="L9">
        <v>999</v>
      </c>
      <c r="M9">
        <v>5.9895196506550219</v>
      </c>
      <c r="N9">
        <v>190.83333333333334</v>
      </c>
      <c r="O9">
        <v>3898</v>
      </c>
      <c r="P9">
        <v>1143</v>
      </c>
    </row>
    <row r="10" spans="1:16" x14ac:dyDescent="0.2">
      <c r="A10" t="s">
        <v>962</v>
      </c>
      <c r="B10" t="s">
        <v>5127</v>
      </c>
      <c r="C10" t="s">
        <v>963</v>
      </c>
      <c r="D10" t="s">
        <v>446</v>
      </c>
      <c r="E10" t="s">
        <v>228</v>
      </c>
      <c r="F10">
        <v>14.99</v>
      </c>
      <c r="G10" t="s">
        <v>8</v>
      </c>
      <c r="H10">
        <v>8.0778641335636156E-2</v>
      </c>
      <c r="J10">
        <v>13</v>
      </c>
      <c r="K10">
        <v>179</v>
      </c>
      <c r="L10">
        <v>2124</v>
      </c>
      <c r="M10">
        <v>14.996948118006102</v>
      </c>
      <c r="N10">
        <v>163.83333333333334</v>
      </c>
      <c r="O10">
        <v>2593</v>
      </c>
      <c r="P10">
        <v>2457</v>
      </c>
    </row>
    <row r="11" spans="1:16" x14ac:dyDescent="0.2">
      <c r="A11" t="s">
        <v>956</v>
      </c>
      <c r="B11" t="s">
        <v>5134</v>
      </c>
      <c r="C11" t="s">
        <v>957</v>
      </c>
      <c r="D11" t="s">
        <v>446</v>
      </c>
      <c r="E11" t="s">
        <v>228</v>
      </c>
      <c r="F11">
        <v>29.99</v>
      </c>
      <c r="G11" t="s">
        <v>7014</v>
      </c>
      <c r="H11">
        <v>0.25518462316641377</v>
      </c>
      <c r="I11" t="s">
        <v>7015</v>
      </c>
      <c r="M11">
        <v>3.3910806174957115</v>
      </c>
      <c r="N11">
        <v>194.33333333333334</v>
      </c>
      <c r="O11">
        <v>4439</v>
      </c>
      <c r="P11">
        <v>659</v>
      </c>
    </row>
    <row r="12" spans="1:16" x14ac:dyDescent="0.2">
      <c r="A12" t="s">
        <v>725</v>
      </c>
      <c r="B12" t="s">
        <v>4723</v>
      </c>
      <c r="C12" t="s">
        <v>726</v>
      </c>
      <c r="D12" t="s">
        <v>446</v>
      </c>
      <c r="E12" t="s">
        <v>228</v>
      </c>
      <c r="F12">
        <v>22.99</v>
      </c>
      <c r="G12" t="s">
        <v>8</v>
      </c>
      <c r="H12">
        <v>0.2102034709754638</v>
      </c>
      <c r="J12">
        <v>16</v>
      </c>
      <c r="K12">
        <v>18</v>
      </c>
      <c r="L12">
        <v>523</v>
      </c>
      <c r="M12">
        <v>6.4674329501915713</v>
      </c>
      <c r="N12">
        <v>130.5</v>
      </c>
      <c r="O12">
        <v>3104</v>
      </c>
      <c r="P12">
        <v>844</v>
      </c>
    </row>
    <row r="13" spans="1:16" x14ac:dyDescent="0.2">
      <c r="A13" t="s">
        <v>896</v>
      </c>
      <c r="B13" t="s">
        <v>4891</v>
      </c>
      <c r="C13" t="s">
        <v>897</v>
      </c>
      <c r="D13" t="s">
        <v>446</v>
      </c>
      <c r="E13" t="s">
        <v>228</v>
      </c>
      <c r="F13">
        <v>39.99</v>
      </c>
      <c r="G13" t="s">
        <v>8</v>
      </c>
      <c r="H13">
        <v>0.16307106598984772</v>
      </c>
      <c r="J13">
        <v>42</v>
      </c>
      <c r="K13">
        <v>33</v>
      </c>
      <c r="L13">
        <v>713</v>
      </c>
      <c r="M13">
        <v>7.7021276595744679</v>
      </c>
      <c r="N13">
        <v>117.5</v>
      </c>
      <c r="O13">
        <v>5199</v>
      </c>
      <c r="P13">
        <v>905</v>
      </c>
    </row>
    <row r="14" spans="1:16" x14ac:dyDescent="0.2">
      <c r="A14" t="s">
        <v>2988</v>
      </c>
      <c r="B14" t="s">
        <v>6479</v>
      </c>
      <c r="C14" t="s">
        <v>2989</v>
      </c>
      <c r="D14" t="s">
        <v>2987</v>
      </c>
      <c r="E14" t="s">
        <v>228</v>
      </c>
      <c r="F14">
        <v>89.99</v>
      </c>
      <c r="G14" t="s">
        <v>7014</v>
      </c>
      <c r="H14">
        <v>8.3937198067632848E-2</v>
      </c>
      <c r="I14" t="s">
        <v>7015</v>
      </c>
      <c r="M14">
        <v>10.942731277533039</v>
      </c>
      <c r="N14">
        <v>151.33333333333334</v>
      </c>
      <c r="O14">
        <v>11519</v>
      </c>
      <c r="P14">
        <v>1656</v>
      </c>
    </row>
    <row r="15" spans="1:16" x14ac:dyDescent="0.2">
      <c r="A15" t="s">
        <v>777</v>
      </c>
      <c r="B15" t="s">
        <v>5150</v>
      </c>
      <c r="C15" t="s">
        <v>778</v>
      </c>
      <c r="D15" t="s">
        <v>446</v>
      </c>
      <c r="E15" t="s">
        <v>228</v>
      </c>
      <c r="F15">
        <v>14.99</v>
      </c>
      <c r="G15" t="s">
        <v>8</v>
      </c>
      <c r="H15">
        <v>0.23854337152209493</v>
      </c>
      <c r="J15">
        <v>24</v>
      </c>
      <c r="K15">
        <v>37</v>
      </c>
      <c r="L15">
        <v>550</v>
      </c>
      <c r="M15">
        <v>5.8921694480102689</v>
      </c>
      <c r="N15">
        <v>129.83333333333334</v>
      </c>
      <c r="O15">
        <v>1814</v>
      </c>
      <c r="P15">
        <v>765</v>
      </c>
    </row>
    <row r="16" spans="1:16" x14ac:dyDescent="0.2">
      <c r="A16" t="s">
        <v>2990</v>
      </c>
      <c r="B16" t="s">
        <v>6777</v>
      </c>
      <c r="C16" t="s">
        <v>2991</v>
      </c>
      <c r="D16" t="s">
        <v>2987</v>
      </c>
      <c r="E16" t="s">
        <v>228</v>
      </c>
      <c r="F16">
        <v>89.99</v>
      </c>
      <c r="G16" t="s">
        <v>7014</v>
      </c>
      <c r="H16">
        <v>7.9305650102110284E-2</v>
      </c>
      <c r="I16" t="s">
        <v>7015</v>
      </c>
      <c r="M16">
        <v>10.505363528009534</v>
      </c>
      <c r="N16">
        <v>139.83333333333334</v>
      </c>
      <c r="O16">
        <v>10799</v>
      </c>
      <c r="P16">
        <v>1469</v>
      </c>
    </row>
    <row r="17" spans="1:16" x14ac:dyDescent="0.2">
      <c r="A17" t="s">
        <v>950</v>
      </c>
      <c r="B17" t="s">
        <v>4676</v>
      </c>
      <c r="C17" t="s">
        <v>951</v>
      </c>
      <c r="D17" t="s">
        <v>446</v>
      </c>
      <c r="E17" t="s">
        <v>228</v>
      </c>
      <c r="F17">
        <v>49.99</v>
      </c>
      <c r="G17" t="s">
        <v>8</v>
      </c>
      <c r="H17">
        <v>0.11139832594780896</v>
      </c>
      <c r="J17">
        <v>7</v>
      </c>
      <c r="K17">
        <v>112</v>
      </c>
      <c r="L17">
        <v>558</v>
      </c>
      <c r="M17">
        <v>9.7278911564625847</v>
      </c>
      <c r="N17">
        <v>73.5</v>
      </c>
      <c r="O17">
        <v>5849</v>
      </c>
      <c r="P17">
        <v>715</v>
      </c>
    </row>
    <row r="18" spans="1:16" x14ac:dyDescent="0.2">
      <c r="A18" t="s">
        <v>727</v>
      </c>
      <c r="B18" t="s">
        <v>4714</v>
      </c>
      <c r="C18" t="s">
        <v>728</v>
      </c>
      <c r="D18" t="s">
        <v>446</v>
      </c>
      <c r="E18" t="s">
        <v>228</v>
      </c>
      <c r="F18">
        <v>17.989999999999998</v>
      </c>
      <c r="G18" t="s">
        <v>8</v>
      </c>
      <c r="H18">
        <v>0.18969516235917827</v>
      </c>
      <c r="J18">
        <v>16</v>
      </c>
      <c r="K18">
        <v>20</v>
      </c>
      <c r="L18">
        <v>467</v>
      </c>
      <c r="M18">
        <v>5.9918032786885247</v>
      </c>
      <c r="N18">
        <v>122</v>
      </c>
      <c r="O18">
        <v>2069</v>
      </c>
      <c r="P18">
        <v>731</v>
      </c>
    </row>
    <row r="19" spans="1:16" x14ac:dyDescent="0.2">
      <c r="A19" t="s">
        <v>956</v>
      </c>
      <c r="B19" t="s">
        <v>5136</v>
      </c>
      <c r="C19" t="s">
        <v>957</v>
      </c>
      <c r="D19" t="s">
        <v>446</v>
      </c>
      <c r="E19" t="s">
        <v>228</v>
      </c>
      <c r="F19">
        <v>29.99</v>
      </c>
      <c r="G19" t="s">
        <v>8</v>
      </c>
      <c r="H19">
        <v>0.11765897124341838</v>
      </c>
      <c r="J19">
        <v>12</v>
      </c>
      <c r="K19">
        <v>22</v>
      </c>
      <c r="L19">
        <v>789</v>
      </c>
      <c r="M19">
        <v>8.8925081433224769</v>
      </c>
      <c r="N19">
        <v>102.33333333333333</v>
      </c>
      <c r="O19">
        <v>3299</v>
      </c>
      <c r="P19">
        <v>910</v>
      </c>
    </row>
    <row r="20" spans="1:16" x14ac:dyDescent="0.2">
      <c r="A20" t="s">
        <v>803</v>
      </c>
      <c r="B20" t="s">
        <v>4724</v>
      </c>
      <c r="C20" t="s">
        <v>804</v>
      </c>
      <c r="D20" t="s">
        <v>446</v>
      </c>
      <c r="E20" t="s">
        <v>228</v>
      </c>
      <c r="F20">
        <v>49.99</v>
      </c>
      <c r="G20" t="s">
        <v>7014</v>
      </c>
      <c r="H20">
        <v>8.8363954505686779E-2</v>
      </c>
      <c r="M20">
        <v>6.2459016393442619</v>
      </c>
      <c r="N20">
        <v>122</v>
      </c>
      <c r="O20">
        <v>5199</v>
      </c>
      <c r="P20">
        <v>762</v>
      </c>
    </row>
    <row r="21" spans="1:16" x14ac:dyDescent="0.2">
      <c r="A21" t="s">
        <v>2475</v>
      </c>
      <c r="B21" t="s">
        <v>5737</v>
      </c>
      <c r="C21" t="s">
        <v>7016</v>
      </c>
      <c r="D21" t="s">
        <v>2448</v>
      </c>
      <c r="E21" t="s">
        <v>228</v>
      </c>
      <c r="F21">
        <v>59.99</v>
      </c>
      <c r="G21" t="s">
        <v>7014</v>
      </c>
      <c r="H21">
        <v>0.1017065785851913</v>
      </c>
      <c r="M21">
        <v>10.893553223388306</v>
      </c>
      <c r="N21">
        <v>111.16666666666667</v>
      </c>
      <c r="O21">
        <v>6119</v>
      </c>
      <c r="P21">
        <v>1211</v>
      </c>
    </row>
    <row r="22" spans="1:16" x14ac:dyDescent="0.2">
      <c r="A22" t="s">
        <v>958</v>
      </c>
      <c r="B22" t="s">
        <v>5143</v>
      </c>
      <c r="C22" t="s">
        <v>959</v>
      </c>
      <c r="D22" t="s">
        <v>446</v>
      </c>
      <c r="E22" t="s">
        <v>228</v>
      </c>
      <c r="F22">
        <v>29.99</v>
      </c>
      <c r="G22" t="s">
        <v>7014</v>
      </c>
      <c r="H22">
        <v>0.1746641074856046</v>
      </c>
      <c r="M22">
        <v>5.02572347266881</v>
      </c>
      <c r="N22">
        <v>103.66666666666667</v>
      </c>
      <c r="O22">
        <v>3059</v>
      </c>
      <c r="P22">
        <v>521</v>
      </c>
    </row>
    <row r="23" spans="1:16" x14ac:dyDescent="0.2">
      <c r="A23" t="s">
        <v>759</v>
      </c>
      <c r="B23" t="s">
        <v>5059</v>
      </c>
      <c r="C23" t="s">
        <v>760</v>
      </c>
      <c r="D23" t="s">
        <v>446</v>
      </c>
      <c r="E23" t="s">
        <v>228</v>
      </c>
      <c r="F23">
        <v>39.99</v>
      </c>
      <c r="G23" t="s">
        <v>8</v>
      </c>
      <c r="H23">
        <v>0.11906037870668096</v>
      </c>
      <c r="J23">
        <v>20</v>
      </c>
      <c r="K23">
        <v>114</v>
      </c>
      <c r="L23">
        <v>799</v>
      </c>
      <c r="M23">
        <v>12.28616852146264</v>
      </c>
      <c r="N23">
        <v>104.83333333333333</v>
      </c>
      <c r="O23">
        <v>4079</v>
      </c>
      <c r="P23">
        <v>1288</v>
      </c>
    </row>
    <row r="24" spans="1:16" x14ac:dyDescent="0.2">
      <c r="A24" t="s">
        <v>890</v>
      </c>
      <c r="B24" t="s">
        <v>4897</v>
      </c>
      <c r="C24" t="s">
        <v>891</v>
      </c>
      <c r="D24" t="s">
        <v>446</v>
      </c>
      <c r="E24" t="s">
        <v>228</v>
      </c>
      <c r="F24">
        <v>29.99</v>
      </c>
      <c r="G24" t="s">
        <v>8</v>
      </c>
      <c r="H24">
        <v>0.12096774193548387</v>
      </c>
      <c r="J24">
        <v>43</v>
      </c>
      <c r="K24">
        <v>66</v>
      </c>
      <c r="L24">
        <v>542</v>
      </c>
      <c r="M24">
        <v>8.8136272545090169</v>
      </c>
      <c r="N24">
        <v>83.166666666666671</v>
      </c>
      <c r="O24">
        <v>2999</v>
      </c>
      <c r="P24">
        <v>733</v>
      </c>
    </row>
    <row r="25" spans="1:16" x14ac:dyDescent="0.2">
      <c r="A25" t="s">
        <v>2473</v>
      </c>
      <c r="B25" t="s">
        <v>5734</v>
      </c>
      <c r="C25" t="s">
        <v>7017</v>
      </c>
      <c r="D25" t="s">
        <v>2448</v>
      </c>
      <c r="E25" t="s">
        <v>228</v>
      </c>
      <c r="F25">
        <v>59.99</v>
      </c>
      <c r="G25" t="s">
        <v>7014</v>
      </c>
      <c r="H25">
        <v>0.18302540415704388</v>
      </c>
      <c r="I25" t="s">
        <v>7015</v>
      </c>
      <c r="M25">
        <v>4.9204545454545459</v>
      </c>
      <c r="N25">
        <v>88</v>
      </c>
      <c r="O25">
        <v>5699</v>
      </c>
      <c r="P25">
        <v>433</v>
      </c>
    </row>
    <row r="26" spans="1:16" x14ac:dyDescent="0.2">
      <c r="A26" t="s">
        <v>759</v>
      </c>
      <c r="B26" t="s">
        <v>5057</v>
      </c>
      <c r="C26" t="s">
        <v>760</v>
      </c>
      <c r="D26" t="s">
        <v>446</v>
      </c>
      <c r="E26" t="s">
        <v>228</v>
      </c>
      <c r="F26">
        <v>39.99</v>
      </c>
      <c r="G26" t="s">
        <v>7014</v>
      </c>
      <c r="H26">
        <v>0.19303995006242197</v>
      </c>
      <c r="I26" t="s">
        <v>7015</v>
      </c>
      <c r="M26">
        <v>5.640845070422535</v>
      </c>
      <c r="N26">
        <v>94.666666666666671</v>
      </c>
      <c r="O26">
        <v>3599</v>
      </c>
      <c r="P26">
        <v>534</v>
      </c>
    </row>
    <row r="27" spans="1:16" x14ac:dyDescent="0.2">
      <c r="A27" t="s">
        <v>503</v>
      </c>
      <c r="B27" t="s">
        <v>4923</v>
      </c>
      <c r="C27" t="s">
        <v>504</v>
      </c>
      <c r="D27" t="s">
        <v>446</v>
      </c>
      <c r="E27" t="s">
        <v>228</v>
      </c>
      <c r="F27">
        <v>39.99</v>
      </c>
      <c r="G27" t="s">
        <v>8</v>
      </c>
      <c r="H27">
        <v>5.6279743430581425E-2</v>
      </c>
      <c r="J27">
        <v>72</v>
      </c>
      <c r="K27">
        <v>116</v>
      </c>
      <c r="L27">
        <v>1423</v>
      </c>
      <c r="M27">
        <v>22.552238805970148</v>
      </c>
      <c r="N27">
        <v>67</v>
      </c>
      <c r="O27">
        <v>3599</v>
      </c>
      <c r="P27">
        <v>1511</v>
      </c>
    </row>
    <row r="28" spans="1:16" x14ac:dyDescent="0.2">
      <c r="A28" t="s">
        <v>942</v>
      </c>
      <c r="B28" t="s">
        <v>5137</v>
      </c>
      <c r="C28" t="s">
        <v>943</v>
      </c>
      <c r="D28" t="s">
        <v>446</v>
      </c>
      <c r="E28" t="s">
        <v>228</v>
      </c>
      <c r="F28">
        <v>15.99</v>
      </c>
      <c r="G28" t="s">
        <v>7014</v>
      </c>
      <c r="H28">
        <v>0.16209349593495934</v>
      </c>
      <c r="M28">
        <v>5.6121673003802277</v>
      </c>
      <c r="N28">
        <v>87.666666666666671</v>
      </c>
      <c r="O28">
        <v>1407</v>
      </c>
      <c r="P28">
        <v>492</v>
      </c>
    </row>
    <row r="29" spans="1:16" x14ac:dyDescent="0.2">
      <c r="A29" t="s">
        <v>691</v>
      </c>
      <c r="B29" t="s">
        <v>5078</v>
      </c>
      <c r="C29" t="s">
        <v>7018</v>
      </c>
      <c r="D29" t="s">
        <v>446</v>
      </c>
      <c r="E29" t="s">
        <v>228</v>
      </c>
      <c r="F29">
        <v>59.99</v>
      </c>
      <c r="G29" t="s">
        <v>7014</v>
      </c>
      <c r="H29">
        <v>0.12075371549893842</v>
      </c>
      <c r="I29" t="s">
        <v>7015</v>
      </c>
      <c r="M29">
        <v>8.448430493273543</v>
      </c>
      <c r="N29">
        <v>74.333333333333329</v>
      </c>
      <c r="O29">
        <v>5279</v>
      </c>
      <c r="P29">
        <v>628</v>
      </c>
    </row>
    <row r="30" spans="1:16" x14ac:dyDescent="0.2">
      <c r="A30" t="s">
        <v>555</v>
      </c>
      <c r="B30" t="s">
        <v>4685</v>
      </c>
      <c r="C30" t="s">
        <v>556</v>
      </c>
      <c r="D30" t="s">
        <v>446</v>
      </c>
      <c r="E30" t="s">
        <v>228</v>
      </c>
      <c r="F30">
        <v>29.99</v>
      </c>
      <c r="G30" t="s">
        <v>8</v>
      </c>
      <c r="H30">
        <v>0.10084838533114394</v>
      </c>
      <c r="J30">
        <v>7</v>
      </c>
      <c r="K30">
        <v>27</v>
      </c>
      <c r="L30">
        <v>575</v>
      </c>
      <c r="M30">
        <v>10.15158924205379</v>
      </c>
      <c r="N30">
        <v>68.166666666666671</v>
      </c>
      <c r="O30">
        <v>2549</v>
      </c>
      <c r="P30">
        <v>692</v>
      </c>
    </row>
    <row r="31" spans="1:16" x14ac:dyDescent="0.2">
      <c r="A31" t="s">
        <v>2577</v>
      </c>
      <c r="B31" t="s">
        <v>6101</v>
      </c>
      <c r="C31" t="s">
        <v>7019</v>
      </c>
      <c r="D31" t="s">
        <v>2502</v>
      </c>
      <c r="E31" t="s">
        <v>228</v>
      </c>
      <c r="F31">
        <v>79.989999999999995</v>
      </c>
      <c r="G31" t="s">
        <v>8</v>
      </c>
      <c r="H31">
        <v>6.8813131313131312E-2</v>
      </c>
      <c r="J31">
        <v>15</v>
      </c>
      <c r="K31">
        <v>33</v>
      </c>
      <c r="L31">
        <v>348</v>
      </c>
      <c r="M31">
        <v>6.9099526066350716</v>
      </c>
      <c r="N31">
        <v>70.333333333333329</v>
      </c>
      <c r="O31">
        <v>6719</v>
      </c>
      <c r="P31">
        <v>486</v>
      </c>
    </row>
    <row r="32" spans="1:16" x14ac:dyDescent="0.2">
      <c r="A32" t="s">
        <v>964</v>
      </c>
      <c r="B32" t="s">
        <v>5140</v>
      </c>
      <c r="C32" t="s">
        <v>965</v>
      </c>
      <c r="D32" t="s">
        <v>446</v>
      </c>
      <c r="E32" t="s">
        <v>228</v>
      </c>
      <c r="F32">
        <v>14.99</v>
      </c>
      <c r="G32" t="s">
        <v>7014</v>
      </c>
      <c r="H32">
        <v>0.1596045197740113</v>
      </c>
      <c r="M32">
        <v>5.7717391304347823</v>
      </c>
      <c r="N32">
        <v>92</v>
      </c>
      <c r="O32">
        <v>1244</v>
      </c>
      <c r="P32">
        <v>531</v>
      </c>
    </row>
    <row r="33" spans="1:16" x14ac:dyDescent="0.2">
      <c r="A33" t="s">
        <v>807</v>
      </c>
      <c r="B33" t="s">
        <v>5022</v>
      </c>
      <c r="C33" t="s">
        <v>808</v>
      </c>
      <c r="D33" t="s">
        <v>446</v>
      </c>
      <c r="E33" t="s">
        <v>228</v>
      </c>
      <c r="F33">
        <v>19.989999999999998</v>
      </c>
      <c r="G33" t="s">
        <v>7014</v>
      </c>
      <c r="H33">
        <v>0.1773927392739274</v>
      </c>
      <c r="I33" t="s">
        <v>7015</v>
      </c>
      <c r="M33">
        <v>6.0198675496688736</v>
      </c>
      <c r="N33">
        <v>100.66666666666667</v>
      </c>
      <c r="O33">
        <v>1639</v>
      </c>
      <c r="P33">
        <v>606</v>
      </c>
    </row>
    <row r="34" spans="1:16" x14ac:dyDescent="0.2">
      <c r="A34" t="s">
        <v>892</v>
      </c>
      <c r="B34" t="s">
        <v>4899</v>
      </c>
      <c r="C34" t="s">
        <v>893</v>
      </c>
      <c r="D34" t="s">
        <v>446</v>
      </c>
      <c r="E34" t="s">
        <v>228</v>
      </c>
      <c r="F34">
        <v>29.99</v>
      </c>
      <c r="G34" t="s">
        <v>8</v>
      </c>
      <c r="H34">
        <v>0.14158878504672898</v>
      </c>
      <c r="J34">
        <v>33</v>
      </c>
      <c r="K34">
        <v>37</v>
      </c>
      <c r="L34">
        <v>465</v>
      </c>
      <c r="M34">
        <v>8.2411347517730498</v>
      </c>
      <c r="N34">
        <v>70.5</v>
      </c>
      <c r="O34">
        <v>2429</v>
      </c>
      <c r="P34">
        <v>581</v>
      </c>
    </row>
    <row r="35" spans="1:16" x14ac:dyDescent="0.2">
      <c r="A35" t="s">
        <v>737</v>
      </c>
      <c r="B35" t="s">
        <v>4708</v>
      </c>
      <c r="C35" t="s">
        <v>738</v>
      </c>
      <c r="D35" t="s">
        <v>446</v>
      </c>
      <c r="E35" t="s">
        <v>228</v>
      </c>
      <c r="F35">
        <v>19.989999999999998</v>
      </c>
      <c r="G35" t="s">
        <v>8</v>
      </c>
      <c r="H35">
        <v>9.8032069970845487E-2</v>
      </c>
      <c r="J35">
        <v>9</v>
      </c>
      <c r="K35">
        <v>29</v>
      </c>
      <c r="L35">
        <v>648</v>
      </c>
      <c r="M35">
        <v>10.322418136020151</v>
      </c>
      <c r="N35">
        <v>66.166666666666671</v>
      </c>
      <c r="O35">
        <v>1619</v>
      </c>
      <c r="P35">
        <v>683</v>
      </c>
    </row>
    <row r="36" spans="1:16" x14ac:dyDescent="0.2">
      <c r="A36" t="s">
        <v>693</v>
      </c>
      <c r="B36" t="s">
        <v>5025</v>
      </c>
      <c r="C36" t="s">
        <v>7020</v>
      </c>
      <c r="D36" t="s">
        <v>446</v>
      </c>
      <c r="E36" t="s">
        <v>228</v>
      </c>
      <c r="F36">
        <v>59.99</v>
      </c>
      <c r="G36" t="s">
        <v>7014</v>
      </c>
      <c r="H36">
        <v>0.13642366613840465</v>
      </c>
      <c r="I36" t="s">
        <v>7015</v>
      </c>
      <c r="M36">
        <v>7.2667946257197702</v>
      </c>
      <c r="N36">
        <v>86.833333333333329</v>
      </c>
      <c r="O36">
        <v>4739</v>
      </c>
      <c r="P36">
        <v>631</v>
      </c>
    </row>
    <row r="37" spans="1:16" x14ac:dyDescent="0.2">
      <c r="A37" t="s">
        <v>779</v>
      </c>
      <c r="B37" t="s">
        <v>5153</v>
      </c>
      <c r="C37" t="s">
        <v>780</v>
      </c>
      <c r="D37" t="s">
        <v>446</v>
      </c>
      <c r="E37" t="s">
        <v>228</v>
      </c>
      <c r="F37">
        <v>14.99</v>
      </c>
      <c r="G37" t="s">
        <v>8</v>
      </c>
      <c r="H37">
        <v>0.13603791030975496</v>
      </c>
      <c r="J37">
        <v>8</v>
      </c>
      <c r="K37">
        <v>74</v>
      </c>
      <c r="L37">
        <v>639</v>
      </c>
      <c r="M37">
        <v>10.551282051282051</v>
      </c>
      <c r="N37">
        <v>78</v>
      </c>
      <c r="O37">
        <v>1184</v>
      </c>
      <c r="P37">
        <v>823</v>
      </c>
    </row>
    <row r="38" spans="1:16" x14ac:dyDescent="0.2">
      <c r="A38" t="s">
        <v>553</v>
      </c>
      <c r="B38" t="s">
        <v>4682</v>
      </c>
      <c r="C38" t="s">
        <v>554</v>
      </c>
      <c r="D38" t="s">
        <v>446</v>
      </c>
      <c r="E38" t="s">
        <v>228</v>
      </c>
      <c r="F38">
        <v>24.99</v>
      </c>
      <c r="G38" t="s">
        <v>8</v>
      </c>
      <c r="H38">
        <v>9.8564954682779454E-2</v>
      </c>
      <c r="J38">
        <v>25</v>
      </c>
      <c r="K38">
        <v>17</v>
      </c>
      <c r="L38">
        <v>620</v>
      </c>
      <c r="M38">
        <v>10.665071770334928</v>
      </c>
      <c r="N38">
        <v>69.666666666666671</v>
      </c>
      <c r="O38">
        <v>1924</v>
      </c>
      <c r="P38">
        <v>743</v>
      </c>
    </row>
    <row r="39" spans="1:16" x14ac:dyDescent="0.2">
      <c r="A39" t="s">
        <v>643</v>
      </c>
      <c r="B39" t="s">
        <v>4977</v>
      </c>
      <c r="C39" t="s">
        <v>644</v>
      </c>
      <c r="D39" t="s">
        <v>446</v>
      </c>
      <c r="E39" t="s">
        <v>228</v>
      </c>
      <c r="F39">
        <v>99.99</v>
      </c>
      <c r="G39" t="s">
        <v>8</v>
      </c>
      <c r="H39">
        <v>0.1099961773700306</v>
      </c>
      <c r="J39">
        <v>5</v>
      </c>
      <c r="K39">
        <v>97</v>
      </c>
      <c r="L39">
        <v>770</v>
      </c>
      <c r="M39">
        <v>12.380952380952381</v>
      </c>
      <c r="N39">
        <v>84</v>
      </c>
      <c r="O39">
        <v>7599</v>
      </c>
      <c r="P39">
        <v>1040</v>
      </c>
    </row>
    <row r="40" spans="1:16" x14ac:dyDescent="0.2">
      <c r="A40" t="s">
        <v>731</v>
      </c>
      <c r="B40" t="s">
        <v>4716</v>
      </c>
      <c r="C40" t="s">
        <v>732</v>
      </c>
      <c r="D40" t="s">
        <v>446</v>
      </c>
      <c r="E40" t="s">
        <v>228</v>
      </c>
      <c r="F40">
        <v>22.99</v>
      </c>
      <c r="G40" t="s">
        <v>8</v>
      </c>
      <c r="H40">
        <v>0.10354422964264792</v>
      </c>
      <c r="J40">
        <v>5</v>
      </c>
      <c r="K40">
        <v>39</v>
      </c>
      <c r="L40">
        <v>525</v>
      </c>
      <c r="M40">
        <v>8.6541176470588237</v>
      </c>
      <c r="N40">
        <v>70.833333333333329</v>
      </c>
      <c r="O40">
        <v>1747</v>
      </c>
      <c r="P40">
        <v>613</v>
      </c>
    </row>
    <row r="41" spans="1:16" x14ac:dyDescent="0.2">
      <c r="A41" t="s">
        <v>34</v>
      </c>
      <c r="B41" t="s">
        <v>6520</v>
      </c>
      <c r="C41" t="s">
        <v>3004</v>
      </c>
      <c r="D41" t="s">
        <v>2987</v>
      </c>
      <c r="E41" t="s">
        <v>228</v>
      </c>
      <c r="F41">
        <v>59.99</v>
      </c>
      <c r="G41" t="s">
        <v>11</v>
      </c>
      <c r="H41">
        <v>0.50617283950617287</v>
      </c>
      <c r="M41">
        <v>1.5804878048780489</v>
      </c>
      <c r="N41">
        <v>68.333333333333329</v>
      </c>
      <c r="O41">
        <v>4439</v>
      </c>
      <c r="P41">
        <v>108</v>
      </c>
    </row>
    <row r="42" spans="1:16" x14ac:dyDescent="0.2">
      <c r="A42" t="s">
        <v>747</v>
      </c>
      <c r="B42" t="s">
        <v>4718</v>
      </c>
      <c r="C42" t="s">
        <v>748</v>
      </c>
      <c r="D42" t="s">
        <v>446</v>
      </c>
      <c r="E42" t="s">
        <v>228</v>
      </c>
      <c r="F42">
        <v>27.99</v>
      </c>
      <c r="G42" t="s">
        <v>8</v>
      </c>
      <c r="H42">
        <v>9.1822094691535155E-2</v>
      </c>
      <c r="J42">
        <v>17</v>
      </c>
      <c r="K42">
        <v>23</v>
      </c>
      <c r="L42">
        <v>657</v>
      </c>
      <c r="M42">
        <v>10.437956204379562</v>
      </c>
      <c r="N42">
        <v>68.5</v>
      </c>
      <c r="O42">
        <v>2071</v>
      </c>
      <c r="P42">
        <v>715</v>
      </c>
    </row>
    <row r="43" spans="1:16" x14ac:dyDescent="0.2">
      <c r="A43" t="s">
        <v>729</v>
      </c>
      <c r="B43" t="s">
        <v>4712</v>
      </c>
      <c r="C43" t="s">
        <v>730</v>
      </c>
      <c r="D43" t="s">
        <v>446</v>
      </c>
      <c r="E43" t="s">
        <v>228</v>
      </c>
      <c r="F43">
        <v>17.989999999999998</v>
      </c>
      <c r="G43" t="s">
        <v>8</v>
      </c>
      <c r="H43">
        <v>0.13062652068126521</v>
      </c>
      <c r="J43">
        <v>1</v>
      </c>
      <c r="K43">
        <v>23</v>
      </c>
      <c r="L43">
        <v>524</v>
      </c>
      <c r="M43">
        <v>8.2643923240938157</v>
      </c>
      <c r="N43">
        <v>78.166666666666671</v>
      </c>
      <c r="O43">
        <v>1313</v>
      </c>
      <c r="P43">
        <v>646</v>
      </c>
    </row>
    <row r="44" spans="1:16" x14ac:dyDescent="0.2">
      <c r="A44" t="s">
        <v>715</v>
      </c>
      <c r="B44" t="s">
        <v>4726</v>
      </c>
      <c r="C44" t="s">
        <v>716</v>
      </c>
      <c r="D44" t="s">
        <v>446</v>
      </c>
      <c r="E44" t="s">
        <v>228</v>
      </c>
      <c r="F44">
        <v>24.99</v>
      </c>
      <c r="G44" t="s">
        <v>7014</v>
      </c>
      <c r="H44">
        <v>6.0626702997275198E-2</v>
      </c>
      <c r="M44">
        <v>9.2521008403361353</v>
      </c>
      <c r="N44">
        <v>79.333333333333329</v>
      </c>
      <c r="O44">
        <v>1774</v>
      </c>
      <c r="P44">
        <v>734</v>
      </c>
    </row>
    <row r="45" spans="1:16" x14ac:dyDescent="0.2">
      <c r="A45" t="s">
        <v>2473</v>
      </c>
      <c r="B45" t="s">
        <v>5736</v>
      </c>
      <c r="C45" t="s">
        <v>7017</v>
      </c>
      <c r="D45" t="s">
        <v>2448</v>
      </c>
      <c r="E45" t="s">
        <v>228</v>
      </c>
      <c r="F45">
        <v>59.99</v>
      </c>
      <c r="G45" t="s">
        <v>8</v>
      </c>
      <c r="H45">
        <v>0.19663167104111989</v>
      </c>
      <c r="J45">
        <v>12</v>
      </c>
      <c r="K45">
        <v>19</v>
      </c>
      <c r="L45">
        <v>350</v>
      </c>
      <c r="M45">
        <v>4.2297650130548305</v>
      </c>
      <c r="N45">
        <v>63.833333333333336</v>
      </c>
      <c r="O45">
        <v>4259</v>
      </c>
      <c r="P45">
        <v>270</v>
      </c>
    </row>
    <row r="46" spans="1:16" x14ac:dyDescent="0.2">
      <c r="A46" t="s">
        <v>749</v>
      </c>
      <c r="B46" t="s">
        <v>4721</v>
      </c>
      <c r="C46" t="s">
        <v>750</v>
      </c>
      <c r="D46" t="s">
        <v>446</v>
      </c>
      <c r="E46" t="s">
        <v>228</v>
      </c>
      <c r="F46">
        <v>32.99</v>
      </c>
      <c r="G46" t="s">
        <v>8</v>
      </c>
      <c r="H46">
        <v>0.10030165912518854</v>
      </c>
      <c r="J46">
        <v>9</v>
      </c>
      <c r="K46">
        <v>44</v>
      </c>
      <c r="L46">
        <v>610</v>
      </c>
      <c r="M46">
        <v>10.019002375296912</v>
      </c>
      <c r="N46">
        <v>70.166666666666671</v>
      </c>
      <c r="O46">
        <v>2342</v>
      </c>
      <c r="P46">
        <v>703</v>
      </c>
    </row>
    <row r="47" spans="1:16" x14ac:dyDescent="0.2">
      <c r="A47" t="s">
        <v>882</v>
      </c>
      <c r="B47" t="s">
        <v>4887</v>
      </c>
      <c r="C47" t="s">
        <v>883</v>
      </c>
      <c r="D47" t="s">
        <v>446</v>
      </c>
      <c r="E47" t="s">
        <v>228</v>
      </c>
      <c r="F47">
        <v>99.99</v>
      </c>
      <c r="G47" t="s">
        <v>8</v>
      </c>
      <c r="H47">
        <v>0.12363519588953116</v>
      </c>
      <c r="J47">
        <v>31</v>
      </c>
      <c r="K47">
        <v>21</v>
      </c>
      <c r="L47">
        <v>467</v>
      </c>
      <c r="M47">
        <v>9.8923512747875364</v>
      </c>
      <c r="N47">
        <v>58.833333333333329</v>
      </c>
      <c r="O47">
        <v>7099</v>
      </c>
      <c r="P47">
        <v>582</v>
      </c>
    </row>
    <row r="48" spans="1:16" x14ac:dyDescent="0.2">
      <c r="A48" t="s">
        <v>944</v>
      </c>
      <c r="B48" t="s">
        <v>5128</v>
      </c>
      <c r="C48" t="s">
        <v>945</v>
      </c>
      <c r="D48" t="s">
        <v>446</v>
      </c>
      <c r="E48" t="s">
        <v>228</v>
      </c>
      <c r="F48">
        <v>39.99</v>
      </c>
      <c r="G48" t="s">
        <v>7014</v>
      </c>
      <c r="H48">
        <v>0.14212328767123289</v>
      </c>
      <c r="I48" t="s">
        <v>7015</v>
      </c>
      <c r="M48">
        <v>6.3021582733812949</v>
      </c>
      <c r="N48">
        <v>69.5</v>
      </c>
      <c r="O48">
        <v>2799</v>
      </c>
      <c r="P48">
        <v>438</v>
      </c>
    </row>
    <row r="49" spans="1:16" x14ac:dyDescent="0.2">
      <c r="A49" t="s">
        <v>898</v>
      </c>
      <c r="B49" t="s">
        <v>4890</v>
      </c>
      <c r="C49" t="s">
        <v>899</v>
      </c>
      <c r="D49" t="s">
        <v>446</v>
      </c>
      <c r="E49" t="s">
        <v>228</v>
      </c>
      <c r="F49">
        <v>39.99</v>
      </c>
      <c r="G49" t="s">
        <v>8</v>
      </c>
      <c r="H49">
        <v>0.13065245478036178</v>
      </c>
      <c r="J49">
        <v>28</v>
      </c>
      <c r="K49">
        <v>23</v>
      </c>
      <c r="L49">
        <v>465</v>
      </c>
      <c r="M49">
        <v>9.4684931506849317</v>
      </c>
      <c r="N49">
        <v>60.833333333333329</v>
      </c>
      <c r="O49">
        <v>2759</v>
      </c>
      <c r="P49">
        <v>576</v>
      </c>
    </row>
    <row r="50" spans="1:16" x14ac:dyDescent="0.2">
      <c r="A50" t="s">
        <v>699</v>
      </c>
      <c r="B50" t="s">
        <v>4750</v>
      </c>
      <c r="C50" t="s">
        <v>700</v>
      </c>
      <c r="D50" t="s">
        <v>446</v>
      </c>
      <c r="E50" t="s">
        <v>228</v>
      </c>
      <c r="F50">
        <v>79.989999999999995</v>
      </c>
      <c r="G50" t="s">
        <v>8</v>
      </c>
      <c r="H50">
        <v>7.9962546816479407E-2</v>
      </c>
      <c r="J50">
        <v>15</v>
      </c>
      <c r="K50">
        <v>21</v>
      </c>
      <c r="L50">
        <v>409</v>
      </c>
      <c r="M50">
        <v>9.0956521739130434</v>
      </c>
      <c r="N50">
        <v>57.5</v>
      </c>
      <c r="O50">
        <v>5519</v>
      </c>
      <c r="P50">
        <v>523</v>
      </c>
    </row>
    <row r="51" spans="1:16" x14ac:dyDescent="0.2">
      <c r="A51" t="s">
        <v>735</v>
      </c>
      <c r="B51" t="s">
        <v>4665</v>
      </c>
      <c r="C51" t="s">
        <v>736</v>
      </c>
      <c r="D51" t="s">
        <v>446</v>
      </c>
      <c r="E51" t="s">
        <v>228</v>
      </c>
      <c r="F51">
        <v>32.99</v>
      </c>
      <c r="G51" t="s">
        <v>8</v>
      </c>
      <c r="H51">
        <v>0.12395632626846501</v>
      </c>
      <c r="J51">
        <v>10</v>
      </c>
      <c r="K51">
        <v>40</v>
      </c>
      <c r="L51">
        <v>469</v>
      </c>
      <c r="M51">
        <v>8.7797468354430386</v>
      </c>
      <c r="N51">
        <v>65.833333333333329</v>
      </c>
      <c r="O51">
        <v>2276</v>
      </c>
      <c r="P51">
        <v>578</v>
      </c>
    </row>
    <row r="52" spans="1:16" x14ac:dyDescent="0.2">
      <c r="A52" t="s">
        <v>894</v>
      </c>
      <c r="B52" t="s">
        <v>4888</v>
      </c>
      <c r="C52" t="s">
        <v>895</v>
      </c>
      <c r="D52" t="s">
        <v>446</v>
      </c>
      <c r="E52" t="s">
        <v>228</v>
      </c>
      <c r="F52">
        <v>39.99</v>
      </c>
      <c r="G52" t="s">
        <v>8</v>
      </c>
      <c r="H52">
        <v>0.14762403913347311</v>
      </c>
      <c r="J52">
        <v>17</v>
      </c>
      <c r="K52">
        <v>31</v>
      </c>
      <c r="L52">
        <v>429</v>
      </c>
      <c r="M52">
        <v>7.5930521091811407</v>
      </c>
      <c r="N52">
        <v>67.166666666666671</v>
      </c>
      <c r="O52">
        <v>2679</v>
      </c>
      <c r="P52">
        <v>510</v>
      </c>
    </row>
    <row r="53" spans="1:16" x14ac:dyDescent="0.2">
      <c r="A53" t="s">
        <v>914</v>
      </c>
      <c r="B53" t="s">
        <v>4879</v>
      </c>
      <c r="C53" t="s">
        <v>915</v>
      </c>
      <c r="D53" t="s">
        <v>446</v>
      </c>
      <c r="E53" t="s">
        <v>228</v>
      </c>
      <c r="F53">
        <v>49.99</v>
      </c>
      <c r="G53" t="s">
        <v>8</v>
      </c>
      <c r="H53">
        <v>8.2580645161290323E-2</v>
      </c>
      <c r="J53">
        <v>9</v>
      </c>
      <c r="K53">
        <v>28</v>
      </c>
      <c r="L53">
        <v>738</v>
      </c>
      <c r="M53">
        <v>11.684964200477328</v>
      </c>
      <c r="N53">
        <v>69.833333333333329</v>
      </c>
      <c r="O53">
        <v>3249</v>
      </c>
      <c r="P53">
        <v>816</v>
      </c>
    </row>
    <row r="54" spans="1:16" x14ac:dyDescent="0.2">
      <c r="A54" t="s">
        <v>954</v>
      </c>
      <c r="B54" t="s">
        <v>5156</v>
      </c>
      <c r="C54" t="s">
        <v>955</v>
      </c>
      <c r="D54" t="s">
        <v>446</v>
      </c>
      <c r="E54" t="s">
        <v>228</v>
      </c>
      <c r="F54">
        <v>29.99</v>
      </c>
      <c r="G54" t="s">
        <v>8</v>
      </c>
      <c r="H54">
        <v>9.6550179211469522E-2</v>
      </c>
      <c r="J54">
        <v>11</v>
      </c>
      <c r="K54">
        <v>28</v>
      </c>
      <c r="L54">
        <v>705</v>
      </c>
      <c r="M54">
        <v>13.944134078212292</v>
      </c>
      <c r="N54">
        <v>59.666666666666664</v>
      </c>
      <c r="O54">
        <v>1949</v>
      </c>
      <c r="P54">
        <v>832</v>
      </c>
    </row>
    <row r="55" spans="1:16" x14ac:dyDescent="0.2">
      <c r="A55" t="s">
        <v>769</v>
      </c>
      <c r="B55" t="s">
        <v>5116</v>
      </c>
      <c r="C55" t="s">
        <v>770</v>
      </c>
      <c r="D55" t="s">
        <v>446</v>
      </c>
      <c r="E55" t="s">
        <v>228</v>
      </c>
      <c r="F55">
        <v>49.99</v>
      </c>
      <c r="G55" t="s">
        <v>7014</v>
      </c>
      <c r="H55">
        <v>0.12173784104389088</v>
      </c>
      <c r="I55" t="s">
        <v>7015</v>
      </c>
      <c r="M55">
        <v>9.0160427807486627</v>
      </c>
      <c r="N55">
        <v>62.333333333333336</v>
      </c>
      <c r="O55">
        <v>3099</v>
      </c>
      <c r="P55">
        <v>562</v>
      </c>
    </row>
    <row r="56" spans="1:16" x14ac:dyDescent="0.2">
      <c r="A56" t="s">
        <v>2669</v>
      </c>
      <c r="B56" t="s">
        <v>6211</v>
      </c>
      <c r="C56" t="s">
        <v>2670</v>
      </c>
      <c r="D56" t="s">
        <v>2502</v>
      </c>
      <c r="E56" t="s">
        <v>228</v>
      </c>
      <c r="F56">
        <v>59.99</v>
      </c>
      <c r="G56" t="s">
        <v>7014</v>
      </c>
      <c r="H56">
        <v>0.11252189141856392</v>
      </c>
      <c r="I56" t="s">
        <v>7015</v>
      </c>
      <c r="M56">
        <v>9.184986595174264</v>
      </c>
      <c r="N56">
        <v>62.166666666666664</v>
      </c>
      <c r="O56">
        <v>3659</v>
      </c>
      <c r="P56">
        <v>571</v>
      </c>
    </row>
    <row r="57" spans="1:16" x14ac:dyDescent="0.2">
      <c r="A57" t="s">
        <v>771</v>
      </c>
      <c r="B57" t="s">
        <v>5089</v>
      </c>
      <c r="C57" t="s">
        <v>772</v>
      </c>
      <c r="D57" t="s">
        <v>446</v>
      </c>
      <c r="E57" t="s">
        <v>228</v>
      </c>
      <c r="F57">
        <v>49.99</v>
      </c>
      <c r="G57" t="s">
        <v>7014</v>
      </c>
      <c r="H57">
        <v>0.13821517412935322</v>
      </c>
      <c r="I57" t="s">
        <v>7015</v>
      </c>
      <c r="M57">
        <v>8</v>
      </c>
      <c r="N57">
        <v>67</v>
      </c>
      <c r="O57">
        <v>3049</v>
      </c>
      <c r="P57">
        <v>536</v>
      </c>
    </row>
    <row r="58" spans="1:16" x14ac:dyDescent="0.2">
      <c r="A58" t="s">
        <v>745</v>
      </c>
      <c r="B58" t="s">
        <v>4666</v>
      </c>
      <c r="C58" t="s">
        <v>746</v>
      </c>
      <c r="D58" t="s">
        <v>446</v>
      </c>
      <c r="E58" t="s">
        <v>228</v>
      </c>
      <c r="F58">
        <v>29.99</v>
      </c>
      <c r="G58" t="s">
        <v>7014</v>
      </c>
      <c r="H58">
        <v>5.9360730593607303E-2</v>
      </c>
      <c r="I58" t="s">
        <v>7015</v>
      </c>
      <c r="M58">
        <v>16.528301886792452</v>
      </c>
      <c r="N58">
        <v>61.833333333333336</v>
      </c>
      <c r="O58">
        <v>1829</v>
      </c>
      <c r="P58">
        <v>1022</v>
      </c>
    </row>
    <row r="59" spans="1:16" x14ac:dyDescent="0.2">
      <c r="A59" t="s">
        <v>932</v>
      </c>
      <c r="B59" t="s">
        <v>4940</v>
      </c>
      <c r="C59" t="s">
        <v>933</v>
      </c>
      <c r="D59" t="s">
        <v>446</v>
      </c>
      <c r="E59" t="s">
        <v>228</v>
      </c>
      <c r="F59">
        <v>49.99</v>
      </c>
      <c r="G59" t="s">
        <v>8</v>
      </c>
      <c r="H59">
        <v>8.016074450084601E-2</v>
      </c>
      <c r="J59">
        <v>11</v>
      </c>
      <c r="K59">
        <v>37</v>
      </c>
      <c r="L59">
        <v>740</v>
      </c>
      <c r="M59">
        <v>14.972972972972974</v>
      </c>
      <c r="N59">
        <v>55.5</v>
      </c>
      <c r="O59">
        <v>3049</v>
      </c>
      <c r="P59">
        <v>831</v>
      </c>
    </row>
    <row r="60" spans="1:16" x14ac:dyDescent="0.2">
      <c r="A60" t="s">
        <v>2477</v>
      </c>
      <c r="B60" t="s">
        <v>5749</v>
      </c>
      <c r="C60" t="s">
        <v>7021</v>
      </c>
      <c r="D60" t="s">
        <v>2448</v>
      </c>
      <c r="E60" t="s">
        <v>228</v>
      </c>
      <c r="F60">
        <v>59.99</v>
      </c>
      <c r="G60" t="s">
        <v>7014</v>
      </c>
      <c r="H60">
        <v>9.9278398510242075E-2</v>
      </c>
      <c r="M60">
        <v>11.275590551181102</v>
      </c>
      <c r="N60">
        <v>63.5</v>
      </c>
      <c r="O60">
        <v>3539</v>
      </c>
      <c r="P60">
        <v>716</v>
      </c>
    </row>
    <row r="61" spans="1:16" x14ac:dyDescent="0.2">
      <c r="A61" t="s">
        <v>2509</v>
      </c>
      <c r="B61" t="s">
        <v>6120</v>
      </c>
      <c r="C61" t="s">
        <v>2510</v>
      </c>
      <c r="D61" t="s">
        <v>2502</v>
      </c>
      <c r="E61" t="s">
        <v>228</v>
      </c>
      <c r="F61">
        <v>169.99</v>
      </c>
      <c r="G61" t="s">
        <v>7014</v>
      </c>
      <c r="H61">
        <v>9.9571493008570128E-2</v>
      </c>
      <c r="M61">
        <v>10.193103448275862</v>
      </c>
      <c r="N61">
        <v>72.5</v>
      </c>
      <c r="O61">
        <v>9689</v>
      </c>
      <c r="P61">
        <v>739</v>
      </c>
    </row>
    <row r="62" spans="1:16" x14ac:dyDescent="0.2">
      <c r="A62" t="s">
        <v>505</v>
      </c>
      <c r="B62" t="s">
        <v>4925</v>
      </c>
      <c r="C62" t="s">
        <v>506</v>
      </c>
      <c r="D62" t="s">
        <v>446</v>
      </c>
      <c r="E62" t="s">
        <v>228</v>
      </c>
      <c r="F62">
        <v>39.99</v>
      </c>
      <c r="G62" t="s">
        <v>8</v>
      </c>
      <c r="H62">
        <v>3.1491228070175438E-2</v>
      </c>
      <c r="J62">
        <v>64</v>
      </c>
      <c r="K62">
        <v>101</v>
      </c>
      <c r="L62">
        <v>1735</v>
      </c>
      <c r="M62">
        <v>36.871621621621621</v>
      </c>
      <c r="N62">
        <v>49.333333333333336</v>
      </c>
      <c r="O62">
        <v>2279</v>
      </c>
      <c r="P62">
        <v>1819</v>
      </c>
    </row>
    <row r="63" spans="1:16" x14ac:dyDescent="0.2">
      <c r="A63" t="s">
        <v>2475</v>
      </c>
      <c r="B63" t="s">
        <v>5739</v>
      </c>
      <c r="C63" t="s">
        <v>7016</v>
      </c>
      <c r="D63" t="s">
        <v>2448</v>
      </c>
      <c r="E63" t="s">
        <v>228</v>
      </c>
      <c r="F63">
        <v>59.99</v>
      </c>
      <c r="G63" t="s">
        <v>8</v>
      </c>
      <c r="H63">
        <v>9.0909090909090912E-2</v>
      </c>
      <c r="J63">
        <v>3</v>
      </c>
      <c r="K63">
        <v>143</v>
      </c>
      <c r="L63">
        <v>459</v>
      </c>
      <c r="M63">
        <v>9.9864406779661028</v>
      </c>
      <c r="N63">
        <v>49.166666666666664</v>
      </c>
      <c r="O63">
        <v>3359</v>
      </c>
      <c r="P63">
        <v>491</v>
      </c>
    </row>
    <row r="64" spans="1:16" x14ac:dyDescent="0.2">
      <c r="A64" t="s">
        <v>733</v>
      </c>
      <c r="B64" t="s">
        <v>4663</v>
      </c>
      <c r="C64" t="s">
        <v>734</v>
      </c>
      <c r="D64" t="s">
        <v>446</v>
      </c>
      <c r="E64" t="s">
        <v>228</v>
      </c>
      <c r="F64">
        <v>27.99</v>
      </c>
      <c r="G64" t="s">
        <v>8</v>
      </c>
      <c r="H64">
        <v>9.4570538495772141E-2</v>
      </c>
      <c r="J64">
        <v>12</v>
      </c>
      <c r="K64">
        <v>36</v>
      </c>
      <c r="L64">
        <v>701</v>
      </c>
      <c r="M64">
        <v>13.624664879356569</v>
      </c>
      <c r="N64">
        <v>62.166666666666664</v>
      </c>
      <c r="O64">
        <v>1567</v>
      </c>
      <c r="P64">
        <v>847</v>
      </c>
    </row>
    <row r="65" spans="1:16" x14ac:dyDescent="0.2">
      <c r="A65" t="s">
        <v>701</v>
      </c>
      <c r="B65" t="s">
        <v>4752</v>
      </c>
      <c r="C65" t="s">
        <v>702</v>
      </c>
      <c r="D65" t="s">
        <v>446</v>
      </c>
      <c r="E65" t="s">
        <v>228</v>
      </c>
      <c r="F65">
        <v>79.989999999999995</v>
      </c>
      <c r="G65" t="s">
        <v>8</v>
      </c>
      <c r="H65">
        <v>8.1932773109243698E-2</v>
      </c>
      <c r="J65">
        <v>12</v>
      </c>
      <c r="K65">
        <v>40</v>
      </c>
      <c r="L65">
        <v>424</v>
      </c>
      <c r="M65">
        <v>10.95483870967742</v>
      </c>
      <c r="N65">
        <v>51.666666666666664</v>
      </c>
      <c r="O65">
        <v>4479</v>
      </c>
      <c r="P65">
        <v>566</v>
      </c>
    </row>
    <row r="66" spans="1:16" x14ac:dyDescent="0.2">
      <c r="A66" t="s">
        <v>2487</v>
      </c>
      <c r="B66" t="s">
        <v>5752</v>
      </c>
      <c r="C66" t="s">
        <v>2488</v>
      </c>
      <c r="D66" t="s">
        <v>2448</v>
      </c>
      <c r="E66" t="s">
        <v>228</v>
      </c>
      <c r="F66">
        <v>59.99</v>
      </c>
      <c r="G66" t="s">
        <v>7014</v>
      </c>
      <c r="H66">
        <v>9.2454394693200659E-2</v>
      </c>
      <c r="M66">
        <v>12.43298969072165</v>
      </c>
      <c r="N66">
        <v>48.5</v>
      </c>
      <c r="O66">
        <v>3299</v>
      </c>
      <c r="P66">
        <v>603</v>
      </c>
    </row>
    <row r="67" spans="1:16" x14ac:dyDescent="0.2">
      <c r="A67" t="s">
        <v>2713</v>
      </c>
      <c r="B67" t="s">
        <v>6297</v>
      </c>
      <c r="C67" t="s">
        <v>2714</v>
      </c>
      <c r="D67" t="s">
        <v>2502</v>
      </c>
      <c r="E67" t="s">
        <v>228</v>
      </c>
      <c r="F67">
        <v>19.989999999999998</v>
      </c>
      <c r="G67" t="s">
        <v>7014</v>
      </c>
      <c r="H67">
        <v>0.12543493389004873</v>
      </c>
      <c r="I67" t="s">
        <v>7015</v>
      </c>
      <c r="M67">
        <v>8.1880341880341874</v>
      </c>
      <c r="N67">
        <v>58.5</v>
      </c>
      <c r="O67">
        <v>1059</v>
      </c>
      <c r="P67">
        <v>479</v>
      </c>
    </row>
    <row r="68" spans="1:16" x14ac:dyDescent="0.2">
      <c r="A68" t="s">
        <v>765</v>
      </c>
      <c r="B68" t="s">
        <v>5036</v>
      </c>
      <c r="C68" t="s">
        <v>766</v>
      </c>
      <c r="D68" t="s">
        <v>446</v>
      </c>
      <c r="E68" t="s">
        <v>228</v>
      </c>
      <c r="F68">
        <v>39.99</v>
      </c>
      <c r="G68" t="s">
        <v>7014</v>
      </c>
      <c r="H68">
        <v>0.12983539094650207</v>
      </c>
      <c r="I68" t="s">
        <v>7015</v>
      </c>
      <c r="M68">
        <v>7.1893491124260356</v>
      </c>
      <c r="N68">
        <v>56.333333333333336</v>
      </c>
      <c r="O68">
        <v>2119</v>
      </c>
      <c r="P68">
        <v>405</v>
      </c>
    </row>
    <row r="69" spans="1:16" x14ac:dyDescent="0.2">
      <c r="A69" t="s">
        <v>3295</v>
      </c>
      <c r="B69" t="s">
        <v>6989</v>
      </c>
      <c r="C69" t="s">
        <v>3296</v>
      </c>
      <c r="D69" t="s">
        <v>3268</v>
      </c>
      <c r="E69" t="s">
        <v>228</v>
      </c>
      <c r="F69">
        <v>199.99</v>
      </c>
      <c r="G69" t="s">
        <v>7014</v>
      </c>
      <c r="H69">
        <v>0.11876484560570072</v>
      </c>
      <c r="I69" t="s">
        <v>7015</v>
      </c>
      <c r="M69">
        <v>7.4733727810650885</v>
      </c>
      <c r="N69">
        <v>56.333333333333336</v>
      </c>
      <c r="O69">
        <v>10599</v>
      </c>
      <c r="P69">
        <v>421</v>
      </c>
    </row>
    <row r="70" spans="1:16" x14ac:dyDescent="0.2">
      <c r="A70" t="s">
        <v>755</v>
      </c>
      <c r="B70" t="s">
        <v>5063</v>
      </c>
      <c r="C70" t="s">
        <v>756</v>
      </c>
      <c r="D70" t="s">
        <v>446</v>
      </c>
      <c r="E70" t="s">
        <v>228</v>
      </c>
      <c r="F70">
        <v>49.99</v>
      </c>
      <c r="G70" t="s">
        <v>7014</v>
      </c>
      <c r="H70">
        <v>0.10541813898704358</v>
      </c>
      <c r="I70" t="s">
        <v>7015</v>
      </c>
      <c r="M70">
        <v>9.129032258064516</v>
      </c>
      <c r="N70">
        <v>62</v>
      </c>
      <c r="O70">
        <v>2599</v>
      </c>
      <c r="P70">
        <v>566</v>
      </c>
    </row>
    <row r="71" spans="1:16" x14ac:dyDescent="0.2">
      <c r="A71" t="s">
        <v>741</v>
      </c>
      <c r="B71" t="s">
        <v>4670</v>
      </c>
      <c r="C71" t="s">
        <v>742</v>
      </c>
      <c r="D71" t="s">
        <v>446</v>
      </c>
      <c r="E71" t="s">
        <v>228</v>
      </c>
      <c r="F71">
        <v>49.99</v>
      </c>
      <c r="G71" t="s">
        <v>7014</v>
      </c>
      <c r="H71">
        <v>5.2840158520475571E-2</v>
      </c>
      <c r="I71" t="s">
        <v>7015</v>
      </c>
      <c r="M71">
        <v>18.538775510204079</v>
      </c>
      <c r="N71">
        <v>40.833333333333336</v>
      </c>
      <c r="O71">
        <v>2549</v>
      </c>
      <c r="P71">
        <v>757</v>
      </c>
    </row>
    <row r="72" spans="1:16" x14ac:dyDescent="0.2">
      <c r="A72" t="s">
        <v>787</v>
      </c>
      <c r="B72" t="s">
        <v>5030</v>
      </c>
      <c r="C72" t="s">
        <v>788</v>
      </c>
      <c r="D72" t="s">
        <v>446</v>
      </c>
      <c r="E72" t="s">
        <v>228</v>
      </c>
      <c r="F72">
        <v>44.99</v>
      </c>
      <c r="G72" t="s">
        <v>7014</v>
      </c>
      <c r="H72">
        <v>0.13631221719457012</v>
      </c>
      <c r="I72" t="s">
        <v>7015</v>
      </c>
      <c r="M72">
        <v>8.2105263157894726</v>
      </c>
      <c r="N72">
        <v>53.833333333333336</v>
      </c>
      <c r="O72">
        <v>2294</v>
      </c>
      <c r="P72">
        <v>442</v>
      </c>
    </row>
    <row r="73" spans="1:16" x14ac:dyDescent="0.2">
      <c r="A73" t="s">
        <v>2687</v>
      </c>
      <c r="B73" t="s">
        <v>6227</v>
      </c>
      <c r="C73" t="s">
        <v>2688</v>
      </c>
      <c r="D73" t="s">
        <v>2502</v>
      </c>
      <c r="E73" t="s">
        <v>228</v>
      </c>
      <c r="F73">
        <v>159.99</v>
      </c>
      <c r="G73" t="s">
        <v>7014</v>
      </c>
      <c r="H73">
        <v>6.7733990147783252E-2</v>
      </c>
      <c r="I73" t="s">
        <v>7015</v>
      </c>
      <c r="M73">
        <v>13.239130434782609</v>
      </c>
      <c r="N73">
        <v>15.333333333333332</v>
      </c>
      <c r="O73">
        <v>8000</v>
      </c>
      <c r="P73">
        <v>203</v>
      </c>
    </row>
    <row r="74" spans="1:16" x14ac:dyDescent="0.2">
      <c r="A74" t="s">
        <v>667</v>
      </c>
      <c r="B74" t="s">
        <v>4885</v>
      </c>
      <c r="C74" t="s">
        <v>668</v>
      </c>
      <c r="D74" t="s">
        <v>446</v>
      </c>
      <c r="E74" t="s">
        <v>228</v>
      </c>
      <c r="F74">
        <v>139.99</v>
      </c>
      <c r="G74" t="s">
        <v>8</v>
      </c>
      <c r="H74">
        <v>0.10550628233555064</v>
      </c>
      <c r="J74">
        <v>29</v>
      </c>
      <c r="K74">
        <v>39</v>
      </c>
      <c r="L74">
        <v>383</v>
      </c>
      <c r="M74">
        <v>9.4947368421052634</v>
      </c>
      <c r="N74">
        <v>47.5</v>
      </c>
      <c r="O74">
        <v>7000</v>
      </c>
      <c r="P74">
        <v>451</v>
      </c>
    </row>
    <row r="75" spans="1:16" x14ac:dyDescent="0.2">
      <c r="A75" t="s">
        <v>775</v>
      </c>
      <c r="B75" t="s">
        <v>5033</v>
      </c>
      <c r="C75" t="s">
        <v>776</v>
      </c>
      <c r="D75" t="s">
        <v>446</v>
      </c>
      <c r="E75" t="s">
        <v>228</v>
      </c>
      <c r="F75">
        <v>34.99</v>
      </c>
      <c r="G75" t="s">
        <v>7014</v>
      </c>
      <c r="H75">
        <v>0.11137254901960784</v>
      </c>
      <c r="I75" t="s">
        <v>7015</v>
      </c>
      <c r="M75">
        <v>9.5864661654135332</v>
      </c>
      <c r="N75">
        <v>44.333333333333336</v>
      </c>
      <c r="O75">
        <v>1680</v>
      </c>
      <c r="P75">
        <v>425</v>
      </c>
    </row>
    <row r="76" spans="1:16" x14ac:dyDescent="0.2">
      <c r="A76" t="s">
        <v>757</v>
      </c>
      <c r="B76" t="s">
        <v>5060</v>
      </c>
      <c r="C76" t="s">
        <v>758</v>
      </c>
      <c r="D76" t="s">
        <v>446</v>
      </c>
      <c r="E76" t="s">
        <v>228</v>
      </c>
      <c r="F76">
        <v>49.99</v>
      </c>
      <c r="G76" t="s">
        <v>7014</v>
      </c>
      <c r="H76">
        <v>8.9695841092489126E-2</v>
      </c>
      <c r="I76" t="s">
        <v>7015</v>
      </c>
      <c r="M76">
        <v>10.598684210526317</v>
      </c>
      <c r="N76">
        <v>50.666666666666664</v>
      </c>
      <c r="O76">
        <v>2400</v>
      </c>
      <c r="P76">
        <v>537</v>
      </c>
    </row>
    <row r="77" spans="1:16" x14ac:dyDescent="0.2">
      <c r="A77" t="s">
        <v>689</v>
      </c>
      <c r="B77" t="s">
        <v>5081</v>
      </c>
      <c r="C77" t="s">
        <v>690</v>
      </c>
      <c r="D77" t="s">
        <v>446</v>
      </c>
      <c r="E77" t="s">
        <v>228</v>
      </c>
      <c r="F77">
        <v>59.99</v>
      </c>
      <c r="G77" t="s">
        <v>7014</v>
      </c>
      <c r="H77">
        <v>7.8447794528196543E-2</v>
      </c>
      <c r="I77" t="s">
        <v>7015</v>
      </c>
      <c r="M77">
        <v>12.978260869565217</v>
      </c>
      <c r="N77">
        <v>46</v>
      </c>
      <c r="O77">
        <v>2880</v>
      </c>
      <c r="P77">
        <v>597</v>
      </c>
    </row>
    <row r="78" spans="1:16" x14ac:dyDescent="0.2">
      <c r="A78" t="s">
        <v>703</v>
      </c>
      <c r="B78" t="s">
        <v>4751</v>
      </c>
      <c r="C78" t="s">
        <v>704</v>
      </c>
      <c r="D78" t="s">
        <v>446</v>
      </c>
      <c r="E78" t="s">
        <v>228</v>
      </c>
      <c r="F78">
        <v>79.989999999999995</v>
      </c>
      <c r="G78" t="s">
        <v>8</v>
      </c>
      <c r="H78">
        <v>5.9095452273863064E-2</v>
      </c>
      <c r="J78">
        <v>8</v>
      </c>
      <c r="K78">
        <v>29</v>
      </c>
      <c r="L78">
        <v>630</v>
      </c>
      <c r="M78">
        <v>22.601036269430054</v>
      </c>
      <c r="N78">
        <v>32.166666666666664</v>
      </c>
      <c r="O78">
        <v>3840</v>
      </c>
      <c r="P78">
        <v>727</v>
      </c>
    </row>
    <row r="79" spans="1:16" x14ac:dyDescent="0.2">
      <c r="A79" t="s">
        <v>707</v>
      </c>
      <c r="B79" t="s">
        <v>5172</v>
      </c>
      <c r="C79" t="s">
        <v>708</v>
      </c>
      <c r="D79" t="s">
        <v>446</v>
      </c>
      <c r="E79" t="s">
        <v>228</v>
      </c>
      <c r="F79">
        <v>69.989999999999995</v>
      </c>
      <c r="G79" t="s">
        <v>8</v>
      </c>
      <c r="H79">
        <v>5.614344503233392E-2</v>
      </c>
      <c r="J79">
        <v>54</v>
      </c>
      <c r="K79">
        <v>8</v>
      </c>
      <c r="L79">
        <v>505</v>
      </c>
      <c r="M79">
        <v>15.4</v>
      </c>
      <c r="N79">
        <v>35</v>
      </c>
      <c r="O79">
        <v>3290</v>
      </c>
      <c r="P79">
        <v>539</v>
      </c>
    </row>
    <row r="80" spans="1:16" x14ac:dyDescent="0.2">
      <c r="A80" t="s">
        <v>451</v>
      </c>
      <c r="B80" t="s">
        <v>4791</v>
      </c>
      <c r="C80" t="s">
        <v>452</v>
      </c>
      <c r="D80" t="s">
        <v>446</v>
      </c>
      <c r="E80" t="s">
        <v>228</v>
      </c>
      <c r="F80">
        <v>59.99</v>
      </c>
      <c r="G80" t="s">
        <v>8</v>
      </c>
      <c r="H80">
        <v>4.7756410256410253E-2</v>
      </c>
      <c r="J80">
        <v>0</v>
      </c>
      <c r="K80">
        <v>44</v>
      </c>
      <c r="L80">
        <v>476</v>
      </c>
      <c r="M80">
        <v>21.151898734177216</v>
      </c>
      <c r="N80">
        <v>26.333333333333332</v>
      </c>
      <c r="O80">
        <v>2820</v>
      </c>
      <c r="P80">
        <v>557</v>
      </c>
    </row>
    <row r="81" spans="1:16" x14ac:dyDescent="0.2">
      <c r="A81" t="s">
        <v>948</v>
      </c>
      <c r="B81" t="s">
        <v>5131</v>
      </c>
      <c r="C81" t="s">
        <v>949</v>
      </c>
      <c r="D81" t="s">
        <v>446</v>
      </c>
      <c r="E81" t="s">
        <v>228</v>
      </c>
      <c r="F81">
        <v>34.99</v>
      </c>
      <c r="G81" t="s">
        <v>7014</v>
      </c>
      <c r="H81">
        <v>0.11620016963528414</v>
      </c>
      <c r="I81" t="s">
        <v>7015</v>
      </c>
      <c r="M81">
        <v>8.4820143884892083</v>
      </c>
      <c r="N81">
        <v>46.333333333333336</v>
      </c>
      <c r="O81">
        <v>1610</v>
      </c>
      <c r="P81">
        <v>393</v>
      </c>
    </row>
    <row r="82" spans="1:16" x14ac:dyDescent="0.2">
      <c r="A82" t="s">
        <v>2569</v>
      </c>
      <c r="B82" t="s">
        <v>5981</v>
      </c>
      <c r="C82" t="s">
        <v>2570</v>
      </c>
      <c r="D82" t="s">
        <v>2502</v>
      </c>
      <c r="E82" t="s">
        <v>228</v>
      </c>
      <c r="F82">
        <v>39.99</v>
      </c>
      <c r="G82" t="s">
        <v>8</v>
      </c>
      <c r="H82">
        <v>0.13843201754385967</v>
      </c>
      <c r="J82">
        <v>4</v>
      </c>
      <c r="K82">
        <v>39</v>
      </c>
      <c r="L82">
        <v>261</v>
      </c>
      <c r="M82">
        <v>7.8672199170124468</v>
      </c>
      <c r="N82">
        <v>40.166666666666671</v>
      </c>
      <c r="O82">
        <v>1840</v>
      </c>
      <c r="P82">
        <v>316</v>
      </c>
    </row>
    <row r="83" spans="1:16" x14ac:dyDescent="0.2">
      <c r="A83" t="s">
        <v>2561</v>
      </c>
      <c r="B83" t="s">
        <v>97</v>
      </c>
      <c r="C83" t="s">
        <v>2562</v>
      </c>
      <c r="D83" t="s">
        <v>2502</v>
      </c>
      <c r="E83" t="s">
        <v>228</v>
      </c>
      <c r="F83">
        <v>17.989999999999998</v>
      </c>
      <c r="G83" t="s">
        <v>14</v>
      </c>
      <c r="H83">
        <v>8.3467309753483376E-2</v>
      </c>
      <c r="M83">
        <v>11.518518518518519</v>
      </c>
      <c r="N83">
        <v>54</v>
      </c>
      <c r="O83">
        <v>810</v>
      </c>
      <c r="P83">
        <v>622</v>
      </c>
    </row>
    <row r="84" spans="1:16" x14ac:dyDescent="0.2">
      <c r="A84" t="s">
        <v>34</v>
      </c>
      <c r="B84" t="s">
        <v>6523</v>
      </c>
      <c r="C84" t="s">
        <v>3004</v>
      </c>
      <c r="D84" t="s">
        <v>2987</v>
      </c>
      <c r="E84" t="s">
        <v>228</v>
      </c>
      <c r="F84">
        <v>59.99</v>
      </c>
      <c r="G84" t="s">
        <v>8</v>
      </c>
      <c r="H84">
        <v>9.6741854636591476E-2</v>
      </c>
      <c r="J84">
        <v>12</v>
      </c>
      <c r="K84">
        <v>44</v>
      </c>
      <c r="L84">
        <v>609</v>
      </c>
      <c r="M84">
        <v>13.21259842519685</v>
      </c>
      <c r="N84">
        <v>63.5</v>
      </c>
      <c r="O84">
        <v>2700</v>
      </c>
      <c r="P84">
        <v>839</v>
      </c>
    </row>
    <row r="85" spans="1:16" x14ac:dyDescent="0.2">
      <c r="A85" t="s">
        <v>900</v>
      </c>
      <c r="B85" t="s">
        <v>4889</v>
      </c>
      <c r="C85" t="s">
        <v>901</v>
      </c>
      <c r="D85" t="s">
        <v>446</v>
      </c>
      <c r="E85" t="s">
        <v>228</v>
      </c>
      <c r="F85">
        <v>39.99</v>
      </c>
      <c r="G85" t="s">
        <v>8</v>
      </c>
      <c r="H85">
        <v>0.13274336283185842</v>
      </c>
      <c r="J85">
        <v>12</v>
      </c>
      <c r="K85">
        <v>24</v>
      </c>
      <c r="L85">
        <v>303</v>
      </c>
      <c r="M85">
        <v>8.76</v>
      </c>
      <c r="N85">
        <v>41.666666666666664</v>
      </c>
      <c r="O85">
        <v>1800</v>
      </c>
      <c r="P85">
        <v>365</v>
      </c>
    </row>
    <row r="86" spans="1:16" x14ac:dyDescent="0.2">
      <c r="A86" t="s">
        <v>665</v>
      </c>
      <c r="B86" t="s">
        <v>4886</v>
      </c>
      <c r="C86" t="s">
        <v>666</v>
      </c>
      <c r="D86" t="s">
        <v>446</v>
      </c>
      <c r="E86" t="s">
        <v>228</v>
      </c>
      <c r="F86">
        <v>139.99</v>
      </c>
      <c r="G86" t="s">
        <v>8</v>
      </c>
      <c r="H86">
        <v>0.10178843226788432</v>
      </c>
      <c r="J86">
        <v>25</v>
      </c>
      <c r="K86">
        <v>20</v>
      </c>
      <c r="L86">
        <v>393</v>
      </c>
      <c r="M86">
        <v>13.113122171945701</v>
      </c>
      <c r="N86">
        <v>36.833333333333336</v>
      </c>
      <c r="O86">
        <v>6160</v>
      </c>
      <c r="P86">
        <v>483</v>
      </c>
    </row>
    <row r="87" spans="1:16" x14ac:dyDescent="0.2">
      <c r="A87" t="s">
        <v>471</v>
      </c>
      <c r="B87" t="s">
        <v>4802</v>
      </c>
      <c r="C87" t="s">
        <v>472</v>
      </c>
      <c r="D87" t="s">
        <v>446</v>
      </c>
      <c r="E87" t="s">
        <v>228</v>
      </c>
      <c r="F87">
        <v>79.989999999999995</v>
      </c>
      <c r="G87" t="s">
        <v>8</v>
      </c>
      <c r="H87">
        <v>5.6461932181701854E-2</v>
      </c>
      <c r="J87">
        <v>2</v>
      </c>
      <c r="K87">
        <v>57</v>
      </c>
      <c r="L87">
        <v>462</v>
      </c>
      <c r="M87">
        <v>22.52</v>
      </c>
      <c r="N87">
        <v>25</v>
      </c>
      <c r="O87">
        <v>3520</v>
      </c>
      <c r="P87">
        <v>563</v>
      </c>
    </row>
    <row r="88" spans="1:16" x14ac:dyDescent="0.2">
      <c r="A88" t="s">
        <v>751</v>
      </c>
      <c r="B88" t="s">
        <v>4668</v>
      </c>
      <c r="C88" t="s">
        <v>752</v>
      </c>
      <c r="D88" t="s">
        <v>446</v>
      </c>
      <c r="E88" t="s">
        <v>228</v>
      </c>
      <c r="F88">
        <v>29.99</v>
      </c>
      <c r="G88" t="s">
        <v>7014</v>
      </c>
      <c r="H88">
        <v>4.1443850267379678E-2</v>
      </c>
      <c r="I88" t="s">
        <v>7015</v>
      </c>
      <c r="M88">
        <v>25.044642857142854</v>
      </c>
      <c r="N88">
        <v>37.333333333333336</v>
      </c>
      <c r="O88">
        <v>1290</v>
      </c>
      <c r="P88">
        <v>935</v>
      </c>
    </row>
    <row r="89" spans="1:16" x14ac:dyDescent="0.2">
      <c r="A89" t="s">
        <v>639</v>
      </c>
      <c r="B89" t="s">
        <v>5000</v>
      </c>
      <c r="C89" t="s">
        <v>640</v>
      </c>
      <c r="D89" t="s">
        <v>446</v>
      </c>
      <c r="E89" t="s">
        <v>228</v>
      </c>
      <c r="F89">
        <v>119.99</v>
      </c>
      <c r="G89" t="s">
        <v>7014</v>
      </c>
      <c r="H89">
        <v>0.10867579908675798</v>
      </c>
      <c r="I89" t="s">
        <v>7015</v>
      </c>
      <c r="M89">
        <v>10.092165898617512</v>
      </c>
      <c r="N89">
        <v>36.166666666666664</v>
      </c>
      <c r="O89">
        <v>5040</v>
      </c>
      <c r="P89">
        <v>365</v>
      </c>
    </row>
    <row r="90" spans="1:16" x14ac:dyDescent="0.2">
      <c r="A90" t="s">
        <v>753</v>
      </c>
      <c r="B90" t="s">
        <v>4728</v>
      </c>
      <c r="C90" t="s">
        <v>754</v>
      </c>
      <c r="D90" t="s">
        <v>446</v>
      </c>
      <c r="E90" t="s">
        <v>228</v>
      </c>
      <c r="F90">
        <v>39.99</v>
      </c>
      <c r="G90" t="s">
        <v>7014</v>
      </c>
      <c r="H90">
        <v>3.5981308411214954E-2</v>
      </c>
      <c r="M90">
        <v>16.294416243654823</v>
      </c>
      <c r="N90">
        <v>32.833333333333336</v>
      </c>
      <c r="O90">
        <v>1640</v>
      </c>
      <c r="P90">
        <v>535</v>
      </c>
    </row>
    <row r="91" spans="1:16" x14ac:dyDescent="0.2">
      <c r="A91" t="s">
        <v>641</v>
      </c>
      <c r="B91" t="s">
        <v>4982</v>
      </c>
      <c r="C91" t="s">
        <v>642</v>
      </c>
      <c r="D91" t="s">
        <v>446</v>
      </c>
      <c r="E91" t="s">
        <v>228</v>
      </c>
      <c r="F91">
        <v>69.989999999999995</v>
      </c>
      <c r="G91" t="s">
        <v>7014</v>
      </c>
      <c r="H91">
        <v>0.13411458333333334</v>
      </c>
      <c r="I91" t="s">
        <v>7015</v>
      </c>
      <c r="M91">
        <v>7.68</v>
      </c>
      <c r="N91">
        <v>50</v>
      </c>
      <c r="O91">
        <v>2870</v>
      </c>
      <c r="P91">
        <v>384</v>
      </c>
    </row>
    <row r="92" spans="1:16" x14ac:dyDescent="0.2">
      <c r="A92" t="s">
        <v>3023</v>
      </c>
      <c r="B92" t="s">
        <v>6650</v>
      </c>
      <c r="C92" t="s">
        <v>3024</v>
      </c>
      <c r="D92" t="s">
        <v>2987</v>
      </c>
      <c r="E92" t="s">
        <v>228</v>
      </c>
      <c r="F92">
        <v>89.99</v>
      </c>
      <c r="G92" t="s">
        <v>8</v>
      </c>
      <c r="H92">
        <v>8.6826347305389226E-2</v>
      </c>
      <c r="J92">
        <v>0</v>
      </c>
      <c r="K92">
        <v>30</v>
      </c>
      <c r="L92">
        <v>471</v>
      </c>
      <c r="M92">
        <v>14.460829493087559</v>
      </c>
      <c r="N92">
        <v>36.166666666666664</v>
      </c>
      <c r="O92">
        <v>3690</v>
      </c>
      <c r="P92">
        <v>523</v>
      </c>
    </row>
    <row r="93" spans="1:16" x14ac:dyDescent="0.2">
      <c r="A93" t="s">
        <v>2483</v>
      </c>
      <c r="B93" t="s">
        <v>5743</v>
      </c>
      <c r="C93" t="s">
        <v>2484</v>
      </c>
      <c r="D93" t="s">
        <v>2448</v>
      </c>
      <c r="E93" t="s">
        <v>228</v>
      </c>
      <c r="F93">
        <v>59.99</v>
      </c>
      <c r="G93" t="s">
        <v>7014</v>
      </c>
      <c r="H93">
        <v>8.1304112554112559E-2</v>
      </c>
      <c r="M93">
        <v>14.963562753036438</v>
      </c>
      <c r="N93">
        <v>41.166666666666664</v>
      </c>
      <c r="O93">
        <v>2400</v>
      </c>
      <c r="P93">
        <v>616</v>
      </c>
    </row>
    <row r="94" spans="1:16" x14ac:dyDescent="0.2">
      <c r="A94" t="s">
        <v>763</v>
      </c>
      <c r="B94" t="s">
        <v>5072</v>
      </c>
      <c r="C94" t="s">
        <v>7022</v>
      </c>
      <c r="D94" t="s">
        <v>446</v>
      </c>
      <c r="E94" t="s">
        <v>228</v>
      </c>
      <c r="F94">
        <v>39.99</v>
      </c>
      <c r="G94" t="s">
        <v>7014</v>
      </c>
      <c r="H94">
        <v>8.8874680306905374E-2</v>
      </c>
      <c r="I94" t="s">
        <v>7015</v>
      </c>
      <c r="M94">
        <v>11.333333333333334</v>
      </c>
      <c r="N94">
        <v>34.5</v>
      </c>
      <c r="O94">
        <v>1600</v>
      </c>
      <c r="P94">
        <v>391</v>
      </c>
    </row>
    <row r="95" spans="1:16" x14ac:dyDescent="0.2">
      <c r="A95" t="s">
        <v>771</v>
      </c>
      <c r="B95" t="s">
        <v>5091</v>
      </c>
      <c r="C95" t="s">
        <v>772</v>
      </c>
      <c r="D95" t="s">
        <v>446</v>
      </c>
      <c r="E95" t="s">
        <v>228</v>
      </c>
      <c r="F95">
        <v>49.99</v>
      </c>
      <c r="G95" t="s">
        <v>8</v>
      </c>
      <c r="H95">
        <v>5.0460636515912899E-2</v>
      </c>
      <c r="J95">
        <v>3</v>
      </c>
      <c r="K95">
        <v>20</v>
      </c>
      <c r="L95">
        <v>773</v>
      </c>
      <c r="M95">
        <v>22.911504424778762</v>
      </c>
      <c r="N95">
        <v>37.666666666666664</v>
      </c>
      <c r="O95">
        <v>2000</v>
      </c>
      <c r="P95">
        <v>863</v>
      </c>
    </row>
    <row r="96" spans="1:16" x14ac:dyDescent="0.2">
      <c r="A96" t="s">
        <v>463</v>
      </c>
      <c r="B96" t="s">
        <v>4756</v>
      </c>
      <c r="C96" t="s">
        <v>464</v>
      </c>
      <c r="D96" t="s">
        <v>446</v>
      </c>
      <c r="E96" t="s">
        <v>228</v>
      </c>
      <c r="F96">
        <v>19.989999999999998</v>
      </c>
      <c r="G96" t="s">
        <v>8</v>
      </c>
      <c r="H96">
        <v>5.4027113237639549E-2</v>
      </c>
      <c r="J96">
        <v>11</v>
      </c>
      <c r="K96">
        <v>40</v>
      </c>
      <c r="L96">
        <v>785</v>
      </c>
      <c r="M96">
        <v>19.019305019305019</v>
      </c>
      <c r="N96">
        <v>43.166666666666664</v>
      </c>
      <c r="O96">
        <v>800</v>
      </c>
      <c r="P96">
        <v>821</v>
      </c>
    </row>
    <row r="97" spans="1:16" x14ac:dyDescent="0.2">
      <c r="A97" t="s">
        <v>761</v>
      </c>
      <c r="B97" t="s">
        <v>5075</v>
      </c>
      <c r="C97" t="s">
        <v>7023</v>
      </c>
      <c r="D97" t="s">
        <v>446</v>
      </c>
      <c r="E97" t="s">
        <v>228</v>
      </c>
      <c r="F97">
        <v>39.99</v>
      </c>
      <c r="G97" t="s">
        <v>7014</v>
      </c>
      <c r="H97">
        <v>0.10291666666666666</v>
      </c>
      <c r="I97" t="s">
        <v>7015</v>
      </c>
      <c r="M97">
        <v>9.5617529880478074</v>
      </c>
      <c r="N97">
        <v>41.833333333333336</v>
      </c>
      <c r="O97">
        <v>1560</v>
      </c>
      <c r="P97">
        <v>400</v>
      </c>
    </row>
    <row r="98" spans="1:16" x14ac:dyDescent="0.2">
      <c r="A98" t="s">
        <v>717</v>
      </c>
      <c r="B98" t="s">
        <v>4727</v>
      </c>
      <c r="C98" t="s">
        <v>718</v>
      </c>
      <c r="D98" t="s">
        <v>446</v>
      </c>
      <c r="E98" t="s">
        <v>228</v>
      </c>
      <c r="F98">
        <v>29.99</v>
      </c>
      <c r="G98" t="s">
        <v>7014</v>
      </c>
      <c r="H98">
        <v>3.6839430894308946E-2</v>
      </c>
      <c r="M98">
        <v>14.741573033707866</v>
      </c>
      <c r="N98">
        <v>44.5</v>
      </c>
      <c r="O98">
        <v>1170</v>
      </c>
      <c r="P98">
        <v>656</v>
      </c>
    </row>
    <row r="99" spans="1:16" x14ac:dyDescent="0.2">
      <c r="A99" t="s">
        <v>643</v>
      </c>
      <c r="B99" t="s">
        <v>4975</v>
      </c>
      <c r="C99" t="s">
        <v>644</v>
      </c>
      <c r="D99" t="s">
        <v>446</v>
      </c>
      <c r="E99" t="s">
        <v>228</v>
      </c>
      <c r="F99">
        <v>99.99</v>
      </c>
      <c r="G99" t="s">
        <v>7014</v>
      </c>
      <c r="H99">
        <v>0.12179487179487181</v>
      </c>
      <c r="I99" t="s">
        <v>7015</v>
      </c>
      <c r="M99">
        <v>10.323529411764707</v>
      </c>
      <c r="N99">
        <v>34</v>
      </c>
      <c r="O99">
        <v>3900</v>
      </c>
      <c r="P99">
        <v>351</v>
      </c>
    </row>
    <row r="100" spans="1:16" x14ac:dyDescent="0.2">
      <c r="A100" t="s">
        <v>709</v>
      </c>
      <c r="B100" t="s">
        <v>5175</v>
      </c>
      <c r="C100" t="s">
        <v>710</v>
      </c>
      <c r="D100" t="s">
        <v>446</v>
      </c>
      <c r="E100" t="s">
        <v>228</v>
      </c>
      <c r="F100">
        <v>69.989999999999995</v>
      </c>
      <c r="G100" t="s">
        <v>8</v>
      </c>
      <c r="H100">
        <v>7.4373920552677025E-2</v>
      </c>
      <c r="J100">
        <v>56</v>
      </c>
      <c r="K100">
        <v>12</v>
      </c>
      <c r="L100">
        <v>704</v>
      </c>
      <c r="M100">
        <v>20.390243902439025</v>
      </c>
      <c r="N100">
        <v>41</v>
      </c>
      <c r="O100">
        <v>2730</v>
      </c>
      <c r="P100">
        <v>836</v>
      </c>
    </row>
    <row r="101" spans="1:16" x14ac:dyDescent="0.2">
      <c r="A101" t="s">
        <v>3289</v>
      </c>
      <c r="B101" t="s">
        <v>6986</v>
      </c>
      <c r="C101" t="s">
        <v>3290</v>
      </c>
      <c r="D101" t="s">
        <v>3268</v>
      </c>
      <c r="E101" t="s">
        <v>228</v>
      </c>
      <c r="F101">
        <v>359.99</v>
      </c>
      <c r="G101" t="s">
        <v>7014</v>
      </c>
      <c r="H101">
        <v>0.1095583160800552</v>
      </c>
      <c r="I101" t="s">
        <v>7015</v>
      </c>
      <c r="M101">
        <v>17.353293413173652</v>
      </c>
      <c r="N101">
        <v>27.833333333333332</v>
      </c>
      <c r="O101">
        <v>13680</v>
      </c>
      <c r="P101">
        <v>483</v>
      </c>
    </row>
    <row r="102" spans="1:16" x14ac:dyDescent="0.2">
      <c r="A102" t="s">
        <v>934</v>
      </c>
      <c r="B102" t="s">
        <v>4938</v>
      </c>
      <c r="C102" t="s">
        <v>935</v>
      </c>
      <c r="D102" t="s">
        <v>446</v>
      </c>
      <c r="E102" t="s">
        <v>228</v>
      </c>
      <c r="F102">
        <v>39.99</v>
      </c>
      <c r="G102" t="s">
        <v>8</v>
      </c>
      <c r="H102">
        <v>6.8256578947368418E-2</v>
      </c>
      <c r="J102">
        <v>7</v>
      </c>
      <c r="K102">
        <v>36</v>
      </c>
      <c r="L102">
        <v>565</v>
      </c>
      <c r="M102">
        <v>19.439999999999998</v>
      </c>
      <c r="N102">
        <v>33.333333333333336</v>
      </c>
      <c r="O102">
        <v>1520</v>
      </c>
      <c r="P102">
        <v>648</v>
      </c>
    </row>
    <row r="103" spans="1:16" x14ac:dyDescent="0.2">
      <c r="A103" t="s">
        <v>2988</v>
      </c>
      <c r="B103" t="s">
        <v>6478</v>
      </c>
      <c r="C103" t="s">
        <v>2989</v>
      </c>
      <c r="D103" t="s">
        <v>2987</v>
      </c>
      <c r="E103" t="s">
        <v>228</v>
      </c>
      <c r="F103">
        <v>89.99</v>
      </c>
      <c r="G103" t="s">
        <v>11</v>
      </c>
      <c r="H103">
        <v>0.11497326203208556</v>
      </c>
      <c r="M103">
        <v>11.507692307692308</v>
      </c>
      <c r="N103">
        <v>32.5</v>
      </c>
      <c r="O103">
        <v>3330</v>
      </c>
      <c r="P103">
        <v>374</v>
      </c>
    </row>
    <row r="104" spans="1:16" x14ac:dyDescent="0.2">
      <c r="A104" t="s">
        <v>2715</v>
      </c>
      <c r="B104" t="s">
        <v>6190</v>
      </c>
      <c r="C104" t="s">
        <v>2716</v>
      </c>
      <c r="D104" t="s">
        <v>2502</v>
      </c>
      <c r="E104" t="s">
        <v>228</v>
      </c>
      <c r="F104">
        <v>39.99</v>
      </c>
      <c r="G104" t="s">
        <v>7014</v>
      </c>
      <c r="H104">
        <v>5.945692883895131E-2</v>
      </c>
      <c r="I104" t="s">
        <v>7015</v>
      </c>
      <c r="M104">
        <v>16.6875</v>
      </c>
      <c r="N104">
        <v>32</v>
      </c>
      <c r="O104">
        <v>1480</v>
      </c>
      <c r="P104">
        <v>534</v>
      </c>
    </row>
    <row r="105" spans="1:16" x14ac:dyDescent="0.2">
      <c r="A105" t="s">
        <v>805</v>
      </c>
      <c r="B105" t="s">
        <v>4725</v>
      </c>
      <c r="C105" t="s">
        <v>806</v>
      </c>
      <c r="D105" t="s">
        <v>446</v>
      </c>
      <c r="E105" t="s">
        <v>228</v>
      </c>
      <c r="F105">
        <v>59.99</v>
      </c>
      <c r="G105" t="s">
        <v>7014</v>
      </c>
      <c r="H105">
        <v>2.1148036253776436E-2</v>
      </c>
      <c r="M105">
        <v>25.139240506329116</v>
      </c>
      <c r="N105">
        <v>13.166666666666666</v>
      </c>
      <c r="O105">
        <v>2220</v>
      </c>
      <c r="P105">
        <v>331</v>
      </c>
    </row>
    <row r="106" spans="1:16" x14ac:dyDescent="0.2">
      <c r="A106" t="s">
        <v>743</v>
      </c>
      <c r="B106" t="s">
        <v>4672</v>
      </c>
      <c r="C106" t="s">
        <v>744</v>
      </c>
      <c r="D106" t="s">
        <v>446</v>
      </c>
      <c r="E106" t="s">
        <v>228</v>
      </c>
      <c r="F106">
        <v>59.99</v>
      </c>
      <c r="G106" t="s">
        <v>7014</v>
      </c>
      <c r="H106">
        <v>5.1630434782608696E-2</v>
      </c>
      <c r="I106" t="s">
        <v>7015</v>
      </c>
      <c r="M106">
        <v>19.539823008849559</v>
      </c>
      <c r="N106">
        <v>37.666666666666664</v>
      </c>
      <c r="O106">
        <v>2220</v>
      </c>
      <c r="P106">
        <v>736</v>
      </c>
    </row>
    <row r="107" spans="1:16" x14ac:dyDescent="0.2">
      <c r="A107" t="s">
        <v>675</v>
      </c>
      <c r="B107" t="s">
        <v>5107</v>
      </c>
      <c r="C107" t="s">
        <v>676</v>
      </c>
      <c r="D107" t="s">
        <v>446</v>
      </c>
      <c r="E107" t="s">
        <v>228</v>
      </c>
      <c r="F107">
        <v>199.99</v>
      </c>
      <c r="G107" t="s">
        <v>7014</v>
      </c>
      <c r="H107">
        <v>7.3575331772053082E-2</v>
      </c>
      <c r="I107" t="s">
        <v>7015</v>
      </c>
      <c r="M107">
        <v>14.233333333333333</v>
      </c>
      <c r="N107">
        <v>30</v>
      </c>
      <c r="O107">
        <v>7400</v>
      </c>
      <c r="P107">
        <v>427</v>
      </c>
    </row>
    <row r="108" spans="1:16" x14ac:dyDescent="0.2">
      <c r="A108" t="s">
        <v>639</v>
      </c>
      <c r="B108" t="s">
        <v>5002</v>
      </c>
      <c r="C108" t="s">
        <v>640</v>
      </c>
      <c r="D108" t="s">
        <v>446</v>
      </c>
      <c r="E108" t="s">
        <v>228</v>
      </c>
      <c r="F108">
        <v>119.99</v>
      </c>
      <c r="G108" t="s">
        <v>8</v>
      </c>
      <c r="H108">
        <v>0.11871693121693122</v>
      </c>
      <c r="J108">
        <v>0</v>
      </c>
      <c r="K108">
        <v>47</v>
      </c>
      <c r="L108">
        <v>205</v>
      </c>
      <c r="M108">
        <v>9.3480662983425411</v>
      </c>
      <c r="N108">
        <v>30.166666666666668</v>
      </c>
      <c r="O108">
        <v>4440</v>
      </c>
      <c r="P108">
        <v>282</v>
      </c>
    </row>
    <row r="109" spans="1:16" x14ac:dyDescent="0.2">
      <c r="A109" t="s">
        <v>453</v>
      </c>
      <c r="B109" t="s">
        <v>4797</v>
      </c>
      <c r="C109" t="s">
        <v>454</v>
      </c>
      <c r="D109" t="s">
        <v>446</v>
      </c>
      <c r="E109" t="s">
        <v>228</v>
      </c>
      <c r="F109">
        <v>59.99</v>
      </c>
      <c r="G109" t="s">
        <v>8</v>
      </c>
      <c r="H109">
        <v>5.331262939958592E-2</v>
      </c>
      <c r="J109">
        <v>3</v>
      </c>
      <c r="K109">
        <v>51</v>
      </c>
      <c r="L109">
        <v>429</v>
      </c>
      <c r="M109">
        <v>23.758064516129032</v>
      </c>
      <c r="N109">
        <v>20.666666666666668</v>
      </c>
      <c r="O109">
        <v>2220</v>
      </c>
      <c r="P109">
        <v>491</v>
      </c>
    </row>
    <row r="110" spans="1:16" x14ac:dyDescent="0.2">
      <c r="A110" t="s">
        <v>795</v>
      </c>
      <c r="B110" t="s">
        <v>5101</v>
      </c>
      <c r="C110" t="s">
        <v>796</v>
      </c>
      <c r="D110" t="s">
        <v>446</v>
      </c>
      <c r="E110" t="s">
        <v>228</v>
      </c>
      <c r="F110">
        <v>129.99</v>
      </c>
      <c r="G110" t="s">
        <v>7014</v>
      </c>
      <c r="H110">
        <v>5.7024364955935714E-2</v>
      </c>
      <c r="I110" t="s">
        <v>7015</v>
      </c>
      <c r="M110">
        <v>19.484848484848484</v>
      </c>
      <c r="N110">
        <v>33</v>
      </c>
      <c r="O110">
        <v>4680</v>
      </c>
      <c r="P110">
        <v>643</v>
      </c>
    </row>
    <row r="111" spans="1:16" x14ac:dyDescent="0.2">
      <c r="A111" t="s">
        <v>3332</v>
      </c>
      <c r="B111" t="s">
        <v>5239</v>
      </c>
      <c r="C111" t="s">
        <v>3333</v>
      </c>
      <c r="D111" t="s">
        <v>3268</v>
      </c>
      <c r="E111" t="s">
        <v>228</v>
      </c>
      <c r="F111">
        <v>599.99</v>
      </c>
      <c r="G111" t="s">
        <v>7014</v>
      </c>
      <c r="H111">
        <v>3.0689329556185078E-2</v>
      </c>
      <c r="I111" t="s">
        <v>7015</v>
      </c>
      <c r="M111">
        <v>28.24</v>
      </c>
      <c r="N111">
        <v>12.5</v>
      </c>
      <c r="O111">
        <v>21600</v>
      </c>
      <c r="P111">
        <v>353</v>
      </c>
    </row>
    <row r="112" spans="1:16" x14ac:dyDescent="0.2">
      <c r="A112" t="s">
        <v>912</v>
      </c>
      <c r="B112" t="s">
        <v>4884</v>
      </c>
      <c r="C112" t="s">
        <v>913</v>
      </c>
      <c r="D112" t="s">
        <v>446</v>
      </c>
      <c r="E112" t="s">
        <v>228</v>
      </c>
      <c r="F112">
        <v>89.99</v>
      </c>
      <c r="G112" t="s">
        <v>8</v>
      </c>
      <c r="H112">
        <v>8.8630806845965776E-2</v>
      </c>
      <c r="J112">
        <v>5</v>
      </c>
      <c r="K112">
        <v>14</v>
      </c>
      <c r="L112">
        <v>390</v>
      </c>
      <c r="M112">
        <v>12.301369863013699</v>
      </c>
      <c r="N112">
        <v>36.5</v>
      </c>
      <c r="O112">
        <v>3240</v>
      </c>
      <c r="P112">
        <v>449</v>
      </c>
    </row>
    <row r="113" spans="1:16" x14ac:dyDescent="0.2">
      <c r="A113" t="s">
        <v>489</v>
      </c>
      <c r="B113" t="s">
        <v>4779</v>
      </c>
      <c r="C113" t="s">
        <v>490</v>
      </c>
      <c r="D113" t="s">
        <v>446</v>
      </c>
      <c r="E113" t="s">
        <v>228</v>
      </c>
      <c r="F113">
        <v>29.99</v>
      </c>
      <c r="G113" t="s">
        <v>8</v>
      </c>
      <c r="H113">
        <v>5.0951717734447545E-2</v>
      </c>
      <c r="J113">
        <v>2</v>
      </c>
      <c r="K113">
        <v>23</v>
      </c>
      <c r="L113">
        <v>693</v>
      </c>
      <c r="M113">
        <v>23.300970873786405</v>
      </c>
      <c r="N113">
        <v>34.333333333333336</v>
      </c>
      <c r="O113">
        <v>1080</v>
      </c>
      <c r="P113">
        <v>800</v>
      </c>
    </row>
    <row r="114" spans="1:16" x14ac:dyDescent="0.2">
      <c r="A114" t="s">
        <v>739</v>
      </c>
      <c r="B114" t="s">
        <v>4710</v>
      </c>
      <c r="C114" t="s">
        <v>740</v>
      </c>
      <c r="D114" t="s">
        <v>446</v>
      </c>
      <c r="E114" t="s">
        <v>228</v>
      </c>
      <c r="F114">
        <v>19.989999999999998</v>
      </c>
      <c r="G114" t="s">
        <v>8</v>
      </c>
      <c r="H114">
        <v>5.7548054383497416E-2</v>
      </c>
      <c r="J114">
        <v>4</v>
      </c>
      <c r="K114">
        <v>41</v>
      </c>
      <c r="L114">
        <v>666</v>
      </c>
      <c r="M114">
        <v>21.928934010152282</v>
      </c>
      <c r="N114">
        <v>32.833333333333336</v>
      </c>
      <c r="O114">
        <v>720</v>
      </c>
      <c r="P114">
        <v>720</v>
      </c>
    </row>
    <row r="115" spans="1:16" x14ac:dyDescent="0.2">
      <c r="A115" t="s">
        <v>767</v>
      </c>
      <c r="B115" t="s">
        <v>5069</v>
      </c>
      <c r="C115" t="s">
        <v>7024</v>
      </c>
      <c r="D115" t="s">
        <v>446</v>
      </c>
      <c r="E115" t="s">
        <v>228</v>
      </c>
      <c r="F115">
        <v>39.99</v>
      </c>
      <c r="G115" t="s">
        <v>7014</v>
      </c>
      <c r="H115">
        <v>9.2219589257503939E-2</v>
      </c>
      <c r="I115" t="s">
        <v>7015</v>
      </c>
      <c r="M115">
        <v>11.614678899082568</v>
      </c>
      <c r="N115">
        <v>36.333333333333336</v>
      </c>
      <c r="O115">
        <v>1400</v>
      </c>
      <c r="P115">
        <v>422</v>
      </c>
    </row>
    <row r="116" spans="1:16" x14ac:dyDescent="0.2">
      <c r="A116" t="s">
        <v>243</v>
      </c>
      <c r="B116" t="s">
        <v>4256</v>
      </c>
      <c r="C116" t="s">
        <v>244</v>
      </c>
      <c r="D116" t="s">
        <v>223</v>
      </c>
      <c r="E116" t="s">
        <v>228</v>
      </c>
      <c r="F116">
        <v>29.99</v>
      </c>
      <c r="G116" t="s">
        <v>8</v>
      </c>
      <c r="H116">
        <v>6.910569105691057E-2</v>
      </c>
      <c r="J116">
        <v>45</v>
      </c>
      <c r="K116">
        <v>15</v>
      </c>
      <c r="L116">
        <v>432</v>
      </c>
      <c r="M116">
        <v>15.031914893617023</v>
      </c>
      <c r="N116">
        <v>31.333333333333332</v>
      </c>
      <c r="O116">
        <v>1050</v>
      </c>
      <c r="P116">
        <v>471</v>
      </c>
    </row>
    <row r="117" spans="1:16" x14ac:dyDescent="0.2">
      <c r="A117" t="s">
        <v>787</v>
      </c>
      <c r="B117" t="s">
        <v>5032</v>
      </c>
      <c r="C117" t="s">
        <v>788</v>
      </c>
      <c r="D117" t="s">
        <v>446</v>
      </c>
      <c r="E117" t="s">
        <v>228</v>
      </c>
      <c r="F117">
        <v>44.99</v>
      </c>
      <c r="G117" t="s">
        <v>8</v>
      </c>
      <c r="H117">
        <v>5.9738134206219311E-2</v>
      </c>
      <c r="J117">
        <v>2</v>
      </c>
      <c r="K117">
        <v>28</v>
      </c>
      <c r="L117">
        <v>581</v>
      </c>
      <c r="M117">
        <v>20.436548223350254</v>
      </c>
      <c r="N117">
        <v>32.833333333333336</v>
      </c>
      <c r="O117">
        <v>1575</v>
      </c>
      <c r="P117">
        <v>671</v>
      </c>
    </row>
    <row r="118" spans="1:16" x14ac:dyDescent="0.2">
      <c r="A118" t="s">
        <v>483</v>
      </c>
      <c r="B118" t="s">
        <v>4777</v>
      </c>
      <c r="C118" t="s">
        <v>484</v>
      </c>
      <c r="D118" t="s">
        <v>446</v>
      </c>
      <c r="E118" t="s">
        <v>228</v>
      </c>
      <c r="F118">
        <v>19.989999999999998</v>
      </c>
      <c r="G118" t="s">
        <v>8</v>
      </c>
      <c r="H118">
        <v>6.6870852475752932E-2</v>
      </c>
      <c r="J118">
        <v>1</v>
      </c>
      <c r="K118">
        <v>31</v>
      </c>
      <c r="L118">
        <v>621</v>
      </c>
      <c r="M118">
        <v>19.881355932203387</v>
      </c>
      <c r="N118">
        <v>39.333333333333336</v>
      </c>
      <c r="O118">
        <v>700</v>
      </c>
      <c r="P118">
        <v>782</v>
      </c>
    </row>
    <row r="119" spans="1:16" x14ac:dyDescent="0.2">
      <c r="A119" t="s">
        <v>2525</v>
      </c>
      <c r="B119" t="s">
        <v>6125</v>
      </c>
      <c r="C119" t="s">
        <v>2526</v>
      </c>
      <c r="D119" t="s">
        <v>2502</v>
      </c>
      <c r="E119" t="s">
        <v>228</v>
      </c>
      <c r="F119">
        <v>109.99</v>
      </c>
      <c r="G119" t="s">
        <v>7014</v>
      </c>
      <c r="H119">
        <v>5.4824561403508776E-2</v>
      </c>
      <c r="M119">
        <v>19.292307692307691</v>
      </c>
      <c r="N119">
        <v>21.666666666666668</v>
      </c>
      <c r="O119">
        <v>3740</v>
      </c>
      <c r="P119">
        <v>418</v>
      </c>
    </row>
    <row r="120" spans="1:16" x14ac:dyDescent="0.2">
      <c r="A120" t="s">
        <v>3279</v>
      </c>
      <c r="B120" t="s">
        <v>6978</v>
      </c>
      <c r="C120" t="s">
        <v>3278</v>
      </c>
      <c r="D120" t="s">
        <v>3268</v>
      </c>
      <c r="E120" t="s">
        <v>228</v>
      </c>
      <c r="F120">
        <v>99.99</v>
      </c>
      <c r="G120" t="s">
        <v>7014</v>
      </c>
      <c r="H120">
        <v>9.8232323232323226E-2</v>
      </c>
      <c r="I120" t="s">
        <v>7015</v>
      </c>
      <c r="M120">
        <v>8.8789237668161434</v>
      </c>
      <c r="N120">
        <v>37.166666666666664</v>
      </c>
      <c r="O120">
        <v>3400</v>
      </c>
      <c r="P120">
        <v>330</v>
      </c>
    </row>
    <row r="121" spans="1:16" x14ac:dyDescent="0.2">
      <c r="A121" t="s">
        <v>998</v>
      </c>
      <c r="B121" t="s">
        <v>4903</v>
      </c>
      <c r="C121" t="s">
        <v>999</v>
      </c>
      <c r="D121" t="s">
        <v>446</v>
      </c>
      <c r="E121" t="s">
        <v>228</v>
      </c>
      <c r="F121">
        <v>49.99</v>
      </c>
      <c r="G121" t="s">
        <v>8</v>
      </c>
      <c r="H121">
        <v>0.11438923395445136</v>
      </c>
      <c r="J121">
        <v>15</v>
      </c>
      <c r="K121">
        <v>26</v>
      </c>
      <c r="L121">
        <v>281</v>
      </c>
      <c r="M121">
        <v>8.81860465116279</v>
      </c>
      <c r="N121">
        <v>35.833333333333336</v>
      </c>
      <c r="O121">
        <v>1700</v>
      </c>
      <c r="P121">
        <v>316</v>
      </c>
    </row>
    <row r="122" spans="1:16" x14ac:dyDescent="0.2">
      <c r="A122" t="s">
        <v>515</v>
      </c>
      <c r="B122" t="s">
        <v>4834</v>
      </c>
      <c r="C122" t="s">
        <v>516</v>
      </c>
      <c r="D122" t="s">
        <v>446</v>
      </c>
      <c r="E122" t="s">
        <v>228</v>
      </c>
      <c r="F122">
        <v>19.989999999999998</v>
      </c>
      <c r="G122" t="s">
        <v>8</v>
      </c>
      <c r="H122">
        <v>7.3756054601497145E-2</v>
      </c>
      <c r="J122">
        <v>57</v>
      </c>
      <c r="K122">
        <v>17</v>
      </c>
      <c r="L122">
        <v>683</v>
      </c>
      <c r="M122">
        <v>31.434782608695652</v>
      </c>
      <c r="N122">
        <v>23</v>
      </c>
      <c r="O122">
        <v>680</v>
      </c>
      <c r="P122">
        <v>723</v>
      </c>
    </row>
    <row r="123" spans="1:16" x14ac:dyDescent="0.2">
      <c r="A123" t="s">
        <v>797</v>
      </c>
      <c r="B123" t="s">
        <v>5110</v>
      </c>
      <c r="C123" t="s">
        <v>798</v>
      </c>
      <c r="D123" t="s">
        <v>446</v>
      </c>
      <c r="E123" t="s">
        <v>228</v>
      </c>
      <c r="F123">
        <v>129.99</v>
      </c>
      <c r="G123" t="s">
        <v>7014</v>
      </c>
      <c r="H123">
        <v>4.9773755656108594E-2</v>
      </c>
      <c r="I123" t="s">
        <v>7015</v>
      </c>
      <c r="M123">
        <v>23.263157894736842</v>
      </c>
      <c r="N123">
        <v>28.5</v>
      </c>
      <c r="O123">
        <v>4290</v>
      </c>
      <c r="P123">
        <v>663</v>
      </c>
    </row>
    <row r="124" spans="1:16" x14ac:dyDescent="0.2">
      <c r="A124" t="s">
        <v>948</v>
      </c>
      <c r="B124" t="s">
        <v>5133</v>
      </c>
      <c r="C124" t="s">
        <v>949</v>
      </c>
      <c r="D124" t="s">
        <v>446</v>
      </c>
      <c r="E124" t="s">
        <v>228</v>
      </c>
      <c r="F124">
        <v>34.99</v>
      </c>
      <c r="G124" t="s">
        <v>8</v>
      </c>
      <c r="H124">
        <v>4.3375766148043379E-2</v>
      </c>
      <c r="J124">
        <v>2</v>
      </c>
      <c r="K124">
        <v>30</v>
      </c>
      <c r="L124">
        <v>675</v>
      </c>
      <c r="M124">
        <v>23.296089385474861</v>
      </c>
      <c r="N124">
        <v>29.833333333333332</v>
      </c>
      <c r="O124">
        <v>1155</v>
      </c>
      <c r="P124">
        <v>695</v>
      </c>
    </row>
    <row r="125" spans="1:16" x14ac:dyDescent="0.2">
      <c r="A125" t="s">
        <v>757</v>
      </c>
      <c r="B125" t="s">
        <v>5062</v>
      </c>
      <c r="C125" t="s">
        <v>758</v>
      </c>
      <c r="D125" t="s">
        <v>446</v>
      </c>
      <c r="E125" t="s">
        <v>228</v>
      </c>
      <c r="F125">
        <v>49.99</v>
      </c>
      <c r="G125" t="s">
        <v>8</v>
      </c>
      <c r="H125">
        <v>4.5663759689922485E-2</v>
      </c>
      <c r="J125">
        <v>5</v>
      </c>
      <c r="K125">
        <v>17</v>
      </c>
      <c r="L125">
        <v>666</v>
      </c>
      <c r="M125">
        <v>26.01156069364162</v>
      </c>
      <c r="N125">
        <v>28.833333333333332</v>
      </c>
      <c r="O125">
        <v>1650</v>
      </c>
      <c r="P125">
        <v>750</v>
      </c>
    </row>
    <row r="126" spans="1:16" x14ac:dyDescent="0.2">
      <c r="A126" t="s">
        <v>245</v>
      </c>
      <c r="B126" t="s">
        <v>4264</v>
      </c>
      <c r="C126" t="s">
        <v>246</v>
      </c>
      <c r="D126" t="s">
        <v>223</v>
      </c>
      <c r="E126" t="s">
        <v>228</v>
      </c>
      <c r="F126">
        <v>29.99</v>
      </c>
      <c r="G126" t="s">
        <v>8</v>
      </c>
      <c r="H126">
        <v>7.5221238938053103E-2</v>
      </c>
      <c r="J126">
        <v>28</v>
      </c>
      <c r="K126">
        <v>24</v>
      </c>
      <c r="L126">
        <v>400</v>
      </c>
      <c r="M126">
        <v>16.239520958083833</v>
      </c>
      <c r="N126">
        <v>27.833333333333332</v>
      </c>
      <c r="O126">
        <v>990</v>
      </c>
      <c r="P126">
        <v>452</v>
      </c>
    </row>
    <row r="127" spans="1:16" x14ac:dyDescent="0.2">
      <c r="A127" t="s">
        <v>455</v>
      </c>
      <c r="B127" t="s">
        <v>4795</v>
      </c>
      <c r="C127" t="s">
        <v>456</v>
      </c>
      <c r="D127" t="s">
        <v>446</v>
      </c>
      <c r="E127" t="s">
        <v>228</v>
      </c>
      <c r="F127">
        <v>59.99</v>
      </c>
      <c r="G127" t="s">
        <v>8</v>
      </c>
      <c r="H127">
        <v>4.3859649122807015E-2</v>
      </c>
      <c r="J127">
        <v>0</v>
      </c>
      <c r="K127">
        <v>51</v>
      </c>
      <c r="L127">
        <v>481</v>
      </c>
      <c r="M127">
        <v>29.008695652173913</v>
      </c>
      <c r="N127">
        <v>19.166666666666668</v>
      </c>
      <c r="O127">
        <v>1980</v>
      </c>
      <c r="P127">
        <v>556</v>
      </c>
    </row>
    <row r="128" spans="1:16" x14ac:dyDescent="0.2">
      <c r="A128" t="s">
        <v>473</v>
      </c>
      <c r="B128" t="s">
        <v>4801</v>
      </c>
      <c r="C128" t="s">
        <v>474</v>
      </c>
      <c r="D128" t="s">
        <v>446</v>
      </c>
      <c r="E128" t="s">
        <v>228</v>
      </c>
      <c r="F128">
        <v>79.989999999999995</v>
      </c>
      <c r="G128" t="s">
        <v>8</v>
      </c>
      <c r="H128">
        <v>4.4063079777365489E-2</v>
      </c>
      <c r="J128">
        <v>1</v>
      </c>
      <c r="K128">
        <v>57</v>
      </c>
      <c r="L128">
        <v>481</v>
      </c>
      <c r="M128">
        <v>28.264462809917354</v>
      </c>
      <c r="N128">
        <v>20.166666666666668</v>
      </c>
      <c r="O128">
        <v>2640</v>
      </c>
      <c r="P128">
        <v>570</v>
      </c>
    </row>
    <row r="129" spans="1:16" x14ac:dyDescent="0.2">
      <c r="A129" t="s">
        <v>755</v>
      </c>
      <c r="B129" t="s">
        <v>5065</v>
      </c>
      <c r="C129" t="s">
        <v>756</v>
      </c>
      <c r="D129" t="s">
        <v>446</v>
      </c>
      <c r="E129" t="s">
        <v>228</v>
      </c>
      <c r="F129">
        <v>49.99</v>
      </c>
      <c r="G129" t="s">
        <v>8</v>
      </c>
      <c r="H129">
        <v>4.0964777947932622E-2</v>
      </c>
      <c r="J129">
        <v>4</v>
      </c>
      <c r="K129">
        <v>13</v>
      </c>
      <c r="L129">
        <v>636</v>
      </c>
      <c r="M129">
        <v>26.906832298136646</v>
      </c>
      <c r="N129">
        <v>26.833333333333332</v>
      </c>
      <c r="O129">
        <v>1600</v>
      </c>
      <c r="P129">
        <v>722</v>
      </c>
    </row>
    <row r="130" spans="1:16" x14ac:dyDescent="0.2">
      <c r="A130" t="s">
        <v>2990</v>
      </c>
      <c r="B130" t="s">
        <v>6779</v>
      </c>
      <c r="C130" t="s">
        <v>2991</v>
      </c>
      <c r="D130" t="s">
        <v>2987</v>
      </c>
      <c r="E130" t="s">
        <v>228</v>
      </c>
      <c r="F130">
        <v>89.99</v>
      </c>
      <c r="G130" t="s">
        <v>8</v>
      </c>
      <c r="H130">
        <v>4.0953196347031963E-2</v>
      </c>
      <c r="J130">
        <v>4</v>
      </c>
      <c r="K130">
        <v>19</v>
      </c>
      <c r="L130">
        <v>561</v>
      </c>
      <c r="M130">
        <v>26.340425531914892</v>
      </c>
      <c r="N130">
        <v>23.5</v>
      </c>
      <c r="O130">
        <v>2880</v>
      </c>
      <c r="P130">
        <v>619</v>
      </c>
    </row>
    <row r="131" spans="1:16" x14ac:dyDescent="0.2">
      <c r="A131" t="s">
        <v>537</v>
      </c>
      <c r="B131" t="s">
        <v>4846</v>
      </c>
      <c r="C131" t="s">
        <v>538</v>
      </c>
      <c r="D131" t="s">
        <v>446</v>
      </c>
      <c r="E131" t="s">
        <v>228</v>
      </c>
      <c r="F131">
        <v>49.99</v>
      </c>
      <c r="G131" t="s">
        <v>8</v>
      </c>
      <c r="H131">
        <v>3.9637058261700095E-2</v>
      </c>
      <c r="J131">
        <v>3</v>
      </c>
      <c r="K131">
        <v>36</v>
      </c>
      <c r="L131">
        <v>659</v>
      </c>
      <c r="M131">
        <v>24.218181818181819</v>
      </c>
      <c r="N131">
        <v>27.5</v>
      </c>
      <c r="O131">
        <v>1600</v>
      </c>
      <c r="P131">
        <v>666</v>
      </c>
    </row>
    <row r="132" spans="1:16" x14ac:dyDescent="0.2">
      <c r="A132" t="s">
        <v>793</v>
      </c>
      <c r="B132" t="s">
        <v>5039</v>
      </c>
      <c r="C132" t="s">
        <v>794</v>
      </c>
      <c r="D132" t="s">
        <v>446</v>
      </c>
      <c r="E132" t="s">
        <v>228</v>
      </c>
      <c r="F132">
        <v>49.99</v>
      </c>
      <c r="G132" t="s">
        <v>7014</v>
      </c>
      <c r="H132">
        <v>0.12936507936507938</v>
      </c>
      <c r="I132" t="s">
        <v>7015</v>
      </c>
      <c r="M132">
        <v>8.4</v>
      </c>
      <c r="N132">
        <v>37.5</v>
      </c>
      <c r="O132">
        <v>1550</v>
      </c>
      <c r="P132">
        <v>315</v>
      </c>
    </row>
    <row r="133" spans="1:16" x14ac:dyDescent="0.2">
      <c r="A133" t="s">
        <v>916</v>
      </c>
      <c r="B133" t="s">
        <v>4881</v>
      </c>
      <c r="C133" t="s">
        <v>917</v>
      </c>
      <c r="D133" t="s">
        <v>446</v>
      </c>
      <c r="E133" t="s">
        <v>228</v>
      </c>
      <c r="F133">
        <v>34.99</v>
      </c>
      <c r="G133" t="s">
        <v>8</v>
      </c>
      <c r="H133">
        <v>5.1616915422885573E-2</v>
      </c>
      <c r="J133">
        <v>3</v>
      </c>
      <c r="K133">
        <v>129</v>
      </c>
      <c r="L133">
        <v>404</v>
      </c>
      <c r="M133">
        <v>22.27972027972028</v>
      </c>
      <c r="N133">
        <v>23.833333333333332</v>
      </c>
      <c r="O133">
        <v>1085</v>
      </c>
      <c r="P133">
        <v>531</v>
      </c>
    </row>
    <row r="134" spans="1:16" x14ac:dyDescent="0.2">
      <c r="A134" t="s">
        <v>497</v>
      </c>
      <c r="B134" t="s">
        <v>4766</v>
      </c>
      <c r="C134" t="s">
        <v>498</v>
      </c>
      <c r="D134" t="s">
        <v>446</v>
      </c>
      <c r="E134" t="s">
        <v>228</v>
      </c>
      <c r="F134">
        <v>79.989999999999995</v>
      </c>
      <c r="G134" t="s">
        <v>8</v>
      </c>
      <c r="H134">
        <v>3.9813023855577043E-2</v>
      </c>
      <c r="J134">
        <v>7</v>
      </c>
      <c r="K134">
        <v>52</v>
      </c>
      <c r="L134">
        <v>458</v>
      </c>
      <c r="M134">
        <v>19.365269461077844</v>
      </c>
      <c r="N134">
        <v>27.833333333333332</v>
      </c>
      <c r="O134">
        <v>2480</v>
      </c>
      <c r="P134">
        <v>539</v>
      </c>
    </row>
    <row r="135" spans="1:16" x14ac:dyDescent="0.2">
      <c r="A135" t="s">
        <v>245</v>
      </c>
      <c r="B135" t="s">
        <v>4262</v>
      </c>
      <c r="C135" t="s">
        <v>246</v>
      </c>
      <c r="D135" t="s">
        <v>223</v>
      </c>
      <c r="E135" t="s">
        <v>228</v>
      </c>
      <c r="F135">
        <v>29.99</v>
      </c>
      <c r="G135" t="s">
        <v>7014</v>
      </c>
      <c r="H135">
        <v>7.039473684210526E-2</v>
      </c>
      <c r="I135" t="s">
        <v>7015</v>
      </c>
      <c r="M135">
        <v>15.405405405405405</v>
      </c>
      <c r="N135">
        <v>24.666666666666668</v>
      </c>
      <c r="O135">
        <v>900</v>
      </c>
      <c r="P135">
        <v>380</v>
      </c>
    </row>
    <row r="136" spans="1:16" x14ac:dyDescent="0.2">
      <c r="A136" t="s">
        <v>1008</v>
      </c>
      <c r="B136" t="s">
        <v>4934</v>
      </c>
      <c r="C136" t="s">
        <v>1009</v>
      </c>
      <c r="D136" t="s">
        <v>446</v>
      </c>
      <c r="E136" t="s">
        <v>228</v>
      </c>
      <c r="F136">
        <v>29.99</v>
      </c>
      <c r="G136" t="s">
        <v>8</v>
      </c>
      <c r="H136">
        <v>0.11435523114355232</v>
      </c>
      <c r="J136">
        <v>4</v>
      </c>
      <c r="K136">
        <v>23</v>
      </c>
      <c r="L136">
        <v>247</v>
      </c>
      <c r="M136">
        <v>10.151162790697674</v>
      </c>
      <c r="N136">
        <v>28.666666666666668</v>
      </c>
      <c r="O136">
        <v>900</v>
      </c>
      <c r="P136">
        <v>291</v>
      </c>
    </row>
    <row r="137" spans="1:16" x14ac:dyDescent="0.2">
      <c r="A137" t="s">
        <v>944</v>
      </c>
      <c r="B137" t="s">
        <v>5130</v>
      </c>
      <c r="C137" t="s">
        <v>945</v>
      </c>
      <c r="D137" t="s">
        <v>446</v>
      </c>
      <c r="E137" t="s">
        <v>228</v>
      </c>
      <c r="F137">
        <v>39.99</v>
      </c>
      <c r="G137" t="s">
        <v>8</v>
      </c>
      <c r="H137">
        <v>3.8992869875222817E-2</v>
      </c>
      <c r="J137">
        <v>4</v>
      </c>
      <c r="K137">
        <v>38</v>
      </c>
      <c r="L137">
        <v>706</v>
      </c>
      <c r="M137">
        <v>28.862745098039216</v>
      </c>
      <c r="N137">
        <v>25.5</v>
      </c>
      <c r="O137">
        <v>1200</v>
      </c>
      <c r="P137">
        <v>736</v>
      </c>
    </row>
    <row r="138" spans="1:16" x14ac:dyDescent="0.2">
      <c r="A138" t="s">
        <v>928</v>
      </c>
      <c r="B138" t="s">
        <v>4946</v>
      </c>
      <c r="C138" t="s">
        <v>929</v>
      </c>
      <c r="D138" t="s">
        <v>446</v>
      </c>
      <c r="E138" t="s">
        <v>228</v>
      </c>
      <c r="F138">
        <v>79.989999999999995</v>
      </c>
      <c r="G138" t="s">
        <v>8</v>
      </c>
      <c r="H138">
        <v>5.3973902728351127E-2</v>
      </c>
      <c r="J138">
        <v>7</v>
      </c>
      <c r="K138">
        <v>70</v>
      </c>
      <c r="L138">
        <v>485</v>
      </c>
      <c r="M138">
        <v>21.898089171974522</v>
      </c>
      <c r="N138">
        <v>26.166666666666668</v>
      </c>
      <c r="O138">
        <v>2400</v>
      </c>
      <c r="P138">
        <v>573</v>
      </c>
    </row>
    <row r="139" spans="1:16" x14ac:dyDescent="0.2">
      <c r="A139" t="s">
        <v>713</v>
      </c>
      <c r="B139" t="s">
        <v>5179</v>
      </c>
      <c r="C139" t="s">
        <v>714</v>
      </c>
      <c r="D139" t="s">
        <v>446</v>
      </c>
      <c r="E139" t="s">
        <v>228</v>
      </c>
      <c r="F139">
        <v>99.99</v>
      </c>
      <c r="G139" t="s">
        <v>8</v>
      </c>
      <c r="H139">
        <v>8.9786135693215349E-2</v>
      </c>
      <c r="J139">
        <v>51</v>
      </c>
      <c r="K139">
        <v>12</v>
      </c>
      <c r="L139">
        <v>389</v>
      </c>
      <c r="M139">
        <v>21.434210526315791</v>
      </c>
      <c r="N139">
        <v>25.333333333333332</v>
      </c>
      <c r="O139">
        <v>3000</v>
      </c>
      <c r="P139">
        <v>543</v>
      </c>
    </row>
    <row r="140" spans="1:16" x14ac:dyDescent="0.2">
      <c r="A140" t="s">
        <v>693</v>
      </c>
      <c r="B140" t="s">
        <v>5027</v>
      </c>
      <c r="C140" t="s">
        <v>7020</v>
      </c>
      <c r="D140" t="s">
        <v>446</v>
      </c>
      <c r="E140" t="s">
        <v>228</v>
      </c>
      <c r="F140">
        <v>59.99</v>
      </c>
      <c r="G140" t="s">
        <v>8</v>
      </c>
      <c r="H140">
        <v>4.0050784856879039E-2</v>
      </c>
      <c r="J140">
        <v>9</v>
      </c>
      <c r="K140">
        <v>15</v>
      </c>
      <c r="L140">
        <v>698</v>
      </c>
      <c r="M140">
        <v>25.377049180327869</v>
      </c>
      <c r="N140">
        <v>30.5</v>
      </c>
      <c r="O140">
        <v>1800</v>
      </c>
      <c r="P140">
        <v>774</v>
      </c>
    </row>
    <row r="141" spans="1:16" x14ac:dyDescent="0.2">
      <c r="A141" t="s">
        <v>519</v>
      </c>
      <c r="B141" t="s">
        <v>4837</v>
      </c>
      <c r="C141" t="s">
        <v>520</v>
      </c>
      <c r="D141" t="s">
        <v>446</v>
      </c>
      <c r="E141" t="s">
        <v>228</v>
      </c>
      <c r="F141">
        <v>19.989999999999998</v>
      </c>
      <c r="G141" t="s">
        <v>8</v>
      </c>
      <c r="H141">
        <v>4.1496945010183299E-2</v>
      </c>
      <c r="J141">
        <v>11</v>
      </c>
      <c r="K141">
        <v>159</v>
      </c>
      <c r="L141">
        <v>812</v>
      </c>
      <c r="M141">
        <v>37.530201342281885</v>
      </c>
      <c r="N141">
        <v>24.833333333333332</v>
      </c>
      <c r="O141">
        <v>600</v>
      </c>
      <c r="P141">
        <v>932</v>
      </c>
    </row>
    <row r="142" spans="1:16" x14ac:dyDescent="0.2">
      <c r="A142" t="s">
        <v>495</v>
      </c>
      <c r="B142" t="s">
        <v>4757</v>
      </c>
      <c r="C142" t="s">
        <v>496</v>
      </c>
      <c r="D142" t="s">
        <v>446</v>
      </c>
      <c r="E142" t="s">
        <v>228</v>
      </c>
      <c r="F142">
        <v>59.99</v>
      </c>
      <c r="G142" t="s">
        <v>8</v>
      </c>
      <c r="H142">
        <v>5.1166666666666666E-2</v>
      </c>
      <c r="J142">
        <v>3</v>
      </c>
      <c r="K142">
        <v>56</v>
      </c>
      <c r="L142">
        <v>441</v>
      </c>
      <c r="M142">
        <v>18.315789473684209</v>
      </c>
      <c r="N142">
        <v>28.5</v>
      </c>
      <c r="O142">
        <v>1800</v>
      </c>
      <c r="P142">
        <v>522</v>
      </c>
    </row>
    <row r="143" spans="1:16" x14ac:dyDescent="0.2">
      <c r="A143" t="s">
        <v>2713</v>
      </c>
      <c r="B143" t="s">
        <v>97</v>
      </c>
      <c r="C143" t="s">
        <v>2714</v>
      </c>
      <c r="D143" t="s">
        <v>2502</v>
      </c>
      <c r="E143" t="s">
        <v>228</v>
      </c>
      <c r="F143">
        <v>19.989999999999998</v>
      </c>
      <c r="G143" t="s">
        <v>14</v>
      </c>
      <c r="H143">
        <v>6.8306010928961755E-2</v>
      </c>
      <c r="M143">
        <v>13.639751552795031</v>
      </c>
      <c r="N143">
        <v>26.833333333333332</v>
      </c>
      <c r="O143">
        <v>580</v>
      </c>
      <c r="P143">
        <v>366</v>
      </c>
    </row>
    <row r="144" spans="1:16" x14ac:dyDescent="0.2">
      <c r="A144" t="s">
        <v>2537</v>
      </c>
      <c r="B144" t="s">
        <v>6135</v>
      </c>
      <c r="C144" t="s">
        <v>2538</v>
      </c>
      <c r="D144" t="s">
        <v>2502</v>
      </c>
      <c r="E144" t="s">
        <v>228</v>
      </c>
      <c r="F144">
        <v>139.99</v>
      </c>
      <c r="G144" t="s">
        <v>7014</v>
      </c>
      <c r="H144">
        <v>6.8399705014749262E-2</v>
      </c>
      <c r="M144">
        <v>14.659459459459459</v>
      </c>
      <c r="N144">
        <v>30.833333333333336</v>
      </c>
      <c r="O144">
        <v>4060</v>
      </c>
      <c r="P144">
        <v>452</v>
      </c>
    </row>
    <row r="145" spans="1:16" x14ac:dyDescent="0.2">
      <c r="A145" t="s">
        <v>711</v>
      </c>
      <c r="B145" t="s">
        <v>5177</v>
      </c>
      <c r="C145" t="s">
        <v>712</v>
      </c>
      <c r="D145" t="s">
        <v>446</v>
      </c>
      <c r="E145" t="s">
        <v>228</v>
      </c>
      <c r="F145">
        <v>99.99</v>
      </c>
      <c r="G145" t="s">
        <v>8</v>
      </c>
      <c r="H145">
        <v>7.879924953095685E-2</v>
      </c>
      <c r="J145">
        <v>29</v>
      </c>
      <c r="K145">
        <v>9</v>
      </c>
      <c r="L145">
        <v>495</v>
      </c>
      <c r="M145">
        <v>22.036363636363635</v>
      </c>
      <c r="N145">
        <v>27.5</v>
      </c>
      <c r="O145">
        <v>2900</v>
      </c>
      <c r="P145">
        <v>606</v>
      </c>
    </row>
    <row r="146" spans="1:16" x14ac:dyDescent="0.2">
      <c r="A146" t="s">
        <v>457</v>
      </c>
      <c r="B146" t="s">
        <v>4789</v>
      </c>
      <c r="C146" t="s">
        <v>458</v>
      </c>
      <c r="D146" t="s">
        <v>446</v>
      </c>
      <c r="E146" t="s">
        <v>228</v>
      </c>
      <c r="F146">
        <v>59.99</v>
      </c>
      <c r="G146" t="s">
        <v>8</v>
      </c>
      <c r="H146">
        <v>3.9166666666666662E-2</v>
      </c>
      <c r="J146">
        <v>0</v>
      </c>
      <c r="K146">
        <v>51</v>
      </c>
      <c r="L146">
        <v>449</v>
      </c>
      <c r="M146">
        <v>29.485714285714284</v>
      </c>
      <c r="N146">
        <v>17.5</v>
      </c>
      <c r="O146">
        <v>1740</v>
      </c>
      <c r="P146">
        <v>516</v>
      </c>
    </row>
    <row r="147" spans="1:16" x14ac:dyDescent="0.2">
      <c r="A147" t="s">
        <v>645</v>
      </c>
      <c r="C147" t="s">
        <v>646</v>
      </c>
      <c r="D147" t="s">
        <v>446</v>
      </c>
      <c r="E147" t="s">
        <v>228</v>
      </c>
      <c r="F147">
        <v>59.99</v>
      </c>
      <c r="G147" t="s">
        <v>7014</v>
      </c>
      <c r="H147">
        <v>0.1517509727626459</v>
      </c>
      <c r="I147" t="s">
        <v>7015</v>
      </c>
      <c r="M147">
        <v>7.3080568720379153</v>
      </c>
      <c r="N147">
        <v>35.166666666666664</v>
      </c>
      <c r="O147">
        <v>1680</v>
      </c>
      <c r="P147">
        <v>257</v>
      </c>
    </row>
    <row r="148" spans="1:16" x14ac:dyDescent="0.2">
      <c r="A148" t="s">
        <v>695</v>
      </c>
      <c r="B148" t="s">
        <v>5049</v>
      </c>
      <c r="C148" t="s">
        <v>696</v>
      </c>
      <c r="D148" t="s">
        <v>446</v>
      </c>
      <c r="E148" t="s">
        <v>228</v>
      </c>
      <c r="F148">
        <v>99.99</v>
      </c>
      <c r="G148" t="s">
        <v>8</v>
      </c>
      <c r="H148">
        <v>3.6881419234360419E-2</v>
      </c>
      <c r="J148">
        <v>5</v>
      </c>
      <c r="K148">
        <v>17</v>
      </c>
      <c r="L148">
        <v>692</v>
      </c>
      <c r="M148">
        <v>32.957142857142856</v>
      </c>
      <c r="N148">
        <v>23.333333333333332</v>
      </c>
      <c r="O148">
        <v>2800</v>
      </c>
      <c r="P148">
        <v>769</v>
      </c>
    </row>
    <row r="149" spans="1:16" x14ac:dyDescent="0.2">
      <c r="A149" t="s">
        <v>3303</v>
      </c>
      <c r="B149" t="s">
        <v>6998</v>
      </c>
      <c r="C149" t="s">
        <v>3302</v>
      </c>
      <c r="D149" t="s">
        <v>3268</v>
      </c>
      <c r="E149" t="s">
        <v>228</v>
      </c>
      <c r="F149">
        <v>179.99</v>
      </c>
      <c r="G149" t="s">
        <v>7014</v>
      </c>
      <c r="H149">
        <v>7.3516579406631755E-2</v>
      </c>
      <c r="I149" t="s">
        <v>7015</v>
      </c>
      <c r="M149">
        <v>11.999999999999998</v>
      </c>
      <c r="N149">
        <v>31.833333333333336</v>
      </c>
      <c r="O149">
        <v>4860</v>
      </c>
      <c r="P149">
        <v>382</v>
      </c>
    </row>
    <row r="150" spans="1:16" x14ac:dyDescent="0.2">
      <c r="A150" t="s">
        <v>2533</v>
      </c>
      <c r="B150" t="s">
        <v>6130</v>
      </c>
      <c r="C150" t="s">
        <v>2534</v>
      </c>
      <c r="D150" t="s">
        <v>2502</v>
      </c>
      <c r="E150" t="s">
        <v>228</v>
      </c>
      <c r="F150">
        <v>119.99</v>
      </c>
      <c r="G150" t="s">
        <v>7014</v>
      </c>
      <c r="H150">
        <v>6.6703216374269014E-2</v>
      </c>
      <c r="M150">
        <v>17.20754716981132</v>
      </c>
      <c r="N150">
        <v>26.5</v>
      </c>
      <c r="O150">
        <v>3240</v>
      </c>
      <c r="P150">
        <v>456</v>
      </c>
    </row>
    <row r="151" spans="1:16" x14ac:dyDescent="0.2">
      <c r="A151" t="s">
        <v>3300</v>
      </c>
      <c r="B151" t="s">
        <v>6992</v>
      </c>
      <c r="C151" t="s">
        <v>3299</v>
      </c>
      <c r="D151" t="s">
        <v>3268</v>
      </c>
      <c r="E151" t="s">
        <v>228</v>
      </c>
      <c r="F151">
        <v>199.99</v>
      </c>
      <c r="G151" t="s">
        <v>7014</v>
      </c>
      <c r="H151">
        <v>7.8669910786699118E-2</v>
      </c>
      <c r="I151" t="s">
        <v>7015</v>
      </c>
      <c r="M151">
        <v>11.687203791469194</v>
      </c>
      <c r="N151">
        <v>35.166666666666664</v>
      </c>
      <c r="O151">
        <v>5400</v>
      </c>
      <c r="P151">
        <v>411</v>
      </c>
    </row>
    <row r="152" spans="1:16" x14ac:dyDescent="0.2">
      <c r="A152" t="s">
        <v>249</v>
      </c>
      <c r="B152" t="s">
        <v>4239</v>
      </c>
      <c r="C152" t="s">
        <v>250</v>
      </c>
      <c r="D152" t="s">
        <v>223</v>
      </c>
      <c r="E152" t="s">
        <v>228</v>
      </c>
      <c r="F152">
        <v>39.99</v>
      </c>
      <c r="G152" t="s">
        <v>7014</v>
      </c>
      <c r="H152">
        <v>6.6964285714285712E-2</v>
      </c>
      <c r="I152" t="s">
        <v>7015</v>
      </c>
      <c r="M152">
        <v>18.232558139534884</v>
      </c>
      <c r="N152">
        <v>21.5</v>
      </c>
      <c r="O152">
        <v>1080</v>
      </c>
      <c r="P152">
        <v>392</v>
      </c>
    </row>
    <row r="153" spans="1:16" x14ac:dyDescent="0.2">
      <c r="A153" t="s">
        <v>936</v>
      </c>
      <c r="B153" t="s">
        <v>4942</v>
      </c>
      <c r="C153" t="s">
        <v>937</v>
      </c>
      <c r="D153" t="s">
        <v>446</v>
      </c>
      <c r="E153" t="s">
        <v>228</v>
      </c>
      <c r="F153">
        <v>69.989999999999995</v>
      </c>
      <c r="G153" t="s">
        <v>8</v>
      </c>
      <c r="H153">
        <v>4.550934297769741E-2</v>
      </c>
      <c r="J153">
        <v>4</v>
      </c>
      <c r="K153">
        <v>63</v>
      </c>
      <c r="L153">
        <v>486</v>
      </c>
      <c r="M153">
        <v>23.061224489795919</v>
      </c>
      <c r="N153">
        <v>24.5</v>
      </c>
      <c r="O153">
        <v>1890</v>
      </c>
      <c r="P153">
        <v>565</v>
      </c>
    </row>
    <row r="154" spans="1:16" x14ac:dyDescent="0.2">
      <c r="A154" t="s">
        <v>249</v>
      </c>
      <c r="B154" t="s">
        <v>4241</v>
      </c>
      <c r="C154" t="s">
        <v>250</v>
      </c>
      <c r="D154" t="s">
        <v>223</v>
      </c>
      <c r="E154" t="s">
        <v>228</v>
      </c>
      <c r="F154">
        <v>39.99</v>
      </c>
      <c r="G154" t="s">
        <v>8</v>
      </c>
      <c r="H154">
        <v>6.4231738035264482E-2</v>
      </c>
      <c r="J154">
        <v>40</v>
      </c>
      <c r="K154">
        <v>16</v>
      </c>
      <c r="L154">
        <v>341</v>
      </c>
      <c r="M154">
        <v>19.285714285714285</v>
      </c>
      <c r="N154">
        <v>21</v>
      </c>
      <c r="O154">
        <v>1080</v>
      </c>
      <c r="P154">
        <v>405</v>
      </c>
    </row>
    <row r="155" spans="1:16" x14ac:dyDescent="0.2">
      <c r="A155" t="s">
        <v>3303</v>
      </c>
      <c r="B155" t="s">
        <v>6997</v>
      </c>
      <c r="C155" t="s">
        <v>3302</v>
      </c>
      <c r="D155" t="s">
        <v>3268</v>
      </c>
      <c r="E155" t="s">
        <v>228</v>
      </c>
      <c r="F155">
        <v>179.99</v>
      </c>
      <c r="G155" t="s">
        <v>11</v>
      </c>
      <c r="H155">
        <v>0.24715909090909091</v>
      </c>
      <c r="M155">
        <v>3.0344827586206895</v>
      </c>
      <c r="N155">
        <v>29</v>
      </c>
      <c r="O155">
        <v>4680</v>
      </c>
      <c r="P155">
        <v>88</v>
      </c>
    </row>
    <row r="156" spans="1:16" x14ac:dyDescent="0.2">
      <c r="A156" t="s">
        <v>789</v>
      </c>
      <c r="B156" t="s">
        <v>5066</v>
      </c>
      <c r="C156" t="s">
        <v>790</v>
      </c>
      <c r="D156" t="s">
        <v>446</v>
      </c>
      <c r="E156" t="s">
        <v>228</v>
      </c>
      <c r="F156">
        <v>44.99</v>
      </c>
      <c r="G156" t="s">
        <v>7014</v>
      </c>
      <c r="H156">
        <v>9.7916666666666666E-2</v>
      </c>
      <c r="I156" t="s">
        <v>7015</v>
      </c>
      <c r="M156">
        <v>10.864197530864198</v>
      </c>
      <c r="N156">
        <v>40.5</v>
      </c>
      <c r="O156">
        <v>1170</v>
      </c>
      <c r="P156">
        <v>440</v>
      </c>
    </row>
    <row r="157" spans="1:16" x14ac:dyDescent="0.2">
      <c r="A157" t="s">
        <v>687</v>
      </c>
      <c r="B157" t="s">
        <v>5084</v>
      </c>
      <c r="C157" t="s">
        <v>688</v>
      </c>
      <c r="D157" t="s">
        <v>446</v>
      </c>
      <c r="E157" t="s">
        <v>228</v>
      </c>
      <c r="F157">
        <v>59.99</v>
      </c>
      <c r="G157" t="s">
        <v>7014</v>
      </c>
      <c r="H157">
        <v>6.0925600468658463E-2</v>
      </c>
      <c r="I157" t="s">
        <v>7015</v>
      </c>
      <c r="M157">
        <v>17.689119170984458</v>
      </c>
      <c r="N157">
        <v>32.166666666666664</v>
      </c>
      <c r="O157">
        <v>1560</v>
      </c>
      <c r="P157">
        <v>569</v>
      </c>
    </row>
    <row r="158" spans="1:16" x14ac:dyDescent="0.2">
      <c r="A158" t="s">
        <v>685</v>
      </c>
      <c r="B158" t="s">
        <v>5086</v>
      </c>
      <c r="C158" t="s">
        <v>686</v>
      </c>
      <c r="D158" t="s">
        <v>446</v>
      </c>
      <c r="E158" t="s">
        <v>228</v>
      </c>
      <c r="F158">
        <v>59.99</v>
      </c>
      <c r="G158" t="s">
        <v>7014</v>
      </c>
      <c r="H158">
        <v>5.8771929824561406E-2</v>
      </c>
      <c r="I158" t="s">
        <v>7015</v>
      </c>
      <c r="M158">
        <v>18.586956521739133</v>
      </c>
      <c r="N158">
        <v>30.666666666666664</v>
      </c>
      <c r="O158">
        <v>1560</v>
      </c>
      <c r="P158">
        <v>570</v>
      </c>
    </row>
    <row r="159" spans="1:16" x14ac:dyDescent="0.2">
      <c r="A159" t="s">
        <v>769</v>
      </c>
      <c r="B159" t="s">
        <v>5118</v>
      </c>
      <c r="C159" t="s">
        <v>770</v>
      </c>
      <c r="D159" t="s">
        <v>446</v>
      </c>
      <c r="E159" t="s">
        <v>228</v>
      </c>
      <c r="F159">
        <v>49.99</v>
      </c>
      <c r="G159" t="s">
        <v>8</v>
      </c>
      <c r="H159">
        <v>4.3852880658436219E-2</v>
      </c>
      <c r="J159">
        <v>2</v>
      </c>
      <c r="K159">
        <v>34</v>
      </c>
      <c r="L159">
        <v>612</v>
      </c>
      <c r="M159">
        <v>27.221476510067117</v>
      </c>
      <c r="N159">
        <v>24.833333333333332</v>
      </c>
      <c r="O159">
        <v>1300</v>
      </c>
      <c r="P159">
        <v>676</v>
      </c>
    </row>
    <row r="160" spans="1:16" x14ac:dyDescent="0.2">
      <c r="A160" t="s">
        <v>3002</v>
      </c>
      <c r="B160" t="s">
        <v>6541</v>
      </c>
      <c r="C160" t="s">
        <v>3003</v>
      </c>
      <c r="D160" t="s">
        <v>2987</v>
      </c>
      <c r="E160" t="s">
        <v>228</v>
      </c>
      <c r="F160">
        <v>109.99</v>
      </c>
      <c r="G160" t="s">
        <v>11</v>
      </c>
      <c r="H160">
        <v>0.28999999999999998</v>
      </c>
      <c r="M160">
        <v>4.2857142857142856</v>
      </c>
      <c r="N160">
        <v>17.5</v>
      </c>
      <c r="O160">
        <v>2750</v>
      </c>
      <c r="P160">
        <v>75</v>
      </c>
    </row>
    <row r="161" spans="1:16" x14ac:dyDescent="0.2">
      <c r="A161" t="s">
        <v>2990</v>
      </c>
      <c r="B161" t="s">
        <v>6776</v>
      </c>
      <c r="C161" t="s">
        <v>2991</v>
      </c>
      <c r="D161" t="s">
        <v>2987</v>
      </c>
      <c r="E161" t="s">
        <v>228</v>
      </c>
      <c r="F161">
        <v>89.99</v>
      </c>
      <c r="G161" t="s">
        <v>11</v>
      </c>
      <c r="H161">
        <v>0.11063218390804598</v>
      </c>
      <c r="M161">
        <v>7.6764705882352935</v>
      </c>
      <c r="N161">
        <v>22.666666666666668</v>
      </c>
      <c r="O161">
        <v>2250</v>
      </c>
      <c r="P161">
        <v>174</v>
      </c>
    </row>
    <row r="162" spans="1:16" x14ac:dyDescent="0.2">
      <c r="A162" t="s">
        <v>972</v>
      </c>
      <c r="B162" t="s">
        <v>4659</v>
      </c>
      <c r="C162" t="s">
        <v>973</v>
      </c>
      <c r="D162" t="s">
        <v>446</v>
      </c>
      <c r="E162" t="s">
        <v>228</v>
      </c>
      <c r="F162">
        <v>44.99</v>
      </c>
      <c r="G162" t="s">
        <v>7014</v>
      </c>
      <c r="H162">
        <v>5.5615550755939526E-2</v>
      </c>
      <c r="I162" t="s">
        <v>7015</v>
      </c>
      <c r="M162">
        <v>11.871794871794872</v>
      </c>
      <c r="N162">
        <v>39</v>
      </c>
      <c r="O162">
        <v>1125</v>
      </c>
      <c r="P162">
        <v>463</v>
      </c>
    </row>
    <row r="163" spans="1:16" x14ac:dyDescent="0.2">
      <c r="A163" t="s">
        <v>785</v>
      </c>
      <c r="B163" t="s">
        <v>5092</v>
      </c>
      <c r="C163" t="s">
        <v>786</v>
      </c>
      <c r="D163" t="s">
        <v>446</v>
      </c>
      <c r="E163" t="s">
        <v>228</v>
      </c>
      <c r="F163">
        <v>44.99</v>
      </c>
      <c r="G163" t="s">
        <v>7014</v>
      </c>
      <c r="H163">
        <v>6.965811965811966E-2</v>
      </c>
      <c r="I163" t="s">
        <v>7015</v>
      </c>
      <c r="M163">
        <v>15.918367346938776</v>
      </c>
      <c r="N163">
        <v>24.5</v>
      </c>
      <c r="O163">
        <v>1125</v>
      </c>
      <c r="P163">
        <v>390</v>
      </c>
    </row>
    <row r="164" spans="1:16" x14ac:dyDescent="0.2">
      <c r="A164" t="s">
        <v>673</v>
      </c>
      <c r="B164" t="s">
        <v>5119</v>
      </c>
      <c r="C164" t="s">
        <v>674</v>
      </c>
      <c r="D164" t="s">
        <v>446</v>
      </c>
      <c r="E164" t="s">
        <v>228</v>
      </c>
      <c r="F164">
        <v>299.99</v>
      </c>
      <c r="G164" t="s">
        <v>7014</v>
      </c>
      <c r="H164">
        <v>3.8650075414781299E-2</v>
      </c>
      <c r="I164" t="s">
        <v>7015</v>
      </c>
      <c r="M164">
        <v>28.826086956521738</v>
      </c>
      <c r="N164">
        <v>15.333333333333334</v>
      </c>
      <c r="O164">
        <v>7500</v>
      </c>
      <c r="P164">
        <v>442</v>
      </c>
    </row>
    <row r="165" spans="1:16" x14ac:dyDescent="0.2">
      <c r="A165" t="s">
        <v>2481</v>
      </c>
      <c r="B165" t="s">
        <v>5742</v>
      </c>
      <c r="C165" t="s">
        <v>2482</v>
      </c>
      <c r="D165" t="s">
        <v>2448</v>
      </c>
      <c r="E165" t="s">
        <v>228</v>
      </c>
      <c r="F165">
        <v>59.99</v>
      </c>
      <c r="G165" t="s">
        <v>8</v>
      </c>
      <c r="H165">
        <v>0.10682957393483708</v>
      </c>
      <c r="J165">
        <v>1</v>
      </c>
      <c r="K165">
        <v>36</v>
      </c>
      <c r="L165">
        <v>229</v>
      </c>
      <c r="M165">
        <v>11.635135135135137</v>
      </c>
      <c r="N165">
        <v>24.666666666666664</v>
      </c>
      <c r="O165">
        <v>1500</v>
      </c>
      <c r="P165">
        <v>287</v>
      </c>
    </row>
    <row r="166" spans="1:16" x14ac:dyDescent="0.2">
      <c r="A166" t="s">
        <v>493</v>
      </c>
      <c r="B166" t="s">
        <v>4745</v>
      </c>
      <c r="C166" t="s">
        <v>494</v>
      </c>
      <c r="D166" t="s">
        <v>446</v>
      </c>
      <c r="E166" t="s">
        <v>228</v>
      </c>
      <c r="F166">
        <v>89.99</v>
      </c>
      <c r="G166" t="s">
        <v>8</v>
      </c>
      <c r="H166">
        <v>4.1791417165668664E-2</v>
      </c>
      <c r="J166">
        <v>7</v>
      </c>
      <c r="K166">
        <v>42</v>
      </c>
      <c r="L166">
        <v>619</v>
      </c>
      <c r="M166">
        <v>28.369942196531792</v>
      </c>
      <c r="N166">
        <v>28.833333333333332</v>
      </c>
      <c r="O166">
        <v>2250</v>
      </c>
      <c r="P166">
        <v>818</v>
      </c>
    </row>
    <row r="167" spans="1:16" x14ac:dyDescent="0.2">
      <c r="A167" t="s">
        <v>459</v>
      </c>
      <c r="B167" t="s">
        <v>4793</v>
      </c>
      <c r="C167" t="s">
        <v>460</v>
      </c>
      <c r="D167" t="s">
        <v>446</v>
      </c>
      <c r="E167" t="s">
        <v>228</v>
      </c>
      <c r="F167">
        <v>59.99</v>
      </c>
      <c r="G167" t="s">
        <v>8</v>
      </c>
      <c r="H167">
        <v>3.6292573981016193E-2</v>
      </c>
      <c r="J167">
        <v>2</v>
      </c>
      <c r="K167">
        <v>60</v>
      </c>
      <c r="L167">
        <v>535</v>
      </c>
      <c r="M167">
        <v>37.085106382978722</v>
      </c>
      <c r="N167">
        <v>15.666666666666666</v>
      </c>
      <c r="O167">
        <v>1500</v>
      </c>
      <c r="P167">
        <v>581</v>
      </c>
    </row>
    <row r="168" spans="1:16" x14ac:dyDescent="0.2">
      <c r="A168" t="s">
        <v>930</v>
      </c>
      <c r="B168" t="s">
        <v>4944</v>
      </c>
      <c r="C168" t="s">
        <v>931</v>
      </c>
      <c r="D168" t="s">
        <v>446</v>
      </c>
      <c r="E168" t="s">
        <v>228</v>
      </c>
      <c r="F168">
        <v>69.989999999999995</v>
      </c>
      <c r="G168" t="s">
        <v>8</v>
      </c>
      <c r="H168">
        <v>4.7466095645967168E-2</v>
      </c>
      <c r="J168">
        <v>3</v>
      </c>
      <c r="K168">
        <v>32</v>
      </c>
      <c r="L168">
        <v>432</v>
      </c>
      <c r="M168">
        <v>21.428571428571427</v>
      </c>
      <c r="N168">
        <v>22.166666666666668</v>
      </c>
      <c r="O168">
        <v>1680</v>
      </c>
      <c r="P168">
        <v>475</v>
      </c>
    </row>
    <row r="169" spans="1:16" x14ac:dyDescent="0.2">
      <c r="A169" t="s">
        <v>1006</v>
      </c>
      <c r="B169" t="s">
        <v>4936</v>
      </c>
      <c r="C169" t="s">
        <v>1007</v>
      </c>
      <c r="D169" t="s">
        <v>446</v>
      </c>
      <c r="E169" t="s">
        <v>228</v>
      </c>
      <c r="F169">
        <v>29.99</v>
      </c>
      <c r="G169" t="s">
        <v>8</v>
      </c>
      <c r="H169">
        <v>8.2655826558265574E-2</v>
      </c>
      <c r="J169">
        <v>2</v>
      </c>
      <c r="K169">
        <v>17</v>
      </c>
      <c r="L169">
        <v>227</v>
      </c>
      <c r="M169">
        <v>11.852459016393443</v>
      </c>
      <c r="N169">
        <v>20.333333333333332</v>
      </c>
      <c r="O169">
        <v>720</v>
      </c>
      <c r="P169">
        <v>241</v>
      </c>
    </row>
    <row r="170" spans="1:16" x14ac:dyDescent="0.2">
      <c r="A170" t="s">
        <v>765</v>
      </c>
      <c r="B170" t="s">
        <v>5038</v>
      </c>
      <c r="C170" t="s">
        <v>766</v>
      </c>
      <c r="D170" t="s">
        <v>446</v>
      </c>
      <c r="E170" t="s">
        <v>228</v>
      </c>
      <c r="F170">
        <v>39.99</v>
      </c>
      <c r="G170" t="s">
        <v>8</v>
      </c>
      <c r="H170">
        <v>8.0721747388414047E-2</v>
      </c>
      <c r="J170">
        <v>9</v>
      </c>
      <c r="K170">
        <v>11</v>
      </c>
      <c r="L170">
        <v>331</v>
      </c>
      <c r="M170">
        <v>14.165680473372781</v>
      </c>
      <c r="N170">
        <v>28.166666666666668</v>
      </c>
      <c r="O170">
        <v>960</v>
      </c>
      <c r="P170">
        <v>399</v>
      </c>
    </row>
    <row r="171" spans="1:16" x14ac:dyDescent="0.2">
      <c r="A171" t="s">
        <v>2487</v>
      </c>
      <c r="B171" t="s">
        <v>5754</v>
      </c>
      <c r="C171" t="s">
        <v>2488</v>
      </c>
      <c r="D171" t="s">
        <v>2448</v>
      </c>
      <c r="E171" t="s">
        <v>228</v>
      </c>
      <c r="F171">
        <v>59.99</v>
      </c>
      <c r="G171" t="s">
        <v>8</v>
      </c>
      <c r="H171">
        <v>7.1957671957671956E-2</v>
      </c>
      <c r="J171">
        <v>2</v>
      </c>
      <c r="K171">
        <v>24</v>
      </c>
      <c r="L171">
        <v>289</v>
      </c>
      <c r="M171">
        <v>15.55</v>
      </c>
      <c r="N171">
        <v>20</v>
      </c>
      <c r="O171">
        <v>1440</v>
      </c>
      <c r="P171">
        <v>311</v>
      </c>
    </row>
    <row r="172" spans="1:16" x14ac:dyDescent="0.2">
      <c r="A172" t="s">
        <v>789</v>
      </c>
      <c r="B172" t="s">
        <v>5068</v>
      </c>
      <c r="C172" t="s">
        <v>790</v>
      </c>
      <c r="D172" t="s">
        <v>446</v>
      </c>
      <c r="E172" t="s">
        <v>228</v>
      </c>
      <c r="F172">
        <v>44.99</v>
      </c>
      <c r="G172" t="s">
        <v>8</v>
      </c>
      <c r="H172">
        <v>4.1718946047678798E-2</v>
      </c>
      <c r="J172">
        <v>6</v>
      </c>
      <c r="K172">
        <v>74</v>
      </c>
      <c r="L172">
        <v>717</v>
      </c>
      <c r="M172">
        <v>28.659217877094971</v>
      </c>
      <c r="N172">
        <v>29.833333333333336</v>
      </c>
      <c r="O172">
        <v>1080</v>
      </c>
      <c r="P172">
        <v>855</v>
      </c>
    </row>
    <row r="173" spans="1:16" x14ac:dyDescent="0.2">
      <c r="A173" t="s">
        <v>2571</v>
      </c>
      <c r="B173" t="s">
        <v>7025</v>
      </c>
      <c r="C173" t="s">
        <v>2572</v>
      </c>
      <c r="D173" t="s">
        <v>2502</v>
      </c>
      <c r="E173" t="s">
        <v>228</v>
      </c>
      <c r="F173">
        <v>119.99</v>
      </c>
      <c r="G173" t="s">
        <v>7014</v>
      </c>
      <c r="H173">
        <v>7.3848238482384809E-2</v>
      </c>
      <c r="I173" t="s">
        <v>7015</v>
      </c>
      <c r="M173">
        <v>14.470588235294118</v>
      </c>
      <c r="N173">
        <v>25.5</v>
      </c>
      <c r="O173">
        <v>2760</v>
      </c>
      <c r="P173">
        <v>369</v>
      </c>
    </row>
    <row r="174" spans="1:16" x14ac:dyDescent="0.2">
      <c r="A174" t="s">
        <v>950</v>
      </c>
      <c r="B174" t="s">
        <v>4674</v>
      </c>
      <c r="C174" t="s">
        <v>951</v>
      </c>
      <c r="D174" t="s">
        <v>446</v>
      </c>
      <c r="E174" t="s">
        <v>228</v>
      </c>
      <c r="F174">
        <v>49.99</v>
      </c>
      <c r="G174" t="s">
        <v>7014</v>
      </c>
      <c r="H174">
        <v>0.23777173913043481</v>
      </c>
      <c r="I174" t="s">
        <v>7015</v>
      </c>
      <c r="M174">
        <v>8.9032258064516121</v>
      </c>
      <c r="N174">
        <v>20.666666666666668</v>
      </c>
      <c r="O174">
        <v>1150</v>
      </c>
      <c r="P174">
        <v>184</v>
      </c>
    </row>
    <row r="175" spans="1:16" x14ac:dyDescent="0.2">
      <c r="A175" t="s">
        <v>946</v>
      </c>
      <c r="B175" t="s">
        <v>5146</v>
      </c>
      <c r="C175" t="s">
        <v>947</v>
      </c>
      <c r="D175" t="s">
        <v>446</v>
      </c>
      <c r="E175" t="s">
        <v>228</v>
      </c>
      <c r="F175">
        <v>99.99</v>
      </c>
      <c r="G175" t="s">
        <v>7014</v>
      </c>
      <c r="H175">
        <v>5.128205128205128E-2</v>
      </c>
      <c r="I175" t="s">
        <v>7015</v>
      </c>
      <c r="M175">
        <v>19.648854961832061</v>
      </c>
      <c r="N175">
        <v>21.833333333333332</v>
      </c>
      <c r="O175">
        <v>2300</v>
      </c>
      <c r="P175">
        <v>429</v>
      </c>
    </row>
    <row r="176" spans="1:16" x14ac:dyDescent="0.2">
      <c r="A176" t="s">
        <v>649</v>
      </c>
      <c r="B176" t="s">
        <v>4988</v>
      </c>
      <c r="C176" t="s">
        <v>7026</v>
      </c>
      <c r="D176" t="s">
        <v>446</v>
      </c>
      <c r="E176" t="s">
        <v>228</v>
      </c>
      <c r="F176">
        <v>99.99</v>
      </c>
      <c r="G176" t="s">
        <v>7014</v>
      </c>
      <c r="H176">
        <v>6.2719298245614036E-2</v>
      </c>
      <c r="I176" t="s">
        <v>7015</v>
      </c>
      <c r="M176">
        <v>17.404580152671755</v>
      </c>
      <c r="N176">
        <v>21.833333333333332</v>
      </c>
      <c r="O176">
        <v>2300</v>
      </c>
      <c r="P176">
        <v>380</v>
      </c>
    </row>
    <row r="177" spans="1:16" x14ac:dyDescent="0.2">
      <c r="A177" t="s">
        <v>2222</v>
      </c>
      <c r="B177" t="s">
        <v>5418</v>
      </c>
      <c r="C177" t="s">
        <v>2223</v>
      </c>
      <c r="D177" t="s">
        <v>2146</v>
      </c>
      <c r="E177" t="s">
        <v>228</v>
      </c>
      <c r="F177">
        <v>99.99</v>
      </c>
      <c r="G177" t="s">
        <v>8</v>
      </c>
      <c r="H177">
        <v>3.4400948991696323E-2</v>
      </c>
      <c r="J177">
        <v>1</v>
      </c>
      <c r="K177">
        <v>6</v>
      </c>
      <c r="L177">
        <v>274</v>
      </c>
      <c r="M177">
        <v>13.939393939393939</v>
      </c>
      <c r="N177">
        <v>16.5</v>
      </c>
      <c r="O177">
        <v>2300</v>
      </c>
      <c r="P177">
        <v>230</v>
      </c>
    </row>
    <row r="178" spans="1:16" x14ac:dyDescent="0.2">
      <c r="A178" t="s">
        <v>529</v>
      </c>
      <c r="B178" t="s">
        <v>4838</v>
      </c>
      <c r="C178" t="s">
        <v>530</v>
      </c>
      <c r="D178" t="s">
        <v>446</v>
      </c>
      <c r="E178" t="s">
        <v>228</v>
      </c>
      <c r="F178">
        <v>29.99</v>
      </c>
      <c r="G178" t="s">
        <v>8</v>
      </c>
      <c r="H178">
        <v>9.3358395989974946E-2</v>
      </c>
      <c r="J178">
        <v>7</v>
      </c>
      <c r="K178">
        <v>34</v>
      </c>
      <c r="L178">
        <v>624</v>
      </c>
      <c r="M178">
        <v>25.47019867549669</v>
      </c>
      <c r="N178">
        <v>25.166666666666664</v>
      </c>
      <c r="O178">
        <v>690</v>
      </c>
      <c r="P178">
        <v>641</v>
      </c>
    </row>
    <row r="179" spans="1:16" x14ac:dyDescent="0.2">
      <c r="A179" t="s">
        <v>3295</v>
      </c>
      <c r="B179" t="s">
        <v>6988</v>
      </c>
      <c r="C179" t="s">
        <v>3296</v>
      </c>
      <c r="D179" t="s">
        <v>3268</v>
      </c>
      <c r="E179" t="s">
        <v>228</v>
      </c>
      <c r="F179">
        <v>199.99</v>
      </c>
      <c r="G179" t="s">
        <v>11</v>
      </c>
      <c r="H179">
        <v>0.31028368794326244</v>
      </c>
      <c r="M179">
        <v>3.2601156069364161</v>
      </c>
      <c r="N179">
        <v>28.833333333333332</v>
      </c>
      <c r="O179">
        <v>4400</v>
      </c>
      <c r="P179">
        <v>94</v>
      </c>
    </row>
    <row r="180" spans="1:16" x14ac:dyDescent="0.2">
      <c r="A180" t="s">
        <v>2535</v>
      </c>
      <c r="B180" t="s">
        <v>6133</v>
      </c>
      <c r="C180" t="s">
        <v>2536</v>
      </c>
      <c r="D180" t="s">
        <v>2502</v>
      </c>
      <c r="E180" t="s">
        <v>228</v>
      </c>
      <c r="F180">
        <v>139.99</v>
      </c>
      <c r="G180" t="s">
        <v>7014</v>
      </c>
      <c r="H180">
        <v>6.0679611650485438E-2</v>
      </c>
      <c r="M180">
        <v>16.816326530612244</v>
      </c>
      <c r="N180">
        <v>24.5</v>
      </c>
      <c r="O180">
        <v>3080</v>
      </c>
      <c r="P180">
        <v>412</v>
      </c>
    </row>
    <row r="181" spans="1:16" x14ac:dyDescent="0.2">
      <c r="A181" t="s">
        <v>801</v>
      </c>
      <c r="B181" t="s">
        <v>5042</v>
      </c>
      <c r="C181" t="s">
        <v>802</v>
      </c>
      <c r="D181" t="s">
        <v>446</v>
      </c>
      <c r="E181" t="s">
        <v>228</v>
      </c>
      <c r="F181">
        <v>49.99</v>
      </c>
      <c r="G181" t="s">
        <v>7014</v>
      </c>
      <c r="H181">
        <v>0.10751633986928104</v>
      </c>
      <c r="I181" t="s">
        <v>7015</v>
      </c>
      <c r="M181">
        <v>8.5474860335195526</v>
      </c>
      <c r="N181">
        <v>29.833333333333332</v>
      </c>
      <c r="O181">
        <v>1100</v>
      </c>
      <c r="P181">
        <v>255</v>
      </c>
    </row>
    <row r="182" spans="1:16" x14ac:dyDescent="0.2">
      <c r="A182" t="s">
        <v>2152</v>
      </c>
      <c r="B182" t="s">
        <v>5434</v>
      </c>
      <c r="C182" t="s">
        <v>2153</v>
      </c>
      <c r="D182" t="s">
        <v>2146</v>
      </c>
      <c r="E182" t="s">
        <v>228</v>
      </c>
      <c r="F182">
        <v>169.99</v>
      </c>
      <c r="G182" t="s">
        <v>7014</v>
      </c>
      <c r="H182">
        <v>4.4532627865961197E-2</v>
      </c>
      <c r="I182" t="s">
        <v>7015</v>
      </c>
      <c r="M182">
        <v>25.96946564885496</v>
      </c>
      <c r="N182">
        <v>21.833333333333336</v>
      </c>
      <c r="O182">
        <v>3570</v>
      </c>
      <c r="P182">
        <v>567</v>
      </c>
    </row>
    <row r="183" spans="1:16" x14ac:dyDescent="0.2">
      <c r="A183" t="s">
        <v>781</v>
      </c>
      <c r="B183" t="s">
        <v>5098</v>
      </c>
      <c r="C183" t="s">
        <v>782</v>
      </c>
      <c r="D183" t="s">
        <v>446</v>
      </c>
      <c r="E183" t="s">
        <v>228</v>
      </c>
      <c r="F183">
        <v>44.99</v>
      </c>
      <c r="G183" t="s">
        <v>7014</v>
      </c>
      <c r="H183">
        <v>6.7626527050610813E-2</v>
      </c>
      <c r="I183" t="s">
        <v>7015</v>
      </c>
      <c r="M183">
        <v>15.698630136986303</v>
      </c>
      <c r="N183">
        <v>24.333333333333332</v>
      </c>
      <c r="O183">
        <v>945</v>
      </c>
      <c r="P183">
        <v>382</v>
      </c>
    </row>
    <row r="184" spans="1:16" x14ac:dyDescent="0.2">
      <c r="A184" t="s">
        <v>2665</v>
      </c>
      <c r="B184" t="s">
        <v>6183</v>
      </c>
      <c r="C184" t="s">
        <v>2666</v>
      </c>
      <c r="D184" t="s">
        <v>2502</v>
      </c>
      <c r="E184" t="s">
        <v>228</v>
      </c>
      <c r="F184">
        <v>64.989999999999995</v>
      </c>
      <c r="G184" t="s">
        <v>8</v>
      </c>
      <c r="H184">
        <v>1.9769357495881382E-2</v>
      </c>
      <c r="J184">
        <v>0</v>
      </c>
      <c r="K184">
        <v>31</v>
      </c>
      <c r="L184">
        <v>576</v>
      </c>
      <c r="M184">
        <v>52.869565217391305</v>
      </c>
      <c r="N184">
        <v>11.5</v>
      </c>
      <c r="O184">
        <v>1365</v>
      </c>
      <c r="P184">
        <v>608</v>
      </c>
    </row>
    <row r="185" spans="1:16" x14ac:dyDescent="0.2">
      <c r="A185" t="s">
        <v>521</v>
      </c>
      <c r="B185" t="s">
        <v>4835</v>
      </c>
      <c r="C185" t="s">
        <v>522</v>
      </c>
      <c r="D185" t="s">
        <v>446</v>
      </c>
      <c r="E185" t="s">
        <v>228</v>
      </c>
      <c r="F185">
        <v>19.989999999999998</v>
      </c>
      <c r="G185" t="s">
        <v>8</v>
      </c>
      <c r="H185">
        <v>5.8006535947712413E-2</v>
      </c>
      <c r="J185">
        <v>13</v>
      </c>
      <c r="K185">
        <v>166</v>
      </c>
      <c r="L185">
        <v>841</v>
      </c>
      <c r="M185">
        <v>57.25714285714286</v>
      </c>
      <c r="N185">
        <v>17.5</v>
      </c>
      <c r="O185">
        <v>420</v>
      </c>
      <c r="P185">
        <v>1002</v>
      </c>
    </row>
    <row r="186" spans="1:16" x14ac:dyDescent="0.2">
      <c r="A186" t="s">
        <v>34</v>
      </c>
      <c r="B186" t="s">
        <v>97</v>
      </c>
      <c r="C186" t="s">
        <v>3004</v>
      </c>
      <c r="D186" t="s">
        <v>2987</v>
      </c>
      <c r="E186" t="s">
        <v>228</v>
      </c>
      <c r="F186">
        <v>59.99</v>
      </c>
      <c r="G186" t="s">
        <v>14</v>
      </c>
      <c r="H186">
        <v>3.2214506172839504E-2</v>
      </c>
      <c r="M186">
        <v>26.721649484536087</v>
      </c>
      <c r="N186">
        <v>16.166666666666664</v>
      </c>
      <c r="O186">
        <v>1200</v>
      </c>
      <c r="P186">
        <v>432</v>
      </c>
    </row>
    <row r="187" spans="1:16" x14ac:dyDescent="0.2">
      <c r="A187" t="s">
        <v>2753</v>
      </c>
      <c r="B187" t="s">
        <v>6087</v>
      </c>
      <c r="C187" t="s">
        <v>2754</v>
      </c>
      <c r="D187" t="s">
        <v>2502</v>
      </c>
      <c r="E187" t="s">
        <v>228</v>
      </c>
      <c r="F187">
        <v>34.99</v>
      </c>
      <c r="G187" t="s">
        <v>7014</v>
      </c>
      <c r="H187">
        <v>4.431216931216931E-2</v>
      </c>
      <c r="M187">
        <v>25.2</v>
      </c>
      <c r="N187">
        <v>15</v>
      </c>
      <c r="O187">
        <v>700</v>
      </c>
      <c r="P187">
        <v>378</v>
      </c>
    </row>
    <row r="188" spans="1:16" x14ac:dyDescent="0.2">
      <c r="A188" t="s">
        <v>3037</v>
      </c>
      <c r="B188" t="s">
        <v>6513</v>
      </c>
      <c r="C188" t="s">
        <v>3038</v>
      </c>
      <c r="D188" t="s">
        <v>2987</v>
      </c>
      <c r="E188" t="s">
        <v>228</v>
      </c>
      <c r="F188">
        <v>79.989999999999995</v>
      </c>
      <c r="G188" t="s">
        <v>7014</v>
      </c>
      <c r="H188">
        <v>5.3672316384180803E-2</v>
      </c>
      <c r="I188" t="s">
        <v>7015</v>
      </c>
      <c r="M188">
        <v>19.887640449438205</v>
      </c>
      <c r="N188">
        <v>14.833333333333332</v>
      </c>
      <c r="O188">
        <v>1600</v>
      </c>
      <c r="P188">
        <v>295</v>
      </c>
    </row>
    <row r="189" spans="1:16" x14ac:dyDescent="0.2">
      <c r="A189" t="s">
        <v>3055</v>
      </c>
      <c r="B189" t="s">
        <v>6933</v>
      </c>
      <c r="C189" t="s">
        <v>3056</v>
      </c>
      <c r="D189" t="s">
        <v>2987</v>
      </c>
      <c r="E189" t="s">
        <v>228</v>
      </c>
      <c r="F189">
        <v>139.99</v>
      </c>
      <c r="G189" t="s">
        <v>7014</v>
      </c>
      <c r="H189">
        <v>0.10774058577405858</v>
      </c>
      <c r="I189" t="s">
        <v>7015</v>
      </c>
      <c r="M189">
        <v>9.4966887417218544</v>
      </c>
      <c r="N189">
        <v>25.166666666666668</v>
      </c>
      <c r="O189">
        <v>2800</v>
      </c>
      <c r="P189">
        <v>239</v>
      </c>
    </row>
    <row r="190" spans="1:16" x14ac:dyDescent="0.2">
      <c r="A190" t="s">
        <v>551</v>
      </c>
      <c r="B190" t="s">
        <v>5056</v>
      </c>
      <c r="C190" t="s">
        <v>552</v>
      </c>
      <c r="D190" t="s">
        <v>446</v>
      </c>
      <c r="E190" t="s">
        <v>228</v>
      </c>
      <c r="F190">
        <v>169.99</v>
      </c>
      <c r="G190" t="s">
        <v>8</v>
      </c>
      <c r="H190">
        <v>5.4302045728038505E-2</v>
      </c>
      <c r="J190">
        <v>13</v>
      </c>
      <c r="K190">
        <v>8</v>
      </c>
      <c r="L190">
        <v>533</v>
      </c>
      <c r="M190">
        <v>26.281690140845072</v>
      </c>
      <c r="N190">
        <v>23.666666666666664</v>
      </c>
      <c r="O190">
        <v>3400</v>
      </c>
      <c r="P190">
        <v>622</v>
      </c>
    </row>
    <row r="191" spans="1:16" x14ac:dyDescent="0.2">
      <c r="A191" t="s">
        <v>477</v>
      </c>
      <c r="B191" t="s">
        <v>4761</v>
      </c>
      <c r="C191" t="s">
        <v>478</v>
      </c>
      <c r="D191" t="s">
        <v>446</v>
      </c>
      <c r="E191" t="s">
        <v>228</v>
      </c>
      <c r="F191">
        <v>34.99</v>
      </c>
      <c r="G191" t="s">
        <v>8</v>
      </c>
      <c r="H191">
        <v>1.680896478121665E-2</v>
      </c>
      <c r="J191">
        <v>0</v>
      </c>
      <c r="K191">
        <v>73</v>
      </c>
      <c r="L191">
        <v>864</v>
      </c>
      <c r="M191">
        <v>61.695652173913047</v>
      </c>
      <c r="N191">
        <v>15.333333333333332</v>
      </c>
      <c r="O191">
        <v>700</v>
      </c>
      <c r="P191">
        <v>946</v>
      </c>
    </row>
    <row r="192" spans="1:16" x14ac:dyDescent="0.2">
      <c r="A192" t="s">
        <v>507</v>
      </c>
      <c r="B192" t="s">
        <v>4930</v>
      </c>
      <c r="C192" t="s">
        <v>508</v>
      </c>
      <c r="D192" t="s">
        <v>446</v>
      </c>
      <c r="E192" t="s">
        <v>228</v>
      </c>
      <c r="F192">
        <v>39.99</v>
      </c>
      <c r="G192" t="s">
        <v>8</v>
      </c>
      <c r="H192">
        <v>9.9930843706777309E-2</v>
      </c>
      <c r="J192">
        <v>2</v>
      </c>
      <c r="K192">
        <v>43</v>
      </c>
      <c r="L192">
        <v>196</v>
      </c>
      <c r="M192">
        <v>12.307692307692308</v>
      </c>
      <c r="N192">
        <v>19.5</v>
      </c>
      <c r="O192">
        <v>800</v>
      </c>
      <c r="P192">
        <v>240</v>
      </c>
    </row>
    <row r="193" spans="1:16" x14ac:dyDescent="0.2">
      <c r="A193" t="s">
        <v>491</v>
      </c>
      <c r="B193" t="s">
        <v>4744</v>
      </c>
      <c r="C193" t="s">
        <v>492</v>
      </c>
      <c r="D193" t="s">
        <v>446</v>
      </c>
      <c r="E193" t="s">
        <v>228</v>
      </c>
      <c r="F193">
        <v>89.99</v>
      </c>
      <c r="G193" t="s">
        <v>8</v>
      </c>
      <c r="H193">
        <v>3.8014069264069264E-2</v>
      </c>
      <c r="J193">
        <v>8</v>
      </c>
      <c r="K193">
        <v>36</v>
      </c>
      <c r="L193">
        <v>572</v>
      </c>
      <c r="M193">
        <v>27.03846153846154</v>
      </c>
      <c r="N193">
        <v>26</v>
      </c>
      <c r="O193">
        <v>1800</v>
      </c>
      <c r="P193">
        <v>703</v>
      </c>
    </row>
    <row r="194" spans="1:16" x14ac:dyDescent="0.2">
      <c r="A194" t="s">
        <v>539</v>
      </c>
      <c r="B194" t="s">
        <v>4848</v>
      </c>
      <c r="C194" t="s">
        <v>540</v>
      </c>
      <c r="D194" t="s">
        <v>446</v>
      </c>
      <c r="E194" t="s">
        <v>228</v>
      </c>
      <c r="F194">
        <v>49.99</v>
      </c>
      <c r="G194" t="s">
        <v>8</v>
      </c>
      <c r="H194">
        <v>3.1893004115226338E-2</v>
      </c>
      <c r="J194">
        <v>4</v>
      </c>
      <c r="K194">
        <v>35</v>
      </c>
      <c r="L194">
        <v>609</v>
      </c>
      <c r="M194">
        <v>37.939393939393938</v>
      </c>
      <c r="N194">
        <v>16.5</v>
      </c>
      <c r="O194">
        <v>1000</v>
      </c>
      <c r="P194">
        <v>626</v>
      </c>
    </row>
    <row r="195" spans="1:16" x14ac:dyDescent="0.2">
      <c r="A195" t="s">
        <v>3002</v>
      </c>
      <c r="B195" t="s">
        <v>97</v>
      </c>
      <c r="C195" t="s">
        <v>3003</v>
      </c>
      <c r="D195" t="s">
        <v>2987</v>
      </c>
      <c r="E195" t="s">
        <v>228</v>
      </c>
      <c r="F195">
        <v>109.99</v>
      </c>
      <c r="G195" t="s">
        <v>14</v>
      </c>
      <c r="H195">
        <v>4.3549905838041421E-2</v>
      </c>
      <c r="M195">
        <v>20.823529411764707</v>
      </c>
      <c r="N195">
        <v>17</v>
      </c>
      <c r="O195">
        <v>2090</v>
      </c>
      <c r="P195">
        <v>354</v>
      </c>
    </row>
    <row r="196" spans="1:16" x14ac:dyDescent="0.2">
      <c r="A196" t="s">
        <v>2665</v>
      </c>
      <c r="B196" t="s">
        <v>6181</v>
      </c>
      <c r="C196" t="s">
        <v>2666</v>
      </c>
      <c r="D196" t="s">
        <v>2502</v>
      </c>
      <c r="E196" t="s">
        <v>228</v>
      </c>
      <c r="F196">
        <v>64.989999999999995</v>
      </c>
      <c r="G196" t="s">
        <v>7014</v>
      </c>
      <c r="H196">
        <v>6.7363530778164926E-2</v>
      </c>
      <c r="I196" t="s">
        <v>7015</v>
      </c>
      <c r="M196">
        <v>15.654545454545453</v>
      </c>
      <c r="N196">
        <v>18.333333333333336</v>
      </c>
      <c r="O196">
        <v>1235</v>
      </c>
      <c r="P196">
        <v>287</v>
      </c>
    </row>
    <row r="197" spans="1:16" x14ac:dyDescent="0.2">
      <c r="A197" t="s">
        <v>2485</v>
      </c>
      <c r="B197" t="s">
        <v>5748</v>
      </c>
      <c r="C197" t="s">
        <v>2486</v>
      </c>
      <c r="D197" t="s">
        <v>2448</v>
      </c>
      <c r="E197" t="s">
        <v>228</v>
      </c>
      <c r="F197">
        <v>59.99</v>
      </c>
      <c r="G197" t="s">
        <v>8</v>
      </c>
      <c r="H197">
        <v>0.12449186991869921</v>
      </c>
      <c r="J197">
        <v>0</v>
      </c>
      <c r="K197">
        <v>36</v>
      </c>
      <c r="L197">
        <v>128</v>
      </c>
      <c r="M197">
        <v>8.486486486486486</v>
      </c>
      <c r="N197">
        <v>18.5</v>
      </c>
      <c r="O197">
        <v>1140</v>
      </c>
      <c r="P197">
        <v>157</v>
      </c>
    </row>
    <row r="198" spans="1:16" x14ac:dyDescent="0.2">
      <c r="A198" t="s">
        <v>2609</v>
      </c>
      <c r="B198" t="s">
        <v>4599</v>
      </c>
      <c r="C198" t="s">
        <v>2610</v>
      </c>
      <c r="D198" t="s">
        <v>2502</v>
      </c>
      <c r="E198" t="s">
        <v>290</v>
      </c>
      <c r="F198">
        <v>179.99</v>
      </c>
      <c r="G198" t="s">
        <v>8</v>
      </c>
      <c r="H198">
        <v>4.6149789029535863E-2</v>
      </c>
      <c r="J198">
        <v>2</v>
      </c>
      <c r="K198">
        <v>19</v>
      </c>
      <c r="L198">
        <v>295</v>
      </c>
      <c r="M198">
        <v>21.862068965517242</v>
      </c>
      <c r="N198">
        <v>14.5</v>
      </c>
      <c r="O198">
        <v>3420</v>
      </c>
      <c r="P198">
        <v>317</v>
      </c>
    </row>
    <row r="199" spans="1:16" x14ac:dyDescent="0.2">
      <c r="A199" t="s">
        <v>251</v>
      </c>
      <c r="B199" t="s">
        <v>4270</v>
      </c>
      <c r="C199" t="s">
        <v>252</v>
      </c>
      <c r="D199" t="s">
        <v>223</v>
      </c>
      <c r="E199" t="s">
        <v>228</v>
      </c>
      <c r="F199">
        <v>79.989999999999995</v>
      </c>
      <c r="G199" t="s">
        <v>8</v>
      </c>
      <c r="H199">
        <v>6.4291101055806946E-2</v>
      </c>
      <c r="J199">
        <v>37</v>
      </c>
      <c r="K199">
        <v>20</v>
      </c>
      <c r="L199">
        <v>385</v>
      </c>
      <c r="M199">
        <v>20.671875</v>
      </c>
      <c r="N199">
        <v>21.333333333333332</v>
      </c>
      <c r="O199">
        <v>1520</v>
      </c>
      <c r="P199">
        <v>441</v>
      </c>
    </row>
    <row r="200" spans="1:16" x14ac:dyDescent="0.2">
      <c r="A200" t="s">
        <v>2320</v>
      </c>
      <c r="B200" t="s">
        <v>5336</v>
      </c>
      <c r="C200" t="s">
        <v>2321</v>
      </c>
      <c r="D200" t="s">
        <v>2146</v>
      </c>
      <c r="E200" t="s">
        <v>228</v>
      </c>
      <c r="F200">
        <v>69.989999999999995</v>
      </c>
      <c r="G200" t="s">
        <v>7014</v>
      </c>
      <c r="H200">
        <v>3.3683800623052956E-2</v>
      </c>
      <c r="M200">
        <v>32.92307692307692</v>
      </c>
      <c r="N200">
        <v>13</v>
      </c>
      <c r="O200">
        <v>1260</v>
      </c>
      <c r="P200">
        <v>428</v>
      </c>
    </row>
    <row r="201" spans="1:16" x14ac:dyDescent="0.2">
      <c r="A201" t="s">
        <v>2222</v>
      </c>
      <c r="B201" t="s">
        <v>5416</v>
      </c>
      <c r="C201" t="s">
        <v>2223</v>
      </c>
      <c r="D201" t="s">
        <v>2146</v>
      </c>
      <c r="E201" t="s">
        <v>228</v>
      </c>
      <c r="F201">
        <v>99.99</v>
      </c>
      <c r="G201" t="s">
        <v>7014</v>
      </c>
      <c r="H201">
        <v>7.9032258064516123E-2</v>
      </c>
      <c r="I201" t="s">
        <v>7015</v>
      </c>
      <c r="M201">
        <v>14.761904761904763</v>
      </c>
      <c r="N201">
        <v>21</v>
      </c>
      <c r="O201">
        <v>1800</v>
      </c>
      <c r="P201">
        <v>310</v>
      </c>
    </row>
    <row r="202" spans="1:16" x14ac:dyDescent="0.2">
      <c r="A202" t="s">
        <v>783</v>
      </c>
      <c r="B202" t="s">
        <v>5095</v>
      </c>
      <c r="C202" t="s">
        <v>784</v>
      </c>
      <c r="D202" t="s">
        <v>446</v>
      </c>
      <c r="E202" t="s">
        <v>228</v>
      </c>
      <c r="F202">
        <v>44.99</v>
      </c>
      <c r="G202" t="s">
        <v>7014</v>
      </c>
      <c r="H202">
        <v>5.5555555555555552E-2</v>
      </c>
      <c r="I202" t="s">
        <v>7015</v>
      </c>
      <c r="M202">
        <v>19.487603305785122</v>
      </c>
      <c r="N202">
        <v>20.166666666666668</v>
      </c>
      <c r="O202">
        <v>810</v>
      </c>
      <c r="P202">
        <v>393</v>
      </c>
    </row>
    <row r="203" spans="1:16" x14ac:dyDescent="0.2">
      <c r="A203" t="s">
        <v>970</v>
      </c>
      <c r="B203" t="s">
        <v>4704</v>
      </c>
      <c r="C203" t="s">
        <v>971</v>
      </c>
      <c r="D203" t="s">
        <v>446</v>
      </c>
      <c r="E203" t="s">
        <v>290</v>
      </c>
      <c r="F203">
        <v>69.989999999999995</v>
      </c>
      <c r="G203" t="s">
        <v>7014</v>
      </c>
      <c r="H203">
        <v>4.6245421245421241E-2</v>
      </c>
      <c r="I203" t="s">
        <v>7015</v>
      </c>
      <c r="M203">
        <v>25.103448275862068</v>
      </c>
      <c r="N203">
        <v>14.5</v>
      </c>
      <c r="O203">
        <v>1260</v>
      </c>
      <c r="P203">
        <v>364</v>
      </c>
    </row>
    <row r="204" spans="1:16" x14ac:dyDescent="0.2">
      <c r="A204" t="s">
        <v>2531</v>
      </c>
      <c r="B204" t="s">
        <v>6128</v>
      </c>
      <c r="C204" t="s">
        <v>2532</v>
      </c>
      <c r="D204" t="s">
        <v>2502</v>
      </c>
      <c r="E204" t="s">
        <v>228</v>
      </c>
      <c r="F204">
        <v>119.99</v>
      </c>
      <c r="G204" t="s">
        <v>7014</v>
      </c>
      <c r="H204">
        <v>5.9725585149313969E-2</v>
      </c>
      <c r="M204">
        <v>18.087591240875913</v>
      </c>
      <c r="N204">
        <v>22.833333333333332</v>
      </c>
      <c r="O204">
        <v>2160</v>
      </c>
      <c r="P204">
        <v>413</v>
      </c>
    </row>
    <row r="205" spans="1:16" x14ac:dyDescent="0.2">
      <c r="A205" t="s">
        <v>884</v>
      </c>
      <c r="B205" t="s">
        <v>4901</v>
      </c>
      <c r="C205" t="s">
        <v>885</v>
      </c>
      <c r="D205" t="s">
        <v>446</v>
      </c>
      <c r="E205" t="s">
        <v>228</v>
      </c>
      <c r="F205">
        <v>99.99</v>
      </c>
      <c r="G205" t="s">
        <v>8</v>
      </c>
      <c r="H205">
        <v>6.6715542521994131E-2</v>
      </c>
      <c r="J205">
        <v>10</v>
      </c>
      <c r="K205">
        <v>24</v>
      </c>
      <c r="L205">
        <v>307</v>
      </c>
      <c r="M205">
        <v>16.442748091603054</v>
      </c>
      <c r="N205">
        <v>21.833333333333332</v>
      </c>
      <c r="O205">
        <v>1800</v>
      </c>
      <c r="P205">
        <v>359</v>
      </c>
    </row>
    <row r="206" spans="1:16" x14ac:dyDescent="0.2">
      <c r="A206" t="s">
        <v>775</v>
      </c>
      <c r="B206" t="s">
        <v>5035</v>
      </c>
      <c r="C206" t="s">
        <v>776</v>
      </c>
      <c r="D206" t="s">
        <v>446</v>
      </c>
      <c r="E206" t="s">
        <v>228</v>
      </c>
      <c r="F206">
        <v>34.99</v>
      </c>
      <c r="G206" t="s">
        <v>8</v>
      </c>
      <c r="H206">
        <v>5.3630363036303627E-2</v>
      </c>
      <c r="J206">
        <v>0</v>
      </c>
      <c r="K206">
        <v>22</v>
      </c>
      <c r="L206">
        <v>281</v>
      </c>
      <c r="M206">
        <v>21.066666666666666</v>
      </c>
      <c r="N206">
        <v>15</v>
      </c>
      <c r="O206">
        <v>630</v>
      </c>
      <c r="P206">
        <v>316</v>
      </c>
    </row>
    <row r="207" spans="1:16" x14ac:dyDescent="0.2">
      <c r="A207" t="s">
        <v>2483</v>
      </c>
      <c r="B207" t="s">
        <v>5745</v>
      </c>
      <c r="C207" t="s">
        <v>2484</v>
      </c>
      <c r="D207" t="s">
        <v>2448</v>
      </c>
      <c r="E207" t="s">
        <v>228</v>
      </c>
      <c r="F207">
        <v>59.99</v>
      </c>
      <c r="G207" t="s">
        <v>8</v>
      </c>
      <c r="H207">
        <v>5.3873431533006E-2</v>
      </c>
      <c r="J207">
        <v>2</v>
      </c>
      <c r="K207">
        <v>94</v>
      </c>
      <c r="L207">
        <v>515</v>
      </c>
      <c r="M207">
        <v>23.098039215686274</v>
      </c>
      <c r="N207">
        <v>25.5</v>
      </c>
      <c r="O207">
        <v>1080</v>
      </c>
      <c r="P207">
        <v>589</v>
      </c>
    </row>
    <row r="208" spans="1:16" x14ac:dyDescent="0.2">
      <c r="A208" t="s">
        <v>485</v>
      </c>
      <c r="B208" t="s">
        <v>4763</v>
      </c>
      <c r="C208" t="s">
        <v>486</v>
      </c>
      <c r="D208" t="s">
        <v>446</v>
      </c>
      <c r="E208" t="s">
        <v>228</v>
      </c>
      <c r="F208">
        <v>39.99</v>
      </c>
      <c r="G208" t="s">
        <v>8</v>
      </c>
      <c r="H208">
        <v>1.6826071555083245E-2</v>
      </c>
      <c r="J208">
        <v>1</v>
      </c>
      <c r="K208">
        <v>69</v>
      </c>
      <c r="L208">
        <v>871</v>
      </c>
      <c r="M208">
        <v>57.030303030303031</v>
      </c>
      <c r="N208">
        <v>16.5</v>
      </c>
      <c r="O208">
        <v>720</v>
      </c>
      <c r="P208">
        <v>941</v>
      </c>
    </row>
    <row r="209" spans="1:16" x14ac:dyDescent="0.2">
      <c r="A209" t="s">
        <v>2264</v>
      </c>
      <c r="B209" t="s">
        <v>5588</v>
      </c>
      <c r="C209" t="s">
        <v>2265</v>
      </c>
      <c r="D209" t="s">
        <v>2146</v>
      </c>
      <c r="E209" t="s">
        <v>290</v>
      </c>
      <c r="F209">
        <v>99.99</v>
      </c>
      <c r="G209" t="s">
        <v>11</v>
      </c>
      <c r="H209">
        <v>4.1847041847041848E-2</v>
      </c>
      <c r="M209">
        <v>22.536585365853657</v>
      </c>
      <c r="N209">
        <v>20.5</v>
      </c>
      <c r="O209">
        <v>1700</v>
      </c>
      <c r="P209">
        <v>462</v>
      </c>
    </row>
    <row r="210" spans="1:16" x14ac:dyDescent="0.2">
      <c r="A210" t="s">
        <v>2523</v>
      </c>
      <c r="B210" t="s">
        <v>6123</v>
      </c>
      <c r="C210" t="s">
        <v>2524</v>
      </c>
      <c r="D210" t="s">
        <v>2502</v>
      </c>
      <c r="E210" t="s">
        <v>228</v>
      </c>
      <c r="F210">
        <v>109.99</v>
      </c>
      <c r="G210" t="s">
        <v>7014</v>
      </c>
      <c r="H210">
        <v>5.4059829059829055E-2</v>
      </c>
      <c r="M210">
        <v>19.180327868852459</v>
      </c>
      <c r="N210">
        <v>20.333333333333336</v>
      </c>
      <c r="O210">
        <v>1870</v>
      </c>
      <c r="P210">
        <v>390</v>
      </c>
    </row>
    <row r="211" spans="1:16" x14ac:dyDescent="0.2">
      <c r="A211" t="s">
        <v>3292</v>
      </c>
      <c r="B211" t="s">
        <v>6983</v>
      </c>
      <c r="C211" t="s">
        <v>3293</v>
      </c>
      <c r="D211" t="s">
        <v>3268</v>
      </c>
      <c r="E211" t="s">
        <v>228</v>
      </c>
      <c r="F211">
        <v>799.99</v>
      </c>
      <c r="G211" t="s">
        <v>7014</v>
      </c>
      <c r="H211">
        <v>7.6599326599326598E-2</v>
      </c>
      <c r="I211" t="s">
        <v>7015</v>
      </c>
      <c r="M211">
        <v>12.774193548387096</v>
      </c>
      <c r="N211">
        <v>15.5</v>
      </c>
      <c r="O211">
        <v>13600</v>
      </c>
      <c r="P211">
        <v>198</v>
      </c>
    </row>
    <row r="212" spans="1:16" x14ac:dyDescent="0.2">
      <c r="A212" t="s">
        <v>1004</v>
      </c>
      <c r="B212" t="s">
        <v>4932</v>
      </c>
      <c r="C212" t="s">
        <v>1005</v>
      </c>
      <c r="D212" t="s">
        <v>446</v>
      </c>
      <c r="E212" t="s">
        <v>228</v>
      </c>
      <c r="F212">
        <v>29.99</v>
      </c>
      <c r="G212" t="s">
        <v>8</v>
      </c>
      <c r="H212">
        <v>7.7114427860696513E-2</v>
      </c>
      <c r="J212">
        <v>5</v>
      </c>
      <c r="K212">
        <v>17</v>
      </c>
      <c r="L212">
        <v>313</v>
      </c>
      <c r="M212">
        <v>15.688888888888888</v>
      </c>
      <c r="N212">
        <v>22.5</v>
      </c>
      <c r="O212">
        <v>510</v>
      </c>
      <c r="P212">
        <v>353</v>
      </c>
    </row>
    <row r="213" spans="1:16" x14ac:dyDescent="0.2">
      <c r="A213" t="s">
        <v>2477</v>
      </c>
      <c r="B213" t="s">
        <v>5751</v>
      </c>
      <c r="C213" t="s">
        <v>7021</v>
      </c>
      <c r="D213" t="s">
        <v>2448</v>
      </c>
      <c r="E213" t="s">
        <v>228</v>
      </c>
      <c r="F213">
        <v>59.99</v>
      </c>
      <c r="G213" t="s">
        <v>8</v>
      </c>
      <c r="H213">
        <v>8.8560885608856083E-2</v>
      </c>
      <c r="J213">
        <v>3</v>
      </c>
      <c r="K213">
        <v>22</v>
      </c>
      <c r="L213">
        <v>246</v>
      </c>
      <c r="M213">
        <v>15.254237288135592</v>
      </c>
      <c r="N213">
        <v>19.666666666666668</v>
      </c>
      <c r="O213">
        <v>1020</v>
      </c>
      <c r="P213">
        <v>300</v>
      </c>
    </row>
    <row r="214" spans="1:16" x14ac:dyDescent="0.2">
      <c r="A214" t="s">
        <v>2665</v>
      </c>
      <c r="B214" t="s">
        <v>97</v>
      </c>
      <c r="C214" t="s">
        <v>2666</v>
      </c>
      <c r="D214" t="s">
        <v>2502</v>
      </c>
      <c r="E214" t="s">
        <v>228</v>
      </c>
      <c r="F214">
        <v>64.989999999999995</v>
      </c>
      <c r="G214" t="s">
        <v>14</v>
      </c>
      <c r="H214">
        <v>4.8941798941798939E-2</v>
      </c>
      <c r="M214">
        <v>20.618181818181821</v>
      </c>
      <c r="N214">
        <v>9.1666666666666661</v>
      </c>
      <c r="O214">
        <v>1040</v>
      </c>
      <c r="P214">
        <v>189</v>
      </c>
    </row>
    <row r="215" spans="1:16" x14ac:dyDescent="0.2">
      <c r="A215" t="s">
        <v>3282</v>
      </c>
      <c r="B215" t="s">
        <v>6981</v>
      </c>
      <c r="C215" t="s">
        <v>3281</v>
      </c>
      <c r="D215" t="s">
        <v>3268</v>
      </c>
      <c r="E215" t="s">
        <v>228</v>
      </c>
      <c r="F215">
        <v>99.99</v>
      </c>
      <c r="G215" t="s">
        <v>7014</v>
      </c>
      <c r="H215">
        <v>7.4483775811209435E-2</v>
      </c>
      <c r="I215" t="s">
        <v>7015</v>
      </c>
      <c r="M215">
        <v>12.672897196261683</v>
      </c>
      <c r="N215">
        <v>17.833333333333332</v>
      </c>
      <c r="O215">
        <v>1600</v>
      </c>
      <c r="P215">
        <v>226</v>
      </c>
    </row>
    <row r="216" spans="1:16" x14ac:dyDescent="0.2">
      <c r="A216" t="s">
        <v>243</v>
      </c>
      <c r="B216" t="s">
        <v>4254</v>
      </c>
      <c r="C216" t="s">
        <v>244</v>
      </c>
      <c r="D216" t="s">
        <v>223</v>
      </c>
      <c r="E216" t="s">
        <v>228</v>
      </c>
      <c r="F216">
        <v>29.99</v>
      </c>
      <c r="G216" t="s">
        <v>7014</v>
      </c>
      <c r="H216">
        <v>6.6666666666666666E-2</v>
      </c>
      <c r="I216" t="s">
        <v>7015</v>
      </c>
      <c r="M216">
        <v>17.956204379562045</v>
      </c>
      <c r="N216">
        <v>22.833333333333332</v>
      </c>
      <c r="O216">
        <v>480</v>
      </c>
      <c r="P216">
        <v>410</v>
      </c>
    </row>
    <row r="217" spans="1:16" x14ac:dyDescent="0.2">
      <c r="A217" t="s">
        <v>952</v>
      </c>
      <c r="B217" t="s">
        <v>4679</v>
      </c>
      <c r="C217" t="s">
        <v>953</v>
      </c>
      <c r="D217" t="s">
        <v>446</v>
      </c>
      <c r="E217" t="s">
        <v>228</v>
      </c>
      <c r="F217">
        <v>59.99</v>
      </c>
      <c r="G217" t="s">
        <v>8</v>
      </c>
      <c r="H217">
        <v>6.0261707988980721E-2</v>
      </c>
      <c r="J217">
        <v>4</v>
      </c>
      <c r="K217">
        <v>39</v>
      </c>
      <c r="L217">
        <v>441</v>
      </c>
      <c r="M217">
        <v>22.900763358778622</v>
      </c>
      <c r="N217">
        <v>21.833333333333336</v>
      </c>
      <c r="O217">
        <v>960</v>
      </c>
      <c r="P217">
        <v>500</v>
      </c>
    </row>
    <row r="218" spans="1:16" x14ac:dyDescent="0.2">
      <c r="A218" t="s">
        <v>2581</v>
      </c>
      <c r="B218" t="s">
        <v>6105</v>
      </c>
      <c r="C218" t="s">
        <v>2582</v>
      </c>
      <c r="D218" t="s">
        <v>2502</v>
      </c>
      <c r="E218" t="s">
        <v>228</v>
      </c>
      <c r="F218">
        <v>79.989999999999995</v>
      </c>
      <c r="G218" t="s">
        <v>8</v>
      </c>
      <c r="H218">
        <v>5.4106280193236718E-2</v>
      </c>
      <c r="J218">
        <v>2</v>
      </c>
      <c r="K218">
        <v>7</v>
      </c>
      <c r="L218">
        <v>336</v>
      </c>
      <c r="M218">
        <v>21.28846153846154</v>
      </c>
      <c r="N218">
        <v>17.333333333333332</v>
      </c>
      <c r="O218">
        <v>1280</v>
      </c>
      <c r="P218">
        <v>369</v>
      </c>
    </row>
    <row r="219" spans="1:16" x14ac:dyDescent="0.2">
      <c r="A219" t="s">
        <v>795</v>
      </c>
      <c r="B219" t="s">
        <v>5103</v>
      </c>
      <c r="C219" t="s">
        <v>796</v>
      </c>
      <c r="D219" t="s">
        <v>446</v>
      </c>
      <c r="E219" t="s">
        <v>228</v>
      </c>
      <c r="F219">
        <v>129.99</v>
      </c>
      <c r="G219" t="s">
        <v>8</v>
      </c>
      <c r="H219">
        <v>3.0737704918032783E-2</v>
      </c>
      <c r="J219">
        <v>1</v>
      </c>
      <c r="K219">
        <v>19</v>
      </c>
      <c r="L219">
        <v>468</v>
      </c>
      <c r="M219">
        <v>31.419354838709676</v>
      </c>
      <c r="N219">
        <v>15.5</v>
      </c>
      <c r="O219">
        <v>2080</v>
      </c>
      <c r="P219">
        <v>487</v>
      </c>
    </row>
    <row r="220" spans="1:16" x14ac:dyDescent="0.2">
      <c r="A220" t="s">
        <v>705</v>
      </c>
      <c r="B220" t="s">
        <v>5181</v>
      </c>
      <c r="C220" t="s">
        <v>706</v>
      </c>
      <c r="D220" t="s">
        <v>446</v>
      </c>
      <c r="E220" t="s">
        <v>228</v>
      </c>
      <c r="F220">
        <v>159.99</v>
      </c>
      <c r="G220" t="s">
        <v>8</v>
      </c>
      <c r="H220">
        <v>4.9194232400339266E-2</v>
      </c>
      <c r="J220">
        <v>0</v>
      </c>
      <c r="K220">
        <v>3</v>
      </c>
      <c r="L220">
        <v>390</v>
      </c>
      <c r="M220">
        <v>23.274725274725277</v>
      </c>
      <c r="N220">
        <v>15.166666666666666</v>
      </c>
      <c r="O220">
        <v>2560</v>
      </c>
      <c r="P220">
        <v>353</v>
      </c>
    </row>
    <row r="221" spans="1:16" x14ac:dyDescent="0.2">
      <c r="A221" t="s">
        <v>517</v>
      </c>
      <c r="B221" t="s">
        <v>4836</v>
      </c>
      <c r="C221" t="s">
        <v>518</v>
      </c>
      <c r="D221" t="s">
        <v>446</v>
      </c>
      <c r="E221" t="s">
        <v>228</v>
      </c>
      <c r="F221">
        <v>19.989999999999998</v>
      </c>
      <c r="G221" t="s">
        <v>8</v>
      </c>
      <c r="H221">
        <v>4.3241695303550973E-2</v>
      </c>
      <c r="J221">
        <v>1</v>
      </c>
      <c r="K221">
        <v>167</v>
      </c>
      <c r="L221">
        <v>996</v>
      </c>
      <c r="M221">
        <v>69.551020408163268</v>
      </c>
      <c r="N221">
        <v>16.333333333333332</v>
      </c>
      <c r="O221">
        <v>320</v>
      </c>
      <c r="P221">
        <v>1136</v>
      </c>
    </row>
    <row r="222" spans="1:16" x14ac:dyDescent="0.2">
      <c r="A222" t="s">
        <v>691</v>
      </c>
      <c r="B222" t="s">
        <v>5080</v>
      </c>
      <c r="C222" t="s">
        <v>7018</v>
      </c>
      <c r="D222" t="s">
        <v>446</v>
      </c>
      <c r="E222" t="s">
        <v>228</v>
      </c>
      <c r="F222">
        <v>59.99</v>
      </c>
      <c r="G222" t="s">
        <v>8</v>
      </c>
      <c r="H222">
        <v>3.109452736318408E-2</v>
      </c>
      <c r="J222">
        <v>4</v>
      </c>
      <c r="K222">
        <v>8</v>
      </c>
      <c r="L222">
        <v>591</v>
      </c>
      <c r="M222">
        <v>32.338983050847453</v>
      </c>
      <c r="N222">
        <v>19.666666666666668</v>
      </c>
      <c r="O222">
        <v>900</v>
      </c>
      <c r="P222">
        <v>636</v>
      </c>
    </row>
    <row r="223" spans="1:16" x14ac:dyDescent="0.2">
      <c r="A223" t="s">
        <v>549</v>
      </c>
      <c r="B223" t="s">
        <v>5052</v>
      </c>
      <c r="C223" t="s">
        <v>550</v>
      </c>
      <c r="D223" t="s">
        <v>446</v>
      </c>
      <c r="E223" t="s">
        <v>228</v>
      </c>
      <c r="F223">
        <v>169.99</v>
      </c>
      <c r="G223" t="s">
        <v>8</v>
      </c>
      <c r="H223">
        <v>5.7919621749408984E-2</v>
      </c>
      <c r="J223">
        <v>8</v>
      </c>
      <c r="K223">
        <v>25</v>
      </c>
      <c r="L223">
        <v>390</v>
      </c>
      <c r="M223">
        <v>19.707692307692305</v>
      </c>
      <c r="N223">
        <v>21.666666666666668</v>
      </c>
      <c r="O223">
        <v>2550</v>
      </c>
      <c r="P223">
        <v>427</v>
      </c>
    </row>
    <row r="224" spans="1:16" x14ac:dyDescent="0.2">
      <c r="A224" t="s">
        <v>841</v>
      </c>
      <c r="B224" t="s">
        <v>4692</v>
      </c>
      <c r="C224" t="s">
        <v>842</v>
      </c>
      <c r="D224" t="s">
        <v>446</v>
      </c>
      <c r="E224" t="s">
        <v>290</v>
      </c>
      <c r="F224">
        <v>54.99</v>
      </c>
      <c r="G224" t="s">
        <v>7014</v>
      </c>
      <c r="H224">
        <v>8.4093211752786223E-2</v>
      </c>
      <c r="I224" t="s">
        <v>7015</v>
      </c>
      <c r="M224">
        <v>15.919354838709676</v>
      </c>
      <c r="N224">
        <v>20.666666666666668</v>
      </c>
      <c r="O224">
        <v>770</v>
      </c>
      <c r="P224">
        <v>329</v>
      </c>
    </row>
    <row r="225" spans="1:16" x14ac:dyDescent="0.2">
      <c r="A225" t="s">
        <v>2471</v>
      </c>
      <c r="B225" t="s">
        <v>5733</v>
      </c>
      <c r="C225" t="s">
        <v>2472</v>
      </c>
      <c r="D225" t="s">
        <v>2448</v>
      </c>
      <c r="E225" t="s">
        <v>228</v>
      </c>
      <c r="F225">
        <v>59.99</v>
      </c>
      <c r="G225" t="s">
        <v>8</v>
      </c>
      <c r="H225">
        <v>5.5864197530864197E-2</v>
      </c>
      <c r="J225">
        <v>0</v>
      </c>
      <c r="K225">
        <v>24</v>
      </c>
      <c r="L225">
        <v>246</v>
      </c>
      <c r="M225">
        <v>21.794117647058822</v>
      </c>
      <c r="N225">
        <v>11.333333333333334</v>
      </c>
      <c r="O225">
        <v>840</v>
      </c>
      <c r="P225">
        <v>247</v>
      </c>
    </row>
    <row r="226" spans="1:16" x14ac:dyDescent="0.2">
      <c r="A226" t="s">
        <v>1000</v>
      </c>
      <c r="B226" t="s">
        <v>4910</v>
      </c>
      <c r="C226" t="s">
        <v>1001</v>
      </c>
      <c r="D226" t="s">
        <v>446</v>
      </c>
      <c r="E226" t="s">
        <v>228</v>
      </c>
      <c r="F226">
        <v>49.99</v>
      </c>
      <c r="G226" t="s">
        <v>8</v>
      </c>
      <c r="H226">
        <v>5.8653846153846154E-2</v>
      </c>
      <c r="J226">
        <v>13</v>
      </c>
      <c r="K226">
        <v>59</v>
      </c>
      <c r="L226">
        <v>188</v>
      </c>
      <c r="M226">
        <v>19.255813953488371</v>
      </c>
      <c r="N226">
        <v>14.333333333333334</v>
      </c>
      <c r="O226">
        <v>700</v>
      </c>
      <c r="P226">
        <v>276</v>
      </c>
    </row>
    <row r="227" spans="1:16" x14ac:dyDescent="0.2">
      <c r="A227" t="s">
        <v>643</v>
      </c>
      <c r="B227" t="s">
        <v>97</v>
      </c>
      <c r="C227" t="s">
        <v>644</v>
      </c>
      <c r="D227" t="s">
        <v>446</v>
      </c>
      <c r="E227" t="s">
        <v>228</v>
      </c>
      <c r="F227">
        <v>99.99</v>
      </c>
      <c r="G227" t="s">
        <v>14</v>
      </c>
      <c r="H227">
        <v>6.3524590163934427E-2</v>
      </c>
      <c r="M227">
        <v>16.636363636363637</v>
      </c>
      <c r="N227">
        <v>7.333333333333333</v>
      </c>
      <c r="O227">
        <v>1300</v>
      </c>
      <c r="P227">
        <v>122</v>
      </c>
    </row>
    <row r="228" spans="1:16" x14ac:dyDescent="0.2">
      <c r="A228" t="s">
        <v>2246</v>
      </c>
      <c r="B228" t="s">
        <v>5402</v>
      </c>
      <c r="C228" t="s">
        <v>2247</v>
      </c>
      <c r="D228" t="s">
        <v>2146</v>
      </c>
      <c r="E228" t="s">
        <v>228</v>
      </c>
      <c r="F228">
        <v>99.99</v>
      </c>
      <c r="G228" t="s">
        <v>7014</v>
      </c>
      <c r="H228">
        <v>3.9760348583877989E-2</v>
      </c>
      <c r="I228" t="s">
        <v>7015</v>
      </c>
      <c r="M228">
        <v>19.956521739130434</v>
      </c>
      <c r="N228">
        <v>7.666666666666667</v>
      </c>
      <c r="O228">
        <v>1300</v>
      </c>
      <c r="P228">
        <v>153</v>
      </c>
    </row>
    <row r="229" spans="1:16" x14ac:dyDescent="0.2">
      <c r="A229" t="s">
        <v>2212</v>
      </c>
      <c r="B229" t="s">
        <v>5400</v>
      </c>
      <c r="C229" t="s">
        <v>2213</v>
      </c>
      <c r="D229" t="s">
        <v>2146</v>
      </c>
      <c r="E229" t="s">
        <v>228</v>
      </c>
      <c r="F229">
        <v>39.99</v>
      </c>
      <c r="G229" t="s">
        <v>7014</v>
      </c>
      <c r="H229">
        <v>5.3685897435897433E-2</v>
      </c>
      <c r="I229" t="s">
        <v>7015</v>
      </c>
      <c r="M229">
        <v>14.181818181818182</v>
      </c>
      <c r="N229">
        <v>7.333333333333333</v>
      </c>
      <c r="O229">
        <v>520</v>
      </c>
      <c r="P229">
        <v>104</v>
      </c>
    </row>
    <row r="230" spans="1:16" x14ac:dyDescent="0.2">
      <c r="A230" t="s">
        <v>2154</v>
      </c>
      <c r="B230" t="s">
        <v>5431</v>
      </c>
      <c r="C230" t="s">
        <v>2155</v>
      </c>
      <c r="D230" t="s">
        <v>2146</v>
      </c>
      <c r="E230" t="s">
        <v>228</v>
      </c>
      <c r="F230">
        <v>229.99</v>
      </c>
      <c r="G230" t="s">
        <v>7014</v>
      </c>
      <c r="H230">
        <v>2.8102664067576347E-2</v>
      </c>
      <c r="I230" t="s">
        <v>7015</v>
      </c>
      <c r="M230">
        <v>44.608695652173914</v>
      </c>
      <c r="N230">
        <v>11.5</v>
      </c>
      <c r="O230">
        <v>2990</v>
      </c>
      <c r="P230">
        <v>513</v>
      </c>
    </row>
    <row r="231" spans="1:16" x14ac:dyDescent="0.2">
      <c r="A231" t="s">
        <v>3329</v>
      </c>
      <c r="B231" t="s">
        <v>5241</v>
      </c>
      <c r="C231" t="s">
        <v>3328</v>
      </c>
      <c r="D231" t="s">
        <v>3268</v>
      </c>
      <c r="E231" t="s">
        <v>228</v>
      </c>
      <c r="F231">
        <v>599.99</v>
      </c>
      <c r="G231" t="s">
        <v>7014</v>
      </c>
      <c r="H231">
        <v>2.1111111111111112E-2</v>
      </c>
      <c r="I231" t="s">
        <v>7015</v>
      </c>
      <c r="M231">
        <v>57.692307692307693</v>
      </c>
      <c r="N231">
        <v>6.5</v>
      </c>
      <c r="O231">
        <v>7800</v>
      </c>
      <c r="P231">
        <v>375</v>
      </c>
    </row>
    <row r="232" spans="1:16" x14ac:dyDescent="0.2">
      <c r="A232" t="s">
        <v>251</v>
      </c>
      <c r="B232" t="s">
        <v>4268</v>
      </c>
      <c r="C232" t="s">
        <v>252</v>
      </c>
      <c r="D232" t="s">
        <v>223</v>
      </c>
      <c r="E232" t="s">
        <v>228</v>
      </c>
      <c r="F232">
        <v>79.989999999999995</v>
      </c>
      <c r="G232" t="s">
        <v>7014</v>
      </c>
      <c r="H232">
        <v>4.7049441786283897E-2</v>
      </c>
      <c r="I232" t="s">
        <v>7015</v>
      </c>
      <c r="M232">
        <v>23.009174311926607</v>
      </c>
      <c r="N232">
        <v>18.166666666666664</v>
      </c>
      <c r="O232">
        <v>1040</v>
      </c>
      <c r="P232">
        <v>418</v>
      </c>
    </row>
    <row r="233" spans="1:16" x14ac:dyDescent="0.2">
      <c r="A233" t="s">
        <v>247</v>
      </c>
      <c r="B233" t="s">
        <v>4250</v>
      </c>
      <c r="C233" t="s">
        <v>248</v>
      </c>
      <c r="D233" t="s">
        <v>223</v>
      </c>
      <c r="E233" t="s">
        <v>228</v>
      </c>
      <c r="F233">
        <v>39.99</v>
      </c>
      <c r="G233" t="s">
        <v>7014</v>
      </c>
      <c r="H233">
        <v>5.205761316872428E-2</v>
      </c>
      <c r="I233" t="s">
        <v>7015</v>
      </c>
      <c r="M233">
        <v>22.5</v>
      </c>
      <c r="N233">
        <v>18</v>
      </c>
      <c r="O233">
        <v>520</v>
      </c>
      <c r="P233">
        <v>405</v>
      </c>
    </row>
    <row r="234" spans="1:16" x14ac:dyDescent="0.2">
      <c r="A234" t="s">
        <v>2256</v>
      </c>
      <c r="B234" t="s">
        <v>5398</v>
      </c>
      <c r="C234" t="s">
        <v>2257</v>
      </c>
      <c r="D234" t="s">
        <v>2146</v>
      </c>
      <c r="E234" t="s">
        <v>228</v>
      </c>
      <c r="F234">
        <v>39.99</v>
      </c>
      <c r="G234" t="s">
        <v>8</v>
      </c>
      <c r="H234">
        <v>0.255</v>
      </c>
      <c r="J234">
        <v>4</v>
      </c>
      <c r="K234">
        <v>0</v>
      </c>
      <c r="L234">
        <v>46</v>
      </c>
      <c r="M234">
        <v>2.2068965517241379</v>
      </c>
      <c r="N234">
        <v>14.5</v>
      </c>
      <c r="O234">
        <v>520</v>
      </c>
      <c r="P234">
        <v>32</v>
      </c>
    </row>
    <row r="235" spans="1:16" x14ac:dyDescent="0.2">
      <c r="A235" t="s">
        <v>773</v>
      </c>
      <c r="B235" t="s">
        <v>5106</v>
      </c>
      <c r="C235" t="s">
        <v>774</v>
      </c>
      <c r="D235" t="s">
        <v>446</v>
      </c>
      <c r="E235" t="s">
        <v>228</v>
      </c>
      <c r="F235">
        <v>149.99</v>
      </c>
      <c r="G235" t="s">
        <v>8</v>
      </c>
      <c r="H235">
        <v>1.8713450292397661E-2</v>
      </c>
      <c r="J235">
        <v>0</v>
      </c>
      <c r="K235">
        <v>52</v>
      </c>
      <c r="L235">
        <v>518</v>
      </c>
      <c r="M235">
        <v>57.540983606557383</v>
      </c>
      <c r="N235">
        <v>10.166666666666666</v>
      </c>
      <c r="O235">
        <v>1950</v>
      </c>
      <c r="P235">
        <v>585</v>
      </c>
    </row>
    <row r="236" spans="1:16" x14ac:dyDescent="0.2">
      <c r="A236" t="s">
        <v>533</v>
      </c>
      <c r="B236" t="s">
        <v>4839</v>
      </c>
      <c r="C236" t="s">
        <v>534</v>
      </c>
      <c r="D236" t="s">
        <v>446</v>
      </c>
      <c r="E236" t="s">
        <v>228</v>
      </c>
      <c r="F236">
        <v>29.99</v>
      </c>
      <c r="G236" t="s">
        <v>8</v>
      </c>
      <c r="H236">
        <v>6.4064801178203234E-2</v>
      </c>
      <c r="J236">
        <v>4</v>
      </c>
      <c r="K236">
        <v>48</v>
      </c>
      <c r="L236">
        <v>627</v>
      </c>
      <c r="M236">
        <v>53.037037037037038</v>
      </c>
      <c r="N236">
        <v>13.5</v>
      </c>
      <c r="O236">
        <v>390</v>
      </c>
      <c r="P236">
        <v>716</v>
      </c>
    </row>
    <row r="237" spans="1:16" x14ac:dyDescent="0.2">
      <c r="A237" t="s">
        <v>475</v>
      </c>
      <c r="B237" t="s">
        <v>4804</v>
      </c>
      <c r="C237" t="s">
        <v>476</v>
      </c>
      <c r="D237" t="s">
        <v>446</v>
      </c>
      <c r="E237" t="s">
        <v>228</v>
      </c>
      <c r="F237">
        <v>89.99</v>
      </c>
      <c r="G237" t="s">
        <v>8</v>
      </c>
      <c r="H237">
        <v>4.1576283441793205E-2</v>
      </c>
      <c r="J237">
        <v>1</v>
      </c>
      <c r="K237">
        <v>18</v>
      </c>
      <c r="L237">
        <v>442</v>
      </c>
      <c r="M237">
        <v>37.578947368421055</v>
      </c>
      <c r="N237">
        <v>12.666666666666666</v>
      </c>
      <c r="O237">
        <v>1170</v>
      </c>
      <c r="P237">
        <v>476</v>
      </c>
    </row>
    <row r="238" spans="1:16" x14ac:dyDescent="0.2">
      <c r="A238" t="s">
        <v>2988</v>
      </c>
      <c r="B238" t="s">
        <v>97</v>
      </c>
      <c r="C238" t="s">
        <v>2989</v>
      </c>
      <c r="D238" t="s">
        <v>2987</v>
      </c>
      <c r="E238" t="s">
        <v>228</v>
      </c>
      <c r="F238">
        <v>89.99</v>
      </c>
      <c r="G238" t="s">
        <v>14</v>
      </c>
      <c r="H238">
        <v>2.2688719253604748E-2</v>
      </c>
      <c r="M238">
        <v>38.655737704918032</v>
      </c>
      <c r="N238">
        <v>10.166666666666666</v>
      </c>
      <c r="O238">
        <v>1080</v>
      </c>
      <c r="P238">
        <v>393</v>
      </c>
    </row>
    <row r="239" spans="1:16" x14ac:dyDescent="0.2">
      <c r="A239" t="s">
        <v>2669</v>
      </c>
      <c r="B239" t="s">
        <v>97</v>
      </c>
      <c r="C239" t="s">
        <v>2670</v>
      </c>
      <c r="D239" t="s">
        <v>2502</v>
      </c>
      <c r="E239" t="s">
        <v>228</v>
      </c>
      <c r="F239">
        <v>59.99</v>
      </c>
      <c r="G239" t="s">
        <v>14</v>
      </c>
      <c r="H239">
        <v>4.6757164404223235E-2</v>
      </c>
      <c r="M239">
        <v>19.5</v>
      </c>
      <c r="N239">
        <v>11.333333333333334</v>
      </c>
      <c r="O239">
        <v>720</v>
      </c>
      <c r="P239">
        <v>221</v>
      </c>
    </row>
    <row r="240" spans="1:16" x14ac:dyDescent="0.2">
      <c r="A240" t="s">
        <v>2503</v>
      </c>
      <c r="B240" t="s">
        <v>6176</v>
      </c>
      <c r="C240" t="s">
        <v>2504</v>
      </c>
      <c r="D240" t="s">
        <v>2502</v>
      </c>
      <c r="E240" t="s">
        <v>228</v>
      </c>
      <c r="F240">
        <v>129.99</v>
      </c>
      <c r="G240" t="s">
        <v>7014</v>
      </c>
      <c r="H240">
        <v>2.3356401384083045E-2</v>
      </c>
      <c r="I240" t="s">
        <v>7015</v>
      </c>
      <c r="M240">
        <v>44.46153846153846</v>
      </c>
      <c r="N240">
        <v>6.5</v>
      </c>
      <c r="O240">
        <v>1560</v>
      </c>
      <c r="P240">
        <v>289</v>
      </c>
    </row>
    <row r="241" spans="1:16" x14ac:dyDescent="0.2">
      <c r="A241" t="s">
        <v>2220</v>
      </c>
      <c r="B241" t="s">
        <v>5413</v>
      </c>
      <c r="C241" t="s">
        <v>2221</v>
      </c>
      <c r="D241" t="s">
        <v>2146</v>
      </c>
      <c r="E241" t="s">
        <v>228</v>
      </c>
      <c r="F241">
        <v>54.99</v>
      </c>
      <c r="G241" t="s">
        <v>7014</v>
      </c>
      <c r="H241">
        <v>2.4227902023429174E-2</v>
      </c>
      <c r="I241" t="s">
        <v>7015</v>
      </c>
      <c r="M241">
        <v>38.326530612244902</v>
      </c>
      <c r="N241">
        <v>8.1666666666666661</v>
      </c>
      <c r="O241">
        <v>660</v>
      </c>
      <c r="P241">
        <v>313</v>
      </c>
    </row>
    <row r="242" spans="1:16" x14ac:dyDescent="0.2">
      <c r="A242" t="s">
        <v>3023</v>
      </c>
      <c r="B242" t="s">
        <v>6648</v>
      </c>
      <c r="C242" t="s">
        <v>3024</v>
      </c>
      <c r="D242" t="s">
        <v>2987</v>
      </c>
      <c r="E242" t="s">
        <v>228</v>
      </c>
      <c r="F242">
        <v>89.99</v>
      </c>
      <c r="G242" t="s">
        <v>7014</v>
      </c>
      <c r="H242">
        <v>3.8224121557454888E-2</v>
      </c>
      <c r="I242" t="s">
        <v>7015</v>
      </c>
      <c r="M242">
        <v>25.682926829268293</v>
      </c>
      <c r="N242">
        <v>13.666666666666666</v>
      </c>
      <c r="O242">
        <v>1080</v>
      </c>
      <c r="P242">
        <v>351</v>
      </c>
    </row>
    <row r="243" spans="1:16" x14ac:dyDescent="0.2">
      <c r="A243" t="s">
        <v>553</v>
      </c>
      <c r="B243" t="s">
        <v>4680</v>
      </c>
      <c r="C243" t="s">
        <v>554</v>
      </c>
      <c r="D243" t="s">
        <v>446</v>
      </c>
      <c r="E243" t="s">
        <v>228</v>
      </c>
      <c r="F243">
        <v>24.99</v>
      </c>
      <c r="G243" t="s">
        <v>7014</v>
      </c>
      <c r="H243">
        <v>0.22446236559139784</v>
      </c>
      <c r="I243" t="s">
        <v>7015</v>
      </c>
      <c r="M243">
        <v>7.591836734693878</v>
      </c>
      <c r="N243">
        <v>24.5</v>
      </c>
      <c r="O243">
        <v>300</v>
      </c>
      <c r="P243">
        <v>186</v>
      </c>
    </row>
    <row r="244" spans="1:16" x14ac:dyDescent="0.2">
      <c r="A244" t="s">
        <v>791</v>
      </c>
      <c r="B244" t="s">
        <v>5115</v>
      </c>
      <c r="C244" t="s">
        <v>792</v>
      </c>
      <c r="D244" t="s">
        <v>446</v>
      </c>
      <c r="E244" t="s">
        <v>228</v>
      </c>
      <c r="F244">
        <v>59.99</v>
      </c>
      <c r="G244" t="s">
        <v>8</v>
      </c>
      <c r="H244">
        <v>2.4649649649649653E-2</v>
      </c>
      <c r="J244">
        <v>3</v>
      </c>
      <c r="K244">
        <v>14</v>
      </c>
      <c r="L244">
        <v>649</v>
      </c>
      <c r="M244">
        <v>48.348837209302324</v>
      </c>
      <c r="N244">
        <v>14.333333333333334</v>
      </c>
      <c r="O244">
        <v>720</v>
      </c>
      <c r="P244">
        <v>693</v>
      </c>
    </row>
    <row r="245" spans="1:16" x14ac:dyDescent="0.2">
      <c r="A245" t="s">
        <v>1834</v>
      </c>
      <c r="B245" t="s">
        <v>4623</v>
      </c>
      <c r="C245" t="s">
        <v>1835</v>
      </c>
      <c r="D245" t="s">
        <v>1811</v>
      </c>
      <c r="E245" t="s">
        <v>228</v>
      </c>
      <c r="F245">
        <v>179.99</v>
      </c>
      <c r="G245" t="s">
        <v>8</v>
      </c>
      <c r="H245">
        <v>1.2254901960784314E-3</v>
      </c>
      <c r="J245">
        <v>0</v>
      </c>
      <c r="K245">
        <v>178</v>
      </c>
      <c r="L245">
        <v>230</v>
      </c>
      <c r="M245">
        <v>169.28571428571428</v>
      </c>
      <c r="N245">
        <v>2.3333333333333335</v>
      </c>
      <c r="O245">
        <v>2160</v>
      </c>
      <c r="P245">
        <v>395</v>
      </c>
    </row>
    <row r="246" spans="1:16" x14ac:dyDescent="0.2">
      <c r="A246" t="s">
        <v>3295</v>
      </c>
      <c r="B246" t="s">
        <v>6990</v>
      </c>
      <c r="C246" t="s">
        <v>3296</v>
      </c>
      <c r="D246" t="s">
        <v>3268</v>
      </c>
      <c r="E246" t="s">
        <v>228</v>
      </c>
      <c r="F246">
        <v>199.99</v>
      </c>
      <c r="G246" t="s">
        <v>8</v>
      </c>
      <c r="H246">
        <v>4.3055555555555555E-2</v>
      </c>
      <c r="J246">
        <v>5</v>
      </c>
      <c r="K246">
        <v>14</v>
      </c>
      <c r="L246">
        <v>161</v>
      </c>
      <c r="M246">
        <v>19.473684210526315</v>
      </c>
      <c r="N246">
        <v>9.5</v>
      </c>
      <c r="O246">
        <v>2400</v>
      </c>
      <c r="P246">
        <v>185</v>
      </c>
    </row>
    <row r="247" spans="1:16" x14ac:dyDescent="0.2">
      <c r="A247" t="s">
        <v>543</v>
      </c>
      <c r="B247" t="s">
        <v>4847</v>
      </c>
      <c r="C247" t="s">
        <v>544</v>
      </c>
      <c r="D247" t="s">
        <v>446</v>
      </c>
      <c r="E247" t="s">
        <v>228</v>
      </c>
      <c r="F247">
        <v>49.99</v>
      </c>
      <c r="G247" t="s">
        <v>8</v>
      </c>
      <c r="H247">
        <v>4.0283540802213011E-2</v>
      </c>
      <c r="J247">
        <v>3</v>
      </c>
      <c r="K247">
        <v>16</v>
      </c>
      <c r="L247">
        <v>463</v>
      </c>
      <c r="M247">
        <v>30.061855670103089</v>
      </c>
      <c r="N247">
        <v>16.166666666666668</v>
      </c>
      <c r="O247">
        <v>600</v>
      </c>
      <c r="P247">
        <v>486</v>
      </c>
    </row>
    <row r="248" spans="1:16" x14ac:dyDescent="0.2">
      <c r="A248" t="s">
        <v>541</v>
      </c>
      <c r="B248" t="s">
        <v>4849</v>
      </c>
      <c r="C248" t="s">
        <v>542</v>
      </c>
      <c r="D248" t="s">
        <v>446</v>
      </c>
      <c r="E248" t="s">
        <v>228</v>
      </c>
      <c r="F248">
        <v>49.99</v>
      </c>
      <c r="G248" t="s">
        <v>8</v>
      </c>
      <c r="H248">
        <v>2.7137367915465897E-2</v>
      </c>
      <c r="J248">
        <v>2</v>
      </c>
      <c r="K248">
        <v>34</v>
      </c>
      <c r="L248">
        <v>311</v>
      </c>
      <c r="M248">
        <v>41.04</v>
      </c>
      <c r="N248">
        <v>8.3333333333333339</v>
      </c>
      <c r="O248">
        <v>600</v>
      </c>
      <c r="P248">
        <v>342</v>
      </c>
    </row>
    <row r="249" spans="1:16" x14ac:dyDescent="0.2">
      <c r="A249" t="s">
        <v>966</v>
      </c>
      <c r="B249" t="s">
        <v>4698</v>
      </c>
      <c r="C249" t="s">
        <v>967</v>
      </c>
      <c r="D249" t="s">
        <v>446</v>
      </c>
      <c r="E249" t="s">
        <v>290</v>
      </c>
      <c r="F249">
        <v>59.99</v>
      </c>
      <c r="G249" t="s">
        <v>7014</v>
      </c>
      <c r="H249">
        <v>5.1736111111111101E-2</v>
      </c>
      <c r="I249" t="s">
        <v>7015</v>
      </c>
      <c r="M249">
        <v>23.2258064516129</v>
      </c>
      <c r="N249">
        <v>10.333333333333334</v>
      </c>
      <c r="O249">
        <v>660</v>
      </c>
      <c r="P249">
        <v>240</v>
      </c>
    </row>
    <row r="250" spans="1:16" x14ac:dyDescent="0.2">
      <c r="A250" t="s">
        <v>2479</v>
      </c>
      <c r="B250" t="s">
        <v>5730</v>
      </c>
      <c r="C250" t="s">
        <v>7027</v>
      </c>
      <c r="D250" t="s">
        <v>2448</v>
      </c>
      <c r="E250" t="s">
        <v>228</v>
      </c>
      <c r="F250">
        <v>59.99</v>
      </c>
      <c r="G250" t="s">
        <v>8</v>
      </c>
      <c r="H250">
        <v>0.26096491228070173</v>
      </c>
      <c r="J250">
        <v>0</v>
      </c>
      <c r="K250">
        <v>36</v>
      </c>
      <c r="L250">
        <v>2</v>
      </c>
      <c r="M250">
        <v>4.9787234042553195</v>
      </c>
      <c r="N250">
        <v>7.833333333333333</v>
      </c>
      <c r="O250">
        <v>660</v>
      </c>
      <c r="P250">
        <v>39</v>
      </c>
    </row>
    <row r="251" spans="1:16" x14ac:dyDescent="0.2">
      <c r="A251" t="s">
        <v>797</v>
      </c>
      <c r="B251" t="s">
        <v>5112</v>
      </c>
      <c r="C251" t="s">
        <v>798</v>
      </c>
      <c r="D251" t="s">
        <v>446</v>
      </c>
      <c r="E251" t="s">
        <v>228</v>
      </c>
      <c r="F251">
        <v>129.99</v>
      </c>
      <c r="G251" t="s">
        <v>8</v>
      </c>
      <c r="H251">
        <v>2.4869109947643978E-2</v>
      </c>
      <c r="J251">
        <v>3</v>
      </c>
      <c r="K251">
        <v>21</v>
      </c>
      <c r="L251">
        <v>549</v>
      </c>
      <c r="M251">
        <v>52.363636363636367</v>
      </c>
      <c r="N251">
        <v>11</v>
      </c>
      <c r="O251">
        <v>1430</v>
      </c>
      <c r="P251">
        <v>576</v>
      </c>
    </row>
    <row r="252" spans="1:16" x14ac:dyDescent="0.2">
      <c r="A252" t="s">
        <v>2479</v>
      </c>
      <c r="B252" t="s">
        <v>5728</v>
      </c>
      <c r="C252" t="s">
        <v>7027</v>
      </c>
      <c r="D252" t="s">
        <v>2448</v>
      </c>
      <c r="E252" t="s">
        <v>228</v>
      </c>
      <c r="F252">
        <v>59.99</v>
      </c>
      <c r="G252" t="s">
        <v>7014</v>
      </c>
      <c r="H252">
        <v>1.0520833333333333</v>
      </c>
      <c r="I252" t="s">
        <v>7015</v>
      </c>
      <c r="M252">
        <v>1</v>
      </c>
      <c r="N252">
        <v>8</v>
      </c>
      <c r="O252">
        <v>600</v>
      </c>
      <c r="P252">
        <v>8</v>
      </c>
    </row>
    <row r="253" spans="1:16" x14ac:dyDescent="0.2">
      <c r="A253" t="s">
        <v>791</v>
      </c>
      <c r="B253" t="s">
        <v>5113</v>
      </c>
      <c r="C253" t="s">
        <v>792</v>
      </c>
      <c r="D253" t="s">
        <v>446</v>
      </c>
      <c r="E253" t="s">
        <v>228</v>
      </c>
      <c r="F253">
        <v>59.99</v>
      </c>
      <c r="G253" t="s">
        <v>7014</v>
      </c>
      <c r="H253">
        <v>6.3943894389438941E-2</v>
      </c>
      <c r="I253" t="s">
        <v>7015</v>
      </c>
      <c r="M253">
        <v>21.837837837837839</v>
      </c>
      <c r="N253">
        <v>18.5</v>
      </c>
      <c r="O253">
        <v>600</v>
      </c>
      <c r="P253">
        <v>404</v>
      </c>
    </row>
    <row r="254" spans="1:16" x14ac:dyDescent="0.2">
      <c r="A254" t="s">
        <v>773</v>
      </c>
      <c r="B254" t="s">
        <v>5104</v>
      </c>
      <c r="C254" t="s">
        <v>774</v>
      </c>
      <c r="D254" t="s">
        <v>446</v>
      </c>
      <c r="E254" t="s">
        <v>228</v>
      </c>
      <c r="F254">
        <v>149.99</v>
      </c>
      <c r="G254" t="s">
        <v>7014</v>
      </c>
      <c r="H254">
        <v>3.3687943262411348E-2</v>
      </c>
      <c r="I254" t="s">
        <v>7015</v>
      </c>
      <c r="M254">
        <v>40.285714285714285</v>
      </c>
      <c r="N254">
        <v>10.5</v>
      </c>
      <c r="O254">
        <v>1500</v>
      </c>
      <c r="P254">
        <v>423</v>
      </c>
    </row>
    <row r="255" spans="1:16" x14ac:dyDescent="0.2">
      <c r="A255" t="s">
        <v>253</v>
      </c>
      <c r="B255" t="s">
        <v>4272</v>
      </c>
      <c r="C255" t="s">
        <v>254</v>
      </c>
      <c r="D255" t="s">
        <v>223</v>
      </c>
      <c r="E255" t="s">
        <v>228</v>
      </c>
      <c r="F255">
        <v>89.99</v>
      </c>
      <c r="G255" t="s">
        <v>7014</v>
      </c>
      <c r="H255">
        <v>3.9855072463768119E-2</v>
      </c>
      <c r="I255" t="s">
        <v>7015</v>
      </c>
      <c r="M255">
        <v>29.272727272727273</v>
      </c>
      <c r="N255">
        <v>5.5</v>
      </c>
      <c r="O255">
        <v>900</v>
      </c>
      <c r="P255">
        <v>161</v>
      </c>
    </row>
    <row r="256" spans="1:16" x14ac:dyDescent="0.2">
      <c r="A256" t="s">
        <v>904</v>
      </c>
      <c r="B256" t="s">
        <v>5168</v>
      </c>
      <c r="C256" t="s">
        <v>905</v>
      </c>
      <c r="D256" t="s">
        <v>446</v>
      </c>
      <c r="E256" t="s">
        <v>228</v>
      </c>
      <c r="F256">
        <v>99.99</v>
      </c>
      <c r="G256" t="s">
        <v>8</v>
      </c>
      <c r="H256">
        <v>5.1089918256130781E-2</v>
      </c>
      <c r="J256">
        <v>6</v>
      </c>
      <c r="K256">
        <v>73</v>
      </c>
      <c r="L256">
        <v>288</v>
      </c>
      <c r="M256">
        <v>24.978260869565215</v>
      </c>
      <c r="N256">
        <v>15.333333333333334</v>
      </c>
      <c r="O256">
        <v>1000</v>
      </c>
      <c r="P256">
        <v>383</v>
      </c>
    </row>
    <row r="257" spans="1:16" x14ac:dyDescent="0.2">
      <c r="A257" t="s">
        <v>2901</v>
      </c>
      <c r="B257" t="s">
        <v>5280</v>
      </c>
      <c r="C257" t="s">
        <v>2902</v>
      </c>
      <c r="D257" t="s">
        <v>2852</v>
      </c>
      <c r="E257" t="s">
        <v>228</v>
      </c>
      <c r="F257">
        <v>99.99</v>
      </c>
      <c r="G257" t="s">
        <v>8</v>
      </c>
      <c r="H257">
        <v>2.1046643913538114E-2</v>
      </c>
      <c r="J257">
        <v>1</v>
      </c>
      <c r="K257">
        <v>10</v>
      </c>
      <c r="L257">
        <v>282</v>
      </c>
      <c r="M257">
        <v>43.170731707317074</v>
      </c>
      <c r="N257">
        <v>6.833333333333333</v>
      </c>
      <c r="O257">
        <v>1000</v>
      </c>
      <c r="P257">
        <v>295</v>
      </c>
    </row>
    <row r="258" spans="1:16" x14ac:dyDescent="0.2">
      <c r="A258" t="s">
        <v>2761</v>
      </c>
      <c r="B258" t="s">
        <v>5960</v>
      </c>
      <c r="C258" t="s">
        <v>2762</v>
      </c>
      <c r="D258" t="s">
        <v>2502</v>
      </c>
      <c r="E258" t="s">
        <v>228</v>
      </c>
      <c r="F258">
        <v>119.99</v>
      </c>
      <c r="G258" t="s">
        <v>8</v>
      </c>
      <c r="H258">
        <v>3.374870197300104E-2</v>
      </c>
      <c r="J258">
        <v>7</v>
      </c>
      <c r="K258">
        <v>26</v>
      </c>
      <c r="L258">
        <v>288</v>
      </c>
      <c r="M258">
        <v>29.723076923076928</v>
      </c>
      <c r="N258">
        <v>10.833333333333332</v>
      </c>
      <c r="O258">
        <v>1200</v>
      </c>
      <c r="P258">
        <v>322</v>
      </c>
    </row>
    <row r="259" spans="1:16" x14ac:dyDescent="0.2">
      <c r="A259" t="s">
        <v>2639</v>
      </c>
      <c r="B259" t="s">
        <v>6362</v>
      </c>
      <c r="C259" t="s">
        <v>2640</v>
      </c>
      <c r="D259" t="s">
        <v>2502</v>
      </c>
      <c r="E259" t="s">
        <v>228</v>
      </c>
      <c r="F259">
        <v>109.99</v>
      </c>
      <c r="G259" t="s">
        <v>8</v>
      </c>
      <c r="H259">
        <v>4.8611111111111112E-2</v>
      </c>
      <c r="J259">
        <v>1</v>
      </c>
      <c r="K259">
        <v>15</v>
      </c>
      <c r="L259">
        <v>224</v>
      </c>
      <c r="M259">
        <v>22.260869565217391</v>
      </c>
      <c r="N259">
        <v>11.5</v>
      </c>
      <c r="O259">
        <v>1100</v>
      </c>
      <c r="P259">
        <v>256</v>
      </c>
    </row>
    <row r="260" spans="1:16" x14ac:dyDescent="0.2">
      <c r="A260" t="s">
        <v>3019</v>
      </c>
      <c r="B260" t="s">
        <v>6485</v>
      </c>
      <c r="C260" t="s">
        <v>3020</v>
      </c>
      <c r="D260" t="s">
        <v>2987</v>
      </c>
      <c r="E260" t="s">
        <v>228</v>
      </c>
      <c r="F260">
        <v>139.99</v>
      </c>
      <c r="G260" t="s">
        <v>8</v>
      </c>
      <c r="H260">
        <v>3.2278481012658226E-2</v>
      </c>
      <c r="J260">
        <v>1</v>
      </c>
      <c r="K260">
        <v>10</v>
      </c>
      <c r="L260">
        <v>384</v>
      </c>
      <c r="M260">
        <v>29.060240963855421</v>
      </c>
      <c r="N260">
        <v>13.833333333333334</v>
      </c>
      <c r="O260">
        <v>1400</v>
      </c>
      <c r="P260">
        <v>402</v>
      </c>
    </row>
    <row r="261" spans="1:16" x14ac:dyDescent="0.2">
      <c r="A261" t="s">
        <v>3025</v>
      </c>
      <c r="B261" t="s">
        <v>6792</v>
      </c>
      <c r="C261" t="s">
        <v>3026</v>
      </c>
      <c r="D261" t="s">
        <v>2987</v>
      </c>
      <c r="E261" t="s">
        <v>228</v>
      </c>
      <c r="F261">
        <v>89.99</v>
      </c>
      <c r="G261" t="s">
        <v>8</v>
      </c>
      <c r="H261">
        <v>7.060185185185186E-2</v>
      </c>
      <c r="J261">
        <v>1</v>
      </c>
      <c r="K261">
        <v>30</v>
      </c>
      <c r="L261">
        <v>329</v>
      </c>
      <c r="M261">
        <v>20.803278688524589</v>
      </c>
      <c r="N261">
        <v>20.333333333333336</v>
      </c>
      <c r="O261">
        <v>900</v>
      </c>
      <c r="P261">
        <v>423</v>
      </c>
    </row>
    <row r="262" spans="1:16" x14ac:dyDescent="0.2">
      <c r="A262" t="s">
        <v>853</v>
      </c>
      <c r="B262" t="s">
        <v>4845</v>
      </c>
      <c r="C262" t="s">
        <v>854</v>
      </c>
      <c r="D262" t="s">
        <v>446</v>
      </c>
      <c r="E262" t="s">
        <v>228</v>
      </c>
      <c r="F262">
        <v>39.99</v>
      </c>
      <c r="G262" t="s">
        <v>8</v>
      </c>
      <c r="H262">
        <v>3.6415989159891603E-2</v>
      </c>
      <c r="J262">
        <v>4</v>
      </c>
      <c r="K262">
        <v>46</v>
      </c>
      <c r="L262">
        <v>442</v>
      </c>
      <c r="M262">
        <v>39.520000000000003</v>
      </c>
      <c r="N262">
        <v>12.5</v>
      </c>
      <c r="O262">
        <v>400</v>
      </c>
      <c r="P262">
        <v>494</v>
      </c>
    </row>
    <row r="263" spans="1:16" x14ac:dyDescent="0.2">
      <c r="A263" t="s">
        <v>851</v>
      </c>
      <c r="B263" t="s">
        <v>4844</v>
      </c>
      <c r="C263" t="s">
        <v>852</v>
      </c>
      <c r="D263" t="s">
        <v>446</v>
      </c>
      <c r="E263" t="s">
        <v>228</v>
      </c>
      <c r="F263">
        <v>39.99</v>
      </c>
      <c r="G263" t="s">
        <v>8</v>
      </c>
      <c r="H263">
        <v>4.6644542772861355E-2</v>
      </c>
      <c r="J263">
        <v>8</v>
      </c>
      <c r="K263">
        <v>46</v>
      </c>
      <c r="L263">
        <v>398</v>
      </c>
      <c r="M263">
        <v>26.673267326732674</v>
      </c>
      <c r="N263">
        <v>16.833333333333332</v>
      </c>
      <c r="O263">
        <v>400</v>
      </c>
      <c r="P263">
        <v>449</v>
      </c>
    </row>
    <row r="264" spans="1:16" x14ac:dyDescent="0.2">
      <c r="A264" t="s">
        <v>946</v>
      </c>
      <c r="B264" t="s">
        <v>5148</v>
      </c>
      <c r="C264" t="s">
        <v>947</v>
      </c>
      <c r="D264" t="s">
        <v>446</v>
      </c>
      <c r="E264" t="s">
        <v>228</v>
      </c>
      <c r="F264">
        <v>99.99</v>
      </c>
      <c r="G264" t="s">
        <v>8</v>
      </c>
      <c r="H264">
        <v>1.1799410029498523E-2</v>
      </c>
      <c r="J264">
        <v>0</v>
      </c>
      <c r="K264">
        <v>59</v>
      </c>
      <c r="L264">
        <v>619</v>
      </c>
      <c r="M264">
        <v>82.040816326530617</v>
      </c>
      <c r="N264">
        <v>8.1666666666666661</v>
      </c>
      <c r="O264">
        <v>1000</v>
      </c>
      <c r="P264">
        <v>670</v>
      </c>
    </row>
    <row r="265" spans="1:16" x14ac:dyDescent="0.2">
      <c r="A265" t="s">
        <v>461</v>
      </c>
      <c r="B265" t="s">
        <v>4799</v>
      </c>
      <c r="C265" t="s">
        <v>462</v>
      </c>
      <c r="D265" t="s">
        <v>446</v>
      </c>
      <c r="E265" t="s">
        <v>228</v>
      </c>
      <c r="F265">
        <v>69.989999999999995</v>
      </c>
      <c r="G265" t="s">
        <v>8</v>
      </c>
      <c r="H265">
        <v>2.3244781783681213E-2</v>
      </c>
      <c r="J265">
        <v>0</v>
      </c>
      <c r="K265">
        <v>34</v>
      </c>
      <c r="L265">
        <v>493</v>
      </c>
      <c r="M265">
        <v>92.666666666666671</v>
      </c>
      <c r="N265">
        <v>6</v>
      </c>
      <c r="O265">
        <v>700</v>
      </c>
      <c r="P265">
        <v>556</v>
      </c>
    </row>
    <row r="266" spans="1:16" x14ac:dyDescent="0.2">
      <c r="A266" t="s">
        <v>3279</v>
      </c>
      <c r="B266" t="s">
        <v>6977</v>
      </c>
      <c r="C266" t="s">
        <v>3278</v>
      </c>
      <c r="D266" t="s">
        <v>3268</v>
      </c>
      <c r="E266" t="s">
        <v>228</v>
      </c>
      <c r="F266">
        <v>99.99</v>
      </c>
      <c r="G266" t="s">
        <v>11</v>
      </c>
      <c r="H266">
        <v>0.66666666666666663</v>
      </c>
      <c r="M266">
        <v>1.5652173913043477</v>
      </c>
      <c r="N266">
        <v>7.666666666666667</v>
      </c>
      <c r="O266">
        <v>900</v>
      </c>
      <c r="P266">
        <v>12</v>
      </c>
    </row>
    <row r="267" spans="1:16" x14ac:dyDescent="0.2">
      <c r="A267" t="s">
        <v>940</v>
      </c>
      <c r="C267" t="s">
        <v>941</v>
      </c>
      <c r="D267" t="s">
        <v>446</v>
      </c>
      <c r="E267" t="s">
        <v>228</v>
      </c>
      <c r="F267">
        <v>15.99</v>
      </c>
      <c r="G267" t="s">
        <v>13</v>
      </c>
      <c r="M267">
        <v>0</v>
      </c>
      <c r="N267">
        <v>0</v>
      </c>
      <c r="O267">
        <v>0</v>
      </c>
      <c r="P267">
        <v>52</v>
      </c>
    </row>
    <row r="268" spans="1:16" x14ac:dyDescent="0.2">
      <c r="A268" t="s">
        <v>3295</v>
      </c>
      <c r="B268" t="s">
        <v>97</v>
      </c>
      <c r="C268" t="s">
        <v>3296</v>
      </c>
      <c r="D268" t="s">
        <v>3268</v>
      </c>
      <c r="E268" t="s">
        <v>228</v>
      </c>
      <c r="F268">
        <v>199.99</v>
      </c>
      <c r="G268" t="s">
        <v>14</v>
      </c>
      <c r="H268">
        <v>7.2440087145969501E-2</v>
      </c>
      <c r="M268">
        <v>12.405405405405407</v>
      </c>
      <c r="N268">
        <v>12.333333333333332</v>
      </c>
      <c r="O268">
        <v>1800</v>
      </c>
      <c r="P268">
        <v>153</v>
      </c>
    </row>
    <row r="269" spans="1:16" x14ac:dyDescent="0.2">
      <c r="A269" t="s">
        <v>2513</v>
      </c>
      <c r="B269" t="s">
        <v>6290</v>
      </c>
      <c r="C269" t="s">
        <v>2514</v>
      </c>
      <c r="D269" t="s">
        <v>2502</v>
      </c>
      <c r="E269" t="s">
        <v>228</v>
      </c>
      <c r="F269">
        <v>199.99</v>
      </c>
      <c r="G269" t="s">
        <v>7014</v>
      </c>
      <c r="H269">
        <v>3.0326197757390417E-2</v>
      </c>
      <c r="I269" t="s">
        <v>7015</v>
      </c>
      <c r="M269">
        <v>32.163934426229503</v>
      </c>
      <c r="N269">
        <v>10.166666666666668</v>
      </c>
      <c r="O269">
        <v>1800</v>
      </c>
      <c r="P269">
        <v>327</v>
      </c>
    </row>
    <row r="270" spans="1:16" x14ac:dyDescent="0.2">
      <c r="A270" t="s">
        <v>2527</v>
      </c>
      <c r="B270" t="s">
        <v>6039</v>
      </c>
      <c r="C270" t="s">
        <v>2528</v>
      </c>
      <c r="D270" t="s">
        <v>2502</v>
      </c>
      <c r="E270" t="s">
        <v>228</v>
      </c>
      <c r="F270">
        <v>99.99</v>
      </c>
      <c r="G270" t="s">
        <v>7014</v>
      </c>
      <c r="H270">
        <v>6.3651591289782247E-2</v>
      </c>
      <c r="I270" t="s">
        <v>7015</v>
      </c>
      <c r="M270">
        <v>16.356164383561644</v>
      </c>
      <c r="N270">
        <v>12.166666666666666</v>
      </c>
      <c r="O270">
        <v>900</v>
      </c>
      <c r="P270">
        <v>199</v>
      </c>
    </row>
    <row r="271" spans="1:16" x14ac:dyDescent="0.2">
      <c r="A271" t="s">
        <v>3372</v>
      </c>
      <c r="B271" t="s">
        <v>5243</v>
      </c>
      <c r="C271" t="s">
        <v>3371</v>
      </c>
      <c r="D271" t="s">
        <v>3268</v>
      </c>
      <c r="E271" t="s">
        <v>228</v>
      </c>
      <c r="F271">
        <v>799.99</v>
      </c>
      <c r="G271" t="s">
        <v>7014</v>
      </c>
      <c r="H271">
        <v>2.7056277056277056E-2</v>
      </c>
      <c r="I271" t="s">
        <v>7015</v>
      </c>
      <c r="M271">
        <v>46.2</v>
      </c>
      <c r="N271">
        <v>5</v>
      </c>
      <c r="O271">
        <v>7200</v>
      </c>
      <c r="P271">
        <v>231</v>
      </c>
    </row>
    <row r="272" spans="1:16" x14ac:dyDescent="0.2">
      <c r="A272" t="s">
        <v>3382</v>
      </c>
      <c r="B272" t="s">
        <v>7001</v>
      </c>
      <c r="C272" t="s">
        <v>3383</v>
      </c>
      <c r="D272" t="s">
        <v>3268</v>
      </c>
      <c r="E272" t="s">
        <v>228</v>
      </c>
      <c r="F272">
        <v>199.99</v>
      </c>
      <c r="G272" t="s">
        <v>7014</v>
      </c>
      <c r="H272">
        <v>3.1568627450980394E-2</v>
      </c>
      <c r="I272" t="s">
        <v>7015</v>
      </c>
      <c r="M272">
        <v>43.220338983050851</v>
      </c>
      <c r="N272">
        <v>9.8333333333333321</v>
      </c>
      <c r="O272">
        <v>1800</v>
      </c>
      <c r="P272">
        <v>425</v>
      </c>
    </row>
    <row r="273" spans="1:16" x14ac:dyDescent="0.2">
      <c r="A273" t="s">
        <v>888</v>
      </c>
      <c r="B273" t="s">
        <v>4864</v>
      </c>
      <c r="C273" t="s">
        <v>889</v>
      </c>
      <c r="D273" t="s">
        <v>446</v>
      </c>
      <c r="E273" t="s">
        <v>228</v>
      </c>
      <c r="F273">
        <v>39.99</v>
      </c>
      <c r="G273" t="s">
        <v>8</v>
      </c>
      <c r="H273">
        <v>8.673469387755102E-2</v>
      </c>
      <c r="J273">
        <v>2</v>
      </c>
      <c r="K273">
        <v>61</v>
      </c>
      <c r="L273">
        <v>280</v>
      </c>
      <c r="M273">
        <v>28.378378378378375</v>
      </c>
      <c r="N273">
        <v>12.333333333333334</v>
      </c>
      <c r="O273">
        <v>360</v>
      </c>
      <c r="P273">
        <v>350</v>
      </c>
    </row>
    <row r="274" spans="1:16" x14ac:dyDescent="0.2">
      <c r="A274" t="s">
        <v>226</v>
      </c>
      <c r="B274" t="s">
        <v>4230</v>
      </c>
      <c r="C274" t="s">
        <v>227</v>
      </c>
      <c r="D274" t="s">
        <v>223</v>
      </c>
      <c r="E274" t="s">
        <v>228</v>
      </c>
      <c r="F274">
        <v>119.99</v>
      </c>
      <c r="G274" t="s">
        <v>8</v>
      </c>
      <c r="H274">
        <v>2.2510822510822509E-2</v>
      </c>
      <c r="J274">
        <v>14</v>
      </c>
      <c r="K274">
        <v>21</v>
      </c>
      <c r="L274">
        <v>350</v>
      </c>
      <c r="M274">
        <v>49.956521739130437</v>
      </c>
      <c r="N274">
        <v>7.6666666666666661</v>
      </c>
      <c r="O274">
        <v>1080</v>
      </c>
      <c r="P274">
        <v>383</v>
      </c>
    </row>
    <row r="275" spans="1:16" x14ac:dyDescent="0.2">
      <c r="A275" t="s">
        <v>2988</v>
      </c>
      <c r="B275" t="s">
        <v>6481</v>
      </c>
      <c r="C275" t="s">
        <v>2989</v>
      </c>
      <c r="D275" t="s">
        <v>2987</v>
      </c>
      <c r="E275" t="s">
        <v>228</v>
      </c>
      <c r="F275">
        <v>89.99</v>
      </c>
      <c r="G275" t="s">
        <v>8</v>
      </c>
      <c r="H275">
        <v>4.5991561181434611E-2</v>
      </c>
      <c r="J275">
        <v>4</v>
      </c>
      <c r="K275">
        <v>15</v>
      </c>
      <c r="L275">
        <v>376</v>
      </c>
      <c r="M275">
        <v>23.614678899082566</v>
      </c>
      <c r="N275">
        <v>18.166666666666668</v>
      </c>
      <c r="O275">
        <v>810</v>
      </c>
      <c r="P275">
        <v>429</v>
      </c>
    </row>
    <row r="276" spans="1:16" x14ac:dyDescent="0.2">
      <c r="A276" t="s">
        <v>257</v>
      </c>
      <c r="B276" t="s">
        <v>4279</v>
      </c>
      <c r="C276" t="s">
        <v>258</v>
      </c>
      <c r="D276" t="s">
        <v>223</v>
      </c>
      <c r="E276" t="s">
        <v>228</v>
      </c>
      <c r="F276">
        <v>59.99</v>
      </c>
      <c r="G276" t="s">
        <v>8</v>
      </c>
      <c r="H276">
        <v>3.2857142857142856E-2</v>
      </c>
      <c r="J276">
        <v>1</v>
      </c>
      <c r="K276">
        <v>5</v>
      </c>
      <c r="L276">
        <v>169</v>
      </c>
      <c r="M276">
        <v>28.421052631578949</v>
      </c>
      <c r="N276">
        <v>6.333333333333333</v>
      </c>
      <c r="O276">
        <v>540</v>
      </c>
      <c r="P276">
        <v>180</v>
      </c>
    </row>
    <row r="277" spans="1:16" x14ac:dyDescent="0.2">
      <c r="A277" t="s">
        <v>2519</v>
      </c>
      <c r="B277" t="s">
        <v>5993</v>
      </c>
      <c r="C277" t="s">
        <v>2520</v>
      </c>
      <c r="D277" t="s">
        <v>2502</v>
      </c>
      <c r="E277" t="s">
        <v>228</v>
      </c>
      <c r="F277">
        <v>249.99</v>
      </c>
      <c r="G277" t="s">
        <v>8</v>
      </c>
      <c r="H277">
        <v>0.16091954022988506</v>
      </c>
      <c r="J277">
        <v>0</v>
      </c>
      <c r="K277">
        <v>17</v>
      </c>
      <c r="L277">
        <v>12</v>
      </c>
      <c r="M277">
        <v>8.25</v>
      </c>
      <c r="N277">
        <v>4</v>
      </c>
      <c r="O277">
        <v>2250</v>
      </c>
      <c r="P277">
        <v>33</v>
      </c>
    </row>
    <row r="278" spans="1:16" x14ac:dyDescent="0.2">
      <c r="A278" t="s">
        <v>693</v>
      </c>
      <c r="C278" t="s">
        <v>7020</v>
      </c>
      <c r="D278" t="s">
        <v>446</v>
      </c>
      <c r="E278" t="s">
        <v>228</v>
      </c>
      <c r="F278">
        <v>59.99</v>
      </c>
      <c r="G278" t="s">
        <v>13</v>
      </c>
      <c r="M278">
        <v>0</v>
      </c>
      <c r="N278">
        <v>0</v>
      </c>
      <c r="O278">
        <v>0</v>
      </c>
      <c r="P278">
        <v>53</v>
      </c>
    </row>
    <row r="279" spans="1:16" x14ac:dyDescent="0.2">
      <c r="A279" t="s">
        <v>3279</v>
      </c>
      <c r="B279" t="s">
        <v>97</v>
      </c>
      <c r="C279" t="s">
        <v>3278</v>
      </c>
      <c r="D279" t="s">
        <v>3268</v>
      </c>
      <c r="E279" t="s">
        <v>228</v>
      </c>
      <c r="F279">
        <v>99.99</v>
      </c>
      <c r="G279" t="s">
        <v>14</v>
      </c>
      <c r="H279">
        <v>5.1706827309236952E-2</v>
      </c>
      <c r="M279">
        <v>19.153846153846157</v>
      </c>
      <c r="N279">
        <v>8.6666666666666661</v>
      </c>
      <c r="O279">
        <v>800</v>
      </c>
      <c r="P279">
        <v>166</v>
      </c>
    </row>
    <row r="280" spans="1:16" x14ac:dyDescent="0.2">
      <c r="A280" t="s">
        <v>2637</v>
      </c>
      <c r="B280" t="s">
        <v>6357</v>
      </c>
      <c r="C280" t="s">
        <v>2638</v>
      </c>
      <c r="D280" t="s">
        <v>2502</v>
      </c>
      <c r="E280" t="s">
        <v>228</v>
      </c>
      <c r="F280">
        <v>99.99</v>
      </c>
      <c r="G280" t="s">
        <v>7014</v>
      </c>
      <c r="H280">
        <v>0</v>
      </c>
      <c r="I280" t="s">
        <v>7015</v>
      </c>
      <c r="M280">
        <v>0</v>
      </c>
      <c r="N280">
        <v>1.3333333333333333</v>
      </c>
      <c r="O280">
        <v>800</v>
      </c>
      <c r="P280">
        <v>0</v>
      </c>
    </row>
    <row r="281" spans="1:16" x14ac:dyDescent="0.2">
      <c r="A281" t="s">
        <v>2755</v>
      </c>
      <c r="B281" t="s">
        <v>6090</v>
      </c>
      <c r="C281" t="s">
        <v>2756</v>
      </c>
      <c r="D281" t="s">
        <v>2502</v>
      </c>
      <c r="E281" t="s">
        <v>228</v>
      </c>
      <c r="F281">
        <v>34.99</v>
      </c>
      <c r="G281" t="s">
        <v>7014</v>
      </c>
      <c r="H281">
        <v>3.0571992110453652E-2</v>
      </c>
      <c r="M281">
        <v>43.148936170212764</v>
      </c>
      <c r="N281">
        <v>7.8333333333333339</v>
      </c>
      <c r="O281">
        <v>280</v>
      </c>
      <c r="P281">
        <v>338</v>
      </c>
    </row>
    <row r="282" spans="1:16" x14ac:dyDescent="0.2">
      <c r="A282" t="s">
        <v>968</v>
      </c>
      <c r="B282" t="s">
        <v>4701</v>
      </c>
      <c r="C282" t="s">
        <v>969</v>
      </c>
      <c r="D282" t="s">
        <v>446</v>
      </c>
      <c r="E282" t="s">
        <v>96</v>
      </c>
      <c r="F282">
        <v>59.99</v>
      </c>
      <c r="G282" t="s">
        <v>7014</v>
      </c>
      <c r="H282">
        <v>3.2091097308488616E-2</v>
      </c>
      <c r="I282" t="s">
        <v>7015</v>
      </c>
      <c r="M282">
        <v>30.1875</v>
      </c>
      <c r="N282">
        <v>5.333333333333333</v>
      </c>
      <c r="O282">
        <v>480</v>
      </c>
      <c r="P282">
        <v>161</v>
      </c>
    </row>
    <row r="283" spans="1:16" x14ac:dyDescent="0.2">
      <c r="A283" t="s">
        <v>555</v>
      </c>
      <c r="B283" t="s">
        <v>4683</v>
      </c>
      <c r="C283" t="s">
        <v>556</v>
      </c>
      <c r="D283" t="s">
        <v>446</v>
      </c>
      <c r="E283" t="s">
        <v>228</v>
      </c>
      <c r="F283">
        <v>29.99</v>
      </c>
      <c r="G283" t="s">
        <v>7014</v>
      </c>
      <c r="H283">
        <v>0.16125541125541124</v>
      </c>
      <c r="I283" t="s">
        <v>7015</v>
      </c>
      <c r="M283">
        <v>10.043478260869566</v>
      </c>
      <c r="N283">
        <v>15.333333333333332</v>
      </c>
      <c r="O283">
        <v>240</v>
      </c>
      <c r="P283">
        <v>154</v>
      </c>
    </row>
    <row r="284" spans="1:16" x14ac:dyDescent="0.2">
      <c r="A284" t="s">
        <v>2539</v>
      </c>
      <c r="B284" t="s">
        <v>6250</v>
      </c>
      <c r="C284" t="s">
        <v>2540</v>
      </c>
      <c r="D284" t="s">
        <v>2502</v>
      </c>
      <c r="E284" t="s">
        <v>228</v>
      </c>
      <c r="F284">
        <v>54.99</v>
      </c>
      <c r="G284" t="s">
        <v>8</v>
      </c>
      <c r="H284">
        <v>1.8343815513626835E-2</v>
      </c>
      <c r="J284">
        <v>2</v>
      </c>
      <c r="K284">
        <v>36</v>
      </c>
      <c r="L284">
        <v>280</v>
      </c>
      <c r="M284">
        <v>71.538461538461533</v>
      </c>
      <c r="N284">
        <v>4.3333333333333339</v>
      </c>
      <c r="O284">
        <v>440</v>
      </c>
      <c r="P284">
        <v>310</v>
      </c>
    </row>
    <row r="285" spans="1:16" x14ac:dyDescent="0.2">
      <c r="A285" t="s">
        <v>2585</v>
      </c>
      <c r="B285" t="s">
        <v>6109</v>
      </c>
      <c r="C285" t="s">
        <v>2586</v>
      </c>
      <c r="D285" t="s">
        <v>2502</v>
      </c>
      <c r="E285" t="s">
        <v>228</v>
      </c>
      <c r="F285">
        <v>89.99</v>
      </c>
      <c r="G285" t="s">
        <v>8</v>
      </c>
      <c r="H285">
        <v>2.0305907172995782E-2</v>
      </c>
      <c r="J285">
        <v>5</v>
      </c>
      <c r="K285">
        <v>11</v>
      </c>
      <c r="L285">
        <v>300</v>
      </c>
      <c r="M285">
        <v>48.810810810810814</v>
      </c>
      <c r="N285">
        <v>6.1666666666666661</v>
      </c>
      <c r="O285">
        <v>720</v>
      </c>
      <c r="P285">
        <v>301</v>
      </c>
    </row>
    <row r="286" spans="1:16" x14ac:dyDescent="0.2">
      <c r="A286" t="s">
        <v>681</v>
      </c>
      <c r="B286" t="s">
        <v>4754</v>
      </c>
      <c r="C286" t="s">
        <v>682</v>
      </c>
      <c r="D286" t="s">
        <v>446</v>
      </c>
      <c r="E286" t="s">
        <v>228</v>
      </c>
      <c r="F286">
        <v>129.99</v>
      </c>
      <c r="G286" t="s">
        <v>8</v>
      </c>
      <c r="H286">
        <v>1.3924592973436159E-2</v>
      </c>
      <c r="J286">
        <v>0</v>
      </c>
      <c r="K286">
        <v>47</v>
      </c>
      <c r="L286">
        <v>342</v>
      </c>
      <c r="M286">
        <v>79</v>
      </c>
      <c r="N286">
        <v>5</v>
      </c>
      <c r="O286">
        <v>1040</v>
      </c>
      <c r="P286">
        <v>395</v>
      </c>
    </row>
    <row r="287" spans="1:16" x14ac:dyDescent="0.2">
      <c r="A287" t="s">
        <v>3300</v>
      </c>
      <c r="B287" t="s">
        <v>6991</v>
      </c>
      <c r="C287" t="s">
        <v>3299</v>
      </c>
      <c r="D287" t="s">
        <v>3268</v>
      </c>
      <c r="E287" t="s">
        <v>228</v>
      </c>
      <c r="F287">
        <v>199.99</v>
      </c>
      <c r="G287" t="s">
        <v>11</v>
      </c>
      <c r="H287">
        <v>0.3032407407407407</v>
      </c>
      <c r="M287">
        <v>3.2238805970149254</v>
      </c>
      <c r="N287">
        <v>11.166666666666666</v>
      </c>
      <c r="O287">
        <v>1400</v>
      </c>
      <c r="P287">
        <v>36</v>
      </c>
    </row>
    <row r="288" spans="1:16" x14ac:dyDescent="0.2">
      <c r="A288" t="s">
        <v>2334</v>
      </c>
      <c r="B288" t="s">
        <v>7028</v>
      </c>
      <c r="C288" t="s">
        <v>2335</v>
      </c>
      <c r="D288" t="s">
        <v>2146</v>
      </c>
      <c r="E288" t="s">
        <v>228</v>
      </c>
      <c r="F288">
        <v>99.99</v>
      </c>
      <c r="G288" t="s">
        <v>74</v>
      </c>
      <c r="H288">
        <v>3.5545023696682463E-3</v>
      </c>
      <c r="M288">
        <v>115.09090909090909</v>
      </c>
      <c r="N288">
        <v>3.6666666666666665</v>
      </c>
      <c r="O288">
        <v>700</v>
      </c>
      <c r="P288">
        <v>422</v>
      </c>
    </row>
    <row r="289" spans="1:16" x14ac:dyDescent="0.2">
      <c r="A289" t="s">
        <v>2533</v>
      </c>
      <c r="B289" t="s">
        <v>97</v>
      </c>
      <c r="C289" t="s">
        <v>2534</v>
      </c>
      <c r="D289" t="s">
        <v>2502</v>
      </c>
      <c r="E289" t="s">
        <v>228</v>
      </c>
      <c r="F289">
        <v>119.99</v>
      </c>
      <c r="G289" t="s">
        <v>14</v>
      </c>
      <c r="H289">
        <v>3.1746031746031744E-2</v>
      </c>
      <c r="M289">
        <v>24</v>
      </c>
      <c r="N289">
        <v>3.5</v>
      </c>
      <c r="O289">
        <v>840</v>
      </c>
      <c r="P289">
        <v>84</v>
      </c>
    </row>
    <row r="290" spans="1:16" x14ac:dyDescent="0.2">
      <c r="A290" t="s">
        <v>2645</v>
      </c>
      <c r="B290" t="s">
        <v>5988</v>
      </c>
      <c r="C290" t="s">
        <v>2646</v>
      </c>
      <c r="D290" t="s">
        <v>2502</v>
      </c>
      <c r="E290" t="s">
        <v>228</v>
      </c>
      <c r="F290">
        <v>139.99</v>
      </c>
      <c r="G290" t="s">
        <v>7014</v>
      </c>
      <c r="H290">
        <v>0</v>
      </c>
      <c r="I290" t="s">
        <v>7015</v>
      </c>
      <c r="M290">
        <v>0</v>
      </c>
      <c r="N290">
        <v>1.3333333333333333</v>
      </c>
      <c r="O290">
        <v>980</v>
      </c>
      <c r="P290">
        <v>0</v>
      </c>
    </row>
    <row r="291" spans="1:16" x14ac:dyDescent="0.2">
      <c r="A291" t="s">
        <v>886</v>
      </c>
      <c r="B291" t="s">
        <v>4865</v>
      </c>
      <c r="C291" t="s">
        <v>887</v>
      </c>
      <c r="D291" t="s">
        <v>446</v>
      </c>
      <c r="E291" t="s">
        <v>228</v>
      </c>
      <c r="F291">
        <v>39.99</v>
      </c>
      <c r="G291" t="s">
        <v>8</v>
      </c>
      <c r="H291">
        <v>9.3495934959349589E-2</v>
      </c>
      <c r="J291">
        <v>0</v>
      </c>
      <c r="K291">
        <v>15</v>
      </c>
      <c r="L291">
        <v>231</v>
      </c>
      <c r="M291">
        <v>18.904109589041095</v>
      </c>
      <c r="N291">
        <v>12.166666666666666</v>
      </c>
      <c r="O291">
        <v>280</v>
      </c>
      <c r="P291">
        <v>230</v>
      </c>
    </row>
    <row r="292" spans="1:16" x14ac:dyDescent="0.2">
      <c r="A292" t="s">
        <v>545</v>
      </c>
      <c r="B292" t="s">
        <v>4958</v>
      </c>
      <c r="C292" t="s">
        <v>546</v>
      </c>
      <c r="D292" t="s">
        <v>446</v>
      </c>
      <c r="E292" t="s">
        <v>228</v>
      </c>
      <c r="F292">
        <v>69.989999999999995</v>
      </c>
      <c r="G292" t="s">
        <v>8</v>
      </c>
      <c r="H292">
        <v>5.5299539170506909E-2</v>
      </c>
      <c r="J292">
        <v>1</v>
      </c>
      <c r="K292">
        <v>18</v>
      </c>
      <c r="L292">
        <v>198</v>
      </c>
      <c r="M292">
        <v>21.344262295081968</v>
      </c>
      <c r="N292">
        <v>10.166666666666666</v>
      </c>
      <c r="O292">
        <v>490</v>
      </c>
      <c r="P292">
        <v>217</v>
      </c>
    </row>
    <row r="293" spans="1:16" x14ac:dyDescent="0.2">
      <c r="A293" t="s">
        <v>487</v>
      </c>
      <c r="B293" t="s">
        <v>4765</v>
      </c>
      <c r="C293" t="s">
        <v>488</v>
      </c>
      <c r="D293" t="s">
        <v>446</v>
      </c>
      <c r="E293" t="s">
        <v>228</v>
      </c>
      <c r="F293">
        <v>44.99</v>
      </c>
      <c r="G293" t="s">
        <v>8</v>
      </c>
      <c r="H293">
        <v>3.2308059132093468E-2</v>
      </c>
      <c r="J293">
        <v>0</v>
      </c>
      <c r="K293">
        <v>56</v>
      </c>
      <c r="L293">
        <v>643</v>
      </c>
      <c r="M293">
        <v>35.4</v>
      </c>
      <c r="N293">
        <v>20</v>
      </c>
      <c r="O293">
        <v>315</v>
      </c>
      <c r="P293">
        <v>708</v>
      </c>
    </row>
    <row r="294" spans="1:16" x14ac:dyDescent="0.2">
      <c r="A294" t="s">
        <v>3292</v>
      </c>
      <c r="B294" t="s">
        <v>6982</v>
      </c>
      <c r="C294" t="s">
        <v>3293</v>
      </c>
      <c r="D294" t="s">
        <v>3268</v>
      </c>
      <c r="E294" t="s">
        <v>228</v>
      </c>
      <c r="F294">
        <v>799.99</v>
      </c>
      <c r="G294" t="s">
        <v>11</v>
      </c>
      <c r="H294">
        <v>0.18181818181818185</v>
      </c>
      <c r="M294">
        <v>4.4000000000000004</v>
      </c>
      <c r="N294">
        <v>5</v>
      </c>
      <c r="O294">
        <v>4800</v>
      </c>
      <c r="P294">
        <v>22</v>
      </c>
    </row>
    <row r="295" spans="1:16" x14ac:dyDescent="0.2">
      <c r="A295" t="s">
        <v>962</v>
      </c>
      <c r="C295" t="s">
        <v>963</v>
      </c>
      <c r="D295" t="s">
        <v>446</v>
      </c>
      <c r="E295" t="s">
        <v>228</v>
      </c>
      <c r="F295">
        <v>14.99</v>
      </c>
      <c r="G295" t="s">
        <v>13</v>
      </c>
      <c r="M295">
        <v>0</v>
      </c>
      <c r="N295">
        <v>0</v>
      </c>
      <c r="O295">
        <v>0</v>
      </c>
      <c r="P295">
        <v>56</v>
      </c>
    </row>
    <row r="296" spans="1:16" x14ac:dyDescent="0.2">
      <c r="A296" t="s">
        <v>2473</v>
      </c>
      <c r="B296" t="s">
        <v>97</v>
      </c>
      <c r="C296" t="s">
        <v>7017</v>
      </c>
      <c r="D296" t="s">
        <v>2448</v>
      </c>
      <c r="E296" t="s">
        <v>228</v>
      </c>
      <c r="F296">
        <v>59.99</v>
      </c>
      <c r="G296" t="s">
        <v>14</v>
      </c>
      <c r="H296">
        <v>2.1308980213089804E-2</v>
      </c>
      <c r="M296">
        <v>50.538461538461533</v>
      </c>
      <c r="N296">
        <v>4.3333333333333339</v>
      </c>
      <c r="O296">
        <v>360</v>
      </c>
      <c r="P296">
        <v>219</v>
      </c>
    </row>
    <row r="297" spans="1:16" x14ac:dyDescent="0.2">
      <c r="A297" t="s">
        <v>243</v>
      </c>
      <c r="B297" t="s">
        <v>97</v>
      </c>
      <c r="C297" t="s">
        <v>244</v>
      </c>
      <c r="D297" t="s">
        <v>223</v>
      </c>
      <c r="E297" t="s">
        <v>228</v>
      </c>
      <c r="F297">
        <v>29.99</v>
      </c>
      <c r="G297" t="s">
        <v>14</v>
      </c>
      <c r="H297">
        <v>0.03</v>
      </c>
      <c r="M297">
        <v>36.000000000000007</v>
      </c>
      <c r="N297">
        <v>4.1666666666666661</v>
      </c>
      <c r="O297">
        <v>180</v>
      </c>
      <c r="P297">
        <v>150</v>
      </c>
    </row>
    <row r="298" spans="1:16" x14ac:dyDescent="0.2">
      <c r="A298" t="s">
        <v>2509</v>
      </c>
      <c r="B298" t="s">
        <v>97</v>
      </c>
      <c r="C298" t="s">
        <v>2510</v>
      </c>
      <c r="D298" t="s">
        <v>2502</v>
      </c>
      <c r="E298" t="s">
        <v>228</v>
      </c>
      <c r="F298">
        <v>169.99</v>
      </c>
      <c r="G298" t="s">
        <v>14</v>
      </c>
      <c r="H298">
        <v>1.7094017094017092E-2</v>
      </c>
      <c r="M298">
        <v>46.800000000000004</v>
      </c>
      <c r="N298">
        <v>1.6666666666666665</v>
      </c>
      <c r="O298">
        <v>1020</v>
      </c>
      <c r="P298">
        <v>78</v>
      </c>
    </row>
    <row r="299" spans="1:16" x14ac:dyDescent="0.2">
      <c r="A299" t="s">
        <v>2599</v>
      </c>
      <c r="B299" t="s">
        <v>6366</v>
      </c>
      <c r="C299" t="s">
        <v>2600</v>
      </c>
      <c r="D299" t="s">
        <v>2502</v>
      </c>
      <c r="E299" t="s">
        <v>228</v>
      </c>
      <c r="F299">
        <v>79.989999999999995</v>
      </c>
      <c r="G299" t="s">
        <v>7014</v>
      </c>
      <c r="H299">
        <v>9.2171717171717168E-2</v>
      </c>
      <c r="I299" t="s">
        <v>7015</v>
      </c>
      <c r="M299">
        <v>12</v>
      </c>
      <c r="N299">
        <v>5.5</v>
      </c>
      <c r="O299">
        <v>480</v>
      </c>
      <c r="P299">
        <v>66</v>
      </c>
    </row>
    <row r="300" spans="1:16" x14ac:dyDescent="0.2">
      <c r="A300" t="s">
        <v>2244</v>
      </c>
      <c r="B300" t="s">
        <v>5392</v>
      </c>
      <c r="C300" t="s">
        <v>2245</v>
      </c>
      <c r="D300" t="s">
        <v>2146</v>
      </c>
      <c r="E300" t="s">
        <v>228</v>
      </c>
      <c r="F300">
        <v>39.99</v>
      </c>
      <c r="G300" t="s">
        <v>7014</v>
      </c>
      <c r="H300">
        <v>8.2465277777777776E-2</v>
      </c>
      <c r="I300" t="s">
        <v>7015</v>
      </c>
      <c r="M300">
        <v>14.400000000000002</v>
      </c>
      <c r="N300">
        <v>6.6666666666666661</v>
      </c>
      <c r="O300">
        <v>240</v>
      </c>
      <c r="P300">
        <v>96</v>
      </c>
    </row>
    <row r="301" spans="1:16" x14ac:dyDescent="0.2">
      <c r="A301" t="s">
        <v>2256</v>
      </c>
      <c r="B301" t="s">
        <v>5396</v>
      </c>
      <c r="C301" t="s">
        <v>2257</v>
      </c>
      <c r="D301" t="s">
        <v>2146</v>
      </c>
      <c r="E301" t="s">
        <v>228</v>
      </c>
      <c r="F301">
        <v>39.99</v>
      </c>
      <c r="G301" t="s">
        <v>7014</v>
      </c>
      <c r="H301">
        <v>0.1316137566137566</v>
      </c>
      <c r="I301" t="s">
        <v>7015</v>
      </c>
      <c r="M301">
        <v>9.6923076923076916</v>
      </c>
      <c r="N301">
        <v>13</v>
      </c>
      <c r="O301">
        <v>240</v>
      </c>
      <c r="P301">
        <v>126</v>
      </c>
    </row>
    <row r="302" spans="1:16" x14ac:dyDescent="0.2">
      <c r="A302" t="s">
        <v>3019</v>
      </c>
      <c r="B302" t="s">
        <v>6483</v>
      </c>
      <c r="C302" t="s">
        <v>3020</v>
      </c>
      <c r="D302" t="s">
        <v>2987</v>
      </c>
      <c r="E302" t="s">
        <v>228</v>
      </c>
      <c r="F302">
        <v>139.99</v>
      </c>
      <c r="G302" t="s">
        <v>7014</v>
      </c>
      <c r="H302">
        <v>3.2407407407407406E-2</v>
      </c>
      <c r="I302" t="s">
        <v>7015</v>
      </c>
      <c r="M302">
        <v>38.571428571428569</v>
      </c>
      <c r="N302">
        <v>7</v>
      </c>
      <c r="O302">
        <v>840</v>
      </c>
      <c r="P302">
        <v>270</v>
      </c>
    </row>
    <row r="303" spans="1:16" x14ac:dyDescent="0.2">
      <c r="A303" t="s">
        <v>1002</v>
      </c>
      <c r="B303" t="s">
        <v>4905</v>
      </c>
      <c r="C303" t="s">
        <v>1003</v>
      </c>
      <c r="D303" t="s">
        <v>446</v>
      </c>
      <c r="E303" t="s">
        <v>228</v>
      </c>
      <c r="F303">
        <v>49.99</v>
      </c>
      <c r="G303" t="s">
        <v>8</v>
      </c>
      <c r="H303">
        <v>7.6115485564304461E-2</v>
      </c>
      <c r="J303">
        <v>1</v>
      </c>
      <c r="K303">
        <v>10</v>
      </c>
      <c r="L303">
        <v>116</v>
      </c>
      <c r="M303">
        <v>17.23076923076923</v>
      </c>
      <c r="N303">
        <v>6.5</v>
      </c>
      <c r="O303">
        <v>300</v>
      </c>
      <c r="P303">
        <v>112</v>
      </c>
    </row>
    <row r="304" spans="1:16" x14ac:dyDescent="0.2">
      <c r="A304" t="s">
        <v>922</v>
      </c>
      <c r="B304" t="s">
        <v>5166</v>
      </c>
      <c r="C304" t="s">
        <v>923</v>
      </c>
      <c r="D304" t="s">
        <v>446</v>
      </c>
      <c r="E304" t="s">
        <v>228</v>
      </c>
      <c r="F304">
        <v>139.99</v>
      </c>
      <c r="G304" t="s">
        <v>8</v>
      </c>
      <c r="H304">
        <v>6.0904872389791181E-3</v>
      </c>
      <c r="J304">
        <v>0</v>
      </c>
      <c r="K304">
        <v>28</v>
      </c>
      <c r="L304">
        <v>834</v>
      </c>
      <c r="M304">
        <v>180.85714285714283</v>
      </c>
      <c r="N304">
        <v>4.666666666666667</v>
      </c>
      <c r="O304">
        <v>840</v>
      </c>
      <c r="P304">
        <v>844</v>
      </c>
    </row>
    <row r="305" spans="1:16" x14ac:dyDescent="0.2">
      <c r="A305" t="s">
        <v>2244</v>
      </c>
      <c r="B305" t="s">
        <v>5394</v>
      </c>
      <c r="C305" t="s">
        <v>2245</v>
      </c>
      <c r="D305" t="s">
        <v>2146</v>
      </c>
      <c r="E305" t="s">
        <v>228</v>
      </c>
      <c r="F305">
        <v>39.99</v>
      </c>
      <c r="G305" t="s">
        <v>8</v>
      </c>
      <c r="H305">
        <v>0.15294117647058825</v>
      </c>
      <c r="J305">
        <v>2</v>
      </c>
      <c r="K305">
        <v>0</v>
      </c>
      <c r="L305">
        <v>83</v>
      </c>
      <c r="M305">
        <v>5.7313432835820901</v>
      </c>
      <c r="N305">
        <v>11.166666666666666</v>
      </c>
      <c r="O305">
        <v>240</v>
      </c>
      <c r="P305">
        <v>64</v>
      </c>
    </row>
    <row r="306" spans="1:16" x14ac:dyDescent="0.2">
      <c r="A306" t="s">
        <v>6019</v>
      </c>
      <c r="B306" t="s">
        <v>6023</v>
      </c>
      <c r="C306" t="s">
        <v>6020</v>
      </c>
      <c r="D306" t="s">
        <v>2502</v>
      </c>
      <c r="E306" t="s">
        <v>228</v>
      </c>
      <c r="F306">
        <v>29.99</v>
      </c>
      <c r="G306" t="s">
        <v>8</v>
      </c>
      <c r="H306">
        <v>9.5238095238095233E-2</v>
      </c>
      <c r="J306">
        <v>0</v>
      </c>
      <c r="K306">
        <v>7</v>
      </c>
      <c r="L306">
        <v>0</v>
      </c>
      <c r="M306">
        <v>0</v>
      </c>
      <c r="N306">
        <v>1.5</v>
      </c>
      <c r="O306">
        <v>180</v>
      </c>
      <c r="P306">
        <v>0</v>
      </c>
    </row>
    <row r="307" spans="1:16" x14ac:dyDescent="0.2">
      <c r="A307" t="s">
        <v>2707</v>
      </c>
      <c r="B307" t="s">
        <v>5996</v>
      </c>
      <c r="C307" t="s">
        <v>2708</v>
      </c>
      <c r="D307" t="s">
        <v>2502</v>
      </c>
      <c r="E307" t="s">
        <v>228</v>
      </c>
      <c r="F307">
        <v>64.989999999999995</v>
      </c>
      <c r="G307" t="s">
        <v>8</v>
      </c>
      <c r="H307">
        <v>1.622971285892634E-2</v>
      </c>
      <c r="J307">
        <v>0</v>
      </c>
      <c r="K307">
        <v>36</v>
      </c>
      <c r="L307">
        <v>231</v>
      </c>
      <c r="M307">
        <v>65.769230769230774</v>
      </c>
      <c r="N307">
        <v>4.333333333333333</v>
      </c>
      <c r="O307">
        <v>390</v>
      </c>
      <c r="P307">
        <v>285</v>
      </c>
    </row>
    <row r="308" spans="1:16" x14ac:dyDescent="0.2">
      <c r="A308" t="s">
        <v>449</v>
      </c>
      <c r="B308" t="s">
        <v>4759</v>
      </c>
      <c r="C308" t="s">
        <v>450</v>
      </c>
      <c r="D308" t="s">
        <v>446</v>
      </c>
      <c r="E308" t="s">
        <v>228</v>
      </c>
      <c r="F308">
        <v>119.99</v>
      </c>
      <c r="G308" t="s">
        <v>8</v>
      </c>
      <c r="H308">
        <v>1.2084592145015106E-2</v>
      </c>
      <c r="J308">
        <v>1</v>
      </c>
      <c r="K308">
        <v>52</v>
      </c>
      <c r="L308">
        <v>278</v>
      </c>
      <c r="M308">
        <v>85.919999999999987</v>
      </c>
      <c r="N308">
        <v>4.166666666666667</v>
      </c>
      <c r="O308">
        <v>720</v>
      </c>
      <c r="P308">
        <v>358</v>
      </c>
    </row>
    <row r="309" spans="1:16" x14ac:dyDescent="0.2">
      <c r="A309" t="s">
        <v>1004</v>
      </c>
      <c r="C309" t="s">
        <v>1005</v>
      </c>
      <c r="D309" t="s">
        <v>446</v>
      </c>
      <c r="E309" t="s">
        <v>228</v>
      </c>
      <c r="F309">
        <v>29.99</v>
      </c>
      <c r="G309" t="s">
        <v>7029</v>
      </c>
      <c r="H309">
        <v>5.3212851405622499E-2</v>
      </c>
      <c r="M309">
        <v>16.600000000000001</v>
      </c>
      <c r="N309">
        <v>5</v>
      </c>
      <c r="O309">
        <v>180</v>
      </c>
      <c r="P309">
        <v>83</v>
      </c>
    </row>
    <row r="310" spans="1:16" x14ac:dyDescent="0.2">
      <c r="A310" t="s">
        <v>3289</v>
      </c>
      <c r="B310" t="s">
        <v>6985</v>
      </c>
      <c r="C310" t="s">
        <v>3290</v>
      </c>
      <c r="D310" t="s">
        <v>3268</v>
      </c>
      <c r="E310" t="s">
        <v>228</v>
      </c>
      <c r="F310">
        <v>359.99</v>
      </c>
      <c r="G310" t="s">
        <v>11</v>
      </c>
      <c r="H310">
        <v>0.29347826086956524</v>
      </c>
      <c r="M310">
        <v>4.1818181818181817</v>
      </c>
      <c r="N310">
        <v>5.5</v>
      </c>
      <c r="O310">
        <v>1800</v>
      </c>
      <c r="P310">
        <v>23</v>
      </c>
    </row>
    <row r="311" spans="1:16" x14ac:dyDescent="0.2">
      <c r="A311" t="s">
        <v>2990</v>
      </c>
      <c r="C311" t="s">
        <v>2991</v>
      </c>
      <c r="D311" t="s">
        <v>2987</v>
      </c>
      <c r="E311" t="s">
        <v>228</v>
      </c>
      <c r="F311">
        <v>89.99</v>
      </c>
      <c r="G311" t="s">
        <v>13</v>
      </c>
      <c r="M311">
        <v>0</v>
      </c>
      <c r="N311">
        <v>0</v>
      </c>
      <c r="O311">
        <v>0</v>
      </c>
      <c r="P311">
        <v>17</v>
      </c>
    </row>
    <row r="312" spans="1:16" x14ac:dyDescent="0.2">
      <c r="A312" t="s">
        <v>34</v>
      </c>
      <c r="C312" t="s">
        <v>3004</v>
      </c>
      <c r="D312" t="s">
        <v>2987</v>
      </c>
      <c r="E312" t="s">
        <v>228</v>
      </c>
      <c r="F312">
        <v>59.99</v>
      </c>
      <c r="G312" t="s">
        <v>13</v>
      </c>
      <c r="M312">
        <v>0</v>
      </c>
      <c r="N312">
        <v>0</v>
      </c>
      <c r="O312">
        <v>0</v>
      </c>
      <c r="P312">
        <v>16</v>
      </c>
    </row>
    <row r="313" spans="1:16" x14ac:dyDescent="0.2">
      <c r="A313" t="s">
        <v>3023</v>
      </c>
      <c r="B313" t="s">
        <v>97</v>
      </c>
      <c r="C313" t="s">
        <v>3024</v>
      </c>
      <c r="D313" t="s">
        <v>2987</v>
      </c>
      <c r="E313" t="s">
        <v>228</v>
      </c>
      <c r="F313">
        <v>89.99</v>
      </c>
      <c r="G313" t="s">
        <v>14</v>
      </c>
      <c r="H313">
        <v>2.1031746031746033E-2</v>
      </c>
      <c r="M313">
        <v>50.400000000000006</v>
      </c>
      <c r="N313">
        <v>4.1666666666666661</v>
      </c>
      <c r="O313">
        <v>450</v>
      </c>
      <c r="P313">
        <v>210</v>
      </c>
    </row>
    <row r="314" spans="1:16" x14ac:dyDescent="0.2">
      <c r="A314" t="s">
        <v>245</v>
      </c>
      <c r="B314" t="s">
        <v>97</v>
      </c>
      <c r="C314" t="s">
        <v>246</v>
      </c>
      <c r="D314" t="s">
        <v>223</v>
      </c>
      <c r="E314" t="s">
        <v>228</v>
      </c>
      <c r="F314">
        <v>29.99</v>
      </c>
      <c r="G314" t="s">
        <v>14</v>
      </c>
      <c r="H314">
        <v>2.4666666666666667E-2</v>
      </c>
      <c r="M314">
        <v>31.25</v>
      </c>
      <c r="N314">
        <v>4</v>
      </c>
      <c r="O314">
        <v>150</v>
      </c>
      <c r="P314">
        <v>125</v>
      </c>
    </row>
    <row r="315" spans="1:16" x14ac:dyDescent="0.2">
      <c r="A315" t="s">
        <v>1015</v>
      </c>
      <c r="B315" t="s">
        <v>4435</v>
      </c>
      <c r="C315" t="s">
        <v>1016</v>
      </c>
      <c r="D315" t="s">
        <v>1012</v>
      </c>
      <c r="E315" t="s">
        <v>290</v>
      </c>
      <c r="F315">
        <v>49.99</v>
      </c>
      <c r="G315" t="s">
        <v>7014</v>
      </c>
      <c r="H315">
        <v>8.1140350877192999E-2</v>
      </c>
      <c r="I315" t="s">
        <v>7015</v>
      </c>
      <c r="M315">
        <v>10.363636363636363</v>
      </c>
      <c r="N315">
        <v>3.6666666666666665</v>
      </c>
      <c r="O315">
        <v>250</v>
      </c>
      <c r="P315">
        <v>38</v>
      </c>
    </row>
    <row r="316" spans="1:16" x14ac:dyDescent="0.2">
      <c r="A316" t="s">
        <v>2749</v>
      </c>
      <c r="B316" t="s">
        <v>6098</v>
      </c>
      <c r="C316" t="s">
        <v>2750</v>
      </c>
      <c r="D316" t="s">
        <v>2502</v>
      </c>
      <c r="E316" t="s">
        <v>228</v>
      </c>
      <c r="F316">
        <v>79.989999999999995</v>
      </c>
      <c r="G316" t="s">
        <v>7014</v>
      </c>
      <c r="H316">
        <v>0.20833333333333337</v>
      </c>
      <c r="M316">
        <v>2.4</v>
      </c>
      <c r="N316">
        <v>0.83333333333333337</v>
      </c>
      <c r="O316">
        <v>400</v>
      </c>
      <c r="P316">
        <v>2</v>
      </c>
    </row>
    <row r="317" spans="1:16" x14ac:dyDescent="0.2">
      <c r="A317" t="s">
        <v>843</v>
      </c>
      <c r="B317" t="s">
        <v>4954</v>
      </c>
      <c r="C317" t="s">
        <v>844</v>
      </c>
      <c r="D317" t="s">
        <v>446</v>
      </c>
      <c r="E317" t="s">
        <v>228</v>
      </c>
      <c r="F317">
        <v>39.99</v>
      </c>
      <c r="G317" t="s">
        <v>8</v>
      </c>
      <c r="H317">
        <v>1.5835929387331256E-2</v>
      </c>
      <c r="J317">
        <v>0</v>
      </c>
      <c r="K317">
        <v>16</v>
      </c>
      <c r="L317">
        <v>305</v>
      </c>
      <c r="M317">
        <v>80.75</v>
      </c>
      <c r="N317">
        <v>4</v>
      </c>
      <c r="O317">
        <v>200</v>
      </c>
      <c r="P317">
        <v>323</v>
      </c>
    </row>
    <row r="318" spans="1:16" x14ac:dyDescent="0.2">
      <c r="A318" t="s">
        <v>918</v>
      </c>
      <c r="B318" t="s">
        <v>5170</v>
      </c>
      <c r="C318" t="s">
        <v>919</v>
      </c>
      <c r="D318" t="s">
        <v>446</v>
      </c>
      <c r="E318" t="s">
        <v>228</v>
      </c>
      <c r="F318">
        <v>149.99</v>
      </c>
      <c r="G318" t="s">
        <v>8</v>
      </c>
      <c r="H318">
        <v>4.6130952380952384E-2</v>
      </c>
      <c r="J318">
        <v>0</v>
      </c>
      <c r="K318">
        <v>15</v>
      </c>
      <c r="L318">
        <v>153</v>
      </c>
      <c r="M318">
        <v>34.714285714285715</v>
      </c>
      <c r="N318">
        <v>4.666666666666667</v>
      </c>
      <c r="O318">
        <v>750</v>
      </c>
      <c r="P318">
        <v>162</v>
      </c>
    </row>
    <row r="319" spans="1:16" x14ac:dyDescent="0.2">
      <c r="A319" t="s">
        <v>783</v>
      </c>
      <c r="B319" t="s">
        <v>5097</v>
      </c>
      <c r="C319" t="s">
        <v>784</v>
      </c>
      <c r="D319" t="s">
        <v>446</v>
      </c>
      <c r="E319" t="s">
        <v>228</v>
      </c>
      <c r="F319">
        <v>44.99</v>
      </c>
      <c r="G319" t="s">
        <v>8</v>
      </c>
      <c r="H319">
        <v>4.38034188034188E-2</v>
      </c>
      <c r="J319">
        <v>0</v>
      </c>
      <c r="K319">
        <v>22</v>
      </c>
      <c r="L319">
        <v>56</v>
      </c>
      <c r="M319">
        <v>23.700000000000003</v>
      </c>
      <c r="N319">
        <v>3.333333333333333</v>
      </c>
      <c r="O319">
        <v>225</v>
      </c>
      <c r="P319">
        <v>79</v>
      </c>
    </row>
    <row r="320" spans="1:16" x14ac:dyDescent="0.2">
      <c r="A320" t="s">
        <v>2903</v>
      </c>
      <c r="B320" t="s">
        <v>5283</v>
      </c>
      <c r="C320" t="s">
        <v>2904</v>
      </c>
      <c r="D320" t="s">
        <v>2852</v>
      </c>
      <c r="E320" t="s">
        <v>228</v>
      </c>
      <c r="F320">
        <v>99.99</v>
      </c>
      <c r="G320" t="s">
        <v>8</v>
      </c>
      <c r="H320">
        <v>1.5179677819083024E-2</v>
      </c>
      <c r="J320">
        <v>2</v>
      </c>
      <c r="K320">
        <v>10</v>
      </c>
      <c r="L320">
        <v>257</v>
      </c>
      <c r="M320">
        <v>56.571428571428569</v>
      </c>
      <c r="N320">
        <v>4.666666666666667</v>
      </c>
      <c r="O320">
        <v>500</v>
      </c>
      <c r="P320">
        <v>264</v>
      </c>
    </row>
    <row r="321" spans="1:16" x14ac:dyDescent="0.2">
      <c r="A321" t="s">
        <v>2905</v>
      </c>
      <c r="B321" t="s">
        <v>5293</v>
      </c>
      <c r="C321" t="s">
        <v>2906</v>
      </c>
      <c r="D321" t="s">
        <v>2852</v>
      </c>
      <c r="E321" t="s">
        <v>228</v>
      </c>
      <c r="F321">
        <v>179.99</v>
      </c>
      <c r="G321" t="s">
        <v>8</v>
      </c>
      <c r="H321">
        <v>1.5176600441501103E-2</v>
      </c>
      <c r="J321">
        <v>0</v>
      </c>
      <c r="K321">
        <v>11</v>
      </c>
      <c r="L321">
        <v>291</v>
      </c>
      <c r="M321">
        <v>87.3</v>
      </c>
      <c r="N321">
        <v>3.3333333333333335</v>
      </c>
      <c r="O321">
        <v>900</v>
      </c>
      <c r="P321">
        <v>291</v>
      </c>
    </row>
    <row r="322" spans="1:16" x14ac:dyDescent="0.2">
      <c r="A322" t="s">
        <v>6024</v>
      </c>
      <c r="B322" t="s">
        <v>6028</v>
      </c>
      <c r="C322" t="s">
        <v>6025</v>
      </c>
      <c r="D322" t="s">
        <v>2502</v>
      </c>
      <c r="E322" t="s">
        <v>228</v>
      </c>
      <c r="F322">
        <v>29.99</v>
      </c>
      <c r="G322" t="s">
        <v>8</v>
      </c>
      <c r="H322">
        <v>0.16333333333333333</v>
      </c>
      <c r="J322">
        <v>0</v>
      </c>
      <c r="K322">
        <v>25</v>
      </c>
      <c r="L322">
        <v>0</v>
      </c>
      <c r="M322">
        <v>5.9999999999999991</v>
      </c>
      <c r="N322">
        <v>2.666666666666667</v>
      </c>
      <c r="O322">
        <v>150</v>
      </c>
      <c r="P322">
        <v>16</v>
      </c>
    </row>
    <row r="323" spans="1:16" x14ac:dyDescent="0.2">
      <c r="A323" t="s">
        <v>763</v>
      </c>
      <c r="B323" t="s">
        <v>5074</v>
      </c>
      <c r="C323" t="s">
        <v>7022</v>
      </c>
      <c r="D323" t="s">
        <v>446</v>
      </c>
      <c r="E323" t="s">
        <v>228</v>
      </c>
      <c r="F323">
        <v>39.99</v>
      </c>
      <c r="G323" t="s">
        <v>8</v>
      </c>
      <c r="H323">
        <v>6.0344827586206899E-2</v>
      </c>
      <c r="J323">
        <v>0</v>
      </c>
      <c r="K323">
        <v>28</v>
      </c>
      <c r="L323">
        <v>1</v>
      </c>
      <c r="M323">
        <v>6</v>
      </c>
      <c r="N323">
        <v>3.3333333333333335</v>
      </c>
      <c r="O323">
        <v>200</v>
      </c>
      <c r="P323">
        <v>20</v>
      </c>
    </row>
    <row r="324" spans="1:16" x14ac:dyDescent="0.2">
      <c r="A324" t="s">
        <v>2533</v>
      </c>
      <c r="B324" t="s">
        <v>6132</v>
      </c>
      <c r="C324" t="s">
        <v>2534</v>
      </c>
      <c r="D324" t="s">
        <v>2502</v>
      </c>
      <c r="E324" t="s">
        <v>228</v>
      </c>
      <c r="F324">
        <v>119.99</v>
      </c>
      <c r="G324" t="s">
        <v>8</v>
      </c>
      <c r="H324">
        <v>1.893939393939394E-2</v>
      </c>
      <c r="J324">
        <v>0</v>
      </c>
      <c r="K324">
        <v>21</v>
      </c>
      <c r="L324">
        <v>89</v>
      </c>
      <c r="M324">
        <v>48</v>
      </c>
      <c r="N324">
        <v>2.3333333333333335</v>
      </c>
      <c r="O324">
        <v>600</v>
      </c>
      <c r="P324">
        <v>112</v>
      </c>
    </row>
    <row r="325" spans="1:16" x14ac:dyDescent="0.2">
      <c r="A325" t="s">
        <v>2990</v>
      </c>
      <c r="C325" t="s">
        <v>2991</v>
      </c>
      <c r="D325" t="s">
        <v>2987</v>
      </c>
      <c r="E325" t="s">
        <v>228</v>
      </c>
      <c r="F325">
        <v>89.99</v>
      </c>
      <c r="G325" t="s">
        <v>7029</v>
      </c>
      <c r="H325">
        <v>3.3653846153846152E-2</v>
      </c>
      <c r="M325">
        <v>22.285714285714285</v>
      </c>
      <c r="N325">
        <v>4.666666666666667</v>
      </c>
      <c r="O325">
        <v>450</v>
      </c>
      <c r="P325">
        <v>104</v>
      </c>
    </row>
    <row r="326" spans="1:16" x14ac:dyDescent="0.2">
      <c r="A326" t="s">
        <v>3324</v>
      </c>
      <c r="B326" t="s">
        <v>5235</v>
      </c>
      <c r="C326" t="s">
        <v>3325</v>
      </c>
      <c r="D326" t="s">
        <v>3268</v>
      </c>
      <c r="E326" t="s">
        <v>228</v>
      </c>
      <c r="F326">
        <v>599.99</v>
      </c>
      <c r="G326" t="s">
        <v>11</v>
      </c>
      <c r="H326">
        <v>0.58333333333333337</v>
      </c>
      <c r="M326">
        <v>2</v>
      </c>
      <c r="N326">
        <v>1</v>
      </c>
      <c r="O326">
        <v>2400</v>
      </c>
      <c r="P326">
        <v>2</v>
      </c>
    </row>
    <row r="327" spans="1:16" x14ac:dyDescent="0.2">
      <c r="A327" t="s">
        <v>2903</v>
      </c>
      <c r="B327" t="s">
        <v>5281</v>
      </c>
      <c r="C327" t="s">
        <v>2904</v>
      </c>
      <c r="D327" t="s">
        <v>2852</v>
      </c>
      <c r="E327" t="s">
        <v>228</v>
      </c>
      <c r="F327">
        <v>99.99</v>
      </c>
      <c r="G327" t="s">
        <v>11</v>
      </c>
      <c r="H327">
        <v>7.0512820512820512E-2</v>
      </c>
      <c r="M327">
        <v>11.142857142857142</v>
      </c>
      <c r="N327">
        <v>1.1666666666666667</v>
      </c>
      <c r="O327">
        <v>400</v>
      </c>
      <c r="P327">
        <v>13</v>
      </c>
    </row>
    <row r="328" spans="1:16" x14ac:dyDescent="0.2">
      <c r="A328" t="s">
        <v>2909</v>
      </c>
      <c r="B328" t="s">
        <v>5294</v>
      </c>
      <c r="C328" t="s">
        <v>2910</v>
      </c>
      <c r="D328" t="s">
        <v>2852</v>
      </c>
      <c r="E328" t="s">
        <v>228</v>
      </c>
      <c r="F328">
        <v>99.99</v>
      </c>
      <c r="G328" t="s">
        <v>11</v>
      </c>
      <c r="H328">
        <v>0.2857142857142857</v>
      </c>
      <c r="M328">
        <v>3.8181818181818183</v>
      </c>
      <c r="N328">
        <v>1.8333333333333333</v>
      </c>
      <c r="O328">
        <v>400</v>
      </c>
      <c r="P328">
        <v>7</v>
      </c>
    </row>
    <row r="329" spans="1:16" x14ac:dyDescent="0.2">
      <c r="A329" t="s">
        <v>2988</v>
      </c>
      <c r="C329" t="s">
        <v>2989</v>
      </c>
      <c r="D329" t="s">
        <v>2987</v>
      </c>
      <c r="E329" t="s">
        <v>228</v>
      </c>
      <c r="F329">
        <v>89.99</v>
      </c>
      <c r="G329" t="s">
        <v>13</v>
      </c>
      <c r="M329">
        <v>0</v>
      </c>
      <c r="N329">
        <v>0</v>
      </c>
      <c r="O329">
        <v>0</v>
      </c>
      <c r="P329">
        <v>9</v>
      </c>
    </row>
    <row r="330" spans="1:16" x14ac:dyDescent="0.2">
      <c r="A330" t="s">
        <v>944</v>
      </c>
      <c r="C330" t="s">
        <v>945</v>
      </c>
      <c r="D330" t="s">
        <v>446</v>
      </c>
      <c r="E330" t="s">
        <v>228</v>
      </c>
      <c r="F330">
        <v>39.99</v>
      </c>
      <c r="G330" t="s">
        <v>13</v>
      </c>
      <c r="M330">
        <v>0</v>
      </c>
      <c r="N330">
        <v>0</v>
      </c>
      <c r="O330">
        <v>0</v>
      </c>
      <c r="P330">
        <v>22</v>
      </c>
    </row>
    <row r="331" spans="1:16" x14ac:dyDescent="0.2">
      <c r="A331" t="s">
        <v>2254</v>
      </c>
      <c r="B331" t="s">
        <v>7030</v>
      </c>
      <c r="C331" t="s">
        <v>2255</v>
      </c>
      <c r="D331" t="s">
        <v>2146</v>
      </c>
      <c r="E331" t="s">
        <v>290</v>
      </c>
      <c r="F331">
        <v>39.99</v>
      </c>
      <c r="G331" t="s">
        <v>74</v>
      </c>
      <c r="H331">
        <v>5.3191489361702126E-3</v>
      </c>
      <c r="I331" t="s">
        <v>290</v>
      </c>
      <c r="M331">
        <v>70.5</v>
      </c>
      <c r="N331">
        <v>0.66666666666666663</v>
      </c>
      <c r="O331">
        <v>160</v>
      </c>
      <c r="P331">
        <v>47</v>
      </c>
    </row>
    <row r="332" spans="1:16" x14ac:dyDescent="0.2">
      <c r="A332" t="s">
        <v>4528</v>
      </c>
      <c r="B332" t="s">
        <v>97</v>
      </c>
      <c r="C332" t="s">
        <v>4529</v>
      </c>
      <c r="D332" t="s">
        <v>4463</v>
      </c>
      <c r="E332" t="s">
        <v>290</v>
      </c>
      <c r="F332">
        <v>19.989999999999998</v>
      </c>
      <c r="G332" t="s">
        <v>14</v>
      </c>
      <c r="H332">
        <v>2.5720164609053499E-2</v>
      </c>
      <c r="M332">
        <v>34.714285714285715</v>
      </c>
      <c r="N332">
        <v>2.3333333333333335</v>
      </c>
      <c r="O332">
        <v>80</v>
      </c>
      <c r="P332">
        <v>81</v>
      </c>
    </row>
    <row r="333" spans="1:16" x14ac:dyDescent="0.2">
      <c r="A333" t="s">
        <v>2477</v>
      </c>
      <c r="B333" t="s">
        <v>97</v>
      </c>
      <c r="C333" t="s">
        <v>7021</v>
      </c>
      <c r="D333" t="s">
        <v>2448</v>
      </c>
      <c r="E333" t="s">
        <v>228</v>
      </c>
      <c r="F333">
        <v>59.99</v>
      </c>
      <c r="G333" t="s">
        <v>14</v>
      </c>
      <c r="H333">
        <v>2.2336769759450169E-2</v>
      </c>
      <c r="M333">
        <v>43.111111111111114</v>
      </c>
      <c r="N333">
        <v>4.5</v>
      </c>
      <c r="O333">
        <v>240</v>
      </c>
      <c r="P333">
        <v>194</v>
      </c>
    </row>
    <row r="334" spans="1:16" x14ac:dyDescent="0.2">
      <c r="A334" t="s">
        <v>3324</v>
      </c>
      <c r="B334" t="s">
        <v>5236</v>
      </c>
      <c r="C334" t="s">
        <v>3325</v>
      </c>
      <c r="D334" t="s">
        <v>3268</v>
      </c>
      <c r="E334" t="s">
        <v>228</v>
      </c>
      <c r="F334">
        <v>599.99</v>
      </c>
      <c r="G334" t="s">
        <v>7014</v>
      </c>
      <c r="H334">
        <v>0.3888888888888889</v>
      </c>
      <c r="I334" t="s">
        <v>7015</v>
      </c>
      <c r="M334">
        <v>1.6363636363636362</v>
      </c>
      <c r="N334">
        <v>1.8333333333333335</v>
      </c>
      <c r="O334">
        <v>2400</v>
      </c>
      <c r="P334">
        <v>3</v>
      </c>
    </row>
    <row r="335" spans="1:16" x14ac:dyDescent="0.2">
      <c r="A335" t="s">
        <v>767</v>
      </c>
      <c r="B335" t="s">
        <v>5071</v>
      </c>
      <c r="C335" t="s">
        <v>7024</v>
      </c>
      <c r="D335" t="s">
        <v>446</v>
      </c>
      <c r="E335" t="s">
        <v>228</v>
      </c>
      <c r="F335">
        <v>39.99</v>
      </c>
      <c r="G335" t="s">
        <v>8</v>
      </c>
      <c r="H335">
        <v>0.25694444444444448</v>
      </c>
      <c r="J335">
        <v>0</v>
      </c>
      <c r="K335">
        <v>12</v>
      </c>
      <c r="L335">
        <v>0</v>
      </c>
      <c r="M335">
        <v>5.75</v>
      </c>
      <c r="N335">
        <v>4</v>
      </c>
      <c r="O335">
        <v>160</v>
      </c>
      <c r="P335">
        <v>23</v>
      </c>
    </row>
    <row r="336" spans="1:16" x14ac:dyDescent="0.2">
      <c r="A336" t="s">
        <v>785</v>
      </c>
      <c r="B336" t="s">
        <v>5094</v>
      </c>
      <c r="C336" t="s">
        <v>786</v>
      </c>
      <c r="D336" t="s">
        <v>446</v>
      </c>
      <c r="E336" t="s">
        <v>228</v>
      </c>
      <c r="F336">
        <v>44.99</v>
      </c>
      <c r="G336" t="s">
        <v>8</v>
      </c>
      <c r="H336">
        <v>4.7764227642276419E-2</v>
      </c>
      <c r="J336">
        <v>2</v>
      </c>
      <c r="K336">
        <v>24</v>
      </c>
      <c r="L336">
        <v>56</v>
      </c>
      <c r="M336">
        <v>36.4</v>
      </c>
      <c r="N336">
        <v>2.5</v>
      </c>
      <c r="O336">
        <v>180</v>
      </c>
      <c r="P336">
        <v>91</v>
      </c>
    </row>
    <row r="337" spans="1:16" x14ac:dyDescent="0.2">
      <c r="A337" t="s">
        <v>761</v>
      </c>
      <c r="B337" t="s">
        <v>5077</v>
      </c>
      <c r="C337" t="s">
        <v>7023</v>
      </c>
      <c r="D337" t="s">
        <v>446</v>
      </c>
      <c r="E337" t="s">
        <v>228</v>
      </c>
      <c r="F337">
        <v>39.99</v>
      </c>
      <c r="G337" t="s">
        <v>8</v>
      </c>
      <c r="H337">
        <v>0.46875</v>
      </c>
      <c r="J337">
        <v>0</v>
      </c>
      <c r="K337">
        <v>8</v>
      </c>
      <c r="L337">
        <v>0</v>
      </c>
      <c r="M337">
        <v>3.652173913043478</v>
      </c>
      <c r="N337">
        <v>3.8333333333333335</v>
      </c>
      <c r="O337">
        <v>160</v>
      </c>
      <c r="P337">
        <v>14</v>
      </c>
    </row>
    <row r="338" spans="1:16" x14ac:dyDescent="0.2">
      <c r="A338" t="s">
        <v>2641</v>
      </c>
      <c r="B338" t="s">
        <v>5984</v>
      </c>
      <c r="C338" t="s">
        <v>2642</v>
      </c>
      <c r="D338" t="s">
        <v>2502</v>
      </c>
      <c r="E338" t="s">
        <v>228</v>
      </c>
      <c r="F338">
        <v>109.99</v>
      </c>
      <c r="G338" t="s">
        <v>8</v>
      </c>
      <c r="H338">
        <v>0.25</v>
      </c>
      <c r="J338">
        <v>0</v>
      </c>
      <c r="K338">
        <v>8</v>
      </c>
      <c r="L338">
        <v>4</v>
      </c>
      <c r="M338">
        <v>2</v>
      </c>
      <c r="N338">
        <v>3</v>
      </c>
      <c r="O338">
        <v>440</v>
      </c>
      <c r="P338">
        <v>6</v>
      </c>
    </row>
    <row r="339" spans="1:16" x14ac:dyDescent="0.2">
      <c r="A339" t="s">
        <v>3055</v>
      </c>
      <c r="B339" t="s">
        <v>6935</v>
      </c>
      <c r="C339" t="s">
        <v>3056</v>
      </c>
      <c r="D339" t="s">
        <v>2987</v>
      </c>
      <c r="E339" t="s">
        <v>228</v>
      </c>
      <c r="F339">
        <v>139.99</v>
      </c>
      <c r="G339" t="s">
        <v>8</v>
      </c>
      <c r="H339">
        <v>9.6354166666666671E-2</v>
      </c>
      <c r="J339">
        <v>0</v>
      </c>
      <c r="K339">
        <v>29</v>
      </c>
      <c r="L339">
        <v>3</v>
      </c>
      <c r="M339">
        <v>49</v>
      </c>
      <c r="N339">
        <v>3</v>
      </c>
      <c r="O339">
        <v>560</v>
      </c>
      <c r="P339">
        <v>147</v>
      </c>
    </row>
    <row r="340" spans="1:16" x14ac:dyDescent="0.2">
      <c r="A340" t="s">
        <v>273</v>
      </c>
      <c r="B340" t="s">
        <v>4306</v>
      </c>
      <c r="C340" t="s">
        <v>274</v>
      </c>
      <c r="D340" t="s">
        <v>223</v>
      </c>
      <c r="E340" t="s">
        <v>228</v>
      </c>
      <c r="F340">
        <v>59.99</v>
      </c>
      <c r="G340" t="s">
        <v>8</v>
      </c>
      <c r="H340">
        <v>1.5984654731457801E-2</v>
      </c>
      <c r="J340">
        <v>13</v>
      </c>
      <c r="K340">
        <v>15</v>
      </c>
      <c r="L340">
        <v>363</v>
      </c>
      <c r="M340">
        <v>95.75</v>
      </c>
      <c r="N340">
        <v>4</v>
      </c>
      <c r="O340">
        <v>240</v>
      </c>
      <c r="P340">
        <v>383</v>
      </c>
    </row>
    <row r="341" spans="1:16" x14ac:dyDescent="0.2">
      <c r="A341" t="s">
        <v>247</v>
      </c>
      <c r="B341" t="s">
        <v>4252</v>
      </c>
      <c r="C341" t="s">
        <v>248</v>
      </c>
      <c r="D341" t="s">
        <v>223</v>
      </c>
      <c r="E341" t="s">
        <v>228</v>
      </c>
      <c r="F341">
        <v>39.99</v>
      </c>
      <c r="G341" t="s">
        <v>8</v>
      </c>
      <c r="H341">
        <v>3.3783783783783786E-2</v>
      </c>
      <c r="J341">
        <v>2</v>
      </c>
      <c r="K341">
        <v>19</v>
      </c>
      <c r="L341">
        <v>127</v>
      </c>
      <c r="M341">
        <v>36.72</v>
      </c>
      <c r="N341">
        <v>4.166666666666667</v>
      </c>
      <c r="O341">
        <v>160</v>
      </c>
      <c r="P341">
        <v>153</v>
      </c>
    </row>
    <row r="342" spans="1:16" x14ac:dyDescent="0.2">
      <c r="A342" t="s">
        <v>2332</v>
      </c>
      <c r="B342" t="s">
        <v>5385</v>
      </c>
      <c r="C342" t="s">
        <v>2333</v>
      </c>
      <c r="D342" t="s">
        <v>2146</v>
      </c>
      <c r="E342" t="s">
        <v>228</v>
      </c>
      <c r="F342">
        <v>17.989999999999998</v>
      </c>
      <c r="G342" t="s">
        <v>11</v>
      </c>
      <c r="H342">
        <v>0.125</v>
      </c>
      <c r="M342">
        <v>5.4545454545454541</v>
      </c>
      <c r="N342">
        <v>1.8333333333333335</v>
      </c>
      <c r="O342">
        <v>54</v>
      </c>
      <c r="P342">
        <v>10</v>
      </c>
    </row>
    <row r="343" spans="1:16" x14ac:dyDescent="0.2">
      <c r="A343" t="s">
        <v>6783</v>
      </c>
      <c r="B343" t="s">
        <v>6785</v>
      </c>
      <c r="C343" t="s">
        <v>6784</v>
      </c>
      <c r="D343" t="s">
        <v>2987</v>
      </c>
      <c r="E343" t="s">
        <v>290</v>
      </c>
      <c r="F343">
        <v>79.989999999999995</v>
      </c>
      <c r="G343" t="s">
        <v>11</v>
      </c>
      <c r="H343">
        <v>0</v>
      </c>
      <c r="M343">
        <v>0</v>
      </c>
      <c r="N343">
        <v>4</v>
      </c>
      <c r="O343">
        <v>240</v>
      </c>
      <c r="P343">
        <v>0</v>
      </c>
    </row>
    <row r="344" spans="1:16" x14ac:dyDescent="0.2">
      <c r="A344" t="s">
        <v>2475</v>
      </c>
      <c r="C344" t="s">
        <v>7016</v>
      </c>
      <c r="D344" t="s">
        <v>2448</v>
      </c>
      <c r="E344" t="s">
        <v>228</v>
      </c>
      <c r="F344">
        <v>59.99</v>
      </c>
      <c r="G344" t="s">
        <v>13</v>
      </c>
      <c r="M344">
        <v>0</v>
      </c>
      <c r="N344">
        <v>0</v>
      </c>
      <c r="O344">
        <v>0</v>
      </c>
      <c r="P344">
        <v>8</v>
      </c>
    </row>
    <row r="345" spans="1:16" x14ac:dyDescent="0.2">
      <c r="A345" t="s">
        <v>2338</v>
      </c>
      <c r="B345" t="s">
        <v>7031</v>
      </c>
      <c r="C345" t="s">
        <v>2339</v>
      </c>
      <c r="D345" t="s">
        <v>2146</v>
      </c>
      <c r="E345" t="s">
        <v>228</v>
      </c>
      <c r="F345">
        <v>349.99</v>
      </c>
      <c r="G345" t="s">
        <v>74</v>
      </c>
      <c r="H345">
        <v>7.175472928897586E-3</v>
      </c>
      <c r="M345">
        <v>139.36363636363637</v>
      </c>
      <c r="N345">
        <v>3.6666666666666665</v>
      </c>
      <c r="O345">
        <v>1050</v>
      </c>
      <c r="P345">
        <v>511</v>
      </c>
    </row>
    <row r="346" spans="1:16" x14ac:dyDescent="0.2">
      <c r="A346" t="s">
        <v>6157</v>
      </c>
      <c r="B346" t="s">
        <v>97</v>
      </c>
      <c r="C346" t="s">
        <v>6158</v>
      </c>
      <c r="D346" t="s">
        <v>2502</v>
      </c>
      <c r="E346" t="s">
        <v>290</v>
      </c>
      <c r="F346">
        <v>109.99</v>
      </c>
      <c r="G346" t="s">
        <v>14</v>
      </c>
      <c r="H346">
        <v>0.15625</v>
      </c>
      <c r="M346">
        <v>4.3636363636363642</v>
      </c>
      <c r="N346">
        <v>3.6666666666666665</v>
      </c>
      <c r="O346">
        <v>330</v>
      </c>
      <c r="P346">
        <v>16</v>
      </c>
    </row>
    <row r="347" spans="1:16" x14ac:dyDescent="0.2">
      <c r="A347" t="s">
        <v>226</v>
      </c>
      <c r="B347" t="s">
        <v>97</v>
      </c>
      <c r="C347" t="s">
        <v>227</v>
      </c>
      <c r="D347" t="s">
        <v>223</v>
      </c>
      <c r="E347" t="s">
        <v>228</v>
      </c>
      <c r="F347">
        <v>119.99</v>
      </c>
      <c r="G347" t="s">
        <v>14</v>
      </c>
      <c r="H347">
        <v>1.9688644688644688E-2</v>
      </c>
      <c r="M347">
        <v>42</v>
      </c>
      <c r="N347">
        <v>4.333333333333333</v>
      </c>
      <c r="O347">
        <v>360</v>
      </c>
      <c r="P347">
        <v>182</v>
      </c>
    </row>
    <row r="348" spans="1:16" x14ac:dyDescent="0.2">
      <c r="A348" t="s">
        <v>2471</v>
      </c>
      <c r="B348" t="s">
        <v>5731</v>
      </c>
      <c r="C348" t="s">
        <v>2472</v>
      </c>
      <c r="D348" t="s">
        <v>2448</v>
      </c>
      <c r="E348" t="s">
        <v>228</v>
      </c>
      <c r="F348">
        <v>59.99</v>
      </c>
      <c r="G348" t="s">
        <v>7014</v>
      </c>
      <c r="H348">
        <v>0.11111111111111112</v>
      </c>
      <c r="I348" t="s">
        <v>7015</v>
      </c>
      <c r="M348">
        <v>25.2</v>
      </c>
      <c r="N348">
        <v>0.83333333333333337</v>
      </c>
      <c r="O348">
        <v>180</v>
      </c>
      <c r="P348">
        <v>21</v>
      </c>
    </row>
    <row r="349" spans="1:16" x14ac:dyDescent="0.2">
      <c r="A349" t="s">
        <v>2360</v>
      </c>
      <c r="B349" t="s">
        <v>5597</v>
      </c>
      <c r="C349" t="s">
        <v>2361</v>
      </c>
      <c r="D349" t="s">
        <v>2146</v>
      </c>
      <c r="E349" t="s">
        <v>228</v>
      </c>
      <c r="F349">
        <v>349.99</v>
      </c>
      <c r="G349" t="s">
        <v>7014</v>
      </c>
      <c r="H349">
        <v>0.01</v>
      </c>
      <c r="I349" t="s">
        <v>7015</v>
      </c>
      <c r="M349">
        <v>85.714285714285708</v>
      </c>
      <c r="N349">
        <v>1.1666666666666667</v>
      </c>
      <c r="O349">
        <v>1050</v>
      </c>
      <c r="P349">
        <v>100</v>
      </c>
    </row>
    <row r="350" spans="1:16" x14ac:dyDescent="0.2">
      <c r="A350" t="s">
        <v>2160</v>
      </c>
      <c r="B350" t="s">
        <v>5363</v>
      </c>
      <c r="C350" t="s">
        <v>2161</v>
      </c>
      <c r="D350" t="s">
        <v>2146</v>
      </c>
      <c r="E350" t="s">
        <v>228</v>
      </c>
      <c r="F350">
        <v>429.99</v>
      </c>
      <c r="G350" t="s">
        <v>7014</v>
      </c>
      <c r="H350">
        <v>1.7241379310344827E-2</v>
      </c>
      <c r="M350">
        <v>43.5</v>
      </c>
      <c r="N350">
        <v>2</v>
      </c>
      <c r="O350">
        <v>1290</v>
      </c>
      <c r="P350">
        <v>87</v>
      </c>
    </row>
    <row r="351" spans="1:16" x14ac:dyDescent="0.2">
      <c r="A351" t="s">
        <v>3321</v>
      </c>
      <c r="B351" t="s">
        <v>5232</v>
      </c>
      <c r="C351" t="s">
        <v>3322</v>
      </c>
      <c r="D351" t="s">
        <v>3268</v>
      </c>
      <c r="E351" t="s">
        <v>228</v>
      </c>
      <c r="F351">
        <v>599.99</v>
      </c>
      <c r="G351" t="s">
        <v>7014</v>
      </c>
      <c r="H351">
        <v>0.3611111111111111</v>
      </c>
      <c r="I351" t="s">
        <v>7015</v>
      </c>
      <c r="M351">
        <v>3</v>
      </c>
      <c r="N351">
        <v>1</v>
      </c>
      <c r="O351">
        <v>1800</v>
      </c>
      <c r="P351">
        <v>3</v>
      </c>
    </row>
    <row r="352" spans="1:16" x14ac:dyDescent="0.2">
      <c r="A352" t="s">
        <v>651</v>
      </c>
      <c r="B352" t="s">
        <v>4858</v>
      </c>
      <c r="C352" t="s">
        <v>652</v>
      </c>
      <c r="D352" t="s">
        <v>446</v>
      </c>
      <c r="E352" t="s">
        <v>290</v>
      </c>
      <c r="F352">
        <v>44.99</v>
      </c>
      <c r="G352" t="s">
        <v>7014</v>
      </c>
      <c r="H352">
        <v>3.2666666666666663E-2</v>
      </c>
      <c r="I352" t="s">
        <v>7015</v>
      </c>
      <c r="M352">
        <v>37.5</v>
      </c>
      <c r="N352">
        <v>3.333333333333333</v>
      </c>
      <c r="O352">
        <v>135</v>
      </c>
      <c r="P352">
        <v>125</v>
      </c>
    </row>
    <row r="353" spans="1:16" x14ac:dyDescent="0.2">
      <c r="A353" t="s">
        <v>3364</v>
      </c>
      <c r="B353" t="s">
        <v>5248</v>
      </c>
      <c r="C353" t="s">
        <v>3363</v>
      </c>
      <c r="D353" t="s">
        <v>3268</v>
      </c>
      <c r="E353" t="s">
        <v>228</v>
      </c>
      <c r="F353">
        <v>429.99</v>
      </c>
      <c r="G353" t="s">
        <v>7014</v>
      </c>
      <c r="H353">
        <v>2.0833333333333336E-2</v>
      </c>
      <c r="I353" t="s">
        <v>7015</v>
      </c>
      <c r="M353">
        <v>29.999999999999996</v>
      </c>
      <c r="N353">
        <v>1.3333333333333335</v>
      </c>
      <c r="O353">
        <v>1290</v>
      </c>
      <c r="P353">
        <v>40</v>
      </c>
    </row>
    <row r="354" spans="1:16" x14ac:dyDescent="0.2">
      <c r="A354" t="s">
        <v>3377</v>
      </c>
      <c r="B354" t="s">
        <v>4546</v>
      </c>
      <c r="C354" t="s">
        <v>3378</v>
      </c>
      <c r="D354" t="s">
        <v>3268</v>
      </c>
      <c r="E354" t="s">
        <v>228</v>
      </c>
      <c r="F354">
        <v>39.99</v>
      </c>
      <c r="G354" t="s">
        <v>7014</v>
      </c>
      <c r="H354">
        <v>0.29166666666666669</v>
      </c>
      <c r="I354" t="s">
        <v>7015</v>
      </c>
      <c r="M354">
        <v>2</v>
      </c>
      <c r="N354">
        <v>1</v>
      </c>
      <c r="O354">
        <v>120</v>
      </c>
      <c r="P354">
        <v>2</v>
      </c>
    </row>
    <row r="355" spans="1:16" x14ac:dyDescent="0.2">
      <c r="A355" t="s">
        <v>3039</v>
      </c>
      <c r="B355" t="s">
        <v>6517</v>
      </c>
      <c r="C355" t="s">
        <v>3040</v>
      </c>
      <c r="D355" t="s">
        <v>2987</v>
      </c>
      <c r="E355" t="s">
        <v>228</v>
      </c>
      <c r="F355">
        <v>79.989999999999995</v>
      </c>
      <c r="G355" t="s">
        <v>7014</v>
      </c>
      <c r="H355">
        <v>3.4090909090909088E-2</v>
      </c>
      <c r="I355" t="s">
        <v>7015</v>
      </c>
      <c r="M355">
        <v>33</v>
      </c>
      <c r="N355">
        <v>2</v>
      </c>
      <c r="O355">
        <v>240</v>
      </c>
      <c r="P355">
        <v>66</v>
      </c>
    </row>
    <row r="356" spans="1:16" x14ac:dyDescent="0.2">
      <c r="A356" t="s">
        <v>2224</v>
      </c>
      <c r="B356" t="s">
        <v>97</v>
      </c>
      <c r="C356" t="s">
        <v>2225</v>
      </c>
      <c r="D356" t="s">
        <v>2146</v>
      </c>
      <c r="E356" t="s">
        <v>228</v>
      </c>
      <c r="F356">
        <v>179.99</v>
      </c>
      <c r="G356" t="s">
        <v>7032</v>
      </c>
      <c r="H356">
        <v>-8.3333333333333329E-2</v>
      </c>
      <c r="M356">
        <v>-6</v>
      </c>
      <c r="N356">
        <v>0.5</v>
      </c>
      <c r="O356">
        <v>540</v>
      </c>
      <c r="P356">
        <v>-3</v>
      </c>
    </row>
    <row r="357" spans="1:16" x14ac:dyDescent="0.2">
      <c r="A357" t="s">
        <v>845</v>
      </c>
      <c r="B357" t="s">
        <v>4956</v>
      </c>
      <c r="C357" t="s">
        <v>846</v>
      </c>
      <c r="D357" t="s">
        <v>446</v>
      </c>
      <c r="E357" t="s">
        <v>228</v>
      </c>
      <c r="F357">
        <v>49.99</v>
      </c>
      <c r="G357" t="s">
        <v>8</v>
      </c>
      <c r="H357">
        <v>7.8760162601626028E-3</v>
      </c>
      <c r="J357">
        <v>0</v>
      </c>
      <c r="K357">
        <v>19</v>
      </c>
      <c r="L357">
        <v>309</v>
      </c>
      <c r="M357">
        <v>115.05882352941175</v>
      </c>
      <c r="N357">
        <v>2.8333333333333335</v>
      </c>
      <c r="O357">
        <v>150</v>
      </c>
      <c r="P357">
        <v>326</v>
      </c>
    </row>
    <row r="358" spans="1:16" x14ac:dyDescent="0.2">
      <c r="A358" t="s">
        <v>2220</v>
      </c>
      <c r="B358" t="s">
        <v>5415</v>
      </c>
      <c r="C358" t="s">
        <v>2221</v>
      </c>
      <c r="D358" t="s">
        <v>2146</v>
      </c>
      <c r="E358" t="s">
        <v>228</v>
      </c>
      <c r="F358">
        <v>54.99</v>
      </c>
      <c r="G358" t="s">
        <v>8</v>
      </c>
      <c r="H358">
        <v>2.8317152103559871E-2</v>
      </c>
      <c r="J358">
        <v>0</v>
      </c>
      <c r="K358">
        <v>9</v>
      </c>
      <c r="L358">
        <v>197</v>
      </c>
      <c r="M358">
        <v>57.428571428571431</v>
      </c>
      <c r="N358">
        <v>3.5</v>
      </c>
      <c r="O358">
        <v>165</v>
      </c>
      <c r="P358">
        <v>201</v>
      </c>
    </row>
    <row r="359" spans="1:16" x14ac:dyDescent="0.2">
      <c r="A359" t="s">
        <v>3037</v>
      </c>
      <c r="B359" t="s">
        <v>6515</v>
      </c>
      <c r="C359" t="s">
        <v>3038</v>
      </c>
      <c r="D359" t="s">
        <v>2987</v>
      </c>
      <c r="E359" t="s">
        <v>228</v>
      </c>
      <c r="F359">
        <v>79.989999999999995</v>
      </c>
      <c r="G359" t="s">
        <v>8</v>
      </c>
      <c r="H359">
        <v>7.4999999999999997E-2</v>
      </c>
      <c r="J359">
        <v>0</v>
      </c>
      <c r="K359">
        <v>40</v>
      </c>
      <c r="L359">
        <v>0</v>
      </c>
      <c r="M359">
        <v>17.142857142857146</v>
      </c>
      <c r="N359">
        <v>2.333333333333333</v>
      </c>
      <c r="O359">
        <v>240</v>
      </c>
      <c r="P359">
        <v>40</v>
      </c>
    </row>
    <row r="360" spans="1:16" x14ac:dyDescent="0.2">
      <c r="A360" t="s">
        <v>2238</v>
      </c>
      <c r="B360" t="s">
        <v>5428</v>
      </c>
      <c r="C360" t="s">
        <v>2239</v>
      </c>
      <c r="D360" t="s">
        <v>2146</v>
      </c>
      <c r="E360" t="s">
        <v>228</v>
      </c>
      <c r="F360">
        <v>129.99</v>
      </c>
      <c r="G360" t="s">
        <v>8</v>
      </c>
      <c r="H360">
        <v>4.5555555555555551E-2</v>
      </c>
      <c r="J360">
        <v>2</v>
      </c>
      <c r="K360">
        <v>1</v>
      </c>
      <c r="L360">
        <v>72</v>
      </c>
      <c r="M360">
        <v>18</v>
      </c>
      <c r="N360">
        <v>3.333333333333333</v>
      </c>
      <c r="O360">
        <v>390</v>
      </c>
      <c r="P360">
        <v>60</v>
      </c>
    </row>
    <row r="361" spans="1:16" x14ac:dyDescent="0.2">
      <c r="A361" t="s">
        <v>2567</v>
      </c>
      <c r="B361" t="s">
        <v>6395</v>
      </c>
      <c r="C361" t="s">
        <v>2568</v>
      </c>
      <c r="D361" t="s">
        <v>2502</v>
      </c>
      <c r="E361" t="s">
        <v>228</v>
      </c>
      <c r="F361">
        <v>79.989999999999995</v>
      </c>
      <c r="G361" t="s">
        <v>8</v>
      </c>
      <c r="H361">
        <v>0.22916666666666663</v>
      </c>
      <c r="J361">
        <v>0</v>
      </c>
      <c r="K361">
        <v>16</v>
      </c>
      <c r="L361">
        <v>0</v>
      </c>
      <c r="M361">
        <v>6.6000000000000005</v>
      </c>
      <c r="N361">
        <v>3.333333333333333</v>
      </c>
      <c r="O361">
        <v>240</v>
      </c>
      <c r="P361">
        <v>22</v>
      </c>
    </row>
    <row r="362" spans="1:16" x14ac:dyDescent="0.2">
      <c r="A362" t="s">
        <v>6265</v>
      </c>
      <c r="B362" t="s">
        <v>6269</v>
      </c>
      <c r="C362" t="s">
        <v>6266</v>
      </c>
      <c r="D362" t="s">
        <v>2502</v>
      </c>
      <c r="E362" t="s">
        <v>290</v>
      </c>
      <c r="F362">
        <v>59.99</v>
      </c>
      <c r="G362" t="s">
        <v>8</v>
      </c>
      <c r="H362">
        <v>0.10833333333333332</v>
      </c>
      <c r="J362">
        <v>0</v>
      </c>
      <c r="K362">
        <v>18</v>
      </c>
      <c r="L362">
        <v>22</v>
      </c>
      <c r="M362">
        <v>9.3913043478260878</v>
      </c>
      <c r="N362">
        <v>3.833333333333333</v>
      </c>
      <c r="O362">
        <v>180</v>
      </c>
      <c r="P362">
        <v>36</v>
      </c>
    </row>
    <row r="363" spans="1:16" x14ac:dyDescent="0.2">
      <c r="A363" t="s">
        <v>2645</v>
      </c>
      <c r="B363" t="s">
        <v>5990</v>
      </c>
      <c r="C363" t="s">
        <v>2646</v>
      </c>
      <c r="D363" t="s">
        <v>2502</v>
      </c>
      <c r="E363" t="s">
        <v>228</v>
      </c>
      <c r="F363">
        <v>139.99</v>
      </c>
      <c r="G363" t="s">
        <v>8</v>
      </c>
      <c r="H363">
        <v>5.2380952380952382E-2</v>
      </c>
      <c r="J363">
        <v>2</v>
      </c>
      <c r="K363">
        <v>0</v>
      </c>
      <c r="L363">
        <v>208</v>
      </c>
      <c r="M363">
        <v>37.090909090909093</v>
      </c>
      <c r="N363">
        <v>5.5</v>
      </c>
      <c r="O363">
        <v>420</v>
      </c>
      <c r="P363">
        <v>204</v>
      </c>
    </row>
    <row r="364" spans="1:16" x14ac:dyDescent="0.2">
      <c r="A364" t="s">
        <v>3039</v>
      </c>
      <c r="B364" t="s">
        <v>6519</v>
      </c>
      <c r="C364" t="s">
        <v>3040</v>
      </c>
      <c r="D364" t="s">
        <v>2987</v>
      </c>
      <c r="E364" t="s">
        <v>228</v>
      </c>
      <c r="F364">
        <v>79.989999999999995</v>
      </c>
      <c r="G364" t="s">
        <v>8</v>
      </c>
      <c r="H364">
        <v>0.11666666666666668</v>
      </c>
      <c r="J364">
        <v>0</v>
      </c>
      <c r="K364">
        <v>14</v>
      </c>
      <c r="L364">
        <v>1</v>
      </c>
      <c r="M364">
        <v>10</v>
      </c>
      <c r="N364">
        <v>1.5</v>
      </c>
      <c r="O364">
        <v>240</v>
      </c>
      <c r="P364">
        <v>15</v>
      </c>
    </row>
    <row r="365" spans="1:16" x14ac:dyDescent="0.2">
      <c r="A365" t="s">
        <v>3289</v>
      </c>
      <c r="B365" t="s">
        <v>6987</v>
      </c>
      <c r="C365" t="s">
        <v>3290</v>
      </c>
      <c r="D365" t="s">
        <v>3268</v>
      </c>
      <c r="E365" t="s">
        <v>228</v>
      </c>
      <c r="F365">
        <v>359.99</v>
      </c>
      <c r="G365" t="s">
        <v>8</v>
      </c>
      <c r="H365">
        <v>4.0404040404040407E-2</v>
      </c>
      <c r="J365">
        <v>6</v>
      </c>
      <c r="K365">
        <v>14</v>
      </c>
      <c r="L365">
        <v>145</v>
      </c>
      <c r="M365">
        <v>44.538461538461533</v>
      </c>
      <c r="N365">
        <v>4.3333333333333339</v>
      </c>
      <c r="O365">
        <v>1080</v>
      </c>
      <c r="P365">
        <v>193</v>
      </c>
    </row>
    <row r="366" spans="1:16" x14ac:dyDescent="0.2">
      <c r="A366" t="s">
        <v>3382</v>
      </c>
      <c r="B366" t="s">
        <v>7002</v>
      </c>
      <c r="C366" t="s">
        <v>3383</v>
      </c>
      <c r="D366" t="s">
        <v>3268</v>
      </c>
      <c r="E366" t="s">
        <v>228</v>
      </c>
      <c r="F366">
        <v>199.99</v>
      </c>
      <c r="G366" t="s">
        <v>8</v>
      </c>
      <c r="H366">
        <v>2.3015873015873017E-2</v>
      </c>
      <c r="J366">
        <v>20</v>
      </c>
      <c r="K366">
        <v>17</v>
      </c>
      <c r="L366">
        <v>68</v>
      </c>
      <c r="M366">
        <v>57.5</v>
      </c>
      <c r="N366">
        <v>2</v>
      </c>
      <c r="O366">
        <v>600</v>
      </c>
      <c r="P366">
        <v>115</v>
      </c>
    </row>
    <row r="367" spans="1:16" x14ac:dyDescent="0.2">
      <c r="A367" t="s">
        <v>531</v>
      </c>
      <c r="B367" t="s">
        <v>4840</v>
      </c>
      <c r="C367" t="s">
        <v>532</v>
      </c>
      <c r="D367" t="s">
        <v>446</v>
      </c>
      <c r="E367" t="s">
        <v>228</v>
      </c>
      <c r="F367">
        <v>29.99</v>
      </c>
      <c r="G367" t="s">
        <v>8</v>
      </c>
      <c r="H367">
        <v>3.8445017182130579E-2</v>
      </c>
      <c r="J367">
        <v>1</v>
      </c>
      <c r="K367">
        <v>54</v>
      </c>
      <c r="L367">
        <v>333</v>
      </c>
      <c r="M367">
        <v>72.749999999999986</v>
      </c>
      <c r="N367">
        <v>5.3333333333333339</v>
      </c>
      <c r="O367">
        <v>90</v>
      </c>
      <c r="P367">
        <v>388</v>
      </c>
    </row>
    <row r="368" spans="1:16" x14ac:dyDescent="0.2">
      <c r="A368" t="s">
        <v>3356</v>
      </c>
      <c r="B368" t="s">
        <v>5250</v>
      </c>
      <c r="C368" t="s">
        <v>3357</v>
      </c>
      <c r="D368" t="s">
        <v>3268</v>
      </c>
      <c r="E368" t="s">
        <v>228</v>
      </c>
      <c r="F368">
        <v>429.99</v>
      </c>
      <c r="G368" t="s">
        <v>11</v>
      </c>
      <c r="H368">
        <v>0.25</v>
      </c>
      <c r="M368">
        <v>2</v>
      </c>
      <c r="N368">
        <v>0.5</v>
      </c>
      <c r="O368">
        <v>860</v>
      </c>
      <c r="P368">
        <v>1</v>
      </c>
    </row>
    <row r="369" spans="1:16" x14ac:dyDescent="0.2">
      <c r="A369" t="s">
        <v>2152</v>
      </c>
      <c r="B369" t="s">
        <v>5429</v>
      </c>
      <c r="C369" t="s">
        <v>2153</v>
      </c>
      <c r="D369" t="s">
        <v>2146</v>
      </c>
      <c r="E369" t="s">
        <v>228</v>
      </c>
      <c r="F369">
        <v>169.99</v>
      </c>
      <c r="G369" t="s">
        <v>11</v>
      </c>
      <c r="H369">
        <v>0.25</v>
      </c>
      <c r="M369">
        <v>3.4285714285714288</v>
      </c>
      <c r="N369">
        <v>1.1666666666666665</v>
      </c>
      <c r="O369">
        <v>340</v>
      </c>
      <c r="P369">
        <v>4</v>
      </c>
    </row>
    <row r="370" spans="1:16" x14ac:dyDescent="0.2">
      <c r="A370" t="s">
        <v>805</v>
      </c>
      <c r="C370" t="s">
        <v>806</v>
      </c>
      <c r="D370" t="s">
        <v>446</v>
      </c>
      <c r="E370" t="s">
        <v>228</v>
      </c>
      <c r="F370">
        <v>59.99</v>
      </c>
      <c r="G370" t="s">
        <v>13</v>
      </c>
      <c r="M370">
        <v>0</v>
      </c>
      <c r="N370">
        <v>0</v>
      </c>
      <c r="O370">
        <v>0</v>
      </c>
      <c r="P370">
        <v>80</v>
      </c>
    </row>
    <row r="371" spans="1:16" x14ac:dyDescent="0.2">
      <c r="A371" t="s">
        <v>643</v>
      </c>
      <c r="C371" t="s">
        <v>644</v>
      </c>
      <c r="D371" t="s">
        <v>446</v>
      </c>
      <c r="E371" t="s">
        <v>228</v>
      </c>
      <c r="F371">
        <v>99.99</v>
      </c>
      <c r="G371" t="s">
        <v>13</v>
      </c>
      <c r="M371">
        <v>0</v>
      </c>
      <c r="N371">
        <v>0</v>
      </c>
      <c r="O371">
        <v>0</v>
      </c>
      <c r="P371">
        <v>14</v>
      </c>
    </row>
    <row r="372" spans="1:16" x14ac:dyDescent="0.2">
      <c r="A372" t="s">
        <v>549</v>
      </c>
      <c r="C372" t="s">
        <v>550</v>
      </c>
      <c r="D372" t="s">
        <v>446</v>
      </c>
      <c r="E372" t="s">
        <v>228</v>
      </c>
      <c r="F372">
        <v>169.99</v>
      </c>
      <c r="G372" t="s">
        <v>13</v>
      </c>
      <c r="M372">
        <v>0</v>
      </c>
      <c r="N372">
        <v>0</v>
      </c>
      <c r="O372">
        <v>0</v>
      </c>
      <c r="P372">
        <v>11</v>
      </c>
    </row>
    <row r="373" spans="1:16" x14ac:dyDescent="0.2">
      <c r="A373" t="s">
        <v>2487</v>
      </c>
      <c r="C373" t="s">
        <v>2488</v>
      </c>
      <c r="D373" t="s">
        <v>2448</v>
      </c>
      <c r="E373" t="s">
        <v>228</v>
      </c>
      <c r="F373">
        <v>59.99</v>
      </c>
      <c r="G373" t="s">
        <v>13</v>
      </c>
      <c r="M373">
        <v>0</v>
      </c>
      <c r="N373">
        <v>0</v>
      </c>
      <c r="O373">
        <v>0</v>
      </c>
      <c r="P373">
        <v>4</v>
      </c>
    </row>
    <row r="374" spans="1:16" x14ac:dyDescent="0.2">
      <c r="A374" t="s">
        <v>755</v>
      </c>
      <c r="C374" t="s">
        <v>756</v>
      </c>
      <c r="D374" t="s">
        <v>446</v>
      </c>
      <c r="E374" t="s">
        <v>228</v>
      </c>
      <c r="F374">
        <v>49.99</v>
      </c>
      <c r="G374" t="s">
        <v>13</v>
      </c>
      <c r="M374">
        <v>0</v>
      </c>
      <c r="N374">
        <v>0</v>
      </c>
      <c r="O374">
        <v>0</v>
      </c>
      <c r="P374">
        <v>0</v>
      </c>
    </row>
    <row r="375" spans="1:16" x14ac:dyDescent="0.2">
      <c r="A375" t="s">
        <v>691</v>
      </c>
      <c r="C375" t="s">
        <v>7018</v>
      </c>
      <c r="D375" t="s">
        <v>446</v>
      </c>
      <c r="E375" t="s">
        <v>228</v>
      </c>
      <c r="F375">
        <v>59.99</v>
      </c>
      <c r="G375" t="s">
        <v>13</v>
      </c>
      <c r="M375">
        <v>0</v>
      </c>
      <c r="N375">
        <v>0</v>
      </c>
      <c r="O375">
        <v>0</v>
      </c>
      <c r="P375">
        <v>4</v>
      </c>
    </row>
    <row r="376" spans="1:16" x14ac:dyDescent="0.2">
      <c r="A376" t="s">
        <v>733</v>
      </c>
      <c r="C376" t="s">
        <v>734</v>
      </c>
      <c r="D376" t="s">
        <v>446</v>
      </c>
      <c r="E376" t="s">
        <v>228</v>
      </c>
      <c r="F376">
        <v>27.99</v>
      </c>
      <c r="G376" t="s">
        <v>13</v>
      </c>
      <c r="M376">
        <v>0</v>
      </c>
      <c r="N376">
        <v>0</v>
      </c>
      <c r="O376">
        <v>0</v>
      </c>
      <c r="P376">
        <v>44</v>
      </c>
    </row>
    <row r="377" spans="1:16" x14ac:dyDescent="0.2">
      <c r="A377" t="s">
        <v>2242</v>
      </c>
      <c r="B377" t="s">
        <v>7033</v>
      </c>
      <c r="C377" t="s">
        <v>2243</v>
      </c>
      <c r="D377" t="s">
        <v>2146</v>
      </c>
      <c r="E377" t="s">
        <v>290</v>
      </c>
      <c r="F377">
        <v>39.99</v>
      </c>
      <c r="G377" t="s">
        <v>74</v>
      </c>
      <c r="H377">
        <v>6.2056737588652485E-3</v>
      </c>
      <c r="I377" t="s">
        <v>290</v>
      </c>
      <c r="M377">
        <v>94</v>
      </c>
      <c r="N377">
        <v>1</v>
      </c>
      <c r="O377">
        <v>80</v>
      </c>
      <c r="P377">
        <v>94</v>
      </c>
    </row>
    <row r="378" spans="1:16" x14ac:dyDescent="0.2">
      <c r="A378" t="s">
        <v>2220</v>
      </c>
      <c r="B378" t="s">
        <v>7034</v>
      </c>
      <c r="C378" t="s">
        <v>2221</v>
      </c>
      <c r="D378" t="s">
        <v>2146</v>
      </c>
      <c r="E378" t="s">
        <v>228</v>
      </c>
      <c r="F378">
        <v>54.99</v>
      </c>
      <c r="G378" t="s">
        <v>74</v>
      </c>
      <c r="H378">
        <v>0.18888888888888891</v>
      </c>
      <c r="M378">
        <v>11.25</v>
      </c>
      <c r="N378">
        <v>1.3333333333333333</v>
      </c>
      <c r="O378">
        <v>110</v>
      </c>
      <c r="P378">
        <v>15</v>
      </c>
    </row>
    <row r="379" spans="1:16" x14ac:dyDescent="0.2">
      <c r="A379" t="s">
        <v>2483</v>
      </c>
      <c r="B379" t="s">
        <v>97</v>
      </c>
      <c r="C379" t="s">
        <v>2484</v>
      </c>
      <c r="D379" t="s">
        <v>2448</v>
      </c>
      <c r="E379" t="s">
        <v>228</v>
      </c>
      <c r="F379">
        <v>59.99</v>
      </c>
      <c r="G379" t="s">
        <v>14</v>
      </c>
      <c r="H379">
        <v>7.4578469520103757E-3</v>
      </c>
      <c r="M379">
        <v>118.61538461538463</v>
      </c>
      <c r="N379">
        <v>2.1666666666666665</v>
      </c>
      <c r="O379">
        <v>120</v>
      </c>
      <c r="P379">
        <v>257</v>
      </c>
    </row>
    <row r="380" spans="1:16" x14ac:dyDescent="0.2">
      <c r="A380" t="s">
        <v>2481</v>
      </c>
      <c r="B380" t="s">
        <v>97</v>
      </c>
      <c r="C380" t="s">
        <v>2482</v>
      </c>
      <c r="D380" t="s">
        <v>2448</v>
      </c>
      <c r="E380" t="s">
        <v>228</v>
      </c>
      <c r="F380">
        <v>59.99</v>
      </c>
      <c r="G380" t="s">
        <v>14</v>
      </c>
      <c r="H380">
        <v>4.4871794871794872E-2</v>
      </c>
      <c r="M380">
        <v>26</v>
      </c>
      <c r="N380">
        <v>0.5</v>
      </c>
      <c r="O380">
        <v>120</v>
      </c>
      <c r="P380">
        <v>13</v>
      </c>
    </row>
    <row r="381" spans="1:16" x14ac:dyDescent="0.2">
      <c r="A381" t="s">
        <v>2475</v>
      </c>
      <c r="B381" t="s">
        <v>97</v>
      </c>
      <c r="C381" t="s">
        <v>7016</v>
      </c>
      <c r="D381" t="s">
        <v>2448</v>
      </c>
      <c r="E381" t="s">
        <v>228</v>
      </c>
      <c r="F381">
        <v>59.99</v>
      </c>
      <c r="G381" t="s">
        <v>14</v>
      </c>
      <c r="H381">
        <v>1.8518518518518521E-2</v>
      </c>
      <c r="M381">
        <v>54</v>
      </c>
      <c r="N381">
        <v>3.8333333333333335</v>
      </c>
      <c r="O381">
        <v>120</v>
      </c>
      <c r="P381">
        <v>207</v>
      </c>
    </row>
    <row r="382" spans="1:16" x14ac:dyDescent="0.2">
      <c r="A382" t="s">
        <v>4524</v>
      </c>
      <c r="B382" t="s">
        <v>97</v>
      </c>
      <c r="C382" t="s">
        <v>4525</v>
      </c>
      <c r="D382" t="s">
        <v>4463</v>
      </c>
      <c r="E382" t="s">
        <v>96</v>
      </c>
      <c r="F382">
        <v>17.989999999999998</v>
      </c>
      <c r="G382" t="s">
        <v>14</v>
      </c>
      <c r="H382">
        <v>1.6339869281045753E-2</v>
      </c>
      <c r="M382">
        <v>76.5</v>
      </c>
      <c r="N382">
        <v>1.3333333333333333</v>
      </c>
      <c r="O382">
        <v>36</v>
      </c>
      <c r="P382">
        <v>102</v>
      </c>
    </row>
    <row r="383" spans="1:16" x14ac:dyDescent="0.2">
      <c r="A383" t="s">
        <v>2463</v>
      </c>
      <c r="B383" t="s">
        <v>97</v>
      </c>
      <c r="C383" t="s">
        <v>2464</v>
      </c>
      <c r="D383" t="s">
        <v>2448</v>
      </c>
      <c r="E383" t="s">
        <v>96</v>
      </c>
      <c r="F383">
        <v>59.99</v>
      </c>
      <c r="G383" t="s">
        <v>14</v>
      </c>
      <c r="H383">
        <v>8.0321285140562242E-3</v>
      </c>
      <c r="M383">
        <v>83</v>
      </c>
      <c r="N383">
        <v>1</v>
      </c>
      <c r="O383">
        <v>120</v>
      </c>
      <c r="P383">
        <v>83</v>
      </c>
    </row>
    <row r="384" spans="1:16" x14ac:dyDescent="0.2">
      <c r="A384" t="s">
        <v>2990</v>
      </c>
      <c r="B384" t="s">
        <v>97</v>
      </c>
      <c r="C384" t="s">
        <v>2991</v>
      </c>
      <c r="D384" t="s">
        <v>2987</v>
      </c>
      <c r="E384" t="s">
        <v>228</v>
      </c>
      <c r="F384">
        <v>89.99</v>
      </c>
      <c r="G384" t="s">
        <v>14</v>
      </c>
      <c r="H384">
        <v>1.4900662251655627E-2</v>
      </c>
      <c r="M384">
        <v>60.4</v>
      </c>
      <c r="N384">
        <v>2.5</v>
      </c>
      <c r="O384">
        <v>180</v>
      </c>
      <c r="P384">
        <v>151</v>
      </c>
    </row>
    <row r="385" spans="1:16" x14ac:dyDescent="0.2">
      <c r="A385" t="s">
        <v>6251</v>
      </c>
      <c r="B385" t="s">
        <v>97</v>
      </c>
      <c r="C385" t="s">
        <v>6252</v>
      </c>
      <c r="D385" t="s">
        <v>2502</v>
      </c>
      <c r="E385" t="s">
        <v>290</v>
      </c>
      <c r="F385">
        <v>54.99</v>
      </c>
      <c r="G385" t="s">
        <v>14</v>
      </c>
      <c r="H385">
        <v>1.0273972602739724E-2</v>
      </c>
      <c r="M385">
        <v>109.49999999999999</v>
      </c>
      <c r="N385">
        <v>0.66666666666666674</v>
      </c>
      <c r="O385">
        <v>110</v>
      </c>
      <c r="P385">
        <v>73</v>
      </c>
    </row>
    <row r="386" spans="1:16" x14ac:dyDescent="0.2">
      <c r="A386" t="s">
        <v>2485</v>
      </c>
      <c r="B386" t="s">
        <v>97</v>
      </c>
      <c r="C386" t="s">
        <v>2486</v>
      </c>
      <c r="D386" t="s">
        <v>2448</v>
      </c>
      <c r="E386" t="s">
        <v>228</v>
      </c>
      <c r="F386">
        <v>59.99</v>
      </c>
      <c r="G386" t="s">
        <v>14</v>
      </c>
      <c r="H386">
        <v>0.15277777777777776</v>
      </c>
      <c r="M386">
        <v>5.1428571428571432</v>
      </c>
      <c r="N386">
        <v>1.1666666666666665</v>
      </c>
      <c r="O386">
        <v>120</v>
      </c>
      <c r="P386">
        <v>6</v>
      </c>
    </row>
    <row r="387" spans="1:16" x14ac:dyDescent="0.2">
      <c r="A387" t="s">
        <v>251</v>
      </c>
      <c r="B387" t="s">
        <v>97</v>
      </c>
      <c r="C387" t="s">
        <v>252</v>
      </c>
      <c r="D387" t="s">
        <v>223</v>
      </c>
      <c r="E387" t="s">
        <v>228</v>
      </c>
      <c r="F387">
        <v>79.989999999999995</v>
      </c>
      <c r="G387" t="s">
        <v>14</v>
      </c>
      <c r="H387">
        <v>2.8455284552845527E-2</v>
      </c>
      <c r="M387">
        <v>43.928571428571431</v>
      </c>
      <c r="N387">
        <v>4.6666666666666661</v>
      </c>
      <c r="O387">
        <v>160</v>
      </c>
      <c r="P387">
        <v>205</v>
      </c>
    </row>
    <row r="388" spans="1:16" x14ac:dyDescent="0.2">
      <c r="A388" t="s">
        <v>2525</v>
      </c>
      <c r="B388" t="s">
        <v>97</v>
      </c>
      <c r="C388" t="s">
        <v>2526</v>
      </c>
      <c r="D388" t="s">
        <v>2502</v>
      </c>
      <c r="E388" t="s">
        <v>228</v>
      </c>
      <c r="F388">
        <v>109.99</v>
      </c>
      <c r="G388" t="s">
        <v>14</v>
      </c>
      <c r="H388">
        <v>1.1682242990654203E-2</v>
      </c>
      <c r="M388">
        <v>80.249999999999986</v>
      </c>
      <c r="N388">
        <v>1.3333333333333335</v>
      </c>
      <c r="O388">
        <v>220</v>
      </c>
      <c r="P388">
        <v>107</v>
      </c>
    </row>
    <row r="389" spans="1:16" x14ac:dyDescent="0.2">
      <c r="A389" t="s">
        <v>2537</v>
      </c>
      <c r="B389" t="s">
        <v>97</v>
      </c>
      <c r="C389" t="s">
        <v>2538</v>
      </c>
      <c r="D389" t="s">
        <v>2502</v>
      </c>
      <c r="E389" t="s">
        <v>228</v>
      </c>
      <c r="F389">
        <v>139.99</v>
      </c>
      <c r="G389" t="s">
        <v>14</v>
      </c>
      <c r="H389">
        <v>1.6666666666666666E-2</v>
      </c>
      <c r="M389">
        <v>42</v>
      </c>
      <c r="N389">
        <v>2.5</v>
      </c>
      <c r="O389">
        <v>280</v>
      </c>
      <c r="P389">
        <v>105</v>
      </c>
    </row>
    <row r="390" spans="1:16" x14ac:dyDescent="0.2">
      <c r="A390" t="s">
        <v>2513</v>
      </c>
      <c r="B390" t="s">
        <v>97</v>
      </c>
      <c r="C390" t="s">
        <v>2514</v>
      </c>
      <c r="D390" t="s">
        <v>2502</v>
      </c>
      <c r="E390" t="s">
        <v>228</v>
      </c>
      <c r="F390">
        <v>199.99</v>
      </c>
      <c r="G390" t="s">
        <v>14</v>
      </c>
      <c r="H390">
        <v>7.4999999999999997E-3</v>
      </c>
      <c r="M390">
        <v>150</v>
      </c>
      <c r="N390">
        <v>1.3333333333333333</v>
      </c>
      <c r="O390">
        <v>400</v>
      </c>
      <c r="P390">
        <v>200</v>
      </c>
    </row>
    <row r="391" spans="1:16" x14ac:dyDescent="0.2">
      <c r="A391" t="s">
        <v>2487</v>
      </c>
      <c r="B391" t="s">
        <v>97</v>
      </c>
      <c r="C391" t="s">
        <v>2488</v>
      </c>
      <c r="D391" t="s">
        <v>2448</v>
      </c>
      <c r="E391" t="s">
        <v>228</v>
      </c>
      <c r="F391">
        <v>59.99</v>
      </c>
      <c r="G391" t="s">
        <v>14</v>
      </c>
      <c r="H391">
        <v>1.3215859030837005E-2</v>
      </c>
      <c r="M391">
        <v>71.684210526315795</v>
      </c>
      <c r="N391">
        <v>3.1666666666666665</v>
      </c>
      <c r="O391">
        <v>120</v>
      </c>
      <c r="P391">
        <v>227</v>
      </c>
    </row>
    <row r="392" spans="1:16" x14ac:dyDescent="0.2">
      <c r="A392" t="s">
        <v>2601</v>
      </c>
      <c r="B392" t="s">
        <v>6365</v>
      </c>
      <c r="C392" t="s">
        <v>2602</v>
      </c>
      <c r="D392" t="s">
        <v>2502</v>
      </c>
      <c r="E392" t="s">
        <v>290</v>
      </c>
      <c r="F392">
        <v>79.989999999999995</v>
      </c>
      <c r="G392" t="s">
        <v>7014</v>
      </c>
      <c r="H392">
        <v>2.3391812865497075E-2</v>
      </c>
      <c r="I392" t="s">
        <v>7015</v>
      </c>
      <c r="M392">
        <v>114</v>
      </c>
      <c r="N392">
        <v>0.5</v>
      </c>
      <c r="O392">
        <v>160</v>
      </c>
      <c r="P392">
        <v>57</v>
      </c>
    </row>
    <row r="393" spans="1:16" x14ac:dyDescent="0.2">
      <c r="A393" t="s">
        <v>6368</v>
      </c>
      <c r="B393" t="s">
        <v>6370</v>
      </c>
      <c r="C393" t="s">
        <v>6369</v>
      </c>
      <c r="D393" t="s">
        <v>2502</v>
      </c>
      <c r="E393" t="s">
        <v>290</v>
      </c>
      <c r="F393">
        <v>79.989999999999995</v>
      </c>
      <c r="G393" t="s">
        <v>7014</v>
      </c>
      <c r="H393">
        <v>1.8518518518518517E-2</v>
      </c>
      <c r="I393" t="s">
        <v>7015</v>
      </c>
      <c r="M393">
        <v>64.8</v>
      </c>
      <c r="N393">
        <v>1.6666666666666667</v>
      </c>
      <c r="O393">
        <v>160</v>
      </c>
      <c r="P393">
        <v>108</v>
      </c>
    </row>
    <row r="394" spans="1:16" x14ac:dyDescent="0.2">
      <c r="A394" t="s">
        <v>2543</v>
      </c>
      <c r="B394" t="s">
        <v>6293</v>
      </c>
      <c r="C394" t="s">
        <v>2544</v>
      </c>
      <c r="D394" t="s">
        <v>2502</v>
      </c>
      <c r="E394" t="s">
        <v>228</v>
      </c>
      <c r="F394">
        <v>79.989999999999995</v>
      </c>
      <c r="G394" t="s">
        <v>7014</v>
      </c>
      <c r="H394">
        <v>3.1944444444444449E-2</v>
      </c>
      <c r="I394" t="s">
        <v>7015</v>
      </c>
      <c r="M394">
        <v>24</v>
      </c>
      <c r="N394">
        <v>2.5</v>
      </c>
      <c r="O394">
        <v>160</v>
      </c>
      <c r="P394">
        <v>60</v>
      </c>
    </row>
    <row r="395" spans="1:16" x14ac:dyDescent="0.2">
      <c r="A395" t="s">
        <v>2308</v>
      </c>
      <c r="B395" t="s">
        <v>5438</v>
      </c>
      <c r="C395" t="s">
        <v>2309</v>
      </c>
      <c r="D395" t="s">
        <v>2146</v>
      </c>
      <c r="E395" t="s">
        <v>228</v>
      </c>
      <c r="F395">
        <v>199.99</v>
      </c>
      <c r="G395" t="s">
        <v>7014</v>
      </c>
      <c r="H395">
        <v>1.8786127167630059E-2</v>
      </c>
      <c r="M395">
        <v>54.631578947368418</v>
      </c>
      <c r="N395">
        <v>3.166666666666667</v>
      </c>
      <c r="O395">
        <v>400</v>
      </c>
      <c r="P395">
        <v>173</v>
      </c>
    </row>
    <row r="396" spans="1:16" x14ac:dyDescent="0.2">
      <c r="A396" t="s">
        <v>2292</v>
      </c>
      <c r="B396" t="s">
        <v>5651</v>
      </c>
      <c r="C396" t="s">
        <v>2293</v>
      </c>
      <c r="D396" t="s">
        <v>2146</v>
      </c>
      <c r="E396" t="s">
        <v>228</v>
      </c>
      <c r="F396">
        <v>349.99</v>
      </c>
      <c r="G396" t="s">
        <v>7014</v>
      </c>
      <c r="H396">
        <v>9.2592592592592587E-3</v>
      </c>
      <c r="I396" t="s">
        <v>7015</v>
      </c>
      <c r="M396">
        <v>81</v>
      </c>
      <c r="N396">
        <v>0.66666666666666663</v>
      </c>
      <c r="O396">
        <v>700</v>
      </c>
      <c r="P396">
        <v>54</v>
      </c>
    </row>
    <row r="397" spans="1:16" x14ac:dyDescent="0.2">
      <c r="A397" t="s">
        <v>2174</v>
      </c>
      <c r="B397" t="s">
        <v>5370</v>
      </c>
      <c r="C397" t="s">
        <v>2175</v>
      </c>
      <c r="D397" t="s">
        <v>2146</v>
      </c>
      <c r="E397" t="s">
        <v>228</v>
      </c>
      <c r="F397">
        <v>199.99</v>
      </c>
      <c r="G397" t="s">
        <v>7014</v>
      </c>
      <c r="H397">
        <v>8.0348943985307612E-3</v>
      </c>
      <c r="M397">
        <v>90.75</v>
      </c>
      <c r="N397">
        <v>4</v>
      </c>
      <c r="O397">
        <v>400</v>
      </c>
      <c r="P397">
        <v>363</v>
      </c>
    </row>
    <row r="398" spans="1:16" x14ac:dyDescent="0.2">
      <c r="A398" t="s">
        <v>952</v>
      </c>
      <c r="B398" t="s">
        <v>4677</v>
      </c>
      <c r="C398" t="s">
        <v>953</v>
      </c>
      <c r="D398" t="s">
        <v>446</v>
      </c>
      <c r="E398" t="s">
        <v>228</v>
      </c>
      <c r="F398">
        <v>59.99</v>
      </c>
      <c r="G398" t="s">
        <v>7014</v>
      </c>
      <c r="H398">
        <v>0.23378378378378376</v>
      </c>
      <c r="I398" t="s">
        <v>7015</v>
      </c>
      <c r="M398">
        <v>8.2222222222222214</v>
      </c>
      <c r="N398">
        <v>22.5</v>
      </c>
      <c r="O398">
        <v>120</v>
      </c>
      <c r="P398">
        <v>185</v>
      </c>
    </row>
    <row r="399" spans="1:16" x14ac:dyDescent="0.2">
      <c r="A399" t="s">
        <v>3002</v>
      </c>
      <c r="B399" t="s">
        <v>7035</v>
      </c>
      <c r="C399" t="s">
        <v>3003</v>
      </c>
      <c r="D399" t="s">
        <v>2987</v>
      </c>
      <c r="E399" t="s">
        <v>228</v>
      </c>
      <c r="F399">
        <v>109.99</v>
      </c>
      <c r="G399" t="s">
        <v>7014</v>
      </c>
      <c r="H399">
        <v>3.8333333333333335</v>
      </c>
      <c r="I399" t="s">
        <v>7015</v>
      </c>
      <c r="M399">
        <v>0.15384615384615385</v>
      </c>
      <c r="N399">
        <v>6.5</v>
      </c>
      <c r="O399">
        <v>220</v>
      </c>
      <c r="P399">
        <v>1</v>
      </c>
    </row>
    <row r="400" spans="1:16" x14ac:dyDescent="0.2">
      <c r="A400" t="s">
        <v>3330</v>
      </c>
      <c r="B400" t="s">
        <v>4544</v>
      </c>
      <c r="C400" t="s">
        <v>3331</v>
      </c>
      <c r="D400" t="s">
        <v>3268</v>
      </c>
      <c r="E400" t="s">
        <v>228</v>
      </c>
      <c r="F400">
        <v>39.99</v>
      </c>
      <c r="G400" t="s">
        <v>7014</v>
      </c>
      <c r="H400">
        <v>0.15151515151515152</v>
      </c>
      <c r="I400" t="s">
        <v>7015</v>
      </c>
      <c r="M400">
        <v>7.333333333333333</v>
      </c>
      <c r="N400">
        <v>1.5</v>
      </c>
      <c r="O400">
        <v>80</v>
      </c>
      <c r="P400">
        <v>11</v>
      </c>
    </row>
    <row r="401" spans="1:16" x14ac:dyDescent="0.2">
      <c r="A401" t="s">
        <v>3317</v>
      </c>
      <c r="B401" t="s">
        <v>5334</v>
      </c>
      <c r="C401" t="s">
        <v>3318</v>
      </c>
      <c r="D401" t="s">
        <v>3268</v>
      </c>
      <c r="E401" t="s">
        <v>228</v>
      </c>
      <c r="F401">
        <v>79.989999999999995</v>
      </c>
      <c r="G401" t="s">
        <v>7014</v>
      </c>
      <c r="H401">
        <v>0.375</v>
      </c>
      <c r="I401" t="s">
        <v>7015</v>
      </c>
      <c r="M401">
        <v>2</v>
      </c>
      <c r="N401">
        <v>1</v>
      </c>
      <c r="O401">
        <v>160</v>
      </c>
      <c r="P401">
        <v>2</v>
      </c>
    </row>
    <row r="402" spans="1:16" x14ac:dyDescent="0.2">
      <c r="A402" t="s">
        <v>2521</v>
      </c>
      <c r="B402" t="s">
        <v>6142</v>
      </c>
      <c r="C402" t="s">
        <v>2522</v>
      </c>
      <c r="D402" t="s">
        <v>2502</v>
      </c>
      <c r="E402" t="s">
        <v>228</v>
      </c>
      <c r="F402">
        <v>249.99</v>
      </c>
      <c r="G402" t="s">
        <v>7014</v>
      </c>
      <c r="H402">
        <v>8.0357142857142863E-2</v>
      </c>
      <c r="M402">
        <v>9.8823529411764692</v>
      </c>
      <c r="N402">
        <v>2.8333333333333335</v>
      </c>
      <c r="O402">
        <v>500</v>
      </c>
      <c r="P402">
        <v>28</v>
      </c>
    </row>
    <row r="403" spans="1:16" x14ac:dyDescent="0.2">
      <c r="A403" t="s">
        <v>4995</v>
      </c>
      <c r="B403" t="s">
        <v>4997</v>
      </c>
      <c r="C403" t="s">
        <v>4996</v>
      </c>
      <c r="D403" t="s">
        <v>446</v>
      </c>
      <c r="E403" t="s">
        <v>290</v>
      </c>
      <c r="F403">
        <v>29.99</v>
      </c>
      <c r="G403" t="s">
        <v>7014</v>
      </c>
      <c r="H403">
        <v>0.38405797101449279</v>
      </c>
      <c r="I403" t="s">
        <v>7015</v>
      </c>
      <c r="M403">
        <v>2.6037735849056607</v>
      </c>
      <c r="N403">
        <v>8.8333333333333321</v>
      </c>
      <c r="O403">
        <v>60</v>
      </c>
      <c r="P403">
        <v>23</v>
      </c>
    </row>
    <row r="404" spans="1:16" x14ac:dyDescent="0.2">
      <c r="A404" t="s">
        <v>3367</v>
      </c>
      <c r="B404" t="s">
        <v>5247</v>
      </c>
      <c r="C404" t="s">
        <v>3368</v>
      </c>
      <c r="D404" t="s">
        <v>3268</v>
      </c>
      <c r="E404" t="s">
        <v>228</v>
      </c>
      <c r="F404">
        <v>799.99</v>
      </c>
      <c r="G404" t="s">
        <v>7014</v>
      </c>
      <c r="H404">
        <v>1.4218009478672983E-2</v>
      </c>
      <c r="I404" t="s">
        <v>7015</v>
      </c>
      <c r="M404">
        <v>115.09090909090909</v>
      </c>
      <c r="N404">
        <v>1.8333333333333333</v>
      </c>
      <c r="O404">
        <v>1600</v>
      </c>
      <c r="P404">
        <v>211</v>
      </c>
    </row>
    <row r="405" spans="1:16" x14ac:dyDescent="0.2">
      <c r="A405" t="s">
        <v>259</v>
      </c>
      <c r="B405" t="s">
        <v>4281</v>
      </c>
      <c r="C405" t="s">
        <v>260</v>
      </c>
      <c r="D405" t="s">
        <v>223</v>
      </c>
      <c r="E405" t="s">
        <v>290</v>
      </c>
      <c r="F405">
        <v>99.99</v>
      </c>
      <c r="G405" t="s">
        <v>7014</v>
      </c>
      <c r="H405">
        <v>7.2706935123042493E-3</v>
      </c>
      <c r="I405" t="s">
        <v>7015</v>
      </c>
      <c r="M405">
        <v>127.71428571428571</v>
      </c>
      <c r="N405">
        <v>1.1666666666666667</v>
      </c>
      <c r="O405">
        <v>200</v>
      </c>
      <c r="P405">
        <v>149</v>
      </c>
    </row>
    <row r="406" spans="1:16" x14ac:dyDescent="0.2">
      <c r="A406" t="s">
        <v>1818</v>
      </c>
      <c r="B406" t="s">
        <v>6965</v>
      </c>
      <c r="C406" t="s">
        <v>1819</v>
      </c>
      <c r="D406" t="s">
        <v>1811</v>
      </c>
      <c r="E406" t="s">
        <v>228</v>
      </c>
      <c r="F406">
        <v>119.99</v>
      </c>
      <c r="G406" t="s">
        <v>8</v>
      </c>
      <c r="H406">
        <v>1.6460905349794237E-2</v>
      </c>
      <c r="J406">
        <v>0</v>
      </c>
      <c r="K406">
        <v>6</v>
      </c>
      <c r="L406">
        <v>75</v>
      </c>
      <c r="M406">
        <v>59.25</v>
      </c>
      <c r="N406">
        <v>1.3333333333333333</v>
      </c>
      <c r="O406">
        <v>240</v>
      </c>
      <c r="P406">
        <v>79</v>
      </c>
    </row>
    <row r="407" spans="1:16" x14ac:dyDescent="0.2">
      <c r="A407" t="s">
        <v>2669</v>
      </c>
      <c r="B407" t="s">
        <v>6210</v>
      </c>
      <c r="C407" t="s">
        <v>2670</v>
      </c>
      <c r="D407" t="s">
        <v>2502</v>
      </c>
      <c r="E407" t="s">
        <v>228</v>
      </c>
      <c r="F407">
        <v>59.99</v>
      </c>
      <c r="G407" t="s">
        <v>8</v>
      </c>
      <c r="H407">
        <v>7.6388888888888881E-2</v>
      </c>
      <c r="J407">
        <v>0</v>
      </c>
      <c r="K407">
        <v>12</v>
      </c>
      <c r="L407">
        <v>0</v>
      </c>
      <c r="M407">
        <v>112.28571428571428</v>
      </c>
      <c r="N407">
        <v>1.1666666666666667</v>
      </c>
      <c r="O407">
        <v>120</v>
      </c>
      <c r="P407">
        <v>131</v>
      </c>
    </row>
    <row r="408" spans="1:16" x14ac:dyDescent="0.2">
      <c r="A408" t="s">
        <v>2565</v>
      </c>
      <c r="B408" t="s">
        <v>6397</v>
      </c>
      <c r="C408" t="s">
        <v>2566</v>
      </c>
      <c r="D408" t="s">
        <v>2502</v>
      </c>
      <c r="E408" t="s">
        <v>228</v>
      </c>
      <c r="F408">
        <v>79.989999999999995</v>
      </c>
      <c r="G408" t="s">
        <v>8</v>
      </c>
      <c r="H408">
        <v>0.11979166666666669</v>
      </c>
      <c r="J408">
        <v>0</v>
      </c>
      <c r="K408">
        <v>15</v>
      </c>
      <c r="L408">
        <v>1</v>
      </c>
      <c r="M408">
        <v>8.7272727272727266</v>
      </c>
      <c r="N408">
        <v>1.8333333333333335</v>
      </c>
      <c r="O408">
        <v>160</v>
      </c>
      <c r="P408">
        <v>16</v>
      </c>
    </row>
    <row r="409" spans="1:16" x14ac:dyDescent="0.2">
      <c r="A409" t="s">
        <v>685</v>
      </c>
      <c r="B409" t="s">
        <v>5088</v>
      </c>
      <c r="C409" t="s">
        <v>686</v>
      </c>
      <c r="D409" t="s">
        <v>446</v>
      </c>
      <c r="E409" t="s">
        <v>228</v>
      </c>
      <c r="F409">
        <v>59.99</v>
      </c>
      <c r="G409" t="s">
        <v>8</v>
      </c>
      <c r="H409">
        <v>5.8333333333333334E-2</v>
      </c>
      <c r="J409">
        <v>0</v>
      </c>
      <c r="K409">
        <v>10</v>
      </c>
      <c r="L409">
        <v>0</v>
      </c>
      <c r="M409">
        <v>6.75</v>
      </c>
      <c r="N409">
        <v>1.3333333333333333</v>
      </c>
      <c r="O409">
        <v>120</v>
      </c>
      <c r="P409">
        <v>9</v>
      </c>
    </row>
    <row r="410" spans="1:16" x14ac:dyDescent="0.2">
      <c r="A410" t="s">
        <v>2571</v>
      </c>
      <c r="B410" t="s">
        <v>6382</v>
      </c>
      <c r="C410" t="s">
        <v>2572</v>
      </c>
      <c r="D410" t="s">
        <v>2502</v>
      </c>
      <c r="E410" t="s">
        <v>228</v>
      </c>
      <c r="F410">
        <v>119.99</v>
      </c>
      <c r="G410" t="s">
        <v>8</v>
      </c>
      <c r="H410">
        <v>0.16666666666666669</v>
      </c>
      <c r="J410">
        <v>0</v>
      </c>
      <c r="K410">
        <v>15</v>
      </c>
      <c r="L410">
        <v>2</v>
      </c>
      <c r="M410">
        <v>10.615384615384613</v>
      </c>
      <c r="N410">
        <v>2.166666666666667</v>
      </c>
      <c r="O410">
        <v>240</v>
      </c>
      <c r="P410">
        <v>23</v>
      </c>
    </row>
    <row r="411" spans="1:16" x14ac:dyDescent="0.2">
      <c r="A411" t="s">
        <v>2338</v>
      </c>
      <c r="B411" t="s">
        <v>5567</v>
      </c>
      <c r="C411" t="s">
        <v>2339</v>
      </c>
      <c r="D411" t="s">
        <v>2146</v>
      </c>
      <c r="E411" t="s">
        <v>228</v>
      </c>
      <c r="F411">
        <v>349.99</v>
      </c>
      <c r="G411" t="s">
        <v>8</v>
      </c>
      <c r="H411">
        <v>1.9406392694063929E-2</v>
      </c>
      <c r="J411">
        <v>0</v>
      </c>
      <c r="K411">
        <v>6</v>
      </c>
      <c r="L411">
        <v>140</v>
      </c>
      <c r="M411">
        <v>66.461538461538453</v>
      </c>
      <c r="N411">
        <v>2.166666666666667</v>
      </c>
      <c r="O411">
        <v>700</v>
      </c>
      <c r="P411">
        <v>144</v>
      </c>
    </row>
    <row r="412" spans="1:16" x14ac:dyDescent="0.2">
      <c r="A412" t="s">
        <v>1854</v>
      </c>
      <c r="B412" t="s">
        <v>5374</v>
      </c>
      <c r="C412" t="s">
        <v>1855</v>
      </c>
      <c r="D412" t="s">
        <v>1811</v>
      </c>
      <c r="E412" t="s">
        <v>228</v>
      </c>
      <c r="F412">
        <v>599.99</v>
      </c>
      <c r="G412" t="s">
        <v>8</v>
      </c>
      <c r="H412">
        <v>2.3255813953488372E-3</v>
      </c>
      <c r="J412">
        <v>0</v>
      </c>
      <c r="K412">
        <v>96</v>
      </c>
      <c r="L412">
        <v>119</v>
      </c>
      <c r="M412">
        <v>313.49999999999994</v>
      </c>
      <c r="N412">
        <v>0.66666666666666674</v>
      </c>
      <c r="O412">
        <v>1200</v>
      </c>
      <c r="P412">
        <v>209</v>
      </c>
    </row>
    <row r="413" spans="1:16" x14ac:dyDescent="0.2">
      <c r="A413" t="s">
        <v>2555</v>
      </c>
      <c r="B413" t="s">
        <v>5934</v>
      </c>
      <c r="C413" t="s">
        <v>2556</v>
      </c>
      <c r="D413" t="s">
        <v>2502</v>
      </c>
      <c r="E413" t="s">
        <v>228</v>
      </c>
      <c r="F413">
        <v>129.99</v>
      </c>
      <c r="G413" t="s">
        <v>8</v>
      </c>
      <c r="H413">
        <v>6.1403508771929821E-2</v>
      </c>
      <c r="J413">
        <v>0</v>
      </c>
      <c r="K413">
        <v>12</v>
      </c>
      <c r="L413">
        <v>7</v>
      </c>
      <c r="M413">
        <v>10.799999999999999</v>
      </c>
      <c r="N413">
        <v>1.6666666666666667</v>
      </c>
      <c r="O413">
        <v>260</v>
      </c>
      <c r="P413">
        <v>18</v>
      </c>
    </row>
    <row r="414" spans="1:16" x14ac:dyDescent="0.2">
      <c r="A414" t="s">
        <v>781</v>
      </c>
      <c r="B414" t="s">
        <v>5100</v>
      </c>
      <c r="C414" t="s">
        <v>782</v>
      </c>
      <c r="D414" t="s">
        <v>446</v>
      </c>
      <c r="E414" t="s">
        <v>228</v>
      </c>
      <c r="F414">
        <v>44.99</v>
      </c>
      <c r="G414" t="s">
        <v>8</v>
      </c>
      <c r="H414">
        <v>3.5416666666666666E-2</v>
      </c>
      <c r="J414">
        <v>1</v>
      </c>
      <c r="K414">
        <v>13</v>
      </c>
      <c r="L414">
        <v>66</v>
      </c>
      <c r="M414">
        <v>52.199999999999989</v>
      </c>
      <c r="N414">
        <v>1.666666666666667</v>
      </c>
      <c r="O414">
        <v>90</v>
      </c>
      <c r="P414">
        <v>87</v>
      </c>
    </row>
    <row r="415" spans="1:16" x14ac:dyDescent="0.2">
      <c r="A415" t="s">
        <v>2909</v>
      </c>
      <c r="B415" t="s">
        <v>5296</v>
      </c>
      <c r="C415" t="s">
        <v>2910</v>
      </c>
      <c r="D415" t="s">
        <v>2852</v>
      </c>
      <c r="E415" t="s">
        <v>228</v>
      </c>
      <c r="F415">
        <v>99.99</v>
      </c>
      <c r="G415" t="s">
        <v>8</v>
      </c>
      <c r="H415">
        <v>5.128205128205128E-2</v>
      </c>
      <c r="J415">
        <v>0</v>
      </c>
      <c r="K415">
        <v>11</v>
      </c>
      <c r="L415">
        <v>28</v>
      </c>
      <c r="M415">
        <v>22.200000000000003</v>
      </c>
      <c r="N415">
        <v>1.6666666666666665</v>
      </c>
      <c r="O415">
        <v>200</v>
      </c>
      <c r="P415">
        <v>37</v>
      </c>
    </row>
    <row r="416" spans="1:16" x14ac:dyDescent="0.2">
      <c r="A416" t="s">
        <v>2719</v>
      </c>
      <c r="B416" t="s">
        <v>6272</v>
      </c>
      <c r="C416" t="s">
        <v>2720</v>
      </c>
      <c r="D416" t="s">
        <v>2502</v>
      </c>
      <c r="E416" t="s">
        <v>228</v>
      </c>
      <c r="F416">
        <v>69.989999999999995</v>
      </c>
      <c r="G416" t="s">
        <v>8</v>
      </c>
      <c r="H416">
        <v>2.5080906148867311E-2</v>
      </c>
      <c r="J416">
        <v>1</v>
      </c>
      <c r="K416">
        <v>67</v>
      </c>
      <c r="L416">
        <v>138</v>
      </c>
      <c r="M416">
        <v>61.714285714285715</v>
      </c>
      <c r="N416">
        <v>3.5</v>
      </c>
      <c r="O416">
        <v>140</v>
      </c>
      <c r="P416">
        <v>216</v>
      </c>
    </row>
    <row r="417" spans="1:16" x14ac:dyDescent="0.2">
      <c r="A417" t="s">
        <v>902</v>
      </c>
      <c r="B417" t="s">
        <v>4833</v>
      </c>
      <c r="C417" t="s">
        <v>903</v>
      </c>
      <c r="D417" t="s">
        <v>446</v>
      </c>
      <c r="E417" t="s">
        <v>228</v>
      </c>
      <c r="F417">
        <v>149.99</v>
      </c>
      <c r="G417" t="s">
        <v>8</v>
      </c>
      <c r="H417">
        <v>2.3866348448687352E-3</v>
      </c>
      <c r="J417">
        <v>0</v>
      </c>
      <c r="K417">
        <v>32</v>
      </c>
      <c r="L417">
        <v>387</v>
      </c>
      <c r="M417">
        <v>248.72727272727272</v>
      </c>
      <c r="N417">
        <v>1.8333333333333335</v>
      </c>
      <c r="O417">
        <v>300</v>
      </c>
      <c r="P417">
        <v>456</v>
      </c>
    </row>
    <row r="418" spans="1:16" x14ac:dyDescent="0.2">
      <c r="A418" t="s">
        <v>3057</v>
      </c>
      <c r="B418" t="s">
        <v>6939</v>
      </c>
      <c r="C418" t="s">
        <v>3058</v>
      </c>
      <c r="D418" t="s">
        <v>2987</v>
      </c>
      <c r="E418" t="s">
        <v>228</v>
      </c>
      <c r="F418">
        <v>139.99</v>
      </c>
      <c r="G418" t="s">
        <v>8</v>
      </c>
      <c r="H418">
        <v>5.8641975308641965E-2</v>
      </c>
      <c r="J418">
        <v>0</v>
      </c>
      <c r="K418">
        <v>27</v>
      </c>
      <c r="L418">
        <v>0</v>
      </c>
      <c r="M418">
        <v>94</v>
      </c>
      <c r="N418">
        <v>1.5</v>
      </c>
      <c r="O418">
        <v>280</v>
      </c>
      <c r="P418">
        <v>141</v>
      </c>
    </row>
    <row r="419" spans="1:16" x14ac:dyDescent="0.2">
      <c r="A419" t="s">
        <v>3303</v>
      </c>
      <c r="B419" t="s">
        <v>6999</v>
      </c>
      <c r="C419" t="s">
        <v>3302</v>
      </c>
      <c r="D419" t="s">
        <v>3268</v>
      </c>
      <c r="E419" t="s">
        <v>228</v>
      </c>
      <c r="F419">
        <v>179.99</v>
      </c>
      <c r="G419" t="s">
        <v>8</v>
      </c>
      <c r="H419">
        <v>3.1645569620253167E-2</v>
      </c>
      <c r="J419">
        <v>2</v>
      </c>
      <c r="K419">
        <v>9</v>
      </c>
      <c r="L419">
        <v>68</v>
      </c>
      <c r="M419">
        <v>25.8</v>
      </c>
      <c r="N419">
        <v>3.333333333333333</v>
      </c>
      <c r="O419">
        <v>360</v>
      </c>
      <c r="P419">
        <v>86</v>
      </c>
    </row>
    <row r="420" spans="1:16" x14ac:dyDescent="0.2">
      <c r="A420" t="s">
        <v>6834</v>
      </c>
      <c r="B420" t="s">
        <v>6839</v>
      </c>
      <c r="C420" t="s">
        <v>6835</v>
      </c>
      <c r="D420" t="s">
        <v>2987</v>
      </c>
      <c r="E420" t="s">
        <v>228</v>
      </c>
      <c r="F420">
        <v>89.99</v>
      </c>
      <c r="G420" t="s">
        <v>8</v>
      </c>
      <c r="H420">
        <v>9.0277777777777776E-2</v>
      </c>
      <c r="J420">
        <v>0</v>
      </c>
      <c r="K420">
        <v>9</v>
      </c>
      <c r="L420">
        <v>3</v>
      </c>
      <c r="M420">
        <v>11</v>
      </c>
      <c r="N420">
        <v>1</v>
      </c>
      <c r="O420">
        <v>180</v>
      </c>
      <c r="P420">
        <v>11</v>
      </c>
    </row>
    <row r="421" spans="1:16" x14ac:dyDescent="0.2">
      <c r="A421" t="s">
        <v>229</v>
      </c>
      <c r="B421" t="s">
        <v>4234</v>
      </c>
      <c r="C421" t="s">
        <v>230</v>
      </c>
      <c r="D421" t="s">
        <v>223</v>
      </c>
      <c r="E421" t="s">
        <v>228</v>
      </c>
      <c r="F421">
        <v>119.99</v>
      </c>
      <c r="G421" t="s">
        <v>8</v>
      </c>
      <c r="H421">
        <v>1.6666666666666666E-2</v>
      </c>
      <c r="J421">
        <v>0</v>
      </c>
      <c r="K421">
        <v>8</v>
      </c>
      <c r="L421">
        <v>162</v>
      </c>
      <c r="M421">
        <v>84.5</v>
      </c>
      <c r="N421">
        <v>2</v>
      </c>
      <c r="O421">
        <v>240</v>
      </c>
      <c r="P421">
        <v>169</v>
      </c>
    </row>
    <row r="422" spans="1:16" x14ac:dyDescent="0.2">
      <c r="A422" t="s">
        <v>3292</v>
      </c>
      <c r="B422" t="s">
        <v>6984</v>
      </c>
      <c r="C422" t="s">
        <v>3293</v>
      </c>
      <c r="D422" t="s">
        <v>3268</v>
      </c>
      <c r="E422" t="s">
        <v>228</v>
      </c>
      <c r="F422">
        <v>799.99</v>
      </c>
      <c r="G422" t="s">
        <v>8</v>
      </c>
      <c r="H422">
        <v>0.21666666666666665</v>
      </c>
      <c r="J422">
        <v>3</v>
      </c>
      <c r="K422">
        <v>2</v>
      </c>
      <c r="L422">
        <v>0</v>
      </c>
      <c r="M422">
        <v>6</v>
      </c>
      <c r="N422">
        <v>1</v>
      </c>
      <c r="O422">
        <v>1600</v>
      </c>
      <c r="P422">
        <v>6</v>
      </c>
    </row>
    <row r="423" spans="1:16" x14ac:dyDescent="0.2">
      <c r="A423" t="s">
        <v>3279</v>
      </c>
      <c r="B423" t="s">
        <v>6979</v>
      </c>
      <c r="C423" t="s">
        <v>3278</v>
      </c>
      <c r="D423" t="s">
        <v>3268</v>
      </c>
      <c r="E423" t="s">
        <v>228</v>
      </c>
      <c r="F423">
        <v>99.99</v>
      </c>
      <c r="G423" t="s">
        <v>8</v>
      </c>
      <c r="H423">
        <v>3.8216560509554139E-2</v>
      </c>
      <c r="J423">
        <v>3</v>
      </c>
      <c r="K423">
        <v>9</v>
      </c>
      <c r="L423">
        <v>145</v>
      </c>
      <c r="M423">
        <v>29.454545454545453</v>
      </c>
      <c r="N423">
        <v>5.5</v>
      </c>
      <c r="O423">
        <v>200</v>
      </c>
      <c r="P423">
        <v>162</v>
      </c>
    </row>
    <row r="424" spans="1:16" x14ac:dyDescent="0.2">
      <c r="A424" t="s">
        <v>2525</v>
      </c>
      <c r="B424" t="s">
        <v>6127</v>
      </c>
      <c r="C424" t="s">
        <v>2526</v>
      </c>
      <c r="D424" t="s">
        <v>2502</v>
      </c>
      <c r="E424" t="s">
        <v>228</v>
      </c>
      <c r="F424">
        <v>109.99</v>
      </c>
      <c r="G424" t="s">
        <v>8</v>
      </c>
      <c r="H424">
        <v>2.3662551440329214E-2</v>
      </c>
      <c r="J424">
        <v>0</v>
      </c>
      <c r="K424">
        <v>20</v>
      </c>
      <c r="L424">
        <v>61</v>
      </c>
      <c r="M424">
        <v>37.285714285714285</v>
      </c>
      <c r="N424">
        <v>2.3333333333333335</v>
      </c>
      <c r="O424">
        <v>220</v>
      </c>
      <c r="P424">
        <v>87</v>
      </c>
    </row>
    <row r="425" spans="1:16" x14ac:dyDescent="0.2">
      <c r="A425" t="s">
        <v>535</v>
      </c>
      <c r="B425" t="s">
        <v>4841</v>
      </c>
      <c r="C425" t="s">
        <v>536</v>
      </c>
      <c r="D425" t="s">
        <v>446</v>
      </c>
      <c r="E425" t="s">
        <v>228</v>
      </c>
      <c r="F425">
        <v>29.99</v>
      </c>
      <c r="G425" t="s">
        <v>8</v>
      </c>
      <c r="H425">
        <v>4.7619047619047616E-2</v>
      </c>
      <c r="J425">
        <v>0</v>
      </c>
      <c r="K425">
        <v>94</v>
      </c>
      <c r="L425">
        <v>326</v>
      </c>
      <c r="M425">
        <v>108.72</v>
      </c>
      <c r="N425">
        <v>4.166666666666667</v>
      </c>
      <c r="O425">
        <v>60</v>
      </c>
      <c r="P425">
        <v>453</v>
      </c>
    </row>
    <row r="426" spans="1:16" x14ac:dyDescent="0.2">
      <c r="A426" t="s">
        <v>273</v>
      </c>
      <c r="B426" t="s">
        <v>4303</v>
      </c>
      <c r="C426" t="s">
        <v>274</v>
      </c>
      <c r="D426" t="s">
        <v>223</v>
      </c>
      <c r="E426" t="s">
        <v>228</v>
      </c>
      <c r="F426">
        <v>59.99</v>
      </c>
      <c r="G426" t="s">
        <v>11</v>
      </c>
      <c r="H426">
        <v>0.16666666666666666</v>
      </c>
      <c r="M426">
        <v>6</v>
      </c>
      <c r="N426">
        <v>0.33333333333333331</v>
      </c>
      <c r="O426">
        <v>60</v>
      </c>
      <c r="P426">
        <v>2</v>
      </c>
    </row>
    <row r="427" spans="1:16" x14ac:dyDescent="0.2">
      <c r="A427" t="s">
        <v>275</v>
      </c>
      <c r="B427" t="s">
        <v>4310</v>
      </c>
      <c r="C427" t="s">
        <v>276</v>
      </c>
      <c r="D427" t="s">
        <v>223</v>
      </c>
      <c r="E427" t="s">
        <v>228</v>
      </c>
      <c r="F427">
        <v>59.99</v>
      </c>
      <c r="G427" t="s">
        <v>11</v>
      </c>
      <c r="H427">
        <v>0.20833333333333337</v>
      </c>
      <c r="M427">
        <v>4</v>
      </c>
      <c r="N427">
        <v>0.5</v>
      </c>
      <c r="O427">
        <v>60</v>
      </c>
      <c r="P427">
        <v>2</v>
      </c>
    </row>
    <row r="428" spans="1:16" x14ac:dyDescent="0.2">
      <c r="A428" t="s">
        <v>3329</v>
      </c>
      <c r="B428" t="s">
        <v>5240</v>
      </c>
      <c r="C428" t="s">
        <v>3328</v>
      </c>
      <c r="D428" t="s">
        <v>3268</v>
      </c>
      <c r="E428" t="s">
        <v>228</v>
      </c>
      <c r="F428">
        <v>599.99</v>
      </c>
      <c r="G428" t="s">
        <v>11</v>
      </c>
      <c r="H428">
        <v>0.27083333333333331</v>
      </c>
      <c r="M428">
        <v>2.6666666666666665</v>
      </c>
      <c r="N428">
        <v>1.5</v>
      </c>
      <c r="O428">
        <v>600</v>
      </c>
      <c r="P428">
        <v>4</v>
      </c>
    </row>
    <row r="429" spans="1:16" x14ac:dyDescent="0.2">
      <c r="A429" t="s">
        <v>3367</v>
      </c>
      <c r="B429" t="s">
        <v>5246</v>
      </c>
      <c r="C429" t="s">
        <v>3368</v>
      </c>
      <c r="D429" t="s">
        <v>3268</v>
      </c>
      <c r="E429" t="s">
        <v>228</v>
      </c>
      <c r="F429">
        <v>799.99</v>
      </c>
      <c r="G429" t="s">
        <v>11</v>
      </c>
      <c r="H429">
        <v>0.33333333333333331</v>
      </c>
      <c r="M429">
        <v>3.5999999999999996</v>
      </c>
      <c r="N429">
        <v>0.83333333333333337</v>
      </c>
      <c r="O429">
        <v>800</v>
      </c>
      <c r="P429">
        <v>3</v>
      </c>
    </row>
    <row r="430" spans="1:16" x14ac:dyDescent="0.2">
      <c r="A430" t="s">
        <v>3023</v>
      </c>
      <c r="B430" t="s">
        <v>6647</v>
      </c>
      <c r="C430" t="s">
        <v>3024</v>
      </c>
      <c r="D430" t="s">
        <v>2987</v>
      </c>
      <c r="E430" t="s">
        <v>228</v>
      </c>
      <c r="F430">
        <v>89.99</v>
      </c>
      <c r="G430" t="s">
        <v>11</v>
      </c>
      <c r="H430">
        <v>0.1212121212121212</v>
      </c>
      <c r="M430">
        <v>14.666666666666666</v>
      </c>
      <c r="N430">
        <v>1.5</v>
      </c>
      <c r="O430">
        <v>90</v>
      </c>
      <c r="P430">
        <v>22</v>
      </c>
    </row>
    <row r="431" spans="1:16" x14ac:dyDescent="0.2">
      <c r="A431" t="s">
        <v>3009</v>
      </c>
      <c r="B431" t="s">
        <v>6532</v>
      </c>
      <c r="C431" t="s">
        <v>3010</v>
      </c>
      <c r="D431" t="s">
        <v>2987</v>
      </c>
      <c r="E431" t="s">
        <v>228</v>
      </c>
      <c r="F431">
        <v>99.99</v>
      </c>
      <c r="G431" t="s">
        <v>11</v>
      </c>
      <c r="H431">
        <v>0</v>
      </c>
      <c r="M431">
        <v>0</v>
      </c>
      <c r="N431">
        <v>0.33333333333333337</v>
      </c>
      <c r="O431">
        <v>100</v>
      </c>
      <c r="P431">
        <v>0</v>
      </c>
    </row>
    <row r="432" spans="1:16" x14ac:dyDescent="0.2">
      <c r="A432" t="s">
        <v>3332</v>
      </c>
      <c r="B432" t="s">
        <v>5238</v>
      </c>
      <c r="C432" t="s">
        <v>3333</v>
      </c>
      <c r="D432" t="s">
        <v>3268</v>
      </c>
      <c r="E432" t="s">
        <v>228</v>
      </c>
      <c r="F432">
        <v>599.99</v>
      </c>
      <c r="G432" t="s">
        <v>11</v>
      </c>
      <c r="H432">
        <v>0.30555555555555552</v>
      </c>
      <c r="M432">
        <v>2.5714285714285712</v>
      </c>
      <c r="N432">
        <v>1.1666666666666667</v>
      </c>
      <c r="O432">
        <v>600</v>
      </c>
      <c r="P432">
        <v>3</v>
      </c>
    </row>
    <row r="433" spans="1:16" x14ac:dyDescent="0.2">
      <c r="A433" t="s">
        <v>3321</v>
      </c>
      <c r="B433" t="s">
        <v>5230</v>
      </c>
      <c r="C433" t="s">
        <v>3322</v>
      </c>
      <c r="D433" t="s">
        <v>3268</v>
      </c>
      <c r="E433" t="s">
        <v>228</v>
      </c>
      <c r="F433">
        <v>599.99</v>
      </c>
      <c r="G433" t="s">
        <v>11</v>
      </c>
      <c r="H433">
        <v>0.16666666666666669</v>
      </c>
      <c r="M433">
        <v>4.2857142857142856</v>
      </c>
      <c r="N433">
        <v>1.1666666666666667</v>
      </c>
      <c r="O433">
        <v>600</v>
      </c>
      <c r="P433">
        <v>5</v>
      </c>
    </row>
    <row r="434" spans="1:16" x14ac:dyDescent="0.2">
      <c r="A434" t="s">
        <v>3372</v>
      </c>
      <c r="B434" t="s">
        <v>5242</v>
      </c>
      <c r="C434" t="s">
        <v>3371</v>
      </c>
      <c r="D434" t="s">
        <v>3268</v>
      </c>
      <c r="E434" t="s">
        <v>228</v>
      </c>
      <c r="F434">
        <v>799.99</v>
      </c>
      <c r="G434" t="s">
        <v>11</v>
      </c>
      <c r="H434">
        <v>0.83333333333333348</v>
      </c>
      <c r="M434">
        <v>1.5</v>
      </c>
      <c r="N434">
        <v>0.66666666666666663</v>
      </c>
      <c r="O434">
        <v>800</v>
      </c>
      <c r="P434">
        <v>1</v>
      </c>
    </row>
    <row r="435" spans="1:16" x14ac:dyDescent="0.2">
      <c r="A435" t="s">
        <v>3382</v>
      </c>
      <c r="B435" t="s">
        <v>7000</v>
      </c>
      <c r="C435" t="s">
        <v>3383</v>
      </c>
      <c r="D435" t="s">
        <v>3268</v>
      </c>
      <c r="E435" t="s">
        <v>228</v>
      </c>
      <c r="F435">
        <v>199.99</v>
      </c>
      <c r="G435" t="s">
        <v>11</v>
      </c>
      <c r="H435">
        <v>0</v>
      </c>
      <c r="M435">
        <v>0</v>
      </c>
      <c r="N435">
        <v>0.16666666666666666</v>
      </c>
      <c r="O435">
        <v>200</v>
      </c>
      <c r="P435">
        <v>0</v>
      </c>
    </row>
    <row r="436" spans="1:16" x14ac:dyDescent="0.2">
      <c r="A436" t="s">
        <v>243</v>
      </c>
      <c r="B436" t="s">
        <v>4253</v>
      </c>
      <c r="C436" t="s">
        <v>244</v>
      </c>
      <c r="D436" t="s">
        <v>223</v>
      </c>
      <c r="E436" t="s">
        <v>228</v>
      </c>
      <c r="F436">
        <v>29.99</v>
      </c>
      <c r="G436" t="s">
        <v>11</v>
      </c>
      <c r="H436">
        <v>5.128205128205128E-2</v>
      </c>
      <c r="M436">
        <v>26</v>
      </c>
      <c r="N436">
        <v>0.5</v>
      </c>
      <c r="O436">
        <v>30</v>
      </c>
      <c r="P436">
        <v>13</v>
      </c>
    </row>
    <row r="437" spans="1:16" x14ac:dyDescent="0.2">
      <c r="A437" t="s">
        <v>245</v>
      </c>
      <c r="B437" t="s">
        <v>4261</v>
      </c>
      <c r="C437" t="s">
        <v>246</v>
      </c>
      <c r="D437" t="s">
        <v>223</v>
      </c>
      <c r="E437" t="s">
        <v>228</v>
      </c>
      <c r="F437">
        <v>29.99</v>
      </c>
      <c r="G437" t="s">
        <v>11</v>
      </c>
      <c r="H437">
        <v>5.5555555555555552E-2</v>
      </c>
      <c r="M437">
        <v>36</v>
      </c>
      <c r="N437">
        <v>0.16666666666666666</v>
      </c>
      <c r="O437">
        <v>30</v>
      </c>
      <c r="P437">
        <v>6</v>
      </c>
    </row>
    <row r="438" spans="1:16" x14ac:dyDescent="0.2">
      <c r="A438" t="s">
        <v>247</v>
      </c>
      <c r="B438" t="s">
        <v>4249</v>
      </c>
      <c r="C438" t="s">
        <v>248</v>
      </c>
      <c r="D438" t="s">
        <v>223</v>
      </c>
      <c r="E438" t="s">
        <v>228</v>
      </c>
      <c r="F438">
        <v>39.99</v>
      </c>
      <c r="G438" t="s">
        <v>11</v>
      </c>
      <c r="H438">
        <v>8.3333333333333329E-2</v>
      </c>
      <c r="M438">
        <v>9</v>
      </c>
      <c r="N438">
        <v>0.33333333333333331</v>
      </c>
      <c r="O438">
        <v>40</v>
      </c>
      <c r="P438">
        <v>3</v>
      </c>
    </row>
    <row r="439" spans="1:16" x14ac:dyDescent="0.2">
      <c r="A439" t="s">
        <v>2338</v>
      </c>
      <c r="B439" t="s">
        <v>5563</v>
      </c>
      <c r="C439" t="s">
        <v>2339</v>
      </c>
      <c r="D439" t="s">
        <v>2146</v>
      </c>
      <c r="E439" t="s">
        <v>228</v>
      </c>
      <c r="F439">
        <v>349.99</v>
      </c>
      <c r="G439" t="s">
        <v>11</v>
      </c>
      <c r="H439">
        <v>0.16666666666666666</v>
      </c>
      <c r="M439">
        <v>4.8</v>
      </c>
      <c r="N439">
        <v>0.83333333333333337</v>
      </c>
      <c r="O439">
        <v>350</v>
      </c>
      <c r="P439">
        <v>4</v>
      </c>
    </row>
    <row r="440" spans="1:16" x14ac:dyDescent="0.2">
      <c r="A440" t="s">
        <v>3007</v>
      </c>
      <c r="B440" t="s">
        <v>6528</v>
      </c>
      <c r="C440" t="s">
        <v>3008</v>
      </c>
      <c r="D440" t="s">
        <v>2987</v>
      </c>
      <c r="E440" t="s">
        <v>228</v>
      </c>
      <c r="F440">
        <v>79.989999999999995</v>
      </c>
      <c r="G440" t="s">
        <v>11</v>
      </c>
      <c r="H440">
        <v>0.14285714285714285</v>
      </c>
      <c r="M440">
        <v>8.4</v>
      </c>
      <c r="N440">
        <v>0.83333333333333337</v>
      </c>
      <c r="O440">
        <v>80</v>
      </c>
      <c r="P440">
        <v>7</v>
      </c>
    </row>
    <row r="441" spans="1:16" x14ac:dyDescent="0.2">
      <c r="A441" t="s">
        <v>3055</v>
      </c>
      <c r="B441" t="s">
        <v>6932</v>
      </c>
      <c r="C441" t="s">
        <v>3056</v>
      </c>
      <c r="D441" t="s">
        <v>2987</v>
      </c>
      <c r="E441" t="s">
        <v>228</v>
      </c>
      <c r="F441">
        <v>139.99</v>
      </c>
      <c r="G441" t="s">
        <v>11</v>
      </c>
      <c r="H441">
        <v>9.7222222222222224E-2</v>
      </c>
      <c r="M441">
        <v>9</v>
      </c>
      <c r="N441">
        <v>0.66666666666666663</v>
      </c>
      <c r="O441">
        <v>140</v>
      </c>
      <c r="P441">
        <v>6</v>
      </c>
    </row>
    <row r="442" spans="1:16" x14ac:dyDescent="0.2">
      <c r="A442" t="s">
        <v>3021</v>
      </c>
      <c r="B442" t="s">
        <v>6486</v>
      </c>
      <c r="C442" t="s">
        <v>3022</v>
      </c>
      <c r="D442" t="s">
        <v>2987</v>
      </c>
      <c r="E442" t="s">
        <v>228</v>
      </c>
      <c r="F442">
        <v>139.99</v>
      </c>
      <c r="G442" t="s">
        <v>11</v>
      </c>
      <c r="H442">
        <v>0.11666666666666668</v>
      </c>
      <c r="M442">
        <v>29.999999999999996</v>
      </c>
      <c r="N442">
        <v>0.33333333333333337</v>
      </c>
      <c r="O442">
        <v>140</v>
      </c>
      <c r="P442">
        <v>10</v>
      </c>
    </row>
    <row r="443" spans="1:16" x14ac:dyDescent="0.2">
      <c r="A443" t="s">
        <v>3049</v>
      </c>
      <c r="B443" t="s">
        <v>6536</v>
      </c>
      <c r="C443" t="s">
        <v>3050</v>
      </c>
      <c r="D443" t="s">
        <v>2987</v>
      </c>
      <c r="E443" t="s">
        <v>228</v>
      </c>
      <c r="F443">
        <v>249.99</v>
      </c>
      <c r="G443" t="s">
        <v>11</v>
      </c>
      <c r="H443">
        <v>0.3611111111111111</v>
      </c>
      <c r="M443">
        <v>2.25</v>
      </c>
      <c r="N443">
        <v>1.3333333333333333</v>
      </c>
      <c r="O443">
        <v>250</v>
      </c>
      <c r="P443">
        <v>3</v>
      </c>
    </row>
    <row r="444" spans="1:16" x14ac:dyDescent="0.2">
      <c r="A444" t="s">
        <v>3037</v>
      </c>
      <c r="B444" t="s">
        <v>6512</v>
      </c>
      <c r="C444" t="s">
        <v>3038</v>
      </c>
      <c r="D444" t="s">
        <v>2987</v>
      </c>
      <c r="E444" t="s">
        <v>228</v>
      </c>
      <c r="F444">
        <v>79.989999999999995</v>
      </c>
      <c r="G444" t="s">
        <v>11</v>
      </c>
      <c r="H444">
        <v>0.1</v>
      </c>
      <c r="M444">
        <v>30</v>
      </c>
      <c r="N444">
        <v>0.16666666666666666</v>
      </c>
      <c r="O444">
        <v>80</v>
      </c>
      <c r="P444">
        <v>5</v>
      </c>
    </row>
    <row r="445" spans="1:16" x14ac:dyDescent="0.2">
      <c r="A445" t="s">
        <v>3025</v>
      </c>
      <c r="B445" t="s">
        <v>6789</v>
      </c>
      <c r="C445" t="s">
        <v>3026</v>
      </c>
      <c r="D445" t="s">
        <v>2987</v>
      </c>
      <c r="E445" t="s">
        <v>228</v>
      </c>
      <c r="F445">
        <v>89.99</v>
      </c>
      <c r="G445" t="s">
        <v>11</v>
      </c>
      <c r="H445">
        <v>0.21212121212121213</v>
      </c>
      <c r="M445">
        <v>7.333333333333333</v>
      </c>
      <c r="N445">
        <v>1.5</v>
      </c>
      <c r="O445">
        <v>90</v>
      </c>
      <c r="P445">
        <v>11</v>
      </c>
    </row>
    <row r="446" spans="1:16" x14ac:dyDescent="0.2">
      <c r="A446" t="s">
        <v>3019</v>
      </c>
      <c r="B446" t="s">
        <v>6482</v>
      </c>
      <c r="C446" t="s">
        <v>3020</v>
      </c>
      <c r="D446" t="s">
        <v>2987</v>
      </c>
      <c r="E446" t="s">
        <v>228</v>
      </c>
      <c r="F446">
        <v>139.99</v>
      </c>
      <c r="G446" t="s">
        <v>11</v>
      </c>
      <c r="H446">
        <v>0.20833333333333337</v>
      </c>
      <c r="M446">
        <v>5.1428571428571423</v>
      </c>
      <c r="N446">
        <v>1.1666666666666667</v>
      </c>
      <c r="O446">
        <v>140</v>
      </c>
      <c r="P446">
        <v>6</v>
      </c>
    </row>
    <row r="447" spans="1:16" x14ac:dyDescent="0.2">
      <c r="A447" t="s">
        <v>803</v>
      </c>
      <c r="C447" t="s">
        <v>804</v>
      </c>
      <c r="D447" t="s">
        <v>446</v>
      </c>
      <c r="E447" t="s">
        <v>228</v>
      </c>
      <c r="F447">
        <v>49.99</v>
      </c>
      <c r="G447" t="s">
        <v>13</v>
      </c>
      <c r="M447">
        <v>0</v>
      </c>
      <c r="N447">
        <v>0</v>
      </c>
      <c r="O447">
        <v>0</v>
      </c>
      <c r="P447">
        <v>86</v>
      </c>
    </row>
    <row r="448" spans="1:16" x14ac:dyDescent="0.2">
      <c r="A448" t="s">
        <v>737</v>
      </c>
      <c r="C448" t="s">
        <v>738</v>
      </c>
      <c r="D448" t="s">
        <v>446</v>
      </c>
      <c r="E448" t="s">
        <v>228</v>
      </c>
      <c r="F448">
        <v>19.989999999999998</v>
      </c>
      <c r="G448" t="s">
        <v>13</v>
      </c>
      <c r="M448">
        <v>0</v>
      </c>
      <c r="N448">
        <v>0</v>
      </c>
      <c r="O448">
        <v>0</v>
      </c>
      <c r="P448">
        <v>62</v>
      </c>
    </row>
    <row r="449" spans="1:16" x14ac:dyDescent="0.2">
      <c r="A449" t="s">
        <v>743</v>
      </c>
      <c r="C449" t="s">
        <v>744</v>
      </c>
      <c r="D449" t="s">
        <v>446</v>
      </c>
      <c r="E449" t="s">
        <v>228</v>
      </c>
      <c r="F449">
        <v>59.99</v>
      </c>
      <c r="G449" t="s">
        <v>13</v>
      </c>
      <c r="M449">
        <v>0</v>
      </c>
      <c r="N449">
        <v>0</v>
      </c>
      <c r="O449">
        <v>0</v>
      </c>
      <c r="P449">
        <v>17</v>
      </c>
    </row>
    <row r="450" spans="1:16" x14ac:dyDescent="0.2">
      <c r="A450" t="s">
        <v>932</v>
      </c>
      <c r="C450" t="s">
        <v>933</v>
      </c>
      <c r="D450" t="s">
        <v>446</v>
      </c>
      <c r="E450" t="s">
        <v>228</v>
      </c>
      <c r="F450">
        <v>49.99</v>
      </c>
      <c r="G450" t="s">
        <v>13</v>
      </c>
      <c r="M450">
        <v>0</v>
      </c>
      <c r="N450">
        <v>0</v>
      </c>
      <c r="O450">
        <v>0</v>
      </c>
      <c r="P450">
        <v>0</v>
      </c>
    </row>
    <row r="451" spans="1:16" x14ac:dyDescent="0.2">
      <c r="A451" t="s">
        <v>928</v>
      </c>
      <c r="C451" t="s">
        <v>929</v>
      </c>
      <c r="D451" t="s">
        <v>446</v>
      </c>
      <c r="E451" t="s">
        <v>228</v>
      </c>
      <c r="F451">
        <v>79.989999999999995</v>
      </c>
      <c r="G451" t="s">
        <v>13</v>
      </c>
      <c r="M451">
        <v>0</v>
      </c>
      <c r="N451">
        <v>0</v>
      </c>
      <c r="O451">
        <v>0</v>
      </c>
      <c r="P451">
        <v>6</v>
      </c>
    </row>
    <row r="452" spans="1:16" x14ac:dyDescent="0.2">
      <c r="A452" t="s">
        <v>551</v>
      </c>
      <c r="C452" t="s">
        <v>552</v>
      </c>
      <c r="D452" t="s">
        <v>446</v>
      </c>
      <c r="E452" t="s">
        <v>228</v>
      </c>
      <c r="F452">
        <v>169.99</v>
      </c>
      <c r="G452" t="s">
        <v>13</v>
      </c>
      <c r="M452">
        <v>0</v>
      </c>
      <c r="N452">
        <v>0</v>
      </c>
      <c r="O452">
        <v>0</v>
      </c>
      <c r="P452">
        <v>39</v>
      </c>
    </row>
    <row r="453" spans="1:16" x14ac:dyDescent="0.2">
      <c r="A453" t="s">
        <v>948</v>
      </c>
      <c r="C453" t="s">
        <v>949</v>
      </c>
      <c r="D453" t="s">
        <v>446</v>
      </c>
      <c r="E453" t="s">
        <v>228</v>
      </c>
      <c r="F453">
        <v>34.99</v>
      </c>
      <c r="G453" t="s">
        <v>13</v>
      </c>
      <c r="M453">
        <v>0</v>
      </c>
      <c r="N453">
        <v>0</v>
      </c>
      <c r="O453">
        <v>0</v>
      </c>
      <c r="P453">
        <v>31</v>
      </c>
    </row>
    <row r="454" spans="1:16" x14ac:dyDescent="0.2">
      <c r="A454" t="s">
        <v>2264</v>
      </c>
      <c r="B454" t="s">
        <v>7036</v>
      </c>
      <c r="C454" t="s">
        <v>2265</v>
      </c>
      <c r="D454" t="s">
        <v>2146</v>
      </c>
      <c r="E454" t="s">
        <v>290</v>
      </c>
      <c r="F454">
        <v>99.99</v>
      </c>
      <c r="G454" t="s">
        <v>74</v>
      </c>
      <c r="H454">
        <v>2.0833333333333332E-2</v>
      </c>
      <c r="I454" t="s">
        <v>290</v>
      </c>
      <c r="M454">
        <v>38.4</v>
      </c>
      <c r="N454">
        <v>0.83333333333333337</v>
      </c>
      <c r="O454">
        <v>100</v>
      </c>
      <c r="P454">
        <v>32</v>
      </c>
    </row>
    <row r="455" spans="1:16" x14ac:dyDescent="0.2">
      <c r="A455" t="s">
        <v>2252</v>
      </c>
      <c r="B455" t="s">
        <v>7037</v>
      </c>
      <c r="C455" t="s">
        <v>2253</v>
      </c>
      <c r="D455" t="s">
        <v>2146</v>
      </c>
      <c r="E455" t="s">
        <v>290</v>
      </c>
      <c r="F455">
        <v>99.99</v>
      </c>
      <c r="G455" t="s">
        <v>74</v>
      </c>
      <c r="H455">
        <v>4.464285714285714E-3</v>
      </c>
      <c r="I455" t="s">
        <v>290</v>
      </c>
      <c r="M455">
        <v>168</v>
      </c>
      <c r="N455">
        <v>0.33333333333333331</v>
      </c>
      <c r="O455">
        <v>100</v>
      </c>
      <c r="P455">
        <v>56</v>
      </c>
    </row>
    <row r="456" spans="1:16" x14ac:dyDescent="0.2">
      <c r="A456" t="s">
        <v>6348</v>
      </c>
      <c r="B456" t="s">
        <v>97</v>
      </c>
      <c r="C456" t="s">
        <v>6349</v>
      </c>
      <c r="D456" t="s">
        <v>2502</v>
      </c>
      <c r="E456" t="s">
        <v>290</v>
      </c>
      <c r="F456">
        <v>129.99</v>
      </c>
      <c r="G456" t="s">
        <v>14</v>
      </c>
      <c r="H456">
        <v>8.3333333333333329E-2</v>
      </c>
      <c r="M456">
        <v>7.5789473684210531</v>
      </c>
      <c r="N456">
        <v>3.1666666666666665</v>
      </c>
      <c r="O456">
        <v>130</v>
      </c>
      <c r="P456">
        <v>24</v>
      </c>
    </row>
    <row r="457" spans="1:16" x14ac:dyDescent="0.2">
      <c r="A457" t="s">
        <v>3282</v>
      </c>
      <c r="B457" t="s">
        <v>97</v>
      </c>
      <c r="C457" t="s">
        <v>3281</v>
      </c>
      <c r="D457" t="s">
        <v>3268</v>
      </c>
      <c r="E457" t="s">
        <v>228</v>
      </c>
      <c r="F457">
        <v>99.99</v>
      </c>
      <c r="G457" t="s">
        <v>14</v>
      </c>
      <c r="H457">
        <v>4.4871794871794872E-2</v>
      </c>
      <c r="M457">
        <v>39</v>
      </c>
      <c r="N457">
        <v>0.33333333333333331</v>
      </c>
      <c r="O457">
        <v>100</v>
      </c>
      <c r="P457">
        <v>13</v>
      </c>
    </row>
    <row r="458" spans="1:16" x14ac:dyDescent="0.2">
      <c r="A458" t="s">
        <v>3292</v>
      </c>
      <c r="B458" t="s">
        <v>97</v>
      </c>
      <c r="C458" t="s">
        <v>3293</v>
      </c>
      <c r="D458" t="s">
        <v>3268</v>
      </c>
      <c r="E458" t="s">
        <v>228</v>
      </c>
      <c r="F458">
        <v>799.99</v>
      </c>
      <c r="G458" t="s">
        <v>14</v>
      </c>
      <c r="H458">
        <v>0.21153846153846151</v>
      </c>
      <c r="M458">
        <v>4.875</v>
      </c>
      <c r="N458">
        <v>2.6666666666666665</v>
      </c>
      <c r="O458">
        <v>800</v>
      </c>
      <c r="P458">
        <v>13</v>
      </c>
    </row>
    <row r="459" spans="1:16" x14ac:dyDescent="0.2">
      <c r="A459" t="s">
        <v>1010</v>
      </c>
      <c r="B459" t="s">
        <v>97</v>
      </c>
      <c r="C459" t="s">
        <v>1011</v>
      </c>
      <c r="D459" t="s">
        <v>446</v>
      </c>
      <c r="E459" t="s">
        <v>290</v>
      </c>
      <c r="F459">
        <v>69.989999999999995</v>
      </c>
      <c r="G459" t="s">
        <v>14</v>
      </c>
      <c r="H459">
        <v>1.1574074074074075E-2</v>
      </c>
      <c r="M459">
        <v>53.999999999999993</v>
      </c>
      <c r="N459">
        <v>0.66666666666666674</v>
      </c>
      <c r="O459">
        <v>70</v>
      </c>
      <c r="P459">
        <v>36</v>
      </c>
    </row>
    <row r="460" spans="1:16" x14ac:dyDescent="0.2">
      <c r="A460" t="s">
        <v>2687</v>
      </c>
      <c r="B460" t="s">
        <v>97</v>
      </c>
      <c r="C460" t="s">
        <v>2688</v>
      </c>
      <c r="D460" t="s">
        <v>2502</v>
      </c>
      <c r="E460" t="s">
        <v>228</v>
      </c>
      <c r="F460">
        <v>159.99</v>
      </c>
      <c r="G460" t="s">
        <v>14</v>
      </c>
      <c r="H460">
        <v>1.3492063492063493E-2</v>
      </c>
      <c r="M460">
        <v>84</v>
      </c>
      <c r="N460">
        <v>2.5</v>
      </c>
      <c r="O460">
        <v>160</v>
      </c>
      <c r="P460">
        <v>210</v>
      </c>
    </row>
    <row r="461" spans="1:16" x14ac:dyDescent="0.2">
      <c r="A461" t="s">
        <v>2701</v>
      </c>
      <c r="B461" t="s">
        <v>97</v>
      </c>
      <c r="C461" t="s">
        <v>2702</v>
      </c>
      <c r="D461" t="s">
        <v>2502</v>
      </c>
      <c r="E461" t="s">
        <v>290</v>
      </c>
      <c r="F461">
        <v>99.99</v>
      </c>
      <c r="G461" t="s">
        <v>14</v>
      </c>
      <c r="H461">
        <v>1.8199233716475093E-2</v>
      </c>
      <c r="M461">
        <v>40.153846153846146</v>
      </c>
      <c r="N461">
        <v>2.166666666666667</v>
      </c>
      <c r="O461">
        <v>100</v>
      </c>
      <c r="P461">
        <v>87</v>
      </c>
    </row>
    <row r="462" spans="1:16" x14ac:dyDescent="0.2">
      <c r="A462" t="s">
        <v>273</v>
      </c>
      <c r="B462" t="s">
        <v>97</v>
      </c>
      <c r="C462" t="s">
        <v>274</v>
      </c>
      <c r="D462" t="s">
        <v>223</v>
      </c>
      <c r="E462" t="s">
        <v>228</v>
      </c>
      <c r="F462">
        <v>59.99</v>
      </c>
      <c r="G462" t="s">
        <v>14</v>
      </c>
      <c r="H462">
        <v>1.1811023622047244E-2</v>
      </c>
      <c r="M462">
        <v>95.25</v>
      </c>
      <c r="N462">
        <v>1.3333333333333333</v>
      </c>
      <c r="O462">
        <v>60</v>
      </c>
      <c r="P462">
        <v>127</v>
      </c>
    </row>
    <row r="463" spans="1:16" x14ac:dyDescent="0.2">
      <c r="A463" t="s">
        <v>275</v>
      </c>
      <c r="B463" t="s">
        <v>97</v>
      </c>
      <c r="C463" t="s">
        <v>276</v>
      </c>
      <c r="D463" t="s">
        <v>223</v>
      </c>
      <c r="E463" t="s">
        <v>228</v>
      </c>
      <c r="F463">
        <v>59.99</v>
      </c>
      <c r="G463" t="s">
        <v>14</v>
      </c>
      <c r="H463">
        <v>9.8039215686274508E-3</v>
      </c>
      <c r="M463">
        <v>136</v>
      </c>
      <c r="N463">
        <v>1</v>
      </c>
      <c r="O463">
        <v>60</v>
      </c>
      <c r="P463">
        <v>136</v>
      </c>
    </row>
    <row r="464" spans="1:16" x14ac:dyDescent="0.2">
      <c r="A464" t="s">
        <v>2535</v>
      </c>
      <c r="B464" t="s">
        <v>97</v>
      </c>
      <c r="C464" t="s">
        <v>2536</v>
      </c>
      <c r="D464" t="s">
        <v>2502</v>
      </c>
      <c r="E464" t="s">
        <v>228</v>
      </c>
      <c r="F464">
        <v>139.99</v>
      </c>
      <c r="G464" t="s">
        <v>14</v>
      </c>
      <c r="H464">
        <v>2.3809523809523812E-2</v>
      </c>
      <c r="M464">
        <v>52.5</v>
      </c>
      <c r="N464">
        <v>0.66666666666666663</v>
      </c>
      <c r="O464">
        <v>140</v>
      </c>
      <c r="P464">
        <v>35</v>
      </c>
    </row>
    <row r="465" spans="1:16" x14ac:dyDescent="0.2">
      <c r="A465" t="s">
        <v>2543</v>
      </c>
      <c r="B465" t="s">
        <v>97</v>
      </c>
      <c r="C465" t="s">
        <v>2544</v>
      </c>
      <c r="D465" t="s">
        <v>2502</v>
      </c>
      <c r="E465" t="s">
        <v>228</v>
      </c>
      <c r="F465">
        <v>79.989999999999995</v>
      </c>
      <c r="G465" t="s">
        <v>14</v>
      </c>
      <c r="H465">
        <v>9.4850948509485108E-3</v>
      </c>
      <c r="M465">
        <v>123</v>
      </c>
      <c r="N465">
        <v>2</v>
      </c>
      <c r="O465">
        <v>80</v>
      </c>
      <c r="P465">
        <v>246</v>
      </c>
    </row>
    <row r="466" spans="1:16" x14ac:dyDescent="0.2">
      <c r="A466" t="s">
        <v>2751</v>
      </c>
      <c r="C466" t="s">
        <v>2752</v>
      </c>
      <c r="D466" t="s">
        <v>2502</v>
      </c>
      <c r="E466" t="s">
        <v>228</v>
      </c>
      <c r="F466">
        <v>79.989999999999995</v>
      </c>
      <c r="G466" t="s">
        <v>3494</v>
      </c>
      <c r="N466">
        <v>1</v>
      </c>
      <c r="O466">
        <v>80</v>
      </c>
    </row>
    <row r="467" spans="1:16" x14ac:dyDescent="0.2">
      <c r="A467" t="s">
        <v>2539</v>
      </c>
      <c r="C467" t="s">
        <v>2540</v>
      </c>
      <c r="D467" t="s">
        <v>2502</v>
      </c>
      <c r="E467" t="s">
        <v>228</v>
      </c>
      <c r="F467">
        <v>54.99</v>
      </c>
      <c r="G467" t="s">
        <v>3494</v>
      </c>
      <c r="N467">
        <v>1</v>
      </c>
      <c r="O467">
        <v>55</v>
      </c>
    </row>
    <row r="468" spans="1:16" x14ac:dyDescent="0.2">
      <c r="A468" t="s">
        <v>6024</v>
      </c>
      <c r="B468" t="s">
        <v>6026</v>
      </c>
      <c r="C468" t="s">
        <v>6025</v>
      </c>
      <c r="D468" t="s">
        <v>2502</v>
      </c>
      <c r="E468" t="s">
        <v>228</v>
      </c>
      <c r="F468">
        <v>29.99</v>
      </c>
      <c r="G468" t="s">
        <v>7014</v>
      </c>
      <c r="H468">
        <v>5.7539682539682536E-2</v>
      </c>
      <c r="I468" t="s">
        <v>7015</v>
      </c>
      <c r="M468">
        <v>28</v>
      </c>
      <c r="N468">
        <v>1.5</v>
      </c>
      <c r="O468">
        <v>30</v>
      </c>
      <c r="P468">
        <v>42</v>
      </c>
    </row>
    <row r="469" spans="1:16" x14ac:dyDescent="0.2">
      <c r="A469" t="s">
        <v>2719</v>
      </c>
      <c r="B469" t="s">
        <v>6270</v>
      </c>
      <c r="C469" t="s">
        <v>2720</v>
      </c>
      <c r="D469" t="s">
        <v>2502</v>
      </c>
      <c r="E469" t="s">
        <v>228</v>
      </c>
      <c r="F469">
        <v>69.989999999999995</v>
      </c>
      <c r="G469" t="s">
        <v>7014</v>
      </c>
      <c r="H469">
        <v>0.125</v>
      </c>
      <c r="I469" t="s">
        <v>7015</v>
      </c>
      <c r="M469">
        <v>6</v>
      </c>
      <c r="N469">
        <v>0.66666666666666663</v>
      </c>
      <c r="O469">
        <v>70</v>
      </c>
      <c r="P469">
        <v>4</v>
      </c>
    </row>
    <row r="470" spans="1:16" x14ac:dyDescent="0.2">
      <c r="A470" t="s">
        <v>6153</v>
      </c>
      <c r="B470" t="s">
        <v>6155</v>
      </c>
      <c r="C470" t="s">
        <v>6154</v>
      </c>
      <c r="D470" t="s">
        <v>2502</v>
      </c>
      <c r="E470" t="s">
        <v>290</v>
      </c>
      <c r="F470">
        <v>109.99</v>
      </c>
      <c r="G470" t="s">
        <v>7014</v>
      </c>
      <c r="H470">
        <v>6.3492063492063489E-2</v>
      </c>
      <c r="I470" t="s">
        <v>7015</v>
      </c>
      <c r="M470">
        <v>31.499999999999996</v>
      </c>
      <c r="N470">
        <v>0.66666666666666674</v>
      </c>
      <c r="O470">
        <v>110</v>
      </c>
      <c r="P470">
        <v>21</v>
      </c>
    </row>
    <row r="471" spans="1:16" x14ac:dyDescent="0.2">
      <c r="A471" t="s">
        <v>5997</v>
      </c>
      <c r="B471" t="s">
        <v>5999</v>
      </c>
      <c r="C471" t="s">
        <v>5998</v>
      </c>
      <c r="D471" t="s">
        <v>2502</v>
      </c>
      <c r="E471" t="s">
        <v>290</v>
      </c>
      <c r="F471">
        <v>99.99</v>
      </c>
      <c r="G471" t="s">
        <v>7014</v>
      </c>
      <c r="H471">
        <v>2.4390243902439025E-2</v>
      </c>
      <c r="I471" t="s">
        <v>7015</v>
      </c>
      <c r="M471">
        <v>82</v>
      </c>
      <c r="N471">
        <v>0.5</v>
      </c>
      <c r="O471">
        <v>100</v>
      </c>
      <c r="P471">
        <v>41</v>
      </c>
    </row>
    <row r="472" spans="1:16" x14ac:dyDescent="0.2">
      <c r="A472" t="s">
        <v>2699</v>
      </c>
      <c r="B472" t="s">
        <v>6333</v>
      </c>
      <c r="C472" t="s">
        <v>2700</v>
      </c>
      <c r="D472" t="s">
        <v>2502</v>
      </c>
      <c r="E472" t="s">
        <v>290</v>
      </c>
      <c r="F472">
        <v>119.99</v>
      </c>
      <c r="G472" t="s">
        <v>7014</v>
      </c>
      <c r="H472">
        <v>1.4285714285714284E-2</v>
      </c>
      <c r="I472" t="s">
        <v>7015</v>
      </c>
      <c r="M472">
        <v>105</v>
      </c>
      <c r="N472">
        <v>0.33333333333333331</v>
      </c>
      <c r="O472">
        <v>120</v>
      </c>
      <c r="P472">
        <v>35</v>
      </c>
    </row>
    <row r="473" spans="1:16" x14ac:dyDescent="0.2">
      <c r="A473" t="s">
        <v>2703</v>
      </c>
      <c r="B473" t="s">
        <v>6345</v>
      </c>
      <c r="C473" t="s">
        <v>2704</v>
      </c>
      <c r="D473" t="s">
        <v>2502</v>
      </c>
      <c r="E473" t="s">
        <v>290</v>
      </c>
      <c r="F473">
        <v>129.99</v>
      </c>
      <c r="G473" t="s">
        <v>7014</v>
      </c>
      <c r="H473">
        <v>1.5765765765765768E-2</v>
      </c>
      <c r="I473" t="s">
        <v>7015</v>
      </c>
      <c r="M473">
        <v>55.500000000000014</v>
      </c>
      <c r="N473">
        <v>0.66666666666666652</v>
      </c>
      <c r="O473">
        <v>130</v>
      </c>
      <c r="P473">
        <v>37</v>
      </c>
    </row>
    <row r="474" spans="1:16" x14ac:dyDescent="0.2">
      <c r="A474" t="s">
        <v>2641</v>
      </c>
      <c r="B474" t="s">
        <v>5982</v>
      </c>
      <c r="C474" t="s">
        <v>2642</v>
      </c>
      <c r="D474" t="s">
        <v>2502</v>
      </c>
      <c r="E474" t="s">
        <v>228</v>
      </c>
      <c r="F474">
        <v>109.99</v>
      </c>
      <c r="G474" t="s">
        <v>7014</v>
      </c>
      <c r="H474">
        <v>0</v>
      </c>
      <c r="I474" t="s">
        <v>7015</v>
      </c>
      <c r="M474">
        <v>0</v>
      </c>
      <c r="N474">
        <v>0.33333333333333337</v>
      </c>
      <c r="O474">
        <v>110</v>
      </c>
      <c r="P474">
        <v>0</v>
      </c>
    </row>
    <row r="475" spans="1:16" x14ac:dyDescent="0.2">
      <c r="A475" t="s">
        <v>2701</v>
      </c>
      <c r="B475" t="s">
        <v>6000</v>
      </c>
      <c r="C475" t="s">
        <v>2702</v>
      </c>
      <c r="D475" t="s">
        <v>2502</v>
      </c>
      <c r="E475" t="s">
        <v>290</v>
      </c>
      <c r="F475">
        <v>99.99</v>
      </c>
      <c r="G475" t="s">
        <v>7014</v>
      </c>
      <c r="H475">
        <v>3.273809523809524E-2</v>
      </c>
      <c r="I475" t="s">
        <v>7015</v>
      </c>
      <c r="M475">
        <v>41.999999999999993</v>
      </c>
      <c r="N475">
        <v>0.66666666666666674</v>
      </c>
      <c r="O475">
        <v>100</v>
      </c>
      <c r="P475">
        <v>28</v>
      </c>
    </row>
    <row r="476" spans="1:16" x14ac:dyDescent="0.2">
      <c r="A476" t="s">
        <v>2557</v>
      </c>
      <c r="B476" t="s">
        <v>6262</v>
      </c>
      <c r="C476" t="s">
        <v>2558</v>
      </c>
      <c r="D476" t="s">
        <v>2502</v>
      </c>
      <c r="E476" t="s">
        <v>228</v>
      </c>
      <c r="F476">
        <v>179.99</v>
      </c>
      <c r="G476" t="s">
        <v>7014</v>
      </c>
      <c r="H476">
        <v>1.6339869281045753E-2</v>
      </c>
      <c r="I476" t="s">
        <v>7015</v>
      </c>
      <c r="M476">
        <v>51</v>
      </c>
      <c r="N476">
        <v>1</v>
      </c>
      <c r="O476">
        <v>180</v>
      </c>
      <c r="P476">
        <v>51</v>
      </c>
    </row>
    <row r="477" spans="1:16" x14ac:dyDescent="0.2">
      <c r="A477" t="s">
        <v>2729</v>
      </c>
      <c r="B477" t="s">
        <v>6282</v>
      </c>
      <c r="C477" t="s">
        <v>2730</v>
      </c>
      <c r="D477" t="s">
        <v>2502</v>
      </c>
      <c r="E477" t="s">
        <v>290</v>
      </c>
      <c r="F477">
        <v>54.99</v>
      </c>
      <c r="G477" t="s">
        <v>7014</v>
      </c>
      <c r="H477">
        <v>3.7356321839080456E-2</v>
      </c>
      <c r="I477" t="s">
        <v>7015</v>
      </c>
      <c r="M477">
        <v>15.818181818181818</v>
      </c>
      <c r="N477">
        <v>1.8333333333333333</v>
      </c>
      <c r="O477">
        <v>55</v>
      </c>
      <c r="P477">
        <v>29</v>
      </c>
    </row>
    <row r="478" spans="1:16" x14ac:dyDescent="0.2">
      <c r="A478" t="s">
        <v>2286</v>
      </c>
      <c r="B478" t="s">
        <v>5645</v>
      </c>
      <c r="C478" t="s">
        <v>2287</v>
      </c>
      <c r="D478" t="s">
        <v>2146</v>
      </c>
      <c r="E478" t="s">
        <v>228</v>
      </c>
      <c r="F478">
        <v>99.99</v>
      </c>
      <c r="G478" t="s">
        <v>7014</v>
      </c>
      <c r="H478">
        <v>2.02020202020202E-2</v>
      </c>
      <c r="I478" t="s">
        <v>7015</v>
      </c>
      <c r="M478">
        <v>66</v>
      </c>
      <c r="N478">
        <v>0.5</v>
      </c>
      <c r="O478">
        <v>100</v>
      </c>
      <c r="P478">
        <v>33</v>
      </c>
    </row>
    <row r="479" spans="1:16" x14ac:dyDescent="0.2">
      <c r="A479" t="s">
        <v>2346</v>
      </c>
      <c r="B479" t="s">
        <v>5593</v>
      </c>
      <c r="C479" t="s">
        <v>2347</v>
      </c>
      <c r="D479" t="s">
        <v>2146</v>
      </c>
      <c r="E479" t="s">
        <v>228</v>
      </c>
      <c r="F479">
        <v>99.99</v>
      </c>
      <c r="G479" t="s">
        <v>7014</v>
      </c>
      <c r="H479">
        <v>0</v>
      </c>
      <c r="I479" t="s">
        <v>7015</v>
      </c>
      <c r="M479">
        <v>132</v>
      </c>
      <c r="N479">
        <v>0.16666666666666666</v>
      </c>
      <c r="O479">
        <v>100</v>
      </c>
      <c r="P479">
        <v>22</v>
      </c>
    </row>
    <row r="480" spans="1:16" x14ac:dyDescent="0.2">
      <c r="A480" t="s">
        <v>2310</v>
      </c>
      <c r="B480" t="s">
        <v>5440</v>
      </c>
      <c r="C480" t="s">
        <v>2311</v>
      </c>
      <c r="D480" t="s">
        <v>2146</v>
      </c>
      <c r="E480" t="s">
        <v>228</v>
      </c>
      <c r="F480">
        <v>329.99</v>
      </c>
      <c r="G480" t="s">
        <v>7014</v>
      </c>
      <c r="H480">
        <v>0.1111111111111111</v>
      </c>
      <c r="M480">
        <v>5.1428571428571432</v>
      </c>
      <c r="N480">
        <v>1.1666666666666665</v>
      </c>
      <c r="O480">
        <v>330</v>
      </c>
      <c r="P480">
        <v>6</v>
      </c>
    </row>
    <row r="481" spans="1:16" x14ac:dyDescent="0.2">
      <c r="A481" t="s">
        <v>2348</v>
      </c>
      <c r="B481" t="s">
        <v>5601</v>
      </c>
      <c r="C481" t="s">
        <v>2349</v>
      </c>
      <c r="D481" t="s">
        <v>2146</v>
      </c>
      <c r="E481" t="s">
        <v>228</v>
      </c>
      <c r="F481">
        <v>119.99</v>
      </c>
      <c r="G481" t="s">
        <v>7014</v>
      </c>
      <c r="H481">
        <v>0.375</v>
      </c>
      <c r="I481" t="s">
        <v>7015</v>
      </c>
      <c r="M481">
        <v>1.5000000000000004</v>
      </c>
      <c r="N481">
        <v>1.333333333333333</v>
      </c>
      <c r="O481">
        <v>120</v>
      </c>
      <c r="P481">
        <v>2</v>
      </c>
    </row>
    <row r="482" spans="1:16" x14ac:dyDescent="0.2">
      <c r="A482" t="s">
        <v>2238</v>
      </c>
      <c r="B482" t="s">
        <v>5426</v>
      </c>
      <c r="C482" t="s">
        <v>2239</v>
      </c>
      <c r="D482" t="s">
        <v>2146</v>
      </c>
      <c r="E482" t="s">
        <v>228</v>
      </c>
      <c r="F482">
        <v>129.99</v>
      </c>
      <c r="G482" t="s">
        <v>7014</v>
      </c>
      <c r="H482">
        <v>6.0734463276836161E-2</v>
      </c>
      <c r="I482" t="s">
        <v>7015</v>
      </c>
      <c r="M482">
        <v>35.4</v>
      </c>
      <c r="N482">
        <v>1.6666666666666667</v>
      </c>
      <c r="O482">
        <v>130</v>
      </c>
      <c r="P482">
        <v>59</v>
      </c>
    </row>
    <row r="483" spans="1:16" x14ac:dyDescent="0.2">
      <c r="A483" t="s">
        <v>2236</v>
      </c>
      <c r="B483" t="s">
        <v>5424</v>
      </c>
      <c r="C483" t="s">
        <v>2237</v>
      </c>
      <c r="D483" t="s">
        <v>2146</v>
      </c>
      <c r="E483" t="s">
        <v>290</v>
      </c>
      <c r="F483">
        <v>89.99</v>
      </c>
      <c r="G483" t="s">
        <v>7014</v>
      </c>
      <c r="H483">
        <v>8.3333333333333343E-2</v>
      </c>
      <c r="I483" t="s">
        <v>7015</v>
      </c>
      <c r="M483">
        <v>84</v>
      </c>
      <c r="N483">
        <v>0.16666666666666666</v>
      </c>
      <c r="O483">
        <v>90</v>
      </c>
      <c r="P483">
        <v>14</v>
      </c>
    </row>
    <row r="484" spans="1:16" x14ac:dyDescent="0.2">
      <c r="A484" t="s">
        <v>2232</v>
      </c>
      <c r="B484" t="s">
        <v>5634</v>
      </c>
      <c r="C484" t="s">
        <v>2233</v>
      </c>
      <c r="D484" t="s">
        <v>2146</v>
      </c>
      <c r="E484" t="s">
        <v>228</v>
      </c>
      <c r="F484">
        <v>39.99</v>
      </c>
      <c r="G484" t="s">
        <v>7014</v>
      </c>
      <c r="H484">
        <v>1.4492753623188406E-2</v>
      </c>
      <c r="I484" t="s">
        <v>7015</v>
      </c>
      <c r="M484">
        <v>69</v>
      </c>
      <c r="N484">
        <v>1</v>
      </c>
      <c r="O484">
        <v>40</v>
      </c>
      <c r="P484">
        <v>69</v>
      </c>
    </row>
    <row r="485" spans="1:16" x14ac:dyDescent="0.2">
      <c r="A485" t="s">
        <v>2170</v>
      </c>
      <c r="B485" t="s">
        <v>5371</v>
      </c>
      <c r="C485" t="s">
        <v>2171</v>
      </c>
      <c r="D485" t="s">
        <v>2146</v>
      </c>
      <c r="E485" t="s">
        <v>228</v>
      </c>
      <c r="F485">
        <v>349.99</v>
      </c>
      <c r="G485" t="s">
        <v>7014</v>
      </c>
      <c r="H485">
        <v>0.125</v>
      </c>
      <c r="M485">
        <v>12</v>
      </c>
      <c r="N485">
        <v>0.16666666666666666</v>
      </c>
      <c r="O485">
        <v>350</v>
      </c>
      <c r="P485">
        <v>2</v>
      </c>
    </row>
    <row r="486" spans="1:16" x14ac:dyDescent="0.2">
      <c r="A486" t="s">
        <v>2258</v>
      </c>
      <c r="B486" t="s">
        <v>5405</v>
      </c>
      <c r="C486" t="s">
        <v>2259</v>
      </c>
      <c r="D486" t="s">
        <v>2146</v>
      </c>
      <c r="E486" t="s">
        <v>228</v>
      </c>
      <c r="F486">
        <v>99.99</v>
      </c>
      <c r="G486" t="s">
        <v>7014</v>
      </c>
      <c r="H486">
        <v>0.16346153846153846</v>
      </c>
      <c r="I486" t="s">
        <v>7015</v>
      </c>
      <c r="M486">
        <v>7.8</v>
      </c>
      <c r="N486">
        <v>3.3333333333333335</v>
      </c>
      <c r="O486">
        <v>100</v>
      </c>
      <c r="P486">
        <v>26</v>
      </c>
    </row>
    <row r="487" spans="1:16" x14ac:dyDescent="0.2">
      <c r="A487" t="s">
        <v>2354</v>
      </c>
      <c r="B487" t="s">
        <v>5614</v>
      </c>
      <c r="C487" t="s">
        <v>2355</v>
      </c>
      <c r="D487" t="s">
        <v>2146</v>
      </c>
      <c r="E487" t="s">
        <v>228</v>
      </c>
      <c r="F487">
        <v>249.99</v>
      </c>
      <c r="G487" t="s">
        <v>7014</v>
      </c>
      <c r="H487">
        <v>2.2727272727272728E-2</v>
      </c>
      <c r="I487" t="s">
        <v>7015</v>
      </c>
      <c r="M487">
        <v>44</v>
      </c>
      <c r="N487">
        <v>0.5</v>
      </c>
      <c r="O487">
        <v>250</v>
      </c>
      <c r="P487">
        <v>22</v>
      </c>
    </row>
    <row r="488" spans="1:16" x14ac:dyDescent="0.2">
      <c r="A488" t="s">
        <v>1013</v>
      </c>
      <c r="B488" t="s">
        <v>4396</v>
      </c>
      <c r="C488" t="s">
        <v>1014</v>
      </c>
      <c r="D488" t="s">
        <v>1012</v>
      </c>
      <c r="E488" t="s">
        <v>290</v>
      </c>
      <c r="F488">
        <v>79.989999999999995</v>
      </c>
      <c r="G488" t="s">
        <v>7014</v>
      </c>
      <c r="H488">
        <v>1.515151515151515E-2</v>
      </c>
      <c r="I488" t="s">
        <v>7015</v>
      </c>
      <c r="M488">
        <v>0</v>
      </c>
      <c r="N488">
        <v>0</v>
      </c>
      <c r="O488">
        <v>80</v>
      </c>
      <c r="P488">
        <v>11</v>
      </c>
    </row>
    <row r="489" spans="1:16" x14ac:dyDescent="0.2">
      <c r="A489" t="s">
        <v>3385</v>
      </c>
      <c r="B489" t="s">
        <v>5903</v>
      </c>
      <c r="C489" t="s">
        <v>3386</v>
      </c>
      <c r="D489" t="s">
        <v>3268</v>
      </c>
      <c r="E489" t="s">
        <v>228</v>
      </c>
      <c r="F489">
        <v>179.99</v>
      </c>
      <c r="G489" t="s">
        <v>7014</v>
      </c>
      <c r="H489">
        <v>1.3975155279503106E-2</v>
      </c>
      <c r="I489" t="s">
        <v>7015</v>
      </c>
      <c r="M489">
        <v>74.307692307692307</v>
      </c>
      <c r="N489">
        <v>2.1666666666666665</v>
      </c>
      <c r="O489">
        <v>180</v>
      </c>
      <c r="P489">
        <v>161</v>
      </c>
    </row>
    <row r="490" spans="1:16" x14ac:dyDescent="0.2">
      <c r="A490" t="s">
        <v>2931</v>
      </c>
      <c r="B490" t="s">
        <v>6457</v>
      </c>
      <c r="C490" t="s">
        <v>2932</v>
      </c>
      <c r="D490" t="s">
        <v>2928</v>
      </c>
      <c r="E490" t="s">
        <v>96</v>
      </c>
      <c r="F490">
        <v>159.99</v>
      </c>
      <c r="G490" t="s">
        <v>7014</v>
      </c>
      <c r="H490">
        <v>0</v>
      </c>
      <c r="I490" t="s">
        <v>7015</v>
      </c>
      <c r="M490">
        <v>0</v>
      </c>
      <c r="N490">
        <v>0.16666666666666666</v>
      </c>
      <c r="O490">
        <v>160</v>
      </c>
      <c r="P490">
        <v>0</v>
      </c>
    </row>
    <row r="491" spans="1:16" x14ac:dyDescent="0.2">
      <c r="A491" t="s">
        <v>2747</v>
      </c>
      <c r="B491" t="s">
        <v>6095</v>
      </c>
      <c r="C491" t="s">
        <v>2748</v>
      </c>
      <c r="D491" t="s">
        <v>2502</v>
      </c>
      <c r="E491" t="s">
        <v>228</v>
      </c>
      <c r="F491">
        <v>79.989999999999995</v>
      </c>
      <c r="G491" t="s">
        <v>7014</v>
      </c>
      <c r="H491">
        <v>0</v>
      </c>
      <c r="M491">
        <v>0</v>
      </c>
      <c r="N491">
        <v>0.16666666666666666</v>
      </c>
      <c r="O491">
        <v>80</v>
      </c>
      <c r="P491">
        <v>0</v>
      </c>
    </row>
    <row r="492" spans="1:16" x14ac:dyDescent="0.2">
      <c r="A492" t="s">
        <v>3017</v>
      </c>
      <c r="B492" t="s">
        <v>6556</v>
      </c>
      <c r="C492" t="s">
        <v>3018</v>
      </c>
      <c r="D492" t="s">
        <v>2987</v>
      </c>
      <c r="E492" t="s">
        <v>228</v>
      </c>
      <c r="F492">
        <v>179.99</v>
      </c>
      <c r="G492" t="s">
        <v>7014</v>
      </c>
      <c r="H492">
        <v>4.1666666666666664E-2</v>
      </c>
      <c r="M492">
        <v>12</v>
      </c>
      <c r="N492">
        <v>0.16666666666666666</v>
      </c>
      <c r="O492">
        <v>180</v>
      </c>
      <c r="P492">
        <v>2</v>
      </c>
    </row>
    <row r="493" spans="1:16" x14ac:dyDescent="0.2">
      <c r="A493" t="s">
        <v>3025</v>
      </c>
      <c r="B493" t="s">
        <v>6790</v>
      </c>
      <c r="C493" t="s">
        <v>3026</v>
      </c>
      <c r="D493" t="s">
        <v>2987</v>
      </c>
      <c r="E493" t="s">
        <v>228</v>
      </c>
      <c r="F493">
        <v>89.99</v>
      </c>
      <c r="G493" t="s">
        <v>7014</v>
      </c>
      <c r="H493">
        <v>9.8039215686274508E-3</v>
      </c>
      <c r="I493" t="s">
        <v>7015</v>
      </c>
      <c r="M493">
        <v>51</v>
      </c>
      <c r="N493">
        <v>0.33333333333333331</v>
      </c>
      <c r="O493">
        <v>90</v>
      </c>
      <c r="P493">
        <v>17</v>
      </c>
    </row>
    <row r="494" spans="1:16" x14ac:dyDescent="0.2">
      <c r="A494" t="s">
        <v>3319</v>
      </c>
      <c r="B494" t="s">
        <v>5335</v>
      </c>
      <c r="C494" t="s">
        <v>3320</v>
      </c>
      <c r="D494" t="s">
        <v>3268</v>
      </c>
      <c r="E494" t="s">
        <v>228</v>
      </c>
      <c r="F494">
        <v>79.989999999999995</v>
      </c>
      <c r="G494" t="s">
        <v>7014</v>
      </c>
      <c r="H494">
        <v>0.1</v>
      </c>
      <c r="M494">
        <v>10</v>
      </c>
      <c r="N494">
        <v>0.5</v>
      </c>
      <c r="O494">
        <v>80</v>
      </c>
      <c r="P494">
        <v>5</v>
      </c>
    </row>
    <row r="495" spans="1:16" x14ac:dyDescent="0.2">
      <c r="A495" t="s">
        <v>3313</v>
      </c>
      <c r="B495" t="s">
        <v>5275</v>
      </c>
      <c r="C495" t="s">
        <v>3314</v>
      </c>
      <c r="D495" t="s">
        <v>3268</v>
      </c>
      <c r="E495" t="s">
        <v>228</v>
      </c>
      <c r="F495">
        <v>79.989999999999995</v>
      </c>
      <c r="G495" t="s">
        <v>7014</v>
      </c>
      <c r="H495">
        <v>0.25</v>
      </c>
      <c r="I495" t="s">
        <v>7015</v>
      </c>
      <c r="M495">
        <v>3</v>
      </c>
      <c r="N495">
        <v>0.33333333333333331</v>
      </c>
      <c r="O495">
        <v>80</v>
      </c>
      <c r="P495">
        <v>1</v>
      </c>
    </row>
    <row r="496" spans="1:16" x14ac:dyDescent="0.2">
      <c r="A496" t="s">
        <v>3315</v>
      </c>
      <c r="B496" t="s">
        <v>5277</v>
      </c>
      <c r="C496" t="s">
        <v>3316</v>
      </c>
      <c r="D496" t="s">
        <v>3268</v>
      </c>
      <c r="E496" t="s">
        <v>228</v>
      </c>
      <c r="F496">
        <v>79.989999999999995</v>
      </c>
      <c r="G496" t="s">
        <v>7014</v>
      </c>
      <c r="H496">
        <v>0.20833333333333337</v>
      </c>
      <c r="I496" t="s">
        <v>7015</v>
      </c>
      <c r="M496">
        <v>4</v>
      </c>
      <c r="N496">
        <v>0.5</v>
      </c>
      <c r="O496">
        <v>80</v>
      </c>
      <c r="P496">
        <v>2</v>
      </c>
    </row>
    <row r="497" spans="1:16" x14ac:dyDescent="0.2">
      <c r="A497" t="s">
        <v>4991</v>
      </c>
      <c r="B497" t="s">
        <v>4993</v>
      </c>
      <c r="C497" t="s">
        <v>7038</v>
      </c>
      <c r="D497" t="s">
        <v>446</v>
      </c>
      <c r="E497" t="s">
        <v>96</v>
      </c>
      <c r="F497">
        <v>29.99</v>
      </c>
      <c r="G497" t="s">
        <v>7014</v>
      </c>
      <c r="H497">
        <v>0.14814814814814814</v>
      </c>
      <c r="I497" t="s">
        <v>7015</v>
      </c>
      <c r="M497">
        <v>108</v>
      </c>
      <c r="N497">
        <v>0.16666666666666666</v>
      </c>
      <c r="O497">
        <v>30</v>
      </c>
      <c r="P497">
        <v>18</v>
      </c>
    </row>
    <row r="498" spans="1:16" x14ac:dyDescent="0.2">
      <c r="A498" t="s">
        <v>3309</v>
      </c>
      <c r="B498" t="s">
        <v>5274</v>
      </c>
      <c r="C498" t="s">
        <v>3310</v>
      </c>
      <c r="D498" t="s">
        <v>3268</v>
      </c>
      <c r="E498" t="s">
        <v>228</v>
      </c>
      <c r="F498">
        <v>79.989999999999995</v>
      </c>
      <c r="G498" t="s">
        <v>7014</v>
      </c>
      <c r="H498">
        <v>2.7777777777777776E-2</v>
      </c>
      <c r="I498" t="s">
        <v>7015</v>
      </c>
      <c r="M498">
        <v>9</v>
      </c>
      <c r="N498">
        <v>0.33333333333333331</v>
      </c>
      <c r="O498">
        <v>80</v>
      </c>
      <c r="P498">
        <v>3</v>
      </c>
    </row>
    <row r="499" spans="1:16" x14ac:dyDescent="0.2">
      <c r="A499" t="s">
        <v>6853</v>
      </c>
      <c r="B499" t="s">
        <v>6856</v>
      </c>
      <c r="C499" t="s">
        <v>6854</v>
      </c>
      <c r="D499" t="s">
        <v>2987</v>
      </c>
      <c r="E499" t="s">
        <v>290</v>
      </c>
      <c r="F499">
        <v>79.989999999999995</v>
      </c>
      <c r="G499" t="s">
        <v>7014</v>
      </c>
      <c r="H499">
        <v>1.7412935323383085E-2</v>
      </c>
      <c r="I499" t="s">
        <v>7015</v>
      </c>
      <c r="M499">
        <v>80.399999999999991</v>
      </c>
      <c r="N499">
        <v>0.83333333333333337</v>
      </c>
      <c r="O499">
        <v>80</v>
      </c>
      <c r="P499">
        <v>67</v>
      </c>
    </row>
    <row r="500" spans="1:16" x14ac:dyDescent="0.2">
      <c r="A500" t="s">
        <v>5924</v>
      </c>
      <c r="B500" t="s">
        <v>5926</v>
      </c>
      <c r="C500" t="s">
        <v>5925</v>
      </c>
      <c r="D500" t="s">
        <v>2502</v>
      </c>
      <c r="E500" t="s">
        <v>290</v>
      </c>
      <c r="F500">
        <v>49.99</v>
      </c>
      <c r="G500" t="s">
        <v>7014</v>
      </c>
      <c r="H500">
        <v>9.166666666666666E-2</v>
      </c>
      <c r="I500" t="s">
        <v>7015</v>
      </c>
      <c r="M500">
        <v>12</v>
      </c>
      <c r="N500">
        <v>0.83333333333333337</v>
      </c>
      <c r="O500">
        <v>50</v>
      </c>
      <c r="P500">
        <v>10</v>
      </c>
    </row>
    <row r="501" spans="1:16" x14ac:dyDescent="0.2">
      <c r="A501" t="s">
        <v>3379</v>
      </c>
      <c r="B501" t="s">
        <v>5245</v>
      </c>
      <c r="C501" t="s">
        <v>3380</v>
      </c>
      <c r="D501" t="s">
        <v>3268</v>
      </c>
      <c r="E501" t="s">
        <v>228</v>
      </c>
      <c r="F501">
        <v>799.99</v>
      </c>
      <c r="G501" t="s">
        <v>7014</v>
      </c>
      <c r="H501">
        <v>0.14583333333333334</v>
      </c>
      <c r="I501" t="s">
        <v>7015</v>
      </c>
      <c r="M501">
        <v>8</v>
      </c>
      <c r="N501">
        <v>0.5</v>
      </c>
      <c r="O501">
        <v>800</v>
      </c>
      <c r="P501">
        <v>4</v>
      </c>
    </row>
    <row r="502" spans="1:16" x14ac:dyDescent="0.2">
      <c r="A502" t="s">
        <v>549</v>
      </c>
      <c r="B502" t="s">
        <v>5050</v>
      </c>
      <c r="C502" t="s">
        <v>550</v>
      </c>
      <c r="D502" t="s">
        <v>446</v>
      </c>
      <c r="E502" t="s">
        <v>228</v>
      </c>
      <c r="F502">
        <v>169.99</v>
      </c>
      <c r="G502" t="s">
        <v>7014</v>
      </c>
      <c r="H502">
        <v>8.3333333333333329E-2</v>
      </c>
      <c r="I502" t="s">
        <v>7015</v>
      </c>
      <c r="M502">
        <v>12</v>
      </c>
      <c r="N502">
        <v>0.16666666666666666</v>
      </c>
      <c r="O502">
        <v>170</v>
      </c>
      <c r="P502">
        <v>2</v>
      </c>
    </row>
    <row r="503" spans="1:16" x14ac:dyDescent="0.2">
      <c r="A503" t="s">
        <v>3684</v>
      </c>
      <c r="B503" t="s">
        <v>97</v>
      </c>
      <c r="C503" t="s">
        <v>3685</v>
      </c>
      <c r="D503" t="s">
        <v>2425</v>
      </c>
      <c r="E503" t="s">
        <v>290</v>
      </c>
      <c r="F503">
        <v>99.99</v>
      </c>
      <c r="G503" t="s">
        <v>7032</v>
      </c>
      <c r="H503">
        <v>2.9761904761904764E-2</v>
      </c>
      <c r="M503">
        <v>41.999999999999993</v>
      </c>
      <c r="N503">
        <v>0.33333333333333337</v>
      </c>
      <c r="O503">
        <v>100</v>
      </c>
      <c r="P503">
        <v>14</v>
      </c>
    </row>
    <row r="504" spans="1:16" x14ac:dyDescent="0.2">
      <c r="A504" t="s">
        <v>7039</v>
      </c>
      <c r="B504" t="s">
        <v>97</v>
      </c>
      <c r="C504" t="s">
        <v>7040</v>
      </c>
      <c r="D504" t="s">
        <v>2425</v>
      </c>
      <c r="E504" t="s">
        <v>96</v>
      </c>
      <c r="F504">
        <v>69.989999999999995</v>
      </c>
      <c r="G504" t="s">
        <v>7032</v>
      </c>
      <c r="H504">
        <v>2.7777777777777776E-2</v>
      </c>
      <c r="M504">
        <v>18</v>
      </c>
      <c r="N504">
        <v>0.16666666666666666</v>
      </c>
      <c r="O504">
        <v>70</v>
      </c>
      <c r="P504">
        <v>3</v>
      </c>
    </row>
    <row r="505" spans="1:16" x14ac:dyDescent="0.2">
      <c r="A505" t="s">
        <v>890</v>
      </c>
      <c r="B505" t="s">
        <v>97</v>
      </c>
      <c r="C505" t="s">
        <v>891</v>
      </c>
      <c r="D505" t="s">
        <v>446</v>
      </c>
      <c r="E505" t="s">
        <v>228</v>
      </c>
      <c r="F505">
        <v>29.99</v>
      </c>
      <c r="G505" t="s">
        <v>7032</v>
      </c>
      <c r="H505">
        <v>-8.3333333333333329E-2</v>
      </c>
      <c r="M505">
        <v>-6</v>
      </c>
      <c r="N505">
        <v>0.16666666666666666</v>
      </c>
      <c r="O505">
        <v>30</v>
      </c>
      <c r="P505">
        <v>-1</v>
      </c>
    </row>
    <row r="506" spans="1:16" x14ac:dyDescent="0.2">
      <c r="A506" t="s">
        <v>2545</v>
      </c>
      <c r="B506" t="s">
        <v>97</v>
      </c>
      <c r="C506" t="s">
        <v>2546</v>
      </c>
      <c r="D506" t="s">
        <v>2502</v>
      </c>
      <c r="E506" t="s">
        <v>228</v>
      </c>
      <c r="F506">
        <v>79.989999999999995</v>
      </c>
      <c r="G506" t="s">
        <v>7032</v>
      </c>
      <c r="H506">
        <v>0.41666666666666674</v>
      </c>
      <c r="M506">
        <v>3</v>
      </c>
      <c r="N506">
        <v>0.33333333333333331</v>
      </c>
      <c r="O506">
        <v>80</v>
      </c>
      <c r="P506">
        <v>1</v>
      </c>
    </row>
    <row r="507" spans="1:16" x14ac:dyDescent="0.2">
      <c r="A507" t="s">
        <v>2334</v>
      </c>
      <c r="B507" t="s">
        <v>97</v>
      </c>
      <c r="C507" t="s">
        <v>2335</v>
      </c>
      <c r="D507" t="s">
        <v>2146</v>
      </c>
      <c r="E507" t="s">
        <v>228</v>
      </c>
      <c r="F507">
        <v>99.99</v>
      </c>
      <c r="G507" t="s">
        <v>7032</v>
      </c>
      <c r="H507">
        <v>0</v>
      </c>
      <c r="M507">
        <v>0</v>
      </c>
      <c r="N507">
        <v>0.16666666666666666</v>
      </c>
      <c r="O507">
        <v>100</v>
      </c>
      <c r="P507">
        <v>0</v>
      </c>
    </row>
    <row r="508" spans="1:16" x14ac:dyDescent="0.2">
      <c r="A508" t="s">
        <v>2485</v>
      </c>
      <c r="B508" t="s">
        <v>97</v>
      </c>
      <c r="C508" t="s">
        <v>2486</v>
      </c>
      <c r="D508" t="s">
        <v>2448</v>
      </c>
      <c r="E508" t="s">
        <v>228</v>
      </c>
      <c r="F508">
        <v>59.99</v>
      </c>
      <c r="G508" t="s">
        <v>7032</v>
      </c>
      <c r="H508">
        <v>-0.33333333333333331</v>
      </c>
      <c r="M508">
        <v>-3</v>
      </c>
      <c r="N508">
        <v>0.33333333333333331</v>
      </c>
      <c r="O508">
        <v>60</v>
      </c>
      <c r="P508">
        <v>-1</v>
      </c>
    </row>
    <row r="509" spans="1:16" x14ac:dyDescent="0.2">
      <c r="A509" t="s">
        <v>7041</v>
      </c>
      <c r="B509" t="s">
        <v>97</v>
      </c>
      <c r="C509" t="s">
        <v>7042</v>
      </c>
      <c r="D509" t="s">
        <v>1897</v>
      </c>
      <c r="E509" t="s">
        <v>96</v>
      </c>
      <c r="F509">
        <v>44.99</v>
      </c>
      <c r="G509" t="s">
        <v>7032</v>
      </c>
      <c r="H509">
        <v>1.6666666666666666E-2</v>
      </c>
      <c r="M509">
        <v>30</v>
      </c>
      <c r="N509">
        <v>0.16666666666666666</v>
      </c>
      <c r="O509">
        <v>45</v>
      </c>
      <c r="P509">
        <v>5</v>
      </c>
    </row>
    <row r="510" spans="1:16" x14ac:dyDescent="0.2">
      <c r="A510" t="s">
        <v>4111</v>
      </c>
      <c r="B510" t="s">
        <v>97</v>
      </c>
      <c r="C510" t="s">
        <v>4112</v>
      </c>
      <c r="D510" t="s">
        <v>1897</v>
      </c>
      <c r="E510" t="s">
        <v>96</v>
      </c>
      <c r="F510">
        <v>79.989999999999995</v>
      </c>
      <c r="G510" t="s">
        <v>7032</v>
      </c>
      <c r="H510">
        <v>2.7777777777777776E-2</v>
      </c>
      <c r="M510">
        <v>18</v>
      </c>
      <c r="N510">
        <v>0.16666666666666666</v>
      </c>
      <c r="O510">
        <v>80</v>
      </c>
      <c r="P510">
        <v>3</v>
      </c>
    </row>
    <row r="511" spans="1:16" x14ac:dyDescent="0.2">
      <c r="A511" t="s">
        <v>6853</v>
      </c>
      <c r="B511" t="s">
        <v>97</v>
      </c>
      <c r="C511" t="s">
        <v>6854</v>
      </c>
      <c r="D511" t="s">
        <v>2987</v>
      </c>
      <c r="E511" t="s">
        <v>290</v>
      </c>
      <c r="F511">
        <v>79.989999999999995</v>
      </c>
      <c r="G511" t="s">
        <v>7032</v>
      </c>
      <c r="H511">
        <v>0</v>
      </c>
      <c r="M511">
        <v>0</v>
      </c>
      <c r="N511">
        <v>0.16666666666666666</v>
      </c>
      <c r="O511">
        <v>80</v>
      </c>
      <c r="P511">
        <v>0</v>
      </c>
    </row>
    <row r="512" spans="1:16" x14ac:dyDescent="0.2">
      <c r="A512" t="s">
        <v>255</v>
      </c>
      <c r="B512" t="s">
        <v>97</v>
      </c>
      <c r="C512" t="s">
        <v>256</v>
      </c>
      <c r="D512" t="s">
        <v>223</v>
      </c>
      <c r="E512" t="s">
        <v>96</v>
      </c>
      <c r="F512">
        <v>59.99</v>
      </c>
      <c r="G512" t="s">
        <v>7032</v>
      </c>
      <c r="H512">
        <v>0</v>
      </c>
      <c r="M512">
        <v>0</v>
      </c>
      <c r="N512">
        <v>0.16666666666666666</v>
      </c>
      <c r="O512">
        <v>60</v>
      </c>
      <c r="P512">
        <v>0</v>
      </c>
    </row>
    <row r="513" spans="1:16" x14ac:dyDescent="0.2">
      <c r="A513" t="s">
        <v>4689</v>
      </c>
      <c r="B513" t="s">
        <v>97</v>
      </c>
      <c r="C513" t="s">
        <v>4690</v>
      </c>
      <c r="D513" t="s">
        <v>446</v>
      </c>
      <c r="E513" t="s">
        <v>290</v>
      </c>
      <c r="F513">
        <v>32.99</v>
      </c>
      <c r="G513" t="s">
        <v>7032</v>
      </c>
      <c r="H513">
        <v>0</v>
      </c>
      <c r="M513">
        <v>0</v>
      </c>
      <c r="N513">
        <v>0.16666666666666666</v>
      </c>
      <c r="O513">
        <v>33</v>
      </c>
      <c r="P513">
        <v>0</v>
      </c>
    </row>
    <row r="514" spans="1:16" x14ac:dyDescent="0.2">
      <c r="A514" t="s">
        <v>4507</v>
      </c>
      <c r="B514" t="s">
        <v>97</v>
      </c>
      <c r="C514" t="s">
        <v>4508</v>
      </c>
      <c r="D514" t="s">
        <v>4463</v>
      </c>
      <c r="E514" t="s">
        <v>96</v>
      </c>
      <c r="F514">
        <v>19.989999999999998</v>
      </c>
      <c r="G514" t="s">
        <v>7032</v>
      </c>
      <c r="H514">
        <v>8.3333333333333329E-2</v>
      </c>
      <c r="M514">
        <v>6</v>
      </c>
      <c r="N514">
        <v>0.16666666666666666</v>
      </c>
      <c r="O514">
        <v>20</v>
      </c>
      <c r="P514">
        <v>1</v>
      </c>
    </row>
    <row r="515" spans="1:16" x14ac:dyDescent="0.2">
      <c r="A515" t="s">
        <v>226</v>
      </c>
      <c r="B515" t="s">
        <v>97</v>
      </c>
      <c r="C515" t="s">
        <v>227</v>
      </c>
      <c r="D515" t="s">
        <v>223</v>
      </c>
      <c r="E515" t="s">
        <v>228</v>
      </c>
      <c r="F515">
        <v>119.99</v>
      </c>
      <c r="G515" t="s">
        <v>7032</v>
      </c>
      <c r="H515">
        <v>-0.33333333333333331</v>
      </c>
      <c r="M515">
        <v>-2</v>
      </c>
      <c r="N515">
        <v>0.5</v>
      </c>
      <c r="O515">
        <v>120</v>
      </c>
      <c r="P515">
        <v>-1</v>
      </c>
    </row>
    <row r="516" spans="1:16" x14ac:dyDescent="0.2">
      <c r="A516" t="s">
        <v>2571</v>
      </c>
      <c r="B516" t="s">
        <v>97</v>
      </c>
      <c r="C516" t="s">
        <v>2572</v>
      </c>
      <c r="D516" t="s">
        <v>2502</v>
      </c>
      <c r="E516" t="s">
        <v>228</v>
      </c>
      <c r="F516">
        <v>119.99</v>
      </c>
      <c r="G516" t="s">
        <v>7032</v>
      </c>
      <c r="H516">
        <v>0.25</v>
      </c>
      <c r="M516">
        <v>5.9999999999999991</v>
      </c>
      <c r="N516">
        <v>0.33333333333333337</v>
      </c>
      <c r="O516">
        <v>120</v>
      </c>
      <c r="P516">
        <v>2</v>
      </c>
    </row>
    <row r="517" spans="1:16" x14ac:dyDescent="0.2">
      <c r="A517" t="s">
        <v>2643</v>
      </c>
      <c r="B517" t="s">
        <v>97</v>
      </c>
      <c r="C517" t="s">
        <v>2644</v>
      </c>
      <c r="D517" t="s">
        <v>2502</v>
      </c>
      <c r="E517" t="s">
        <v>228</v>
      </c>
      <c r="F517">
        <v>124.99</v>
      </c>
      <c r="G517" t="s">
        <v>7032</v>
      </c>
      <c r="H517">
        <v>-8.3333333333333329E-2</v>
      </c>
      <c r="M517">
        <v>-6</v>
      </c>
      <c r="N517">
        <v>0.16666666666666666</v>
      </c>
      <c r="O517">
        <v>125</v>
      </c>
      <c r="P517">
        <v>-1</v>
      </c>
    </row>
    <row r="518" spans="1:16" x14ac:dyDescent="0.2">
      <c r="A518" t="s">
        <v>755</v>
      </c>
      <c r="B518" t="s">
        <v>97</v>
      </c>
      <c r="C518" t="s">
        <v>756</v>
      </c>
      <c r="D518" t="s">
        <v>446</v>
      </c>
      <c r="E518" t="s">
        <v>228</v>
      </c>
      <c r="F518">
        <v>49.99</v>
      </c>
      <c r="G518" t="s">
        <v>7032</v>
      </c>
      <c r="H518">
        <v>-8.3333333333333329E-2</v>
      </c>
      <c r="M518">
        <v>-6</v>
      </c>
      <c r="N518">
        <v>0.16666666666666666</v>
      </c>
      <c r="O518">
        <v>50</v>
      </c>
      <c r="P518">
        <v>-1</v>
      </c>
    </row>
    <row r="519" spans="1:16" x14ac:dyDescent="0.2">
      <c r="A519" t="s">
        <v>643</v>
      </c>
      <c r="B519" t="s">
        <v>97</v>
      </c>
      <c r="C519" t="s">
        <v>644</v>
      </c>
      <c r="D519" t="s">
        <v>446</v>
      </c>
      <c r="E519" t="s">
        <v>228</v>
      </c>
      <c r="F519">
        <v>99.99</v>
      </c>
      <c r="G519" t="s">
        <v>7032</v>
      </c>
      <c r="H519">
        <v>0</v>
      </c>
      <c r="M519">
        <v>0</v>
      </c>
      <c r="N519">
        <v>1</v>
      </c>
      <c r="O519">
        <v>100</v>
      </c>
      <c r="P519">
        <v>0</v>
      </c>
    </row>
    <row r="520" spans="1:16" x14ac:dyDescent="0.2">
      <c r="A520" t="s">
        <v>4422</v>
      </c>
      <c r="B520" t="s">
        <v>97</v>
      </c>
      <c r="C520" t="s">
        <v>4423</v>
      </c>
      <c r="D520" t="s">
        <v>1012</v>
      </c>
      <c r="E520" t="s">
        <v>290</v>
      </c>
      <c r="F520">
        <v>119.99</v>
      </c>
      <c r="G520" t="s">
        <v>7032</v>
      </c>
      <c r="H520">
        <v>0</v>
      </c>
      <c r="M520">
        <v>0</v>
      </c>
      <c r="N520">
        <v>0.5</v>
      </c>
      <c r="O520">
        <v>120</v>
      </c>
      <c r="P520">
        <v>0</v>
      </c>
    </row>
    <row r="521" spans="1:16" x14ac:dyDescent="0.2">
      <c r="A521" t="s">
        <v>2330</v>
      </c>
      <c r="B521" t="s">
        <v>97</v>
      </c>
      <c r="C521" t="s">
        <v>2331</v>
      </c>
      <c r="D521" t="s">
        <v>2146</v>
      </c>
      <c r="E521" t="s">
        <v>228</v>
      </c>
      <c r="F521">
        <v>16.989999999999998</v>
      </c>
      <c r="G521" t="s">
        <v>7032</v>
      </c>
      <c r="H521">
        <v>0.25</v>
      </c>
      <c r="M521">
        <v>4</v>
      </c>
      <c r="N521">
        <v>0.5</v>
      </c>
      <c r="O521">
        <v>17</v>
      </c>
      <c r="P521">
        <v>2</v>
      </c>
    </row>
    <row r="522" spans="1:16" x14ac:dyDescent="0.2">
      <c r="A522" t="s">
        <v>2154</v>
      </c>
      <c r="B522" t="s">
        <v>5436</v>
      </c>
      <c r="C522" t="s">
        <v>2155</v>
      </c>
      <c r="D522" t="s">
        <v>2146</v>
      </c>
      <c r="E522" t="s">
        <v>228</v>
      </c>
      <c r="F522">
        <v>229.99</v>
      </c>
      <c r="G522" t="s">
        <v>8</v>
      </c>
      <c r="H522">
        <v>0.10416666666666669</v>
      </c>
      <c r="J522">
        <v>0</v>
      </c>
      <c r="K522">
        <v>4</v>
      </c>
      <c r="L522">
        <v>0</v>
      </c>
      <c r="M522">
        <v>1.2</v>
      </c>
      <c r="N522">
        <v>0.83333333333333337</v>
      </c>
      <c r="O522">
        <v>230</v>
      </c>
      <c r="P522">
        <v>1</v>
      </c>
    </row>
    <row r="523" spans="1:16" x14ac:dyDescent="0.2">
      <c r="A523" t="s">
        <v>1836</v>
      </c>
      <c r="B523" t="s">
        <v>4624</v>
      </c>
      <c r="C523" t="s">
        <v>1837</v>
      </c>
      <c r="D523" t="s">
        <v>1811</v>
      </c>
      <c r="E523" t="s">
        <v>228</v>
      </c>
      <c r="F523">
        <v>179.99</v>
      </c>
      <c r="G523" t="s">
        <v>8</v>
      </c>
      <c r="H523">
        <v>0.01</v>
      </c>
      <c r="J523">
        <v>0</v>
      </c>
      <c r="K523">
        <v>20</v>
      </c>
      <c r="L523">
        <v>5</v>
      </c>
      <c r="M523">
        <v>102</v>
      </c>
      <c r="N523">
        <v>0.16666666666666666</v>
      </c>
      <c r="O523">
        <v>180</v>
      </c>
      <c r="P523">
        <v>17</v>
      </c>
    </row>
    <row r="524" spans="1:16" x14ac:dyDescent="0.2">
      <c r="A524" t="s">
        <v>1820</v>
      </c>
      <c r="B524" t="s">
        <v>5210</v>
      </c>
      <c r="C524" t="s">
        <v>1821</v>
      </c>
      <c r="D524" t="s">
        <v>1811</v>
      </c>
      <c r="E524" t="s">
        <v>228</v>
      </c>
      <c r="F524">
        <v>229.99</v>
      </c>
      <c r="G524" t="s">
        <v>8</v>
      </c>
      <c r="H524">
        <v>1.0416666666666668E-2</v>
      </c>
      <c r="J524">
        <v>0</v>
      </c>
      <c r="K524">
        <v>40</v>
      </c>
      <c r="L524">
        <v>120</v>
      </c>
      <c r="M524">
        <v>160</v>
      </c>
      <c r="N524">
        <v>1</v>
      </c>
      <c r="O524">
        <v>230</v>
      </c>
      <c r="P524">
        <v>160</v>
      </c>
    </row>
    <row r="525" spans="1:16" x14ac:dyDescent="0.2">
      <c r="A525" t="s">
        <v>1828</v>
      </c>
      <c r="B525" t="s">
        <v>6967</v>
      </c>
      <c r="C525" t="s">
        <v>1829</v>
      </c>
      <c r="D525" t="s">
        <v>1811</v>
      </c>
      <c r="E525" t="s">
        <v>228</v>
      </c>
      <c r="F525">
        <v>349.99</v>
      </c>
      <c r="G525" t="s">
        <v>8</v>
      </c>
      <c r="H525">
        <v>4.2087542087542087E-3</v>
      </c>
      <c r="J525">
        <v>0</v>
      </c>
      <c r="K525">
        <v>98</v>
      </c>
      <c r="L525">
        <v>1</v>
      </c>
      <c r="M525">
        <v>196</v>
      </c>
      <c r="N525">
        <v>0.5</v>
      </c>
      <c r="O525">
        <v>350</v>
      </c>
      <c r="P525">
        <v>98</v>
      </c>
    </row>
    <row r="526" spans="1:16" x14ac:dyDescent="0.2">
      <c r="A526" t="s">
        <v>2236</v>
      </c>
      <c r="B526" t="s">
        <v>5425</v>
      </c>
      <c r="C526" t="s">
        <v>2237</v>
      </c>
      <c r="D526" t="s">
        <v>2146</v>
      </c>
      <c r="E526" t="s">
        <v>290</v>
      </c>
      <c r="F526">
        <v>89.99</v>
      </c>
      <c r="G526" t="s">
        <v>8</v>
      </c>
      <c r="H526">
        <v>0.63888888888888895</v>
      </c>
      <c r="J526">
        <v>4</v>
      </c>
      <c r="K526">
        <v>0</v>
      </c>
      <c r="L526">
        <v>8</v>
      </c>
      <c r="M526">
        <v>2.5714285714285716</v>
      </c>
      <c r="N526">
        <v>3.5</v>
      </c>
      <c r="O526">
        <v>90</v>
      </c>
      <c r="P526">
        <v>9</v>
      </c>
    </row>
    <row r="527" spans="1:16" x14ac:dyDescent="0.2">
      <c r="A527" t="s">
        <v>2529</v>
      </c>
      <c r="B527" t="s">
        <v>6279</v>
      </c>
      <c r="C527" t="s">
        <v>2530</v>
      </c>
      <c r="D527" t="s">
        <v>2502</v>
      </c>
      <c r="E527" t="s">
        <v>228</v>
      </c>
      <c r="F527">
        <v>49.99</v>
      </c>
      <c r="G527" t="s">
        <v>8</v>
      </c>
      <c r="H527">
        <v>0.20833333333333337</v>
      </c>
      <c r="J527">
        <v>0</v>
      </c>
      <c r="K527">
        <v>4</v>
      </c>
      <c r="L527">
        <v>0</v>
      </c>
      <c r="M527">
        <v>0.8571428571428571</v>
      </c>
      <c r="N527">
        <v>1.1666666666666667</v>
      </c>
      <c r="O527">
        <v>50</v>
      </c>
      <c r="P527">
        <v>1</v>
      </c>
    </row>
    <row r="528" spans="1:16" x14ac:dyDescent="0.2">
      <c r="A528" t="s">
        <v>689</v>
      </c>
      <c r="B528" t="s">
        <v>5083</v>
      </c>
      <c r="C528" t="s">
        <v>690</v>
      </c>
      <c r="D528" t="s">
        <v>446</v>
      </c>
      <c r="E528" t="s">
        <v>228</v>
      </c>
      <c r="F528">
        <v>59.99</v>
      </c>
      <c r="G528" t="s">
        <v>8</v>
      </c>
      <c r="H528">
        <v>0.10087719298245616</v>
      </c>
      <c r="J528">
        <v>0</v>
      </c>
      <c r="K528">
        <v>19</v>
      </c>
      <c r="L528">
        <v>0</v>
      </c>
      <c r="M528">
        <v>36</v>
      </c>
      <c r="N528">
        <v>0.5</v>
      </c>
      <c r="O528">
        <v>60</v>
      </c>
      <c r="P528">
        <v>18</v>
      </c>
    </row>
    <row r="529" spans="1:16" x14ac:dyDescent="0.2">
      <c r="A529" t="s">
        <v>2543</v>
      </c>
      <c r="B529" t="s">
        <v>6295</v>
      </c>
      <c r="C529" t="s">
        <v>2544</v>
      </c>
      <c r="D529" t="s">
        <v>2502</v>
      </c>
      <c r="E529" t="s">
        <v>228</v>
      </c>
      <c r="F529">
        <v>79.989999999999995</v>
      </c>
      <c r="G529" t="s">
        <v>8</v>
      </c>
      <c r="H529">
        <v>4.5138888888888888E-2</v>
      </c>
      <c r="J529">
        <v>0</v>
      </c>
      <c r="K529">
        <v>21</v>
      </c>
      <c r="L529">
        <v>3</v>
      </c>
      <c r="M529">
        <v>22</v>
      </c>
      <c r="N529">
        <v>1</v>
      </c>
      <c r="O529">
        <v>80</v>
      </c>
      <c r="P529">
        <v>22</v>
      </c>
    </row>
    <row r="530" spans="1:16" x14ac:dyDescent="0.2">
      <c r="A530" t="s">
        <v>2360</v>
      </c>
      <c r="B530" t="s">
        <v>5599</v>
      </c>
      <c r="C530" t="s">
        <v>2361</v>
      </c>
      <c r="D530" t="s">
        <v>2146</v>
      </c>
      <c r="E530" t="s">
        <v>228</v>
      </c>
      <c r="F530">
        <v>349.99</v>
      </c>
      <c r="G530" t="s">
        <v>8</v>
      </c>
      <c r="H530">
        <v>1.0651629072681704E-2</v>
      </c>
      <c r="J530">
        <v>1</v>
      </c>
      <c r="K530">
        <v>13</v>
      </c>
      <c r="L530">
        <v>119</v>
      </c>
      <c r="M530">
        <v>76.800000000000011</v>
      </c>
      <c r="N530">
        <v>1.6666666666666665</v>
      </c>
      <c r="O530">
        <v>350</v>
      </c>
      <c r="P530">
        <v>128</v>
      </c>
    </row>
    <row r="531" spans="1:16" x14ac:dyDescent="0.2">
      <c r="A531" t="s">
        <v>675</v>
      </c>
      <c r="B531" t="s">
        <v>5109</v>
      </c>
      <c r="C531" t="s">
        <v>676</v>
      </c>
      <c r="D531" t="s">
        <v>446</v>
      </c>
      <c r="E531" t="s">
        <v>228</v>
      </c>
      <c r="F531">
        <v>199.99</v>
      </c>
      <c r="G531" t="s">
        <v>8</v>
      </c>
      <c r="H531">
        <v>3.9115646258503403E-2</v>
      </c>
      <c r="J531">
        <v>1</v>
      </c>
      <c r="K531">
        <v>27</v>
      </c>
      <c r="L531">
        <v>70</v>
      </c>
      <c r="M531">
        <v>32.333333333333336</v>
      </c>
      <c r="N531">
        <v>3</v>
      </c>
      <c r="O531">
        <v>200</v>
      </c>
      <c r="P531">
        <v>97</v>
      </c>
    </row>
    <row r="532" spans="1:16" x14ac:dyDescent="0.2">
      <c r="A532" t="s">
        <v>673</v>
      </c>
      <c r="B532" t="s">
        <v>5121</v>
      </c>
      <c r="C532" t="s">
        <v>674</v>
      </c>
      <c r="D532" t="s">
        <v>446</v>
      </c>
      <c r="E532" t="s">
        <v>228</v>
      </c>
      <c r="F532">
        <v>299.99</v>
      </c>
      <c r="G532" t="s">
        <v>8</v>
      </c>
      <c r="H532">
        <v>1.4124293785310734E-3</v>
      </c>
      <c r="J532">
        <v>0</v>
      </c>
      <c r="K532">
        <v>59</v>
      </c>
      <c r="L532">
        <v>0</v>
      </c>
      <c r="M532">
        <v>173.99999999999997</v>
      </c>
      <c r="N532">
        <v>0.33333333333333337</v>
      </c>
      <c r="O532">
        <v>300</v>
      </c>
      <c r="P532">
        <v>58</v>
      </c>
    </row>
    <row r="533" spans="1:16" x14ac:dyDescent="0.2">
      <c r="A533" t="s">
        <v>2559</v>
      </c>
      <c r="B533" t="s">
        <v>6175</v>
      </c>
      <c r="C533" t="s">
        <v>2560</v>
      </c>
      <c r="D533" t="s">
        <v>2502</v>
      </c>
      <c r="E533" t="s">
        <v>228</v>
      </c>
      <c r="F533">
        <v>17.989999999999998</v>
      </c>
      <c r="G533" t="s">
        <v>8</v>
      </c>
      <c r="H533">
        <v>9.9537037037037035E-2</v>
      </c>
      <c r="J533">
        <v>0</v>
      </c>
      <c r="K533">
        <v>21</v>
      </c>
      <c r="L533">
        <v>15</v>
      </c>
      <c r="M533">
        <v>30</v>
      </c>
      <c r="N533">
        <v>1.3333333333333333</v>
      </c>
      <c r="O533">
        <v>18</v>
      </c>
      <c r="P533">
        <v>40</v>
      </c>
    </row>
    <row r="534" spans="1:16" x14ac:dyDescent="0.2">
      <c r="A534" t="s">
        <v>2893</v>
      </c>
      <c r="B534" t="s">
        <v>3721</v>
      </c>
      <c r="C534" t="s">
        <v>2894</v>
      </c>
      <c r="D534" t="s">
        <v>2852</v>
      </c>
      <c r="E534" t="s">
        <v>228</v>
      </c>
      <c r="F534">
        <v>249.99</v>
      </c>
      <c r="G534" t="s">
        <v>8</v>
      </c>
      <c r="H534">
        <v>2.1604938271604941E-2</v>
      </c>
      <c r="J534">
        <v>0</v>
      </c>
      <c r="K534">
        <v>5</v>
      </c>
      <c r="L534">
        <v>22</v>
      </c>
      <c r="M534">
        <v>174</v>
      </c>
      <c r="N534">
        <v>0.16666666666666666</v>
      </c>
      <c r="O534">
        <v>250</v>
      </c>
      <c r="P534">
        <v>29</v>
      </c>
    </row>
    <row r="535" spans="1:16" x14ac:dyDescent="0.2">
      <c r="A535" t="s">
        <v>6341</v>
      </c>
      <c r="B535" t="s">
        <v>6344</v>
      </c>
      <c r="C535" t="s">
        <v>6342</v>
      </c>
      <c r="D535" t="s">
        <v>2502</v>
      </c>
      <c r="E535" t="s">
        <v>290</v>
      </c>
      <c r="F535">
        <v>49.99</v>
      </c>
      <c r="G535" t="s">
        <v>8</v>
      </c>
      <c r="H535">
        <v>1.1904761904761904E-2</v>
      </c>
      <c r="J535">
        <v>0</v>
      </c>
      <c r="K535">
        <v>0</v>
      </c>
      <c r="L535">
        <v>7</v>
      </c>
      <c r="M535">
        <v>8</v>
      </c>
      <c r="N535">
        <v>0.5</v>
      </c>
      <c r="O535">
        <v>50</v>
      </c>
      <c r="P535">
        <v>4</v>
      </c>
    </row>
    <row r="536" spans="1:16" x14ac:dyDescent="0.2">
      <c r="A536" t="s">
        <v>2595</v>
      </c>
      <c r="B536" t="s">
        <v>5943</v>
      </c>
      <c r="C536" t="s">
        <v>2596</v>
      </c>
      <c r="D536" t="s">
        <v>2502</v>
      </c>
      <c r="E536" t="s">
        <v>228</v>
      </c>
      <c r="F536">
        <v>49.99</v>
      </c>
      <c r="G536" t="s">
        <v>8</v>
      </c>
      <c r="H536">
        <v>8.9506172839506182E-2</v>
      </c>
      <c r="J536">
        <v>0</v>
      </c>
      <c r="K536">
        <v>6</v>
      </c>
      <c r="L536">
        <v>21</v>
      </c>
      <c r="M536">
        <v>9.1999999999999993</v>
      </c>
      <c r="N536">
        <v>2.5</v>
      </c>
      <c r="O536">
        <v>50</v>
      </c>
      <c r="P536">
        <v>23</v>
      </c>
    </row>
    <row r="537" spans="1:16" x14ac:dyDescent="0.2">
      <c r="A537" t="s">
        <v>6029</v>
      </c>
      <c r="B537" t="s">
        <v>6033</v>
      </c>
      <c r="C537" t="s">
        <v>6030</v>
      </c>
      <c r="D537" t="s">
        <v>2502</v>
      </c>
      <c r="E537" t="s">
        <v>228</v>
      </c>
      <c r="F537">
        <v>29.99</v>
      </c>
      <c r="G537" t="s">
        <v>8</v>
      </c>
      <c r="H537">
        <v>0.38333333333333336</v>
      </c>
      <c r="J537">
        <v>0</v>
      </c>
      <c r="K537">
        <v>5</v>
      </c>
      <c r="L537">
        <v>0</v>
      </c>
      <c r="M537">
        <v>0.85714285714285721</v>
      </c>
      <c r="N537">
        <v>1.1666666666666665</v>
      </c>
      <c r="O537">
        <v>30</v>
      </c>
      <c r="P537">
        <v>1</v>
      </c>
    </row>
    <row r="538" spans="1:16" x14ac:dyDescent="0.2">
      <c r="A538" t="s">
        <v>2593</v>
      </c>
      <c r="B538" t="s">
        <v>5949</v>
      </c>
      <c r="C538" t="s">
        <v>2594</v>
      </c>
      <c r="D538" t="s">
        <v>2502</v>
      </c>
      <c r="E538" t="s">
        <v>228</v>
      </c>
      <c r="F538">
        <v>49.99</v>
      </c>
      <c r="G538" t="s">
        <v>8</v>
      </c>
      <c r="H538">
        <v>3.787878787878788E-2</v>
      </c>
      <c r="J538">
        <v>0</v>
      </c>
      <c r="K538">
        <v>9</v>
      </c>
      <c r="L538">
        <v>2</v>
      </c>
      <c r="M538">
        <v>66</v>
      </c>
      <c r="N538">
        <v>0.16666666666666666</v>
      </c>
      <c r="O538">
        <v>50</v>
      </c>
      <c r="P538">
        <v>11</v>
      </c>
    </row>
    <row r="539" spans="1:16" x14ac:dyDescent="0.2">
      <c r="A539" t="s">
        <v>651</v>
      </c>
      <c r="B539" t="s">
        <v>4860</v>
      </c>
      <c r="C539" t="s">
        <v>652</v>
      </c>
      <c r="D539" t="s">
        <v>446</v>
      </c>
      <c r="E539" t="s">
        <v>290</v>
      </c>
      <c r="F539">
        <v>44.99</v>
      </c>
      <c r="G539" t="s">
        <v>8</v>
      </c>
      <c r="H539">
        <v>9.7222222222222224E-2</v>
      </c>
      <c r="J539">
        <v>0</v>
      </c>
      <c r="K539">
        <v>6</v>
      </c>
      <c r="L539">
        <v>0</v>
      </c>
      <c r="M539">
        <v>6</v>
      </c>
      <c r="N539">
        <v>0.83333333333333337</v>
      </c>
      <c r="O539">
        <v>45</v>
      </c>
      <c r="P539">
        <v>5</v>
      </c>
    </row>
    <row r="540" spans="1:16" x14ac:dyDescent="0.2">
      <c r="A540" t="s">
        <v>6232</v>
      </c>
      <c r="B540" t="s">
        <v>6235</v>
      </c>
      <c r="C540" t="s">
        <v>6233</v>
      </c>
      <c r="D540" t="s">
        <v>2502</v>
      </c>
      <c r="E540" t="s">
        <v>228</v>
      </c>
      <c r="F540">
        <v>79.989999999999995</v>
      </c>
      <c r="G540" t="s">
        <v>8</v>
      </c>
      <c r="H540">
        <v>6.41025641025641E-3</v>
      </c>
      <c r="J540">
        <v>0</v>
      </c>
      <c r="K540">
        <v>0</v>
      </c>
      <c r="L540">
        <v>13</v>
      </c>
      <c r="M540">
        <v>32.999999999999993</v>
      </c>
      <c r="N540">
        <v>0.33333333333333337</v>
      </c>
      <c r="O540">
        <v>80</v>
      </c>
      <c r="P540">
        <v>11</v>
      </c>
    </row>
    <row r="541" spans="1:16" x14ac:dyDescent="0.2">
      <c r="A541" t="s">
        <v>6574</v>
      </c>
      <c r="B541" t="s">
        <v>6579</v>
      </c>
      <c r="C541" t="s">
        <v>6575</v>
      </c>
      <c r="D541" t="s">
        <v>2987</v>
      </c>
      <c r="E541" t="s">
        <v>290</v>
      </c>
      <c r="F541">
        <v>129.99</v>
      </c>
      <c r="G541" t="s">
        <v>8</v>
      </c>
      <c r="H541">
        <v>0.10416666666666669</v>
      </c>
      <c r="J541">
        <v>0</v>
      </c>
      <c r="K541">
        <v>8</v>
      </c>
      <c r="L541">
        <v>0</v>
      </c>
      <c r="M541">
        <v>7.1999999999999993</v>
      </c>
      <c r="N541">
        <v>0.83333333333333337</v>
      </c>
      <c r="O541">
        <v>130</v>
      </c>
      <c r="P541">
        <v>6</v>
      </c>
    </row>
    <row r="542" spans="1:16" x14ac:dyDescent="0.2">
      <c r="A542" t="s">
        <v>2643</v>
      </c>
      <c r="B542" t="s">
        <v>5987</v>
      </c>
      <c r="C542" t="s">
        <v>2644</v>
      </c>
      <c r="D542" t="s">
        <v>2502</v>
      </c>
      <c r="E542" t="s">
        <v>228</v>
      </c>
      <c r="F542">
        <v>124.99</v>
      </c>
      <c r="G542" t="s">
        <v>8</v>
      </c>
      <c r="H542">
        <v>0.10833333333333332</v>
      </c>
      <c r="J542">
        <v>1</v>
      </c>
      <c r="K542">
        <v>6</v>
      </c>
      <c r="L542">
        <v>3</v>
      </c>
      <c r="M542">
        <v>6.666666666666667</v>
      </c>
      <c r="N542">
        <v>1.5</v>
      </c>
      <c r="O542">
        <v>125</v>
      </c>
      <c r="P542">
        <v>10</v>
      </c>
    </row>
    <row r="543" spans="1:16" x14ac:dyDescent="0.2">
      <c r="A543" t="s">
        <v>2655</v>
      </c>
      <c r="B543" t="s">
        <v>6399</v>
      </c>
      <c r="C543" t="s">
        <v>2656</v>
      </c>
      <c r="D543" t="s">
        <v>2502</v>
      </c>
      <c r="E543" t="s">
        <v>228</v>
      </c>
      <c r="F543">
        <v>79.989999999999995</v>
      </c>
      <c r="G543" t="s">
        <v>8</v>
      </c>
      <c r="H543">
        <v>1.6666666666666667</v>
      </c>
      <c r="J543">
        <v>0</v>
      </c>
      <c r="K543">
        <v>1</v>
      </c>
      <c r="L543">
        <v>0</v>
      </c>
      <c r="M543">
        <v>0</v>
      </c>
      <c r="N543">
        <v>1.3333333333333335</v>
      </c>
      <c r="O543">
        <v>80</v>
      </c>
      <c r="P543">
        <v>0</v>
      </c>
    </row>
    <row r="544" spans="1:16" x14ac:dyDescent="0.2">
      <c r="A544" t="s">
        <v>2671</v>
      </c>
      <c r="B544" t="s">
        <v>6014</v>
      </c>
      <c r="C544" t="s">
        <v>2672</v>
      </c>
      <c r="D544" t="s">
        <v>2502</v>
      </c>
      <c r="E544" t="s">
        <v>228</v>
      </c>
      <c r="F544">
        <v>229.99</v>
      </c>
      <c r="G544" t="s">
        <v>8</v>
      </c>
      <c r="H544">
        <v>9.4444444444444442E-2</v>
      </c>
      <c r="J544">
        <v>0</v>
      </c>
      <c r="K544">
        <v>14</v>
      </c>
      <c r="L544">
        <v>1</v>
      </c>
      <c r="M544">
        <v>28</v>
      </c>
      <c r="N544">
        <v>0.5</v>
      </c>
      <c r="O544">
        <v>230</v>
      </c>
      <c r="P544">
        <v>14</v>
      </c>
    </row>
    <row r="545" spans="1:16" x14ac:dyDescent="0.2">
      <c r="A545" t="s">
        <v>6206</v>
      </c>
      <c r="B545" t="s">
        <v>6213</v>
      </c>
      <c r="C545" t="s">
        <v>6207</v>
      </c>
      <c r="D545" t="s">
        <v>2502</v>
      </c>
      <c r="E545" t="s">
        <v>228</v>
      </c>
      <c r="F545">
        <v>59.99</v>
      </c>
      <c r="G545" t="s">
        <v>8</v>
      </c>
      <c r="H545">
        <v>0</v>
      </c>
      <c r="J545">
        <v>0</v>
      </c>
      <c r="K545">
        <v>1</v>
      </c>
      <c r="L545">
        <v>0</v>
      </c>
      <c r="M545">
        <v>0</v>
      </c>
      <c r="N545">
        <v>0.16666666666666666</v>
      </c>
      <c r="O545">
        <v>60</v>
      </c>
      <c r="P545">
        <v>0</v>
      </c>
    </row>
    <row r="546" spans="1:16" x14ac:dyDescent="0.2">
      <c r="A546" t="s">
        <v>847</v>
      </c>
      <c r="B546" t="s">
        <v>4842</v>
      </c>
      <c r="C546" t="s">
        <v>848</v>
      </c>
      <c r="D546" t="s">
        <v>446</v>
      </c>
      <c r="E546" t="s">
        <v>228</v>
      </c>
      <c r="F546">
        <v>34.99</v>
      </c>
      <c r="G546" t="s">
        <v>8</v>
      </c>
      <c r="H546">
        <v>1.2913223140495868E-2</v>
      </c>
      <c r="J546">
        <v>2</v>
      </c>
      <c r="K546">
        <v>76</v>
      </c>
      <c r="L546">
        <v>890</v>
      </c>
      <c r="M546">
        <v>363</v>
      </c>
      <c r="N546">
        <v>2.6666666666666665</v>
      </c>
      <c r="O546">
        <v>35</v>
      </c>
      <c r="P546">
        <v>968</v>
      </c>
    </row>
    <row r="547" spans="1:16" x14ac:dyDescent="0.2">
      <c r="A547" t="s">
        <v>2537</v>
      </c>
      <c r="B547" t="s">
        <v>6137</v>
      </c>
      <c r="C547" t="s">
        <v>2538</v>
      </c>
      <c r="D547" t="s">
        <v>2502</v>
      </c>
      <c r="E547" t="s">
        <v>228</v>
      </c>
      <c r="F547">
        <v>139.99</v>
      </c>
      <c r="G547" t="s">
        <v>8</v>
      </c>
      <c r="H547">
        <v>4.6511627906976744E-2</v>
      </c>
      <c r="J547">
        <v>0</v>
      </c>
      <c r="K547">
        <v>17</v>
      </c>
      <c r="L547">
        <v>69</v>
      </c>
      <c r="M547">
        <v>25.363636363636363</v>
      </c>
      <c r="N547">
        <v>3.666666666666667</v>
      </c>
      <c r="O547">
        <v>140</v>
      </c>
      <c r="P547">
        <v>93</v>
      </c>
    </row>
    <row r="548" spans="1:16" x14ac:dyDescent="0.2">
      <c r="A548" t="s">
        <v>849</v>
      </c>
      <c r="B548" t="s">
        <v>4843</v>
      </c>
      <c r="C548" t="s">
        <v>850</v>
      </c>
      <c r="D548" t="s">
        <v>446</v>
      </c>
      <c r="E548" t="s">
        <v>228</v>
      </c>
      <c r="F548">
        <v>34.99</v>
      </c>
      <c r="G548" t="s">
        <v>8</v>
      </c>
      <c r="H548">
        <v>2.621580547112462E-2</v>
      </c>
      <c r="J548">
        <v>3</v>
      </c>
      <c r="K548">
        <v>53</v>
      </c>
      <c r="L548">
        <v>602</v>
      </c>
      <c r="M548">
        <v>111.33333333333333</v>
      </c>
      <c r="N548">
        <v>6</v>
      </c>
      <c r="O548">
        <v>35</v>
      </c>
      <c r="P548">
        <v>668</v>
      </c>
    </row>
    <row r="549" spans="1:16" x14ac:dyDescent="0.2">
      <c r="A549" t="s">
        <v>2867</v>
      </c>
      <c r="B549" t="s">
        <v>3707</v>
      </c>
      <c r="C549" t="s">
        <v>2868</v>
      </c>
      <c r="D549" t="s">
        <v>2852</v>
      </c>
      <c r="E549" t="s">
        <v>228</v>
      </c>
      <c r="F549">
        <v>419.99</v>
      </c>
      <c r="G549" t="s">
        <v>8</v>
      </c>
      <c r="H549">
        <v>4.1666666666666671E-2</v>
      </c>
      <c r="J549">
        <v>0</v>
      </c>
      <c r="K549">
        <v>13</v>
      </c>
      <c r="L549">
        <v>1</v>
      </c>
      <c r="M549">
        <v>20.999999999999996</v>
      </c>
      <c r="N549">
        <v>0.66666666666666674</v>
      </c>
      <c r="O549">
        <v>420</v>
      </c>
      <c r="P549">
        <v>14</v>
      </c>
    </row>
    <row r="550" spans="1:16" x14ac:dyDescent="0.2">
      <c r="A550" t="s">
        <v>481</v>
      </c>
      <c r="B550" t="s">
        <v>4749</v>
      </c>
      <c r="C550" t="s">
        <v>482</v>
      </c>
      <c r="D550" t="s">
        <v>446</v>
      </c>
      <c r="E550" t="s">
        <v>228</v>
      </c>
      <c r="F550">
        <v>249.99</v>
      </c>
      <c r="G550" t="s">
        <v>8</v>
      </c>
      <c r="H550">
        <v>1.1494252873563218E-2</v>
      </c>
      <c r="J550">
        <v>0</v>
      </c>
      <c r="K550">
        <v>15</v>
      </c>
      <c r="L550">
        <v>14</v>
      </c>
      <c r="M550">
        <v>23.142857142857142</v>
      </c>
      <c r="N550">
        <v>1.1666666666666667</v>
      </c>
      <c r="O550">
        <v>250</v>
      </c>
      <c r="P550">
        <v>27</v>
      </c>
    </row>
    <row r="551" spans="1:16" x14ac:dyDescent="0.2">
      <c r="A551" t="s">
        <v>6383</v>
      </c>
      <c r="C551" t="s">
        <v>6384</v>
      </c>
      <c r="D551" t="s">
        <v>2502</v>
      </c>
      <c r="E551" t="s">
        <v>228</v>
      </c>
      <c r="F551">
        <v>99.99</v>
      </c>
      <c r="G551" t="s">
        <v>7029</v>
      </c>
      <c r="H551">
        <v>8.3333333333333343E-2</v>
      </c>
      <c r="M551">
        <v>6</v>
      </c>
      <c r="N551">
        <v>0.83333333333333337</v>
      </c>
      <c r="O551">
        <v>100</v>
      </c>
      <c r="P551">
        <v>5</v>
      </c>
    </row>
    <row r="552" spans="1:16" x14ac:dyDescent="0.2">
      <c r="A552" t="s">
        <v>2595</v>
      </c>
      <c r="C552" t="s">
        <v>2596</v>
      </c>
      <c r="D552" t="s">
        <v>2502</v>
      </c>
      <c r="E552" t="s">
        <v>228</v>
      </c>
      <c r="F552">
        <v>49.99</v>
      </c>
      <c r="G552" t="s">
        <v>7029</v>
      </c>
      <c r="H552">
        <v>7.3333333333333334E-2</v>
      </c>
      <c r="M552">
        <v>25</v>
      </c>
      <c r="N552">
        <v>1</v>
      </c>
      <c r="O552">
        <v>50</v>
      </c>
      <c r="P552">
        <v>25</v>
      </c>
    </row>
    <row r="553" spans="1:16" x14ac:dyDescent="0.2">
      <c r="A553" t="s">
        <v>6232</v>
      </c>
      <c r="C553" t="s">
        <v>6233</v>
      </c>
      <c r="D553" t="s">
        <v>2502</v>
      </c>
      <c r="E553" t="s">
        <v>228</v>
      </c>
      <c r="F553">
        <v>79.989999999999995</v>
      </c>
      <c r="G553" t="s">
        <v>7029</v>
      </c>
      <c r="H553">
        <v>2.6315789473684209E-2</v>
      </c>
      <c r="M553">
        <v>28.5</v>
      </c>
      <c r="N553">
        <v>0.66666666666666663</v>
      </c>
      <c r="O553">
        <v>80</v>
      </c>
      <c r="P553">
        <v>19</v>
      </c>
    </row>
    <row r="554" spans="1:16" x14ac:dyDescent="0.2">
      <c r="A554" t="s">
        <v>6273</v>
      </c>
      <c r="C554" t="s">
        <v>6274</v>
      </c>
      <c r="D554" t="s">
        <v>2502</v>
      </c>
      <c r="E554" t="s">
        <v>96</v>
      </c>
      <c r="F554">
        <v>49.99</v>
      </c>
      <c r="G554" t="s">
        <v>7029</v>
      </c>
      <c r="H554">
        <v>5.5555555555555549E-3</v>
      </c>
      <c r="M554">
        <v>120</v>
      </c>
      <c r="N554">
        <v>0.5</v>
      </c>
      <c r="O554">
        <v>50</v>
      </c>
      <c r="P554">
        <v>60</v>
      </c>
    </row>
    <row r="555" spans="1:16" x14ac:dyDescent="0.2">
      <c r="A555" t="s">
        <v>4962</v>
      </c>
      <c r="C555" t="s">
        <v>4963</v>
      </c>
      <c r="D555" t="s">
        <v>446</v>
      </c>
      <c r="E555" t="s">
        <v>290</v>
      </c>
      <c r="F555">
        <v>24.99</v>
      </c>
      <c r="G555" t="s">
        <v>7029</v>
      </c>
      <c r="H555">
        <v>5.5555555555555552E-2</v>
      </c>
      <c r="M555">
        <v>9</v>
      </c>
      <c r="N555">
        <v>0.66666666666666663</v>
      </c>
      <c r="O555">
        <v>25</v>
      </c>
      <c r="P555">
        <v>6</v>
      </c>
    </row>
    <row r="556" spans="1:16" x14ac:dyDescent="0.2">
      <c r="A556" t="s">
        <v>755</v>
      </c>
      <c r="C556" t="s">
        <v>756</v>
      </c>
      <c r="D556" t="s">
        <v>446</v>
      </c>
      <c r="E556" t="s">
        <v>228</v>
      </c>
      <c r="F556">
        <v>49.99</v>
      </c>
      <c r="G556" t="s">
        <v>7029</v>
      </c>
      <c r="H556">
        <v>7.9365079365079361E-3</v>
      </c>
      <c r="M556">
        <v>126</v>
      </c>
      <c r="N556">
        <v>0.16666666666666666</v>
      </c>
      <c r="O556">
        <v>50</v>
      </c>
      <c r="P556">
        <v>21</v>
      </c>
    </row>
    <row r="557" spans="1:16" x14ac:dyDescent="0.2">
      <c r="A557" t="s">
        <v>3749</v>
      </c>
      <c r="B557" t="s">
        <v>3751</v>
      </c>
      <c r="C557" t="s">
        <v>3750</v>
      </c>
      <c r="D557" t="s">
        <v>1897</v>
      </c>
      <c r="E557" t="s">
        <v>96</v>
      </c>
      <c r="F557">
        <v>54.99</v>
      </c>
      <c r="G557" t="s">
        <v>11</v>
      </c>
      <c r="H557">
        <v>0</v>
      </c>
      <c r="M557">
        <v>0</v>
      </c>
      <c r="N557">
        <v>0</v>
      </c>
      <c r="O557">
        <v>0</v>
      </c>
      <c r="P557">
        <v>0</v>
      </c>
    </row>
    <row r="558" spans="1:16" x14ac:dyDescent="0.2">
      <c r="A558" t="s">
        <v>293</v>
      </c>
      <c r="B558" t="s">
        <v>4361</v>
      </c>
      <c r="C558" t="s">
        <v>294</v>
      </c>
      <c r="D558" t="s">
        <v>287</v>
      </c>
      <c r="E558" t="s">
        <v>290</v>
      </c>
      <c r="F558">
        <v>129.99</v>
      </c>
      <c r="G558" t="s">
        <v>11</v>
      </c>
      <c r="H558">
        <v>0</v>
      </c>
      <c r="M558">
        <v>0</v>
      </c>
      <c r="N558">
        <v>0</v>
      </c>
      <c r="O558">
        <v>0</v>
      </c>
      <c r="P558">
        <v>0</v>
      </c>
    </row>
    <row r="559" spans="1:16" x14ac:dyDescent="0.2">
      <c r="A559" t="s">
        <v>3792</v>
      </c>
      <c r="B559" t="s">
        <v>3794</v>
      </c>
      <c r="C559" t="s">
        <v>3793</v>
      </c>
      <c r="D559" t="s">
        <v>1897</v>
      </c>
      <c r="E559" t="s">
        <v>96</v>
      </c>
      <c r="F559">
        <v>37.99</v>
      </c>
      <c r="G559" t="s">
        <v>11</v>
      </c>
      <c r="H559">
        <v>0</v>
      </c>
      <c r="M559">
        <v>0</v>
      </c>
      <c r="N559">
        <v>0</v>
      </c>
      <c r="O559">
        <v>0</v>
      </c>
      <c r="P559">
        <v>0</v>
      </c>
    </row>
    <row r="560" spans="1:16" x14ac:dyDescent="0.2">
      <c r="A560" t="s">
        <v>4300</v>
      </c>
      <c r="B560" t="s">
        <v>4302</v>
      </c>
      <c r="C560" t="s">
        <v>4301</v>
      </c>
      <c r="D560" t="s">
        <v>223</v>
      </c>
      <c r="E560" t="s">
        <v>96</v>
      </c>
      <c r="F560">
        <v>54.99</v>
      </c>
      <c r="G560" t="s">
        <v>11</v>
      </c>
      <c r="H560">
        <v>0</v>
      </c>
      <c r="M560">
        <v>0</v>
      </c>
      <c r="N560">
        <v>0</v>
      </c>
      <c r="O560">
        <v>0</v>
      </c>
      <c r="P560">
        <v>0</v>
      </c>
    </row>
    <row r="561" spans="1:16" x14ac:dyDescent="0.2">
      <c r="A561" t="s">
        <v>4126</v>
      </c>
      <c r="B561" t="s">
        <v>4128</v>
      </c>
      <c r="C561" t="s">
        <v>4127</v>
      </c>
      <c r="D561" t="s">
        <v>1897</v>
      </c>
      <c r="E561" t="s">
        <v>96</v>
      </c>
      <c r="G561" t="s">
        <v>11</v>
      </c>
      <c r="H561">
        <v>0</v>
      </c>
      <c r="M561">
        <v>0</v>
      </c>
      <c r="N561">
        <v>0</v>
      </c>
      <c r="P561">
        <v>0</v>
      </c>
    </row>
    <row r="562" spans="1:16" x14ac:dyDescent="0.2">
      <c r="A562" t="s">
        <v>3936</v>
      </c>
      <c r="B562" t="s">
        <v>3938</v>
      </c>
      <c r="C562" t="s">
        <v>3937</v>
      </c>
      <c r="D562" t="s">
        <v>1897</v>
      </c>
      <c r="E562" t="s">
        <v>96</v>
      </c>
      <c r="F562">
        <v>39.99</v>
      </c>
      <c r="G562" t="s">
        <v>11</v>
      </c>
      <c r="H562">
        <v>0</v>
      </c>
      <c r="M562">
        <v>0</v>
      </c>
      <c r="N562">
        <v>0</v>
      </c>
      <c r="O562">
        <v>0</v>
      </c>
      <c r="P562">
        <v>0</v>
      </c>
    </row>
    <row r="563" spans="1:16" x14ac:dyDescent="0.2">
      <c r="A563" t="s">
        <v>3954</v>
      </c>
      <c r="B563" t="s">
        <v>3956</v>
      </c>
      <c r="C563" t="s">
        <v>3955</v>
      </c>
      <c r="D563" t="s">
        <v>1897</v>
      </c>
      <c r="E563" t="s">
        <v>96</v>
      </c>
      <c r="F563">
        <v>239.99</v>
      </c>
      <c r="G563" t="s">
        <v>11</v>
      </c>
      <c r="H563">
        <v>0</v>
      </c>
      <c r="M563">
        <v>0</v>
      </c>
      <c r="N563">
        <v>0</v>
      </c>
      <c r="O563">
        <v>0</v>
      </c>
      <c r="P563">
        <v>0</v>
      </c>
    </row>
    <row r="564" spans="1:16" x14ac:dyDescent="0.2">
      <c r="A564" t="s">
        <v>3813</v>
      </c>
      <c r="B564" t="s">
        <v>3815</v>
      </c>
      <c r="C564" t="s">
        <v>3814</v>
      </c>
      <c r="D564" t="s">
        <v>1897</v>
      </c>
      <c r="E564" t="s">
        <v>96</v>
      </c>
      <c r="F564">
        <v>54.99</v>
      </c>
      <c r="G564" t="s">
        <v>11</v>
      </c>
      <c r="H564">
        <v>0</v>
      </c>
      <c r="M564">
        <v>0</v>
      </c>
      <c r="N564">
        <v>0</v>
      </c>
      <c r="O564">
        <v>0</v>
      </c>
      <c r="P564">
        <v>0</v>
      </c>
    </row>
    <row r="565" spans="1:16" x14ac:dyDescent="0.2">
      <c r="A565" t="s">
        <v>277</v>
      </c>
      <c r="B565" t="s">
        <v>4317</v>
      </c>
      <c r="C565" t="s">
        <v>278</v>
      </c>
      <c r="D565" t="s">
        <v>223</v>
      </c>
      <c r="E565" t="s">
        <v>228</v>
      </c>
      <c r="F565">
        <v>27.99</v>
      </c>
      <c r="G565" t="s">
        <v>11</v>
      </c>
      <c r="H565">
        <v>0</v>
      </c>
      <c r="M565">
        <v>0</v>
      </c>
      <c r="N565">
        <v>0</v>
      </c>
      <c r="O565">
        <v>0</v>
      </c>
      <c r="P565">
        <v>0</v>
      </c>
    </row>
    <row r="566" spans="1:16" x14ac:dyDescent="0.2">
      <c r="A566" t="s">
        <v>3948</v>
      </c>
      <c r="B566" t="s">
        <v>3950</v>
      </c>
      <c r="C566" t="s">
        <v>3949</v>
      </c>
      <c r="D566" t="s">
        <v>1897</v>
      </c>
      <c r="E566" t="s">
        <v>96</v>
      </c>
      <c r="F566">
        <v>239.99</v>
      </c>
      <c r="G566" t="s">
        <v>11</v>
      </c>
      <c r="H566">
        <v>0</v>
      </c>
      <c r="M566">
        <v>0</v>
      </c>
      <c r="N566">
        <v>0</v>
      </c>
      <c r="O566">
        <v>0</v>
      </c>
      <c r="P566">
        <v>0</v>
      </c>
    </row>
    <row r="567" spans="1:16" x14ac:dyDescent="0.2">
      <c r="A567" t="s">
        <v>279</v>
      </c>
      <c r="B567" t="s">
        <v>4257</v>
      </c>
      <c r="C567" t="s">
        <v>280</v>
      </c>
      <c r="D567" t="s">
        <v>223</v>
      </c>
      <c r="E567" t="s">
        <v>228</v>
      </c>
      <c r="F567">
        <v>24.99</v>
      </c>
      <c r="G567" t="s">
        <v>11</v>
      </c>
      <c r="H567">
        <v>0</v>
      </c>
      <c r="M567">
        <v>0</v>
      </c>
      <c r="N567">
        <v>0.33333333333333331</v>
      </c>
      <c r="O567">
        <v>0</v>
      </c>
      <c r="P567">
        <v>0</v>
      </c>
    </row>
    <row r="568" spans="1:16" x14ac:dyDescent="0.2">
      <c r="A568" t="s">
        <v>3951</v>
      </c>
      <c r="B568" t="s">
        <v>3953</v>
      </c>
      <c r="C568" t="s">
        <v>3952</v>
      </c>
      <c r="D568" t="s">
        <v>1897</v>
      </c>
      <c r="E568" t="s">
        <v>96</v>
      </c>
      <c r="F568">
        <v>129.99</v>
      </c>
      <c r="G568" t="s">
        <v>11</v>
      </c>
      <c r="H568">
        <v>0</v>
      </c>
      <c r="M568">
        <v>0</v>
      </c>
      <c r="N568">
        <v>0</v>
      </c>
      <c r="O568">
        <v>0</v>
      </c>
      <c r="P568">
        <v>0</v>
      </c>
    </row>
    <row r="569" spans="1:16" x14ac:dyDescent="0.2">
      <c r="A569" t="s">
        <v>281</v>
      </c>
      <c r="B569" t="s">
        <v>4346</v>
      </c>
      <c r="C569" t="s">
        <v>282</v>
      </c>
      <c r="D569" t="s">
        <v>223</v>
      </c>
      <c r="E569" t="s">
        <v>228</v>
      </c>
      <c r="F569">
        <v>29.99</v>
      </c>
      <c r="G569" t="s">
        <v>11</v>
      </c>
      <c r="H569">
        <v>0</v>
      </c>
      <c r="M569">
        <v>0</v>
      </c>
      <c r="N569">
        <v>0</v>
      </c>
      <c r="O569">
        <v>0</v>
      </c>
      <c r="P569">
        <v>0</v>
      </c>
    </row>
    <row r="570" spans="1:16" x14ac:dyDescent="0.2">
      <c r="A570" t="s">
        <v>3957</v>
      </c>
      <c r="B570" t="s">
        <v>3959</v>
      </c>
      <c r="C570" t="s">
        <v>3958</v>
      </c>
      <c r="D570" t="s">
        <v>1897</v>
      </c>
      <c r="E570" t="s">
        <v>96</v>
      </c>
      <c r="F570">
        <v>129.99</v>
      </c>
      <c r="G570" t="s">
        <v>11</v>
      </c>
      <c r="H570">
        <v>0</v>
      </c>
      <c r="M570">
        <v>0</v>
      </c>
      <c r="N570">
        <v>0</v>
      </c>
      <c r="O570">
        <v>0</v>
      </c>
      <c r="P570">
        <v>0</v>
      </c>
    </row>
    <row r="571" spans="1:16" x14ac:dyDescent="0.2">
      <c r="A571" t="s">
        <v>288</v>
      </c>
      <c r="B571" t="s">
        <v>4363</v>
      </c>
      <c r="C571" t="s">
        <v>289</v>
      </c>
      <c r="D571" t="s">
        <v>287</v>
      </c>
      <c r="E571" t="s">
        <v>290</v>
      </c>
      <c r="F571">
        <v>399.99</v>
      </c>
      <c r="G571" t="s">
        <v>11</v>
      </c>
      <c r="H571">
        <v>0</v>
      </c>
      <c r="M571">
        <v>0</v>
      </c>
      <c r="N571">
        <v>0</v>
      </c>
      <c r="O571">
        <v>0</v>
      </c>
      <c r="P571">
        <v>0</v>
      </c>
    </row>
    <row r="572" spans="1:16" x14ac:dyDescent="0.2">
      <c r="A572" t="s">
        <v>4289</v>
      </c>
      <c r="B572" t="s">
        <v>4291</v>
      </c>
      <c r="C572" t="s">
        <v>4290</v>
      </c>
      <c r="D572" t="s">
        <v>223</v>
      </c>
      <c r="E572" t="s">
        <v>96</v>
      </c>
      <c r="F572">
        <v>99.99</v>
      </c>
      <c r="G572" t="s">
        <v>11</v>
      </c>
      <c r="H572">
        <v>0</v>
      </c>
      <c r="M572">
        <v>0</v>
      </c>
      <c r="N572">
        <v>0</v>
      </c>
      <c r="O572">
        <v>0</v>
      </c>
      <c r="P572">
        <v>0</v>
      </c>
    </row>
    <row r="573" spans="1:16" x14ac:dyDescent="0.2">
      <c r="A573" t="s">
        <v>3822</v>
      </c>
      <c r="B573" t="s">
        <v>3824</v>
      </c>
      <c r="C573" t="s">
        <v>3823</v>
      </c>
      <c r="D573" t="s">
        <v>1897</v>
      </c>
      <c r="E573" t="s">
        <v>96</v>
      </c>
      <c r="F573">
        <v>34.99</v>
      </c>
      <c r="G573" t="s">
        <v>11</v>
      </c>
      <c r="H573">
        <v>0</v>
      </c>
      <c r="M573">
        <v>0</v>
      </c>
      <c r="N573">
        <v>0</v>
      </c>
      <c r="O573">
        <v>0</v>
      </c>
      <c r="P573">
        <v>0</v>
      </c>
    </row>
    <row r="574" spans="1:16" x14ac:dyDescent="0.2">
      <c r="A574" t="s">
        <v>257</v>
      </c>
      <c r="B574" t="s">
        <v>4277</v>
      </c>
      <c r="C574" t="s">
        <v>258</v>
      </c>
      <c r="D574" t="s">
        <v>223</v>
      </c>
      <c r="E574" t="s">
        <v>228</v>
      </c>
      <c r="F574">
        <v>59.99</v>
      </c>
      <c r="G574" t="s">
        <v>11</v>
      </c>
      <c r="H574">
        <v>0.25</v>
      </c>
      <c r="M574">
        <v>2.9999999999999996</v>
      </c>
      <c r="N574">
        <v>0.33333333333333337</v>
      </c>
      <c r="O574">
        <v>0</v>
      </c>
      <c r="P574">
        <v>1</v>
      </c>
    </row>
    <row r="575" spans="1:16" x14ac:dyDescent="0.2">
      <c r="A575" t="s">
        <v>291</v>
      </c>
      <c r="B575" t="s">
        <v>4365</v>
      </c>
      <c r="C575" t="s">
        <v>292</v>
      </c>
      <c r="D575" t="s">
        <v>287</v>
      </c>
      <c r="E575" t="s">
        <v>290</v>
      </c>
      <c r="F575">
        <v>329.99</v>
      </c>
      <c r="G575" t="s">
        <v>11</v>
      </c>
      <c r="H575">
        <v>0</v>
      </c>
      <c r="M575">
        <v>0</v>
      </c>
      <c r="N575">
        <v>0</v>
      </c>
      <c r="O575">
        <v>0</v>
      </c>
      <c r="P575">
        <v>0</v>
      </c>
    </row>
    <row r="576" spans="1:16" x14ac:dyDescent="0.2">
      <c r="A576" t="s">
        <v>295</v>
      </c>
      <c r="B576" t="s">
        <v>4360</v>
      </c>
      <c r="C576" t="s">
        <v>296</v>
      </c>
      <c r="D576" t="s">
        <v>287</v>
      </c>
      <c r="E576" t="s">
        <v>290</v>
      </c>
      <c r="F576">
        <v>329.99</v>
      </c>
      <c r="G576" t="s">
        <v>11</v>
      </c>
      <c r="H576">
        <v>0</v>
      </c>
      <c r="M576">
        <v>0</v>
      </c>
      <c r="N576">
        <v>0</v>
      </c>
      <c r="O576">
        <v>0</v>
      </c>
      <c r="P576">
        <v>0</v>
      </c>
    </row>
    <row r="577" spans="1:16" x14ac:dyDescent="0.2">
      <c r="A577" t="s">
        <v>5259</v>
      </c>
      <c r="B577" t="s">
        <v>5261</v>
      </c>
      <c r="C577" t="s">
        <v>5260</v>
      </c>
      <c r="D577" t="s">
        <v>5254</v>
      </c>
      <c r="E577" t="s">
        <v>290</v>
      </c>
      <c r="F577">
        <v>429.99</v>
      </c>
      <c r="G577" t="s">
        <v>11</v>
      </c>
      <c r="H577">
        <v>0</v>
      </c>
      <c r="M577">
        <v>0</v>
      </c>
      <c r="N577">
        <v>0</v>
      </c>
      <c r="O577">
        <v>0</v>
      </c>
      <c r="P577">
        <v>0</v>
      </c>
    </row>
    <row r="578" spans="1:16" x14ac:dyDescent="0.2">
      <c r="A578" t="s">
        <v>2134</v>
      </c>
      <c r="B578" t="s">
        <v>5794</v>
      </c>
      <c r="C578" t="s">
        <v>2135</v>
      </c>
      <c r="D578" t="s">
        <v>2131</v>
      </c>
      <c r="E578" t="s">
        <v>96</v>
      </c>
      <c r="F578">
        <v>39.99</v>
      </c>
      <c r="G578" t="s">
        <v>11</v>
      </c>
      <c r="H578">
        <v>0</v>
      </c>
      <c r="M578">
        <v>0</v>
      </c>
      <c r="N578">
        <v>0</v>
      </c>
      <c r="O578">
        <v>0</v>
      </c>
      <c r="P578">
        <v>0</v>
      </c>
    </row>
    <row r="579" spans="1:16" x14ac:dyDescent="0.2">
      <c r="A579" t="s">
        <v>3729</v>
      </c>
      <c r="B579" t="s">
        <v>3731</v>
      </c>
      <c r="C579" t="s">
        <v>3730</v>
      </c>
      <c r="D579" t="s">
        <v>1897</v>
      </c>
      <c r="E579" t="s">
        <v>96</v>
      </c>
      <c r="F579">
        <v>49.99</v>
      </c>
      <c r="G579" t="s">
        <v>11</v>
      </c>
      <c r="H579">
        <v>0</v>
      </c>
      <c r="M579">
        <v>0</v>
      </c>
      <c r="N579">
        <v>0</v>
      </c>
      <c r="O579">
        <v>0</v>
      </c>
      <c r="P579">
        <v>0</v>
      </c>
    </row>
    <row r="580" spans="1:16" x14ac:dyDescent="0.2">
      <c r="A580" t="s">
        <v>3433</v>
      </c>
      <c r="B580" t="s">
        <v>3435</v>
      </c>
      <c r="C580" t="s">
        <v>3434</v>
      </c>
      <c r="D580" t="s">
        <v>297</v>
      </c>
      <c r="E580" t="s">
        <v>96</v>
      </c>
      <c r="F580">
        <v>319.99</v>
      </c>
      <c r="G580" t="s">
        <v>11</v>
      </c>
      <c r="H580">
        <v>0</v>
      </c>
      <c r="M580">
        <v>0</v>
      </c>
      <c r="N580">
        <v>0</v>
      </c>
      <c r="O580">
        <v>0</v>
      </c>
      <c r="P580">
        <v>0</v>
      </c>
    </row>
    <row r="581" spans="1:16" x14ac:dyDescent="0.2">
      <c r="A581" t="s">
        <v>298</v>
      </c>
      <c r="B581" t="s">
        <v>3432</v>
      </c>
      <c r="C581" t="s">
        <v>299</v>
      </c>
      <c r="D581" t="s">
        <v>297</v>
      </c>
      <c r="E581" t="s">
        <v>290</v>
      </c>
      <c r="F581">
        <v>54.99</v>
      </c>
      <c r="G581" t="s">
        <v>11</v>
      </c>
      <c r="H581">
        <v>0</v>
      </c>
      <c r="M581">
        <v>0</v>
      </c>
      <c r="N581">
        <v>0</v>
      </c>
      <c r="O581">
        <v>0</v>
      </c>
      <c r="P581">
        <v>0</v>
      </c>
    </row>
    <row r="582" spans="1:16" x14ac:dyDescent="0.2">
      <c r="A582" t="s">
        <v>4328</v>
      </c>
      <c r="B582" t="s">
        <v>4331</v>
      </c>
      <c r="C582" t="s">
        <v>4329</v>
      </c>
      <c r="D582" t="s">
        <v>4330</v>
      </c>
      <c r="E582" t="s">
        <v>96</v>
      </c>
      <c r="F582">
        <v>49.99</v>
      </c>
      <c r="G582" t="s">
        <v>11</v>
      </c>
      <c r="H582">
        <v>0</v>
      </c>
      <c r="M582">
        <v>0</v>
      </c>
      <c r="N582">
        <v>0</v>
      </c>
      <c r="O582">
        <v>0</v>
      </c>
      <c r="P582">
        <v>0</v>
      </c>
    </row>
    <row r="583" spans="1:16" x14ac:dyDescent="0.2">
      <c r="A583" t="s">
        <v>3423</v>
      </c>
      <c r="B583" t="s">
        <v>3425</v>
      </c>
      <c r="C583" t="s">
        <v>3424</v>
      </c>
      <c r="D583" t="s">
        <v>297</v>
      </c>
      <c r="E583" t="s">
        <v>96</v>
      </c>
      <c r="F583">
        <v>59.99</v>
      </c>
      <c r="G583" t="s">
        <v>11</v>
      </c>
      <c r="H583">
        <v>0</v>
      </c>
      <c r="M583">
        <v>0</v>
      </c>
      <c r="N583">
        <v>0</v>
      </c>
      <c r="O583">
        <v>0</v>
      </c>
      <c r="P583">
        <v>0</v>
      </c>
    </row>
    <row r="584" spans="1:16" x14ac:dyDescent="0.2">
      <c r="A584" t="s">
        <v>4297</v>
      </c>
      <c r="B584" t="s">
        <v>4299</v>
      </c>
      <c r="C584" t="s">
        <v>4298</v>
      </c>
      <c r="D584" t="s">
        <v>223</v>
      </c>
      <c r="E584" t="s">
        <v>96</v>
      </c>
      <c r="F584">
        <v>54.99</v>
      </c>
      <c r="G584" t="s">
        <v>11</v>
      </c>
      <c r="H584">
        <v>0</v>
      </c>
      <c r="M584">
        <v>0</v>
      </c>
      <c r="N584">
        <v>0</v>
      </c>
      <c r="O584">
        <v>0</v>
      </c>
      <c r="P584">
        <v>0</v>
      </c>
    </row>
    <row r="585" spans="1:16" x14ac:dyDescent="0.2">
      <c r="A585" t="s">
        <v>4340</v>
      </c>
      <c r="B585" t="s">
        <v>4342</v>
      </c>
      <c r="C585" t="s">
        <v>4341</v>
      </c>
      <c r="D585" t="s">
        <v>4330</v>
      </c>
      <c r="E585" t="s">
        <v>96</v>
      </c>
      <c r="F585">
        <v>21.99</v>
      </c>
      <c r="G585" t="s">
        <v>11</v>
      </c>
      <c r="H585">
        <v>0</v>
      </c>
      <c r="M585">
        <v>0</v>
      </c>
      <c r="N585">
        <v>0</v>
      </c>
      <c r="O585">
        <v>0</v>
      </c>
      <c r="P585">
        <v>0</v>
      </c>
    </row>
    <row r="586" spans="1:16" x14ac:dyDescent="0.2">
      <c r="A586" t="s">
        <v>5256</v>
      </c>
      <c r="B586" t="s">
        <v>5258</v>
      </c>
      <c r="C586" t="s">
        <v>5257</v>
      </c>
      <c r="D586" t="s">
        <v>5254</v>
      </c>
      <c r="E586" t="s">
        <v>96</v>
      </c>
      <c r="F586">
        <v>379.99</v>
      </c>
      <c r="G586" t="s">
        <v>11</v>
      </c>
      <c r="H586">
        <v>0</v>
      </c>
      <c r="M586">
        <v>0</v>
      </c>
      <c r="N586">
        <v>0</v>
      </c>
      <c r="O586">
        <v>0</v>
      </c>
      <c r="P586">
        <v>0</v>
      </c>
    </row>
    <row r="587" spans="1:16" x14ac:dyDescent="0.2">
      <c r="A587" t="s">
        <v>3436</v>
      </c>
      <c r="B587" t="s">
        <v>3438</v>
      </c>
      <c r="C587" t="s">
        <v>3437</v>
      </c>
      <c r="D587" t="s">
        <v>297</v>
      </c>
      <c r="E587" t="s">
        <v>96</v>
      </c>
      <c r="F587">
        <v>299.99</v>
      </c>
      <c r="G587" t="s">
        <v>11</v>
      </c>
      <c r="H587">
        <v>0</v>
      </c>
      <c r="M587">
        <v>0</v>
      </c>
      <c r="N587">
        <v>0</v>
      </c>
      <c r="O587">
        <v>0</v>
      </c>
      <c r="P587">
        <v>0</v>
      </c>
    </row>
    <row r="588" spans="1:16" x14ac:dyDescent="0.2">
      <c r="A588" t="s">
        <v>3426</v>
      </c>
      <c r="B588" t="s">
        <v>3428</v>
      </c>
      <c r="C588" t="s">
        <v>3427</v>
      </c>
      <c r="D588" t="s">
        <v>297</v>
      </c>
      <c r="E588" t="s">
        <v>96</v>
      </c>
      <c r="F588">
        <v>269.99</v>
      </c>
      <c r="G588" t="s">
        <v>11</v>
      </c>
      <c r="H588">
        <v>0</v>
      </c>
      <c r="M588">
        <v>0</v>
      </c>
      <c r="N588">
        <v>0</v>
      </c>
      <c r="O588">
        <v>0</v>
      </c>
      <c r="P588">
        <v>0</v>
      </c>
    </row>
    <row r="589" spans="1:16" x14ac:dyDescent="0.2">
      <c r="A589" t="s">
        <v>4461</v>
      </c>
      <c r="B589" t="s">
        <v>4464</v>
      </c>
      <c r="C589" t="s">
        <v>4462</v>
      </c>
      <c r="D589" t="s">
        <v>4463</v>
      </c>
      <c r="E589" t="s">
        <v>96</v>
      </c>
      <c r="F589">
        <v>59.99</v>
      </c>
      <c r="G589" t="s">
        <v>11</v>
      </c>
      <c r="H589">
        <v>0</v>
      </c>
      <c r="M589">
        <v>0</v>
      </c>
      <c r="N589">
        <v>0</v>
      </c>
      <c r="O589">
        <v>0</v>
      </c>
      <c r="P589">
        <v>0</v>
      </c>
    </row>
    <row r="590" spans="1:16" x14ac:dyDescent="0.2">
      <c r="A590" t="s">
        <v>5252</v>
      </c>
      <c r="B590" t="s">
        <v>5255</v>
      </c>
      <c r="C590" t="s">
        <v>5253</v>
      </c>
      <c r="D590" t="s">
        <v>5254</v>
      </c>
      <c r="E590" t="s">
        <v>96</v>
      </c>
      <c r="F590">
        <v>79.989999999999995</v>
      </c>
      <c r="G590" t="s">
        <v>11</v>
      </c>
      <c r="H590">
        <v>0</v>
      </c>
      <c r="M590">
        <v>0</v>
      </c>
      <c r="N590">
        <v>0</v>
      </c>
      <c r="O590">
        <v>0</v>
      </c>
      <c r="P590">
        <v>0</v>
      </c>
    </row>
    <row r="591" spans="1:16" x14ac:dyDescent="0.2">
      <c r="A591" t="s">
        <v>3429</v>
      </c>
      <c r="B591" t="s">
        <v>3431</v>
      </c>
      <c r="C591" t="s">
        <v>3430</v>
      </c>
      <c r="D591" t="s">
        <v>297</v>
      </c>
      <c r="E591" t="s">
        <v>96</v>
      </c>
      <c r="F591">
        <v>99.99</v>
      </c>
      <c r="G591" t="s">
        <v>11</v>
      </c>
      <c r="H591">
        <v>0</v>
      </c>
      <c r="M591">
        <v>0</v>
      </c>
      <c r="N591">
        <v>0</v>
      </c>
      <c r="O591">
        <v>0</v>
      </c>
      <c r="P591">
        <v>0</v>
      </c>
    </row>
    <row r="592" spans="1:16" x14ac:dyDescent="0.2">
      <c r="A592" t="s">
        <v>3420</v>
      </c>
      <c r="B592" t="s">
        <v>3422</v>
      </c>
      <c r="C592" t="s">
        <v>3421</v>
      </c>
      <c r="D592" t="s">
        <v>297</v>
      </c>
      <c r="E592" t="s">
        <v>96</v>
      </c>
      <c r="F592">
        <v>89.99</v>
      </c>
      <c r="G592" t="s">
        <v>11</v>
      </c>
      <c r="H592">
        <v>0</v>
      </c>
      <c r="M592">
        <v>0</v>
      </c>
      <c r="N592">
        <v>0</v>
      </c>
      <c r="O592">
        <v>0</v>
      </c>
      <c r="P592">
        <v>0</v>
      </c>
    </row>
    <row r="593" spans="1:16" x14ac:dyDescent="0.2">
      <c r="A593" t="s">
        <v>5262</v>
      </c>
      <c r="B593" t="s">
        <v>5264</v>
      </c>
      <c r="C593" t="s">
        <v>5263</v>
      </c>
      <c r="D593" t="s">
        <v>5254</v>
      </c>
      <c r="E593" t="s">
        <v>96</v>
      </c>
      <c r="F593">
        <v>379.99</v>
      </c>
      <c r="G593" t="s">
        <v>11</v>
      </c>
      <c r="H593">
        <v>0</v>
      </c>
      <c r="M593">
        <v>0</v>
      </c>
      <c r="N593">
        <v>0</v>
      </c>
      <c r="O593">
        <v>0</v>
      </c>
      <c r="P593">
        <v>0</v>
      </c>
    </row>
    <row r="594" spans="1:16" x14ac:dyDescent="0.2">
      <c r="A594" t="s">
        <v>3440</v>
      </c>
      <c r="B594" t="s">
        <v>3442</v>
      </c>
      <c r="C594" t="s">
        <v>3441</v>
      </c>
      <c r="D594" t="s">
        <v>297</v>
      </c>
      <c r="E594" t="s">
        <v>96</v>
      </c>
      <c r="F594">
        <v>449.99</v>
      </c>
      <c r="G594" t="s">
        <v>11</v>
      </c>
      <c r="H594">
        <v>0</v>
      </c>
      <c r="M594">
        <v>0</v>
      </c>
      <c r="N594">
        <v>0</v>
      </c>
      <c r="O594">
        <v>0</v>
      </c>
      <c r="P594">
        <v>0</v>
      </c>
    </row>
    <row r="595" spans="1:16" x14ac:dyDescent="0.2">
      <c r="A595" t="s">
        <v>300</v>
      </c>
      <c r="B595" t="s">
        <v>3439</v>
      </c>
      <c r="C595" t="s">
        <v>301</v>
      </c>
      <c r="D595" t="s">
        <v>297</v>
      </c>
      <c r="E595" t="s">
        <v>290</v>
      </c>
      <c r="F595">
        <v>54.99</v>
      </c>
      <c r="G595" t="s">
        <v>11</v>
      </c>
      <c r="H595">
        <v>0</v>
      </c>
      <c r="M595">
        <v>0</v>
      </c>
      <c r="N595">
        <v>0</v>
      </c>
      <c r="O595">
        <v>0</v>
      </c>
      <c r="P595">
        <v>0</v>
      </c>
    </row>
    <row r="596" spans="1:16" x14ac:dyDescent="0.2">
      <c r="A596" t="s">
        <v>4307</v>
      </c>
      <c r="B596" t="s">
        <v>4309</v>
      </c>
      <c r="C596" t="s">
        <v>4308</v>
      </c>
      <c r="D596" t="s">
        <v>223</v>
      </c>
      <c r="E596" t="s">
        <v>96</v>
      </c>
      <c r="F596">
        <v>62.99</v>
      </c>
      <c r="G596" t="s">
        <v>11</v>
      </c>
      <c r="H596">
        <v>0</v>
      </c>
      <c r="M596">
        <v>0</v>
      </c>
      <c r="N596">
        <v>0</v>
      </c>
      <c r="O596">
        <v>0</v>
      </c>
      <c r="P596">
        <v>0</v>
      </c>
    </row>
    <row r="597" spans="1:16" x14ac:dyDescent="0.2">
      <c r="A597" t="s">
        <v>6613</v>
      </c>
      <c r="B597" t="s">
        <v>6615</v>
      </c>
      <c r="C597" t="s">
        <v>6614</v>
      </c>
      <c r="D597" t="s">
        <v>2987</v>
      </c>
      <c r="E597" t="s">
        <v>96</v>
      </c>
      <c r="F597">
        <v>69.989999999999995</v>
      </c>
      <c r="G597" t="s">
        <v>11</v>
      </c>
      <c r="H597">
        <v>0</v>
      </c>
      <c r="M597">
        <v>0</v>
      </c>
      <c r="N597">
        <v>0</v>
      </c>
      <c r="O597">
        <v>0</v>
      </c>
      <c r="P597">
        <v>0</v>
      </c>
    </row>
    <row r="598" spans="1:16" x14ac:dyDescent="0.2">
      <c r="A598" t="s">
        <v>4593</v>
      </c>
      <c r="B598" t="s">
        <v>4595</v>
      </c>
      <c r="C598" t="s">
        <v>4594</v>
      </c>
      <c r="D598" t="s">
        <v>4463</v>
      </c>
      <c r="E598" t="s">
        <v>96</v>
      </c>
      <c r="F598">
        <v>14.99</v>
      </c>
      <c r="G598" t="s">
        <v>11</v>
      </c>
      <c r="H598">
        <v>0</v>
      </c>
      <c r="M598">
        <v>0</v>
      </c>
      <c r="N598">
        <v>0</v>
      </c>
      <c r="O598">
        <v>0</v>
      </c>
      <c r="P598">
        <v>0</v>
      </c>
    </row>
    <row r="599" spans="1:16" x14ac:dyDescent="0.2">
      <c r="A599" t="s">
        <v>4294</v>
      </c>
      <c r="B599" t="s">
        <v>4296</v>
      </c>
      <c r="C599" t="s">
        <v>4295</v>
      </c>
      <c r="D599" t="s">
        <v>223</v>
      </c>
      <c r="E599" t="s">
        <v>96</v>
      </c>
      <c r="F599">
        <v>54.99</v>
      </c>
      <c r="G599" t="s">
        <v>11</v>
      </c>
      <c r="H599">
        <v>0</v>
      </c>
      <c r="M599">
        <v>0</v>
      </c>
      <c r="N599">
        <v>0</v>
      </c>
      <c r="O599">
        <v>0</v>
      </c>
      <c r="P599">
        <v>0</v>
      </c>
    </row>
    <row r="600" spans="1:16" x14ac:dyDescent="0.2">
      <c r="A600" t="s">
        <v>3859</v>
      </c>
      <c r="B600" t="s">
        <v>3861</v>
      </c>
      <c r="C600" t="s">
        <v>3860</v>
      </c>
      <c r="D600" t="s">
        <v>1897</v>
      </c>
      <c r="E600" t="s">
        <v>96</v>
      </c>
      <c r="F600">
        <v>79.989999999999995</v>
      </c>
      <c r="G600" t="s">
        <v>11</v>
      </c>
      <c r="H600">
        <v>0</v>
      </c>
      <c r="M600">
        <v>0</v>
      </c>
      <c r="N600">
        <v>0</v>
      </c>
      <c r="O600">
        <v>0</v>
      </c>
      <c r="P600">
        <v>0</v>
      </c>
    </row>
    <row r="601" spans="1:16" x14ac:dyDescent="0.2">
      <c r="A601" t="s">
        <v>4476</v>
      </c>
      <c r="B601" t="s">
        <v>4478</v>
      </c>
      <c r="C601" t="s">
        <v>4477</v>
      </c>
      <c r="D601" t="s">
        <v>4463</v>
      </c>
      <c r="E601" t="s">
        <v>290</v>
      </c>
      <c r="F601">
        <v>39.99</v>
      </c>
      <c r="G601" t="s">
        <v>11</v>
      </c>
      <c r="H601">
        <v>0</v>
      </c>
      <c r="M601">
        <v>0</v>
      </c>
      <c r="N601">
        <v>0</v>
      </c>
      <c r="O601">
        <v>0</v>
      </c>
      <c r="P601">
        <v>0</v>
      </c>
    </row>
    <row r="602" spans="1:16" x14ac:dyDescent="0.2">
      <c r="A602" t="s">
        <v>4472</v>
      </c>
      <c r="B602" t="s">
        <v>4474</v>
      </c>
      <c r="C602" t="s">
        <v>4473</v>
      </c>
      <c r="D602" t="s">
        <v>4463</v>
      </c>
      <c r="E602" t="s">
        <v>96</v>
      </c>
      <c r="F602">
        <v>44.99</v>
      </c>
      <c r="G602" t="s">
        <v>11</v>
      </c>
      <c r="H602">
        <v>0</v>
      </c>
      <c r="M602">
        <v>0</v>
      </c>
      <c r="N602">
        <v>0</v>
      </c>
      <c r="O602">
        <v>0</v>
      </c>
      <c r="P602">
        <v>0</v>
      </c>
    </row>
    <row r="603" spans="1:16" x14ac:dyDescent="0.2">
      <c r="A603" t="s">
        <v>4480</v>
      </c>
      <c r="B603" t="s">
        <v>4482</v>
      </c>
      <c r="C603" t="s">
        <v>4481</v>
      </c>
      <c r="D603" t="s">
        <v>4463</v>
      </c>
      <c r="E603" t="s">
        <v>96</v>
      </c>
      <c r="F603">
        <v>44.99</v>
      </c>
      <c r="G603" t="s">
        <v>11</v>
      </c>
      <c r="H603">
        <v>0</v>
      </c>
      <c r="M603">
        <v>0</v>
      </c>
      <c r="N603">
        <v>0</v>
      </c>
      <c r="O603">
        <v>0</v>
      </c>
      <c r="P603">
        <v>0</v>
      </c>
    </row>
    <row r="604" spans="1:16" x14ac:dyDescent="0.2">
      <c r="A604" t="s">
        <v>4488</v>
      </c>
      <c r="B604" t="s">
        <v>4490</v>
      </c>
      <c r="C604" t="s">
        <v>4489</v>
      </c>
      <c r="D604" t="s">
        <v>4463</v>
      </c>
      <c r="E604" t="s">
        <v>96</v>
      </c>
      <c r="F604">
        <v>19.989999999999998</v>
      </c>
      <c r="G604" t="s">
        <v>11</v>
      </c>
      <c r="H604">
        <v>0</v>
      </c>
      <c r="M604">
        <v>0</v>
      </c>
      <c r="N604">
        <v>0</v>
      </c>
      <c r="O604">
        <v>0</v>
      </c>
      <c r="P604">
        <v>0</v>
      </c>
    </row>
    <row r="605" spans="1:16" x14ac:dyDescent="0.2">
      <c r="A605" t="s">
        <v>4491</v>
      </c>
      <c r="B605" t="s">
        <v>4493</v>
      </c>
      <c r="C605" t="s">
        <v>4492</v>
      </c>
      <c r="D605" t="s">
        <v>4463</v>
      </c>
      <c r="E605" t="s">
        <v>96</v>
      </c>
      <c r="F605">
        <v>19.989999999999998</v>
      </c>
      <c r="G605" t="s">
        <v>11</v>
      </c>
      <c r="H605">
        <v>0</v>
      </c>
      <c r="M605">
        <v>0</v>
      </c>
      <c r="N605">
        <v>0</v>
      </c>
      <c r="O605">
        <v>0</v>
      </c>
      <c r="P605">
        <v>0</v>
      </c>
    </row>
    <row r="606" spans="1:16" x14ac:dyDescent="0.2">
      <c r="A606" t="s">
        <v>4498</v>
      </c>
      <c r="B606" t="s">
        <v>4500</v>
      </c>
      <c r="C606" t="s">
        <v>4499</v>
      </c>
      <c r="D606" t="s">
        <v>4463</v>
      </c>
      <c r="E606" t="s">
        <v>96</v>
      </c>
      <c r="F606">
        <v>19.989999999999998</v>
      </c>
      <c r="G606" t="s">
        <v>11</v>
      </c>
      <c r="H606">
        <v>0</v>
      </c>
      <c r="M606">
        <v>0</v>
      </c>
      <c r="N606">
        <v>0</v>
      </c>
      <c r="O606">
        <v>0</v>
      </c>
      <c r="P606">
        <v>0</v>
      </c>
    </row>
    <row r="607" spans="1:16" x14ac:dyDescent="0.2">
      <c r="A607" t="s">
        <v>4494</v>
      </c>
      <c r="B607" t="s">
        <v>4496</v>
      </c>
      <c r="C607" t="s">
        <v>4495</v>
      </c>
      <c r="D607" t="s">
        <v>4463</v>
      </c>
      <c r="E607" t="s">
        <v>290</v>
      </c>
      <c r="F607">
        <v>19.989999999999998</v>
      </c>
      <c r="G607" t="s">
        <v>11</v>
      </c>
      <c r="H607">
        <v>0</v>
      </c>
      <c r="M607">
        <v>0</v>
      </c>
      <c r="N607">
        <v>0</v>
      </c>
      <c r="O607">
        <v>0</v>
      </c>
      <c r="P607">
        <v>0</v>
      </c>
    </row>
    <row r="608" spans="1:16" x14ac:dyDescent="0.2">
      <c r="A608" t="s">
        <v>4524</v>
      </c>
      <c r="B608" t="s">
        <v>4526</v>
      </c>
      <c r="C608" t="s">
        <v>4525</v>
      </c>
      <c r="D608" t="s">
        <v>4463</v>
      </c>
      <c r="E608" t="s">
        <v>96</v>
      </c>
      <c r="F608">
        <v>17.989999999999998</v>
      </c>
      <c r="G608" t="s">
        <v>11</v>
      </c>
      <c r="H608">
        <v>0</v>
      </c>
      <c r="M608">
        <v>0</v>
      </c>
      <c r="N608">
        <v>0</v>
      </c>
      <c r="O608">
        <v>0</v>
      </c>
      <c r="P608">
        <v>0</v>
      </c>
    </row>
    <row r="609" spans="1:16" x14ac:dyDescent="0.2">
      <c r="A609" t="s">
        <v>4501</v>
      </c>
      <c r="B609" t="s">
        <v>4503</v>
      </c>
      <c r="C609" t="s">
        <v>4502</v>
      </c>
      <c r="D609" t="s">
        <v>4463</v>
      </c>
      <c r="E609" t="s">
        <v>96</v>
      </c>
      <c r="F609">
        <v>19.989999999999998</v>
      </c>
      <c r="G609" t="s">
        <v>11</v>
      </c>
      <c r="H609">
        <v>0</v>
      </c>
      <c r="M609">
        <v>0</v>
      </c>
      <c r="N609">
        <v>0</v>
      </c>
      <c r="O609">
        <v>0</v>
      </c>
      <c r="P609">
        <v>0</v>
      </c>
    </row>
    <row r="610" spans="1:16" x14ac:dyDescent="0.2">
      <c r="A610" t="s">
        <v>4514</v>
      </c>
      <c r="B610" t="s">
        <v>4516</v>
      </c>
      <c r="C610" t="s">
        <v>4515</v>
      </c>
      <c r="D610" t="s">
        <v>4463</v>
      </c>
      <c r="E610" t="s">
        <v>96</v>
      </c>
      <c r="F610">
        <v>19.989999999999998</v>
      </c>
      <c r="G610" t="s">
        <v>11</v>
      </c>
      <c r="H610">
        <v>0</v>
      </c>
      <c r="M610">
        <v>0</v>
      </c>
      <c r="N610">
        <v>0</v>
      </c>
      <c r="O610">
        <v>0</v>
      </c>
      <c r="P610">
        <v>0</v>
      </c>
    </row>
    <row r="611" spans="1:16" x14ac:dyDescent="0.2">
      <c r="A611" t="s">
        <v>4532</v>
      </c>
      <c r="B611" t="s">
        <v>4534</v>
      </c>
      <c r="C611" t="s">
        <v>4533</v>
      </c>
      <c r="D611" t="s">
        <v>4463</v>
      </c>
      <c r="E611" t="s">
        <v>290</v>
      </c>
      <c r="F611">
        <v>19.989999999999998</v>
      </c>
      <c r="G611" t="s">
        <v>11</v>
      </c>
      <c r="H611">
        <v>0</v>
      </c>
      <c r="M611">
        <v>0</v>
      </c>
      <c r="N611">
        <v>0</v>
      </c>
      <c r="O611">
        <v>0</v>
      </c>
      <c r="P611">
        <v>0</v>
      </c>
    </row>
    <row r="612" spans="1:16" x14ac:dyDescent="0.2">
      <c r="A612" t="s">
        <v>4507</v>
      </c>
      <c r="B612" t="s">
        <v>4509</v>
      </c>
      <c r="C612" t="s">
        <v>4508</v>
      </c>
      <c r="D612" t="s">
        <v>4463</v>
      </c>
      <c r="E612" t="s">
        <v>96</v>
      </c>
      <c r="F612">
        <v>19.989999999999998</v>
      </c>
      <c r="G612" t="s">
        <v>11</v>
      </c>
      <c r="H612">
        <v>0</v>
      </c>
      <c r="M612">
        <v>0</v>
      </c>
      <c r="N612">
        <v>0</v>
      </c>
      <c r="O612">
        <v>0</v>
      </c>
      <c r="P612">
        <v>0</v>
      </c>
    </row>
    <row r="613" spans="1:16" x14ac:dyDescent="0.2">
      <c r="A613" t="s">
        <v>4511</v>
      </c>
      <c r="B613" t="s">
        <v>4513</v>
      </c>
      <c r="C613" t="s">
        <v>4512</v>
      </c>
      <c r="D613" t="s">
        <v>4463</v>
      </c>
      <c r="E613" t="s">
        <v>96</v>
      </c>
      <c r="F613">
        <v>19.989999999999998</v>
      </c>
      <c r="G613" t="s">
        <v>11</v>
      </c>
      <c r="H613">
        <v>0</v>
      </c>
      <c r="M613">
        <v>0</v>
      </c>
      <c r="N613">
        <v>0</v>
      </c>
      <c r="O613">
        <v>0</v>
      </c>
      <c r="P613">
        <v>0</v>
      </c>
    </row>
    <row r="614" spans="1:16" x14ac:dyDescent="0.2">
      <c r="A614" t="s">
        <v>4528</v>
      </c>
      <c r="B614" t="s">
        <v>4530</v>
      </c>
      <c r="C614" t="s">
        <v>4529</v>
      </c>
      <c r="D614" t="s">
        <v>4463</v>
      </c>
      <c r="E614" t="s">
        <v>290</v>
      </c>
      <c r="F614">
        <v>19.989999999999998</v>
      </c>
      <c r="G614" t="s">
        <v>11</v>
      </c>
      <c r="H614">
        <v>0</v>
      </c>
      <c r="M614">
        <v>0</v>
      </c>
      <c r="N614">
        <v>0</v>
      </c>
      <c r="O614">
        <v>0</v>
      </c>
      <c r="P614">
        <v>0</v>
      </c>
    </row>
    <row r="615" spans="1:16" x14ac:dyDescent="0.2">
      <c r="A615" t="s">
        <v>4517</v>
      </c>
      <c r="B615" t="s">
        <v>4519</v>
      </c>
      <c r="C615" t="s">
        <v>4518</v>
      </c>
      <c r="D615" t="s">
        <v>4463</v>
      </c>
      <c r="E615" t="s">
        <v>96</v>
      </c>
      <c r="F615">
        <v>17.989999999999998</v>
      </c>
      <c r="G615" t="s">
        <v>11</v>
      </c>
      <c r="H615">
        <v>0</v>
      </c>
      <c r="M615">
        <v>0</v>
      </c>
      <c r="N615">
        <v>0</v>
      </c>
      <c r="O615">
        <v>0</v>
      </c>
      <c r="P615">
        <v>0</v>
      </c>
    </row>
    <row r="616" spans="1:16" x14ac:dyDescent="0.2">
      <c r="A616" t="s">
        <v>3856</v>
      </c>
      <c r="B616" t="s">
        <v>3858</v>
      </c>
      <c r="C616" t="s">
        <v>3857</v>
      </c>
      <c r="D616" t="s">
        <v>1897</v>
      </c>
      <c r="E616" t="s">
        <v>96</v>
      </c>
      <c r="F616">
        <v>69.989999999999995</v>
      </c>
      <c r="G616" t="s">
        <v>11</v>
      </c>
      <c r="H616">
        <v>0</v>
      </c>
      <c r="M616">
        <v>0</v>
      </c>
      <c r="N616">
        <v>0</v>
      </c>
      <c r="O616">
        <v>0</v>
      </c>
      <c r="P616">
        <v>0</v>
      </c>
    </row>
    <row r="617" spans="1:16" x14ac:dyDescent="0.2">
      <c r="A617" t="s">
        <v>4520</v>
      </c>
      <c r="B617" t="s">
        <v>4522</v>
      </c>
      <c r="C617" t="s">
        <v>4521</v>
      </c>
      <c r="D617" t="s">
        <v>4463</v>
      </c>
      <c r="E617" t="s">
        <v>290</v>
      </c>
      <c r="F617">
        <v>17.989999999999998</v>
      </c>
      <c r="G617" t="s">
        <v>11</v>
      </c>
      <c r="H617">
        <v>0</v>
      </c>
      <c r="M617">
        <v>0</v>
      </c>
      <c r="N617">
        <v>0</v>
      </c>
      <c r="O617">
        <v>0</v>
      </c>
      <c r="P617">
        <v>0</v>
      </c>
    </row>
    <row r="618" spans="1:16" x14ac:dyDescent="0.2">
      <c r="A618" t="s">
        <v>4504</v>
      </c>
      <c r="B618" t="s">
        <v>4506</v>
      </c>
      <c r="C618" t="s">
        <v>4505</v>
      </c>
      <c r="D618" t="s">
        <v>4463</v>
      </c>
      <c r="E618" t="s">
        <v>96</v>
      </c>
      <c r="F618">
        <v>19.989999999999998</v>
      </c>
      <c r="G618" t="s">
        <v>11</v>
      </c>
      <c r="H618">
        <v>0</v>
      </c>
      <c r="M618">
        <v>0</v>
      </c>
      <c r="N618">
        <v>0</v>
      </c>
      <c r="O618">
        <v>0</v>
      </c>
      <c r="P618">
        <v>0</v>
      </c>
    </row>
    <row r="619" spans="1:16" x14ac:dyDescent="0.2">
      <c r="A619" t="s">
        <v>4465</v>
      </c>
      <c r="B619" t="s">
        <v>4467</v>
      </c>
      <c r="C619" t="s">
        <v>4466</v>
      </c>
      <c r="D619" t="s">
        <v>4463</v>
      </c>
      <c r="E619" t="s">
        <v>96</v>
      </c>
      <c r="F619">
        <v>59.99</v>
      </c>
      <c r="G619" t="s">
        <v>11</v>
      </c>
      <c r="H619">
        <v>0</v>
      </c>
      <c r="M619">
        <v>0</v>
      </c>
      <c r="N619">
        <v>0</v>
      </c>
      <c r="O619">
        <v>0</v>
      </c>
      <c r="P619">
        <v>0</v>
      </c>
    </row>
    <row r="620" spans="1:16" x14ac:dyDescent="0.2">
      <c r="A620" t="s">
        <v>3743</v>
      </c>
      <c r="B620" t="s">
        <v>3745</v>
      </c>
      <c r="C620" t="s">
        <v>3744</v>
      </c>
      <c r="D620" t="s">
        <v>1897</v>
      </c>
      <c r="E620" t="s">
        <v>96</v>
      </c>
      <c r="F620">
        <v>69.989999999999995</v>
      </c>
      <c r="G620" t="s">
        <v>11</v>
      </c>
      <c r="H620">
        <v>0</v>
      </c>
      <c r="M620">
        <v>0</v>
      </c>
      <c r="N620">
        <v>0</v>
      </c>
      <c r="O620">
        <v>0</v>
      </c>
      <c r="P620">
        <v>0</v>
      </c>
    </row>
    <row r="621" spans="1:16" x14ac:dyDescent="0.2">
      <c r="A621" t="s">
        <v>3825</v>
      </c>
      <c r="B621" t="s">
        <v>3827</v>
      </c>
      <c r="C621" t="s">
        <v>3826</v>
      </c>
      <c r="D621" t="s">
        <v>1897</v>
      </c>
      <c r="E621" t="s">
        <v>96</v>
      </c>
      <c r="F621">
        <v>59.99</v>
      </c>
      <c r="G621" t="s">
        <v>11</v>
      </c>
      <c r="H621">
        <v>0</v>
      </c>
      <c r="M621">
        <v>0</v>
      </c>
      <c r="N621">
        <v>0</v>
      </c>
      <c r="O621">
        <v>0</v>
      </c>
      <c r="P621">
        <v>0</v>
      </c>
    </row>
    <row r="622" spans="1:16" x14ac:dyDescent="0.2">
      <c r="A622" t="s">
        <v>4165</v>
      </c>
      <c r="B622" t="s">
        <v>4167</v>
      </c>
      <c r="C622" t="s">
        <v>4166</v>
      </c>
      <c r="D622" t="s">
        <v>1897</v>
      </c>
      <c r="E622" t="s">
        <v>96</v>
      </c>
      <c r="F622">
        <v>299.99</v>
      </c>
      <c r="G622" t="s">
        <v>11</v>
      </c>
      <c r="H622">
        <v>0</v>
      </c>
      <c r="M622">
        <v>0</v>
      </c>
      <c r="N622">
        <v>0</v>
      </c>
      <c r="O622">
        <v>0</v>
      </c>
      <c r="P622">
        <v>0</v>
      </c>
    </row>
    <row r="623" spans="1:16" x14ac:dyDescent="0.2">
      <c r="A623" t="s">
        <v>3862</v>
      </c>
      <c r="B623" t="s">
        <v>3864</v>
      </c>
      <c r="C623" t="s">
        <v>3863</v>
      </c>
      <c r="D623" t="s">
        <v>1897</v>
      </c>
      <c r="E623" t="s">
        <v>96</v>
      </c>
      <c r="F623">
        <v>59.99</v>
      </c>
      <c r="G623" t="s">
        <v>11</v>
      </c>
      <c r="H623">
        <v>0</v>
      </c>
      <c r="M623">
        <v>0</v>
      </c>
      <c r="N623">
        <v>0</v>
      </c>
      <c r="O623">
        <v>0</v>
      </c>
      <c r="P623">
        <v>0</v>
      </c>
    </row>
    <row r="624" spans="1:16" x14ac:dyDescent="0.2">
      <c r="A624" t="s">
        <v>4600</v>
      </c>
      <c r="B624" t="s">
        <v>4602</v>
      </c>
      <c r="C624" t="s">
        <v>4601</v>
      </c>
      <c r="D624" t="s">
        <v>4463</v>
      </c>
      <c r="E624" t="s">
        <v>96</v>
      </c>
      <c r="F624">
        <v>19.989999999999998</v>
      </c>
      <c r="G624" t="s">
        <v>11</v>
      </c>
      <c r="H624">
        <v>0</v>
      </c>
      <c r="M624">
        <v>0</v>
      </c>
      <c r="N624">
        <v>0</v>
      </c>
      <c r="O624">
        <v>0</v>
      </c>
      <c r="P624">
        <v>0</v>
      </c>
    </row>
    <row r="625" spans="1:16" x14ac:dyDescent="0.2">
      <c r="A625" t="s">
        <v>7043</v>
      </c>
      <c r="B625" t="s">
        <v>7044</v>
      </c>
      <c r="C625" t="s">
        <v>7045</v>
      </c>
      <c r="D625" t="s">
        <v>93</v>
      </c>
      <c r="E625" t="s">
        <v>96</v>
      </c>
      <c r="F625">
        <v>69.989999999999995</v>
      </c>
      <c r="G625" t="s">
        <v>11</v>
      </c>
      <c r="H625">
        <v>0</v>
      </c>
      <c r="M625">
        <v>0</v>
      </c>
      <c r="N625">
        <v>0</v>
      </c>
      <c r="O625">
        <v>0</v>
      </c>
      <c r="P625">
        <v>0</v>
      </c>
    </row>
    <row r="626" spans="1:16" x14ac:dyDescent="0.2">
      <c r="A626" t="s">
        <v>4099</v>
      </c>
      <c r="B626" t="s">
        <v>4101</v>
      </c>
      <c r="C626" t="s">
        <v>4100</v>
      </c>
      <c r="D626" t="s">
        <v>1897</v>
      </c>
      <c r="E626" t="s">
        <v>96</v>
      </c>
      <c r="G626" t="s">
        <v>11</v>
      </c>
      <c r="H626">
        <v>0</v>
      </c>
      <c r="M626">
        <v>0</v>
      </c>
      <c r="N626">
        <v>0</v>
      </c>
      <c r="P626">
        <v>0</v>
      </c>
    </row>
    <row r="627" spans="1:16" x14ac:dyDescent="0.2">
      <c r="A627" t="s">
        <v>4057</v>
      </c>
      <c r="B627" t="s">
        <v>4059</v>
      </c>
      <c r="C627" t="s">
        <v>4058</v>
      </c>
      <c r="D627" t="s">
        <v>1897</v>
      </c>
      <c r="E627" t="s">
        <v>96</v>
      </c>
      <c r="F627">
        <v>49.99</v>
      </c>
      <c r="G627" t="s">
        <v>11</v>
      </c>
      <c r="H627">
        <v>0</v>
      </c>
      <c r="M627">
        <v>0</v>
      </c>
      <c r="N627">
        <v>0</v>
      </c>
      <c r="O627">
        <v>0</v>
      </c>
      <c r="P627">
        <v>0</v>
      </c>
    </row>
    <row r="628" spans="1:16" x14ac:dyDescent="0.2">
      <c r="A628" t="s">
        <v>5203</v>
      </c>
      <c r="B628" t="s">
        <v>5205</v>
      </c>
      <c r="C628" t="s">
        <v>5204</v>
      </c>
      <c r="D628" t="s">
        <v>4463</v>
      </c>
      <c r="E628" t="s">
        <v>96</v>
      </c>
      <c r="F628">
        <v>37.99</v>
      </c>
      <c r="G628" t="s">
        <v>11</v>
      </c>
      <c r="H628">
        <v>0</v>
      </c>
      <c r="M628">
        <v>0</v>
      </c>
      <c r="N628">
        <v>0</v>
      </c>
      <c r="O628">
        <v>0</v>
      </c>
      <c r="P628">
        <v>0</v>
      </c>
    </row>
    <row r="629" spans="1:16" x14ac:dyDescent="0.2">
      <c r="A629" t="s">
        <v>4045</v>
      </c>
      <c r="B629" t="s">
        <v>4047</v>
      </c>
      <c r="C629" t="s">
        <v>4046</v>
      </c>
      <c r="D629" t="s">
        <v>1897</v>
      </c>
      <c r="E629" t="s">
        <v>96</v>
      </c>
      <c r="F629">
        <v>49.99</v>
      </c>
      <c r="G629" t="s">
        <v>11</v>
      </c>
      <c r="H629">
        <v>0</v>
      </c>
      <c r="M629">
        <v>0</v>
      </c>
      <c r="N629">
        <v>0</v>
      </c>
      <c r="O629">
        <v>0</v>
      </c>
      <c r="P629">
        <v>0</v>
      </c>
    </row>
    <row r="630" spans="1:16" x14ac:dyDescent="0.2">
      <c r="A630" t="s">
        <v>3853</v>
      </c>
      <c r="B630" t="s">
        <v>3855</v>
      </c>
      <c r="C630" t="s">
        <v>3854</v>
      </c>
      <c r="D630" t="s">
        <v>1897</v>
      </c>
      <c r="E630" t="s">
        <v>290</v>
      </c>
      <c r="F630">
        <v>69.989999999999995</v>
      </c>
      <c r="G630" t="s">
        <v>11</v>
      </c>
      <c r="H630">
        <v>0</v>
      </c>
      <c r="M630">
        <v>0</v>
      </c>
      <c r="N630">
        <v>0</v>
      </c>
      <c r="O630">
        <v>0</v>
      </c>
      <c r="P630">
        <v>0</v>
      </c>
    </row>
    <row r="631" spans="1:16" x14ac:dyDescent="0.2">
      <c r="A631" t="s">
        <v>5207</v>
      </c>
      <c r="B631" t="s">
        <v>5209</v>
      </c>
      <c r="C631" t="s">
        <v>5208</v>
      </c>
      <c r="D631" t="s">
        <v>4463</v>
      </c>
      <c r="E631" t="s">
        <v>96</v>
      </c>
      <c r="F631">
        <v>9.99</v>
      </c>
      <c r="G631" t="s">
        <v>11</v>
      </c>
      <c r="H631">
        <v>0</v>
      </c>
      <c r="M631">
        <v>0</v>
      </c>
      <c r="N631">
        <v>0</v>
      </c>
      <c r="O631">
        <v>0</v>
      </c>
      <c r="P631">
        <v>0</v>
      </c>
    </row>
    <row r="632" spans="1:16" x14ac:dyDescent="0.2">
      <c r="A632" t="s">
        <v>2132</v>
      </c>
      <c r="B632" t="s">
        <v>5789</v>
      </c>
      <c r="C632" t="s">
        <v>2133</v>
      </c>
      <c r="D632" t="s">
        <v>2131</v>
      </c>
      <c r="E632" t="s">
        <v>96</v>
      </c>
      <c r="F632">
        <v>29.99</v>
      </c>
      <c r="G632" t="s">
        <v>11</v>
      </c>
      <c r="H632">
        <v>0</v>
      </c>
      <c r="M632">
        <v>0</v>
      </c>
      <c r="N632">
        <v>0</v>
      </c>
      <c r="O632">
        <v>0</v>
      </c>
      <c r="P632">
        <v>0</v>
      </c>
    </row>
    <row r="633" spans="1:16" x14ac:dyDescent="0.2">
      <c r="A633" t="s">
        <v>3847</v>
      </c>
      <c r="B633" t="s">
        <v>3849</v>
      </c>
      <c r="C633" t="s">
        <v>3848</v>
      </c>
      <c r="D633" t="s">
        <v>1897</v>
      </c>
      <c r="E633" t="s">
        <v>96</v>
      </c>
      <c r="F633">
        <v>34.99</v>
      </c>
      <c r="G633" t="s">
        <v>11</v>
      </c>
      <c r="H633">
        <v>0</v>
      </c>
      <c r="M633">
        <v>0</v>
      </c>
      <c r="N633">
        <v>0</v>
      </c>
      <c r="O633">
        <v>0</v>
      </c>
      <c r="P633">
        <v>0</v>
      </c>
    </row>
    <row r="634" spans="1:16" x14ac:dyDescent="0.2">
      <c r="A634" t="s">
        <v>3844</v>
      </c>
      <c r="B634" t="s">
        <v>3846</v>
      </c>
      <c r="C634" t="s">
        <v>3845</v>
      </c>
      <c r="D634" t="s">
        <v>1897</v>
      </c>
      <c r="E634" t="s">
        <v>96</v>
      </c>
      <c r="F634">
        <v>31.99</v>
      </c>
      <c r="G634" t="s">
        <v>11</v>
      </c>
      <c r="H634">
        <v>0</v>
      </c>
      <c r="M634">
        <v>0</v>
      </c>
      <c r="N634">
        <v>0</v>
      </c>
      <c r="O634">
        <v>0</v>
      </c>
      <c r="P634">
        <v>0</v>
      </c>
    </row>
    <row r="635" spans="1:16" x14ac:dyDescent="0.2">
      <c r="A635" t="s">
        <v>5719</v>
      </c>
      <c r="B635" t="s">
        <v>5721</v>
      </c>
      <c r="C635" t="s">
        <v>5720</v>
      </c>
      <c r="D635" t="s">
        <v>4463</v>
      </c>
      <c r="E635" t="s">
        <v>96</v>
      </c>
      <c r="F635">
        <v>59.99</v>
      </c>
      <c r="G635" t="s">
        <v>11</v>
      </c>
      <c r="H635">
        <v>0</v>
      </c>
      <c r="M635">
        <v>0</v>
      </c>
      <c r="N635">
        <v>0</v>
      </c>
      <c r="O635">
        <v>0</v>
      </c>
      <c r="P635">
        <v>0</v>
      </c>
    </row>
    <row r="636" spans="1:16" x14ac:dyDescent="0.2">
      <c r="A636" t="s">
        <v>3828</v>
      </c>
      <c r="B636" t="s">
        <v>3830</v>
      </c>
      <c r="C636" t="s">
        <v>3829</v>
      </c>
      <c r="D636" t="s">
        <v>1897</v>
      </c>
      <c r="E636" t="s">
        <v>96</v>
      </c>
      <c r="F636">
        <v>34.99</v>
      </c>
      <c r="G636" t="s">
        <v>11</v>
      </c>
      <c r="H636">
        <v>0</v>
      </c>
      <c r="M636">
        <v>0</v>
      </c>
      <c r="N636">
        <v>0</v>
      </c>
      <c r="O636">
        <v>0</v>
      </c>
      <c r="P636">
        <v>0</v>
      </c>
    </row>
    <row r="637" spans="1:16" x14ac:dyDescent="0.2">
      <c r="A637" t="s">
        <v>5777</v>
      </c>
      <c r="B637" t="s">
        <v>5779</v>
      </c>
      <c r="C637" t="s">
        <v>5778</v>
      </c>
      <c r="D637" t="s">
        <v>4463</v>
      </c>
      <c r="E637" t="s">
        <v>96</v>
      </c>
      <c r="F637">
        <v>19.989999999999998</v>
      </c>
      <c r="G637" t="s">
        <v>11</v>
      </c>
      <c r="H637">
        <v>0</v>
      </c>
      <c r="M637">
        <v>0</v>
      </c>
      <c r="N637">
        <v>0</v>
      </c>
      <c r="O637">
        <v>0</v>
      </c>
      <c r="P637">
        <v>0</v>
      </c>
    </row>
    <row r="638" spans="1:16" x14ac:dyDescent="0.2">
      <c r="A638" t="s">
        <v>3810</v>
      </c>
      <c r="B638" t="s">
        <v>3812</v>
      </c>
      <c r="C638" t="s">
        <v>3811</v>
      </c>
      <c r="D638" t="s">
        <v>1897</v>
      </c>
      <c r="E638" t="s">
        <v>96</v>
      </c>
      <c r="F638">
        <v>59.99</v>
      </c>
      <c r="G638" t="s">
        <v>11</v>
      </c>
      <c r="H638">
        <v>0</v>
      </c>
      <c r="M638">
        <v>0</v>
      </c>
      <c r="N638">
        <v>0</v>
      </c>
      <c r="O638">
        <v>0</v>
      </c>
      <c r="P638">
        <v>0</v>
      </c>
    </row>
    <row r="639" spans="1:16" x14ac:dyDescent="0.2">
      <c r="A639" t="s">
        <v>5780</v>
      </c>
      <c r="B639" t="s">
        <v>5782</v>
      </c>
      <c r="C639" t="s">
        <v>5781</v>
      </c>
      <c r="D639" t="s">
        <v>4463</v>
      </c>
      <c r="E639" t="s">
        <v>96</v>
      </c>
      <c r="F639">
        <v>19.989999999999998</v>
      </c>
      <c r="G639" t="s">
        <v>11</v>
      </c>
      <c r="H639">
        <v>0</v>
      </c>
      <c r="M639">
        <v>0</v>
      </c>
      <c r="N639">
        <v>0</v>
      </c>
      <c r="O639">
        <v>0</v>
      </c>
      <c r="P639">
        <v>0</v>
      </c>
    </row>
    <row r="640" spans="1:16" x14ac:dyDescent="0.2">
      <c r="A640" t="s">
        <v>3795</v>
      </c>
      <c r="B640" t="s">
        <v>3797</v>
      </c>
      <c r="C640" t="s">
        <v>3796</v>
      </c>
      <c r="D640" t="s">
        <v>1897</v>
      </c>
      <c r="E640" t="s">
        <v>96</v>
      </c>
      <c r="F640">
        <v>34.99</v>
      </c>
      <c r="G640" t="s">
        <v>11</v>
      </c>
      <c r="H640">
        <v>0</v>
      </c>
      <c r="M640">
        <v>0</v>
      </c>
      <c r="N640">
        <v>0</v>
      </c>
      <c r="O640">
        <v>0</v>
      </c>
      <c r="P640">
        <v>0</v>
      </c>
    </row>
    <row r="641" spans="1:16" x14ac:dyDescent="0.2">
      <c r="A641" t="s">
        <v>3740</v>
      </c>
      <c r="B641" t="s">
        <v>3742</v>
      </c>
      <c r="C641" t="s">
        <v>3741</v>
      </c>
      <c r="D641" t="s">
        <v>1897</v>
      </c>
      <c r="E641" t="s">
        <v>96</v>
      </c>
      <c r="F641">
        <v>49.99</v>
      </c>
      <c r="G641" t="s">
        <v>11</v>
      </c>
      <c r="H641">
        <v>0</v>
      </c>
      <c r="M641">
        <v>0</v>
      </c>
      <c r="N641">
        <v>0</v>
      </c>
      <c r="O641">
        <v>0</v>
      </c>
      <c r="P641">
        <v>0</v>
      </c>
    </row>
    <row r="642" spans="1:16" x14ac:dyDescent="0.2">
      <c r="A642" t="s">
        <v>6538</v>
      </c>
      <c r="B642" t="s">
        <v>6540</v>
      </c>
      <c r="C642" t="s">
        <v>6539</v>
      </c>
      <c r="D642" t="s">
        <v>2987</v>
      </c>
      <c r="E642" t="s">
        <v>290</v>
      </c>
      <c r="F642">
        <v>219.99</v>
      </c>
      <c r="G642" t="s">
        <v>11</v>
      </c>
      <c r="H642">
        <v>0</v>
      </c>
      <c r="M642">
        <v>0</v>
      </c>
      <c r="N642">
        <v>0</v>
      </c>
      <c r="O642">
        <v>0</v>
      </c>
      <c r="P642">
        <v>0</v>
      </c>
    </row>
    <row r="643" spans="1:16" x14ac:dyDescent="0.2">
      <c r="A643" t="s">
        <v>2296</v>
      </c>
      <c r="B643" t="s">
        <v>5654</v>
      </c>
      <c r="C643" t="s">
        <v>2297</v>
      </c>
      <c r="D643" t="s">
        <v>2146</v>
      </c>
      <c r="E643" t="s">
        <v>290</v>
      </c>
      <c r="F643">
        <v>229.99</v>
      </c>
      <c r="G643" t="s">
        <v>11</v>
      </c>
      <c r="H643">
        <v>1.6666666666666666E-2</v>
      </c>
      <c r="M643">
        <v>0</v>
      </c>
      <c r="N643">
        <v>0</v>
      </c>
      <c r="O643">
        <v>0</v>
      </c>
      <c r="P643">
        <v>5</v>
      </c>
    </row>
    <row r="644" spans="1:16" x14ac:dyDescent="0.2">
      <c r="A644" t="s">
        <v>3584</v>
      </c>
      <c r="B644" t="s">
        <v>3586</v>
      </c>
      <c r="C644" t="s">
        <v>3585</v>
      </c>
      <c r="D644" t="s">
        <v>3561</v>
      </c>
      <c r="E644" t="s">
        <v>96</v>
      </c>
      <c r="G644" t="s">
        <v>11</v>
      </c>
      <c r="H644">
        <v>0</v>
      </c>
      <c r="M644">
        <v>0</v>
      </c>
      <c r="N644">
        <v>0</v>
      </c>
      <c r="P644">
        <v>0</v>
      </c>
    </row>
    <row r="645" spans="1:16" x14ac:dyDescent="0.2">
      <c r="A645" t="s">
        <v>2959</v>
      </c>
      <c r="B645" t="s">
        <v>6454</v>
      </c>
      <c r="C645" t="s">
        <v>2960</v>
      </c>
      <c r="D645" t="s">
        <v>2928</v>
      </c>
      <c r="E645" t="s">
        <v>290</v>
      </c>
      <c r="F645">
        <v>44.99</v>
      </c>
      <c r="G645" t="s">
        <v>11</v>
      </c>
      <c r="H645">
        <v>0</v>
      </c>
      <c r="M645">
        <v>0</v>
      </c>
      <c r="N645">
        <v>0</v>
      </c>
      <c r="O645">
        <v>0</v>
      </c>
      <c r="P645">
        <v>1</v>
      </c>
    </row>
    <row r="646" spans="1:16" x14ac:dyDescent="0.2">
      <c r="A646" t="s">
        <v>2961</v>
      </c>
      <c r="B646" t="s">
        <v>6464</v>
      </c>
      <c r="C646" t="s">
        <v>2962</v>
      </c>
      <c r="D646" t="s">
        <v>2928</v>
      </c>
      <c r="E646" t="s">
        <v>290</v>
      </c>
      <c r="F646">
        <v>139.99</v>
      </c>
      <c r="G646" t="s">
        <v>11</v>
      </c>
      <c r="H646">
        <v>0</v>
      </c>
      <c r="M646">
        <v>0</v>
      </c>
      <c r="N646">
        <v>0</v>
      </c>
      <c r="O646">
        <v>0</v>
      </c>
      <c r="P646">
        <v>0</v>
      </c>
    </row>
    <row r="647" spans="1:16" x14ac:dyDescent="0.2">
      <c r="A647" t="s">
        <v>3581</v>
      </c>
      <c r="B647" t="s">
        <v>3583</v>
      </c>
      <c r="C647" t="s">
        <v>3582</v>
      </c>
      <c r="D647" t="s">
        <v>3561</v>
      </c>
      <c r="E647" t="s">
        <v>96</v>
      </c>
      <c r="G647" t="s">
        <v>11</v>
      </c>
      <c r="H647">
        <v>0</v>
      </c>
      <c r="M647">
        <v>0</v>
      </c>
      <c r="N647">
        <v>0</v>
      </c>
      <c r="P647">
        <v>0</v>
      </c>
    </row>
    <row r="648" spans="1:16" x14ac:dyDescent="0.2">
      <c r="A648" t="s">
        <v>2963</v>
      </c>
      <c r="B648" t="s">
        <v>6452</v>
      </c>
      <c r="C648" t="s">
        <v>2964</v>
      </c>
      <c r="D648" t="s">
        <v>2928</v>
      </c>
      <c r="E648" t="s">
        <v>290</v>
      </c>
      <c r="F648">
        <v>34.99</v>
      </c>
      <c r="G648" t="s">
        <v>11</v>
      </c>
      <c r="H648">
        <v>0</v>
      </c>
      <c r="M648">
        <v>0</v>
      </c>
      <c r="N648">
        <v>0</v>
      </c>
      <c r="O648">
        <v>0</v>
      </c>
      <c r="P648">
        <v>2</v>
      </c>
    </row>
    <row r="649" spans="1:16" x14ac:dyDescent="0.2">
      <c r="A649" t="s">
        <v>2967</v>
      </c>
      <c r="B649" t="s">
        <v>6467</v>
      </c>
      <c r="C649" t="s">
        <v>2968</v>
      </c>
      <c r="D649" t="s">
        <v>2928</v>
      </c>
      <c r="E649" t="s">
        <v>96</v>
      </c>
      <c r="F649">
        <v>39.99</v>
      </c>
      <c r="G649" t="s">
        <v>11</v>
      </c>
      <c r="H649">
        <v>0</v>
      </c>
      <c r="M649">
        <v>0</v>
      </c>
      <c r="N649">
        <v>0</v>
      </c>
      <c r="O649">
        <v>0</v>
      </c>
      <c r="P649">
        <v>0</v>
      </c>
    </row>
    <row r="650" spans="1:16" x14ac:dyDescent="0.2">
      <c r="A650" t="s">
        <v>2969</v>
      </c>
      <c r="B650" t="s">
        <v>6469</v>
      </c>
      <c r="C650" t="s">
        <v>2970</v>
      </c>
      <c r="D650" t="s">
        <v>2928</v>
      </c>
      <c r="E650" t="s">
        <v>96</v>
      </c>
      <c r="F650">
        <v>79.989999999999995</v>
      </c>
      <c r="G650" t="s">
        <v>11</v>
      </c>
      <c r="H650">
        <v>0</v>
      </c>
      <c r="M650">
        <v>0</v>
      </c>
      <c r="N650">
        <v>0</v>
      </c>
      <c r="O650">
        <v>0</v>
      </c>
      <c r="P650">
        <v>0</v>
      </c>
    </row>
    <row r="651" spans="1:16" x14ac:dyDescent="0.2">
      <c r="A651" t="s">
        <v>2971</v>
      </c>
      <c r="B651" t="s">
        <v>6470</v>
      </c>
      <c r="C651" t="s">
        <v>2972</v>
      </c>
      <c r="D651" t="s">
        <v>2928</v>
      </c>
      <c r="E651" t="s">
        <v>96</v>
      </c>
      <c r="F651">
        <v>99.99</v>
      </c>
      <c r="G651" t="s">
        <v>11</v>
      </c>
      <c r="H651">
        <v>0</v>
      </c>
      <c r="M651">
        <v>0</v>
      </c>
      <c r="N651">
        <v>0</v>
      </c>
      <c r="O651">
        <v>0</v>
      </c>
      <c r="P651">
        <v>0</v>
      </c>
    </row>
    <row r="652" spans="1:16" x14ac:dyDescent="0.2">
      <c r="A652" t="s">
        <v>2957</v>
      </c>
      <c r="B652" t="s">
        <v>6447</v>
      </c>
      <c r="C652" t="s">
        <v>2958</v>
      </c>
      <c r="D652" t="s">
        <v>2928</v>
      </c>
      <c r="E652" t="s">
        <v>96</v>
      </c>
      <c r="F652">
        <v>119.99</v>
      </c>
      <c r="G652" t="s">
        <v>11</v>
      </c>
      <c r="H652">
        <v>0</v>
      </c>
      <c r="M652">
        <v>0</v>
      </c>
      <c r="N652">
        <v>0</v>
      </c>
      <c r="O652">
        <v>0</v>
      </c>
      <c r="P652">
        <v>1</v>
      </c>
    </row>
    <row r="653" spans="1:16" x14ac:dyDescent="0.2">
      <c r="A653" t="s">
        <v>2973</v>
      </c>
      <c r="B653" t="s">
        <v>6431</v>
      </c>
      <c r="C653" t="s">
        <v>2974</v>
      </c>
      <c r="D653" t="s">
        <v>2928</v>
      </c>
      <c r="E653" t="s">
        <v>96</v>
      </c>
      <c r="F653">
        <v>89.99</v>
      </c>
      <c r="G653" t="s">
        <v>11</v>
      </c>
      <c r="H653">
        <v>0</v>
      </c>
      <c r="M653">
        <v>0</v>
      </c>
      <c r="N653">
        <v>0</v>
      </c>
      <c r="O653">
        <v>0</v>
      </c>
      <c r="P653">
        <v>0</v>
      </c>
    </row>
    <row r="654" spans="1:16" x14ac:dyDescent="0.2">
      <c r="A654" t="s">
        <v>6888</v>
      </c>
      <c r="B654" t="s">
        <v>6890</v>
      </c>
      <c r="C654" t="s">
        <v>6889</v>
      </c>
      <c r="D654" t="s">
        <v>2987</v>
      </c>
      <c r="E654" t="s">
        <v>96</v>
      </c>
      <c r="F654">
        <v>89.99</v>
      </c>
      <c r="G654" t="s">
        <v>11</v>
      </c>
      <c r="H654">
        <v>0</v>
      </c>
      <c r="M654">
        <v>0</v>
      </c>
      <c r="N654">
        <v>0</v>
      </c>
      <c r="O654">
        <v>0</v>
      </c>
      <c r="P654">
        <v>0</v>
      </c>
    </row>
    <row r="655" spans="1:16" x14ac:dyDescent="0.2">
      <c r="A655" t="s">
        <v>6622</v>
      </c>
      <c r="B655" t="s">
        <v>6624</v>
      </c>
      <c r="C655" t="s">
        <v>6623</v>
      </c>
      <c r="D655" t="s">
        <v>2987</v>
      </c>
      <c r="E655" t="s">
        <v>96</v>
      </c>
      <c r="G655" t="s">
        <v>11</v>
      </c>
      <c r="H655">
        <v>0</v>
      </c>
      <c r="M655">
        <v>0</v>
      </c>
      <c r="N655">
        <v>0</v>
      </c>
      <c r="P655">
        <v>0</v>
      </c>
    </row>
    <row r="656" spans="1:16" x14ac:dyDescent="0.2">
      <c r="A656" t="s">
        <v>6669</v>
      </c>
      <c r="B656" t="s">
        <v>6671</v>
      </c>
      <c r="C656" t="s">
        <v>6670</v>
      </c>
      <c r="D656" t="s">
        <v>2987</v>
      </c>
      <c r="E656" t="s">
        <v>96</v>
      </c>
      <c r="G656" t="s">
        <v>11</v>
      </c>
      <c r="H656">
        <v>0</v>
      </c>
      <c r="M656">
        <v>0</v>
      </c>
      <c r="N656">
        <v>0</v>
      </c>
      <c r="P656">
        <v>0</v>
      </c>
    </row>
    <row r="657" spans="1:16" x14ac:dyDescent="0.2">
      <c r="A657" t="s">
        <v>3332</v>
      </c>
      <c r="B657" t="s">
        <v>5237</v>
      </c>
      <c r="C657" t="s">
        <v>3333</v>
      </c>
      <c r="D657" t="s">
        <v>3268</v>
      </c>
      <c r="E657" t="s">
        <v>228</v>
      </c>
      <c r="F657">
        <v>599.99</v>
      </c>
      <c r="G657" t="s">
        <v>11</v>
      </c>
      <c r="H657">
        <v>0</v>
      </c>
      <c r="M657">
        <v>0</v>
      </c>
      <c r="N657">
        <v>0</v>
      </c>
      <c r="O657">
        <v>0</v>
      </c>
      <c r="P657">
        <v>2</v>
      </c>
    </row>
    <row r="658" spans="1:16" x14ac:dyDescent="0.2">
      <c r="A658" t="s">
        <v>3364</v>
      </c>
      <c r="B658" t="s">
        <v>5231</v>
      </c>
      <c r="C658" t="s">
        <v>3363</v>
      </c>
      <c r="D658" t="s">
        <v>3268</v>
      </c>
      <c r="E658" t="s">
        <v>228</v>
      </c>
      <c r="F658">
        <v>429.99</v>
      </c>
      <c r="G658" t="s">
        <v>11</v>
      </c>
      <c r="H658">
        <v>0.5</v>
      </c>
      <c r="M658">
        <v>2</v>
      </c>
      <c r="N658">
        <v>0.5</v>
      </c>
      <c r="O658">
        <v>0</v>
      </c>
      <c r="P658">
        <v>1</v>
      </c>
    </row>
    <row r="659" spans="1:16" x14ac:dyDescent="0.2">
      <c r="A659" t="s">
        <v>2975</v>
      </c>
      <c r="B659" t="s">
        <v>6432</v>
      </c>
      <c r="C659" t="s">
        <v>2976</v>
      </c>
      <c r="D659" t="s">
        <v>2928</v>
      </c>
      <c r="E659" t="s">
        <v>290</v>
      </c>
      <c r="F659">
        <v>119.99</v>
      </c>
      <c r="G659" t="s">
        <v>11</v>
      </c>
      <c r="H659">
        <v>0</v>
      </c>
      <c r="M659">
        <v>0</v>
      </c>
      <c r="N659">
        <v>0</v>
      </c>
      <c r="O659">
        <v>0</v>
      </c>
      <c r="P659">
        <v>0</v>
      </c>
    </row>
    <row r="660" spans="1:16" x14ac:dyDescent="0.2">
      <c r="A660" t="s">
        <v>3353</v>
      </c>
      <c r="B660" t="s">
        <v>5228</v>
      </c>
      <c r="C660" t="s">
        <v>3354</v>
      </c>
      <c r="D660" t="s">
        <v>3268</v>
      </c>
      <c r="E660" t="s">
        <v>290</v>
      </c>
      <c r="F660">
        <v>699.99</v>
      </c>
      <c r="G660" t="s">
        <v>11</v>
      </c>
      <c r="H660">
        <v>0</v>
      </c>
      <c r="M660">
        <v>0</v>
      </c>
      <c r="N660">
        <v>0</v>
      </c>
      <c r="O660">
        <v>0</v>
      </c>
      <c r="P660">
        <v>0</v>
      </c>
    </row>
    <row r="661" spans="1:16" x14ac:dyDescent="0.2">
      <c r="A661" t="s">
        <v>2977</v>
      </c>
      <c r="C661" t="s">
        <v>2978</v>
      </c>
      <c r="D661" t="s">
        <v>2928</v>
      </c>
      <c r="E661" t="s">
        <v>96</v>
      </c>
      <c r="F661">
        <v>149.99</v>
      </c>
      <c r="G661" t="s">
        <v>11</v>
      </c>
      <c r="H661">
        <v>0</v>
      </c>
      <c r="M661">
        <v>0</v>
      </c>
      <c r="N661">
        <v>0</v>
      </c>
      <c r="O661">
        <v>0</v>
      </c>
      <c r="P661">
        <v>0</v>
      </c>
    </row>
    <row r="662" spans="1:16" x14ac:dyDescent="0.2">
      <c r="A662" t="s">
        <v>2955</v>
      </c>
      <c r="B662" t="s">
        <v>6442</v>
      </c>
      <c r="C662" t="s">
        <v>2956</v>
      </c>
      <c r="D662" t="s">
        <v>2928</v>
      </c>
      <c r="E662" t="s">
        <v>96</v>
      </c>
      <c r="F662">
        <v>129.99</v>
      </c>
      <c r="G662" t="s">
        <v>11</v>
      </c>
      <c r="H662">
        <v>0</v>
      </c>
      <c r="M662">
        <v>0</v>
      </c>
      <c r="N662">
        <v>0</v>
      </c>
      <c r="O662">
        <v>0</v>
      </c>
      <c r="P662">
        <v>0</v>
      </c>
    </row>
    <row r="663" spans="1:16" x14ac:dyDescent="0.2">
      <c r="A663" t="s">
        <v>6678</v>
      </c>
      <c r="B663" t="s">
        <v>6680</v>
      </c>
      <c r="C663" t="s">
        <v>6679</v>
      </c>
      <c r="D663" t="s">
        <v>2987</v>
      </c>
      <c r="E663" t="s">
        <v>96</v>
      </c>
      <c r="F663">
        <v>59.99</v>
      </c>
      <c r="G663" t="s">
        <v>11</v>
      </c>
      <c r="H663">
        <v>0</v>
      </c>
      <c r="M663">
        <v>0</v>
      </c>
      <c r="N663">
        <v>0</v>
      </c>
      <c r="O663">
        <v>0</v>
      </c>
      <c r="P663">
        <v>0</v>
      </c>
    </row>
    <row r="664" spans="1:16" x14ac:dyDescent="0.2">
      <c r="A664" t="s">
        <v>6583</v>
      </c>
      <c r="B664" t="s">
        <v>6585</v>
      </c>
      <c r="C664" t="s">
        <v>6584</v>
      </c>
      <c r="D664" t="s">
        <v>2987</v>
      </c>
      <c r="E664" t="s">
        <v>96</v>
      </c>
      <c r="F664">
        <v>89.99</v>
      </c>
      <c r="G664" t="s">
        <v>11</v>
      </c>
      <c r="H664">
        <v>0</v>
      </c>
      <c r="M664">
        <v>0</v>
      </c>
      <c r="N664">
        <v>0</v>
      </c>
      <c r="O664">
        <v>0</v>
      </c>
      <c r="P664">
        <v>0</v>
      </c>
    </row>
    <row r="665" spans="1:16" x14ac:dyDescent="0.2">
      <c r="A665" t="s">
        <v>6571</v>
      </c>
      <c r="B665" t="s">
        <v>6573</v>
      </c>
      <c r="C665" t="s">
        <v>6572</v>
      </c>
      <c r="D665" t="s">
        <v>2987</v>
      </c>
      <c r="E665" t="s">
        <v>96</v>
      </c>
      <c r="F665">
        <v>99.99</v>
      </c>
      <c r="G665" t="s">
        <v>11</v>
      </c>
      <c r="H665">
        <v>0</v>
      </c>
      <c r="M665">
        <v>0</v>
      </c>
      <c r="N665">
        <v>0</v>
      </c>
      <c r="O665">
        <v>0</v>
      </c>
      <c r="P665">
        <v>0</v>
      </c>
    </row>
    <row r="666" spans="1:16" x14ac:dyDescent="0.2">
      <c r="A666" t="s">
        <v>6663</v>
      </c>
      <c r="B666" t="s">
        <v>6665</v>
      </c>
      <c r="C666" t="s">
        <v>6664</v>
      </c>
      <c r="D666" t="s">
        <v>2987</v>
      </c>
      <c r="E666" t="s">
        <v>96</v>
      </c>
      <c r="F666">
        <v>89.99</v>
      </c>
      <c r="G666" t="s">
        <v>11</v>
      </c>
      <c r="H666">
        <v>0</v>
      </c>
      <c r="M666">
        <v>0</v>
      </c>
      <c r="N666">
        <v>0</v>
      </c>
      <c r="O666">
        <v>0</v>
      </c>
      <c r="P666">
        <v>0</v>
      </c>
    </row>
    <row r="667" spans="1:16" x14ac:dyDescent="0.2">
      <c r="A667" t="s">
        <v>6403</v>
      </c>
      <c r="B667" t="s">
        <v>6406</v>
      </c>
      <c r="C667" t="s">
        <v>6404</v>
      </c>
      <c r="D667" t="s">
        <v>6405</v>
      </c>
      <c r="E667" t="s">
        <v>96</v>
      </c>
      <c r="F667">
        <v>169.99</v>
      </c>
      <c r="G667" t="s">
        <v>11</v>
      </c>
      <c r="H667">
        <v>0</v>
      </c>
      <c r="M667">
        <v>0</v>
      </c>
      <c r="N667">
        <v>0</v>
      </c>
      <c r="O667">
        <v>0</v>
      </c>
      <c r="P667">
        <v>0</v>
      </c>
    </row>
    <row r="668" spans="1:16" x14ac:dyDescent="0.2">
      <c r="A668" t="s">
        <v>2981</v>
      </c>
      <c r="B668" t="s">
        <v>6471</v>
      </c>
      <c r="C668" t="s">
        <v>2982</v>
      </c>
      <c r="D668" t="s">
        <v>2928</v>
      </c>
      <c r="E668" t="s">
        <v>96</v>
      </c>
      <c r="F668">
        <v>39.99</v>
      </c>
      <c r="G668" t="s">
        <v>11</v>
      </c>
      <c r="H668">
        <v>0</v>
      </c>
      <c r="M668">
        <v>0</v>
      </c>
      <c r="N668">
        <v>0</v>
      </c>
      <c r="O668">
        <v>0</v>
      </c>
      <c r="P668">
        <v>0</v>
      </c>
    </row>
    <row r="669" spans="1:16" x14ac:dyDescent="0.2">
      <c r="A669" t="s">
        <v>3283</v>
      </c>
      <c r="B669" t="s">
        <v>6968</v>
      </c>
      <c r="C669" t="s">
        <v>3284</v>
      </c>
      <c r="D669" t="s">
        <v>3268</v>
      </c>
      <c r="E669" t="s">
        <v>290</v>
      </c>
      <c r="F669">
        <v>249.99</v>
      </c>
      <c r="G669" t="s">
        <v>11</v>
      </c>
      <c r="H669">
        <v>0</v>
      </c>
      <c r="M669">
        <v>0</v>
      </c>
      <c r="N669">
        <v>0</v>
      </c>
      <c r="O669">
        <v>0</v>
      </c>
      <c r="P669">
        <v>0</v>
      </c>
    </row>
    <row r="670" spans="1:16" x14ac:dyDescent="0.2">
      <c r="A670" t="s">
        <v>3559</v>
      </c>
      <c r="B670" t="s">
        <v>3562</v>
      </c>
      <c r="C670" t="s">
        <v>3560</v>
      </c>
      <c r="D670" t="s">
        <v>3561</v>
      </c>
      <c r="E670" t="s">
        <v>96</v>
      </c>
      <c r="F670">
        <v>79.989999999999995</v>
      </c>
      <c r="G670" t="s">
        <v>11</v>
      </c>
      <c r="H670">
        <v>0</v>
      </c>
      <c r="M670">
        <v>0</v>
      </c>
      <c r="N670">
        <v>0</v>
      </c>
      <c r="O670">
        <v>0</v>
      </c>
      <c r="P670">
        <v>0</v>
      </c>
    </row>
    <row r="671" spans="1:16" x14ac:dyDescent="0.2">
      <c r="A671" t="s">
        <v>6443</v>
      </c>
      <c r="B671" t="s">
        <v>6445</v>
      </c>
      <c r="C671" t="s">
        <v>6444</v>
      </c>
      <c r="D671" t="s">
        <v>2928</v>
      </c>
      <c r="E671" t="s">
        <v>96</v>
      </c>
      <c r="F671">
        <v>149.99</v>
      </c>
      <c r="G671" t="s">
        <v>11</v>
      </c>
      <c r="H671">
        <v>0</v>
      </c>
      <c r="M671">
        <v>0</v>
      </c>
      <c r="N671">
        <v>0</v>
      </c>
      <c r="O671">
        <v>0</v>
      </c>
      <c r="P671">
        <v>0</v>
      </c>
    </row>
    <row r="672" spans="1:16" x14ac:dyDescent="0.2">
      <c r="A672" t="s">
        <v>2933</v>
      </c>
      <c r="B672" t="s">
        <v>6459</v>
      </c>
      <c r="C672" t="s">
        <v>2934</v>
      </c>
      <c r="D672" t="s">
        <v>2928</v>
      </c>
      <c r="E672" t="s">
        <v>290</v>
      </c>
      <c r="F672">
        <v>159.99</v>
      </c>
      <c r="G672" t="s">
        <v>11</v>
      </c>
      <c r="H672">
        <v>0</v>
      </c>
      <c r="M672">
        <v>0</v>
      </c>
      <c r="N672">
        <v>0</v>
      </c>
      <c r="O672">
        <v>0</v>
      </c>
      <c r="P672">
        <v>0</v>
      </c>
    </row>
    <row r="673" spans="1:16" x14ac:dyDescent="0.2">
      <c r="A673" t="s">
        <v>2937</v>
      </c>
      <c r="B673" t="s">
        <v>6450</v>
      </c>
      <c r="C673" t="s">
        <v>2938</v>
      </c>
      <c r="D673" t="s">
        <v>2928</v>
      </c>
      <c r="E673" t="s">
        <v>290</v>
      </c>
      <c r="F673">
        <v>69.989999999999995</v>
      </c>
      <c r="G673" t="s">
        <v>11</v>
      </c>
      <c r="H673">
        <v>0</v>
      </c>
      <c r="M673">
        <v>0</v>
      </c>
      <c r="N673">
        <v>0</v>
      </c>
      <c r="O673">
        <v>0</v>
      </c>
      <c r="P673">
        <v>0</v>
      </c>
    </row>
    <row r="674" spans="1:16" x14ac:dyDescent="0.2">
      <c r="A674" t="s">
        <v>2941</v>
      </c>
      <c r="B674" t="s">
        <v>6441</v>
      </c>
      <c r="C674" t="s">
        <v>2942</v>
      </c>
      <c r="D674" t="s">
        <v>2928</v>
      </c>
      <c r="E674" t="s">
        <v>96</v>
      </c>
      <c r="F674">
        <v>129.99</v>
      </c>
      <c r="G674" t="s">
        <v>11</v>
      </c>
      <c r="H674">
        <v>0</v>
      </c>
      <c r="M674">
        <v>0</v>
      </c>
      <c r="N674">
        <v>0</v>
      </c>
      <c r="O674">
        <v>0</v>
      </c>
      <c r="P674">
        <v>0</v>
      </c>
    </row>
    <row r="675" spans="1:16" x14ac:dyDescent="0.2">
      <c r="A675" t="s">
        <v>2945</v>
      </c>
      <c r="B675" t="s">
        <v>6434</v>
      </c>
      <c r="C675" t="s">
        <v>2946</v>
      </c>
      <c r="D675" t="s">
        <v>2928</v>
      </c>
      <c r="E675" t="s">
        <v>96</v>
      </c>
      <c r="F675">
        <v>159.99</v>
      </c>
      <c r="G675" t="s">
        <v>11</v>
      </c>
      <c r="H675">
        <v>0</v>
      </c>
      <c r="M675">
        <v>0</v>
      </c>
      <c r="N675">
        <v>0</v>
      </c>
      <c r="O675">
        <v>0</v>
      </c>
      <c r="P675">
        <v>0</v>
      </c>
    </row>
    <row r="676" spans="1:16" x14ac:dyDescent="0.2">
      <c r="A676" t="s">
        <v>2947</v>
      </c>
      <c r="B676" t="s">
        <v>6435</v>
      </c>
      <c r="C676" t="s">
        <v>2948</v>
      </c>
      <c r="D676" t="s">
        <v>2928</v>
      </c>
      <c r="E676" t="s">
        <v>96</v>
      </c>
      <c r="F676">
        <v>219.99</v>
      </c>
      <c r="G676" t="s">
        <v>11</v>
      </c>
      <c r="H676">
        <v>0</v>
      </c>
      <c r="M676">
        <v>0</v>
      </c>
      <c r="N676">
        <v>0</v>
      </c>
      <c r="O676">
        <v>0</v>
      </c>
      <c r="P676">
        <v>1</v>
      </c>
    </row>
    <row r="677" spans="1:16" x14ac:dyDescent="0.2">
      <c r="A677" t="s">
        <v>2951</v>
      </c>
      <c r="B677" t="s">
        <v>6437</v>
      </c>
      <c r="C677" t="s">
        <v>2952</v>
      </c>
      <c r="D677" t="s">
        <v>2928</v>
      </c>
      <c r="E677" t="s">
        <v>96</v>
      </c>
      <c r="F677">
        <v>239.99</v>
      </c>
      <c r="G677" t="s">
        <v>11</v>
      </c>
      <c r="H677">
        <v>0</v>
      </c>
      <c r="M677">
        <v>0</v>
      </c>
      <c r="N677">
        <v>0</v>
      </c>
      <c r="O677">
        <v>0</v>
      </c>
      <c r="P677">
        <v>0</v>
      </c>
    </row>
    <row r="678" spans="1:16" x14ac:dyDescent="0.2">
      <c r="A678" t="s">
        <v>3599</v>
      </c>
      <c r="B678" t="s">
        <v>3601</v>
      </c>
      <c r="C678" t="s">
        <v>3600</v>
      </c>
      <c r="D678" t="s">
        <v>3561</v>
      </c>
      <c r="E678" t="s">
        <v>96</v>
      </c>
      <c r="G678" t="s">
        <v>11</v>
      </c>
      <c r="H678">
        <v>0</v>
      </c>
      <c r="M678">
        <v>0</v>
      </c>
      <c r="N678">
        <v>0</v>
      </c>
      <c r="P678">
        <v>0</v>
      </c>
    </row>
    <row r="679" spans="1:16" x14ac:dyDescent="0.2">
      <c r="A679" t="s">
        <v>2953</v>
      </c>
      <c r="B679" t="s">
        <v>6448</v>
      </c>
      <c r="C679" t="s">
        <v>2954</v>
      </c>
      <c r="D679" t="s">
        <v>2928</v>
      </c>
      <c r="E679" t="s">
        <v>96</v>
      </c>
      <c r="F679">
        <v>89.99</v>
      </c>
      <c r="G679" t="s">
        <v>11</v>
      </c>
      <c r="H679">
        <v>0</v>
      </c>
      <c r="M679">
        <v>0</v>
      </c>
      <c r="N679">
        <v>0</v>
      </c>
      <c r="O679">
        <v>0</v>
      </c>
      <c r="P679">
        <v>0</v>
      </c>
    </row>
    <row r="680" spans="1:16" x14ac:dyDescent="0.2">
      <c r="A680" t="s">
        <v>3608</v>
      </c>
      <c r="B680" t="s">
        <v>3610</v>
      </c>
      <c r="C680" t="s">
        <v>3609</v>
      </c>
      <c r="D680" t="s">
        <v>3561</v>
      </c>
      <c r="E680" t="s">
        <v>96</v>
      </c>
      <c r="F680">
        <v>89.99</v>
      </c>
      <c r="G680" t="s">
        <v>11</v>
      </c>
      <c r="H680">
        <v>0</v>
      </c>
      <c r="M680">
        <v>0</v>
      </c>
      <c r="N680">
        <v>0</v>
      </c>
      <c r="O680">
        <v>0</v>
      </c>
      <c r="P680">
        <v>0</v>
      </c>
    </row>
    <row r="681" spans="1:16" x14ac:dyDescent="0.2">
      <c r="A681" t="s">
        <v>2935</v>
      </c>
      <c r="B681" t="s">
        <v>6468</v>
      </c>
      <c r="C681" t="s">
        <v>2936</v>
      </c>
      <c r="D681" t="s">
        <v>2928</v>
      </c>
      <c r="E681" t="s">
        <v>290</v>
      </c>
      <c r="F681">
        <v>89.99</v>
      </c>
      <c r="G681" t="s">
        <v>11</v>
      </c>
      <c r="H681">
        <v>0</v>
      </c>
      <c r="M681">
        <v>0</v>
      </c>
      <c r="N681">
        <v>0</v>
      </c>
      <c r="O681">
        <v>0</v>
      </c>
      <c r="P681">
        <v>0</v>
      </c>
    </row>
    <row r="682" spans="1:16" x14ac:dyDescent="0.2">
      <c r="A682" t="s">
        <v>3352</v>
      </c>
      <c r="B682" t="s">
        <v>5226</v>
      </c>
      <c r="C682" t="s">
        <v>3351</v>
      </c>
      <c r="D682" t="s">
        <v>3268</v>
      </c>
      <c r="E682" t="s">
        <v>290</v>
      </c>
      <c r="F682">
        <v>699.99</v>
      </c>
      <c r="G682" t="s">
        <v>11</v>
      </c>
      <c r="H682">
        <v>0</v>
      </c>
      <c r="M682">
        <v>0</v>
      </c>
      <c r="N682">
        <v>0</v>
      </c>
      <c r="O682">
        <v>0</v>
      </c>
      <c r="P682">
        <v>0</v>
      </c>
    </row>
    <row r="683" spans="1:16" x14ac:dyDescent="0.2">
      <c r="A683" t="s">
        <v>3347</v>
      </c>
      <c r="B683" t="s">
        <v>5220</v>
      </c>
      <c r="C683" t="s">
        <v>3348</v>
      </c>
      <c r="D683" t="s">
        <v>3268</v>
      </c>
      <c r="E683" t="s">
        <v>290</v>
      </c>
      <c r="F683">
        <v>499.99</v>
      </c>
      <c r="G683" t="s">
        <v>11</v>
      </c>
      <c r="H683">
        <v>0</v>
      </c>
      <c r="M683">
        <v>0</v>
      </c>
      <c r="N683">
        <v>0</v>
      </c>
      <c r="O683">
        <v>0</v>
      </c>
      <c r="P683">
        <v>0</v>
      </c>
    </row>
    <row r="684" spans="1:16" x14ac:dyDescent="0.2">
      <c r="A684" t="s">
        <v>3344</v>
      </c>
      <c r="B684" t="s">
        <v>5222</v>
      </c>
      <c r="C684" t="s">
        <v>3345</v>
      </c>
      <c r="D684" t="s">
        <v>3268</v>
      </c>
      <c r="E684" t="s">
        <v>290</v>
      </c>
      <c r="F684">
        <v>499.99</v>
      </c>
      <c r="G684" t="s">
        <v>11</v>
      </c>
      <c r="H684">
        <v>0</v>
      </c>
      <c r="M684">
        <v>0</v>
      </c>
      <c r="N684">
        <v>0</v>
      </c>
      <c r="O684">
        <v>0</v>
      </c>
      <c r="P684">
        <v>0</v>
      </c>
    </row>
    <row r="685" spans="1:16" x14ac:dyDescent="0.2">
      <c r="A685" t="s">
        <v>6654</v>
      </c>
      <c r="B685" t="s">
        <v>6656</v>
      </c>
      <c r="C685" t="s">
        <v>6655</v>
      </c>
      <c r="D685" t="s">
        <v>2987</v>
      </c>
      <c r="E685" t="s">
        <v>96</v>
      </c>
      <c r="F685">
        <v>129.99</v>
      </c>
      <c r="G685" t="s">
        <v>11</v>
      </c>
      <c r="H685">
        <v>0</v>
      </c>
      <c r="M685">
        <v>0</v>
      </c>
      <c r="N685">
        <v>0</v>
      </c>
      <c r="O685">
        <v>0</v>
      </c>
      <c r="P685">
        <v>0</v>
      </c>
    </row>
    <row r="686" spans="1:16" x14ac:dyDescent="0.2">
      <c r="A686" t="s">
        <v>6687</v>
      </c>
      <c r="B686" t="s">
        <v>6689</v>
      </c>
      <c r="C686" t="s">
        <v>6688</v>
      </c>
      <c r="D686" t="s">
        <v>2987</v>
      </c>
      <c r="E686" t="s">
        <v>96</v>
      </c>
      <c r="F686">
        <v>139.99</v>
      </c>
      <c r="G686" t="s">
        <v>11</v>
      </c>
      <c r="H686">
        <v>0</v>
      </c>
      <c r="M686">
        <v>0</v>
      </c>
      <c r="N686">
        <v>0</v>
      </c>
      <c r="O686">
        <v>0</v>
      </c>
      <c r="P686">
        <v>0</v>
      </c>
    </row>
    <row r="687" spans="1:16" x14ac:dyDescent="0.2">
      <c r="A687" t="s">
        <v>6651</v>
      </c>
      <c r="B687" t="s">
        <v>6653</v>
      </c>
      <c r="C687" t="s">
        <v>6652</v>
      </c>
      <c r="D687" t="s">
        <v>2987</v>
      </c>
      <c r="E687" t="s">
        <v>96</v>
      </c>
      <c r="F687">
        <v>119.99</v>
      </c>
      <c r="G687" t="s">
        <v>11</v>
      </c>
      <c r="H687">
        <v>0</v>
      </c>
      <c r="M687">
        <v>0</v>
      </c>
      <c r="N687">
        <v>0</v>
      </c>
      <c r="O687">
        <v>0</v>
      </c>
      <c r="P687">
        <v>0</v>
      </c>
    </row>
    <row r="688" spans="1:16" x14ac:dyDescent="0.2">
      <c r="A688" t="s">
        <v>6657</v>
      </c>
      <c r="B688" t="s">
        <v>6659</v>
      </c>
      <c r="C688" t="s">
        <v>6658</v>
      </c>
      <c r="D688" t="s">
        <v>2987</v>
      </c>
      <c r="E688" t="s">
        <v>96</v>
      </c>
      <c r="G688" t="s">
        <v>11</v>
      </c>
      <c r="H688">
        <v>0</v>
      </c>
      <c r="M688">
        <v>0</v>
      </c>
      <c r="N688">
        <v>0</v>
      </c>
      <c r="P688">
        <v>0</v>
      </c>
    </row>
    <row r="689" spans="1:16" x14ac:dyDescent="0.2">
      <c r="A689" t="s">
        <v>6640</v>
      </c>
      <c r="B689" t="s">
        <v>6642</v>
      </c>
      <c r="C689" t="s">
        <v>6641</v>
      </c>
      <c r="D689" t="s">
        <v>2987</v>
      </c>
      <c r="E689" t="s">
        <v>96</v>
      </c>
      <c r="G689" t="s">
        <v>11</v>
      </c>
      <c r="H689">
        <v>0</v>
      </c>
      <c r="M689">
        <v>0</v>
      </c>
      <c r="N689">
        <v>0</v>
      </c>
      <c r="P689">
        <v>0</v>
      </c>
    </row>
    <row r="690" spans="1:16" x14ac:dyDescent="0.2">
      <c r="A690" t="s">
        <v>6625</v>
      </c>
      <c r="B690" t="s">
        <v>6627</v>
      </c>
      <c r="C690" t="s">
        <v>6626</v>
      </c>
      <c r="D690" t="s">
        <v>2987</v>
      </c>
      <c r="E690" t="s">
        <v>96</v>
      </c>
      <c r="F690">
        <v>99.99</v>
      </c>
      <c r="G690" t="s">
        <v>11</v>
      </c>
      <c r="H690">
        <v>0</v>
      </c>
      <c r="M690">
        <v>0</v>
      </c>
      <c r="N690">
        <v>0</v>
      </c>
      <c r="O690">
        <v>0</v>
      </c>
      <c r="P690">
        <v>0</v>
      </c>
    </row>
    <row r="691" spans="1:16" x14ac:dyDescent="0.2">
      <c r="A691" t="s">
        <v>3017</v>
      </c>
      <c r="B691" t="s">
        <v>6555</v>
      </c>
      <c r="C691" t="s">
        <v>3018</v>
      </c>
      <c r="D691" t="s">
        <v>2987</v>
      </c>
      <c r="E691" t="s">
        <v>228</v>
      </c>
      <c r="F691">
        <v>179.99</v>
      </c>
      <c r="G691" t="s">
        <v>11</v>
      </c>
      <c r="H691">
        <v>1</v>
      </c>
      <c r="M691">
        <v>0.60000000000000009</v>
      </c>
      <c r="N691">
        <v>1.6666666666666665</v>
      </c>
      <c r="O691">
        <v>0</v>
      </c>
      <c r="P691">
        <v>1</v>
      </c>
    </row>
    <row r="692" spans="1:16" x14ac:dyDescent="0.2">
      <c r="A692" t="s">
        <v>6634</v>
      </c>
      <c r="B692" t="s">
        <v>6636</v>
      </c>
      <c r="C692" t="s">
        <v>6635</v>
      </c>
      <c r="D692" t="s">
        <v>2987</v>
      </c>
      <c r="E692" t="s">
        <v>96</v>
      </c>
      <c r="G692" t="s">
        <v>11</v>
      </c>
      <c r="H692">
        <v>0</v>
      </c>
      <c r="M692">
        <v>0</v>
      </c>
      <c r="N692">
        <v>0</v>
      </c>
      <c r="P692">
        <v>0</v>
      </c>
    </row>
    <row r="693" spans="1:16" x14ac:dyDescent="0.2">
      <c r="A693" t="s">
        <v>3039</v>
      </c>
      <c r="B693" t="s">
        <v>6516</v>
      </c>
      <c r="C693" t="s">
        <v>3040</v>
      </c>
      <c r="D693" t="s">
        <v>2987</v>
      </c>
      <c r="E693" t="s">
        <v>228</v>
      </c>
      <c r="F693">
        <v>79.989999999999995</v>
      </c>
      <c r="G693" t="s">
        <v>11</v>
      </c>
      <c r="H693">
        <v>0</v>
      </c>
      <c r="M693">
        <v>0</v>
      </c>
      <c r="N693">
        <v>0</v>
      </c>
      <c r="O693">
        <v>0</v>
      </c>
      <c r="P693">
        <v>5</v>
      </c>
    </row>
    <row r="694" spans="1:16" x14ac:dyDescent="0.2">
      <c r="A694" t="s">
        <v>2214</v>
      </c>
      <c r="B694" t="s">
        <v>5408</v>
      </c>
      <c r="C694" t="s">
        <v>2215</v>
      </c>
      <c r="D694" t="s">
        <v>2146</v>
      </c>
      <c r="E694" t="s">
        <v>228</v>
      </c>
      <c r="F694">
        <v>99.99</v>
      </c>
      <c r="G694" t="s">
        <v>11</v>
      </c>
      <c r="H694">
        <v>0</v>
      </c>
      <c r="M694">
        <v>0</v>
      </c>
      <c r="N694">
        <v>0</v>
      </c>
      <c r="O694">
        <v>0</v>
      </c>
      <c r="P694">
        <v>0</v>
      </c>
    </row>
    <row r="695" spans="1:16" x14ac:dyDescent="0.2">
      <c r="A695" t="s">
        <v>2220</v>
      </c>
      <c r="B695" t="s">
        <v>5411</v>
      </c>
      <c r="C695" t="s">
        <v>2221</v>
      </c>
      <c r="D695" t="s">
        <v>2146</v>
      </c>
      <c r="E695" t="s">
        <v>228</v>
      </c>
      <c r="F695">
        <v>54.99</v>
      </c>
      <c r="G695" t="s">
        <v>11</v>
      </c>
      <c r="H695">
        <v>0</v>
      </c>
      <c r="M695">
        <v>0</v>
      </c>
      <c r="N695">
        <v>0</v>
      </c>
      <c r="O695">
        <v>0</v>
      </c>
      <c r="P695">
        <v>0</v>
      </c>
    </row>
    <row r="696" spans="1:16" x14ac:dyDescent="0.2">
      <c r="A696" t="s">
        <v>2212</v>
      </c>
      <c r="B696" t="s">
        <v>5399</v>
      </c>
      <c r="C696" t="s">
        <v>2213</v>
      </c>
      <c r="D696" t="s">
        <v>2146</v>
      </c>
      <c r="E696" t="s">
        <v>228</v>
      </c>
      <c r="F696">
        <v>39.99</v>
      </c>
      <c r="G696" t="s">
        <v>11</v>
      </c>
      <c r="H696">
        <v>1.5833333333333333</v>
      </c>
      <c r="M696">
        <v>0.54545454545454553</v>
      </c>
      <c r="N696">
        <v>1.8333333333333333</v>
      </c>
      <c r="O696">
        <v>0</v>
      </c>
      <c r="P696">
        <v>1</v>
      </c>
    </row>
    <row r="697" spans="1:16" x14ac:dyDescent="0.2">
      <c r="A697" t="s">
        <v>1880</v>
      </c>
      <c r="B697" t="s">
        <v>3486</v>
      </c>
      <c r="C697" t="s">
        <v>1881</v>
      </c>
      <c r="D697" t="s">
        <v>1863</v>
      </c>
      <c r="E697" t="s">
        <v>228</v>
      </c>
      <c r="F697">
        <v>649.99</v>
      </c>
      <c r="G697" t="s">
        <v>11</v>
      </c>
      <c r="H697">
        <v>0</v>
      </c>
      <c r="M697">
        <v>0</v>
      </c>
      <c r="N697">
        <v>0</v>
      </c>
      <c r="O697">
        <v>0</v>
      </c>
      <c r="P697">
        <v>0</v>
      </c>
    </row>
    <row r="698" spans="1:16" x14ac:dyDescent="0.2">
      <c r="A698" t="s">
        <v>2256</v>
      </c>
      <c r="B698" t="s">
        <v>5395</v>
      </c>
      <c r="C698" t="s">
        <v>2257</v>
      </c>
      <c r="D698" t="s">
        <v>2146</v>
      </c>
      <c r="E698" t="s">
        <v>228</v>
      </c>
      <c r="F698">
        <v>39.99</v>
      </c>
      <c r="G698" t="s">
        <v>11</v>
      </c>
      <c r="H698">
        <v>0</v>
      </c>
      <c r="M698">
        <v>0</v>
      </c>
      <c r="N698">
        <v>0</v>
      </c>
      <c r="O698">
        <v>0</v>
      </c>
      <c r="P698">
        <v>0</v>
      </c>
    </row>
    <row r="699" spans="1:16" x14ac:dyDescent="0.2">
      <c r="A699" t="s">
        <v>2354</v>
      </c>
      <c r="B699" t="s">
        <v>5613</v>
      </c>
      <c r="C699" t="s">
        <v>2355</v>
      </c>
      <c r="D699" t="s">
        <v>2146</v>
      </c>
      <c r="E699" t="s">
        <v>228</v>
      </c>
      <c r="F699">
        <v>249.99</v>
      </c>
      <c r="G699" t="s">
        <v>11</v>
      </c>
      <c r="H699">
        <v>3.3333333333333333E-2</v>
      </c>
      <c r="M699">
        <v>30</v>
      </c>
      <c r="N699">
        <v>0.16666666666666666</v>
      </c>
      <c r="O699">
        <v>0</v>
      </c>
      <c r="P699">
        <v>5</v>
      </c>
    </row>
    <row r="700" spans="1:16" x14ac:dyDescent="0.2">
      <c r="A700" t="s">
        <v>2224</v>
      </c>
      <c r="B700" t="s">
        <v>5419</v>
      </c>
      <c r="C700" t="s">
        <v>2225</v>
      </c>
      <c r="D700" t="s">
        <v>2146</v>
      </c>
      <c r="E700" t="s">
        <v>228</v>
      </c>
      <c r="F700">
        <v>179.99</v>
      </c>
      <c r="G700" t="s">
        <v>11</v>
      </c>
      <c r="H700">
        <v>0</v>
      </c>
      <c r="M700">
        <v>0</v>
      </c>
      <c r="N700">
        <v>0</v>
      </c>
      <c r="O700">
        <v>0</v>
      </c>
      <c r="P700">
        <v>0</v>
      </c>
    </row>
    <row r="701" spans="1:16" x14ac:dyDescent="0.2">
      <c r="A701" t="s">
        <v>6631</v>
      </c>
      <c r="B701" t="s">
        <v>6633</v>
      </c>
      <c r="C701" t="s">
        <v>6632</v>
      </c>
      <c r="D701" t="s">
        <v>2987</v>
      </c>
      <c r="E701" t="s">
        <v>96</v>
      </c>
      <c r="F701">
        <v>99.99</v>
      </c>
      <c r="G701" t="s">
        <v>11</v>
      </c>
      <c r="H701">
        <v>0</v>
      </c>
      <c r="M701">
        <v>0</v>
      </c>
      <c r="N701">
        <v>0</v>
      </c>
      <c r="O701">
        <v>0</v>
      </c>
      <c r="P701">
        <v>0</v>
      </c>
    </row>
    <row r="702" spans="1:16" x14ac:dyDescent="0.2">
      <c r="A702" t="s">
        <v>3726</v>
      </c>
      <c r="B702" t="s">
        <v>3728</v>
      </c>
      <c r="C702" t="s">
        <v>3727</v>
      </c>
      <c r="D702" t="s">
        <v>1897</v>
      </c>
      <c r="E702" t="s">
        <v>96</v>
      </c>
      <c r="F702">
        <v>54.99</v>
      </c>
      <c r="G702" t="s">
        <v>11</v>
      </c>
      <c r="H702">
        <v>0</v>
      </c>
      <c r="M702">
        <v>0</v>
      </c>
      <c r="N702">
        <v>0</v>
      </c>
      <c r="O702">
        <v>0</v>
      </c>
      <c r="P702">
        <v>0</v>
      </c>
    </row>
    <row r="703" spans="1:16" x14ac:dyDescent="0.2">
      <c r="A703" t="s">
        <v>3385</v>
      </c>
      <c r="B703" t="s">
        <v>5902</v>
      </c>
      <c r="C703" t="s">
        <v>3386</v>
      </c>
      <c r="D703" t="s">
        <v>3268</v>
      </c>
      <c r="E703" t="s">
        <v>228</v>
      </c>
      <c r="F703">
        <v>179.99</v>
      </c>
      <c r="G703" t="s">
        <v>11</v>
      </c>
      <c r="H703">
        <v>0</v>
      </c>
      <c r="M703">
        <v>0</v>
      </c>
      <c r="N703">
        <v>0</v>
      </c>
      <c r="O703">
        <v>0</v>
      </c>
      <c r="P703">
        <v>0</v>
      </c>
    </row>
    <row r="704" spans="1:16" x14ac:dyDescent="0.2">
      <c r="A704" t="s">
        <v>3343</v>
      </c>
      <c r="B704" t="s">
        <v>5224</v>
      </c>
      <c r="C704" t="s">
        <v>3342</v>
      </c>
      <c r="D704" t="s">
        <v>3268</v>
      </c>
      <c r="E704" t="s">
        <v>290</v>
      </c>
      <c r="F704">
        <v>499.99</v>
      </c>
      <c r="G704" t="s">
        <v>11</v>
      </c>
      <c r="H704">
        <v>0</v>
      </c>
      <c r="M704">
        <v>0</v>
      </c>
      <c r="N704">
        <v>0</v>
      </c>
      <c r="O704">
        <v>0</v>
      </c>
      <c r="P704">
        <v>0</v>
      </c>
    </row>
    <row r="705" spans="1:16" x14ac:dyDescent="0.2">
      <c r="A705" t="s">
        <v>3340</v>
      </c>
      <c r="B705" t="s">
        <v>5216</v>
      </c>
      <c r="C705" t="s">
        <v>3339</v>
      </c>
      <c r="D705" t="s">
        <v>3268</v>
      </c>
      <c r="E705" t="s">
        <v>290</v>
      </c>
      <c r="F705">
        <v>499.99</v>
      </c>
      <c r="G705" t="s">
        <v>11</v>
      </c>
      <c r="H705">
        <v>0</v>
      </c>
      <c r="M705">
        <v>0</v>
      </c>
      <c r="N705">
        <v>0</v>
      </c>
      <c r="O705">
        <v>0</v>
      </c>
      <c r="P705">
        <v>0</v>
      </c>
    </row>
    <row r="706" spans="1:16" x14ac:dyDescent="0.2">
      <c r="A706" t="s">
        <v>3335</v>
      </c>
      <c r="B706" t="s">
        <v>5218</v>
      </c>
      <c r="C706" t="s">
        <v>3336</v>
      </c>
      <c r="D706" t="s">
        <v>3268</v>
      </c>
      <c r="E706" t="s">
        <v>290</v>
      </c>
      <c r="F706">
        <v>499.99</v>
      </c>
      <c r="G706" t="s">
        <v>11</v>
      </c>
      <c r="H706">
        <v>0</v>
      </c>
      <c r="M706">
        <v>0</v>
      </c>
      <c r="N706">
        <v>0</v>
      </c>
      <c r="O706">
        <v>0</v>
      </c>
      <c r="P706">
        <v>0</v>
      </c>
    </row>
    <row r="707" spans="1:16" x14ac:dyDescent="0.2">
      <c r="A707" t="s">
        <v>6619</v>
      </c>
      <c r="B707" t="s">
        <v>6621</v>
      </c>
      <c r="C707" t="s">
        <v>6620</v>
      </c>
      <c r="D707" t="s">
        <v>2987</v>
      </c>
      <c r="E707" t="s">
        <v>96</v>
      </c>
      <c r="F707">
        <v>89.99</v>
      </c>
      <c r="G707" t="s">
        <v>11</v>
      </c>
      <c r="H707">
        <v>0</v>
      </c>
      <c r="M707">
        <v>0</v>
      </c>
      <c r="N707">
        <v>0</v>
      </c>
      <c r="O707">
        <v>0</v>
      </c>
      <c r="P707">
        <v>0</v>
      </c>
    </row>
    <row r="708" spans="1:16" x14ac:dyDescent="0.2">
      <c r="A708" t="s">
        <v>3306</v>
      </c>
      <c r="B708" t="s">
        <v>6994</v>
      </c>
      <c r="C708" t="s">
        <v>3305</v>
      </c>
      <c r="D708" t="s">
        <v>3268</v>
      </c>
      <c r="E708" t="s">
        <v>228</v>
      </c>
      <c r="F708">
        <v>449.99</v>
      </c>
      <c r="G708" t="s">
        <v>11</v>
      </c>
      <c r="H708">
        <v>0.15</v>
      </c>
      <c r="M708">
        <v>15</v>
      </c>
      <c r="N708">
        <v>1</v>
      </c>
      <c r="O708">
        <v>0</v>
      </c>
      <c r="P708">
        <v>15</v>
      </c>
    </row>
    <row r="709" spans="1:16" x14ac:dyDescent="0.2">
      <c r="A709" t="s">
        <v>3276</v>
      </c>
      <c r="B709" t="s">
        <v>6974</v>
      </c>
      <c r="C709" t="s">
        <v>3275</v>
      </c>
      <c r="D709" t="s">
        <v>3268</v>
      </c>
      <c r="E709" t="s">
        <v>290</v>
      </c>
      <c r="F709">
        <v>179.99</v>
      </c>
      <c r="G709" t="s">
        <v>11</v>
      </c>
      <c r="H709">
        <v>0</v>
      </c>
      <c r="M709">
        <v>0</v>
      </c>
      <c r="N709">
        <v>0</v>
      </c>
      <c r="O709">
        <v>0</v>
      </c>
      <c r="P709">
        <v>0</v>
      </c>
    </row>
    <row r="710" spans="1:16" x14ac:dyDescent="0.2">
      <c r="A710" t="s">
        <v>3273</v>
      </c>
      <c r="B710" t="s">
        <v>6971</v>
      </c>
      <c r="C710" t="s">
        <v>3272</v>
      </c>
      <c r="D710" t="s">
        <v>3268</v>
      </c>
      <c r="E710" t="s">
        <v>290</v>
      </c>
      <c r="F710">
        <v>179.99</v>
      </c>
      <c r="G710" t="s">
        <v>11</v>
      </c>
      <c r="H710">
        <v>0</v>
      </c>
      <c r="M710">
        <v>0</v>
      </c>
      <c r="N710">
        <v>0</v>
      </c>
      <c r="O710">
        <v>0</v>
      </c>
      <c r="P710">
        <v>2</v>
      </c>
    </row>
    <row r="711" spans="1:16" x14ac:dyDescent="0.2">
      <c r="A711" t="s">
        <v>3286</v>
      </c>
      <c r="B711" t="s">
        <v>3623</v>
      </c>
      <c r="C711" t="s">
        <v>3287</v>
      </c>
      <c r="D711" t="s">
        <v>3268</v>
      </c>
      <c r="E711" t="s">
        <v>228</v>
      </c>
      <c r="G711" t="s">
        <v>11</v>
      </c>
      <c r="H711">
        <v>0.19791666666666663</v>
      </c>
      <c r="M711">
        <v>16</v>
      </c>
      <c r="N711">
        <v>0.5</v>
      </c>
      <c r="P711">
        <v>8</v>
      </c>
    </row>
    <row r="712" spans="1:16" x14ac:dyDescent="0.2">
      <c r="A712" t="s">
        <v>3379</v>
      </c>
      <c r="B712" t="s">
        <v>5244</v>
      </c>
      <c r="C712" t="s">
        <v>3380</v>
      </c>
      <c r="D712" t="s">
        <v>3268</v>
      </c>
      <c r="E712" t="s">
        <v>228</v>
      </c>
      <c r="F712">
        <v>799.99</v>
      </c>
      <c r="G712" t="s">
        <v>11</v>
      </c>
      <c r="H712">
        <v>0</v>
      </c>
      <c r="M712">
        <v>0</v>
      </c>
      <c r="N712">
        <v>0.16666666666666666</v>
      </c>
      <c r="O712">
        <v>0</v>
      </c>
      <c r="P712">
        <v>0</v>
      </c>
    </row>
    <row r="713" spans="1:16" x14ac:dyDescent="0.2">
      <c r="A713" t="s">
        <v>4144</v>
      </c>
      <c r="B713" t="s">
        <v>4146</v>
      </c>
      <c r="C713" t="s">
        <v>4145</v>
      </c>
      <c r="D713" t="s">
        <v>1897</v>
      </c>
      <c r="E713" t="s">
        <v>96</v>
      </c>
      <c r="G713" t="s">
        <v>11</v>
      </c>
      <c r="H713">
        <v>0</v>
      </c>
      <c r="M713">
        <v>0</v>
      </c>
      <c r="N713">
        <v>0</v>
      </c>
      <c r="P713">
        <v>0</v>
      </c>
    </row>
    <row r="714" spans="1:16" x14ac:dyDescent="0.2">
      <c r="A714" t="s">
        <v>4138</v>
      </c>
      <c r="B714" t="s">
        <v>4140</v>
      </c>
      <c r="C714" t="s">
        <v>4139</v>
      </c>
      <c r="D714" t="s">
        <v>1897</v>
      </c>
      <c r="E714" t="s">
        <v>96</v>
      </c>
      <c r="F714">
        <v>79.989999999999995</v>
      </c>
      <c r="G714" t="s">
        <v>11</v>
      </c>
      <c r="H714">
        <v>0</v>
      </c>
      <c r="M714">
        <v>0</v>
      </c>
      <c r="N714">
        <v>0</v>
      </c>
      <c r="O714">
        <v>0</v>
      </c>
      <c r="P714">
        <v>0</v>
      </c>
    </row>
    <row r="715" spans="1:16" x14ac:dyDescent="0.2">
      <c r="A715" t="s">
        <v>5769</v>
      </c>
      <c r="B715" t="s">
        <v>5771</v>
      </c>
      <c r="C715" t="s">
        <v>5770</v>
      </c>
      <c r="D715" t="s">
        <v>4463</v>
      </c>
      <c r="E715" t="s">
        <v>290</v>
      </c>
      <c r="F715">
        <v>34.99</v>
      </c>
      <c r="G715" t="s">
        <v>11</v>
      </c>
      <c r="H715">
        <v>0</v>
      </c>
      <c r="M715">
        <v>0</v>
      </c>
      <c r="N715">
        <v>0</v>
      </c>
      <c r="O715">
        <v>0</v>
      </c>
      <c r="P715">
        <v>0</v>
      </c>
    </row>
    <row r="716" spans="1:16" x14ac:dyDescent="0.2">
      <c r="A716" t="s">
        <v>1908</v>
      </c>
      <c r="B716" t="s">
        <v>3784</v>
      </c>
      <c r="C716" t="s">
        <v>1909</v>
      </c>
      <c r="D716" t="s">
        <v>1897</v>
      </c>
      <c r="E716" t="s">
        <v>290</v>
      </c>
      <c r="F716">
        <v>89.99</v>
      </c>
      <c r="G716" t="s">
        <v>11</v>
      </c>
      <c r="H716">
        <v>0</v>
      </c>
      <c r="M716">
        <v>0</v>
      </c>
      <c r="N716">
        <v>0</v>
      </c>
      <c r="O716">
        <v>0</v>
      </c>
      <c r="P716">
        <v>0</v>
      </c>
    </row>
    <row r="717" spans="1:16" x14ac:dyDescent="0.2">
      <c r="A717" t="s">
        <v>4168</v>
      </c>
      <c r="B717" t="s">
        <v>4170</v>
      </c>
      <c r="C717" t="s">
        <v>4169</v>
      </c>
      <c r="D717" t="s">
        <v>1897</v>
      </c>
      <c r="E717" t="s">
        <v>96</v>
      </c>
      <c r="F717">
        <v>34.99</v>
      </c>
      <c r="G717" t="s">
        <v>11</v>
      </c>
      <c r="H717">
        <v>0</v>
      </c>
      <c r="M717">
        <v>0</v>
      </c>
      <c r="N717">
        <v>0</v>
      </c>
      <c r="O717">
        <v>0</v>
      </c>
      <c r="P717">
        <v>0</v>
      </c>
    </row>
    <row r="718" spans="1:16" x14ac:dyDescent="0.2">
      <c r="A718" t="s">
        <v>3883</v>
      </c>
      <c r="B718" t="s">
        <v>3885</v>
      </c>
      <c r="C718" t="s">
        <v>3884</v>
      </c>
      <c r="D718" t="s">
        <v>1897</v>
      </c>
      <c r="E718" t="s">
        <v>96</v>
      </c>
      <c r="F718">
        <v>89.99</v>
      </c>
      <c r="G718" t="s">
        <v>11</v>
      </c>
      <c r="H718">
        <v>0</v>
      </c>
      <c r="M718">
        <v>0</v>
      </c>
      <c r="N718">
        <v>0</v>
      </c>
      <c r="O718">
        <v>0</v>
      </c>
      <c r="P718">
        <v>0</v>
      </c>
    </row>
    <row r="719" spans="1:16" x14ac:dyDescent="0.2">
      <c r="A719" t="s">
        <v>1962</v>
      </c>
      <c r="B719" t="s">
        <v>3996</v>
      </c>
      <c r="C719" t="s">
        <v>1963</v>
      </c>
      <c r="D719" t="s">
        <v>1897</v>
      </c>
      <c r="E719" t="s">
        <v>290</v>
      </c>
      <c r="F719">
        <v>219.99</v>
      </c>
      <c r="G719" t="s">
        <v>11</v>
      </c>
      <c r="H719">
        <v>0</v>
      </c>
      <c r="M719">
        <v>0</v>
      </c>
      <c r="N719">
        <v>0</v>
      </c>
      <c r="O719">
        <v>0</v>
      </c>
      <c r="P719">
        <v>0</v>
      </c>
    </row>
    <row r="720" spans="1:16" x14ac:dyDescent="0.2">
      <c r="A720" t="s">
        <v>4114</v>
      </c>
      <c r="B720" t="s">
        <v>4116</v>
      </c>
      <c r="C720" t="s">
        <v>4115</v>
      </c>
      <c r="D720" t="s">
        <v>1897</v>
      </c>
      <c r="E720" t="s">
        <v>290</v>
      </c>
      <c r="F720">
        <v>79.989999999999995</v>
      </c>
      <c r="G720" t="s">
        <v>11</v>
      </c>
      <c r="H720">
        <v>0</v>
      </c>
      <c r="M720">
        <v>0</v>
      </c>
      <c r="N720">
        <v>0</v>
      </c>
      <c r="O720">
        <v>0</v>
      </c>
      <c r="P720">
        <v>0</v>
      </c>
    </row>
    <row r="721" spans="1:16" x14ac:dyDescent="0.2">
      <c r="A721" t="s">
        <v>4012</v>
      </c>
      <c r="B721" t="s">
        <v>4014</v>
      </c>
      <c r="C721" t="s">
        <v>4013</v>
      </c>
      <c r="D721" t="s">
        <v>1897</v>
      </c>
      <c r="E721" t="s">
        <v>96</v>
      </c>
      <c r="F721">
        <v>89.99</v>
      </c>
      <c r="G721" t="s">
        <v>11</v>
      </c>
      <c r="H721">
        <v>0</v>
      </c>
      <c r="M721">
        <v>0</v>
      </c>
      <c r="N721">
        <v>0</v>
      </c>
      <c r="O721">
        <v>0</v>
      </c>
      <c r="P721">
        <v>0</v>
      </c>
    </row>
    <row r="722" spans="1:16" x14ac:dyDescent="0.2">
      <c r="A722" t="s">
        <v>4015</v>
      </c>
      <c r="B722" t="s">
        <v>4017</v>
      </c>
      <c r="C722" t="s">
        <v>4016</v>
      </c>
      <c r="D722" t="s">
        <v>1897</v>
      </c>
      <c r="E722" t="s">
        <v>96</v>
      </c>
      <c r="F722">
        <v>89.99</v>
      </c>
      <c r="G722" t="s">
        <v>11</v>
      </c>
      <c r="H722">
        <v>0</v>
      </c>
      <c r="M722">
        <v>0</v>
      </c>
      <c r="N722">
        <v>0</v>
      </c>
      <c r="O722">
        <v>0</v>
      </c>
      <c r="P722">
        <v>0</v>
      </c>
    </row>
    <row r="723" spans="1:16" x14ac:dyDescent="0.2">
      <c r="A723" t="s">
        <v>3865</v>
      </c>
      <c r="B723" t="s">
        <v>3867</v>
      </c>
      <c r="C723" t="s">
        <v>3866</v>
      </c>
      <c r="D723" t="s">
        <v>1897</v>
      </c>
      <c r="E723" t="s">
        <v>96</v>
      </c>
      <c r="F723">
        <v>59.99</v>
      </c>
      <c r="G723" t="s">
        <v>11</v>
      </c>
      <c r="H723">
        <v>0</v>
      </c>
      <c r="M723">
        <v>0</v>
      </c>
      <c r="N723">
        <v>0</v>
      </c>
      <c r="O723">
        <v>0</v>
      </c>
      <c r="P723">
        <v>0</v>
      </c>
    </row>
    <row r="724" spans="1:16" x14ac:dyDescent="0.2">
      <c r="A724" t="s">
        <v>3871</v>
      </c>
      <c r="B724" t="s">
        <v>3873</v>
      </c>
      <c r="C724" t="s">
        <v>3872</v>
      </c>
      <c r="D724" t="s">
        <v>1897</v>
      </c>
      <c r="E724" t="s">
        <v>96</v>
      </c>
      <c r="F724">
        <v>89.99</v>
      </c>
      <c r="G724" t="s">
        <v>11</v>
      </c>
      <c r="H724">
        <v>0</v>
      </c>
      <c r="M724">
        <v>0</v>
      </c>
      <c r="N724">
        <v>0</v>
      </c>
      <c r="O724">
        <v>0</v>
      </c>
      <c r="P724">
        <v>0</v>
      </c>
    </row>
    <row r="725" spans="1:16" x14ac:dyDescent="0.2">
      <c r="A725" t="s">
        <v>3889</v>
      </c>
      <c r="B725" t="s">
        <v>3891</v>
      </c>
      <c r="C725" t="s">
        <v>3890</v>
      </c>
      <c r="D725" t="s">
        <v>1897</v>
      </c>
      <c r="E725" t="s">
        <v>96</v>
      </c>
      <c r="F725">
        <v>89.99</v>
      </c>
      <c r="G725" t="s">
        <v>11</v>
      </c>
      <c r="H725">
        <v>0</v>
      </c>
      <c r="M725">
        <v>0</v>
      </c>
      <c r="N725">
        <v>0</v>
      </c>
      <c r="O725">
        <v>0</v>
      </c>
      <c r="P725">
        <v>0</v>
      </c>
    </row>
    <row r="726" spans="1:16" x14ac:dyDescent="0.2">
      <c r="A726" t="s">
        <v>4147</v>
      </c>
      <c r="B726" t="s">
        <v>4149</v>
      </c>
      <c r="C726" t="s">
        <v>4148</v>
      </c>
      <c r="D726" t="s">
        <v>1897</v>
      </c>
      <c r="E726" t="s">
        <v>290</v>
      </c>
      <c r="F726">
        <v>349.99</v>
      </c>
      <c r="G726" t="s">
        <v>11</v>
      </c>
      <c r="H726">
        <v>0</v>
      </c>
      <c r="M726">
        <v>0</v>
      </c>
      <c r="N726">
        <v>0</v>
      </c>
      <c r="O726">
        <v>0</v>
      </c>
      <c r="P726">
        <v>0</v>
      </c>
    </row>
    <row r="727" spans="1:16" x14ac:dyDescent="0.2">
      <c r="A727" t="s">
        <v>4153</v>
      </c>
      <c r="B727" t="s">
        <v>4155</v>
      </c>
      <c r="C727" t="s">
        <v>4154</v>
      </c>
      <c r="D727" t="s">
        <v>1897</v>
      </c>
      <c r="E727" t="s">
        <v>96</v>
      </c>
      <c r="F727">
        <v>299.99</v>
      </c>
      <c r="G727" t="s">
        <v>11</v>
      </c>
      <c r="H727">
        <v>0</v>
      </c>
      <c r="M727">
        <v>0</v>
      </c>
      <c r="N727">
        <v>0</v>
      </c>
      <c r="O727">
        <v>0</v>
      </c>
      <c r="P727">
        <v>0</v>
      </c>
    </row>
    <row r="728" spans="1:16" x14ac:dyDescent="0.2">
      <c r="A728" t="s">
        <v>4150</v>
      </c>
      <c r="B728" t="s">
        <v>4152</v>
      </c>
      <c r="C728" t="s">
        <v>4151</v>
      </c>
      <c r="D728" t="s">
        <v>1897</v>
      </c>
      <c r="E728" t="s">
        <v>96</v>
      </c>
      <c r="F728">
        <v>299.99</v>
      </c>
      <c r="G728" t="s">
        <v>11</v>
      </c>
      <c r="H728">
        <v>0</v>
      </c>
      <c r="M728">
        <v>0</v>
      </c>
      <c r="N728">
        <v>0</v>
      </c>
      <c r="O728">
        <v>0</v>
      </c>
      <c r="P728">
        <v>0</v>
      </c>
    </row>
    <row r="729" spans="1:16" x14ac:dyDescent="0.2">
      <c r="A729" t="s">
        <v>4039</v>
      </c>
      <c r="B729" t="s">
        <v>4041</v>
      </c>
      <c r="C729" t="s">
        <v>4040</v>
      </c>
      <c r="D729" t="s">
        <v>1897</v>
      </c>
      <c r="E729" t="s">
        <v>96</v>
      </c>
      <c r="F729">
        <v>49.99</v>
      </c>
      <c r="G729" t="s">
        <v>11</v>
      </c>
      <c r="H729">
        <v>0</v>
      </c>
      <c r="M729">
        <v>0</v>
      </c>
      <c r="N729">
        <v>0</v>
      </c>
      <c r="O729">
        <v>0</v>
      </c>
      <c r="P729">
        <v>0</v>
      </c>
    </row>
    <row r="730" spans="1:16" x14ac:dyDescent="0.2">
      <c r="A730" t="s">
        <v>4069</v>
      </c>
      <c r="B730" t="s">
        <v>4071</v>
      </c>
      <c r="C730" t="s">
        <v>4070</v>
      </c>
      <c r="D730" t="s">
        <v>1897</v>
      </c>
      <c r="E730" t="s">
        <v>96</v>
      </c>
      <c r="F730">
        <v>379.99</v>
      </c>
      <c r="G730" t="s">
        <v>11</v>
      </c>
      <c r="H730">
        <v>0</v>
      </c>
      <c r="M730">
        <v>0</v>
      </c>
      <c r="N730">
        <v>0</v>
      </c>
      <c r="O730">
        <v>0</v>
      </c>
      <c r="P730">
        <v>0</v>
      </c>
    </row>
    <row r="731" spans="1:16" x14ac:dyDescent="0.2">
      <c r="A731" t="s">
        <v>4102</v>
      </c>
      <c r="B731" t="s">
        <v>4104</v>
      </c>
      <c r="C731" t="s">
        <v>4103</v>
      </c>
      <c r="D731" t="s">
        <v>1897</v>
      </c>
      <c r="E731" t="s">
        <v>96</v>
      </c>
      <c r="F731">
        <v>69.989999999999995</v>
      </c>
      <c r="G731" t="s">
        <v>11</v>
      </c>
      <c r="H731">
        <v>0</v>
      </c>
      <c r="M731">
        <v>0</v>
      </c>
      <c r="N731">
        <v>0</v>
      </c>
      <c r="O731">
        <v>0</v>
      </c>
      <c r="P731">
        <v>0</v>
      </c>
    </row>
    <row r="732" spans="1:16" x14ac:dyDescent="0.2">
      <c r="A732" t="s">
        <v>1974</v>
      </c>
      <c r="B732" t="s">
        <v>3983</v>
      </c>
      <c r="C732" t="s">
        <v>1975</v>
      </c>
      <c r="D732" t="s">
        <v>1897</v>
      </c>
      <c r="E732" t="s">
        <v>96</v>
      </c>
      <c r="F732">
        <v>64.989999999999995</v>
      </c>
      <c r="G732" t="s">
        <v>11</v>
      </c>
      <c r="H732">
        <v>0</v>
      </c>
      <c r="M732">
        <v>0</v>
      </c>
      <c r="N732">
        <v>0</v>
      </c>
      <c r="O732">
        <v>0</v>
      </c>
      <c r="P732">
        <v>0</v>
      </c>
    </row>
    <row r="733" spans="1:16" x14ac:dyDescent="0.2">
      <c r="A733" t="s">
        <v>4171</v>
      </c>
      <c r="B733" t="s">
        <v>4173</v>
      </c>
      <c r="C733" t="s">
        <v>4172</v>
      </c>
      <c r="D733" t="s">
        <v>1897</v>
      </c>
      <c r="E733" t="s">
        <v>96</v>
      </c>
      <c r="F733">
        <v>69.989999999999995</v>
      </c>
      <c r="G733" t="s">
        <v>11</v>
      </c>
      <c r="H733">
        <v>0</v>
      </c>
      <c r="M733">
        <v>0</v>
      </c>
      <c r="N733">
        <v>0</v>
      </c>
      <c r="O733">
        <v>0</v>
      </c>
      <c r="P733">
        <v>0</v>
      </c>
    </row>
    <row r="734" spans="1:16" x14ac:dyDescent="0.2">
      <c r="A734" t="s">
        <v>3997</v>
      </c>
      <c r="B734" t="s">
        <v>3999</v>
      </c>
      <c r="C734" t="s">
        <v>3998</v>
      </c>
      <c r="D734" t="s">
        <v>1897</v>
      </c>
      <c r="E734" t="s">
        <v>96</v>
      </c>
      <c r="F734">
        <v>44.99</v>
      </c>
      <c r="G734" t="s">
        <v>11</v>
      </c>
      <c r="H734">
        <v>0</v>
      </c>
      <c r="M734">
        <v>0</v>
      </c>
      <c r="N734">
        <v>0</v>
      </c>
      <c r="O734">
        <v>0</v>
      </c>
      <c r="P734">
        <v>0</v>
      </c>
    </row>
    <row r="735" spans="1:16" x14ac:dyDescent="0.2">
      <c r="A735" t="s">
        <v>3886</v>
      </c>
      <c r="B735" t="s">
        <v>3888</v>
      </c>
      <c r="C735" t="s">
        <v>3887</v>
      </c>
      <c r="D735" t="s">
        <v>1897</v>
      </c>
      <c r="E735" t="s">
        <v>96</v>
      </c>
      <c r="F735">
        <v>74.989999999999995</v>
      </c>
      <c r="G735" t="s">
        <v>11</v>
      </c>
      <c r="H735">
        <v>0</v>
      </c>
      <c r="M735">
        <v>0</v>
      </c>
      <c r="N735">
        <v>0</v>
      </c>
      <c r="O735">
        <v>0</v>
      </c>
      <c r="P735">
        <v>0</v>
      </c>
    </row>
    <row r="736" spans="1:16" x14ac:dyDescent="0.2">
      <c r="A736" t="s">
        <v>3798</v>
      </c>
      <c r="B736" t="s">
        <v>3800</v>
      </c>
      <c r="C736" t="s">
        <v>3799</v>
      </c>
      <c r="D736" t="s">
        <v>1897</v>
      </c>
      <c r="E736" t="s">
        <v>96</v>
      </c>
      <c r="F736">
        <v>34.99</v>
      </c>
      <c r="G736" t="s">
        <v>11</v>
      </c>
      <c r="H736">
        <v>0</v>
      </c>
      <c r="M736">
        <v>0</v>
      </c>
      <c r="N736">
        <v>0</v>
      </c>
      <c r="O736">
        <v>0</v>
      </c>
      <c r="P736">
        <v>0</v>
      </c>
    </row>
    <row r="737" spans="1:16" x14ac:dyDescent="0.2">
      <c r="A737" t="s">
        <v>3877</v>
      </c>
      <c r="B737" t="s">
        <v>3879</v>
      </c>
      <c r="C737" t="s">
        <v>7046</v>
      </c>
      <c r="D737" t="s">
        <v>1897</v>
      </c>
      <c r="E737" t="s">
        <v>96</v>
      </c>
      <c r="F737">
        <v>89.99</v>
      </c>
      <c r="G737" t="s">
        <v>11</v>
      </c>
      <c r="H737">
        <v>0</v>
      </c>
      <c r="M737">
        <v>0</v>
      </c>
      <c r="N737">
        <v>0</v>
      </c>
      <c r="O737">
        <v>0</v>
      </c>
      <c r="P737">
        <v>0</v>
      </c>
    </row>
    <row r="738" spans="1:16" x14ac:dyDescent="0.2">
      <c r="A738" t="s">
        <v>4111</v>
      </c>
      <c r="B738" t="s">
        <v>4113</v>
      </c>
      <c r="C738" t="s">
        <v>4112</v>
      </c>
      <c r="D738" t="s">
        <v>1897</v>
      </c>
      <c r="E738" t="s">
        <v>96</v>
      </c>
      <c r="F738">
        <v>79.989999999999995</v>
      </c>
      <c r="G738" t="s">
        <v>11</v>
      </c>
      <c r="H738">
        <v>0</v>
      </c>
      <c r="M738">
        <v>0</v>
      </c>
      <c r="N738">
        <v>0</v>
      </c>
      <c r="O738">
        <v>0</v>
      </c>
      <c r="P738">
        <v>0</v>
      </c>
    </row>
    <row r="739" spans="1:16" x14ac:dyDescent="0.2">
      <c r="A739" t="s">
        <v>3850</v>
      </c>
      <c r="B739" t="s">
        <v>3852</v>
      </c>
      <c r="C739" t="s">
        <v>3851</v>
      </c>
      <c r="D739" t="s">
        <v>1897</v>
      </c>
      <c r="E739" t="s">
        <v>96</v>
      </c>
      <c r="G739" t="s">
        <v>11</v>
      </c>
      <c r="H739">
        <v>0</v>
      </c>
      <c r="M739">
        <v>0</v>
      </c>
      <c r="N739">
        <v>0</v>
      </c>
      <c r="P739">
        <v>0</v>
      </c>
    </row>
    <row r="740" spans="1:16" x14ac:dyDescent="0.2">
      <c r="A740" t="s">
        <v>3973</v>
      </c>
      <c r="B740" t="s">
        <v>3975</v>
      </c>
      <c r="C740" t="s">
        <v>3974</v>
      </c>
      <c r="D740" t="s">
        <v>1897</v>
      </c>
      <c r="E740" t="s">
        <v>96</v>
      </c>
      <c r="F740">
        <v>109.99</v>
      </c>
      <c r="G740" t="s">
        <v>11</v>
      </c>
      <c r="H740">
        <v>0</v>
      </c>
      <c r="M740">
        <v>0</v>
      </c>
      <c r="N740">
        <v>0</v>
      </c>
      <c r="O740">
        <v>0</v>
      </c>
      <c r="P740">
        <v>0</v>
      </c>
    </row>
    <row r="741" spans="1:16" x14ac:dyDescent="0.2">
      <c r="A741" t="s">
        <v>1859</v>
      </c>
      <c r="B741" t="s">
        <v>5917</v>
      </c>
      <c r="C741" t="s">
        <v>1860</v>
      </c>
      <c r="D741" t="s">
        <v>1858</v>
      </c>
      <c r="E741" t="s">
        <v>96</v>
      </c>
      <c r="F741">
        <v>99.99</v>
      </c>
      <c r="G741" t="s">
        <v>11</v>
      </c>
      <c r="H741">
        <v>0</v>
      </c>
      <c r="M741">
        <v>0</v>
      </c>
      <c r="N741">
        <v>0</v>
      </c>
      <c r="O741">
        <v>0</v>
      </c>
      <c r="P741">
        <v>0</v>
      </c>
    </row>
    <row r="742" spans="1:16" x14ac:dyDescent="0.2">
      <c r="A742" t="s">
        <v>1859</v>
      </c>
      <c r="B742" t="s">
        <v>5916</v>
      </c>
      <c r="C742" t="s">
        <v>1860</v>
      </c>
      <c r="D742" t="s">
        <v>1858</v>
      </c>
      <c r="E742" t="s">
        <v>96</v>
      </c>
      <c r="F742">
        <v>99.99</v>
      </c>
      <c r="G742" t="s">
        <v>11</v>
      </c>
      <c r="H742">
        <v>0</v>
      </c>
      <c r="M742">
        <v>0</v>
      </c>
      <c r="N742">
        <v>0</v>
      </c>
      <c r="O742">
        <v>0</v>
      </c>
      <c r="P742">
        <v>0</v>
      </c>
    </row>
    <row r="743" spans="1:16" x14ac:dyDescent="0.2">
      <c r="A743" t="s">
        <v>3626</v>
      </c>
      <c r="B743" t="s">
        <v>3628</v>
      </c>
      <c r="C743" t="s">
        <v>3627</v>
      </c>
      <c r="D743" t="s">
        <v>3561</v>
      </c>
      <c r="E743" t="s">
        <v>96</v>
      </c>
      <c r="G743" t="s">
        <v>11</v>
      </c>
      <c r="H743">
        <v>0</v>
      </c>
      <c r="M743">
        <v>0</v>
      </c>
      <c r="N743">
        <v>0</v>
      </c>
      <c r="P743">
        <v>0</v>
      </c>
    </row>
    <row r="744" spans="1:16" x14ac:dyDescent="0.2">
      <c r="A744" t="s">
        <v>3926</v>
      </c>
      <c r="B744" t="s">
        <v>3928</v>
      </c>
      <c r="C744" t="s">
        <v>3927</v>
      </c>
      <c r="D744" t="s">
        <v>1897</v>
      </c>
      <c r="E744" t="s">
        <v>96</v>
      </c>
      <c r="F744">
        <v>109.99</v>
      </c>
      <c r="G744" t="s">
        <v>11</v>
      </c>
      <c r="H744">
        <v>0</v>
      </c>
      <c r="M744">
        <v>0</v>
      </c>
      <c r="N744">
        <v>0</v>
      </c>
      <c r="O744">
        <v>0</v>
      </c>
      <c r="P744">
        <v>0</v>
      </c>
    </row>
    <row r="745" spans="1:16" x14ac:dyDescent="0.2">
      <c r="A745" t="s">
        <v>1966</v>
      </c>
      <c r="B745" t="s">
        <v>3989</v>
      </c>
      <c r="C745" t="s">
        <v>1967</v>
      </c>
      <c r="D745" t="s">
        <v>1897</v>
      </c>
      <c r="E745" t="s">
        <v>96</v>
      </c>
      <c r="F745">
        <v>139.99</v>
      </c>
      <c r="G745" t="s">
        <v>11</v>
      </c>
      <c r="H745">
        <v>0</v>
      </c>
      <c r="M745">
        <v>0</v>
      </c>
      <c r="N745">
        <v>0</v>
      </c>
      <c r="O745">
        <v>0</v>
      </c>
      <c r="P745">
        <v>0</v>
      </c>
    </row>
    <row r="746" spans="1:16" x14ac:dyDescent="0.2">
      <c r="A746" t="s">
        <v>5842</v>
      </c>
      <c r="B746" t="s">
        <v>5844</v>
      </c>
      <c r="C746" t="s">
        <v>5843</v>
      </c>
      <c r="D746" t="s">
        <v>1858</v>
      </c>
      <c r="E746" t="s">
        <v>96</v>
      </c>
      <c r="F746">
        <v>149.99</v>
      </c>
      <c r="G746" t="s">
        <v>11</v>
      </c>
      <c r="H746">
        <v>0</v>
      </c>
      <c r="M746">
        <v>0</v>
      </c>
      <c r="N746">
        <v>0</v>
      </c>
      <c r="O746">
        <v>0</v>
      </c>
      <c r="P746">
        <v>0</v>
      </c>
    </row>
    <row r="747" spans="1:16" x14ac:dyDescent="0.2">
      <c r="A747" t="s">
        <v>1972</v>
      </c>
      <c r="B747" t="s">
        <v>3972</v>
      </c>
      <c r="C747" t="s">
        <v>1973</v>
      </c>
      <c r="D747" t="s">
        <v>1897</v>
      </c>
      <c r="E747" t="s">
        <v>290</v>
      </c>
      <c r="F747">
        <v>39.99</v>
      </c>
      <c r="G747" t="s">
        <v>11</v>
      </c>
      <c r="H747">
        <v>0</v>
      </c>
      <c r="M747">
        <v>0</v>
      </c>
      <c r="N747">
        <v>0</v>
      </c>
      <c r="O747">
        <v>0</v>
      </c>
      <c r="P747">
        <v>0</v>
      </c>
    </row>
    <row r="748" spans="1:16" x14ac:dyDescent="0.2">
      <c r="A748" t="s">
        <v>3990</v>
      </c>
      <c r="B748" t="s">
        <v>3992</v>
      </c>
      <c r="C748" t="s">
        <v>3991</v>
      </c>
      <c r="D748" t="s">
        <v>1897</v>
      </c>
      <c r="E748" t="s">
        <v>96</v>
      </c>
      <c r="F748">
        <v>109.99</v>
      </c>
      <c r="G748" t="s">
        <v>11</v>
      </c>
      <c r="H748">
        <v>0</v>
      </c>
      <c r="M748">
        <v>0</v>
      </c>
      <c r="N748">
        <v>0</v>
      </c>
      <c r="O748">
        <v>0</v>
      </c>
      <c r="P748">
        <v>0</v>
      </c>
    </row>
    <row r="749" spans="1:16" x14ac:dyDescent="0.2">
      <c r="A749" t="s">
        <v>3960</v>
      </c>
      <c r="B749" t="s">
        <v>3962</v>
      </c>
      <c r="C749" t="s">
        <v>3961</v>
      </c>
      <c r="D749" t="s">
        <v>1897</v>
      </c>
      <c r="E749" t="s">
        <v>96</v>
      </c>
      <c r="F749">
        <v>79.989999999999995</v>
      </c>
      <c r="G749" t="s">
        <v>11</v>
      </c>
      <c r="H749">
        <v>0</v>
      </c>
      <c r="M749">
        <v>0</v>
      </c>
      <c r="N749">
        <v>0</v>
      </c>
      <c r="O749">
        <v>0</v>
      </c>
      <c r="P749">
        <v>0</v>
      </c>
    </row>
    <row r="750" spans="1:16" x14ac:dyDescent="0.2">
      <c r="A750" t="s">
        <v>3596</v>
      </c>
      <c r="B750" t="s">
        <v>3598</v>
      </c>
      <c r="C750" t="s">
        <v>3597</v>
      </c>
      <c r="D750" t="s">
        <v>3561</v>
      </c>
      <c r="E750" t="s">
        <v>96</v>
      </c>
      <c r="G750" t="s">
        <v>11</v>
      </c>
      <c r="H750">
        <v>0</v>
      </c>
      <c r="M750">
        <v>0</v>
      </c>
      <c r="N750">
        <v>0</v>
      </c>
      <c r="P750">
        <v>0</v>
      </c>
    </row>
    <row r="751" spans="1:16" x14ac:dyDescent="0.2">
      <c r="A751" t="s">
        <v>3920</v>
      </c>
      <c r="B751" t="s">
        <v>3922</v>
      </c>
      <c r="C751" t="s">
        <v>3921</v>
      </c>
      <c r="D751" t="s">
        <v>1897</v>
      </c>
      <c r="E751" t="s">
        <v>96</v>
      </c>
      <c r="F751">
        <v>89.99</v>
      </c>
      <c r="G751" t="s">
        <v>11</v>
      </c>
      <c r="H751">
        <v>0</v>
      </c>
      <c r="M751">
        <v>0</v>
      </c>
      <c r="N751">
        <v>0</v>
      </c>
      <c r="O751">
        <v>0</v>
      </c>
      <c r="P751">
        <v>0</v>
      </c>
    </row>
    <row r="752" spans="1:16" x14ac:dyDescent="0.2">
      <c r="A752" t="s">
        <v>1950</v>
      </c>
      <c r="B752" t="s">
        <v>4188</v>
      </c>
      <c r="C752" t="s">
        <v>1951</v>
      </c>
      <c r="D752" t="s">
        <v>1897</v>
      </c>
      <c r="E752" t="s">
        <v>290</v>
      </c>
      <c r="F752">
        <v>79.989999999999995</v>
      </c>
      <c r="G752" t="s">
        <v>11</v>
      </c>
      <c r="H752">
        <v>0</v>
      </c>
      <c r="M752">
        <v>0</v>
      </c>
      <c r="N752">
        <v>0</v>
      </c>
      <c r="O752">
        <v>0</v>
      </c>
      <c r="P752">
        <v>0</v>
      </c>
    </row>
    <row r="753" spans="1:16" x14ac:dyDescent="0.2">
      <c r="A753" t="s">
        <v>4003</v>
      </c>
      <c r="B753" t="s">
        <v>4005</v>
      </c>
      <c r="C753" t="s">
        <v>4004</v>
      </c>
      <c r="D753" t="s">
        <v>1897</v>
      </c>
      <c r="E753" t="s">
        <v>96</v>
      </c>
      <c r="F753">
        <v>69.989999999999995</v>
      </c>
      <c r="G753" t="s">
        <v>11</v>
      </c>
      <c r="H753">
        <v>0</v>
      </c>
      <c r="M753">
        <v>0</v>
      </c>
      <c r="N753">
        <v>0</v>
      </c>
      <c r="O753">
        <v>0</v>
      </c>
      <c r="P753">
        <v>0</v>
      </c>
    </row>
    <row r="754" spans="1:16" x14ac:dyDescent="0.2">
      <c r="A754" t="s">
        <v>1948</v>
      </c>
      <c r="B754" t="s">
        <v>4187</v>
      </c>
      <c r="C754" t="s">
        <v>1949</v>
      </c>
      <c r="D754" t="s">
        <v>1897</v>
      </c>
      <c r="E754" t="s">
        <v>290</v>
      </c>
      <c r="F754">
        <v>79.989999999999995</v>
      </c>
      <c r="G754" t="s">
        <v>11</v>
      </c>
      <c r="H754">
        <v>0</v>
      </c>
      <c r="M754">
        <v>0</v>
      </c>
      <c r="N754">
        <v>0</v>
      </c>
      <c r="O754">
        <v>0</v>
      </c>
      <c r="P754">
        <v>0</v>
      </c>
    </row>
    <row r="755" spans="1:16" x14ac:dyDescent="0.2">
      <c r="A755" t="s">
        <v>3781</v>
      </c>
      <c r="B755" t="s">
        <v>3783</v>
      </c>
      <c r="C755" t="s">
        <v>3782</v>
      </c>
      <c r="D755" t="s">
        <v>1897</v>
      </c>
      <c r="E755" t="s">
        <v>96</v>
      </c>
      <c r="F755">
        <v>149.99</v>
      </c>
      <c r="G755" t="s">
        <v>11</v>
      </c>
      <c r="H755">
        <v>0</v>
      </c>
      <c r="M755">
        <v>0</v>
      </c>
      <c r="N755">
        <v>0</v>
      </c>
      <c r="O755">
        <v>0</v>
      </c>
      <c r="P755">
        <v>0</v>
      </c>
    </row>
    <row r="756" spans="1:16" x14ac:dyDescent="0.2">
      <c r="A756" t="s">
        <v>1968</v>
      </c>
      <c r="B756" t="s">
        <v>3984</v>
      </c>
      <c r="C756" t="s">
        <v>1969</v>
      </c>
      <c r="D756" t="s">
        <v>1897</v>
      </c>
      <c r="E756" t="s">
        <v>96</v>
      </c>
      <c r="F756">
        <v>79.989999999999995</v>
      </c>
      <c r="G756" t="s">
        <v>11</v>
      </c>
      <c r="H756">
        <v>0</v>
      </c>
      <c r="M756">
        <v>0</v>
      </c>
      <c r="N756">
        <v>0</v>
      </c>
      <c r="O756">
        <v>0</v>
      </c>
      <c r="P756">
        <v>0</v>
      </c>
    </row>
    <row r="757" spans="1:16" x14ac:dyDescent="0.2">
      <c r="A757" t="s">
        <v>4093</v>
      </c>
      <c r="B757" t="s">
        <v>4095</v>
      </c>
      <c r="C757" t="s">
        <v>4094</v>
      </c>
      <c r="D757" t="s">
        <v>1897</v>
      </c>
      <c r="E757" t="s">
        <v>96</v>
      </c>
      <c r="F757">
        <v>69.989999999999995</v>
      </c>
      <c r="G757" t="s">
        <v>11</v>
      </c>
      <c r="H757">
        <v>0</v>
      </c>
      <c r="M757">
        <v>0</v>
      </c>
      <c r="N757">
        <v>0</v>
      </c>
      <c r="O757">
        <v>0</v>
      </c>
      <c r="P757">
        <v>0</v>
      </c>
    </row>
    <row r="758" spans="1:16" x14ac:dyDescent="0.2">
      <c r="A758" t="s">
        <v>4006</v>
      </c>
      <c r="B758" t="s">
        <v>4008</v>
      </c>
      <c r="C758" t="s">
        <v>4007</v>
      </c>
      <c r="D758" t="s">
        <v>1897</v>
      </c>
      <c r="E758" t="s">
        <v>96</v>
      </c>
      <c r="F758">
        <v>119.99</v>
      </c>
      <c r="G758" t="s">
        <v>11</v>
      </c>
      <c r="H758">
        <v>0</v>
      </c>
      <c r="M758">
        <v>0</v>
      </c>
      <c r="N758">
        <v>0</v>
      </c>
      <c r="O758">
        <v>0</v>
      </c>
      <c r="P758">
        <v>0</v>
      </c>
    </row>
    <row r="759" spans="1:16" x14ac:dyDescent="0.2">
      <c r="A759" t="s">
        <v>4042</v>
      </c>
      <c r="B759" t="s">
        <v>4044</v>
      </c>
      <c r="C759" t="s">
        <v>4043</v>
      </c>
      <c r="D759" t="s">
        <v>1897</v>
      </c>
      <c r="E759" t="s">
        <v>96</v>
      </c>
      <c r="F759">
        <v>49.99</v>
      </c>
      <c r="G759" t="s">
        <v>11</v>
      </c>
      <c r="H759">
        <v>0</v>
      </c>
      <c r="M759">
        <v>0</v>
      </c>
      <c r="N759">
        <v>0</v>
      </c>
      <c r="O759">
        <v>0</v>
      </c>
      <c r="P759">
        <v>0</v>
      </c>
    </row>
    <row r="760" spans="1:16" x14ac:dyDescent="0.2">
      <c r="A760" t="s">
        <v>4087</v>
      </c>
      <c r="B760" t="s">
        <v>4089</v>
      </c>
      <c r="C760" t="s">
        <v>4088</v>
      </c>
      <c r="D760" t="s">
        <v>1897</v>
      </c>
      <c r="E760" t="s">
        <v>96</v>
      </c>
      <c r="F760">
        <v>54.99</v>
      </c>
      <c r="G760" t="s">
        <v>11</v>
      </c>
      <c r="H760">
        <v>0</v>
      </c>
      <c r="M760">
        <v>0</v>
      </c>
      <c r="N760">
        <v>0</v>
      </c>
      <c r="O760">
        <v>0</v>
      </c>
      <c r="P760">
        <v>0</v>
      </c>
    </row>
    <row r="761" spans="1:16" x14ac:dyDescent="0.2">
      <c r="A761" t="s">
        <v>3831</v>
      </c>
      <c r="B761" t="s">
        <v>3833</v>
      </c>
      <c r="C761" t="s">
        <v>3832</v>
      </c>
      <c r="D761" t="s">
        <v>1897</v>
      </c>
      <c r="E761" t="s">
        <v>96</v>
      </c>
      <c r="F761">
        <v>49.99</v>
      </c>
      <c r="G761" t="s">
        <v>11</v>
      </c>
      <c r="H761">
        <v>0</v>
      </c>
      <c r="M761">
        <v>0</v>
      </c>
      <c r="N761">
        <v>0</v>
      </c>
      <c r="O761">
        <v>0</v>
      </c>
      <c r="P761">
        <v>0</v>
      </c>
    </row>
    <row r="762" spans="1:16" x14ac:dyDescent="0.2">
      <c r="A762" t="s">
        <v>3933</v>
      </c>
      <c r="B762" t="s">
        <v>3935</v>
      </c>
      <c r="C762" t="s">
        <v>3934</v>
      </c>
      <c r="D762" t="s">
        <v>1897</v>
      </c>
      <c r="E762" t="s">
        <v>96</v>
      </c>
      <c r="F762">
        <v>69.989999999999995</v>
      </c>
      <c r="G762" t="s">
        <v>11</v>
      </c>
      <c r="H762">
        <v>0</v>
      </c>
      <c r="M762">
        <v>0</v>
      </c>
      <c r="N762">
        <v>0</v>
      </c>
      <c r="O762">
        <v>0</v>
      </c>
      <c r="P762">
        <v>0</v>
      </c>
    </row>
    <row r="763" spans="1:16" x14ac:dyDescent="0.2">
      <c r="A763" t="s">
        <v>3892</v>
      </c>
      <c r="B763" t="s">
        <v>3894</v>
      </c>
      <c r="C763" t="s">
        <v>7047</v>
      </c>
      <c r="D763" t="s">
        <v>1897</v>
      </c>
      <c r="E763" t="s">
        <v>96</v>
      </c>
      <c r="F763">
        <v>89.99</v>
      </c>
      <c r="G763" t="s">
        <v>11</v>
      </c>
      <c r="H763">
        <v>0</v>
      </c>
      <c r="M763">
        <v>0</v>
      </c>
      <c r="N763">
        <v>0</v>
      </c>
      <c r="O763">
        <v>0</v>
      </c>
      <c r="P763">
        <v>0</v>
      </c>
    </row>
    <row r="764" spans="1:16" x14ac:dyDescent="0.2">
      <c r="A764" t="s">
        <v>1904</v>
      </c>
      <c r="B764" t="s">
        <v>3755</v>
      </c>
      <c r="C764" t="s">
        <v>1905</v>
      </c>
      <c r="D764" t="s">
        <v>1897</v>
      </c>
      <c r="E764" t="s">
        <v>290</v>
      </c>
      <c r="F764">
        <v>44.99</v>
      </c>
      <c r="G764" t="s">
        <v>11</v>
      </c>
      <c r="H764">
        <v>0</v>
      </c>
      <c r="M764">
        <v>0</v>
      </c>
      <c r="N764">
        <v>0</v>
      </c>
      <c r="O764">
        <v>0</v>
      </c>
      <c r="P764">
        <v>0</v>
      </c>
    </row>
    <row r="765" spans="1:16" x14ac:dyDescent="0.2">
      <c r="A765" t="s">
        <v>1938</v>
      </c>
      <c r="B765" t="s">
        <v>4190</v>
      </c>
      <c r="C765" t="s">
        <v>1939</v>
      </c>
      <c r="D765" t="s">
        <v>1897</v>
      </c>
      <c r="E765" t="s">
        <v>290</v>
      </c>
      <c r="F765">
        <v>29.99</v>
      </c>
      <c r="G765" t="s">
        <v>11</v>
      </c>
      <c r="H765">
        <v>0</v>
      </c>
      <c r="M765">
        <v>0</v>
      </c>
      <c r="N765">
        <v>0</v>
      </c>
      <c r="O765">
        <v>0</v>
      </c>
      <c r="P765">
        <v>0</v>
      </c>
    </row>
    <row r="766" spans="1:16" x14ac:dyDescent="0.2">
      <c r="A766" t="s">
        <v>3896</v>
      </c>
      <c r="B766" t="s">
        <v>3898</v>
      </c>
      <c r="C766" t="s">
        <v>3897</v>
      </c>
      <c r="D766" t="s">
        <v>1897</v>
      </c>
      <c r="E766" t="s">
        <v>96</v>
      </c>
      <c r="F766">
        <v>79.989999999999995</v>
      </c>
      <c r="G766" t="s">
        <v>11</v>
      </c>
      <c r="H766">
        <v>0</v>
      </c>
      <c r="M766">
        <v>0</v>
      </c>
      <c r="N766">
        <v>0</v>
      </c>
      <c r="O766">
        <v>0</v>
      </c>
      <c r="P766">
        <v>0</v>
      </c>
    </row>
    <row r="767" spans="1:16" x14ac:dyDescent="0.2">
      <c r="A767" t="s">
        <v>5918</v>
      </c>
      <c r="B767" t="s">
        <v>5920</v>
      </c>
      <c r="C767" t="s">
        <v>5919</v>
      </c>
      <c r="D767" t="s">
        <v>4463</v>
      </c>
      <c r="E767" t="s">
        <v>96</v>
      </c>
      <c r="F767">
        <v>16.989999999999998</v>
      </c>
      <c r="G767" t="s">
        <v>11</v>
      </c>
      <c r="H767">
        <v>0</v>
      </c>
      <c r="M767">
        <v>0</v>
      </c>
      <c r="N767">
        <v>0</v>
      </c>
      <c r="O767">
        <v>0</v>
      </c>
      <c r="P767">
        <v>0</v>
      </c>
    </row>
    <row r="768" spans="1:16" x14ac:dyDescent="0.2">
      <c r="A768" t="s">
        <v>3759</v>
      </c>
      <c r="B768" t="s">
        <v>3761</v>
      </c>
      <c r="C768" t="s">
        <v>3760</v>
      </c>
      <c r="D768" t="s">
        <v>1897</v>
      </c>
      <c r="E768" t="s">
        <v>96</v>
      </c>
      <c r="F768">
        <v>44.99</v>
      </c>
      <c r="G768" t="s">
        <v>11</v>
      </c>
      <c r="H768">
        <v>0</v>
      </c>
      <c r="M768">
        <v>0</v>
      </c>
      <c r="N768">
        <v>0</v>
      </c>
      <c r="O768">
        <v>0</v>
      </c>
      <c r="P768">
        <v>0</v>
      </c>
    </row>
    <row r="769" spans="1:16" x14ac:dyDescent="0.2">
      <c r="A769" t="s">
        <v>4054</v>
      </c>
      <c r="B769" t="s">
        <v>4056</v>
      </c>
      <c r="C769" t="s">
        <v>4055</v>
      </c>
      <c r="D769" t="s">
        <v>1897</v>
      </c>
      <c r="E769" t="s">
        <v>96</v>
      </c>
      <c r="F769">
        <v>49.99</v>
      </c>
      <c r="G769" t="s">
        <v>11</v>
      </c>
      <c r="H769">
        <v>0</v>
      </c>
      <c r="M769">
        <v>0</v>
      </c>
      <c r="N769">
        <v>0</v>
      </c>
      <c r="O769">
        <v>0</v>
      </c>
      <c r="P769">
        <v>0</v>
      </c>
    </row>
    <row r="770" spans="1:16" x14ac:dyDescent="0.2">
      <c r="A770" t="s">
        <v>3874</v>
      </c>
      <c r="B770" t="s">
        <v>3876</v>
      </c>
      <c r="C770" t="s">
        <v>3875</v>
      </c>
      <c r="D770" t="s">
        <v>1897</v>
      </c>
      <c r="E770" t="s">
        <v>96</v>
      </c>
      <c r="F770">
        <v>99.99</v>
      </c>
      <c r="G770" t="s">
        <v>11</v>
      </c>
      <c r="H770">
        <v>0</v>
      </c>
      <c r="M770">
        <v>0</v>
      </c>
      <c r="N770">
        <v>0</v>
      </c>
      <c r="O770">
        <v>0</v>
      </c>
      <c r="P770">
        <v>0</v>
      </c>
    </row>
    <row r="771" spans="1:16" x14ac:dyDescent="0.2">
      <c r="A771" t="s">
        <v>1936</v>
      </c>
      <c r="B771" t="s">
        <v>4189</v>
      </c>
      <c r="C771" t="s">
        <v>1937</v>
      </c>
      <c r="D771" t="s">
        <v>1897</v>
      </c>
      <c r="E771" t="s">
        <v>290</v>
      </c>
      <c r="F771">
        <v>29.99</v>
      </c>
      <c r="G771" t="s">
        <v>11</v>
      </c>
      <c r="H771">
        <v>0</v>
      </c>
      <c r="M771">
        <v>0</v>
      </c>
      <c r="N771">
        <v>0</v>
      </c>
      <c r="O771">
        <v>0</v>
      </c>
      <c r="P771">
        <v>0</v>
      </c>
    </row>
    <row r="772" spans="1:16" x14ac:dyDescent="0.2">
      <c r="A772" t="s">
        <v>3788</v>
      </c>
      <c r="B772" t="s">
        <v>3790</v>
      </c>
      <c r="C772" t="s">
        <v>3789</v>
      </c>
      <c r="D772" t="s">
        <v>1897</v>
      </c>
      <c r="E772" t="s">
        <v>96</v>
      </c>
      <c r="F772">
        <v>159.99</v>
      </c>
      <c r="G772" t="s">
        <v>11</v>
      </c>
      <c r="H772">
        <v>0</v>
      </c>
      <c r="M772">
        <v>0</v>
      </c>
      <c r="N772">
        <v>0</v>
      </c>
      <c r="O772">
        <v>0</v>
      </c>
      <c r="P772">
        <v>0</v>
      </c>
    </row>
    <row r="773" spans="1:16" x14ac:dyDescent="0.2">
      <c r="A773" t="s">
        <v>4009</v>
      </c>
      <c r="B773" t="s">
        <v>4011</v>
      </c>
      <c r="C773" t="s">
        <v>4010</v>
      </c>
      <c r="D773" t="s">
        <v>1897</v>
      </c>
      <c r="E773" t="s">
        <v>96</v>
      </c>
      <c r="F773">
        <v>149.99</v>
      </c>
      <c r="G773" t="s">
        <v>11</v>
      </c>
      <c r="H773">
        <v>0</v>
      </c>
      <c r="M773">
        <v>0</v>
      </c>
      <c r="N773">
        <v>0</v>
      </c>
      <c r="O773">
        <v>0</v>
      </c>
      <c r="P773">
        <v>0</v>
      </c>
    </row>
    <row r="774" spans="1:16" x14ac:dyDescent="0.2">
      <c r="A774" t="s">
        <v>3752</v>
      </c>
      <c r="B774" t="s">
        <v>3754</v>
      </c>
      <c r="C774" t="s">
        <v>3753</v>
      </c>
      <c r="D774" t="s">
        <v>1897</v>
      </c>
      <c r="E774" t="s">
        <v>96</v>
      </c>
      <c r="F774">
        <v>44.99</v>
      </c>
      <c r="G774" t="s">
        <v>11</v>
      </c>
      <c r="H774">
        <v>0</v>
      </c>
      <c r="M774">
        <v>0</v>
      </c>
      <c r="N774">
        <v>0</v>
      </c>
      <c r="O774">
        <v>0</v>
      </c>
      <c r="P774">
        <v>0</v>
      </c>
    </row>
    <row r="775" spans="1:16" x14ac:dyDescent="0.2">
      <c r="A775" t="s">
        <v>5867</v>
      </c>
      <c r="B775" t="s">
        <v>5869</v>
      </c>
      <c r="C775" t="s">
        <v>5868</v>
      </c>
      <c r="D775" t="s">
        <v>4463</v>
      </c>
      <c r="E775" t="s">
        <v>290</v>
      </c>
      <c r="F775">
        <v>44.99</v>
      </c>
      <c r="G775" t="s">
        <v>11</v>
      </c>
      <c r="H775">
        <v>0</v>
      </c>
      <c r="M775">
        <v>0</v>
      </c>
      <c r="N775">
        <v>0</v>
      </c>
      <c r="O775">
        <v>0</v>
      </c>
      <c r="P775">
        <v>1</v>
      </c>
    </row>
    <row r="776" spans="1:16" x14ac:dyDescent="0.2">
      <c r="A776" t="s">
        <v>434</v>
      </c>
      <c r="B776" t="s">
        <v>3459</v>
      </c>
      <c r="C776" t="s">
        <v>435</v>
      </c>
      <c r="D776" t="s">
        <v>433</v>
      </c>
      <c r="E776" t="s">
        <v>290</v>
      </c>
      <c r="F776">
        <v>179.99</v>
      </c>
      <c r="G776" t="s">
        <v>11</v>
      </c>
      <c r="H776">
        <v>0</v>
      </c>
      <c r="M776">
        <v>0</v>
      </c>
      <c r="N776">
        <v>0</v>
      </c>
      <c r="O776">
        <v>0</v>
      </c>
      <c r="P776">
        <v>0</v>
      </c>
    </row>
    <row r="777" spans="1:16" x14ac:dyDescent="0.2">
      <c r="A777" t="s">
        <v>436</v>
      </c>
      <c r="B777" t="s">
        <v>3462</v>
      </c>
      <c r="C777" t="s">
        <v>437</v>
      </c>
      <c r="D777" t="s">
        <v>433</v>
      </c>
      <c r="E777" t="s">
        <v>290</v>
      </c>
      <c r="F777">
        <v>379.99</v>
      </c>
      <c r="G777" t="s">
        <v>11</v>
      </c>
      <c r="H777">
        <v>0</v>
      </c>
      <c r="M777">
        <v>0</v>
      </c>
      <c r="N777">
        <v>0</v>
      </c>
      <c r="O777">
        <v>0</v>
      </c>
      <c r="P777">
        <v>0</v>
      </c>
    </row>
    <row r="778" spans="1:16" x14ac:dyDescent="0.2">
      <c r="A778" t="s">
        <v>3892</v>
      </c>
      <c r="B778" t="s">
        <v>3895</v>
      </c>
      <c r="C778" t="s">
        <v>7047</v>
      </c>
      <c r="D778" t="s">
        <v>1897</v>
      </c>
      <c r="E778" t="s">
        <v>96</v>
      </c>
      <c r="F778">
        <v>89.99</v>
      </c>
      <c r="G778" t="s">
        <v>11</v>
      </c>
      <c r="H778">
        <v>0</v>
      </c>
      <c r="M778">
        <v>0</v>
      </c>
      <c r="N778">
        <v>0</v>
      </c>
      <c r="O778">
        <v>0</v>
      </c>
      <c r="P778">
        <v>0</v>
      </c>
    </row>
    <row r="779" spans="1:16" x14ac:dyDescent="0.2">
      <c r="A779" t="s">
        <v>3868</v>
      </c>
      <c r="B779" t="s">
        <v>3870</v>
      </c>
      <c r="C779" t="s">
        <v>3869</v>
      </c>
      <c r="D779" t="s">
        <v>1897</v>
      </c>
      <c r="E779" t="s">
        <v>96</v>
      </c>
      <c r="F779">
        <v>89.99</v>
      </c>
      <c r="G779" t="s">
        <v>11</v>
      </c>
      <c r="H779">
        <v>0</v>
      </c>
      <c r="M779">
        <v>0</v>
      </c>
      <c r="N779">
        <v>0</v>
      </c>
      <c r="O779">
        <v>0</v>
      </c>
      <c r="P779">
        <v>0</v>
      </c>
    </row>
    <row r="780" spans="1:16" x14ac:dyDescent="0.2">
      <c r="A780" t="s">
        <v>3945</v>
      </c>
      <c r="B780" t="s">
        <v>3947</v>
      </c>
      <c r="C780" t="s">
        <v>3946</v>
      </c>
      <c r="D780" t="s">
        <v>1897</v>
      </c>
      <c r="E780" t="s">
        <v>290</v>
      </c>
      <c r="F780">
        <v>139.99</v>
      </c>
      <c r="G780" t="s">
        <v>11</v>
      </c>
      <c r="H780">
        <v>0</v>
      </c>
      <c r="M780">
        <v>0</v>
      </c>
      <c r="N780">
        <v>0</v>
      </c>
      <c r="O780">
        <v>0</v>
      </c>
      <c r="P780">
        <v>0</v>
      </c>
    </row>
    <row r="781" spans="1:16" x14ac:dyDescent="0.2">
      <c r="A781" t="s">
        <v>4078</v>
      </c>
      <c r="B781" t="s">
        <v>4080</v>
      </c>
      <c r="C781" t="s">
        <v>4079</v>
      </c>
      <c r="D781" t="s">
        <v>1897</v>
      </c>
      <c r="E781" t="s">
        <v>96</v>
      </c>
      <c r="F781">
        <v>54.99</v>
      </c>
      <c r="G781" t="s">
        <v>11</v>
      </c>
      <c r="H781">
        <v>0</v>
      </c>
      <c r="M781">
        <v>0</v>
      </c>
      <c r="N781">
        <v>0</v>
      </c>
      <c r="O781">
        <v>0</v>
      </c>
      <c r="P781">
        <v>0</v>
      </c>
    </row>
    <row r="782" spans="1:16" x14ac:dyDescent="0.2">
      <c r="A782" t="s">
        <v>438</v>
      </c>
      <c r="B782" t="s">
        <v>3458</v>
      </c>
      <c r="C782" t="s">
        <v>439</v>
      </c>
      <c r="D782" t="s">
        <v>433</v>
      </c>
      <c r="E782" t="s">
        <v>290</v>
      </c>
      <c r="F782">
        <v>339.99</v>
      </c>
      <c r="G782" t="s">
        <v>11</v>
      </c>
      <c r="H782">
        <v>0</v>
      </c>
      <c r="M782">
        <v>0</v>
      </c>
      <c r="N782">
        <v>0</v>
      </c>
      <c r="O782">
        <v>0</v>
      </c>
      <c r="P782">
        <v>0</v>
      </c>
    </row>
    <row r="783" spans="1:16" x14ac:dyDescent="0.2">
      <c r="A783" t="s">
        <v>1934</v>
      </c>
      <c r="B783" t="s">
        <v>3791</v>
      </c>
      <c r="C783" t="s">
        <v>1935</v>
      </c>
      <c r="D783" t="s">
        <v>1897</v>
      </c>
      <c r="E783" t="s">
        <v>96</v>
      </c>
      <c r="F783">
        <v>29.99</v>
      </c>
      <c r="G783" t="s">
        <v>11</v>
      </c>
      <c r="H783">
        <v>0</v>
      </c>
      <c r="M783">
        <v>0</v>
      </c>
      <c r="N783">
        <v>0</v>
      </c>
      <c r="O783">
        <v>0</v>
      </c>
      <c r="P783">
        <v>0</v>
      </c>
    </row>
    <row r="784" spans="1:16" x14ac:dyDescent="0.2">
      <c r="A784" t="s">
        <v>440</v>
      </c>
      <c r="B784" t="s">
        <v>3461</v>
      </c>
      <c r="C784" t="s">
        <v>441</v>
      </c>
      <c r="D784" t="s">
        <v>433</v>
      </c>
      <c r="E784" t="s">
        <v>290</v>
      </c>
      <c r="F784">
        <v>369.99</v>
      </c>
      <c r="G784" t="s">
        <v>11</v>
      </c>
      <c r="H784">
        <v>0</v>
      </c>
      <c r="M784">
        <v>0</v>
      </c>
      <c r="N784">
        <v>0</v>
      </c>
      <c r="O784">
        <v>0</v>
      </c>
      <c r="P784">
        <v>0</v>
      </c>
    </row>
    <row r="785" spans="1:16" x14ac:dyDescent="0.2">
      <c r="A785" t="s">
        <v>4096</v>
      </c>
      <c r="B785" t="s">
        <v>4098</v>
      </c>
      <c r="C785" t="s">
        <v>4097</v>
      </c>
      <c r="D785" t="s">
        <v>1897</v>
      </c>
      <c r="E785" t="s">
        <v>96</v>
      </c>
      <c r="F785">
        <v>59.99</v>
      </c>
      <c r="G785" t="s">
        <v>11</v>
      </c>
      <c r="H785">
        <v>0</v>
      </c>
      <c r="M785">
        <v>0</v>
      </c>
      <c r="N785">
        <v>0</v>
      </c>
      <c r="O785">
        <v>0</v>
      </c>
      <c r="P785">
        <v>0</v>
      </c>
    </row>
    <row r="786" spans="1:16" x14ac:dyDescent="0.2">
      <c r="A786" t="s">
        <v>4090</v>
      </c>
      <c r="B786" t="s">
        <v>4092</v>
      </c>
      <c r="C786" t="s">
        <v>4091</v>
      </c>
      <c r="D786" t="s">
        <v>1897</v>
      </c>
      <c r="E786" t="s">
        <v>96</v>
      </c>
      <c r="F786">
        <v>54.99</v>
      </c>
      <c r="G786" t="s">
        <v>11</v>
      </c>
      <c r="H786">
        <v>0</v>
      </c>
      <c r="M786">
        <v>0</v>
      </c>
      <c r="N786">
        <v>0</v>
      </c>
      <c r="O786">
        <v>0</v>
      </c>
      <c r="P786">
        <v>0</v>
      </c>
    </row>
    <row r="787" spans="1:16" x14ac:dyDescent="0.2">
      <c r="A787" t="s">
        <v>442</v>
      </c>
      <c r="B787" t="s">
        <v>3460</v>
      </c>
      <c r="C787" t="s">
        <v>443</v>
      </c>
      <c r="D787" t="s">
        <v>433</v>
      </c>
      <c r="E787" t="s">
        <v>290</v>
      </c>
      <c r="F787">
        <v>349.99</v>
      </c>
      <c r="G787" t="s">
        <v>11</v>
      </c>
      <c r="H787">
        <v>0</v>
      </c>
      <c r="M787">
        <v>0</v>
      </c>
      <c r="N787">
        <v>0</v>
      </c>
      <c r="O787">
        <v>0</v>
      </c>
      <c r="P787">
        <v>0</v>
      </c>
    </row>
    <row r="788" spans="1:16" x14ac:dyDescent="0.2">
      <c r="A788" t="s">
        <v>4084</v>
      </c>
      <c r="B788" t="s">
        <v>4086</v>
      </c>
      <c r="C788" t="s">
        <v>4085</v>
      </c>
      <c r="D788" t="s">
        <v>1897</v>
      </c>
      <c r="E788" t="s">
        <v>96</v>
      </c>
      <c r="G788" t="s">
        <v>11</v>
      </c>
      <c r="H788">
        <v>0</v>
      </c>
      <c r="M788">
        <v>0</v>
      </c>
      <c r="N788">
        <v>0</v>
      </c>
      <c r="P788">
        <v>0</v>
      </c>
    </row>
    <row r="789" spans="1:16" x14ac:dyDescent="0.2">
      <c r="A789" t="s">
        <v>5833</v>
      </c>
      <c r="B789" t="s">
        <v>5835</v>
      </c>
      <c r="C789" t="s">
        <v>5834</v>
      </c>
      <c r="D789" t="s">
        <v>4463</v>
      </c>
      <c r="E789" t="s">
        <v>96</v>
      </c>
      <c r="F789">
        <v>149.99</v>
      </c>
      <c r="G789" t="s">
        <v>11</v>
      </c>
      <c r="H789">
        <v>0</v>
      </c>
      <c r="M789">
        <v>0</v>
      </c>
      <c r="N789">
        <v>0</v>
      </c>
      <c r="O789">
        <v>0</v>
      </c>
      <c r="P789">
        <v>0</v>
      </c>
    </row>
    <row r="790" spans="1:16" x14ac:dyDescent="0.2">
      <c r="A790" t="s">
        <v>1932</v>
      </c>
      <c r="B790" t="s">
        <v>3840</v>
      </c>
      <c r="C790" t="s">
        <v>1933</v>
      </c>
      <c r="D790" t="s">
        <v>1897</v>
      </c>
      <c r="E790" t="s">
        <v>290</v>
      </c>
      <c r="F790">
        <v>49.99</v>
      </c>
      <c r="G790" t="s">
        <v>11</v>
      </c>
      <c r="H790">
        <v>0</v>
      </c>
      <c r="M790">
        <v>0</v>
      </c>
      <c r="N790">
        <v>0</v>
      </c>
      <c r="O790">
        <v>0</v>
      </c>
      <c r="P790">
        <v>0</v>
      </c>
    </row>
    <row r="791" spans="1:16" x14ac:dyDescent="0.2">
      <c r="A791" t="s">
        <v>3939</v>
      </c>
      <c r="B791" t="s">
        <v>3941</v>
      </c>
      <c r="C791" t="s">
        <v>3940</v>
      </c>
      <c r="D791" t="s">
        <v>1897</v>
      </c>
      <c r="E791" t="s">
        <v>96</v>
      </c>
      <c r="F791">
        <v>139.99</v>
      </c>
      <c r="G791" t="s">
        <v>11</v>
      </c>
      <c r="H791">
        <v>0</v>
      </c>
      <c r="M791">
        <v>0</v>
      </c>
      <c r="N791">
        <v>0</v>
      </c>
      <c r="O791">
        <v>0</v>
      </c>
      <c r="P791">
        <v>0</v>
      </c>
    </row>
    <row r="792" spans="1:16" x14ac:dyDescent="0.2">
      <c r="A792" t="s">
        <v>5830</v>
      </c>
      <c r="B792" t="s">
        <v>5832</v>
      </c>
      <c r="C792" t="s">
        <v>5831</v>
      </c>
      <c r="D792" t="s">
        <v>4463</v>
      </c>
      <c r="E792" t="s">
        <v>96</v>
      </c>
      <c r="F792">
        <v>149.99</v>
      </c>
      <c r="G792" t="s">
        <v>11</v>
      </c>
      <c r="H792">
        <v>0</v>
      </c>
      <c r="M792">
        <v>0</v>
      </c>
      <c r="N792">
        <v>0</v>
      </c>
      <c r="O792">
        <v>0</v>
      </c>
      <c r="P792">
        <v>0</v>
      </c>
    </row>
    <row r="793" spans="1:16" x14ac:dyDescent="0.2">
      <c r="A793" t="s">
        <v>3914</v>
      </c>
      <c r="B793" t="s">
        <v>3916</v>
      </c>
      <c r="C793" t="s">
        <v>3915</v>
      </c>
      <c r="D793" t="s">
        <v>1897</v>
      </c>
      <c r="E793" t="s">
        <v>96</v>
      </c>
      <c r="F793">
        <v>99.99</v>
      </c>
      <c r="G793" t="s">
        <v>11</v>
      </c>
      <c r="H793">
        <v>0</v>
      </c>
      <c r="M793">
        <v>0</v>
      </c>
      <c r="N793">
        <v>0</v>
      </c>
      <c r="O793">
        <v>0</v>
      </c>
      <c r="P793">
        <v>1</v>
      </c>
    </row>
    <row r="794" spans="1:16" x14ac:dyDescent="0.2">
      <c r="A794" t="s">
        <v>1930</v>
      </c>
      <c r="B794" t="s">
        <v>3842</v>
      </c>
      <c r="C794" t="s">
        <v>1931</v>
      </c>
      <c r="D794" t="s">
        <v>1897</v>
      </c>
      <c r="E794" t="s">
        <v>290</v>
      </c>
      <c r="F794">
        <v>59.99</v>
      </c>
      <c r="G794" t="s">
        <v>11</v>
      </c>
      <c r="H794">
        <v>0</v>
      </c>
      <c r="M794">
        <v>0</v>
      </c>
      <c r="N794">
        <v>0</v>
      </c>
      <c r="O794">
        <v>0</v>
      </c>
      <c r="P794">
        <v>0</v>
      </c>
    </row>
    <row r="795" spans="1:16" x14ac:dyDescent="0.2">
      <c r="A795" t="s">
        <v>3930</v>
      </c>
      <c r="B795" t="s">
        <v>3932</v>
      </c>
      <c r="C795" t="s">
        <v>3931</v>
      </c>
      <c r="D795" t="s">
        <v>1897</v>
      </c>
      <c r="E795" t="s">
        <v>96</v>
      </c>
      <c r="F795">
        <v>59.99</v>
      </c>
      <c r="G795" t="s">
        <v>11</v>
      </c>
      <c r="H795">
        <v>0</v>
      </c>
      <c r="M795">
        <v>0</v>
      </c>
      <c r="N795">
        <v>0</v>
      </c>
      <c r="O795">
        <v>0</v>
      </c>
      <c r="P795">
        <v>0</v>
      </c>
    </row>
    <row r="796" spans="1:16" x14ac:dyDescent="0.2">
      <c r="A796" t="s">
        <v>5783</v>
      </c>
      <c r="B796" t="s">
        <v>5785</v>
      </c>
      <c r="C796" t="s">
        <v>5784</v>
      </c>
      <c r="D796" t="s">
        <v>4463</v>
      </c>
      <c r="E796" t="s">
        <v>96</v>
      </c>
      <c r="F796">
        <v>14.99</v>
      </c>
      <c r="G796" t="s">
        <v>11</v>
      </c>
      <c r="H796">
        <v>0</v>
      </c>
      <c r="M796">
        <v>0</v>
      </c>
      <c r="N796">
        <v>0</v>
      </c>
      <c r="O796">
        <v>0</v>
      </c>
      <c r="P796">
        <v>0</v>
      </c>
    </row>
    <row r="797" spans="1:16" x14ac:dyDescent="0.2">
      <c r="A797" t="s">
        <v>444</v>
      </c>
      <c r="B797" t="s">
        <v>3463</v>
      </c>
      <c r="C797" t="s">
        <v>445</v>
      </c>
      <c r="D797" t="s">
        <v>433</v>
      </c>
      <c r="E797" t="s">
        <v>290</v>
      </c>
      <c r="F797">
        <v>499.99</v>
      </c>
      <c r="G797" t="s">
        <v>11</v>
      </c>
      <c r="H797">
        <v>0</v>
      </c>
      <c r="M797">
        <v>0</v>
      </c>
      <c r="N797">
        <v>0</v>
      </c>
      <c r="O797">
        <v>0</v>
      </c>
      <c r="P797">
        <v>0</v>
      </c>
    </row>
    <row r="798" spans="1:16" x14ac:dyDescent="0.2">
      <c r="A798" t="s">
        <v>4108</v>
      </c>
      <c r="B798" t="s">
        <v>4110</v>
      </c>
      <c r="C798" t="s">
        <v>4109</v>
      </c>
      <c r="D798" t="s">
        <v>1897</v>
      </c>
      <c r="E798" t="s">
        <v>96</v>
      </c>
      <c r="F798">
        <v>39.99</v>
      </c>
      <c r="G798" t="s">
        <v>11</v>
      </c>
      <c r="H798">
        <v>0</v>
      </c>
      <c r="M798">
        <v>0</v>
      </c>
      <c r="N798">
        <v>0</v>
      </c>
      <c r="O798">
        <v>0</v>
      </c>
      <c r="P798">
        <v>0</v>
      </c>
    </row>
    <row r="799" spans="1:16" x14ac:dyDescent="0.2">
      <c r="A799" t="s">
        <v>4184</v>
      </c>
      <c r="B799" t="s">
        <v>4186</v>
      </c>
      <c r="C799" t="s">
        <v>4185</v>
      </c>
      <c r="D799" t="s">
        <v>1897</v>
      </c>
      <c r="E799" t="s">
        <v>96</v>
      </c>
      <c r="F799">
        <v>99.99</v>
      </c>
      <c r="G799" t="s">
        <v>11</v>
      </c>
      <c r="H799">
        <v>0</v>
      </c>
      <c r="M799">
        <v>0</v>
      </c>
      <c r="N799">
        <v>0</v>
      </c>
      <c r="O799">
        <v>0</v>
      </c>
      <c r="P799">
        <v>0</v>
      </c>
    </row>
    <row r="800" spans="1:16" x14ac:dyDescent="0.2">
      <c r="A800" t="s">
        <v>3837</v>
      </c>
      <c r="B800" t="s">
        <v>3839</v>
      </c>
      <c r="C800" t="s">
        <v>3838</v>
      </c>
      <c r="D800" t="s">
        <v>1897</v>
      </c>
      <c r="E800" t="s">
        <v>96</v>
      </c>
      <c r="G800" t="s">
        <v>11</v>
      </c>
      <c r="H800">
        <v>0</v>
      </c>
      <c r="M800">
        <v>0</v>
      </c>
      <c r="N800">
        <v>0</v>
      </c>
      <c r="P800">
        <v>0</v>
      </c>
    </row>
    <row r="801" spans="1:16" x14ac:dyDescent="0.2">
      <c r="A801" t="s">
        <v>3880</v>
      </c>
      <c r="B801" t="s">
        <v>3882</v>
      </c>
      <c r="C801" t="s">
        <v>3881</v>
      </c>
      <c r="D801" t="s">
        <v>1897</v>
      </c>
      <c r="E801" t="s">
        <v>96</v>
      </c>
      <c r="F801">
        <v>139.99</v>
      </c>
      <c r="G801" t="s">
        <v>11</v>
      </c>
      <c r="H801">
        <v>0</v>
      </c>
      <c r="M801">
        <v>0</v>
      </c>
      <c r="N801">
        <v>0</v>
      </c>
      <c r="O801">
        <v>0</v>
      </c>
      <c r="P801">
        <v>0</v>
      </c>
    </row>
    <row r="802" spans="1:16" x14ac:dyDescent="0.2">
      <c r="A802" t="s">
        <v>3993</v>
      </c>
      <c r="B802" t="s">
        <v>3995</v>
      </c>
      <c r="C802" t="s">
        <v>3994</v>
      </c>
      <c r="D802" t="s">
        <v>1897</v>
      </c>
      <c r="E802" t="s">
        <v>96</v>
      </c>
      <c r="F802">
        <v>44.99</v>
      </c>
      <c r="G802" t="s">
        <v>11</v>
      </c>
      <c r="H802">
        <v>0</v>
      </c>
      <c r="M802">
        <v>0</v>
      </c>
      <c r="N802">
        <v>0</v>
      </c>
      <c r="O802">
        <v>0</v>
      </c>
      <c r="P802">
        <v>0</v>
      </c>
    </row>
    <row r="803" spans="1:16" x14ac:dyDescent="0.2">
      <c r="A803" t="s">
        <v>6580</v>
      </c>
      <c r="B803" t="s">
        <v>6582</v>
      </c>
      <c r="C803" t="s">
        <v>6581</v>
      </c>
      <c r="D803" t="s">
        <v>2987</v>
      </c>
      <c r="E803" t="s">
        <v>96</v>
      </c>
      <c r="F803">
        <v>59.99</v>
      </c>
      <c r="G803" t="s">
        <v>11</v>
      </c>
      <c r="H803">
        <v>0</v>
      </c>
      <c r="M803">
        <v>0</v>
      </c>
      <c r="N803">
        <v>0</v>
      </c>
      <c r="O803">
        <v>0</v>
      </c>
      <c r="P803">
        <v>0</v>
      </c>
    </row>
    <row r="804" spans="1:16" x14ac:dyDescent="0.2">
      <c r="A804" t="s">
        <v>4051</v>
      </c>
      <c r="B804" t="s">
        <v>4053</v>
      </c>
      <c r="C804" t="s">
        <v>4052</v>
      </c>
      <c r="D804" t="s">
        <v>1897</v>
      </c>
      <c r="E804" t="s">
        <v>96</v>
      </c>
      <c r="F804">
        <v>49.99</v>
      </c>
      <c r="G804" t="s">
        <v>11</v>
      </c>
      <c r="H804">
        <v>0</v>
      </c>
      <c r="M804">
        <v>0</v>
      </c>
      <c r="N804">
        <v>0</v>
      </c>
      <c r="O804">
        <v>0</v>
      </c>
      <c r="P804">
        <v>0</v>
      </c>
    </row>
    <row r="805" spans="1:16" x14ac:dyDescent="0.2">
      <c r="A805" t="s">
        <v>3911</v>
      </c>
      <c r="B805" t="s">
        <v>3913</v>
      </c>
      <c r="C805" t="s">
        <v>3912</v>
      </c>
      <c r="D805" t="s">
        <v>1897</v>
      </c>
      <c r="E805" t="s">
        <v>96</v>
      </c>
      <c r="F805">
        <v>109.99</v>
      </c>
      <c r="G805" t="s">
        <v>11</v>
      </c>
      <c r="H805">
        <v>0</v>
      </c>
      <c r="M805">
        <v>0</v>
      </c>
      <c r="N805">
        <v>0</v>
      </c>
      <c r="O805">
        <v>0</v>
      </c>
      <c r="P805">
        <v>0</v>
      </c>
    </row>
    <row r="806" spans="1:16" x14ac:dyDescent="0.2">
      <c r="A806" t="s">
        <v>1924</v>
      </c>
      <c r="B806" t="s">
        <v>3739</v>
      </c>
      <c r="C806" t="s">
        <v>1925</v>
      </c>
      <c r="D806" t="s">
        <v>1897</v>
      </c>
      <c r="E806" t="s">
        <v>290</v>
      </c>
      <c r="F806">
        <v>49.99</v>
      </c>
      <c r="G806" t="s">
        <v>11</v>
      </c>
      <c r="H806">
        <v>0</v>
      </c>
      <c r="M806">
        <v>0</v>
      </c>
      <c r="N806">
        <v>0</v>
      </c>
      <c r="O806">
        <v>0</v>
      </c>
      <c r="P806">
        <v>0</v>
      </c>
    </row>
    <row r="807" spans="1:16" x14ac:dyDescent="0.2">
      <c r="A807" t="s">
        <v>1922</v>
      </c>
      <c r="B807" t="s">
        <v>3738</v>
      </c>
      <c r="C807" t="s">
        <v>1923</v>
      </c>
      <c r="D807" t="s">
        <v>1897</v>
      </c>
      <c r="E807" t="s">
        <v>290</v>
      </c>
      <c r="F807">
        <v>49.99</v>
      </c>
      <c r="G807" t="s">
        <v>11</v>
      </c>
      <c r="H807">
        <v>0</v>
      </c>
      <c r="M807">
        <v>0</v>
      </c>
      <c r="N807">
        <v>0</v>
      </c>
      <c r="O807">
        <v>0</v>
      </c>
      <c r="P807">
        <v>0</v>
      </c>
    </row>
    <row r="808" spans="1:16" x14ac:dyDescent="0.2">
      <c r="A808" t="s">
        <v>3746</v>
      </c>
      <c r="B808" t="s">
        <v>3748</v>
      </c>
      <c r="C808" t="s">
        <v>7048</v>
      </c>
      <c r="D808" t="s">
        <v>1897</v>
      </c>
      <c r="E808" t="s">
        <v>96</v>
      </c>
      <c r="F808">
        <v>49.99</v>
      </c>
      <c r="G808" t="s">
        <v>11</v>
      </c>
      <c r="H808">
        <v>0</v>
      </c>
      <c r="M808">
        <v>0</v>
      </c>
      <c r="N808">
        <v>0</v>
      </c>
      <c r="O808">
        <v>0</v>
      </c>
      <c r="P808">
        <v>0</v>
      </c>
    </row>
    <row r="809" spans="1:16" x14ac:dyDescent="0.2">
      <c r="A809" t="s">
        <v>3732</v>
      </c>
      <c r="B809" t="s">
        <v>3734</v>
      </c>
      <c r="C809" t="s">
        <v>3733</v>
      </c>
      <c r="D809" t="s">
        <v>1897</v>
      </c>
      <c r="E809" t="s">
        <v>96</v>
      </c>
      <c r="F809">
        <v>49.99</v>
      </c>
      <c r="G809" t="s">
        <v>11</v>
      </c>
      <c r="H809">
        <v>0</v>
      </c>
      <c r="M809">
        <v>0</v>
      </c>
      <c r="N809">
        <v>0</v>
      </c>
      <c r="O809">
        <v>0</v>
      </c>
      <c r="P809">
        <v>0</v>
      </c>
    </row>
    <row r="810" spans="1:16" x14ac:dyDescent="0.2">
      <c r="A810" t="s">
        <v>3816</v>
      </c>
      <c r="B810" t="s">
        <v>3818</v>
      </c>
      <c r="C810" t="s">
        <v>3817</v>
      </c>
      <c r="D810" t="s">
        <v>1897</v>
      </c>
      <c r="E810" t="s">
        <v>96</v>
      </c>
      <c r="F810">
        <v>19.989999999999998</v>
      </c>
      <c r="G810" t="s">
        <v>11</v>
      </c>
      <c r="H810">
        <v>0</v>
      </c>
      <c r="M810">
        <v>0</v>
      </c>
      <c r="N810">
        <v>0</v>
      </c>
      <c r="O810">
        <v>0</v>
      </c>
      <c r="P810">
        <v>0</v>
      </c>
    </row>
    <row r="811" spans="1:16" x14ac:dyDescent="0.2">
      <c r="A811" t="s">
        <v>4063</v>
      </c>
      <c r="B811" t="s">
        <v>4065</v>
      </c>
      <c r="C811" t="s">
        <v>4064</v>
      </c>
      <c r="D811" t="s">
        <v>1897</v>
      </c>
      <c r="E811" t="s">
        <v>96</v>
      </c>
      <c r="F811">
        <v>59.99</v>
      </c>
      <c r="G811" t="s">
        <v>11</v>
      </c>
      <c r="H811">
        <v>0</v>
      </c>
      <c r="M811">
        <v>0</v>
      </c>
      <c r="N811">
        <v>0</v>
      </c>
      <c r="O811">
        <v>0</v>
      </c>
      <c r="P811">
        <v>0</v>
      </c>
    </row>
    <row r="812" spans="1:16" x14ac:dyDescent="0.2">
      <c r="A812" t="s">
        <v>4066</v>
      </c>
      <c r="B812" t="s">
        <v>4068</v>
      </c>
      <c r="C812" t="s">
        <v>4067</v>
      </c>
      <c r="D812" t="s">
        <v>1897</v>
      </c>
      <c r="E812" t="s">
        <v>96</v>
      </c>
      <c r="F812">
        <v>69.989999999999995</v>
      </c>
      <c r="G812" t="s">
        <v>11</v>
      </c>
      <c r="H812">
        <v>0</v>
      </c>
      <c r="M812">
        <v>0</v>
      </c>
      <c r="N812">
        <v>0</v>
      </c>
      <c r="O812">
        <v>0</v>
      </c>
      <c r="P812">
        <v>0</v>
      </c>
    </row>
    <row r="813" spans="1:16" x14ac:dyDescent="0.2">
      <c r="A813" t="s">
        <v>3969</v>
      </c>
      <c r="B813" t="s">
        <v>3971</v>
      </c>
      <c r="C813" t="s">
        <v>3970</v>
      </c>
      <c r="D813" t="s">
        <v>1897</v>
      </c>
      <c r="E813" t="s">
        <v>96</v>
      </c>
      <c r="F813">
        <v>29.99</v>
      </c>
      <c r="G813" t="s">
        <v>11</v>
      </c>
      <c r="H813">
        <v>0</v>
      </c>
      <c r="M813">
        <v>0</v>
      </c>
      <c r="N813">
        <v>0</v>
      </c>
      <c r="O813">
        <v>0</v>
      </c>
      <c r="P813">
        <v>0</v>
      </c>
    </row>
    <row r="814" spans="1:16" x14ac:dyDescent="0.2">
      <c r="A814" t="s">
        <v>1918</v>
      </c>
      <c r="B814" t="s">
        <v>4177</v>
      </c>
      <c r="C814" t="s">
        <v>1919</v>
      </c>
      <c r="D814" t="s">
        <v>1897</v>
      </c>
      <c r="E814" t="s">
        <v>290</v>
      </c>
      <c r="F814">
        <v>99.99</v>
      </c>
      <c r="G814" t="s">
        <v>11</v>
      </c>
      <c r="H814">
        <v>0</v>
      </c>
      <c r="M814">
        <v>0</v>
      </c>
      <c r="N814">
        <v>0</v>
      </c>
      <c r="O814">
        <v>0</v>
      </c>
      <c r="P814">
        <v>0</v>
      </c>
    </row>
    <row r="815" spans="1:16" x14ac:dyDescent="0.2">
      <c r="A815" t="s">
        <v>3979</v>
      </c>
      <c r="B815" t="s">
        <v>3981</v>
      </c>
      <c r="C815" t="s">
        <v>3980</v>
      </c>
      <c r="D815" t="s">
        <v>1897</v>
      </c>
      <c r="E815" t="s">
        <v>96</v>
      </c>
      <c r="F815">
        <v>49.99</v>
      </c>
      <c r="G815" t="s">
        <v>11</v>
      </c>
      <c r="H815">
        <v>0</v>
      </c>
      <c r="M815">
        <v>0</v>
      </c>
      <c r="N815">
        <v>0</v>
      </c>
      <c r="O815">
        <v>0</v>
      </c>
      <c r="P815">
        <v>0</v>
      </c>
    </row>
    <row r="816" spans="1:16" x14ac:dyDescent="0.2">
      <c r="A816" t="s">
        <v>3966</v>
      </c>
      <c r="B816" t="s">
        <v>3968</v>
      </c>
      <c r="C816" t="s">
        <v>3967</v>
      </c>
      <c r="D816" t="s">
        <v>1897</v>
      </c>
      <c r="E816" t="s">
        <v>96</v>
      </c>
      <c r="F816">
        <v>42.99</v>
      </c>
      <c r="G816" t="s">
        <v>11</v>
      </c>
      <c r="H816">
        <v>0</v>
      </c>
      <c r="M816">
        <v>0</v>
      </c>
      <c r="N816">
        <v>0</v>
      </c>
      <c r="O816">
        <v>0</v>
      </c>
      <c r="P816">
        <v>0</v>
      </c>
    </row>
    <row r="817" spans="1:16" x14ac:dyDescent="0.2">
      <c r="A817" t="s">
        <v>4000</v>
      </c>
      <c r="B817" t="s">
        <v>4002</v>
      </c>
      <c r="C817" t="s">
        <v>4001</v>
      </c>
      <c r="D817" t="s">
        <v>1897</v>
      </c>
      <c r="E817" t="s">
        <v>96</v>
      </c>
      <c r="F817">
        <v>59.99</v>
      </c>
      <c r="G817" t="s">
        <v>11</v>
      </c>
      <c r="H817">
        <v>0</v>
      </c>
      <c r="M817">
        <v>0</v>
      </c>
      <c r="N817">
        <v>0</v>
      </c>
      <c r="O817">
        <v>0</v>
      </c>
      <c r="P817">
        <v>0</v>
      </c>
    </row>
    <row r="818" spans="1:16" x14ac:dyDescent="0.2">
      <c r="A818" t="s">
        <v>3807</v>
      </c>
      <c r="B818" t="s">
        <v>3809</v>
      </c>
      <c r="C818" t="s">
        <v>3808</v>
      </c>
      <c r="D818" t="s">
        <v>1897</v>
      </c>
      <c r="E818" t="s">
        <v>96</v>
      </c>
      <c r="F818">
        <v>34.99</v>
      </c>
      <c r="G818" t="s">
        <v>11</v>
      </c>
      <c r="H818">
        <v>0</v>
      </c>
      <c r="M818">
        <v>0</v>
      </c>
      <c r="N818">
        <v>0</v>
      </c>
      <c r="O818">
        <v>0</v>
      </c>
      <c r="P818">
        <v>0</v>
      </c>
    </row>
    <row r="819" spans="1:16" x14ac:dyDescent="0.2">
      <c r="A819" t="s">
        <v>3819</v>
      </c>
      <c r="B819" t="s">
        <v>3821</v>
      </c>
      <c r="C819" t="s">
        <v>3820</v>
      </c>
      <c r="D819" t="s">
        <v>1897</v>
      </c>
      <c r="E819" t="s">
        <v>96</v>
      </c>
      <c r="F819">
        <v>39.99</v>
      </c>
      <c r="G819" t="s">
        <v>11</v>
      </c>
      <c r="H819">
        <v>0</v>
      </c>
      <c r="M819">
        <v>0</v>
      </c>
      <c r="N819">
        <v>0</v>
      </c>
      <c r="O819">
        <v>0</v>
      </c>
      <c r="P819">
        <v>0</v>
      </c>
    </row>
    <row r="820" spans="1:16" x14ac:dyDescent="0.2">
      <c r="A820" t="s">
        <v>3804</v>
      </c>
      <c r="B820" t="s">
        <v>3806</v>
      </c>
      <c r="C820" t="s">
        <v>3805</v>
      </c>
      <c r="D820" t="s">
        <v>1897</v>
      </c>
      <c r="E820" t="s">
        <v>96</v>
      </c>
      <c r="G820" t="s">
        <v>11</v>
      </c>
      <c r="H820">
        <v>0</v>
      </c>
      <c r="M820">
        <v>0</v>
      </c>
      <c r="N820">
        <v>0</v>
      </c>
      <c r="P820">
        <v>0</v>
      </c>
    </row>
    <row r="821" spans="1:16" x14ac:dyDescent="0.2">
      <c r="A821" t="s">
        <v>3917</v>
      </c>
      <c r="B821" t="s">
        <v>3919</v>
      </c>
      <c r="C821" t="s">
        <v>3918</v>
      </c>
      <c r="D821" t="s">
        <v>1897</v>
      </c>
      <c r="E821" t="s">
        <v>96</v>
      </c>
      <c r="F821">
        <v>99.99</v>
      </c>
      <c r="G821" t="s">
        <v>11</v>
      </c>
      <c r="H821">
        <v>0</v>
      </c>
      <c r="M821">
        <v>0</v>
      </c>
      <c r="N821">
        <v>0</v>
      </c>
      <c r="O821">
        <v>0</v>
      </c>
      <c r="P821">
        <v>0</v>
      </c>
    </row>
    <row r="822" spans="1:16" x14ac:dyDescent="0.2">
      <c r="A822" t="s">
        <v>4181</v>
      </c>
      <c r="B822" t="s">
        <v>4183</v>
      </c>
      <c r="C822" t="s">
        <v>4182</v>
      </c>
      <c r="D822" t="s">
        <v>1897</v>
      </c>
      <c r="E822" t="s">
        <v>96</v>
      </c>
      <c r="F822">
        <v>99.99</v>
      </c>
      <c r="G822" t="s">
        <v>11</v>
      </c>
      <c r="H822">
        <v>0</v>
      </c>
      <c r="M822">
        <v>0</v>
      </c>
      <c r="N822">
        <v>0</v>
      </c>
      <c r="O822">
        <v>0</v>
      </c>
      <c r="P822">
        <v>0</v>
      </c>
    </row>
    <row r="823" spans="1:16" x14ac:dyDescent="0.2">
      <c r="A823" t="s">
        <v>6428</v>
      </c>
      <c r="B823" t="s">
        <v>6430</v>
      </c>
      <c r="C823" t="s">
        <v>6429</v>
      </c>
      <c r="D823" t="s">
        <v>223</v>
      </c>
      <c r="E823" t="s">
        <v>96</v>
      </c>
      <c r="F823">
        <v>19.989999999999998</v>
      </c>
      <c r="G823" t="s">
        <v>11</v>
      </c>
      <c r="H823">
        <v>0</v>
      </c>
      <c r="M823">
        <v>0</v>
      </c>
      <c r="N823">
        <v>0</v>
      </c>
      <c r="O823">
        <v>0</v>
      </c>
      <c r="P823">
        <v>0</v>
      </c>
    </row>
    <row r="824" spans="1:16" x14ac:dyDescent="0.2">
      <c r="A824" t="s">
        <v>3963</v>
      </c>
      <c r="B824" t="s">
        <v>3965</v>
      </c>
      <c r="C824" t="s">
        <v>3964</v>
      </c>
      <c r="D824" t="s">
        <v>1897</v>
      </c>
      <c r="E824" t="s">
        <v>96</v>
      </c>
      <c r="F824">
        <v>49.99</v>
      </c>
      <c r="G824" t="s">
        <v>11</v>
      </c>
      <c r="H824">
        <v>0</v>
      </c>
      <c r="M824">
        <v>0</v>
      </c>
      <c r="N824">
        <v>0</v>
      </c>
      <c r="O824">
        <v>0</v>
      </c>
      <c r="P824">
        <v>0</v>
      </c>
    </row>
    <row r="825" spans="1:16" x14ac:dyDescent="0.2">
      <c r="A825" t="s">
        <v>4075</v>
      </c>
      <c r="B825" t="s">
        <v>4077</v>
      </c>
      <c r="C825" t="s">
        <v>4076</v>
      </c>
      <c r="D825" t="s">
        <v>1897</v>
      </c>
      <c r="E825" t="s">
        <v>96</v>
      </c>
      <c r="F825">
        <v>299.99</v>
      </c>
      <c r="G825" t="s">
        <v>11</v>
      </c>
      <c r="H825">
        <v>0</v>
      </c>
      <c r="M825">
        <v>0</v>
      </c>
      <c r="N825">
        <v>0</v>
      </c>
      <c r="O825">
        <v>0</v>
      </c>
      <c r="P825">
        <v>0</v>
      </c>
    </row>
    <row r="826" spans="1:16" x14ac:dyDescent="0.2">
      <c r="A826" t="s">
        <v>3923</v>
      </c>
      <c r="B826" t="s">
        <v>3925</v>
      </c>
      <c r="C826" t="s">
        <v>3924</v>
      </c>
      <c r="D826" t="s">
        <v>1897</v>
      </c>
      <c r="E826" t="s">
        <v>96</v>
      </c>
      <c r="F826">
        <v>99.99</v>
      </c>
      <c r="G826" t="s">
        <v>11</v>
      </c>
      <c r="H826">
        <v>0</v>
      </c>
      <c r="M826">
        <v>0</v>
      </c>
      <c r="N826">
        <v>0</v>
      </c>
      <c r="O826">
        <v>0</v>
      </c>
      <c r="P826">
        <v>0</v>
      </c>
    </row>
    <row r="827" spans="1:16" x14ac:dyDescent="0.2">
      <c r="A827" t="s">
        <v>4178</v>
      </c>
      <c r="B827" t="s">
        <v>4180</v>
      </c>
      <c r="C827" t="s">
        <v>4179</v>
      </c>
      <c r="D827" t="s">
        <v>1897</v>
      </c>
      <c r="E827" t="s">
        <v>96</v>
      </c>
      <c r="F827">
        <v>99.99</v>
      </c>
      <c r="G827" t="s">
        <v>11</v>
      </c>
      <c r="H827">
        <v>0</v>
      </c>
      <c r="M827">
        <v>0</v>
      </c>
      <c r="N827">
        <v>0</v>
      </c>
      <c r="O827">
        <v>0</v>
      </c>
      <c r="P827">
        <v>0</v>
      </c>
    </row>
    <row r="828" spans="1:16" x14ac:dyDescent="0.2">
      <c r="A828" t="s">
        <v>1916</v>
      </c>
      <c r="B828" t="s">
        <v>3929</v>
      </c>
      <c r="C828" t="s">
        <v>1917</v>
      </c>
      <c r="D828" t="s">
        <v>1897</v>
      </c>
      <c r="E828" t="s">
        <v>290</v>
      </c>
      <c r="F828">
        <v>99.99</v>
      </c>
      <c r="G828" t="s">
        <v>11</v>
      </c>
      <c r="H828">
        <v>0</v>
      </c>
      <c r="M828">
        <v>0</v>
      </c>
      <c r="N828">
        <v>0</v>
      </c>
      <c r="O828">
        <v>0</v>
      </c>
      <c r="P828">
        <v>0</v>
      </c>
    </row>
    <row r="829" spans="1:16" x14ac:dyDescent="0.2">
      <c r="A829" t="s">
        <v>4117</v>
      </c>
      <c r="B829" t="s">
        <v>4119</v>
      </c>
      <c r="C829" t="s">
        <v>4118</v>
      </c>
      <c r="D829" t="s">
        <v>1897</v>
      </c>
      <c r="E829" t="s">
        <v>96</v>
      </c>
      <c r="F829">
        <v>199.99</v>
      </c>
      <c r="G829" t="s">
        <v>11</v>
      </c>
      <c r="H829">
        <v>0</v>
      </c>
      <c r="M829">
        <v>0</v>
      </c>
      <c r="N829">
        <v>0</v>
      </c>
      <c r="O829">
        <v>0</v>
      </c>
      <c r="P829">
        <v>0</v>
      </c>
    </row>
    <row r="830" spans="1:16" x14ac:dyDescent="0.2">
      <c r="A830" t="s">
        <v>4123</v>
      </c>
      <c r="B830" t="s">
        <v>4125</v>
      </c>
      <c r="C830" t="s">
        <v>4124</v>
      </c>
      <c r="D830" t="s">
        <v>1897</v>
      </c>
      <c r="E830" t="s">
        <v>96</v>
      </c>
      <c r="F830">
        <v>199.99</v>
      </c>
      <c r="G830" t="s">
        <v>11</v>
      </c>
      <c r="H830">
        <v>0</v>
      </c>
      <c r="M830">
        <v>0</v>
      </c>
      <c r="N830">
        <v>0</v>
      </c>
      <c r="O830">
        <v>0</v>
      </c>
      <c r="P830">
        <v>0</v>
      </c>
    </row>
    <row r="831" spans="1:16" x14ac:dyDescent="0.2">
      <c r="A831" t="s">
        <v>4120</v>
      </c>
      <c r="B831" t="s">
        <v>4122</v>
      </c>
      <c r="C831" t="s">
        <v>4121</v>
      </c>
      <c r="D831" t="s">
        <v>1897</v>
      </c>
      <c r="E831" t="s">
        <v>96</v>
      </c>
      <c r="F831">
        <v>199.99</v>
      </c>
      <c r="G831" t="s">
        <v>11</v>
      </c>
      <c r="H831">
        <v>0</v>
      </c>
      <c r="M831">
        <v>0</v>
      </c>
      <c r="N831">
        <v>0</v>
      </c>
      <c r="O831">
        <v>0</v>
      </c>
      <c r="P831">
        <v>0</v>
      </c>
    </row>
    <row r="832" spans="1:16" x14ac:dyDescent="0.2">
      <c r="A832" t="s">
        <v>4027</v>
      </c>
      <c r="B832" t="s">
        <v>4029</v>
      </c>
      <c r="C832" t="s">
        <v>4028</v>
      </c>
      <c r="D832" t="s">
        <v>1897</v>
      </c>
      <c r="E832" t="s">
        <v>96</v>
      </c>
      <c r="F832">
        <v>189.99</v>
      </c>
      <c r="G832" t="s">
        <v>11</v>
      </c>
      <c r="H832">
        <v>0</v>
      </c>
      <c r="M832">
        <v>0</v>
      </c>
      <c r="N832">
        <v>0</v>
      </c>
      <c r="O832">
        <v>0</v>
      </c>
      <c r="P832">
        <v>0</v>
      </c>
    </row>
    <row r="833" spans="1:16" x14ac:dyDescent="0.2">
      <c r="A833" t="s">
        <v>4021</v>
      </c>
      <c r="B833" t="s">
        <v>4023</v>
      </c>
      <c r="C833" t="s">
        <v>4022</v>
      </c>
      <c r="D833" t="s">
        <v>1897</v>
      </c>
      <c r="E833" t="s">
        <v>96</v>
      </c>
      <c r="F833">
        <v>189.99</v>
      </c>
      <c r="G833" t="s">
        <v>11</v>
      </c>
      <c r="H833">
        <v>0</v>
      </c>
      <c r="M833">
        <v>0</v>
      </c>
      <c r="N833">
        <v>0</v>
      </c>
      <c r="O833">
        <v>0</v>
      </c>
      <c r="P833">
        <v>0</v>
      </c>
    </row>
    <row r="834" spans="1:16" x14ac:dyDescent="0.2">
      <c r="A834" t="s">
        <v>4024</v>
      </c>
      <c r="B834" t="s">
        <v>4026</v>
      </c>
      <c r="C834" t="s">
        <v>4025</v>
      </c>
      <c r="D834" t="s">
        <v>1897</v>
      </c>
      <c r="E834" t="s">
        <v>96</v>
      </c>
      <c r="F834">
        <v>189.99</v>
      </c>
      <c r="G834" t="s">
        <v>11</v>
      </c>
      <c r="H834">
        <v>0</v>
      </c>
      <c r="M834">
        <v>0</v>
      </c>
      <c r="N834">
        <v>0</v>
      </c>
      <c r="O834">
        <v>0</v>
      </c>
      <c r="P834">
        <v>0</v>
      </c>
    </row>
    <row r="835" spans="1:16" x14ac:dyDescent="0.2">
      <c r="A835" t="s">
        <v>4018</v>
      </c>
      <c r="B835" t="s">
        <v>4020</v>
      </c>
      <c r="C835" t="s">
        <v>4019</v>
      </c>
      <c r="D835" t="s">
        <v>1897</v>
      </c>
      <c r="E835" t="s">
        <v>96</v>
      </c>
      <c r="F835">
        <v>229.99</v>
      </c>
      <c r="G835" t="s">
        <v>11</v>
      </c>
      <c r="H835">
        <v>0</v>
      </c>
      <c r="M835">
        <v>0</v>
      </c>
      <c r="N835">
        <v>0</v>
      </c>
      <c r="O835">
        <v>0</v>
      </c>
      <c r="P835">
        <v>0</v>
      </c>
    </row>
    <row r="836" spans="1:16" x14ac:dyDescent="0.2">
      <c r="A836" t="s">
        <v>3908</v>
      </c>
      <c r="B836" t="s">
        <v>3910</v>
      </c>
      <c r="C836" t="s">
        <v>3909</v>
      </c>
      <c r="D836" t="s">
        <v>1897</v>
      </c>
      <c r="E836" t="s">
        <v>96</v>
      </c>
      <c r="F836">
        <v>99.99</v>
      </c>
      <c r="G836" t="s">
        <v>11</v>
      </c>
      <c r="H836">
        <v>0</v>
      </c>
      <c r="M836">
        <v>0</v>
      </c>
      <c r="N836">
        <v>0</v>
      </c>
      <c r="O836">
        <v>0</v>
      </c>
      <c r="P836">
        <v>0</v>
      </c>
    </row>
    <row r="837" spans="1:16" x14ac:dyDescent="0.2">
      <c r="A837" t="s">
        <v>3899</v>
      </c>
      <c r="B837" t="s">
        <v>3901</v>
      </c>
      <c r="C837" t="s">
        <v>3900</v>
      </c>
      <c r="D837" t="s">
        <v>1897</v>
      </c>
      <c r="E837" t="s">
        <v>96</v>
      </c>
      <c r="F837">
        <v>49.99</v>
      </c>
      <c r="G837" t="s">
        <v>11</v>
      </c>
      <c r="H837">
        <v>0</v>
      </c>
      <c r="M837">
        <v>0</v>
      </c>
      <c r="N837">
        <v>0</v>
      </c>
      <c r="O837">
        <v>0</v>
      </c>
      <c r="P837">
        <v>0</v>
      </c>
    </row>
    <row r="838" spans="1:16" x14ac:dyDescent="0.2">
      <c r="A838" t="s">
        <v>226</v>
      </c>
      <c r="B838" t="s">
        <v>4227</v>
      </c>
      <c r="C838" t="s">
        <v>227</v>
      </c>
      <c r="D838" t="s">
        <v>223</v>
      </c>
      <c r="E838" t="s">
        <v>228</v>
      </c>
      <c r="F838">
        <v>119.99</v>
      </c>
      <c r="G838" t="s">
        <v>11</v>
      </c>
      <c r="H838">
        <v>0.1388888888888889</v>
      </c>
      <c r="M838">
        <v>6</v>
      </c>
      <c r="N838">
        <v>0.5</v>
      </c>
      <c r="O838">
        <v>0</v>
      </c>
      <c r="P838">
        <v>3</v>
      </c>
    </row>
    <row r="839" spans="1:16" x14ac:dyDescent="0.2">
      <c r="A839" t="s">
        <v>3902</v>
      </c>
      <c r="B839" t="s">
        <v>3904</v>
      </c>
      <c r="C839" t="s">
        <v>3903</v>
      </c>
      <c r="D839" t="s">
        <v>1897</v>
      </c>
      <c r="E839" t="s">
        <v>96</v>
      </c>
      <c r="F839">
        <v>49.99</v>
      </c>
      <c r="G839" t="s">
        <v>11</v>
      </c>
      <c r="H839">
        <v>0</v>
      </c>
      <c r="M839">
        <v>0</v>
      </c>
      <c r="N839">
        <v>0</v>
      </c>
      <c r="O839">
        <v>0</v>
      </c>
      <c r="P839">
        <v>0</v>
      </c>
    </row>
    <row r="840" spans="1:16" x14ac:dyDescent="0.2">
      <c r="A840" t="s">
        <v>229</v>
      </c>
      <c r="B840" t="s">
        <v>4231</v>
      </c>
      <c r="C840" t="s">
        <v>230</v>
      </c>
      <c r="D840" t="s">
        <v>223</v>
      </c>
      <c r="E840" t="s">
        <v>228</v>
      </c>
      <c r="F840">
        <v>119.99</v>
      </c>
      <c r="G840" t="s">
        <v>11</v>
      </c>
      <c r="H840">
        <v>0.25</v>
      </c>
      <c r="M840">
        <v>6</v>
      </c>
      <c r="N840">
        <v>0.16666666666666666</v>
      </c>
      <c r="O840">
        <v>0</v>
      </c>
      <c r="P840">
        <v>1</v>
      </c>
    </row>
    <row r="841" spans="1:16" x14ac:dyDescent="0.2">
      <c r="A841" t="s">
        <v>3905</v>
      </c>
      <c r="B841" t="s">
        <v>3907</v>
      </c>
      <c r="C841" t="s">
        <v>3906</v>
      </c>
      <c r="D841" t="s">
        <v>1897</v>
      </c>
      <c r="E841" t="s">
        <v>96</v>
      </c>
      <c r="F841">
        <v>49.99</v>
      </c>
      <c r="G841" t="s">
        <v>11</v>
      </c>
      <c r="H841">
        <v>0</v>
      </c>
      <c r="M841">
        <v>0</v>
      </c>
      <c r="N841">
        <v>0</v>
      </c>
      <c r="O841">
        <v>0</v>
      </c>
      <c r="P841">
        <v>0</v>
      </c>
    </row>
    <row r="842" spans="1:16" x14ac:dyDescent="0.2">
      <c r="A842" t="s">
        <v>4325</v>
      </c>
      <c r="B842" t="s">
        <v>4327</v>
      </c>
      <c r="C842" t="s">
        <v>4326</v>
      </c>
      <c r="D842" t="s">
        <v>223</v>
      </c>
      <c r="E842" t="s">
        <v>96</v>
      </c>
      <c r="F842">
        <v>99.99</v>
      </c>
      <c r="G842" t="s">
        <v>11</v>
      </c>
      <c r="H842">
        <v>0</v>
      </c>
      <c r="M842">
        <v>0</v>
      </c>
      <c r="N842">
        <v>0</v>
      </c>
      <c r="O842">
        <v>0</v>
      </c>
      <c r="P842">
        <v>0</v>
      </c>
    </row>
    <row r="843" spans="1:16" x14ac:dyDescent="0.2">
      <c r="A843" t="s">
        <v>4191</v>
      </c>
      <c r="B843" t="s">
        <v>4193</v>
      </c>
      <c r="C843" t="s">
        <v>4192</v>
      </c>
      <c r="D843" t="s">
        <v>1897</v>
      </c>
      <c r="E843" t="s">
        <v>96</v>
      </c>
      <c r="F843">
        <v>249.99</v>
      </c>
      <c r="G843" t="s">
        <v>11</v>
      </c>
      <c r="H843">
        <v>0</v>
      </c>
      <c r="M843">
        <v>0</v>
      </c>
      <c r="N843">
        <v>0</v>
      </c>
      <c r="O843">
        <v>0</v>
      </c>
      <c r="P843">
        <v>0</v>
      </c>
    </row>
    <row r="844" spans="1:16" x14ac:dyDescent="0.2">
      <c r="A844" t="s">
        <v>231</v>
      </c>
      <c r="B844" t="s">
        <v>4219</v>
      </c>
      <c r="C844" t="s">
        <v>232</v>
      </c>
      <c r="D844" t="s">
        <v>223</v>
      </c>
      <c r="E844" t="s">
        <v>96</v>
      </c>
      <c r="F844">
        <v>109.99</v>
      </c>
      <c r="G844" t="s">
        <v>11</v>
      </c>
      <c r="H844">
        <v>0</v>
      </c>
      <c r="M844">
        <v>0</v>
      </c>
      <c r="N844">
        <v>0</v>
      </c>
      <c r="O844">
        <v>0</v>
      </c>
      <c r="P844">
        <v>0</v>
      </c>
    </row>
    <row r="845" spans="1:16" x14ac:dyDescent="0.2">
      <c r="A845" t="s">
        <v>4322</v>
      </c>
      <c r="B845" t="s">
        <v>4324</v>
      </c>
      <c r="C845" t="s">
        <v>4323</v>
      </c>
      <c r="D845" t="s">
        <v>223</v>
      </c>
      <c r="E845" t="s">
        <v>96</v>
      </c>
      <c r="F845">
        <v>89.99</v>
      </c>
      <c r="G845" t="s">
        <v>11</v>
      </c>
      <c r="H845">
        <v>0</v>
      </c>
      <c r="M845">
        <v>0</v>
      </c>
      <c r="N845">
        <v>0</v>
      </c>
      <c r="O845">
        <v>0</v>
      </c>
      <c r="P845">
        <v>0</v>
      </c>
    </row>
    <row r="846" spans="1:16" x14ac:dyDescent="0.2">
      <c r="A846" t="s">
        <v>4343</v>
      </c>
      <c r="B846" t="s">
        <v>4345</v>
      </c>
      <c r="C846" t="s">
        <v>4344</v>
      </c>
      <c r="D846" t="s">
        <v>223</v>
      </c>
      <c r="E846" t="s">
        <v>96</v>
      </c>
      <c r="F846">
        <v>22.99</v>
      </c>
      <c r="G846" t="s">
        <v>11</v>
      </c>
      <c r="H846">
        <v>0</v>
      </c>
      <c r="M846">
        <v>0</v>
      </c>
      <c r="N846">
        <v>0</v>
      </c>
      <c r="O846">
        <v>0</v>
      </c>
      <c r="P846">
        <v>0</v>
      </c>
    </row>
    <row r="847" spans="1:16" x14ac:dyDescent="0.2">
      <c r="A847" t="s">
        <v>4314</v>
      </c>
      <c r="B847" t="s">
        <v>4316</v>
      </c>
      <c r="C847" t="s">
        <v>4315</v>
      </c>
      <c r="D847" t="s">
        <v>223</v>
      </c>
      <c r="E847" t="s">
        <v>96</v>
      </c>
      <c r="F847">
        <v>149.99</v>
      </c>
      <c r="G847" t="s">
        <v>11</v>
      </c>
      <c r="H847">
        <v>0</v>
      </c>
      <c r="M847">
        <v>0</v>
      </c>
      <c r="N847">
        <v>0</v>
      </c>
      <c r="O847">
        <v>0</v>
      </c>
      <c r="P847">
        <v>0</v>
      </c>
    </row>
    <row r="848" spans="1:16" x14ac:dyDescent="0.2">
      <c r="A848" t="s">
        <v>259</v>
      </c>
      <c r="B848" t="s">
        <v>4280</v>
      </c>
      <c r="C848" t="s">
        <v>260</v>
      </c>
      <c r="D848" t="s">
        <v>223</v>
      </c>
      <c r="E848" t="s">
        <v>290</v>
      </c>
      <c r="F848">
        <v>99.99</v>
      </c>
      <c r="G848" t="s">
        <v>11</v>
      </c>
      <c r="H848">
        <v>2.7777777777777776E-2</v>
      </c>
      <c r="M848">
        <v>18</v>
      </c>
      <c r="N848">
        <v>0.16666666666666666</v>
      </c>
      <c r="O848">
        <v>0</v>
      </c>
      <c r="P848">
        <v>3</v>
      </c>
    </row>
    <row r="849" spans="1:16" x14ac:dyDescent="0.2">
      <c r="A849" t="s">
        <v>4354</v>
      </c>
      <c r="B849" t="s">
        <v>4356</v>
      </c>
      <c r="C849" t="s">
        <v>4355</v>
      </c>
      <c r="D849" t="s">
        <v>223</v>
      </c>
      <c r="E849" t="s">
        <v>96</v>
      </c>
      <c r="F849">
        <v>29.99</v>
      </c>
      <c r="G849" t="s">
        <v>11</v>
      </c>
      <c r="H849">
        <v>0</v>
      </c>
      <c r="M849">
        <v>0</v>
      </c>
      <c r="N849">
        <v>0</v>
      </c>
      <c r="O849">
        <v>0</v>
      </c>
      <c r="P849">
        <v>0</v>
      </c>
    </row>
    <row r="850" spans="1:16" x14ac:dyDescent="0.2">
      <c r="A850" t="s">
        <v>3756</v>
      </c>
      <c r="B850" t="s">
        <v>3758</v>
      </c>
      <c r="C850" t="s">
        <v>3757</v>
      </c>
      <c r="D850" t="s">
        <v>1897</v>
      </c>
      <c r="E850" t="s">
        <v>96</v>
      </c>
      <c r="F850">
        <v>44.99</v>
      </c>
      <c r="G850" t="s">
        <v>11</v>
      </c>
      <c r="H850">
        <v>0</v>
      </c>
      <c r="M850">
        <v>0</v>
      </c>
      <c r="N850">
        <v>0</v>
      </c>
      <c r="O850">
        <v>0</v>
      </c>
      <c r="P850">
        <v>0</v>
      </c>
    </row>
    <row r="851" spans="1:16" x14ac:dyDescent="0.2">
      <c r="A851" t="s">
        <v>4224</v>
      </c>
      <c r="B851" t="s">
        <v>4226</v>
      </c>
      <c r="C851" t="s">
        <v>4225</v>
      </c>
      <c r="D851" t="s">
        <v>223</v>
      </c>
      <c r="E851" t="s">
        <v>96</v>
      </c>
      <c r="F851">
        <v>109.99</v>
      </c>
      <c r="G851" t="s">
        <v>11</v>
      </c>
      <c r="H851">
        <v>0</v>
      </c>
      <c r="M851">
        <v>0</v>
      </c>
      <c r="N851">
        <v>0</v>
      </c>
      <c r="O851">
        <v>0</v>
      </c>
      <c r="P851">
        <v>0</v>
      </c>
    </row>
    <row r="852" spans="1:16" x14ac:dyDescent="0.2">
      <c r="A852" t="s">
        <v>233</v>
      </c>
      <c r="B852" t="s">
        <v>4218</v>
      </c>
      <c r="C852" t="s">
        <v>234</v>
      </c>
      <c r="D852" t="s">
        <v>223</v>
      </c>
      <c r="E852" t="s">
        <v>96</v>
      </c>
      <c r="F852">
        <v>59.99</v>
      </c>
      <c r="G852" t="s">
        <v>11</v>
      </c>
      <c r="H852">
        <v>0</v>
      </c>
      <c r="M852">
        <v>0</v>
      </c>
      <c r="N852">
        <v>0</v>
      </c>
      <c r="O852">
        <v>0</v>
      </c>
      <c r="P852">
        <v>0</v>
      </c>
    </row>
    <row r="853" spans="1:16" x14ac:dyDescent="0.2">
      <c r="A853" t="s">
        <v>3762</v>
      </c>
      <c r="B853" t="s">
        <v>3764</v>
      </c>
      <c r="C853" t="s">
        <v>3763</v>
      </c>
      <c r="D853" t="s">
        <v>1897</v>
      </c>
      <c r="E853" t="s">
        <v>96</v>
      </c>
      <c r="F853">
        <v>44.99</v>
      </c>
      <c r="G853" t="s">
        <v>11</v>
      </c>
      <c r="H853">
        <v>0</v>
      </c>
      <c r="M853">
        <v>0</v>
      </c>
      <c r="N853">
        <v>0</v>
      </c>
      <c r="O853">
        <v>0</v>
      </c>
      <c r="P853">
        <v>0</v>
      </c>
    </row>
    <row r="854" spans="1:16" x14ac:dyDescent="0.2">
      <c r="A854" t="s">
        <v>1906</v>
      </c>
      <c r="B854" t="s">
        <v>3768</v>
      </c>
      <c r="C854" t="s">
        <v>1907</v>
      </c>
      <c r="D854" t="s">
        <v>1897</v>
      </c>
      <c r="E854" t="s">
        <v>290</v>
      </c>
      <c r="F854">
        <v>44.99</v>
      </c>
      <c r="G854" t="s">
        <v>11</v>
      </c>
      <c r="H854">
        <v>0</v>
      </c>
      <c r="M854">
        <v>0</v>
      </c>
      <c r="N854">
        <v>0</v>
      </c>
      <c r="O854">
        <v>0</v>
      </c>
      <c r="P854">
        <v>0</v>
      </c>
    </row>
    <row r="855" spans="1:16" x14ac:dyDescent="0.2">
      <c r="A855" t="s">
        <v>3769</v>
      </c>
      <c r="B855" t="s">
        <v>3771</v>
      </c>
      <c r="C855" t="s">
        <v>3770</v>
      </c>
      <c r="D855" t="s">
        <v>1897</v>
      </c>
      <c r="E855" t="s">
        <v>96</v>
      </c>
      <c r="F855">
        <v>44.99</v>
      </c>
      <c r="G855" t="s">
        <v>11</v>
      </c>
      <c r="H855">
        <v>0</v>
      </c>
      <c r="M855">
        <v>0</v>
      </c>
      <c r="N855">
        <v>0</v>
      </c>
      <c r="O855">
        <v>0</v>
      </c>
      <c r="P855">
        <v>0</v>
      </c>
    </row>
    <row r="856" spans="1:16" x14ac:dyDescent="0.2">
      <c r="A856" t="s">
        <v>239</v>
      </c>
      <c r="B856" t="s">
        <v>4223</v>
      </c>
      <c r="C856" t="s">
        <v>240</v>
      </c>
      <c r="D856" t="s">
        <v>223</v>
      </c>
      <c r="E856" t="s">
        <v>96</v>
      </c>
      <c r="F856">
        <v>109.99</v>
      </c>
      <c r="G856" t="s">
        <v>11</v>
      </c>
      <c r="H856">
        <v>0</v>
      </c>
      <c r="M856">
        <v>0</v>
      </c>
      <c r="N856">
        <v>0</v>
      </c>
      <c r="O856">
        <v>0</v>
      </c>
      <c r="P856">
        <v>0</v>
      </c>
    </row>
    <row r="857" spans="1:16" x14ac:dyDescent="0.2">
      <c r="A857" t="s">
        <v>4235</v>
      </c>
      <c r="B857" t="s">
        <v>4237</v>
      </c>
      <c r="C857" t="s">
        <v>4236</v>
      </c>
      <c r="D857" t="s">
        <v>223</v>
      </c>
      <c r="E857" t="s">
        <v>96</v>
      </c>
      <c r="F857">
        <v>39.99</v>
      </c>
      <c r="G857" t="s">
        <v>11</v>
      </c>
      <c r="H857">
        <v>0</v>
      </c>
      <c r="M857">
        <v>0</v>
      </c>
      <c r="N857">
        <v>0</v>
      </c>
      <c r="O857">
        <v>0</v>
      </c>
      <c r="P857">
        <v>0</v>
      </c>
    </row>
    <row r="858" spans="1:16" x14ac:dyDescent="0.2">
      <c r="A858" t="s">
        <v>249</v>
      </c>
      <c r="B858" t="s">
        <v>4238</v>
      </c>
      <c r="C858" t="s">
        <v>250</v>
      </c>
      <c r="D858" t="s">
        <v>223</v>
      </c>
      <c r="E858" t="s">
        <v>228</v>
      </c>
      <c r="F858">
        <v>39.99</v>
      </c>
      <c r="G858" t="s">
        <v>11</v>
      </c>
      <c r="H858">
        <v>0</v>
      </c>
      <c r="M858">
        <v>0</v>
      </c>
      <c r="N858">
        <v>0</v>
      </c>
      <c r="O858">
        <v>0</v>
      </c>
      <c r="P858">
        <v>0</v>
      </c>
    </row>
    <row r="859" spans="1:16" x14ac:dyDescent="0.2">
      <c r="A859" t="s">
        <v>4159</v>
      </c>
      <c r="B859" t="s">
        <v>4161</v>
      </c>
      <c r="C859" t="s">
        <v>4160</v>
      </c>
      <c r="D859" t="s">
        <v>1897</v>
      </c>
      <c r="E859" t="s">
        <v>96</v>
      </c>
      <c r="F859">
        <v>229.99</v>
      </c>
      <c r="G859" t="s">
        <v>11</v>
      </c>
      <c r="H859">
        <v>0</v>
      </c>
      <c r="M859">
        <v>0</v>
      </c>
      <c r="N859">
        <v>0</v>
      </c>
      <c r="O859">
        <v>0</v>
      </c>
      <c r="P859">
        <v>0</v>
      </c>
    </row>
    <row r="860" spans="1:16" x14ac:dyDescent="0.2">
      <c r="A860" t="s">
        <v>4246</v>
      </c>
      <c r="B860" t="s">
        <v>4248</v>
      </c>
      <c r="C860" t="s">
        <v>4247</v>
      </c>
      <c r="D860" t="s">
        <v>223</v>
      </c>
      <c r="E860" t="s">
        <v>96</v>
      </c>
      <c r="F860">
        <v>42.99</v>
      </c>
      <c r="G860" t="s">
        <v>11</v>
      </c>
      <c r="H860">
        <v>0</v>
      </c>
      <c r="M860">
        <v>0</v>
      </c>
      <c r="N860">
        <v>0</v>
      </c>
      <c r="O860">
        <v>0</v>
      </c>
      <c r="P860">
        <v>0</v>
      </c>
    </row>
    <row r="861" spans="1:16" x14ac:dyDescent="0.2">
      <c r="A861" t="s">
        <v>241</v>
      </c>
      <c r="B861" t="s">
        <v>4350</v>
      </c>
      <c r="C861" t="s">
        <v>242</v>
      </c>
      <c r="D861" t="s">
        <v>223</v>
      </c>
      <c r="E861" t="s">
        <v>96</v>
      </c>
      <c r="F861">
        <v>29.99</v>
      </c>
      <c r="G861" t="s">
        <v>11</v>
      </c>
      <c r="H861">
        <v>0.25</v>
      </c>
      <c r="M861">
        <v>6.0000000000000018</v>
      </c>
      <c r="N861">
        <v>0.16666666666666663</v>
      </c>
      <c r="O861">
        <v>0</v>
      </c>
      <c r="P861">
        <v>1</v>
      </c>
    </row>
    <row r="862" spans="1:16" x14ac:dyDescent="0.2">
      <c r="A862" t="s">
        <v>4156</v>
      </c>
      <c r="B862" t="s">
        <v>4158</v>
      </c>
      <c r="C862" t="s">
        <v>4157</v>
      </c>
      <c r="D862" t="s">
        <v>1897</v>
      </c>
      <c r="E862" t="s">
        <v>96</v>
      </c>
      <c r="F862">
        <v>229.99</v>
      </c>
      <c r="G862" t="s">
        <v>11</v>
      </c>
      <c r="H862">
        <v>0</v>
      </c>
      <c r="M862">
        <v>0</v>
      </c>
      <c r="N862">
        <v>0</v>
      </c>
      <c r="O862">
        <v>0</v>
      </c>
      <c r="P862">
        <v>0</v>
      </c>
    </row>
    <row r="863" spans="1:16" x14ac:dyDescent="0.2">
      <c r="A863" t="s">
        <v>3801</v>
      </c>
      <c r="B863" t="s">
        <v>3803</v>
      </c>
      <c r="C863" t="s">
        <v>3802</v>
      </c>
      <c r="D863" t="s">
        <v>1897</v>
      </c>
      <c r="E863" t="s">
        <v>96</v>
      </c>
      <c r="F863">
        <v>44.99</v>
      </c>
      <c r="G863" t="s">
        <v>11</v>
      </c>
      <c r="H863">
        <v>0</v>
      </c>
      <c r="M863">
        <v>0</v>
      </c>
      <c r="N863">
        <v>0</v>
      </c>
      <c r="O863">
        <v>0</v>
      </c>
      <c r="P863">
        <v>0</v>
      </c>
    </row>
    <row r="864" spans="1:16" x14ac:dyDescent="0.2">
      <c r="A864" t="s">
        <v>4468</v>
      </c>
      <c r="B864" t="s">
        <v>4470</v>
      </c>
      <c r="C864" t="s">
        <v>4469</v>
      </c>
      <c r="D864" t="s">
        <v>4463</v>
      </c>
      <c r="E864" t="s">
        <v>290</v>
      </c>
      <c r="F864">
        <v>39.99</v>
      </c>
      <c r="G864" t="s">
        <v>11</v>
      </c>
      <c r="H864">
        <v>0</v>
      </c>
      <c r="M864">
        <v>0</v>
      </c>
      <c r="N864">
        <v>0</v>
      </c>
      <c r="O864">
        <v>0</v>
      </c>
      <c r="P864">
        <v>0</v>
      </c>
    </row>
    <row r="865" spans="1:16" x14ac:dyDescent="0.2">
      <c r="A865" t="s">
        <v>3942</v>
      </c>
      <c r="B865" t="s">
        <v>3944</v>
      </c>
      <c r="C865" t="s">
        <v>3943</v>
      </c>
      <c r="D865" t="s">
        <v>1897</v>
      </c>
      <c r="E865" t="s">
        <v>96</v>
      </c>
      <c r="F865">
        <v>189.99</v>
      </c>
      <c r="G865" t="s">
        <v>11</v>
      </c>
      <c r="H865">
        <v>0</v>
      </c>
      <c r="M865">
        <v>0</v>
      </c>
      <c r="N865">
        <v>0</v>
      </c>
      <c r="O865">
        <v>0</v>
      </c>
      <c r="P865">
        <v>0</v>
      </c>
    </row>
    <row r="866" spans="1:16" x14ac:dyDescent="0.2">
      <c r="A866" t="s">
        <v>3765</v>
      </c>
      <c r="B866" t="s">
        <v>3767</v>
      </c>
      <c r="C866" t="s">
        <v>3766</v>
      </c>
      <c r="D866" t="s">
        <v>1897</v>
      </c>
      <c r="E866" t="s">
        <v>96</v>
      </c>
      <c r="F866">
        <v>44.99</v>
      </c>
      <c r="G866" t="s">
        <v>11</v>
      </c>
      <c r="H866">
        <v>0</v>
      </c>
      <c r="M866">
        <v>0</v>
      </c>
      <c r="N866">
        <v>0</v>
      </c>
      <c r="O866">
        <v>0</v>
      </c>
      <c r="P866">
        <v>0</v>
      </c>
    </row>
    <row r="867" spans="1:16" x14ac:dyDescent="0.2">
      <c r="A867" t="s">
        <v>4072</v>
      </c>
      <c r="B867" t="s">
        <v>4074</v>
      </c>
      <c r="C867" t="s">
        <v>4073</v>
      </c>
      <c r="D867" t="s">
        <v>1897</v>
      </c>
      <c r="E867" t="s">
        <v>96</v>
      </c>
      <c r="F867">
        <v>299.99</v>
      </c>
      <c r="G867" t="s">
        <v>11</v>
      </c>
      <c r="H867">
        <v>0</v>
      </c>
      <c r="M867">
        <v>0</v>
      </c>
      <c r="N867">
        <v>0</v>
      </c>
      <c r="O867">
        <v>0</v>
      </c>
      <c r="P867">
        <v>0</v>
      </c>
    </row>
    <row r="868" spans="1:16" x14ac:dyDescent="0.2">
      <c r="A868" t="s">
        <v>4242</v>
      </c>
      <c r="B868" t="s">
        <v>4244</v>
      </c>
      <c r="C868" t="s">
        <v>4243</v>
      </c>
      <c r="D868" t="s">
        <v>223</v>
      </c>
      <c r="E868" t="s">
        <v>96</v>
      </c>
      <c r="F868">
        <v>42.99</v>
      </c>
      <c r="G868" t="s">
        <v>11</v>
      </c>
      <c r="H868">
        <v>0</v>
      </c>
      <c r="M868">
        <v>0</v>
      </c>
      <c r="N868">
        <v>0</v>
      </c>
      <c r="O868">
        <v>0</v>
      </c>
      <c r="P868">
        <v>0</v>
      </c>
    </row>
    <row r="869" spans="1:16" x14ac:dyDescent="0.2">
      <c r="A869" t="s">
        <v>4351</v>
      </c>
      <c r="B869" t="s">
        <v>4353</v>
      </c>
      <c r="C869" t="s">
        <v>4352</v>
      </c>
      <c r="D869" t="s">
        <v>223</v>
      </c>
      <c r="E869" t="s">
        <v>96</v>
      </c>
      <c r="F869">
        <v>24.99</v>
      </c>
      <c r="G869" t="s">
        <v>11</v>
      </c>
      <c r="H869">
        <v>0</v>
      </c>
      <c r="M869">
        <v>0</v>
      </c>
      <c r="N869">
        <v>0</v>
      </c>
      <c r="O869">
        <v>0</v>
      </c>
      <c r="P869">
        <v>0</v>
      </c>
    </row>
    <row r="870" spans="1:16" x14ac:dyDescent="0.2">
      <c r="A870" t="s">
        <v>4162</v>
      </c>
      <c r="B870" t="s">
        <v>4164</v>
      </c>
      <c r="C870" t="s">
        <v>4163</v>
      </c>
      <c r="D870" t="s">
        <v>1897</v>
      </c>
      <c r="E870" t="s">
        <v>96</v>
      </c>
      <c r="F870">
        <v>299.99</v>
      </c>
      <c r="G870" t="s">
        <v>11</v>
      </c>
      <c r="H870">
        <v>0</v>
      </c>
      <c r="M870">
        <v>0</v>
      </c>
      <c r="N870">
        <v>0</v>
      </c>
      <c r="O870">
        <v>0</v>
      </c>
      <c r="P870">
        <v>0</v>
      </c>
    </row>
    <row r="871" spans="1:16" x14ac:dyDescent="0.2">
      <c r="A871" t="s">
        <v>251</v>
      </c>
      <c r="B871" t="s">
        <v>4267</v>
      </c>
      <c r="C871" t="s">
        <v>252</v>
      </c>
      <c r="D871" t="s">
        <v>223</v>
      </c>
      <c r="E871" t="s">
        <v>228</v>
      </c>
      <c r="F871">
        <v>79.989999999999995</v>
      </c>
      <c r="G871" t="s">
        <v>11</v>
      </c>
      <c r="H871">
        <v>4.1666666666666664E-2</v>
      </c>
      <c r="M871">
        <v>12</v>
      </c>
      <c r="N871">
        <v>0.16666666666666666</v>
      </c>
      <c r="O871">
        <v>0</v>
      </c>
      <c r="P871">
        <v>2</v>
      </c>
    </row>
    <row r="872" spans="1:16" x14ac:dyDescent="0.2">
      <c r="A872" t="s">
        <v>4048</v>
      </c>
      <c r="B872" t="s">
        <v>4050</v>
      </c>
      <c r="C872" t="s">
        <v>4049</v>
      </c>
      <c r="D872" t="s">
        <v>1897</v>
      </c>
      <c r="E872" t="s">
        <v>96</v>
      </c>
      <c r="F872">
        <v>49.99</v>
      </c>
      <c r="G872" t="s">
        <v>11</v>
      </c>
      <c r="H872">
        <v>0</v>
      </c>
      <c r="M872">
        <v>0</v>
      </c>
      <c r="N872">
        <v>0</v>
      </c>
      <c r="O872">
        <v>0</v>
      </c>
      <c r="P872">
        <v>0</v>
      </c>
    </row>
    <row r="873" spans="1:16" x14ac:dyDescent="0.2">
      <c r="A873" t="s">
        <v>253</v>
      </c>
      <c r="B873" t="s">
        <v>4271</v>
      </c>
      <c r="C873" t="s">
        <v>254</v>
      </c>
      <c r="D873" t="s">
        <v>223</v>
      </c>
      <c r="E873" t="s">
        <v>228</v>
      </c>
      <c r="F873">
        <v>89.99</v>
      </c>
      <c r="G873" t="s">
        <v>11</v>
      </c>
      <c r="H873">
        <v>0.16666666666666666</v>
      </c>
      <c r="M873">
        <v>6</v>
      </c>
      <c r="N873">
        <v>0.16666666666666666</v>
      </c>
      <c r="O873">
        <v>0</v>
      </c>
      <c r="P873">
        <v>1</v>
      </c>
    </row>
    <row r="874" spans="1:16" x14ac:dyDescent="0.2">
      <c r="A874" t="s">
        <v>4060</v>
      </c>
      <c r="B874" t="s">
        <v>4062</v>
      </c>
      <c r="C874" t="s">
        <v>4061</v>
      </c>
      <c r="D874" t="s">
        <v>1897</v>
      </c>
      <c r="E874" t="s">
        <v>96</v>
      </c>
      <c r="F874">
        <v>49.99</v>
      </c>
      <c r="G874" t="s">
        <v>11</v>
      </c>
      <c r="H874">
        <v>0</v>
      </c>
      <c r="M874">
        <v>0</v>
      </c>
      <c r="N874">
        <v>0</v>
      </c>
      <c r="O874">
        <v>0</v>
      </c>
      <c r="P874">
        <v>0</v>
      </c>
    </row>
    <row r="875" spans="1:16" x14ac:dyDescent="0.2">
      <c r="A875" t="s">
        <v>255</v>
      </c>
      <c r="B875" t="s">
        <v>4274</v>
      </c>
      <c r="C875" t="s">
        <v>256</v>
      </c>
      <c r="D875" t="s">
        <v>223</v>
      </c>
      <c r="E875" t="s">
        <v>96</v>
      </c>
      <c r="F875">
        <v>59.99</v>
      </c>
      <c r="G875" t="s">
        <v>11</v>
      </c>
      <c r="H875">
        <v>0</v>
      </c>
      <c r="M875">
        <v>0</v>
      </c>
      <c r="N875">
        <v>0</v>
      </c>
      <c r="O875">
        <v>0</v>
      </c>
      <c r="P875">
        <v>0</v>
      </c>
    </row>
    <row r="876" spans="1:16" x14ac:dyDescent="0.2">
      <c r="A876" t="s">
        <v>4033</v>
      </c>
      <c r="B876" t="s">
        <v>4035</v>
      </c>
      <c r="C876" t="s">
        <v>4034</v>
      </c>
      <c r="D876" t="s">
        <v>1897</v>
      </c>
      <c r="E876" t="s">
        <v>96</v>
      </c>
      <c r="F876">
        <v>349.99</v>
      </c>
      <c r="G876" t="s">
        <v>11</v>
      </c>
      <c r="H876">
        <v>0</v>
      </c>
      <c r="M876">
        <v>0</v>
      </c>
      <c r="N876">
        <v>0</v>
      </c>
      <c r="O876">
        <v>0</v>
      </c>
      <c r="P876">
        <v>0</v>
      </c>
    </row>
    <row r="877" spans="1:16" x14ac:dyDescent="0.2">
      <c r="A877" t="s">
        <v>4036</v>
      </c>
      <c r="B877" t="s">
        <v>4038</v>
      </c>
      <c r="C877" t="s">
        <v>4037</v>
      </c>
      <c r="D877" t="s">
        <v>1897</v>
      </c>
      <c r="E877" t="s">
        <v>96</v>
      </c>
      <c r="F877">
        <v>99.99</v>
      </c>
      <c r="G877" t="s">
        <v>11</v>
      </c>
      <c r="H877">
        <v>0</v>
      </c>
      <c r="M877">
        <v>0</v>
      </c>
      <c r="N877">
        <v>0</v>
      </c>
      <c r="O877">
        <v>0</v>
      </c>
      <c r="P877">
        <v>0</v>
      </c>
    </row>
    <row r="878" spans="1:16" x14ac:dyDescent="0.2">
      <c r="A878" t="s">
        <v>237</v>
      </c>
      <c r="B878" t="s">
        <v>4221</v>
      </c>
      <c r="C878" t="s">
        <v>238</v>
      </c>
      <c r="D878" t="s">
        <v>223</v>
      </c>
      <c r="E878" t="s">
        <v>96</v>
      </c>
      <c r="F878">
        <v>109.99</v>
      </c>
      <c r="G878" t="s">
        <v>11</v>
      </c>
      <c r="H878">
        <v>0</v>
      </c>
      <c r="M878">
        <v>0</v>
      </c>
      <c r="N878">
        <v>0</v>
      </c>
      <c r="O878">
        <v>0</v>
      </c>
      <c r="P878">
        <v>0</v>
      </c>
    </row>
    <row r="879" spans="1:16" x14ac:dyDescent="0.2">
      <c r="A879" t="s">
        <v>261</v>
      </c>
      <c r="B879" t="s">
        <v>4265</v>
      </c>
      <c r="C879" t="s">
        <v>262</v>
      </c>
      <c r="D879" t="s">
        <v>223</v>
      </c>
      <c r="E879" t="s">
        <v>96</v>
      </c>
      <c r="F879">
        <v>79.989999999999995</v>
      </c>
      <c r="G879" t="s">
        <v>11</v>
      </c>
      <c r="H879">
        <v>0</v>
      </c>
      <c r="M879">
        <v>0</v>
      </c>
      <c r="N879">
        <v>0</v>
      </c>
      <c r="O879">
        <v>0</v>
      </c>
      <c r="P879">
        <v>0</v>
      </c>
    </row>
    <row r="880" spans="1:16" x14ac:dyDescent="0.2">
      <c r="A880" t="s">
        <v>4174</v>
      </c>
      <c r="B880" t="s">
        <v>4176</v>
      </c>
      <c r="C880" t="s">
        <v>4175</v>
      </c>
      <c r="D880" t="s">
        <v>1897</v>
      </c>
      <c r="E880" t="s">
        <v>96</v>
      </c>
      <c r="F880">
        <v>27.99</v>
      </c>
      <c r="G880" t="s">
        <v>11</v>
      </c>
      <c r="H880">
        <v>0</v>
      </c>
      <c r="M880">
        <v>0</v>
      </c>
      <c r="N880">
        <v>0</v>
      </c>
      <c r="O880">
        <v>0</v>
      </c>
      <c r="P880">
        <v>0</v>
      </c>
    </row>
    <row r="881" spans="1:16" x14ac:dyDescent="0.2">
      <c r="A881" t="s">
        <v>4283</v>
      </c>
      <c r="B881" t="s">
        <v>4285</v>
      </c>
      <c r="C881" t="s">
        <v>4284</v>
      </c>
      <c r="D881" t="s">
        <v>223</v>
      </c>
      <c r="E881" t="s">
        <v>96</v>
      </c>
      <c r="F881">
        <v>79.989999999999995</v>
      </c>
      <c r="G881" t="s">
        <v>11</v>
      </c>
      <c r="H881">
        <v>0</v>
      </c>
      <c r="M881">
        <v>0</v>
      </c>
      <c r="N881">
        <v>0</v>
      </c>
      <c r="O881">
        <v>0</v>
      </c>
      <c r="P881">
        <v>0</v>
      </c>
    </row>
    <row r="882" spans="1:16" x14ac:dyDescent="0.2">
      <c r="A882" t="s">
        <v>4129</v>
      </c>
      <c r="B882" t="s">
        <v>4131</v>
      </c>
      <c r="C882" t="s">
        <v>4130</v>
      </c>
      <c r="D882" t="s">
        <v>1897</v>
      </c>
      <c r="E882" t="s">
        <v>96</v>
      </c>
      <c r="F882">
        <v>79.989999999999995</v>
      </c>
      <c r="G882" t="s">
        <v>11</v>
      </c>
      <c r="H882">
        <v>0</v>
      </c>
      <c r="M882">
        <v>0</v>
      </c>
      <c r="N882">
        <v>0</v>
      </c>
      <c r="O882">
        <v>0</v>
      </c>
      <c r="P882">
        <v>0</v>
      </c>
    </row>
    <row r="883" spans="1:16" x14ac:dyDescent="0.2">
      <c r="A883" t="s">
        <v>263</v>
      </c>
      <c r="B883" t="s">
        <v>4286</v>
      </c>
      <c r="C883" t="s">
        <v>264</v>
      </c>
      <c r="D883" t="s">
        <v>223</v>
      </c>
      <c r="E883" t="s">
        <v>96</v>
      </c>
      <c r="F883">
        <v>119.99</v>
      </c>
      <c r="G883" t="s">
        <v>11</v>
      </c>
      <c r="H883">
        <v>0</v>
      </c>
      <c r="M883">
        <v>0</v>
      </c>
      <c r="N883">
        <v>0</v>
      </c>
      <c r="O883">
        <v>0</v>
      </c>
      <c r="P883">
        <v>0</v>
      </c>
    </row>
    <row r="884" spans="1:16" x14ac:dyDescent="0.2">
      <c r="A884" t="s">
        <v>4141</v>
      </c>
      <c r="B884" t="s">
        <v>4143</v>
      </c>
      <c r="C884" t="s">
        <v>4142</v>
      </c>
      <c r="D884" t="s">
        <v>1897</v>
      </c>
      <c r="E884" t="s">
        <v>96</v>
      </c>
      <c r="F884">
        <v>79.989999999999995</v>
      </c>
      <c r="G884" t="s">
        <v>11</v>
      </c>
      <c r="H884">
        <v>0</v>
      </c>
      <c r="M884">
        <v>0</v>
      </c>
      <c r="N884">
        <v>0</v>
      </c>
      <c r="O884">
        <v>0</v>
      </c>
      <c r="P884">
        <v>0</v>
      </c>
    </row>
    <row r="885" spans="1:16" x14ac:dyDescent="0.2">
      <c r="A885" t="s">
        <v>265</v>
      </c>
      <c r="B885" t="s">
        <v>4292</v>
      </c>
      <c r="C885" t="s">
        <v>266</v>
      </c>
      <c r="D885" t="s">
        <v>223</v>
      </c>
      <c r="E885" t="s">
        <v>96</v>
      </c>
      <c r="F885">
        <v>22.99</v>
      </c>
      <c r="G885" t="s">
        <v>11</v>
      </c>
      <c r="H885">
        <v>0</v>
      </c>
      <c r="M885">
        <v>0</v>
      </c>
      <c r="N885">
        <v>0</v>
      </c>
      <c r="O885">
        <v>0</v>
      </c>
      <c r="P885">
        <v>0</v>
      </c>
    </row>
    <row r="886" spans="1:16" x14ac:dyDescent="0.2">
      <c r="A886" t="s">
        <v>4135</v>
      </c>
      <c r="B886" t="s">
        <v>4137</v>
      </c>
      <c r="C886" t="s">
        <v>4136</v>
      </c>
      <c r="D886" t="s">
        <v>1897</v>
      </c>
      <c r="E886" t="s">
        <v>96</v>
      </c>
      <c r="F886">
        <v>79.989999999999995</v>
      </c>
      <c r="G886" t="s">
        <v>11</v>
      </c>
      <c r="H886">
        <v>0</v>
      </c>
      <c r="M886">
        <v>0</v>
      </c>
      <c r="N886">
        <v>0</v>
      </c>
      <c r="O886">
        <v>0</v>
      </c>
      <c r="P886">
        <v>0</v>
      </c>
    </row>
    <row r="887" spans="1:16" x14ac:dyDescent="0.2">
      <c r="A887" t="s">
        <v>3772</v>
      </c>
      <c r="B887" t="s">
        <v>3774</v>
      </c>
      <c r="C887" t="s">
        <v>3773</v>
      </c>
      <c r="D887" t="s">
        <v>1897</v>
      </c>
      <c r="E887" t="s">
        <v>290</v>
      </c>
      <c r="F887">
        <v>39.99</v>
      </c>
      <c r="G887" t="s">
        <v>11</v>
      </c>
      <c r="H887">
        <v>0</v>
      </c>
      <c r="M887">
        <v>0</v>
      </c>
      <c r="N887">
        <v>0</v>
      </c>
      <c r="O887">
        <v>0</v>
      </c>
      <c r="P887">
        <v>4</v>
      </c>
    </row>
    <row r="888" spans="1:16" x14ac:dyDescent="0.2">
      <c r="A888" t="s">
        <v>3976</v>
      </c>
      <c r="B888" t="s">
        <v>3978</v>
      </c>
      <c r="C888" t="s">
        <v>3977</v>
      </c>
      <c r="D888" t="s">
        <v>1897</v>
      </c>
      <c r="E888" t="s">
        <v>96</v>
      </c>
      <c r="F888">
        <v>89.99</v>
      </c>
      <c r="G888" t="s">
        <v>11</v>
      </c>
      <c r="H888">
        <v>0</v>
      </c>
      <c r="M888">
        <v>0</v>
      </c>
      <c r="N888">
        <v>0</v>
      </c>
      <c r="O888">
        <v>0</v>
      </c>
      <c r="P888">
        <v>0</v>
      </c>
    </row>
    <row r="889" spans="1:16" x14ac:dyDescent="0.2">
      <c r="A889" t="s">
        <v>3005</v>
      </c>
      <c r="B889" t="s">
        <v>6697</v>
      </c>
      <c r="C889" t="s">
        <v>3006</v>
      </c>
      <c r="D889" t="s">
        <v>2987</v>
      </c>
      <c r="E889" t="s">
        <v>290</v>
      </c>
      <c r="F889">
        <v>49.99</v>
      </c>
      <c r="G889" t="s">
        <v>11</v>
      </c>
      <c r="H889">
        <v>0</v>
      </c>
      <c r="M889">
        <v>0</v>
      </c>
      <c r="N889">
        <v>0</v>
      </c>
      <c r="O889">
        <v>0</v>
      </c>
      <c r="P889">
        <v>0</v>
      </c>
    </row>
    <row r="890" spans="1:16" x14ac:dyDescent="0.2">
      <c r="A890" t="s">
        <v>3556</v>
      </c>
      <c r="B890" t="s">
        <v>3558</v>
      </c>
      <c r="C890" t="s">
        <v>3557</v>
      </c>
      <c r="D890" t="s">
        <v>3554</v>
      </c>
      <c r="E890" t="s">
        <v>96</v>
      </c>
      <c r="F890">
        <v>39.99</v>
      </c>
      <c r="G890" t="s">
        <v>11</v>
      </c>
      <c r="H890">
        <v>0</v>
      </c>
      <c r="M890">
        <v>0</v>
      </c>
      <c r="N890">
        <v>0</v>
      </c>
      <c r="O890">
        <v>0</v>
      </c>
      <c r="P890">
        <v>0</v>
      </c>
    </row>
    <row r="891" spans="1:16" x14ac:dyDescent="0.2">
      <c r="A891" t="s">
        <v>6595</v>
      </c>
      <c r="B891" t="s">
        <v>6597</v>
      </c>
      <c r="C891" t="s">
        <v>6596</v>
      </c>
      <c r="D891" t="s">
        <v>2987</v>
      </c>
      <c r="E891" t="s">
        <v>96</v>
      </c>
      <c r="F891">
        <v>59.99</v>
      </c>
      <c r="G891" t="s">
        <v>11</v>
      </c>
      <c r="H891">
        <v>0</v>
      </c>
      <c r="M891">
        <v>0</v>
      </c>
      <c r="N891">
        <v>0</v>
      </c>
      <c r="O891">
        <v>0</v>
      </c>
      <c r="P891">
        <v>0</v>
      </c>
    </row>
    <row r="892" spans="1:16" x14ac:dyDescent="0.2">
      <c r="A892" t="s">
        <v>2350</v>
      </c>
      <c r="B892" t="s">
        <v>5617</v>
      </c>
      <c r="C892" t="s">
        <v>2351</v>
      </c>
      <c r="D892" t="s">
        <v>2146</v>
      </c>
      <c r="E892" t="s">
        <v>228</v>
      </c>
      <c r="F892">
        <v>189.99</v>
      </c>
      <c r="G892" t="s">
        <v>11</v>
      </c>
      <c r="H892">
        <v>0</v>
      </c>
      <c r="M892">
        <v>0</v>
      </c>
      <c r="N892">
        <v>0</v>
      </c>
      <c r="O892">
        <v>0</v>
      </c>
      <c r="P892">
        <v>0</v>
      </c>
    </row>
    <row r="893" spans="1:16" x14ac:dyDescent="0.2">
      <c r="A893" t="s">
        <v>2358</v>
      </c>
      <c r="B893" t="s">
        <v>5607</v>
      </c>
      <c r="C893" t="s">
        <v>2359</v>
      </c>
      <c r="D893" t="s">
        <v>2146</v>
      </c>
      <c r="E893" t="s">
        <v>228</v>
      </c>
      <c r="F893">
        <v>199.99</v>
      </c>
      <c r="G893" t="s">
        <v>11</v>
      </c>
      <c r="H893">
        <v>2.7777777777777776E-2</v>
      </c>
      <c r="M893">
        <v>0</v>
      </c>
      <c r="N893">
        <v>0</v>
      </c>
      <c r="O893">
        <v>0</v>
      </c>
      <c r="P893">
        <v>6</v>
      </c>
    </row>
    <row r="894" spans="1:16" x14ac:dyDescent="0.2">
      <c r="A894" t="s">
        <v>2330</v>
      </c>
      <c r="B894" t="s">
        <v>5380</v>
      </c>
      <c r="C894" t="s">
        <v>2331</v>
      </c>
      <c r="D894" t="s">
        <v>2146</v>
      </c>
      <c r="E894" t="s">
        <v>228</v>
      </c>
      <c r="F894">
        <v>16.989999999999998</v>
      </c>
      <c r="G894" t="s">
        <v>11</v>
      </c>
      <c r="H894">
        <v>0</v>
      </c>
      <c r="M894">
        <v>0</v>
      </c>
      <c r="N894">
        <v>0</v>
      </c>
      <c r="O894">
        <v>0</v>
      </c>
      <c r="P894">
        <v>16</v>
      </c>
    </row>
    <row r="895" spans="1:16" x14ac:dyDescent="0.2">
      <c r="A895" t="s">
        <v>2334</v>
      </c>
      <c r="B895" t="s">
        <v>5558</v>
      </c>
      <c r="C895" t="s">
        <v>2335</v>
      </c>
      <c r="D895" t="s">
        <v>2146</v>
      </c>
      <c r="E895" t="s">
        <v>228</v>
      </c>
      <c r="F895">
        <v>99.99</v>
      </c>
      <c r="G895" t="s">
        <v>11</v>
      </c>
      <c r="H895">
        <v>0</v>
      </c>
      <c r="M895">
        <v>0</v>
      </c>
      <c r="N895">
        <v>0</v>
      </c>
      <c r="O895">
        <v>0</v>
      </c>
      <c r="P895">
        <v>0</v>
      </c>
    </row>
    <row r="896" spans="1:16" x14ac:dyDescent="0.2">
      <c r="A896" t="s">
        <v>2336</v>
      </c>
      <c r="B896" t="s">
        <v>5568</v>
      </c>
      <c r="C896" t="s">
        <v>2337</v>
      </c>
      <c r="D896" t="s">
        <v>2146</v>
      </c>
      <c r="E896" t="s">
        <v>228</v>
      </c>
      <c r="F896">
        <v>229.99</v>
      </c>
      <c r="G896" t="s">
        <v>11</v>
      </c>
      <c r="H896">
        <v>0</v>
      </c>
      <c r="M896">
        <v>0</v>
      </c>
      <c r="N896">
        <v>0</v>
      </c>
      <c r="O896">
        <v>0</v>
      </c>
      <c r="P896">
        <v>4</v>
      </c>
    </row>
    <row r="897" spans="1:16" x14ac:dyDescent="0.2">
      <c r="A897" t="s">
        <v>2340</v>
      </c>
      <c r="B897" t="s">
        <v>5572</v>
      </c>
      <c r="C897" t="s">
        <v>2341</v>
      </c>
      <c r="D897" t="s">
        <v>2146</v>
      </c>
      <c r="E897" t="s">
        <v>228</v>
      </c>
      <c r="F897">
        <v>549.99</v>
      </c>
      <c r="G897" t="s">
        <v>11</v>
      </c>
      <c r="H897">
        <v>0</v>
      </c>
      <c r="M897">
        <v>0</v>
      </c>
      <c r="N897">
        <v>0.16666666666666666</v>
      </c>
      <c r="O897">
        <v>0</v>
      </c>
      <c r="P897">
        <v>0</v>
      </c>
    </row>
    <row r="898" spans="1:16" x14ac:dyDescent="0.2">
      <c r="A898" t="s">
        <v>5507</v>
      </c>
      <c r="B898" t="s">
        <v>5509</v>
      </c>
      <c r="C898" t="s">
        <v>5508</v>
      </c>
      <c r="D898" t="s">
        <v>2411</v>
      </c>
      <c r="E898" t="s">
        <v>96</v>
      </c>
      <c r="F898">
        <v>29.99</v>
      </c>
      <c r="G898" t="s">
        <v>11</v>
      </c>
      <c r="H898">
        <v>0</v>
      </c>
      <c r="M898">
        <v>0</v>
      </c>
      <c r="N898">
        <v>0</v>
      </c>
      <c r="O898">
        <v>0</v>
      </c>
      <c r="P898">
        <v>0</v>
      </c>
    </row>
    <row r="899" spans="1:16" x14ac:dyDescent="0.2">
      <c r="A899" t="s">
        <v>2344</v>
      </c>
      <c r="B899" t="s">
        <v>5376</v>
      </c>
      <c r="C899" t="s">
        <v>2345</v>
      </c>
      <c r="D899" t="s">
        <v>2146</v>
      </c>
      <c r="E899" t="s">
        <v>228</v>
      </c>
      <c r="F899">
        <v>16.989999999999998</v>
      </c>
      <c r="G899" t="s">
        <v>11</v>
      </c>
      <c r="H899">
        <v>0</v>
      </c>
      <c r="M899">
        <v>0</v>
      </c>
      <c r="N899">
        <v>1.5</v>
      </c>
      <c r="O899">
        <v>0</v>
      </c>
      <c r="P899">
        <v>0</v>
      </c>
    </row>
    <row r="900" spans="1:16" x14ac:dyDescent="0.2">
      <c r="A900" t="s">
        <v>2348</v>
      </c>
      <c r="B900" t="s">
        <v>5600</v>
      </c>
      <c r="C900" t="s">
        <v>2349</v>
      </c>
      <c r="D900" t="s">
        <v>2146</v>
      </c>
      <c r="E900" t="s">
        <v>228</v>
      </c>
      <c r="F900">
        <v>119.99</v>
      </c>
      <c r="G900" t="s">
        <v>11</v>
      </c>
      <c r="H900">
        <v>0</v>
      </c>
      <c r="M900">
        <v>0</v>
      </c>
      <c r="N900">
        <v>0</v>
      </c>
      <c r="O900">
        <v>0</v>
      </c>
      <c r="P900">
        <v>5</v>
      </c>
    </row>
    <row r="901" spans="1:16" x14ac:dyDescent="0.2">
      <c r="A901" t="s">
        <v>2346</v>
      </c>
      <c r="B901" t="s">
        <v>5591</v>
      </c>
      <c r="C901" t="s">
        <v>2347</v>
      </c>
      <c r="D901" t="s">
        <v>2146</v>
      </c>
      <c r="E901" t="s">
        <v>228</v>
      </c>
      <c r="F901">
        <v>99.99</v>
      </c>
      <c r="G901" t="s">
        <v>11</v>
      </c>
      <c r="H901">
        <v>0</v>
      </c>
      <c r="M901">
        <v>0</v>
      </c>
      <c r="N901">
        <v>0</v>
      </c>
      <c r="O901">
        <v>0</v>
      </c>
      <c r="P901">
        <v>1</v>
      </c>
    </row>
    <row r="902" spans="1:16" x14ac:dyDescent="0.2">
      <c r="A902" t="s">
        <v>2352</v>
      </c>
      <c r="B902" t="s">
        <v>5621</v>
      </c>
      <c r="C902" t="s">
        <v>2353</v>
      </c>
      <c r="D902" t="s">
        <v>2146</v>
      </c>
      <c r="E902" t="s">
        <v>290</v>
      </c>
      <c r="F902">
        <v>189.99</v>
      </c>
      <c r="G902" t="s">
        <v>11</v>
      </c>
      <c r="H902">
        <v>0</v>
      </c>
      <c r="M902">
        <v>0</v>
      </c>
      <c r="N902">
        <v>0</v>
      </c>
      <c r="O902">
        <v>0</v>
      </c>
      <c r="P902">
        <v>0</v>
      </c>
    </row>
    <row r="903" spans="1:16" x14ac:dyDescent="0.2">
      <c r="A903" t="s">
        <v>5549</v>
      </c>
      <c r="B903" t="s">
        <v>5551</v>
      </c>
      <c r="C903" t="s">
        <v>5550</v>
      </c>
      <c r="D903" t="s">
        <v>2146</v>
      </c>
      <c r="E903" t="s">
        <v>290</v>
      </c>
      <c r="F903">
        <v>79.989999999999995</v>
      </c>
      <c r="G903" t="s">
        <v>11</v>
      </c>
      <c r="H903">
        <v>0</v>
      </c>
      <c r="M903">
        <v>0</v>
      </c>
      <c r="N903">
        <v>0</v>
      </c>
      <c r="O903">
        <v>0</v>
      </c>
      <c r="P903">
        <v>0</v>
      </c>
    </row>
    <row r="904" spans="1:16" x14ac:dyDescent="0.2">
      <c r="A904" t="s">
        <v>2354</v>
      </c>
      <c r="C904" t="s">
        <v>2355</v>
      </c>
      <c r="D904" t="s">
        <v>2146</v>
      </c>
      <c r="E904" t="s">
        <v>228</v>
      </c>
      <c r="F904">
        <v>249.99</v>
      </c>
      <c r="G904" t="s">
        <v>11</v>
      </c>
      <c r="H904">
        <v>0</v>
      </c>
      <c r="M904">
        <v>0</v>
      </c>
      <c r="N904">
        <v>0</v>
      </c>
      <c r="O904">
        <v>0</v>
      </c>
      <c r="P904">
        <v>0</v>
      </c>
    </row>
    <row r="905" spans="1:16" x14ac:dyDescent="0.2">
      <c r="A905" t="s">
        <v>2356</v>
      </c>
      <c r="B905" t="s">
        <v>5610</v>
      </c>
      <c r="C905" t="s">
        <v>2357</v>
      </c>
      <c r="D905" t="s">
        <v>2146</v>
      </c>
      <c r="E905" t="s">
        <v>228</v>
      </c>
      <c r="F905">
        <v>549.99</v>
      </c>
      <c r="G905" t="s">
        <v>11</v>
      </c>
      <c r="H905">
        <v>6.25E-2</v>
      </c>
      <c r="M905">
        <v>24</v>
      </c>
      <c r="N905">
        <v>0.16666666666666666</v>
      </c>
      <c r="O905">
        <v>0</v>
      </c>
      <c r="P905">
        <v>4</v>
      </c>
    </row>
    <row r="906" spans="1:16" x14ac:dyDescent="0.2">
      <c r="A906" t="s">
        <v>2362</v>
      </c>
      <c r="B906" t="s">
        <v>5603</v>
      </c>
      <c r="C906" t="s">
        <v>2363</v>
      </c>
      <c r="D906" t="s">
        <v>2146</v>
      </c>
      <c r="E906" t="s">
        <v>228</v>
      </c>
      <c r="F906">
        <v>369.99</v>
      </c>
      <c r="G906" t="s">
        <v>11</v>
      </c>
      <c r="H906">
        <v>4.1666666666666664E-2</v>
      </c>
      <c r="M906">
        <v>0</v>
      </c>
      <c r="N906">
        <v>0</v>
      </c>
      <c r="O906">
        <v>0</v>
      </c>
      <c r="P906">
        <v>2</v>
      </c>
    </row>
    <row r="907" spans="1:16" x14ac:dyDescent="0.2">
      <c r="A907" t="s">
        <v>2178</v>
      </c>
      <c r="B907" t="s">
        <v>5552</v>
      </c>
      <c r="C907" t="s">
        <v>2179</v>
      </c>
      <c r="D907" t="s">
        <v>2146</v>
      </c>
      <c r="E907" t="s">
        <v>290</v>
      </c>
      <c r="F907">
        <v>99.99</v>
      </c>
      <c r="G907" t="s">
        <v>11</v>
      </c>
      <c r="H907">
        <v>0</v>
      </c>
      <c r="M907">
        <v>0</v>
      </c>
      <c r="N907">
        <v>0</v>
      </c>
      <c r="O907">
        <v>0</v>
      </c>
      <c r="P907">
        <v>0</v>
      </c>
    </row>
    <row r="908" spans="1:16" x14ac:dyDescent="0.2">
      <c r="A908" t="s">
        <v>2342</v>
      </c>
      <c r="B908" t="s">
        <v>5382</v>
      </c>
      <c r="C908" t="s">
        <v>2343</v>
      </c>
      <c r="D908" t="s">
        <v>2146</v>
      </c>
      <c r="E908" t="s">
        <v>228</v>
      </c>
      <c r="F908">
        <v>16.989999999999998</v>
      </c>
      <c r="G908" t="s">
        <v>11</v>
      </c>
      <c r="H908">
        <v>0</v>
      </c>
      <c r="M908">
        <v>0</v>
      </c>
      <c r="N908">
        <v>0.5</v>
      </c>
      <c r="O908">
        <v>0</v>
      </c>
      <c r="P908">
        <v>0</v>
      </c>
    </row>
    <row r="909" spans="1:16" x14ac:dyDescent="0.2">
      <c r="A909" t="s">
        <v>6666</v>
      </c>
      <c r="B909" t="s">
        <v>6668</v>
      </c>
      <c r="C909" t="s">
        <v>6667</v>
      </c>
      <c r="D909" t="s">
        <v>2987</v>
      </c>
      <c r="E909" t="s">
        <v>96</v>
      </c>
      <c r="F909">
        <v>89.99</v>
      </c>
      <c r="G909" t="s">
        <v>11</v>
      </c>
      <c r="H909">
        <v>0</v>
      </c>
      <c r="M909">
        <v>0</v>
      </c>
      <c r="N909">
        <v>0</v>
      </c>
      <c r="O909">
        <v>0</v>
      </c>
      <c r="P909">
        <v>0</v>
      </c>
    </row>
    <row r="910" spans="1:16" x14ac:dyDescent="0.2">
      <c r="A910" t="s">
        <v>5664</v>
      </c>
      <c r="B910" t="s">
        <v>5666</v>
      </c>
      <c r="C910" t="s">
        <v>5665</v>
      </c>
      <c r="D910" t="s">
        <v>2411</v>
      </c>
      <c r="E910" t="s">
        <v>96</v>
      </c>
      <c r="F910">
        <v>99.99</v>
      </c>
      <c r="G910" t="s">
        <v>11</v>
      </c>
      <c r="H910">
        <v>0</v>
      </c>
      <c r="M910">
        <v>0</v>
      </c>
      <c r="N910">
        <v>0</v>
      </c>
      <c r="O910">
        <v>0</v>
      </c>
      <c r="P910">
        <v>0</v>
      </c>
    </row>
    <row r="911" spans="1:16" x14ac:dyDescent="0.2">
      <c r="A911" t="s">
        <v>4379</v>
      </c>
      <c r="B911" t="s">
        <v>4381</v>
      </c>
      <c r="C911" t="s">
        <v>4380</v>
      </c>
      <c r="D911" t="s">
        <v>2852</v>
      </c>
      <c r="E911" t="s">
        <v>96</v>
      </c>
      <c r="F911">
        <v>29.99</v>
      </c>
      <c r="G911" t="s">
        <v>11</v>
      </c>
      <c r="H911">
        <v>0</v>
      </c>
      <c r="M911">
        <v>0</v>
      </c>
      <c r="N911">
        <v>0</v>
      </c>
      <c r="O911">
        <v>0</v>
      </c>
      <c r="P911">
        <v>0</v>
      </c>
    </row>
    <row r="912" spans="1:16" x14ac:dyDescent="0.2">
      <c r="A912" t="s">
        <v>5284</v>
      </c>
      <c r="B912" t="s">
        <v>5286</v>
      </c>
      <c r="C912" t="s">
        <v>5285</v>
      </c>
      <c r="D912" t="s">
        <v>2852</v>
      </c>
      <c r="E912" t="s">
        <v>96</v>
      </c>
      <c r="F912">
        <v>99.99</v>
      </c>
      <c r="G912" t="s">
        <v>11</v>
      </c>
      <c r="H912">
        <v>0</v>
      </c>
      <c r="M912">
        <v>0</v>
      </c>
      <c r="N912">
        <v>0</v>
      </c>
      <c r="O912">
        <v>0</v>
      </c>
      <c r="P912">
        <v>0</v>
      </c>
    </row>
    <row r="913" spans="1:16" x14ac:dyDescent="0.2">
      <c r="A913" t="s">
        <v>5287</v>
      </c>
      <c r="B913" t="s">
        <v>5289</v>
      </c>
      <c r="C913" t="s">
        <v>5288</v>
      </c>
      <c r="D913" t="s">
        <v>2852</v>
      </c>
      <c r="E913" t="s">
        <v>290</v>
      </c>
      <c r="F913">
        <v>99.99</v>
      </c>
      <c r="G913" t="s">
        <v>11</v>
      </c>
      <c r="H913">
        <v>0</v>
      </c>
      <c r="M913">
        <v>0</v>
      </c>
      <c r="N913">
        <v>0</v>
      </c>
      <c r="O913">
        <v>0</v>
      </c>
      <c r="P913">
        <v>0</v>
      </c>
    </row>
    <row r="914" spans="1:16" x14ac:dyDescent="0.2">
      <c r="A914" t="s">
        <v>5297</v>
      </c>
      <c r="B914" t="s">
        <v>5299</v>
      </c>
      <c r="C914" t="s">
        <v>5298</v>
      </c>
      <c r="D914" t="s">
        <v>2852</v>
      </c>
      <c r="E914" t="s">
        <v>96</v>
      </c>
      <c r="F914">
        <v>99.99</v>
      </c>
      <c r="G914" t="s">
        <v>11</v>
      </c>
      <c r="H914">
        <v>0</v>
      </c>
      <c r="M914">
        <v>0</v>
      </c>
      <c r="N914">
        <v>0</v>
      </c>
      <c r="O914">
        <v>0</v>
      </c>
      <c r="P914">
        <v>0</v>
      </c>
    </row>
    <row r="915" spans="1:16" x14ac:dyDescent="0.2">
      <c r="A915" t="s">
        <v>4194</v>
      </c>
      <c r="B915" t="s">
        <v>4196</v>
      </c>
      <c r="C915" t="s">
        <v>4195</v>
      </c>
      <c r="D915" t="s">
        <v>2852</v>
      </c>
      <c r="E915" t="s">
        <v>96</v>
      </c>
      <c r="F915">
        <v>29.99</v>
      </c>
      <c r="G915" t="s">
        <v>11</v>
      </c>
      <c r="H915">
        <v>0</v>
      </c>
      <c r="M915">
        <v>0</v>
      </c>
      <c r="N915">
        <v>0</v>
      </c>
      <c r="O915">
        <v>0</v>
      </c>
      <c r="P915">
        <v>0</v>
      </c>
    </row>
    <row r="916" spans="1:16" x14ac:dyDescent="0.2">
      <c r="A916" t="s">
        <v>4200</v>
      </c>
      <c r="B916" t="s">
        <v>4202</v>
      </c>
      <c r="C916" t="s">
        <v>4201</v>
      </c>
      <c r="D916" t="s">
        <v>2852</v>
      </c>
      <c r="E916" t="s">
        <v>96</v>
      </c>
      <c r="F916">
        <v>29.99</v>
      </c>
      <c r="G916" t="s">
        <v>11</v>
      </c>
      <c r="H916">
        <v>0</v>
      </c>
      <c r="M916">
        <v>0</v>
      </c>
      <c r="N916">
        <v>0</v>
      </c>
      <c r="O916">
        <v>0</v>
      </c>
      <c r="P916">
        <v>0</v>
      </c>
    </row>
    <row r="917" spans="1:16" x14ac:dyDescent="0.2">
      <c r="A917" t="s">
        <v>4382</v>
      </c>
      <c r="B917" t="s">
        <v>4384</v>
      </c>
      <c r="C917" t="s">
        <v>4383</v>
      </c>
      <c r="D917" t="s">
        <v>2852</v>
      </c>
      <c r="E917" t="s">
        <v>96</v>
      </c>
      <c r="F917">
        <v>29.99</v>
      </c>
      <c r="G917" t="s">
        <v>11</v>
      </c>
      <c r="H917">
        <v>0</v>
      </c>
      <c r="M917">
        <v>0</v>
      </c>
      <c r="N917">
        <v>0</v>
      </c>
      <c r="O917">
        <v>0</v>
      </c>
      <c r="P917">
        <v>0</v>
      </c>
    </row>
    <row r="918" spans="1:16" x14ac:dyDescent="0.2">
      <c r="A918" t="s">
        <v>5661</v>
      </c>
      <c r="B918" t="s">
        <v>5663</v>
      </c>
      <c r="C918" t="s">
        <v>5662</v>
      </c>
      <c r="D918" t="s">
        <v>2411</v>
      </c>
      <c r="E918" t="s">
        <v>290</v>
      </c>
      <c r="F918">
        <v>99.99</v>
      </c>
      <c r="G918" t="s">
        <v>11</v>
      </c>
      <c r="H918">
        <v>0</v>
      </c>
      <c r="M918">
        <v>0</v>
      </c>
      <c r="N918">
        <v>0</v>
      </c>
      <c r="O918">
        <v>0</v>
      </c>
      <c r="P918">
        <v>0</v>
      </c>
    </row>
    <row r="919" spans="1:16" x14ac:dyDescent="0.2">
      <c r="A919" t="s">
        <v>4336</v>
      </c>
      <c r="B919" t="s">
        <v>4338</v>
      </c>
      <c r="C919" t="s">
        <v>4337</v>
      </c>
      <c r="D919" t="s">
        <v>2852</v>
      </c>
      <c r="E919" t="s">
        <v>96</v>
      </c>
      <c r="F919">
        <v>29.99</v>
      </c>
      <c r="G919" t="s">
        <v>11</v>
      </c>
      <c r="H919">
        <v>0</v>
      </c>
      <c r="M919">
        <v>0</v>
      </c>
      <c r="N919">
        <v>0</v>
      </c>
      <c r="O919">
        <v>0</v>
      </c>
      <c r="P919">
        <v>0</v>
      </c>
    </row>
    <row r="920" spans="1:16" x14ac:dyDescent="0.2">
      <c r="A920" t="s">
        <v>5786</v>
      </c>
      <c r="B920" t="s">
        <v>5788</v>
      </c>
      <c r="C920" t="s">
        <v>5787</v>
      </c>
      <c r="D920" t="s">
        <v>2852</v>
      </c>
      <c r="E920" t="s">
        <v>96</v>
      </c>
      <c r="F920">
        <v>199.99</v>
      </c>
      <c r="G920" t="s">
        <v>11</v>
      </c>
      <c r="H920">
        <v>0</v>
      </c>
      <c r="M920">
        <v>0</v>
      </c>
      <c r="N920">
        <v>0</v>
      </c>
      <c r="O920">
        <v>0</v>
      </c>
      <c r="P920">
        <v>0</v>
      </c>
    </row>
    <row r="921" spans="1:16" x14ac:dyDescent="0.2">
      <c r="A921" t="s">
        <v>5825</v>
      </c>
      <c r="B921" t="s">
        <v>5827</v>
      </c>
      <c r="C921" t="s">
        <v>5826</v>
      </c>
      <c r="D921" t="s">
        <v>2852</v>
      </c>
      <c r="E921" t="s">
        <v>96</v>
      </c>
      <c r="F921">
        <v>469.99</v>
      </c>
      <c r="G921" t="s">
        <v>11</v>
      </c>
      <c r="H921">
        <v>0</v>
      </c>
      <c r="M921">
        <v>0</v>
      </c>
      <c r="N921">
        <v>0</v>
      </c>
      <c r="O921">
        <v>0</v>
      </c>
      <c r="P921">
        <v>0</v>
      </c>
    </row>
    <row r="922" spans="1:16" x14ac:dyDescent="0.2">
      <c r="A922" t="s">
        <v>2919</v>
      </c>
      <c r="B922" t="s">
        <v>3710</v>
      </c>
      <c r="C922" t="s">
        <v>2920</v>
      </c>
      <c r="D922" t="s">
        <v>2852</v>
      </c>
      <c r="E922" t="s">
        <v>228</v>
      </c>
      <c r="F922">
        <v>499.99</v>
      </c>
      <c r="G922" t="s">
        <v>11</v>
      </c>
      <c r="H922">
        <v>0</v>
      </c>
      <c r="M922">
        <v>0</v>
      </c>
      <c r="N922">
        <v>0</v>
      </c>
      <c r="O922">
        <v>0</v>
      </c>
      <c r="P922">
        <v>0</v>
      </c>
    </row>
    <row r="923" spans="1:16" x14ac:dyDescent="0.2">
      <c r="A923" t="s">
        <v>2919</v>
      </c>
      <c r="B923" t="s">
        <v>3711</v>
      </c>
      <c r="C923" t="s">
        <v>2920</v>
      </c>
      <c r="D923" t="s">
        <v>2852</v>
      </c>
      <c r="E923" t="s">
        <v>228</v>
      </c>
      <c r="F923">
        <v>499.99</v>
      </c>
      <c r="G923" t="s">
        <v>11</v>
      </c>
      <c r="H923">
        <v>0</v>
      </c>
      <c r="M923">
        <v>0</v>
      </c>
      <c r="N923">
        <v>0</v>
      </c>
      <c r="O923">
        <v>0</v>
      </c>
      <c r="P923">
        <v>0</v>
      </c>
    </row>
    <row r="924" spans="1:16" x14ac:dyDescent="0.2">
      <c r="A924" t="s">
        <v>5910</v>
      </c>
      <c r="B924" t="s">
        <v>5912</v>
      </c>
      <c r="C924" t="s">
        <v>5911</v>
      </c>
      <c r="D924" t="s">
        <v>2852</v>
      </c>
      <c r="E924" t="s">
        <v>96</v>
      </c>
      <c r="F924">
        <v>129.99</v>
      </c>
      <c r="G924" t="s">
        <v>11</v>
      </c>
      <c r="H924">
        <v>0</v>
      </c>
      <c r="M924">
        <v>0</v>
      </c>
      <c r="N924">
        <v>0</v>
      </c>
      <c r="O924">
        <v>0</v>
      </c>
      <c r="P924">
        <v>0</v>
      </c>
    </row>
    <row r="925" spans="1:16" x14ac:dyDescent="0.2">
      <c r="A925" t="s">
        <v>5913</v>
      </c>
      <c r="B925" t="s">
        <v>5915</v>
      </c>
      <c r="C925" t="s">
        <v>5914</v>
      </c>
      <c r="D925" t="s">
        <v>2852</v>
      </c>
      <c r="E925" t="s">
        <v>96</v>
      </c>
      <c r="F925">
        <v>199.99</v>
      </c>
      <c r="G925" t="s">
        <v>11</v>
      </c>
      <c r="H925">
        <v>0</v>
      </c>
      <c r="M925">
        <v>0</v>
      </c>
      <c r="N925">
        <v>0</v>
      </c>
      <c r="O925">
        <v>0</v>
      </c>
      <c r="P925">
        <v>0</v>
      </c>
    </row>
    <row r="926" spans="1:16" x14ac:dyDescent="0.2">
      <c r="A926" t="s">
        <v>4357</v>
      </c>
      <c r="B926" t="s">
        <v>4359</v>
      </c>
      <c r="C926" t="s">
        <v>4358</v>
      </c>
      <c r="D926" t="s">
        <v>2852</v>
      </c>
      <c r="E926" t="s">
        <v>96</v>
      </c>
      <c r="F926">
        <v>79.989999999999995</v>
      </c>
      <c r="G926" t="s">
        <v>11</v>
      </c>
      <c r="H926">
        <v>0</v>
      </c>
      <c r="M926">
        <v>0</v>
      </c>
      <c r="N926">
        <v>0</v>
      </c>
      <c r="O926">
        <v>0</v>
      </c>
      <c r="P926">
        <v>0</v>
      </c>
    </row>
    <row r="927" spans="1:16" x14ac:dyDescent="0.2">
      <c r="A927" t="s">
        <v>4376</v>
      </c>
      <c r="B927" t="s">
        <v>4378</v>
      </c>
      <c r="C927" t="s">
        <v>4377</v>
      </c>
      <c r="D927" t="s">
        <v>2852</v>
      </c>
      <c r="E927" t="s">
        <v>96</v>
      </c>
      <c r="F927">
        <v>29.99</v>
      </c>
      <c r="G927" t="s">
        <v>11</v>
      </c>
      <c r="H927">
        <v>0</v>
      </c>
      <c r="M927">
        <v>0</v>
      </c>
      <c r="N927">
        <v>0</v>
      </c>
      <c r="O927">
        <v>0</v>
      </c>
      <c r="P927">
        <v>0</v>
      </c>
    </row>
    <row r="928" spans="1:16" x14ac:dyDescent="0.2">
      <c r="A928" t="s">
        <v>4332</v>
      </c>
      <c r="B928" t="s">
        <v>4334</v>
      </c>
      <c r="C928" t="s">
        <v>4333</v>
      </c>
      <c r="D928" t="s">
        <v>2852</v>
      </c>
      <c r="E928" t="s">
        <v>96</v>
      </c>
      <c r="F928">
        <v>29.99</v>
      </c>
      <c r="G928" t="s">
        <v>11</v>
      </c>
      <c r="H928">
        <v>0</v>
      </c>
      <c r="M928">
        <v>0</v>
      </c>
      <c r="N928">
        <v>0</v>
      </c>
      <c r="O928">
        <v>0</v>
      </c>
      <c r="P928">
        <v>0</v>
      </c>
    </row>
    <row r="929" spans="1:16" x14ac:dyDescent="0.2">
      <c r="A929" t="s">
        <v>2901</v>
      </c>
      <c r="B929" t="s">
        <v>5278</v>
      </c>
      <c r="C929" t="s">
        <v>2902</v>
      </c>
      <c r="D929" t="s">
        <v>2852</v>
      </c>
      <c r="E929" t="s">
        <v>228</v>
      </c>
      <c r="F929">
        <v>99.99</v>
      </c>
      <c r="G929" t="s">
        <v>11</v>
      </c>
      <c r="H929">
        <v>0</v>
      </c>
      <c r="M929">
        <v>0</v>
      </c>
      <c r="N929">
        <v>0</v>
      </c>
      <c r="O929">
        <v>0</v>
      </c>
      <c r="P929">
        <v>0</v>
      </c>
    </row>
    <row r="930" spans="1:16" x14ac:dyDescent="0.2">
      <c r="A930" t="s">
        <v>2190</v>
      </c>
      <c r="B930" t="s">
        <v>5554</v>
      </c>
      <c r="C930" t="s">
        <v>2191</v>
      </c>
      <c r="D930" t="s">
        <v>2146</v>
      </c>
      <c r="E930" t="s">
        <v>290</v>
      </c>
      <c r="F930">
        <v>349.99</v>
      </c>
      <c r="G930" t="s">
        <v>11</v>
      </c>
      <c r="H930">
        <v>0</v>
      </c>
      <c r="M930">
        <v>0</v>
      </c>
      <c r="N930">
        <v>0.16666666666666663</v>
      </c>
      <c r="O930">
        <v>0</v>
      </c>
      <c r="P930">
        <v>0</v>
      </c>
    </row>
    <row r="931" spans="1:16" x14ac:dyDescent="0.2">
      <c r="A931" t="s">
        <v>4558</v>
      </c>
      <c r="B931" t="s">
        <v>4560</v>
      </c>
      <c r="C931" t="s">
        <v>4559</v>
      </c>
      <c r="D931" t="s">
        <v>4486</v>
      </c>
      <c r="E931" t="s">
        <v>96</v>
      </c>
      <c r="F931">
        <v>119.99</v>
      </c>
      <c r="G931" t="s">
        <v>11</v>
      </c>
      <c r="H931">
        <v>0</v>
      </c>
      <c r="M931">
        <v>0</v>
      </c>
      <c r="N931">
        <v>0</v>
      </c>
      <c r="O931">
        <v>0</v>
      </c>
      <c r="P931">
        <v>0</v>
      </c>
    </row>
    <row r="932" spans="1:16" x14ac:dyDescent="0.2">
      <c r="A932" t="s">
        <v>2286</v>
      </c>
      <c r="B932" t="s">
        <v>5644</v>
      </c>
      <c r="C932" t="s">
        <v>2287</v>
      </c>
      <c r="D932" t="s">
        <v>2146</v>
      </c>
      <c r="E932" t="s">
        <v>228</v>
      </c>
      <c r="F932">
        <v>99.99</v>
      </c>
      <c r="G932" t="s">
        <v>11</v>
      </c>
      <c r="H932">
        <v>3.3333333333333333E-2</v>
      </c>
      <c r="M932">
        <v>30</v>
      </c>
      <c r="N932">
        <v>0.16666666666666666</v>
      </c>
      <c r="O932">
        <v>0</v>
      </c>
      <c r="P932">
        <v>5</v>
      </c>
    </row>
    <row r="933" spans="1:16" x14ac:dyDescent="0.2">
      <c r="A933" t="s">
        <v>2290</v>
      </c>
      <c r="B933" t="s">
        <v>5658</v>
      </c>
      <c r="C933" t="s">
        <v>2291</v>
      </c>
      <c r="D933" t="s">
        <v>2146</v>
      </c>
      <c r="E933" t="s">
        <v>228</v>
      </c>
      <c r="F933">
        <v>539.99</v>
      </c>
      <c r="G933" t="s">
        <v>11</v>
      </c>
      <c r="H933">
        <v>0</v>
      </c>
      <c r="M933">
        <v>0</v>
      </c>
      <c r="N933">
        <v>0</v>
      </c>
      <c r="O933">
        <v>0</v>
      </c>
      <c r="P933">
        <v>0</v>
      </c>
    </row>
    <row r="934" spans="1:16" x14ac:dyDescent="0.2">
      <c r="A934" t="s">
        <v>2292</v>
      </c>
      <c r="B934" t="s">
        <v>5650</v>
      </c>
      <c r="C934" t="s">
        <v>2293</v>
      </c>
      <c r="D934" t="s">
        <v>2146</v>
      </c>
      <c r="E934" t="s">
        <v>228</v>
      </c>
      <c r="F934">
        <v>349.99</v>
      </c>
      <c r="G934" t="s">
        <v>11</v>
      </c>
      <c r="H934">
        <v>0</v>
      </c>
      <c r="M934">
        <v>0</v>
      </c>
      <c r="N934">
        <v>0</v>
      </c>
      <c r="O934">
        <v>0</v>
      </c>
      <c r="P934">
        <v>4</v>
      </c>
    </row>
    <row r="935" spans="1:16" x14ac:dyDescent="0.2">
      <c r="A935" t="s">
        <v>2272</v>
      </c>
      <c r="B935" t="s">
        <v>5536</v>
      </c>
      <c r="C935" t="s">
        <v>2273</v>
      </c>
      <c r="D935" t="s">
        <v>2146</v>
      </c>
      <c r="E935" t="s">
        <v>96</v>
      </c>
      <c r="F935">
        <v>119.99</v>
      </c>
      <c r="G935" t="s">
        <v>11</v>
      </c>
      <c r="H935">
        <v>0</v>
      </c>
      <c r="M935">
        <v>0</v>
      </c>
      <c r="N935">
        <v>0</v>
      </c>
      <c r="O935">
        <v>0</v>
      </c>
      <c r="P935">
        <v>0</v>
      </c>
    </row>
    <row r="936" spans="1:16" x14ac:dyDescent="0.2">
      <c r="A936" t="s">
        <v>7049</v>
      </c>
      <c r="B936" t="s">
        <v>7050</v>
      </c>
      <c r="C936" t="s">
        <v>7051</v>
      </c>
      <c r="D936" t="s">
        <v>93</v>
      </c>
      <c r="E936" t="s">
        <v>96</v>
      </c>
      <c r="F936">
        <v>299.99</v>
      </c>
      <c r="G936" t="s">
        <v>11</v>
      </c>
      <c r="H936">
        <v>0</v>
      </c>
      <c r="M936">
        <v>0</v>
      </c>
      <c r="N936">
        <v>0</v>
      </c>
      <c r="O936">
        <v>0</v>
      </c>
      <c r="P936">
        <v>0</v>
      </c>
    </row>
    <row r="937" spans="1:16" x14ac:dyDescent="0.2">
      <c r="A937" t="s">
        <v>5538</v>
      </c>
      <c r="B937" t="s">
        <v>5540</v>
      </c>
      <c r="C937" t="s">
        <v>5539</v>
      </c>
      <c r="D937" t="s">
        <v>2146</v>
      </c>
      <c r="E937" t="s">
        <v>96</v>
      </c>
      <c r="F937">
        <v>44.99</v>
      </c>
      <c r="G937" t="s">
        <v>11</v>
      </c>
      <c r="H937">
        <v>0</v>
      </c>
      <c r="M937">
        <v>0</v>
      </c>
      <c r="N937">
        <v>0</v>
      </c>
      <c r="O937">
        <v>0</v>
      </c>
      <c r="P937">
        <v>0</v>
      </c>
    </row>
    <row r="938" spans="1:16" x14ac:dyDescent="0.2">
      <c r="A938" t="s">
        <v>3986</v>
      </c>
      <c r="B938" t="s">
        <v>3988</v>
      </c>
      <c r="C938" t="s">
        <v>3987</v>
      </c>
      <c r="D938" t="s">
        <v>1897</v>
      </c>
      <c r="E938" t="s">
        <v>96</v>
      </c>
      <c r="F938">
        <v>64.989999999999995</v>
      </c>
      <c r="G938" t="s">
        <v>11</v>
      </c>
      <c r="H938">
        <v>0</v>
      </c>
      <c r="M938">
        <v>0</v>
      </c>
      <c r="N938">
        <v>0</v>
      </c>
      <c r="O938">
        <v>0</v>
      </c>
      <c r="P938">
        <v>0</v>
      </c>
    </row>
    <row r="939" spans="1:16" x14ac:dyDescent="0.2">
      <c r="A939" t="s">
        <v>5541</v>
      </c>
      <c r="B939" t="s">
        <v>5543</v>
      </c>
      <c r="C939" t="s">
        <v>5542</v>
      </c>
      <c r="D939" t="s">
        <v>2146</v>
      </c>
      <c r="E939" t="s">
        <v>96</v>
      </c>
      <c r="F939">
        <v>39.99</v>
      </c>
      <c r="G939" t="s">
        <v>11</v>
      </c>
      <c r="H939">
        <v>0</v>
      </c>
      <c r="M939">
        <v>0</v>
      </c>
      <c r="N939">
        <v>0</v>
      </c>
      <c r="O939">
        <v>0</v>
      </c>
      <c r="P939">
        <v>0</v>
      </c>
    </row>
    <row r="940" spans="1:16" x14ac:dyDescent="0.2">
      <c r="A940" t="s">
        <v>5545</v>
      </c>
      <c r="B940" t="s">
        <v>5547</v>
      </c>
      <c r="C940" t="s">
        <v>5546</v>
      </c>
      <c r="D940" t="s">
        <v>2146</v>
      </c>
      <c r="E940" t="s">
        <v>96</v>
      </c>
      <c r="F940">
        <v>579.99</v>
      </c>
      <c r="G940" t="s">
        <v>11</v>
      </c>
      <c r="H940">
        <v>0</v>
      </c>
      <c r="M940">
        <v>0</v>
      </c>
      <c r="N940">
        <v>0</v>
      </c>
      <c r="O940">
        <v>0</v>
      </c>
      <c r="P940">
        <v>0</v>
      </c>
    </row>
    <row r="941" spans="1:16" x14ac:dyDescent="0.2">
      <c r="A941" t="s">
        <v>4564</v>
      </c>
      <c r="B941" t="s">
        <v>4566</v>
      </c>
      <c r="C941" t="s">
        <v>4565</v>
      </c>
      <c r="D941" t="s">
        <v>4486</v>
      </c>
      <c r="E941" t="s">
        <v>96</v>
      </c>
      <c r="F941">
        <v>49.99</v>
      </c>
      <c r="G941" t="s">
        <v>11</v>
      </c>
      <c r="H941">
        <v>0</v>
      </c>
      <c r="M941">
        <v>0</v>
      </c>
      <c r="N941">
        <v>0</v>
      </c>
      <c r="O941">
        <v>0</v>
      </c>
      <c r="P941">
        <v>0</v>
      </c>
    </row>
    <row r="942" spans="1:16" x14ac:dyDescent="0.2">
      <c r="A942" t="s">
        <v>4570</v>
      </c>
      <c r="B942" t="s">
        <v>4572</v>
      </c>
      <c r="C942" t="s">
        <v>4571</v>
      </c>
      <c r="D942" t="s">
        <v>4486</v>
      </c>
      <c r="E942" t="s">
        <v>96</v>
      </c>
      <c r="F942">
        <v>49.99</v>
      </c>
      <c r="G942" t="s">
        <v>11</v>
      </c>
      <c r="H942">
        <v>0</v>
      </c>
      <c r="M942">
        <v>0</v>
      </c>
      <c r="N942">
        <v>0</v>
      </c>
      <c r="O942">
        <v>0</v>
      </c>
      <c r="P942">
        <v>0</v>
      </c>
    </row>
    <row r="943" spans="1:16" x14ac:dyDescent="0.2">
      <c r="A943" t="s">
        <v>5504</v>
      </c>
      <c r="B943" t="s">
        <v>5506</v>
      </c>
      <c r="C943" t="s">
        <v>5505</v>
      </c>
      <c r="D943" t="s">
        <v>2411</v>
      </c>
      <c r="E943" t="s">
        <v>96</v>
      </c>
      <c r="F943">
        <v>49.99</v>
      </c>
      <c r="G943" t="s">
        <v>11</v>
      </c>
      <c r="H943">
        <v>0</v>
      </c>
      <c r="M943">
        <v>0</v>
      </c>
      <c r="N943">
        <v>0</v>
      </c>
      <c r="O943">
        <v>0</v>
      </c>
      <c r="P943">
        <v>0</v>
      </c>
    </row>
    <row r="944" spans="1:16" x14ac:dyDescent="0.2">
      <c r="A944" t="s">
        <v>5467</v>
      </c>
      <c r="B944" t="s">
        <v>5469</v>
      </c>
      <c r="C944" t="s">
        <v>5468</v>
      </c>
      <c r="D944" t="s">
        <v>2411</v>
      </c>
      <c r="E944" t="s">
        <v>96</v>
      </c>
      <c r="F944">
        <v>34.99</v>
      </c>
      <c r="G944" t="s">
        <v>11</v>
      </c>
      <c r="H944">
        <v>0</v>
      </c>
      <c r="M944">
        <v>0</v>
      </c>
      <c r="N944">
        <v>0</v>
      </c>
      <c r="O944">
        <v>0</v>
      </c>
      <c r="P944">
        <v>0</v>
      </c>
    </row>
    <row r="945" spans="1:16" x14ac:dyDescent="0.2">
      <c r="A945" t="s">
        <v>5454</v>
      </c>
      <c r="B945" t="s">
        <v>5456</v>
      </c>
      <c r="C945" t="s">
        <v>5455</v>
      </c>
      <c r="D945" t="s">
        <v>2411</v>
      </c>
      <c r="E945" t="s">
        <v>96</v>
      </c>
      <c r="F945">
        <v>39.99</v>
      </c>
      <c r="G945" t="s">
        <v>11</v>
      </c>
      <c r="H945">
        <v>0</v>
      </c>
      <c r="M945">
        <v>0</v>
      </c>
      <c r="N945">
        <v>0</v>
      </c>
      <c r="O945">
        <v>0</v>
      </c>
      <c r="P945">
        <v>0</v>
      </c>
    </row>
    <row r="946" spans="1:16" x14ac:dyDescent="0.2">
      <c r="A946" t="s">
        <v>5460</v>
      </c>
      <c r="B946" t="s">
        <v>5462</v>
      </c>
      <c r="C946" t="s">
        <v>5461</v>
      </c>
      <c r="D946" t="s">
        <v>2411</v>
      </c>
      <c r="E946" t="s">
        <v>96</v>
      </c>
      <c r="F946">
        <v>24.99</v>
      </c>
      <c r="G946" t="s">
        <v>11</v>
      </c>
      <c r="H946">
        <v>0</v>
      </c>
      <c r="M946">
        <v>0</v>
      </c>
      <c r="N946">
        <v>0</v>
      </c>
      <c r="O946">
        <v>0</v>
      </c>
      <c r="P946">
        <v>0</v>
      </c>
    </row>
    <row r="947" spans="1:16" x14ac:dyDescent="0.2">
      <c r="A947" t="s">
        <v>5470</v>
      </c>
      <c r="B947" t="s">
        <v>5472</v>
      </c>
      <c r="C947" t="s">
        <v>5471</v>
      </c>
      <c r="D947" t="s">
        <v>2411</v>
      </c>
      <c r="E947" t="s">
        <v>290</v>
      </c>
      <c r="F947">
        <v>24.99</v>
      </c>
      <c r="G947" t="s">
        <v>11</v>
      </c>
      <c r="H947">
        <v>0</v>
      </c>
      <c r="M947">
        <v>0</v>
      </c>
      <c r="N947">
        <v>0</v>
      </c>
      <c r="O947">
        <v>0</v>
      </c>
      <c r="P947">
        <v>0</v>
      </c>
    </row>
    <row r="948" spans="1:16" x14ac:dyDescent="0.2">
      <c r="A948" t="s">
        <v>5473</v>
      </c>
      <c r="B948" t="s">
        <v>5475</v>
      </c>
      <c r="C948" t="s">
        <v>5474</v>
      </c>
      <c r="D948" t="s">
        <v>2411</v>
      </c>
      <c r="E948" t="s">
        <v>96</v>
      </c>
      <c r="F948">
        <v>24.99</v>
      </c>
      <c r="G948" t="s">
        <v>11</v>
      </c>
      <c r="H948">
        <v>0</v>
      </c>
      <c r="M948">
        <v>0</v>
      </c>
      <c r="N948">
        <v>0</v>
      </c>
      <c r="O948">
        <v>0</v>
      </c>
      <c r="P948">
        <v>0</v>
      </c>
    </row>
    <row r="949" spans="1:16" x14ac:dyDescent="0.2">
      <c r="A949" t="s">
        <v>4567</v>
      </c>
      <c r="B949" t="s">
        <v>4569</v>
      </c>
      <c r="C949" t="s">
        <v>4568</v>
      </c>
      <c r="D949" t="s">
        <v>4486</v>
      </c>
      <c r="E949" t="s">
        <v>96</v>
      </c>
      <c r="F949">
        <v>49.99</v>
      </c>
      <c r="G949" t="s">
        <v>11</v>
      </c>
      <c r="H949">
        <v>0</v>
      </c>
      <c r="M949">
        <v>0</v>
      </c>
      <c r="N949">
        <v>0</v>
      </c>
      <c r="O949">
        <v>0</v>
      </c>
      <c r="P949">
        <v>0</v>
      </c>
    </row>
    <row r="950" spans="1:16" x14ac:dyDescent="0.2">
      <c r="A950" t="s">
        <v>4484</v>
      </c>
      <c r="B950" t="s">
        <v>4487</v>
      </c>
      <c r="C950" t="s">
        <v>4485</v>
      </c>
      <c r="D950" t="s">
        <v>4486</v>
      </c>
      <c r="E950" t="s">
        <v>96</v>
      </c>
      <c r="F950">
        <v>49.95</v>
      </c>
      <c r="G950" t="s">
        <v>11</v>
      </c>
      <c r="H950">
        <v>0</v>
      </c>
      <c r="M950">
        <v>0</v>
      </c>
      <c r="N950">
        <v>0</v>
      </c>
      <c r="O950">
        <v>0</v>
      </c>
      <c r="P950">
        <v>0</v>
      </c>
    </row>
    <row r="951" spans="1:16" x14ac:dyDescent="0.2">
      <c r="A951" t="s">
        <v>2254</v>
      </c>
      <c r="B951" t="s">
        <v>5583</v>
      </c>
      <c r="C951" t="s">
        <v>2255</v>
      </c>
      <c r="D951" t="s">
        <v>2146</v>
      </c>
      <c r="E951" t="s">
        <v>290</v>
      </c>
      <c r="F951">
        <v>39.99</v>
      </c>
      <c r="G951" t="s">
        <v>11</v>
      </c>
      <c r="H951">
        <v>0</v>
      </c>
      <c r="M951">
        <v>0</v>
      </c>
      <c r="N951">
        <v>0</v>
      </c>
      <c r="O951">
        <v>0</v>
      </c>
      <c r="P951">
        <v>0</v>
      </c>
    </row>
    <row r="952" spans="1:16" x14ac:dyDescent="0.2">
      <c r="A952" t="s">
        <v>2242</v>
      </c>
      <c r="B952" t="s">
        <v>5575</v>
      </c>
      <c r="C952" t="s">
        <v>2243</v>
      </c>
      <c r="D952" t="s">
        <v>2146</v>
      </c>
      <c r="E952" t="s">
        <v>290</v>
      </c>
      <c r="F952">
        <v>39.99</v>
      </c>
      <c r="G952" t="s">
        <v>11</v>
      </c>
      <c r="H952">
        <v>0</v>
      </c>
      <c r="M952">
        <v>0</v>
      </c>
      <c r="N952">
        <v>0</v>
      </c>
      <c r="O952">
        <v>0</v>
      </c>
      <c r="P952">
        <v>0</v>
      </c>
    </row>
    <row r="953" spans="1:16" x14ac:dyDescent="0.2">
      <c r="A953" t="s">
        <v>4573</v>
      </c>
      <c r="B953" t="s">
        <v>4575</v>
      </c>
      <c r="C953" t="s">
        <v>4574</v>
      </c>
      <c r="D953" t="s">
        <v>4486</v>
      </c>
      <c r="E953" t="s">
        <v>96</v>
      </c>
      <c r="F953">
        <v>59.99</v>
      </c>
      <c r="G953" t="s">
        <v>11</v>
      </c>
      <c r="H953">
        <v>0</v>
      </c>
      <c r="M953">
        <v>0</v>
      </c>
      <c r="N953">
        <v>0</v>
      </c>
      <c r="O953">
        <v>0</v>
      </c>
      <c r="P953">
        <v>0</v>
      </c>
    </row>
    <row r="954" spans="1:16" x14ac:dyDescent="0.2">
      <c r="A954" t="s">
        <v>4552</v>
      </c>
      <c r="B954" t="s">
        <v>4554</v>
      </c>
      <c r="C954" t="s">
        <v>4553</v>
      </c>
      <c r="D954" t="s">
        <v>4486</v>
      </c>
      <c r="E954" t="s">
        <v>96</v>
      </c>
      <c r="F954">
        <v>59.95</v>
      </c>
      <c r="G954" t="s">
        <v>11</v>
      </c>
      <c r="H954">
        <v>0</v>
      </c>
      <c r="M954">
        <v>0</v>
      </c>
      <c r="N954">
        <v>0</v>
      </c>
      <c r="O954">
        <v>0</v>
      </c>
      <c r="P954">
        <v>0</v>
      </c>
    </row>
    <row r="955" spans="1:16" x14ac:dyDescent="0.2">
      <c r="A955" t="s">
        <v>4549</v>
      </c>
      <c r="B955" t="s">
        <v>4551</v>
      </c>
      <c r="C955" t="s">
        <v>4550</v>
      </c>
      <c r="D955" t="s">
        <v>4486</v>
      </c>
      <c r="E955" t="s">
        <v>96</v>
      </c>
      <c r="F955">
        <v>59.99</v>
      </c>
      <c r="G955" t="s">
        <v>11</v>
      </c>
      <c r="H955">
        <v>0</v>
      </c>
      <c r="M955">
        <v>0</v>
      </c>
      <c r="N955">
        <v>0</v>
      </c>
      <c r="O955">
        <v>0</v>
      </c>
      <c r="P955">
        <v>0</v>
      </c>
    </row>
    <row r="956" spans="1:16" x14ac:dyDescent="0.2">
      <c r="A956" t="s">
        <v>2360</v>
      </c>
      <c r="B956" t="s">
        <v>5595</v>
      </c>
      <c r="C956" t="s">
        <v>2361</v>
      </c>
      <c r="D956" t="s">
        <v>2146</v>
      </c>
      <c r="E956" t="s">
        <v>228</v>
      </c>
      <c r="F956">
        <v>349.99</v>
      </c>
      <c r="G956" t="s">
        <v>11</v>
      </c>
      <c r="H956">
        <v>0</v>
      </c>
      <c r="M956">
        <v>0</v>
      </c>
      <c r="N956">
        <v>0</v>
      </c>
      <c r="O956">
        <v>0</v>
      </c>
      <c r="P956">
        <v>0</v>
      </c>
    </row>
    <row r="957" spans="1:16" x14ac:dyDescent="0.2">
      <c r="A957" t="s">
        <v>1970</v>
      </c>
      <c r="B957" t="s">
        <v>3982</v>
      </c>
      <c r="C957" t="s">
        <v>1971</v>
      </c>
      <c r="D957" t="s">
        <v>1897</v>
      </c>
      <c r="E957" t="s">
        <v>290</v>
      </c>
      <c r="F957">
        <v>29.99</v>
      </c>
      <c r="G957" t="s">
        <v>11</v>
      </c>
      <c r="H957">
        <v>0</v>
      </c>
      <c r="M957">
        <v>0</v>
      </c>
      <c r="N957">
        <v>0</v>
      </c>
      <c r="O957">
        <v>0</v>
      </c>
      <c r="P957">
        <v>0</v>
      </c>
    </row>
    <row r="958" spans="1:16" x14ac:dyDescent="0.2">
      <c r="A958" t="s">
        <v>527</v>
      </c>
      <c r="B958" t="s">
        <v>5675</v>
      </c>
      <c r="C958" t="s">
        <v>528</v>
      </c>
      <c r="D958" t="s">
        <v>446</v>
      </c>
      <c r="E958" t="s">
        <v>290</v>
      </c>
      <c r="F958">
        <v>19.989999999999998</v>
      </c>
      <c r="G958" t="s">
        <v>11</v>
      </c>
      <c r="H958">
        <v>0</v>
      </c>
      <c r="M958">
        <v>0</v>
      </c>
      <c r="N958">
        <v>0</v>
      </c>
      <c r="O958">
        <v>0</v>
      </c>
      <c r="P958">
        <v>0</v>
      </c>
    </row>
    <row r="959" spans="1:16" x14ac:dyDescent="0.2">
      <c r="A959" t="s">
        <v>2252</v>
      </c>
      <c r="B959" t="s">
        <v>5580</v>
      </c>
      <c r="C959" t="s">
        <v>2253</v>
      </c>
      <c r="D959" t="s">
        <v>2146</v>
      </c>
      <c r="E959" t="s">
        <v>290</v>
      </c>
      <c r="F959">
        <v>99.99</v>
      </c>
      <c r="G959" t="s">
        <v>11</v>
      </c>
      <c r="H959">
        <v>0</v>
      </c>
      <c r="M959">
        <v>0</v>
      </c>
      <c r="N959">
        <v>0</v>
      </c>
      <c r="O959">
        <v>0</v>
      </c>
      <c r="P959">
        <v>0</v>
      </c>
    </row>
    <row r="960" spans="1:16" x14ac:dyDescent="0.2">
      <c r="A960" t="s">
        <v>2138</v>
      </c>
      <c r="B960" t="s">
        <v>5792</v>
      </c>
      <c r="C960" t="s">
        <v>2139</v>
      </c>
      <c r="D960" t="s">
        <v>2131</v>
      </c>
      <c r="E960" t="s">
        <v>96</v>
      </c>
      <c r="F960">
        <v>39.99</v>
      </c>
      <c r="G960" t="s">
        <v>11</v>
      </c>
      <c r="H960">
        <v>0</v>
      </c>
      <c r="M960">
        <v>0</v>
      </c>
      <c r="N960">
        <v>0</v>
      </c>
      <c r="O960">
        <v>0</v>
      </c>
      <c r="P960">
        <v>0</v>
      </c>
    </row>
    <row r="961" spans="1:16" x14ac:dyDescent="0.2">
      <c r="A961" t="s">
        <v>2274</v>
      </c>
      <c r="B961" t="s">
        <v>5548</v>
      </c>
      <c r="C961" t="s">
        <v>2275</v>
      </c>
      <c r="D961" t="s">
        <v>2146</v>
      </c>
      <c r="E961" t="s">
        <v>290</v>
      </c>
      <c r="F961">
        <v>349.99</v>
      </c>
      <c r="G961" t="s">
        <v>11</v>
      </c>
      <c r="H961">
        <v>0</v>
      </c>
      <c r="M961">
        <v>0</v>
      </c>
      <c r="N961">
        <v>0</v>
      </c>
      <c r="O961">
        <v>0</v>
      </c>
      <c r="P961">
        <v>0</v>
      </c>
    </row>
    <row r="962" spans="1:16" x14ac:dyDescent="0.2">
      <c r="A962" t="s">
        <v>2140</v>
      </c>
      <c r="B962" t="s">
        <v>5793</v>
      </c>
      <c r="C962" t="s">
        <v>2141</v>
      </c>
      <c r="D962" t="s">
        <v>2131</v>
      </c>
      <c r="E962" t="s">
        <v>290</v>
      </c>
      <c r="F962">
        <v>39.99</v>
      </c>
      <c r="G962" t="s">
        <v>11</v>
      </c>
      <c r="H962">
        <v>0</v>
      </c>
      <c r="M962">
        <v>0</v>
      </c>
      <c r="N962">
        <v>0</v>
      </c>
      <c r="O962">
        <v>0</v>
      </c>
      <c r="P962">
        <v>0</v>
      </c>
    </row>
    <row r="963" spans="1:16" x14ac:dyDescent="0.2">
      <c r="A963" t="s">
        <v>2142</v>
      </c>
      <c r="B963" t="s">
        <v>5797</v>
      </c>
      <c r="C963" t="s">
        <v>2143</v>
      </c>
      <c r="D963" t="s">
        <v>2131</v>
      </c>
      <c r="E963" t="s">
        <v>96</v>
      </c>
      <c r="F963">
        <v>49.99</v>
      </c>
      <c r="G963" t="s">
        <v>11</v>
      </c>
      <c r="H963">
        <v>0</v>
      </c>
      <c r="M963">
        <v>0</v>
      </c>
      <c r="N963">
        <v>0</v>
      </c>
      <c r="O963">
        <v>0</v>
      </c>
      <c r="P963">
        <v>0</v>
      </c>
    </row>
    <row r="964" spans="1:16" x14ac:dyDescent="0.2">
      <c r="A964" t="s">
        <v>2208</v>
      </c>
      <c r="B964" t="s">
        <v>5624</v>
      </c>
      <c r="C964" t="s">
        <v>2209</v>
      </c>
      <c r="D964" t="s">
        <v>2146</v>
      </c>
      <c r="E964" t="s">
        <v>228</v>
      </c>
      <c r="F964">
        <v>149.99</v>
      </c>
      <c r="G964" t="s">
        <v>11</v>
      </c>
      <c r="H964">
        <v>0.33333333333333331</v>
      </c>
      <c r="M964">
        <v>2</v>
      </c>
      <c r="N964">
        <v>0.5</v>
      </c>
      <c r="O964">
        <v>0</v>
      </c>
      <c r="P964">
        <v>1</v>
      </c>
    </row>
    <row r="965" spans="1:16" x14ac:dyDescent="0.2">
      <c r="A965" t="s">
        <v>2210</v>
      </c>
      <c r="B965" t="s">
        <v>5628</v>
      </c>
      <c r="C965" t="s">
        <v>2211</v>
      </c>
      <c r="D965" t="s">
        <v>2146</v>
      </c>
      <c r="E965" t="s">
        <v>228</v>
      </c>
      <c r="F965">
        <v>429.99</v>
      </c>
      <c r="G965" t="s">
        <v>11</v>
      </c>
      <c r="H965">
        <v>0.16666666666666666</v>
      </c>
      <c r="M965">
        <v>3</v>
      </c>
      <c r="N965">
        <v>0.33333333333333331</v>
      </c>
      <c r="O965">
        <v>0</v>
      </c>
      <c r="P965">
        <v>1</v>
      </c>
    </row>
    <row r="966" spans="1:16" x14ac:dyDescent="0.2">
      <c r="A966" t="s">
        <v>2232</v>
      </c>
      <c r="B966" t="s">
        <v>5632</v>
      </c>
      <c r="C966" t="s">
        <v>2233</v>
      </c>
      <c r="D966" t="s">
        <v>2146</v>
      </c>
      <c r="E966" t="s">
        <v>228</v>
      </c>
      <c r="F966">
        <v>39.99</v>
      </c>
      <c r="G966" t="s">
        <v>11</v>
      </c>
      <c r="H966">
        <v>0.25</v>
      </c>
      <c r="M966">
        <v>0</v>
      </c>
      <c r="N966">
        <v>0</v>
      </c>
      <c r="O966">
        <v>0</v>
      </c>
      <c r="P966">
        <v>1</v>
      </c>
    </row>
    <row r="967" spans="1:16" x14ac:dyDescent="0.2">
      <c r="A967" t="s">
        <v>4081</v>
      </c>
      <c r="B967" t="s">
        <v>4083</v>
      </c>
      <c r="C967" t="s">
        <v>4082</v>
      </c>
      <c r="D967" t="s">
        <v>1897</v>
      </c>
      <c r="E967" t="s">
        <v>96</v>
      </c>
      <c r="F967">
        <v>69.989999999999995</v>
      </c>
      <c r="G967" t="s">
        <v>11</v>
      </c>
      <c r="H967">
        <v>0</v>
      </c>
      <c r="M967">
        <v>0</v>
      </c>
      <c r="N967">
        <v>0</v>
      </c>
      <c r="O967">
        <v>0</v>
      </c>
      <c r="P967">
        <v>0</v>
      </c>
    </row>
    <row r="968" spans="1:16" x14ac:dyDescent="0.2">
      <c r="A968" t="s">
        <v>2240</v>
      </c>
      <c r="B968" t="s">
        <v>5637</v>
      </c>
      <c r="C968" t="s">
        <v>2241</v>
      </c>
      <c r="D968" t="s">
        <v>2146</v>
      </c>
      <c r="E968" t="s">
        <v>290</v>
      </c>
      <c r="F968">
        <v>99.99</v>
      </c>
      <c r="G968" t="s">
        <v>11</v>
      </c>
      <c r="H968">
        <v>0</v>
      </c>
      <c r="M968">
        <v>0</v>
      </c>
      <c r="N968">
        <v>0</v>
      </c>
      <c r="O968">
        <v>0</v>
      </c>
      <c r="P968">
        <v>0</v>
      </c>
    </row>
    <row r="969" spans="1:16" x14ac:dyDescent="0.2">
      <c r="A969" t="s">
        <v>2214</v>
      </c>
      <c r="C969" t="s">
        <v>2215</v>
      </c>
      <c r="D969" t="s">
        <v>2146</v>
      </c>
      <c r="E969" t="s">
        <v>228</v>
      </c>
      <c r="F969">
        <v>99.99</v>
      </c>
      <c r="G969" t="s">
        <v>11</v>
      </c>
      <c r="H969">
        <v>0</v>
      </c>
      <c r="M969">
        <v>0</v>
      </c>
      <c r="N969">
        <v>0</v>
      </c>
      <c r="O969">
        <v>0</v>
      </c>
      <c r="P969">
        <v>0</v>
      </c>
    </row>
    <row r="970" spans="1:16" x14ac:dyDescent="0.2">
      <c r="A970" t="s">
        <v>2224</v>
      </c>
      <c r="C970" t="s">
        <v>2225</v>
      </c>
      <c r="D970" t="s">
        <v>2146</v>
      </c>
      <c r="E970" t="s">
        <v>228</v>
      </c>
      <c r="F970">
        <v>179.99</v>
      </c>
      <c r="G970" t="s">
        <v>11</v>
      </c>
      <c r="H970">
        <v>0</v>
      </c>
      <c r="M970">
        <v>0</v>
      </c>
      <c r="N970">
        <v>0</v>
      </c>
      <c r="O970">
        <v>0</v>
      </c>
      <c r="P970">
        <v>0</v>
      </c>
    </row>
    <row r="971" spans="1:16" x14ac:dyDescent="0.2">
      <c r="A971" t="s">
        <v>3735</v>
      </c>
      <c r="B971" t="s">
        <v>3737</v>
      </c>
      <c r="C971" t="s">
        <v>3736</v>
      </c>
      <c r="D971" t="s">
        <v>1897</v>
      </c>
      <c r="E971" t="s">
        <v>96</v>
      </c>
      <c r="F971">
        <v>59.99</v>
      </c>
      <c r="G971" t="s">
        <v>11</v>
      </c>
      <c r="H971">
        <v>0</v>
      </c>
      <c r="M971">
        <v>0</v>
      </c>
      <c r="N971">
        <v>0</v>
      </c>
      <c r="O971">
        <v>0</v>
      </c>
      <c r="P971">
        <v>0</v>
      </c>
    </row>
    <row r="972" spans="1:16" x14ac:dyDescent="0.2">
      <c r="A972" t="s">
        <v>2905</v>
      </c>
      <c r="B972" t="s">
        <v>5290</v>
      </c>
      <c r="C972" t="s">
        <v>2906</v>
      </c>
      <c r="D972" t="s">
        <v>2852</v>
      </c>
      <c r="E972" t="s">
        <v>228</v>
      </c>
      <c r="F972">
        <v>179.99</v>
      </c>
      <c r="G972" t="s">
        <v>11</v>
      </c>
      <c r="H972">
        <v>0</v>
      </c>
      <c r="M972">
        <v>0</v>
      </c>
      <c r="N972">
        <v>0</v>
      </c>
      <c r="O972">
        <v>0</v>
      </c>
      <c r="P972">
        <v>0</v>
      </c>
    </row>
    <row r="973" spans="1:16" x14ac:dyDescent="0.2">
      <c r="A973" t="s">
        <v>3716</v>
      </c>
      <c r="B973" t="s">
        <v>3718</v>
      </c>
      <c r="C973" t="s">
        <v>3717</v>
      </c>
      <c r="D973" t="s">
        <v>2852</v>
      </c>
      <c r="E973" t="s">
        <v>96</v>
      </c>
      <c r="F973">
        <v>99.99</v>
      </c>
      <c r="G973" t="s">
        <v>11</v>
      </c>
      <c r="H973">
        <v>0</v>
      </c>
      <c r="M973">
        <v>0</v>
      </c>
      <c r="N973">
        <v>0</v>
      </c>
      <c r="O973">
        <v>0</v>
      </c>
      <c r="P973">
        <v>0</v>
      </c>
    </row>
    <row r="974" spans="1:16" x14ac:dyDescent="0.2">
      <c r="A974" t="s">
        <v>2893</v>
      </c>
      <c r="B974" t="s">
        <v>3719</v>
      </c>
      <c r="C974" t="s">
        <v>2894</v>
      </c>
      <c r="D974" t="s">
        <v>2852</v>
      </c>
      <c r="E974" t="s">
        <v>228</v>
      </c>
      <c r="F974">
        <v>249.99</v>
      </c>
      <c r="G974" t="s">
        <v>11</v>
      </c>
      <c r="H974">
        <v>0</v>
      </c>
      <c r="M974">
        <v>0</v>
      </c>
      <c r="N974">
        <v>0</v>
      </c>
      <c r="O974">
        <v>0</v>
      </c>
      <c r="P974">
        <v>0</v>
      </c>
    </row>
    <row r="975" spans="1:16" x14ac:dyDescent="0.2">
      <c r="A975" t="s">
        <v>3611</v>
      </c>
      <c r="B975" t="s">
        <v>3613</v>
      </c>
      <c r="C975" t="s">
        <v>3612</v>
      </c>
      <c r="D975" t="s">
        <v>3554</v>
      </c>
      <c r="E975" t="s">
        <v>96</v>
      </c>
      <c r="F975">
        <v>39.99</v>
      </c>
      <c r="G975" t="s">
        <v>11</v>
      </c>
      <c r="H975">
        <v>0</v>
      </c>
      <c r="M975">
        <v>0</v>
      </c>
      <c r="N975">
        <v>0</v>
      </c>
      <c r="O975">
        <v>0</v>
      </c>
      <c r="P975">
        <v>0</v>
      </c>
    </row>
    <row r="976" spans="1:16" x14ac:dyDescent="0.2">
      <c r="A976" t="s">
        <v>3614</v>
      </c>
      <c r="B976" t="s">
        <v>3616</v>
      </c>
      <c r="C976" t="s">
        <v>3615</v>
      </c>
      <c r="D976" t="s">
        <v>3554</v>
      </c>
      <c r="E976" t="s">
        <v>96</v>
      </c>
      <c r="F976">
        <v>39.99</v>
      </c>
      <c r="G976" t="s">
        <v>11</v>
      </c>
      <c r="H976">
        <v>0</v>
      </c>
      <c r="M976">
        <v>0</v>
      </c>
      <c r="N976">
        <v>0</v>
      </c>
      <c r="O976">
        <v>0</v>
      </c>
      <c r="P976">
        <v>0</v>
      </c>
    </row>
    <row r="977" spans="1:16" x14ac:dyDescent="0.2">
      <c r="A977" t="s">
        <v>3602</v>
      </c>
      <c r="B977" t="s">
        <v>3604</v>
      </c>
      <c r="C977" t="s">
        <v>3603</v>
      </c>
      <c r="D977" t="s">
        <v>3554</v>
      </c>
      <c r="E977" t="s">
        <v>96</v>
      </c>
      <c r="F977">
        <v>39.99</v>
      </c>
      <c r="G977" t="s">
        <v>11</v>
      </c>
      <c r="H977">
        <v>0</v>
      </c>
      <c r="M977">
        <v>0</v>
      </c>
      <c r="N977">
        <v>0</v>
      </c>
      <c r="O977">
        <v>0</v>
      </c>
      <c r="P977">
        <v>0</v>
      </c>
    </row>
    <row r="978" spans="1:16" x14ac:dyDescent="0.2">
      <c r="A978" t="s">
        <v>3662</v>
      </c>
      <c r="B978" t="s">
        <v>3664</v>
      </c>
      <c r="C978" t="s">
        <v>3663</v>
      </c>
      <c r="D978" t="s">
        <v>2425</v>
      </c>
      <c r="E978" t="s">
        <v>96</v>
      </c>
      <c r="F978">
        <v>49.99</v>
      </c>
      <c r="G978" t="s">
        <v>11</v>
      </c>
      <c r="H978">
        <v>0</v>
      </c>
      <c r="M978">
        <v>0</v>
      </c>
      <c r="N978">
        <v>0</v>
      </c>
      <c r="O978">
        <v>0</v>
      </c>
      <c r="P978">
        <v>0</v>
      </c>
    </row>
    <row r="979" spans="1:16" x14ac:dyDescent="0.2">
      <c r="A979" t="s">
        <v>3672</v>
      </c>
      <c r="B979" t="s">
        <v>3674</v>
      </c>
      <c r="C979" t="s">
        <v>3673</v>
      </c>
      <c r="D979" t="s">
        <v>2425</v>
      </c>
      <c r="E979" t="s">
        <v>96</v>
      </c>
      <c r="F979">
        <v>99.99</v>
      </c>
      <c r="G979" t="s">
        <v>11</v>
      </c>
      <c r="H979">
        <v>0.16666666666666666</v>
      </c>
      <c r="M979">
        <v>6</v>
      </c>
      <c r="N979">
        <v>0.33333333333333331</v>
      </c>
      <c r="O979">
        <v>0</v>
      </c>
      <c r="P979">
        <v>2</v>
      </c>
    </row>
    <row r="980" spans="1:16" x14ac:dyDescent="0.2">
      <c r="A980" t="s">
        <v>2861</v>
      </c>
      <c r="B980" t="s">
        <v>5270</v>
      </c>
      <c r="C980" t="s">
        <v>2862</v>
      </c>
      <c r="D980" t="s">
        <v>2852</v>
      </c>
      <c r="E980" t="s">
        <v>228</v>
      </c>
      <c r="F980">
        <v>399.99</v>
      </c>
      <c r="G980" t="s">
        <v>11</v>
      </c>
      <c r="H980">
        <v>0</v>
      </c>
      <c r="M980">
        <v>0</v>
      </c>
      <c r="N980">
        <v>0</v>
      </c>
      <c r="O980">
        <v>0</v>
      </c>
      <c r="P980">
        <v>0</v>
      </c>
    </row>
    <row r="981" spans="1:16" x14ac:dyDescent="0.2">
      <c r="A981" t="s">
        <v>5519</v>
      </c>
      <c r="B981" t="s">
        <v>5521</v>
      </c>
      <c r="C981" t="s">
        <v>5520</v>
      </c>
      <c r="D981" t="s">
        <v>2411</v>
      </c>
      <c r="E981" t="s">
        <v>96</v>
      </c>
      <c r="F981">
        <v>29.99</v>
      </c>
      <c r="G981" t="s">
        <v>11</v>
      </c>
      <c r="H981">
        <v>0</v>
      </c>
      <c r="M981">
        <v>0</v>
      </c>
      <c r="N981">
        <v>0</v>
      </c>
      <c r="O981">
        <v>0</v>
      </c>
      <c r="P981">
        <v>0</v>
      </c>
    </row>
    <row r="982" spans="1:16" x14ac:dyDescent="0.2">
      <c r="A982" t="s">
        <v>5522</v>
      </c>
      <c r="B982" t="s">
        <v>5524</v>
      </c>
      <c r="C982" t="s">
        <v>5523</v>
      </c>
      <c r="D982" t="s">
        <v>2411</v>
      </c>
      <c r="E982" t="s">
        <v>96</v>
      </c>
      <c r="F982">
        <v>24.99</v>
      </c>
      <c r="G982" t="s">
        <v>11</v>
      </c>
      <c r="H982">
        <v>0</v>
      </c>
      <c r="M982">
        <v>0</v>
      </c>
      <c r="N982">
        <v>0</v>
      </c>
      <c r="O982">
        <v>0</v>
      </c>
      <c r="P982">
        <v>0</v>
      </c>
    </row>
    <row r="983" spans="1:16" x14ac:dyDescent="0.2">
      <c r="A983" t="s">
        <v>3590</v>
      </c>
      <c r="B983" t="s">
        <v>3592</v>
      </c>
      <c r="C983" t="s">
        <v>3591</v>
      </c>
      <c r="D983" t="s">
        <v>3554</v>
      </c>
      <c r="E983" t="s">
        <v>96</v>
      </c>
      <c r="F983">
        <v>39.99</v>
      </c>
      <c r="G983" t="s">
        <v>11</v>
      </c>
      <c r="H983">
        <v>0</v>
      </c>
      <c r="M983">
        <v>0</v>
      </c>
      <c r="N983">
        <v>0</v>
      </c>
      <c r="O983">
        <v>0</v>
      </c>
      <c r="P983">
        <v>0</v>
      </c>
    </row>
    <row r="984" spans="1:16" x14ac:dyDescent="0.2">
      <c r="A984" t="s">
        <v>5525</v>
      </c>
      <c r="B984" t="s">
        <v>5527</v>
      </c>
      <c r="C984" t="s">
        <v>5526</v>
      </c>
      <c r="D984" t="s">
        <v>2411</v>
      </c>
      <c r="E984" t="s">
        <v>96</v>
      </c>
      <c r="F984">
        <v>24.99</v>
      </c>
      <c r="G984" t="s">
        <v>11</v>
      </c>
      <c r="H984">
        <v>0</v>
      </c>
      <c r="M984">
        <v>0</v>
      </c>
      <c r="N984">
        <v>0</v>
      </c>
      <c r="O984">
        <v>0</v>
      </c>
      <c r="P984">
        <v>0</v>
      </c>
    </row>
    <row r="985" spans="1:16" x14ac:dyDescent="0.2">
      <c r="A985" t="s">
        <v>880</v>
      </c>
      <c r="B985" t="s">
        <v>5671</v>
      </c>
      <c r="C985" t="s">
        <v>881</v>
      </c>
      <c r="D985" t="s">
        <v>446</v>
      </c>
      <c r="E985" t="s">
        <v>96</v>
      </c>
      <c r="F985">
        <v>14.99</v>
      </c>
      <c r="G985" t="s">
        <v>11</v>
      </c>
      <c r="H985">
        <v>0</v>
      </c>
      <c r="M985">
        <v>0</v>
      </c>
      <c r="N985">
        <v>0</v>
      </c>
      <c r="O985">
        <v>0</v>
      </c>
      <c r="P985">
        <v>0</v>
      </c>
    </row>
    <row r="986" spans="1:16" x14ac:dyDescent="0.2">
      <c r="A986" t="s">
        <v>5702</v>
      </c>
      <c r="B986" t="s">
        <v>5704</v>
      </c>
      <c r="C986" t="s">
        <v>5703</v>
      </c>
      <c r="D986" t="s">
        <v>2411</v>
      </c>
      <c r="E986" t="s">
        <v>96</v>
      </c>
      <c r="F986">
        <v>19.989999999999998</v>
      </c>
      <c r="G986" t="s">
        <v>11</v>
      </c>
      <c r="H986">
        <v>0</v>
      </c>
      <c r="M986">
        <v>0</v>
      </c>
      <c r="N986">
        <v>0</v>
      </c>
      <c r="O986">
        <v>0</v>
      </c>
      <c r="P986">
        <v>0</v>
      </c>
    </row>
    <row r="987" spans="1:16" x14ac:dyDescent="0.2">
      <c r="A987" t="s">
        <v>5683</v>
      </c>
      <c r="B987" t="s">
        <v>5685</v>
      </c>
      <c r="C987" t="s">
        <v>7052</v>
      </c>
      <c r="D987" t="s">
        <v>2411</v>
      </c>
      <c r="E987" t="s">
        <v>96</v>
      </c>
      <c r="F987">
        <v>19.989999999999998</v>
      </c>
      <c r="G987" t="s">
        <v>11</v>
      </c>
      <c r="H987">
        <v>0</v>
      </c>
      <c r="M987">
        <v>0</v>
      </c>
      <c r="N987">
        <v>0</v>
      </c>
      <c r="O987">
        <v>0</v>
      </c>
      <c r="P987">
        <v>0</v>
      </c>
    </row>
    <row r="988" spans="1:16" x14ac:dyDescent="0.2">
      <c r="A988" t="s">
        <v>5677</v>
      </c>
      <c r="B988" t="s">
        <v>5679</v>
      </c>
      <c r="C988" t="s">
        <v>5678</v>
      </c>
      <c r="D988" t="s">
        <v>2411</v>
      </c>
      <c r="E988" t="s">
        <v>96</v>
      </c>
      <c r="F988">
        <v>29.99</v>
      </c>
      <c r="G988" t="s">
        <v>11</v>
      </c>
      <c r="H988">
        <v>0</v>
      </c>
      <c r="M988">
        <v>0</v>
      </c>
      <c r="N988">
        <v>0</v>
      </c>
      <c r="O988">
        <v>0</v>
      </c>
      <c r="P988">
        <v>0</v>
      </c>
    </row>
    <row r="989" spans="1:16" x14ac:dyDescent="0.2">
      <c r="A989" t="s">
        <v>5705</v>
      </c>
      <c r="B989" t="s">
        <v>5707</v>
      </c>
      <c r="C989" t="s">
        <v>5706</v>
      </c>
      <c r="D989" t="s">
        <v>2411</v>
      </c>
      <c r="E989" t="s">
        <v>96</v>
      </c>
      <c r="F989">
        <v>19.989999999999998</v>
      </c>
      <c r="G989" t="s">
        <v>11</v>
      </c>
      <c r="H989">
        <v>0</v>
      </c>
      <c r="M989">
        <v>0</v>
      </c>
      <c r="N989">
        <v>0</v>
      </c>
      <c r="O989">
        <v>0</v>
      </c>
      <c r="P989">
        <v>0</v>
      </c>
    </row>
    <row r="990" spans="1:16" x14ac:dyDescent="0.2">
      <c r="A990" t="s">
        <v>5680</v>
      </c>
      <c r="B990" t="s">
        <v>5682</v>
      </c>
      <c r="C990" t="s">
        <v>5681</v>
      </c>
      <c r="D990" t="s">
        <v>2411</v>
      </c>
      <c r="E990" t="s">
        <v>96</v>
      </c>
      <c r="F990">
        <v>14.99</v>
      </c>
      <c r="G990" t="s">
        <v>11</v>
      </c>
      <c r="H990">
        <v>0</v>
      </c>
      <c r="M990">
        <v>0</v>
      </c>
      <c r="N990">
        <v>0</v>
      </c>
      <c r="O990">
        <v>0</v>
      </c>
      <c r="P990">
        <v>0</v>
      </c>
    </row>
    <row r="991" spans="1:16" x14ac:dyDescent="0.2">
      <c r="A991" t="s">
        <v>5689</v>
      </c>
      <c r="B991" t="s">
        <v>5691</v>
      </c>
      <c r="C991" t="s">
        <v>5690</v>
      </c>
      <c r="D991" t="s">
        <v>2411</v>
      </c>
      <c r="E991" t="s">
        <v>96</v>
      </c>
      <c r="F991">
        <v>59.99</v>
      </c>
      <c r="G991" t="s">
        <v>11</v>
      </c>
      <c r="H991">
        <v>0</v>
      </c>
      <c r="M991">
        <v>0</v>
      </c>
      <c r="N991">
        <v>0</v>
      </c>
      <c r="O991">
        <v>0</v>
      </c>
      <c r="P991">
        <v>0</v>
      </c>
    </row>
    <row r="992" spans="1:16" x14ac:dyDescent="0.2">
      <c r="A992" t="s">
        <v>5513</v>
      </c>
      <c r="B992" t="s">
        <v>5515</v>
      </c>
      <c r="C992" t="s">
        <v>5514</v>
      </c>
      <c r="D992" t="s">
        <v>2411</v>
      </c>
      <c r="E992" t="s">
        <v>96</v>
      </c>
      <c r="F992">
        <v>29.99</v>
      </c>
      <c r="G992" t="s">
        <v>11</v>
      </c>
      <c r="H992">
        <v>0</v>
      </c>
      <c r="M992">
        <v>0</v>
      </c>
      <c r="N992">
        <v>0</v>
      </c>
      <c r="O992">
        <v>0</v>
      </c>
      <c r="P992">
        <v>0</v>
      </c>
    </row>
    <row r="993" spans="1:16" x14ac:dyDescent="0.2">
      <c r="A993" t="s">
        <v>5510</v>
      </c>
      <c r="B993" t="s">
        <v>5512</v>
      </c>
      <c r="C993" t="s">
        <v>5511</v>
      </c>
      <c r="D993" t="s">
        <v>2411</v>
      </c>
      <c r="E993" t="s">
        <v>96</v>
      </c>
      <c r="F993">
        <v>24.99</v>
      </c>
      <c r="G993" t="s">
        <v>11</v>
      </c>
      <c r="H993">
        <v>0</v>
      </c>
      <c r="M993">
        <v>0</v>
      </c>
      <c r="N993">
        <v>0</v>
      </c>
      <c r="O993">
        <v>0</v>
      </c>
      <c r="P993">
        <v>0</v>
      </c>
    </row>
    <row r="994" spans="1:16" x14ac:dyDescent="0.2">
      <c r="A994" t="s">
        <v>5516</v>
      </c>
      <c r="B994" t="s">
        <v>5518</v>
      </c>
      <c r="C994" t="s">
        <v>5517</v>
      </c>
      <c r="D994" t="s">
        <v>2411</v>
      </c>
      <c r="E994" t="s">
        <v>96</v>
      </c>
      <c r="F994">
        <v>29.99</v>
      </c>
      <c r="G994" t="s">
        <v>11</v>
      </c>
      <c r="H994">
        <v>0</v>
      </c>
      <c r="M994">
        <v>0</v>
      </c>
      <c r="N994">
        <v>0</v>
      </c>
      <c r="O994">
        <v>0</v>
      </c>
      <c r="P994">
        <v>0</v>
      </c>
    </row>
    <row r="995" spans="1:16" x14ac:dyDescent="0.2">
      <c r="A995" t="s">
        <v>3587</v>
      </c>
      <c r="B995" t="s">
        <v>3589</v>
      </c>
      <c r="C995" t="s">
        <v>3588</v>
      </c>
      <c r="D995" t="s">
        <v>3554</v>
      </c>
      <c r="E995" t="s">
        <v>96</v>
      </c>
      <c r="F995">
        <v>39.99</v>
      </c>
      <c r="G995" t="s">
        <v>11</v>
      </c>
      <c r="H995">
        <v>0</v>
      </c>
      <c r="M995">
        <v>0</v>
      </c>
      <c r="N995">
        <v>0</v>
      </c>
      <c r="O995">
        <v>0</v>
      </c>
      <c r="P995">
        <v>0</v>
      </c>
    </row>
    <row r="996" spans="1:16" x14ac:dyDescent="0.2">
      <c r="A996" t="s">
        <v>3569</v>
      </c>
      <c r="B996" t="s">
        <v>3571</v>
      </c>
      <c r="C996" t="s">
        <v>3570</v>
      </c>
      <c r="D996" t="s">
        <v>3554</v>
      </c>
      <c r="E996" t="s">
        <v>96</v>
      </c>
      <c r="F996">
        <v>39.99</v>
      </c>
      <c r="G996" t="s">
        <v>11</v>
      </c>
      <c r="H996">
        <v>0</v>
      </c>
      <c r="M996">
        <v>0</v>
      </c>
      <c r="N996">
        <v>0</v>
      </c>
      <c r="O996">
        <v>0</v>
      </c>
      <c r="P996">
        <v>0</v>
      </c>
    </row>
    <row r="997" spans="1:16" x14ac:dyDescent="0.2">
      <c r="A997" t="s">
        <v>6694</v>
      </c>
      <c r="B997" t="s">
        <v>6696</v>
      </c>
      <c r="C997" t="s">
        <v>6695</v>
      </c>
      <c r="D997" t="s">
        <v>2987</v>
      </c>
      <c r="E997" t="s">
        <v>290</v>
      </c>
      <c r="F997">
        <v>49.99</v>
      </c>
      <c r="G997" t="s">
        <v>11</v>
      </c>
      <c r="H997">
        <v>0</v>
      </c>
      <c r="M997">
        <v>0</v>
      </c>
      <c r="N997">
        <v>0</v>
      </c>
      <c r="O997">
        <v>0</v>
      </c>
      <c r="P997">
        <v>0</v>
      </c>
    </row>
    <row r="998" spans="1:16" x14ac:dyDescent="0.2">
      <c r="A998" t="s">
        <v>3659</v>
      </c>
      <c r="B998" t="s">
        <v>3661</v>
      </c>
      <c r="C998" t="s">
        <v>3660</v>
      </c>
      <c r="D998" t="s">
        <v>2425</v>
      </c>
      <c r="E998" t="s">
        <v>96</v>
      </c>
      <c r="F998">
        <v>49.99</v>
      </c>
      <c r="G998" t="s">
        <v>11</v>
      </c>
      <c r="H998">
        <v>0</v>
      </c>
      <c r="M998">
        <v>0</v>
      </c>
      <c r="N998">
        <v>0</v>
      </c>
      <c r="O998">
        <v>0</v>
      </c>
      <c r="P998">
        <v>0</v>
      </c>
    </row>
    <row r="999" spans="1:16" x14ac:dyDescent="0.2">
      <c r="A999" t="s">
        <v>3665</v>
      </c>
      <c r="B999" t="s">
        <v>3667</v>
      </c>
      <c r="C999" t="s">
        <v>3666</v>
      </c>
      <c r="D999" t="s">
        <v>2425</v>
      </c>
      <c r="E999" t="s">
        <v>96</v>
      </c>
      <c r="F999">
        <v>39.99</v>
      </c>
      <c r="G999" t="s">
        <v>11</v>
      </c>
      <c r="H999">
        <v>0</v>
      </c>
      <c r="M999">
        <v>0</v>
      </c>
      <c r="N999">
        <v>0</v>
      </c>
      <c r="O999">
        <v>0</v>
      </c>
      <c r="P999">
        <v>0</v>
      </c>
    </row>
    <row r="1000" spans="1:16" x14ac:dyDescent="0.2">
      <c r="A1000" t="s">
        <v>1697</v>
      </c>
      <c r="B1000" t="s">
        <v>5828</v>
      </c>
      <c r="C1000" t="s">
        <v>1698</v>
      </c>
      <c r="D1000" t="s">
        <v>1696</v>
      </c>
      <c r="E1000" t="s">
        <v>290</v>
      </c>
      <c r="F1000">
        <v>39.99</v>
      </c>
      <c r="G1000" t="s">
        <v>11</v>
      </c>
      <c r="H1000">
        <v>0</v>
      </c>
      <c r="M1000">
        <v>0</v>
      </c>
      <c r="N1000">
        <v>0</v>
      </c>
      <c r="O1000">
        <v>0</v>
      </c>
      <c r="P1000">
        <v>0</v>
      </c>
    </row>
    <row r="1001" spans="1:16" x14ac:dyDescent="0.2">
      <c r="A1001" t="s">
        <v>1702</v>
      </c>
      <c r="B1001" t="s">
        <v>5829</v>
      </c>
      <c r="C1001" t="s">
        <v>1703</v>
      </c>
      <c r="D1001" t="s">
        <v>1696</v>
      </c>
      <c r="E1001" t="s">
        <v>290</v>
      </c>
      <c r="F1001">
        <v>39.99</v>
      </c>
      <c r="G1001" t="s">
        <v>11</v>
      </c>
      <c r="H1001">
        <v>0</v>
      </c>
      <c r="M1001">
        <v>0</v>
      </c>
      <c r="N1001">
        <v>0</v>
      </c>
      <c r="O1001">
        <v>0</v>
      </c>
      <c r="P1001">
        <v>0</v>
      </c>
    </row>
    <row r="1002" spans="1:16" x14ac:dyDescent="0.2">
      <c r="A1002" t="s">
        <v>5816</v>
      </c>
      <c r="B1002" t="s">
        <v>5818</v>
      </c>
      <c r="C1002" t="s">
        <v>5817</v>
      </c>
      <c r="D1002" t="s">
        <v>2495</v>
      </c>
      <c r="E1002" t="s">
        <v>96</v>
      </c>
      <c r="F1002">
        <v>449.99</v>
      </c>
      <c r="G1002" t="s">
        <v>11</v>
      </c>
      <c r="H1002">
        <v>0</v>
      </c>
      <c r="M1002">
        <v>0</v>
      </c>
      <c r="N1002">
        <v>0</v>
      </c>
      <c r="O1002">
        <v>0</v>
      </c>
      <c r="P1002">
        <v>0</v>
      </c>
    </row>
    <row r="1003" spans="1:16" x14ac:dyDescent="0.2">
      <c r="A1003" t="s">
        <v>5810</v>
      </c>
      <c r="B1003" t="s">
        <v>5812</v>
      </c>
      <c r="C1003" t="s">
        <v>5811</v>
      </c>
      <c r="D1003" t="s">
        <v>2495</v>
      </c>
      <c r="E1003" t="s">
        <v>96</v>
      </c>
      <c r="F1003">
        <v>349.99</v>
      </c>
      <c r="G1003" t="s">
        <v>11</v>
      </c>
      <c r="H1003">
        <v>0</v>
      </c>
      <c r="M1003">
        <v>0</v>
      </c>
      <c r="N1003">
        <v>0</v>
      </c>
      <c r="O1003">
        <v>0</v>
      </c>
      <c r="P1003">
        <v>0</v>
      </c>
    </row>
    <row r="1004" spans="1:16" x14ac:dyDescent="0.2">
      <c r="A1004" t="s">
        <v>2498</v>
      </c>
      <c r="B1004" t="s">
        <v>5809</v>
      </c>
      <c r="C1004" t="s">
        <v>2499</v>
      </c>
      <c r="D1004" t="s">
        <v>2495</v>
      </c>
      <c r="E1004" t="s">
        <v>290</v>
      </c>
      <c r="F1004">
        <v>159.99</v>
      </c>
      <c r="G1004" t="s">
        <v>11</v>
      </c>
      <c r="H1004">
        <v>0</v>
      </c>
      <c r="M1004">
        <v>0</v>
      </c>
      <c r="N1004">
        <v>0</v>
      </c>
      <c r="O1004">
        <v>0</v>
      </c>
      <c r="P1004">
        <v>0</v>
      </c>
    </row>
    <row r="1005" spans="1:16" x14ac:dyDescent="0.2">
      <c r="A1005" t="s">
        <v>3575</v>
      </c>
      <c r="B1005" t="s">
        <v>3577</v>
      </c>
      <c r="C1005" t="s">
        <v>3576</v>
      </c>
      <c r="D1005" t="s">
        <v>3554</v>
      </c>
      <c r="E1005" t="s">
        <v>96</v>
      </c>
      <c r="F1005">
        <v>39.99</v>
      </c>
      <c r="G1005" t="s">
        <v>11</v>
      </c>
      <c r="H1005">
        <v>0</v>
      </c>
      <c r="M1005">
        <v>0</v>
      </c>
      <c r="N1005">
        <v>0</v>
      </c>
      <c r="O1005">
        <v>0</v>
      </c>
      <c r="P1005">
        <v>0</v>
      </c>
    </row>
    <row r="1006" spans="1:16" x14ac:dyDescent="0.2">
      <c r="A1006" t="s">
        <v>5802</v>
      </c>
      <c r="B1006" t="s">
        <v>5804</v>
      </c>
      <c r="C1006" t="s">
        <v>5803</v>
      </c>
      <c r="D1006" t="s">
        <v>2495</v>
      </c>
      <c r="E1006" t="s">
        <v>96</v>
      </c>
      <c r="F1006">
        <v>519.99</v>
      </c>
      <c r="G1006" t="s">
        <v>11</v>
      </c>
      <c r="H1006">
        <v>0</v>
      </c>
      <c r="M1006">
        <v>0</v>
      </c>
      <c r="N1006">
        <v>0</v>
      </c>
      <c r="O1006">
        <v>0</v>
      </c>
      <c r="P1006">
        <v>0</v>
      </c>
    </row>
    <row r="1007" spans="1:16" x14ac:dyDescent="0.2">
      <c r="A1007" t="s">
        <v>4388</v>
      </c>
      <c r="B1007" t="s">
        <v>4391</v>
      </c>
      <c r="C1007" t="s">
        <v>4389</v>
      </c>
      <c r="D1007" t="s">
        <v>4390</v>
      </c>
      <c r="E1007" t="s">
        <v>96</v>
      </c>
      <c r="F1007">
        <v>49.99</v>
      </c>
      <c r="G1007" t="s">
        <v>11</v>
      </c>
      <c r="H1007">
        <v>0</v>
      </c>
      <c r="M1007">
        <v>0</v>
      </c>
      <c r="N1007">
        <v>0</v>
      </c>
      <c r="O1007">
        <v>0</v>
      </c>
      <c r="P1007">
        <v>0</v>
      </c>
    </row>
    <row r="1008" spans="1:16" x14ac:dyDescent="0.2">
      <c r="A1008" t="s">
        <v>5806</v>
      </c>
      <c r="B1008" t="s">
        <v>5808</v>
      </c>
      <c r="C1008" t="s">
        <v>5807</v>
      </c>
      <c r="D1008" t="s">
        <v>2495</v>
      </c>
      <c r="E1008" t="s">
        <v>290</v>
      </c>
      <c r="F1008">
        <v>159.99</v>
      </c>
      <c r="G1008" t="s">
        <v>11</v>
      </c>
      <c r="H1008">
        <v>0</v>
      </c>
      <c r="M1008">
        <v>0</v>
      </c>
      <c r="N1008">
        <v>0</v>
      </c>
      <c r="O1008">
        <v>0</v>
      </c>
      <c r="P1008">
        <v>0</v>
      </c>
    </row>
    <row r="1009" spans="1:16" x14ac:dyDescent="0.2">
      <c r="A1009" t="s">
        <v>3552</v>
      </c>
      <c r="B1009" t="s">
        <v>3555</v>
      </c>
      <c r="C1009" t="s">
        <v>3553</v>
      </c>
      <c r="D1009" t="s">
        <v>3554</v>
      </c>
      <c r="E1009" t="s">
        <v>96</v>
      </c>
      <c r="F1009">
        <v>39.99</v>
      </c>
      <c r="G1009" t="s">
        <v>11</v>
      </c>
      <c r="H1009">
        <v>0</v>
      </c>
      <c r="M1009">
        <v>0</v>
      </c>
      <c r="N1009">
        <v>0</v>
      </c>
      <c r="O1009">
        <v>0</v>
      </c>
      <c r="P1009">
        <v>0</v>
      </c>
    </row>
    <row r="1010" spans="1:16" x14ac:dyDescent="0.2">
      <c r="A1010" t="s">
        <v>3695</v>
      </c>
      <c r="B1010" t="s">
        <v>3697</v>
      </c>
      <c r="C1010" t="s">
        <v>3696</v>
      </c>
      <c r="D1010" t="s">
        <v>2425</v>
      </c>
      <c r="E1010" t="s">
        <v>96</v>
      </c>
      <c r="F1010">
        <v>69.989999999999995</v>
      </c>
      <c r="G1010" t="s">
        <v>11</v>
      </c>
      <c r="H1010">
        <v>0</v>
      </c>
      <c r="M1010">
        <v>0</v>
      </c>
      <c r="N1010">
        <v>0</v>
      </c>
      <c r="O1010">
        <v>0</v>
      </c>
      <c r="P1010">
        <v>0</v>
      </c>
    </row>
    <row r="1011" spans="1:16" x14ac:dyDescent="0.2">
      <c r="A1011" t="s">
        <v>3605</v>
      </c>
      <c r="B1011" t="s">
        <v>3607</v>
      </c>
      <c r="C1011" t="s">
        <v>3606</v>
      </c>
      <c r="D1011" t="s">
        <v>3554</v>
      </c>
      <c r="E1011" t="s">
        <v>96</v>
      </c>
      <c r="F1011">
        <v>39.99</v>
      </c>
      <c r="G1011" t="s">
        <v>11</v>
      </c>
      <c r="H1011">
        <v>0</v>
      </c>
      <c r="M1011">
        <v>0</v>
      </c>
      <c r="N1011">
        <v>0</v>
      </c>
      <c r="O1011">
        <v>0</v>
      </c>
      <c r="P1011">
        <v>0</v>
      </c>
    </row>
    <row r="1012" spans="1:16" x14ac:dyDescent="0.2">
      <c r="A1012" t="s">
        <v>3593</v>
      </c>
      <c r="B1012" t="s">
        <v>3595</v>
      </c>
      <c r="C1012" t="s">
        <v>3594</v>
      </c>
      <c r="D1012" t="s">
        <v>3554</v>
      </c>
      <c r="E1012" t="s">
        <v>96</v>
      </c>
      <c r="F1012">
        <v>39.99</v>
      </c>
      <c r="G1012" t="s">
        <v>11</v>
      </c>
      <c r="H1012">
        <v>0</v>
      </c>
      <c r="M1012">
        <v>0</v>
      </c>
      <c r="N1012">
        <v>0</v>
      </c>
      <c r="O1012">
        <v>0</v>
      </c>
      <c r="P1012">
        <v>0</v>
      </c>
    </row>
    <row r="1013" spans="1:16" x14ac:dyDescent="0.2">
      <c r="A1013" t="s">
        <v>3572</v>
      </c>
      <c r="B1013" t="s">
        <v>3574</v>
      </c>
      <c r="C1013" t="s">
        <v>3573</v>
      </c>
      <c r="D1013" t="s">
        <v>3554</v>
      </c>
      <c r="E1013" t="s">
        <v>96</v>
      </c>
      <c r="F1013">
        <v>39.99</v>
      </c>
      <c r="G1013" t="s">
        <v>11</v>
      </c>
      <c r="H1013">
        <v>0</v>
      </c>
      <c r="M1013">
        <v>0</v>
      </c>
      <c r="N1013">
        <v>0</v>
      </c>
      <c r="O1013">
        <v>0</v>
      </c>
      <c r="P1013">
        <v>0</v>
      </c>
    </row>
    <row r="1014" spans="1:16" x14ac:dyDescent="0.2">
      <c r="A1014" t="s">
        <v>3578</v>
      </c>
      <c r="B1014" t="s">
        <v>3580</v>
      </c>
      <c r="C1014" t="s">
        <v>3579</v>
      </c>
      <c r="D1014" t="s">
        <v>3554</v>
      </c>
      <c r="E1014" t="s">
        <v>96</v>
      </c>
      <c r="F1014">
        <v>39.99</v>
      </c>
      <c r="G1014" t="s">
        <v>11</v>
      </c>
      <c r="H1014">
        <v>0</v>
      </c>
      <c r="M1014">
        <v>0</v>
      </c>
      <c r="N1014">
        <v>0</v>
      </c>
      <c r="O1014">
        <v>0</v>
      </c>
      <c r="P1014">
        <v>0</v>
      </c>
    </row>
    <row r="1015" spans="1:16" x14ac:dyDescent="0.2">
      <c r="A1015" t="s">
        <v>5799</v>
      </c>
      <c r="B1015" t="s">
        <v>5801</v>
      </c>
      <c r="C1015" t="s">
        <v>5800</v>
      </c>
      <c r="D1015" t="s">
        <v>2495</v>
      </c>
      <c r="E1015" t="s">
        <v>228</v>
      </c>
      <c r="F1015">
        <v>1199.99</v>
      </c>
      <c r="G1015" t="s">
        <v>11</v>
      </c>
      <c r="H1015">
        <v>0</v>
      </c>
      <c r="M1015">
        <v>0</v>
      </c>
      <c r="N1015">
        <v>0</v>
      </c>
      <c r="O1015">
        <v>0</v>
      </c>
      <c r="P1015">
        <v>0</v>
      </c>
    </row>
    <row r="1016" spans="1:16" x14ac:dyDescent="0.2">
      <c r="A1016" t="s">
        <v>3690</v>
      </c>
      <c r="B1016" t="s">
        <v>3692</v>
      </c>
      <c r="C1016" t="s">
        <v>3691</v>
      </c>
      <c r="D1016" t="s">
        <v>2425</v>
      </c>
      <c r="E1016" t="s">
        <v>96</v>
      </c>
      <c r="F1016">
        <v>69.989999999999995</v>
      </c>
      <c r="G1016" t="s">
        <v>11</v>
      </c>
      <c r="H1016">
        <v>0</v>
      </c>
      <c r="M1016">
        <v>0</v>
      </c>
      <c r="N1016">
        <v>0</v>
      </c>
      <c r="O1016">
        <v>0</v>
      </c>
      <c r="P1016">
        <v>0</v>
      </c>
    </row>
    <row r="1017" spans="1:16" x14ac:dyDescent="0.2">
      <c r="A1017" t="s">
        <v>5696</v>
      </c>
      <c r="B1017" t="s">
        <v>5698</v>
      </c>
      <c r="C1017" t="s">
        <v>5697</v>
      </c>
      <c r="D1017" t="s">
        <v>2411</v>
      </c>
      <c r="E1017" t="s">
        <v>96</v>
      </c>
      <c r="F1017">
        <v>69.989999999999995</v>
      </c>
      <c r="G1017" t="s">
        <v>11</v>
      </c>
      <c r="H1017">
        <v>0</v>
      </c>
      <c r="M1017">
        <v>0</v>
      </c>
      <c r="N1017">
        <v>0</v>
      </c>
      <c r="O1017">
        <v>0</v>
      </c>
      <c r="P1017">
        <v>0</v>
      </c>
    </row>
    <row r="1018" spans="1:16" x14ac:dyDescent="0.2">
      <c r="A1018" t="s">
        <v>5699</v>
      </c>
      <c r="B1018" t="s">
        <v>5701</v>
      </c>
      <c r="C1018" t="s">
        <v>5700</v>
      </c>
      <c r="D1018" t="s">
        <v>2411</v>
      </c>
      <c r="E1018" t="s">
        <v>96</v>
      </c>
      <c r="F1018">
        <v>79.989999999999995</v>
      </c>
      <c r="G1018" t="s">
        <v>11</v>
      </c>
      <c r="H1018">
        <v>0</v>
      </c>
      <c r="M1018">
        <v>0</v>
      </c>
      <c r="N1018">
        <v>0</v>
      </c>
      <c r="O1018">
        <v>0</v>
      </c>
      <c r="P1018">
        <v>0</v>
      </c>
    </row>
    <row r="1019" spans="1:16" x14ac:dyDescent="0.2">
      <c r="A1019" t="s">
        <v>5864</v>
      </c>
      <c r="B1019" t="s">
        <v>5866</v>
      </c>
      <c r="C1019" t="s">
        <v>5865</v>
      </c>
      <c r="D1019" t="s">
        <v>1692</v>
      </c>
      <c r="E1019" t="s">
        <v>96</v>
      </c>
      <c r="F1019">
        <v>42.99</v>
      </c>
      <c r="G1019" t="s">
        <v>11</v>
      </c>
      <c r="H1019">
        <v>0</v>
      </c>
      <c r="M1019">
        <v>0</v>
      </c>
      <c r="N1019">
        <v>0</v>
      </c>
      <c r="O1019">
        <v>0</v>
      </c>
      <c r="P1019">
        <v>0</v>
      </c>
    </row>
    <row r="1020" spans="1:16" x14ac:dyDescent="0.2">
      <c r="A1020" t="s">
        <v>5872</v>
      </c>
      <c r="B1020" t="s">
        <v>5874</v>
      </c>
      <c r="C1020" t="s">
        <v>5873</v>
      </c>
      <c r="D1020" t="s">
        <v>1692</v>
      </c>
      <c r="E1020" t="s">
        <v>96</v>
      </c>
      <c r="F1020">
        <v>39.99</v>
      </c>
      <c r="G1020" t="s">
        <v>11</v>
      </c>
      <c r="H1020">
        <v>0</v>
      </c>
      <c r="M1020">
        <v>0</v>
      </c>
      <c r="N1020">
        <v>0</v>
      </c>
      <c r="O1020">
        <v>0</v>
      </c>
      <c r="P1020">
        <v>2</v>
      </c>
    </row>
    <row r="1021" spans="1:16" x14ac:dyDescent="0.2">
      <c r="A1021" t="s">
        <v>5265</v>
      </c>
      <c r="B1021" t="s">
        <v>5267</v>
      </c>
      <c r="C1021" t="s">
        <v>5266</v>
      </c>
      <c r="D1021" t="s">
        <v>2852</v>
      </c>
      <c r="E1021" t="s">
        <v>96</v>
      </c>
      <c r="F1021">
        <v>249.99</v>
      </c>
      <c r="G1021" t="s">
        <v>11</v>
      </c>
      <c r="H1021">
        <v>0</v>
      </c>
      <c r="M1021">
        <v>0</v>
      </c>
      <c r="N1021">
        <v>0</v>
      </c>
      <c r="O1021">
        <v>0</v>
      </c>
      <c r="P1021">
        <v>0</v>
      </c>
    </row>
    <row r="1022" spans="1:16" x14ac:dyDescent="0.2">
      <c r="A1022" t="s">
        <v>5875</v>
      </c>
      <c r="B1022" t="s">
        <v>5877</v>
      </c>
      <c r="C1022" t="s">
        <v>5876</v>
      </c>
      <c r="D1022" t="s">
        <v>1692</v>
      </c>
      <c r="E1022" t="s">
        <v>96</v>
      </c>
      <c r="G1022" t="s">
        <v>11</v>
      </c>
      <c r="H1022">
        <v>0</v>
      </c>
      <c r="M1022">
        <v>0</v>
      </c>
      <c r="N1022">
        <v>0</v>
      </c>
      <c r="P1022">
        <v>0</v>
      </c>
    </row>
    <row r="1023" spans="1:16" x14ac:dyDescent="0.2">
      <c r="A1023" t="s">
        <v>5878</v>
      </c>
      <c r="B1023" t="s">
        <v>5880</v>
      </c>
      <c r="C1023" t="s">
        <v>5879</v>
      </c>
      <c r="D1023" t="s">
        <v>1692</v>
      </c>
      <c r="E1023" t="s">
        <v>96</v>
      </c>
      <c r="F1023">
        <v>39.99</v>
      </c>
      <c r="G1023" t="s">
        <v>11</v>
      </c>
      <c r="H1023">
        <v>0</v>
      </c>
      <c r="M1023">
        <v>0</v>
      </c>
      <c r="N1023">
        <v>0</v>
      </c>
      <c r="O1023">
        <v>0</v>
      </c>
      <c r="P1023">
        <v>0</v>
      </c>
    </row>
    <row r="1024" spans="1:16" x14ac:dyDescent="0.2">
      <c r="A1024" t="s">
        <v>5881</v>
      </c>
      <c r="B1024" t="s">
        <v>5883</v>
      </c>
      <c r="C1024" t="s">
        <v>5882</v>
      </c>
      <c r="D1024" t="s">
        <v>1692</v>
      </c>
      <c r="E1024" t="s">
        <v>290</v>
      </c>
      <c r="F1024">
        <v>29.99</v>
      </c>
      <c r="G1024" t="s">
        <v>11</v>
      </c>
      <c r="H1024">
        <v>0</v>
      </c>
      <c r="M1024">
        <v>0</v>
      </c>
      <c r="N1024">
        <v>0</v>
      </c>
      <c r="O1024">
        <v>0</v>
      </c>
      <c r="P1024">
        <v>0</v>
      </c>
    </row>
    <row r="1025" spans="1:16" x14ac:dyDescent="0.2">
      <c r="A1025" t="s">
        <v>5884</v>
      </c>
      <c r="B1025" t="s">
        <v>5886</v>
      </c>
      <c r="C1025" t="s">
        <v>5885</v>
      </c>
      <c r="D1025" t="s">
        <v>5847</v>
      </c>
      <c r="E1025" t="s">
        <v>96</v>
      </c>
      <c r="F1025">
        <v>29.99</v>
      </c>
      <c r="G1025" t="s">
        <v>11</v>
      </c>
      <c r="H1025">
        <v>0</v>
      </c>
      <c r="M1025">
        <v>0</v>
      </c>
      <c r="N1025">
        <v>0</v>
      </c>
      <c r="O1025">
        <v>0</v>
      </c>
      <c r="P1025">
        <v>0</v>
      </c>
    </row>
    <row r="1026" spans="1:16" x14ac:dyDescent="0.2">
      <c r="A1026" t="s">
        <v>5887</v>
      </c>
      <c r="B1026" t="s">
        <v>5889</v>
      </c>
      <c r="C1026" t="s">
        <v>5888</v>
      </c>
      <c r="D1026" t="s">
        <v>1692</v>
      </c>
      <c r="E1026" t="s">
        <v>290</v>
      </c>
      <c r="F1026">
        <v>29.99</v>
      </c>
      <c r="G1026" t="s">
        <v>11</v>
      </c>
      <c r="H1026">
        <v>0</v>
      </c>
      <c r="M1026">
        <v>0</v>
      </c>
      <c r="N1026">
        <v>0</v>
      </c>
      <c r="O1026">
        <v>0</v>
      </c>
      <c r="P1026">
        <v>0</v>
      </c>
    </row>
    <row r="1027" spans="1:16" x14ac:dyDescent="0.2">
      <c r="A1027" t="s">
        <v>5861</v>
      </c>
      <c r="B1027" t="s">
        <v>5863</v>
      </c>
      <c r="C1027" t="s">
        <v>5862</v>
      </c>
      <c r="D1027" t="s">
        <v>1692</v>
      </c>
      <c r="E1027" t="s">
        <v>96</v>
      </c>
      <c r="F1027">
        <v>34.99</v>
      </c>
      <c r="G1027" t="s">
        <v>11</v>
      </c>
      <c r="H1027">
        <v>0</v>
      </c>
      <c r="M1027">
        <v>0</v>
      </c>
      <c r="N1027">
        <v>0</v>
      </c>
      <c r="O1027">
        <v>0</v>
      </c>
      <c r="P1027">
        <v>0</v>
      </c>
    </row>
    <row r="1028" spans="1:16" x14ac:dyDescent="0.2">
      <c r="A1028" t="s">
        <v>5890</v>
      </c>
      <c r="B1028" t="s">
        <v>5892</v>
      </c>
      <c r="C1028" t="s">
        <v>5891</v>
      </c>
      <c r="D1028" t="s">
        <v>1692</v>
      </c>
      <c r="E1028" t="s">
        <v>96</v>
      </c>
      <c r="F1028">
        <v>34.99</v>
      </c>
      <c r="G1028" t="s">
        <v>11</v>
      </c>
      <c r="H1028">
        <v>0</v>
      </c>
      <c r="M1028">
        <v>0</v>
      </c>
      <c r="N1028">
        <v>0</v>
      </c>
      <c r="O1028">
        <v>0</v>
      </c>
      <c r="P1028">
        <v>0</v>
      </c>
    </row>
    <row r="1029" spans="1:16" x14ac:dyDescent="0.2">
      <c r="A1029" t="s">
        <v>5896</v>
      </c>
      <c r="B1029" t="s">
        <v>5898</v>
      </c>
      <c r="C1029" t="s">
        <v>5897</v>
      </c>
      <c r="D1029" t="s">
        <v>1692</v>
      </c>
      <c r="E1029" t="s">
        <v>96</v>
      </c>
      <c r="F1029">
        <v>19.989999999999998</v>
      </c>
      <c r="G1029" t="s">
        <v>11</v>
      </c>
      <c r="H1029">
        <v>0</v>
      </c>
      <c r="M1029">
        <v>0</v>
      </c>
      <c r="N1029">
        <v>0</v>
      </c>
      <c r="O1029">
        <v>0</v>
      </c>
      <c r="P1029">
        <v>0</v>
      </c>
    </row>
    <row r="1030" spans="1:16" x14ac:dyDescent="0.2">
      <c r="A1030" t="s">
        <v>5899</v>
      </c>
      <c r="B1030" t="s">
        <v>5901</v>
      </c>
      <c r="C1030" t="s">
        <v>5900</v>
      </c>
      <c r="D1030" t="s">
        <v>1692</v>
      </c>
      <c r="E1030" t="s">
        <v>96</v>
      </c>
      <c r="F1030">
        <v>14.99</v>
      </c>
      <c r="G1030" t="s">
        <v>11</v>
      </c>
      <c r="H1030">
        <v>0</v>
      </c>
      <c r="M1030">
        <v>0</v>
      </c>
      <c r="N1030">
        <v>0</v>
      </c>
      <c r="O1030">
        <v>0</v>
      </c>
      <c r="P1030">
        <v>0</v>
      </c>
    </row>
    <row r="1031" spans="1:16" x14ac:dyDescent="0.2">
      <c r="A1031" t="s">
        <v>2926</v>
      </c>
      <c r="B1031" t="s">
        <v>3489</v>
      </c>
      <c r="C1031" t="s">
        <v>2927</v>
      </c>
      <c r="D1031" t="s">
        <v>2925</v>
      </c>
      <c r="E1031" t="s">
        <v>290</v>
      </c>
      <c r="F1031">
        <v>179.99</v>
      </c>
      <c r="G1031" t="s">
        <v>11</v>
      </c>
      <c r="H1031">
        <v>0</v>
      </c>
      <c r="M1031">
        <v>0</v>
      </c>
      <c r="N1031">
        <v>0</v>
      </c>
      <c r="O1031">
        <v>0</v>
      </c>
      <c r="P1031">
        <v>0</v>
      </c>
    </row>
    <row r="1032" spans="1:16" x14ac:dyDescent="0.2">
      <c r="A1032" t="s">
        <v>6952</v>
      </c>
      <c r="B1032" t="s">
        <v>6955</v>
      </c>
      <c r="C1032" t="s">
        <v>6953</v>
      </c>
      <c r="D1032" t="s">
        <v>6954</v>
      </c>
      <c r="E1032" t="s">
        <v>96</v>
      </c>
      <c r="F1032">
        <v>109.99</v>
      </c>
      <c r="G1032" t="s">
        <v>11</v>
      </c>
      <c r="H1032">
        <v>0</v>
      </c>
      <c r="M1032">
        <v>0</v>
      </c>
      <c r="N1032">
        <v>0</v>
      </c>
      <c r="O1032">
        <v>0</v>
      </c>
      <c r="P1032">
        <v>0</v>
      </c>
    </row>
    <row r="1033" spans="1:16" x14ac:dyDescent="0.2">
      <c r="A1033" t="s">
        <v>2923</v>
      </c>
      <c r="B1033" t="s">
        <v>4373</v>
      </c>
      <c r="C1033" t="s">
        <v>2924</v>
      </c>
      <c r="D1033" t="s">
        <v>2852</v>
      </c>
      <c r="E1033" t="s">
        <v>228</v>
      </c>
      <c r="F1033">
        <v>44.99</v>
      </c>
      <c r="G1033" t="s">
        <v>11</v>
      </c>
      <c r="H1033">
        <v>0</v>
      </c>
      <c r="M1033">
        <v>0</v>
      </c>
      <c r="N1033">
        <v>0</v>
      </c>
      <c r="O1033">
        <v>0</v>
      </c>
      <c r="P1033">
        <v>0</v>
      </c>
    </row>
    <row r="1034" spans="1:16" x14ac:dyDescent="0.2">
      <c r="A1034" t="s">
        <v>5921</v>
      </c>
      <c r="B1034" t="s">
        <v>5923</v>
      </c>
      <c r="C1034" t="s">
        <v>5922</v>
      </c>
      <c r="D1034" t="s">
        <v>2852</v>
      </c>
      <c r="E1034" t="s">
        <v>96</v>
      </c>
      <c r="F1034">
        <v>249.99</v>
      </c>
      <c r="G1034" t="s">
        <v>11</v>
      </c>
      <c r="H1034">
        <v>0</v>
      </c>
      <c r="M1034">
        <v>0</v>
      </c>
      <c r="N1034">
        <v>0</v>
      </c>
      <c r="O1034">
        <v>0</v>
      </c>
      <c r="P1034">
        <v>0</v>
      </c>
    </row>
    <row r="1035" spans="1:16" x14ac:dyDescent="0.2">
      <c r="A1035" t="s">
        <v>4197</v>
      </c>
      <c r="B1035" t="s">
        <v>4199</v>
      </c>
      <c r="C1035" t="s">
        <v>4198</v>
      </c>
      <c r="D1035" t="s">
        <v>2852</v>
      </c>
      <c r="E1035" t="s">
        <v>96</v>
      </c>
      <c r="F1035">
        <v>29.99</v>
      </c>
      <c r="G1035" t="s">
        <v>11</v>
      </c>
      <c r="H1035">
        <v>0</v>
      </c>
      <c r="M1035">
        <v>0</v>
      </c>
      <c r="N1035">
        <v>0</v>
      </c>
      <c r="O1035">
        <v>0</v>
      </c>
      <c r="P1035">
        <v>0</v>
      </c>
    </row>
    <row r="1036" spans="1:16" x14ac:dyDescent="0.2">
      <c r="A1036" t="s">
        <v>1030</v>
      </c>
      <c r="B1036" t="s">
        <v>4392</v>
      </c>
      <c r="C1036" t="s">
        <v>1031</v>
      </c>
      <c r="D1036" t="s">
        <v>1029</v>
      </c>
      <c r="E1036" t="s">
        <v>228</v>
      </c>
      <c r="F1036">
        <v>249.99</v>
      </c>
      <c r="G1036" t="s">
        <v>11</v>
      </c>
      <c r="H1036">
        <v>0</v>
      </c>
      <c r="M1036">
        <v>0</v>
      </c>
      <c r="N1036">
        <v>0</v>
      </c>
      <c r="O1036">
        <v>0</v>
      </c>
      <c r="P1036">
        <v>0</v>
      </c>
    </row>
    <row r="1037" spans="1:16" x14ac:dyDescent="0.2">
      <c r="A1037" t="s">
        <v>5893</v>
      </c>
      <c r="B1037" t="s">
        <v>5895</v>
      </c>
      <c r="C1037" t="s">
        <v>5894</v>
      </c>
      <c r="D1037" t="s">
        <v>1692</v>
      </c>
      <c r="E1037" t="s">
        <v>96</v>
      </c>
      <c r="F1037">
        <v>19.989999999999998</v>
      </c>
      <c r="G1037" t="s">
        <v>11</v>
      </c>
      <c r="H1037">
        <v>0</v>
      </c>
      <c r="M1037">
        <v>0</v>
      </c>
      <c r="N1037">
        <v>0</v>
      </c>
      <c r="O1037">
        <v>0</v>
      </c>
      <c r="P1037">
        <v>0</v>
      </c>
    </row>
    <row r="1038" spans="1:16" x14ac:dyDescent="0.2">
      <c r="A1038" t="s">
        <v>5858</v>
      </c>
      <c r="B1038" t="s">
        <v>5860</v>
      </c>
      <c r="C1038" t="s">
        <v>5859</v>
      </c>
      <c r="D1038" t="s">
        <v>1692</v>
      </c>
      <c r="E1038" t="s">
        <v>96</v>
      </c>
      <c r="F1038">
        <v>34.99</v>
      </c>
      <c r="G1038" t="s">
        <v>11</v>
      </c>
      <c r="H1038">
        <v>0</v>
      </c>
      <c r="M1038">
        <v>0</v>
      </c>
      <c r="N1038">
        <v>0</v>
      </c>
      <c r="O1038">
        <v>0</v>
      </c>
      <c r="P1038">
        <v>0</v>
      </c>
    </row>
    <row r="1039" spans="1:16" x14ac:dyDescent="0.2">
      <c r="A1039" t="s">
        <v>5855</v>
      </c>
      <c r="B1039" t="s">
        <v>5857</v>
      </c>
      <c r="C1039" t="s">
        <v>5856</v>
      </c>
      <c r="D1039" t="s">
        <v>1692</v>
      </c>
      <c r="E1039" t="s">
        <v>96</v>
      </c>
      <c r="F1039">
        <v>34.99</v>
      </c>
      <c r="G1039" t="s">
        <v>11</v>
      </c>
      <c r="H1039">
        <v>0</v>
      </c>
      <c r="M1039">
        <v>0</v>
      </c>
      <c r="N1039">
        <v>0</v>
      </c>
      <c r="O1039">
        <v>0</v>
      </c>
      <c r="P1039">
        <v>0</v>
      </c>
    </row>
    <row r="1040" spans="1:16" x14ac:dyDescent="0.2">
      <c r="A1040" t="s">
        <v>5852</v>
      </c>
      <c r="B1040" t="s">
        <v>5854</v>
      </c>
      <c r="C1040" t="s">
        <v>5853</v>
      </c>
      <c r="D1040" t="s">
        <v>1692</v>
      </c>
      <c r="E1040" t="s">
        <v>96</v>
      </c>
      <c r="F1040">
        <v>24.99</v>
      </c>
      <c r="G1040" t="s">
        <v>11</v>
      </c>
      <c r="H1040">
        <v>0</v>
      </c>
      <c r="M1040">
        <v>0</v>
      </c>
      <c r="N1040">
        <v>0</v>
      </c>
      <c r="O1040">
        <v>0</v>
      </c>
      <c r="P1040">
        <v>0</v>
      </c>
    </row>
    <row r="1041" spans="1:16" x14ac:dyDescent="0.2">
      <c r="A1041" t="s">
        <v>3648</v>
      </c>
      <c r="B1041" t="s">
        <v>3650</v>
      </c>
      <c r="C1041" t="s">
        <v>3649</v>
      </c>
      <c r="D1041" t="s">
        <v>2425</v>
      </c>
      <c r="E1041" t="s">
        <v>96</v>
      </c>
      <c r="F1041">
        <v>89.99</v>
      </c>
      <c r="G1041" t="s">
        <v>11</v>
      </c>
      <c r="H1041">
        <v>0</v>
      </c>
      <c r="M1041">
        <v>0</v>
      </c>
      <c r="N1041">
        <v>0</v>
      </c>
      <c r="O1041">
        <v>0</v>
      </c>
      <c r="P1041">
        <v>0</v>
      </c>
    </row>
    <row r="1042" spans="1:16" x14ac:dyDescent="0.2">
      <c r="A1042" t="s">
        <v>3651</v>
      </c>
      <c r="B1042" t="s">
        <v>3653</v>
      </c>
      <c r="C1042" t="s">
        <v>3652</v>
      </c>
      <c r="D1042" t="s">
        <v>2425</v>
      </c>
      <c r="E1042" t="s">
        <v>290</v>
      </c>
      <c r="F1042">
        <v>109.99</v>
      </c>
      <c r="G1042" t="s">
        <v>11</v>
      </c>
      <c r="H1042">
        <v>0</v>
      </c>
      <c r="M1042">
        <v>0</v>
      </c>
      <c r="N1042">
        <v>0</v>
      </c>
      <c r="O1042">
        <v>0</v>
      </c>
      <c r="P1042">
        <v>0</v>
      </c>
    </row>
    <row r="1043" spans="1:16" x14ac:dyDescent="0.2">
      <c r="A1043" t="s">
        <v>3632</v>
      </c>
      <c r="B1043" t="s">
        <v>3633</v>
      </c>
      <c r="C1043" t="s">
        <v>2430</v>
      </c>
      <c r="D1043" t="s">
        <v>2425</v>
      </c>
      <c r="E1043" t="s">
        <v>96</v>
      </c>
      <c r="F1043">
        <v>149.99</v>
      </c>
      <c r="G1043" t="s">
        <v>11</v>
      </c>
      <c r="H1043">
        <v>0</v>
      </c>
      <c r="M1043">
        <v>0</v>
      </c>
      <c r="N1043">
        <v>0</v>
      </c>
      <c r="O1043">
        <v>0</v>
      </c>
      <c r="P1043">
        <v>0</v>
      </c>
    </row>
    <row r="1044" spans="1:16" x14ac:dyDescent="0.2">
      <c r="A1044" t="s">
        <v>2429</v>
      </c>
      <c r="B1044" t="s">
        <v>3642</v>
      </c>
      <c r="C1044" t="s">
        <v>2430</v>
      </c>
      <c r="D1044" t="s">
        <v>2425</v>
      </c>
      <c r="E1044" t="s">
        <v>290</v>
      </c>
      <c r="F1044">
        <v>149.99</v>
      </c>
      <c r="G1044" t="s">
        <v>11</v>
      </c>
      <c r="H1044">
        <v>0</v>
      </c>
      <c r="M1044">
        <v>0</v>
      </c>
      <c r="N1044">
        <v>0</v>
      </c>
      <c r="O1044">
        <v>0</v>
      </c>
      <c r="P1044">
        <v>0</v>
      </c>
    </row>
    <row r="1045" spans="1:16" x14ac:dyDescent="0.2">
      <c r="A1045" t="s">
        <v>3669</v>
      </c>
      <c r="B1045" t="s">
        <v>3671</v>
      </c>
      <c r="C1045" t="s">
        <v>3670</v>
      </c>
      <c r="D1045" t="s">
        <v>2425</v>
      </c>
      <c r="E1045" t="s">
        <v>96</v>
      </c>
      <c r="F1045">
        <v>89.99</v>
      </c>
      <c r="G1045" t="s">
        <v>11</v>
      </c>
      <c r="H1045">
        <v>0</v>
      </c>
      <c r="M1045">
        <v>0</v>
      </c>
      <c r="N1045">
        <v>0</v>
      </c>
      <c r="O1045">
        <v>0</v>
      </c>
      <c r="P1045">
        <v>0</v>
      </c>
    </row>
    <row r="1046" spans="1:16" x14ac:dyDescent="0.2">
      <c r="A1046" t="s">
        <v>3654</v>
      </c>
      <c r="B1046" t="s">
        <v>3656</v>
      </c>
      <c r="C1046" t="s">
        <v>3655</v>
      </c>
      <c r="D1046" t="s">
        <v>2425</v>
      </c>
      <c r="E1046" t="s">
        <v>96</v>
      </c>
      <c r="F1046">
        <v>89.99</v>
      </c>
      <c r="G1046" t="s">
        <v>11</v>
      </c>
      <c r="H1046">
        <v>0</v>
      </c>
      <c r="M1046">
        <v>0</v>
      </c>
      <c r="N1046">
        <v>0</v>
      </c>
      <c r="O1046">
        <v>0</v>
      </c>
      <c r="P1046">
        <v>0</v>
      </c>
    </row>
    <row r="1047" spans="1:16" x14ac:dyDescent="0.2">
      <c r="A1047" t="s">
        <v>3630</v>
      </c>
      <c r="B1047" t="s">
        <v>3631</v>
      </c>
      <c r="C1047" t="s">
        <v>2432</v>
      </c>
      <c r="D1047" t="s">
        <v>2425</v>
      </c>
      <c r="E1047" t="s">
        <v>96</v>
      </c>
      <c r="F1047">
        <v>179.99</v>
      </c>
      <c r="G1047" t="s">
        <v>11</v>
      </c>
      <c r="H1047">
        <v>0</v>
      </c>
      <c r="M1047">
        <v>0</v>
      </c>
      <c r="N1047">
        <v>0</v>
      </c>
      <c r="O1047">
        <v>0</v>
      </c>
      <c r="P1047">
        <v>0</v>
      </c>
    </row>
    <row r="1048" spans="1:16" x14ac:dyDescent="0.2">
      <c r="A1048" t="s">
        <v>2431</v>
      </c>
      <c r="B1048" t="s">
        <v>3639</v>
      </c>
      <c r="C1048" t="s">
        <v>2432</v>
      </c>
      <c r="D1048" t="s">
        <v>2425</v>
      </c>
      <c r="E1048" t="s">
        <v>290</v>
      </c>
      <c r="F1048">
        <v>179.99</v>
      </c>
      <c r="G1048" t="s">
        <v>11</v>
      </c>
      <c r="H1048">
        <v>0</v>
      </c>
      <c r="M1048">
        <v>0</v>
      </c>
      <c r="N1048">
        <v>0</v>
      </c>
      <c r="O1048">
        <v>0</v>
      </c>
      <c r="P1048">
        <v>0</v>
      </c>
    </row>
    <row r="1049" spans="1:16" x14ac:dyDescent="0.2">
      <c r="A1049" t="s">
        <v>3634</v>
      </c>
      <c r="B1049" t="s">
        <v>3636</v>
      </c>
      <c r="C1049" t="s">
        <v>3635</v>
      </c>
      <c r="D1049" t="s">
        <v>2425</v>
      </c>
      <c r="E1049" t="s">
        <v>96</v>
      </c>
      <c r="F1049">
        <v>149.99</v>
      </c>
      <c r="G1049" t="s">
        <v>11</v>
      </c>
      <c r="H1049">
        <v>0</v>
      </c>
      <c r="M1049">
        <v>0</v>
      </c>
      <c r="N1049">
        <v>0</v>
      </c>
      <c r="O1049">
        <v>0</v>
      </c>
      <c r="P1049">
        <v>0</v>
      </c>
    </row>
    <row r="1050" spans="1:16" x14ac:dyDescent="0.2">
      <c r="A1050" t="s">
        <v>3617</v>
      </c>
      <c r="B1050" t="s">
        <v>3619</v>
      </c>
      <c r="C1050" t="s">
        <v>3618</v>
      </c>
      <c r="D1050" t="s">
        <v>3554</v>
      </c>
      <c r="E1050" t="s">
        <v>96</v>
      </c>
      <c r="F1050">
        <v>59.99</v>
      </c>
      <c r="G1050" t="s">
        <v>11</v>
      </c>
      <c r="H1050">
        <v>0</v>
      </c>
      <c r="M1050">
        <v>0</v>
      </c>
      <c r="N1050">
        <v>0</v>
      </c>
      <c r="O1050">
        <v>0</v>
      </c>
      <c r="P1050">
        <v>0</v>
      </c>
    </row>
    <row r="1051" spans="1:16" x14ac:dyDescent="0.2">
      <c r="A1051" t="s">
        <v>4213</v>
      </c>
      <c r="B1051" t="s">
        <v>4215</v>
      </c>
      <c r="C1051" t="s">
        <v>4214</v>
      </c>
      <c r="D1051" t="s">
        <v>2852</v>
      </c>
      <c r="E1051" t="s">
        <v>96</v>
      </c>
      <c r="F1051">
        <v>44.99</v>
      </c>
      <c r="G1051" t="s">
        <v>11</v>
      </c>
      <c r="H1051">
        <v>0</v>
      </c>
      <c r="M1051">
        <v>0</v>
      </c>
      <c r="N1051">
        <v>0</v>
      </c>
      <c r="O1051">
        <v>0</v>
      </c>
      <c r="P1051">
        <v>0</v>
      </c>
    </row>
    <row r="1052" spans="1:16" x14ac:dyDescent="0.2">
      <c r="A1052" t="s">
        <v>6956</v>
      </c>
      <c r="B1052" t="s">
        <v>6958</v>
      </c>
      <c r="C1052" t="s">
        <v>6957</v>
      </c>
      <c r="D1052" t="s">
        <v>6954</v>
      </c>
      <c r="E1052" t="s">
        <v>96</v>
      </c>
      <c r="F1052">
        <v>44.99</v>
      </c>
      <c r="G1052" t="s">
        <v>11</v>
      </c>
      <c r="H1052">
        <v>0</v>
      </c>
      <c r="M1052">
        <v>0</v>
      </c>
      <c r="N1052">
        <v>0</v>
      </c>
      <c r="O1052">
        <v>0</v>
      </c>
      <c r="P1052">
        <v>0</v>
      </c>
    </row>
    <row r="1053" spans="1:16" x14ac:dyDescent="0.2">
      <c r="A1053" t="s">
        <v>1693</v>
      </c>
      <c r="B1053" t="s">
        <v>5871</v>
      </c>
      <c r="C1053" t="s">
        <v>1694</v>
      </c>
      <c r="D1053" t="s">
        <v>1692</v>
      </c>
      <c r="E1053" t="s">
        <v>96</v>
      </c>
      <c r="F1053">
        <v>29.99</v>
      </c>
      <c r="G1053" t="s">
        <v>11</v>
      </c>
      <c r="H1053">
        <v>0</v>
      </c>
      <c r="M1053">
        <v>0</v>
      </c>
      <c r="N1053">
        <v>0</v>
      </c>
      <c r="O1053">
        <v>0</v>
      </c>
      <c r="P1053">
        <v>0</v>
      </c>
    </row>
    <row r="1054" spans="1:16" x14ac:dyDescent="0.2">
      <c r="A1054" t="s">
        <v>4367</v>
      </c>
      <c r="B1054" t="s">
        <v>4369</v>
      </c>
      <c r="C1054" t="s">
        <v>4368</v>
      </c>
      <c r="D1054" t="s">
        <v>2852</v>
      </c>
      <c r="E1054" t="s">
        <v>96</v>
      </c>
      <c r="F1054">
        <v>29.99</v>
      </c>
      <c r="G1054" t="s">
        <v>11</v>
      </c>
      <c r="H1054">
        <v>0</v>
      </c>
      <c r="M1054">
        <v>0</v>
      </c>
      <c r="N1054">
        <v>0</v>
      </c>
      <c r="O1054">
        <v>0</v>
      </c>
      <c r="P1054">
        <v>0</v>
      </c>
    </row>
    <row r="1055" spans="1:16" x14ac:dyDescent="0.2">
      <c r="A1055" t="s">
        <v>4370</v>
      </c>
      <c r="B1055" t="s">
        <v>4372</v>
      </c>
      <c r="C1055" t="s">
        <v>4371</v>
      </c>
      <c r="D1055" t="s">
        <v>2852</v>
      </c>
      <c r="E1055" t="s">
        <v>96</v>
      </c>
      <c r="F1055">
        <v>29.99</v>
      </c>
      <c r="G1055" t="s">
        <v>11</v>
      </c>
      <c r="H1055">
        <v>0</v>
      </c>
      <c r="M1055">
        <v>0</v>
      </c>
      <c r="N1055">
        <v>0</v>
      </c>
      <c r="O1055">
        <v>0</v>
      </c>
      <c r="P1055">
        <v>0</v>
      </c>
    </row>
    <row r="1056" spans="1:16" x14ac:dyDescent="0.2">
      <c r="A1056" t="s">
        <v>5845</v>
      </c>
      <c r="B1056" t="s">
        <v>5848</v>
      </c>
      <c r="C1056" t="s">
        <v>5846</v>
      </c>
      <c r="D1056" t="s">
        <v>5847</v>
      </c>
      <c r="E1056" t="s">
        <v>96</v>
      </c>
      <c r="F1056">
        <v>89.99</v>
      </c>
      <c r="G1056" t="s">
        <v>11</v>
      </c>
      <c r="H1056">
        <v>0</v>
      </c>
      <c r="M1056">
        <v>0</v>
      </c>
      <c r="N1056">
        <v>0</v>
      </c>
      <c r="O1056">
        <v>0</v>
      </c>
      <c r="P1056">
        <v>0</v>
      </c>
    </row>
    <row r="1057" spans="1:16" x14ac:dyDescent="0.2">
      <c r="A1057" t="s">
        <v>5836</v>
      </c>
      <c r="B1057" t="s">
        <v>5838</v>
      </c>
      <c r="C1057" t="s">
        <v>5837</v>
      </c>
      <c r="D1057" t="s">
        <v>1692</v>
      </c>
      <c r="E1057" t="s">
        <v>96</v>
      </c>
      <c r="F1057">
        <v>79.989999999999995</v>
      </c>
      <c r="G1057" t="s">
        <v>11</v>
      </c>
      <c r="H1057">
        <v>0</v>
      </c>
      <c r="M1057">
        <v>0</v>
      </c>
      <c r="N1057">
        <v>0</v>
      </c>
      <c r="O1057">
        <v>0</v>
      </c>
      <c r="P1057">
        <v>0</v>
      </c>
    </row>
    <row r="1058" spans="1:16" x14ac:dyDescent="0.2">
      <c r="A1058" t="s">
        <v>5839</v>
      </c>
      <c r="B1058" t="s">
        <v>5841</v>
      </c>
      <c r="C1058" t="s">
        <v>5840</v>
      </c>
      <c r="D1058" t="s">
        <v>1692</v>
      </c>
      <c r="E1058" t="s">
        <v>96</v>
      </c>
      <c r="F1058">
        <v>49.99</v>
      </c>
      <c r="G1058" t="s">
        <v>11</v>
      </c>
      <c r="H1058">
        <v>0</v>
      </c>
      <c r="M1058">
        <v>0</v>
      </c>
      <c r="N1058">
        <v>0</v>
      </c>
      <c r="O1058">
        <v>0</v>
      </c>
      <c r="P1058">
        <v>0</v>
      </c>
    </row>
    <row r="1059" spans="1:16" x14ac:dyDescent="0.2">
      <c r="A1059" t="s">
        <v>5849</v>
      </c>
      <c r="B1059" t="s">
        <v>5851</v>
      </c>
      <c r="C1059" t="s">
        <v>5850</v>
      </c>
      <c r="D1059" t="s">
        <v>1692</v>
      </c>
      <c r="E1059" t="s">
        <v>96</v>
      </c>
      <c r="F1059">
        <v>69.989999999999995</v>
      </c>
      <c r="G1059" t="s">
        <v>11</v>
      </c>
      <c r="H1059">
        <v>0</v>
      </c>
      <c r="M1059">
        <v>0</v>
      </c>
      <c r="N1059">
        <v>0</v>
      </c>
      <c r="O1059">
        <v>0</v>
      </c>
      <c r="P1059">
        <v>0</v>
      </c>
    </row>
    <row r="1060" spans="1:16" x14ac:dyDescent="0.2">
      <c r="A1060" t="s">
        <v>5463</v>
      </c>
      <c r="B1060" t="s">
        <v>5465</v>
      </c>
      <c r="C1060" t="s">
        <v>5464</v>
      </c>
      <c r="D1060" t="s">
        <v>2411</v>
      </c>
      <c r="E1060" t="s">
        <v>96</v>
      </c>
      <c r="F1060">
        <v>49.99</v>
      </c>
      <c r="G1060" t="s">
        <v>11</v>
      </c>
      <c r="H1060">
        <v>0</v>
      </c>
      <c r="M1060">
        <v>0</v>
      </c>
      <c r="N1060">
        <v>0</v>
      </c>
      <c r="O1060">
        <v>0</v>
      </c>
      <c r="P1060">
        <v>0</v>
      </c>
    </row>
    <row r="1061" spans="1:16" x14ac:dyDescent="0.2">
      <c r="A1061" t="s">
        <v>5451</v>
      </c>
      <c r="B1061" t="s">
        <v>5453</v>
      </c>
      <c r="C1061" t="s">
        <v>5452</v>
      </c>
      <c r="D1061" t="s">
        <v>2411</v>
      </c>
      <c r="E1061" t="s">
        <v>96</v>
      </c>
      <c r="F1061">
        <v>24.99</v>
      </c>
      <c r="G1061" t="s">
        <v>11</v>
      </c>
      <c r="H1061">
        <v>0</v>
      </c>
      <c r="M1061">
        <v>0</v>
      </c>
      <c r="N1061">
        <v>0</v>
      </c>
      <c r="O1061">
        <v>0</v>
      </c>
      <c r="P1061">
        <v>0</v>
      </c>
    </row>
    <row r="1062" spans="1:16" x14ac:dyDescent="0.2">
      <c r="A1062" t="s">
        <v>2879</v>
      </c>
      <c r="B1062" t="s">
        <v>4216</v>
      </c>
      <c r="C1062" t="s">
        <v>2880</v>
      </c>
      <c r="D1062" t="s">
        <v>2852</v>
      </c>
      <c r="E1062" t="s">
        <v>228</v>
      </c>
      <c r="F1062">
        <v>44.99</v>
      </c>
      <c r="G1062" t="s">
        <v>11</v>
      </c>
      <c r="H1062">
        <v>0</v>
      </c>
      <c r="M1062">
        <v>0</v>
      </c>
      <c r="N1062">
        <v>0</v>
      </c>
      <c r="O1062">
        <v>0</v>
      </c>
      <c r="P1062">
        <v>0</v>
      </c>
    </row>
    <row r="1063" spans="1:16" x14ac:dyDescent="0.2">
      <c r="A1063" t="s">
        <v>5457</v>
      </c>
      <c r="B1063" t="s">
        <v>5459</v>
      </c>
      <c r="C1063" t="s">
        <v>5458</v>
      </c>
      <c r="D1063" t="s">
        <v>2411</v>
      </c>
      <c r="E1063" t="s">
        <v>96</v>
      </c>
      <c r="F1063">
        <v>59.99</v>
      </c>
      <c r="G1063" t="s">
        <v>11</v>
      </c>
      <c r="H1063">
        <v>0</v>
      </c>
      <c r="M1063">
        <v>0</v>
      </c>
      <c r="N1063">
        <v>0</v>
      </c>
      <c r="O1063">
        <v>0</v>
      </c>
      <c r="P1063">
        <v>0</v>
      </c>
    </row>
    <row r="1064" spans="1:16" x14ac:dyDescent="0.2">
      <c r="A1064" t="s">
        <v>6604</v>
      </c>
      <c r="B1064" t="s">
        <v>6606</v>
      </c>
      <c r="C1064" t="s">
        <v>6605</v>
      </c>
      <c r="D1064" t="s">
        <v>2987</v>
      </c>
      <c r="E1064" t="s">
        <v>96</v>
      </c>
      <c r="F1064">
        <v>59.99</v>
      </c>
      <c r="G1064" t="s">
        <v>11</v>
      </c>
      <c r="H1064">
        <v>0</v>
      </c>
      <c r="M1064">
        <v>0</v>
      </c>
      <c r="N1064">
        <v>0</v>
      </c>
      <c r="O1064">
        <v>0</v>
      </c>
      <c r="P1064">
        <v>0</v>
      </c>
    </row>
    <row r="1065" spans="1:16" x14ac:dyDescent="0.2">
      <c r="A1065" t="s">
        <v>6610</v>
      </c>
      <c r="B1065" t="s">
        <v>6612</v>
      </c>
      <c r="C1065" t="s">
        <v>6611</v>
      </c>
      <c r="D1065" t="s">
        <v>2987</v>
      </c>
      <c r="E1065" t="s">
        <v>96</v>
      </c>
      <c r="F1065">
        <v>59.99</v>
      </c>
      <c r="G1065" t="s">
        <v>11</v>
      </c>
      <c r="H1065">
        <v>0</v>
      </c>
      <c r="M1065">
        <v>0</v>
      </c>
      <c r="N1065">
        <v>0</v>
      </c>
      <c r="O1065">
        <v>0</v>
      </c>
      <c r="P1065">
        <v>0</v>
      </c>
    </row>
    <row r="1066" spans="1:16" x14ac:dyDescent="0.2">
      <c r="A1066" t="s">
        <v>6586</v>
      </c>
      <c r="B1066" t="s">
        <v>6588</v>
      </c>
      <c r="C1066" t="s">
        <v>6587</v>
      </c>
      <c r="D1066" t="s">
        <v>2987</v>
      </c>
      <c r="E1066" t="s">
        <v>96</v>
      </c>
      <c r="F1066">
        <v>49.99</v>
      </c>
      <c r="G1066" t="s">
        <v>11</v>
      </c>
      <c r="H1066">
        <v>0</v>
      </c>
      <c r="M1066">
        <v>0</v>
      </c>
      <c r="N1066">
        <v>0</v>
      </c>
      <c r="O1066">
        <v>0</v>
      </c>
      <c r="P1066">
        <v>0</v>
      </c>
    </row>
    <row r="1067" spans="1:16" x14ac:dyDescent="0.2">
      <c r="A1067" t="s">
        <v>6505</v>
      </c>
      <c r="B1067" t="s">
        <v>6507</v>
      </c>
      <c r="C1067" t="s">
        <v>6506</v>
      </c>
      <c r="D1067" t="s">
        <v>2987</v>
      </c>
      <c r="E1067" t="s">
        <v>96</v>
      </c>
      <c r="F1067">
        <v>59.99</v>
      </c>
      <c r="G1067" t="s">
        <v>11</v>
      </c>
      <c r="H1067">
        <v>0</v>
      </c>
      <c r="M1067">
        <v>0</v>
      </c>
      <c r="N1067">
        <v>0</v>
      </c>
      <c r="O1067">
        <v>0</v>
      </c>
      <c r="P1067">
        <v>0</v>
      </c>
    </row>
    <row r="1068" spans="1:16" x14ac:dyDescent="0.2">
      <c r="A1068" t="s">
        <v>6643</v>
      </c>
      <c r="B1068" t="s">
        <v>6645</v>
      </c>
      <c r="C1068" t="s">
        <v>6644</v>
      </c>
      <c r="D1068" t="s">
        <v>2987</v>
      </c>
      <c r="E1068" t="s">
        <v>96</v>
      </c>
      <c r="F1068">
        <v>89.99</v>
      </c>
      <c r="G1068" t="s">
        <v>11</v>
      </c>
      <c r="H1068">
        <v>0</v>
      </c>
      <c r="M1068">
        <v>0</v>
      </c>
      <c r="N1068">
        <v>0</v>
      </c>
      <c r="O1068">
        <v>0</v>
      </c>
      <c r="P1068">
        <v>0</v>
      </c>
    </row>
    <row r="1069" spans="1:16" x14ac:dyDescent="0.2">
      <c r="A1069" t="s">
        <v>6681</v>
      </c>
      <c r="B1069" t="s">
        <v>6683</v>
      </c>
      <c r="C1069" t="s">
        <v>6682</v>
      </c>
      <c r="D1069" t="s">
        <v>2987</v>
      </c>
      <c r="E1069" t="s">
        <v>96</v>
      </c>
      <c r="F1069">
        <v>49.99</v>
      </c>
      <c r="G1069" t="s">
        <v>11</v>
      </c>
      <c r="H1069">
        <v>0</v>
      </c>
      <c r="M1069">
        <v>0</v>
      </c>
      <c r="N1069">
        <v>0</v>
      </c>
      <c r="O1069">
        <v>0</v>
      </c>
      <c r="P1069">
        <v>0</v>
      </c>
    </row>
    <row r="1070" spans="1:16" x14ac:dyDescent="0.2">
      <c r="A1070" t="s">
        <v>6601</v>
      </c>
      <c r="B1070" t="s">
        <v>6603</v>
      </c>
      <c r="C1070" t="s">
        <v>6602</v>
      </c>
      <c r="D1070" t="s">
        <v>2987</v>
      </c>
      <c r="E1070" t="s">
        <v>96</v>
      </c>
      <c r="F1070">
        <v>89.99</v>
      </c>
      <c r="G1070" t="s">
        <v>11</v>
      </c>
      <c r="H1070">
        <v>0</v>
      </c>
      <c r="M1070">
        <v>0</v>
      </c>
      <c r="N1070">
        <v>0</v>
      </c>
      <c r="O1070">
        <v>0</v>
      </c>
      <c r="P1070">
        <v>0</v>
      </c>
    </row>
    <row r="1071" spans="1:16" x14ac:dyDescent="0.2">
      <c r="A1071" t="s">
        <v>6598</v>
      </c>
      <c r="B1071" t="s">
        <v>6600</v>
      </c>
      <c r="C1071" t="s">
        <v>6599</v>
      </c>
      <c r="D1071" t="s">
        <v>2987</v>
      </c>
      <c r="E1071" t="s">
        <v>290</v>
      </c>
      <c r="F1071">
        <v>59.99</v>
      </c>
      <c r="G1071" t="s">
        <v>11</v>
      </c>
      <c r="H1071">
        <v>0</v>
      </c>
      <c r="M1071">
        <v>0</v>
      </c>
      <c r="N1071">
        <v>0</v>
      </c>
      <c r="O1071">
        <v>0</v>
      </c>
      <c r="P1071">
        <v>0</v>
      </c>
    </row>
    <row r="1072" spans="1:16" x14ac:dyDescent="0.2">
      <c r="A1072" t="s">
        <v>6675</v>
      </c>
      <c r="B1072" t="s">
        <v>6677</v>
      </c>
      <c r="C1072" t="s">
        <v>6676</v>
      </c>
      <c r="D1072" t="s">
        <v>2987</v>
      </c>
      <c r="E1072" t="s">
        <v>96</v>
      </c>
      <c r="G1072" t="s">
        <v>11</v>
      </c>
      <c r="H1072">
        <v>0</v>
      </c>
      <c r="M1072">
        <v>0</v>
      </c>
      <c r="N1072">
        <v>0</v>
      </c>
      <c r="P1072">
        <v>0</v>
      </c>
    </row>
    <row r="1073" spans="1:16" x14ac:dyDescent="0.2">
      <c r="A1073" t="s">
        <v>3061</v>
      </c>
      <c r="B1073" t="s">
        <v>6709</v>
      </c>
      <c r="C1073" t="s">
        <v>3062</v>
      </c>
      <c r="D1073" t="s">
        <v>2987</v>
      </c>
      <c r="E1073" t="s">
        <v>290</v>
      </c>
      <c r="F1073">
        <v>229.99</v>
      </c>
      <c r="G1073" t="s">
        <v>11</v>
      </c>
      <c r="H1073">
        <v>0</v>
      </c>
      <c r="M1073">
        <v>0</v>
      </c>
      <c r="N1073">
        <v>0</v>
      </c>
      <c r="O1073">
        <v>0</v>
      </c>
      <c r="P1073">
        <v>0</v>
      </c>
    </row>
    <row r="1074" spans="1:16" x14ac:dyDescent="0.2">
      <c r="A1074" t="s">
        <v>6616</v>
      </c>
      <c r="B1074" t="s">
        <v>6618</v>
      </c>
      <c r="C1074" t="s">
        <v>6617</v>
      </c>
      <c r="D1074" t="s">
        <v>2987</v>
      </c>
      <c r="E1074" t="s">
        <v>96</v>
      </c>
      <c r="F1074">
        <v>69.989999999999995</v>
      </c>
      <c r="G1074" t="s">
        <v>11</v>
      </c>
      <c r="H1074">
        <v>0</v>
      </c>
      <c r="M1074">
        <v>0</v>
      </c>
      <c r="N1074">
        <v>0</v>
      </c>
      <c r="O1074">
        <v>0</v>
      </c>
      <c r="P1074">
        <v>0</v>
      </c>
    </row>
    <row r="1075" spans="1:16" x14ac:dyDescent="0.2">
      <c r="A1075" t="s">
        <v>3057</v>
      </c>
      <c r="B1075" t="s">
        <v>6936</v>
      </c>
      <c r="C1075" t="s">
        <v>3058</v>
      </c>
      <c r="D1075" t="s">
        <v>2987</v>
      </c>
      <c r="E1075" t="s">
        <v>228</v>
      </c>
      <c r="F1075">
        <v>139.99</v>
      </c>
      <c r="G1075" t="s">
        <v>11</v>
      </c>
      <c r="H1075">
        <v>0.13095238095238096</v>
      </c>
      <c r="M1075">
        <v>14</v>
      </c>
      <c r="N1075">
        <v>0.5</v>
      </c>
      <c r="O1075">
        <v>0</v>
      </c>
      <c r="P1075">
        <v>7</v>
      </c>
    </row>
    <row r="1076" spans="1:16" x14ac:dyDescent="0.2">
      <c r="A1076" t="s">
        <v>6660</v>
      </c>
      <c r="B1076" t="s">
        <v>6662</v>
      </c>
      <c r="C1076" t="s">
        <v>6661</v>
      </c>
      <c r="D1076" t="s">
        <v>2987</v>
      </c>
      <c r="E1076" t="s">
        <v>96</v>
      </c>
      <c r="F1076">
        <v>239.99</v>
      </c>
      <c r="G1076" t="s">
        <v>11</v>
      </c>
      <c r="H1076">
        <v>0</v>
      </c>
      <c r="M1076">
        <v>0</v>
      </c>
      <c r="N1076">
        <v>0</v>
      </c>
      <c r="O1076">
        <v>0</v>
      </c>
      <c r="P1076">
        <v>0</v>
      </c>
    </row>
    <row r="1077" spans="1:16" x14ac:dyDescent="0.2">
      <c r="A1077" t="s">
        <v>6574</v>
      </c>
      <c r="B1077" t="s">
        <v>6576</v>
      </c>
      <c r="C1077" t="s">
        <v>6575</v>
      </c>
      <c r="D1077" t="s">
        <v>2987</v>
      </c>
      <c r="E1077" t="s">
        <v>290</v>
      </c>
      <c r="F1077">
        <v>129.99</v>
      </c>
      <c r="G1077" t="s">
        <v>11</v>
      </c>
      <c r="H1077">
        <v>0</v>
      </c>
      <c r="M1077">
        <v>0</v>
      </c>
      <c r="N1077">
        <v>0</v>
      </c>
      <c r="O1077">
        <v>0</v>
      </c>
      <c r="P1077">
        <v>0</v>
      </c>
    </row>
    <row r="1078" spans="1:16" x14ac:dyDescent="0.2">
      <c r="A1078" t="s">
        <v>6672</v>
      </c>
      <c r="B1078" t="s">
        <v>6674</v>
      </c>
      <c r="C1078" t="s">
        <v>6673</v>
      </c>
      <c r="D1078" t="s">
        <v>2987</v>
      </c>
      <c r="E1078" t="s">
        <v>96</v>
      </c>
      <c r="F1078">
        <v>109.99</v>
      </c>
      <c r="G1078" t="s">
        <v>11</v>
      </c>
      <c r="H1078">
        <v>0</v>
      </c>
      <c r="M1078">
        <v>0</v>
      </c>
      <c r="N1078">
        <v>0</v>
      </c>
      <c r="O1078">
        <v>0</v>
      </c>
      <c r="P1078">
        <v>0</v>
      </c>
    </row>
    <row r="1079" spans="1:16" x14ac:dyDescent="0.2">
      <c r="A1079" t="s">
        <v>6897</v>
      </c>
      <c r="B1079" t="s">
        <v>6899</v>
      </c>
      <c r="C1079" t="s">
        <v>6898</v>
      </c>
      <c r="D1079" t="s">
        <v>2987</v>
      </c>
      <c r="E1079" t="s">
        <v>96</v>
      </c>
      <c r="F1079">
        <v>64.989999999999995</v>
      </c>
      <c r="G1079" t="s">
        <v>11</v>
      </c>
      <c r="H1079">
        <v>0</v>
      </c>
      <c r="M1079">
        <v>0</v>
      </c>
      <c r="N1079">
        <v>0</v>
      </c>
      <c r="O1079">
        <v>0</v>
      </c>
      <c r="P1079">
        <v>0</v>
      </c>
    </row>
    <row r="1080" spans="1:16" x14ac:dyDescent="0.2">
      <c r="A1080" t="s">
        <v>6498</v>
      </c>
      <c r="B1080" t="s">
        <v>6500</v>
      </c>
      <c r="C1080" t="s">
        <v>6499</v>
      </c>
      <c r="D1080" t="s">
        <v>2987</v>
      </c>
      <c r="E1080" t="s">
        <v>96</v>
      </c>
      <c r="F1080">
        <v>89.99</v>
      </c>
      <c r="G1080" t="s">
        <v>11</v>
      </c>
      <c r="H1080">
        <v>0</v>
      </c>
      <c r="M1080">
        <v>0</v>
      </c>
      <c r="N1080">
        <v>0</v>
      </c>
      <c r="O1080">
        <v>0</v>
      </c>
      <c r="P1080">
        <v>0</v>
      </c>
    </row>
    <row r="1081" spans="1:16" x14ac:dyDescent="0.2">
      <c r="A1081" t="s">
        <v>6589</v>
      </c>
      <c r="B1081" t="s">
        <v>6591</v>
      </c>
      <c r="C1081" t="s">
        <v>6590</v>
      </c>
      <c r="D1081" t="s">
        <v>2987</v>
      </c>
      <c r="E1081" t="s">
        <v>96</v>
      </c>
      <c r="F1081">
        <v>59.99</v>
      </c>
      <c r="G1081" t="s">
        <v>11</v>
      </c>
      <c r="H1081">
        <v>0</v>
      </c>
      <c r="M1081">
        <v>0</v>
      </c>
      <c r="N1081">
        <v>0</v>
      </c>
      <c r="O1081">
        <v>0</v>
      </c>
      <c r="P1081">
        <v>0</v>
      </c>
    </row>
    <row r="1082" spans="1:16" x14ac:dyDescent="0.2">
      <c r="A1082" t="s">
        <v>3009</v>
      </c>
      <c r="C1082" t="s">
        <v>3010</v>
      </c>
      <c r="D1082" t="s">
        <v>2987</v>
      </c>
      <c r="E1082" t="s">
        <v>228</v>
      </c>
      <c r="F1082">
        <v>99.99</v>
      </c>
      <c r="G1082" t="s">
        <v>11</v>
      </c>
      <c r="H1082">
        <v>0</v>
      </c>
      <c r="M1082">
        <v>0</v>
      </c>
      <c r="N1082">
        <v>0</v>
      </c>
      <c r="O1082">
        <v>0</v>
      </c>
      <c r="P1082">
        <v>0</v>
      </c>
    </row>
    <row r="1083" spans="1:16" x14ac:dyDescent="0.2">
      <c r="A1083" t="s">
        <v>6592</v>
      </c>
      <c r="B1083" t="s">
        <v>6594</v>
      </c>
      <c r="C1083" t="s">
        <v>6593</v>
      </c>
      <c r="D1083" t="s">
        <v>2987</v>
      </c>
      <c r="E1083" t="s">
        <v>96</v>
      </c>
      <c r="F1083">
        <v>59.99</v>
      </c>
      <c r="G1083" t="s">
        <v>11</v>
      </c>
      <c r="H1083">
        <v>0</v>
      </c>
      <c r="M1083">
        <v>0</v>
      </c>
      <c r="N1083">
        <v>0</v>
      </c>
      <c r="O1083">
        <v>0</v>
      </c>
      <c r="P1083">
        <v>0</v>
      </c>
    </row>
    <row r="1084" spans="1:16" x14ac:dyDescent="0.2">
      <c r="A1084" t="s">
        <v>6765</v>
      </c>
      <c r="B1084" t="s">
        <v>6767</v>
      </c>
      <c r="C1084" t="s">
        <v>6766</v>
      </c>
      <c r="D1084" t="s">
        <v>2987</v>
      </c>
      <c r="E1084" t="s">
        <v>96</v>
      </c>
      <c r="F1084">
        <v>129.99</v>
      </c>
      <c r="G1084" t="s">
        <v>11</v>
      </c>
      <c r="H1084">
        <v>0</v>
      </c>
      <c r="M1084">
        <v>0</v>
      </c>
      <c r="N1084">
        <v>0</v>
      </c>
      <c r="O1084">
        <v>0</v>
      </c>
      <c r="P1084">
        <v>0</v>
      </c>
    </row>
    <row r="1085" spans="1:16" x14ac:dyDescent="0.2">
      <c r="A1085" t="s">
        <v>3067</v>
      </c>
      <c r="B1085" t="s">
        <v>6864</v>
      </c>
      <c r="C1085" t="s">
        <v>3068</v>
      </c>
      <c r="D1085" t="s">
        <v>2987</v>
      </c>
      <c r="E1085" t="s">
        <v>228</v>
      </c>
      <c r="F1085">
        <v>99.99</v>
      </c>
      <c r="G1085" t="s">
        <v>11</v>
      </c>
      <c r="H1085">
        <v>0</v>
      </c>
      <c r="M1085">
        <v>0</v>
      </c>
      <c r="N1085">
        <v>0</v>
      </c>
      <c r="O1085">
        <v>0</v>
      </c>
      <c r="P1085">
        <v>5</v>
      </c>
    </row>
    <row r="1086" spans="1:16" x14ac:dyDescent="0.2">
      <c r="A1086" t="s">
        <v>6684</v>
      </c>
      <c r="B1086" t="s">
        <v>6686</v>
      </c>
      <c r="C1086" t="s">
        <v>6685</v>
      </c>
      <c r="D1086" t="s">
        <v>2987</v>
      </c>
      <c r="E1086" t="s">
        <v>96</v>
      </c>
      <c r="F1086">
        <v>49.99</v>
      </c>
      <c r="G1086" t="s">
        <v>11</v>
      </c>
      <c r="H1086">
        <v>0</v>
      </c>
      <c r="M1086">
        <v>0</v>
      </c>
      <c r="N1086">
        <v>0</v>
      </c>
      <c r="O1086">
        <v>0</v>
      </c>
      <c r="P1086">
        <v>0</v>
      </c>
    </row>
    <row r="1087" spans="1:16" x14ac:dyDescent="0.2">
      <c r="A1087" t="s">
        <v>6637</v>
      </c>
      <c r="B1087" t="s">
        <v>6639</v>
      </c>
      <c r="C1087" t="s">
        <v>6638</v>
      </c>
      <c r="D1087" t="s">
        <v>2987</v>
      </c>
      <c r="E1087" t="s">
        <v>96</v>
      </c>
      <c r="F1087">
        <v>44.99</v>
      </c>
      <c r="G1087" t="s">
        <v>11</v>
      </c>
      <c r="H1087">
        <v>0</v>
      </c>
      <c r="M1087">
        <v>0</v>
      </c>
      <c r="N1087">
        <v>0</v>
      </c>
      <c r="O1087">
        <v>0</v>
      </c>
      <c r="P1087">
        <v>0</v>
      </c>
    </row>
    <row r="1088" spans="1:16" x14ac:dyDescent="0.2">
      <c r="A1088" t="s">
        <v>6853</v>
      </c>
      <c r="B1088" t="s">
        <v>6855</v>
      </c>
      <c r="C1088" t="s">
        <v>6854</v>
      </c>
      <c r="D1088" t="s">
        <v>2987</v>
      </c>
      <c r="E1088" t="s">
        <v>290</v>
      </c>
      <c r="F1088">
        <v>79.989999999999995</v>
      </c>
      <c r="G1088" t="s">
        <v>11</v>
      </c>
      <c r="H1088">
        <v>0</v>
      </c>
      <c r="M1088">
        <v>0</v>
      </c>
      <c r="N1088">
        <v>0</v>
      </c>
      <c r="O1088">
        <v>0</v>
      </c>
      <c r="P1088">
        <v>13</v>
      </c>
    </row>
    <row r="1089" spans="1:16" x14ac:dyDescent="0.2">
      <c r="A1089" t="s">
        <v>6879</v>
      </c>
      <c r="B1089" t="s">
        <v>6881</v>
      </c>
      <c r="C1089" t="s">
        <v>6880</v>
      </c>
      <c r="D1089" t="s">
        <v>2987</v>
      </c>
      <c r="E1089" t="s">
        <v>96</v>
      </c>
      <c r="F1089">
        <v>74.989999999999995</v>
      </c>
      <c r="G1089" t="s">
        <v>11</v>
      </c>
      <c r="H1089">
        <v>0</v>
      </c>
      <c r="M1089">
        <v>0</v>
      </c>
      <c r="N1089">
        <v>0</v>
      </c>
      <c r="O1089">
        <v>0</v>
      </c>
      <c r="P1089">
        <v>0</v>
      </c>
    </row>
    <row r="1090" spans="1:16" x14ac:dyDescent="0.2">
      <c r="A1090" t="s">
        <v>6882</v>
      </c>
      <c r="B1090" t="s">
        <v>6884</v>
      </c>
      <c r="C1090" t="s">
        <v>6883</v>
      </c>
      <c r="D1090" t="s">
        <v>2987</v>
      </c>
      <c r="E1090" t="s">
        <v>290</v>
      </c>
      <c r="F1090">
        <v>74.989999999999995</v>
      </c>
      <c r="G1090" t="s">
        <v>11</v>
      </c>
      <c r="H1090">
        <v>0</v>
      </c>
      <c r="M1090">
        <v>0</v>
      </c>
      <c r="N1090">
        <v>0</v>
      </c>
      <c r="O1090">
        <v>0</v>
      </c>
      <c r="P1090">
        <v>0</v>
      </c>
    </row>
    <row r="1091" spans="1:16" x14ac:dyDescent="0.2">
      <c r="A1091" t="s">
        <v>6735</v>
      </c>
      <c r="B1091" t="s">
        <v>6737</v>
      </c>
      <c r="C1091" t="s">
        <v>6736</v>
      </c>
      <c r="D1091" t="s">
        <v>2987</v>
      </c>
      <c r="E1091" t="s">
        <v>96</v>
      </c>
      <c r="F1091">
        <v>109.99</v>
      </c>
      <c r="G1091" t="s">
        <v>11</v>
      </c>
      <c r="H1091">
        <v>0</v>
      </c>
      <c r="M1091">
        <v>0</v>
      </c>
      <c r="N1091">
        <v>0</v>
      </c>
      <c r="O1091">
        <v>0</v>
      </c>
      <c r="P1091">
        <v>0</v>
      </c>
    </row>
    <row r="1092" spans="1:16" x14ac:dyDescent="0.2">
      <c r="A1092" t="s">
        <v>6738</v>
      </c>
      <c r="B1092" t="s">
        <v>6740</v>
      </c>
      <c r="C1092" t="s">
        <v>6739</v>
      </c>
      <c r="D1092" t="s">
        <v>2987</v>
      </c>
      <c r="E1092" t="s">
        <v>96</v>
      </c>
      <c r="F1092">
        <v>109.99</v>
      </c>
      <c r="G1092" t="s">
        <v>11</v>
      </c>
      <c r="H1092">
        <v>0</v>
      </c>
      <c r="M1092">
        <v>0</v>
      </c>
      <c r="N1092">
        <v>0</v>
      </c>
      <c r="O1092">
        <v>0</v>
      </c>
      <c r="P1092">
        <v>0</v>
      </c>
    </row>
    <row r="1093" spans="1:16" x14ac:dyDescent="0.2">
      <c r="A1093" t="s">
        <v>6628</v>
      </c>
      <c r="B1093" t="s">
        <v>6630</v>
      </c>
      <c r="C1093" t="s">
        <v>6629</v>
      </c>
      <c r="D1093" t="s">
        <v>2987</v>
      </c>
      <c r="E1093" t="s">
        <v>96</v>
      </c>
      <c r="G1093" t="s">
        <v>11</v>
      </c>
      <c r="H1093">
        <v>0</v>
      </c>
      <c r="M1093">
        <v>0</v>
      </c>
      <c r="N1093">
        <v>0</v>
      </c>
      <c r="P1093">
        <v>0</v>
      </c>
    </row>
    <row r="1094" spans="1:16" x14ac:dyDescent="0.2">
      <c r="A1094" t="s">
        <v>6741</v>
      </c>
      <c r="B1094" t="s">
        <v>6743</v>
      </c>
      <c r="C1094" t="s">
        <v>6742</v>
      </c>
      <c r="D1094" t="s">
        <v>2987</v>
      </c>
      <c r="E1094" t="s">
        <v>96</v>
      </c>
      <c r="F1094">
        <v>109.99</v>
      </c>
      <c r="G1094" t="s">
        <v>11</v>
      </c>
      <c r="H1094">
        <v>0</v>
      </c>
      <c r="M1094">
        <v>0</v>
      </c>
      <c r="N1094">
        <v>0</v>
      </c>
      <c r="O1094">
        <v>0</v>
      </c>
      <c r="P1094">
        <v>0</v>
      </c>
    </row>
    <row r="1095" spans="1:16" x14ac:dyDescent="0.2">
      <c r="A1095" t="s">
        <v>6808</v>
      </c>
      <c r="B1095" t="s">
        <v>6810</v>
      </c>
      <c r="C1095" t="s">
        <v>6809</v>
      </c>
      <c r="D1095" t="s">
        <v>2987</v>
      </c>
      <c r="E1095" t="s">
        <v>96</v>
      </c>
      <c r="F1095">
        <v>89.99</v>
      </c>
      <c r="G1095" t="s">
        <v>11</v>
      </c>
      <c r="H1095">
        <v>0</v>
      </c>
      <c r="M1095">
        <v>0</v>
      </c>
      <c r="N1095">
        <v>0</v>
      </c>
      <c r="O1095">
        <v>0</v>
      </c>
      <c r="P1095">
        <v>0</v>
      </c>
    </row>
    <row r="1096" spans="1:16" x14ac:dyDescent="0.2">
      <c r="A1096" t="s">
        <v>2931</v>
      </c>
      <c r="B1096" t="s">
        <v>6456</v>
      </c>
      <c r="C1096" t="s">
        <v>2932</v>
      </c>
      <c r="D1096" t="s">
        <v>2928</v>
      </c>
      <c r="E1096" t="s">
        <v>96</v>
      </c>
      <c r="F1096">
        <v>159.99</v>
      </c>
      <c r="G1096" t="s">
        <v>11</v>
      </c>
      <c r="H1096">
        <v>0</v>
      </c>
      <c r="M1096">
        <v>0</v>
      </c>
      <c r="N1096">
        <v>0</v>
      </c>
      <c r="O1096">
        <v>0</v>
      </c>
      <c r="P1096">
        <v>0</v>
      </c>
    </row>
    <row r="1097" spans="1:16" x14ac:dyDescent="0.2">
      <c r="A1097" t="s">
        <v>6607</v>
      </c>
      <c r="B1097" t="s">
        <v>6609</v>
      </c>
      <c r="C1097" t="s">
        <v>6608</v>
      </c>
      <c r="D1097" t="s">
        <v>2987</v>
      </c>
      <c r="E1097" t="s">
        <v>96</v>
      </c>
      <c r="F1097">
        <v>59.99</v>
      </c>
      <c r="G1097" t="s">
        <v>11</v>
      </c>
      <c r="H1097">
        <v>0</v>
      </c>
      <c r="M1097">
        <v>0</v>
      </c>
      <c r="N1097">
        <v>0</v>
      </c>
      <c r="O1097">
        <v>0</v>
      </c>
      <c r="P1097">
        <v>0</v>
      </c>
    </row>
    <row r="1098" spans="1:16" x14ac:dyDescent="0.2">
      <c r="A1098" t="s">
        <v>6894</v>
      </c>
      <c r="B1098" t="s">
        <v>6896</v>
      </c>
      <c r="C1098" t="s">
        <v>6895</v>
      </c>
      <c r="D1098" t="s">
        <v>2987</v>
      </c>
      <c r="E1098" t="s">
        <v>96</v>
      </c>
      <c r="F1098">
        <v>64.989999999999995</v>
      </c>
      <c r="G1098" t="s">
        <v>11</v>
      </c>
      <c r="H1098">
        <v>0</v>
      </c>
      <c r="M1098">
        <v>0</v>
      </c>
      <c r="N1098">
        <v>0</v>
      </c>
      <c r="O1098">
        <v>0</v>
      </c>
      <c r="P1098">
        <v>0</v>
      </c>
    </row>
    <row r="1099" spans="1:16" x14ac:dyDescent="0.2">
      <c r="A1099" t="s">
        <v>6908</v>
      </c>
      <c r="B1099" t="s">
        <v>6910</v>
      </c>
      <c r="C1099" t="s">
        <v>6909</v>
      </c>
      <c r="D1099" t="s">
        <v>2987</v>
      </c>
      <c r="E1099" t="s">
        <v>96</v>
      </c>
      <c r="F1099">
        <v>49.99</v>
      </c>
      <c r="G1099" t="s">
        <v>11</v>
      </c>
      <c r="H1099">
        <v>0</v>
      </c>
      <c r="M1099">
        <v>0</v>
      </c>
      <c r="N1099">
        <v>0</v>
      </c>
      <c r="O1099">
        <v>0</v>
      </c>
      <c r="P1099">
        <v>0</v>
      </c>
    </row>
    <row r="1100" spans="1:16" x14ac:dyDescent="0.2">
      <c r="A1100" t="s">
        <v>6509</v>
      </c>
      <c r="B1100" t="s">
        <v>6511</v>
      </c>
      <c r="C1100" t="s">
        <v>6510</v>
      </c>
      <c r="D1100" t="s">
        <v>2987</v>
      </c>
      <c r="E1100" t="s">
        <v>96</v>
      </c>
      <c r="F1100">
        <v>139.99</v>
      </c>
      <c r="G1100" t="s">
        <v>11</v>
      </c>
      <c r="H1100">
        <v>0</v>
      </c>
      <c r="M1100">
        <v>0</v>
      </c>
      <c r="N1100">
        <v>0</v>
      </c>
      <c r="O1100">
        <v>0</v>
      </c>
      <c r="P1100">
        <v>0</v>
      </c>
    </row>
    <row r="1101" spans="1:16" x14ac:dyDescent="0.2">
      <c r="A1101" t="s">
        <v>6706</v>
      </c>
      <c r="B1101" t="s">
        <v>6708</v>
      </c>
      <c r="C1101" t="s">
        <v>6707</v>
      </c>
      <c r="D1101" t="s">
        <v>2987</v>
      </c>
      <c r="E1101" t="s">
        <v>96</v>
      </c>
      <c r="G1101" t="s">
        <v>11</v>
      </c>
      <c r="H1101">
        <v>0</v>
      </c>
      <c r="M1101">
        <v>0</v>
      </c>
      <c r="N1101">
        <v>0</v>
      </c>
      <c r="P1101">
        <v>0</v>
      </c>
    </row>
    <row r="1102" spans="1:16" x14ac:dyDescent="0.2">
      <c r="A1102" t="s">
        <v>6769</v>
      </c>
      <c r="B1102" t="s">
        <v>6771</v>
      </c>
      <c r="C1102" t="s">
        <v>6770</v>
      </c>
      <c r="D1102" t="s">
        <v>2987</v>
      </c>
      <c r="E1102" t="s">
        <v>96</v>
      </c>
      <c r="F1102">
        <v>159.99</v>
      </c>
      <c r="G1102" t="s">
        <v>11</v>
      </c>
      <c r="H1102">
        <v>0</v>
      </c>
      <c r="M1102">
        <v>0</v>
      </c>
      <c r="N1102">
        <v>0</v>
      </c>
      <c r="O1102">
        <v>0</v>
      </c>
      <c r="P1102">
        <v>0</v>
      </c>
    </row>
    <row r="1103" spans="1:16" x14ac:dyDescent="0.2">
      <c r="A1103" t="s">
        <v>6802</v>
      </c>
      <c r="B1103" t="s">
        <v>6804</v>
      </c>
      <c r="C1103" t="s">
        <v>6803</v>
      </c>
      <c r="D1103" t="s">
        <v>2987</v>
      </c>
      <c r="E1103" t="s">
        <v>96</v>
      </c>
      <c r="F1103">
        <v>89.99</v>
      </c>
      <c r="G1103" t="s">
        <v>11</v>
      </c>
      <c r="H1103">
        <v>0</v>
      </c>
      <c r="M1103">
        <v>0</v>
      </c>
      <c r="N1103">
        <v>0</v>
      </c>
      <c r="O1103">
        <v>0</v>
      </c>
      <c r="P1103">
        <v>0</v>
      </c>
    </row>
    <row r="1104" spans="1:16" x14ac:dyDescent="0.2">
      <c r="A1104" t="s">
        <v>6826</v>
      </c>
      <c r="B1104" t="s">
        <v>6828</v>
      </c>
      <c r="C1104" t="s">
        <v>6827</v>
      </c>
      <c r="D1104" t="s">
        <v>2987</v>
      </c>
      <c r="E1104" t="s">
        <v>96</v>
      </c>
      <c r="F1104">
        <v>89.99</v>
      </c>
      <c r="G1104" t="s">
        <v>11</v>
      </c>
      <c r="H1104">
        <v>0</v>
      </c>
      <c r="M1104">
        <v>0</v>
      </c>
      <c r="N1104">
        <v>0</v>
      </c>
      <c r="O1104">
        <v>0</v>
      </c>
      <c r="P1104">
        <v>0</v>
      </c>
    </row>
    <row r="1105" spans="1:16" x14ac:dyDescent="0.2">
      <c r="A1105" t="s">
        <v>6840</v>
      </c>
      <c r="B1105" t="s">
        <v>6842</v>
      </c>
      <c r="C1105" t="s">
        <v>6841</v>
      </c>
      <c r="D1105" t="s">
        <v>2987</v>
      </c>
      <c r="E1105" t="s">
        <v>96</v>
      </c>
      <c r="F1105">
        <v>159.99</v>
      </c>
      <c r="G1105" t="s">
        <v>11</v>
      </c>
      <c r="H1105">
        <v>0</v>
      </c>
      <c r="M1105">
        <v>0</v>
      </c>
      <c r="N1105">
        <v>0</v>
      </c>
      <c r="O1105">
        <v>0</v>
      </c>
      <c r="P1105">
        <v>0</v>
      </c>
    </row>
    <row r="1106" spans="1:16" x14ac:dyDescent="0.2">
      <c r="A1106" t="s">
        <v>6917</v>
      </c>
      <c r="B1106" t="s">
        <v>6919</v>
      </c>
      <c r="C1106" t="s">
        <v>6918</v>
      </c>
      <c r="D1106" t="s">
        <v>2987</v>
      </c>
      <c r="E1106" t="s">
        <v>96</v>
      </c>
      <c r="F1106">
        <v>159.99</v>
      </c>
      <c r="G1106" t="s">
        <v>11</v>
      </c>
      <c r="H1106">
        <v>0</v>
      </c>
      <c r="M1106">
        <v>0</v>
      </c>
      <c r="N1106">
        <v>0</v>
      </c>
      <c r="O1106">
        <v>0</v>
      </c>
      <c r="P1106">
        <v>0</v>
      </c>
    </row>
    <row r="1107" spans="1:16" x14ac:dyDescent="0.2">
      <c r="A1107" t="s">
        <v>3282</v>
      </c>
      <c r="B1107" t="s">
        <v>6980</v>
      </c>
      <c r="C1107" t="s">
        <v>3281</v>
      </c>
      <c r="D1107" t="s">
        <v>3268</v>
      </c>
      <c r="E1107" t="s">
        <v>228</v>
      </c>
      <c r="F1107">
        <v>99.99</v>
      </c>
      <c r="G1107" t="s">
        <v>11</v>
      </c>
      <c r="H1107">
        <v>0</v>
      </c>
      <c r="M1107">
        <v>0</v>
      </c>
      <c r="N1107">
        <v>0</v>
      </c>
      <c r="O1107">
        <v>0</v>
      </c>
      <c r="P1107">
        <v>0</v>
      </c>
    </row>
    <row r="1108" spans="1:16" x14ac:dyDescent="0.2">
      <c r="A1108" t="s">
        <v>6690</v>
      </c>
      <c r="B1108" t="s">
        <v>6692</v>
      </c>
      <c r="C1108" t="s">
        <v>6691</v>
      </c>
      <c r="D1108" t="s">
        <v>2987</v>
      </c>
      <c r="E1108" t="s">
        <v>96</v>
      </c>
      <c r="F1108">
        <v>74.989999999999995</v>
      </c>
      <c r="G1108" t="s">
        <v>11</v>
      </c>
      <c r="H1108">
        <v>0</v>
      </c>
      <c r="M1108">
        <v>0</v>
      </c>
      <c r="N1108">
        <v>0</v>
      </c>
      <c r="O1108">
        <v>0</v>
      </c>
      <c r="P1108">
        <v>0</v>
      </c>
    </row>
    <row r="1109" spans="1:16" x14ac:dyDescent="0.2">
      <c r="A1109" t="s">
        <v>6407</v>
      </c>
      <c r="B1109" t="s">
        <v>6409</v>
      </c>
      <c r="C1109" t="s">
        <v>6408</v>
      </c>
      <c r="D1109" t="s">
        <v>6405</v>
      </c>
      <c r="E1109" t="s">
        <v>96</v>
      </c>
      <c r="F1109">
        <v>179.99</v>
      </c>
      <c r="G1109" t="s">
        <v>11</v>
      </c>
      <c r="H1109">
        <v>0</v>
      </c>
      <c r="M1109">
        <v>0</v>
      </c>
      <c r="N1109">
        <v>0</v>
      </c>
      <c r="O1109">
        <v>0</v>
      </c>
      <c r="P1109">
        <v>0</v>
      </c>
    </row>
    <row r="1110" spans="1:16" x14ac:dyDescent="0.2">
      <c r="A1110" t="s">
        <v>6410</v>
      </c>
      <c r="B1110" t="s">
        <v>6412</v>
      </c>
      <c r="C1110" t="s">
        <v>6411</v>
      </c>
      <c r="D1110" t="s">
        <v>6405</v>
      </c>
      <c r="E1110" t="s">
        <v>96</v>
      </c>
      <c r="F1110">
        <v>179.99</v>
      </c>
      <c r="G1110" t="s">
        <v>11</v>
      </c>
      <c r="H1110">
        <v>0</v>
      </c>
      <c r="M1110">
        <v>0</v>
      </c>
      <c r="N1110">
        <v>0</v>
      </c>
      <c r="O1110">
        <v>0</v>
      </c>
      <c r="P1110">
        <v>0</v>
      </c>
    </row>
    <row r="1111" spans="1:16" x14ac:dyDescent="0.2">
      <c r="A1111" t="s">
        <v>6419</v>
      </c>
      <c r="B1111" t="s">
        <v>6421</v>
      </c>
      <c r="C1111" t="s">
        <v>6420</v>
      </c>
      <c r="D1111" t="s">
        <v>6405</v>
      </c>
      <c r="E1111" t="s">
        <v>96</v>
      </c>
      <c r="F1111">
        <v>159.94999999999999</v>
      </c>
      <c r="G1111" t="s">
        <v>11</v>
      </c>
      <c r="H1111">
        <v>0</v>
      </c>
      <c r="M1111">
        <v>0</v>
      </c>
      <c r="N1111">
        <v>0</v>
      </c>
      <c r="O1111">
        <v>0</v>
      </c>
      <c r="P1111">
        <v>0</v>
      </c>
    </row>
    <row r="1112" spans="1:16" x14ac:dyDescent="0.2">
      <c r="A1112" t="s">
        <v>6422</v>
      </c>
      <c r="B1112" t="s">
        <v>6424</v>
      </c>
      <c r="C1112" t="s">
        <v>6423</v>
      </c>
      <c r="D1112" t="s">
        <v>6405</v>
      </c>
      <c r="E1112" t="s">
        <v>96</v>
      </c>
      <c r="F1112">
        <v>169.99</v>
      </c>
      <c r="G1112" t="s">
        <v>11</v>
      </c>
      <c r="H1112">
        <v>0</v>
      </c>
      <c r="M1112">
        <v>0</v>
      </c>
      <c r="N1112">
        <v>0</v>
      </c>
      <c r="O1112">
        <v>0</v>
      </c>
      <c r="P1112">
        <v>0</v>
      </c>
    </row>
    <row r="1113" spans="1:16" x14ac:dyDescent="0.2">
      <c r="A1113" t="s">
        <v>6425</v>
      </c>
      <c r="B1113" t="s">
        <v>6427</v>
      </c>
      <c r="C1113" t="s">
        <v>6426</v>
      </c>
      <c r="D1113" t="s">
        <v>6405</v>
      </c>
      <c r="E1113" t="s">
        <v>96</v>
      </c>
      <c r="F1113">
        <v>169.95</v>
      </c>
      <c r="G1113" t="s">
        <v>11</v>
      </c>
      <c r="H1113">
        <v>0</v>
      </c>
      <c r="M1113">
        <v>0</v>
      </c>
      <c r="N1113">
        <v>0</v>
      </c>
      <c r="O1113">
        <v>0</v>
      </c>
      <c r="P1113">
        <v>0</v>
      </c>
    </row>
    <row r="1114" spans="1:16" x14ac:dyDescent="0.2">
      <c r="A1114" t="s">
        <v>6413</v>
      </c>
      <c r="B1114" t="s">
        <v>6415</v>
      </c>
      <c r="C1114" t="s">
        <v>6414</v>
      </c>
      <c r="D1114" t="s">
        <v>6405</v>
      </c>
      <c r="E1114" t="s">
        <v>96</v>
      </c>
      <c r="F1114">
        <v>129.94999999999999</v>
      </c>
      <c r="G1114" t="s">
        <v>11</v>
      </c>
      <c r="H1114">
        <v>0</v>
      </c>
      <c r="M1114">
        <v>0</v>
      </c>
      <c r="N1114">
        <v>0</v>
      </c>
      <c r="O1114">
        <v>0</v>
      </c>
      <c r="P1114">
        <v>0</v>
      </c>
    </row>
    <row r="1115" spans="1:16" x14ac:dyDescent="0.2">
      <c r="A1115" t="s">
        <v>6416</v>
      </c>
      <c r="B1115" t="s">
        <v>6418</v>
      </c>
      <c r="C1115" t="s">
        <v>6417</v>
      </c>
      <c r="D1115" t="s">
        <v>6405</v>
      </c>
      <c r="E1115" t="s">
        <v>96</v>
      </c>
      <c r="F1115">
        <v>129.94999999999999</v>
      </c>
      <c r="G1115" t="s">
        <v>11</v>
      </c>
      <c r="H1115">
        <v>0</v>
      </c>
      <c r="M1115">
        <v>0</v>
      </c>
      <c r="N1115">
        <v>0</v>
      </c>
      <c r="O1115">
        <v>0</v>
      </c>
      <c r="P1115">
        <v>0</v>
      </c>
    </row>
    <row r="1116" spans="1:16" x14ac:dyDescent="0.2">
      <c r="A1116" t="s">
        <v>6475</v>
      </c>
      <c r="B1116" t="s">
        <v>6477</v>
      </c>
      <c r="C1116" t="s">
        <v>6476</v>
      </c>
      <c r="D1116" t="s">
        <v>6405</v>
      </c>
      <c r="E1116" t="s">
        <v>96</v>
      </c>
      <c r="F1116">
        <v>189.99</v>
      </c>
      <c r="G1116" t="s">
        <v>11</v>
      </c>
      <c r="H1116">
        <v>0</v>
      </c>
      <c r="M1116">
        <v>0</v>
      </c>
      <c r="N1116">
        <v>0</v>
      </c>
      <c r="O1116">
        <v>0</v>
      </c>
      <c r="P1116">
        <v>0</v>
      </c>
    </row>
    <row r="1117" spans="1:16" x14ac:dyDescent="0.2">
      <c r="A1117" t="s">
        <v>6568</v>
      </c>
      <c r="B1117" t="s">
        <v>6570</v>
      </c>
      <c r="C1117" t="s">
        <v>6569</v>
      </c>
      <c r="D1117" t="s">
        <v>6405</v>
      </c>
      <c r="E1117" t="s">
        <v>96</v>
      </c>
      <c r="F1117">
        <v>179.95</v>
      </c>
      <c r="G1117" t="s">
        <v>11</v>
      </c>
      <c r="H1117">
        <v>0</v>
      </c>
      <c r="M1117">
        <v>0</v>
      </c>
      <c r="N1117">
        <v>0</v>
      </c>
      <c r="O1117">
        <v>0</v>
      </c>
      <c r="P1117">
        <v>0</v>
      </c>
    </row>
    <row r="1118" spans="1:16" x14ac:dyDescent="0.2">
      <c r="A1118" t="s">
        <v>2500</v>
      </c>
      <c r="B1118" t="s">
        <v>5805</v>
      </c>
      <c r="C1118" t="s">
        <v>2501</v>
      </c>
      <c r="D1118" t="s">
        <v>2495</v>
      </c>
      <c r="E1118" t="s">
        <v>290</v>
      </c>
      <c r="F1118">
        <v>159.99</v>
      </c>
      <c r="G1118" t="s">
        <v>11</v>
      </c>
      <c r="H1118">
        <v>0</v>
      </c>
      <c r="M1118">
        <v>0</v>
      </c>
      <c r="N1118">
        <v>0</v>
      </c>
      <c r="O1118">
        <v>0</v>
      </c>
      <c r="P1118">
        <v>0</v>
      </c>
    </row>
    <row r="1119" spans="1:16" x14ac:dyDescent="0.2">
      <c r="A1119" t="s">
        <v>6702</v>
      </c>
      <c r="B1119" t="s">
        <v>6704</v>
      </c>
      <c r="C1119" t="s">
        <v>6703</v>
      </c>
      <c r="D1119" t="s">
        <v>2987</v>
      </c>
      <c r="E1119" t="s">
        <v>228</v>
      </c>
      <c r="F1119">
        <v>99.99</v>
      </c>
      <c r="G1119" t="s">
        <v>11</v>
      </c>
      <c r="H1119">
        <v>0</v>
      </c>
      <c r="M1119">
        <v>0</v>
      </c>
      <c r="N1119">
        <v>0</v>
      </c>
      <c r="O1119">
        <v>0</v>
      </c>
      <c r="P1119">
        <v>0</v>
      </c>
    </row>
    <row r="1120" spans="1:16" x14ac:dyDescent="0.2">
      <c r="A1120" t="s">
        <v>2983</v>
      </c>
      <c r="B1120" t="s">
        <v>6461</v>
      </c>
      <c r="C1120" t="s">
        <v>2984</v>
      </c>
      <c r="D1120" t="s">
        <v>2928</v>
      </c>
      <c r="E1120" t="s">
        <v>290</v>
      </c>
      <c r="F1120">
        <v>119.99</v>
      </c>
      <c r="G1120" t="s">
        <v>11</v>
      </c>
      <c r="H1120">
        <v>0</v>
      </c>
      <c r="M1120">
        <v>0</v>
      </c>
      <c r="N1120">
        <v>0</v>
      </c>
      <c r="O1120">
        <v>0</v>
      </c>
      <c r="P1120">
        <v>0</v>
      </c>
    </row>
    <row r="1121" spans="1:16" x14ac:dyDescent="0.2">
      <c r="A1121" t="s">
        <v>6713</v>
      </c>
      <c r="B1121" t="s">
        <v>6715</v>
      </c>
      <c r="C1121" t="s">
        <v>6714</v>
      </c>
      <c r="D1121" t="s">
        <v>2987</v>
      </c>
      <c r="E1121" t="s">
        <v>96</v>
      </c>
      <c r="F1121">
        <v>99.99</v>
      </c>
      <c r="G1121" t="s">
        <v>11</v>
      </c>
      <c r="H1121">
        <v>0</v>
      </c>
      <c r="M1121">
        <v>0</v>
      </c>
      <c r="N1121">
        <v>0</v>
      </c>
      <c r="O1121">
        <v>0</v>
      </c>
      <c r="P1121">
        <v>0</v>
      </c>
    </row>
    <row r="1122" spans="1:16" x14ac:dyDescent="0.2">
      <c r="A1122" t="s">
        <v>6716</v>
      </c>
      <c r="B1122" t="s">
        <v>6718</v>
      </c>
      <c r="C1122" t="s">
        <v>6717</v>
      </c>
      <c r="D1122" t="s">
        <v>2987</v>
      </c>
      <c r="E1122" t="s">
        <v>96</v>
      </c>
      <c r="F1122">
        <v>99.99</v>
      </c>
      <c r="G1122" t="s">
        <v>11</v>
      </c>
      <c r="H1122">
        <v>0</v>
      </c>
      <c r="M1122">
        <v>0</v>
      </c>
      <c r="N1122">
        <v>0</v>
      </c>
      <c r="O1122">
        <v>0</v>
      </c>
      <c r="P1122">
        <v>0</v>
      </c>
    </row>
    <row r="1123" spans="1:16" x14ac:dyDescent="0.2">
      <c r="A1123" t="s">
        <v>2414</v>
      </c>
      <c r="B1123" t="s">
        <v>5466</v>
      </c>
      <c r="C1123" t="s">
        <v>2415</v>
      </c>
      <c r="D1123" t="s">
        <v>2411</v>
      </c>
      <c r="E1123" t="s">
        <v>96</v>
      </c>
      <c r="F1123">
        <v>24.99</v>
      </c>
      <c r="G1123" t="s">
        <v>11</v>
      </c>
      <c r="H1123">
        <v>0</v>
      </c>
      <c r="M1123">
        <v>0</v>
      </c>
      <c r="N1123">
        <v>0</v>
      </c>
      <c r="O1123">
        <v>0</v>
      </c>
      <c r="P1123">
        <v>0</v>
      </c>
    </row>
    <row r="1124" spans="1:16" x14ac:dyDescent="0.2">
      <c r="A1124" t="s">
        <v>6472</v>
      </c>
      <c r="B1124" t="s">
        <v>6474</v>
      </c>
      <c r="C1124" t="s">
        <v>6473</v>
      </c>
      <c r="D1124" t="s">
        <v>6405</v>
      </c>
      <c r="E1124" t="s">
        <v>96</v>
      </c>
      <c r="F1124">
        <v>189.99</v>
      </c>
      <c r="G1124" t="s">
        <v>11</v>
      </c>
      <c r="H1124">
        <v>0</v>
      </c>
      <c r="M1124">
        <v>0</v>
      </c>
      <c r="N1124">
        <v>0</v>
      </c>
      <c r="O1124">
        <v>0</v>
      </c>
      <c r="P1124">
        <v>0</v>
      </c>
    </row>
    <row r="1125" spans="1:16" x14ac:dyDescent="0.2">
      <c r="A1125" t="s">
        <v>3075</v>
      </c>
      <c r="B1125" t="s">
        <v>6534</v>
      </c>
      <c r="C1125" t="s">
        <v>3076</v>
      </c>
      <c r="D1125" t="s">
        <v>2987</v>
      </c>
      <c r="E1125" t="s">
        <v>228</v>
      </c>
      <c r="F1125">
        <v>49.99</v>
      </c>
      <c r="G1125" t="s">
        <v>11</v>
      </c>
      <c r="H1125">
        <v>8.3333333333333343E-2</v>
      </c>
      <c r="M1125">
        <v>14.999999999999998</v>
      </c>
      <c r="N1125">
        <v>0.33333333333333337</v>
      </c>
      <c r="O1125">
        <v>0</v>
      </c>
      <c r="P1125">
        <v>5</v>
      </c>
    </row>
    <row r="1126" spans="1:16" x14ac:dyDescent="0.2">
      <c r="A1126" t="s">
        <v>6850</v>
      </c>
      <c r="B1126" t="s">
        <v>6852</v>
      </c>
      <c r="C1126" t="s">
        <v>6851</v>
      </c>
      <c r="D1126" t="s">
        <v>2987</v>
      </c>
      <c r="E1126" t="s">
        <v>96</v>
      </c>
      <c r="F1126">
        <v>159.99</v>
      </c>
      <c r="G1126" t="s">
        <v>11</v>
      </c>
      <c r="H1126">
        <v>0</v>
      </c>
      <c r="M1126">
        <v>0</v>
      </c>
      <c r="N1126">
        <v>0</v>
      </c>
      <c r="O1126">
        <v>0</v>
      </c>
      <c r="P1126">
        <v>0</v>
      </c>
    </row>
    <row r="1127" spans="1:16" x14ac:dyDescent="0.2">
      <c r="A1127" t="s">
        <v>6847</v>
      </c>
      <c r="B1127" t="s">
        <v>6849</v>
      </c>
      <c r="C1127" t="s">
        <v>6848</v>
      </c>
      <c r="D1127" t="s">
        <v>2987</v>
      </c>
      <c r="E1127" t="s">
        <v>96</v>
      </c>
      <c r="F1127">
        <v>119.99</v>
      </c>
      <c r="G1127" t="s">
        <v>11</v>
      </c>
      <c r="H1127">
        <v>0</v>
      </c>
      <c r="M1127">
        <v>0</v>
      </c>
      <c r="N1127">
        <v>0</v>
      </c>
      <c r="O1127">
        <v>0</v>
      </c>
      <c r="P1127">
        <v>0</v>
      </c>
    </row>
    <row r="1128" spans="1:16" x14ac:dyDescent="0.2">
      <c r="A1128" t="s">
        <v>6920</v>
      </c>
      <c r="B1128" t="s">
        <v>6922</v>
      </c>
      <c r="C1128" t="s">
        <v>6921</v>
      </c>
      <c r="D1128" t="s">
        <v>2987</v>
      </c>
      <c r="E1128" t="s">
        <v>96</v>
      </c>
      <c r="F1128">
        <v>119.99</v>
      </c>
      <c r="G1128" t="s">
        <v>11</v>
      </c>
      <c r="H1128">
        <v>0</v>
      </c>
      <c r="M1128">
        <v>0</v>
      </c>
      <c r="N1128">
        <v>0</v>
      </c>
      <c r="O1128">
        <v>0</v>
      </c>
      <c r="P1128">
        <v>0</v>
      </c>
    </row>
    <row r="1129" spans="1:16" x14ac:dyDescent="0.2">
      <c r="A1129" t="s">
        <v>6844</v>
      </c>
      <c r="B1129" t="s">
        <v>6846</v>
      </c>
      <c r="C1129" t="s">
        <v>6845</v>
      </c>
      <c r="D1129" t="s">
        <v>2987</v>
      </c>
      <c r="E1129" t="s">
        <v>96</v>
      </c>
      <c r="F1129">
        <v>169.99</v>
      </c>
      <c r="G1129" t="s">
        <v>11</v>
      </c>
      <c r="H1129">
        <v>0</v>
      </c>
      <c r="M1129">
        <v>0</v>
      </c>
      <c r="N1129">
        <v>0</v>
      </c>
      <c r="O1129">
        <v>0</v>
      </c>
      <c r="P1129">
        <v>0</v>
      </c>
    </row>
    <row r="1130" spans="1:16" x14ac:dyDescent="0.2">
      <c r="A1130" t="s">
        <v>6949</v>
      </c>
      <c r="B1130" t="s">
        <v>6951</v>
      </c>
      <c r="C1130" t="s">
        <v>6950</v>
      </c>
      <c r="D1130" t="s">
        <v>2987</v>
      </c>
      <c r="E1130" t="s">
        <v>96</v>
      </c>
      <c r="F1130">
        <v>109.99</v>
      </c>
      <c r="G1130" t="s">
        <v>11</v>
      </c>
      <c r="H1130">
        <v>0</v>
      </c>
      <c r="M1130">
        <v>0</v>
      </c>
      <c r="N1130">
        <v>0</v>
      </c>
      <c r="O1130">
        <v>0</v>
      </c>
      <c r="P1130">
        <v>0</v>
      </c>
    </row>
    <row r="1131" spans="1:16" x14ac:dyDescent="0.2">
      <c r="A1131" t="s">
        <v>6834</v>
      </c>
      <c r="B1131" t="s">
        <v>6836</v>
      </c>
      <c r="C1131" t="s">
        <v>6835</v>
      </c>
      <c r="D1131" t="s">
        <v>2987</v>
      </c>
      <c r="E1131" t="s">
        <v>228</v>
      </c>
      <c r="F1131">
        <v>89.99</v>
      </c>
      <c r="G1131" t="s">
        <v>11</v>
      </c>
      <c r="H1131">
        <v>0</v>
      </c>
      <c r="M1131">
        <v>0</v>
      </c>
      <c r="N1131">
        <v>0</v>
      </c>
      <c r="O1131">
        <v>0</v>
      </c>
      <c r="P1131">
        <v>12</v>
      </c>
    </row>
    <row r="1132" spans="1:16" x14ac:dyDescent="0.2">
      <c r="A1132" t="s">
        <v>6829</v>
      </c>
      <c r="B1132" t="s">
        <v>6831</v>
      </c>
      <c r="C1132" t="s">
        <v>6830</v>
      </c>
      <c r="D1132" t="s">
        <v>2987</v>
      </c>
      <c r="E1132" t="s">
        <v>228</v>
      </c>
      <c r="F1132">
        <v>89.99</v>
      </c>
      <c r="G1132" t="s">
        <v>11</v>
      </c>
      <c r="H1132">
        <v>5.5555555555555549E-3</v>
      </c>
      <c r="M1132">
        <v>0</v>
      </c>
      <c r="N1132">
        <v>0</v>
      </c>
      <c r="O1132">
        <v>0</v>
      </c>
      <c r="P1132">
        <v>15</v>
      </c>
    </row>
    <row r="1133" spans="1:16" x14ac:dyDescent="0.2">
      <c r="A1133" t="s">
        <v>3011</v>
      </c>
      <c r="B1133" t="s">
        <v>6530</v>
      </c>
      <c r="C1133" t="s">
        <v>3012</v>
      </c>
      <c r="D1133" t="s">
        <v>2987</v>
      </c>
      <c r="E1133" t="s">
        <v>228</v>
      </c>
      <c r="F1133">
        <v>79.989999999999995</v>
      </c>
      <c r="G1133" t="s">
        <v>11</v>
      </c>
      <c r="H1133">
        <v>1.6666666666666666E-2</v>
      </c>
      <c r="M1133">
        <v>0</v>
      </c>
      <c r="N1133">
        <v>0</v>
      </c>
      <c r="O1133">
        <v>0</v>
      </c>
      <c r="P1133">
        <v>5</v>
      </c>
    </row>
    <row r="1134" spans="1:16" x14ac:dyDescent="0.2">
      <c r="A1134" t="s">
        <v>6923</v>
      </c>
      <c r="B1134" t="s">
        <v>6925</v>
      </c>
      <c r="C1134" t="s">
        <v>6924</v>
      </c>
      <c r="D1134" t="s">
        <v>2987</v>
      </c>
      <c r="E1134" t="s">
        <v>96</v>
      </c>
      <c r="F1134">
        <v>69.989999999999995</v>
      </c>
      <c r="G1134" t="s">
        <v>11</v>
      </c>
      <c r="H1134">
        <v>0</v>
      </c>
      <c r="M1134">
        <v>0</v>
      </c>
      <c r="N1134">
        <v>0</v>
      </c>
      <c r="O1134">
        <v>0</v>
      </c>
      <c r="P1134">
        <v>0</v>
      </c>
    </row>
    <row r="1135" spans="1:16" x14ac:dyDescent="0.2">
      <c r="A1135" t="s">
        <v>6823</v>
      </c>
      <c r="B1135" t="s">
        <v>6825</v>
      </c>
      <c r="C1135" t="s">
        <v>6824</v>
      </c>
      <c r="D1135" t="s">
        <v>2987</v>
      </c>
      <c r="E1135" t="s">
        <v>96</v>
      </c>
      <c r="F1135">
        <v>69.989999999999995</v>
      </c>
      <c r="G1135" t="s">
        <v>11</v>
      </c>
      <c r="H1135">
        <v>0</v>
      </c>
      <c r="M1135">
        <v>0</v>
      </c>
      <c r="N1135">
        <v>0</v>
      </c>
      <c r="O1135">
        <v>0</v>
      </c>
      <c r="P1135">
        <v>4</v>
      </c>
    </row>
    <row r="1136" spans="1:16" x14ac:dyDescent="0.2">
      <c r="A1136" t="s">
        <v>6820</v>
      </c>
      <c r="B1136" t="s">
        <v>6822</v>
      </c>
      <c r="C1136" t="s">
        <v>6821</v>
      </c>
      <c r="D1136" t="s">
        <v>2987</v>
      </c>
      <c r="E1136" t="s">
        <v>96</v>
      </c>
      <c r="F1136">
        <v>69.989999999999995</v>
      </c>
      <c r="G1136" t="s">
        <v>11</v>
      </c>
      <c r="H1136">
        <v>0</v>
      </c>
      <c r="M1136">
        <v>0</v>
      </c>
      <c r="N1136">
        <v>0</v>
      </c>
      <c r="O1136">
        <v>0</v>
      </c>
      <c r="P1136">
        <v>0</v>
      </c>
    </row>
    <row r="1137" spans="1:16" x14ac:dyDescent="0.2">
      <c r="A1137" t="s">
        <v>6817</v>
      </c>
      <c r="B1137" t="s">
        <v>6819</v>
      </c>
      <c r="C1137" t="s">
        <v>6818</v>
      </c>
      <c r="D1137" t="s">
        <v>2987</v>
      </c>
      <c r="E1137" t="s">
        <v>96</v>
      </c>
      <c r="F1137">
        <v>69.989999999999995</v>
      </c>
      <c r="G1137" t="s">
        <v>11</v>
      </c>
      <c r="H1137">
        <v>2.5000000000000001E-2</v>
      </c>
      <c r="M1137">
        <v>60</v>
      </c>
      <c r="N1137">
        <v>0.16666666666666666</v>
      </c>
      <c r="O1137">
        <v>0</v>
      </c>
      <c r="P1137">
        <v>10</v>
      </c>
    </row>
    <row r="1138" spans="1:16" x14ac:dyDescent="0.2">
      <c r="A1138" t="s">
        <v>6699</v>
      </c>
      <c r="B1138" t="s">
        <v>6701</v>
      </c>
      <c r="C1138" t="s">
        <v>6700</v>
      </c>
      <c r="D1138" t="s">
        <v>2987</v>
      </c>
      <c r="E1138" t="s">
        <v>96</v>
      </c>
      <c r="F1138">
        <v>49.99</v>
      </c>
      <c r="G1138" t="s">
        <v>11</v>
      </c>
      <c r="H1138">
        <v>0</v>
      </c>
      <c r="M1138">
        <v>0</v>
      </c>
      <c r="N1138">
        <v>0</v>
      </c>
      <c r="O1138">
        <v>0</v>
      </c>
      <c r="P1138">
        <v>0</v>
      </c>
    </row>
    <row r="1139" spans="1:16" x14ac:dyDescent="0.2">
      <c r="A1139" t="s">
        <v>6793</v>
      </c>
      <c r="B1139" t="s">
        <v>6795</v>
      </c>
      <c r="C1139" t="s">
        <v>6794</v>
      </c>
      <c r="D1139" t="s">
        <v>2987</v>
      </c>
      <c r="E1139" t="s">
        <v>96</v>
      </c>
      <c r="F1139">
        <v>49.99</v>
      </c>
      <c r="G1139" t="s">
        <v>11</v>
      </c>
      <c r="H1139">
        <v>0</v>
      </c>
      <c r="M1139">
        <v>0</v>
      </c>
      <c r="N1139">
        <v>0</v>
      </c>
      <c r="O1139">
        <v>0</v>
      </c>
      <c r="P1139">
        <v>0</v>
      </c>
    </row>
    <row r="1140" spans="1:16" x14ac:dyDescent="0.2">
      <c r="A1140" t="s">
        <v>6796</v>
      </c>
      <c r="B1140" t="s">
        <v>6798</v>
      </c>
      <c r="C1140" t="s">
        <v>6797</v>
      </c>
      <c r="D1140" t="s">
        <v>2987</v>
      </c>
      <c r="E1140" t="s">
        <v>96</v>
      </c>
      <c r="F1140">
        <v>49.99</v>
      </c>
      <c r="G1140" t="s">
        <v>11</v>
      </c>
      <c r="H1140">
        <v>0</v>
      </c>
      <c r="M1140">
        <v>0</v>
      </c>
      <c r="N1140">
        <v>0</v>
      </c>
      <c r="O1140">
        <v>0</v>
      </c>
      <c r="P1140">
        <v>0</v>
      </c>
    </row>
    <row r="1141" spans="1:16" x14ac:dyDescent="0.2">
      <c r="A1141" t="s">
        <v>6780</v>
      </c>
      <c r="B1141" t="s">
        <v>6782</v>
      </c>
      <c r="C1141" t="s">
        <v>6781</v>
      </c>
      <c r="D1141" t="s">
        <v>2987</v>
      </c>
      <c r="E1141" t="s">
        <v>96</v>
      </c>
      <c r="F1141">
        <v>104.99</v>
      </c>
      <c r="G1141" t="s">
        <v>11</v>
      </c>
      <c r="H1141">
        <v>0</v>
      </c>
      <c r="M1141">
        <v>0</v>
      </c>
      <c r="N1141">
        <v>0</v>
      </c>
      <c r="O1141">
        <v>0</v>
      </c>
      <c r="P1141">
        <v>0</v>
      </c>
    </row>
    <row r="1142" spans="1:16" x14ac:dyDescent="0.2">
      <c r="A1142" t="s">
        <v>6900</v>
      </c>
      <c r="B1142" t="s">
        <v>6902</v>
      </c>
      <c r="C1142" t="s">
        <v>6901</v>
      </c>
      <c r="D1142" t="s">
        <v>2987</v>
      </c>
      <c r="E1142" t="s">
        <v>228</v>
      </c>
      <c r="F1142">
        <v>99.99</v>
      </c>
      <c r="G1142" t="s">
        <v>11</v>
      </c>
      <c r="H1142">
        <v>0</v>
      </c>
      <c r="M1142">
        <v>0</v>
      </c>
      <c r="N1142">
        <v>0</v>
      </c>
      <c r="O1142">
        <v>0</v>
      </c>
      <c r="P1142">
        <v>2</v>
      </c>
    </row>
    <row r="1143" spans="1:16" x14ac:dyDescent="0.2">
      <c r="A1143" t="s">
        <v>3069</v>
      </c>
      <c r="B1143" t="s">
        <v>6904</v>
      </c>
      <c r="C1143" t="s">
        <v>3070</v>
      </c>
      <c r="D1143" t="s">
        <v>2987</v>
      </c>
      <c r="E1143" t="s">
        <v>290</v>
      </c>
      <c r="F1143">
        <v>89.99</v>
      </c>
      <c r="G1143" t="s">
        <v>11</v>
      </c>
      <c r="H1143">
        <v>0</v>
      </c>
      <c r="M1143">
        <v>0</v>
      </c>
      <c r="N1143">
        <v>0</v>
      </c>
      <c r="O1143">
        <v>0</v>
      </c>
      <c r="P1143">
        <v>0</v>
      </c>
    </row>
    <row r="1144" spans="1:16" x14ac:dyDescent="0.2">
      <c r="A1144" t="s">
        <v>6732</v>
      </c>
      <c r="B1144" t="s">
        <v>6734</v>
      </c>
      <c r="C1144" t="s">
        <v>6733</v>
      </c>
      <c r="D1144" t="s">
        <v>2987</v>
      </c>
      <c r="E1144" t="s">
        <v>96</v>
      </c>
      <c r="F1144">
        <v>109.99</v>
      </c>
      <c r="G1144" t="s">
        <v>11</v>
      </c>
      <c r="H1144">
        <v>0</v>
      </c>
      <c r="M1144">
        <v>0</v>
      </c>
      <c r="N1144">
        <v>0</v>
      </c>
      <c r="O1144">
        <v>0</v>
      </c>
      <c r="P1144">
        <v>0</v>
      </c>
    </row>
    <row r="1145" spans="1:16" x14ac:dyDescent="0.2">
      <c r="A1145" t="s">
        <v>3071</v>
      </c>
      <c r="B1145" t="s">
        <v>6772</v>
      </c>
      <c r="C1145" t="s">
        <v>3072</v>
      </c>
      <c r="D1145" t="s">
        <v>2987</v>
      </c>
      <c r="E1145" t="s">
        <v>290</v>
      </c>
      <c r="F1145">
        <v>199.99</v>
      </c>
      <c r="G1145" t="s">
        <v>11</v>
      </c>
      <c r="H1145">
        <v>0</v>
      </c>
      <c r="M1145">
        <v>0</v>
      </c>
      <c r="N1145">
        <v>0</v>
      </c>
      <c r="O1145">
        <v>0</v>
      </c>
      <c r="P1145">
        <v>1</v>
      </c>
    </row>
    <row r="1146" spans="1:16" x14ac:dyDescent="0.2">
      <c r="A1146" t="s">
        <v>2379</v>
      </c>
      <c r="B1146" t="s">
        <v>5716</v>
      </c>
      <c r="C1146" t="s">
        <v>2380</v>
      </c>
      <c r="D1146" t="s">
        <v>2374</v>
      </c>
      <c r="E1146" t="s">
        <v>290</v>
      </c>
      <c r="F1146">
        <v>49.99</v>
      </c>
      <c r="G1146" t="s">
        <v>11</v>
      </c>
      <c r="H1146">
        <v>0</v>
      </c>
      <c r="M1146">
        <v>0</v>
      </c>
      <c r="N1146">
        <v>0</v>
      </c>
      <c r="O1146">
        <v>0</v>
      </c>
      <c r="P1146">
        <v>0</v>
      </c>
    </row>
    <row r="1147" spans="1:16" x14ac:dyDescent="0.2">
      <c r="A1147" t="s">
        <v>2387</v>
      </c>
      <c r="B1147" t="s">
        <v>5717</v>
      </c>
      <c r="C1147" t="s">
        <v>2388</v>
      </c>
      <c r="D1147" t="s">
        <v>2374</v>
      </c>
      <c r="E1147" t="s">
        <v>290</v>
      </c>
      <c r="F1147">
        <v>279.99</v>
      </c>
      <c r="G1147" t="s">
        <v>11</v>
      </c>
      <c r="H1147">
        <v>0</v>
      </c>
      <c r="M1147">
        <v>0</v>
      </c>
      <c r="N1147">
        <v>0</v>
      </c>
      <c r="O1147">
        <v>0</v>
      </c>
      <c r="P1147">
        <v>1</v>
      </c>
    </row>
    <row r="1148" spans="1:16" x14ac:dyDescent="0.2">
      <c r="A1148" t="s">
        <v>2393</v>
      </c>
      <c r="B1148" t="s">
        <v>5667</v>
      </c>
      <c r="C1148" t="s">
        <v>2394</v>
      </c>
      <c r="D1148" t="s">
        <v>2374</v>
      </c>
      <c r="E1148" t="s">
        <v>290</v>
      </c>
      <c r="F1148">
        <v>479.99</v>
      </c>
      <c r="G1148" t="s">
        <v>11</v>
      </c>
      <c r="H1148">
        <v>0</v>
      </c>
      <c r="M1148">
        <v>0</v>
      </c>
      <c r="N1148">
        <v>0</v>
      </c>
      <c r="O1148">
        <v>0</v>
      </c>
      <c r="P1148">
        <v>0</v>
      </c>
    </row>
    <row r="1149" spans="1:16" x14ac:dyDescent="0.2">
      <c r="A1149" t="s">
        <v>2389</v>
      </c>
      <c r="B1149" t="s">
        <v>5676</v>
      </c>
      <c r="C1149" t="s">
        <v>2390</v>
      </c>
      <c r="D1149" t="s">
        <v>2374</v>
      </c>
      <c r="E1149" t="s">
        <v>290</v>
      </c>
      <c r="F1149">
        <v>349.99</v>
      </c>
      <c r="G1149" t="s">
        <v>11</v>
      </c>
      <c r="H1149">
        <v>0</v>
      </c>
      <c r="M1149">
        <v>0</v>
      </c>
      <c r="N1149">
        <v>0</v>
      </c>
      <c r="O1149">
        <v>0</v>
      </c>
      <c r="P1149">
        <v>1</v>
      </c>
    </row>
    <row r="1150" spans="1:16" x14ac:dyDescent="0.2">
      <c r="A1150" t="s">
        <v>2385</v>
      </c>
      <c r="B1150" t="s">
        <v>4622</v>
      </c>
      <c r="C1150" t="s">
        <v>2386</v>
      </c>
      <c r="D1150" t="s">
        <v>2374</v>
      </c>
      <c r="E1150" t="s">
        <v>290</v>
      </c>
      <c r="F1150">
        <v>169.99</v>
      </c>
      <c r="G1150" t="s">
        <v>11</v>
      </c>
      <c r="H1150">
        <v>0</v>
      </c>
      <c r="M1150">
        <v>0</v>
      </c>
      <c r="N1150">
        <v>0</v>
      </c>
      <c r="O1150">
        <v>0</v>
      </c>
      <c r="P1150">
        <v>2</v>
      </c>
    </row>
    <row r="1151" spans="1:16" x14ac:dyDescent="0.2">
      <c r="A1151" t="s">
        <v>5476</v>
      </c>
      <c r="B1151" t="s">
        <v>5478</v>
      </c>
      <c r="C1151" t="s">
        <v>5477</v>
      </c>
      <c r="D1151" t="s">
        <v>2374</v>
      </c>
      <c r="E1151" t="s">
        <v>96</v>
      </c>
      <c r="F1151">
        <v>169.99</v>
      </c>
      <c r="G1151" t="s">
        <v>11</v>
      </c>
      <c r="H1151">
        <v>0</v>
      </c>
      <c r="M1151">
        <v>0</v>
      </c>
      <c r="N1151">
        <v>0</v>
      </c>
      <c r="O1151">
        <v>0</v>
      </c>
      <c r="P1151">
        <v>0</v>
      </c>
    </row>
    <row r="1152" spans="1:16" x14ac:dyDescent="0.2">
      <c r="A1152" t="s">
        <v>2375</v>
      </c>
      <c r="B1152" t="s">
        <v>5479</v>
      </c>
      <c r="C1152" t="s">
        <v>2376</v>
      </c>
      <c r="D1152" t="s">
        <v>2374</v>
      </c>
      <c r="E1152" t="s">
        <v>290</v>
      </c>
      <c r="F1152">
        <v>149.99</v>
      </c>
      <c r="G1152" t="s">
        <v>11</v>
      </c>
      <c r="H1152">
        <v>0</v>
      </c>
      <c r="M1152">
        <v>0</v>
      </c>
      <c r="N1152">
        <v>0</v>
      </c>
      <c r="O1152">
        <v>0</v>
      </c>
      <c r="P1152">
        <v>0</v>
      </c>
    </row>
    <row r="1153" spans="1:16" x14ac:dyDescent="0.2">
      <c r="A1153" t="s">
        <v>2395</v>
      </c>
      <c r="B1153" t="s">
        <v>5668</v>
      </c>
      <c r="C1153" t="s">
        <v>2396</v>
      </c>
      <c r="D1153" t="s">
        <v>2374</v>
      </c>
      <c r="E1153" t="s">
        <v>290</v>
      </c>
      <c r="F1153">
        <v>499.99</v>
      </c>
      <c r="G1153" t="s">
        <v>11</v>
      </c>
      <c r="H1153">
        <v>0</v>
      </c>
      <c r="M1153">
        <v>0</v>
      </c>
      <c r="N1153">
        <v>0</v>
      </c>
      <c r="O1153">
        <v>0</v>
      </c>
      <c r="P1153">
        <v>0</v>
      </c>
    </row>
    <row r="1154" spans="1:16" x14ac:dyDescent="0.2">
      <c r="A1154" t="s">
        <v>2383</v>
      </c>
      <c r="B1154" t="s">
        <v>5670</v>
      </c>
      <c r="C1154" t="s">
        <v>2384</v>
      </c>
      <c r="D1154" t="s">
        <v>2374</v>
      </c>
      <c r="E1154" t="s">
        <v>290</v>
      </c>
      <c r="F1154">
        <v>139.99</v>
      </c>
      <c r="G1154" t="s">
        <v>11</v>
      </c>
      <c r="H1154">
        <v>0</v>
      </c>
      <c r="M1154">
        <v>0</v>
      </c>
      <c r="N1154">
        <v>0</v>
      </c>
      <c r="O1154">
        <v>0</v>
      </c>
      <c r="P1154">
        <v>0</v>
      </c>
    </row>
    <row r="1155" spans="1:16" x14ac:dyDescent="0.2">
      <c r="A1155" t="s">
        <v>2401</v>
      </c>
      <c r="B1155" t="s">
        <v>5714</v>
      </c>
      <c r="C1155" t="s">
        <v>2402</v>
      </c>
      <c r="D1155" t="s">
        <v>2374</v>
      </c>
      <c r="E1155" t="s">
        <v>290</v>
      </c>
      <c r="F1155">
        <v>199.99</v>
      </c>
      <c r="G1155" t="s">
        <v>11</v>
      </c>
      <c r="H1155">
        <v>0</v>
      </c>
      <c r="M1155">
        <v>0</v>
      </c>
      <c r="N1155">
        <v>0</v>
      </c>
      <c r="O1155">
        <v>0</v>
      </c>
      <c r="P1155">
        <v>0</v>
      </c>
    </row>
    <row r="1156" spans="1:16" x14ac:dyDescent="0.2">
      <c r="A1156" t="s">
        <v>2397</v>
      </c>
      <c r="B1156" t="s">
        <v>5669</v>
      </c>
      <c r="C1156" t="s">
        <v>2398</v>
      </c>
      <c r="D1156" t="s">
        <v>2374</v>
      </c>
      <c r="E1156" t="s">
        <v>290</v>
      </c>
      <c r="F1156">
        <v>499.99</v>
      </c>
      <c r="G1156" t="s">
        <v>11</v>
      </c>
      <c r="H1156">
        <v>0</v>
      </c>
      <c r="M1156">
        <v>0</v>
      </c>
      <c r="N1156">
        <v>0</v>
      </c>
      <c r="O1156">
        <v>0</v>
      </c>
      <c r="P1156">
        <v>0</v>
      </c>
    </row>
    <row r="1157" spans="1:16" x14ac:dyDescent="0.2">
      <c r="A1157" t="s">
        <v>6710</v>
      </c>
      <c r="B1157" t="s">
        <v>6712</v>
      </c>
      <c r="C1157" t="s">
        <v>6711</v>
      </c>
      <c r="D1157" t="s">
        <v>2987</v>
      </c>
      <c r="E1157" t="s">
        <v>96</v>
      </c>
      <c r="F1157">
        <v>139.99</v>
      </c>
      <c r="G1157" t="s">
        <v>11</v>
      </c>
      <c r="H1157">
        <v>0</v>
      </c>
      <c r="M1157">
        <v>0</v>
      </c>
      <c r="N1157">
        <v>0</v>
      </c>
      <c r="O1157">
        <v>0</v>
      </c>
      <c r="P1157">
        <v>0</v>
      </c>
    </row>
    <row r="1158" spans="1:16" x14ac:dyDescent="0.2">
      <c r="A1158" t="s">
        <v>4030</v>
      </c>
      <c r="B1158" t="s">
        <v>4032</v>
      </c>
      <c r="C1158" t="s">
        <v>4031</v>
      </c>
      <c r="D1158" t="s">
        <v>1897</v>
      </c>
      <c r="E1158" t="s">
        <v>96</v>
      </c>
      <c r="F1158">
        <v>219.99</v>
      </c>
      <c r="G1158" t="s">
        <v>11</v>
      </c>
      <c r="H1158">
        <v>0</v>
      </c>
      <c r="M1158">
        <v>0</v>
      </c>
      <c r="N1158">
        <v>0</v>
      </c>
      <c r="O1158">
        <v>0</v>
      </c>
      <c r="P1158">
        <v>0</v>
      </c>
    </row>
    <row r="1159" spans="1:16" x14ac:dyDescent="0.2">
      <c r="A1159" t="s">
        <v>3539</v>
      </c>
      <c r="B1159" t="s">
        <v>3541</v>
      </c>
      <c r="C1159" t="s">
        <v>3540</v>
      </c>
      <c r="D1159" t="s">
        <v>2403</v>
      </c>
      <c r="E1159" t="s">
        <v>96</v>
      </c>
      <c r="F1159">
        <v>199.99</v>
      </c>
      <c r="G1159" t="s">
        <v>11</v>
      </c>
      <c r="H1159">
        <v>0</v>
      </c>
      <c r="M1159">
        <v>0</v>
      </c>
      <c r="N1159">
        <v>0</v>
      </c>
      <c r="O1159">
        <v>0</v>
      </c>
      <c r="P1159">
        <v>0</v>
      </c>
    </row>
    <row r="1160" spans="1:16" x14ac:dyDescent="0.2">
      <c r="A1160" t="s">
        <v>3542</v>
      </c>
      <c r="B1160" t="s">
        <v>3544</v>
      </c>
      <c r="C1160" t="s">
        <v>3543</v>
      </c>
      <c r="D1160" t="s">
        <v>2403</v>
      </c>
      <c r="E1160" t="s">
        <v>96</v>
      </c>
      <c r="F1160">
        <v>489.99</v>
      </c>
      <c r="G1160" t="s">
        <v>11</v>
      </c>
      <c r="H1160">
        <v>0</v>
      </c>
      <c r="M1160">
        <v>0</v>
      </c>
      <c r="N1160">
        <v>0</v>
      </c>
      <c r="O1160">
        <v>0</v>
      </c>
      <c r="P1160">
        <v>0</v>
      </c>
    </row>
    <row r="1161" spans="1:16" x14ac:dyDescent="0.2">
      <c r="A1161" t="s">
        <v>3545</v>
      </c>
      <c r="B1161" t="s">
        <v>3547</v>
      </c>
      <c r="C1161" t="s">
        <v>3546</v>
      </c>
      <c r="D1161" t="s">
        <v>2403</v>
      </c>
      <c r="E1161" t="s">
        <v>96</v>
      </c>
      <c r="F1161">
        <v>89.99</v>
      </c>
      <c r="G1161" t="s">
        <v>11</v>
      </c>
      <c r="H1161">
        <v>0</v>
      </c>
      <c r="M1161">
        <v>0</v>
      </c>
      <c r="N1161">
        <v>0</v>
      </c>
      <c r="O1161">
        <v>0</v>
      </c>
      <c r="P1161">
        <v>0</v>
      </c>
    </row>
    <row r="1162" spans="1:16" x14ac:dyDescent="0.2">
      <c r="A1162" t="s">
        <v>3545</v>
      </c>
      <c r="B1162" t="s">
        <v>3547</v>
      </c>
      <c r="C1162" t="s">
        <v>3546</v>
      </c>
      <c r="D1162" t="s">
        <v>2403</v>
      </c>
      <c r="E1162" t="s">
        <v>96</v>
      </c>
      <c r="F1162">
        <v>89.99</v>
      </c>
      <c r="G1162" t="s">
        <v>11</v>
      </c>
      <c r="H1162">
        <v>0</v>
      </c>
      <c r="M1162">
        <v>0</v>
      </c>
      <c r="N1162">
        <v>0</v>
      </c>
      <c r="O1162">
        <v>0</v>
      </c>
      <c r="P1162">
        <v>0</v>
      </c>
    </row>
    <row r="1163" spans="1:16" x14ac:dyDescent="0.2">
      <c r="A1163" t="s">
        <v>3464</v>
      </c>
      <c r="B1163" t="s">
        <v>3466</v>
      </c>
      <c r="C1163" t="s">
        <v>3465</v>
      </c>
      <c r="D1163" t="s">
        <v>2403</v>
      </c>
      <c r="E1163" t="s">
        <v>96</v>
      </c>
      <c r="F1163">
        <v>79.989999999999995</v>
      </c>
      <c r="G1163" t="s">
        <v>11</v>
      </c>
      <c r="H1163">
        <v>0</v>
      </c>
      <c r="M1163">
        <v>0</v>
      </c>
      <c r="N1163">
        <v>0</v>
      </c>
      <c r="O1163">
        <v>0</v>
      </c>
      <c r="P1163">
        <v>0</v>
      </c>
    </row>
    <row r="1164" spans="1:16" x14ac:dyDescent="0.2">
      <c r="A1164" t="s">
        <v>2391</v>
      </c>
      <c r="B1164" t="s">
        <v>5534</v>
      </c>
      <c r="C1164" t="s">
        <v>2392</v>
      </c>
      <c r="D1164" t="s">
        <v>2374</v>
      </c>
      <c r="E1164" t="s">
        <v>290</v>
      </c>
      <c r="F1164">
        <v>149.99</v>
      </c>
      <c r="G1164" t="s">
        <v>11</v>
      </c>
      <c r="H1164">
        <v>0</v>
      </c>
      <c r="M1164">
        <v>0</v>
      </c>
      <c r="N1164">
        <v>0</v>
      </c>
      <c r="O1164">
        <v>0</v>
      </c>
      <c r="P1164">
        <v>0</v>
      </c>
    </row>
    <row r="1165" spans="1:16" x14ac:dyDescent="0.2">
      <c r="A1165" t="s">
        <v>4576</v>
      </c>
      <c r="B1165" t="s">
        <v>4578</v>
      </c>
      <c r="C1165" t="s">
        <v>4577</v>
      </c>
      <c r="D1165" t="s">
        <v>4486</v>
      </c>
      <c r="E1165" t="s">
        <v>96</v>
      </c>
      <c r="F1165">
        <v>59.99</v>
      </c>
      <c r="G1165" t="s">
        <v>11</v>
      </c>
      <c r="H1165">
        <v>0</v>
      </c>
      <c r="M1165">
        <v>0</v>
      </c>
      <c r="N1165">
        <v>0</v>
      </c>
      <c r="O1165">
        <v>0</v>
      </c>
      <c r="P1165">
        <v>0</v>
      </c>
    </row>
    <row r="1166" spans="1:16" x14ac:dyDescent="0.2">
      <c r="A1166" t="s">
        <v>4582</v>
      </c>
      <c r="B1166" t="s">
        <v>4584</v>
      </c>
      <c r="C1166" t="s">
        <v>4583</v>
      </c>
      <c r="D1166" t="s">
        <v>4486</v>
      </c>
      <c r="E1166" t="s">
        <v>96</v>
      </c>
      <c r="F1166">
        <v>119.99</v>
      </c>
      <c r="G1166" t="s">
        <v>11</v>
      </c>
      <c r="H1166">
        <v>0</v>
      </c>
      <c r="M1166">
        <v>0</v>
      </c>
      <c r="N1166">
        <v>0</v>
      </c>
      <c r="O1166">
        <v>0</v>
      </c>
      <c r="P1166">
        <v>0</v>
      </c>
    </row>
    <row r="1167" spans="1:16" x14ac:dyDescent="0.2">
      <c r="A1167" t="s">
        <v>4579</v>
      </c>
      <c r="B1167" t="s">
        <v>4581</v>
      </c>
      <c r="C1167" t="s">
        <v>4580</v>
      </c>
      <c r="D1167" t="s">
        <v>4486</v>
      </c>
      <c r="E1167" t="s">
        <v>96</v>
      </c>
      <c r="F1167">
        <v>109.99</v>
      </c>
      <c r="G1167" t="s">
        <v>11</v>
      </c>
      <c r="H1167">
        <v>0</v>
      </c>
      <c r="M1167">
        <v>0</v>
      </c>
      <c r="N1167">
        <v>0</v>
      </c>
      <c r="O1167">
        <v>0</v>
      </c>
      <c r="P1167">
        <v>0</v>
      </c>
    </row>
    <row r="1168" spans="1:16" x14ac:dyDescent="0.2">
      <c r="A1168" t="s">
        <v>5480</v>
      </c>
      <c r="B1168" t="s">
        <v>5482</v>
      </c>
      <c r="C1168" t="s">
        <v>5481</v>
      </c>
      <c r="D1168" t="s">
        <v>2411</v>
      </c>
      <c r="E1168" t="s">
        <v>96</v>
      </c>
      <c r="F1168">
        <v>29.99</v>
      </c>
      <c r="G1168" t="s">
        <v>11</v>
      </c>
      <c r="H1168">
        <v>0</v>
      </c>
      <c r="M1168">
        <v>0</v>
      </c>
      <c r="N1168">
        <v>0</v>
      </c>
      <c r="O1168">
        <v>0</v>
      </c>
      <c r="P1168">
        <v>0</v>
      </c>
    </row>
    <row r="1169" spans="1:16" x14ac:dyDescent="0.2">
      <c r="A1169" t="s">
        <v>5489</v>
      </c>
      <c r="B1169" t="s">
        <v>5491</v>
      </c>
      <c r="C1169" t="s">
        <v>5490</v>
      </c>
      <c r="D1169" t="s">
        <v>2411</v>
      </c>
      <c r="E1169" t="s">
        <v>96</v>
      </c>
      <c r="F1169">
        <v>29.99</v>
      </c>
      <c r="G1169" t="s">
        <v>11</v>
      </c>
      <c r="H1169">
        <v>0</v>
      </c>
      <c r="M1169">
        <v>0</v>
      </c>
      <c r="N1169">
        <v>0</v>
      </c>
      <c r="O1169">
        <v>0</v>
      </c>
      <c r="P1169">
        <v>0</v>
      </c>
    </row>
    <row r="1170" spans="1:16" x14ac:dyDescent="0.2">
      <c r="A1170" t="s">
        <v>5528</v>
      </c>
      <c r="B1170" t="s">
        <v>5530</v>
      </c>
      <c r="C1170" t="s">
        <v>5529</v>
      </c>
      <c r="D1170" t="s">
        <v>2411</v>
      </c>
      <c r="E1170" t="s">
        <v>96</v>
      </c>
      <c r="F1170">
        <v>49.99</v>
      </c>
      <c r="G1170" t="s">
        <v>11</v>
      </c>
      <c r="H1170">
        <v>0</v>
      </c>
      <c r="M1170">
        <v>0</v>
      </c>
      <c r="N1170">
        <v>0</v>
      </c>
      <c r="O1170">
        <v>0</v>
      </c>
      <c r="P1170">
        <v>0</v>
      </c>
    </row>
    <row r="1171" spans="1:16" x14ac:dyDescent="0.2">
      <c r="A1171" t="s">
        <v>4555</v>
      </c>
      <c r="B1171" t="s">
        <v>4557</v>
      </c>
      <c r="C1171" t="s">
        <v>4556</v>
      </c>
      <c r="D1171" t="s">
        <v>4486</v>
      </c>
      <c r="E1171" t="s">
        <v>96</v>
      </c>
      <c r="F1171">
        <v>99.99</v>
      </c>
      <c r="G1171" t="s">
        <v>11</v>
      </c>
      <c r="H1171">
        <v>0</v>
      </c>
      <c r="M1171">
        <v>0</v>
      </c>
      <c r="N1171">
        <v>0</v>
      </c>
      <c r="O1171">
        <v>0</v>
      </c>
      <c r="P1171">
        <v>0</v>
      </c>
    </row>
    <row r="1172" spans="1:16" x14ac:dyDescent="0.2">
      <c r="A1172" t="s">
        <v>5531</v>
      </c>
      <c r="B1172" t="s">
        <v>5533</v>
      </c>
      <c r="C1172" t="s">
        <v>5532</v>
      </c>
      <c r="D1172" t="s">
        <v>2411</v>
      </c>
      <c r="E1172" t="s">
        <v>96</v>
      </c>
      <c r="F1172">
        <v>49.99</v>
      </c>
      <c r="G1172" t="s">
        <v>11</v>
      </c>
      <c r="H1172">
        <v>0</v>
      </c>
      <c r="M1172">
        <v>0</v>
      </c>
      <c r="N1172">
        <v>0</v>
      </c>
      <c r="O1172">
        <v>0</v>
      </c>
      <c r="P1172">
        <v>0</v>
      </c>
    </row>
    <row r="1173" spans="1:16" x14ac:dyDescent="0.2">
      <c r="A1173" t="s">
        <v>5501</v>
      </c>
      <c r="B1173" t="s">
        <v>5503</v>
      </c>
      <c r="C1173" t="s">
        <v>5502</v>
      </c>
      <c r="D1173" t="s">
        <v>2411</v>
      </c>
      <c r="E1173" t="s">
        <v>96</v>
      </c>
      <c r="F1173">
        <v>49.99</v>
      </c>
      <c r="G1173" t="s">
        <v>11</v>
      </c>
      <c r="H1173">
        <v>0</v>
      </c>
      <c r="M1173">
        <v>0</v>
      </c>
      <c r="N1173">
        <v>0</v>
      </c>
      <c r="O1173">
        <v>0</v>
      </c>
      <c r="P1173">
        <v>0</v>
      </c>
    </row>
    <row r="1174" spans="1:16" x14ac:dyDescent="0.2">
      <c r="A1174" t="s">
        <v>2423</v>
      </c>
      <c r="B1174" t="s">
        <v>5445</v>
      </c>
      <c r="C1174" t="s">
        <v>2424</v>
      </c>
      <c r="D1174" t="s">
        <v>2411</v>
      </c>
      <c r="E1174" t="s">
        <v>96</v>
      </c>
      <c r="F1174">
        <v>49.99</v>
      </c>
      <c r="G1174" t="s">
        <v>11</v>
      </c>
      <c r="H1174">
        <v>0</v>
      </c>
      <c r="M1174">
        <v>0</v>
      </c>
      <c r="N1174">
        <v>0</v>
      </c>
      <c r="O1174">
        <v>0</v>
      </c>
      <c r="P1174">
        <v>0</v>
      </c>
    </row>
    <row r="1175" spans="1:16" x14ac:dyDescent="0.2">
      <c r="A1175" t="s">
        <v>5686</v>
      </c>
      <c r="B1175" t="s">
        <v>5688</v>
      </c>
      <c r="C1175" t="s">
        <v>5687</v>
      </c>
      <c r="D1175" t="s">
        <v>446</v>
      </c>
      <c r="E1175" t="s">
        <v>96</v>
      </c>
      <c r="G1175" t="s">
        <v>11</v>
      </c>
      <c r="H1175">
        <v>0</v>
      </c>
      <c r="M1175">
        <v>0</v>
      </c>
      <c r="N1175">
        <v>0</v>
      </c>
      <c r="P1175">
        <v>0</v>
      </c>
    </row>
    <row r="1176" spans="1:16" x14ac:dyDescent="0.2">
      <c r="A1176" t="s">
        <v>5498</v>
      </c>
      <c r="B1176" t="s">
        <v>5500</v>
      </c>
      <c r="C1176" t="s">
        <v>5499</v>
      </c>
      <c r="D1176" t="s">
        <v>2411</v>
      </c>
      <c r="E1176" t="s">
        <v>96</v>
      </c>
      <c r="F1176">
        <v>29.99</v>
      </c>
      <c r="G1176" t="s">
        <v>11</v>
      </c>
      <c r="H1176">
        <v>0</v>
      </c>
      <c r="M1176">
        <v>0</v>
      </c>
      <c r="N1176">
        <v>0</v>
      </c>
      <c r="O1176">
        <v>0</v>
      </c>
      <c r="P1176">
        <v>0</v>
      </c>
    </row>
    <row r="1177" spans="1:16" x14ac:dyDescent="0.2">
      <c r="A1177" t="s">
        <v>5492</v>
      </c>
      <c r="B1177" t="s">
        <v>5494</v>
      </c>
      <c r="C1177" t="s">
        <v>5493</v>
      </c>
      <c r="D1177" t="s">
        <v>2411</v>
      </c>
      <c r="E1177" t="s">
        <v>96</v>
      </c>
      <c r="F1177">
        <v>29.99</v>
      </c>
      <c r="G1177" t="s">
        <v>11</v>
      </c>
      <c r="H1177">
        <v>0</v>
      </c>
      <c r="M1177">
        <v>0</v>
      </c>
      <c r="N1177">
        <v>0</v>
      </c>
      <c r="O1177">
        <v>0</v>
      </c>
      <c r="P1177">
        <v>0</v>
      </c>
    </row>
    <row r="1178" spans="1:16" x14ac:dyDescent="0.2">
      <c r="A1178" t="s">
        <v>5495</v>
      </c>
      <c r="B1178" t="s">
        <v>5497</v>
      </c>
      <c r="C1178" t="s">
        <v>5496</v>
      </c>
      <c r="D1178" t="s">
        <v>2411</v>
      </c>
      <c r="E1178" t="s">
        <v>96</v>
      </c>
      <c r="F1178">
        <v>29.99</v>
      </c>
      <c r="G1178" t="s">
        <v>11</v>
      </c>
      <c r="H1178">
        <v>0</v>
      </c>
      <c r="M1178">
        <v>0</v>
      </c>
      <c r="N1178">
        <v>0</v>
      </c>
      <c r="O1178">
        <v>0</v>
      </c>
      <c r="P1178">
        <v>0</v>
      </c>
    </row>
    <row r="1179" spans="1:16" x14ac:dyDescent="0.2">
      <c r="A1179" t="s">
        <v>5483</v>
      </c>
      <c r="B1179" t="s">
        <v>5485</v>
      </c>
      <c r="C1179" t="s">
        <v>5484</v>
      </c>
      <c r="D1179" t="s">
        <v>2411</v>
      </c>
      <c r="E1179" t="s">
        <v>96</v>
      </c>
      <c r="F1179">
        <v>29.99</v>
      </c>
      <c r="G1179" t="s">
        <v>11</v>
      </c>
      <c r="H1179">
        <v>0</v>
      </c>
      <c r="M1179">
        <v>0</v>
      </c>
      <c r="N1179">
        <v>0</v>
      </c>
      <c r="O1179">
        <v>0</v>
      </c>
      <c r="P1179">
        <v>0</v>
      </c>
    </row>
    <row r="1180" spans="1:16" x14ac:dyDescent="0.2">
      <c r="A1180" t="s">
        <v>5486</v>
      </c>
      <c r="B1180" t="s">
        <v>5488</v>
      </c>
      <c r="C1180" t="s">
        <v>5487</v>
      </c>
      <c r="D1180" t="s">
        <v>2411</v>
      </c>
      <c r="E1180" t="s">
        <v>96</v>
      </c>
      <c r="F1180">
        <v>29.99</v>
      </c>
      <c r="G1180" t="s">
        <v>11</v>
      </c>
      <c r="H1180">
        <v>0</v>
      </c>
      <c r="M1180">
        <v>0</v>
      </c>
      <c r="N1180">
        <v>0</v>
      </c>
      <c r="O1180">
        <v>0</v>
      </c>
      <c r="P1180">
        <v>0</v>
      </c>
    </row>
    <row r="1181" spans="1:16" x14ac:dyDescent="0.2">
      <c r="A1181" t="s">
        <v>5442</v>
      </c>
      <c r="B1181" t="s">
        <v>5444</v>
      </c>
      <c r="C1181" t="s">
        <v>5443</v>
      </c>
      <c r="D1181" t="s">
        <v>2411</v>
      </c>
      <c r="E1181" t="s">
        <v>96</v>
      </c>
      <c r="F1181">
        <v>39.99</v>
      </c>
      <c r="G1181" t="s">
        <v>11</v>
      </c>
      <c r="H1181">
        <v>0</v>
      </c>
      <c r="M1181">
        <v>0</v>
      </c>
      <c r="N1181">
        <v>0</v>
      </c>
      <c r="O1181">
        <v>0</v>
      </c>
      <c r="P1181">
        <v>0</v>
      </c>
    </row>
    <row r="1182" spans="1:16" x14ac:dyDescent="0.2">
      <c r="A1182" t="s">
        <v>5672</v>
      </c>
      <c r="B1182" t="s">
        <v>5674</v>
      </c>
      <c r="C1182" t="s">
        <v>5673</v>
      </c>
      <c r="D1182" t="s">
        <v>2411</v>
      </c>
      <c r="E1182" t="s">
        <v>96</v>
      </c>
      <c r="F1182">
        <v>89.99</v>
      </c>
      <c r="G1182" t="s">
        <v>11</v>
      </c>
      <c r="H1182">
        <v>0</v>
      </c>
      <c r="M1182">
        <v>0</v>
      </c>
      <c r="N1182">
        <v>0</v>
      </c>
      <c r="O1182">
        <v>0</v>
      </c>
      <c r="P1182">
        <v>0</v>
      </c>
    </row>
    <row r="1183" spans="1:16" x14ac:dyDescent="0.2">
      <c r="A1183" t="s">
        <v>5446</v>
      </c>
      <c r="B1183" t="s">
        <v>5448</v>
      </c>
      <c r="C1183" t="s">
        <v>5447</v>
      </c>
      <c r="D1183" t="s">
        <v>2411</v>
      </c>
      <c r="E1183" t="s">
        <v>96</v>
      </c>
      <c r="G1183" t="s">
        <v>11</v>
      </c>
      <c r="H1183">
        <v>0</v>
      </c>
      <c r="M1183">
        <v>0</v>
      </c>
      <c r="N1183">
        <v>0</v>
      </c>
      <c r="P1183">
        <v>0</v>
      </c>
    </row>
    <row r="1184" spans="1:16" x14ac:dyDescent="0.2">
      <c r="A1184" t="s">
        <v>3549</v>
      </c>
      <c r="B1184" t="s">
        <v>3551</v>
      </c>
      <c r="C1184" t="s">
        <v>3550</v>
      </c>
      <c r="D1184" t="s">
        <v>2403</v>
      </c>
      <c r="E1184" t="s">
        <v>96</v>
      </c>
      <c r="F1184">
        <v>529.99</v>
      </c>
      <c r="G1184" t="s">
        <v>11</v>
      </c>
      <c r="H1184">
        <v>0</v>
      </c>
      <c r="M1184">
        <v>0</v>
      </c>
      <c r="N1184">
        <v>0</v>
      </c>
      <c r="O1184">
        <v>0</v>
      </c>
      <c r="P1184">
        <v>0</v>
      </c>
    </row>
    <row r="1185" spans="1:16" x14ac:dyDescent="0.2">
      <c r="A1185" t="s">
        <v>2404</v>
      </c>
      <c r="B1185" t="s">
        <v>3548</v>
      </c>
      <c r="C1185" t="s">
        <v>2405</v>
      </c>
      <c r="D1185" t="s">
        <v>2403</v>
      </c>
      <c r="E1185" t="s">
        <v>96</v>
      </c>
      <c r="F1185">
        <v>349.99</v>
      </c>
      <c r="G1185" t="s">
        <v>11</v>
      </c>
      <c r="H1185">
        <v>0</v>
      </c>
      <c r="M1185">
        <v>0</v>
      </c>
      <c r="N1185">
        <v>0</v>
      </c>
      <c r="O1185">
        <v>0</v>
      </c>
      <c r="P1185">
        <v>0</v>
      </c>
    </row>
    <row r="1186" spans="1:16" x14ac:dyDescent="0.2">
      <c r="A1186" t="s">
        <v>3533</v>
      </c>
      <c r="B1186" t="s">
        <v>3535</v>
      </c>
      <c r="C1186" t="s">
        <v>3534</v>
      </c>
      <c r="D1186" t="s">
        <v>2403</v>
      </c>
      <c r="E1186" t="s">
        <v>96</v>
      </c>
      <c r="F1186">
        <v>359.99</v>
      </c>
      <c r="G1186" t="s">
        <v>11</v>
      </c>
      <c r="H1186">
        <v>0</v>
      </c>
      <c r="M1186">
        <v>0</v>
      </c>
      <c r="N1186">
        <v>0</v>
      </c>
      <c r="O1186">
        <v>0</v>
      </c>
      <c r="P1186">
        <v>0</v>
      </c>
    </row>
    <row r="1187" spans="1:16" x14ac:dyDescent="0.2">
      <c r="A1187" t="s">
        <v>3536</v>
      </c>
      <c r="B1187" t="s">
        <v>3538</v>
      </c>
      <c r="C1187" t="s">
        <v>3537</v>
      </c>
      <c r="D1187" t="s">
        <v>2403</v>
      </c>
      <c r="E1187" t="s">
        <v>96</v>
      </c>
      <c r="F1187">
        <v>149.99</v>
      </c>
      <c r="G1187" t="s">
        <v>11</v>
      </c>
      <c r="H1187">
        <v>0</v>
      </c>
      <c r="M1187">
        <v>0</v>
      </c>
      <c r="N1187">
        <v>0</v>
      </c>
      <c r="O1187">
        <v>0</v>
      </c>
      <c r="P1187">
        <v>0</v>
      </c>
    </row>
    <row r="1188" spans="1:16" x14ac:dyDescent="0.2">
      <c r="A1188" t="s">
        <v>6959</v>
      </c>
      <c r="B1188" t="s">
        <v>6961</v>
      </c>
      <c r="C1188" t="s">
        <v>6960</v>
      </c>
      <c r="D1188" t="s">
        <v>6954</v>
      </c>
      <c r="E1188" t="s">
        <v>96</v>
      </c>
      <c r="F1188">
        <v>44.99</v>
      </c>
      <c r="G1188" t="s">
        <v>11</v>
      </c>
      <c r="H1188">
        <v>0</v>
      </c>
      <c r="M1188">
        <v>0</v>
      </c>
      <c r="N1188">
        <v>0</v>
      </c>
      <c r="O1188">
        <v>0</v>
      </c>
      <c r="P1188">
        <v>0</v>
      </c>
    </row>
    <row r="1189" spans="1:16" x14ac:dyDescent="0.2">
      <c r="A1189" t="s">
        <v>4561</v>
      </c>
      <c r="B1189" t="s">
        <v>4563</v>
      </c>
      <c r="C1189" t="s">
        <v>4562</v>
      </c>
      <c r="D1189" t="s">
        <v>4486</v>
      </c>
      <c r="E1189" t="s">
        <v>96</v>
      </c>
      <c r="F1189">
        <v>109.95</v>
      </c>
      <c r="G1189" t="s">
        <v>11</v>
      </c>
      <c r="H1189">
        <v>0</v>
      </c>
      <c r="M1189">
        <v>0</v>
      </c>
      <c r="N1189">
        <v>0</v>
      </c>
      <c r="O1189">
        <v>0</v>
      </c>
      <c r="P1189">
        <v>0</v>
      </c>
    </row>
    <row r="1190" spans="1:16" x14ac:dyDescent="0.2">
      <c r="A1190" t="s">
        <v>2136</v>
      </c>
      <c r="B1190" t="s">
        <v>5796</v>
      </c>
      <c r="C1190" t="s">
        <v>2137</v>
      </c>
      <c r="D1190" t="s">
        <v>2131</v>
      </c>
      <c r="E1190" t="s">
        <v>96</v>
      </c>
      <c r="F1190">
        <v>39.99</v>
      </c>
      <c r="G1190" t="s">
        <v>11</v>
      </c>
      <c r="H1190">
        <v>0</v>
      </c>
      <c r="M1190">
        <v>0</v>
      </c>
      <c r="N1190">
        <v>0</v>
      </c>
      <c r="O1190">
        <v>0</v>
      </c>
      <c r="P1190">
        <v>0</v>
      </c>
    </row>
    <row r="1191" spans="1:16" x14ac:dyDescent="0.2">
      <c r="A1191" t="s">
        <v>6811</v>
      </c>
      <c r="B1191" t="s">
        <v>6813</v>
      </c>
      <c r="C1191" t="s">
        <v>6812</v>
      </c>
      <c r="D1191" t="s">
        <v>2987</v>
      </c>
      <c r="E1191" t="s">
        <v>96</v>
      </c>
      <c r="F1191">
        <v>89.99</v>
      </c>
      <c r="G1191" t="s">
        <v>11</v>
      </c>
      <c r="H1191">
        <v>0</v>
      </c>
      <c r="M1191">
        <v>0</v>
      </c>
      <c r="N1191">
        <v>0</v>
      </c>
      <c r="O1191">
        <v>0</v>
      </c>
      <c r="P1191">
        <v>0</v>
      </c>
    </row>
    <row r="1192" spans="1:16" x14ac:dyDescent="0.2">
      <c r="A1192" t="s">
        <v>6814</v>
      </c>
      <c r="B1192" t="s">
        <v>6816</v>
      </c>
      <c r="C1192" t="s">
        <v>6815</v>
      </c>
      <c r="D1192" t="s">
        <v>2987</v>
      </c>
      <c r="E1192" t="s">
        <v>96</v>
      </c>
      <c r="F1192">
        <v>89.99</v>
      </c>
      <c r="G1192" t="s">
        <v>11</v>
      </c>
      <c r="H1192">
        <v>0</v>
      </c>
      <c r="M1192">
        <v>0</v>
      </c>
      <c r="N1192">
        <v>0</v>
      </c>
      <c r="O1192">
        <v>0</v>
      </c>
      <c r="P1192">
        <v>0</v>
      </c>
    </row>
    <row r="1193" spans="1:16" x14ac:dyDescent="0.2">
      <c r="A1193" t="s">
        <v>6799</v>
      </c>
      <c r="B1193" t="s">
        <v>6801</v>
      </c>
      <c r="C1193" t="s">
        <v>6800</v>
      </c>
      <c r="D1193" t="s">
        <v>2987</v>
      </c>
      <c r="E1193" t="s">
        <v>96</v>
      </c>
      <c r="F1193">
        <v>89.99</v>
      </c>
      <c r="G1193" t="s">
        <v>11</v>
      </c>
      <c r="H1193">
        <v>0</v>
      </c>
      <c r="M1193">
        <v>0</v>
      </c>
      <c r="N1193">
        <v>0</v>
      </c>
      <c r="O1193">
        <v>0</v>
      </c>
      <c r="P1193">
        <v>0</v>
      </c>
    </row>
    <row r="1194" spans="1:16" x14ac:dyDescent="0.2">
      <c r="A1194" t="s">
        <v>3059</v>
      </c>
      <c r="B1194" t="s">
        <v>6494</v>
      </c>
      <c r="C1194" t="s">
        <v>3060</v>
      </c>
      <c r="D1194" t="s">
        <v>2987</v>
      </c>
      <c r="E1194" t="s">
        <v>228</v>
      </c>
      <c r="F1194">
        <v>219.99</v>
      </c>
      <c r="G1194" t="s">
        <v>11</v>
      </c>
      <c r="H1194">
        <v>0.125</v>
      </c>
      <c r="M1194">
        <v>12</v>
      </c>
      <c r="N1194">
        <v>0.16666666666666666</v>
      </c>
      <c r="O1194">
        <v>0</v>
      </c>
      <c r="P1194">
        <v>2</v>
      </c>
    </row>
    <row r="1195" spans="1:16" x14ac:dyDescent="0.2">
      <c r="A1195" t="s">
        <v>6805</v>
      </c>
      <c r="B1195" t="s">
        <v>6807</v>
      </c>
      <c r="C1195" t="s">
        <v>6806</v>
      </c>
      <c r="D1195" t="s">
        <v>2987</v>
      </c>
      <c r="E1195" t="s">
        <v>96</v>
      </c>
      <c r="F1195">
        <v>89.99</v>
      </c>
      <c r="G1195" t="s">
        <v>11</v>
      </c>
      <c r="H1195">
        <v>0</v>
      </c>
      <c r="M1195">
        <v>0</v>
      </c>
      <c r="N1195">
        <v>0</v>
      </c>
      <c r="O1195">
        <v>0</v>
      </c>
      <c r="P1195">
        <v>0</v>
      </c>
    </row>
    <row r="1196" spans="1:16" x14ac:dyDescent="0.2">
      <c r="A1196" t="s">
        <v>2929</v>
      </c>
      <c r="B1196" t="s">
        <v>6458</v>
      </c>
      <c r="C1196" t="s">
        <v>2930</v>
      </c>
      <c r="D1196" t="s">
        <v>2928</v>
      </c>
      <c r="E1196" t="s">
        <v>96</v>
      </c>
      <c r="F1196">
        <v>179.99</v>
      </c>
      <c r="G1196" t="s">
        <v>11</v>
      </c>
      <c r="H1196">
        <v>0</v>
      </c>
      <c r="M1196">
        <v>0</v>
      </c>
      <c r="N1196">
        <v>0</v>
      </c>
      <c r="O1196">
        <v>0</v>
      </c>
      <c r="P1196">
        <v>1</v>
      </c>
    </row>
    <row r="1197" spans="1:16" x14ac:dyDescent="0.2">
      <c r="A1197" t="s">
        <v>6876</v>
      </c>
      <c r="B1197" t="s">
        <v>6878</v>
      </c>
      <c r="C1197" t="s">
        <v>6877</v>
      </c>
      <c r="D1197" t="s">
        <v>2987</v>
      </c>
      <c r="E1197" t="s">
        <v>96</v>
      </c>
      <c r="F1197">
        <v>49.99</v>
      </c>
      <c r="G1197" t="s">
        <v>11</v>
      </c>
      <c r="H1197">
        <v>0</v>
      </c>
      <c r="M1197">
        <v>0</v>
      </c>
      <c r="N1197">
        <v>0</v>
      </c>
      <c r="O1197">
        <v>0</v>
      </c>
      <c r="P1197">
        <v>0</v>
      </c>
    </row>
    <row r="1198" spans="1:16" x14ac:dyDescent="0.2">
      <c r="A1198" t="s">
        <v>6891</v>
      </c>
      <c r="B1198" t="s">
        <v>6893</v>
      </c>
      <c r="C1198" t="s">
        <v>6892</v>
      </c>
      <c r="D1198" t="s">
        <v>2987</v>
      </c>
      <c r="E1198" t="s">
        <v>96</v>
      </c>
      <c r="F1198">
        <v>89.99</v>
      </c>
      <c r="G1198" t="s">
        <v>11</v>
      </c>
      <c r="H1198">
        <v>0</v>
      </c>
      <c r="M1198">
        <v>0</v>
      </c>
      <c r="N1198">
        <v>0</v>
      </c>
      <c r="O1198">
        <v>0</v>
      </c>
      <c r="P1198">
        <v>0</v>
      </c>
    </row>
    <row r="1199" spans="1:16" x14ac:dyDescent="0.2">
      <c r="A1199" t="s">
        <v>6873</v>
      </c>
      <c r="B1199" t="s">
        <v>6875</v>
      </c>
      <c r="C1199" t="s">
        <v>6874</v>
      </c>
      <c r="D1199" t="s">
        <v>2987</v>
      </c>
      <c r="E1199" t="s">
        <v>96</v>
      </c>
      <c r="F1199">
        <v>49.99</v>
      </c>
      <c r="G1199" t="s">
        <v>11</v>
      </c>
      <c r="H1199">
        <v>0</v>
      </c>
      <c r="M1199">
        <v>0</v>
      </c>
      <c r="N1199">
        <v>0</v>
      </c>
      <c r="O1199">
        <v>0</v>
      </c>
      <c r="P1199">
        <v>0</v>
      </c>
    </row>
    <row r="1200" spans="1:16" x14ac:dyDescent="0.2">
      <c r="A1200" t="s">
        <v>6744</v>
      </c>
      <c r="B1200" t="s">
        <v>6746</v>
      </c>
      <c r="C1200" t="s">
        <v>6745</v>
      </c>
      <c r="D1200" t="s">
        <v>2987</v>
      </c>
      <c r="E1200" t="s">
        <v>96</v>
      </c>
      <c r="F1200">
        <v>74.989999999999995</v>
      </c>
      <c r="G1200" t="s">
        <v>11</v>
      </c>
      <c r="H1200">
        <v>0</v>
      </c>
      <c r="M1200">
        <v>0</v>
      </c>
      <c r="N1200">
        <v>0</v>
      </c>
      <c r="O1200">
        <v>0</v>
      </c>
      <c r="P1200">
        <v>0</v>
      </c>
    </row>
    <row r="1201" spans="1:16" x14ac:dyDescent="0.2">
      <c r="A1201" t="s">
        <v>6744</v>
      </c>
      <c r="B1201" t="s">
        <v>6746</v>
      </c>
      <c r="C1201" t="s">
        <v>6745</v>
      </c>
      <c r="D1201" t="s">
        <v>2987</v>
      </c>
      <c r="E1201" t="s">
        <v>96</v>
      </c>
      <c r="F1201">
        <v>74.989999999999995</v>
      </c>
      <c r="G1201" t="s">
        <v>11</v>
      </c>
      <c r="H1201">
        <v>0</v>
      </c>
      <c r="M1201">
        <v>0</v>
      </c>
      <c r="N1201">
        <v>0</v>
      </c>
      <c r="O1201">
        <v>0</v>
      </c>
      <c r="P1201">
        <v>0</v>
      </c>
    </row>
    <row r="1202" spans="1:16" x14ac:dyDescent="0.2">
      <c r="A1202" t="s">
        <v>6747</v>
      </c>
      <c r="B1202" t="s">
        <v>6749</v>
      </c>
      <c r="C1202" t="s">
        <v>6748</v>
      </c>
      <c r="D1202" t="s">
        <v>2987</v>
      </c>
      <c r="E1202" t="s">
        <v>96</v>
      </c>
      <c r="F1202">
        <v>74.989999999999995</v>
      </c>
      <c r="G1202" t="s">
        <v>11</v>
      </c>
      <c r="H1202">
        <v>0</v>
      </c>
      <c r="M1202">
        <v>0</v>
      </c>
      <c r="N1202">
        <v>0</v>
      </c>
      <c r="O1202">
        <v>0</v>
      </c>
      <c r="P1202">
        <v>0</v>
      </c>
    </row>
    <row r="1203" spans="1:16" x14ac:dyDescent="0.2">
      <c r="A1203" t="s">
        <v>6759</v>
      </c>
      <c r="B1203" t="s">
        <v>6761</v>
      </c>
      <c r="C1203" t="s">
        <v>6760</v>
      </c>
      <c r="D1203" t="s">
        <v>2987</v>
      </c>
      <c r="E1203" t="s">
        <v>96</v>
      </c>
      <c r="F1203">
        <v>74.989999999999995</v>
      </c>
      <c r="G1203" t="s">
        <v>11</v>
      </c>
      <c r="H1203">
        <v>0</v>
      </c>
      <c r="M1203">
        <v>0</v>
      </c>
      <c r="N1203">
        <v>0</v>
      </c>
      <c r="O1203">
        <v>0</v>
      </c>
      <c r="P1203">
        <v>0</v>
      </c>
    </row>
    <row r="1204" spans="1:16" x14ac:dyDescent="0.2">
      <c r="A1204" t="s">
        <v>6753</v>
      </c>
      <c r="B1204" t="s">
        <v>6755</v>
      </c>
      <c r="C1204" t="s">
        <v>6754</v>
      </c>
      <c r="D1204" t="s">
        <v>2987</v>
      </c>
      <c r="E1204" t="s">
        <v>96</v>
      </c>
      <c r="F1204">
        <v>74.989999999999995</v>
      </c>
      <c r="G1204" t="s">
        <v>11</v>
      </c>
      <c r="H1204">
        <v>0</v>
      </c>
      <c r="M1204">
        <v>0</v>
      </c>
      <c r="N1204">
        <v>0</v>
      </c>
      <c r="O1204">
        <v>0</v>
      </c>
      <c r="P1204">
        <v>0</v>
      </c>
    </row>
    <row r="1205" spans="1:16" x14ac:dyDescent="0.2">
      <c r="A1205" t="s">
        <v>6756</v>
      </c>
      <c r="B1205" t="s">
        <v>6758</v>
      </c>
      <c r="C1205" t="s">
        <v>6757</v>
      </c>
      <c r="D1205" t="s">
        <v>2987</v>
      </c>
      <c r="E1205" t="s">
        <v>96</v>
      </c>
      <c r="F1205">
        <v>74.989999999999995</v>
      </c>
      <c r="G1205" t="s">
        <v>11</v>
      </c>
      <c r="H1205">
        <v>0</v>
      </c>
      <c r="M1205">
        <v>0</v>
      </c>
      <c r="N1205">
        <v>0</v>
      </c>
      <c r="O1205">
        <v>0</v>
      </c>
      <c r="P1205">
        <v>0</v>
      </c>
    </row>
    <row r="1206" spans="1:16" x14ac:dyDescent="0.2">
      <c r="A1206" t="s">
        <v>6861</v>
      </c>
      <c r="B1206" t="s">
        <v>6863</v>
      </c>
      <c r="C1206" t="s">
        <v>6862</v>
      </c>
      <c r="D1206" t="s">
        <v>2987</v>
      </c>
      <c r="E1206" t="s">
        <v>96</v>
      </c>
      <c r="F1206">
        <v>159.99</v>
      </c>
      <c r="G1206" t="s">
        <v>11</v>
      </c>
      <c r="H1206">
        <v>0</v>
      </c>
      <c r="M1206">
        <v>0</v>
      </c>
      <c r="N1206">
        <v>0</v>
      </c>
      <c r="O1206">
        <v>0</v>
      </c>
      <c r="P1206">
        <v>0</v>
      </c>
    </row>
    <row r="1207" spans="1:16" x14ac:dyDescent="0.2">
      <c r="A1207" t="s">
        <v>6858</v>
      </c>
      <c r="B1207" t="s">
        <v>6860</v>
      </c>
      <c r="C1207" t="s">
        <v>6859</v>
      </c>
      <c r="D1207" t="s">
        <v>2987</v>
      </c>
      <c r="E1207" t="s">
        <v>96</v>
      </c>
      <c r="F1207">
        <v>139.99</v>
      </c>
      <c r="G1207" t="s">
        <v>11</v>
      </c>
      <c r="H1207">
        <v>0</v>
      </c>
      <c r="M1207">
        <v>0</v>
      </c>
      <c r="N1207">
        <v>0</v>
      </c>
      <c r="O1207">
        <v>0</v>
      </c>
      <c r="P1207">
        <v>0</v>
      </c>
    </row>
    <row r="1208" spans="1:16" x14ac:dyDescent="0.2">
      <c r="A1208" t="s">
        <v>6750</v>
      </c>
      <c r="B1208" t="s">
        <v>6752</v>
      </c>
      <c r="C1208" t="s">
        <v>6751</v>
      </c>
      <c r="D1208" t="s">
        <v>2987</v>
      </c>
      <c r="E1208" t="s">
        <v>96</v>
      </c>
      <c r="F1208">
        <v>74.989999999999995</v>
      </c>
      <c r="G1208" t="s">
        <v>11</v>
      </c>
      <c r="H1208">
        <v>0</v>
      </c>
      <c r="M1208">
        <v>0</v>
      </c>
      <c r="N1208">
        <v>0</v>
      </c>
      <c r="O1208">
        <v>0</v>
      </c>
      <c r="P1208">
        <v>0</v>
      </c>
    </row>
    <row r="1209" spans="1:16" x14ac:dyDescent="0.2">
      <c r="A1209" t="s">
        <v>6911</v>
      </c>
      <c r="B1209" t="s">
        <v>6913</v>
      </c>
      <c r="C1209" t="s">
        <v>6912</v>
      </c>
      <c r="D1209" t="s">
        <v>2987</v>
      </c>
      <c r="E1209" t="s">
        <v>96</v>
      </c>
      <c r="F1209">
        <v>89.99</v>
      </c>
      <c r="G1209" t="s">
        <v>11</v>
      </c>
      <c r="H1209">
        <v>0</v>
      </c>
      <c r="M1209">
        <v>0</v>
      </c>
      <c r="N1209">
        <v>0</v>
      </c>
      <c r="O1209">
        <v>0</v>
      </c>
      <c r="P1209">
        <v>0</v>
      </c>
    </row>
    <row r="1210" spans="1:16" x14ac:dyDescent="0.2">
      <c r="A1210" t="s">
        <v>3073</v>
      </c>
      <c r="B1210" t="s">
        <v>6906</v>
      </c>
      <c r="C1210" t="s">
        <v>3074</v>
      </c>
      <c r="D1210" t="s">
        <v>2987</v>
      </c>
      <c r="E1210" t="s">
        <v>228</v>
      </c>
      <c r="F1210">
        <v>199.99</v>
      </c>
      <c r="G1210" t="s">
        <v>11</v>
      </c>
      <c r="H1210">
        <v>0</v>
      </c>
      <c r="M1210">
        <v>0</v>
      </c>
      <c r="N1210">
        <v>0</v>
      </c>
      <c r="O1210">
        <v>0</v>
      </c>
      <c r="P1210">
        <v>0</v>
      </c>
    </row>
    <row r="1211" spans="1:16" x14ac:dyDescent="0.2">
      <c r="A1211" t="s">
        <v>6729</v>
      </c>
      <c r="B1211" t="s">
        <v>6731</v>
      </c>
      <c r="C1211" t="s">
        <v>6730</v>
      </c>
      <c r="D1211" t="s">
        <v>2987</v>
      </c>
      <c r="E1211" t="s">
        <v>96</v>
      </c>
      <c r="F1211">
        <v>89.99</v>
      </c>
      <c r="G1211" t="s">
        <v>11</v>
      </c>
      <c r="H1211">
        <v>0</v>
      </c>
      <c r="M1211">
        <v>0</v>
      </c>
      <c r="N1211">
        <v>0</v>
      </c>
      <c r="O1211">
        <v>0</v>
      </c>
      <c r="P1211">
        <v>0</v>
      </c>
    </row>
    <row r="1212" spans="1:16" x14ac:dyDescent="0.2">
      <c r="A1212" t="s">
        <v>6914</v>
      </c>
      <c r="B1212" t="s">
        <v>6916</v>
      </c>
      <c r="C1212" t="s">
        <v>6915</v>
      </c>
      <c r="D1212" t="s">
        <v>2987</v>
      </c>
      <c r="E1212" t="s">
        <v>96</v>
      </c>
      <c r="F1212">
        <v>89.99</v>
      </c>
      <c r="G1212" t="s">
        <v>11</v>
      </c>
      <c r="H1212">
        <v>0</v>
      </c>
      <c r="M1212">
        <v>0</v>
      </c>
      <c r="N1212">
        <v>0</v>
      </c>
      <c r="O1212">
        <v>0</v>
      </c>
      <c r="P1212">
        <v>0</v>
      </c>
    </row>
    <row r="1213" spans="1:16" x14ac:dyDescent="0.2">
      <c r="A1213" t="s">
        <v>3051</v>
      </c>
      <c r="B1213" t="s">
        <v>6501</v>
      </c>
      <c r="C1213" t="s">
        <v>3052</v>
      </c>
      <c r="D1213" t="s">
        <v>2987</v>
      </c>
      <c r="E1213" t="s">
        <v>228</v>
      </c>
      <c r="F1213">
        <v>139.99</v>
      </c>
      <c r="G1213" t="s">
        <v>11</v>
      </c>
      <c r="H1213">
        <v>0</v>
      </c>
      <c r="M1213">
        <v>0</v>
      </c>
      <c r="N1213">
        <v>0</v>
      </c>
      <c r="O1213">
        <v>0</v>
      </c>
      <c r="P1213">
        <v>0</v>
      </c>
    </row>
    <row r="1214" spans="1:16" x14ac:dyDescent="0.2">
      <c r="A1214" t="s">
        <v>6944</v>
      </c>
      <c r="B1214" t="s">
        <v>6946</v>
      </c>
      <c r="C1214" t="s">
        <v>6945</v>
      </c>
      <c r="D1214" t="s">
        <v>2987</v>
      </c>
      <c r="E1214" t="s">
        <v>96</v>
      </c>
      <c r="F1214">
        <v>179.99</v>
      </c>
      <c r="G1214" t="s">
        <v>11</v>
      </c>
      <c r="H1214">
        <v>0</v>
      </c>
      <c r="M1214">
        <v>0</v>
      </c>
      <c r="N1214">
        <v>0</v>
      </c>
      <c r="O1214">
        <v>0</v>
      </c>
      <c r="P1214">
        <v>0</v>
      </c>
    </row>
    <row r="1215" spans="1:16" x14ac:dyDescent="0.2">
      <c r="A1215" t="s">
        <v>6940</v>
      </c>
      <c r="B1215" t="s">
        <v>6942</v>
      </c>
      <c r="C1215" t="s">
        <v>6941</v>
      </c>
      <c r="D1215" t="s">
        <v>2987</v>
      </c>
      <c r="E1215" t="s">
        <v>290</v>
      </c>
      <c r="F1215">
        <v>179.99</v>
      </c>
      <c r="G1215" t="s">
        <v>11</v>
      </c>
      <c r="H1215">
        <v>0</v>
      </c>
      <c r="M1215">
        <v>0</v>
      </c>
      <c r="N1215">
        <v>0</v>
      </c>
      <c r="O1215">
        <v>0</v>
      </c>
      <c r="P1215">
        <v>0</v>
      </c>
    </row>
    <row r="1216" spans="1:16" x14ac:dyDescent="0.2">
      <c r="A1216" t="s">
        <v>3043</v>
      </c>
      <c r="B1216" t="s">
        <v>6905</v>
      </c>
      <c r="C1216" t="s">
        <v>3044</v>
      </c>
      <c r="D1216" t="s">
        <v>2987</v>
      </c>
      <c r="E1216" t="s">
        <v>228</v>
      </c>
      <c r="F1216">
        <v>64.989999999999995</v>
      </c>
      <c r="G1216" t="s">
        <v>11</v>
      </c>
      <c r="H1216">
        <v>0</v>
      </c>
      <c r="M1216">
        <v>0</v>
      </c>
      <c r="N1216">
        <v>0</v>
      </c>
      <c r="O1216">
        <v>0</v>
      </c>
      <c r="P1216">
        <v>0</v>
      </c>
    </row>
    <row r="1217" spans="1:16" x14ac:dyDescent="0.2">
      <c r="A1217" t="s">
        <v>3041</v>
      </c>
      <c r="B1217" t="s">
        <v>6524</v>
      </c>
      <c r="C1217" t="s">
        <v>3042</v>
      </c>
      <c r="D1217" t="s">
        <v>2987</v>
      </c>
      <c r="E1217" t="s">
        <v>228</v>
      </c>
      <c r="F1217">
        <v>79.989999999999995</v>
      </c>
      <c r="G1217" t="s">
        <v>11</v>
      </c>
      <c r="H1217">
        <v>0</v>
      </c>
      <c r="M1217">
        <v>0</v>
      </c>
      <c r="N1217">
        <v>0</v>
      </c>
      <c r="O1217">
        <v>0</v>
      </c>
      <c r="P1217">
        <v>1</v>
      </c>
    </row>
    <row r="1218" spans="1:16" x14ac:dyDescent="0.2">
      <c r="A1218" t="s">
        <v>3053</v>
      </c>
      <c r="B1218" t="s">
        <v>6719</v>
      </c>
      <c r="C1218" t="s">
        <v>3054</v>
      </c>
      <c r="D1218" t="s">
        <v>2987</v>
      </c>
      <c r="E1218" t="s">
        <v>96</v>
      </c>
      <c r="F1218">
        <v>139.99</v>
      </c>
      <c r="G1218" t="s">
        <v>11</v>
      </c>
      <c r="H1218">
        <v>0</v>
      </c>
      <c r="M1218">
        <v>0</v>
      </c>
      <c r="N1218">
        <v>0</v>
      </c>
      <c r="O1218">
        <v>0</v>
      </c>
      <c r="P1218">
        <v>0</v>
      </c>
    </row>
    <row r="1219" spans="1:16" x14ac:dyDescent="0.2">
      <c r="A1219" t="s">
        <v>3035</v>
      </c>
      <c r="B1219" t="s">
        <v>6762</v>
      </c>
      <c r="C1219" t="s">
        <v>3036</v>
      </c>
      <c r="D1219" t="s">
        <v>2987</v>
      </c>
      <c r="E1219" t="s">
        <v>290</v>
      </c>
      <c r="F1219">
        <v>139.99</v>
      </c>
      <c r="G1219" t="s">
        <v>11</v>
      </c>
      <c r="H1219">
        <v>4.1666666666666664E-2</v>
      </c>
      <c r="M1219">
        <v>12</v>
      </c>
      <c r="N1219">
        <v>0.16666666666666666</v>
      </c>
      <c r="O1219">
        <v>0</v>
      </c>
      <c r="P1219">
        <v>2</v>
      </c>
    </row>
    <row r="1220" spans="1:16" x14ac:dyDescent="0.2">
      <c r="A1220" t="s">
        <v>6726</v>
      </c>
      <c r="B1220" t="s">
        <v>6728</v>
      </c>
      <c r="C1220" t="s">
        <v>6727</v>
      </c>
      <c r="D1220" t="s">
        <v>2987</v>
      </c>
      <c r="E1220" t="s">
        <v>96</v>
      </c>
      <c r="F1220">
        <v>89.99</v>
      </c>
      <c r="G1220" t="s">
        <v>11</v>
      </c>
      <c r="H1220">
        <v>0</v>
      </c>
      <c r="M1220">
        <v>0</v>
      </c>
      <c r="N1220">
        <v>0</v>
      </c>
      <c r="O1220">
        <v>0</v>
      </c>
      <c r="P1220">
        <v>0</v>
      </c>
    </row>
    <row r="1221" spans="1:16" x14ac:dyDescent="0.2">
      <c r="A1221" t="s">
        <v>6869</v>
      </c>
      <c r="B1221" t="s">
        <v>6871</v>
      </c>
      <c r="C1221" t="s">
        <v>6870</v>
      </c>
      <c r="D1221" t="s">
        <v>2987</v>
      </c>
      <c r="E1221" t="s">
        <v>96</v>
      </c>
      <c r="F1221">
        <v>139.99</v>
      </c>
      <c r="G1221" t="s">
        <v>11</v>
      </c>
      <c r="H1221">
        <v>0</v>
      </c>
      <c r="M1221">
        <v>0</v>
      </c>
      <c r="N1221">
        <v>0</v>
      </c>
      <c r="O1221">
        <v>0</v>
      </c>
      <c r="P1221">
        <v>0</v>
      </c>
    </row>
    <row r="1222" spans="1:16" x14ac:dyDescent="0.2">
      <c r="A1222" t="s">
        <v>6866</v>
      </c>
      <c r="B1222" t="s">
        <v>6868</v>
      </c>
      <c r="C1222" t="s">
        <v>6867</v>
      </c>
      <c r="D1222" t="s">
        <v>2987</v>
      </c>
      <c r="E1222" t="s">
        <v>96</v>
      </c>
      <c r="F1222">
        <v>119.99</v>
      </c>
      <c r="G1222" t="s">
        <v>11</v>
      </c>
      <c r="H1222">
        <v>0</v>
      </c>
      <c r="M1222">
        <v>0</v>
      </c>
      <c r="N1222">
        <v>0</v>
      </c>
      <c r="O1222">
        <v>0</v>
      </c>
      <c r="P1222">
        <v>0</v>
      </c>
    </row>
    <row r="1223" spans="1:16" x14ac:dyDescent="0.2">
      <c r="A1223" t="s">
        <v>6720</v>
      </c>
      <c r="B1223" t="s">
        <v>6722</v>
      </c>
      <c r="C1223" t="s">
        <v>6721</v>
      </c>
      <c r="D1223" t="s">
        <v>2987</v>
      </c>
      <c r="E1223" t="s">
        <v>96</v>
      </c>
      <c r="F1223">
        <v>89.99</v>
      </c>
      <c r="G1223" t="s">
        <v>11</v>
      </c>
      <c r="H1223">
        <v>0</v>
      </c>
      <c r="M1223">
        <v>0</v>
      </c>
      <c r="N1223">
        <v>0</v>
      </c>
      <c r="O1223">
        <v>0</v>
      </c>
      <c r="P1223">
        <v>0</v>
      </c>
    </row>
    <row r="1224" spans="1:16" x14ac:dyDescent="0.2">
      <c r="A1224" t="s">
        <v>6723</v>
      </c>
      <c r="B1224" t="s">
        <v>6725</v>
      </c>
      <c r="C1224" t="s">
        <v>6724</v>
      </c>
      <c r="D1224" t="s">
        <v>2987</v>
      </c>
      <c r="E1224" t="s">
        <v>96</v>
      </c>
      <c r="F1224">
        <v>89.99</v>
      </c>
      <c r="G1224" t="s">
        <v>11</v>
      </c>
      <c r="H1224">
        <v>0</v>
      </c>
      <c r="M1224">
        <v>0</v>
      </c>
      <c r="N1224">
        <v>0</v>
      </c>
      <c r="O1224">
        <v>0</v>
      </c>
      <c r="P1224">
        <v>0</v>
      </c>
    </row>
    <row r="1225" spans="1:16" x14ac:dyDescent="0.2">
      <c r="A1225" t="s">
        <v>6927</v>
      </c>
      <c r="B1225" t="s">
        <v>6929</v>
      </c>
      <c r="C1225" t="s">
        <v>6928</v>
      </c>
      <c r="D1225" t="s">
        <v>2987</v>
      </c>
      <c r="E1225" t="s">
        <v>290</v>
      </c>
      <c r="F1225">
        <v>139.99</v>
      </c>
      <c r="G1225" t="s">
        <v>11</v>
      </c>
      <c r="H1225">
        <v>0</v>
      </c>
      <c r="M1225">
        <v>0</v>
      </c>
      <c r="N1225">
        <v>0.16666666666666666</v>
      </c>
      <c r="O1225">
        <v>0</v>
      </c>
      <c r="P1225">
        <v>0</v>
      </c>
    </row>
    <row r="1226" spans="1:16" x14ac:dyDescent="0.2">
      <c r="A1226" t="s">
        <v>545</v>
      </c>
      <c r="C1226" t="s">
        <v>546</v>
      </c>
      <c r="D1226" t="s">
        <v>446</v>
      </c>
      <c r="E1226" t="s">
        <v>228</v>
      </c>
      <c r="F1226">
        <v>69.989999999999995</v>
      </c>
      <c r="G1226" t="s">
        <v>13</v>
      </c>
      <c r="M1226">
        <v>0</v>
      </c>
      <c r="N1226">
        <v>0</v>
      </c>
      <c r="O1226">
        <v>0</v>
      </c>
      <c r="P1226">
        <v>6</v>
      </c>
    </row>
    <row r="1227" spans="1:16" x14ac:dyDescent="0.2">
      <c r="A1227" t="s">
        <v>741</v>
      </c>
      <c r="C1227" t="s">
        <v>742</v>
      </c>
      <c r="D1227" t="s">
        <v>446</v>
      </c>
      <c r="E1227" t="s">
        <v>228</v>
      </c>
      <c r="F1227">
        <v>49.99</v>
      </c>
      <c r="G1227" t="s">
        <v>13</v>
      </c>
      <c r="M1227">
        <v>0</v>
      </c>
      <c r="N1227">
        <v>0</v>
      </c>
      <c r="O1227">
        <v>0</v>
      </c>
      <c r="P1227">
        <v>21</v>
      </c>
    </row>
    <row r="1228" spans="1:16" x14ac:dyDescent="0.2">
      <c r="A1228" t="s">
        <v>3282</v>
      </c>
      <c r="C1228" t="s">
        <v>3281</v>
      </c>
      <c r="D1228" t="s">
        <v>3268</v>
      </c>
      <c r="E1228" t="s">
        <v>228</v>
      </c>
      <c r="F1228">
        <v>99.99</v>
      </c>
      <c r="G1228" t="s">
        <v>13</v>
      </c>
      <c r="M1228">
        <v>0</v>
      </c>
      <c r="N1228">
        <v>0</v>
      </c>
      <c r="O1228">
        <v>0</v>
      </c>
      <c r="P1228">
        <v>25</v>
      </c>
    </row>
    <row r="1229" spans="1:16" x14ac:dyDescent="0.2">
      <c r="A1229" t="s">
        <v>639</v>
      </c>
      <c r="C1229" t="s">
        <v>640</v>
      </c>
      <c r="D1229" t="s">
        <v>446</v>
      </c>
      <c r="E1229" t="s">
        <v>228</v>
      </c>
      <c r="F1229">
        <v>119.99</v>
      </c>
      <c r="G1229" t="s">
        <v>13</v>
      </c>
      <c r="M1229">
        <v>0</v>
      </c>
      <c r="N1229">
        <v>0</v>
      </c>
      <c r="O1229">
        <v>0</v>
      </c>
      <c r="P1229">
        <v>6</v>
      </c>
    </row>
    <row r="1230" spans="1:16" x14ac:dyDescent="0.2">
      <c r="A1230" t="s">
        <v>3382</v>
      </c>
      <c r="C1230" t="s">
        <v>3383</v>
      </c>
      <c r="D1230" t="s">
        <v>3268</v>
      </c>
      <c r="E1230" t="s">
        <v>228</v>
      </c>
      <c r="F1230">
        <v>199.99</v>
      </c>
      <c r="G1230" t="s">
        <v>13</v>
      </c>
      <c r="M1230">
        <v>0</v>
      </c>
      <c r="N1230">
        <v>0</v>
      </c>
      <c r="O1230">
        <v>0</v>
      </c>
      <c r="P1230">
        <v>23</v>
      </c>
    </row>
    <row r="1231" spans="1:16" x14ac:dyDescent="0.2">
      <c r="A1231" t="s">
        <v>645</v>
      </c>
      <c r="C1231" t="s">
        <v>646</v>
      </c>
      <c r="D1231" t="s">
        <v>446</v>
      </c>
      <c r="E1231" t="s">
        <v>228</v>
      </c>
      <c r="F1231">
        <v>59.99</v>
      </c>
      <c r="G1231" t="s">
        <v>13</v>
      </c>
      <c r="M1231">
        <v>0</v>
      </c>
      <c r="N1231">
        <v>0</v>
      </c>
      <c r="O1231">
        <v>0</v>
      </c>
      <c r="P1231">
        <v>2</v>
      </c>
    </row>
    <row r="1232" spans="1:16" x14ac:dyDescent="0.2">
      <c r="A1232" t="s">
        <v>795</v>
      </c>
      <c r="C1232" t="s">
        <v>796</v>
      </c>
      <c r="D1232" t="s">
        <v>446</v>
      </c>
      <c r="E1232" t="s">
        <v>228</v>
      </c>
      <c r="F1232">
        <v>129.99</v>
      </c>
      <c r="G1232" t="s">
        <v>13</v>
      </c>
      <c r="M1232">
        <v>0</v>
      </c>
      <c r="N1232">
        <v>0</v>
      </c>
      <c r="O1232">
        <v>0</v>
      </c>
      <c r="P1232">
        <v>5</v>
      </c>
    </row>
    <row r="1233" spans="1:16" x14ac:dyDescent="0.2">
      <c r="A1233" t="s">
        <v>675</v>
      </c>
      <c r="C1233" t="s">
        <v>676</v>
      </c>
      <c r="D1233" t="s">
        <v>446</v>
      </c>
      <c r="E1233" t="s">
        <v>228</v>
      </c>
      <c r="F1233">
        <v>199.99</v>
      </c>
      <c r="G1233" t="s">
        <v>13</v>
      </c>
      <c r="M1233">
        <v>0</v>
      </c>
      <c r="N1233">
        <v>0</v>
      </c>
      <c r="O1233">
        <v>0</v>
      </c>
      <c r="P1233">
        <v>14</v>
      </c>
    </row>
    <row r="1234" spans="1:16" x14ac:dyDescent="0.2">
      <c r="A1234" t="s">
        <v>2483</v>
      </c>
      <c r="C1234" t="s">
        <v>2484</v>
      </c>
      <c r="D1234" t="s">
        <v>2448</v>
      </c>
      <c r="E1234" t="s">
        <v>228</v>
      </c>
      <c r="F1234">
        <v>59.99</v>
      </c>
      <c r="G1234" t="s">
        <v>13</v>
      </c>
      <c r="M1234">
        <v>0</v>
      </c>
      <c r="N1234">
        <v>0</v>
      </c>
      <c r="O1234">
        <v>0</v>
      </c>
      <c r="P1234">
        <v>10</v>
      </c>
    </row>
    <row r="1235" spans="1:16" x14ac:dyDescent="0.2">
      <c r="A1235" t="s">
        <v>2477</v>
      </c>
      <c r="C1235" t="s">
        <v>7021</v>
      </c>
      <c r="D1235" t="s">
        <v>2448</v>
      </c>
      <c r="E1235" t="s">
        <v>228</v>
      </c>
      <c r="F1235">
        <v>59.99</v>
      </c>
      <c r="G1235" t="s">
        <v>13</v>
      </c>
      <c r="M1235">
        <v>0</v>
      </c>
      <c r="N1235">
        <v>0</v>
      </c>
      <c r="O1235">
        <v>0</v>
      </c>
      <c r="P1235">
        <v>8</v>
      </c>
    </row>
    <row r="1236" spans="1:16" x14ac:dyDescent="0.2">
      <c r="A1236" t="s">
        <v>2292</v>
      </c>
      <c r="B1236" t="s">
        <v>7053</v>
      </c>
      <c r="C1236" t="s">
        <v>2293</v>
      </c>
      <c r="D1236" t="s">
        <v>2146</v>
      </c>
      <c r="E1236" t="s">
        <v>228</v>
      </c>
      <c r="F1236">
        <v>349.99</v>
      </c>
      <c r="G1236" t="s">
        <v>74</v>
      </c>
      <c r="H1236">
        <v>0</v>
      </c>
      <c r="M1236">
        <v>0</v>
      </c>
      <c r="N1236">
        <v>0</v>
      </c>
      <c r="O1236">
        <v>0</v>
      </c>
      <c r="P1236">
        <v>1</v>
      </c>
    </row>
    <row r="1237" spans="1:16" x14ac:dyDescent="0.2">
      <c r="A1237" t="s">
        <v>2290</v>
      </c>
      <c r="B1237" t="s">
        <v>7054</v>
      </c>
      <c r="C1237" t="s">
        <v>2291</v>
      </c>
      <c r="D1237" t="s">
        <v>2146</v>
      </c>
      <c r="E1237" t="s">
        <v>228</v>
      </c>
      <c r="F1237">
        <v>539.99</v>
      </c>
      <c r="G1237" t="s">
        <v>74</v>
      </c>
      <c r="H1237">
        <v>0</v>
      </c>
      <c r="M1237">
        <v>0</v>
      </c>
      <c r="N1237">
        <v>0</v>
      </c>
      <c r="O1237">
        <v>0</v>
      </c>
      <c r="P1237">
        <v>0</v>
      </c>
    </row>
    <row r="1238" spans="1:16" x14ac:dyDescent="0.2">
      <c r="A1238" t="s">
        <v>2336</v>
      </c>
      <c r="B1238" t="s">
        <v>7055</v>
      </c>
      <c r="C1238" t="s">
        <v>2337</v>
      </c>
      <c r="D1238" t="s">
        <v>2146</v>
      </c>
      <c r="E1238" t="s">
        <v>228</v>
      </c>
      <c r="F1238">
        <v>229.99</v>
      </c>
      <c r="G1238" t="s">
        <v>74</v>
      </c>
      <c r="H1238">
        <v>0</v>
      </c>
      <c r="M1238">
        <v>0</v>
      </c>
      <c r="N1238">
        <v>0</v>
      </c>
      <c r="O1238">
        <v>0</v>
      </c>
      <c r="P1238">
        <v>0</v>
      </c>
    </row>
    <row r="1239" spans="1:16" x14ac:dyDescent="0.2">
      <c r="A1239" t="s">
        <v>2352</v>
      </c>
      <c r="B1239" t="s">
        <v>7056</v>
      </c>
      <c r="C1239" t="s">
        <v>2353</v>
      </c>
      <c r="D1239" t="s">
        <v>2146</v>
      </c>
      <c r="E1239" t="s">
        <v>290</v>
      </c>
      <c r="F1239">
        <v>189.99</v>
      </c>
      <c r="G1239" t="s">
        <v>74</v>
      </c>
      <c r="H1239">
        <v>0</v>
      </c>
      <c r="M1239">
        <v>0</v>
      </c>
      <c r="N1239">
        <v>0</v>
      </c>
      <c r="O1239">
        <v>0</v>
      </c>
      <c r="P1239">
        <v>0</v>
      </c>
    </row>
    <row r="1240" spans="1:16" x14ac:dyDescent="0.2">
      <c r="A1240" t="s">
        <v>2178</v>
      </c>
      <c r="B1240" t="s">
        <v>7057</v>
      </c>
      <c r="C1240" t="s">
        <v>2179</v>
      </c>
      <c r="D1240" t="s">
        <v>2146</v>
      </c>
      <c r="E1240" t="s">
        <v>290</v>
      </c>
      <c r="F1240">
        <v>99.99</v>
      </c>
      <c r="G1240" t="s">
        <v>74</v>
      </c>
      <c r="H1240">
        <v>0</v>
      </c>
      <c r="I1240" t="s">
        <v>290</v>
      </c>
      <c r="M1240">
        <v>0</v>
      </c>
      <c r="N1240">
        <v>0</v>
      </c>
      <c r="O1240">
        <v>0</v>
      </c>
      <c r="P1240">
        <v>0</v>
      </c>
    </row>
    <row r="1241" spans="1:16" x14ac:dyDescent="0.2">
      <c r="A1241" t="s">
        <v>2358</v>
      </c>
      <c r="B1241" t="s">
        <v>7058</v>
      </c>
      <c r="C1241" t="s">
        <v>2359</v>
      </c>
      <c r="D1241" t="s">
        <v>2146</v>
      </c>
      <c r="E1241" t="s">
        <v>228</v>
      </c>
      <c r="F1241">
        <v>199.99</v>
      </c>
      <c r="G1241" t="s">
        <v>74</v>
      </c>
      <c r="H1241">
        <v>0</v>
      </c>
      <c r="M1241">
        <v>0</v>
      </c>
      <c r="N1241">
        <v>0</v>
      </c>
      <c r="O1241">
        <v>0</v>
      </c>
      <c r="P1241">
        <v>0</v>
      </c>
    </row>
    <row r="1242" spans="1:16" x14ac:dyDescent="0.2">
      <c r="A1242" t="s">
        <v>2350</v>
      </c>
      <c r="B1242" t="s">
        <v>7059</v>
      </c>
      <c r="C1242" t="s">
        <v>2351</v>
      </c>
      <c r="D1242" t="s">
        <v>2146</v>
      </c>
      <c r="E1242" t="s">
        <v>228</v>
      </c>
      <c r="F1242">
        <v>189.99</v>
      </c>
      <c r="G1242" t="s">
        <v>74</v>
      </c>
      <c r="H1242">
        <v>0</v>
      </c>
      <c r="M1242">
        <v>0</v>
      </c>
      <c r="N1242">
        <v>0</v>
      </c>
      <c r="O1242">
        <v>0</v>
      </c>
      <c r="P1242">
        <v>0</v>
      </c>
    </row>
    <row r="1243" spans="1:16" x14ac:dyDescent="0.2">
      <c r="A1243" t="s">
        <v>2360</v>
      </c>
      <c r="B1243" t="s">
        <v>7060</v>
      </c>
      <c r="C1243" t="s">
        <v>2361</v>
      </c>
      <c r="D1243" t="s">
        <v>2146</v>
      </c>
      <c r="E1243" t="s">
        <v>228</v>
      </c>
      <c r="F1243">
        <v>349.99</v>
      </c>
      <c r="G1243" t="s">
        <v>74</v>
      </c>
      <c r="H1243">
        <v>2.0833333333333333E-3</v>
      </c>
      <c r="M1243">
        <v>840.00000000000023</v>
      </c>
      <c r="N1243">
        <v>0.66666666666666652</v>
      </c>
      <c r="O1243">
        <v>0</v>
      </c>
      <c r="P1243">
        <v>560</v>
      </c>
    </row>
    <row r="1244" spans="1:16" x14ac:dyDescent="0.2">
      <c r="A1244" t="s">
        <v>2190</v>
      </c>
      <c r="B1244" t="s">
        <v>7061</v>
      </c>
      <c r="C1244" t="s">
        <v>2191</v>
      </c>
      <c r="D1244" t="s">
        <v>2146</v>
      </c>
      <c r="E1244" t="s">
        <v>290</v>
      </c>
      <c r="F1244">
        <v>349.99</v>
      </c>
      <c r="G1244" t="s">
        <v>74</v>
      </c>
      <c r="H1244">
        <v>0</v>
      </c>
      <c r="I1244" t="s">
        <v>290</v>
      </c>
      <c r="M1244">
        <v>0</v>
      </c>
      <c r="N1244">
        <v>0</v>
      </c>
      <c r="O1244">
        <v>0</v>
      </c>
      <c r="P1244">
        <v>0</v>
      </c>
    </row>
    <row r="1245" spans="1:16" x14ac:dyDescent="0.2">
      <c r="A1245" t="s">
        <v>2272</v>
      </c>
      <c r="B1245" t="s">
        <v>7062</v>
      </c>
      <c r="C1245" t="s">
        <v>2273</v>
      </c>
      <c r="D1245" t="s">
        <v>2146</v>
      </c>
      <c r="E1245" t="s">
        <v>96</v>
      </c>
      <c r="F1245">
        <v>119.99</v>
      </c>
      <c r="G1245" t="s">
        <v>74</v>
      </c>
      <c r="H1245">
        <v>0</v>
      </c>
      <c r="I1245" t="s">
        <v>290</v>
      </c>
      <c r="M1245">
        <v>0</v>
      </c>
      <c r="N1245">
        <v>0</v>
      </c>
      <c r="O1245">
        <v>0</v>
      </c>
      <c r="P1245">
        <v>0</v>
      </c>
    </row>
    <row r="1246" spans="1:16" x14ac:dyDescent="0.2">
      <c r="A1246" t="s">
        <v>2274</v>
      </c>
      <c r="B1246" t="s">
        <v>7063</v>
      </c>
      <c r="C1246" t="s">
        <v>2275</v>
      </c>
      <c r="D1246" t="s">
        <v>2146</v>
      </c>
      <c r="E1246" t="s">
        <v>290</v>
      </c>
      <c r="F1246">
        <v>349.99</v>
      </c>
      <c r="G1246" t="s">
        <v>74</v>
      </c>
      <c r="H1246">
        <v>0</v>
      </c>
      <c r="I1246" t="s">
        <v>290</v>
      </c>
      <c r="M1246">
        <v>0</v>
      </c>
      <c r="N1246">
        <v>0</v>
      </c>
      <c r="O1246">
        <v>0</v>
      </c>
      <c r="P1246">
        <v>0</v>
      </c>
    </row>
    <row r="1247" spans="1:16" x14ac:dyDescent="0.2">
      <c r="A1247" t="s">
        <v>2244</v>
      </c>
      <c r="B1247" t="s">
        <v>7064</v>
      </c>
      <c r="C1247" t="s">
        <v>2245</v>
      </c>
      <c r="D1247" t="s">
        <v>2146</v>
      </c>
      <c r="E1247" t="s">
        <v>228</v>
      </c>
      <c r="F1247">
        <v>39.99</v>
      </c>
      <c r="G1247" t="s">
        <v>74</v>
      </c>
      <c r="H1247">
        <v>0</v>
      </c>
      <c r="M1247">
        <v>0</v>
      </c>
      <c r="N1247">
        <v>0</v>
      </c>
      <c r="O1247">
        <v>0</v>
      </c>
      <c r="P1247">
        <v>0</v>
      </c>
    </row>
    <row r="1248" spans="1:16" x14ac:dyDescent="0.2">
      <c r="A1248" t="s">
        <v>2246</v>
      </c>
      <c r="B1248" t="s">
        <v>7065</v>
      </c>
      <c r="C1248" t="s">
        <v>2247</v>
      </c>
      <c r="D1248" t="s">
        <v>2146</v>
      </c>
      <c r="E1248" t="s">
        <v>228</v>
      </c>
      <c r="F1248">
        <v>99.99</v>
      </c>
      <c r="G1248" t="s">
        <v>74</v>
      </c>
      <c r="H1248">
        <v>0</v>
      </c>
      <c r="M1248">
        <v>0</v>
      </c>
      <c r="N1248">
        <v>0</v>
      </c>
      <c r="O1248">
        <v>0</v>
      </c>
      <c r="P1248">
        <v>0</v>
      </c>
    </row>
    <row r="1249" spans="1:16" x14ac:dyDescent="0.2">
      <c r="A1249" t="s">
        <v>2340</v>
      </c>
      <c r="B1249" t="s">
        <v>7066</v>
      </c>
      <c r="C1249" t="s">
        <v>2341</v>
      </c>
      <c r="D1249" t="s">
        <v>2146</v>
      </c>
      <c r="E1249" t="s">
        <v>228</v>
      </c>
      <c r="F1249">
        <v>549.99</v>
      </c>
      <c r="G1249" t="s">
        <v>74</v>
      </c>
      <c r="H1249">
        <v>0</v>
      </c>
      <c r="M1249">
        <v>0</v>
      </c>
      <c r="N1249">
        <v>0</v>
      </c>
      <c r="O1249">
        <v>0</v>
      </c>
      <c r="P1249">
        <v>0</v>
      </c>
    </row>
    <row r="1250" spans="1:16" x14ac:dyDescent="0.2">
      <c r="A1250" t="s">
        <v>2240</v>
      </c>
      <c r="B1250" t="s">
        <v>7067</v>
      </c>
      <c r="C1250" t="s">
        <v>2241</v>
      </c>
      <c r="D1250" t="s">
        <v>2146</v>
      </c>
      <c r="E1250" t="s">
        <v>290</v>
      </c>
      <c r="F1250">
        <v>99.99</v>
      </c>
      <c r="G1250" t="s">
        <v>74</v>
      </c>
      <c r="H1250">
        <v>1.0606060606060608E-2</v>
      </c>
      <c r="I1250" t="s">
        <v>290</v>
      </c>
      <c r="M1250">
        <v>47.142857142857139</v>
      </c>
      <c r="N1250">
        <v>1.1666666666666667</v>
      </c>
      <c r="O1250">
        <v>0</v>
      </c>
      <c r="P1250">
        <v>55</v>
      </c>
    </row>
    <row r="1251" spans="1:16" x14ac:dyDescent="0.2">
      <c r="A1251" t="s">
        <v>293</v>
      </c>
      <c r="B1251" t="s">
        <v>7068</v>
      </c>
      <c r="C1251" t="s">
        <v>294</v>
      </c>
      <c r="D1251" t="s">
        <v>287</v>
      </c>
      <c r="E1251" t="s">
        <v>290</v>
      </c>
      <c r="F1251">
        <v>129.99</v>
      </c>
      <c r="G1251" t="s">
        <v>74</v>
      </c>
      <c r="H1251">
        <v>0</v>
      </c>
      <c r="I1251" t="s">
        <v>290</v>
      </c>
      <c r="M1251">
        <v>0</v>
      </c>
      <c r="N1251">
        <v>0</v>
      </c>
      <c r="O1251">
        <v>0</v>
      </c>
      <c r="P1251">
        <v>0</v>
      </c>
    </row>
    <row r="1252" spans="1:16" x14ac:dyDescent="0.2">
      <c r="A1252" t="s">
        <v>2238</v>
      </c>
      <c r="B1252" t="s">
        <v>7069</v>
      </c>
      <c r="C1252" t="s">
        <v>2239</v>
      </c>
      <c r="D1252" t="s">
        <v>2146</v>
      </c>
      <c r="E1252" t="s">
        <v>228</v>
      </c>
      <c r="F1252">
        <v>129.99</v>
      </c>
      <c r="G1252" t="s">
        <v>74</v>
      </c>
      <c r="H1252">
        <v>0</v>
      </c>
      <c r="M1252">
        <v>0</v>
      </c>
      <c r="N1252">
        <v>0</v>
      </c>
      <c r="O1252">
        <v>0</v>
      </c>
      <c r="P1252">
        <v>0</v>
      </c>
    </row>
    <row r="1253" spans="1:16" x14ac:dyDescent="0.2">
      <c r="A1253" t="s">
        <v>2236</v>
      </c>
      <c r="B1253" t="s">
        <v>7070</v>
      </c>
      <c r="C1253" t="s">
        <v>2237</v>
      </c>
      <c r="D1253" t="s">
        <v>2146</v>
      </c>
      <c r="E1253" t="s">
        <v>290</v>
      </c>
      <c r="F1253">
        <v>89.99</v>
      </c>
      <c r="G1253" t="s">
        <v>74</v>
      </c>
      <c r="H1253">
        <v>0</v>
      </c>
      <c r="M1253">
        <v>0</v>
      </c>
      <c r="N1253">
        <v>0</v>
      </c>
      <c r="O1253">
        <v>0</v>
      </c>
      <c r="P1253">
        <v>0</v>
      </c>
    </row>
    <row r="1254" spans="1:16" x14ac:dyDescent="0.2">
      <c r="A1254" t="s">
        <v>2412</v>
      </c>
      <c r="B1254" t="s">
        <v>97</v>
      </c>
      <c r="C1254" t="s">
        <v>2413</v>
      </c>
      <c r="D1254" t="s">
        <v>2411</v>
      </c>
      <c r="E1254" t="s">
        <v>96</v>
      </c>
      <c r="F1254">
        <v>59.99</v>
      </c>
      <c r="G1254" t="s">
        <v>14</v>
      </c>
      <c r="H1254">
        <v>8.3333333333333329E-2</v>
      </c>
      <c r="M1254">
        <v>6</v>
      </c>
      <c r="N1254">
        <v>0.16666666666666666</v>
      </c>
      <c r="O1254">
        <v>0</v>
      </c>
      <c r="P1254">
        <v>1</v>
      </c>
    </row>
    <row r="1255" spans="1:16" x14ac:dyDescent="0.2">
      <c r="A1255" t="s">
        <v>5692</v>
      </c>
      <c r="B1255" t="s">
        <v>97</v>
      </c>
      <c r="C1255" t="s">
        <v>5693</v>
      </c>
      <c r="D1255" t="s">
        <v>2411</v>
      </c>
      <c r="E1255" t="s">
        <v>96</v>
      </c>
      <c r="F1255">
        <v>59.99</v>
      </c>
      <c r="G1255" t="s">
        <v>14</v>
      </c>
      <c r="H1255">
        <v>0</v>
      </c>
      <c r="M1255">
        <v>0</v>
      </c>
      <c r="N1255">
        <v>0</v>
      </c>
      <c r="O1255">
        <v>0</v>
      </c>
      <c r="P1255">
        <v>0</v>
      </c>
    </row>
    <row r="1256" spans="1:16" x14ac:dyDescent="0.2">
      <c r="A1256" t="s">
        <v>5694</v>
      </c>
      <c r="B1256" t="s">
        <v>97</v>
      </c>
      <c r="C1256" t="s">
        <v>5695</v>
      </c>
      <c r="D1256" t="s">
        <v>2411</v>
      </c>
      <c r="E1256" t="s">
        <v>96</v>
      </c>
      <c r="F1256">
        <v>59.99</v>
      </c>
      <c r="G1256" t="s">
        <v>14</v>
      </c>
      <c r="H1256">
        <v>0</v>
      </c>
      <c r="M1256">
        <v>0</v>
      </c>
      <c r="N1256">
        <v>0</v>
      </c>
      <c r="O1256">
        <v>0</v>
      </c>
      <c r="P1256">
        <v>3</v>
      </c>
    </row>
    <row r="1257" spans="1:16" x14ac:dyDescent="0.2">
      <c r="A1257" t="s">
        <v>2645</v>
      </c>
      <c r="B1257" t="s">
        <v>97</v>
      </c>
      <c r="C1257" t="s">
        <v>2646</v>
      </c>
      <c r="D1257" t="s">
        <v>2502</v>
      </c>
      <c r="E1257" t="s">
        <v>228</v>
      </c>
      <c r="F1257">
        <v>139.99</v>
      </c>
      <c r="G1257" t="s">
        <v>14</v>
      </c>
      <c r="H1257">
        <v>8.3333333333333329E-2</v>
      </c>
      <c r="M1257">
        <v>12</v>
      </c>
      <c r="N1257">
        <v>0.16666666666666666</v>
      </c>
      <c r="O1257">
        <v>0</v>
      </c>
      <c r="P1257">
        <v>2</v>
      </c>
    </row>
    <row r="1258" spans="1:16" x14ac:dyDescent="0.2">
      <c r="A1258" t="s">
        <v>7071</v>
      </c>
      <c r="B1258" t="s">
        <v>97</v>
      </c>
      <c r="C1258" t="s">
        <v>7072</v>
      </c>
      <c r="D1258" t="s">
        <v>2411</v>
      </c>
      <c r="E1258" t="s">
        <v>96</v>
      </c>
      <c r="F1258">
        <v>59.99</v>
      </c>
      <c r="G1258" t="s">
        <v>14</v>
      </c>
      <c r="H1258">
        <v>0</v>
      </c>
      <c r="M1258">
        <v>0</v>
      </c>
      <c r="N1258">
        <v>0</v>
      </c>
      <c r="O1258">
        <v>0</v>
      </c>
      <c r="P1258">
        <v>0</v>
      </c>
    </row>
    <row r="1259" spans="1:16" x14ac:dyDescent="0.2">
      <c r="A1259" t="s">
        <v>5449</v>
      </c>
      <c r="B1259" t="s">
        <v>97</v>
      </c>
      <c r="C1259" t="s">
        <v>5450</v>
      </c>
      <c r="D1259" t="s">
        <v>2411</v>
      </c>
      <c r="E1259" t="s">
        <v>96</v>
      </c>
      <c r="F1259">
        <v>59.99</v>
      </c>
      <c r="G1259" t="s">
        <v>14</v>
      </c>
      <c r="H1259">
        <v>0</v>
      </c>
      <c r="M1259">
        <v>0</v>
      </c>
      <c r="N1259">
        <v>0</v>
      </c>
      <c r="O1259">
        <v>0</v>
      </c>
      <c r="P1259">
        <v>0</v>
      </c>
    </row>
    <row r="1260" spans="1:16" x14ac:dyDescent="0.2">
      <c r="A1260" t="s">
        <v>2643</v>
      </c>
      <c r="B1260" t="s">
        <v>97</v>
      </c>
      <c r="C1260" t="s">
        <v>2644</v>
      </c>
      <c r="D1260" t="s">
        <v>2502</v>
      </c>
      <c r="E1260" t="s">
        <v>228</v>
      </c>
      <c r="F1260">
        <v>124.99</v>
      </c>
      <c r="G1260" t="s">
        <v>14</v>
      </c>
      <c r="H1260">
        <v>1.515151515151515E-2</v>
      </c>
      <c r="M1260">
        <v>33</v>
      </c>
      <c r="N1260">
        <v>0.33333333333333331</v>
      </c>
      <c r="O1260">
        <v>0</v>
      </c>
      <c r="P1260">
        <v>11</v>
      </c>
    </row>
    <row r="1261" spans="1:16" x14ac:dyDescent="0.2">
      <c r="A1261" t="s">
        <v>5446</v>
      </c>
      <c r="B1261" t="s">
        <v>97</v>
      </c>
      <c r="C1261" t="s">
        <v>5447</v>
      </c>
      <c r="D1261" t="s">
        <v>2411</v>
      </c>
      <c r="E1261" t="s">
        <v>96</v>
      </c>
      <c r="G1261" t="s">
        <v>14</v>
      </c>
      <c r="H1261">
        <v>0</v>
      </c>
      <c r="M1261">
        <v>0</v>
      </c>
      <c r="N1261">
        <v>0</v>
      </c>
      <c r="O1261">
        <v>0</v>
      </c>
      <c r="P1261">
        <v>0</v>
      </c>
    </row>
    <row r="1262" spans="1:16" x14ac:dyDescent="0.2">
      <c r="A1262" t="s">
        <v>6687</v>
      </c>
      <c r="B1262" t="s">
        <v>97</v>
      </c>
      <c r="C1262" t="s">
        <v>6688</v>
      </c>
      <c r="D1262" t="s">
        <v>2987</v>
      </c>
      <c r="E1262" t="s">
        <v>96</v>
      </c>
      <c r="F1262">
        <v>139.99</v>
      </c>
      <c r="G1262" t="s">
        <v>14</v>
      </c>
      <c r="H1262">
        <v>0</v>
      </c>
      <c r="M1262">
        <v>0</v>
      </c>
      <c r="N1262">
        <v>0</v>
      </c>
      <c r="O1262">
        <v>0</v>
      </c>
      <c r="P1262">
        <v>0</v>
      </c>
    </row>
    <row r="1263" spans="1:16" x14ac:dyDescent="0.2">
      <c r="A1263" t="s">
        <v>5460</v>
      </c>
      <c r="B1263" t="s">
        <v>97</v>
      </c>
      <c r="C1263" t="s">
        <v>5461</v>
      </c>
      <c r="D1263" t="s">
        <v>2411</v>
      </c>
      <c r="E1263" t="s">
        <v>96</v>
      </c>
      <c r="F1263">
        <v>24.99</v>
      </c>
      <c r="G1263" t="s">
        <v>14</v>
      </c>
      <c r="H1263">
        <v>0</v>
      </c>
      <c r="M1263">
        <v>0</v>
      </c>
      <c r="N1263">
        <v>0</v>
      </c>
      <c r="O1263">
        <v>0</v>
      </c>
      <c r="P1263">
        <v>0</v>
      </c>
    </row>
    <row r="1264" spans="1:16" x14ac:dyDescent="0.2">
      <c r="A1264" t="s">
        <v>2641</v>
      </c>
      <c r="B1264" t="s">
        <v>97</v>
      </c>
      <c r="C1264" t="s">
        <v>2642</v>
      </c>
      <c r="D1264" t="s">
        <v>2502</v>
      </c>
      <c r="E1264" t="s">
        <v>228</v>
      </c>
      <c r="F1264">
        <v>109.99</v>
      </c>
      <c r="G1264" t="s">
        <v>14</v>
      </c>
      <c r="H1264">
        <v>8.3333333333333329E-2</v>
      </c>
      <c r="M1264">
        <v>9.0000000000000018</v>
      </c>
      <c r="N1264">
        <v>0.33333333333333326</v>
      </c>
      <c r="O1264">
        <v>0</v>
      </c>
      <c r="P1264">
        <v>3</v>
      </c>
    </row>
    <row r="1265" spans="1:16" x14ac:dyDescent="0.2">
      <c r="A1265" t="s">
        <v>2639</v>
      </c>
      <c r="B1265" t="s">
        <v>97</v>
      </c>
      <c r="C1265" t="s">
        <v>2640</v>
      </c>
      <c r="D1265" t="s">
        <v>2502</v>
      </c>
      <c r="E1265" t="s">
        <v>228</v>
      </c>
      <c r="F1265">
        <v>109.99</v>
      </c>
      <c r="G1265" t="s">
        <v>14</v>
      </c>
      <c r="H1265">
        <v>2.7777777777777776E-2</v>
      </c>
      <c r="M1265">
        <v>18</v>
      </c>
      <c r="N1265">
        <v>0.16666666666666666</v>
      </c>
      <c r="O1265">
        <v>0</v>
      </c>
      <c r="P1265">
        <v>3</v>
      </c>
    </row>
    <row r="1266" spans="1:16" x14ac:dyDescent="0.2">
      <c r="A1266" t="s">
        <v>5664</v>
      </c>
      <c r="B1266" t="s">
        <v>97</v>
      </c>
      <c r="C1266" t="s">
        <v>5665</v>
      </c>
      <c r="D1266" t="s">
        <v>2411</v>
      </c>
      <c r="E1266" t="s">
        <v>96</v>
      </c>
      <c r="F1266">
        <v>99.99</v>
      </c>
      <c r="G1266" t="s">
        <v>14</v>
      </c>
      <c r="H1266">
        <v>0</v>
      </c>
      <c r="M1266">
        <v>0</v>
      </c>
      <c r="N1266">
        <v>0</v>
      </c>
      <c r="O1266">
        <v>0</v>
      </c>
      <c r="P1266">
        <v>0</v>
      </c>
    </row>
    <row r="1267" spans="1:16" x14ac:dyDescent="0.2">
      <c r="A1267" t="s">
        <v>7073</v>
      </c>
      <c r="B1267" t="s">
        <v>97</v>
      </c>
      <c r="C1267" t="s">
        <v>7074</v>
      </c>
      <c r="D1267" t="s">
        <v>2411</v>
      </c>
      <c r="E1267" t="s">
        <v>96</v>
      </c>
      <c r="F1267">
        <v>149.99</v>
      </c>
      <c r="G1267" t="s">
        <v>14</v>
      </c>
      <c r="H1267">
        <v>0</v>
      </c>
      <c r="M1267">
        <v>0</v>
      </c>
      <c r="N1267">
        <v>0</v>
      </c>
      <c r="O1267">
        <v>0</v>
      </c>
      <c r="P1267">
        <v>0</v>
      </c>
    </row>
    <row r="1268" spans="1:16" x14ac:dyDescent="0.2">
      <c r="A1268" t="s">
        <v>7075</v>
      </c>
      <c r="B1268" t="s">
        <v>97</v>
      </c>
      <c r="C1268" t="s">
        <v>7076</v>
      </c>
      <c r="D1268" t="s">
        <v>2146</v>
      </c>
      <c r="E1268" t="s">
        <v>96</v>
      </c>
      <c r="F1268">
        <v>16.989999999999998</v>
      </c>
      <c r="G1268" t="s">
        <v>14</v>
      </c>
      <c r="H1268">
        <v>0</v>
      </c>
      <c r="M1268">
        <v>0</v>
      </c>
      <c r="N1268">
        <v>0</v>
      </c>
      <c r="O1268">
        <v>0</v>
      </c>
      <c r="P1268">
        <v>0</v>
      </c>
    </row>
    <row r="1269" spans="1:16" x14ac:dyDescent="0.2">
      <c r="A1269" t="s">
        <v>5538</v>
      </c>
      <c r="B1269" t="s">
        <v>97</v>
      </c>
      <c r="C1269" t="s">
        <v>5539</v>
      </c>
      <c r="D1269" t="s">
        <v>2146</v>
      </c>
      <c r="E1269" t="s">
        <v>96</v>
      </c>
      <c r="F1269">
        <v>44.99</v>
      </c>
      <c r="G1269" t="s">
        <v>14</v>
      </c>
      <c r="H1269">
        <v>0</v>
      </c>
      <c r="M1269">
        <v>0</v>
      </c>
      <c r="N1269">
        <v>0</v>
      </c>
      <c r="O1269">
        <v>0</v>
      </c>
      <c r="P1269">
        <v>0</v>
      </c>
    </row>
    <row r="1270" spans="1:16" x14ac:dyDescent="0.2">
      <c r="A1270" t="s">
        <v>553</v>
      </c>
      <c r="B1270" t="s">
        <v>97</v>
      </c>
      <c r="C1270" t="s">
        <v>554</v>
      </c>
      <c r="D1270" t="s">
        <v>446</v>
      </c>
      <c r="E1270" t="s">
        <v>228</v>
      </c>
      <c r="F1270">
        <v>24.99</v>
      </c>
      <c r="G1270" t="s">
        <v>14</v>
      </c>
      <c r="H1270">
        <v>1.2500000000000001E-2</v>
      </c>
      <c r="M1270">
        <v>40</v>
      </c>
      <c r="N1270">
        <v>0.5</v>
      </c>
      <c r="O1270">
        <v>0</v>
      </c>
      <c r="P1270">
        <v>20</v>
      </c>
    </row>
    <row r="1271" spans="1:16" x14ac:dyDescent="0.2">
      <c r="A1271" t="s">
        <v>3382</v>
      </c>
      <c r="B1271" t="s">
        <v>97</v>
      </c>
      <c r="C1271" t="s">
        <v>3383</v>
      </c>
      <c r="D1271" t="s">
        <v>3268</v>
      </c>
      <c r="E1271" t="s">
        <v>228</v>
      </c>
      <c r="F1271">
        <v>199.99</v>
      </c>
      <c r="G1271" t="s">
        <v>14</v>
      </c>
      <c r="H1271">
        <v>9.7765363128491621E-3</v>
      </c>
      <c r="M1271">
        <v>153.42857142857144</v>
      </c>
      <c r="N1271">
        <v>1.1666666666666665</v>
      </c>
      <c r="O1271">
        <v>0</v>
      </c>
      <c r="P1271">
        <v>179</v>
      </c>
    </row>
    <row r="1272" spans="1:16" x14ac:dyDescent="0.2">
      <c r="A1272" t="s">
        <v>2134</v>
      </c>
      <c r="B1272" t="s">
        <v>97</v>
      </c>
      <c r="C1272" t="s">
        <v>2135</v>
      </c>
      <c r="D1272" t="s">
        <v>2131</v>
      </c>
      <c r="E1272" t="s">
        <v>96</v>
      </c>
      <c r="F1272">
        <v>39.99</v>
      </c>
      <c r="G1272" t="s">
        <v>14</v>
      </c>
      <c r="H1272">
        <v>0</v>
      </c>
      <c r="M1272">
        <v>0</v>
      </c>
      <c r="N1272">
        <v>0</v>
      </c>
      <c r="O1272">
        <v>0</v>
      </c>
      <c r="P1272">
        <v>4</v>
      </c>
    </row>
    <row r="1273" spans="1:16" x14ac:dyDescent="0.2">
      <c r="A1273" t="s">
        <v>2338</v>
      </c>
      <c r="B1273" t="s">
        <v>97</v>
      </c>
      <c r="C1273" t="s">
        <v>2339</v>
      </c>
      <c r="D1273" t="s">
        <v>2146</v>
      </c>
      <c r="E1273" t="s">
        <v>228</v>
      </c>
      <c r="F1273">
        <v>349.99</v>
      </c>
      <c r="G1273" t="s">
        <v>14</v>
      </c>
      <c r="H1273">
        <v>0</v>
      </c>
      <c r="M1273">
        <v>0</v>
      </c>
      <c r="N1273">
        <v>0</v>
      </c>
      <c r="O1273">
        <v>0</v>
      </c>
      <c r="P1273">
        <v>1</v>
      </c>
    </row>
    <row r="1274" spans="1:16" x14ac:dyDescent="0.2">
      <c r="A1274" t="s">
        <v>2336</v>
      </c>
      <c r="B1274" t="s">
        <v>97</v>
      </c>
      <c r="C1274" t="s">
        <v>2337</v>
      </c>
      <c r="D1274" t="s">
        <v>2146</v>
      </c>
      <c r="E1274" t="s">
        <v>228</v>
      </c>
      <c r="F1274">
        <v>229.99</v>
      </c>
      <c r="G1274" t="s">
        <v>14</v>
      </c>
      <c r="H1274">
        <v>0</v>
      </c>
      <c r="M1274">
        <v>0</v>
      </c>
      <c r="N1274">
        <v>0</v>
      </c>
      <c r="O1274">
        <v>0</v>
      </c>
      <c r="P1274">
        <v>1</v>
      </c>
    </row>
    <row r="1275" spans="1:16" x14ac:dyDescent="0.2">
      <c r="A1275" t="s">
        <v>4468</v>
      </c>
      <c r="B1275" t="s">
        <v>97</v>
      </c>
      <c r="C1275" t="s">
        <v>4469</v>
      </c>
      <c r="D1275" t="s">
        <v>4463</v>
      </c>
      <c r="E1275" t="s">
        <v>290</v>
      </c>
      <c r="F1275">
        <v>39.99</v>
      </c>
      <c r="G1275" t="s">
        <v>14</v>
      </c>
      <c r="H1275">
        <v>0</v>
      </c>
      <c r="M1275">
        <v>0</v>
      </c>
      <c r="N1275">
        <v>0</v>
      </c>
      <c r="O1275">
        <v>0</v>
      </c>
      <c r="P1275">
        <v>0</v>
      </c>
    </row>
    <row r="1276" spans="1:16" x14ac:dyDescent="0.2">
      <c r="A1276" t="s">
        <v>2393</v>
      </c>
      <c r="B1276" t="s">
        <v>97</v>
      </c>
      <c r="C1276" t="s">
        <v>2394</v>
      </c>
      <c r="D1276" t="s">
        <v>2374</v>
      </c>
      <c r="E1276" t="s">
        <v>290</v>
      </c>
      <c r="F1276">
        <v>479.99</v>
      </c>
      <c r="G1276" t="s">
        <v>14</v>
      </c>
      <c r="H1276">
        <v>0</v>
      </c>
      <c r="M1276">
        <v>0</v>
      </c>
      <c r="N1276">
        <v>0</v>
      </c>
      <c r="O1276">
        <v>0</v>
      </c>
      <c r="P1276">
        <v>0</v>
      </c>
    </row>
    <row r="1277" spans="1:16" x14ac:dyDescent="0.2">
      <c r="A1277" t="s">
        <v>2379</v>
      </c>
      <c r="B1277" t="s">
        <v>97</v>
      </c>
      <c r="C1277" t="s">
        <v>2380</v>
      </c>
      <c r="D1277" t="s">
        <v>2374</v>
      </c>
      <c r="E1277" t="s">
        <v>290</v>
      </c>
      <c r="F1277">
        <v>49.99</v>
      </c>
      <c r="G1277" t="s">
        <v>14</v>
      </c>
      <c r="H1277">
        <v>0</v>
      </c>
      <c r="M1277">
        <v>0</v>
      </c>
      <c r="N1277">
        <v>0</v>
      </c>
      <c r="O1277">
        <v>0</v>
      </c>
      <c r="P1277">
        <v>0</v>
      </c>
    </row>
    <row r="1278" spans="1:16" x14ac:dyDescent="0.2">
      <c r="A1278" t="s">
        <v>2431</v>
      </c>
      <c r="B1278" t="s">
        <v>97</v>
      </c>
      <c r="C1278" t="s">
        <v>2432</v>
      </c>
      <c r="D1278" t="s">
        <v>2425</v>
      </c>
      <c r="E1278" t="s">
        <v>290</v>
      </c>
      <c r="F1278">
        <v>179.99</v>
      </c>
      <c r="G1278" t="s">
        <v>14</v>
      </c>
      <c r="H1278">
        <v>4.1666666666666664E-2</v>
      </c>
      <c r="M1278">
        <v>0</v>
      </c>
      <c r="N1278">
        <v>0</v>
      </c>
      <c r="O1278">
        <v>0</v>
      </c>
      <c r="P1278">
        <v>2</v>
      </c>
    </row>
    <row r="1279" spans="1:16" x14ac:dyDescent="0.2">
      <c r="A1279" t="s">
        <v>5696</v>
      </c>
      <c r="B1279" t="s">
        <v>97</v>
      </c>
      <c r="C1279" t="s">
        <v>5697</v>
      </c>
      <c r="D1279" t="s">
        <v>2411</v>
      </c>
      <c r="E1279" t="s">
        <v>96</v>
      </c>
      <c r="F1279">
        <v>69.989999999999995</v>
      </c>
      <c r="G1279" t="s">
        <v>14</v>
      </c>
      <c r="H1279">
        <v>0</v>
      </c>
      <c r="M1279">
        <v>0</v>
      </c>
      <c r="N1279">
        <v>0</v>
      </c>
      <c r="O1279">
        <v>0</v>
      </c>
      <c r="P1279">
        <v>6</v>
      </c>
    </row>
    <row r="1280" spans="1:16" x14ac:dyDescent="0.2">
      <c r="A1280" t="s">
        <v>2429</v>
      </c>
      <c r="B1280" t="s">
        <v>97</v>
      </c>
      <c r="C1280" t="s">
        <v>2430</v>
      </c>
      <c r="D1280" t="s">
        <v>2425</v>
      </c>
      <c r="E1280" t="s">
        <v>290</v>
      </c>
      <c r="F1280">
        <v>149.99</v>
      </c>
      <c r="G1280" t="s">
        <v>14</v>
      </c>
      <c r="H1280">
        <v>0</v>
      </c>
      <c r="M1280">
        <v>0</v>
      </c>
      <c r="N1280">
        <v>0</v>
      </c>
      <c r="O1280">
        <v>0</v>
      </c>
      <c r="P1280">
        <v>0</v>
      </c>
    </row>
    <row r="1281" spans="1:16" x14ac:dyDescent="0.2">
      <c r="A1281" t="s">
        <v>3632</v>
      </c>
      <c r="B1281" t="s">
        <v>97</v>
      </c>
      <c r="C1281" t="s">
        <v>2430</v>
      </c>
      <c r="D1281" t="s">
        <v>2425</v>
      </c>
      <c r="E1281" t="s">
        <v>96</v>
      </c>
      <c r="F1281">
        <v>149.99</v>
      </c>
      <c r="G1281" t="s">
        <v>14</v>
      </c>
      <c r="H1281">
        <v>0</v>
      </c>
      <c r="M1281">
        <v>0</v>
      </c>
      <c r="N1281">
        <v>0</v>
      </c>
      <c r="O1281">
        <v>0</v>
      </c>
      <c r="P1281">
        <v>0</v>
      </c>
    </row>
    <row r="1282" spans="1:16" x14ac:dyDescent="0.2">
      <c r="A1282" t="s">
        <v>5766</v>
      </c>
      <c r="B1282" t="s">
        <v>97</v>
      </c>
      <c r="C1282" t="s">
        <v>5767</v>
      </c>
      <c r="D1282" t="s">
        <v>4463</v>
      </c>
      <c r="E1282" t="s">
        <v>290</v>
      </c>
      <c r="F1282">
        <v>34.99</v>
      </c>
      <c r="G1282" t="s">
        <v>14</v>
      </c>
      <c r="H1282">
        <v>8.3333333333333332E-3</v>
      </c>
      <c r="M1282">
        <v>0</v>
      </c>
      <c r="N1282">
        <v>0</v>
      </c>
      <c r="O1282">
        <v>0</v>
      </c>
      <c r="P1282">
        <v>10</v>
      </c>
    </row>
    <row r="1283" spans="1:16" x14ac:dyDescent="0.2">
      <c r="A1283" t="s">
        <v>2426</v>
      </c>
      <c r="B1283" t="s">
        <v>97</v>
      </c>
      <c r="C1283" t="s">
        <v>2427</v>
      </c>
      <c r="D1283" t="s">
        <v>2425</v>
      </c>
      <c r="E1283" t="s">
        <v>290</v>
      </c>
      <c r="F1283">
        <v>179.99</v>
      </c>
      <c r="G1283" t="s">
        <v>14</v>
      </c>
      <c r="H1283">
        <v>0</v>
      </c>
      <c r="M1283">
        <v>0</v>
      </c>
      <c r="N1283">
        <v>0</v>
      </c>
      <c r="O1283">
        <v>0</v>
      </c>
      <c r="P1283">
        <v>2</v>
      </c>
    </row>
    <row r="1284" spans="1:16" x14ac:dyDescent="0.2">
      <c r="A1284" t="s">
        <v>2438</v>
      </c>
      <c r="B1284" t="s">
        <v>97</v>
      </c>
      <c r="C1284" t="s">
        <v>2439</v>
      </c>
      <c r="D1284" t="s">
        <v>2425</v>
      </c>
      <c r="E1284" t="s">
        <v>290</v>
      </c>
      <c r="F1284">
        <v>99.99</v>
      </c>
      <c r="G1284" t="s">
        <v>14</v>
      </c>
      <c r="H1284">
        <v>0</v>
      </c>
      <c r="M1284">
        <v>0</v>
      </c>
      <c r="N1284">
        <v>0</v>
      </c>
      <c r="O1284">
        <v>0</v>
      </c>
      <c r="P1284">
        <v>0</v>
      </c>
    </row>
    <row r="1285" spans="1:16" x14ac:dyDescent="0.2">
      <c r="A1285" t="s">
        <v>2383</v>
      </c>
      <c r="B1285" t="s">
        <v>97</v>
      </c>
      <c r="C1285" t="s">
        <v>2384</v>
      </c>
      <c r="D1285" t="s">
        <v>2374</v>
      </c>
      <c r="E1285" t="s">
        <v>290</v>
      </c>
      <c r="F1285">
        <v>139.99</v>
      </c>
      <c r="G1285" t="s">
        <v>14</v>
      </c>
      <c r="H1285">
        <v>0</v>
      </c>
      <c r="M1285">
        <v>0</v>
      </c>
      <c r="N1285">
        <v>0</v>
      </c>
      <c r="O1285">
        <v>0</v>
      </c>
      <c r="P1285">
        <v>0</v>
      </c>
    </row>
    <row r="1286" spans="1:16" x14ac:dyDescent="0.2">
      <c r="A1286" t="s">
        <v>4452</v>
      </c>
      <c r="B1286" t="s">
        <v>97</v>
      </c>
      <c r="C1286" t="s">
        <v>4453</v>
      </c>
      <c r="D1286" t="s">
        <v>1012</v>
      </c>
      <c r="E1286" t="s">
        <v>96</v>
      </c>
      <c r="F1286">
        <v>249.99</v>
      </c>
      <c r="G1286" t="s">
        <v>14</v>
      </c>
      <c r="H1286">
        <v>0</v>
      </c>
      <c r="M1286">
        <v>0</v>
      </c>
      <c r="N1286">
        <v>0</v>
      </c>
      <c r="O1286">
        <v>0</v>
      </c>
      <c r="P1286">
        <v>0</v>
      </c>
    </row>
    <row r="1287" spans="1:16" x14ac:dyDescent="0.2">
      <c r="A1287" t="s">
        <v>4357</v>
      </c>
      <c r="B1287" t="s">
        <v>97</v>
      </c>
      <c r="C1287" t="s">
        <v>4358</v>
      </c>
      <c r="D1287" t="s">
        <v>2852</v>
      </c>
      <c r="E1287" t="s">
        <v>96</v>
      </c>
      <c r="F1287">
        <v>79.989999999999995</v>
      </c>
      <c r="G1287" t="s">
        <v>14</v>
      </c>
      <c r="H1287">
        <v>0</v>
      </c>
      <c r="M1287">
        <v>0</v>
      </c>
      <c r="N1287">
        <v>0</v>
      </c>
      <c r="O1287">
        <v>0</v>
      </c>
      <c r="P1287">
        <v>0</v>
      </c>
    </row>
    <row r="1288" spans="1:16" x14ac:dyDescent="0.2">
      <c r="A1288" t="s">
        <v>3392</v>
      </c>
      <c r="B1288" t="s">
        <v>97</v>
      </c>
      <c r="C1288" t="s">
        <v>7077</v>
      </c>
      <c r="D1288" t="s">
        <v>3268</v>
      </c>
      <c r="E1288" t="s">
        <v>228</v>
      </c>
      <c r="G1288" t="s">
        <v>14</v>
      </c>
      <c r="H1288">
        <v>0</v>
      </c>
      <c r="M1288">
        <v>0</v>
      </c>
      <c r="N1288">
        <v>0</v>
      </c>
      <c r="P1288">
        <v>1</v>
      </c>
    </row>
    <row r="1289" spans="1:16" x14ac:dyDescent="0.2">
      <c r="A1289" t="s">
        <v>2471</v>
      </c>
      <c r="B1289" t="s">
        <v>97</v>
      </c>
      <c r="C1289" t="s">
        <v>2472</v>
      </c>
      <c r="D1289" t="s">
        <v>2448</v>
      </c>
      <c r="E1289" t="s">
        <v>228</v>
      </c>
      <c r="F1289">
        <v>59.99</v>
      </c>
      <c r="G1289" t="s">
        <v>14</v>
      </c>
      <c r="H1289">
        <v>2.2522522522522518E-3</v>
      </c>
      <c r="M1289">
        <v>222</v>
      </c>
      <c r="N1289">
        <v>0.33333333333333331</v>
      </c>
      <c r="O1289">
        <v>0</v>
      </c>
      <c r="P1289">
        <v>74</v>
      </c>
    </row>
    <row r="1290" spans="1:16" x14ac:dyDescent="0.2">
      <c r="A1290" t="s">
        <v>2469</v>
      </c>
      <c r="B1290" t="s">
        <v>97</v>
      </c>
      <c r="C1290" t="s">
        <v>2470</v>
      </c>
      <c r="D1290" t="s">
        <v>2448</v>
      </c>
      <c r="E1290" t="s">
        <v>96</v>
      </c>
      <c r="F1290">
        <v>59.99</v>
      </c>
      <c r="G1290" t="s">
        <v>14</v>
      </c>
      <c r="H1290">
        <v>0</v>
      </c>
      <c r="M1290">
        <v>0</v>
      </c>
      <c r="N1290">
        <v>0</v>
      </c>
      <c r="O1290">
        <v>0</v>
      </c>
      <c r="P1290">
        <v>0</v>
      </c>
    </row>
    <row r="1291" spans="1:16" x14ac:dyDescent="0.2">
      <c r="A1291" t="s">
        <v>2467</v>
      </c>
      <c r="B1291" t="s">
        <v>97</v>
      </c>
      <c r="C1291" t="s">
        <v>2468</v>
      </c>
      <c r="D1291" t="s">
        <v>2448</v>
      </c>
      <c r="E1291" t="s">
        <v>96</v>
      </c>
      <c r="F1291">
        <v>59.99</v>
      </c>
      <c r="G1291" t="s">
        <v>14</v>
      </c>
      <c r="H1291">
        <v>0</v>
      </c>
      <c r="M1291">
        <v>0</v>
      </c>
      <c r="N1291">
        <v>0</v>
      </c>
      <c r="O1291">
        <v>0</v>
      </c>
      <c r="P1291">
        <v>0</v>
      </c>
    </row>
    <row r="1292" spans="1:16" x14ac:dyDescent="0.2">
      <c r="A1292" t="s">
        <v>2375</v>
      </c>
      <c r="B1292" t="s">
        <v>97</v>
      </c>
      <c r="C1292" t="s">
        <v>2376</v>
      </c>
      <c r="D1292" t="s">
        <v>2374</v>
      </c>
      <c r="E1292" t="s">
        <v>290</v>
      </c>
      <c r="F1292">
        <v>149.99</v>
      </c>
      <c r="G1292" t="s">
        <v>14</v>
      </c>
      <c r="H1292">
        <v>0</v>
      </c>
      <c r="M1292">
        <v>0</v>
      </c>
      <c r="N1292">
        <v>0</v>
      </c>
      <c r="O1292">
        <v>0</v>
      </c>
      <c r="P1292">
        <v>0</v>
      </c>
    </row>
    <row r="1293" spans="1:16" x14ac:dyDescent="0.2">
      <c r="A1293" t="s">
        <v>4965</v>
      </c>
      <c r="B1293" t="s">
        <v>97</v>
      </c>
      <c r="C1293" t="s">
        <v>4966</v>
      </c>
      <c r="D1293" t="s">
        <v>446</v>
      </c>
      <c r="E1293" t="s">
        <v>290</v>
      </c>
      <c r="F1293">
        <v>69.989999999999995</v>
      </c>
      <c r="G1293" t="s">
        <v>14</v>
      </c>
      <c r="H1293">
        <v>1.4705882352941176E-2</v>
      </c>
      <c r="M1293">
        <v>0</v>
      </c>
      <c r="N1293">
        <v>0</v>
      </c>
      <c r="O1293">
        <v>0</v>
      </c>
      <c r="P1293">
        <v>17</v>
      </c>
    </row>
    <row r="1294" spans="1:16" x14ac:dyDescent="0.2">
      <c r="A1294" t="s">
        <v>4540</v>
      </c>
      <c r="B1294" t="s">
        <v>97</v>
      </c>
      <c r="C1294" t="s">
        <v>4541</v>
      </c>
      <c r="D1294" t="s">
        <v>4463</v>
      </c>
      <c r="E1294" t="s">
        <v>290</v>
      </c>
      <c r="F1294">
        <v>19.989999999999998</v>
      </c>
      <c r="G1294" t="s">
        <v>14</v>
      </c>
      <c r="H1294">
        <v>3.205128205128205E-3</v>
      </c>
      <c r="M1294">
        <v>156</v>
      </c>
      <c r="N1294">
        <v>0.16666666666666666</v>
      </c>
      <c r="O1294">
        <v>0</v>
      </c>
      <c r="P1294">
        <v>26</v>
      </c>
    </row>
    <row r="1295" spans="1:16" x14ac:dyDescent="0.2">
      <c r="A1295" t="s">
        <v>5476</v>
      </c>
      <c r="B1295" t="s">
        <v>97</v>
      </c>
      <c r="C1295" t="s">
        <v>5477</v>
      </c>
      <c r="D1295" t="s">
        <v>2374</v>
      </c>
      <c r="E1295" t="s">
        <v>96</v>
      </c>
      <c r="F1295">
        <v>169.99</v>
      </c>
      <c r="G1295" t="s">
        <v>14</v>
      </c>
      <c r="H1295">
        <v>0</v>
      </c>
      <c r="M1295">
        <v>0</v>
      </c>
      <c r="N1295">
        <v>0</v>
      </c>
      <c r="O1295">
        <v>0</v>
      </c>
      <c r="P1295">
        <v>0</v>
      </c>
    </row>
    <row r="1296" spans="1:16" x14ac:dyDescent="0.2">
      <c r="A1296" t="s">
        <v>4536</v>
      </c>
      <c r="B1296" t="s">
        <v>97</v>
      </c>
      <c r="C1296" t="s">
        <v>4537</v>
      </c>
      <c r="D1296" t="s">
        <v>4463</v>
      </c>
      <c r="E1296" t="s">
        <v>290</v>
      </c>
      <c r="F1296">
        <v>19.989999999999998</v>
      </c>
      <c r="G1296" t="s">
        <v>14</v>
      </c>
      <c r="H1296">
        <v>5.0505050505050501E-3</v>
      </c>
      <c r="M1296">
        <v>99</v>
      </c>
      <c r="N1296">
        <v>0.33333333333333331</v>
      </c>
      <c r="O1296">
        <v>0</v>
      </c>
      <c r="P1296">
        <v>33</v>
      </c>
    </row>
    <row r="1297" spans="1:16" x14ac:dyDescent="0.2">
      <c r="A1297" t="s">
        <v>4517</v>
      </c>
      <c r="B1297" t="s">
        <v>97</v>
      </c>
      <c r="C1297" t="s">
        <v>4518</v>
      </c>
      <c r="D1297" t="s">
        <v>4463</v>
      </c>
      <c r="E1297" t="s">
        <v>96</v>
      </c>
      <c r="F1297">
        <v>17.989999999999998</v>
      </c>
      <c r="G1297" t="s">
        <v>14</v>
      </c>
      <c r="H1297">
        <v>1.799242424242424E-2</v>
      </c>
      <c r="M1297">
        <v>88</v>
      </c>
      <c r="N1297">
        <v>1</v>
      </c>
      <c r="O1297">
        <v>0</v>
      </c>
      <c r="P1297">
        <v>88</v>
      </c>
    </row>
    <row r="1298" spans="1:16" x14ac:dyDescent="0.2">
      <c r="A1298" t="s">
        <v>3440</v>
      </c>
      <c r="B1298" t="s">
        <v>97</v>
      </c>
      <c r="C1298" t="s">
        <v>3441</v>
      </c>
      <c r="D1298" t="s">
        <v>297</v>
      </c>
      <c r="E1298" t="s">
        <v>96</v>
      </c>
      <c r="F1298">
        <v>449.99</v>
      </c>
      <c r="G1298" t="s">
        <v>14</v>
      </c>
      <c r="H1298">
        <v>0</v>
      </c>
      <c r="M1298">
        <v>0</v>
      </c>
      <c r="N1298">
        <v>0</v>
      </c>
      <c r="O1298">
        <v>0</v>
      </c>
      <c r="P1298">
        <v>0</v>
      </c>
    </row>
    <row r="1299" spans="1:16" x14ac:dyDescent="0.2">
      <c r="A1299" t="s">
        <v>2569</v>
      </c>
      <c r="B1299" t="s">
        <v>97</v>
      </c>
      <c r="C1299" t="s">
        <v>2570</v>
      </c>
      <c r="D1299" t="s">
        <v>2502</v>
      </c>
      <c r="E1299" t="s">
        <v>228</v>
      </c>
      <c r="F1299">
        <v>39.99</v>
      </c>
      <c r="G1299" t="s">
        <v>14</v>
      </c>
      <c r="H1299">
        <v>1.1904761904761904E-2</v>
      </c>
      <c r="M1299">
        <v>0</v>
      </c>
      <c r="N1299">
        <v>0</v>
      </c>
      <c r="O1299">
        <v>0</v>
      </c>
      <c r="P1299">
        <v>7</v>
      </c>
    </row>
    <row r="1300" spans="1:16" x14ac:dyDescent="0.2">
      <c r="A1300" t="s">
        <v>2138</v>
      </c>
      <c r="B1300" t="s">
        <v>97</v>
      </c>
      <c r="C1300" t="s">
        <v>2139</v>
      </c>
      <c r="D1300" t="s">
        <v>2131</v>
      </c>
      <c r="E1300" t="s">
        <v>96</v>
      </c>
      <c r="F1300">
        <v>39.99</v>
      </c>
      <c r="G1300" t="s">
        <v>14</v>
      </c>
      <c r="H1300">
        <v>0.16666666666666666</v>
      </c>
      <c r="M1300">
        <v>0</v>
      </c>
      <c r="N1300">
        <v>0</v>
      </c>
      <c r="O1300">
        <v>0</v>
      </c>
      <c r="P1300">
        <v>3</v>
      </c>
    </row>
    <row r="1301" spans="1:16" x14ac:dyDescent="0.2">
      <c r="A1301" t="s">
        <v>5786</v>
      </c>
      <c r="B1301" t="s">
        <v>97</v>
      </c>
      <c r="C1301" t="s">
        <v>5787</v>
      </c>
      <c r="D1301" t="s">
        <v>2852</v>
      </c>
      <c r="E1301" t="s">
        <v>96</v>
      </c>
      <c r="F1301">
        <v>199.99</v>
      </c>
      <c r="G1301" t="s">
        <v>14</v>
      </c>
      <c r="H1301">
        <v>0</v>
      </c>
      <c r="M1301">
        <v>0</v>
      </c>
      <c r="N1301">
        <v>0</v>
      </c>
      <c r="O1301">
        <v>0</v>
      </c>
      <c r="P1301">
        <v>0</v>
      </c>
    </row>
    <row r="1302" spans="1:16" x14ac:dyDescent="0.2">
      <c r="A1302" t="s">
        <v>4379</v>
      </c>
      <c r="B1302" t="s">
        <v>97</v>
      </c>
      <c r="C1302" t="s">
        <v>4380</v>
      </c>
      <c r="D1302" t="s">
        <v>2852</v>
      </c>
      <c r="E1302" t="s">
        <v>96</v>
      </c>
      <c r="F1302">
        <v>29.99</v>
      </c>
      <c r="G1302" t="s">
        <v>14</v>
      </c>
      <c r="H1302">
        <v>0</v>
      </c>
      <c r="M1302">
        <v>0</v>
      </c>
      <c r="N1302">
        <v>0</v>
      </c>
      <c r="O1302">
        <v>0</v>
      </c>
      <c r="P1302">
        <v>0</v>
      </c>
    </row>
    <row r="1303" spans="1:16" x14ac:dyDescent="0.2">
      <c r="A1303" t="s">
        <v>2599</v>
      </c>
      <c r="B1303" t="s">
        <v>97</v>
      </c>
      <c r="C1303" t="s">
        <v>2600</v>
      </c>
      <c r="D1303" t="s">
        <v>2502</v>
      </c>
      <c r="E1303" t="s">
        <v>228</v>
      </c>
      <c r="F1303">
        <v>79.989999999999995</v>
      </c>
      <c r="G1303" t="s">
        <v>14</v>
      </c>
      <c r="H1303">
        <v>0</v>
      </c>
      <c r="M1303">
        <v>0</v>
      </c>
      <c r="N1303">
        <v>0</v>
      </c>
      <c r="O1303">
        <v>0</v>
      </c>
      <c r="P1303">
        <v>2</v>
      </c>
    </row>
    <row r="1304" spans="1:16" x14ac:dyDescent="0.2">
      <c r="A1304" t="s">
        <v>5712</v>
      </c>
      <c r="B1304" t="s">
        <v>97</v>
      </c>
      <c r="C1304" t="s">
        <v>5713</v>
      </c>
      <c r="D1304" t="s">
        <v>2411</v>
      </c>
      <c r="E1304" t="s">
        <v>96</v>
      </c>
      <c r="F1304">
        <v>59.99</v>
      </c>
      <c r="G1304" t="s">
        <v>14</v>
      </c>
      <c r="H1304">
        <v>0</v>
      </c>
      <c r="M1304">
        <v>0</v>
      </c>
      <c r="N1304">
        <v>0</v>
      </c>
      <c r="O1304">
        <v>0</v>
      </c>
      <c r="P1304">
        <v>6</v>
      </c>
    </row>
    <row r="1305" spans="1:16" x14ac:dyDescent="0.2">
      <c r="A1305" t="s">
        <v>7078</v>
      </c>
      <c r="B1305" t="s">
        <v>97</v>
      </c>
      <c r="C1305" t="s">
        <v>7079</v>
      </c>
      <c r="D1305" t="s">
        <v>2411</v>
      </c>
      <c r="E1305" t="s">
        <v>96</v>
      </c>
      <c r="F1305">
        <v>59.99</v>
      </c>
      <c r="G1305" t="s">
        <v>14</v>
      </c>
      <c r="H1305">
        <v>0</v>
      </c>
      <c r="M1305">
        <v>0</v>
      </c>
      <c r="N1305">
        <v>0</v>
      </c>
      <c r="O1305">
        <v>0</v>
      </c>
      <c r="P1305">
        <v>0</v>
      </c>
    </row>
    <row r="1306" spans="1:16" x14ac:dyDescent="0.2">
      <c r="A1306" t="s">
        <v>6869</v>
      </c>
      <c r="B1306" t="s">
        <v>97</v>
      </c>
      <c r="C1306" t="s">
        <v>6870</v>
      </c>
      <c r="D1306" t="s">
        <v>2987</v>
      </c>
      <c r="E1306" t="s">
        <v>96</v>
      </c>
      <c r="F1306">
        <v>139.99</v>
      </c>
      <c r="G1306" t="s">
        <v>14</v>
      </c>
      <c r="H1306">
        <v>0</v>
      </c>
      <c r="M1306">
        <v>0</v>
      </c>
      <c r="N1306">
        <v>0</v>
      </c>
      <c r="O1306">
        <v>0</v>
      </c>
      <c r="P1306">
        <v>0</v>
      </c>
    </row>
    <row r="1307" spans="1:16" x14ac:dyDescent="0.2">
      <c r="A1307" t="s">
        <v>2609</v>
      </c>
      <c r="B1307" t="s">
        <v>97</v>
      </c>
      <c r="C1307" t="s">
        <v>2610</v>
      </c>
      <c r="D1307" t="s">
        <v>2502</v>
      </c>
      <c r="E1307" t="s">
        <v>290</v>
      </c>
      <c r="F1307">
        <v>179.99</v>
      </c>
      <c r="G1307" t="s">
        <v>14</v>
      </c>
      <c r="H1307">
        <v>0</v>
      </c>
      <c r="M1307">
        <v>0</v>
      </c>
      <c r="N1307">
        <v>0</v>
      </c>
      <c r="O1307">
        <v>0</v>
      </c>
      <c r="P1307">
        <v>3</v>
      </c>
    </row>
    <row r="1308" spans="1:16" x14ac:dyDescent="0.2">
      <c r="A1308" t="s">
        <v>6574</v>
      </c>
      <c r="B1308" t="s">
        <v>97</v>
      </c>
      <c r="C1308" t="s">
        <v>6575</v>
      </c>
      <c r="D1308" t="s">
        <v>2987</v>
      </c>
      <c r="E1308" t="s">
        <v>290</v>
      </c>
      <c r="F1308">
        <v>129.99</v>
      </c>
      <c r="G1308" t="s">
        <v>14</v>
      </c>
      <c r="H1308">
        <v>3.3333333333333333E-2</v>
      </c>
      <c r="M1308">
        <v>30</v>
      </c>
      <c r="N1308">
        <v>0.16666666666666666</v>
      </c>
      <c r="O1308">
        <v>0</v>
      </c>
      <c r="P1308">
        <v>5</v>
      </c>
    </row>
    <row r="1309" spans="1:16" x14ac:dyDescent="0.2">
      <c r="A1309" t="s">
        <v>6368</v>
      </c>
      <c r="B1309" t="s">
        <v>97</v>
      </c>
      <c r="C1309" t="s">
        <v>6369</v>
      </c>
      <c r="D1309" t="s">
        <v>2502</v>
      </c>
      <c r="E1309" t="s">
        <v>290</v>
      </c>
      <c r="F1309">
        <v>79.989999999999995</v>
      </c>
      <c r="G1309" t="s">
        <v>14</v>
      </c>
      <c r="H1309">
        <v>0</v>
      </c>
      <c r="M1309">
        <v>0</v>
      </c>
      <c r="N1309">
        <v>0</v>
      </c>
      <c r="O1309">
        <v>0</v>
      </c>
      <c r="P1309">
        <v>2</v>
      </c>
    </row>
    <row r="1310" spans="1:16" x14ac:dyDescent="0.2">
      <c r="A1310" t="s">
        <v>2565</v>
      </c>
      <c r="B1310" t="s">
        <v>97</v>
      </c>
      <c r="C1310" t="s">
        <v>2566</v>
      </c>
      <c r="D1310" t="s">
        <v>2502</v>
      </c>
      <c r="E1310" t="s">
        <v>228</v>
      </c>
      <c r="F1310">
        <v>79.989999999999995</v>
      </c>
      <c r="G1310" t="s">
        <v>14</v>
      </c>
      <c r="H1310">
        <v>0</v>
      </c>
      <c r="M1310">
        <v>0</v>
      </c>
      <c r="N1310">
        <v>0</v>
      </c>
      <c r="O1310">
        <v>0</v>
      </c>
      <c r="P1310">
        <v>2</v>
      </c>
    </row>
    <row r="1311" spans="1:16" x14ac:dyDescent="0.2">
      <c r="A1311" t="s">
        <v>3025</v>
      </c>
      <c r="B1311" t="s">
        <v>97</v>
      </c>
      <c r="C1311" t="s">
        <v>3026</v>
      </c>
      <c r="D1311" t="s">
        <v>2987</v>
      </c>
      <c r="E1311" t="s">
        <v>228</v>
      </c>
      <c r="F1311">
        <v>89.99</v>
      </c>
      <c r="G1311" t="s">
        <v>14</v>
      </c>
      <c r="H1311">
        <v>1.6666666666666666E-2</v>
      </c>
      <c r="M1311">
        <v>30</v>
      </c>
      <c r="N1311">
        <v>0.16666666666666666</v>
      </c>
      <c r="O1311">
        <v>0</v>
      </c>
      <c r="P1311">
        <v>5</v>
      </c>
    </row>
    <row r="1312" spans="1:16" x14ac:dyDescent="0.2">
      <c r="A1312" t="s">
        <v>2595</v>
      </c>
      <c r="B1312" t="s">
        <v>97</v>
      </c>
      <c r="C1312" t="s">
        <v>2596</v>
      </c>
      <c r="D1312" t="s">
        <v>2502</v>
      </c>
      <c r="E1312" t="s">
        <v>228</v>
      </c>
      <c r="F1312">
        <v>49.99</v>
      </c>
      <c r="G1312" t="s">
        <v>14</v>
      </c>
      <c r="H1312">
        <v>0</v>
      </c>
      <c r="M1312">
        <v>0</v>
      </c>
      <c r="N1312">
        <v>0</v>
      </c>
      <c r="O1312">
        <v>0</v>
      </c>
      <c r="P1312">
        <v>15</v>
      </c>
    </row>
    <row r="1313" spans="1:16" x14ac:dyDescent="0.2">
      <c r="A1313" t="s">
        <v>6383</v>
      </c>
      <c r="B1313" t="s">
        <v>97</v>
      </c>
      <c r="C1313" t="s">
        <v>6384</v>
      </c>
      <c r="D1313" t="s">
        <v>2502</v>
      </c>
      <c r="E1313" t="s">
        <v>228</v>
      </c>
      <c r="F1313">
        <v>99.99</v>
      </c>
      <c r="G1313" t="s">
        <v>14</v>
      </c>
      <c r="H1313">
        <v>0</v>
      </c>
      <c r="M1313">
        <v>0</v>
      </c>
      <c r="N1313">
        <v>0</v>
      </c>
      <c r="O1313">
        <v>0</v>
      </c>
      <c r="P1313">
        <v>0</v>
      </c>
    </row>
    <row r="1314" spans="1:16" x14ac:dyDescent="0.2">
      <c r="A1314" t="s">
        <v>6387</v>
      </c>
      <c r="B1314" t="s">
        <v>97</v>
      </c>
      <c r="C1314" t="s">
        <v>6388</v>
      </c>
      <c r="D1314" t="s">
        <v>2502</v>
      </c>
      <c r="E1314" t="s">
        <v>96</v>
      </c>
      <c r="F1314">
        <v>199.99</v>
      </c>
      <c r="G1314" t="s">
        <v>14</v>
      </c>
      <c r="H1314">
        <v>0</v>
      </c>
      <c r="M1314">
        <v>0</v>
      </c>
      <c r="N1314">
        <v>0</v>
      </c>
      <c r="O1314">
        <v>0</v>
      </c>
      <c r="P1314">
        <v>0</v>
      </c>
    </row>
    <row r="1315" spans="1:16" x14ac:dyDescent="0.2">
      <c r="A1315" t="s">
        <v>2603</v>
      </c>
      <c r="B1315" t="s">
        <v>97</v>
      </c>
      <c r="C1315" t="s">
        <v>2604</v>
      </c>
      <c r="D1315" t="s">
        <v>2502</v>
      </c>
      <c r="E1315" t="s">
        <v>228</v>
      </c>
      <c r="F1315">
        <v>89.99</v>
      </c>
      <c r="G1315" t="s">
        <v>14</v>
      </c>
      <c r="H1315">
        <v>0</v>
      </c>
      <c r="M1315">
        <v>0</v>
      </c>
      <c r="N1315">
        <v>0</v>
      </c>
      <c r="O1315">
        <v>0</v>
      </c>
      <c r="P1315">
        <v>2</v>
      </c>
    </row>
    <row r="1316" spans="1:16" x14ac:dyDescent="0.2">
      <c r="A1316" t="s">
        <v>2635</v>
      </c>
      <c r="B1316" t="s">
        <v>97</v>
      </c>
      <c r="C1316" t="s">
        <v>2636</v>
      </c>
      <c r="D1316" t="s">
        <v>2502</v>
      </c>
      <c r="E1316" t="s">
        <v>228</v>
      </c>
      <c r="F1316">
        <v>69.989999999999995</v>
      </c>
      <c r="G1316" t="s">
        <v>14</v>
      </c>
      <c r="H1316">
        <v>1.0416666666666666E-2</v>
      </c>
      <c r="M1316">
        <v>0</v>
      </c>
      <c r="N1316">
        <v>0</v>
      </c>
      <c r="O1316">
        <v>0</v>
      </c>
      <c r="P1316">
        <v>8</v>
      </c>
    </row>
    <row r="1317" spans="1:16" x14ac:dyDescent="0.2">
      <c r="A1317" t="s">
        <v>3005</v>
      </c>
      <c r="B1317" t="s">
        <v>97</v>
      </c>
      <c r="C1317" t="s">
        <v>3006</v>
      </c>
      <c r="D1317" t="s">
        <v>2987</v>
      </c>
      <c r="E1317" t="s">
        <v>290</v>
      </c>
      <c r="F1317">
        <v>49.99</v>
      </c>
      <c r="G1317" t="s">
        <v>14</v>
      </c>
      <c r="H1317">
        <v>0</v>
      </c>
      <c r="M1317">
        <v>0</v>
      </c>
      <c r="N1317">
        <v>0</v>
      </c>
      <c r="O1317">
        <v>0</v>
      </c>
      <c r="P1317">
        <v>2</v>
      </c>
    </row>
    <row r="1318" spans="1:16" x14ac:dyDescent="0.2">
      <c r="A1318" t="s">
        <v>6694</v>
      </c>
      <c r="B1318" t="s">
        <v>97</v>
      </c>
      <c r="C1318" t="s">
        <v>6695</v>
      </c>
      <c r="D1318" t="s">
        <v>2987</v>
      </c>
      <c r="E1318" t="s">
        <v>290</v>
      </c>
      <c r="F1318">
        <v>49.99</v>
      </c>
      <c r="G1318" t="s">
        <v>14</v>
      </c>
      <c r="H1318">
        <v>0</v>
      </c>
      <c r="M1318">
        <v>0</v>
      </c>
      <c r="N1318">
        <v>0</v>
      </c>
      <c r="O1318">
        <v>0</v>
      </c>
      <c r="P1318">
        <v>0</v>
      </c>
    </row>
    <row r="1319" spans="1:16" x14ac:dyDescent="0.2">
      <c r="A1319" t="s">
        <v>6780</v>
      </c>
      <c r="B1319" t="s">
        <v>97</v>
      </c>
      <c r="C1319" t="s">
        <v>6781</v>
      </c>
      <c r="D1319" t="s">
        <v>2987</v>
      </c>
      <c r="E1319" t="s">
        <v>96</v>
      </c>
      <c r="F1319">
        <v>104.99</v>
      </c>
      <c r="G1319" t="s">
        <v>14</v>
      </c>
      <c r="H1319">
        <v>0</v>
      </c>
      <c r="M1319">
        <v>0</v>
      </c>
      <c r="N1319">
        <v>0</v>
      </c>
      <c r="O1319">
        <v>0</v>
      </c>
      <c r="P1319">
        <v>5</v>
      </c>
    </row>
    <row r="1320" spans="1:16" x14ac:dyDescent="0.2">
      <c r="A1320" t="s">
        <v>2190</v>
      </c>
      <c r="B1320" t="s">
        <v>97</v>
      </c>
      <c r="C1320" t="s">
        <v>2191</v>
      </c>
      <c r="D1320" t="s">
        <v>2146</v>
      </c>
      <c r="E1320" t="s">
        <v>290</v>
      </c>
      <c r="F1320">
        <v>349.99</v>
      </c>
      <c r="G1320" t="s">
        <v>14</v>
      </c>
      <c r="H1320">
        <v>0</v>
      </c>
      <c r="M1320">
        <v>0</v>
      </c>
      <c r="N1320">
        <v>0</v>
      </c>
      <c r="O1320">
        <v>0</v>
      </c>
      <c r="P1320">
        <v>4</v>
      </c>
    </row>
    <row r="1321" spans="1:16" x14ac:dyDescent="0.2">
      <c r="A1321" t="s">
        <v>3630</v>
      </c>
      <c r="B1321" t="s">
        <v>97</v>
      </c>
      <c r="C1321" t="s">
        <v>2432</v>
      </c>
      <c r="D1321" t="s">
        <v>2425</v>
      </c>
      <c r="E1321" t="s">
        <v>96</v>
      </c>
      <c r="F1321">
        <v>179.99</v>
      </c>
      <c r="G1321" t="s">
        <v>14</v>
      </c>
      <c r="H1321">
        <v>0</v>
      </c>
      <c r="M1321">
        <v>0</v>
      </c>
      <c r="N1321">
        <v>0</v>
      </c>
      <c r="O1321">
        <v>0</v>
      </c>
      <c r="P1321">
        <v>0</v>
      </c>
    </row>
    <row r="1322" spans="1:16" x14ac:dyDescent="0.2">
      <c r="A1322" t="s">
        <v>2559</v>
      </c>
      <c r="B1322" t="s">
        <v>97</v>
      </c>
      <c r="C1322" t="s">
        <v>2560</v>
      </c>
      <c r="D1322" t="s">
        <v>2502</v>
      </c>
      <c r="E1322" t="s">
        <v>228</v>
      </c>
      <c r="F1322">
        <v>17.989999999999998</v>
      </c>
      <c r="G1322" t="s">
        <v>14</v>
      </c>
      <c r="H1322">
        <v>3.3333333333333333E-2</v>
      </c>
      <c r="M1322">
        <v>0</v>
      </c>
      <c r="N1322">
        <v>0</v>
      </c>
      <c r="O1322">
        <v>0</v>
      </c>
      <c r="P1322">
        <v>5</v>
      </c>
    </row>
    <row r="1323" spans="1:16" x14ac:dyDescent="0.2">
      <c r="A1323" t="s">
        <v>5265</v>
      </c>
      <c r="B1323" t="s">
        <v>97</v>
      </c>
      <c r="C1323" t="s">
        <v>5266</v>
      </c>
      <c r="D1323" t="s">
        <v>2852</v>
      </c>
      <c r="E1323" t="s">
        <v>96</v>
      </c>
      <c r="F1323">
        <v>249.99</v>
      </c>
      <c r="G1323" t="s">
        <v>14</v>
      </c>
      <c r="H1323">
        <v>0</v>
      </c>
      <c r="M1323">
        <v>0</v>
      </c>
      <c r="N1323">
        <v>0</v>
      </c>
      <c r="O1323">
        <v>0</v>
      </c>
      <c r="P1323">
        <v>1</v>
      </c>
    </row>
    <row r="1324" spans="1:16" x14ac:dyDescent="0.2">
      <c r="A1324" t="s">
        <v>4627</v>
      </c>
      <c r="B1324" t="s">
        <v>97</v>
      </c>
      <c r="C1324" t="s">
        <v>4628</v>
      </c>
      <c r="D1324" t="s">
        <v>2852</v>
      </c>
      <c r="E1324" t="s">
        <v>96</v>
      </c>
      <c r="F1324">
        <v>2499.9899999999998</v>
      </c>
      <c r="G1324" t="s">
        <v>14</v>
      </c>
      <c r="H1324">
        <v>0</v>
      </c>
      <c r="M1324">
        <v>0</v>
      </c>
      <c r="N1324">
        <v>0</v>
      </c>
      <c r="O1324">
        <v>0</v>
      </c>
      <c r="P1324">
        <v>0</v>
      </c>
    </row>
    <row r="1325" spans="1:16" x14ac:dyDescent="0.2">
      <c r="A1325" t="s">
        <v>7080</v>
      </c>
      <c r="B1325" t="s">
        <v>97</v>
      </c>
      <c r="C1325" t="s">
        <v>7081</v>
      </c>
      <c r="D1325" t="s">
        <v>7082</v>
      </c>
      <c r="E1325" t="s">
        <v>96</v>
      </c>
      <c r="F1325">
        <v>59.99</v>
      </c>
      <c r="G1325" t="s">
        <v>14</v>
      </c>
      <c r="H1325">
        <v>0</v>
      </c>
      <c r="M1325">
        <v>0</v>
      </c>
      <c r="N1325">
        <v>0</v>
      </c>
      <c r="O1325">
        <v>0</v>
      </c>
      <c r="P1325">
        <v>0</v>
      </c>
    </row>
    <row r="1326" spans="1:16" x14ac:dyDescent="0.2">
      <c r="A1326" t="s">
        <v>3651</v>
      </c>
      <c r="B1326" t="s">
        <v>97</v>
      </c>
      <c r="C1326" t="s">
        <v>3652</v>
      </c>
      <c r="D1326" t="s">
        <v>2425</v>
      </c>
      <c r="E1326" t="s">
        <v>290</v>
      </c>
      <c r="F1326">
        <v>109.99</v>
      </c>
      <c r="G1326" t="s">
        <v>14</v>
      </c>
      <c r="H1326">
        <v>0</v>
      </c>
      <c r="M1326">
        <v>0</v>
      </c>
      <c r="N1326">
        <v>0</v>
      </c>
      <c r="O1326">
        <v>0</v>
      </c>
      <c r="P1326">
        <v>0</v>
      </c>
    </row>
    <row r="1327" spans="1:16" x14ac:dyDescent="0.2">
      <c r="A1327" t="s">
        <v>4449</v>
      </c>
      <c r="B1327" t="s">
        <v>97</v>
      </c>
      <c r="C1327" t="s">
        <v>4450</v>
      </c>
      <c r="D1327" t="s">
        <v>1012</v>
      </c>
      <c r="E1327" t="s">
        <v>96</v>
      </c>
      <c r="F1327">
        <v>159.99</v>
      </c>
      <c r="G1327" t="s">
        <v>14</v>
      </c>
      <c r="H1327">
        <v>0</v>
      </c>
      <c r="M1327">
        <v>0</v>
      </c>
      <c r="N1327">
        <v>0</v>
      </c>
      <c r="O1327">
        <v>0</v>
      </c>
      <c r="P1327">
        <v>0</v>
      </c>
    </row>
    <row r="1328" spans="1:16" x14ac:dyDescent="0.2">
      <c r="A1328" t="s">
        <v>2142</v>
      </c>
      <c r="B1328" t="s">
        <v>97</v>
      </c>
      <c r="C1328" t="s">
        <v>2143</v>
      </c>
      <c r="D1328" t="s">
        <v>2131</v>
      </c>
      <c r="E1328" t="s">
        <v>96</v>
      </c>
      <c r="F1328">
        <v>49.99</v>
      </c>
      <c r="G1328" t="s">
        <v>14</v>
      </c>
      <c r="H1328">
        <v>2.7777777777777776E-2</v>
      </c>
      <c r="M1328">
        <v>0</v>
      </c>
      <c r="N1328">
        <v>0</v>
      </c>
      <c r="O1328">
        <v>0</v>
      </c>
      <c r="P1328">
        <v>3</v>
      </c>
    </row>
    <row r="1329" spans="1:16" x14ac:dyDescent="0.2">
      <c r="A1329" t="s">
        <v>7083</v>
      </c>
      <c r="B1329" t="s">
        <v>97</v>
      </c>
      <c r="C1329" t="s">
        <v>7084</v>
      </c>
      <c r="D1329" t="s">
        <v>2502</v>
      </c>
      <c r="E1329" t="s">
        <v>96</v>
      </c>
      <c r="F1329">
        <v>149.99</v>
      </c>
      <c r="G1329" t="s">
        <v>14</v>
      </c>
      <c r="H1329">
        <v>0</v>
      </c>
      <c r="M1329">
        <v>0</v>
      </c>
      <c r="N1329">
        <v>0</v>
      </c>
      <c r="O1329">
        <v>0</v>
      </c>
      <c r="P1329">
        <v>0</v>
      </c>
    </row>
    <row r="1330" spans="1:16" x14ac:dyDescent="0.2">
      <c r="A1330" t="s">
        <v>2346</v>
      </c>
      <c r="B1330" t="s">
        <v>97</v>
      </c>
      <c r="C1330" t="s">
        <v>2347</v>
      </c>
      <c r="D1330" t="s">
        <v>2146</v>
      </c>
      <c r="E1330" t="s">
        <v>228</v>
      </c>
      <c r="F1330">
        <v>99.99</v>
      </c>
      <c r="G1330" t="s">
        <v>14</v>
      </c>
      <c r="H1330">
        <v>2.0833333333333332E-2</v>
      </c>
      <c r="M1330">
        <v>24</v>
      </c>
      <c r="N1330">
        <v>0.16666666666666666</v>
      </c>
      <c r="O1330">
        <v>0</v>
      </c>
      <c r="P1330">
        <v>4</v>
      </c>
    </row>
    <row r="1331" spans="1:16" x14ac:dyDescent="0.2">
      <c r="A1331" t="s">
        <v>2144</v>
      </c>
      <c r="B1331" t="s">
        <v>97</v>
      </c>
      <c r="C1331" t="s">
        <v>2145</v>
      </c>
      <c r="D1331" t="s">
        <v>2131</v>
      </c>
      <c r="E1331" t="s">
        <v>290</v>
      </c>
      <c r="F1331">
        <v>49.99</v>
      </c>
      <c r="G1331" t="s">
        <v>14</v>
      </c>
      <c r="H1331">
        <v>2.7777777777777776E-2</v>
      </c>
      <c r="M1331">
        <v>0</v>
      </c>
      <c r="N1331">
        <v>0</v>
      </c>
      <c r="O1331">
        <v>0</v>
      </c>
      <c r="P1331">
        <v>3</v>
      </c>
    </row>
    <row r="1332" spans="1:16" x14ac:dyDescent="0.2">
      <c r="A1332" t="s">
        <v>2180</v>
      </c>
      <c r="B1332" t="s">
        <v>97</v>
      </c>
      <c r="C1332" t="s">
        <v>2181</v>
      </c>
      <c r="D1332" t="s">
        <v>2146</v>
      </c>
      <c r="E1332" t="s">
        <v>290</v>
      </c>
      <c r="F1332">
        <v>17.989999999999998</v>
      </c>
      <c r="G1332" t="s">
        <v>14</v>
      </c>
      <c r="H1332">
        <v>0</v>
      </c>
      <c r="M1332">
        <v>0</v>
      </c>
      <c r="N1332">
        <v>0</v>
      </c>
      <c r="O1332">
        <v>0</v>
      </c>
      <c r="P1332">
        <v>0</v>
      </c>
    </row>
    <row r="1333" spans="1:16" x14ac:dyDescent="0.2">
      <c r="A1333" t="s">
        <v>2186</v>
      </c>
      <c r="B1333" t="s">
        <v>97</v>
      </c>
      <c r="C1333" t="s">
        <v>2187</v>
      </c>
      <c r="D1333" t="s">
        <v>2146</v>
      </c>
      <c r="E1333" t="s">
        <v>290</v>
      </c>
      <c r="F1333">
        <v>16.989999999999998</v>
      </c>
      <c r="G1333" t="s">
        <v>14</v>
      </c>
      <c r="H1333">
        <v>0</v>
      </c>
      <c r="M1333">
        <v>0</v>
      </c>
      <c r="N1333">
        <v>0</v>
      </c>
      <c r="O1333">
        <v>0</v>
      </c>
      <c r="P1333">
        <v>0</v>
      </c>
    </row>
    <row r="1334" spans="1:16" x14ac:dyDescent="0.2">
      <c r="A1334" t="s">
        <v>547</v>
      </c>
      <c r="B1334" t="s">
        <v>97</v>
      </c>
      <c r="C1334" t="s">
        <v>7085</v>
      </c>
      <c r="D1334" t="s">
        <v>446</v>
      </c>
      <c r="E1334" t="s">
        <v>290</v>
      </c>
      <c r="F1334">
        <v>199.99</v>
      </c>
      <c r="G1334" t="s">
        <v>14</v>
      </c>
      <c r="H1334">
        <v>0</v>
      </c>
      <c r="M1334">
        <v>0</v>
      </c>
      <c r="N1334">
        <v>0</v>
      </c>
      <c r="O1334">
        <v>0</v>
      </c>
      <c r="P1334">
        <v>0</v>
      </c>
    </row>
    <row r="1335" spans="1:16" x14ac:dyDescent="0.2">
      <c r="A1335" t="s">
        <v>7086</v>
      </c>
      <c r="B1335" t="s">
        <v>97</v>
      </c>
      <c r="C1335" t="s">
        <v>7087</v>
      </c>
      <c r="D1335" t="s">
        <v>2146</v>
      </c>
      <c r="E1335" t="s">
        <v>96</v>
      </c>
      <c r="F1335">
        <v>17.989999999999998</v>
      </c>
      <c r="G1335" t="s">
        <v>14</v>
      </c>
      <c r="H1335">
        <v>0</v>
      </c>
      <c r="M1335">
        <v>0</v>
      </c>
      <c r="N1335">
        <v>0</v>
      </c>
      <c r="O1335">
        <v>0</v>
      </c>
      <c r="P1335">
        <v>0</v>
      </c>
    </row>
    <row r="1336" spans="1:16" x14ac:dyDescent="0.2">
      <c r="A1336" t="s">
        <v>2136</v>
      </c>
      <c r="B1336" t="s">
        <v>97</v>
      </c>
      <c r="C1336" t="s">
        <v>2137</v>
      </c>
      <c r="D1336" t="s">
        <v>2131</v>
      </c>
      <c r="E1336" t="s">
        <v>96</v>
      </c>
      <c r="F1336">
        <v>39.99</v>
      </c>
      <c r="G1336" t="s">
        <v>14</v>
      </c>
      <c r="H1336">
        <v>0</v>
      </c>
      <c r="M1336">
        <v>0</v>
      </c>
      <c r="N1336">
        <v>0</v>
      </c>
      <c r="O1336">
        <v>0</v>
      </c>
      <c r="P1336">
        <v>6</v>
      </c>
    </row>
    <row r="1337" spans="1:16" x14ac:dyDescent="0.2">
      <c r="A1337" t="s">
        <v>5672</v>
      </c>
      <c r="B1337" t="s">
        <v>97</v>
      </c>
      <c r="C1337" t="s">
        <v>5673</v>
      </c>
      <c r="D1337" t="s">
        <v>2411</v>
      </c>
      <c r="E1337" t="s">
        <v>96</v>
      </c>
      <c r="F1337">
        <v>89.99</v>
      </c>
      <c r="G1337" t="s">
        <v>14</v>
      </c>
      <c r="H1337">
        <v>0</v>
      </c>
      <c r="M1337">
        <v>0</v>
      </c>
      <c r="N1337">
        <v>0</v>
      </c>
      <c r="O1337">
        <v>0</v>
      </c>
      <c r="P1337">
        <v>0</v>
      </c>
    </row>
    <row r="1338" spans="1:16" x14ac:dyDescent="0.2">
      <c r="A1338" t="s">
        <v>7088</v>
      </c>
      <c r="B1338" t="s">
        <v>97</v>
      </c>
      <c r="C1338" t="s">
        <v>7089</v>
      </c>
      <c r="D1338" t="s">
        <v>2411</v>
      </c>
      <c r="E1338" t="s">
        <v>96</v>
      </c>
      <c r="F1338">
        <v>27.27</v>
      </c>
      <c r="G1338" t="s">
        <v>14</v>
      </c>
      <c r="H1338">
        <v>0</v>
      </c>
      <c r="M1338">
        <v>0</v>
      </c>
      <c r="N1338">
        <v>0</v>
      </c>
      <c r="O1338">
        <v>0</v>
      </c>
      <c r="P1338">
        <v>0</v>
      </c>
    </row>
    <row r="1339" spans="1:16" x14ac:dyDescent="0.2">
      <c r="A1339" t="s">
        <v>2571</v>
      </c>
      <c r="B1339" t="s">
        <v>97</v>
      </c>
      <c r="C1339" t="s">
        <v>2572</v>
      </c>
      <c r="D1339" t="s">
        <v>2502</v>
      </c>
      <c r="E1339" t="s">
        <v>228</v>
      </c>
      <c r="F1339">
        <v>119.99</v>
      </c>
      <c r="G1339" t="s">
        <v>14</v>
      </c>
      <c r="H1339">
        <v>0</v>
      </c>
      <c r="M1339">
        <v>0</v>
      </c>
      <c r="N1339">
        <v>0</v>
      </c>
      <c r="O1339">
        <v>0</v>
      </c>
      <c r="P1339">
        <v>4</v>
      </c>
    </row>
    <row r="1340" spans="1:16" x14ac:dyDescent="0.2">
      <c r="A1340" t="s">
        <v>6783</v>
      </c>
      <c r="B1340" t="s">
        <v>97</v>
      </c>
      <c r="C1340" t="s">
        <v>6784</v>
      </c>
      <c r="D1340" t="s">
        <v>2987</v>
      </c>
      <c r="E1340" t="s">
        <v>290</v>
      </c>
      <c r="F1340">
        <v>79.989999999999995</v>
      </c>
      <c r="G1340" t="s">
        <v>14</v>
      </c>
      <c r="H1340">
        <v>0</v>
      </c>
      <c r="M1340">
        <v>0</v>
      </c>
      <c r="N1340">
        <v>0</v>
      </c>
      <c r="O1340">
        <v>0</v>
      </c>
      <c r="P1340">
        <v>14</v>
      </c>
    </row>
    <row r="1341" spans="1:16" x14ac:dyDescent="0.2">
      <c r="A1341" t="s">
        <v>6690</v>
      </c>
      <c r="B1341" t="s">
        <v>97</v>
      </c>
      <c r="C1341" t="s">
        <v>6691</v>
      </c>
      <c r="D1341" t="s">
        <v>2987</v>
      </c>
      <c r="E1341" t="s">
        <v>96</v>
      </c>
      <c r="F1341">
        <v>74.989999999999995</v>
      </c>
      <c r="G1341" t="s">
        <v>14</v>
      </c>
      <c r="H1341">
        <v>0</v>
      </c>
      <c r="M1341">
        <v>0</v>
      </c>
      <c r="N1341">
        <v>0</v>
      </c>
      <c r="O1341">
        <v>0</v>
      </c>
      <c r="P1341">
        <v>1</v>
      </c>
    </row>
    <row r="1342" spans="1:16" x14ac:dyDescent="0.2">
      <c r="A1342" t="s">
        <v>4197</v>
      </c>
      <c r="B1342" t="s">
        <v>97</v>
      </c>
      <c r="C1342" t="s">
        <v>4198</v>
      </c>
      <c r="D1342" t="s">
        <v>2852</v>
      </c>
      <c r="E1342" t="s">
        <v>96</v>
      </c>
      <c r="F1342">
        <v>29.99</v>
      </c>
      <c r="G1342" t="s">
        <v>14</v>
      </c>
      <c r="H1342">
        <v>0</v>
      </c>
      <c r="M1342">
        <v>0</v>
      </c>
      <c r="N1342">
        <v>0</v>
      </c>
      <c r="O1342">
        <v>0</v>
      </c>
      <c r="P1342">
        <v>0</v>
      </c>
    </row>
    <row r="1343" spans="1:16" x14ac:dyDescent="0.2">
      <c r="A1343" t="s">
        <v>2567</v>
      </c>
      <c r="B1343" t="s">
        <v>97</v>
      </c>
      <c r="C1343" t="s">
        <v>2568</v>
      </c>
      <c r="D1343" t="s">
        <v>2502</v>
      </c>
      <c r="E1343" t="s">
        <v>228</v>
      </c>
      <c r="F1343">
        <v>79.989999999999995</v>
      </c>
      <c r="G1343" t="s">
        <v>14</v>
      </c>
      <c r="H1343">
        <v>1.1904761904761904E-2</v>
      </c>
      <c r="M1343">
        <v>42</v>
      </c>
      <c r="N1343">
        <v>0.16666666666666666</v>
      </c>
      <c r="O1343">
        <v>0</v>
      </c>
      <c r="P1343">
        <v>7</v>
      </c>
    </row>
    <row r="1344" spans="1:16" x14ac:dyDescent="0.2">
      <c r="A1344" t="s">
        <v>4200</v>
      </c>
      <c r="B1344" t="s">
        <v>97</v>
      </c>
      <c r="C1344" t="s">
        <v>4201</v>
      </c>
      <c r="D1344" t="s">
        <v>2852</v>
      </c>
      <c r="E1344" t="s">
        <v>96</v>
      </c>
      <c r="F1344">
        <v>29.99</v>
      </c>
      <c r="G1344" t="s">
        <v>14</v>
      </c>
      <c r="H1344">
        <v>0</v>
      </c>
      <c r="M1344">
        <v>0</v>
      </c>
      <c r="N1344">
        <v>0</v>
      </c>
      <c r="O1344">
        <v>0</v>
      </c>
      <c r="P1344">
        <v>0</v>
      </c>
    </row>
    <row r="1345" spans="1:16" x14ac:dyDescent="0.2">
      <c r="A1345" t="s">
        <v>2967</v>
      </c>
      <c r="B1345" t="s">
        <v>97</v>
      </c>
      <c r="C1345" t="s">
        <v>2968</v>
      </c>
      <c r="D1345" t="s">
        <v>2928</v>
      </c>
      <c r="E1345" t="s">
        <v>96</v>
      </c>
      <c r="F1345">
        <v>39.99</v>
      </c>
      <c r="G1345" t="s">
        <v>14</v>
      </c>
      <c r="H1345">
        <v>0</v>
      </c>
      <c r="M1345">
        <v>0</v>
      </c>
      <c r="N1345">
        <v>0</v>
      </c>
      <c r="O1345">
        <v>0</v>
      </c>
      <c r="P1345">
        <v>0</v>
      </c>
    </row>
    <row r="1346" spans="1:16" x14ac:dyDescent="0.2">
      <c r="A1346" t="s">
        <v>6956</v>
      </c>
      <c r="B1346" t="s">
        <v>97</v>
      </c>
      <c r="C1346" t="s">
        <v>6957</v>
      </c>
      <c r="D1346" t="s">
        <v>6954</v>
      </c>
      <c r="E1346" t="s">
        <v>96</v>
      </c>
      <c r="F1346">
        <v>44.99</v>
      </c>
      <c r="G1346" t="s">
        <v>14</v>
      </c>
      <c r="H1346">
        <v>0</v>
      </c>
      <c r="M1346">
        <v>0</v>
      </c>
      <c r="N1346">
        <v>0</v>
      </c>
      <c r="O1346">
        <v>0</v>
      </c>
      <c r="P1346">
        <v>8</v>
      </c>
    </row>
    <row r="1347" spans="1:16" x14ac:dyDescent="0.2">
      <c r="A1347" t="s">
        <v>6959</v>
      </c>
      <c r="B1347" t="s">
        <v>97</v>
      </c>
      <c r="C1347" t="s">
        <v>6960</v>
      </c>
      <c r="D1347" t="s">
        <v>6954</v>
      </c>
      <c r="E1347" t="s">
        <v>96</v>
      </c>
      <c r="F1347">
        <v>44.99</v>
      </c>
      <c r="G1347" t="s">
        <v>14</v>
      </c>
      <c r="H1347">
        <v>0</v>
      </c>
      <c r="M1347">
        <v>0</v>
      </c>
      <c r="N1347">
        <v>0</v>
      </c>
      <c r="O1347">
        <v>0</v>
      </c>
      <c r="P1347">
        <v>5</v>
      </c>
    </row>
    <row r="1348" spans="1:16" x14ac:dyDescent="0.2">
      <c r="A1348" t="s">
        <v>6952</v>
      </c>
      <c r="B1348" t="s">
        <v>97</v>
      </c>
      <c r="C1348" t="s">
        <v>6953</v>
      </c>
      <c r="D1348" t="s">
        <v>6954</v>
      </c>
      <c r="E1348" t="s">
        <v>96</v>
      </c>
      <c r="F1348">
        <v>109.99</v>
      </c>
      <c r="G1348" t="s">
        <v>14</v>
      </c>
      <c r="H1348">
        <v>3.3333333333333331E-3</v>
      </c>
      <c r="M1348">
        <v>0</v>
      </c>
      <c r="N1348">
        <v>0</v>
      </c>
      <c r="O1348">
        <v>0</v>
      </c>
      <c r="P1348">
        <v>25</v>
      </c>
    </row>
    <row r="1349" spans="1:16" x14ac:dyDescent="0.2">
      <c r="A1349" t="s">
        <v>7090</v>
      </c>
      <c r="B1349" t="s">
        <v>97</v>
      </c>
      <c r="C1349" t="s">
        <v>7091</v>
      </c>
      <c r="D1349" t="s">
        <v>2852</v>
      </c>
      <c r="E1349" t="s">
        <v>96</v>
      </c>
      <c r="F1349">
        <v>3099</v>
      </c>
      <c r="G1349" t="s">
        <v>14</v>
      </c>
      <c r="H1349">
        <v>0</v>
      </c>
      <c r="M1349">
        <v>0</v>
      </c>
      <c r="N1349">
        <v>0</v>
      </c>
      <c r="O1349">
        <v>0</v>
      </c>
      <c r="P1349">
        <v>0</v>
      </c>
    </row>
    <row r="1350" spans="1:16" x14ac:dyDescent="0.2">
      <c r="A1350" t="s">
        <v>7092</v>
      </c>
      <c r="B1350" t="s">
        <v>97</v>
      </c>
      <c r="C1350" t="s">
        <v>7093</v>
      </c>
      <c r="D1350" t="s">
        <v>2852</v>
      </c>
      <c r="E1350" t="s">
        <v>96</v>
      </c>
      <c r="F1350">
        <v>1099.99</v>
      </c>
      <c r="G1350" t="s">
        <v>14</v>
      </c>
      <c r="H1350">
        <v>0</v>
      </c>
      <c r="M1350">
        <v>0</v>
      </c>
      <c r="N1350">
        <v>0</v>
      </c>
      <c r="O1350">
        <v>0</v>
      </c>
      <c r="P1350">
        <v>0</v>
      </c>
    </row>
    <row r="1351" spans="1:16" x14ac:dyDescent="0.2">
      <c r="A1351" t="s">
        <v>3273</v>
      </c>
      <c r="B1351" t="s">
        <v>97</v>
      </c>
      <c r="C1351" t="s">
        <v>3272</v>
      </c>
      <c r="D1351" t="s">
        <v>3268</v>
      </c>
      <c r="E1351" t="s">
        <v>290</v>
      </c>
      <c r="F1351">
        <v>179.99</v>
      </c>
      <c r="G1351" t="s">
        <v>14</v>
      </c>
      <c r="H1351">
        <v>0.16666666666666666</v>
      </c>
      <c r="M1351">
        <v>0</v>
      </c>
      <c r="N1351">
        <v>0</v>
      </c>
      <c r="O1351">
        <v>0</v>
      </c>
      <c r="P1351">
        <v>1</v>
      </c>
    </row>
    <row r="1352" spans="1:16" x14ac:dyDescent="0.2">
      <c r="A1352" t="s">
        <v>2401</v>
      </c>
      <c r="B1352" t="s">
        <v>97</v>
      </c>
      <c r="C1352" t="s">
        <v>2402</v>
      </c>
      <c r="D1352" t="s">
        <v>2374</v>
      </c>
      <c r="E1352" t="s">
        <v>290</v>
      </c>
      <c r="F1352">
        <v>199.99</v>
      </c>
      <c r="G1352" t="s">
        <v>14</v>
      </c>
      <c r="H1352">
        <v>0</v>
      </c>
      <c r="M1352">
        <v>0</v>
      </c>
      <c r="N1352">
        <v>0</v>
      </c>
      <c r="O1352">
        <v>0</v>
      </c>
      <c r="P1352">
        <v>1</v>
      </c>
    </row>
    <row r="1353" spans="1:16" x14ac:dyDescent="0.2">
      <c r="A1353" t="s">
        <v>4415</v>
      </c>
      <c r="B1353" t="s">
        <v>97</v>
      </c>
      <c r="C1353" t="s">
        <v>4416</v>
      </c>
      <c r="D1353" t="s">
        <v>1012</v>
      </c>
      <c r="E1353" t="s">
        <v>96</v>
      </c>
      <c r="F1353">
        <v>114.99</v>
      </c>
      <c r="G1353" t="s">
        <v>14</v>
      </c>
      <c r="H1353">
        <v>0</v>
      </c>
      <c r="M1353">
        <v>0</v>
      </c>
      <c r="N1353">
        <v>0</v>
      </c>
      <c r="O1353">
        <v>0</v>
      </c>
      <c r="P1353">
        <v>0</v>
      </c>
    </row>
    <row r="1354" spans="1:16" x14ac:dyDescent="0.2">
      <c r="A1354" t="s">
        <v>261</v>
      </c>
      <c r="B1354" t="s">
        <v>97</v>
      </c>
      <c r="C1354" t="s">
        <v>262</v>
      </c>
      <c r="D1354" t="s">
        <v>223</v>
      </c>
      <c r="E1354" t="s">
        <v>96</v>
      </c>
      <c r="F1354">
        <v>79.989999999999995</v>
      </c>
      <c r="G1354" t="s">
        <v>14</v>
      </c>
      <c r="H1354">
        <v>0</v>
      </c>
      <c r="M1354">
        <v>0</v>
      </c>
      <c r="N1354">
        <v>0</v>
      </c>
      <c r="O1354">
        <v>0</v>
      </c>
      <c r="P1354">
        <v>0</v>
      </c>
    </row>
    <row r="1355" spans="1:16" x14ac:dyDescent="0.2">
      <c r="A1355" t="s">
        <v>247</v>
      </c>
      <c r="B1355" t="s">
        <v>97</v>
      </c>
      <c r="C1355" t="s">
        <v>248</v>
      </c>
      <c r="D1355" t="s">
        <v>223</v>
      </c>
      <c r="E1355" t="s">
        <v>228</v>
      </c>
      <c r="F1355">
        <v>39.99</v>
      </c>
      <c r="G1355" t="s">
        <v>14</v>
      </c>
      <c r="H1355">
        <v>7.3375262054507341E-3</v>
      </c>
      <c r="M1355">
        <v>119.25</v>
      </c>
      <c r="N1355">
        <v>1.3333333333333333</v>
      </c>
      <c r="O1355">
        <v>0</v>
      </c>
      <c r="P1355">
        <v>159</v>
      </c>
    </row>
    <row r="1356" spans="1:16" x14ac:dyDescent="0.2">
      <c r="A1356" t="s">
        <v>7094</v>
      </c>
      <c r="B1356" t="s">
        <v>97</v>
      </c>
      <c r="C1356" t="s">
        <v>7095</v>
      </c>
      <c r="D1356" t="s">
        <v>1012</v>
      </c>
      <c r="E1356" t="s">
        <v>96</v>
      </c>
      <c r="F1356">
        <v>114.99</v>
      </c>
      <c r="G1356" t="s">
        <v>14</v>
      </c>
      <c r="H1356">
        <v>0</v>
      </c>
      <c r="M1356">
        <v>0</v>
      </c>
      <c r="N1356">
        <v>0</v>
      </c>
      <c r="O1356">
        <v>0</v>
      </c>
      <c r="P1356">
        <v>0</v>
      </c>
    </row>
    <row r="1357" spans="1:16" x14ac:dyDescent="0.2">
      <c r="A1357" t="s">
        <v>4283</v>
      </c>
      <c r="B1357" t="s">
        <v>97</v>
      </c>
      <c r="C1357" t="s">
        <v>4284</v>
      </c>
      <c r="D1357" t="s">
        <v>223</v>
      </c>
      <c r="E1357" t="s">
        <v>96</v>
      </c>
      <c r="F1357">
        <v>79.989999999999995</v>
      </c>
      <c r="G1357" t="s">
        <v>14</v>
      </c>
      <c r="H1357">
        <v>0</v>
      </c>
      <c r="M1357">
        <v>0</v>
      </c>
      <c r="N1357">
        <v>0</v>
      </c>
      <c r="O1357">
        <v>0</v>
      </c>
      <c r="P1357">
        <v>2</v>
      </c>
    </row>
    <row r="1358" spans="1:16" x14ac:dyDescent="0.2">
      <c r="A1358" t="s">
        <v>2178</v>
      </c>
      <c r="B1358" t="s">
        <v>97</v>
      </c>
      <c r="C1358" t="s">
        <v>2179</v>
      </c>
      <c r="D1358" t="s">
        <v>2146</v>
      </c>
      <c r="E1358" t="s">
        <v>290</v>
      </c>
      <c r="F1358">
        <v>99.99</v>
      </c>
      <c r="G1358" t="s">
        <v>14</v>
      </c>
      <c r="H1358">
        <v>0</v>
      </c>
      <c r="M1358">
        <v>0</v>
      </c>
      <c r="N1358">
        <v>0</v>
      </c>
      <c r="O1358">
        <v>0</v>
      </c>
      <c r="P1358">
        <v>4</v>
      </c>
    </row>
    <row r="1359" spans="1:16" x14ac:dyDescent="0.2">
      <c r="A1359" t="s">
        <v>2240</v>
      </c>
      <c r="B1359" t="s">
        <v>97</v>
      </c>
      <c r="C1359" t="s">
        <v>2241</v>
      </c>
      <c r="D1359" t="s">
        <v>2146</v>
      </c>
      <c r="E1359" t="s">
        <v>290</v>
      </c>
      <c r="F1359">
        <v>99.99</v>
      </c>
      <c r="G1359" t="s">
        <v>14</v>
      </c>
      <c r="H1359">
        <v>0</v>
      </c>
      <c r="M1359">
        <v>0</v>
      </c>
      <c r="N1359">
        <v>0</v>
      </c>
      <c r="O1359">
        <v>0</v>
      </c>
      <c r="P1359">
        <v>0</v>
      </c>
    </row>
    <row r="1360" spans="1:16" x14ac:dyDescent="0.2">
      <c r="A1360" t="s">
        <v>265</v>
      </c>
      <c r="B1360" t="s">
        <v>97</v>
      </c>
      <c r="C1360" t="s">
        <v>266</v>
      </c>
      <c r="D1360" t="s">
        <v>223</v>
      </c>
      <c r="E1360" t="s">
        <v>96</v>
      </c>
      <c r="F1360">
        <v>22.99</v>
      </c>
      <c r="G1360" t="s">
        <v>14</v>
      </c>
      <c r="H1360">
        <v>0</v>
      </c>
      <c r="M1360">
        <v>0</v>
      </c>
      <c r="N1360">
        <v>0</v>
      </c>
      <c r="O1360">
        <v>0</v>
      </c>
      <c r="P1360">
        <v>2</v>
      </c>
    </row>
    <row r="1361" spans="1:16" x14ac:dyDescent="0.2">
      <c r="A1361" t="s">
        <v>249</v>
      </c>
      <c r="B1361" t="s">
        <v>97</v>
      </c>
      <c r="C1361" t="s">
        <v>250</v>
      </c>
      <c r="D1361" t="s">
        <v>223</v>
      </c>
      <c r="E1361" t="s">
        <v>228</v>
      </c>
      <c r="F1361">
        <v>39.99</v>
      </c>
      <c r="G1361" t="s">
        <v>14</v>
      </c>
      <c r="H1361">
        <v>0</v>
      </c>
      <c r="M1361">
        <v>0</v>
      </c>
      <c r="N1361">
        <v>0</v>
      </c>
      <c r="O1361">
        <v>0</v>
      </c>
      <c r="P1361">
        <v>4</v>
      </c>
    </row>
    <row r="1362" spans="1:16" x14ac:dyDescent="0.2">
      <c r="A1362" t="s">
        <v>4314</v>
      </c>
      <c r="B1362" t="s">
        <v>97</v>
      </c>
      <c r="C1362" t="s">
        <v>4315</v>
      </c>
      <c r="D1362" t="s">
        <v>223</v>
      </c>
      <c r="E1362" t="s">
        <v>96</v>
      </c>
      <c r="F1362">
        <v>149.99</v>
      </c>
      <c r="G1362" t="s">
        <v>14</v>
      </c>
      <c r="H1362">
        <v>0</v>
      </c>
      <c r="M1362">
        <v>0</v>
      </c>
      <c r="N1362">
        <v>0</v>
      </c>
      <c r="O1362">
        <v>0</v>
      </c>
      <c r="P1362">
        <v>0</v>
      </c>
    </row>
    <row r="1363" spans="1:16" x14ac:dyDescent="0.2">
      <c r="A1363" t="s">
        <v>1015</v>
      </c>
      <c r="B1363" t="s">
        <v>97</v>
      </c>
      <c r="C1363" t="s">
        <v>1016</v>
      </c>
      <c r="D1363" t="s">
        <v>1012</v>
      </c>
      <c r="E1363" t="s">
        <v>290</v>
      </c>
      <c r="F1363">
        <v>49.99</v>
      </c>
      <c r="G1363" t="s">
        <v>14</v>
      </c>
      <c r="H1363">
        <v>0</v>
      </c>
      <c r="M1363">
        <v>0</v>
      </c>
      <c r="N1363">
        <v>0</v>
      </c>
      <c r="O1363">
        <v>0</v>
      </c>
      <c r="P1363">
        <v>0</v>
      </c>
    </row>
    <row r="1364" spans="1:16" x14ac:dyDescent="0.2">
      <c r="A1364" t="s">
        <v>4294</v>
      </c>
      <c r="B1364" t="s">
        <v>97</v>
      </c>
      <c r="C1364" t="s">
        <v>4295</v>
      </c>
      <c r="D1364" t="s">
        <v>223</v>
      </c>
      <c r="E1364" t="s">
        <v>96</v>
      </c>
      <c r="F1364">
        <v>54.99</v>
      </c>
      <c r="G1364" t="s">
        <v>14</v>
      </c>
      <c r="H1364">
        <v>0</v>
      </c>
      <c r="M1364">
        <v>0</v>
      </c>
      <c r="N1364">
        <v>0</v>
      </c>
      <c r="O1364">
        <v>0</v>
      </c>
      <c r="P1364">
        <v>0</v>
      </c>
    </row>
    <row r="1365" spans="1:16" x14ac:dyDescent="0.2">
      <c r="A1365" t="s">
        <v>2242</v>
      </c>
      <c r="B1365" t="s">
        <v>97</v>
      </c>
      <c r="C1365" t="s">
        <v>2243</v>
      </c>
      <c r="D1365" t="s">
        <v>2146</v>
      </c>
      <c r="E1365" t="s">
        <v>290</v>
      </c>
      <c r="F1365">
        <v>39.99</v>
      </c>
      <c r="G1365" t="s">
        <v>14</v>
      </c>
      <c r="H1365">
        <v>0</v>
      </c>
      <c r="M1365">
        <v>0</v>
      </c>
      <c r="N1365">
        <v>0</v>
      </c>
      <c r="O1365">
        <v>0</v>
      </c>
      <c r="P1365">
        <v>0</v>
      </c>
    </row>
    <row r="1366" spans="1:16" x14ac:dyDescent="0.2">
      <c r="A1366" t="s">
        <v>4300</v>
      </c>
      <c r="B1366" t="s">
        <v>97</v>
      </c>
      <c r="C1366" t="s">
        <v>4301</v>
      </c>
      <c r="D1366" t="s">
        <v>223</v>
      </c>
      <c r="E1366" t="s">
        <v>96</v>
      </c>
      <c r="F1366">
        <v>54.99</v>
      </c>
      <c r="G1366" t="s">
        <v>14</v>
      </c>
      <c r="H1366">
        <v>0</v>
      </c>
      <c r="M1366">
        <v>0</v>
      </c>
      <c r="N1366">
        <v>0</v>
      </c>
      <c r="O1366">
        <v>0</v>
      </c>
      <c r="P1366">
        <v>0</v>
      </c>
    </row>
    <row r="1367" spans="1:16" x14ac:dyDescent="0.2">
      <c r="A1367" t="s">
        <v>7049</v>
      </c>
      <c r="B1367" t="s">
        <v>97</v>
      </c>
      <c r="C1367" t="s">
        <v>7051</v>
      </c>
      <c r="D1367" t="s">
        <v>93</v>
      </c>
      <c r="E1367" t="s">
        <v>96</v>
      </c>
      <c r="F1367">
        <v>299.99</v>
      </c>
      <c r="G1367" t="s">
        <v>14</v>
      </c>
      <c r="H1367">
        <v>0</v>
      </c>
      <c r="M1367">
        <v>0</v>
      </c>
      <c r="N1367">
        <v>0</v>
      </c>
      <c r="O1367">
        <v>0</v>
      </c>
      <c r="P1367">
        <v>0</v>
      </c>
    </row>
    <row r="1368" spans="1:16" x14ac:dyDescent="0.2">
      <c r="A1368" t="s">
        <v>4224</v>
      </c>
      <c r="B1368" t="s">
        <v>97</v>
      </c>
      <c r="C1368" t="s">
        <v>4225</v>
      </c>
      <c r="D1368" t="s">
        <v>223</v>
      </c>
      <c r="E1368" t="s">
        <v>96</v>
      </c>
      <c r="F1368">
        <v>109.99</v>
      </c>
      <c r="G1368" t="s">
        <v>14</v>
      </c>
      <c r="H1368">
        <v>0</v>
      </c>
      <c r="M1368">
        <v>0</v>
      </c>
      <c r="N1368">
        <v>0</v>
      </c>
      <c r="O1368">
        <v>0</v>
      </c>
      <c r="P1368">
        <v>0</v>
      </c>
    </row>
    <row r="1369" spans="1:16" x14ac:dyDescent="0.2">
      <c r="A1369" t="s">
        <v>5708</v>
      </c>
      <c r="B1369" t="s">
        <v>97</v>
      </c>
      <c r="C1369" t="s">
        <v>5709</v>
      </c>
      <c r="D1369" t="s">
        <v>446</v>
      </c>
      <c r="E1369" t="s">
        <v>96</v>
      </c>
      <c r="F1369">
        <v>59.99</v>
      </c>
      <c r="G1369" t="s">
        <v>14</v>
      </c>
      <c r="H1369">
        <v>-2.0833333333333332E-2</v>
      </c>
      <c r="M1369">
        <v>0</v>
      </c>
      <c r="N1369">
        <v>0</v>
      </c>
      <c r="O1369">
        <v>0</v>
      </c>
      <c r="P1369">
        <v>4</v>
      </c>
    </row>
    <row r="1370" spans="1:16" x14ac:dyDescent="0.2">
      <c r="A1370" t="s">
        <v>2274</v>
      </c>
      <c r="B1370" t="s">
        <v>97</v>
      </c>
      <c r="C1370" t="s">
        <v>2275</v>
      </c>
      <c r="D1370" t="s">
        <v>2146</v>
      </c>
      <c r="E1370" t="s">
        <v>290</v>
      </c>
      <c r="F1370">
        <v>349.99</v>
      </c>
      <c r="G1370" t="s">
        <v>14</v>
      </c>
      <c r="H1370">
        <v>0</v>
      </c>
      <c r="M1370">
        <v>0</v>
      </c>
      <c r="N1370">
        <v>0</v>
      </c>
      <c r="O1370">
        <v>0</v>
      </c>
      <c r="P1370">
        <v>0</v>
      </c>
    </row>
    <row r="1371" spans="1:16" x14ac:dyDescent="0.2">
      <c r="A1371" t="s">
        <v>4432</v>
      </c>
      <c r="B1371" t="s">
        <v>97</v>
      </c>
      <c r="C1371" t="s">
        <v>4433</v>
      </c>
      <c r="D1371" t="s">
        <v>1012</v>
      </c>
      <c r="E1371" t="s">
        <v>290</v>
      </c>
      <c r="F1371">
        <v>49.99</v>
      </c>
      <c r="G1371" t="s">
        <v>14</v>
      </c>
      <c r="H1371">
        <v>0</v>
      </c>
      <c r="M1371">
        <v>0</v>
      </c>
      <c r="N1371">
        <v>0</v>
      </c>
      <c r="O1371">
        <v>0</v>
      </c>
      <c r="P1371">
        <v>16</v>
      </c>
    </row>
    <row r="1372" spans="1:16" x14ac:dyDescent="0.2">
      <c r="A1372" t="s">
        <v>237</v>
      </c>
      <c r="B1372" t="s">
        <v>97</v>
      </c>
      <c r="C1372" t="s">
        <v>238</v>
      </c>
      <c r="D1372" t="s">
        <v>223</v>
      </c>
      <c r="E1372" t="s">
        <v>96</v>
      </c>
      <c r="F1372">
        <v>109.99</v>
      </c>
      <c r="G1372" t="s">
        <v>14</v>
      </c>
      <c r="H1372">
        <v>4.1666666666666664E-2</v>
      </c>
      <c r="M1372">
        <v>0</v>
      </c>
      <c r="N1372">
        <v>0</v>
      </c>
      <c r="O1372">
        <v>0</v>
      </c>
      <c r="P1372">
        <v>2</v>
      </c>
    </row>
    <row r="1373" spans="1:16" x14ac:dyDescent="0.2">
      <c r="A1373" t="s">
        <v>7096</v>
      </c>
      <c r="B1373" t="s">
        <v>97</v>
      </c>
      <c r="C1373" t="s">
        <v>7097</v>
      </c>
      <c r="D1373" t="s">
        <v>446</v>
      </c>
      <c r="E1373" t="s">
        <v>96</v>
      </c>
      <c r="F1373">
        <v>59.99</v>
      </c>
      <c r="G1373" t="s">
        <v>14</v>
      </c>
      <c r="H1373">
        <v>0</v>
      </c>
      <c r="M1373">
        <v>0</v>
      </c>
      <c r="N1373">
        <v>0</v>
      </c>
      <c r="O1373">
        <v>0</v>
      </c>
      <c r="P1373">
        <v>0</v>
      </c>
    </row>
    <row r="1374" spans="1:16" x14ac:dyDescent="0.2">
      <c r="A1374" t="s">
        <v>527</v>
      </c>
      <c r="B1374" t="s">
        <v>97</v>
      </c>
      <c r="C1374" t="s">
        <v>528</v>
      </c>
      <c r="D1374" t="s">
        <v>446</v>
      </c>
      <c r="E1374" t="s">
        <v>290</v>
      </c>
      <c r="F1374">
        <v>19.989999999999998</v>
      </c>
      <c r="G1374" t="s">
        <v>14</v>
      </c>
      <c r="H1374">
        <v>0</v>
      </c>
      <c r="M1374">
        <v>0</v>
      </c>
      <c r="N1374">
        <v>0</v>
      </c>
      <c r="O1374">
        <v>0</v>
      </c>
      <c r="P1374">
        <v>0</v>
      </c>
    </row>
    <row r="1375" spans="1:16" x14ac:dyDescent="0.2">
      <c r="A1375" t="s">
        <v>4444</v>
      </c>
      <c r="B1375" t="s">
        <v>97</v>
      </c>
      <c r="C1375" t="s">
        <v>4445</v>
      </c>
      <c r="D1375" t="s">
        <v>1012</v>
      </c>
      <c r="E1375" t="s">
        <v>290</v>
      </c>
      <c r="F1375">
        <v>199.99</v>
      </c>
      <c r="G1375" t="s">
        <v>14</v>
      </c>
      <c r="H1375">
        <v>0</v>
      </c>
      <c r="M1375">
        <v>0</v>
      </c>
      <c r="N1375">
        <v>0</v>
      </c>
      <c r="O1375">
        <v>0</v>
      </c>
      <c r="P1375">
        <v>0</v>
      </c>
    </row>
    <row r="1376" spans="1:16" x14ac:dyDescent="0.2">
      <c r="A1376" t="s">
        <v>5710</v>
      </c>
      <c r="B1376" t="s">
        <v>97</v>
      </c>
      <c r="C1376" t="s">
        <v>5711</v>
      </c>
      <c r="D1376" t="s">
        <v>446</v>
      </c>
      <c r="E1376" t="s">
        <v>96</v>
      </c>
      <c r="F1376">
        <v>59.99</v>
      </c>
      <c r="G1376" t="s">
        <v>14</v>
      </c>
      <c r="H1376">
        <v>0</v>
      </c>
      <c r="M1376">
        <v>0</v>
      </c>
      <c r="N1376">
        <v>0</v>
      </c>
      <c r="O1376">
        <v>0</v>
      </c>
      <c r="P1376">
        <v>1</v>
      </c>
    </row>
    <row r="1377" spans="1:16" x14ac:dyDescent="0.2">
      <c r="A1377" t="s">
        <v>2715</v>
      </c>
      <c r="B1377" t="s">
        <v>97</v>
      </c>
      <c r="C1377" t="s">
        <v>2716</v>
      </c>
      <c r="D1377" t="s">
        <v>2502</v>
      </c>
      <c r="E1377" t="s">
        <v>228</v>
      </c>
      <c r="F1377">
        <v>39.99</v>
      </c>
      <c r="G1377" t="s">
        <v>14</v>
      </c>
      <c r="H1377">
        <v>0</v>
      </c>
      <c r="M1377">
        <v>0</v>
      </c>
      <c r="N1377">
        <v>0</v>
      </c>
      <c r="O1377">
        <v>0</v>
      </c>
      <c r="P1377">
        <v>0</v>
      </c>
    </row>
    <row r="1378" spans="1:16" x14ac:dyDescent="0.2">
      <c r="A1378" t="s">
        <v>3634</v>
      </c>
      <c r="B1378" t="s">
        <v>97</v>
      </c>
      <c r="C1378" t="s">
        <v>3635</v>
      </c>
      <c r="D1378" t="s">
        <v>2425</v>
      </c>
      <c r="E1378" t="s">
        <v>96</v>
      </c>
      <c r="F1378">
        <v>149.99</v>
      </c>
      <c r="G1378" t="s">
        <v>14</v>
      </c>
      <c r="H1378">
        <v>0</v>
      </c>
      <c r="M1378">
        <v>0</v>
      </c>
      <c r="N1378">
        <v>0</v>
      </c>
      <c r="O1378">
        <v>0</v>
      </c>
      <c r="P1378">
        <v>0</v>
      </c>
    </row>
    <row r="1379" spans="1:16" x14ac:dyDescent="0.2">
      <c r="A1379" t="s">
        <v>3433</v>
      </c>
      <c r="B1379" t="s">
        <v>97</v>
      </c>
      <c r="C1379" t="s">
        <v>3434</v>
      </c>
      <c r="D1379" t="s">
        <v>297</v>
      </c>
      <c r="E1379" t="s">
        <v>96</v>
      </c>
      <c r="F1379">
        <v>319.99</v>
      </c>
      <c r="G1379" t="s">
        <v>14</v>
      </c>
      <c r="H1379">
        <v>0</v>
      </c>
      <c r="M1379">
        <v>0</v>
      </c>
      <c r="N1379">
        <v>0</v>
      </c>
      <c r="O1379">
        <v>0</v>
      </c>
      <c r="P1379">
        <v>0</v>
      </c>
    </row>
    <row r="1380" spans="1:16" x14ac:dyDescent="0.2">
      <c r="A1380" t="s">
        <v>7098</v>
      </c>
      <c r="B1380" t="s">
        <v>97</v>
      </c>
      <c r="C1380" t="s">
        <v>7099</v>
      </c>
      <c r="D1380" t="s">
        <v>1012</v>
      </c>
      <c r="E1380" t="s">
        <v>96</v>
      </c>
      <c r="F1380">
        <v>79.989999999999995</v>
      </c>
      <c r="G1380" t="s">
        <v>14</v>
      </c>
      <c r="H1380">
        <v>0</v>
      </c>
      <c r="M1380">
        <v>0</v>
      </c>
      <c r="N1380">
        <v>0</v>
      </c>
      <c r="O1380">
        <v>0</v>
      </c>
      <c r="P1380">
        <v>0</v>
      </c>
    </row>
    <row r="1381" spans="1:16" x14ac:dyDescent="0.2">
      <c r="A1381" t="s">
        <v>5997</v>
      </c>
      <c r="B1381" t="s">
        <v>97</v>
      </c>
      <c r="C1381" t="s">
        <v>5998</v>
      </c>
      <c r="D1381" t="s">
        <v>2502</v>
      </c>
      <c r="E1381" t="s">
        <v>290</v>
      </c>
      <c r="F1381">
        <v>99.99</v>
      </c>
      <c r="G1381" t="s">
        <v>14</v>
      </c>
      <c r="H1381">
        <v>4.1666666666666664E-2</v>
      </c>
      <c r="M1381">
        <v>0</v>
      </c>
      <c r="N1381">
        <v>0</v>
      </c>
      <c r="O1381">
        <v>0</v>
      </c>
      <c r="P1381">
        <v>4</v>
      </c>
    </row>
    <row r="1382" spans="1:16" x14ac:dyDescent="0.2">
      <c r="A1382" t="s">
        <v>255</v>
      </c>
      <c r="B1382" t="s">
        <v>97</v>
      </c>
      <c r="C1382" t="s">
        <v>256</v>
      </c>
      <c r="D1382" t="s">
        <v>223</v>
      </c>
      <c r="E1382" t="s">
        <v>96</v>
      </c>
      <c r="F1382">
        <v>59.99</v>
      </c>
      <c r="G1382" t="s">
        <v>14</v>
      </c>
      <c r="H1382">
        <v>2.1780303030303032E-2</v>
      </c>
      <c r="M1382">
        <v>52.8</v>
      </c>
      <c r="N1382">
        <v>1.6666666666666667</v>
      </c>
      <c r="O1382">
        <v>0</v>
      </c>
      <c r="P1382">
        <v>88</v>
      </c>
    </row>
    <row r="1383" spans="1:16" x14ac:dyDescent="0.2">
      <c r="A1383" t="s">
        <v>298</v>
      </c>
      <c r="B1383" t="s">
        <v>97</v>
      </c>
      <c r="C1383" t="s">
        <v>299</v>
      </c>
      <c r="D1383" t="s">
        <v>297</v>
      </c>
      <c r="E1383" t="s">
        <v>290</v>
      </c>
      <c r="F1383">
        <v>54.99</v>
      </c>
      <c r="G1383" t="s">
        <v>14</v>
      </c>
      <c r="H1383">
        <v>0</v>
      </c>
      <c r="M1383">
        <v>0</v>
      </c>
      <c r="N1383">
        <v>0</v>
      </c>
      <c r="O1383">
        <v>0</v>
      </c>
      <c r="P1383">
        <v>6</v>
      </c>
    </row>
    <row r="1384" spans="1:16" x14ac:dyDescent="0.2">
      <c r="A1384" t="s">
        <v>5790</v>
      </c>
      <c r="B1384" t="s">
        <v>97</v>
      </c>
      <c r="C1384" t="s">
        <v>5791</v>
      </c>
      <c r="D1384" t="s">
        <v>2131</v>
      </c>
      <c r="E1384" t="s">
        <v>96</v>
      </c>
      <c r="F1384">
        <v>29.99</v>
      </c>
      <c r="G1384" t="s">
        <v>14</v>
      </c>
      <c r="H1384">
        <v>0</v>
      </c>
      <c r="M1384">
        <v>0</v>
      </c>
      <c r="N1384">
        <v>0</v>
      </c>
      <c r="O1384">
        <v>0</v>
      </c>
      <c r="P1384">
        <v>6</v>
      </c>
    </row>
    <row r="1385" spans="1:16" x14ac:dyDescent="0.2">
      <c r="A1385" t="s">
        <v>7100</v>
      </c>
      <c r="B1385" t="s">
        <v>97</v>
      </c>
      <c r="C1385" t="s">
        <v>7101</v>
      </c>
      <c r="D1385" t="s">
        <v>223</v>
      </c>
      <c r="E1385" t="s">
        <v>96</v>
      </c>
      <c r="F1385">
        <v>22.99</v>
      </c>
      <c r="G1385" t="s">
        <v>14</v>
      </c>
      <c r="H1385">
        <v>0</v>
      </c>
      <c r="M1385">
        <v>0</v>
      </c>
      <c r="N1385">
        <v>0</v>
      </c>
      <c r="O1385">
        <v>0</v>
      </c>
      <c r="P1385">
        <v>0</v>
      </c>
    </row>
    <row r="1386" spans="1:16" x14ac:dyDescent="0.2">
      <c r="A1386" t="s">
        <v>2707</v>
      </c>
      <c r="B1386" t="s">
        <v>97</v>
      </c>
      <c r="C1386" t="s">
        <v>2708</v>
      </c>
      <c r="D1386" t="s">
        <v>2502</v>
      </c>
      <c r="E1386" t="s">
        <v>228</v>
      </c>
      <c r="F1386">
        <v>64.989999999999995</v>
      </c>
      <c r="G1386" t="s">
        <v>14</v>
      </c>
      <c r="H1386">
        <v>0</v>
      </c>
      <c r="M1386">
        <v>0</v>
      </c>
      <c r="N1386">
        <v>0</v>
      </c>
      <c r="O1386">
        <v>0</v>
      </c>
      <c r="P1386">
        <v>0</v>
      </c>
    </row>
    <row r="1387" spans="1:16" x14ac:dyDescent="0.2">
      <c r="A1387" t="s">
        <v>231</v>
      </c>
      <c r="B1387" t="s">
        <v>97</v>
      </c>
      <c r="C1387" t="s">
        <v>232</v>
      </c>
      <c r="D1387" t="s">
        <v>223</v>
      </c>
      <c r="E1387" t="s">
        <v>96</v>
      </c>
      <c r="F1387">
        <v>109.99</v>
      </c>
      <c r="G1387" t="s">
        <v>14</v>
      </c>
      <c r="H1387">
        <v>0</v>
      </c>
      <c r="M1387">
        <v>0</v>
      </c>
      <c r="N1387">
        <v>0</v>
      </c>
      <c r="O1387">
        <v>0</v>
      </c>
      <c r="P1387">
        <v>3</v>
      </c>
    </row>
    <row r="1388" spans="1:16" x14ac:dyDescent="0.2">
      <c r="A1388" t="s">
        <v>7102</v>
      </c>
      <c r="B1388" t="s">
        <v>97</v>
      </c>
      <c r="C1388" t="s">
        <v>7103</v>
      </c>
      <c r="D1388" t="s">
        <v>2987</v>
      </c>
      <c r="E1388" t="s">
        <v>96</v>
      </c>
      <c r="F1388">
        <v>89.99</v>
      </c>
      <c r="G1388" t="s">
        <v>14</v>
      </c>
      <c r="H1388">
        <v>0</v>
      </c>
      <c r="M1388">
        <v>0</v>
      </c>
      <c r="N1388">
        <v>0</v>
      </c>
      <c r="O1388">
        <v>0</v>
      </c>
      <c r="P1388">
        <v>0</v>
      </c>
    </row>
    <row r="1389" spans="1:16" x14ac:dyDescent="0.2">
      <c r="A1389" t="s">
        <v>3831</v>
      </c>
      <c r="B1389" t="s">
        <v>97</v>
      </c>
      <c r="C1389" t="s">
        <v>3832</v>
      </c>
      <c r="D1389" t="s">
        <v>1897</v>
      </c>
      <c r="E1389" t="s">
        <v>96</v>
      </c>
      <c r="F1389">
        <v>49.99</v>
      </c>
      <c r="G1389" t="s">
        <v>14</v>
      </c>
      <c r="H1389">
        <v>0</v>
      </c>
      <c r="M1389">
        <v>0</v>
      </c>
      <c r="N1389">
        <v>0</v>
      </c>
      <c r="O1389">
        <v>0</v>
      </c>
      <c r="P1389">
        <v>0</v>
      </c>
    </row>
    <row r="1390" spans="1:16" x14ac:dyDescent="0.2">
      <c r="A1390" t="s">
        <v>5549</v>
      </c>
      <c r="B1390" t="s">
        <v>97</v>
      </c>
      <c r="C1390" t="s">
        <v>5550</v>
      </c>
      <c r="D1390" t="s">
        <v>2146</v>
      </c>
      <c r="E1390" t="s">
        <v>290</v>
      </c>
      <c r="F1390">
        <v>79.989999999999995</v>
      </c>
      <c r="G1390" t="s">
        <v>14</v>
      </c>
      <c r="H1390">
        <v>0</v>
      </c>
      <c r="M1390">
        <v>0</v>
      </c>
      <c r="N1390">
        <v>0</v>
      </c>
      <c r="O1390">
        <v>0</v>
      </c>
      <c r="P1390">
        <v>0</v>
      </c>
    </row>
    <row r="1391" spans="1:16" x14ac:dyDescent="0.2">
      <c r="A1391" t="s">
        <v>2695</v>
      </c>
      <c r="B1391" t="s">
        <v>97</v>
      </c>
      <c r="C1391" t="s">
        <v>2696</v>
      </c>
      <c r="D1391" t="s">
        <v>2502</v>
      </c>
      <c r="E1391" t="s">
        <v>228</v>
      </c>
      <c r="F1391">
        <v>299.99</v>
      </c>
      <c r="G1391" t="s">
        <v>14</v>
      </c>
      <c r="H1391">
        <v>0</v>
      </c>
      <c r="M1391">
        <v>0</v>
      </c>
      <c r="N1391">
        <v>0</v>
      </c>
      <c r="O1391">
        <v>0</v>
      </c>
      <c r="P1391">
        <v>5</v>
      </c>
    </row>
    <row r="1392" spans="1:16" x14ac:dyDescent="0.2">
      <c r="A1392" t="s">
        <v>5541</v>
      </c>
      <c r="B1392" t="s">
        <v>97</v>
      </c>
      <c r="C1392" t="s">
        <v>5542</v>
      </c>
      <c r="D1392" t="s">
        <v>2146</v>
      </c>
      <c r="E1392" t="s">
        <v>96</v>
      </c>
      <c r="F1392">
        <v>39.99</v>
      </c>
      <c r="G1392" t="s">
        <v>14</v>
      </c>
      <c r="H1392">
        <v>0</v>
      </c>
      <c r="M1392">
        <v>0</v>
      </c>
      <c r="N1392">
        <v>0</v>
      </c>
      <c r="O1392">
        <v>0</v>
      </c>
      <c r="P1392">
        <v>0</v>
      </c>
    </row>
    <row r="1393" spans="1:16" x14ac:dyDescent="0.2">
      <c r="A1393" t="s">
        <v>6232</v>
      </c>
      <c r="B1393" t="s">
        <v>97</v>
      </c>
      <c r="C1393" t="s">
        <v>6233</v>
      </c>
      <c r="D1393" t="s">
        <v>2502</v>
      </c>
      <c r="E1393" t="s">
        <v>228</v>
      </c>
      <c r="F1393">
        <v>79.989999999999995</v>
      </c>
      <c r="G1393" t="s">
        <v>14</v>
      </c>
      <c r="H1393">
        <v>0</v>
      </c>
      <c r="M1393">
        <v>0</v>
      </c>
      <c r="N1393">
        <v>0</v>
      </c>
      <c r="O1393">
        <v>0</v>
      </c>
      <c r="P1393">
        <v>4</v>
      </c>
    </row>
    <row r="1394" spans="1:16" x14ac:dyDescent="0.2">
      <c r="A1394" t="s">
        <v>1970</v>
      </c>
      <c r="B1394" t="s">
        <v>97</v>
      </c>
      <c r="C1394" t="s">
        <v>1971</v>
      </c>
      <c r="D1394" t="s">
        <v>1897</v>
      </c>
      <c r="E1394" t="s">
        <v>290</v>
      </c>
      <c r="F1394">
        <v>29.99</v>
      </c>
      <c r="G1394" t="s">
        <v>14</v>
      </c>
      <c r="H1394">
        <v>0</v>
      </c>
      <c r="M1394">
        <v>0</v>
      </c>
      <c r="N1394">
        <v>0</v>
      </c>
      <c r="O1394">
        <v>0</v>
      </c>
      <c r="P1394">
        <v>0</v>
      </c>
    </row>
    <row r="1395" spans="1:16" x14ac:dyDescent="0.2">
      <c r="A1395" t="s">
        <v>1968</v>
      </c>
      <c r="B1395" t="s">
        <v>97</v>
      </c>
      <c r="C1395" t="s">
        <v>1969</v>
      </c>
      <c r="D1395" t="s">
        <v>1897</v>
      </c>
      <c r="E1395" t="s">
        <v>96</v>
      </c>
      <c r="F1395">
        <v>79.989999999999995</v>
      </c>
      <c r="G1395" t="s">
        <v>14</v>
      </c>
      <c r="H1395">
        <v>0</v>
      </c>
      <c r="M1395">
        <v>0</v>
      </c>
      <c r="N1395">
        <v>0</v>
      </c>
      <c r="O1395">
        <v>0</v>
      </c>
      <c r="P1395">
        <v>0</v>
      </c>
    </row>
    <row r="1396" spans="1:16" x14ac:dyDescent="0.2">
      <c r="A1396" t="s">
        <v>4297</v>
      </c>
      <c r="B1396" t="s">
        <v>97</v>
      </c>
      <c r="C1396" t="s">
        <v>4298</v>
      </c>
      <c r="D1396" t="s">
        <v>223</v>
      </c>
      <c r="E1396" t="s">
        <v>96</v>
      </c>
      <c r="F1396">
        <v>54.99</v>
      </c>
      <c r="G1396" t="s">
        <v>14</v>
      </c>
      <c r="H1396">
        <v>0</v>
      </c>
      <c r="M1396">
        <v>0</v>
      </c>
      <c r="N1396">
        <v>0</v>
      </c>
      <c r="O1396">
        <v>0</v>
      </c>
      <c r="P1396">
        <v>0</v>
      </c>
    </row>
    <row r="1397" spans="1:16" x14ac:dyDescent="0.2">
      <c r="A1397" t="s">
        <v>3986</v>
      </c>
      <c r="B1397" t="s">
        <v>97</v>
      </c>
      <c r="C1397" t="s">
        <v>3987</v>
      </c>
      <c r="D1397" t="s">
        <v>1897</v>
      </c>
      <c r="E1397" t="s">
        <v>96</v>
      </c>
      <c r="F1397">
        <v>64.989999999999995</v>
      </c>
      <c r="G1397" t="s">
        <v>14</v>
      </c>
      <c r="H1397">
        <v>0</v>
      </c>
      <c r="M1397">
        <v>0</v>
      </c>
      <c r="N1397">
        <v>0</v>
      </c>
      <c r="O1397">
        <v>0</v>
      </c>
      <c r="P1397">
        <v>0</v>
      </c>
    </row>
    <row r="1398" spans="1:16" x14ac:dyDescent="0.2">
      <c r="A1398" t="s">
        <v>3973</v>
      </c>
      <c r="B1398" t="s">
        <v>97</v>
      </c>
      <c r="C1398" t="s">
        <v>3974</v>
      </c>
      <c r="D1398" t="s">
        <v>1897</v>
      </c>
      <c r="E1398" t="s">
        <v>96</v>
      </c>
      <c r="F1398">
        <v>109.99</v>
      </c>
      <c r="G1398" t="s">
        <v>14</v>
      </c>
      <c r="H1398">
        <v>0</v>
      </c>
      <c r="M1398">
        <v>0</v>
      </c>
      <c r="N1398">
        <v>0</v>
      </c>
      <c r="O1398">
        <v>0</v>
      </c>
      <c r="P1398">
        <v>0</v>
      </c>
    </row>
    <row r="1399" spans="1:16" x14ac:dyDescent="0.2">
      <c r="A1399" t="s">
        <v>3752</v>
      </c>
      <c r="B1399" t="s">
        <v>97</v>
      </c>
      <c r="C1399" t="s">
        <v>3753</v>
      </c>
      <c r="D1399" t="s">
        <v>1897</v>
      </c>
      <c r="E1399" t="s">
        <v>96</v>
      </c>
      <c r="F1399">
        <v>44.99</v>
      </c>
      <c r="G1399" t="s">
        <v>14</v>
      </c>
      <c r="H1399">
        <v>0</v>
      </c>
      <c r="M1399">
        <v>0</v>
      </c>
      <c r="N1399">
        <v>0</v>
      </c>
      <c r="O1399">
        <v>0</v>
      </c>
      <c r="P1399">
        <v>0</v>
      </c>
    </row>
    <row r="1400" spans="1:16" x14ac:dyDescent="0.2">
      <c r="A1400" t="s">
        <v>2334</v>
      </c>
      <c r="B1400" t="s">
        <v>97</v>
      </c>
      <c r="C1400" t="s">
        <v>2335</v>
      </c>
      <c r="D1400" t="s">
        <v>2146</v>
      </c>
      <c r="E1400" t="s">
        <v>228</v>
      </c>
      <c r="F1400">
        <v>99.99</v>
      </c>
      <c r="G1400" t="s">
        <v>14</v>
      </c>
      <c r="H1400">
        <v>1.3888888888888888E-2</v>
      </c>
      <c r="M1400">
        <v>36</v>
      </c>
      <c r="N1400">
        <v>0.16666666666666666</v>
      </c>
      <c r="O1400">
        <v>0</v>
      </c>
      <c r="P1400">
        <v>6</v>
      </c>
    </row>
    <row r="1401" spans="1:16" x14ac:dyDescent="0.2">
      <c r="A1401" t="s">
        <v>4307</v>
      </c>
      <c r="B1401" t="s">
        <v>97</v>
      </c>
      <c r="C1401" t="s">
        <v>4308</v>
      </c>
      <c r="D1401" t="s">
        <v>223</v>
      </c>
      <c r="E1401" t="s">
        <v>96</v>
      </c>
      <c r="F1401">
        <v>62.99</v>
      </c>
      <c r="G1401" t="s">
        <v>14</v>
      </c>
      <c r="H1401">
        <v>0</v>
      </c>
      <c r="M1401">
        <v>0</v>
      </c>
      <c r="N1401">
        <v>0</v>
      </c>
      <c r="O1401">
        <v>0</v>
      </c>
      <c r="P1401">
        <v>0</v>
      </c>
    </row>
    <row r="1402" spans="1:16" x14ac:dyDescent="0.2">
      <c r="A1402" t="s">
        <v>4455</v>
      </c>
      <c r="B1402" t="s">
        <v>97</v>
      </c>
      <c r="C1402" t="s">
        <v>4456</v>
      </c>
      <c r="D1402" t="s">
        <v>1012</v>
      </c>
      <c r="E1402" t="s">
        <v>96</v>
      </c>
      <c r="F1402">
        <v>279.99</v>
      </c>
      <c r="G1402" t="s">
        <v>14</v>
      </c>
      <c r="H1402">
        <v>0</v>
      </c>
      <c r="M1402">
        <v>0</v>
      </c>
      <c r="N1402">
        <v>0</v>
      </c>
      <c r="O1402">
        <v>0</v>
      </c>
      <c r="P1402">
        <v>0</v>
      </c>
    </row>
    <row r="1403" spans="1:16" x14ac:dyDescent="0.2">
      <c r="A1403" t="s">
        <v>1932</v>
      </c>
      <c r="B1403" t="s">
        <v>97</v>
      </c>
      <c r="C1403" t="s">
        <v>1933</v>
      </c>
      <c r="D1403" t="s">
        <v>1897</v>
      </c>
      <c r="E1403" t="s">
        <v>290</v>
      </c>
      <c r="F1403">
        <v>49.99</v>
      </c>
      <c r="G1403" t="s">
        <v>14</v>
      </c>
      <c r="H1403">
        <v>0</v>
      </c>
      <c r="M1403">
        <v>0</v>
      </c>
      <c r="N1403">
        <v>0</v>
      </c>
      <c r="O1403">
        <v>0</v>
      </c>
      <c r="P1403">
        <v>0</v>
      </c>
    </row>
    <row r="1404" spans="1:16" x14ac:dyDescent="0.2">
      <c r="A1404" t="s">
        <v>1930</v>
      </c>
      <c r="B1404" t="s">
        <v>97</v>
      </c>
      <c r="C1404" t="s">
        <v>1931</v>
      </c>
      <c r="D1404" t="s">
        <v>1897</v>
      </c>
      <c r="E1404" t="s">
        <v>290</v>
      </c>
      <c r="F1404">
        <v>59.99</v>
      </c>
      <c r="G1404" t="s">
        <v>14</v>
      </c>
      <c r="H1404">
        <v>0</v>
      </c>
      <c r="M1404">
        <v>0</v>
      </c>
      <c r="N1404">
        <v>0</v>
      </c>
      <c r="O1404">
        <v>0</v>
      </c>
      <c r="P1404">
        <v>0</v>
      </c>
    </row>
    <row r="1405" spans="1:16" x14ac:dyDescent="0.2">
      <c r="A1405" t="s">
        <v>2272</v>
      </c>
      <c r="B1405" t="s">
        <v>97</v>
      </c>
      <c r="C1405" t="s">
        <v>2273</v>
      </c>
      <c r="D1405" t="s">
        <v>2146</v>
      </c>
      <c r="E1405" t="s">
        <v>96</v>
      </c>
      <c r="F1405">
        <v>119.99</v>
      </c>
      <c r="G1405" t="s">
        <v>14</v>
      </c>
      <c r="H1405">
        <v>0</v>
      </c>
      <c r="M1405">
        <v>0</v>
      </c>
      <c r="N1405">
        <v>0</v>
      </c>
      <c r="O1405">
        <v>0</v>
      </c>
      <c r="P1405">
        <v>2</v>
      </c>
    </row>
    <row r="1406" spans="1:16" x14ac:dyDescent="0.2">
      <c r="A1406" t="s">
        <v>4438</v>
      </c>
      <c r="B1406" t="s">
        <v>97</v>
      </c>
      <c r="C1406" t="s">
        <v>4439</v>
      </c>
      <c r="D1406" t="s">
        <v>1012</v>
      </c>
      <c r="E1406" t="s">
        <v>290</v>
      </c>
      <c r="F1406">
        <v>49.99</v>
      </c>
      <c r="G1406" t="s">
        <v>14</v>
      </c>
      <c r="H1406">
        <v>0</v>
      </c>
      <c r="M1406">
        <v>0</v>
      </c>
      <c r="N1406">
        <v>0</v>
      </c>
      <c r="O1406">
        <v>0</v>
      </c>
      <c r="P1406">
        <v>8</v>
      </c>
    </row>
    <row r="1407" spans="1:16" x14ac:dyDescent="0.2">
      <c r="A1407" t="s">
        <v>2140</v>
      </c>
      <c r="B1407" t="s">
        <v>97</v>
      </c>
      <c r="C1407" t="s">
        <v>2141</v>
      </c>
      <c r="D1407" t="s">
        <v>2131</v>
      </c>
      <c r="E1407" t="s">
        <v>290</v>
      </c>
      <c r="F1407">
        <v>39.99</v>
      </c>
      <c r="G1407" t="s">
        <v>14</v>
      </c>
      <c r="H1407">
        <v>6.6666666666666666E-2</v>
      </c>
      <c r="M1407">
        <v>0</v>
      </c>
      <c r="N1407">
        <v>0</v>
      </c>
      <c r="O1407">
        <v>0</v>
      </c>
      <c r="P1407">
        <v>5</v>
      </c>
    </row>
    <row r="1408" spans="1:16" x14ac:dyDescent="0.2">
      <c r="A1408" t="s">
        <v>4194</v>
      </c>
      <c r="B1408" t="s">
        <v>97</v>
      </c>
      <c r="C1408" t="s">
        <v>4195</v>
      </c>
      <c r="D1408" t="s">
        <v>2852</v>
      </c>
      <c r="E1408" t="s">
        <v>96</v>
      </c>
      <c r="F1408">
        <v>29.99</v>
      </c>
      <c r="G1408" t="s">
        <v>14</v>
      </c>
      <c r="H1408">
        <v>0</v>
      </c>
      <c r="M1408">
        <v>0</v>
      </c>
      <c r="N1408">
        <v>0</v>
      </c>
      <c r="O1408">
        <v>0</v>
      </c>
      <c r="P1408">
        <v>0</v>
      </c>
    </row>
    <row r="1409" spans="1:16" x14ac:dyDescent="0.2">
      <c r="A1409" t="s">
        <v>4480</v>
      </c>
      <c r="B1409" t="s">
        <v>97</v>
      </c>
      <c r="C1409" t="s">
        <v>4481</v>
      </c>
      <c r="D1409" t="s">
        <v>4463</v>
      </c>
      <c r="E1409" t="s">
        <v>96</v>
      </c>
      <c r="F1409">
        <v>44.99</v>
      </c>
      <c r="G1409" t="s">
        <v>14</v>
      </c>
      <c r="H1409">
        <v>0</v>
      </c>
      <c r="M1409">
        <v>0</v>
      </c>
      <c r="N1409">
        <v>0</v>
      </c>
      <c r="O1409">
        <v>0</v>
      </c>
      <c r="P1409">
        <v>1</v>
      </c>
    </row>
    <row r="1410" spans="1:16" x14ac:dyDescent="0.2">
      <c r="A1410" t="s">
        <v>2539</v>
      </c>
      <c r="B1410" t="s">
        <v>97</v>
      </c>
      <c r="C1410" t="s">
        <v>2540</v>
      </c>
      <c r="D1410" t="s">
        <v>2502</v>
      </c>
      <c r="E1410" t="s">
        <v>228</v>
      </c>
      <c r="F1410">
        <v>54.99</v>
      </c>
      <c r="G1410" t="s">
        <v>14</v>
      </c>
      <c r="H1410">
        <v>0</v>
      </c>
      <c r="M1410">
        <v>0</v>
      </c>
      <c r="N1410">
        <v>0</v>
      </c>
      <c r="O1410">
        <v>0</v>
      </c>
      <c r="P1410">
        <v>4</v>
      </c>
    </row>
    <row r="1411" spans="1:16" x14ac:dyDescent="0.2">
      <c r="A1411" t="s">
        <v>2352</v>
      </c>
      <c r="B1411" t="s">
        <v>97</v>
      </c>
      <c r="C1411" t="s">
        <v>2353</v>
      </c>
      <c r="D1411" t="s">
        <v>2146</v>
      </c>
      <c r="E1411" t="s">
        <v>290</v>
      </c>
      <c r="F1411">
        <v>189.99</v>
      </c>
      <c r="G1411" t="s">
        <v>14</v>
      </c>
      <c r="H1411">
        <v>0</v>
      </c>
      <c r="M1411">
        <v>0</v>
      </c>
      <c r="N1411">
        <v>0</v>
      </c>
      <c r="O1411">
        <v>0</v>
      </c>
      <c r="P1411">
        <v>9</v>
      </c>
    </row>
    <row r="1412" spans="1:16" x14ac:dyDescent="0.2">
      <c r="A1412" t="s">
        <v>2905</v>
      </c>
      <c r="B1412" t="s">
        <v>97</v>
      </c>
      <c r="C1412" t="s">
        <v>2906</v>
      </c>
      <c r="D1412" t="s">
        <v>2852</v>
      </c>
      <c r="E1412" t="s">
        <v>228</v>
      </c>
      <c r="F1412">
        <v>179.99</v>
      </c>
      <c r="G1412" t="s">
        <v>14</v>
      </c>
      <c r="H1412">
        <v>0</v>
      </c>
      <c r="M1412">
        <v>0</v>
      </c>
      <c r="N1412">
        <v>0</v>
      </c>
      <c r="O1412">
        <v>0</v>
      </c>
      <c r="P1412">
        <v>4</v>
      </c>
    </row>
    <row r="1413" spans="1:16" x14ac:dyDescent="0.2">
      <c r="A1413" t="s">
        <v>2531</v>
      </c>
      <c r="B1413" t="s">
        <v>97</v>
      </c>
      <c r="C1413" t="s">
        <v>2532</v>
      </c>
      <c r="D1413" t="s">
        <v>2502</v>
      </c>
      <c r="E1413" t="s">
        <v>228</v>
      </c>
      <c r="F1413">
        <v>119.99</v>
      </c>
      <c r="G1413" t="s">
        <v>14</v>
      </c>
      <c r="H1413">
        <v>1.3020833333333334E-2</v>
      </c>
      <c r="M1413">
        <v>64</v>
      </c>
      <c r="N1413">
        <v>0.5</v>
      </c>
      <c r="O1413">
        <v>0</v>
      </c>
      <c r="P1413">
        <v>32</v>
      </c>
    </row>
    <row r="1414" spans="1:16" x14ac:dyDescent="0.2">
      <c r="A1414" t="s">
        <v>5297</v>
      </c>
      <c r="B1414" t="s">
        <v>97</v>
      </c>
      <c r="C1414" t="s">
        <v>5298</v>
      </c>
      <c r="D1414" t="s">
        <v>2852</v>
      </c>
      <c r="E1414" t="s">
        <v>96</v>
      </c>
      <c r="F1414">
        <v>99.99</v>
      </c>
      <c r="G1414" t="s">
        <v>14</v>
      </c>
      <c r="H1414">
        <v>1.111111111111111E-2</v>
      </c>
      <c r="M1414">
        <v>0</v>
      </c>
      <c r="N1414">
        <v>0</v>
      </c>
      <c r="O1414">
        <v>0</v>
      </c>
      <c r="P1414">
        <v>30</v>
      </c>
    </row>
    <row r="1415" spans="1:16" x14ac:dyDescent="0.2">
      <c r="A1415" t="s">
        <v>7104</v>
      </c>
      <c r="B1415" t="s">
        <v>97</v>
      </c>
      <c r="C1415" t="s">
        <v>7105</v>
      </c>
      <c r="D1415" t="s">
        <v>1012</v>
      </c>
      <c r="E1415" t="s">
        <v>96</v>
      </c>
      <c r="F1415">
        <v>169.99</v>
      </c>
      <c r="G1415" t="s">
        <v>14</v>
      </c>
      <c r="H1415">
        <v>0</v>
      </c>
      <c r="M1415">
        <v>0</v>
      </c>
      <c r="N1415">
        <v>0</v>
      </c>
      <c r="O1415">
        <v>0</v>
      </c>
      <c r="P1415">
        <v>0</v>
      </c>
    </row>
    <row r="1416" spans="1:16" x14ac:dyDescent="0.2">
      <c r="A1416" t="s">
        <v>2523</v>
      </c>
      <c r="B1416" t="s">
        <v>97</v>
      </c>
      <c r="C1416" t="s">
        <v>2524</v>
      </c>
      <c r="D1416" t="s">
        <v>2502</v>
      </c>
      <c r="E1416" t="s">
        <v>228</v>
      </c>
      <c r="F1416">
        <v>109.99</v>
      </c>
      <c r="G1416" t="s">
        <v>14</v>
      </c>
      <c r="H1416">
        <v>1.3888888888888888E-2</v>
      </c>
      <c r="M1416">
        <v>216.00000000000006</v>
      </c>
      <c r="N1416">
        <v>0.16666666666666663</v>
      </c>
      <c r="O1416">
        <v>0</v>
      </c>
      <c r="P1416">
        <v>36</v>
      </c>
    </row>
    <row r="1417" spans="1:16" x14ac:dyDescent="0.2">
      <c r="A1417" t="s">
        <v>5287</v>
      </c>
      <c r="B1417" t="s">
        <v>97</v>
      </c>
      <c r="C1417" t="s">
        <v>5288</v>
      </c>
      <c r="D1417" t="s">
        <v>2852</v>
      </c>
      <c r="E1417" t="s">
        <v>290</v>
      </c>
      <c r="F1417">
        <v>99.99</v>
      </c>
      <c r="G1417" t="s">
        <v>14</v>
      </c>
      <c r="H1417">
        <v>0</v>
      </c>
      <c r="M1417">
        <v>0</v>
      </c>
      <c r="N1417">
        <v>0</v>
      </c>
      <c r="O1417">
        <v>0</v>
      </c>
      <c r="P1417">
        <v>5</v>
      </c>
    </row>
    <row r="1418" spans="1:16" x14ac:dyDescent="0.2">
      <c r="A1418" t="s">
        <v>7106</v>
      </c>
      <c r="B1418" t="s">
        <v>97</v>
      </c>
      <c r="C1418" t="s">
        <v>7107</v>
      </c>
      <c r="D1418" t="s">
        <v>1012</v>
      </c>
      <c r="E1418" t="s">
        <v>96</v>
      </c>
      <c r="F1418">
        <v>59.99</v>
      </c>
      <c r="G1418" t="s">
        <v>14</v>
      </c>
      <c r="H1418">
        <v>0</v>
      </c>
      <c r="M1418">
        <v>0</v>
      </c>
      <c r="N1418">
        <v>0</v>
      </c>
      <c r="O1418">
        <v>0</v>
      </c>
      <c r="P1418">
        <v>0</v>
      </c>
    </row>
    <row r="1419" spans="1:16" x14ac:dyDescent="0.2">
      <c r="A1419" t="s">
        <v>2350</v>
      </c>
      <c r="B1419" t="s">
        <v>97</v>
      </c>
      <c r="C1419" t="s">
        <v>2351</v>
      </c>
      <c r="D1419" t="s">
        <v>2146</v>
      </c>
      <c r="E1419" t="s">
        <v>228</v>
      </c>
      <c r="F1419">
        <v>189.99</v>
      </c>
      <c r="G1419" t="s">
        <v>14</v>
      </c>
      <c r="H1419">
        <v>0</v>
      </c>
      <c r="M1419">
        <v>0</v>
      </c>
      <c r="N1419">
        <v>0</v>
      </c>
      <c r="O1419">
        <v>0</v>
      </c>
      <c r="P1419">
        <v>0</v>
      </c>
    </row>
    <row r="1420" spans="1:16" x14ac:dyDescent="0.2">
      <c r="A1420" t="s">
        <v>2436</v>
      </c>
      <c r="B1420" t="s">
        <v>97</v>
      </c>
      <c r="C1420" t="s">
        <v>2437</v>
      </c>
      <c r="D1420" t="s">
        <v>2425</v>
      </c>
      <c r="E1420" t="s">
        <v>290</v>
      </c>
      <c r="F1420">
        <v>159.99</v>
      </c>
      <c r="G1420" t="s">
        <v>14</v>
      </c>
      <c r="H1420">
        <v>0</v>
      </c>
      <c r="M1420">
        <v>0</v>
      </c>
      <c r="N1420">
        <v>0</v>
      </c>
      <c r="O1420">
        <v>0</v>
      </c>
      <c r="P1420">
        <v>0</v>
      </c>
    </row>
    <row r="1421" spans="1:16" x14ac:dyDescent="0.2">
      <c r="A1421" t="s">
        <v>2387</v>
      </c>
      <c r="B1421" t="s">
        <v>97</v>
      </c>
      <c r="C1421" t="s">
        <v>2388</v>
      </c>
      <c r="D1421" t="s">
        <v>2374</v>
      </c>
      <c r="E1421" t="s">
        <v>290</v>
      </c>
      <c r="F1421">
        <v>279.99</v>
      </c>
      <c r="G1421" t="s">
        <v>14</v>
      </c>
      <c r="H1421">
        <v>0</v>
      </c>
      <c r="M1421">
        <v>0</v>
      </c>
      <c r="N1421">
        <v>0</v>
      </c>
      <c r="O1421">
        <v>0</v>
      </c>
      <c r="P1421">
        <v>0</v>
      </c>
    </row>
    <row r="1422" spans="1:16" x14ac:dyDescent="0.2">
      <c r="A1422" t="s">
        <v>3654</v>
      </c>
      <c r="B1422" t="s">
        <v>97</v>
      </c>
      <c r="C1422" t="s">
        <v>3655</v>
      </c>
      <c r="D1422" t="s">
        <v>2425</v>
      </c>
      <c r="E1422" t="s">
        <v>96</v>
      </c>
      <c r="F1422">
        <v>89.99</v>
      </c>
      <c r="G1422" t="s">
        <v>14</v>
      </c>
      <c r="H1422">
        <v>0</v>
      </c>
      <c r="M1422">
        <v>0</v>
      </c>
      <c r="N1422">
        <v>0</v>
      </c>
      <c r="O1422">
        <v>0</v>
      </c>
      <c r="P1422">
        <v>0</v>
      </c>
    </row>
    <row r="1423" spans="1:16" x14ac:dyDescent="0.2">
      <c r="A1423" t="s">
        <v>3672</v>
      </c>
      <c r="B1423" t="s">
        <v>97</v>
      </c>
      <c r="C1423" t="s">
        <v>3673</v>
      </c>
      <c r="D1423" t="s">
        <v>2425</v>
      </c>
      <c r="E1423" t="s">
        <v>96</v>
      </c>
      <c r="F1423">
        <v>99.99</v>
      </c>
      <c r="G1423" t="s">
        <v>14</v>
      </c>
      <c r="H1423">
        <v>0</v>
      </c>
      <c r="M1423">
        <v>0</v>
      </c>
      <c r="N1423">
        <v>0</v>
      </c>
      <c r="O1423">
        <v>0</v>
      </c>
      <c r="P1423">
        <v>4</v>
      </c>
    </row>
    <row r="1424" spans="1:16" x14ac:dyDescent="0.2">
      <c r="A1424" t="s">
        <v>4585</v>
      </c>
      <c r="B1424" t="s">
        <v>97</v>
      </c>
      <c r="C1424" t="s">
        <v>4586</v>
      </c>
      <c r="D1424" t="s">
        <v>4463</v>
      </c>
      <c r="E1424" t="s">
        <v>96</v>
      </c>
      <c r="F1424">
        <v>19.989999999999998</v>
      </c>
      <c r="G1424" t="s">
        <v>14</v>
      </c>
      <c r="H1424">
        <v>0</v>
      </c>
      <c r="M1424">
        <v>0</v>
      </c>
      <c r="N1424">
        <v>0</v>
      </c>
      <c r="O1424">
        <v>0</v>
      </c>
      <c r="P1424">
        <v>1</v>
      </c>
    </row>
    <row r="1425" spans="1:16" x14ac:dyDescent="0.2">
      <c r="A1425" t="s">
        <v>3677</v>
      </c>
      <c r="B1425" t="s">
        <v>97</v>
      </c>
      <c r="C1425" t="s">
        <v>3678</v>
      </c>
      <c r="D1425" t="s">
        <v>2425</v>
      </c>
      <c r="E1425" t="s">
        <v>96</v>
      </c>
      <c r="F1425">
        <v>99.99</v>
      </c>
      <c r="G1425" t="s">
        <v>14</v>
      </c>
      <c r="H1425">
        <v>0</v>
      </c>
      <c r="M1425">
        <v>0</v>
      </c>
      <c r="N1425">
        <v>0</v>
      </c>
      <c r="O1425">
        <v>0</v>
      </c>
      <c r="P1425">
        <v>3</v>
      </c>
    </row>
    <row r="1426" spans="1:16" x14ac:dyDescent="0.2">
      <c r="A1426" t="s">
        <v>2389</v>
      </c>
      <c r="B1426" t="s">
        <v>97</v>
      </c>
      <c r="C1426" t="s">
        <v>2390</v>
      </c>
      <c r="D1426" t="s">
        <v>2374</v>
      </c>
      <c r="E1426" t="s">
        <v>290</v>
      </c>
      <c r="F1426">
        <v>349.99</v>
      </c>
      <c r="G1426" t="s">
        <v>14</v>
      </c>
      <c r="H1426">
        <v>0</v>
      </c>
      <c r="M1426">
        <v>0</v>
      </c>
      <c r="N1426">
        <v>0</v>
      </c>
      <c r="O1426">
        <v>0</v>
      </c>
      <c r="P1426">
        <v>0</v>
      </c>
    </row>
    <row r="1427" spans="1:16" x14ac:dyDescent="0.2">
      <c r="A1427" t="s">
        <v>3681</v>
      </c>
      <c r="B1427" t="s">
        <v>97</v>
      </c>
      <c r="C1427" t="s">
        <v>3682</v>
      </c>
      <c r="D1427" t="s">
        <v>2425</v>
      </c>
      <c r="E1427" t="s">
        <v>96</v>
      </c>
      <c r="F1427">
        <v>99.99</v>
      </c>
      <c r="G1427" t="s">
        <v>14</v>
      </c>
      <c r="H1427">
        <v>0</v>
      </c>
      <c r="M1427">
        <v>0</v>
      </c>
      <c r="N1427">
        <v>0</v>
      </c>
      <c r="O1427">
        <v>0</v>
      </c>
      <c r="P1427">
        <v>1</v>
      </c>
    </row>
    <row r="1428" spans="1:16" x14ac:dyDescent="0.2">
      <c r="A1428" t="s">
        <v>5331</v>
      </c>
      <c r="B1428" t="s">
        <v>97</v>
      </c>
      <c r="C1428" t="s">
        <v>5332</v>
      </c>
      <c r="D1428" t="s">
        <v>4463</v>
      </c>
      <c r="E1428" t="s">
        <v>96</v>
      </c>
      <c r="F1428">
        <v>19.989999999999998</v>
      </c>
      <c r="G1428" t="s">
        <v>14</v>
      </c>
      <c r="H1428">
        <v>4.6296296296296301E-2</v>
      </c>
      <c r="M1428">
        <v>54</v>
      </c>
      <c r="N1428">
        <v>0.16666666666666666</v>
      </c>
      <c r="O1428">
        <v>0</v>
      </c>
      <c r="P1428">
        <v>9</v>
      </c>
    </row>
    <row r="1429" spans="1:16" x14ac:dyDescent="0.2">
      <c r="A1429" t="s">
        <v>3684</v>
      </c>
      <c r="B1429" t="s">
        <v>97</v>
      </c>
      <c r="C1429" t="s">
        <v>3685</v>
      </c>
      <c r="D1429" t="s">
        <v>2425</v>
      </c>
      <c r="E1429" t="s">
        <v>290</v>
      </c>
      <c r="F1429">
        <v>99.99</v>
      </c>
      <c r="G1429" t="s">
        <v>14</v>
      </c>
      <c r="H1429">
        <v>0</v>
      </c>
      <c r="M1429">
        <v>0</v>
      </c>
      <c r="N1429">
        <v>0</v>
      </c>
      <c r="O1429">
        <v>0</v>
      </c>
      <c r="P1429">
        <v>0</v>
      </c>
    </row>
    <row r="1430" spans="1:16" x14ac:dyDescent="0.2">
      <c r="A1430" t="s">
        <v>3648</v>
      </c>
      <c r="B1430" t="s">
        <v>97</v>
      </c>
      <c r="C1430" t="s">
        <v>3649</v>
      </c>
      <c r="D1430" t="s">
        <v>2425</v>
      </c>
      <c r="E1430" t="s">
        <v>96</v>
      </c>
      <c r="F1430">
        <v>89.99</v>
      </c>
      <c r="G1430" t="s">
        <v>14</v>
      </c>
      <c r="H1430">
        <v>0</v>
      </c>
      <c r="M1430">
        <v>0</v>
      </c>
      <c r="N1430">
        <v>0</v>
      </c>
      <c r="O1430">
        <v>0</v>
      </c>
      <c r="P1430">
        <v>5</v>
      </c>
    </row>
    <row r="1431" spans="1:16" x14ac:dyDescent="0.2">
      <c r="A1431" t="s">
        <v>5327</v>
      </c>
      <c r="B1431" t="s">
        <v>97</v>
      </c>
      <c r="C1431" t="s">
        <v>5328</v>
      </c>
      <c r="D1431" t="s">
        <v>4463</v>
      </c>
      <c r="E1431" t="s">
        <v>290</v>
      </c>
      <c r="F1431">
        <v>19.989999999999998</v>
      </c>
      <c r="G1431" t="s">
        <v>14</v>
      </c>
      <c r="H1431">
        <v>5.5555555555555552E-2</v>
      </c>
      <c r="M1431">
        <v>18.000000000000004</v>
      </c>
      <c r="N1431">
        <v>0.16666666666666663</v>
      </c>
      <c r="O1431">
        <v>0</v>
      </c>
      <c r="P1431">
        <v>3</v>
      </c>
    </row>
    <row r="1432" spans="1:16" x14ac:dyDescent="0.2">
      <c r="A1432" t="s">
        <v>5921</v>
      </c>
      <c r="B1432" t="s">
        <v>97</v>
      </c>
      <c r="C1432" t="s">
        <v>5922</v>
      </c>
      <c r="D1432" t="s">
        <v>2852</v>
      </c>
      <c r="E1432" t="s">
        <v>96</v>
      </c>
      <c r="F1432">
        <v>249.99</v>
      </c>
      <c r="G1432" t="s">
        <v>14</v>
      </c>
      <c r="H1432">
        <v>0</v>
      </c>
      <c r="M1432">
        <v>0</v>
      </c>
      <c r="N1432">
        <v>0</v>
      </c>
      <c r="O1432">
        <v>0</v>
      </c>
      <c r="P1432">
        <v>0</v>
      </c>
    </row>
    <row r="1433" spans="1:16" x14ac:dyDescent="0.2">
      <c r="A1433" t="s">
        <v>4472</v>
      </c>
      <c r="B1433" t="s">
        <v>97</v>
      </c>
      <c r="C1433" t="s">
        <v>4473</v>
      </c>
      <c r="D1433" t="s">
        <v>4463</v>
      </c>
      <c r="E1433" t="s">
        <v>96</v>
      </c>
      <c r="F1433">
        <v>44.99</v>
      </c>
      <c r="G1433" t="s">
        <v>14</v>
      </c>
      <c r="H1433">
        <v>0</v>
      </c>
      <c r="M1433">
        <v>0</v>
      </c>
      <c r="N1433">
        <v>0</v>
      </c>
      <c r="O1433">
        <v>0</v>
      </c>
      <c r="P1433">
        <v>1</v>
      </c>
    </row>
    <row r="1434" spans="1:16" x14ac:dyDescent="0.2">
      <c r="A1434" t="s">
        <v>7108</v>
      </c>
      <c r="B1434" t="s">
        <v>97</v>
      </c>
      <c r="C1434" t="s">
        <v>7109</v>
      </c>
      <c r="D1434" t="s">
        <v>1012</v>
      </c>
      <c r="E1434" t="s">
        <v>96</v>
      </c>
      <c r="F1434">
        <v>79.989999999999995</v>
      </c>
      <c r="G1434" t="s">
        <v>14</v>
      </c>
      <c r="H1434">
        <v>0</v>
      </c>
      <c r="M1434">
        <v>0</v>
      </c>
      <c r="N1434">
        <v>0</v>
      </c>
      <c r="O1434">
        <v>0</v>
      </c>
      <c r="P1434">
        <v>0</v>
      </c>
    </row>
    <row r="1435" spans="1:16" x14ac:dyDescent="0.2">
      <c r="A1435" t="s">
        <v>4336</v>
      </c>
      <c r="B1435" t="s">
        <v>97</v>
      </c>
      <c r="C1435" t="s">
        <v>4337</v>
      </c>
      <c r="D1435" t="s">
        <v>2852</v>
      </c>
      <c r="E1435" t="s">
        <v>96</v>
      </c>
      <c r="F1435">
        <v>29.99</v>
      </c>
      <c r="G1435" t="s">
        <v>14</v>
      </c>
      <c r="H1435">
        <v>0</v>
      </c>
      <c r="M1435">
        <v>0</v>
      </c>
      <c r="N1435">
        <v>0</v>
      </c>
      <c r="O1435">
        <v>0</v>
      </c>
      <c r="P1435">
        <v>0</v>
      </c>
    </row>
    <row r="1436" spans="1:16" x14ac:dyDescent="0.2">
      <c r="A1436" t="s">
        <v>4213</v>
      </c>
      <c r="B1436" t="s">
        <v>97</v>
      </c>
      <c r="C1436" t="s">
        <v>4214</v>
      </c>
      <c r="D1436" t="s">
        <v>2852</v>
      </c>
      <c r="E1436" t="s">
        <v>96</v>
      </c>
      <c r="F1436">
        <v>44.99</v>
      </c>
      <c r="G1436" t="s">
        <v>14</v>
      </c>
      <c r="H1436">
        <v>0</v>
      </c>
      <c r="M1436">
        <v>0</v>
      </c>
      <c r="N1436">
        <v>0</v>
      </c>
      <c r="O1436">
        <v>0</v>
      </c>
      <c r="P1436">
        <v>0</v>
      </c>
    </row>
    <row r="1437" spans="1:16" x14ac:dyDescent="0.2">
      <c r="A1437" t="s">
        <v>2519</v>
      </c>
      <c r="B1437" t="s">
        <v>97</v>
      </c>
      <c r="C1437" t="s">
        <v>2520</v>
      </c>
      <c r="D1437" t="s">
        <v>2502</v>
      </c>
      <c r="E1437" t="s">
        <v>228</v>
      </c>
      <c r="F1437">
        <v>249.99</v>
      </c>
      <c r="G1437" t="s">
        <v>14</v>
      </c>
      <c r="H1437">
        <v>6.25E-2</v>
      </c>
      <c r="M1437">
        <v>0</v>
      </c>
      <c r="N1437">
        <v>0</v>
      </c>
      <c r="O1437">
        <v>0</v>
      </c>
      <c r="P1437">
        <v>2</v>
      </c>
    </row>
    <row r="1438" spans="1:16" x14ac:dyDescent="0.2">
      <c r="A1438" t="s">
        <v>4501</v>
      </c>
      <c r="B1438" t="s">
        <v>97</v>
      </c>
      <c r="C1438" t="s">
        <v>4502</v>
      </c>
      <c r="D1438" t="s">
        <v>4463</v>
      </c>
      <c r="E1438" t="s">
        <v>96</v>
      </c>
      <c r="F1438">
        <v>19.989999999999998</v>
      </c>
      <c r="G1438" t="s">
        <v>14</v>
      </c>
      <c r="H1438">
        <v>2.4242424242424239E-2</v>
      </c>
      <c r="M1438">
        <v>330</v>
      </c>
      <c r="N1438">
        <v>0.16666666666666666</v>
      </c>
      <c r="O1438">
        <v>0</v>
      </c>
      <c r="P1438">
        <v>55</v>
      </c>
    </row>
    <row r="1439" spans="1:16" x14ac:dyDescent="0.2">
      <c r="A1439" t="s">
        <v>2515</v>
      </c>
      <c r="B1439" t="s">
        <v>97</v>
      </c>
      <c r="C1439" t="s">
        <v>2516</v>
      </c>
      <c r="D1439" t="s">
        <v>2502</v>
      </c>
      <c r="E1439" t="s">
        <v>228</v>
      </c>
      <c r="F1439">
        <v>139.99</v>
      </c>
      <c r="G1439" t="s">
        <v>14</v>
      </c>
      <c r="H1439">
        <v>0</v>
      </c>
      <c r="M1439">
        <v>0</v>
      </c>
      <c r="N1439">
        <v>0</v>
      </c>
      <c r="O1439">
        <v>0</v>
      </c>
      <c r="P1439">
        <v>3</v>
      </c>
    </row>
    <row r="1440" spans="1:16" x14ac:dyDescent="0.2">
      <c r="A1440" t="s">
        <v>2132</v>
      </c>
      <c r="B1440" t="s">
        <v>97</v>
      </c>
      <c r="C1440" t="s">
        <v>2133</v>
      </c>
      <c r="D1440" t="s">
        <v>2131</v>
      </c>
      <c r="E1440" t="s">
        <v>96</v>
      </c>
      <c r="F1440">
        <v>29.99</v>
      </c>
      <c r="G1440" t="s">
        <v>14</v>
      </c>
      <c r="H1440">
        <v>0</v>
      </c>
      <c r="M1440">
        <v>0</v>
      </c>
      <c r="N1440">
        <v>0</v>
      </c>
      <c r="O1440">
        <v>0</v>
      </c>
      <c r="P1440">
        <v>4</v>
      </c>
    </row>
    <row r="1441" spans="1:16" x14ac:dyDescent="0.2">
      <c r="A1441" t="s">
        <v>4504</v>
      </c>
      <c r="B1441" t="s">
        <v>97</v>
      </c>
      <c r="C1441" t="s">
        <v>4505</v>
      </c>
      <c r="D1441" t="s">
        <v>4463</v>
      </c>
      <c r="E1441" t="s">
        <v>96</v>
      </c>
      <c r="F1441">
        <v>19.989999999999998</v>
      </c>
      <c r="G1441" t="s">
        <v>14</v>
      </c>
      <c r="H1441">
        <v>2.3809523809523808E-2</v>
      </c>
      <c r="M1441">
        <v>28</v>
      </c>
      <c r="N1441">
        <v>1</v>
      </c>
      <c r="O1441">
        <v>0</v>
      </c>
      <c r="P1441">
        <v>28</v>
      </c>
    </row>
    <row r="1442" spans="1:16" x14ac:dyDescent="0.2">
      <c r="A1442" t="s">
        <v>2358</v>
      </c>
      <c r="B1442" t="s">
        <v>97</v>
      </c>
      <c r="C1442" t="s">
        <v>2359</v>
      </c>
      <c r="D1442" t="s">
        <v>2146</v>
      </c>
      <c r="E1442" t="s">
        <v>228</v>
      </c>
      <c r="F1442">
        <v>199.99</v>
      </c>
      <c r="G1442" t="s">
        <v>14</v>
      </c>
      <c r="H1442">
        <v>4.6296296296296294E-3</v>
      </c>
      <c r="M1442">
        <v>0</v>
      </c>
      <c r="N1442">
        <v>0</v>
      </c>
      <c r="O1442">
        <v>0</v>
      </c>
      <c r="P1442">
        <v>18</v>
      </c>
    </row>
    <row r="1443" spans="1:16" x14ac:dyDescent="0.2">
      <c r="A1443" t="s">
        <v>2505</v>
      </c>
      <c r="B1443" t="s">
        <v>97</v>
      </c>
      <c r="C1443" t="s">
        <v>2506</v>
      </c>
      <c r="D1443" t="s">
        <v>2502</v>
      </c>
      <c r="E1443" t="s">
        <v>228</v>
      </c>
      <c r="F1443">
        <v>119.99</v>
      </c>
      <c r="G1443" t="s">
        <v>14</v>
      </c>
      <c r="H1443">
        <v>8.3333333333333329E-2</v>
      </c>
      <c r="M1443">
        <v>18</v>
      </c>
      <c r="N1443">
        <v>0.16666666666666666</v>
      </c>
      <c r="O1443">
        <v>0</v>
      </c>
      <c r="P1443">
        <v>3</v>
      </c>
    </row>
    <row r="1444" spans="1:16" x14ac:dyDescent="0.2">
      <c r="A1444" t="s">
        <v>2503</v>
      </c>
      <c r="B1444" t="s">
        <v>97</v>
      </c>
      <c r="C1444" t="s">
        <v>2504</v>
      </c>
      <c r="D1444" t="s">
        <v>2502</v>
      </c>
      <c r="E1444" t="s">
        <v>228</v>
      </c>
      <c r="F1444">
        <v>129.99</v>
      </c>
      <c r="G1444" t="s">
        <v>14</v>
      </c>
      <c r="H1444">
        <v>0</v>
      </c>
      <c r="M1444">
        <v>0</v>
      </c>
      <c r="N1444">
        <v>0</v>
      </c>
      <c r="O1444">
        <v>0</v>
      </c>
      <c r="P1444">
        <v>7</v>
      </c>
    </row>
    <row r="1445" spans="1:16" x14ac:dyDescent="0.2">
      <c r="A1445" t="s">
        <v>4972</v>
      </c>
      <c r="B1445" t="s">
        <v>97</v>
      </c>
      <c r="C1445" t="s">
        <v>4973</v>
      </c>
      <c r="D1445" t="s">
        <v>446</v>
      </c>
      <c r="E1445" t="s">
        <v>96</v>
      </c>
      <c r="F1445">
        <v>79.989999999999995</v>
      </c>
      <c r="G1445" t="s">
        <v>14</v>
      </c>
      <c r="H1445">
        <v>4.1666666666666671E-2</v>
      </c>
      <c r="M1445">
        <v>20</v>
      </c>
      <c r="N1445">
        <v>0.5</v>
      </c>
      <c r="O1445">
        <v>0</v>
      </c>
      <c r="P1445">
        <v>10</v>
      </c>
    </row>
    <row r="1446" spans="1:16" x14ac:dyDescent="0.2">
      <c r="A1446" t="s">
        <v>2901</v>
      </c>
      <c r="B1446" t="s">
        <v>97</v>
      </c>
      <c r="C1446" t="s">
        <v>2902</v>
      </c>
      <c r="D1446" t="s">
        <v>2852</v>
      </c>
      <c r="E1446" t="s">
        <v>228</v>
      </c>
      <c r="F1446">
        <v>99.99</v>
      </c>
      <c r="G1446" t="s">
        <v>14</v>
      </c>
      <c r="H1446">
        <v>0</v>
      </c>
      <c r="M1446">
        <v>0</v>
      </c>
      <c r="N1446">
        <v>0</v>
      </c>
      <c r="O1446">
        <v>0</v>
      </c>
      <c r="P1446">
        <v>5</v>
      </c>
    </row>
    <row r="1447" spans="1:16" x14ac:dyDescent="0.2">
      <c r="A1447" t="s">
        <v>878</v>
      </c>
      <c r="B1447" t="s">
        <v>97</v>
      </c>
      <c r="C1447" t="s">
        <v>879</v>
      </c>
      <c r="D1447" t="s">
        <v>446</v>
      </c>
      <c r="E1447" t="s">
        <v>96</v>
      </c>
      <c r="G1447" t="s">
        <v>14</v>
      </c>
      <c r="H1447">
        <v>0</v>
      </c>
      <c r="M1447">
        <v>0</v>
      </c>
      <c r="N1447">
        <v>0</v>
      </c>
      <c r="O1447">
        <v>0</v>
      </c>
      <c r="P1447">
        <v>0</v>
      </c>
    </row>
    <row r="1448" spans="1:16" x14ac:dyDescent="0.2">
      <c r="A1448" t="s">
        <v>880</v>
      </c>
      <c r="B1448" t="s">
        <v>97</v>
      </c>
      <c r="C1448" t="s">
        <v>881</v>
      </c>
      <c r="D1448" t="s">
        <v>446</v>
      </c>
      <c r="E1448" t="s">
        <v>96</v>
      </c>
      <c r="F1448">
        <v>14.99</v>
      </c>
      <c r="G1448" t="s">
        <v>14</v>
      </c>
      <c r="H1448">
        <v>0</v>
      </c>
      <c r="M1448">
        <v>0</v>
      </c>
      <c r="N1448">
        <v>0</v>
      </c>
      <c r="O1448">
        <v>0</v>
      </c>
      <c r="P1448">
        <v>0</v>
      </c>
    </row>
    <row r="1449" spans="1:16" x14ac:dyDescent="0.2">
      <c r="A1449" t="s">
        <v>4447</v>
      </c>
      <c r="B1449" t="s">
        <v>97</v>
      </c>
      <c r="C1449" t="s">
        <v>4448</v>
      </c>
      <c r="D1449" t="s">
        <v>1012</v>
      </c>
      <c r="E1449" t="s">
        <v>96</v>
      </c>
      <c r="F1449">
        <v>199.99</v>
      </c>
      <c r="G1449" t="s">
        <v>14</v>
      </c>
      <c r="H1449">
        <v>0</v>
      </c>
      <c r="M1449">
        <v>0</v>
      </c>
      <c r="N1449">
        <v>0</v>
      </c>
      <c r="O1449">
        <v>0</v>
      </c>
      <c r="P1449">
        <v>6</v>
      </c>
    </row>
    <row r="1450" spans="1:16" x14ac:dyDescent="0.2">
      <c r="A1450" t="s">
        <v>4476</v>
      </c>
      <c r="B1450" t="s">
        <v>97</v>
      </c>
      <c r="C1450" t="s">
        <v>4477</v>
      </c>
      <c r="D1450" t="s">
        <v>4463</v>
      </c>
      <c r="E1450" t="s">
        <v>290</v>
      </c>
      <c r="F1450">
        <v>39.99</v>
      </c>
      <c r="G1450" t="s">
        <v>14</v>
      </c>
      <c r="H1450">
        <v>0</v>
      </c>
      <c r="M1450">
        <v>0</v>
      </c>
      <c r="N1450">
        <v>0</v>
      </c>
      <c r="O1450">
        <v>0</v>
      </c>
      <c r="P1450">
        <v>0</v>
      </c>
    </row>
    <row r="1451" spans="1:16" x14ac:dyDescent="0.2">
      <c r="A1451" t="s">
        <v>4949</v>
      </c>
      <c r="B1451" t="s">
        <v>97</v>
      </c>
      <c r="C1451" t="s">
        <v>4950</v>
      </c>
      <c r="D1451" t="s">
        <v>446</v>
      </c>
      <c r="E1451" t="s">
        <v>290</v>
      </c>
      <c r="F1451">
        <v>59.99</v>
      </c>
      <c r="G1451" t="s">
        <v>14</v>
      </c>
      <c r="H1451">
        <v>0</v>
      </c>
      <c r="M1451">
        <v>0</v>
      </c>
      <c r="N1451">
        <v>0</v>
      </c>
      <c r="O1451">
        <v>0</v>
      </c>
      <c r="P1451">
        <v>0</v>
      </c>
    </row>
    <row r="1452" spans="1:16" x14ac:dyDescent="0.2">
      <c r="A1452" t="s">
        <v>5924</v>
      </c>
      <c r="B1452" t="s">
        <v>97</v>
      </c>
      <c r="C1452" t="s">
        <v>5925</v>
      </c>
      <c r="D1452" t="s">
        <v>2502</v>
      </c>
      <c r="E1452" t="s">
        <v>290</v>
      </c>
      <c r="F1452">
        <v>49.99</v>
      </c>
      <c r="G1452" t="s">
        <v>14</v>
      </c>
      <c r="H1452">
        <v>9.1269841269841279E-2</v>
      </c>
      <c r="M1452">
        <v>11.454545454545455</v>
      </c>
      <c r="N1452">
        <v>1.8333333333333333</v>
      </c>
      <c r="O1452">
        <v>0</v>
      </c>
      <c r="P1452">
        <v>21</v>
      </c>
    </row>
    <row r="1453" spans="1:16" x14ac:dyDescent="0.2">
      <c r="A1453" t="s">
        <v>2903</v>
      </c>
      <c r="B1453" t="s">
        <v>97</v>
      </c>
      <c r="C1453" t="s">
        <v>2904</v>
      </c>
      <c r="D1453" t="s">
        <v>2852</v>
      </c>
      <c r="E1453" t="s">
        <v>228</v>
      </c>
      <c r="F1453">
        <v>99.99</v>
      </c>
      <c r="G1453" t="s">
        <v>14</v>
      </c>
      <c r="H1453">
        <v>5.5555555555555552E-2</v>
      </c>
      <c r="M1453">
        <v>12</v>
      </c>
      <c r="N1453">
        <v>0.5</v>
      </c>
      <c r="O1453">
        <v>0</v>
      </c>
      <c r="P1453">
        <v>6</v>
      </c>
    </row>
    <row r="1454" spans="1:16" x14ac:dyDescent="0.2">
      <c r="A1454" t="s">
        <v>5284</v>
      </c>
      <c r="B1454" t="s">
        <v>97</v>
      </c>
      <c r="C1454" t="s">
        <v>5285</v>
      </c>
      <c r="D1454" t="s">
        <v>2852</v>
      </c>
      <c r="E1454" t="s">
        <v>96</v>
      </c>
      <c r="F1454">
        <v>99.99</v>
      </c>
      <c r="G1454" t="s">
        <v>14</v>
      </c>
      <c r="H1454">
        <v>7.5757575757575742E-3</v>
      </c>
      <c r="M1454">
        <v>0</v>
      </c>
      <c r="N1454">
        <v>0</v>
      </c>
      <c r="O1454">
        <v>0</v>
      </c>
      <c r="P1454">
        <v>11</v>
      </c>
    </row>
    <row r="1455" spans="1:16" x14ac:dyDescent="0.2">
      <c r="A1455" t="s">
        <v>4893</v>
      </c>
      <c r="B1455" t="s">
        <v>97</v>
      </c>
      <c r="C1455" t="s">
        <v>4894</v>
      </c>
      <c r="D1455" t="s">
        <v>446</v>
      </c>
      <c r="E1455" t="s">
        <v>96</v>
      </c>
      <c r="F1455">
        <v>79.989999999999995</v>
      </c>
      <c r="G1455" t="s">
        <v>14</v>
      </c>
      <c r="H1455">
        <v>0</v>
      </c>
      <c r="M1455">
        <v>0</v>
      </c>
      <c r="N1455">
        <v>0</v>
      </c>
      <c r="O1455">
        <v>0</v>
      </c>
      <c r="P1455">
        <v>0</v>
      </c>
    </row>
    <row r="1456" spans="1:16" x14ac:dyDescent="0.2">
      <c r="A1456" t="s">
        <v>4507</v>
      </c>
      <c r="B1456" t="s">
        <v>97</v>
      </c>
      <c r="C1456" t="s">
        <v>4508</v>
      </c>
      <c r="D1456" t="s">
        <v>4463</v>
      </c>
      <c r="E1456" t="s">
        <v>96</v>
      </c>
      <c r="F1456">
        <v>19.989999999999998</v>
      </c>
      <c r="G1456" t="s">
        <v>14</v>
      </c>
      <c r="H1456">
        <v>1.1666666666666667E-2</v>
      </c>
      <c r="M1456">
        <v>74.999999999999986</v>
      </c>
      <c r="N1456">
        <v>0.66666666666666674</v>
      </c>
      <c r="O1456">
        <v>0</v>
      </c>
      <c r="P1456">
        <v>50</v>
      </c>
    </row>
    <row r="1457" spans="1:16" x14ac:dyDescent="0.2">
      <c r="A1457" t="s">
        <v>4436</v>
      </c>
      <c r="B1457" t="s">
        <v>97</v>
      </c>
      <c r="C1457" t="s">
        <v>4437</v>
      </c>
      <c r="D1457" t="s">
        <v>1012</v>
      </c>
      <c r="E1457" t="s">
        <v>96</v>
      </c>
      <c r="F1457">
        <v>59.99</v>
      </c>
      <c r="G1457" t="s">
        <v>14</v>
      </c>
      <c r="H1457">
        <v>0</v>
      </c>
      <c r="M1457">
        <v>0</v>
      </c>
      <c r="N1457">
        <v>0</v>
      </c>
      <c r="O1457">
        <v>0</v>
      </c>
      <c r="P1457">
        <v>0</v>
      </c>
    </row>
    <row r="1458" spans="1:16" x14ac:dyDescent="0.2">
      <c r="A1458" t="s">
        <v>4532</v>
      </c>
      <c r="B1458" t="s">
        <v>97</v>
      </c>
      <c r="C1458" t="s">
        <v>4533</v>
      </c>
      <c r="D1458" t="s">
        <v>4463</v>
      </c>
      <c r="E1458" t="s">
        <v>290</v>
      </c>
      <c r="F1458">
        <v>19.989999999999998</v>
      </c>
      <c r="G1458" t="s">
        <v>14</v>
      </c>
      <c r="H1458">
        <v>8.6805555555555559E-3</v>
      </c>
      <c r="M1458">
        <v>115.20000000000002</v>
      </c>
      <c r="N1458">
        <v>0.83333333333333326</v>
      </c>
      <c r="O1458">
        <v>0</v>
      </c>
      <c r="P1458">
        <v>96</v>
      </c>
    </row>
    <row r="1459" spans="1:16" x14ac:dyDescent="0.2">
      <c r="A1459" t="s">
        <v>2861</v>
      </c>
      <c r="B1459" t="s">
        <v>97</v>
      </c>
      <c r="C1459" t="s">
        <v>2862</v>
      </c>
      <c r="D1459" t="s">
        <v>2852</v>
      </c>
      <c r="E1459" t="s">
        <v>228</v>
      </c>
      <c r="F1459">
        <v>399.99</v>
      </c>
      <c r="G1459" t="s">
        <v>14</v>
      </c>
      <c r="H1459">
        <v>0</v>
      </c>
      <c r="M1459">
        <v>0</v>
      </c>
      <c r="N1459">
        <v>0</v>
      </c>
      <c r="O1459">
        <v>0</v>
      </c>
      <c r="P1459">
        <v>1</v>
      </c>
    </row>
    <row r="1460" spans="1:16" x14ac:dyDescent="0.2">
      <c r="A1460" t="s">
        <v>2360</v>
      </c>
      <c r="B1460" t="s">
        <v>97</v>
      </c>
      <c r="C1460" t="s">
        <v>2361</v>
      </c>
      <c r="D1460" t="s">
        <v>2146</v>
      </c>
      <c r="E1460" t="s">
        <v>228</v>
      </c>
      <c r="F1460">
        <v>349.99</v>
      </c>
      <c r="G1460" t="s">
        <v>14</v>
      </c>
      <c r="H1460">
        <v>0</v>
      </c>
      <c r="M1460">
        <v>0</v>
      </c>
      <c r="N1460">
        <v>0</v>
      </c>
      <c r="O1460">
        <v>0</v>
      </c>
      <c r="P1460">
        <v>7</v>
      </c>
    </row>
    <row r="1461" spans="1:16" x14ac:dyDescent="0.2">
      <c r="A1461" t="s">
        <v>7083</v>
      </c>
      <c r="B1461" t="s">
        <v>7110</v>
      </c>
      <c r="C1461" t="s">
        <v>7084</v>
      </c>
      <c r="D1461" t="s">
        <v>2502</v>
      </c>
      <c r="E1461" t="s">
        <v>96</v>
      </c>
      <c r="F1461">
        <v>149.99</v>
      </c>
      <c r="G1461" t="s">
        <v>7014</v>
      </c>
      <c r="H1461">
        <v>0</v>
      </c>
      <c r="I1461" t="s">
        <v>7015</v>
      </c>
      <c r="M1461">
        <v>0</v>
      </c>
      <c r="N1461">
        <v>0</v>
      </c>
      <c r="O1461">
        <v>0</v>
      </c>
      <c r="P1461">
        <v>0</v>
      </c>
    </row>
    <row r="1462" spans="1:16" x14ac:dyDescent="0.2">
      <c r="A1462" t="s">
        <v>6327</v>
      </c>
      <c r="B1462" t="s">
        <v>6329</v>
      </c>
      <c r="C1462" t="s">
        <v>6328</v>
      </c>
      <c r="D1462" t="s">
        <v>2502</v>
      </c>
      <c r="E1462" t="s">
        <v>96</v>
      </c>
      <c r="F1462">
        <v>179.99</v>
      </c>
      <c r="G1462" t="s">
        <v>7014</v>
      </c>
      <c r="H1462">
        <v>0</v>
      </c>
      <c r="I1462" t="s">
        <v>7015</v>
      </c>
      <c r="M1462">
        <v>0</v>
      </c>
      <c r="N1462">
        <v>0</v>
      </c>
      <c r="O1462">
        <v>0</v>
      </c>
      <c r="P1462">
        <v>8</v>
      </c>
    </row>
    <row r="1463" spans="1:16" x14ac:dyDescent="0.2">
      <c r="A1463" t="s">
        <v>2695</v>
      </c>
      <c r="B1463" t="s">
        <v>6330</v>
      </c>
      <c r="C1463" t="s">
        <v>2696</v>
      </c>
      <c r="D1463" t="s">
        <v>2502</v>
      </c>
      <c r="E1463" t="s">
        <v>228</v>
      </c>
      <c r="F1463">
        <v>299.99</v>
      </c>
      <c r="G1463" t="s">
        <v>7014</v>
      </c>
      <c r="H1463">
        <v>4.3859649122807015E-3</v>
      </c>
      <c r="I1463" t="s">
        <v>7015</v>
      </c>
      <c r="M1463">
        <v>114</v>
      </c>
      <c r="N1463">
        <v>0.16666666666666666</v>
      </c>
      <c r="O1463">
        <v>0</v>
      </c>
      <c r="P1463">
        <v>19</v>
      </c>
    </row>
    <row r="1464" spans="1:16" x14ac:dyDescent="0.2">
      <c r="A1464" t="s">
        <v>2685</v>
      </c>
      <c r="B1464" t="s">
        <v>6230</v>
      </c>
      <c r="C1464" t="s">
        <v>2686</v>
      </c>
      <c r="D1464" t="s">
        <v>2502</v>
      </c>
      <c r="E1464" t="s">
        <v>228</v>
      </c>
      <c r="F1464">
        <v>159.99</v>
      </c>
      <c r="G1464" t="s">
        <v>7014</v>
      </c>
      <c r="H1464">
        <v>0</v>
      </c>
      <c r="I1464" t="s">
        <v>7015</v>
      </c>
      <c r="M1464">
        <v>0</v>
      </c>
      <c r="N1464">
        <v>0</v>
      </c>
      <c r="O1464">
        <v>0</v>
      </c>
      <c r="P1464">
        <v>5</v>
      </c>
    </row>
    <row r="1465" spans="1:16" x14ac:dyDescent="0.2">
      <c r="A1465" t="s">
        <v>6232</v>
      </c>
      <c r="B1465" t="s">
        <v>7111</v>
      </c>
      <c r="C1465" t="s">
        <v>6233</v>
      </c>
      <c r="D1465" t="s">
        <v>2502</v>
      </c>
      <c r="E1465" t="s">
        <v>228</v>
      </c>
      <c r="F1465">
        <v>79.989999999999995</v>
      </c>
      <c r="G1465" t="s">
        <v>7014</v>
      </c>
      <c r="H1465">
        <v>0</v>
      </c>
      <c r="I1465" t="s">
        <v>7015</v>
      </c>
      <c r="M1465">
        <v>0</v>
      </c>
      <c r="N1465">
        <v>0</v>
      </c>
      <c r="O1465">
        <v>0</v>
      </c>
      <c r="P1465">
        <v>0</v>
      </c>
    </row>
    <row r="1466" spans="1:16" x14ac:dyDescent="0.2">
      <c r="A1466" t="s">
        <v>2677</v>
      </c>
      <c r="B1466" t="s">
        <v>6301</v>
      </c>
      <c r="C1466" t="s">
        <v>2678</v>
      </c>
      <c r="D1466" t="s">
        <v>2502</v>
      </c>
      <c r="E1466" t="s">
        <v>228</v>
      </c>
      <c r="F1466">
        <v>159.99</v>
      </c>
      <c r="G1466" t="s">
        <v>7014</v>
      </c>
      <c r="H1466">
        <v>0</v>
      </c>
      <c r="I1466" t="s">
        <v>7015</v>
      </c>
      <c r="M1466">
        <v>0</v>
      </c>
      <c r="N1466">
        <v>0</v>
      </c>
      <c r="O1466">
        <v>0</v>
      </c>
      <c r="P1466">
        <v>1</v>
      </c>
    </row>
    <row r="1467" spans="1:16" x14ac:dyDescent="0.2">
      <c r="A1467" t="s">
        <v>6338</v>
      </c>
      <c r="B1467" t="s">
        <v>6340</v>
      </c>
      <c r="C1467" t="s">
        <v>6339</v>
      </c>
      <c r="D1467" t="s">
        <v>2502</v>
      </c>
      <c r="E1467" t="s">
        <v>96</v>
      </c>
      <c r="F1467">
        <v>169.99</v>
      </c>
      <c r="G1467" t="s">
        <v>7014</v>
      </c>
      <c r="H1467">
        <v>0</v>
      </c>
      <c r="I1467" t="s">
        <v>7015</v>
      </c>
      <c r="M1467">
        <v>0</v>
      </c>
      <c r="N1467">
        <v>0</v>
      </c>
      <c r="O1467">
        <v>0</v>
      </c>
      <c r="P1467">
        <v>0</v>
      </c>
    </row>
    <row r="1468" spans="1:16" x14ac:dyDescent="0.2">
      <c r="A1468" t="s">
        <v>2569</v>
      </c>
      <c r="B1468" t="s">
        <v>5979</v>
      </c>
      <c r="C1468" t="s">
        <v>2570</v>
      </c>
      <c r="D1468" t="s">
        <v>2502</v>
      </c>
      <c r="E1468" t="s">
        <v>228</v>
      </c>
      <c r="F1468">
        <v>39.99</v>
      </c>
      <c r="G1468" t="s">
        <v>7014</v>
      </c>
      <c r="H1468">
        <v>0</v>
      </c>
      <c r="I1468" t="s">
        <v>7015</v>
      </c>
      <c r="M1468">
        <v>0</v>
      </c>
      <c r="N1468">
        <v>0</v>
      </c>
      <c r="O1468">
        <v>0</v>
      </c>
      <c r="P1468">
        <v>0</v>
      </c>
    </row>
    <row r="1469" spans="1:16" x14ac:dyDescent="0.2">
      <c r="A1469" t="s">
        <v>2609</v>
      </c>
      <c r="B1469" t="s">
        <v>4597</v>
      </c>
      <c r="C1469" t="s">
        <v>2610</v>
      </c>
      <c r="D1469" t="s">
        <v>2502</v>
      </c>
      <c r="E1469" t="s">
        <v>290</v>
      </c>
      <c r="F1469">
        <v>179.99</v>
      </c>
      <c r="G1469" t="s">
        <v>7014</v>
      </c>
      <c r="H1469">
        <v>0</v>
      </c>
      <c r="I1469" t="s">
        <v>7015</v>
      </c>
      <c r="M1469">
        <v>0</v>
      </c>
      <c r="N1469">
        <v>0</v>
      </c>
      <c r="O1469">
        <v>0</v>
      </c>
      <c r="P1469">
        <v>0</v>
      </c>
    </row>
    <row r="1470" spans="1:16" x14ac:dyDescent="0.2">
      <c r="A1470" t="s">
        <v>6372</v>
      </c>
      <c r="B1470" t="s">
        <v>6374</v>
      </c>
      <c r="C1470" t="s">
        <v>6373</v>
      </c>
      <c r="D1470" t="s">
        <v>2502</v>
      </c>
      <c r="E1470" t="s">
        <v>290</v>
      </c>
      <c r="F1470">
        <v>79.989999999999995</v>
      </c>
      <c r="G1470" t="s">
        <v>7014</v>
      </c>
      <c r="H1470">
        <v>1.1904761904761904E-2</v>
      </c>
      <c r="I1470" t="s">
        <v>7015</v>
      </c>
      <c r="M1470">
        <v>0</v>
      </c>
      <c r="N1470">
        <v>0</v>
      </c>
      <c r="O1470">
        <v>0</v>
      </c>
      <c r="P1470">
        <v>7</v>
      </c>
    </row>
    <row r="1471" spans="1:16" x14ac:dyDescent="0.2">
      <c r="A1471" t="s">
        <v>6335</v>
      </c>
      <c r="B1471" t="s">
        <v>6337</v>
      </c>
      <c r="C1471" t="s">
        <v>6336</v>
      </c>
      <c r="D1471" t="s">
        <v>2502</v>
      </c>
      <c r="E1471" t="s">
        <v>290</v>
      </c>
      <c r="F1471">
        <v>169.99</v>
      </c>
      <c r="G1471" t="s">
        <v>7014</v>
      </c>
      <c r="H1471">
        <v>0</v>
      </c>
      <c r="I1471" t="s">
        <v>7015</v>
      </c>
      <c r="M1471">
        <v>0</v>
      </c>
      <c r="N1471">
        <v>0</v>
      </c>
      <c r="O1471">
        <v>0</v>
      </c>
      <c r="P1471">
        <v>1</v>
      </c>
    </row>
    <row r="1472" spans="1:16" x14ac:dyDescent="0.2">
      <c r="A1472" t="s">
        <v>6240</v>
      </c>
      <c r="B1472" t="s">
        <v>6243</v>
      </c>
      <c r="C1472" t="s">
        <v>6241</v>
      </c>
      <c r="D1472" t="s">
        <v>2502</v>
      </c>
      <c r="E1472" t="s">
        <v>96</v>
      </c>
      <c r="F1472">
        <v>179.99</v>
      </c>
      <c r="G1472" t="s">
        <v>7014</v>
      </c>
      <c r="H1472">
        <v>0</v>
      </c>
      <c r="I1472" t="s">
        <v>7015</v>
      </c>
      <c r="M1472">
        <v>0</v>
      </c>
      <c r="N1472">
        <v>0</v>
      </c>
      <c r="O1472">
        <v>0</v>
      </c>
      <c r="P1472">
        <v>10</v>
      </c>
    </row>
    <row r="1473" spans="1:16" x14ac:dyDescent="0.2">
      <c r="A1473" t="s">
        <v>7112</v>
      </c>
      <c r="B1473" t="s">
        <v>7113</v>
      </c>
      <c r="C1473" t="s">
        <v>7114</v>
      </c>
      <c r="D1473" t="s">
        <v>2502</v>
      </c>
      <c r="E1473" t="s">
        <v>96</v>
      </c>
      <c r="F1473">
        <v>119.99</v>
      </c>
      <c r="G1473" t="s">
        <v>7014</v>
      </c>
      <c r="H1473">
        <v>0</v>
      </c>
      <c r="I1473" t="s">
        <v>7015</v>
      </c>
      <c r="M1473">
        <v>0</v>
      </c>
      <c r="N1473">
        <v>0</v>
      </c>
      <c r="O1473">
        <v>0</v>
      </c>
      <c r="P1473">
        <v>0</v>
      </c>
    </row>
    <row r="1474" spans="1:16" x14ac:dyDescent="0.2">
      <c r="A1474" t="s">
        <v>6317</v>
      </c>
      <c r="B1474" t="s">
        <v>6319</v>
      </c>
      <c r="C1474" t="s">
        <v>7115</v>
      </c>
      <c r="D1474" t="s">
        <v>2502</v>
      </c>
      <c r="E1474" t="s">
        <v>290</v>
      </c>
      <c r="F1474">
        <v>229.99</v>
      </c>
      <c r="G1474" t="s">
        <v>7014</v>
      </c>
      <c r="H1474">
        <v>8.3333333333333329E-2</v>
      </c>
      <c r="I1474" t="s">
        <v>7015</v>
      </c>
      <c r="M1474">
        <v>0</v>
      </c>
      <c r="N1474">
        <v>0</v>
      </c>
      <c r="O1474">
        <v>0</v>
      </c>
      <c r="P1474">
        <v>1</v>
      </c>
    </row>
    <row r="1475" spans="1:16" x14ac:dyDescent="0.2">
      <c r="A1475" t="s">
        <v>6254</v>
      </c>
      <c r="B1475" t="s">
        <v>7116</v>
      </c>
      <c r="C1475" t="s">
        <v>6255</v>
      </c>
      <c r="D1475" t="s">
        <v>2502</v>
      </c>
      <c r="E1475" t="s">
        <v>290</v>
      </c>
      <c r="F1475">
        <v>159.99</v>
      </c>
      <c r="G1475" t="s">
        <v>7014</v>
      </c>
      <c r="H1475">
        <v>0</v>
      </c>
      <c r="I1475" t="s">
        <v>7015</v>
      </c>
      <c r="M1475">
        <v>0</v>
      </c>
      <c r="N1475">
        <v>0</v>
      </c>
      <c r="O1475">
        <v>0</v>
      </c>
      <c r="P1475">
        <v>10</v>
      </c>
    </row>
    <row r="1476" spans="1:16" x14ac:dyDescent="0.2">
      <c r="A1476" t="s">
        <v>6258</v>
      </c>
      <c r="B1476" t="s">
        <v>6260</v>
      </c>
      <c r="C1476" t="s">
        <v>6259</v>
      </c>
      <c r="D1476" t="s">
        <v>2502</v>
      </c>
      <c r="E1476" t="s">
        <v>96</v>
      </c>
      <c r="F1476">
        <v>159.99</v>
      </c>
      <c r="G1476" t="s">
        <v>7014</v>
      </c>
      <c r="H1476">
        <v>0</v>
      </c>
      <c r="I1476" t="s">
        <v>7015</v>
      </c>
      <c r="M1476">
        <v>0</v>
      </c>
      <c r="N1476">
        <v>0</v>
      </c>
      <c r="O1476">
        <v>0</v>
      </c>
      <c r="P1476">
        <v>0</v>
      </c>
    </row>
    <row r="1477" spans="1:16" x14ac:dyDescent="0.2">
      <c r="A1477" t="s">
        <v>6006</v>
      </c>
      <c r="B1477" t="s">
        <v>6008</v>
      </c>
      <c r="C1477" t="s">
        <v>6007</v>
      </c>
      <c r="D1477" t="s">
        <v>2502</v>
      </c>
      <c r="E1477" t="s">
        <v>290</v>
      </c>
      <c r="F1477">
        <v>149.99</v>
      </c>
      <c r="G1477" t="s">
        <v>7014</v>
      </c>
      <c r="H1477">
        <v>0</v>
      </c>
      <c r="I1477" t="s">
        <v>7015</v>
      </c>
      <c r="M1477">
        <v>0</v>
      </c>
      <c r="N1477">
        <v>0</v>
      </c>
      <c r="O1477">
        <v>0</v>
      </c>
      <c r="P1477">
        <v>1</v>
      </c>
    </row>
    <row r="1478" spans="1:16" x14ac:dyDescent="0.2">
      <c r="A1478" t="s">
        <v>6009</v>
      </c>
      <c r="B1478" t="s">
        <v>6011</v>
      </c>
      <c r="C1478" t="s">
        <v>6010</v>
      </c>
      <c r="D1478" t="s">
        <v>2502</v>
      </c>
      <c r="E1478" t="s">
        <v>96</v>
      </c>
      <c r="F1478">
        <v>149.99</v>
      </c>
      <c r="G1478" t="s">
        <v>7014</v>
      </c>
      <c r="H1478">
        <v>0</v>
      </c>
      <c r="I1478" t="s">
        <v>7015</v>
      </c>
      <c r="M1478">
        <v>0</v>
      </c>
      <c r="N1478">
        <v>0</v>
      </c>
      <c r="O1478">
        <v>0</v>
      </c>
      <c r="P1478">
        <v>0</v>
      </c>
    </row>
    <row r="1479" spans="1:16" x14ac:dyDescent="0.2">
      <c r="A1479" t="s">
        <v>6197</v>
      </c>
      <c r="B1479" t="s">
        <v>6199</v>
      </c>
      <c r="C1479" t="s">
        <v>6198</v>
      </c>
      <c r="D1479" t="s">
        <v>2502</v>
      </c>
      <c r="E1479" t="s">
        <v>96</v>
      </c>
      <c r="F1479">
        <v>99.99</v>
      </c>
      <c r="G1479" t="s">
        <v>7014</v>
      </c>
      <c r="H1479">
        <v>0</v>
      </c>
      <c r="I1479" t="s">
        <v>7015</v>
      </c>
      <c r="M1479">
        <v>0</v>
      </c>
      <c r="N1479">
        <v>0</v>
      </c>
      <c r="O1479">
        <v>0</v>
      </c>
      <c r="P1479">
        <v>1</v>
      </c>
    </row>
    <row r="1480" spans="1:16" x14ac:dyDescent="0.2">
      <c r="A1480" t="s">
        <v>7117</v>
      </c>
      <c r="B1480" t="s">
        <v>7118</v>
      </c>
      <c r="C1480" t="s">
        <v>7119</v>
      </c>
      <c r="D1480" t="s">
        <v>2502</v>
      </c>
      <c r="E1480" t="s">
        <v>96</v>
      </c>
      <c r="F1480">
        <v>199.99</v>
      </c>
      <c r="G1480" t="s">
        <v>7014</v>
      </c>
      <c r="H1480">
        <v>0</v>
      </c>
      <c r="I1480" t="s">
        <v>7015</v>
      </c>
      <c r="M1480">
        <v>0</v>
      </c>
      <c r="N1480">
        <v>0</v>
      </c>
      <c r="O1480">
        <v>0</v>
      </c>
      <c r="P1480">
        <v>0</v>
      </c>
    </row>
    <row r="1481" spans="1:16" x14ac:dyDescent="0.2">
      <c r="A1481" t="s">
        <v>6201</v>
      </c>
      <c r="B1481" t="s">
        <v>6203</v>
      </c>
      <c r="C1481" t="s">
        <v>6202</v>
      </c>
      <c r="D1481" t="s">
        <v>2502</v>
      </c>
      <c r="E1481" t="s">
        <v>290</v>
      </c>
      <c r="F1481">
        <v>199.99</v>
      </c>
      <c r="G1481" t="s">
        <v>7014</v>
      </c>
      <c r="H1481">
        <v>0</v>
      </c>
      <c r="I1481" t="s">
        <v>7015</v>
      </c>
      <c r="M1481">
        <v>0</v>
      </c>
      <c r="N1481">
        <v>0</v>
      </c>
      <c r="O1481">
        <v>0</v>
      </c>
      <c r="P1481">
        <v>0</v>
      </c>
    </row>
    <row r="1482" spans="1:16" x14ac:dyDescent="0.2">
      <c r="A1482" t="s">
        <v>2675</v>
      </c>
      <c r="B1482" t="s">
        <v>6299</v>
      </c>
      <c r="C1482" t="s">
        <v>2676</v>
      </c>
      <c r="D1482" t="s">
        <v>2502</v>
      </c>
      <c r="E1482" t="s">
        <v>228</v>
      </c>
      <c r="F1482">
        <v>159.99</v>
      </c>
      <c r="G1482" t="s">
        <v>7014</v>
      </c>
      <c r="H1482">
        <v>0</v>
      </c>
      <c r="I1482" t="s">
        <v>7015</v>
      </c>
      <c r="M1482">
        <v>0</v>
      </c>
      <c r="N1482">
        <v>0</v>
      </c>
      <c r="O1482">
        <v>0</v>
      </c>
      <c r="P1482">
        <v>1</v>
      </c>
    </row>
    <row r="1483" spans="1:16" x14ac:dyDescent="0.2">
      <c r="A1483" t="s">
        <v>7120</v>
      </c>
      <c r="B1483" t="s">
        <v>7121</v>
      </c>
      <c r="C1483" t="s">
        <v>7122</v>
      </c>
      <c r="D1483" t="s">
        <v>2502</v>
      </c>
      <c r="E1483" t="s">
        <v>96</v>
      </c>
      <c r="F1483">
        <v>59.99</v>
      </c>
      <c r="G1483" t="s">
        <v>7014</v>
      </c>
      <c r="H1483">
        <v>0</v>
      </c>
      <c r="I1483" t="s">
        <v>7015</v>
      </c>
      <c r="M1483">
        <v>0</v>
      </c>
      <c r="N1483">
        <v>0</v>
      </c>
      <c r="O1483">
        <v>0</v>
      </c>
      <c r="P1483">
        <v>0</v>
      </c>
    </row>
    <row r="1484" spans="1:16" x14ac:dyDescent="0.2">
      <c r="A1484" t="s">
        <v>2595</v>
      </c>
      <c r="B1484" t="s">
        <v>7123</v>
      </c>
      <c r="C1484" t="s">
        <v>2596</v>
      </c>
      <c r="D1484" t="s">
        <v>2502</v>
      </c>
      <c r="E1484" t="s">
        <v>228</v>
      </c>
      <c r="F1484">
        <v>49.99</v>
      </c>
      <c r="G1484" t="s">
        <v>7014</v>
      </c>
      <c r="H1484">
        <v>0</v>
      </c>
      <c r="I1484" t="s">
        <v>7015</v>
      </c>
      <c r="M1484">
        <v>0</v>
      </c>
      <c r="N1484">
        <v>0</v>
      </c>
      <c r="O1484">
        <v>0</v>
      </c>
      <c r="P1484">
        <v>0</v>
      </c>
    </row>
    <row r="1485" spans="1:16" x14ac:dyDescent="0.2">
      <c r="A1485" t="s">
        <v>2707</v>
      </c>
      <c r="B1485" t="s">
        <v>5994</v>
      </c>
      <c r="C1485" t="s">
        <v>2708</v>
      </c>
      <c r="D1485" t="s">
        <v>2502</v>
      </c>
      <c r="E1485" t="s">
        <v>228</v>
      </c>
      <c r="F1485">
        <v>64.989999999999995</v>
      </c>
      <c r="G1485" t="s">
        <v>7014</v>
      </c>
      <c r="H1485">
        <v>8.3333333333333329E-2</v>
      </c>
      <c r="I1485" t="s">
        <v>7015</v>
      </c>
      <c r="M1485">
        <v>0</v>
      </c>
      <c r="N1485">
        <v>0</v>
      </c>
      <c r="O1485">
        <v>0</v>
      </c>
      <c r="P1485">
        <v>1</v>
      </c>
    </row>
    <row r="1486" spans="1:16" x14ac:dyDescent="0.2">
      <c r="A1486" t="s">
        <v>6162</v>
      </c>
      <c r="B1486" t="s">
        <v>6164</v>
      </c>
      <c r="C1486" t="s">
        <v>6163</v>
      </c>
      <c r="D1486" t="s">
        <v>2502</v>
      </c>
      <c r="E1486" t="s">
        <v>96</v>
      </c>
      <c r="F1486">
        <v>109.99</v>
      </c>
      <c r="G1486" t="s">
        <v>7014</v>
      </c>
      <c r="H1486">
        <v>0</v>
      </c>
      <c r="I1486" t="s">
        <v>7015</v>
      </c>
      <c r="M1486">
        <v>0</v>
      </c>
      <c r="N1486">
        <v>0</v>
      </c>
      <c r="O1486">
        <v>0</v>
      </c>
      <c r="P1486">
        <v>0</v>
      </c>
    </row>
    <row r="1487" spans="1:16" x14ac:dyDescent="0.2">
      <c r="A1487" t="s">
        <v>2587</v>
      </c>
      <c r="B1487" t="s">
        <v>6110</v>
      </c>
      <c r="C1487" t="s">
        <v>2588</v>
      </c>
      <c r="D1487" t="s">
        <v>2502</v>
      </c>
      <c r="E1487" t="s">
        <v>228</v>
      </c>
      <c r="F1487">
        <v>89.99</v>
      </c>
      <c r="G1487" t="s">
        <v>7014</v>
      </c>
      <c r="H1487">
        <v>0</v>
      </c>
      <c r="I1487" t="s">
        <v>7015</v>
      </c>
      <c r="M1487">
        <v>0</v>
      </c>
      <c r="N1487">
        <v>0</v>
      </c>
      <c r="O1487">
        <v>0</v>
      </c>
      <c r="P1487">
        <v>0</v>
      </c>
    </row>
    <row r="1488" spans="1:16" x14ac:dyDescent="0.2">
      <c r="A1488" t="s">
        <v>6073</v>
      </c>
      <c r="B1488" t="s">
        <v>6075</v>
      </c>
      <c r="C1488" t="s">
        <v>6074</v>
      </c>
      <c r="D1488" t="s">
        <v>2502</v>
      </c>
      <c r="E1488" t="s">
        <v>96</v>
      </c>
      <c r="F1488">
        <v>59.99</v>
      </c>
      <c r="G1488" t="s">
        <v>7014</v>
      </c>
      <c r="H1488">
        <v>0</v>
      </c>
      <c r="I1488" t="s">
        <v>7015</v>
      </c>
      <c r="M1488">
        <v>0</v>
      </c>
      <c r="N1488">
        <v>0</v>
      </c>
      <c r="O1488">
        <v>0</v>
      </c>
      <c r="P1488">
        <v>0</v>
      </c>
    </row>
    <row r="1489" spans="1:16" x14ac:dyDescent="0.2">
      <c r="A1489" t="s">
        <v>7124</v>
      </c>
      <c r="B1489" t="s">
        <v>7125</v>
      </c>
      <c r="C1489" t="s">
        <v>7126</v>
      </c>
      <c r="D1489" t="s">
        <v>2502</v>
      </c>
      <c r="E1489" t="s">
        <v>96</v>
      </c>
      <c r="F1489">
        <v>119.99</v>
      </c>
      <c r="G1489" t="s">
        <v>7014</v>
      </c>
      <c r="H1489">
        <v>0</v>
      </c>
      <c r="I1489" t="s">
        <v>7015</v>
      </c>
      <c r="M1489">
        <v>0</v>
      </c>
      <c r="N1489">
        <v>0</v>
      </c>
      <c r="O1489">
        <v>0</v>
      </c>
      <c r="P1489">
        <v>0</v>
      </c>
    </row>
    <row r="1490" spans="1:16" x14ac:dyDescent="0.2">
      <c r="A1490" t="s">
        <v>2639</v>
      </c>
      <c r="B1490" t="s">
        <v>6360</v>
      </c>
      <c r="C1490" t="s">
        <v>2640</v>
      </c>
      <c r="D1490" t="s">
        <v>2502</v>
      </c>
      <c r="E1490" t="s">
        <v>228</v>
      </c>
      <c r="F1490">
        <v>109.99</v>
      </c>
      <c r="G1490" t="s">
        <v>7014</v>
      </c>
      <c r="H1490">
        <v>0</v>
      </c>
      <c r="I1490" t="s">
        <v>7015</v>
      </c>
      <c r="M1490">
        <v>0</v>
      </c>
      <c r="N1490">
        <v>0.16666666666666663</v>
      </c>
      <c r="O1490">
        <v>0</v>
      </c>
      <c r="P1490">
        <v>0</v>
      </c>
    </row>
    <row r="1491" spans="1:16" x14ac:dyDescent="0.2">
      <c r="A1491" t="s">
        <v>6157</v>
      </c>
      <c r="B1491" t="s">
        <v>6159</v>
      </c>
      <c r="C1491" t="s">
        <v>6158</v>
      </c>
      <c r="D1491" t="s">
        <v>2502</v>
      </c>
      <c r="E1491" t="s">
        <v>290</v>
      </c>
      <c r="F1491">
        <v>109.99</v>
      </c>
      <c r="G1491" t="s">
        <v>7014</v>
      </c>
      <c r="H1491">
        <v>3.888888888888889E-2</v>
      </c>
      <c r="I1491" t="s">
        <v>7015</v>
      </c>
      <c r="M1491">
        <v>17.999999999999996</v>
      </c>
      <c r="N1491">
        <v>0.83333333333333348</v>
      </c>
      <c r="O1491">
        <v>0</v>
      </c>
      <c r="P1491">
        <v>15</v>
      </c>
    </row>
    <row r="1492" spans="1:16" x14ac:dyDescent="0.2">
      <c r="A1492" t="s">
        <v>6353</v>
      </c>
      <c r="B1492" t="s">
        <v>7127</v>
      </c>
      <c r="C1492" t="s">
        <v>6354</v>
      </c>
      <c r="D1492" t="s">
        <v>2502</v>
      </c>
      <c r="E1492" t="s">
        <v>96</v>
      </c>
      <c r="F1492">
        <v>129.99</v>
      </c>
      <c r="G1492" t="s">
        <v>7014</v>
      </c>
      <c r="H1492">
        <v>0</v>
      </c>
      <c r="I1492" t="s">
        <v>7015</v>
      </c>
      <c r="M1492">
        <v>0</v>
      </c>
      <c r="N1492">
        <v>0</v>
      </c>
      <c r="O1492">
        <v>0</v>
      </c>
      <c r="P1492">
        <v>0</v>
      </c>
    </row>
    <row r="1493" spans="1:16" x14ac:dyDescent="0.2">
      <c r="A1493" t="s">
        <v>6348</v>
      </c>
      <c r="B1493" t="s">
        <v>6350</v>
      </c>
      <c r="C1493" t="s">
        <v>6349</v>
      </c>
      <c r="D1493" t="s">
        <v>2502</v>
      </c>
      <c r="E1493" t="s">
        <v>290</v>
      </c>
      <c r="F1493">
        <v>129.99</v>
      </c>
      <c r="G1493" t="s">
        <v>7014</v>
      </c>
      <c r="H1493">
        <v>-2.3809523809523808E-2</v>
      </c>
      <c r="I1493" t="s">
        <v>7015</v>
      </c>
      <c r="M1493">
        <v>-42</v>
      </c>
      <c r="N1493">
        <v>-0.16666666666666666</v>
      </c>
      <c r="O1493">
        <v>0</v>
      </c>
      <c r="P1493">
        <v>7</v>
      </c>
    </row>
    <row r="1494" spans="1:16" x14ac:dyDescent="0.2">
      <c r="A1494" t="s">
        <v>7128</v>
      </c>
      <c r="B1494" t="s">
        <v>7129</v>
      </c>
      <c r="C1494" t="s">
        <v>7130</v>
      </c>
      <c r="D1494" t="s">
        <v>2502</v>
      </c>
      <c r="E1494" t="s">
        <v>96</v>
      </c>
      <c r="G1494" t="s">
        <v>7014</v>
      </c>
      <c r="H1494">
        <v>0</v>
      </c>
      <c r="I1494" t="s">
        <v>7015</v>
      </c>
      <c r="M1494">
        <v>0</v>
      </c>
      <c r="N1494">
        <v>0</v>
      </c>
      <c r="P1494">
        <v>0</v>
      </c>
    </row>
    <row r="1495" spans="1:16" x14ac:dyDescent="0.2">
      <c r="A1495" t="s">
        <v>5973</v>
      </c>
      <c r="B1495" t="s">
        <v>5975</v>
      </c>
      <c r="C1495" t="s">
        <v>5974</v>
      </c>
      <c r="D1495" t="s">
        <v>2502</v>
      </c>
      <c r="E1495" t="s">
        <v>290</v>
      </c>
      <c r="F1495">
        <v>79.989999999999995</v>
      </c>
      <c r="G1495" t="s">
        <v>7014</v>
      </c>
      <c r="H1495">
        <v>0</v>
      </c>
      <c r="I1495" t="s">
        <v>7015</v>
      </c>
      <c r="M1495">
        <v>0</v>
      </c>
      <c r="N1495">
        <v>0</v>
      </c>
      <c r="O1495">
        <v>0</v>
      </c>
      <c r="P1495">
        <v>0</v>
      </c>
    </row>
    <row r="1496" spans="1:16" x14ac:dyDescent="0.2">
      <c r="A1496" t="s">
        <v>3632</v>
      </c>
      <c r="B1496" t="s">
        <v>7131</v>
      </c>
      <c r="C1496" t="s">
        <v>2430</v>
      </c>
      <c r="D1496" t="s">
        <v>2425</v>
      </c>
      <c r="E1496" t="s">
        <v>96</v>
      </c>
      <c r="F1496">
        <v>149.99</v>
      </c>
      <c r="G1496" t="s">
        <v>7014</v>
      </c>
      <c r="H1496">
        <v>0</v>
      </c>
      <c r="I1496" t="s">
        <v>290</v>
      </c>
      <c r="M1496">
        <v>0</v>
      </c>
      <c r="N1496">
        <v>0</v>
      </c>
      <c r="O1496">
        <v>0</v>
      </c>
      <c r="P1496">
        <v>0</v>
      </c>
    </row>
    <row r="1497" spans="1:16" x14ac:dyDescent="0.2">
      <c r="A1497" t="s">
        <v>2426</v>
      </c>
      <c r="B1497" t="s">
        <v>3645</v>
      </c>
      <c r="C1497" t="s">
        <v>2427</v>
      </c>
      <c r="D1497" t="s">
        <v>2425</v>
      </c>
      <c r="E1497" t="s">
        <v>290</v>
      </c>
      <c r="F1497">
        <v>179.99</v>
      </c>
      <c r="G1497" t="s">
        <v>7014</v>
      </c>
      <c r="H1497">
        <v>0</v>
      </c>
      <c r="I1497" t="s">
        <v>7015</v>
      </c>
      <c r="M1497">
        <v>0</v>
      </c>
      <c r="N1497">
        <v>0</v>
      </c>
      <c r="O1497">
        <v>0</v>
      </c>
      <c r="P1497">
        <v>0</v>
      </c>
    </row>
    <row r="1498" spans="1:16" x14ac:dyDescent="0.2">
      <c r="A1498" t="s">
        <v>3831</v>
      </c>
      <c r="B1498" t="s">
        <v>7132</v>
      </c>
      <c r="C1498" t="s">
        <v>3832</v>
      </c>
      <c r="D1498" t="s">
        <v>1897</v>
      </c>
      <c r="E1498" t="s">
        <v>96</v>
      </c>
      <c r="F1498">
        <v>49.99</v>
      </c>
      <c r="G1498" t="s">
        <v>7014</v>
      </c>
      <c r="H1498">
        <v>0</v>
      </c>
      <c r="I1498" t="s">
        <v>290</v>
      </c>
      <c r="M1498">
        <v>0</v>
      </c>
      <c r="N1498">
        <v>0</v>
      </c>
      <c r="O1498">
        <v>0</v>
      </c>
      <c r="P1498">
        <v>0</v>
      </c>
    </row>
    <row r="1499" spans="1:16" x14ac:dyDescent="0.2">
      <c r="A1499" t="s">
        <v>4184</v>
      </c>
      <c r="B1499" t="s">
        <v>7133</v>
      </c>
      <c r="C1499" t="s">
        <v>4185</v>
      </c>
      <c r="D1499" t="s">
        <v>1897</v>
      </c>
      <c r="E1499" t="s">
        <v>96</v>
      </c>
      <c r="F1499">
        <v>99.99</v>
      </c>
      <c r="G1499" t="s">
        <v>7014</v>
      </c>
      <c r="H1499">
        <v>0</v>
      </c>
      <c r="I1499" t="s">
        <v>290</v>
      </c>
      <c r="M1499">
        <v>0</v>
      </c>
      <c r="N1499">
        <v>0</v>
      </c>
      <c r="O1499">
        <v>0</v>
      </c>
      <c r="P1499">
        <v>0</v>
      </c>
    </row>
    <row r="1500" spans="1:16" x14ac:dyDescent="0.2">
      <c r="A1500" t="s">
        <v>3914</v>
      </c>
      <c r="B1500" t="s">
        <v>7134</v>
      </c>
      <c r="C1500" t="s">
        <v>3915</v>
      </c>
      <c r="D1500" t="s">
        <v>1897</v>
      </c>
      <c r="E1500" t="s">
        <v>96</v>
      </c>
      <c r="F1500">
        <v>99.99</v>
      </c>
      <c r="G1500" t="s">
        <v>7014</v>
      </c>
      <c r="H1500">
        <v>0</v>
      </c>
      <c r="I1500" t="s">
        <v>290</v>
      </c>
      <c r="M1500">
        <v>0</v>
      </c>
      <c r="N1500">
        <v>0</v>
      </c>
      <c r="O1500">
        <v>0</v>
      </c>
      <c r="P1500">
        <v>0</v>
      </c>
    </row>
    <row r="1501" spans="1:16" x14ac:dyDescent="0.2">
      <c r="A1501" t="s">
        <v>4090</v>
      </c>
      <c r="B1501" t="s">
        <v>7135</v>
      </c>
      <c r="C1501" t="s">
        <v>4091</v>
      </c>
      <c r="D1501" t="s">
        <v>1897</v>
      </c>
      <c r="E1501" t="s">
        <v>96</v>
      </c>
      <c r="F1501">
        <v>54.99</v>
      </c>
      <c r="G1501" t="s">
        <v>7014</v>
      </c>
      <c r="H1501">
        <v>0</v>
      </c>
      <c r="I1501" t="s">
        <v>290</v>
      </c>
      <c r="M1501">
        <v>0</v>
      </c>
      <c r="N1501">
        <v>0</v>
      </c>
      <c r="O1501">
        <v>0</v>
      </c>
      <c r="P1501">
        <v>0</v>
      </c>
    </row>
    <row r="1502" spans="1:16" x14ac:dyDescent="0.2">
      <c r="A1502" t="s">
        <v>4087</v>
      </c>
      <c r="B1502" t="s">
        <v>7136</v>
      </c>
      <c r="C1502" t="s">
        <v>4088</v>
      </c>
      <c r="D1502" t="s">
        <v>1897</v>
      </c>
      <c r="E1502" t="s">
        <v>96</v>
      </c>
      <c r="F1502">
        <v>54.99</v>
      </c>
      <c r="G1502" t="s">
        <v>7014</v>
      </c>
      <c r="H1502">
        <v>0</v>
      </c>
      <c r="I1502" t="s">
        <v>290</v>
      </c>
      <c r="M1502">
        <v>0</v>
      </c>
      <c r="N1502">
        <v>0</v>
      </c>
      <c r="O1502">
        <v>0</v>
      </c>
      <c r="P1502">
        <v>0</v>
      </c>
    </row>
    <row r="1503" spans="1:16" x14ac:dyDescent="0.2">
      <c r="A1503" t="s">
        <v>2429</v>
      </c>
      <c r="B1503" t="s">
        <v>3643</v>
      </c>
      <c r="C1503" t="s">
        <v>2430</v>
      </c>
      <c r="D1503" t="s">
        <v>2425</v>
      </c>
      <c r="E1503" t="s">
        <v>290</v>
      </c>
      <c r="F1503">
        <v>149.99</v>
      </c>
      <c r="G1503" t="s">
        <v>7014</v>
      </c>
      <c r="H1503">
        <v>0</v>
      </c>
      <c r="I1503" t="s">
        <v>7015</v>
      </c>
      <c r="M1503">
        <v>0</v>
      </c>
      <c r="N1503">
        <v>0</v>
      </c>
      <c r="O1503">
        <v>0</v>
      </c>
      <c r="P1503">
        <v>1</v>
      </c>
    </row>
    <row r="1504" spans="1:16" x14ac:dyDescent="0.2">
      <c r="A1504" t="s">
        <v>2643</v>
      </c>
      <c r="B1504" t="s">
        <v>5985</v>
      </c>
      <c r="C1504" t="s">
        <v>2644</v>
      </c>
      <c r="D1504" t="s">
        <v>2502</v>
      </c>
      <c r="E1504" t="s">
        <v>228</v>
      </c>
      <c r="F1504">
        <v>124.99</v>
      </c>
      <c r="G1504" t="s">
        <v>7014</v>
      </c>
      <c r="H1504">
        <v>0.25</v>
      </c>
      <c r="I1504" t="s">
        <v>7015</v>
      </c>
      <c r="M1504">
        <v>2.9999999999999996</v>
      </c>
      <c r="N1504">
        <v>0.33333333333333337</v>
      </c>
      <c r="O1504">
        <v>0</v>
      </c>
      <c r="P1504">
        <v>1</v>
      </c>
    </row>
    <row r="1505" spans="1:16" x14ac:dyDescent="0.2">
      <c r="A1505" t="s">
        <v>7137</v>
      </c>
      <c r="B1505" t="s">
        <v>7138</v>
      </c>
      <c r="C1505" t="s">
        <v>7139</v>
      </c>
      <c r="D1505" t="s">
        <v>2502</v>
      </c>
      <c r="E1505" t="s">
        <v>96</v>
      </c>
      <c r="F1505">
        <v>74.989999999999995</v>
      </c>
      <c r="G1505" t="s">
        <v>7014</v>
      </c>
      <c r="H1505">
        <v>0</v>
      </c>
      <c r="I1505" t="s">
        <v>7015</v>
      </c>
      <c r="M1505">
        <v>0</v>
      </c>
      <c r="N1505">
        <v>0</v>
      </c>
      <c r="O1505">
        <v>0</v>
      </c>
      <c r="P1505">
        <v>0</v>
      </c>
    </row>
    <row r="1506" spans="1:16" x14ac:dyDescent="0.2">
      <c r="A1506" t="s">
        <v>2683</v>
      </c>
      <c r="B1506" t="s">
        <v>7140</v>
      </c>
      <c r="C1506" t="s">
        <v>2684</v>
      </c>
      <c r="D1506" t="s">
        <v>2502</v>
      </c>
      <c r="E1506" t="s">
        <v>290</v>
      </c>
      <c r="F1506">
        <v>89.99</v>
      </c>
      <c r="G1506" t="s">
        <v>7014</v>
      </c>
      <c r="H1506">
        <v>0</v>
      </c>
      <c r="I1506" t="s">
        <v>7015</v>
      </c>
      <c r="M1506">
        <v>0</v>
      </c>
      <c r="N1506">
        <v>0</v>
      </c>
      <c r="O1506">
        <v>0</v>
      </c>
      <c r="P1506">
        <v>0</v>
      </c>
    </row>
    <row r="1507" spans="1:16" x14ac:dyDescent="0.2">
      <c r="A1507" t="s">
        <v>6068</v>
      </c>
      <c r="B1507" t="s">
        <v>6070</v>
      </c>
      <c r="C1507" t="s">
        <v>6069</v>
      </c>
      <c r="D1507" t="s">
        <v>2502</v>
      </c>
      <c r="E1507" t="s">
        <v>96</v>
      </c>
      <c r="F1507">
        <v>59.99</v>
      </c>
      <c r="G1507" t="s">
        <v>7014</v>
      </c>
      <c r="H1507">
        <v>0</v>
      </c>
      <c r="I1507" t="s">
        <v>7015</v>
      </c>
      <c r="M1507">
        <v>0</v>
      </c>
      <c r="N1507">
        <v>0</v>
      </c>
      <c r="O1507">
        <v>0</v>
      </c>
      <c r="P1507">
        <v>0</v>
      </c>
    </row>
    <row r="1508" spans="1:16" x14ac:dyDescent="0.2">
      <c r="A1508" t="s">
        <v>6056</v>
      </c>
      <c r="B1508" t="s">
        <v>6058</v>
      </c>
      <c r="C1508" t="s">
        <v>6057</v>
      </c>
      <c r="D1508" t="s">
        <v>2502</v>
      </c>
      <c r="E1508" t="s">
        <v>96</v>
      </c>
      <c r="F1508">
        <v>59.99</v>
      </c>
      <c r="G1508" t="s">
        <v>7014</v>
      </c>
      <c r="H1508">
        <v>0</v>
      </c>
      <c r="I1508" t="s">
        <v>7015</v>
      </c>
      <c r="M1508">
        <v>0</v>
      </c>
      <c r="N1508">
        <v>0</v>
      </c>
      <c r="O1508">
        <v>0</v>
      </c>
      <c r="P1508">
        <v>0</v>
      </c>
    </row>
    <row r="1509" spans="1:16" x14ac:dyDescent="0.2">
      <c r="A1509" t="s">
        <v>6064</v>
      </c>
      <c r="B1509" t="s">
        <v>6066</v>
      </c>
      <c r="C1509" t="s">
        <v>6065</v>
      </c>
      <c r="D1509" t="s">
        <v>2502</v>
      </c>
      <c r="E1509" t="s">
        <v>96</v>
      </c>
      <c r="F1509">
        <v>59.99</v>
      </c>
      <c r="G1509" t="s">
        <v>7014</v>
      </c>
      <c r="H1509">
        <v>0</v>
      </c>
      <c r="I1509" t="s">
        <v>7015</v>
      </c>
      <c r="M1509">
        <v>0</v>
      </c>
      <c r="N1509">
        <v>0</v>
      </c>
      <c r="O1509">
        <v>0</v>
      </c>
      <c r="P1509">
        <v>0</v>
      </c>
    </row>
    <row r="1510" spans="1:16" x14ac:dyDescent="0.2">
      <c r="A1510" t="s">
        <v>6052</v>
      </c>
      <c r="B1510" t="s">
        <v>6054</v>
      </c>
      <c r="C1510" t="s">
        <v>6053</v>
      </c>
      <c r="D1510" t="s">
        <v>2502</v>
      </c>
      <c r="E1510" t="s">
        <v>96</v>
      </c>
      <c r="F1510">
        <v>59.99</v>
      </c>
      <c r="G1510" t="s">
        <v>7014</v>
      </c>
      <c r="H1510">
        <v>0</v>
      </c>
      <c r="I1510" t="s">
        <v>7015</v>
      </c>
      <c r="M1510">
        <v>0</v>
      </c>
      <c r="N1510">
        <v>0</v>
      </c>
      <c r="O1510">
        <v>0</v>
      </c>
      <c r="P1510">
        <v>0</v>
      </c>
    </row>
    <row r="1511" spans="1:16" x14ac:dyDescent="0.2">
      <c r="A1511" t="s">
        <v>6060</v>
      </c>
      <c r="B1511" t="s">
        <v>6062</v>
      </c>
      <c r="C1511" t="s">
        <v>6061</v>
      </c>
      <c r="D1511" t="s">
        <v>2502</v>
      </c>
      <c r="E1511" t="s">
        <v>290</v>
      </c>
      <c r="F1511">
        <v>59.99</v>
      </c>
      <c r="G1511" t="s">
        <v>7014</v>
      </c>
      <c r="H1511">
        <v>0</v>
      </c>
      <c r="I1511" t="s">
        <v>7015</v>
      </c>
      <c r="M1511">
        <v>0</v>
      </c>
      <c r="N1511">
        <v>0</v>
      </c>
      <c r="O1511">
        <v>0</v>
      </c>
      <c r="P1511">
        <v>0</v>
      </c>
    </row>
    <row r="1512" spans="1:16" x14ac:dyDescent="0.2">
      <c r="A1512" t="s">
        <v>5950</v>
      </c>
      <c r="B1512" t="s">
        <v>5952</v>
      </c>
      <c r="C1512" t="s">
        <v>5951</v>
      </c>
      <c r="D1512" t="s">
        <v>2502</v>
      </c>
      <c r="E1512" t="s">
        <v>96</v>
      </c>
      <c r="F1512">
        <v>119.99</v>
      </c>
      <c r="G1512" t="s">
        <v>7014</v>
      </c>
      <c r="H1512">
        <v>0</v>
      </c>
      <c r="I1512" t="s">
        <v>7015</v>
      </c>
      <c r="M1512">
        <v>0</v>
      </c>
      <c r="N1512">
        <v>0</v>
      </c>
      <c r="O1512">
        <v>0</v>
      </c>
      <c r="P1512">
        <v>0</v>
      </c>
    </row>
    <row r="1513" spans="1:16" x14ac:dyDescent="0.2">
      <c r="A1513" t="s">
        <v>2633</v>
      </c>
      <c r="B1513" t="s">
        <v>6288</v>
      </c>
      <c r="C1513" t="s">
        <v>2634</v>
      </c>
      <c r="D1513" t="s">
        <v>2502</v>
      </c>
      <c r="E1513" t="s">
        <v>228</v>
      </c>
      <c r="F1513">
        <v>189.99</v>
      </c>
      <c r="G1513" t="s">
        <v>7014</v>
      </c>
      <c r="H1513">
        <v>0</v>
      </c>
      <c r="I1513" t="s">
        <v>7015</v>
      </c>
      <c r="M1513">
        <v>0</v>
      </c>
      <c r="N1513">
        <v>0</v>
      </c>
      <c r="O1513">
        <v>0</v>
      </c>
      <c r="P1513">
        <v>0</v>
      </c>
    </row>
    <row r="1514" spans="1:16" x14ac:dyDescent="0.2">
      <c r="A1514" t="s">
        <v>6145</v>
      </c>
      <c r="B1514" t="s">
        <v>7141</v>
      </c>
      <c r="C1514" t="s">
        <v>6146</v>
      </c>
      <c r="D1514" t="s">
        <v>2502</v>
      </c>
      <c r="E1514" t="s">
        <v>290</v>
      </c>
      <c r="F1514">
        <v>69.989999999999995</v>
      </c>
      <c r="G1514" t="s">
        <v>7014</v>
      </c>
      <c r="H1514">
        <v>0</v>
      </c>
      <c r="I1514" t="s">
        <v>7015</v>
      </c>
      <c r="M1514">
        <v>0</v>
      </c>
      <c r="N1514">
        <v>0</v>
      </c>
      <c r="O1514">
        <v>0</v>
      </c>
      <c r="P1514">
        <v>0</v>
      </c>
    </row>
    <row r="1515" spans="1:16" x14ac:dyDescent="0.2">
      <c r="A1515" t="s">
        <v>7142</v>
      </c>
      <c r="B1515" t="s">
        <v>7143</v>
      </c>
      <c r="C1515" t="s">
        <v>7144</v>
      </c>
      <c r="D1515" t="s">
        <v>2502</v>
      </c>
      <c r="E1515" t="s">
        <v>96</v>
      </c>
      <c r="F1515">
        <v>79.989999999999995</v>
      </c>
      <c r="G1515" t="s">
        <v>7014</v>
      </c>
      <c r="H1515">
        <v>0</v>
      </c>
      <c r="I1515" t="s">
        <v>7015</v>
      </c>
      <c r="M1515">
        <v>0</v>
      </c>
      <c r="N1515">
        <v>0</v>
      </c>
      <c r="O1515">
        <v>0</v>
      </c>
      <c r="P1515">
        <v>0</v>
      </c>
    </row>
    <row r="1516" spans="1:16" x14ac:dyDescent="0.2">
      <c r="A1516" t="s">
        <v>5976</v>
      </c>
      <c r="B1516" t="s">
        <v>5978</v>
      </c>
      <c r="C1516" t="s">
        <v>5977</v>
      </c>
      <c r="D1516" t="s">
        <v>2502</v>
      </c>
      <c r="E1516" t="s">
        <v>96</v>
      </c>
      <c r="F1516">
        <v>79.989999999999995</v>
      </c>
      <c r="G1516" t="s">
        <v>7014</v>
      </c>
      <c r="H1516">
        <v>0</v>
      </c>
      <c r="I1516" t="s">
        <v>7015</v>
      </c>
      <c r="M1516">
        <v>0</v>
      </c>
      <c r="N1516">
        <v>0</v>
      </c>
      <c r="O1516">
        <v>0</v>
      </c>
      <c r="P1516">
        <v>1</v>
      </c>
    </row>
    <row r="1517" spans="1:16" x14ac:dyDescent="0.2">
      <c r="A1517" t="s">
        <v>2681</v>
      </c>
      <c r="B1517" t="s">
        <v>6246</v>
      </c>
      <c r="C1517" t="s">
        <v>2682</v>
      </c>
      <c r="D1517" t="s">
        <v>2502</v>
      </c>
      <c r="E1517" t="s">
        <v>290</v>
      </c>
      <c r="F1517">
        <v>89.99</v>
      </c>
      <c r="G1517" t="s">
        <v>7014</v>
      </c>
      <c r="H1517">
        <v>0</v>
      </c>
      <c r="I1517" t="s">
        <v>7015</v>
      </c>
      <c r="M1517">
        <v>0</v>
      </c>
      <c r="N1517">
        <v>0</v>
      </c>
      <c r="O1517">
        <v>0</v>
      </c>
      <c r="P1517">
        <v>5</v>
      </c>
    </row>
    <row r="1518" spans="1:16" x14ac:dyDescent="0.2">
      <c r="A1518" t="s">
        <v>6219</v>
      </c>
      <c r="B1518" t="s">
        <v>6221</v>
      </c>
      <c r="C1518" t="s">
        <v>6220</v>
      </c>
      <c r="D1518" t="s">
        <v>2502</v>
      </c>
      <c r="E1518" t="s">
        <v>290</v>
      </c>
      <c r="F1518">
        <v>89.99</v>
      </c>
      <c r="G1518" t="s">
        <v>7014</v>
      </c>
      <c r="H1518">
        <v>0.16666666666666666</v>
      </c>
      <c r="I1518" t="s">
        <v>7015</v>
      </c>
      <c r="M1518">
        <v>6</v>
      </c>
      <c r="N1518">
        <v>0.16666666666666666</v>
      </c>
      <c r="O1518">
        <v>0</v>
      </c>
      <c r="P1518">
        <v>1</v>
      </c>
    </row>
    <row r="1519" spans="1:16" x14ac:dyDescent="0.2">
      <c r="A1519" t="s">
        <v>6363</v>
      </c>
      <c r="B1519" t="s">
        <v>7145</v>
      </c>
      <c r="C1519" t="s">
        <v>6364</v>
      </c>
      <c r="D1519" t="s">
        <v>2502</v>
      </c>
      <c r="E1519" t="s">
        <v>290</v>
      </c>
      <c r="F1519">
        <v>499.99</v>
      </c>
      <c r="G1519" t="s">
        <v>7014</v>
      </c>
      <c r="H1519">
        <v>0</v>
      </c>
      <c r="I1519" t="s">
        <v>7015</v>
      </c>
      <c r="M1519">
        <v>0</v>
      </c>
      <c r="N1519">
        <v>0</v>
      </c>
      <c r="O1519">
        <v>0</v>
      </c>
      <c r="P1519">
        <v>0</v>
      </c>
    </row>
    <row r="1520" spans="1:16" x14ac:dyDescent="0.2">
      <c r="A1520" t="s">
        <v>6117</v>
      </c>
      <c r="B1520" t="s">
        <v>6119</v>
      </c>
      <c r="C1520" t="s">
        <v>6118</v>
      </c>
      <c r="D1520" t="s">
        <v>2502</v>
      </c>
      <c r="E1520" t="s">
        <v>290</v>
      </c>
      <c r="F1520">
        <v>149.99</v>
      </c>
      <c r="G1520" t="s">
        <v>7014</v>
      </c>
      <c r="H1520">
        <v>0</v>
      </c>
      <c r="I1520" t="s">
        <v>7015</v>
      </c>
      <c r="M1520">
        <v>0</v>
      </c>
      <c r="N1520">
        <v>0</v>
      </c>
      <c r="O1520">
        <v>0</v>
      </c>
      <c r="P1520">
        <v>0</v>
      </c>
    </row>
    <row r="1521" spans="1:16" x14ac:dyDescent="0.2">
      <c r="A1521" t="s">
        <v>6019</v>
      </c>
      <c r="B1521" t="s">
        <v>6021</v>
      </c>
      <c r="C1521" t="s">
        <v>6020</v>
      </c>
      <c r="D1521" t="s">
        <v>2502</v>
      </c>
      <c r="E1521" t="s">
        <v>228</v>
      </c>
      <c r="F1521">
        <v>29.99</v>
      </c>
      <c r="G1521" t="s">
        <v>7014</v>
      </c>
      <c r="H1521">
        <v>0</v>
      </c>
      <c r="I1521" t="s">
        <v>7015</v>
      </c>
      <c r="M1521">
        <v>0</v>
      </c>
      <c r="N1521">
        <v>0</v>
      </c>
      <c r="O1521">
        <v>0</v>
      </c>
      <c r="P1521">
        <v>0</v>
      </c>
    </row>
    <row r="1522" spans="1:16" x14ac:dyDescent="0.2">
      <c r="A1522" t="s">
        <v>6236</v>
      </c>
      <c r="B1522" t="s">
        <v>6238</v>
      </c>
      <c r="C1522" t="s">
        <v>6237</v>
      </c>
      <c r="D1522" t="s">
        <v>2502</v>
      </c>
      <c r="E1522" t="s">
        <v>96</v>
      </c>
      <c r="F1522">
        <v>179.99</v>
      </c>
      <c r="G1522" t="s">
        <v>7014</v>
      </c>
      <c r="H1522">
        <v>0</v>
      </c>
      <c r="I1522" t="s">
        <v>7015</v>
      </c>
      <c r="M1522">
        <v>0</v>
      </c>
      <c r="N1522">
        <v>0</v>
      </c>
      <c r="O1522">
        <v>0</v>
      </c>
      <c r="P1522">
        <v>0</v>
      </c>
    </row>
    <row r="1523" spans="1:16" x14ac:dyDescent="0.2">
      <c r="A1523" t="s">
        <v>6377</v>
      </c>
      <c r="B1523" t="s">
        <v>6379</v>
      </c>
      <c r="C1523" t="s">
        <v>6378</v>
      </c>
      <c r="D1523" t="s">
        <v>2502</v>
      </c>
      <c r="E1523" t="s">
        <v>96</v>
      </c>
      <c r="F1523">
        <v>64.989999999999995</v>
      </c>
      <c r="G1523" t="s">
        <v>7014</v>
      </c>
      <c r="H1523">
        <v>0</v>
      </c>
      <c r="I1523" t="s">
        <v>7015</v>
      </c>
      <c r="M1523">
        <v>0</v>
      </c>
      <c r="N1523">
        <v>0</v>
      </c>
      <c r="O1523">
        <v>0</v>
      </c>
      <c r="P1523">
        <v>7</v>
      </c>
    </row>
    <row r="1524" spans="1:16" x14ac:dyDescent="0.2">
      <c r="A1524" t="s">
        <v>2500</v>
      </c>
      <c r="B1524" t="s">
        <v>7146</v>
      </c>
      <c r="C1524" t="s">
        <v>2501</v>
      </c>
      <c r="D1524" t="s">
        <v>2495</v>
      </c>
      <c r="E1524" t="s">
        <v>290</v>
      </c>
      <c r="F1524">
        <v>159.99</v>
      </c>
      <c r="G1524" t="s">
        <v>7014</v>
      </c>
      <c r="H1524">
        <v>0</v>
      </c>
      <c r="I1524" t="s">
        <v>7015</v>
      </c>
      <c r="M1524">
        <v>0</v>
      </c>
      <c r="N1524">
        <v>0</v>
      </c>
      <c r="O1524">
        <v>0</v>
      </c>
      <c r="P1524">
        <v>0</v>
      </c>
    </row>
    <row r="1525" spans="1:16" x14ac:dyDescent="0.2">
      <c r="A1525" t="s">
        <v>7147</v>
      </c>
      <c r="B1525" t="s">
        <v>7148</v>
      </c>
      <c r="C1525" t="s">
        <v>7149</v>
      </c>
      <c r="D1525" t="s">
        <v>2495</v>
      </c>
      <c r="E1525" t="s">
        <v>228</v>
      </c>
      <c r="F1525">
        <v>1799.99</v>
      </c>
      <c r="G1525" t="s">
        <v>7014</v>
      </c>
      <c r="H1525">
        <v>0</v>
      </c>
      <c r="I1525" t="s">
        <v>290</v>
      </c>
      <c r="M1525">
        <v>0</v>
      </c>
      <c r="N1525">
        <v>0</v>
      </c>
      <c r="O1525">
        <v>0</v>
      </c>
      <c r="P1525">
        <v>0</v>
      </c>
    </row>
    <row r="1526" spans="1:16" x14ac:dyDescent="0.2">
      <c r="A1526" t="s">
        <v>7150</v>
      </c>
      <c r="B1526" t="s">
        <v>7151</v>
      </c>
      <c r="C1526" t="s">
        <v>7152</v>
      </c>
      <c r="D1526" t="s">
        <v>2502</v>
      </c>
      <c r="E1526" t="s">
        <v>290</v>
      </c>
      <c r="F1526">
        <v>89.99</v>
      </c>
      <c r="G1526" t="s">
        <v>7014</v>
      </c>
      <c r="H1526">
        <v>0</v>
      </c>
      <c r="I1526" t="s">
        <v>7015</v>
      </c>
      <c r="M1526">
        <v>0</v>
      </c>
      <c r="N1526">
        <v>0</v>
      </c>
      <c r="O1526">
        <v>0</v>
      </c>
      <c r="P1526">
        <v>0</v>
      </c>
    </row>
    <row r="1527" spans="1:16" x14ac:dyDescent="0.2">
      <c r="A1527" t="s">
        <v>3677</v>
      </c>
      <c r="B1527" t="s">
        <v>3679</v>
      </c>
      <c r="C1527" t="s">
        <v>3678</v>
      </c>
      <c r="D1527" t="s">
        <v>2425</v>
      </c>
      <c r="E1527" t="s">
        <v>96</v>
      </c>
      <c r="F1527">
        <v>99.99</v>
      </c>
      <c r="G1527" t="s">
        <v>7014</v>
      </c>
      <c r="H1527">
        <v>0</v>
      </c>
      <c r="I1527" t="s">
        <v>7015</v>
      </c>
      <c r="M1527">
        <v>0</v>
      </c>
      <c r="N1527">
        <v>0</v>
      </c>
      <c r="O1527">
        <v>0</v>
      </c>
      <c r="P1527">
        <v>0</v>
      </c>
    </row>
    <row r="1528" spans="1:16" x14ac:dyDescent="0.2">
      <c r="A1528" t="s">
        <v>7153</v>
      </c>
      <c r="B1528" t="s">
        <v>7154</v>
      </c>
      <c r="C1528" t="s">
        <v>7155</v>
      </c>
      <c r="D1528" t="s">
        <v>2425</v>
      </c>
      <c r="E1528" t="s">
        <v>96</v>
      </c>
      <c r="F1528">
        <v>49.99</v>
      </c>
      <c r="G1528" t="s">
        <v>7014</v>
      </c>
      <c r="H1528">
        <v>0</v>
      </c>
      <c r="I1528" t="s">
        <v>7015</v>
      </c>
      <c r="M1528">
        <v>0</v>
      </c>
      <c r="N1528">
        <v>0</v>
      </c>
      <c r="O1528">
        <v>0</v>
      </c>
      <c r="P1528">
        <v>0</v>
      </c>
    </row>
    <row r="1529" spans="1:16" x14ac:dyDescent="0.2">
      <c r="A1529" t="s">
        <v>3662</v>
      </c>
      <c r="B1529" t="s">
        <v>7156</v>
      </c>
      <c r="C1529" t="s">
        <v>3663</v>
      </c>
      <c r="D1529" t="s">
        <v>2425</v>
      </c>
      <c r="E1529" t="s">
        <v>96</v>
      </c>
      <c r="F1529">
        <v>49.99</v>
      </c>
      <c r="G1529" t="s">
        <v>7014</v>
      </c>
      <c r="H1529">
        <v>0</v>
      </c>
      <c r="I1529" t="s">
        <v>7015</v>
      </c>
      <c r="M1529">
        <v>0</v>
      </c>
      <c r="N1529">
        <v>0</v>
      </c>
      <c r="O1529">
        <v>0</v>
      </c>
      <c r="P1529">
        <v>0</v>
      </c>
    </row>
    <row r="1530" spans="1:16" x14ac:dyDescent="0.2">
      <c r="A1530" t="s">
        <v>7157</v>
      </c>
      <c r="B1530" t="s">
        <v>7158</v>
      </c>
      <c r="C1530" t="s">
        <v>7159</v>
      </c>
      <c r="D1530" t="s">
        <v>2502</v>
      </c>
      <c r="E1530" t="s">
        <v>96</v>
      </c>
      <c r="F1530">
        <v>89.99</v>
      </c>
      <c r="G1530" t="s">
        <v>7014</v>
      </c>
      <c r="H1530">
        <v>0</v>
      </c>
      <c r="I1530" t="s">
        <v>7015</v>
      </c>
      <c r="M1530">
        <v>0</v>
      </c>
      <c r="N1530">
        <v>0</v>
      </c>
      <c r="O1530">
        <v>0</v>
      </c>
      <c r="P1530">
        <v>0</v>
      </c>
    </row>
    <row r="1531" spans="1:16" x14ac:dyDescent="0.2">
      <c r="A1531" t="s">
        <v>7039</v>
      </c>
      <c r="B1531" t="s">
        <v>7160</v>
      </c>
      <c r="C1531" t="s">
        <v>7040</v>
      </c>
      <c r="D1531" t="s">
        <v>2425</v>
      </c>
      <c r="E1531" t="s">
        <v>96</v>
      </c>
      <c r="F1531">
        <v>69.989999999999995</v>
      </c>
      <c r="G1531" t="s">
        <v>7014</v>
      </c>
      <c r="H1531">
        <v>0</v>
      </c>
      <c r="I1531" t="s">
        <v>7015</v>
      </c>
      <c r="M1531">
        <v>0</v>
      </c>
      <c r="N1531">
        <v>0</v>
      </c>
      <c r="O1531">
        <v>0</v>
      </c>
      <c r="P1531">
        <v>0</v>
      </c>
    </row>
    <row r="1532" spans="1:16" x14ac:dyDescent="0.2">
      <c r="A1532" t="s">
        <v>3695</v>
      </c>
      <c r="B1532" t="s">
        <v>7161</v>
      </c>
      <c r="C1532" t="s">
        <v>3696</v>
      </c>
      <c r="D1532" t="s">
        <v>2425</v>
      </c>
      <c r="E1532" t="s">
        <v>96</v>
      </c>
      <c r="F1532">
        <v>69.989999999999995</v>
      </c>
      <c r="G1532" t="s">
        <v>7014</v>
      </c>
      <c r="H1532">
        <v>0</v>
      </c>
      <c r="I1532" t="s">
        <v>7015</v>
      </c>
      <c r="M1532">
        <v>0</v>
      </c>
      <c r="N1532">
        <v>0</v>
      </c>
      <c r="O1532">
        <v>0</v>
      </c>
      <c r="P1532">
        <v>0</v>
      </c>
    </row>
    <row r="1533" spans="1:16" x14ac:dyDescent="0.2">
      <c r="A1533" t="s">
        <v>2438</v>
      </c>
      <c r="B1533" t="s">
        <v>7162</v>
      </c>
      <c r="C1533" t="s">
        <v>2439</v>
      </c>
      <c r="D1533" t="s">
        <v>2425</v>
      </c>
      <c r="E1533" t="s">
        <v>290</v>
      </c>
      <c r="F1533">
        <v>99.99</v>
      </c>
      <c r="G1533" t="s">
        <v>7014</v>
      </c>
      <c r="H1533">
        <v>0</v>
      </c>
      <c r="I1533" t="s">
        <v>7015</v>
      </c>
      <c r="M1533">
        <v>0</v>
      </c>
      <c r="N1533">
        <v>0</v>
      </c>
      <c r="O1533">
        <v>0</v>
      </c>
      <c r="P1533">
        <v>0</v>
      </c>
    </row>
    <row r="1534" spans="1:16" x14ac:dyDescent="0.2">
      <c r="A1534" t="s">
        <v>3654</v>
      </c>
      <c r="B1534" t="s">
        <v>3657</v>
      </c>
      <c r="C1534" t="s">
        <v>3655</v>
      </c>
      <c r="D1534" t="s">
        <v>2425</v>
      </c>
      <c r="E1534" t="s">
        <v>96</v>
      </c>
      <c r="F1534">
        <v>89.99</v>
      </c>
      <c r="G1534" t="s">
        <v>7014</v>
      </c>
      <c r="H1534">
        <v>0</v>
      </c>
      <c r="I1534" t="s">
        <v>7015</v>
      </c>
      <c r="M1534">
        <v>0</v>
      </c>
      <c r="N1534">
        <v>0</v>
      </c>
      <c r="O1534">
        <v>0</v>
      </c>
      <c r="P1534">
        <v>0</v>
      </c>
    </row>
    <row r="1535" spans="1:16" x14ac:dyDescent="0.2">
      <c r="A1535" t="s">
        <v>3672</v>
      </c>
      <c r="B1535" t="s">
        <v>3675</v>
      </c>
      <c r="C1535" t="s">
        <v>3673</v>
      </c>
      <c r="D1535" t="s">
        <v>2425</v>
      </c>
      <c r="E1535" t="s">
        <v>96</v>
      </c>
      <c r="F1535">
        <v>99.99</v>
      </c>
      <c r="G1535" t="s">
        <v>7014</v>
      </c>
      <c r="H1535">
        <v>0</v>
      </c>
      <c r="I1535" t="s">
        <v>7015</v>
      </c>
      <c r="M1535">
        <v>0</v>
      </c>
      <c r="N1535">
        <v>0</v>
      </c>
      <c r="O1535">
        <v>0</v>
      </c>
      <c r="P1535">
        <v>0</v>
      </c>
    </row>
    <row r="1536" spans="1:16" x14ac:dyDescent="0.2">
      <c r="A1536" t="s">
        <v>3681</v>
      </c>
      <c r="B1536" t="s">
        <v>7163</v>
      </c>
      <c r="C1536" t="s">
        <v>3682</v>
      </c>
      <c r="D1536" t="s">
        <v>2425</v>
      </c>
      <c r="E1536" t="s">
        <v>96</v>
      </c>
      <c r="F1536">
        <v>99.99</v>
      </c>
      <c r="G1536" t="s">
        <v>7014</v>
      </c>
      <c r="H1536">
        <v>0</v>
      </c>
      <c r="I1536" t="s">
        <v>7015</v>
      </c>
      <c r="M1536">
        <v>0</v>
      </c>
      <c r="N1536">
        <v>0</v>
      </c>
      <c r="O1536">
        <v>0</v>
      </c>
      <c r="P1536">
        <v>0</v>
      </c>
    </row>
    <row r="1537" spans="1:16" x14ac:dyDescent="0.2">
      <c r="A1537" t="s">
        <v>5799</v>
      </c>
      <c r="B1537" t="s">
        <v>7164</v>
      </c>
      <c r="C1537" t="s">
        <v>5800</v>
      </c>
      <c r="D1537" t="s">
        <v>2495</v>
      </c>
      <c r="E1537" t="s">
        <v>228</v>
      </c>
      <c r="F1537">
        <v>1199.99</v>
      </c>
      <c r="G1537" t="s">
        <v>7014</v>
      </c>
      <c r="H1537">
        <v>0</v>
      </c>
      <c r="I1537" t="s">
        <v>290</v>
      </c>
      <c r="M1537">
        <v>0</v>
      </c>
      <c r="N1537">
        <v>0</v>
      </c>
      <c r="O1537">
        <v>0</v>
      </c>
      <c r="P1537">
        <v>0</v>
      </c>
    </row>
    <row r="1538" spans="1:16" x14ac:dyDescent="0.2">
      <c r="A1538" t="s">
        <v>3684</v>
      </c>
      <c r="B1538" t="s">
        <v>7165</v>
      </c>
      <c r="C1538" t="s">
        <v>3685</v>
      </c>
      <c r="D1538" t="s">
        <v>2425</v>
      </c>
      <c r="E1538" t="s">
        <v>290</v>
      </c>
      <c r="F1538">
        <v>99.99</v>
      </c>
      <c r="G1538" t="s">
        <v>7014</v>
      </c>
      <c r="H1538">
        <v>0</v>
      </c>
      <c r="I1538" t="s">
        <v>7015</v>
      </c>
      <c r="M1538">
        <v>0</v>
      </c>
      <c r="N1538">
        <v>0</v>
      </c>
      <c r="O1538">
        <v>0</v>
      </c>
      <c r="P1538">
        <v>0</v>
      </c>
    </row>
    <row r="1539" spans="1:16" x14ac:dyDescent="0.2">
      <c r="A1539" t="s">
        <v>7166</v>
      </c>
      <c r="B1539" t="s">
        <v>7167</v>
      </c>
      <c r="C1539" t="s">
        <v>7168</v>
      </c>
      <c r="D1539" t="s">
        <v>2425</v>
      </c>
      <c r="E1539" t="s">
        <v>96</v>
      </c>
      <c r="F1539">
        <v>69.989999999999995</v>
      </c>
      <c r="G1539" t="s">
        <v>7014</v>
      </c>
      <c r="H1539">
        <v>0</v>
      </c>
      <c r="I1539" t="s">
        <v>7015</v>
      </c>
      <c r="M1539">
        <v>0</v>
      </c>
      <c r="N1539">
        <v>0</v>
      </c>
      <c r="O1539">
        <v>0</v>
      </c>
      <c r="P1539">
        <v>0</v>
      </c>
    </row>
    <row r="1540" spans="1:16" x14ac:dyDescent="0.2">
      <c r="A1540" t="s">
        <v>5956</v>
      </c>
      <c r="B1540" t="s">
        <v>7169</v>
      </c>
      <c r="C1540" t="s">
        <v>5957</v>
      </c>
      <c r="D1540" t="s">
        <v>2502</v>
      </c>
      <c r="E1540" t="s">
        <v>290</v>
      </c>
      <c r="F1540">
        <v>59.99</v>
      </c>
      <c r="G1540" t="s">
        <v>7014</v>
      </c>
      <c r="H1540">
        <v>0</v>
      </c>
      <c r="I1540" t="s">
        <v>7015</v>
      </c>
      <c r="M1540">
        <v>0</v>
      </c>
      <c r="N1540">
        <v>0</v>
      </c>
      <c r="O1540">
        <v>0</v>
      </c>
      <c r="P1540">
        <v>0</v>
      </c>
    </row>
    <row r="1541" spans="1:16" x14ac:dyDescent="0.2">
      <c r="A1541" t="s">
        <v>2547</v>
      </c>
      <c r="B1541" t="s">
        <v>7170</v>
      </c>
      <c r="C1541" t="s">
        <v>2548</v>
      </c>
      <c r="D1541" t="s">
        <v>2502</v>
      </c>
      <c r="E1541" t="s">
        <v>290</v>
      </c>
      <c r="F1541">
        <v>59.99</v>
      </c>
      <c r="G1541" t="s">
        <v>7014</v>
      </c>
      <c r="H1541">
        <v>0</v>
      </c>
      <c r="I1541" t="s">
        <v>7015</v>
      </c>
      <c r="M1541">
        <v>0</v>
      </c>
      <c r="N1541">
        <v>0</v>
      </c>
      <c r="O1541">
        <v>0</v>
      </c>
      <c r="P1541">
        <v>0</v>
      </c>
    </row>
    <row r="1542" spans="1:16" x14ac:dyDescent="0.2">
      <c r="A1542" t="s">
        <v>7171</v>
      </c>
      <c r="B1542" t="s">
        <v>7172</v>
      </c>
      <c r="C1542" t="s">
        <v>7173</v>
      </c>
      <c r="D1542" t="s">
        <v>2502</v>
      </c>
      <c r="E1542" t="s">
        <v>290</v>
      </c>
      <c r="F1542">
        <v>39.99</v>
      </c>
      <c r="G1542" t="s">
        <v>7014</v>
      </c>
      <c r="H1542">
        <v>0</v>
      </c>
      <c r="I1542" t="s">
        <v>7015</v>
      </c>
      <c r="M1542">
        <v>0</v>
      </c>
      <c r="N1542">
        <v>0</v>
      </c>
      <c r="O1542">
        <v>0</v>
      </c>
      <c r="P1542">
        <v>0</v>
      </c>
    </row>
    <row r="1543" spans="1:16" x14ac:dyDescent="0.2">
      <c r="A1543" t="s">
        <v>2505</v>
      </c>
      <c r="B1543" t="s">
        <v>6285</v>
      </c>
      <c r="C1543" t="s">
        <v>2506</v>
      </c>
      <c r="D1543" t="s">
        <v>2502</v>
      </c>
      <c r="E1543" t="s">
        <v>228</v>
      </c>
      <c r="F1543">
        <v>119.99</v>
      </c>
      <c r="G1543" t="s">
        <v>7014</v>
      </c>
      <c r="H1543">
        <v>3.7037037037037035E-2</v>
      </c>
      <c r="I1543" t="s">
        <v>7015</v>
      </c>
      <c r="M1543">
        <v>26.999999999999996</v>
      </c>
      <c r="N1543">
        <v>0.33333333333333337</v>
      </c>
      <c r="O1543">
        <v>0</v>
      </c>
      <c r="P1543">
        <v>9</v>
      </c>
    </row>
    <row r="1544" spans="1:16" x14ac:dyDescent="0.2">
      <c r="A1544" t="s">
        <v>4078</v>
      </c>
      <c r="B1544" t="s">
        <v>7174</v>
      </c>
      <c r="C1544" t="s">
        <v>4079</v>
      </c>
      <c r="D1544" t="s">
        <v>1897</v>
      </c>
      <c r="E1544" t="s">
        <v>96</v>
      </c>
      <c r="F1544">
        <v>54.99</v>
      </c>
      <c r="G1544" t="s">
        <v>7014</v>
      </c>
      <c r="H1544">
        <v>0</v>
      </c>
      <c r="I1544" t="s">
        <v>290</v>
      </c>
      <c r="M1544">
        <v>0</v>
      </c>
      <c r="N1544">
        <v>0</v>
      </c>
      <c r="O1544">
        <v>0</v>
      </c>
      <c r="P1544">
        <v>0</v>
      </c>
    </row>
    <row r="1545" spans="1:16" x14ac:dyDescent="0.2">
      <c r="A1545" t="s">
        <v>2541</v>
      </c>
      <c r="B1545" t="s">
        <v>7175</v>
      </c>
      <c r="C1545" t="s">
        <v>2542</v>
      </c>
      <c r="D1545" t="s">
        <v>2502</v>
      </c>
      <c r="E1545" t="s">
        <v>228</v>
      </c>
      <c r="F1545">
        <v>54.99</v>
      </c>
      <c r="G1545" t="s">
        <v>7014</v>
      </c>
      <c r="H1545">
        <v>0</v>
      </c>
      <c r="I1545" t="s">
        <v>7015</v>
      </c>
      <c r="M1545">
        <v>0</v>
      </c>
      <c r="N1545">
        <v>0</v>
      </c>
      <c r="O1545">
        <v>0</v>
      </c>
      <c r="P1545">
        <v>0</v>
      </c>
    </row>
    <row r="1546" spans="1:16" x14ac:dyDescent="0.2">
      <c r="A1546" t="s">
        <v>2549</v>
      </c>
      <c r="B1546" t="s">
        <v>5965</v>
      </c>
      <c r="C1546" t="s">
        <v>2550</v>
      </c>
      <c r="D1546" t="s">
        <v>2502</v>
      </c>
      <c r="E1546" t="s">
        <v>290</v>
      </c>
      <c r="F1546">
        <v>149.99</v>
      </c>
      <c r="G1546" t="s">
        <v>7014</v>
      </c>
      <c r="H1546">
        <v>9.2592592592592587E-3</v>
      </c>
      <c r="I1546" t="s">
        <v>7015</v>
      </c>
      <c r="M1546">
        <v>54</v>
      </c>
      <c r="N1546">
        <v>0.16666666666666666</v>
      </c>
      <c r="O1546">
        <v>0</v>
      </c>
      <c r="P1546">
        <v>9</v>
      </c>
    </row>
    <row r="1547" spans="1:16" x14ac:dyDescent="0.2">
      <c r="A1547" t="s">
        <v>7176</v>
      </c>
      <c r="B1547" t="s">
        <v>7177</v>
      </c>
      <c r="C1547" t="s">
        <v>7178</v>
      </c>
      <c r="D1547" t="s">
        <v>2502</v>
      </c>
      <c r="E1547" t="s">
        <v>96</v>
      </c>
      <c r="F1547">
        <v>59.99</v>
      </c>
      <c r="G1547" t="s">
        <v>7014</v>
      </c>
      <c r="H1547">
        <v>0</v>
      </c>
      <c r="I1547" t="s">
        <v>7015</v>
      </c>
      <c r="M1547">
        <v>0</v>
      </c>
      <c r="N1547">
        <v>0</v>
      </c>
      <c r="O1547">
        <v>0</v>
      </c>
      <c r="P1547">
        <v>0</v>
      </c>
    </row>
    <row r="1548" spans="1:16" x14ac:dyDescent="0.2">
      <c r="A1548" t="s">
        <v>7179</v>
      </c>
      <c r="B1548" t="s">
        <v>7180</v>
      </c>
      <c r="C1548" t="s">
        <v>7181</v>
      </c>
      <c r="D1548" t="s">
        <v>2502</v>
      </c>
      <c r="E1548" t="s">
        <v>96</v>
      </c>
      <c r="F1548">
        <v>49.99</v>
      </c>
      <c r="G1548" t="s">
        <v>7014</v>
      </c>
      <c r="H1548">
        <v>0</v>
      </c>
      <c r="I1548" t="s">
        <v>7015</v>
      </c>
      <c r="M1548">
        <v>0</v>
      </c>
      <c r="N1548">
        <v>0</v>
      </c>
      <c r="O1548">
        <v>0</v>
      </c>
      <c r="P1548">
        <v>0</v>
      </c>
    </row>
    <row r="1549" spans="1:16" x14ac:dyDescent="0.2">
      <c r="A1549" t="s">
        <v>2545</v>
      </c>
      <c r="B1549" t="s">
        <v>7182</v>
      </c>
      <c r="C1549" t="s">
        <v>2546</v>
      </c>
      <c r="D1549" t="s">
        <v>2502</v>
      </c>
      <c r="E1549" t="s">
        <v>228</v>
      </c>
      <c r="F1549">
        <v>79.989999999999995</v>
      </c>
      <c r="G1549" t="s">
        <v>7014</v>
      </c>
      <c r="H1549">
        <v>0</v>
      </c>
      <c r="I1549" t="s">
        <v>7015</v>
      </c>
      <c r="M1549">
        <v>0</v>
      </c>
      <c r="N1549">
        <v>0</v>
      </c>
      <c r="O1549">
        <v>0</v>
      </c>
      <c r="P1549">
        <v>0</v>
      </c>
    </row>
    <row r="1550" spans="1:16" x14ac:dyDescent="0.2">
      <c r="A1550" t="s">
        <v>7183</v>
      </c>
      <c r="B1550" t="s">
        <v>7184</v>
      </c>
      <c r="C1550" t="s">
        <v>7185</v>
      </c>
      <c r="D1550" t="s">
        <v>2502</v>
      </c>
      <c r="E1550" t="s">
        <v>96</v>
      </c>
      <c r="F1550">
        <v>74.989999999999995</v>
      </c>
      <c r="G1550" t="s">
        <v>7014</v>
      </c>
      <c r="H1550">
        <v>0</v>
      </c>
      <c r="I1550" t="s">
        <v>7015</v>
      </c>
      <c r="M1550">
        <v>0</v>
      </c>
      <c r="N1550">
        <v>0</v>
      </c>
      <c r="O1550">
        <v>0</v>
      </c>
      <c r="P1550">
        <v>0</v>
      </c>
    </row>
    <row r="1551" spans="1:16" x14ac:dyDescent="0.2">
      <c r="A1551" t="s">
        <v>2555</v>
      </c>
      <c r="B1551" t="s">
        <v>5932</v>
      </c>
      <c r="C1551" t="s">
        <v>2556</v>
      </c>
      <c r="D1551" t="s">
        <v>2502</v>
      </c>
      <c r="E1551" t="s">
        <v>228</v>
      </c>
      <c r="F1551">
        <v>129.99</v>
      </c>
      <c r="G1551" t="s">
        <v>7014</v>
      </c>
      <c r="H1551">
        <v>0.25</v>
      </c>
      <c r="I1551" t="s">
        <v>7015</v>
      </c>
      <c r="M1551">
        <v>6</v>
      </c>
      <c r="N1551">
        <v>0.16666666666666666</v>
      </c>
      <c r="O1551">
        <v>0</v>
      </c>
      <c r="P1551">
        <v>1</v>
      </c>
    </row>
    <row r="1552" spans="1:16" x14ac:dyDescent="0.2">
      <c r="A1552" t="s">
        <v>2559</v>
      </c>
      <c r="B1552" t="s">
        <v>6173</v>
      </c>
      <c r="C1552" t="s">
        <v>2560</v>
      </c>
      <c r="D1552" t="s">
        <v>2502</v>
      </c>
      <c r="E1552" t="s">
        <v>228</v>
      </c>
      <c r="F1552">
        <v>17.989999999999998</v>
      </c>
      <c r="G1552" t="s">
        <v>7014</v>
      </c>
      <c r="H1552">
        <v>0</v>
      </c>
      <c r="I1552" t="s">
        <v>7015</v>
      </c>
      <c r="M1552">
        <v>0</v>
      </c>
      <c r="N1552">
        <v>0</v>
      </c>
      <c r="O1552">
        <v>0</v>
      </c>
      <c r="P1552">
        <v>0</v>
      </c>
    </row>
    <row r="1553" spans="1:16" x14ac:dyDescent="0.2">
      <c r="A1553" t="s">
        <v>7186</v>
      </c>
      <c r="B1553" t="s">
        <v>7187</v>
      </c>
      <c r="C1553" t="s">
        <v>7188</v>
      </c>
      <c r="D1553" t="s">
        <v>2502</v>
      </c>
      <c r="E1553" t="s">
        <v>96</v>
      </c>
      <c r="F1553">
        <v>79.989999999999995</v>
      </c>
      <c r="G1553" t="s">
        <v>7014</v>
      </c>
      <c r="H1553">
        <v>0</v>
      </c>
      <c r="I1553" t="s">
        <v>7015</v>
      </c>
      <c r="M1553">
        <v>0</v>
      </c>
      <c r="N1553">
        <v>0</v>
      </c>
      <c r="O1553">
        <v>0</v>
      </c>
      <c r="P1553">
        <v>0</v>
      </c>
    </row>
    <row r="1554" spans="1:16" x14ac:dyDescent="0.2">
      <c r="A1554" t="s">
        <v>2553</v>
      </c>
      <c r="B1554" t="s">
        <v>5935</v>
      </c>
      <c r="C1554" t="s">
        <v>2554</v>
      </c>
      <c r="D1554" t="s">
        <v>2502</v>
      </c>
      <c r="E1554" t="s">
        <v>228</v>
      </c>
      <c r="F1554">
        <v>129.99</v>
      </c>
      <c r="G1554" t="s">
        <v>7014</v>
      </c>
      <c r="H1554">
        <v>0</v>
      </c>
      <c r="I1554" t="s">
        <v>7015</v>
      </c>
      <c r="M1554">
        <v>0</v>
      </c>
      <c r="N1554">
        <v>0.33333333333333326</v>
      </c>
      <c r="O1554">
        <v>0</v>
      </c>
      <c r="P1554">
        <v>0</v>
      </c>
    </row>
    <row r="1555" spans="1:16" x14ac:dyDescent="0.2">
      <c r="A1555" t="s">
        <v>2436</v>
      </c>
      <c r="B1555" t="s">
        <v>3637</v>
      </c>
      <c r="C1555" t="s">
        <v>2437</v>
      </c>
      <c r="D1555" t="s">
        <v>2425</v>
      </c>
      <c r="E1555" t="s">
        <v>290</v>
      </c>
      <c r="F1555">
        <v>159.99</v>
      </c>
      <c r="G1555" t="s">
        <v>7014</v>
      </c>
      <c r="H1555">
        <v>0</v>
      </c>
      <c r="I1555" t="s">
        <v>7015</v>
      </c>
      <c r="M1555">
        <v>0</v>
      </c>
      <c r="N1555">
        <v>0</v>
      </c>
      <c r="O1555">
        <v>0</v>
      </c>
      <c r="P1555">
        <v>1</v>
      </c>
    </row>
    <row r="1556" spans="1:16" x14ac:dyDescent="0.2">
      <c r="A1556" t="s">
        <v>2725</v>
      </c>
      <c r="B1556" t="s">
        <v>7189</v>
      </c>
      <c r="C1556" t="s">
        <v>2726</v>
      </c>
      <c r="D1556" t="s">
        <v>2502</v>
      </c>
      <c r="E1556" t="s">
        <v>228</v>
      </c>
      <c r="F1556">
        <v>59.99</v>
      </c>
      <c r="G1556" t="s">
        <v>7014</v>
      </c>
      <c r="H1556">
        <v>0</v>
      </c>
      <c r="I1556" t="s">
        <v>7015</v>
      </c>
      <c r="M1556">
        <v>0</v>
      </c>
      <c r="N1556">
        <v>0</v>
      </c>
      <c r="O1556">
        <v>0</v>
      </c>
      <c r="P1556">
        <v>0</v>
      </c>
    </row>
    <row r="1557" spans="1:16" x14ac:dyDescent="0.2">
      <c r="A1557" t="s">
        <v>3634</v>
      </c>
      <c r="B1557" t="s">
        <v>7190</v>
      </c>
      <c r="C1557" t="s">
        <v>3635</v>
      </c>
      <c r="D1557" t="s">
        <v>2425</v>
      </c>
      <c r="E1557" t="s">
        <v>96</v>
      </c>
      <c r="F1557">
        <v>149.99</v>
      </c>
      <c r="G1557" t="s">
        <v>7014</v>
      </c>
      <c r="H1557">
        <v>0</v>
      </c>
      <c r="I1557" t="s">
        <v>290</v>
      </c>
      <c r="M1557">
        <v>0</v>
      </c>
      <c r="N1557">
        <v>0</v>
      </c>
      <c r="O1557">
        <v>0</v>
      </c>
      <c r="P1557">
        <v>0</v>
      </c>
    </row>
    <row r="1558" spans="1:16" x14ac:dyDescent="0.2">
      <c r="A1558" t="s">
        <v>7191</v>
      </c>
      <c r="B1558" t="s">
        <v>7192</v>
      </c>
      <c r="C1558" t="s">
        <v>7193</v>
      </c>
      <c r="D1558" t="s">
        <v>2425</v>
      </c>
      <c r="E1558" t="s">
        <v>96</v>
      </c>
      <c r="F1558">
        <v>179.99</v>
      </c>
      <c r="G1558" t="s">
        <v>7014</v>
      </c>
      <c r="H1558">
        <v>0</v>
      </c>
      <c r="I1558" t="s">
        <v>290</v>
      </c>
      <c r="M1558">
        <v>0</v>
      </c>
      <c r="N1558">
        <v>0</v>
      </c>
      <c r="O1558">
        <v>0</v>
      </c>
      <c r="P1558">
        <v>0</v>
      </c>
    </row>
    <row r="1559" spans="1:16" x14ac:dyDescent="0.2">
      <c r="A1559" t="s">
        <v>2467</v>
      </c>
      <c r="B1559" t="s">
        <v>5726</v>
      </c>
      <c r="C1559" t="s">
        <v>2468</v>
      </c>
      <c r="D1559" t="s">
        <v>2448</v>
      </c>
      <c r="E1559" t="s">
        <v>96</v>
      </c>
      <c r="F1559">
        <v>59.99</v>
      </c>
      <c r="G1559" t="s">
        <v>7014</v>
      </c>
      <c r="H1559">
        <v>0</v>
      </c>
      <c r="I1559" t="s">
        <v>290</v>
      </c>
      <c r="M1559">
        <v>0</v>
      </c>
      <c r="N1559">
        <v>0</v>
      </c>
      <c r="O1559">
        <v>0</v>
      </c>
      <c r="P1559">
        <v>0</v>
      </c>
    </row>
    <row r="1560" spans="1:16" x14ac:dyDescent="0.2">
      <c r="A1560" t="s">
        <v>2465</v>
      </c>
      <c r="B1560" t="s">
        <v>5722</v>
      </c>
      <c r="C1560" t="s">
        <v>2466</v>
      </c>
      <c r="D1560" t="s">
        <v>2448</v>
      </c>
      <c r="E1560" t="s">
        <v>96</v>
      </c>
      <c r="F1560">
        <v>59.99</v>
      </c>
      <c r="G1560" t="s">
        <v>7014</v>
      </c>
      <c r="H1560">
        <v>0</v>
      </c>
      <c r="I1560" t="s">
        <v>7015</v>
      </c>
      <c r="M1560">
        <v>0</v>
      </c>
      <c r="N1560">
        <v>0</v>
      </c>
      <c r="O1560">
        <v>0</v>
      </c>
      <c r="P1560">
        <v>0</v>
      </c>
    </row>
    <row r="1561" spans="1:16" x14ac:dyDescent="0.2">
      <c r="A1561" t="s">
        <v>2463</v>
      </c>
      <c r="B1561" t="s">
        <v>5724</v>
      </c>
      <c r="C1561" t="s">
        <v>2464</v>
      </c>
      <c r="D1561" t="s">
        <v>2448</v>
      </c>
      <c r="E1561" t="s">
        <v>96</v>
      </c>
      <c r="F1561">
        <v>59.99</v>
      </c>
      <c r="G1561" t="s">
        <v>7014</v>
      </c>
      <c r="H1561">
        <v>0</v>
      </c>
      <c r="I1561" t="s">
        <v>290</v>
      </c>
      <c r="M1561">
        <v>0</v>
      </c>
      <c r="N1561">
        <v>0</v>
      </c>
      <c r="O1561">
        <v>0</v>
      </c>
      <c r="P1561">
        <v>10</v>
      </c>
    </row>
    <row r="1562" spans="1:16" x14ac:dyDescent="0.2">
      <c r="A1562" t="s">
        <v>2551</v>
      </c>
      <c r="B1562" t="s">
        <v>5964</v>
      </c>
      <c r="C1562" t="s">
        <v>2552</v>
      </c>
      <c r="D1562" t="s">
        <v>2502</v>
      </c>
      <c r="E1562" t="s">
        <v>290</v>
      </c>
      <c r="F1562">
        <v>149.99</v>
      </c>
      <c r="G1562" t="s">
        <v>7014</v>
      </c>
      <c r="H1562">
        <v>0</v>
      </c>
      <c r="I1562" t="s">
        <v>7015</v>
      </c>
      <c r="M1562">
        <v>0</v>
      </c>
      <c r="N1562">
        <v>0</v>
      </c>
      <c r="O1562">
        <v>0</v>
      </c>
      <c r="P1562">
        <v>1</v>
      </c>
    </row>
    <row r="1563" spans="1:16" x14ac:dyDescent="0.2">
      <c r="A1563" t="s">
        <v>2567</v>
      </c>
      <c r="B1563" t="s">
        <v>6393</v>
      </c>
      <c r="C1563" t="s">
        <v>2568</v>
      </c>
      <c r="D1563" t="s">
        <v>2502</v>
      </c>
      <c r="E1563" t="s">
        <v>228</v>
      </c>
      <c r="F1563">
        <v>79.989999999999995</v>
      </c>
      <c r="G1563" t="s">
        <v>7014</v>
      </c>
      <c r="H1563">
        <v>0.125</v>
      </c>
      <c r="I1563" t="s">
        <v>7015</v>
      </c>
      <c r="M1563">
        <v>0</v>
      </c>
      <c r="N1563">
        <v>0</v>
      </c>
      <c r="O1563">
        <v>0</v>
      </c>
      <c r="P1563">
        <v>2</v>
      </c>
    </row>
    <row r="1564" spans="1:16" x14ac:dyDescent="0.2">
      <c r="A1564" t="s">
        <v>6167</v>
      </c>
      <c r="B1564" t="s">
        <v>7194</v>
      </c>
      <c r="C1564" t="s">
        <v>6168</v>
      </c>
      <c r="D1564" t="s">
        <v>2502</v>
      </c>
      <c r="E1564" t="s">
        <v>228</v>
      </c>
      <c r="F1564">
        <v>29.99</v>
      </c>
      <c r="G1564" t="s">
        <v>7014</v>
      </c>
      <c r="H1564">
        <v>0</v>
      </c>
      <c r="I1564" t="s">
        <v>7015</v>
      </c>
      <c r="M1564">
        <v>0</v>
      </c>
      <c r="N1564">
        <v>0</v>
      </c>
      <c r="O1564">
        <v>0</v>
      </c>
      <c r="P1564">
        <v>0</v>
      </c>
    </row>
    <row r="1565" spans="1:16" x14ac:dyDescent="0.2">
      <c r="A1565" t="s">
        <v>2469</v>
      </c>
      <c r="B1565" t="s">
        <v>5727</v>
      </c>
      <c r="C1565" t="s">
        <v>2470</v>
      </c>
      <c r="D1565" t="s">
        <v>2448</v>
      </c>
      <c r="E1565" t="s">
        <v>96</v>
      </c>
      <c r="F1565">
        <v>59.99</v>
      </c>
      <c r="G1565" t="s">
        <v>7014</v>
      </c>
      <c r="H1565">
        <v>8.3333333333333329E-2</v>
      </c>
      <c r="I1565" t="s">
        <v>290</v>
      </c>
      <c r="M1565">
        <v>0</v>
      </c>
      <c r="N1565">
        <v>0</v>
      </c>
      <c r="O1565">
        <v>0</v>
      </c>
      <c r="P1565">
        <v>1</v>
      </c>
    </row>
    <row r="1566" spans="1:16" x14ac:dyDescent="0.2">
      <c r="A1566" t="s">
        <v>7195</v>
      </c>
      <c r="B1566" t="s">
        <v>7196</v>
      </c>
      <c r="C1566" t="s">
        <v>7197</v>
      </c>
      <c r="D1566" t="s">
        <v>2502</v>
      </c>
      <c r="E1566" t="s">
        <v>96</v>
      </c>
      <c r="F1566">
        <v>99.99</v>
      </c>
      <c r="G1566" t="s">
        <v>7014</v>
      </c>
      <c r="H1566">
        <v>0</v>
      </c>
      <c r="I1566" t="s">
        <v>7015</v>
      </c>
      <c r="M1566">
        <v>0</v>
      </c>
      <c r="N1566">
        <v>0</v>
      </c>
      <c r="O1566">
        <v>0</v>
      </c>
      <c r="P1566">
        <v>0</v>
      </c>
    </row>
    <row r="1567" spans="1:16" x14ac:dyDescent="0.2">
      <c r="A1567" t="s">
        <v>6214</v>
      </c>
      <c r="B1567" t="s">
        <v>6216</v>
      </c>
      <c r="C1567" t="s">
        <v>6215</v>
      </c>
      <c r="D1567" t="s">
        <v>2502</v>
      </c>
      <c r="E1567" t="s">
        <v>228</v>
      </c>
      <c r="F1567">
        <v>59.99</v>
      </c>
      <c r="G1567" t="s">
        <v>7014</v>
      </c>
      <c r="H1567">
        <v>0</v>
      </c>
      <c r="I1567" t="s">
        <v>7015</v>
      </c>
      <c r="M1567">
        <v>0</v>
      </c>
      <c r="N1567">
        <v>0</v>
      </c>
      <c r="O1567">
        <v>0</v>
      </c>
      <c r="P1567">
        <v>0</v>
      </c>
    </row>
    <row r="1568" spans="1:16" x14ac:dyDescent="0.2">
      <c r="A1568" t="s">
        <v>6206</v>
      </c>
      <c r="B1568" t="s">
        <v>6208</v>
      </c>
      <c r="C1568" t="s">
        <v>6207</v>
      </c>
      <c r="D1568" t="s">
        <v>2502</v>
      </c>
      <c r="E1568" t="s">
        <v>228</v>
      </c>
      <c r="F1568">
        <v>59.99</v>
      </c>
      <c r="G1568" t="s">
        <v>7014</v>
      </c>
      <c r="H1568">
        <v>0</v>
      </c>
      <c r="I1568" t="s">
        <v>7015</v>
      </c>
      <c r="M1568">
        <v>0</v>
      </c>
      <c r="N1568">
        <v>0</v>
      </c>
      <c r="O1568">
        <v>0</v>
      </c>
      <c r="P1568">
        <v>0</v>
      </c>
    </row>
    <row r="1569" spans="1:16" x14ac:dyDescent="0.2">
      <c r="A1569" t="s">
        <v>2667</v>
      </c>
      <c r="B1569" t="s">
        <v>6314</v>
      </c>
      <c r="C1569" t="s">
        <v>2668</v>
      </c>
      <c r="D1569" t="s">
        <v>2502</v>
      </c>
      <c r="E1569" t="s">
        <v>228</v>
      </c>
      <c r="F1569">
        <v>99.99</v>
      </c>
      <c r="G1569" t="s">
        <v>7014</v>
      </c>
      <c r="H1569">
        <v>0</v>
      </c>
      <c r="I1569" t="s">
        <v>7015</v>
      </c>
      <c r="M1569">
        <v>0</v>
      </c>
      <c r="N1569">
        <v>0</v>
      </c>
      <c r="O1569">
        <v>0</v>
      </c>
      <c r="P1569">
        <v>0</v>
      </c>
    </row>
    <row r="1570" spans="1:16" x14ac:dyDescent="0.2">
      <c r="A1570" t="s">
        <v>6309</v>
      </c>
      <c r="B1570" t="s">
        <v>6311</v>
      </c>
      <c r="C1570" t="s">
        <v>6310</v>
      </c>
      <c r="D1570" t="s">
        <v>2502</v>
      </c>
      <c r="E1570" t="s">
        <v>290</v>
      </c>
      <c r="F1570">
        <v>99.99</v>
      </c>
      <c r="G1570" t="s">
        <v>7014</v>
      </c>
      <c r="H1570">
        <v>0</v>
      </c>
      <c r="I1570" t="s">
        <v>7015</v>
      </c>
      <c r="M1570">
        <v>0</v>
      </c>
      <c r="N1570">
        <v>0</v>
      </c>
      <c r="O1570">
        <v>0</v>
      </c>
      <c r="P1570">
        <v>0</v>
      </c>
    </row>
    <row r="1571" spans="1:16" x14ac:dyDescent="0.2">
      <c r="A1571" t="s">
        <v>2671</v>
      </c>
      <c r="C1571" t="s">
        <v>2672</v>
      </c>
      <c r="D1571" t="s">
        <v>2502</v>
      </c>
      <c r="E1571" t="s">
        <v>228</v>
      </c>
      <c r="F1571">
        <v>229.99</v>
      </c>
      <c r="G1571" t="s">
        <v>7014</v>
      </c>
      <c r="H1571">
        <v>0</v>
      </c>
      <c r="I1571" t="s">
        <v>7015</v>
      </c>
      <c r="M1571">
        <v>0</v>
      </c>
      <c r="N1571">
        <v>0</v>
      </c>
      <c r="O1571">
        <v>0</v>
      </c>
      <c r="P1571">
        <v>0</v>
      </c>
    </row>
    <row r="1572" spans="1:16" x14ac:dyDescent="0.2">
      <c r="A1572" t="s">
        <v>2431</v>
      </c>
      <c r="B1572" t="s">
        <v>3640</v>
      </c>
      <c r="C1572" t="s">
        <v>2432</v>
      </c>
      <c r="D1572" t="s">
        <v>2425</v>
      </c>
      <c r="E1572" t="s">
        <v>290</v>
      </c>
      <c r="F1572">
        <v>179.99</v>
      </c>
      <c r="G1572" t="s">
        <v>7014</v>
      </c>
      <c r="H1572">
        <v>0</v>
      </c>
      <c r="I1572" t="s">
        <v>7015</v>
      </c>
      <c r="M1572">
        <v>0</v>
      </c>
      <c r="N1572">
        <v>0</v>
      </c>
      <c r="O1572">
        <v>0</v>
      </c>
      <c r="P1572">
        <v>0</v>
      </c>
    </row>
    <row r="1573" spans="1:16" x14ac:dyDescent="0.2">
      <c r="A1573" t="s">
        <v>7198</v>
      </c>
      <c r="B1573" t="s">
        <v>7199</v>
      </c>
      <c r="C1573" t="s">
        <v>7200</v>
      </c>
      <c r="D1573" t="s">
        <v>2425</v>
      </c>
      <c r="E1573" t="s">
        <v>96</v>
      </c>
      <c r="F1573">
        <v>89.99</v>
      </c>
      <c r="G1573" t="s">
        <v>7014</v>
      </c>
      <c r="H1573">
        <v>0</v>
      </c>
      <c r="I1573" t="s">
        <v>290</v>
      </c>
      <c r="M1573">
        <v>0</v>
      </c>
      <c r="N1573">
        <v>0</v>
      </c>
      <c r="O1573">
        <v>0</v>
      </c>
      <c r="P1573">
        <v>0</v>
      </c>
    </row>
    <row r="1574" spans="1:16" x14ac:dyDescent="0.2">
      <c r="A1574" t="s">
        <v>3669</v>
      </c>
      <c r="B1574" t="s">
        <v>7201</v>
      </c>
      <c r="C1574" t="s">
        <v>3670</v>
      </c>
      <c r="D1574" t="s">
        <v>2425</v>
      </c>
      <c r="E1574" t="s">
        <v>96</v>
      </c>
      <c r="F1574">
        <v>89.99</v>
      </c>
      <c r="G1574" t="s">
        <v>7014</v>
      </c>
      <c r="H1574">
        <v>0</v>
      </c>
      <c r="I1574" t="s">
        <v>7015</v>
      </c>
      <c r="M1574">
        <v>0</v>
      </c>
      <c r="N1574">
        <v>0</v>
      </c>
      <c r="O1574">
        <v>0</v>
      </c>
      <c r="P1574">
        <v>0</v>
      </c>
    </row>
    <row r="1575" spans="1:16" x14ac:dyDescent="0.2">
      <c r="A1575" t="s">
        <v>2443</v>
      </c>
      <c r="B1575" t="s">
        <v>7202</v>
      </c>
      <c r="C1575" t="s">
        <v>2444</v>
      </c>
      <c r="D1575" t="s">
        <v>2425</v>
      </c>
      <c r="E1575" t="s">
        <v>290</v>
      </c>
      <c r="F1575">
        <v>129.99</v>
      </c>
      <c r="G1575" t="s">
        <v>7014</v>
      </c>
      <c r="H1575">
        <v>0</v>
      </c>
      <c r="I1575" t="s">
        <v>290</v>
      </c>
      <c r="M1575">
        <v>0</v>
      </c>
      <c r="N1575">
        <v>0</v>
      </c>
      <c r="O1575">
        <v>0</v>
      </c>
      <c r="P1575">
        <v>0</v>
      </c>
    </row>
    <row r="1576" spans="1:16" x14ac:dyDescent="0.2">
      <c r="A1576" t="s">
        <v>3659</v>
      </c>
      <c r="B1576" t="s">
        <v>7203</v>
      </c>
      <c r="C1576" t="s">
        <v>3660</v>
      </c>
      <c r="D1576" t="s">
        <v>2425</v>
      </c>
      <c r="E1576" t="s">
        <v>96</v>
      </c>
      <c r="F1576">
        <v>49.99</v>
      </c>
      <c r="G1576" t="s">
        <v>7014</v>
      </c>
      <c r="H1576">
        <v>0</v>
      </c>
      <c r="I1576" t="s">
        <v>7015</v>
      </c>
      <c r="M1576">
        <v>0</v>
      </c>
      <c r="N1576">
        <v>0</v>
      </c>
      <c r="O1576">
        <v>0</v>
      </c>
      <c r="P1576">
        <v>0</v>
      </c>
    </row>
    <row r="1577" spans="1:16" x14ac:dyDescent="0.2">
      <c r="A1577" t="s">
        <v>3665</v>
      </c>
      <c r="B1577" t="s">
        <v>3668</v>
      </c>
      <c r="C1577" t="s">
        <v>3666</v>
      </c>
      <c r="D1577" t="s">
        <v>2425</v>
      </c>
      <c r="E1577" t="s">
        <v>96</v>
      </c>
      <c r="F1577">
        <v>39.99</v>
      </c>
      <c r="G1577" t="s">
        <v>7014</v>
      </c>
      <c r="H1577">
        <v>0</v>
      </c>
      <c r="I1577" t="s">
        <v>7015</v>
      </c>
      <c r="M1577">
        <v>0</v>
      </c>
      <c r="N1577">
        <v>0</v>
      </c>
      <c r="O1577">
        <v>0</v>
      </c>
      <c r="P1577">
        <v>0</v>
      </c>
    </row>
    <row r="1578" spans="1:16" x14ac:dyDescent="0.2">
      <c r="A1578" t="s">
        <v>7204</v>
      </c>
      <c r="B1578" t="s">
        <v>7205</v>
      </c>
      <c r="C1578" t="s">
        <v>7206</v>
      </c>
      <c r="D1578" t="s">
        <v>7207</v>
      </c>
      <c r="E1578" t="s">
        <v>96</v>
      </c>
      <c r="G1578" t="s">
        <v>7014</v>
      </c>
      <c r="H1578">
        <v>0</v>
      </c>
      <c r="I1578" t="s">
        <v>290</v>
      </c>
      <c r="M1578">
        <v>0</v>
      </c>
      <c r="N1578">
        <v>0</v>
      </c>
      <c r="P1578">
        <v>0</v>
      </c>
    </row>
    <row r="1579" spans="1:16" x14ac:dyDescent="0.2">
      <c r="A1579" t="s">
        <v>5802</v>
      </c>
      <c r="B1579" t="s">
        <v>7208</v>
      </c>
      <c r="C1579" t="s">
        <v>5803</v>
      </c>
      <c r="D1579" t="s">
        <v>2495</v>
      </c>
      <c r="E1579" t="s">
        <v>96</v>
      </c>
      <c r="F1579">
        <v>519.99</v>
      </c>
      <c r="G1579" t="s">
        <v>7014</v>
      </c>
      <c r="H1579">
        <v>0</v>
      </c>
      <c r="I1579" t="s">
        <v>7015</v>
      </c>
      <c r="M1579">
        <v>0</v>
      </c>
      <c r="N1579">
        <v>0</v>
      </c>
      <c r="O1579">
        <v>0</v>
      </c>
      <c r="P1579">
        <v>0</v>
      </c>
    </row>
    <row r="1580" spans="1:16" x14ac:dyDescent="0.2">
      <c r="A1580" t="s">
        <v>2498</v>
      </c>
      <c r="B1580" t="s">
        <v>7209</v>
      </c>
      <c r="C1580" t="s">
        <v>2499</v>
      </c>
      <c r="D1580" t="s">
        <v>2495</v>
      </c>
      <c r="E1580" t="s">
        <v>290</v>
      </c>
      <c r="F1580">
        <v>159.99</v>
      </c>
      <c r="G1580" t="s">
        <v>7014</v>
      </c>
      <c r="H1580">
        <v>0</v>
      </c>
      <c r="I1580" t="s">
        <v>7015</v>
      </c>
      <c r="M1580">
        <v>0</v>
      </c>
      <c r="N1580">
        <v>0</v>
      </c>
      <c r="O1580">
        <v>0</v>
      </c>
      <c r="P1580">
        <v>0</v>
      </c>
    </row>
    <row r="1581" spans="1:16" x14ac:dyDescent="0.2">
      <c r="A1581" t="s">
        <v>5806</v>
      </c>
      <c r="B1581" t="s">
        <v>7210</v>
      </c>
      <c r="C1581" t="s">
        <v>5807</v>
      </c>
      <c r="D1581" t="s">
        <v>2495</v>
      </c>
      <c r="E1581" t="s">
        <v>290</v>
      </c>
      <c r="F1581">
        <v>159.99</v>
      </c>
      <c r="G1581" t="s">
        <v>7014</v>
      </c>
      <c r="H1581">
        <v>0</v>
      </c>
      <c r="I1581" t="s">
        <v>7015</v>
      </c>
      <c r="M1581">
        <v>0</v>
      </c>
      <c r="N1581">
        <v>0</v>
      </c>
      <c r="O1581">
        <v>0</v>
      </c>
      <c r="P1581">
        <v>0</v>
      </c>
    </row>
    <row r="1582" spans="1:16" x14ac:dyDescent="0.2">
      <c r="A1582" t="s">
        <v>5810</v>
      </c>
      <c r="B1582" t="s">
        <v>7211</v>
      </c>
      <c r="C1582" t="s">
        <v>5811</v>
      </c>
      <c r="D1582" t="s">
        <v>2495</v>
      </c>
      <c r="E1582" t="s">
        <v>96</v>
      </c>
      <c r="F1582">
        <v>349.99</v>
      </c>
      <c r="G1582" t="s">
        <v>7014</v>
      </c>
      <c r="H1582">
        <v>0</v>
      </c>
      <c r="I1582" t="s">
        <v>7015</v>
      </c>
      <c r="M1582">
        <v>0</v>
      </c>
      <c r="N1582">
        <v>0</v>
      </c>
      <c r="O1582">
        <v>0</v>
      </c>
      <c r="P1582">
        <v>0</v>
      </c>
    </row>
    <row r="1583" spans="1:16" x14ac:dyDescent="0.2">
      <c r="A1583" t="s">
        <v>2485</v>
      </c>
      <c r="B1583" t="s">
        <v>5746</v>
      </c>
      <c r="C1583" t="s">
        <v>2486</v>
      </c>
      <c r="D1583" t="s">
        <v>2448</v>
      </c>
      <c r="E1583" t="s">
        <v>228</v>
      </c>
      <c r="F1583">
        <v>59.99</v>
      </c>
      <c r="G1583" t="s">
        <v>7014</v>
      </c>
      <c r="H1583">
        <v>2.0833333333333332E-2</v>
      </c>
      <c r="I1583" t="s">
        <v>7015</v>
      </c>
      <c r="M1583">
        <v>0</v>
      </c>
      <c r="N1583">
        <v>0</v>
      </c>
      <c r="O1583">
        <v>0</v>
      </c>
      <c r="P1583">
        <v>4</v>
      </c>
    </row>
    <row r="1584" spans="1:16" x14ac:dyDescent="0.2">
      <c r="A1584" t="s">
        <v>2481</v>
      </c>
      <c r="B1584" t="s">
        <v>5740</v>
      </c>
      <c r="C1584" t="s">
        <v>2482</v>
      </c>
      <c r="D1584" t="s">
        <v>2448</v>
      </c>
      <c r="E1584" t="s">
        <v>228</v>
      </c>
      <c r="F1584">
        <v>59.99</v>
      </c>
      <c r="G1584" t="s">
        <v>7014</v>
      </c>
      <c r="H1584">
        <v>8.3333333333333329E-2</v>
      </c>
      <c r="I1584" t="s">
        <v>7015</v>
      </c>
      <c r="M1584">
        <v>8.9999999999999982</v>
      </c>
      <c r="N1584">
        <v>0.33333333333333337</v>
      </c>
      <c r="O1584">
        <v>0</v>
      </c>
      <c r="P1584">
        <v>3</v>
      </c>
    </row>
    <row r="1585" spans="1:16" x14ac:dyDescent="0.2">
      <c r="A1585" t="s">
        <v>3630</v>
      </c>
      <c r="B1585" t="s">
        <v>7212</v>
      </c>
      <c r="C1585" t="s">
        <v>2432</v>
      </c>
      <c r="D1585" t="s">
        <v>2425</v>
      </c>
      <c r="E1585" t="s">
        <v>96</v>
      </c>
      <c r="F1585">
        <v>179.99</v>
      </c>
      <c r="G1585" t="s">
        <v>7014</v>
      </c>
      <c r="H1585">
        <v>0</v>
      </c>
      <c r="I1585" t="s">
        <v>290</v>
      </c>
      <c r="M1585">
        <v>0</v>
      </c>
      <c r="N1585">
        <v>0</v>
      </c>
      <c r="O1585">
        <v>0</v>
      </c>
      <c r="P1585">
        <v>0</v>
      </c>
    </row>
    <row r="1586" spans="1:16" x14ac:dyDescent="0.2">
      <c r="A1586" t="s">
        <v>3752</v>
      </c>
      <c r="B1586" t="s">
        <v>7213</v>
      </c>
      <c r="C1586" t="s">
        <v>3753</v>
      </c>
      <c r="D1586" t="s">
        <v>1897</v>
      </c>
      <c r="E1586" t="s">
        <v>96</v>
      </c>
      <c r="F1586">
        <v>44.99</v>
      </c>
      <c r="G1586" t="s">
        <v>7014</v>
      </c>
      <c r="H1586">
        <v>0</v>
      </c>
      <c r="I1586" t="s">
        <v>290</v>
      </c>
      <c r="M1586">
        <v>0</v>
      </c>
      <c r="N1586">
        <v>0</v>
      </c>
      <c r="O1586">
        <v>0</v>
      </c>
      <c r="P1586">
        <v>0</v>
      </c>
    </row>
    <row r="1587" spans="1:16" x14ac:dyDescent="0.2">
      <c r="A1587" t="s">
        <v>1968</v>
      </c>
      <c r="B1587" t="s">
        <v>3985</v>
      </c>
      <c r="C1587" t="s">
        <v>1969</v>
      </c>
      <c r="D1587" t="s">
        <v>1897</v>
      </c>
      <c r="E1587" t="s">
        <v>96</v>
      </c>
      <c r="F1587">
        <v>79.989999999999995</v>
      </c>
      <c r="G1587" t="s">
        <v>7014</v>
      </c>
      <c r="H1587">
        <v>0</v>
      </c>
      <c r="I1587" t="s">
        <v>290</v>
      </c>
      <c r="M1587">
        <v>0</v>
      </c>
      <c r="N1587">
        <v>0</v>
      </c>
      <c r="O1587">
        <v>0</v>
      </c>
      <c r="P1587">
        <v>1</v>
      </c>
    </row>
    <row r="1588" spans="1:16" x14ac:dyDescent="0.2">
      <c r="A1588" t="s">
        <v>1904</v>
      </c>
      <c r="B1588" t="s">
        <v>7214</v>
      </c>
      <c r="C1588" t="s">
        <v>1905</v>
      </c>
      <c r="D1588" t="s">
        <v>1897</v>
      </c>
      <c r="E1588" t="s">
        <v>290</v>
      </c>
      <c r="F1588">
        <v>44.99</v>
      </c>
      <c r="G1588" t="s">
        <v>7014</v>
      </c>
      <c r="H1588">
        <v>0</v>
      </c>
      <c r="I1588" t="s">
        <v>290</v>
      </c>
      <c r="M1588">
        <v>0</v>
      </c>
      <c r="N1588">
        <v>0</v>
      </c>
      <c r="O1588">
        <v>0</v>
      </c>
      <c r="P1588">
        <v>0</v>
      </c>
    </row>
    <row r="1589" spans="1:16" x14ac:dyDescent="0.2">
      <c r="A1589" t="s">
        <v>7215</v>
      </c>
      <c r="B1589" t="s">
        <v>7216</v>
      </c>
      <c r="C1589" t="s">
        <v>7217</v>
      </c>
      <c r="D1589" t="s">
        <v>2411</v>
      </c>
      <c r="E1589" t="s">
        <v>96</v>
      </c>
      <c r="F1589">
        <v>49.99</v>
      </c>
      <c r="G1589" t="s">
        <v>7014</v>
      </c>
      <c r="H1589">
        <v>0</v>
      </c>
      <c r="I1589" t="s">
        <v>290</v>
      </c>
      <c r="M1589">
        <v>0</v>
      </c>
      <c r="N1589">
        <v>0</v>
      </c>
      <c r="O1589">
        <v>0</v>
      </c>
      <c r="P1589">
        <v>0</v>
      </c>
    </row>
    <row r="1590" spans="1:16" x14ac:dyDescent="0.2">
      <c r="A1590" t="s">
        <v>7218</v>
      </c>
      <c r="B1590" t="s">
        <v>7219</v>
      </c>
      <c r="C1590" t="s">
        <v>7220</v>
      </c>
      <c r="D1590" t="s">
        <v>2411</v>
      </c>
      <c r="E1590" t="s">
        <v>96</v>
      </c>
      <c r="F1590">
        <v>39.99</v>
      </c>
      <c r="G1590" t="s">
        <v>7014</v>
      </c>
      <c r="H1590">
        <v>0</v>
      </c>
      <c r="I1590" t="s">
        <v>290</v>
      </c>
      <c r="M1590">
        <v>0</v>
      </c>
      <c r="N1590">
        <v>0</v>
      </c>
      <c r="O1590">
        <v>0</v>
      </c>
      <c r="P1590">
        <v>0</v>
      </c>
    </row>
    <row r="1591" spans="1:16" x14ac:dyDescent="0.2">
      <c r="A1591" t="s">
        <v>2401</v>
      </c>
      <c r="B1591" t="s">
        <v>5715</v>
      </c>
      <c r="C1591" t="s">
        <v>2402</v>
      </c>
      <c r="D1591" t="s">
        <v>2374</v>
      </c>
      <c r="E1591" t="s">
        <v>290</v>
      </c>
      <c r="F1591">
        <v>199.99</v>
      </c>
      <c r="G1591" t="s">
        <v>7014</v>
      </c>
      <c r="H1591">
        <v>0</v>
      </c>
      <c r="I1591" t="s">
        <v>290</v>
      </c>
      <c r="M1591">
        <v>0</v>
      </c>
      <c r="N1591">
        <v>0</v>
      </c>
      <c r="O1591">
        <v>0</v>
      </c>
      <c r="P1591">
        <v>0</v>
      </c>
    </row>
    <row r="1592" spans="1:16" x14ac:dyDescent="0.2">
      <c r="A1592" t="s">
        <v>2389</v>
      </c>
      <c r="B1592" t="s">
        <v>7221</v>
      </c>
      <c r="C1592" t="s">
        <v>2390</v>
      </c>
      <c r="D1592" t="s">
        <v>2374</v>
      </c>
      <c r="E1592" t="s">
        <v>290</v>
      </c>
      <c r="F1592">
        <v>349.99</v>
      </c>
      <c r="G1592" t="s">
        <v>7014</v>
      </c>
      <c r="H1592">
        <v>0</v>
      </c>
      <c r="I1592" t="s">
        <v>290</v>
      </c>
      <c r="M1592">
        <v>0</v>
      </c>
      <c r="N1592">
        <v>0</v>
      </c>
      <c r="O1592">
        <v>0</v>
      </c>
      <c r="P1592">
        <v>0</v>
      </c>
    </row>
    <row r="1593" spans="1:16" x14ac:dyDescent="0.2">
      <c r="A1593" t="s">
        <v>2387</v>
      </c>
      <c r="B1593" t="s">
        <v>7222</v>
      </c>
      <c r="C1593" t="s">
        <v>2388</v>
      </c>
      <c r="D1593" t="s">
        <v>2374</v>
      </c>
      <c r="E1593" t="s">
        <v>290</v>
      </c>
      <c r="F1593">
        <v>279.99</v>
      </c>
      <c r="G1593" t="s">
        <v>7014</v>
      </c>
      <c r="H1593">
        <v>0</v>
      </c>
      <c r="I1593" t="s">
        <v>290</v>
      </c>
      <c r="M1593">
        <v>0</v>
      </c>
      <c r="N1593">
        <v>0</v>
      </c>
      <c r="O1593">
        <v>0</v>
      </c>
      <c r="P1593">
        <v>0</v>
      </c>
    </row>
    <row r="1594" spans="1:16" x14ac:dyDescent="0.2">
      <c r="A1594" t="s">
        <v>2383</v>
      </c>
      <c r="B1594" t="s">
        <v>7223</v>
      </c>
      <c r="C1594" t="s">
        <v>2384</v>
      </c>
      <c r="D1594" t="s">
        <v>2374</v>
      </c>
      <c r="E1594" t="s">
        <v>290</v>
      </c>
      <c r="F1594">
        <v>139.99</v>
      </c>
      <c r="G1594" t="s">
        <v>7014</v>
      </c>
      <c r="H1594">
        <v>0</v>
      </c>
      <c r="I1594" t="s">
        <v>290</v>
      </c>
      <c r="M1594">
        <v>0</v>
      </c>
      <c r="N1594">
        <v>0</v>
      </c>
      <c r="O1594">
        <v>0</v>
      </c>
      <c r="P1594">
        <v>0</v>
      </c>
    </row>
    <row r="1595" spans="1:16" x14ac:dyDescent="0.2">
      <c r="A1595" t="s">
        <v>2393</v>
      </c>
      <c r="B1595" t="s">
        <v>7224</v>
      </c>
      <c r="C1595" t="s">
        <v>2394</v>
      </c>
      <c r="D1595" t="s">
        <v>2374</v>
      </c>
      <c r="E1595" t="s">
        <v>290</v>
      </c>
      <c r="F1595">
        <v>479.99</v>
      </c>
      <c r="G1595" t="s">
        <v>7014</v>
      </c>
      <c r="H1595">
        <v>0</v>
      </c>
      <c r="I1595" t="s">
        <v>290</v>
      </c>
      <c r="M1595">
        <v>0</v>
      </c>
      <c r="N1595">
        <v>0</v>
      </c>
      <c r="O1595">
        <v>0</v>
      </c>
      <c r="P1595">
        <v>0</v>
      </c>
    </row>
    <row r="1596" spans="1:16" x14ac:dyDescent="0.2">
      <c r="A1596" t="s">
        <v>5696</v>
      </c>
      <c r="B1596" t="s">
        <v>7225</v>
      </c>
      <c r="C1596" t="s">
        <v>5697</v>
      </c>
      <c r="D1596" t="s">
        <v>2411</v>
      </c>
      <c r="E1596" t="s">
        <v>96</v>
      </c>
      <c r="F1596">
        <v>69.989999999999995</v>
      </c>
      <c r="G1596" t="s">
        <v>7014</v>
      </c>
      <c r="H1596">
        <v>0</v>
      </c>
      <c r="I1596" t="s">
        <v>290</v>
      </c>
      <c r="M1596">
        <v>0</v>
      </c>
      <c r="N1596">
        <v>0</v>
      </c>
      <c r="O1596">
        <v>0</v>
      </c>
      <c r="P1596">
        <v>0</v>
      </c>
    </row>
    <row r="1597" spans="1:16" x14ac:dyDescent="0.2">
      <c r="A1597" t="s">
        <v>2379</v>
      </c>
      <c r="B1597" t="s">
        <v>7226</v>
      </c>
      <c r="C1597" t="s">
        <v>2380</v>
      </c>
      <c r="D1597" t="s">
        <v>2374</v>
      </c>
      <c r="E1597" t="s">
        <v>290</v>
      </c>
      <c r="F1597">
        <v>49.99</v>
      </c>
      <c r="G1597" t="s">
        <v>7014</v>
      </c>
      <c r="H1597">
        <v>0</v>
      </c>
      <c r="I1597" t="s">
        <v>290</v>
      </c>
      <c r="M1597">
        <v>0</v>
      </c>
      <c r="N1597">
        <v>0</v>
      </c>
      <c r="O1597">
        <v>0</v>
      </c>
      <c r="P1597">
        <v>0</v>
      </c>
    </row>
    <row r="1598" spans="1:16" x14ac:dyDescent="0.2">
      <c r="A1598" t="s">
        <v>2375</v>
      </c>
      <c r="B1598" t="s">
        <v>7227</v>
      </c>
      <c r="C1598" t="s">
        <v>2376</v>
      </c>
      <c r="D1598" t="s">
        <v>2374</v>
      </c>
      <c r="E1598" t="s">
        <v>290</v>
      </c>
      <c r="F1598">
        <v>149.99</v>
      </c>
      <c r="G1598" t="s">
        <v>7014</v>
      </c>
      <c r="H1598">
        <v>0</v>
      </c>
      <c r="I1598" t="s">
        <v>290</v>
      </c>
      <c r="M1598">
        <v>0</v>
      </c>
      <c r="N1598">
        <v>0</v>
      </c>
      <c r="O1598">
        <v>0</v>
      </c>
      <c r="P1598">
        <v>0</v>
      </c>
    </row>
    <row r="1599" spans="1:16" x14ac:dyDescent="0.2">
      <c r="A1599" t="s">
        <v>7228</v>
      </c>
      <c r="B1599" t="s">
        <v>7229</v>
      </c>
      <c r="C1599" t="s">
        <v>7230</v>
      </c>
      <c r="D1599" t="s">
        <v>4486</v>
      </c>
      <c r="E1599" t="s">
        <v>96</v>
      </c>
      <c r="F1599">
        <v>59.99</v>
      </c>
      <c r="G1599" t="s">
        <v>7014</v>
      </c>
      <c r="H1599">
        <v>0</v>
      </c>
      <c r="I1599" t="s">
        <v>290</v>
      </c>
      <c r="M1599">
        <v>0</v>
      </c>
      <c r="N1599">
        <v>0</v>
      </c>
      <c r="O1599">
        <v>0</v>
      </c>
      <c r="P1599">
        <v>0</v>
      </c>
    </row>
    <row r="1600" spans="1:16" x14ac:dyDescent="0.2">
      <c r="A1600" t="s">
        <v>4570</v>
      </c>
      <c r="B1600" t="s">
        <v>7231</v>
      </c>
      <c r="C1600" t="s">
        <v>4571</v>
      </c>
      <c r="D1600" t="s">
        <v>4486</v>
      </c>
      <c r="E1600" t="s">
        <v>96</v>
      </c>
      <c r="F1600">
        <v>49.99</v>
      </c>
      <c r="G1600" t="s">
        <v>7014</v>
      </c>
      <c r="H1600">
        <v>0</v>
      </c>
      <c r="I1600" t="s">
        <v>290</v>
      </c>
      <c r="M1600">
        <v>0</v>
      </c>
      <c r="N1600">
        <v>0</v>
      </c>
      <c r="O1600">
        <v>0</v>
      </c>
      <c r="P1600">
        <v>0</v>
      </c>
    </row>
    <row r="1601" spans="1:16" x14ac:dyDescent="0.2">
      <c r="A1601" t="s">
        <v>4549</v>
      </c>
      <c r="B1601" t="s">
        <v>7232</v>
      </c>
      <c r="C1601" t="s">
        <v>4550</v>
      </c>
      <c r="D1601" t="s">
        <v>4486</v>
      </c>
      <c r="E1601" t="s">
        <v>96</v>
      </c>
      <c r="F1601">
        <v>59.99</v>
      </c>
      <c r="G1601" t="s">
        <v>7014</v>
      </c>
      <c r="H1601">
        <v>0</v>
      </c>
      <c r="I1601" t="s">
        <v>290</v>
      </c>
      <c r="M1601">
        <v>0</v>
      </c>
      <c r="N1601">
        <v>0</v>
      </c>
      <c r="O1601">
        <v>0</v>
      </c>
      <c r="P1601">
        <v>0</v>
      </c>
    </row>
    <row r="1602" spans="1:16" x14ac:dyDescent="0.2">
      <c r="A1602" t="s">
        <v>2294</v>
      </c>
      <c r="B1602" t="s">
        <v>5647</v>
      </c>
      <c r="C1602" t="s">
        <v>2295</v>
      </c>
      <c r="D1602" t="s">
        <v>2146</v>
      </c>
      <c r="E1602" t="s">
        <v>290</v>
      </c>
      <c r="F1602">
        <v>99.99</v>
      </c>
      <c r="G1602" t="s">
        <v>7014</v>
      </c>
      <c r="H1602">
        <v>0</v>
      </c>
      <c r="I1602" t="s">
        <v>7015</v>
      </c>
      <c r="M1602">
        <v>0</v>
      </c>
      <c r="N1602">
        <v>0</v>
      </c>
      <c r="O1602">
        <v>0</v>
      </c>
      <c r="P1602">
        <v>0</v>
      </c>
    </row>
    <row r="1603" spans="1:16" x14ac:dyDescent="0.2">
      <c r="A1603" t="s">
        <v>5545</v>
      </c>
      <c r="B1603" t="s">
        <v>7233</v>
      </c>
      <c r="C1603" t="s">
        <v>5546</v>
      </c>
      <c r="D1603" t="s">
        <v>2146</v>
      </c>
      <c r="E1603" t="s">
        <v>96</v>
      </c>
      <c r="F1603">
        <v>579.99</v>
      </c>
      <c r="G1603" t="s">
        <v>7014</v>
      </c>
      <c r="H1603">
        <v>0</v>
      </c>
      <c r="I1603" t="s">
        <v>290</v>
      </c>
      <c r="M1603">
        <v>0</v>
      </c>
      <c r="N1603">
        <v>0</v>
      </c>
      <c r="O1603">
        <v>0</v>
      </c>
      <c r="P1603">
        <v>0</v>
      </c>
    </row>
    <row r="1604" spans="1:16" x14ac:dyDescent="0.2">
      <c r="A1604" t="s">
        <v>5476</v>
      </c>
      <c r="B1604" t="s">
        <v>7234</v>
      </c>
      <c r="C1604" t="s">
        <v>5477</v>
      </c>
      <c r="D1604" t="s">
        <v>2374</v>
      </c>
      <c r="E1604" t="s">
        <v>96</v>
      </c>
      <c r="F1604">
        <v>169.99</v>
      </c>
      <c r="G1604" t="s">
        <v>7014</v>
      </c>
      <c r="H1604">
        <v>0</v>
      </c>
      <c r="I1604" t="s">
        <v>290</v>
      </c>
      <c r="M1604">
        <v>0</v>
      </c>
      <c r="N1604">
        <v>0</v>
      </c>
      <c r="O1604">
        <v>0</v>
      </c>
      <c r="P1604">
        <v>0</v>
      </c>
    </row>
    <row r="1605" spans="1:16" x14ac:dyDescent="0.2">
      <c r="A1605" t="s">
        <v>3690</v>
      </c>
      <c r="B1605" t="s">
        <v>3693</v>
      </c>
      <c r="C1605" t="s">
        <v>3691</v>
      </c>
      <c r="D1605" t="s">
        <v>2425</v>
      </c>
      <c r="E1605" t="s">
        <v>96</v>
      </c>
      <c r="F1605">
        <v>69.989999999999995</v>
      </c>
      <c r="G1605" t="s">
        <v>7014</v>
      </c>
      <c r="H1605">
        <v>0</v>
      </c>
      <c r="I1605" t="s">
        <v>7015</v>
      </c>
      <c r="M1605">
        <v>0</v>
      </c>
      <c r="N1605">
        <v>0</v>
      </c>
      <c r="O1605">
        <v>0</v>
      </c>
      <c r="P1605">
        <v>1</v>
      </c>
    </row>
    <row r="1606" spans="1:16" x14ac:dyDescent="0.2">
      <c r="A1606" t="s">
        <v>7235</v>
      </c>
      <c r="B1606" t="s">
        <v>7236</v>
      </c>
      <c r="C1606" t="s">
        <v>7237</v>
      </c>
      <c r="D1606" t="s">
        <v>2425</v>
      </c>
      <c r="E1606" t="s">
        <v>96</v>
      </c>
      <c r="F1606">
        <v>599.99</v>
      </c>
      <c r="G1606" t="s">
        <v>7014</v>
      </c>
      <c r="H1606">
        <v>0</v>
      </c>
      <c r="I1606" t="s">
        <v>290</v>
      </c>
      <c r="M1606">
        <v>0</v>
      </c>
      <c r="N1606">
        <v>0</v>
      </c>
      <c r="O1606">
        <v>0</v>
      </c>
      <c r="P1606">
        <v>0</v>
      </c>
    </row>
    <row r="1607" spans="1:16" x14ac:dyDescent="0.2">
      <c r="A1607" t="s">
        <v>3648</v>
      </c>
      <c r="B1607" t="s">
        <v>7238</v>
      </c>
      <c r="C1607" t="s">
        <v>3649</v>
      </c>
      <c r="D1607" t="s">
        <v>2425</v>
      </c>
      <c r="E1607" t="s">
        <v>96</v>
      </c>
      <c r="F1607">
        <v>89.99</v>
      </c>
      <c r="G1607" t="s">
        <v>7014</v>
      </c>
      <c r="H1607">
        <v>0</v>
      </c>
      <c r="I1607" t="s">
        <v>290</v>
      </c>
      <c r="M1607">
        <v>0</v>
      </c>
      <c r="N1607">
        <v>0</v>
      </c>
      <c r="O1607">
        <v>0</v>
      </c>
      <c r="P1607">
        <v>0</v>
      </c>
    </row>
    <row r="1608" spans="1:16" x14ac:dyDescent="0.2">
      <c r="A1608" t="s">
        <v>2344</v>
      </c>
      <c r="B1608" t="s">
        <v>5377</v>
      </c>
      <c r="C1608" t="s">
        <v>2345</v>
      </c>
      <c r="D1608" t="s">
        <v>2146</v>
      </c>
      <c r="E1608" t="s">
        <v>228</v>
      </c>
      <c r="F1608">
        <v>16.989999999999998</v>
      </c>
      <c r="G1608" t="s">
        <v>7014</v>
      </c>
      <c r="H1608">
        <v>0</v>
      </c>
      <c r="I1608" t="s">
        <v>7015</v>
      </c>
      <c r="M1608">
        <v>0</v>
      </c>
      <c r="N1608">
        <v>0</v>
      </c>
      <c r="O1608">
        <v>0</v>
      </c>
      <c r="P1608">
        <v>0</v>
      </c>
    </row>
    <row r="1609" spans="1:16" x14ac:dyDescent="0.2">
      <c r="A1609" t="s">
        <v>2340</v>
      </c>
      <c r="B1609" t="s">
        <v>5573</v>
      </c>
      <c r="C1609" t="s">
        <v>2341</v>
      </c>
      <c r="D1609" t="s">
        <v>2146</v>
      </c>
      <c r="E1609" t="s">
        <v>228</v>
      </c>
      <c r="F1609">
        <v>549.99</v>
      </c>
      <c r="G1609" t="s">
        <v>7014</v>
      </c>
      <c r="H1609">
        <v>0</v>
      </c>
      <c r="I1609" t="s">
        <v>7015</v>
      </c>
      <c r="M1609">
        <v>0</v>
      </c>
      <c r="N1609">
        <v>0</v>
      </c>
      <c r="O1609">
        <v>0</v>
      </c>
      <c r="P1609">
        <v>0</v>
      </c>
    </row>
    <row r="1610" spans="1:16" x14ac:dyDescent="0.2">
      <c r="A1610" t="s">
        <v>2336</v>
      </c>
      <c r="B1610" t="s">
        <v>5569</v>
      </c>
      <c r="C1610" t="s">
        <v>2337</v>
      </c>
      <c r="D1610" t="s">
        <v>2146</v>
      </c>
      <c r="E1610" t="s">
        <v>228</v>
      </c>
      <c r="F1610">
        <v>229.99</v>
      </c>
      <c r="G1610" t="s">
        <v>7014</v>
      </c>
      <c r="H1610">
        <v>0.16666666666666666</v>
      </c>
      <c r="I1610" t="s">
        <v>7015</v>
      </c>
      <c r="M1610">
        <v>6</v>
      </c>
      <c r="N1610">
        <v>0.16666666666666666</v>
      </c>
      <c r="O1610">
        <v>0</v>
      </c>
      <c r="P1610">
        <v>1</v>
      </c>
    </row>
    <row r="1611" spans="1:16" x14ac:dyDescent="0.2">
      <c r="A1611" t="s">
        <v>1970</v>
      </c>
      <c r="B1611" t="s">
        <v>7239</v>
      </c>
      <c r="C1611" t="s">
        <v>1971</v>
      </c>
      <c r="D1611" t="s">
        <v>1897</v>
      </c>
      <c r="E1611" t="s">
        <v>290</v>
      </c>
      <c r="F1611">
        <v>29.99</v>
      </c>
      <c r="G1611" t="s">
        <v>7014</v>
      </c>
      <c r="H1611">
        <v>0</v>
      </c>
      <c r="I1611" t="s">
        <v>290</v>
      </c>
      <c r="M1611">
        <v>0</v>
      </c>
      <c r="N1611">
        <v>0</v>
      </c>
      <c r="O1611">
        <v>0</v>
      </c>
      <c r="P1611">
        <v>0</v>
      </c>
    </row>
    <row r="1612" spans="1:16" x14ac:dyDescent="0.2">
      <c r="A1612" t="s">
        <v>2334</v>
      </c>
      <c r="B1612" t="s">
        <v>5560</v>
      </c>
      <c r="C1612" t="s">
        <v>2335</v>
      </c>
      <c r="D1612" t="s">
        <v>2146</v>
      </c>
      <c r="E1612" t="s">
        <v>228</v>
      </c>
      <c r="F1612">
        <v>99.99</v>
      </c>
      <c r="G1612" t="s">
        <v>7014</v>
      </c>
      <c r="H1612">
        <v>0</v>
      </c>
      <c r="I1612" t="s">
        <v>7015</v>
      </c>
      <c r="M1612">
        <v>0</v>
      </c>
      <c r="N1612">
        <v>0</v>
      </c>
      <c r="O1612">
        <v>0</v>
      </c>
      <c r="P1612">
        <v>8</v>
      </c>
    </row>
    <row r="1613" spans="1:16" x14ac:dyDescent="0.2">
      <c r="A1613" t="s">
        <v>5541</v>
      </c>
      <c r="B1613" t="s">
        <v>5544</v>
      </c>
      <c r="C1613" t="s">
        <v>5542</v>
      </c>
      <c r="D1613" t="s">
        <v>2146</v>
      </c>
      <c r="E1613" t="s">
        <v>96</v>
      </c>
      <c r="F1613">
        <v>39.99</v>
      </c>
      <c r="G1613" t="s">
        <v>7014</v>
      </c>
      <c r="H1613">
        <v>0</v>
      </c>
      <c r="I1613" t="s">
        <v>290</v>
      </c>
      <c r="M1613">
        <v>0</v>
      </c>
      <c r="N1613">
        <v>0</v>
      </c>
      <c r="O1613">
        <v>0</v>
      </c>
      <c r="P1613">
        <v>0</v>
      </c>
    </row>
    <row r="1614" spans="1:16" x14ac:dyDescent="0.2">
      <c r="A1614" t="s">
        <v>2290</v>
      </c>
      <c r="B1614" t="s">
        <v>5659</v>
      </c>
      <c r="C1614" t="s">
        <v>2291</v>
      </c>
      <c r="D1614" t="s">
        <v>2146</v>
      </c>
      <c r="E1614" t="s">
        <v>228</v>
      </c>
      <c r="F1614">
        <v>539.99</v>
      </c>
      <c r="G1614" t="s">
        <v>7014</v>
      </c>
      <c r="H1614">
        <v>0.20833333333333337</v>
      </c>
      <c r="I1614" t="s">
        <v>7015</v>
      </c>
      <c r="M1614">
        <v>2.4000000000000004</v>
      </c>
      <c r="N1614">
        <v>0.83333333333333326</v>
      </c>
      <c r="O1614">
        <v>0</v>
      </c>
      <c r="P1614">
        <v>2</v>
      </c>
    </row>
    <row r="1615" spans="1:16" x14ac:dyDescent="0.2">
      <c r="A1615" t="s">
        <v>2296</v>
      </c>
      <c r="B1615" t="s">
        <v>5655</v>
      </c>
      <c r="C1615" t="s">
        <v>2297</v>
      </c>
      <c r="D1615" t="s">
        <v>2146</v>
      </c>
      <c r="E1615" t="s">
        <v>290</v>
      </c>
      <c r="F1615">
        <v>229.99</v>
      </c>
      <c r="G1615" t="s">
        <v>7014</v>
      </c>
      <c r="H1615">
        <v>0</v>
      </c>
      <c r="I1615" t="s">
        <v>7015</v>
      </c>
      <c r="M1615">
        <v>0</v>
      </c>
      <c r="N1615">
        <v>0</v>
      </c>
      <c r="O1615">
        <v>0</v>
      </c>
      <c r="P1615">
        <v>1</v>
      </c>
    </row>
    <row r="1616" spans="1:16" x14ac:dyDescent="0.2">
      <c r="A1616" t="s">
        <v>2358</v>
      </c>
      <c r="B1616" t="s">
        <v>5608</v>
      </c>
      <c r="C1616" t="s">
        <v>2359</v>
      </c>
      <c r="D1616" t="s">
        <v>2146</v>
      </c>
      <c r="E1616" t="s">
        <v>228</v>
      </c>
      <c r="F1616">
        <v>199.99</v>
      </c>
      <c r="G1616" t="s">
        <v>7014</v>
      </c>
      <c r="H1616">
        <v>0</v>
      </c>
      <c r="I1616" t="s">
        <v>7015</v>
      </c>
      <c r="M1616">
        <v>0</v>
      </c>
      <c r="N1616">
        <v>0.5</v>
      </c>
      <c r="O1616">
        <v>0</v>
      </c>
      <c r="P1616">
        <v>0</v>
      </c>
    </row>
    <row r="1617" spans="1:16" x14ac:dyDescent="0.2">
      <c r="A1617" t="s">
        <v>2362</v>
      </c>
      <c r="B1617" t="s">
        <v>5604</v>
      </c>
      <c r="C1617" t="s">
        <v>2363</v>
      </c>
      <c r="D1617" t="s">
        <v>2146</v>
      </c>
      <c r="E1617" t="s">
        <v>228</v>
      </c>
      <c r="F1617">
        <v>369.99</v>
      </c>
      <c r="G1617" t="s">
        <v>7014</v>
      </c>
      <c r="H1617">
        <v>0</v>
      </c>
      <c r="I1617" t="s">
        <v>7015</v>
      </c>
      <c r="M1617">
        <v>0</v>
      </c>
      <c r="N1617">
        <v>0</v>
      </c>
      <c r="O1617">
        <v>0</v>
      </c>
      <c r="P1617">
        <v>1</v>
      </c>
    </row>
    <row r="1618" spans="1:16" x14ac:dyDescent="0.2">
      <c r="A1618" t="s">
        <v>4567</v>
      </c>
      <c r="B1618" t="s">
        <v>7240</v>
      </c>
      <c r="C1618" t="s">
        <v>4568</v>
      </c>
      <c r="D1618" t="s">
        <v>4486</v>
      </c>
      <c r="E1618" t="s">
        <v>96</v>
      </c>
      <c r="F1618">
        <v>49.99</v>
      </c>
      <c r="G1618" t="s">
        <v>7014</v>
      </c>
      <c r="H1618">
        <v>0</v>
      </c>
      <c r="I1618" t="s">
        <v>290</v>
      </c>
      <c r="M1618">
        <v>0</v>
      </c>
      <c r="N1618">
        <v>0</v>
      </c>
      <c r="O1618">
        <v>0</v>
      </c>
      <c r="P1618">
        <v>0</v>
      </c>
    </row>
    <row r="1619" spans="1:16" x14ac:dyDescent="0.2">
      <c r="A1619" t="s">
        <v>2190</v>
      </c>
      <c r="B1619" t="s">
        <v>5555</v>
      </c>
      <c r="C1619" t="s">
        <v>2191</v>
      </c>
      <c r="D1619" t="s">
        <v>2146</v>
      </c>
      <c r="E1619" t="s">
        <v>290</v>
      </c>
      <c r="F1619">
        <v>349.99</v>
      </c>
      <c r="G1619" t="s">
        <v>7014</v>
      </c>
      <c r="H1619">
        <v>8.3333333333333329E-2</v>
      </c>
      <c r="I1619" t="s">
        <v>7015</v>
      </c>
      <c r="M1619">
        <v>12</v>
      </c>
      <c r="N1619">
        <v>0.16666666666666666</v>
      </c>
      <c r="O1619">
        <v>0</v>
      </c>
      <c r="P1619">
        <v>2</v>
      </c>
    </row>
    <row r="1620" spans="1:16" x14ac:dyDescent="0.2">
      <c r="A1620" t="s">
        <v>2184</v>
      </c>
      <c r="B1620" t="s">
        <v>7241</v>
      </c>
      <c r="C1620" t="s">
        <v>2185</v>
      </c>
      <c r="D1620" t="s">
        <v>2146</v>
      </c>
      <c r="E1620" t="s">
        <v>290</v>
      </c>
      <c r="F1620">
        <v>44.99</v>
      </c>
      <c r="G1620" t="s">
        <v>7014</v>
      </c>
      <c r="H1620">
        <v>0</v>
      </c>
      <c r="I1620" t="s">
        <v>290</v>
      </c>
      <c r="M1620">
        <v>0</v>
      </c>
      <c r="N1620">
        <v>0</v>
      </c>
      <c r="O1620">
        <v>0</v>
      </c>
      <c r="P1620">
        <v>0</v>
      </c>
    </row>
    <row r="1621" spans="1:16" x14ac:dyDescent="0.2">
      <c r="A1621" t="s">
        <v>2178</v>
      </c>
      <c r="B1621" t="s">
        <v>5553</v>
      </c>
      <c r="C1621" t="s">
        <v>2179</v>
      </c>
      <c r="D1621" t="s">
        <v>2146</v>
      </c>
      <c r="E1621" t="s">
        <v>290</v>
      </c>
      <c r="F1621">
        <v>99.99</v>
      </c>
      <c r="G1621" t="s">
        <v>7014</v>
      </c>
      <c r="H1621">
        <v>0</v>
      </c>
      <c r="I1621" t="s">
        <v>7015</v>
      </c>
      <c r="M1621">
        <v>0</v>
      </c>
      <c r="N1621">
        <v>0</v>
      </c>
      <c r="O1621">
        <v>0</v>
      </c>
      <c r="P1621">
        <v>0</v>
      </c>
    </row>
    <row r="1622" spans="1:16" x14ac:dyDescent="0.2">
      <c r="A1622" t="s">
        <v>2252</v>
      </c>
      <c r="B1622" t="s">
        <v>5582</v>
      </c>
      <c r="C1622" t="s">
        <v>2253</v>
      </c>
      <c r="D1622" t="s">
        <v>2146</v>
      </c>
      <c r="E1622" t="s">
        <v>290</v>
      </c>
      <c r="F1622">
        <v>99.99</v>
      </c>
      <c r="G1622" t="s">
        <v>7014</v>
      </c>
      <c r="H1622">
        <v>0</v>
      </c>
      <c r="I1622" t="s">
        <v>290</v>
      </c>
      <c r="M1622">
        <v>0</v>
      </c>
      <c r="N1622">
        <v>0</v>
      </c>
      <c r="O1622">
        <v>0</v>
      </c>
      <c r="P1622">
        <v>1</v>
      </c>
    </row>
    <row r="1623" spans="1:16" x14ac:dyDescent="0.2">
      <c r="A1623" t="s">
        <v>2242</v>
      </c>
      <c r="B1623" t="s">
        <v>5577</v>
      </c>
      <c r="C1623" t="s">
        <v>2243</v>
      </c>
      <c r="D1623" t="s">
        <v>2146</v>
      </c>
      <c r="E1623" t="s">
        <v>290</v>
      </c>
      <c r="F1623">
        <v>39.99</v>
      </c>
      <c r="G1623" t="s">
        <v>7014</v>
      </c>
      <c r="H1623">
        <v>-1.6666666666666666E-2</v>
      </c>
      <c r="I1623" t="s">
        <v>290</v>
      </c>
      <c r="M1623">
        <v>0</v>
      </c>
      <c r="N1623">
        <v>0</v>
      </c>
      <c r="O1623">
        <v>0</v>
      </c>
      <c r="P1623">
        <v>5</v>
      </c>
    </row>
    <row r="1624" spans="1:16" x14ac:dyDescent="0.2">
      <c r="A1624" t="s">
        <v>2240</v>
      </c>
      <c r="B1624" t="s">
        <v>5639</v>
      </c>
      <c r="C1624" t="s">
        <v>2241</v>
      </c>
      <c r="D1624" t="s">
        <v>2146</v>
      </c>
      <c r="E1624" t="s">
        <v>290</v>
      </c>
      <c r="F1624">
        <v>99.99</v>
      </c>
      <c r="G1624" t="s">
        <v>7014</v>
      </c>
      <c r="H1624">
        <v>0</v>
      </c>
      <c r="I1624" t="s">
        <v>290</v>
      </c>
      <c r="M1624">
        <v>0</v>
      </c>
      <c r="N1624">
        <v>0</v>
      </c>
      <c r="O1624">
        <v>0</v>
      </c>
      <c r="P1624">
        <v>0</v>
      </c>
    </row>
    <row r="1625" spans="1:16" x14ac:dyDescent="0.2">
      <c r="A1625" t="s">
        <v>2254</v>
      </c>
      <c r="B1625" t="s">
        <v>5585</v>
      </c>
      <c r="C1625" t="s">
        <v>2255</v>
      </c>
      <c r="D1625" t="s">
        <v>2146</v>
      </c>
      <c r="E1625" t="s">
        <v>290</v>
      </c>
      <c r="F1625">
        <v>39.99</v>
      </c>
      <c r="G1625" t="s">
        <v>7014</v>
      </c>
      <c r="H1625">
        <v>0</v>
      </c>
      <c r="I1625" t="s">
        <v>290</v>
      </c>
      <c r="M1625">
        <v>0</v>
      </c>
      <c r="N1625">
        <v>0</v>
      </c>
      <c r="O1625">
        <v>0</v>
      </c>
      <c r="P1625">
        <v>1</v>
      </c>
    </row>
    <row r="1626" spans="1:16" x14ac:dyDescent="0.2">
      <c r="A1626" t="s">
        <v>2234</v>
      </c>
      <c r="B1626" t="s">
        <v>5422</v>
      </c>
      <c r="C1626" t="s">
        <v>2235</v>
      </c>
      <c r="D1626" t="s">
        <v>2146</v>
      </c>
      <c r="E1626" t="s">
        <v>290</v>
      </c>
      <c r="F1626">
        <v>49.99</v>
      </c>
      <c r="G1626" t="s">
        <v>7014</v>
      </c>
      <c r="H1626">
        <v>1.6666666666666666E-2</v>
      </c>
      <c r="I1626" t="s">
        <v>7015</v>
      </c>
      <c r="M1626">
        <v>60</v>
      </c>
      <c r="N1626">
        <v>0.16666666666666666</v>
      </c>
      <c r="O1626">
        <v>0</v>
      </c>
      <c r="P1626">
        <v>10</v>
      </c>
    </row>
    <row r="1627" spans="1:16" x14ac:dyDescent="0.2">
      <c r="A1627" t="s">
        <v>2224</v>
      </c>
      <c r="B1627" t="s">
        <v>5420</v>
      </c>
      <c r="C1627" t="s">
        <v>2225</v>
      </c>
      <c r="D1627" t="s">
        <v>2146</v>
      </c>
      <c r="E1627" t="s">
        <v>228</v>
      </c>
      <c r="F1627">
        <v>179.99</v>
      </c>
      <c r="G1627" t="s">
        <v>7014</v>
      </c>
      <c r="H1627">
        <v>8.3333333333333343E-2</v>
      </c>
      <c r="I1627" t="s">
        <v>7015</v>
      </c>
      <c r="M1627">
        <v>0</v>
      </c>
      <c r="N1627">
        <v>0</v>
      </c>
      <c r="O1627">
        <v>0</v>
      </c>
      <c r="P1627">
        <v>5</v>
      </c>
    </row>
    <row r="1628" spans="1:16" x14ac:dyDescent="0.2">
      <c r="A1628" t="s">
        <v>2214</v>
      </c>
      <c r="B1628" t="s">
        <v>5409</v>
      </c>
      <c r="C1628" t="s">
        <v>2215</v>
      </c>
      <c r="D1628" t="s">
        <v>2146</v>
      </c>
      <c r="E1628" t="s">
        <v>228</v>
      </c>
      <c r="F1628">
        <v>99.99</v>
      </c>
      <c r="G1628" t="s">
        <v>7014</v>
      </c>
      <c r="H1628">
        <v>1.25</v>
      </c>
      <c r="I1628" t="s">
        <v>7015</v>
      </c>
      <c r="M1628">
        <v>2</v>
      </c>
      <c r="N1628">
        <v>0.5</v>
      </c>
      <c r="O1628">
        <v>0</v>
      </c>
      <c r="P1628">
        <v>1</v>
      </c>
    </row>
    <row r="1629" spans="1:16" x14ac:dyDescent="0.2">
      <c r="A1629" t="s">
        <v>6321</v>
      </c>
      <c r="B1629" t="s">
        <v>6323</v>
      </c>
      <c r="C1629" t="s">
        <v>7242</v>
      </c>
      <c r="D1629" t="s">
        <v>2502</v>
      </c>
      <c r="E1629" t="s">
        <v>290</v>
      </c>
      <c r="F1629">
        <v>229.99</v>
      </c>
      <c r="G1629" t="s">
        <v>7014</v>
      </c>
      <c r="H1629">
        <v>0</v>
      </c>
      <c r="I1629" t="s">
        <v>7015</v>
      </c>
      <c r="M1629">
        <v>0</v>
      </c>
      <c r="N1629">
        <v>0</v>
      </c>
      <c r="O1629">
        <v>0</v>
      </c>
      <c r="P1629">
        <v>0</v>
      </c>
    </row>
    <row r="1630" spans="1:16" x14ac:dyDescent="0.2">
      <c r="A1630" t="s">
        <v>226</v>
      </c>
      <c r="B1630" t="s">
        <v>4228</v>
      </c>
      <c r="C1630" t="s">
        <v>227</v>
      </c>
      <c r="D1630" t="s">
        <v>223</v>
      </c>
      <c r="E1630" t="s">
        <v>228</v>
      </c>
      <c r="F1630">
        <v>119.99</v>
      </c>
      <c r="G1630" t="s">
        <v>7014</v>
      </c>
      <c r="H1630">
        <v>0</v>
      </c>
      <c r="I1630" t="s">
        <v>7015</v>
      </c>
      <c r="M1630">
        <v>0</v>
      </c>
      <c r="N1630">
        <v>0</v>
      </c>
      <c r="O1630">
        <v>0</v>
      </c>
      <c r="P1630">
        <v>0</v>
      </c>
    </row>
    <row r="1631" spans="1:16" x14ac:dyDescent="0.2">
      <c r="A1631" t="s">
        <v>2264</v>
      </c>
      <c r="B1631" t="s">
        <v>5590</v>
      </c>
      <c r="C1631" t="s">
        <v>2265</v>
      </c>
      <c r="D1631" t="s">
        <v>2146</v>
      </c>
      <c r="E1631" t="s">
        <v>290</v>
      </c>
      <c r="F1631">
        <v>99.99</v>
      </c>
      <c r="G1631" t="s">
        <v>7014</v>
      </c>
      <c r="H1631">
        <v>0</v>
      </c>
      <c r="I1631" t="s">
        <v>290</v>
      </c>
      <c r="M1631">
        <v>0</v>
      </c>
      <c r="N1631">
        <v>0</v>
      </c>
      <c r="O1631">
        <v>0</v>
      </c>
      <c r="P1631">
        <v>0</v>
      </c>
    </row>
    <row r="1632" spans="1:16" x14ac:dyDescent="0.2">
      <c r="A1632" t="s">
        <v>2210</v>
      </c>
      <c r="B1632" t="s">
        <v>5629</v>
      </c>
      <c r="C1632" t="s">
        <v>2211</v>
      </c>
      <c r="D1632" t="s">
        <v>2146</v>
      </c>
      <c r="E1632" t="s">
        <v>228</v>
      </c>
      <c r="F1632">
        <v>429.99</v>
      </c>
      <c r="G1632" t="s">
        <v>7014</v>
      </c>
      <c r="H1632">
        <v>0</v>
      </c>
      <c r="I1632" t="s">
        <v>7015</v>
      </c>
      <c r="M1632">
        <v>0</v>
      </c>
      <c r="N1632">
        <v>0</v>
      </c>
      <c r="O1632">
        <v>0</v>
      </c>
      <c r="P1632">
        <v>0</v>
      </c>
    </row>
    <row r="1633" spans="1:16" x14ac:dyDescent="0.2">
      <c r="A1633" t="s">
        <v>2172</v>
      </c>
      <c r="B1633" t="s">
        <v>5358</v>
      </c>
      <c r="C1633" t="s">
        <v>2173</v>
      </c>
      <c r="D1633" t="s">
        <v>2146</v>
      </c>
      <c r="E1633" t="s">
        <v>228</v>
      </c>
      <c r="F1633">
        <v>89.99</v>
      </c>
      <c r="G1633" t="s">
        <v>7014</v>
      </c>
      <c r="H1633">
        <v>3.3333333333333333E-2</v>
      </c>
      <c r="M1633">
        <v>30.000000000000007</v>
      </c>
      <c r="N1633">
        <v>0.16666666666666663</v>
      </c>
      <c r="O1633">
        <v>0</v>
      </c>
      <c r="P1633">
        <v>5</v>
      </c>
    </row>
    <row r="1634" spans="1:16" x14ac:dyDescent="0.2">
      <c r="A1634" t="s">
        <v>2164</v>
      </c>
      <c r="B1634" t="s">
        <v>5355</v>
      </c>
      <c r="C1634" t="s">
        <v>2165</v>
      </c>
      <c r="D1634" t="s">
        <v>2146</v>
      </c>
      <c r="E1634" t="s">
        <v>228</v>
      </c>
      <c r="F1634">
        <v>54.99</v>
      </c>
      <c r="G1634" t="s">
        <v>7014</v>
      </c>
      <c r="H1634">
        <v>2.7777777777777776E-2</v>
      </c>
      <c r="M1634">
        <v>0</v>
      </c>
      <c r="N1634">
        <v>0</v>
      </c>
      <c r="O1634">
        <v>0</v>
      </c>
      <c r="P1634">
        <v>3</v>
      </c>
    </row>
    <row r="1635" spans="1:16" x14ac:dyDescent="0.2">
      <c r="A1635" t="s">
        <v>2162</v>
      </c>
      <c r="B1635" t="s">
        <v>5350</v>
      </c>
      <c r="C1635" t="s">
        <v>2163</v>
      </c>
      <c r="D1635" t="s">
        <v>2146</v>
      </c>
      <c r="E1635" t="s">
        <v>228</v>
      </c>
      <c r="F1635">
        <v>79.989999999999995</v>
      </c>
      <c r="G1635" t="s">
        <v>7014</v>
      </c>
      <c r="H1635">
        <v>0.41666666666666674</v>
      </c>
      <c r="I1635" t="s">
        <v>7015</v>
      </c>
      <c r="M1635">
        <v>0</v>
      </c>
      <c r="N1635">
        <v>0</v>
      </c>
      <c r="O1635">
        <v>0</v>
      </c>
      <c r="P1635">
        <v>1</v>
      </c>
    </row>
    <row r="1636" spans="1:16" x14ac:dyDescent="0.2">
      <c r="A1636" t="s">
        <v>2158</v>
      </c>
      <c r="B1636" t="s">
        <v>5367</v>
      </c>
      <c r="C1636" t="s">
        <v>2159</v>
      </c>
      <c r="D1636" t="s">
        <v>2146</v>
      </c>
      <c r="E1636" t="s">
        <v>228</v>
      </c>
      <c r="F1636">
        <v>299.99</v>
      </c>
      <c r="G1636" t="s">
        <v>7014</v>
      </c>
      <c r="H1636">
        <v>0</v>
      </c>
      <c r="M1636">
        <v>0</v>
      </c>
      <c r="N1636">
        <v>0</v>
      </c>
      <c r="O1636">
        <v>0</v>
      </c>
      <c r="P1636">
        <v>3</v>
      </c>
    </row>
    <row r="1637" spans="1:16" x14ac:dyDescent="0.2">
      <c r="A1637" t="s">
        <v>7049</v>
      </c>
      <c r="B1637" t="s">
        <v>7243</v>
      </c>
      <c r="C1637" t="s">
        <v>7051</v>
      </c>
      <c r="D1637" t="s">
        <v>93</v>
      </c>
      <c r="E1637" t="s">
        <v>96</v>
      </c>
      <c r="F1637">
        <v>299.99</v>
      </c>
      <c r="G1637" t="s">
        <v>7014</v>
      </c>
      <c r="H1637">
        <v>0</v>
      </c>
      <c r="I1637" t="s">
        <v>290</v>
      </c>
      <c r="M1637">
        <v>0</v>
      </c>
      <c r="N1637">
        <v>0</v>
      </c>
      <c r="O1637">
        <v>0</v>
      </c>
      <c r="P1637">
        <v>0</v>
      </c>
    </row>
    <row r="1638" spans="1:16" x14ac:dyDescent="0.2">
      <c r="A1638" t="s">
        <v>2274</v>
      </c>
      <c r="B1638" t="s">
        <v>7244</v>
      </c>
      <c r="C1638" t="s">
        <v>2275</v>
      </c>
      <c r="D1638" t="s">
        <v>2146</v>
      </c>
      <c r="E1638" t="s">
        <v>290</v>
      </c>
      <c r="F1638">
        <v>349.99</v>
      </c>
      <c r="G1638" t="s">
        <v>7014</v>
      </c>
      <c r="H1638">
        <v>0</v>
      </c>
      <c r="I1638" t="s">
        <v>290</v>
      </c>
      <c r="M1638">
        <v>0</v>
      </c>
      <c r="N1638">
        <v>0</v>
      </c>
      <c r="O1638">
        <v>0</v>
      </c>
      <c r="P1638">
        <v>0</v>
      </c>
    </row>
    <row r="1639" spans="1:16" x14ac:dyDescent="0.2">
      <c r="A1639" t="s">
        <v>5549</v>
      </c>
      <c r="B1639" t="s">
        <v>7245</v>
      </c>
      <c r="C1639" t="s">
        <v>5550</v>
      </c>
      <c r="D1639" t="s">
        <v>2146</v>
      </c>
      <c r="E1639" t="s">
        <v>290</v>
      </c>
      <c r="F1639">
        <v>79.989999999999995</v>
      </c>
      <c r="G1639" t="s">
        <v>7014</v>
      </c>
      <c r="H1639">
        <v>0</v>
      </c>
      <c r="I1639" t="s">
        <v>290</v>
      </c>
      <c r="M1639">
        <v>0</v>
      </c>
      <c r="N1639">
        <v>0</v>
      </c>
      <c r="O1639">
        <v>0</v>
      </c>
      <c r="P1639">
        <v>0</v>
      </c>
    </row>
    <row r="1640" spans="1:16" x14ac:dyDescent="0.2">
      <c r="A1640" t="s">
        <v>2272</v>
      </c>
      <c r="B1640" t="s">
        <v>5537</v>
      </c>
      <c r="C1640" t="s">
        <v>2273</v>
      </c>
      <c r="D1640" t="s">
        <v>2146</v>
      </c>
      <c r="E1640" t="s">
        <v>96</v>
      </c>
      <c r="F1640">
        <v>119.99</v>
      </c>
      <c r="G1640" t="s">
        <v>7014</v>
      </c>
      <c r="H1640">
        <v>0</v>
      </c>
      <c r="I1640" t="s">
        <v>290</v>
      </c>
      <c r="M1640">
        <v>0</v>
      </c>
      <c r="N1640">
        <v>0</v>
      </c>
      <c r="O1640">
        <v>0</v>
      </c>
      <c r="P1640">
        <v>0</v>
      </c>
    </row>
    <row r="1641" spans="1:16" x14ac:dyDescent="0.2">
      <c r="A1641" t="s">
        <v>5790</v>
      </c>
      <c r="B1641" t="s">
        <v>7246</v>
      </c>
      <c r="C1641" t="s">
        <v>5791</v>
      </c>
      <c r="D1641" t="s">
        <v>2131</v>
      </c>
      <c r="E1641" t="s">
        <v>96</v>
      </c>
      <c r="F1641">
        <v>29.99</v>
      </c>
      <c r="G1641" t="s">
        <v>7014</v>
      </c>
      <c r="H1641">
        <v>0</v>
      </c>
      <c r="I1641" t="s">
        <v>7015</v>
      </c>
      <c r="M1641">
        <v>0</v>
      </c>
      <c r="N1641">
        <v>0</v>
      </c>
      <c r="O1641">
        <v>0</v>
      </c>
      <c r="P1641">
        <v>0</v>
      </c>
    </row>
    <row r="1642" spans="1:16" x14ac:dyDescent="0.2">
      <c r="A1642" t="s">
        <v>2188</v>
      </c>
      <c r="B1642" t="s">
        <v>5557</v>
      </c>
      <c r="C1642" t="s">
        <v>2189</v>
      </c>
      <c r="D1642" t="s">
        <v>2146</v>
      </c>
      <c r="E1642" t="s">
        <v>96</v>
      </c>
      <c r="F1642">
        <v>199.99</v>
      </c>
      <c r="G1642" t="s">
        <v>7014</v>
      </c>
      <c r="H1642">
        <v>0</v>
      </c>
      <c r="I1642" t="s">
        <v>290</v>
      </c>
      <c r="M1642">
        <v>0</v>
      </c>
      <c r="N1642">
        <v>0</v>
      </c>
      <c r="O1642">
        <v>0</v>
      </c>
      <c r="P1642">
        <v>0</v>
      </c>
    </row>
    <row r="1643" spans="1:16" x14ac:dyDescent="0.2">
      <c r="A1643" t="s">
        <v>2208</v>
      </c>
      <c r="B1643" t="s">
        <v>5625</v>
      </c>
      <c r="C1643" t="s">
        <v>2209</v>
      </c>
      <c r="D1643" t="s">
        <v>2146</v>
      </c>
      <c r="E1643" t="s">
        <v>228</v>
      </c>
      <c r="F1643">
        <v>149.99</v>
      </c>
      <c r="G1643" t="s">
        <v>7014</v>
      </c>
      <c r="H1643">
        <v>9.2592592592592587E-3</v>
      </c>
      <c r="I1643" t="s">
        <v>7015</v>
      </c>
      <c r="M1643">
        <v>0</v>
      </c>
      <c r="N1643">
        <v>0</v>
      </c>
      <c r="O1643">
        <v>0</v>
      </c>
      <c r="P1643">
        <v>9</v>
      </c>
    </row>
    <row r="1644" spans="1:16" x14ac:dyDescent="0.2">
      <c r="A1644" t="s">
        <v>2182</v>
      </c>
      <c r="B1644" t="s">
        <v>7247</v>
      </c>
      <c r="C1644" t="s">
        <v>2183</v>
      </c>
      <c r="D1644" t="s">
        <v>2146</v>
      </c>
      <c r="E1644" t="s">
        <v>290</v>
      </c>
      <c r="F1644">
        <v>109.99</v>
      </c>
      <c r="G1644" t="s">
        <v>7014</v>
      </c>
      <c r="H1644">
        <v>0</v>
      </c>
      <c r="I1644" t="s">
        <v>290</v>
      </c>
      <c r="M1644">
        <v>0</v>
      </c>
      <c r="N1644">
        <v>0</v>
      </c>
      <c r="O1644">
        <v>0</v>
      </c>
      <c r="P1644">
        <v>0</v>
      </c>
    </row>
    <row r="1645" spans="1:16" x14ac:dyDescent="0.2">
      <c r="A1645" t="s">
        <v>2350</v>
      </c>
      <c r="B1645" t="s">
        <v>5618</v>
      </c>
      <c r="C1645" t="s">
        <v>2351</v>
      </c>
      <c r="D1645" t="s">
        <v>2146</v>
      </c>
      <c r="E1645" t="s">
        <v>228</v>
      </c>
      <c r="F1645">
        <v>189.99</v>
      </c>
      <c r="G1645" t="s">
        <v>7014</v>
      </c>
      <c r="H1645">
        <v>1.1904761904761904E-2</v>
      </c>
      <c r="I1645" t="s">
        <v>7015</v>
      </c>
      <c r="M1645">
        <v>42.000000000000007</v>
      </c>
      <c r="N1645">
        <v>0.16666666666666663</v>
      </c>
      <c r="O1645">
        <v>0</v>
      </c>
      <c r="P1645">
        <v>7</v>
      </c>
    </row>
    <row r="1646" spans="1:16" x14ac:dyDescent="0.2">
      <c r="A1646" t="s">
        <v>2352</v>
      </c>
      <c r="B1646" t="s">
        <v>5622</v>
      </c>
      <c r="C1646" t="s">
        <v>2353</v>
      </c>
      <c r="D1646" t="s">
        <v>2146</v>
      </c>
      <c r="E1646" t="s">
        <v>290</v>
      </c>
      <c r="F1646">
        <v>189.99</v>
      </c>
      <c r="G1646" t="s">
        <v>7014</v>
      </c>
      <c r="H1646">
        <v>0</v>
      </c>
      <c r="I1646" t="s">
        <v>7015</v>
      </c>
      <c r="M1646">
        <v>0</v>
      </c>
      <c r="N1646">
        <v>0</v>
      </c>
      <c r="O1646">
        <v>0</v>
      </c>
      <c r="P1646">
        <v>3</v>
      </c>
    </row>
    <row r="1647" spans="1:16" x14ac:dyDescent="0.2">
      <c r="A1647" t="s">
        <v>7248</v>
      </c>
      <c r="B1647" t="s">
        <v>7249</v>
      </c>
      <c r="C1647" t="s">
        <v>7250</v>
      </c>
      <c r="D1647" t="s">
        <v>1897</v>
      </c>
      <c r="E1647" t="s">
        <v>96</v>
      </c>
      <c r="F1647">
        <v>299.99</v>
      </c>
      <c r="G1647" t="s">
        <v>7014</v>
      </c>
      <c r="H1647">
        <v>0</v>
      </c>
      <c r="I1647" t="s">
        <v>290</v>
      </c>
      <c r="M1647">
        <v>0</v>
      </c>
      <c r="N1647">
        <v>0</v>
      </c>
      <c r="O1647">
        <v>0</v>
      </c>
      <c r="P1647">
        <v>0</v>
      </c>
    </row>
    <row r="1648" spans="1:16" x14ac:dyDescent="0.2">
      <c r="A1648" t="s">
        <v>3781</v>
      </c>
      <c r="B1648" t="s">
        <v>7251</v>
      </c>
      <c r="C1648" t="s">
        <v>3782</v>
      </c>
      <c r="D1648" t="s">
        <v>1897</v>
      </c>
      <c r="E1648" t="s">
        <v>96</v>
      </c>
      <c r="F1648">
        <v>149.99</v>
      </c>
      <c r="G1648" t="s">
        <v>7014</v>
      </c>
      <c r="H1648">
        <v>0</v>
      </c>
      <c r="I1648" t="s">
        <v>290</v>
      </c>
      <c r="M1648">
        <v>0</v>
      </c>
      <c r="N1648">
        <v>0</v>
      </c>
      <c r="O1648">
        <v>0</v>
      </c>
      <c r="P1648">
        <v>0</v>
      </c>
    </row>
    <row r="1649" spans="1:16" x14ac:dyDescent="0.2">
      <c r="A1649" t="s">
        <v>7252</v>
      </c>
      <c r="B1649" t="s">
        <v>7253</v>
      </c>
      <c r="C1649" t="s">
        <v>7254</v>
      </c>
      <c r="D1649" t="s">
        <v>1897</v>
      </c>
      <c r="E1649" t="s">
        <v>96</v>
      </c>
      <c r="F1649">
        <v>64.989999999999995</v>
      </c>
      <c r="G1649" t="s">
        <v>7014</v>
      </c>
      <c r="H1649">
        <v>0</v>
      </c>
      <c r="I1649" t="s">
        <v>290</v>
      </c>
      <c r="M1649">
        <v>0</v>
      </c>
      <c r="N1649">
        <v>0</v>
      </c>
      <c r="O1649">
        <v>0</v>
      </c>
      <c r="P1649">
        <v>0</v>
      </c>
    </row>
    <row r="1650" spans="1:16" x14ac:dyDescent="0.2">
      <c r="A1650" t="s">
        <v>7255</v>
      </c>
      <c r="B1650" t="s">
        <v>7256</v>
      </c>
      <c r="C1650" t="s">
        <v>7257</v>
      </c>
      <c r="D1650" t="s">
        <v>1897</v>
      </c>
      <c r="E1650" t="s">
        <v>96</v>
      </c>
      <c r="F1650">
        <v>69.989999999999995</v>
      </c>
      <c r="G1650" t="s">
        <v>7014</v>
      </c>
      <c r="H1650">
        <v>0</v>
      </c>
      <c r="I1650" t="s">
        <v>290</v>
      </c>
      <c r="M1650">
        <v>0</v>
      </c>
      <c r="N1650">
        <v>0</v>
      </c>
      <c r="O1650">
        <v>0</v>
      </c>
      <c r="P1650">
        <v>0</v>
      </c>
    </row>
    <row r="1651" spans="1:16" x14ac:dyDescent="0.2">
      <c r="A1651" t="s">
        <v>4093</v>
      </c>
      <c r="B1651" t="s">
        <v>7258</v>
      </c>
      <c r="C1651" t="s">
        <v>4094</v>
      </c>
      <c r="D1651" t="s">
        <v>1897</v>
      </c>
      <c r="E1651" t="s">
        <v>96</v>
      </c>
      <c r="F1651">
        <v>69.989999999999995</v>
      </c>
      <c r="G1651" t="s">
        <v>7014</v>
      </c>
      <c r="H1651">
        <v>0</v>
      </c>
      <c r="I1651" t="s">
        <v>290</v>
      </c>
      <c r="M1651">
        <v>0</v>
      </c>
      <c r="N1651">
        <v>0</v>
      </c>
      <c r="O1651">
        <v>0</v>
      </c>
      <c r="P1651">
        <v>0</v>
      </c>
    </row>
    <row r="1652" spans="1:16" x14ac:dyDescent="0.2">
      <c r="A1652" t="s">
        <v>4081</v>
      </c>
      <c r="B1652" t="s">
        <v>7259</v>
      </c>
      <c r="C1652" t="s">
        <v>4082</v>
      </c>
      <c r="D1652" t="s">
        <v>1897</v>
      </c>
      <c r="E1652" t="s">
        <v>96</v>
      </c>
      <c r="F1652">
        <v>69.989999999999995</v>
      </c>
      <c r="G1652" t="s">
        <v>7014</v>
      </c>
      <c r="H1652">
        <v>0</v>
      </c>
      <c r="I1652" t="s">
        <v>290</v>
      </c>
      <c r="M1652">
        <v>0</v>
      </c>
      <c r="N1652">
        <v>0</v>
      </c>
      <c r="O1652">
        <v>0</v>
      </c>
      <c r="P1652">
        <v>0</v>
      </c>
    </row>
    <row r="1653" spans="1:16" x14ac:dyDescent="0.2">
      <c r="A1653" t="s">
        <v>7260</v>
      </c>
      <c r="B1653" t="s">
        <v>7261</v>
      </c>
      <c r="C1653" t="s">
        <v>7262</v>
      </c>
      <c r="D1653" t="s">
        <v>1897</v>
      </c>
      <c r="E1653" t="s">
        <v>96</v>
      </c>
      <c r="F1653">
        <v>59.99</v>
      </c>
      <c r="G1653" t="s">
        <v>7014</v>
      </c>
      <c r="H1653">
        <v>0</v>
      </c>
      <c r="I1653" t="s">
        <v>290</v>
      </c>
      <c r="M1653">
        <v>0</v>
      </c>
      <c r="N1653">
        <v>0</v>
      </c>
      <c r="O1653">
        <v>0</v>
      </c>
      <c r="P1653">
        <v>0</v>
      </c>
    </row>
    <row r="1654" spans="1:16" x14ac:dyDescent="0.2">
      <c r="A1654" t="s">
        <v>3942</v>
      </c>
      <c r="B1654" t="s">
        <v>7263</v>
      </c>
      <c r="C1654" t="s">
        <v>3943</v>
      </c>
      <c r="D1654" t="s">
        <v>1897</v>
      </c>
      <c r="E1654" t="s">
        <v>96</v>
      </c>
      <c r="F1654">
        <v>189.99</v>
      </c>
      <c r="G1654" t="s">
        <v>7014</v>
      </c>
      <c r="H1654">
        <v>0</v>
      </c>
      <c r="I1654" t="s">
        <v>290</v>
      </c>
      <c r="M1654">
        <v>0</v>
      </c>
      <c r="N1654">
        <v>0</v>
      </c>
      <c r="O1654">
        <v>0</v>
      </c>
      <c r="P1654">
        <v>0</v>
      </c>
    </row>
    <row r="1655" spans="1:16" x14ac:dyDescent="0.2">
      <c r="A1655" t="s">
        <v>1932</v>
      </c>
      <c r="B1655" t="s">
        <v>3841</v>
      </c>
      <c r="C1655" t="s">
        <v>1933</v>
      </c>
      <c r="D1655" t="s">
        <v>1897</v>
      </c>
      <c r="E1655" t="s">
        <v>290</v>
      </c>
      <c r="F1655">
        <v>49.99</v>
      </c>
      <c r="G1655" t="s">
        <v>7014</v>
      </c>
      <c r="H1655">
        <v>0</v>
      </c>
      <c r="I1655" t="s">
        <v>290</v>
      </c>
      <c r="M1655">
        <v>0</v>
      </c>
      <c r="N1655">
        <v>0</v>
      </c>
      <c r="O1655">
        <v>0</v>
      </c>
      <c r="P1655">
        <v>1</v>
      </c>
    </row>
    <row r="1656" spans="1:16" x14ac:dyDescent="0.2">
      <c r="A1656" t="s">
        <v>3735</v>
      </c>
      <c r="B1656" t="s">
        <v>7264</v>
      </c>
      <c r="C1656" t="s">
        <v>3736</v>
      </c>
      <c r="D1656" t="s">
        <v>1897</v>
      </c>
      <c r="E1656" t="s">
        <v>96</v>
      </c>
      <c r="F1656">
        <v>59.99</v>
      </c>
      <c r="G1656" t="s">
        <v>7014</v>
      </c>
      <c r="H1656">
        <v>0</v>
      </c>
      <c r="I1656" t="s">
        <v>290</v>
      </c>
      <c r="M1656">
        <v>0</v>
      </c>
      <c r="N1656">
        <v>0</v>
      </c>
      <c r="O1656">
        <v>0</v>
      </c>
      <c r="P1656">
        <v>0</v>
      </c>
    </row>
    <row r="1657" spans="1:16" x14ac:dyDescent="0.2">
      <c r="A1657" t="s">
        <v>1868</v>
      </c>
      <c r="B1657" t="s">
        <v>3467</v>
      </c>
      <c r="C1657" t="s">
        <v>1869</v>
      </c>
      <c r="D1657" t="s">
        <v>1863</v>
      </c>
      <c r="E1657" t="s">
        <v>290</v>
      </c>
      <c r="F1657">
        <v>499.99</v>
      </c>
      <c r="G1657" t="s">
        <v>7014</v>
      </c>
      <c r="H1657">
        <v>0</v>
      </c>
      <c r="I1657" t="s">
        <v>7015</v>
      </c>
      <c r="M1657">
        <v>0</v>
      </c>
      <c r="N1657">
        <v>0</v>
      </c>
      <c r="O1657">
        <v>0</v>
      </c>
      <c r="P1657">
        <v>0</v>
      </c>
    </row>
    <row r="1658" spans="1:16" x14ac:dyDescent="0.2">
      <c r="A1658" t="s">
        <v>7265</v>
      </c>
      <c r="B1658" t="s">
        <v>7266</v>
      </c>
      <c r="C1658" t="s">
        <v>7267</v>
      </c>
      <c r="D1658" t="s">
        <v>1858</v>
      </c>
      <c r="E1658" t="s">
        <v>96</v>
      </c>
      <c r="F1658">
        <v>99.99</v>
      </c>
      <c r="G1658" t="s">
        <v>7014</v>
      </c>
      <c r="H1658">
        <v>0</v>
      </c>
      <c r="I1658" t="s">
        <v>290</v>
      </c>
      <c r="M1658">
        <v>0</v>
      </c>
      <c r="N1658">
        <v>0</v>
      </c>
      <c r="O1658">
        <v>0</v>
      </c>
      <c r="P1658">
        <v>0</v>
      </c>
    </row>
    <row r="1659" spans="1:16" x14ac:dyDescent="0.2">
      <c r="A1659" t="s">
        <v>3651</v>
      </c>
      <c r="B1659" t="s">
        <v>7268</v>
      </c>
      <c r="C1659" t="s">
        <v>3652</v>
      </c>
      <c r="D1659" t="s">
        <v>2425</v>
      </c>
      <c r="E1659" t="s">
        <v>290</v>
      </c>
      <c r="F1659">
        <v>109.99</v>
      </c>
      <c r="G1659" t="s">
        <v>7014</v>
      </c>
      <c r="H1659">
        <v>0</v>
      </c>
      <c r="I1659" t="s">
        <v>7015</v>
      </c>
      <c r="M1659">
        <v>0</v>
      </c>
      <c r="N1659">
        <v>0</v>
      </c>
      <c r="O1659">
        <v>0</v>
      </c>
      <c r="P1659">
        <v>0</v>
      </c>
    </row>
    <row r="1660" spans="1:16" x14ac:dyDescent="0.2">
      <c r="A1660" t="s">
        <v>7269</v>
      </c>
      <c r="B1660" t="s">
        <v>7270</v>
      </c>
      <c r="C1660" t="s">
        <v>7271</v>
      </c>
      <c r="D1660" t="s">
        <v>1012</v>
      </c>
      <c r="E1660" t="s">
        <v>96</v>
      </c>
      <c r="G1660" t="s">
        <v>7014</v>
      </c>
      <c r="H1660">
        <v>0</v>
      </c>
      <c r="I1660" t="s">
        <v>290</v>
      </c>
      <c r="M1660">
        <v>0</v>
      </c>
      <c r="N1660">
        <v>0</v>
      </c>
      <c r="P1660">
        <v>0</v>
      </c>
    </row>
    <row r="1661" spans="1:16" x14ac:dyDescent="0.2">
      <c r="A1661" t="s">
        <v>7098</v>
      </c>
      <c r="B1661" t="s">
        <v>7272</v>
      </c>
      <c r="C1661" t="s">
        <v>7099</v>
      </c>
      <c r="D1661" t="s">
        <v>1012</v>
      </c>
      <c r="E1661" t="s">
        <v>96</v>
      </c>
      <c r="F1661">
        <v>79.989999999999995</v>
      </c>
      <c r="G1661" t="s">
        <v>7014</v>
      </c>
      <c r="H1661">
        <v>0</v>
      </c>
      <c r="I1661" t="s">
        <v>290</v>
      </c>
      <c r="M1661">
        <v>0</v>
      </c>
      <c r="N1661">
        <v>0</v>
      </c>
      <c r="O1661">
        <v>0</v>
      </c>
      <c r="P1661">
        <v>0</v>
      </c>
    </row>
    <row r="1662" spans="1:16" x14ac:dyDescent="0.2">
      <c r="A1662" t="s">
        <v>1930</v>
      </c>
      <c r="B1662" t="s">
        <v>3843</v>
      </c>
      <c r="C1662" t="s">
        <v>1931</v>
      </c>
      <c r="D1662" t="s">
        <v>1897</v>
      </c>
      <c r="E1662" t="s">
        <v>290</v>
      </c>
      <c r="F1662">
        <v>59.99</v>
      </c>
      <c r="G1662" t="s">
        <v>7014</v>
      </c>
      <c r="H1662">
        <v>0</v>
      </c>
      <c r="I1662" t="s">
        <v>290</v>
      </c>
      <c r="M1662">
        <v>0</v>
      </c>
      <c r="N1662">
        <v>0</v>
      </c>
      <c r="O1662">
        <v>0</v>
      </c>
      <c r="P1662">
        <v>0</v>
      </c>
    </row>
    <row r="1663" spans="1:16" x14ac:dyDescent="0.2">
      <c r="A1663" t="s">
        <v>1964</v>
      </c>
      <c r="B1663" t="s">
        <v>7273</v>
      </c>
      <c r="C1663" t="s">
        <v>1965</v>
      </c>
      <c r="D1663" t="s">
        <v>1897</v>
      </c>
      <c r="E1663" t="s">
        <v>96</v>
      </c>
      <c r="F1663">
        <v>54.99</v>
      </c>
      <c r="G1663" t="s">
        <v>7014</v>
      </c>
      <c r="H1663">
        <v>0</v>
      </c>
      <c r="I1663" t="s">
        <v>290</v>
      </c>
      <c r="M1663">
        <v>0</v>
      </c>
      <c r="N1663">
        <v>0</v>
      </c>
      <c r="O1663">
        <v>0</v>
      </c>
      <c r="P1663">
        <v>0</v>
      </c>
    </row>
    <row r="1664" spans="1:16" x14ac:dyDescent="0.2">
      <c r="A1664" t="s">
        <v>3960</v>
      </c>
      <c r="B1664" t="s">
        <v>7274</v>
      </c>
      <c r="C1664" t="s">
        <v>3961</v>
      </c>
      <c r="D1664" t="s">
        <v>1897</v>
      </c>
      <c r="E1664" t="s">
        <v>96</v>
      </c>
      <c r="F1664">
        <v>79.989999999999995</v>
      </c>
      <c r="G1664" t="s">
        <v>7014</v>
      </c>
      <c r="H1664">
        <v>0</v>
      </c>
      <c r="I1664" t="s">
        <v>290</v>
      </c>
      <c r="M1664">
        <v>0</v>
      </c>
      <c r="N1664">
        <v>0</v>
      </c>
      <c r="O1664">
        <v>0</v>
      </c>
      <c r="P1664">
        <v>0</v>
      </c>
    </row>
    <row r="1665" spans="1:16" x14ac:dyDescent="0.2">
      <c r="A1665" t="s">
        <v>3990</v>
      </c>
      <c r="B1665" t="s">
        <v>7275</v>
      </c>
      <c r="C1665" t="s">
        <v>3991</v>
      </c>
      <c r="D1665" t="s">
        <v>1897</v>
      </c>
      <c r="E1665" t="s">
        <v>96</v>
      </c>
      <c r="F1665">
        <v>109.99</v>
      </c>
      <c r="G1665" t="s">
        <v>7014</v>
      </c>
      <c r="H1665">
        <v>0</v>
      </c>
      <c r="I1665" t="s">
        <v>290</v>
      </c>
      <c r="M1665">
        <v>0</v>
      </c>
      <c r="N1665">
        <v>0</v>
      </c>
      <c r="O1665">
        <v>0</v>
      </c>
      <c r="P1665">
        <v>0</v>
      </c>
    </row>
    <row r="1666" spans="1:16" x14ac:dyDescent="0.2">
      <c r="A1666" t="s">
        <v>1861</v>
      </c>
      <c r="B1666" t="s">
        <v>7276</v>
      </c>
      <c r="C1666" t="s">
        <v>1862</v>
      </c>
      <c r="D1666" t="s">
        <v>1858</v>
      </c>
      <c r="E1666" t="s">
        <v>96</v>
      </c>
      <c r="F1666">
        <v>69.989999999999995</v>
      </c>
      <c r="G1666" t="s">
        <v>7014</v>
      </c>
      <c r="H1666">
        <v>0</v>
      </c>
      <c r="I1666" t="s">
        <v>290</v>
      </c>
      <c r="M1666">
        <v>0</v>
      </c>
      <c r="N1666">
        <v>0</v>
      </c>
      <c r="O1666">
        <v>0</v>
      </c>
      <c r="P1666">
        <v>0</v>
      </c>
    </row>
    <row r="1667" spans="1:16" x14ac:dyDescent="0.2">
      <c r="A1667" t="s">
        <v>1893</v>
      </c>
      <c r="B1667" t="s">
        <v>5303</v>
      </c>
      <c r="C1667" t="s">
        <v>1894</v>
      </c>
      <c r="D1667" t="s">
        <v>1888</v>
      </c>
      <c r="E1667" t="s">
        <v>228</v>
      </c>
      <c r="F1667">
        <v>149.99</v>
      </c>
      <c r="G1667" t="s">
        <v>7014</v>
      </c>
      <c r="H1667">
        <v>5.5555555555555549E-3</v>
      </c>
      <c r="I1667" t="s">
        <v>7015</v>
      </c>
      <c r="M1667">
        <v>90.000000000000014</v>
      </c>
      <c r="N1667">
        <v>0.16666666666666663</v>
      </c>
      <c r="O1667">
        <v>0</v>
      </c>
      <c r="P1667">
        <v>15</v>
      </c>
    </row>
    <row r="1668" spans="1:16" x14ac:dyDescent="0.2">
      <c r="A1668" t="s">
        <v>1889</v>
      </c>
      <c r="B1668" t="s">
        <v>5306</v>
      </c>
      <c r="C1668" t="s">
        <v>1890</v>
      </c>
      <c r="D1668" t="s">
        <v>1888</v>
      </c>
      <c r="E1668" t="s">
        <v>290</v>
      </c>
      <c r="F1668">
        <v>149.99</v>
      </c>
      <c r="G1668" t="s">
        <v>7014</v>
      </c>
      <c r="H1668">
        <v>4.6296296296296301E-2</v>
      </c>
      <c r="I1668" t="s">
        <v>7015</v>
      </c>
      <c r="M1668">
        <v>27</v>
      </c>
      <c r="N1668">
        <v>0.33333333333333331</v>
      </c>
      <c r="O1668">
        <v>0</v>
      </c>
      <c r="P1668">
        <v>9</v>
      </c>
    </row>
    <row r="1669" spans="1:16" x14ac:dyDescent="0.2">
      <c r="A1669" t="s">
        <v>1886</v>
      </c>
      <c r="C1669" t="s">
        <v>1887</v>
      </c>
      <c r="D1669" t="s">
        <v>1863</v>
      </c>
      <c r="E1669" t="s">
        <v>228</v>
      </c>
      <c r="F1669">
        <v>39.99</v>
      </c>
      <c r="G1669" t="s">
        <v>7014</v>
      </c>
      <c r="H1669">
        <v>0</v>
      </c>
      <c r="I1669" t="s">
        <v>7015</v>
      </c>
      <c r="M1669">
        <v>0</v>
      </c>
      <c r="N1669">
        <v>0</v>
      </c>
      <c r="O1669">
        <v>0</v>
      </c>
      <c r="P1669">
        <v>0</v>
      </c>
    </row>
    <row r="1670" spans="1:16" x14ac:dyDescent="0.2">
      <c r="A1670" t="s">
        <v>1882</v>
      </c>
      <c r="B1670" t="s">
        <v>3481</v>
      </c>
      <c r="C1670" t="s">
        <v>1883</v>
      </c>
      <c r="D1670" t="s">
        <v>1863</v>
      </c>
      <c r="E1670" t="s">
        <v>228</v>
      </c>
      <c r="F1670">
        <v>849.99</v>
      </c>
      <c r="G1670" t="s">
        <v>7014</v>
      </c>
      <c r="H1670">
        <v>0</v>
      </c>
      <c r="I1670" t="s">
        <v>7015</v>
      </c>
      <c r="M1670">
        <v>0</v>
      </c>
      <c r="N1670">
        <v>0</v>
      </c>
      <c r="O1670">
        <v>0</v>
      </c>
      <c r="P1670">
        <v>0</v>
      </c>
    </row>
    <row r="1671" spans="1:16" x14ac:dyDescent="0.2">
      <c r="A1671" t="s">
        <v>1876</v>
      </c>
      <c r="B1671" t="s">
        <v>3474</v>
      </c>
      <c r="C1671" t="s">
        <v>1877</v>
      </c>
      <c r="D1671" t="s">
        <v>1863</v>
      </c>
      <c r="E1671" t="s">
        <v>290</v>
      </c>
      <c r="F1671">
        <v>549.99</v>
      </c>
      <c r="G1671" t="s">
        <v>7014</v>
      </c>
      <c r="H1671">
        <v>0</v>
      </c>
      <c r="I1671" t="s">
        <v>7015</v>
      </c>
      <c r="M1671">
        <v>0</v>
      </c>
      <c r="N1671">
        <v>0</v>
      </c>
      <c r="O1671">
        <v>0</v>
      </c>
      <c r="P1671">
        <v>0</v>
      </c>
    </row>
    <row r="1672" spans="1:16" x14ac:dyDescent="0.2">
      <c r="A1672" t="s">
        <v>1874</v>
      </c>
      <c r="B1672" t="s">
        <v>3476</v>
      </c>
      <c r="C1672" t="s">
        <v>1875</v>
      </c>
      <c r="D1672" t="s">
        <v>1863</v>
      </c>
      <c r="E1672" t="s">
        <v>290</v>
      </c>
      <c r="F1672">
        <v>599.99</v>
      </c>
      <c r="G1672" t="s">
        <v>7014</v>
      </c>
      <c r="H1672">
        <v>0</v>
      </c>
      <c r="I1672" t="s">
        <v>7015</v>
      </c>
      <c r="M1672">
        <v>0</v>
      </c>
      <c r="N1672">
        <v>0</v>
      </c>
      <c r="O1672">
        <v>0</v>
      </c>
      <c r="P1672">
        <v>0</v>
      </c>
    </row>
    <row r="1673" spans="1:16" x14ac:dyDescent="0.2">
      <c r="A1673" t="s">
        <v>1872</v>
      </c>
      <c r="B1673" t="s">
        <v>3479</v>
      </c>
      <c r="C1673" t="s">
        <v>1873</v>
      </c>
      <c r="D1673" t="s">
        <v>1863</v>
      </c>
      <c r="E1673" t="s">
        <v>290</v>
      </c>
      <c r="F1673">
        <v>599.99</v>
      </c>
      <c r="G1673" t="s">
        <v>7014</v>
      </c>
      <c r="H1673">
        <v>0</v>
      </c>
      <c r="I1673" t="s">
        <v>7015</v>
      </c>
      <c r="M1673">
        <v>0</v>
      </c>
      <c r="N1673">
        <v>0</v>
      </c>
      <c r="O1673">
        <v>0</v>
      </c>
      <c r="P1673">
        <v>0</v>
      </c>
    </row>
    <row r="1674" spans="1:16" x14ac:dyDescent="0.2">
      <c r="A1674" t="s">
        <v>1870</v>
      </c>
      <c r="B1674" t="s">
        <v>3470</v>
      </c>
      <c r="C1674" t="s">
        <v>1871</v>
      </c>
      <c r="D1674" t="s">
        <v>1863</v>
      </c>
      <c r="E1674" t="s">
        <v>290</v>
      </c>
      <c r="F1674">
        <v>499.99</v>
      </c>
      <c r="G1674" t="s">
        <v>7014</v>
      </c>
      <c r="H1674">
        <v>0</v>
      </c>
      <c r="I1674" t="s">
        <v>7015</v>
      </c>
      <c r="M1674">
        <v>0</v>
      </c>
      <c r="N1674">
        <v>0</v>
      </c>
      <c r="O1674">
        <v>0</v>
      </c>
      <c r="P1674">
        <v>0</v>
      </c>
    </row>
    <row r="1675" spans="1:16" x14ac:dyDescent="0.2">
      <c r="A1675" t="s">
        <v>7277</v>
      </c>
      <c r="B1675" t="s">
        <v>7278</v>
      </c>
      <c r="C1675" t="s">
        <v>7279</v>
      </c>
      <c r="D1675" t="s">
        <v>1897</v>
      </c>
      <c r="E1675" t="s">
        <v>96</v>
      </c>
      <c r="F1675">
        <v>39.99</v>
      </c>
      <c r="G1675" t="s">
        <v>7014</v>
      </c>
      <c r="H1675">
        <v>0</v>
      </c>
      <c r="I1675" t="s">
        <v>290</v>
      </c>
      <c r="M1675">
        <v>0</v>
      </c>
      <c r="N1675">
        <v>0</v>
      </c>
      <c r="O1675">
        <v>0</v>
      </c>
      <c r="P1675">
        <v>0</v>
      </c>
    </row>
    <row r="1676" spans="1:16" x14ac:dyDescent="0.2">
      <c r="A1676" t="s">
        <v>7280</v>
      </c>
      <c r="B1676" t="s">
        <v>7281</v>
      </c>
      <c r="C1676" t="s">
        <v>7282</v>
      </c>
      <c r="D1676" t="s">
        <v>1897</v>
      </c>
      <c r="E1676" t="s">
        <v>96</v>
      </c>
      <c r="F1676">
        <v>69.989999999999995</v>
      </c>
      <c r="G1676" t="s">
        <v>7014</v>
      </c>
      <c r="H1676">
        <v>0</v>
      </c>
      <c r="I1676" t="s">
        <v>290</v>
      </c>
      <c r="M1676">
        <v>0</v>
      </c>
      <c r="N1676">
        <v>0</v>
      </c>
      <c r="O1676">
        <v>0</v>
      </c>
      <c r="P1676">
        <v>0</v>
      </c>
    </row>
    <row r="1677" spans="1:16" x14ac:dyDescent="0.2">
      <c r="A1677" t="s">
        <v>3740</v>
      </c>
      <c r="B1677" t="s">
        <v>7283</v>
      </c>
      <c r="C1677" t="s">
        <v>3741</v>
      </c>
      <c r="D1677" t="s">
        <v>1897</v>
      </c>
      <c r="E1677" t="s">
        <v>96</v>
      </c>
      <c r="F1677">
        <v>49.99</v>
      </c>
      <c r="G1677" t="s">
        <v>7014</v>
      </c>
      <c r="H1677">
        <v>0</v>
      </c>
      <c r="I1677" t="s">
        <v>290</v>
      </c>
      <c r="M1677">
        <v>0</v>
      </c>
      <c r="N1677">
        <v>0</v>
      </c>
      <c r="O1677">
        <v>0</v>
      </c>
      <c r="P1677">
        <v>0</v>
      </c>
    </row>
    <row r="1678" spans="1:16" x14ac:dyDescent="0.2">
      <c r="A1678" t="s">
        <v>1920</v>
      </c>
      <c r="B1678" t="s">
        <v>7284</v>
      </c>
      <c r="C1678" t="s">
        <v>1921</v>
      </c>
      <c r="D1678" t="s">
        <v>1897</v>
      </c>
      <c r="E1678" t="s">
        <v>290</v>
      </c>
      <c r="F1678">
        <v>49.99</v>
      </c>
      <c r="G1678" t="s">
        <v>7014</v>
      </c>
      <c r="H1678">
        <v>0</v>
      </c>
      <c r="I1678" t="s">
        <v>290</v>
      </c>
      <c r="M1678">
        <v>0</v>
      </c>
      <c r="N1678">
        <v>0</v>
      </c>
      <c r="O1678">
        <v>0</v>
      </c>
      <c r="P1678">
        <v>0</v>
      </c>
    </row>
    <row r="1679" spans="1:16" x14ac:dyDescent="0.2">
      <c r="A1679" t="s">
        <v>3993</v>
      </c>
      <c r="B1679" t="s">
        <v>7285</v>
      </c>
      <c r="C1679" t="s">
        <v>3994</v>
      </c>
      <c r="D1679" t="s">
        <v>1897</v>
      </c>
      <c r="E1679" t="s">
        <v>96</v>
      </c>
      <c r="F1679">
        <v>44.99</v>
      </c>
      <c r="G1679" t="s">
        <v>7014</v>
      </c>
      <c r="H1679">
        <v>0</v>
      </c>
      <c r="I1679" t="s">
        <v>290</v>
      </c>
      <c r="M1679">
        <v>0</v>
      </c>
      <c r="N1679">
        <v>0</v>
      </c>
      <c r="O1679">
        <v>0</v>
      </c>
      <c r="P1679">
        <v>0</v>
      </c>
    </row>
    <row r="1680" spans="1:16" x14ac:dyDescent="0.2">
      <c r="A1680" t="s">
        <v>3973</v>
      </c>
      <c r="B1680" t="s">
        <v>7286</v>
      </c>
      <c r="C1680" t="s">
        <v>3974</v>
      </c>
      <c r="D1680" t="s">
        <v>1897</v>
      </c>
      <c r="E1680" t="s">
        <v>96</v>
      </c>
      <c r="F1680">
        <v>109.99</v>
      </c>
      <c r="G1680" t="s">
        <v>7014</v>
      </c>
      <c r="H1680">
        <v>0</v>
      </c>
      <c r="I1680" t="s">
        <v>290</v>
      </c>
      <c r="M1680">
        <v>0</v>
      </c>
      <c r="N1680">
        <v>0</v>
      </c>
      <c r="O1680">
        <v>0</v>
      </c>
      <c r="P1680">
        <v>0</v>
      </c>
    </row>
    <row r="1681" spans="1:16" x14ac:dyDescent="0.2">
      <c r="A1681" t="s">
        <v>1966</v>
      </c>
      <c r="B1681" t="s">
        <v>7287</v>
      </c>
      <c r="C1681" t="s">
        <v>1967</v>
      </c>
      <c r="D1681" t="s">
        <v>1897</v>
      </c>
      <c r="E1681" t="s">
        <v>96</v>
      </c>
      <c r="F1681">
        <v>139.99</v>
      </c>
      <c r="G1681" t="s">
        <v>7014</v>
      </c>
      <c r="H1681">
        <v>0</v>
      </c>
      <c r="I1681" t="s">
        <v>290</v>
      </c>
      <c r="M1681">
        <v>0</v>
      </c>
      <c r="N1681">
        <v>0</v>
      </c>
      <c r="O1681">
        <v>0</v>
      </c>
      <c r="P1681">
        <v>0</v>
      </c>
    </row>
    <row r="1682" spans="1:16" x14ac:dyDescent="0.2">
      <c r="A1682" t="s">
        <v>7108</v>
      </c>
      <c r="B1682" t="s">
        <v>7288</v>
      </c>
      <c r="C1682" t="s">
        <v>7109</v>
      </c>
      <c r="D1682" t="s">
        <v>1012</v>
      </c>
      <c r="E1682" t="s">
        <v>96</v>
      </c>
      <c r="F1682">
        <v>79.989999999999995</v>
      </c>
      <c r="G1682" t="s">
        <v>7014</v>
      </c>
      <c r="H1682">
        <v>0</v>
      </c>
      <c r="I1682" t="s">
        <v>290</v>
      </c>
      <c r="M1682">
        <v>0</v>
      </c>
      <c r="N1682">
        <v>0</v>
      </c>
      <c r="O1682">
        <v>0</v>
      </c>
      <c r="P1682">
        <v>0</v>
      </c>
    </row>
    <row r="1683" spans="1:16" x14ac:dyDescent="0.2">
      <c r="A1683" t="s">
        <v>4402</v>
      </c>
      <c r="B1683" t="s">
        <v>4404</v>
      </c>
      <c r="C1683" t="s">
        <v>4403</v>
      </c>
      <c r="D1683" t="s">
        <v>1012</v>
      </c>
      <c r="E1683" t="s">
        <v>96</v>
      </c>
      <c r="F1683">
        <v>94.99</v>
      </c>
      <c r="G1683" t="s">
        <v>7014</v>
      </c>
      <c r="H1683">
        <v>0</v>
      </c>
      <c r="I1683" t="s">
        <v>7015</v>
      </c>
      <c r="M1683">
        <v>0</v>
      </c>
      <c r="N1683">
        <v>0</v>
      </c>
      <c r="O1683">
        <v>0</v>
      </c>
      <c r="P1683">
        <v>0</v>
      </c>
    </row>
    <row r="1684" spans="1:16" x14ac:dyDescent="0.2">
      <c r="A1684" t="s">
        <v>4411</v>
      </c>
      <c r="B1684" t="s">
        <v>4413</v>
      </c>
      <c r="C1684" t="s">
        <v>4412</v>
      </c>
      <c r="D1684" t="s">
        <v>1012</v>
      </c>
      <c r="E1684" t="s">
        <v>290</v>
      </c>
      <c r="F1684">
        <v>94.99</v>
      </c>
      <c r="G1684" t="s">
        <v>7014</v>
      </c>
      <c r="H1684">
        <v>0</v>
      </c>
      <c r="I1684" t="s">
        <v>7015</v>
      </c>
      <c r="M1684">
        <v>0</v>
      </c>
      <c r="N1684">
        <v>0</v>
      </c>
      <c r="O1684">
        <v>0</v>
      </c>
      <c r="P1684">
        <v>1</v>
      </c>
    </row>
    <row r="1685" spans="1:16" x14ac:dyDescent="0.2">
      <c r="A1685" t="s">
        <v>4455</v>
      </c>
      <c r="B1685" t="s">
        <v>4457</v>
      </c>
      <c r="C1685" t="s">
        <v>4456</v>
      </c>
      <c r="D1685" t="s">
        <v>1012</v>
      </c>
      <c r="E1685" t="s">
        <v>96</v>
      </c>
      <c r="F1685">
        <v>279.99</v>
      </c>
      <c r="G1685" t="s">
        <v>7014</v>
      </c>
      <c r="H1685">
        <v>0</v>
      </c>
      <c r="I1685" t="s">
        <v>7015</v>
      </c>
      <c r="M1685">
        <v>0</v>
      </c>
      <c r="N1685">
        <v>0</v>
      </c>
      <c r="O1685">
        <v>0</v>
      </c>
      <c r="P1685">
        <v>2</v>
      </c>
    </row>
    <row r="1686" spans="1:16" x14ac:dyDescent="0.2">
      <c r="A1686" t="s">
        <v>1021</v>
      </c>
      <c r="B1686" t="s">
        <v>4547</v>
      </c>
      <c r="C1686" t="s">
        <v>1022</v>
      </c>
      <c r="D1686" t="s">
        <v>1020</v>
      </c>
      <c r="E1686" t="s">
        <v>96</v>
      </c>
      <c r="F1686">
        <v>47.99</v>
      </c>
      <c r="G1686" t="s">
        <v>7014</v>
      </c>
      <c r="H1686">
        <v>6.9444444444444441E-3</v>
      </c>
      <c r="I1686" t="s">
        <v>7015</v>
      </c>
      <c r="M1686">
        <v>0</v>
      </c>
      <c r="N1686">
        <v>0</v>
      </c>
      <c r="O1686">
        <v>0</v>
      </c>
      <c r="P1686">
        <v>12</v>
      </c>
    </row>
    <row r="1687" spans="1:16" x14ac:dyDescent="0.2">
      <c r="A1687" t="s">
        <v>4429</v>
      </c>
      <c r="B1687" t="s">
        <v>4431</v>
      </c>
      <c r="C1687" t="s">
        <v>4430</v>
      </c>
      <c r="D1687" t="s">
        <v>1012</v>
      </c>
      <c r="E1687" t="s">
        <v>96</v>
      </c>
      <c r="F1687">
        <v>59.99</v>
      </c>
      <c r="G1687" t="s">
        <v>7014</v>
      </c>
      <c r="H1687">
        <v>9.2592592592592587E-3</v>
      </c>
      <c r="I1687" t="s">
        <v>7015</v>
      </c>
      <c r="M1687">
        <v>0</v>
      </c>
      <c r="N1687">
        <v>0</v>
      </c>
      <c r="O1687">
        <v>0</v>
      </c>
      <c r="P1687">
        <v>9</v>
      </c>
    </row>
    <row r="1688" spans="1:16" x14ac:dyDescent="0.2">
      <c r="A1688" t="s">
        <v>4426</v>
      </c>
      <c r="B1688" t="s">
        <v>4428</v>
      </c>
      <c r="C1688" t="s">
        <v>4427</v>
      </c>
      <c r="D1688" t="s">
        <v>1012</v>
      </c>
      <c r="E1688" t="s">
        <v>96</v>
      </c>
      <c r="F1688">
        <v>59.99</v>
      </c>
      <c r="G1688" t="s">
        <v>7014</v>
      </c>
      <c r="H1688">
        <v>0</v>
      </c>
      <c r="I1688" t="s">
        <v>7015</v>
      </c>
      <c r="M1688">
        <v>0</v>
      </c>
      <c r="N1688">
        <v>0</v>
      </c>
      <c r="O1688">
        <v>0</v>
      </c>
      <c r="P1688">
        <v>8</v>
      </c>
    </row>
    <row r="1689" spans="1:16" x14ac:dyDescent="0.2">
      <c r="A1689" t="s">
        <v>7289</v>
      </c>
      <c r="B1689" t="s">
        <v>7290</v>
      </c>
      <c r="C1689" t="s">
        <v>7291</v>
      </c>
      <c r="D1689" t="s">
        <v>1012</v>
      </c>
      <c r="E1689" t="s">
        <v>96</v>
      </c>
      <c r="F1689">
        <v>139.99</v>
      </c>
      <c r="G1689" t="s">
        <v>7014</v>
      </c>
      <c r="H1689">
        <v>0</v>
      </c>
      <c r="I1689" t="s">
        <v>290</v>
      </c>
      <c r="M1689">
        <v>0</v>
      </c>
      <c r="N1689">
        <v>0</v>
      </c>
      <c r="O1689">
        <v>0</v>
      </c>
      <c r="P1689">
        <v>0</v>
      </c>
    </row>
    <row r="1690" spans="1:16" x14ac:dyDescent="0.2">
      <c r="A1690" t="s">
        <v>4415</v>
      </c>
      <c r="B1690" t="s">
        <v>4417</v>
      </c>
      <c r="C1690" t="s">
        <v>4416</v>
      </c>
      <c r="D1690" t="s">
        <v>1012</v>
      </c>
      <c r="E1690" t="s">
        <v>96</v>
      </c>
      <c r="F1690">
        <v>114.99</v>
      </c>
      <c r="G1690" t="s">
        <v>7014</v>
      </c>
      <c r="H1690">
        <v>0</v>
      </c>
      <c r="I1690" t="s">
        <v>7015</v>
      </c>
      <c r="M1690">
        <v>0</v>
      </c>
      <c r="N1690">
        <v>0</v>
      </c>
      <c r="O1690">
        <v>0</v>
      </c>
      <c r="P1690">
        <v>0</v>
      </c>
    </row>
    <row r="1691" spans="1:16" x14ac:dyDescent="0.2">
      <c r="A1691" t="s">
        <v>7094</v>
      </c>
      <c r="B1691" t="s">
        <v>7292</v>
      </c>
      <c r="C1691" t="s">
        <v>7095</v>
      </c>
      <c r="D1691" t="s">
        <v>1012</v>
      </c>
      <c r="E1691" t="s">
        <v>96</v>
      </c>
      <c r="F1691">
        <v>114.99</v>
      </c>
      <c r="G1691" t="s">
        <v>7014</v>
      </c>
      <c r="H1691">
        <v>0</v>
      </c>
      <c r="I1691" t="s">
        <v>290</v>
      </c>
      <c r="M1691">
        <v>0</v>
      </c>
      <c r="N1691">
        <v>0</v>
      </c>
      <c r="O1691">
        <v>0</v>
      </c>
      <c r="P1691">
        <v>0</v>
      </c>
    </row>
    <row r="1692" spans="1:16" x14ac:dyDescent="0.2">
      <c r="A1692" t="s">
        <v>4408</v>
      </c>
      <c r="B1692" t="s">
        <v>4410</v>
      </c>
      <c r="C1692" t="s">
        <v>4409</v>
      </c>
      <c r="D1692" t="s">
        <v>1012</v>
      </c>
      <c r="E1692" t="s">
        <v>96</v>
      </c>
      <c r="F1692">
        <v>114.99</v>
      </c>
      <c r="G1692" t="s">
        <v>7014</v>
      </c>
      <c r="H1692">
        <v>0</v>
      </c>
      <c r="I1692" t="s">
        <v>7015</v>
      </c>
      <c r="M1692">
        <v>0</v>
      </c>
      <c r="N1692">
        <v>0</v>
      </c>
      <c r="O1692">
        <v>0</v>
      </c>
      <c r="P1692">
        <v>0</v>
      </c>
    </row>
    <row r="1693" spans="1:16" x14ac:dyDescent="0.2">
      <c r="A1693" t="s">
        <v>7293</v>
      </c>
      <c r="B1693" t="s">
        <v>4435</v>
      </c>
      <c r="C1693" t="s">
        <v>7294</v>
      </c>
      <c r="D1693" t="s">
        <v>1012</v>
      </c>
      <c r="E1693" t="s">
        <v>96</v>
      </c>
      <c r="F1693">
        <v>59.99</v>
      </c>
      <c r="G1693" t="s">
        <v>7014</v>
      </c>
      <c r="H1693">
        <v>0</v>
      </c>
      <c r="I1693" t="s">
        <v>7015</v>
      </c>
      <c r="M1693">
        <v>0</v>
      </c>
      <c r="N1693">
        <v>0</v>
      </c>
      <c r="O1693">
        <v>0</v>
      </c>
      <c r="P1693">
        <v>0</v>
      </c>
    </row>
    <row r="1694" spans="1:16" x14ac:dyDescent="0.2">
      <c r="A1694" t="s">
        <v>7295</v>
      </c>
      <c r="B1694" t="s">
        <v>7296</v>
      </c>
      <c r="C1694" t="s">
        <v>7297</v>
      </c>
      <c r="D1694" t="s">
        <v>1012</v>
      </c>
      <c r="E1694" t="s">
        <v>96</v>
      </c>
      <c r="F1694">
        <v>49.99</v>
      </c>
      <c r="G1694" t="s">
        <v>7014</v>
      </c>
      <c r="H1694">
        <v>0</v>
      </c>
      <c r="I1694" t="s">
        <v>7015</v>
      </c>
      <c r="M1694">
        <v>0</v>
      </c>
      <c r="N1694">
        <v>0</v>
      </c>
      <c r="O1694">
        <v>0</v>
      </c>
      <c r="P1694">
        <v>0</v>
      </c>
    </row>
    <row r="1695" spans="1:16" x14ac:dyDescent="0.2">
      <c r="A1695" t="s">
        <v>7298</v>
      </c>
      <c r="B1695" t="s">
        <v>7299</v>
      </c>
      <c r="C1695" t="s">
        <v>7300</v>
      </c>
      <c r="D1695" t="s">
        <v>1012</v>
      </c>
      <c r="E1695" t="s">
        <v>96</v>
      </c>
      <c r="F1695">
        <v>49.99</v>
      </c>
      <c r="G1695" t="s">
        <v>7014</v>
      </c>
      <c r="H1695">
        <v>0</v>
      </c>
      <c r="I1695" t="s">
        <v>7015</v>
      </c>
      <c r="M1695">
        <v>0</v>
      </c>
      <c r="N1695">
        <v>0</v>
      </c>
      <c r="O1695">
        <v>0</v>
      </c>
      <c r="P1695">
        <v>0</v>
      </c>
    </row>
    <row r="1696" spans="1:16" x14ac:dyDescent="0.2">
      <c r="A1696" t="s">
        <v>4432</v>
      </c>
      <c r="B1696" t="s">
        <v>4434</v>
      </c>
      <c r="C1696" t="s">
        <v>4433</v>
      </c>
      <c r="D1696" t="s">
        <v>1012</v>
      </c>
      <c r="E1696" t="s">
        <v>290</v>
      </c>
      <c r="F1696">
        <v>49.99</v>
      </c>
      <c r="G1696" t="s">
        <v>7014</v>
      </c>
      <c r="H1696">
        <v>0</v>
      </c>
      <c r="I1696" t="s">
        <v>7015</v>
      </c>
      <c r="M1696">
        <v>0</v>
      </c>
      <c r="N1696">
        <v>0</v>
      </c>
      <c r="O1696">
        <v>0</v>
      </c>
      <c r="P1696">
        <v>3</v>
      </c>
    </row>
    <row r="1697" spans="1:16" x14ac:dyDescent="0.2">
      <c r="A1697" t="s">
        <v>3986</v>
      </c>
      <c r="B1697" t="s">
        <v>7301</v>
      </c>
      <c r="C1697" t="s">
        <v>3987</v>
      </c>
      <c r="D1697" t="s">
        <v>1897</v>
      </c>
      <c r="E1697" t="s">
        <v>96</v>
      </c>
      <c r="F1697">
        <v>64.989999999999995</v>
      </c>
      <c r="G1697" t="s">
        <v>7014</v>
      </c>
      <c r="H1697">
        <v>0</v>
      </c>
      <c r="I1697" t="s">
        <v>290</v>
      </c>
      <c r="M1697">
        <v>0</v>
      </c>
      <c r="N1697">
        <v>0</v>
      </c>
      <c r="O1697">
        <v>0</v>
      </c>
      <c r="P1697">
        <v>0</v>
      </c>
    </row>
    <row r="1698" spans="1:16" x14ac:dyDescent="0.2">
      <c r="A1698" t="s">
        <v>3976</v>
      </c>
      <c r="B1698" t="s">
        <v>7302</v>
      </c>
      <c r="C1698" t="s">
        <v>3977</v>
      </c>
      <c r="D1698" t="s">
        <v>1897</v>
      </c>
      <c r="E1698" t="s">
        <v>96</v>
      </c>
      <c r="F1698">
        <v>89.99</v>
      </c>
      <c r="G1698" t="s">
        <v>7014</v>
      </c>
      <c r="H1698">
        <v>0</v>
      </c>
      <c r="I1698" t="s">
        <v>290</v>
      </c>
      <c r="M1698">
        <v>0</v>
      </c>
      <c r="N1698">
        <v>0</v>
      </c>
      <c r="O1698">
        <v>0</v>
      </c>
      <c r="P1698">
        <v>0</v>
      </c>
    </row>
    <row r="1699" spans="1:16" x14ac:dyDescent="0.2">
      <c r="A1699" t="s">
        <v>2507</v>
      </c>
      <c r="B1699" t="s">
        <v>7303</v>
      </c>
      <c r="C1699" t="s">
        <v>2508</v>
      </c>
      <c r="D1699" t="s">
        <v>2502</v>
      </c>
      <c r="E1699" t="s">
        <v>228</v>
      </c>
      <c r="F1699">
        <v>139.99</v>
      </c>
      <c r="G1699" t="s">
        <v>7014</v>
      </c>
      <c r="H1699">
        <v>0</v>
      </c>
      <c r="I1699" t="s">
        <v>7015</v>
      </c>
      <c r="M1699">
        <v>0</v>
      </c>
      <c r="N1699">
        <v>0</v>
      </c>
      <c r="O1699">
        <v>0</v>
      </c>
      <c r="P1699">
        <v>0</v>
      </c>
    </row>
    <row r="1700" spans="1:16" x14ac:dyDescent="0.2">
      <c r="A1700" t="s">
        <v>2338</v>
      </c>
      <c r="B1700" t="s">
        <v>5565</v>
      </c>
      <c r="C1700" t="s">
        <v>2339</v>
      </c>
      <c r="D1700" t="s">
        <v>2146</v>
      </c>
      <c r="E1700" t="s">
        <v>228</v>
      </c>
      <c r="F1700">
        <v>349.99</v>
      </c>
      <c r="G1700" t="s">
        <v>7014</v>
      </c>
      <c r="H1700">
        <v>1.5873015873015872E-2</v>
      </c>
      <c r="I1700" t="s">
        <v>7015</v>
      </c>
      <c r="M1700">
        <v>78.75</v>
      </c>
      <c r="N1700">
        <v>1.3333333333333333</v>
      </c>
      <c r="O1700">
        <v>0</v>
      </c>
      <c r="P1700">
        <v>105</v>
      </c>
    </row>
    <row r="1701" spans="1:16" x14ac:dyDescent="0.2">
      <c r="A1701" t="s">
        <v>2356</v>
      </c>
      <c r="B1701" t="s">
        <v>5611</v>
      </c>
      <c r="C1701" t="s">
        <v>2357</v>
      </c>
      <c r="D1701" t="s">
        <v>2146</v>
      </c>
      <c r="E1701" t="s">
        <v>228</v>
      </c>
      <c r="F1701">
        <v>549.99</v>
      </c>
      <c r="G1701" t="s">
        <v>7014</v>
      </c>
      <c r="H1701">
        <v>2.0833333333333332E-2</v>
      </c>
      <c r="I1701" t="s">
        <v>7015</v>
      </c>
      <c r="M1701">
        <v>24</v>
      </c>
      <c r="N1701">
        <v>0.16666666666666666</v>
      </c>
      <c r="O1701">
        <v>0</v>
      </c>
      <c r="P1701">
        <v>4</v>
      </c>
    </row>
    <row r="1702" spans="1:16" x14ac:dyDescent="0.2">
      <c r="A1702" t="s">
        <v>1023</v>
      </c>
      <c r="B1702" t="s">
        <v>4548</v>
      </c>
      <c r="C1702" t="s">
        <v>1024</v>
      </c>
      <c r="D1702" t="s">
        <v>1020</v>
      </c>
      <c r="E1702" t="s">
        <v>96</v>
      </c>
      <c r="F1702">
        <v>54.99</v>
      </c>
      <c r="G1702" t="s">
        <v>7014</v>
      </c>
      <c r="H1702">
        <v>0</v>
      </c>
      <c r="I1702" t="s">
        <v>7015</v>
      </c>
      <c r="M1702">
        <v>0</v>
      </c>
      <c r="N1702">
        <v>0</v>
      </c>
      <c r="O1702">
        <v>0</v>
      </c>
      <c r="P1702">
        <v>0</v>
      </c>
    </row>
    <row r="1703" spans="1:16" x14ac:dyDescent="0.2">
      <c r="A1703" t="s">
        <v>3759</v>
      </c>
      <c r="B1703" t="s">
        <v>7304</v>
      </c>
      <c r="C1703" t="s">
        <v>3760</v>
      </c>
      <c r="D1703" t="s">
        <v>1897</v>
      </c>
      <c r="E1703" t="s">
        <v>96</v>
      </c>
      <c r="F1703">
        <v>44.99</v>
      </c>
      <c r="G1703" t="s">
        <v>7014</v>
      </c>
      <c r="H1703">
        <v>0</v>
      </c>
      <c r="I1703" t="s">
        <v>290</v>
      </c>
      <c r="M1703">
        <v>0</v>
      </c>
      <c r="N1703">
        <v>0</v>
      </c>
      <c r="O1703">
        <v>0</v>
      </c>
      <c r="P1703">
        <v>0</v>
      </c>
    </row>
    <row r="1704" spans="1:16" x14ac:dyDescent="0.2">
      <c r="A1704" t="s">
        <v>1030</v>
      </c>
      <c r="B1704" t="s">
        <v>7305</v>
      </c>
      <c r="C1704" t="s">
        <v>1031</v>
      </c>
      <c r="D1704" t="s">
        <v>1029</v>
      </c>
      <c r="E1704" t="s">
        <v>228</v>
      </c>
      <c r="F1704">
        <v>249.99</v>
      </c>
      <c r="G1704" t="s">
        <v>7014</v>
      </c>
      <c r="H1704">
        <v>0</v>
      </c>
      <c r="I1704" t="s">
        <v>7015</v>
      </c>
      <c r="M1704">
        <v>0</v>
      </c>
      <c r="N1704">
        <v>0</v>
      </c>
      <c r="O1704">
        <v>0</v>
      </c>
      <c r="P1704">
        <v>0</v>
      </c>
    </row>
    <row r="1705" spans="1:16" x14ac:dyDescent="0.2">
      <c r="A1705" t="s">
        <v>1034</v>
      </c>
      <c r="B1705" t="s">
        <v>7306</v>
      </c>
      <c r="C1705" t="s">
        <v>1035</v>
      </c>
      <c r="D1705" t="s">
        <v>1029</v>
      </c>
      <c r="E1705" t="s">
        <v>228</v>
      </c>
      <c r="F1705">
        <v>249.99</v>
      </c>
      <c r="G1705" t="s">
        <v>7014</v>
      </c>
      <c r="H1705">
        <v>0</v>
      </c>
      <c r="I1705" t="s">
        <v>7015</v>
      </c>
      <c r="M1705">
        <v>0</v>
      </c>
      <c r="N1705">
        <v>0</v>
      </c>
      <c r="O1705">
        <v>0</v>
      </c>
      <c r="P1705">
        <v>0</v>
      </c>
    </row>
    <row r="1706" spans="1:16" x14ac:dyDescent="0.2">
      <c r="A1706" t="s">
        <v>4452</v>
      </c>
      <c r="B1706" t="s">
        <v>4454</v>
      </c>
      <c r="C1706" t="s">
        <v>4453</v>
      </c>
      <c r="D1706" t="s">
        <v>1012</v>
      </c>
      <c r="E1706" t="s">
        <v>96</v>
      </c>
      <c r="F1706">
        <v>249.99</v>
      </c>
      <c r="G1706" t="s">
        <v>7014</v>
      </c>
      <c r="H1706">
        <v>2.7777777777777776E-2</v>
      </c>
      <c r="I1706" t="s">
        <v>7015</v>
      </c>
      <c r="M1706">
        <v>18</v>
      </c>
      <c r="N1706">
        <v>0.16666666666666666</v>
      </c>
      <c r="O1706">
        <v>0</v>
      </c>
      <c r="P1706">
        <v>3</v>
      </c>
    </row>
    <row r="1707" spans="1:16" x14ac:dyDescent="0.2">
      <c r="A1707" t="s">
        <v>4449</v>
      </c>
      <c r="B1707" t="s">
        <v>4451</v>
      </c>
      <c r="C1707" t="s">
        <v>4450</v>
      </c>
      <c r="D1707" t="s">
        <v>1012</v>
      </c>
      <c r="E1707" t="s">
        <v>96</v>
      </c>
      <c r="F1707">
        <v>159.99</v>
      </c>
      <c r="G1707" t="s">
        <v>7014</v>
      </c>
      <c r="H1707">
        <v>0</v>
      </c>
      <c r="I1707" t="s">
        <v>7015</v>
      </c>
      <c r="M1707">
        <v>0</v>
      </c>
      <c r="N1707">
        <v>0</v>
      </c>
      <c r="O1707">
        <v>0</v>
      </c>
      <c r="P1707">
        <v>0</v>
      </c>
    </row>
    <row r="1708" spans="1:16" x14ac:dyDescent="0.2">
      <c r="A1708" t="s">
        <v>4447</v>
      </c>
      <c r="B1708" t="s">
        <v>7307</v>
      </c>
      <c r="C1708" t="s">
        <v>4448</v>
      </c>
      <c r="D1708" t="s">
        <v>1012</v>
      </c>
      <c r="E1708" t="s">
        <v>96</v>
      </c>
      <c r="F1708">
        <v>199.99</v>
      </c>
      <c r="G1708" t="s">
        <v>7014</v>
      </c>
      <c r="H1708">
        <v>0</v>
      </c>
      <c r="I1708" t="s">
        <v>7015</v>
      </c>
      <c r="M1708">
        <v>0</v>
      </c>
      <c r="N1708">
        <v>0</v>
      </c>
      <c r="O1708">
        <v>0</v>
      </c>
      <c r="P1708">
        <v>0</v>
      </c>
    </row>
    <row r="1709" spans="1:16" x14ac:dyDescent="0.2">
      <c r="A1709" t="s">
        <v>1859</v>
      </c>
      <c r="B1709" t="s">
        <v>7308</v>
      </c>
      <c r="C1709" t="s">
        <v>1860</v>
      </c>
      <c r="D1709" t="s">
        <v>1858</v>
      </c>
      <c r="E1709" t="s">
        <v>96</v>
      </c>
      <c r="F1709">
        <v>99.99</v>
      </c>
      <c r="G1709" t="s">
        <v>7014</v>
      </c>
      <c r="H1709">
        <v>0</v>
      </c>
      <c r="I1709" t="s">
        <v>290</v>
      </c>
      <c r="M1709">
        <v>0</v>
      </c>
      <c r="N1709">
        <v>0</v>
      </c>
      <c r="O1709">
        <v>0</v>
      </c>
      <c r="P1709">
        <v>0</v>
      </c>
    </row>
    <row r="1710" spans="1:16" x14ac:dyDescent="0.2">
      <c r="A1710" t="s">
        <v>7104</v>
      </c>
      <c r="B1710" t="s">
        <v>7309</v>
      </c>
      <c r="C1710" t="s">
        <v>7105</v>
      </c>
      <c r="D1710" t="s">
        <v>1012</v>
      </c>
      <c r="E1710" t="s">
        <v>96</v>
      </c>
      <c r="F1710">
        <v>169.99</v>
      </c>
      <c r="G1710" t="s">
        <v>7014</v>
      </c>
      <c r="H1710">
        <v>0</v>
      </c>
      <c r="I1710" t="s">
        <v>290</v>
      </c>
      <c r="M1710">
        <v>0</v>
      </c>
      <c r="N1710">
        <v>0</v>
      </c>
      <c r="O1710">
        <v>0</v>
      </c>
      <c r="P1710">
        <v>0</v>
      </c>
    </row>
    <row r="1711" spans="1:16" x14ac:dyDescent="0.2">
      <c r="A1711" t="s">
        <v>4418</v>
      </c>
      <c r="B1711" t="s">
        <v>4420</v>
      </c>
      <c r="C1711" t="s">
        <v>4419</v>
      </c>
      <c r="D1711" t="s">
        <v>1012</v>
      </c>
      <c r="E1711" t="s">
        <v>290</v>
      </c>
      <c r="F1711">
        <v>89.99</v>
      </c>
      <c r="G1711" t="s">
        <v>7014</v>
      </c>
      <c r="H1711">
        <v>0</v>
      </c>
      <c r="I1711" t="s">
        <v>7015</v>
      </c>
      <c r="M1711">
        <v>0</v>
      </c>
      <c r="N1711">
        <v>0</v>
      </c>
      <c r="O1711">
        <v>0</v>
      </c>
      <c r="P1711">
        <v>0</v>
      </c>
    </row>
    <row r="1712" spans="1:16" x14ac:dyDescent="0.2">
      <c r="A1712" t="s">
        <v>4405</v>
      </c>
      <c r="B1712" t="s">
        <v>4407</v>
      </c>
      <c r="C1712" t="s">
        <v>4406</v>
      </c>
      <c r="D1712" t="s">
        <v>1012</v>
      </c>
      <c r="E1712" t="s">
        <v>96</v>
      </c>
      <c r="F1712">
        <v>89.99</v>
      </c>
      <c r="G1712" t="s">
        <v>7014</v>
      </c>
      <c r="H1712">
        <v>0</v>
      </c>
      <c r="I1712" t="s">
        <v>7015</v>
      </c>
      <c r="M1712">
        <v>0</v>
      </c>
      <c r="N1712">
        <v>0</v>
      </c>
      <c r="O1712">
        <v>0</v>
      </c>
      <c r="P1712">
        <v>0</v>
      </c>
    </row>
    <row r="1713" spans="1:16" x14ac:dyDescent="0.2">
      <c r="A1713" t="s">
        <v>3626</v>
      </c>
      <c r="B1713" t="s">
        <v>7310</v>
      </c>
      <c r="C1713" t="s">
        <v>3627</v>
      </c>
      <c r="D1713" t="s">
        <v>3561</v>
      </c>
      <c r="E1713" t="s">
        <v>96</v>
      </c>
      <c r="G1713" t="s">
        <v>7014</v>
      </c>
      <c r="H1713">
        <v>0</v>
      </c>
      <c r="I1713" t="s">
        <v>290</v>
      </c>
      <c r="M1713">
        <v>0</v>
      </c>
      <c r="N1713">
        <v>0</v>
      </c>
      <c r="P1713">
        <v>0</v>
      </c>
    </row>
    <row r="1714" spans="1:16" x14ac:dyDescent="0.2">
      <c r="A1714" t="s">
        <v>3596</v>
      </c>
      <c r="B1714" t="s">
        <v>7311</v>
      </c>
      <c r="C1714" t="s">
        <v>3597</v>
      </c>
      <c r="D1714" t="s">
        <v>3561</v>
      </c>
      <c r="E1714" t="s">
        <v>96</v>
      </c>
      <c r="G1714" t="s">
        <v>7014</v>
      </c>
      <c r="H1714">
        <v>0</v>
      </c>
      <c r="I1714" t="s">
        <v>290</v>
      </c>
      <c r="M1714">
        <v>0</v>
      </c>
      <c r="N1714">
        <v>0</v>
      </c>
      <c r="P1714">
        <v>0</v>
      </c>
    </row>
    <row r="1715" spans="1:16" x14ac:dyDescent="0.2">
      <c r="A1715" t="s">
        <v>4978</v>
      </c>
      <c r="B1715" t="s">
        <v>4980</v>
      </c>
      <c r="C1715" t="s">
        <v>7312</v>
      </c>
      <c r="D1715" t="s">
        <v>446</v>
      </c>
      <c r="E1715" t="s">
        <v>290</v>
      </c>
      <c r="F1715">
        <v>99.99</v>
      </c>
      <c r="G1715" t="s">
        <v>7014</v>
      </c>
      <c r="H1715">
        <v>0.20833333333333337</v>
      </c>
      <c r="I1715" t="s">
        <v>7015</v>
      </c>
      <c r="M1715">
        <v>12.000000000000004</v>
      </c>
      <c r="N1715">
        <v>0.16666666666666663</v>
      </c>
      <c r="O1715">
        <v>0</v>
      </c>
      <c r="P1715">
        <v>2</v>
      </c>
    </row>
    <row r="1716" spans="1:16" x14ac:dyDescent="0.2">
      <c r="A1716" t="s">
        <v>4965</v>
      </c>
      <c r="B1716" t="s">
        <v>4967</v>
      </c>
      <c r="C1716" t="s">
        <v>4966</v>
      </c>
      <c r="D1716" t="s">
        <v>446</v>
      </c>
      <c r="E1716" t="s">
        <v>290</v>
      </c>
      <c r="F1716">
        <v>69.989999999999995</v>
      </c>
      <c r="G1716" t="s">
        <v>7014</v>
      </c>
      <c r="H1716">
        <v>0</v>
      </c>
      <c r="I1716" t="s">
        <v>7015</v>
      </c>
      <c r="M1716">
        <v>0</v>
      </c>
      <c r="N1716">
        <v>0</v>
      </c>
      <c r="O1716">
        <v>0</v>
      </c>
      <c r="P1716">
        <v>2</v>
      </c>
    </row>
    <row r="1717" spans="1:16" x14ac:dyDescent="0.2">
      <c r="A1717" t="s">
        <v>1010</v>
      </c>
      <c r="B1717" t="s">
        <v>4969</v>
      </c>
      <c r="C1717" t="s">
        <v>1011</v>
      </c>
      <c r="D1717" t="s">
        <v>446</v>
      </c>
      <c r="E1717" t="s">
        <v>290</v>
      </c>
      <c r="F1717">
        <v>69.989999999999995</v>
      </c>
      <c r="G1717" t="s">
        <v>7014</v>
      </c>
      <c r="H1717">
        <v>1.515151515151515E-2</v>
      </c>
      <c r="I1717" t="s">
        <v>7015</v>
      </c>
      <c r="M1717">
        <v>0</v>
      </c>
      <c r="N1717">
        <v>0</v>
      </c>
      <c r="O1717">
        <v>0</v>
      </c>
      <c r="P1717">
        <v>11</v>
      </c>
    </row>
    <row r="1718" spans="1:16" x14ac:dyDescent="0.2">
      <c r="A1718" t="s">
        <v>4398</v>
      </c>
      <c r="B1718" t="s">
        <v>4400</v>
      </c>
      <c r="C1718" t="s">
        <v>4399</v>
      </c>
      <c r="D1718" t="s">
        <v>1012</v>
      </c>
      <c r="E1718" t="s">
        <v>290</v>
      </c>
      <c r="F1718">
        <v>79.989999999999995</v>
      </c>
      <c r="G1718" t="s">
        <v>7014</v>
      </c>
      <c r="H1718">
        <v>0</v>
      </c>
      <c r="I1718" t="s">
        <v>7015</v>
      </c>
      <c r="M1718">
        <v>0</v>
      </c>
      <c r="N1718">
        <v>0</v>
      </c>
      <c r="O1718">
        <v>0</v>
      </c>
      <c r="P1718">
        <v>1</v>
      </c>
    </row>
    <row r="1719" spans="1:16" x14ac:dyDescent="0.2">
      <c r="A1719" t="s">
        <v>4422</v>
      </c>
      <c r="B1719" t="s">
        <v>4424</v>
      </c>
      <c r="C1719" t="s">
        <v>4423</v>
      </c>
      <c r="D1719" t="s">
        <v>1012</v>
      </c>
      <c r="E1719" t="s">
        <v>290</v>
      </c>
      <c r="F1719">
        <v>119.99</v>
      </c>
      <c r="G1719" t="s">
        <v>7014</v>
      </c>
      <c r="H1719">
        <v>0</v>
      </c>
      <c r="I1719" t="s">
        <v>7015</v>
      </c>
      <c r="M1719">
        <v>0</v>
      </c>
      <c r="N1719">
        <v>0</v>
      </c>
      <c r="O1719">
        <v>0</v>
      </c>
      <c r="P1719">
        <v>1</v>
      </c>
    </row>
    <row r="1720" spans="1:16" x14ac:dyDescent="0.2">
      <c r="A1720" t="s">
        <v>4444</v>
      </c>
      <c r="B1720" t="s">
        <v>4446</v>
      </c>
      <c r="C1720" t="s">
        <v>4445</v>
      </c>
      <c r="D1720" t="s">
        <v>1012</v>
      </c>
      <c r="E1720" t="s">
        <v>290</v>
      </c>
      <c r="F1720">
        <v>199.99</v>
      </c>
      <c r="G1720" t="s">
        <v>7014</v>
      </c>
      <c r="H1720">
        <v>0</v>
      </c>
      <c r="I1720" t="s">
        <v>7015</v>
      </c>
      <c r="M1720">
        <v>0</v>
      </c>
      <c r="N1720">
        <v>0</v>
      </c>
      <c r="O1720">
        <v>0</v>
      </c>
      <c r="P1720">
        <v>0</v>
      </c>
    </row>
    <row r="1721" spans="1:16" x14ac:dyDescent="0.2">
      <c r="A1721" t="s">
        <v>4438</v>
      </c>
      <c r="B1721" t="s">
        <v>4440</v>
      </c>
      <c r="C1721" t="s">
        <v>4439</v>
      </c>
      <c r="D1721" t="s">
        <v>1012</v>
      </c>
      <c r="E1721" t="s">
        <v>290</v>
      </c>
      <c r="F1721">
        <v>49.99</v>
      </c>
      <c r="G1721" t="s">
        <v>7014</v>
      </c>
      <c r="H1721">
        <v>0</v>
      </c>
      <c r="I1721" t="s">
        <v>7015</v>
      </c>
      <c r="M1721">
        <v>0</v>
      </c>
      <c r="N1721">
        <v>0</v>
      </c>
      <c r="O1721">
        <v>0</v>
      </c>
      <c r="P1721">
        <v>25</v>
      </c>
    </row>
    <row r="1722" spans="1:16" x14ac:dyDescent="0.2">
      <c r="A1722" t="s">
        <v>5842</v>
      </c>
      <c r="B1722" t="s">
        <v>7313</v>
      </c>
      <c r="C1722" t="s">
        <v>5843</v>
      </c>
      <c r="D1722" t="s">
        <v>1858</v>
      </c>
      <c r="E1722" t="s">
        <v>96</v>
      </c>
      <c r="F1722">
        <v>149.99</v>
      </c>
      <c r="G1722" t="s">
        <v>7014</v>
      </c>
      <c r="H1722">
        <v>0</v>
      </c>
      <c r="I1722" t="s">
        <v>290</v>
      </c>
      <c r="M1722">
        <v>0</v>
      </c>
      <c r="N1722">
        <v>0</v>
      </c>
      <c r="O1722">
        <v>0</v>
      </c>
      <c r="P1722">
        <v>0</v>
      </c>
    </row>
    <row r="1723" spans="1:16" x14ac:dyDescent="0.2">
      <c r="A1723" t="s">
        <v>1032</v>
      </c>
      <c r="B1723" t="s">
        <v>7314</v>
      </c>
      <c r="C1723" t="s">
        <v>1033</v>
      </c>
      <c r="D1723" t="s">
        <v>1029</v>
      </c>
      <c r="E1723" t="s">
        <v>228</v>
      </c>
      <c r="F1723">
        <v>249.99</v>
      </c>
      <c r="G1723" t="s">
        <v>7014</v>
      </c>
      <c r="H1723">
        <v>0</v>
      </c>
      <c r="I1723" t="s">
        <v>7015</v>
      </c>
      <c r="M1723">
        <v>0</v>
      </c>
      <c r="N1723">
        <v>0</v>
      </c>
      <c r="O1723">
        <v>0</v>
      </c>
      <c r="P1723">
        <v>0</v>
      </c>
    </row>
    <row r="1724" spans="1:16" x14ac:dyDescent="0.2">
      <c r="A1724" t="s">
        <v>6303</v>
      </c>
      <c r="B1724" t="s">
        <v>6305</v>
      </c>
      <c r="C1724" t="s">
        <v>6304</v>
      </c>
      <c r="D1724" t="s">
        <v>2502</v>
      </c>
      <c r="E1724" t="s">
        <v>290</v>
      </c>
      <c r="F1724">
        <v>89.99</v>
      </c>
      <c r="G1724" t="s">
        <v>7014</v>
      </c>
      <c r="H1724">
        <v>0</v>
      </c>
      <c r="I1724" t="s">
        <v>7015</v>
      </c>
      <c r="M1724">
        <v>0</v>
      </c>
      <c r="N1724">
        <v>0</v>
      </c>
      <c r="O1724">
        <v>0</v>
      </c>
      <c r="P1724">
        <v>0</v>
      </c>
    </row>
    <row r="1725" spans="1:16" x14ac:dyDescent="0.2">
      <c r="A1725" t="s">
        <v>2515</v>
      </c>
      <c r="B1725" t="s">
        <v>6306</v>
      </c>
      <c r="C1725" t="s">
        <v>2516</v>
      </c>
      <c r="D1725" t="s">
        <v>2502</v>
      </c>
      <c r="E1725" t="s">
        <v>228</v>
      </c>
      <c r="F1725">
        <v>139.99</v>
      </c>
      <c r="G1725" t="s">
        <v>7014</v>
      </c>
      <c r="H1725">
        <v>3.0864197530864199E-2</v>
      </c>
      <c r="I1725" t="s">
        <v>7015</v>
      </c>
      <c r="M1725">
        <v>54</v>
      </c>
      <c r="N1725">
        <v>0.5</v>
      </c>
      <c r="O1725">
        <v>0</v>
      </c>
      <c r="P1725">
        <v>27</v>
      </c>
    </row>
    <row r="1726" spans="1:16" x14ac:dyDescent="0.2">
      <c r="A1726" t="s">
        <v>5016</v>
      </c>
      <c r="B1726" t="s">
        <v>5018</v>
      </c>
      <c r="C1726" t="s">
        <v>5017</v>
      </c>
      <c r="D1726" t="s">
        <v>446</v>
      </c>
      <c r="E1726" t="s">
        <v>96</v>
      </c>
      <c r="F1726">
        <v>49.99</v>
      </c>
      <c r="G1726" t="s">
        <v>7014</v>
      </c>
      <c r="H1726">
        <v>0</v>
      </c>
      <c r="I1726" t="s">
        <v>7015</v>
      </c>
      <c r="M1726">
        <v>0</v>
      </c>
      <c r="N1726">
        <v>0</v>
      </c>
      <c r="O1726">
        <v>0</v>
      </c>
      <c r="P1726">
        <v>0</v>
      </c>
    </row>
    <row r="1727" spans="1:16" x14ac:dyDescent="0.2">
      <c r="A1727" t="s">
        <v>5014</v>
      </c>
      <c r="B1727" t="s">
        <v>7315</v>
      </c>
      <c r="C1727" t="s">
        <v>5015</v>
      </c>
      <c r="D1727" t="s">
        <v>446</v>
      </c>
      <c r="E1727" t="s">
        <v>96</v>
      </c>
      <c r="F1727">
        <v>49.99</v>
      </c>
      <c r="G1727" t="s">
        <v>7014</v>
      </c>
      <c r="H1727">
        <v>0</v>
      </c>
      <c r="I1727" t="s">
        <v>7015</v>
      </c>
      <c r="M1727">
        <v>0</v>
      </c>
      <c r="N1727">
        <v>0</v>
      </c>
      <c r="O1727">
        <v>0</v>
      </c>
      <c r="P1727">
        <v>0</v>
      </c>
    </row>
    <row r="1728" spans="1:16" x14ac:dyDescent="0.2">
      <c r="A1728" t="s">
        <v>7316</v>
      </c>
      <c r="B1728" t="s">
        <v>7317</v>
      </c>
      <c r="C1728" t="s">
        <v>7318</v>
      </c>
      <c r="D1728" t="s">
        <v>446</v>
      </c>
      <c r="E1728" t="s">
        <v>96</v>
      </c>
      <c r="F1728">
        <v>34.99</v>
      </c>
      <c r="G1728" t="s">
        <v>7014</v>
      </c>
      <c r="H1728">
        <v>0</v>
      </c>
      <c r="I1728" t="s">
        <v>7015</v>
      </c>
      <c r="M1728">
        <v>0</v>
      </c>
      <c r="N1728">
        <v>0</v>
      </c>
      <c r="O1728">
        <v>0</v>
      </c>
      <c r="P1728">
        <v>0</v>
      </c>
    </row>
    <row r="1729" spans="1:16" x14ac:dyDescent="0.2">
      <c r="A1729" t="s">
        <v>4633</v>
      </c>
      <c r="B1729" t="s">
        <v>4635</v>
      </c>
      <c r="C1729" t="s">
        <v>4634</v>
      </c>
      <c r="D1729" t="s">
        <v>446</v>
      </c>
      <c r="E1729" t="s">
        <v>290</v>
      </c>
      <c r="F1729">
        <v>34.99</v>
      </c>
      <c r="G1729" t="s">
        <v>7014</v>
      </c>
      <c r="H1729">
        <v>0</v>
      </c>
      <c r="I1729" t="s">
        <v>7015</v>
      </c>
      <c r="M1729">
        <v>0</v>
      </c>
      <c r="N1729">
        <v>0</v>
      </c>
      <c r="O1729">
        <v>0</v>
      </c>
      <c r="P1729">
        <v>0</v>
      </c>
    </row>
    <row r="1730" spans="1:16" x14ac:dyDescent="0.2">
      <c r="A1730" t="s">
        <v>2861</v>
      </c>
      <c r="B1730" t="s">
        <v>5271</v>
      </c>
      <c r="C1730" t="s">
        <v>2862</v>
      </c>
      <c r="D1730" t="s">
        <v>2852</v>
      </c>
      <c r="E1730" t="s">
        <v>228</v>
      </c>
      <c r="F1730">
        <v>399.99</v>
      </c>
      <c r="G1730" t="s">
        <v>7014</v>
      </c>
      <c r="H1730">
        <v>0</v>
      </c>
      <c r="I1730" t="s">
        <v>7015</v>
      </c>
      <c r="M1730">
        <v>0</v>
      </c>
      <c r="N1730">
        <v>0</v>
      </c>
      <c r="O1730">
        <v>0</v>
      </c>
      <c r="P1730">
        <v>0</v>
      </c>
    </row>
    <row r="1731" spans="1:16" x14ac:dyDescent="0.2">
      <c r="A1731" t="s">
        <v>5786</v>
      </c>
      <c r="B1731" t="s">
        <v>7319</v>
      </c>
      <c r="C1731" t="s">
        <v>5787</v>
      </c>
      <c r="D1731" t="s">
        <v>2852</v>
      </c>
      <c r="E1731" t="s">
        <v>96</v>
      </c>
      <c r="F1731">
        <v>199.99</v>
      </c>
      <c r="G1731" t="s">
        <v>7014</v>
      </c>
      <c r="H1731">
        <v>0</v>
      </c>
      <c r="I1731" t="s">
        <v>290</v>
      </c>
      <c r="M1731">
        <v>0</v>
      </c>
      <c r="N1731">
        <v>0</v>
      </c>
      <c r="O1731">
        <v>0</v>
      </c>
      <c r="P1731">
        <v>0</v>
      </c>
    </row>
    <row r="1732" spans="1:16" x14ac:dyDescent="0.2">
      <c r="A1732" t="s">
        <v>4336</v>
      </c>
      <c r="B1732" t="s">
        <v>4339</v>
      </c>
      <c r="C1732" t="s">
        <v>4337</v>
      </c>
      <c r="D1732" t="s">
        <v>2852</v>
      </c>
      <c r="E1732" t="s">
        <v>96</v>
      </c>
      <c r="F1732">
        <v>29.99</v>
      </c>
      <c r="G1732" t="s">
        <v>7014</v>
      </c>
      <c r="H1732">
        <v>0</v>
      </c>
      <c r="I1732" t="s">
        <v>7015</v>
      </c>
      <c r="M1732">
        <v>0</v>
      </c>
      <c r="N1732">
        <v>0</v>
      </c>
      <c r="O1732">
        <v>0</v>
      </c>
      <c r="P1732">
        <v>0</v>
      </c>
    </row>
    <row r="1733" spans="1:16" x14ac:dyDescent="0.2">
      <c r="A1733" t="s">
        <v>5012</v>
      </c>
      <c r="B1733" t="s">
        <v>7320</v>
      </c>
      <c r="C1733" t="s">
        <v>5013</v>
      </c>
      <c r="D1733" t="s">
        <v>446</v>
      </c>
      <c r="E1733" t="s">
        <v>96</v>
      </c>
      <c r="F1733">
        <v>44.99</v>
      </c>
      <c r="G1733" t="s">
        <v>7014</v>
      </c>
      <c r="H1733">
        <v>0</v>
      </c>
      <c r="I1733" t="s">
        <v>7015</v>
      </c>
      <c r="M1733">
        <v>0</v>
      </c>
      <c r="N1733">
        <v>0</v>
      </c>
      <c r="O1733">
        <v>0</v>
      </c>
      <c r="P1733">
        <v>0</v>
      </c>
    </row>
    <row r="1734" spans="1:16" x14ac:dyDescent="0.2">
      <c r="A1734" t="s">
        <v>5969</v>
      </c>
      <c r="B1734" t="s">
        <v>5971</v>
      </c>
      <c r="C1734" t="s">
        <v>5970</v>
      </c>
      <c r="D1734" t="s">
        <v>2502</v>
      </c>
      <c r="E1734" t="s">
        <v>290</v>
      </c>
      <c r="F1734">
        <v>99.99</v>
      </c>
      <c r="G1734" t="s">
        <v>7014</v>
      </c>
      <c r="H1734">
        <v>0</v>
      </c>
      <c r="I1734" t="s">
        <v>7015</v>
      </c>
      <c r="M1734">
        <v>0</v>
      </c>
      <c r="N1734">
        <v>0</v>
      </c>
      <c r="O1734">
        <v>0</v>
      </c>
      <c r="P1734">
        <v>0</v>
      </c>
    </row>
    <row r="1735" spans="1:16" x14ac:dyDescent="0.2">
      <c r="A1735" t="s">
        <v>2563</v>
      </c>
      <c r="B1735" t="s">
        <v>5967</v>
      </c>
      <c r="C1735" t="s">
        <v>2564</v>
      </c>
      <c r="D1735" t="s">
        <v>2502</v>
      </c>
      <c r="E1735" t="s">
        <v>290</v>
      </c>
      <c r="F1735">
        <v>99.99</v>
      </c>
      <c r="G1735" t="s">
        <v>7014</v>
      </c>
      <c r="H1735">
        <v>0</v>
      </c>
      <c r="I1735" t="s">
        <v>7015</v>
      </c>
      <c r="M1735">
        <v>0</v>
      </c>
      <c r="N1735">
        <v>0</v>
      </c>
      <c r="O1735">
        <v>0</v>
      </c>
      <c r="P1735">
        <v>0</v>
      </c>
    </row>
    <row r="1736" spans="1:16" x14ac:dyDescent="0.2">
      <c r="A1736" t="s">
        <v>2759</v>
      </c>
      <c r="B1736" t="s">
        <v>5961</v>
      </c>
      <c r="C1736" t="s">
        <v>2760</v>
      </c>
      <c r="D1736" t="s">
        <v>2502</v>
      </c>
      <c r="E1736" t="s">
        <v>290</v>
      </c>
      <c r="F1736">
        <v>119.99</v>
      </c>
      <c r="G1736" t="s">
        <v>7014</v>
      </c>
      <c r="H1736">
        <v>0</v>
      </c>
      <c r="I1736" t="s">
        <v>7015</v>
      </c>
      <c r="M1736">
        <v>0</v>
      </c>
      <c r="N1736">
        <v>0</v>
      </c>
      <c r="O1736">
        <v>0</v>
      </c>
      <c r="P1736">
        <v>2</v>
      </c>
    </row>
    <row r="1737" spans="1:16" x14ac:dyDescent="0.2">
      <c r="A1737" t="s">
        <v>3569</v>
      </c>
      <c r="B1737" t="s">
        <v>7321</v>
      </c>
      <c r="C1737" t="s">
        <v>3570</v>
      </c>
      <c r="D1737" t="s">
        <v>3554</v>
      </c>
      <c r="E1737" t="s">
        <v>96</v>
      </c>
      <c r="F1737">
        <v>39.99</v>
      </c>
      <c r="G1737" t="s">
        <v>7014</v>
      </c>
      <c r="H1737">
        <v>0</v>
      </c>
      <c r="I1737" t="s">
        <v>7015</v>
      </c>
      <c r="M1737">
        <v>0</v>
      </c>
      <c r="N1737">
        <v>0</v>
      </c>
      <c r="O1737">
        <v>0</v>
      </c>
      <c r="P1737">
        <v>0</v>
      </c>
    </row>
    <row r="1738" spans="1:16" x14ac:dyDescent="0.2">
      <c r="A1738" t="s">
        <v>7322</v>
      </c>
      <c r="B1738" t="s">
        <v>7323</v>
      </c>
      <c r="C1738" t="s">
        <v>7324</v>
      </c>
      <c r="D1738" t="s">
        <v>2852</v>
      </c>
      <c r="E1738" t="s">
        <v>96</v>
      </c>
      <c r="F1738">
        <v>29.99</v>
      </c>
      <c r="G1738" t="s">
        <v>7014</v>
      </c>
      <c r="H1738">
        <v>0</v>
      </c>
      <c r="I1738" t="s">
        <v>7015</v>
      </c>
      <c r="M1738">
        <v>0</v>
      </c>
      <c r="N1738">
        <v>0</v>
      </c>
      <c r="O1738">
        <v>0</v>
      </c>
      <c r="P1738">
        <v>0</v>
      </c>
    </row>
    <row r="1739" spans="1:16" x14ac:dyDescent="0.2">
      <c r="A1739" t="s">
        <v>3575</v>
      </c>
      <c r="B1739" t="s">
        <v>7325</v>
      </c>
      <c r="C1739" t="s">
        <v>3576</v>
      </c>
      <c r="D1739" t="s">
        <v>3554</v>
      </c>
      <c r="E1739" t="s">
        <v>96</v>
      </c>
      <c r="F1739">
        <v>39.99</v>
      </c>
      <c r="G1739" t="s">
        <v>7014</v>
      </c>
      <c r="H1739">
        <v>0</v>
      </c>
      <c r="I1739" t="s">
        <v>290</v>
      </c>
      <c r="M1739">
        <v>0</v>
      </c>
      <c r="N1739">
        <v>0</v>
      </c>
      <c r="O1739">
        <v>0</v>
      </c>
      <c r="P1739">
        <v>0</v>
      </c>
    </row>
    <row r="1740" spans="1:16" x14ac:dyDescent="0.2">
      <c r="A1740" t="s">
        <v>3587</v>
      </c>
      <c r="B1740" t="s">
        <v>7326</v>
      </c>
      <c r="C1740" t="s">
        <v>3588</v>
      </c>
      <c r="D1740" t="s">
        <v>3554</v>
      </c>
      <c r="E1740" t="s">
        <v>96</v>
      </c>
      <c r="F1740">
        <v>39.99</v>
      </c>
      <c r="G1740" t="s">
        <v>7014</v>
      </c>
      <c r="H1740">
        <v>0</v>
      </c>
      <c r="I1740" t="s">
        <v>290</v>
      </c>
      <c r="M1740">
        <v>0</v>
      </c>
      <c r="N1740">
        <v>0</v>
      </c>
      <c r="O1740">
        <v>0</v>
      </c>
      <c r="P1740">
        <v>0</v>
      </c>
    </row>
    <row r="1741" spans="1:16" x14ac:dyDescent="0.2">
      <c r="A1741" t="s">
        <v>3590</v>
      </c>
      <c r="B1741" t="s">
        <v>7327</v>
      </c>
      <c r="C1741" t="s">
        <v>3591</v>
      </c>
      <c r="D1741" t="s">
        <v>3554</v>
      </c>
      <c r="E1741" t="s">
        <v>96</v>
      </c>
      <c r="F1741">
        <v>39.99</v>
      </c>
      <c r="G1741" t="s">
        <v>7014</v>
      </c>
      <c r="H1741">
        <v>0</v>
      </c>
      <c r="I1741" t="s">
        <v>290</v>
      </c>
      <c r="M1741">
        <v>0</v>
      </c>
      <c r="N1741">
        <v>0</v>
      </c>
      <c r="O1741">
        <v>0</v>
      </c>
      <c r="P1741">
        <v>0</v>
      </c>
    </row>
    <row r="1742" spans="1:16" x14ac:dyDescent="0.2">
      <c r="A1742" t="s">
        <v>3611</v>
      </c>
      <c r="B1742" t="s">
        <v>7328</v>
      </c>
      <c r="C1742" t="s">
        <v>3612</v>
      </c>
      <c r="D1742" t="s">
        <v>3554</v>
      </c>
      <c r="E1742" t="s">
        <v>96</v>
      </c>
      <c r="F1742">
        <v>39.99</v>
      </c>
      <c r="G1742" t="s">
        <v>7014</v>
      </c>
      <c r="H1742">
        <v>0</v>
      </c>
      <c r="I1742" t="s">
        <v>290</v>
      </c>
      <c r="M1742">
        <v>0</v>
      </c>
      <c r="N1742">
        <v>0</v>
      </c>
      <c r="O1742">
        <v>0</v>
      </c>
      <c r="P1742">
        <v>0</v>
      </c>
    </row>
    <row r="1743" spans="1:16" x14ac:dyDescent="0.2">
      <c r="A1743" t="s">
        <v>3614</v>
      </c>
      <c r="B1743" t="s">
        <v>7329</v>
      </c>
      <c r="C1743" t="s">
        <v>3615</v>
      </c>
      <c r="D1743" t="s">
        <v>3554</v>
      </c>
      <c r="E1743" t="s">
        <v>96</v>
      </c>
      <c r="F1743">
        <v>39.99</v>
      </c>
      <c r="G1743" t="s">
        <v>7014</v>
      </c>
      <c r="H1743">
        <v>0</v>
      </c>
      <c r="I1743" t="s">
        <v>290</v>
      </c>
      <c r="M1743">
        <v>0</v>
      </c>
      <c r="N1743">
        <v>0</v>
      </c>
      <c r="O1743">
        <v>0</v>
      </c>
      <c r="P1743">
        <v>0</v>
      </c>
    </row>
    <row r="1744" spans="1:16" x14ac:dyDescent="0.2">
      <c r="A1744" t="s">
        <v>3602</v>
      </c>
      <c r="B1744" t="s">
        <v>7330</v>
      </c>
      <c r="C1744" t="s">
        <v>3603</v>
      </c>
      <c r="D1744" t="s">
        <v>3554</v>
      </c>
      <c r="E1744" t="s">
        <v>96</v>
      </c>
      <c r="F1744">
        <v>39.99</v>
      </c>
      <c r="G1744" t="s">
        <v>7014</v>
      </c>
      <c r="H1744">
        <v>0</v>
      </c>
      <c r="I1744" t="s">
        <v>290</v>
      </c>
      <c r="M1744">
        <v>0</v>
      </c>
      <c r="N1744">
        <v>0</v>
      </c>
      <c r="O1744">
        <v>0</v>
      </c>
      <c r="P1744">
        <v>0</v>
      </c>
    </row>
    <row r="1745" spans="1:16" x14ac:dyDescent="0.2">
      <c r="A1745" t="s">
        <v>4650</v>
      </c>
      <c r="B1745" t="s">
        <v>4652</v>
      </c>
      <c r="C1745" t="s">
        <v>4651</v>
      </c>
      <c r="D1745" t="s">
        <v>446</v>
      </c>
      <c r="E1745" t="s">
        <v>96</v>
      </c>
      <c r="F1745">
        <v>24.99</v>
      </c>
      <c r="G1745" t="s">
        <v>7014</v>
      </c>
      <c r="H1745">
        <v>0</v>
      </c>
      <c r="I1745" t="s">
        <v>7015</v>
      </c>
      <c r="M1745">
        <v>0</v>
      </c>
      <c r="N1745">
        <v>0</v>
      </c>
      <c r="O1745">
        <v>0</v>
      </c>
      <c r="P1745">
        <v>0</v>
      </c>
    </row>
    <row r="1746" spans="1:16" x14ac:dyDescent="0.2">
      <c r="A1746" t="s">
        <v>932</v>
      </c>
      <c r="B1746" t="s">
        <v>7331</v>
      </c>
      <c r="C1746" t="s">
        <v>933</v>
      </c>
      <c r="D1746" t="s">
        <v>446</v>
      </c>
      <c r="E1746" t="s">
        <v>228</v>
      </c>
      <c r="F1746">
        <v>49.99</v>
      </c>
      <c r="G1746" t="s">
        <v>7014</v>
      </c>
      <c r="H1746">
        <v>0</v>
      </c>
      <c r="I1746" t="s">
        <v>7015</v>
      </c>
      <c r="M1746">
        <v>0</v>
      </c>
      <c r="N1746">
        <v>0</v>
      </c>
      <c r="O1746">
        <v>0</v>
      </c>
      <c r="P1746">
        <v>0</v>
      </c>
    </row>
    <row r="1747" spans="1:16" x14ac:dyDescent="0.2">
      <c r="A1747" t="s">
        <v>934</v>
      </c>
      <c r="B1747" t="s">
        <v>7332</v>
      </c>
      <c r="C1747" t="s">
        <v>935</v>
      </c>
      <c r="D1747" t="s">
        <v>446</v>
      </c>
      <c r="E1747" t="s">
        <v>228</v>
      </c>
      <c r="F1747">
        <v>39.99</v>
      </c>
      <c r="G1747" t="s">
        <v>7014</v>
      </c>
      <c r="H1747">
        <v>0</v>
      </c>
      <c r="I1747" t="s">
        <v>7015</v>
      </c>
      <c r="M1747">
        <v>0</v>
      </c>
      <c r="N1747">
        <v>0</v>
      </c>
      <c r="O1747">
        <v>0</v>
      </c>
      <c r="P1747">
        <v>0</v>
      </c>
    </row>
    <row r="1748" spans="1:16" x14ac:dyDescent="0.2">
      <c r="A1748" t="s">
        <v>7333</v>
      </c>
      <c r="B1748" t="s">
        <v>7334</v>
      </c>
      <c r="C1748" t="s">
        <v>7335</v>
      </c>
      <c r="D1748" t="s">
        <v>446</v>
      </c>
      <c r="E1748" t="s">
        <v>96</v>
      </c>
      <c r="F1748">
        <v>39.99</v>
      </c>
      <c r="G1748" t="s">
        <v>7014</v>
      </c>
      <c r="H1748">
        <v>0</v>
      </c>
      <c r="I1748" t="s">
        <v>7015</v>
      </c>
      <c r="M1748">
        <v>0</v>
      </c>
      <c r="N1748">
        <v>0</v>
      </c>
      <c r="O1748">
        <v>0</v>
      </c>
      <c r="P1748">
        <v>0</v>
      </c>
    </row>
    <row r="1749" spans="1:16" x14ac:dyDescent="0.2">
      <c r="A1749" t="s">
        <v>7336</v>
      </c>
      <c r="B1749" t="s">
        <v>7337</v>
      </c>
      <c r="C1749" t="s">
        <v>7338</v>
      </c>
      <c r="D1749" t="s">
        <v>2852</v>
      </c>
      <c r="E1749" t="s">
        <v>96</v>
      </c>
      <c r="F1749">
        <v>1999.99</v>
      </c>
      <c r="G1749" t="s">
        <v>7014</v>
      </c>
      <c r="H1749">
        <v>0</v>
      </c>
      <c r="I1749" t="s">
        <v>290</v>
      </c>
      <c r="M1749">
        <v>0</v>
      </c>
      <c r="N1749">
        <v>0</v>
      </c>
      <c r="O1749">
        <v>0</v>
      </c>
      <c r="P1749">
        <v>0</v>
      </c>
    </row>
    <row r="1750" spans="1:16" x14ac:dyDescent="0.2">
      <c r="A1750" t="s">
        <v>6583</v>
      </c>
      <c r="B1750" t="s">
        <v>7339</v>
      </c>
      <c r="C1750" t="s">
        <v>6584</v>
      </c>
      <c r="D1750" t="s">
        <v>2987</v>
      </c>
      <c r="E1750" t="s">
        <v>96</v>
      </c>
      <c r="F1750">
        <v>89.99</v>
      </c>
      <c r="G1750" t="s">
        <v>7014</v>
      </c>
      <c r="H1750">
        <v>0</v>
      </c>
      <c r="I1750" t="s">
        <v>7015</v>
      </c>
      <c r="M1750">
        <v>0</v>
      </c>
      <c r="N1750">
        <v>0</v>
      </c>
      <c r="O1750">
        <v>0</v>
      </c>
      <c r="P1750">
        <v>0</v>
      </c>
    </row>
    <row r="1751" spans="1:16" x14ac:dyDescent="0.2">
      <c r="A1751" t="s">
        <v>4194</v>
      </c>
      <c r="B1751" t="s">
        <v>7340</v>
      </c>
      <c r="C1751" t="s">
        <v>4195</v>
      </c>
      <c r="D1751" t="s">
        <v>2852</v>
      </c>
      <c r="E1751" t="s">
        <v>96</v>
      </c>
      <c r="F1751">
        <v>29.99</v>
      </c>
      <c r="G1751" t="s">
        <v>7014</v>
      </c>
      <c r="H1751">
        <v>0</v>
      </c>
      <c r="I1751" t="s">
        <v>290</v>
      </c>
      <c r="M1751">
        <v>0</v>
      </c>
      <c r="N1751">
        <v>0</v>
      </c>
      <c r="O1751">
        <v>0</v>
      </c>
      <c r="P1751">
        <v>0</v>
      </c>
    </row>
    <row r="1752" spans="1:16" x14ac:dyDescent="0.2">
      <c r="A1752" t="s">
        <v>7341</v>
      </c>
      <c r="B1752" t="s">
        <v>7342</v>
      </c>
      <c r="C1752" t="s">
        <v>7343</v>
      </c>
      <c r="D1752" t="s">
        <v>2852</v>
      </c>
      <c r="E1752" t="s">
        <v>96</v>
      </c>
      <c r="F1752">
        <v>49.99</v>
      </c>
      <c r="G1752" t="s">
        <v>7014</v>
      </c>
      <c r="H1752">
        <v>0</v>
      </c>
      <c r="I1752" t="s">
        <v>290</v>
      </c>
      <c r="M1752">
        <v>0</v>
      </c>
      <c r="N1752">
        <v>0</v>
      </c>
      <c r="O1752">
        <v>0</v>
      </c>
      <c r="P1752">
        <v>0</v>
      </c>
    </row>
    <row r="1753" spans="1:16" x14ac:dyDescent="0.2">
      <c r="A1753" t="s">
        <v>2895</v>
      </c>
      <c r="B1753" t="s">
        <v>3723</v>
      </c>
      <c r="C1753" t="s">
        <v>2896</v>
      </c>
      <c r="D1753" t="s">
        <v>2852</v>
      </c>
      <c r="E1753" t="s">
        <v>228</v>
      </c>
      <c r="F1753">
        <v>2699.99</v>
      </c>
      <c r="G1753" t="s">
        <v>7014</v>
      </c>
      <c r="H1753">
        <v>0</v>
      </c>
      <c r="I1753" t="s">
        <v>290</v>
      </c>
      <c r="M1753">
        <v>0</v>
      </c>
      <c r="N1753">
        <v>0</v>
      </c>
      <c r="O1753">
        <v>0</v>
      </c>
      <c r="P1753">
        <v>0</v>
      </c>
    </row>
    <row r="1754" spans="1:16" x14ac:dyDescent="0.2">
      <c r="A1754" t="s">
        <v>2901</v>
      </c>
      <c r="B1754" t="s">
        <v>7344</v>
      </c>
      <c r="C1754" t="s">
        <v>2902</v>
      </c>
      <c r="D1754" t="s">
        <v>2852</v>
      </c>
      <c r="E1754" t="s">
        <v>228</v>
      </c>
      <c r="F1754">
        <v>99.99</v>
      </c>
      <c r="G1754" t="s">
        <v>7014</v>
      </c>
      <c r="H1754">
        <v>0</v>
      </c>
      <c r="I1754" t="s">
        <v>290</v>
      </c>
      <c r="M1754">
        <v>0</v>
      </c>
      <c r="N1754">
        <v>0</v>
      </c>
      <c r="O1754">
        <v>0</v>
      </c>
      <c r="P1754">
        <v>0</v>
      </c>
    </row>
    <row r="1755" spans="1:16" x14ac:dyDescent="0.2">
      <c r="A1755" t="s">
        <v>4694</v>
      </c>
      <c r="B1755" t="s">
        <v>4696</v>
      </c>
      <c r="C1755" t="s">
        <v>4695</v>
      </c>
      <c r="D1755" t="s">
        <v>446</v>
      </c>
      <c r="E1755" t="s">
        <v>290</v>
      </c>
      <c r="F1755">
        <v>59.99</v>
      </c>
      <c r="G1755" t="s">
        <v>7014</v>
      </c>
      <c r="H1755">
        <v>4.084967320261438E-2</v>
      </c>
      <c r="I1755" t="s">
        <v>7015</v>
      </c>
      <c r="M1755">
        <v>51</v>
      </c>
      <c r="N1755">
        <v>1</v>
      </c>
      <c r="O1755">
        <v>0</v>
      </c>
      <c r="P1755">
        <v>51</v>
      </c>
    </row>
    <row r="1756" spans="1:16" x14ac:dyDescent="0.2">
      <c r="A1756" t="s">
        <v>2903</v>
      </c>
      <c r="B1756" t="s">
        <v>7345</v>
      </c>
      <c r="C1756" t="s">
        <v>2904</v>
      </c>
      <c r="D1756" t="s">
        <v>2852</v>
      </c>
      <c r="E1756" t="s">
        <v>228</v>
      </c>
      <c r="F1756">
        <v>99.99</v>
      </c>
      <c r="G1756" t="s">
        <v>7014</v>
      </c>
      <c r="H1756">
        <v>0</v>
      </c>
      <c r="I1756" t="s">
        <v>290</v>
      </c>
      <c r="M1756">
        <v>0</v>
      </c>
      <c r="N1756">
        <v>0</v>
      </c>
      <c r="O1756">
        <v>0</v>
      </c>
      <c r="P1756">
        <v>0</v>
      </c>
    </row>
    <row r="1757" spans="1:16" x14ac:dyDescent="0.2">
      <c r="A1757" t="s">
        <v>5284</v>
      </c>
      <c r="B1757" t="s">
        <v>7346</v>
      </c>
      <c r="C1757" t="s">
        <v>5285</v>
      </c>
      <c r="D1757" t="s">
        <v>2852</v>
      </c>
      <c r="E1757" t="s">
        <v>96</v>
      </c>
      <c r="F1757">
        <v>99.99</v>
      </c>
      <c r="G1757" t="s">
        <v>7014</v>
      </c>
      <c r="H1757">
        <v>0</v>
      </c>
      <c r="I1757" t="s">
        <v>290</v>
      </c>
      <c r="M1757">
        <v>0</v>
      </c>
      <c r="N1757">
        <v>0</v>
      </c>
      <c r="O1757">
        <v>0</v>
      </c>
      <c r="P1757">
        <v>0</v>
      </c>
    </row>
    <row r="1758" spans="1:16" x14ac:dyDescent="0.2">
      <c r="A1758" t="s">
        <v>4203</v>
      </c>
      <c r="B1758" t="s">
        <v>7347</v>
      </c>
      <c r="C1758" t="s">
        <v>4204</v>
      </c>
      <c r="D1758" t="s">
        <v>2852</v>
      </c>
      <c r="E1758" t="s">
        <v>228</v>
      </c>
      <c r="F1758">
        <v>369.99</v>
      </c>
      <c r="G1758" t="s">
        <v>7014</v>
      </c>
      <c r="H1758">
        <v>0</v>
      </c>
      <c r="I1758" t="s">
        <v>290</v>
      </c>
      <c r="M1758">
        <v>0</v>
      </c>
      <c r="N1758">
        <v>0</v>
      </c>
      <c r="O1758">
        <v>0</v>
      </c>
      <c r="P1758">
        <v>0</v>
      </c>
    </row>
    <row r="1759" spans="1:16" x14ac:dyDescent="0.2">
      <c r="A1759" t="s">
        <v>4689</v>
      </c>
      <c r="B1759" t="s">
        <v>4691</v>
      </c>
      <c r="C1759" t="s">
        <v>4690</v>
      </c>
      <c r="D1759" t="s">
        <v>446</v>
      </c>
      <c r="E1759" t="s">
        <v>290</v>
      </c>
      <c r="F1759">
        <v>32.99</v>
      </c>
      <c r="G1759" t="s">
        <v>7014</v>
      </c>
      <c r="H1759">
        <v>1.9607843137254905E-2</v>
      </c>
      <c r="I1759" t="s">
        <v>7015</v>
      </c>
      <c r="M1759">
        <v>50.999999999999993</v>
      </c>
      <c r="N1759">
        <v>0.33333333333333337</v>
      </c>
      <c r="O1759">
        <v>0</v>
      </c>
      <c r="P1759">
        <v>17</v>
      </c>
    </row>
    <row r="1760" spans="1:16" x14ac:dyDescent="0.2">
      <c r="A1760" t="s">
        <v>6834</v>
      </c>
      <c r="B1760" t="s">
        <v>6837</v>
      </c>
      <c r="C1760" t="s">
        <v>6835</v>
      </c>
      <c r="D1760" t="s">
        <v>2987</v>
      </c>
      <c r="E1760" t="s">
        <v>228</v>
      </c>
      <c r="F1760">
        <v>89.99</v>
      </c>
      <c r="G1760" t="s">
        <v>7014</v>
      </c>
      <c r="H1760">
        <v>0</v>
      </c>
      <c r="I1760" t="s">
        <v>7015</v>
      </c>
      <c r="M1760">
        <v>0</v>
      </c>
      <c r="N1760">
        <v>0</v>
      </c>
      <c r="O1760">
        <v>0</v>
      </c>
      <c r="P1760">
        <v>0</v>
      </c>
    </row>
    <row r="1761" spans="1:16" x14ac:dyDescent="0.2">
      <c r="A1761" t="s">
        <v>677</v>
      </c>
      <c r="B1761" t="s">
        <v>5045</v>
      </c>
      <c r="C1761" t="s">
        <v>678</v>
      </c>
      <c r="D1761" t="s">
        <v>446</v>
      </c>
      <c r="E1761" t="s">
        <v>290</v>
      </c>
      <c r="F1761">
        <v>129.99</v>
      </c>
      <c r="G1761" t="s">
        <v>7014</v>
      </c>
      <c r="H1761">
        <v>5.5555555555555552E-2</v>
      </c>
      <c r="I1761" t="s">
        <v>7015</v>
      </c>
      <c r="M1761">
        <v>9</v>
      </c>
      <c r="N1761">
        <v>0.33333333333333331</v>
      </c>
      <c r="O1761">
        <v>0</v>
      </c>
      <c r="P1761">
        <v>3</v>
      </c>
    </row>
    <row r="1762" spans="1:16" x14ac:dyDescent="0.2">
      <c r="A1762" t="s">
        <v>547</v>
      </c>
      <c r="B1762" t="s">
        <v>5053</v>
      </c>
      <c r="C1762" t="s">
        <v>7085</v>
      </c>
      <c r="D1762" t="s">
        <v>446</v>
      </c>
      <c r="E1762" t="s">
        <v>290</v>
      </c>
      <c r="F1762">
        <v>199.99</v>
      </c>
      <c r="G1762" t="s">
        <v>7014</v>
      </c>
      <c r="H1762">
        <v>0.16666666666666666</v>
      </c>
      <c r="I1762" t="s">
        <v>7015</v>
      </c>
      <c r="M1762">
        <v>0</v>
      </c>
      <c r="N1762">
        <v>0</v>
      </c>
      <c r="O1762">
        <v>0</v>
      </c>
      <c r="P1762">
        <v>1</v>
      </c>
    </row>
    <row r="1763" spans="1:16" x14ac:dyDescent="0.2">
      <c r="A1763" t="s">
        <v>3407</v>
      </c>
      <c r="B1763" t="s">
        <v>7348</v>
      </c>
      <c r="C1763" t="s">
        <v>3408</v>
      </c>
      <c r="D1763" t="s">
        <v>3396</v>
      </c>
      <c r="E1763" t="s">
        <v>96</v>
      </c>
      <c r="F1763">
        <v>3499.99</v>
      </c>
      <c r="G1763" t="s">
        <v>7014</v>
      </c>
      <c r="H1763">
        <v>0</v>
      </c>
      <c r="I1763" t="s">
        <v>7015</v>
      </c>
      <c r="M1763">
        <v>0</v>
      </c>
      <c r="N1763">
        <v>0</v>
      </c>
      <c r="O1763">
        <v>0</v>
      </c>
      <c r="P1763">
        <v>0</v>
      </c>
    </row>
    <row r="1764" spans="1:16" x14ac:dyDescent="0.2">
      <c r="A1764" t="s">
        <v>5287</v>
      </c>
      <c r="B1764" t="s">
        <v>7349</v>
      </c>
      <c r="C1764" t="s">
        <v>5288</v>
      </c>
      <c r="D1764" t="s">
        <v>2852</v>
      </c>
      <c r="E1764" t="s">
        <v>290</v>
      </c>
      <c r="F1764">
        <v>99.99</v>
      </c>
      <c r="G1764" t="s">
        <v>7014</v>
      </c>
      <c r="H1764">
        <v>0</v>
      </c>
      <c r="I1764" t="s">
        <v>290</v>
      </c>
      <c r="M1764">
        <v>0</v>
      </c>
      <c r="N1764">
        <v>0</v>
      </c>
      <c r="O1764">
        <v>0</v>
      </c>
      <c r="P1764">
        <v>0</v>
      </c>
    </row>
    <row r="1765" spans="1:16" x14ac:dyDescent="0.2">
      <c r="A1765" t="s">
        <v>4972</v>
      </c>
      <c r="B1765" t="s">
        <v>4974</v>
      </c>
      <c r="C1765" t="s">
        <v>4973</v>
      </c>
      <c r="D1765" t="s">
        <v>446</v>
      </c>
      <c r="E1765" t="s">
        <v>96</v>
      </c>
      <c r="F1765">
        <v>79.989999999999995</v>
      </c>
      <c r="G1765" t="s">
        <v>7014</v>
      </c>
      <c r="H1765">
        <v>4.3478260869565216E-2</v>
      </c>
      <c r="I1765" t="s">
        <v>7015</v>
      </c>
      <c r="M1765">
        <v>15.333333333333334</v>
      </c>
      <c r="N1765">
        <v>1.5</v>
      </c>
      <c r="O1765">
        <v>0</v>
      </c>
      <c r="P1765">
        <v>23</v>
      </c>
    </row>
    <row r="1766" spans="1:16" x14ac:dyDescent="0.2">
      <c r="A1766" t="s">
        <v>4213</v>
      </c>
      <c r="B1766" t="s">
        <v>7350</v>
      </c>
      <c r="C1766" t="s">
        <v>4214</v>
      </c>
      <c r="D1766" t="s">
        <v>2852</v>
      </c>
      <c r="E1766" t="s">
        <v>96</v>
      </c>
      <c r="F1766">
        <v>44.99</v>
      </c>
      <c r="G1766" t="s">
        <v>7014</v>
      </c>
      <c r="H1766">
        <v>0</v>
      </c>
      <c r="I1766" t="s">
        <v>290</v>
      </c>
      <c r="M1766">
        <v>0</v>
      </c>
      <c r="N1766">
        <v>0</v>
      </c>
      <c r="O1766">
        <v>0</v>
      </c>
      <c r="P1766">
        <v>0</v>
      </c>
    </row>
    <row r="1767" spans="1:16" x14ac:dyDescent="0.2">
      <c r="A1767" t="s">
        <v>2865</v>
      </c>
      <c r="B1767" t="s">
        <v>5772</v>
      </c>
      <c r="C1767" t="s">
        <v>2866</v>
      </c>
      <c r="D1767" t="s">
        <v>2852</v>
      </c>
      <c r="E1767" t="s">
        <v>228</v>
      </c>
      <c r="F1767">
        <v>5499.99</v>
      </c>
      <c r="G1767" t="s">
        <v>7014</v>
      </c>
      <c r="H1767">
        <v>0</v>
      </c>
      <c r="I1767" t="s">
        <v>290</v>
      </c>
      <c r="M1767">
        <v>0</v>
      </c>
      <c r="N1767">
        <v>0</v>
      </c>
      <c r="O1767">
        <v>0</v>
      </c>
      <c r="P1767">
        <v>0</v>
      </c>
    </row>
    <row r="1768" spans="1:16" x14ac:dyDescent="0.2">
      <c r="A1768" t="s">
        <v>4332</v>
      </c>
      <c r="B1768" t="s">
        <v>4335</v>
      </c>
      <c r="C1768" t="s">
        <v>4333</v>
      </c>
      <c r="D1768" t="s">
        <v>2852</v>
      </c>
      <c r="E1768" t="s">
        <v>96</v>
      </c>
      <c r="F1768">
        <v>29.99</v>
      </c>
      <c r="G1768" t="s">
        <v>7014</v>
      </c>
      <c r="H1768">
        <v>0</v>
      </c>
      <c r="I1768" t="s">
        <v>7015</v>
      </c>
      <c r="M1768">
        <v>0</v>
      </c>
      <c r="N1768">
        <v>0</v>
      </c>
      <c r="O1768">
        <v>0</v>
      </c>
      <c r="P1768">
        <v>0</v>
      </c>
    </row>
    <row r="1769" spans="1:16" x14ac:dyDescent="0.2">
      <c r="A1769" t="s">
        <v>912</v>
      </c>
      <c r="B1769" t="s">
        <v>4882</v>
      </c>
      <c r="C1769" t="s">
        <v>913</v>
      </c>
      <c r="D1769" t="s">
        <v>446</v>
      </c>
      <c r="E1769" t="s">
        <v>228</v>
      </c>
      <c r="F1769">
        <v>89.99</v>
      </c>
      <c r="G1769" t="s">
        <v>7014</v>
      </c>
      <c r="H1769">
        <v>0</v>
      </c>
      <c r="I1769" t="s">
        <v>7015</v>
      </c>
      <c r="M1769">
        <v>0</v>
      </c>
      <c r="N1769">
        <v>0</v>
      </c>
      <c r="O1769">
        <v>0</v>
      </c>
      <c r="P1769">
        <v>0</v>
      </c>
    </row>
    <row r="1770" spans="1:16" x14ac:dyDescent="0.2">
      <c r="A1770" t="s">
        <v>4357</v>
      </c>
      <c r="B1770" t="s">
        <v>7351</v>
      </c>
      <c r="C1770" t="s">
        <v>4358</v>
      </c>
      <c r="D1770" t="s">
        <v>2852</v>
      </c>
      <c r="E1770" t="s">
        <v>96</v>
      </c>
      <c r="F1770">
        <v>79.989999999999995</v>
      </c>
      <c r="G1770" t="s">
        <v>7014</v>
      </c>
      <c r="H1770">
        <v>0</v>
      </c>
      <c r="I1770" t="s">
        <v>290</v>
      </c>
      <c r="M1770">
        <v>0</v>
      </c>
      <c r="N1770">
        <v>0</v>
      </c>
      <c r="O1770">
        <v>0</v>
      </c>
      <c r="P1770">
        <v>0</v>
      </c>
    </row>
    <row r="1771" spans="1:16" x14ac:dyDescent="0.2">
      <c r="A1771" t="s">
        <v>4376</v>
      </c>
      <c r="B1771" t="s">
        <v>7352</v>
      </c>
      <c r="C1771" t="s">
        <v>4377</v>
      </c>
      <c r="D1771" t="s">
        <v>2852</v>
      </c>
      <c r="E1771" t="s">
        <v>96</v>
      </c>
      <c r="F1771">
        <v>29.99</v>
      </c>
      <c r="G1771" t="s">
        <v>7014</v>
      </c>
      <c r="H1771">
        <v>0</v>
      </c>
      <c r="I1771" t="s">
        <v>290</v>
      </c>
      <c r="M1771">
        <v>0</v>
      </c>
      <c r="N1771">
        <v>0</v>
      </c>
      <c r="O1771">
        <v>0</v>
      </c>
      <c r="P1771">
        <v>0</v>
      </c>
    </row>
    <row r="1772" spans="1:16" x14ac:dyDescent="0.2">
      <c r="A1772" t="s">
        <v>4379</v>
      </c>
      <c r="B1772" t="s">
        <v>7353</v>
      </c>
      <c r="C1772" t="s">
        <v>4380</v>
      </c>
      <c r="D1772" t="s">
        <v>2852</v>
      </c>
      <c r="E1772" t="s">
        <v>96</v>
      </c>
      <c r="F1772">
        <v>29.99</v>
      </c>
      <c r="G1772" t="s">
        <v>7014</v>
      </c>
      <c r="H1772">
        <v>0</v>
      </c>
      <c r="I1772" t="s">
        <v>290</v>
      </c>
      <c r="M1772">
        <v>0</v>
      </c>
      <c r="N1772">
        <v>0</v>
      </c>
      <c r="O1772">
        <v>0</v>
      </c>
      <c r="P1772">
        <v>0</v>
      </c>
    </row>
    <row r="1773" spans="1:16" x14ac:dyDescent="0.2">
      <c r="A1773" t="s">
        <v>4382</v>
      </c>
      <c r="B1773" t="s">
        <v>7354</v>
      </c>
      <c r="C1773" t="s">
        <v>4383</v>
      </c>
      <c r="D1773" t="s">
        <v>2852</v>
      </c>
      <c r="E1773" t="s">
        <v>96</v>
      </c>
      <c r="F1773">
        <v>29.99</v>
      </c>
      <c r="G1773" t="s">
        <v>7014</v>
      </c>
      <c r="H1773">
        <v>0</v>
      </c>
      <c r="I1773" t="s">
        <v>7015</v>
      </c>
      <c r="M1773">
        <v>0</v>
      </c>
      <c r="N1773">
        <v>0</v>
      </c>
      <c r="O1773">
        <v>0</v>
      </c>
      <c r="P1773">
        <v>0</v>
      </c>
    </row>
    <row r="1774" spans="1:16" x14ac:dyDescent="0.2">
      <c r="A1774" t="s">
        <v>2905</v>
      </c>
      <c r="B1774" t="s">
        <v>5291</v>
      </c>
      <c r="C1774" t="s">
        <v>2906</v>
      </c>
      <c r="D1774" t="s">
        <v>2852</v>
      </c>
      <c r="E1774" t="s">
        <v>228</v>
      </c>
      <c r="F1774">
        <v>179.99</v>
      </c>
      <c r="G1774" t="s">
        <v>7014</v>
      </c>
      <c r="H1774">
        <v>0</v>
      </c>
      <c r="I1774" t="s">
        <v>7015</v>
      </c>
      <c r="M1774">
        <v>0</v>
      </c>
      <c r="N1774">
        <v>0</v>
      </c>
      <c r="O1774">
        <v>0</v>
      </c>
      <c r="P1774">
        <v>0</v>
      </c>
    </row>
    <row r="1775" spans="1:16" x14ac:dyDescent="0.2">
      <c r="A1775" t="s">
        <v>5297</v>
      </c>
      <c r="B1775" t="s">
        <v>7355</v>
      </c>
      <c r="C1775" t="s">
        <v>5298</v>
      </c>
      <c r="D1775" t="s">
        <v>2852</v>
      </c>
      <c r="E1775" t="s">
        <v>96</v>
      </c>
      <c r="F1775">
        <v>99.99</v>
      </c>
      <c r="G1775" t="s">
        <v>7014</v>
      </c>
      <c r="H1775">
        <v>0</v>
      </c>
      <c r="I1775" t="s">
        <v>7015</v>
      </c>
      <c r="M1775">
        <v>0</v>
      </c>
      <c r="N1775">
        <v>0</v>
      </c>
      <c r="O1775">
        <v>0</v>
      </c>
      <c r="P1775">
        <v>0</v>
      </c>
    </row>
    <row r="1776" spans="1:16" x14ac:dyDescent="0.2">
      <c r="A1776" t="s">
        <v>4686</v>
      </c>
      <c r="B1776" t="s">
        <v>4688</v>
      </c>
      <c r="C1776" t="s">
        <v>4687</v>
      </c>
      <c r="D1776" t="s">
        <v>446</v>
      </c>
      <c r="E1776" t="s">
        <v>96</v>
      </c>
      <c r="F1776">
        <v>27.99</v>
      </c>
      <c r="G1776" t="s">
        <v>7014</v>
      </c>
      <c r="H1776">
        <v>0.05</v>
      </c>
      <c r="I1776" t="s">
        <v>7015</v>
      </c>
      <c r="M1776">
        <v>30.000000000000007</v>
      </c>
      <c r="N1776">
        <v>0.16666666666666663</v>
      </c>
      <c r="O1776">
        <v>0</v>
      </c>
      <c r="P1776">
        <v>5</v>
      </c>
    </row>
    <row r="1777" spans="1:16" x14ac:dyDescent="0.2">
      <c r="A1777" t="s">
        <v>5774</v>
      </c>
      <c r="B1777" t="s">
        <v>5776</v>
      </c>
      <c r="C1777" t="s">
        <v>5775</v>
      </c>
      <c r="D1777" t="s">
        <v>2852</v>
      </c>
      <c r="E1777" t="s">
        <v>228</v>
      </c>
      <c r="F1777">
        <v>4499.99</v>
      </c>
      <c r="G1777" t="s">
        <v>7014</v>
      </c>
      <c r="H1777">
        <v>0</v>
      </c>
      <c r="I1777" t="s">
        <v>7015</v>
      </c>
      <c r="M1777">
        <v>0</v>
      </c>
      <c r="N1777">
        <v>0</v>
      </c>
      <c r="O1777">
        <v>0</v>
      </c>
      <c r="P1777">
        <v>0</v>
      </c>
    </row>
    <row r="1778" spans="1:16" x14ac:dyDescent="0.2">
      <c r="A1778" t="s">
        <v>7356</v>
      </c>
      <c r="B1778" t="s">
        <v>7357</v>
      </c>
      <c r="C1778" t="s">
        <v>7358</v>
      </c>
      <c r="D1778" t="s">
        <v>2852</v>
      </c>
      <c r="E1778" t="s">
        <v>96</v>
      </c>
      <c r="F1778">
        <v>3699.99</v>
      </c>
      <c r="G1778" t="s">
        <v>7014</v>
      </c>
      <c r="H1778">
        <v>0</v>
      </c>
      <c r="I1778" t="s">
        <v>290</v>
      </c>
      <c r="M1778">
        <v>0</v>
      </c>
      <c r="N1778">
        <v>0</v>
      </c>
      <c r="O1778">
        <v>0</v>
      </c>
      <c r="P1778">
        <v>0</v>
      </c>
    </row>
    <row r="1779" spans="1:16" x14ac:dyDescent="0.2">
      <c r="A1779" t="s">
        <v>2909</v>
      </c>
      <c r="B1779" t="s">
        <v>7359</v>
      </c>
      <c r="C1779" t="s">
        <v>2910</v>
      </c>
      <c r="D1779" t="s">
        <v>2852</v>
      </c>
      <c r="E1779" t="s">
        <v>228</v>
      </c>
      <c r="F1779">
        <v>99.99</v>
      </c>
      <c r="G1779" t="s">
        <v>7014</v>
      </c>
      <c r="H1779">
        <v>0</v>
      </c>
      <c r="I1779" t="s">
        <v>7015</v>
      </c>
      <c r="M1779">
        <v>0</v>
      </c>
      <c r="N1779">
        <v>0</v>
      </c>
      <c r="O1779">
        <v>0</v>
      </c>
      <c r="P1779">
        <v>0</v>
      </c>
    </row>
    <row r="1780" spans="1:16" x14ac:dyDescent="0.2">
      <c r="A1780" t="s">
        <v>5019</v>
      </c>
      <c r="B1780" t="s">
        <v>5021</v>
      </c>
      <c r="C1780" t="s">
        <v>5020</v>
      </c>
      <c r="D1780" t="s">
        <v>446</v>
      </c>
      <c r="E1780" t="s">
        <v>96</v>
      </c>
      <c r="F1780">
        <v>149.99</v>
      </c>
      <c r="G1780" t="s">
        <v>7014</v>
      </c>
      <c r="H1780">
        <v>0</v>
      </c>
      <c r="I1780" t="s">
        <v>7015</v>
      </c>
      <c r="M1780">
        <v>0</v>
      </c>
      <c r="N1780">
        <v>0</v>
      </c>
      <c r="O1780">
        <v>0</v>
      </c>
      <c r="P1780">
        <v>1</v>
      </c>
    </row>
    <row r="1781" spans="1:16" x14ac:dyDescent="0.2">
      <c r="A1781" t="s">
        <v>4370</v>
      </c>
      <c r="B1781" t="s">
        <v>7360</v>
      </c>
      <c r="C1781" t="s">
        <v>4371</v>
      </c>
      <c r="D1781" t="s">
        <v>2852</v>
      </c>
      <c r="E1781" t="s">
        <v>96</v>
      </c>
      <c r="F1781">
        <v>29.99</v>
      </c>
      <c r="G1781" t="s">
        <v>7014</v>
      </c>
      <c r="H1781">
        <v>0</v>
      </c>
      <c r="I1781" t="s">
        <v>290</v>
      </c>
      <c r="M1781">
        <v>0</v>
      </c>
      <c r="N1781">
        <v>0</v>
      </c>
      <c r="O1781">
        <v>0</v>
      </c>
      <c r="P1781">
        <v>0</v>
      </c>
    </row>
    <row r="1782" spans="1:16" x14ac:dyDescent="0.2">
      <c r="A1782" t="s">
        <v>7361</v>
      </c>
      <c r="B1782" t="s">
        <v>7362</v>
      </c>
      <c r="C1782" t="s">
        <v>7363</v>
      </c>
      <c r="D1782" t="s">
        <v>2852</v>
      </c>
      <c r="E1782" t="s">
        <v>96</v>
      </c>
      <c r="F1782">
        <v>1999.99</v>
      </c>
      <c r="G1782" t="s">
        <v>7014</v>
      </c>
      <c r="H1782">
        <v>0</v>
      </c>
      <c r="I1782" t="s">
        <v>290</v>
      </c>
      <c r="M1782">
        <v>0</v>
      </c>
      <c r="N1782">
        <v>0</v>
      </c>
      <c r="O1782">
        <v>0</v>
      </c>
      <c r="P1782">
        <v>0</v>
      </c>
    </row>
    <row r="1783" spans="1:16" x14ac:dyDescent="0.2">
      <c r="A1783" t="s">
        <v>2983</v>
      </c>
      <c r="B1783" t="s">
        <v>6462</v>
      </c>
      <c r="C1783" t="s">
        <v>2984</v>
      </c>
      <c r="D1783" t="s">
        <v>2928</v>
      </c>
      <c r="E1783" t="s">
        <v>290</v>
      </c>
      <c r="F1783">
        <v>119.99</v>
      </c>
      <c r="G1783" t="s">
        <v>7014</v>
      </c>
      <c r="H1783">
        <v>0</v>
      </c>
      <c r="I1783" t="s">
        <v>7015</v>
      </c>
      <c r="M1783">
        <v>0</v>
      </c>
      <c r="N1783">
        <v>0</v>
      </c>
      <c r="O1783">
        <v>0</v>
      </c>
      <c r="P1783">
        <v>0</v>
      </c>
    </row>
    <row r="1784" spans="1:16" x14ac:dyDescent="0.2">
      <c r="A1784" t="s">
        <v>5910</v>
      </c>
      <c r="B1784" t="s">
        <v>7364</v>
      </c>
      <c r="C1784" t="s">
        <v>5911</v>
      </c>
      <c r="D1784" t="s">
        <v>2852</v>
      </c>
      <c r="E1784" t="s">
        <v>96</v>
      </c>
      <c r="F1784">
        <v>129.99</v>
      </c>
      <c r="G1784" t="s">
        <v>7014</v>
      </c>
      <c r="H1784">
        <v>0</v>
      </c>
      <c r="I1784" t="s">
        <v>290</v>
      </c>
      <c r="M1784">
        <v>0</v>
      </c>
      <c r="N1784">
        <v>0</v>
      </c>
      <c r="O1784">
        <v>0</v>
      </c>
      <c r="P1784">
        <v>0</v>
      </c>
    </row>
    <row r="1785" spans="1:16" x14ac:dyDescent="0.2">
      <c r="A1785" t="s">
        <v>5913</v>
      </c>
      <c r="B1785" t="s">
        <v>7365</v>
      </c>
      <c r="C1785" t="s">
        <v>5914</v>
      </c>
      <c r="D1785" t="s">
        <v>2852</v>
      </c>
      <c r="E1785" t="s">
        <v>96</v>
      </c>
      <c r="F1785">
        <v>199.99</v>
      </c>
      <c r="G1785" t="s">
        <v>7014</v>
      </c>
      <c r="H1785">
        <v>0</v>
      </c>
      <c r="I1785" t="s">
        <v>7015</v>
      </c>
      <c r="M1785">
        <v>0</v>
      </c>
      <c r="N1785">
        <v>0</v>
      </c>
      <c r="O1785">
        <v>0</v>
      </c>
      <c r="P1785">
        <v>0</v>
      </c>
    </row>
    <row r="1786" spans="1:16" x14ac:dyDescent="0.2">
      <c r="A1786" t="s">
        <v>5906</v>
      </c>
      <c r="B1786" t="s">
        <v>5909</v>
      </c>
      <c r="C1786" t="s">
        <v>5907</v>
      </c>
      <c r="D1786" t="s">
        <v>5908</v>
      </c>
      <c r="E1786" t="s">
        <v>96</v>
      </c>
      <c r="G1786" t="s">
        <v>7014</v>
      </c>
      <c r="H1786">
        <v>0</v>
      </c>
      <c r="I1786" t="s">
        <v>7015</v>
      </c>
      <c r="M1786">
        <v>0</v>
      </c>
      <c r="N1786">
        <v>0</v>
      </c>
      <c r="P1786">
        <v>1</v>
      </c>
    </row>
    <row r="1787" spans="1:16" x14ac:dyDescent="0.2">
      <c r="A1787" t="s">
        <v>5265</v>
      </c>
      <c r="B1787" t="s">
        <v>5268</v>
      </c>
      <c r="C1787" t="s">
        <v>5266</v>
      </c>
      <c r="D1787" t="s">
        <v>2852</v>
      </c>
      <c r="E1787" t="s">
        <v>96</v>
      </c>
      <c r="F1787">
        <v>249.99</v>
      </c>
      <c r="G1787" t="s">
        <v>7014</v>
      </c>
      <c r="H1787">
        <v>0</v>
      </c>
      <c r="I1787" t="s">
        <v>7015</v>
      </c>
      <c r="M1787">
        <v>0</v>
      </c>
      <c r="N1787">
        <v>0</v>
      </c>
      <c r="O1787">
        <v>0</v>
      </c>
      <c r="P1787">
        <v>0</v>
      </c>
    </row>
    <row r="1788" spans="1:16" x14ac:dyDescent="0.2">
      <c r="A1788" t="s">
        <v>6952</v>
      </c>
      <c r="B1788" t="s">
        <v>7366</v>
      </c>
      <c r="C1788" t="s">
        <v>6953</v>
      </c>
      <c r="D1788" t="s">
        <v>6954</v>
      </c>
      <c r="E1788" t="s">
        <v>96</v>
      </c>
      <c r="F1788">
        <v>109.99</v>
      </c>
      <c r="G1788" t="s">
        <v>7014</v>
      </c>
      <c r="H1788">
        <v>0</v>
      </c>
      <c r="I1788" t="s">
        <v>290</v>
      </c>
      <c r="M1788">
        <v>0</v>
      </c>
      <c r="N1788">
        <v>0</v>
      </c>
      <c r="O1788">
        <v>0</v>
      </c>
      <c r="P1788">
        <v>0</v>
      </c>
    </row>
    <row r="1789" spans="1:16" x14ac:dyDescent="0.2">
      <c r="A1789" t="s">
        <v>7092</v>
      </c>
      <c r="B1789" t="s">
        <v>7367</v>
      </c>
      <c r="C1789" t="s">
        <v>7093</v>
      </c>
      <c r="D1789" t="s">
        <v>2852</v>
      </c>
      <c r="E1789" t="s">
        <v>96</v>
      </c>
      <c r="F1789">
        <v>1099.99</v>
      </c>
      <c r="G1789" t="s">
        <v>7014</v>
      </c>
      <c r="H1789">
        <v>0</v>
      </c>
      <c r="I1789" t="s">
        <v>290</v>
      </c>
      <c r="M1789">
        <v>0</v>
      </c>
      <c r="N1789">
        <v>0</v>
      </c>
      <c r="O1789">
        <v>0</v>
      </c>
      <c r="P1789">
        <v>0</v>
      </c>
    </row>
    <row r="1790" spans="1:16" x14ac:dyDescent="0.2">
      <c r="A1790" t="s">
        <v>7090</v>
      </c>
      <c r="B1790" t="s">
        <v>7368</v>
      </c>
      <c r="C1790" t="s">
        <v>7091</v>
      </c>
      <c r="D1790" t="s">
        <v>2852</v>
      </c>
      <c r="E1790" t="s">
        <v>96</v>
      </c>
      <c r="F1790">
        <v>3099</v>
      </c>
      <c r="G1790" t="s">
        <v>7014</v>
      </c>
      <c r="H1790">
        <v>0</v>
      </c>
      <c r="I1790" t="s">
        <v>290</v>
      </c>
      <c r="M1790">
        <v>0</v>
      </c>
      <c r="N1790">
        <v>0</v>
      </c>
      <c r="O1790">
        <v>0</v>
      </c>
      <c r="P1790">
        <v>0</v>
      </c>
    </row>
    <row r="1791" spans="1:16" x14ac:dyDescent="0.2">
      <c r="A1791" t="s">
        <v>2923</v>
      </c>
      <c r="B1791" t="s">
        <v>7369</v>
      </c>
      <c r="C1791" t="s">
        <v>2924</v>
      </c>
      <c r="D1791" t="s">
        <v>2852</v>
      </c>
      <c r="E1791" t="s">
        <v>228</v>
      </c>
      <c r="F1791">
        <v>44.99</v>
      </c>
      <c r="G1791" t="s">
        <v>7014</v>
      </c>
      <c r="H1791">
        <v>0</v>
      </c>
      <c r="I1791" t="s">
        <v>290</v>
      </c>
      <c r="M1791">
        <v>0</v>
      </c>
      <c r="N1791">
        <v>0</v>
      </c>
      <c r="O1791">
        <v>0</v>
      </c>
      <c r="P1791">
        <v>0</v>
      </c>
    </row>
    <row r="1792" spans="1:16" x14ac:dyDescent="0.2">
      <c r="A1792" t="s">
        <v>4367</v>
      </c>
      <c r="B1792" t="s">
        <v>7370</v>
      </c>
      <c r="C1792" t="s">
        <v>4368</v>
      </c>
      <c r="D1792" t="s">
        <v>2852</v>
      </c>
      <c r="E1792" t="s">
        <v>96</v>
      </c>
      <c r="F1792">
        <v>29.99</v>
      </c>
      <c r="G1792" t="s">
        <v>7014</v>
      </c>
      <c r="H1792">
        <v>0</v>
      </c>
      <c r="I1792" t="s">
        <v>290</v>
      </c>
      <c r="M1792">
        <v>0</v>
      </c>
      <c r="N1792">
        <v>0</v>
      </c>
      <c r="O1792">
        <v>0</v>
      </c>
      <c r="P1792">
        <v>0</v>
      </c>
    </row>
    <row r="1793" spans="1:16" x14ac:dyDescent="0.2">
      <c r="A1793" t="s">
        <v>4627</v>
      </c>
      <c r="B1793" t="s">
        <v>7371</v>
      </c>
      <c r="C1793" t="s">
        <v>4628</v>
      </c>
      <c r="D1793" t="s">
        <v>2852</v>
      </c>
      <c r="E1793" t="s">
        <v>96</v>
      </c>
      <c r="F1793">
        <v>2499.9899999999998</v>
      </c>
      <c r="G1793" t="s">
        <v>7014</v>
      </c>
      <c r="H1793">
        <v>0</v>
      </c>
      <c r="I1793" t="s">
        <v>290</v>
      </c>
      <c r="M1793">
        <v>0</v>
      </c>
      <c r="N1793">
        <v>0</v>
      </c>
      <c r="O1793">
        <v>0</v>
      </c>
      <c r="P1793">
        <v>0</v>
      </c>
    </row>
    <row r="1794" spans="1:16" x14ac:dyDescent="0.2">
      <c r="A1794" t="s">
        <v>2915</v>
      </c>
      <c r="B1794" t="s">
        <v>3713</v>
      </c>
      <c r="C1794" t="s">
        <v>2916</v>
      </c>
      <c r="D1794" t="s">
        <v>2852</v>
      </c>
      <c r="E1794" t="s">
        <v>228</v>
      </c>
      <c r="F1794">
        <v>2999.99</v>
      </c>
      <c r="G1794" t="s">
        <v>7014</v>
      </c>
      <c r="H1794">
        <v>0</v>
      </c>
      <c r="I1794" t="s">
        <v>290</v>
      </c>
      <c r="M1794">
        <v>0</v>
      </c>
      <c r="N1794">
        <v>1.3333333333333333</v>
      </c>
      <c r="O1794">
        <v>0</v>
      </c>
      <c r="P1794">
        <v>0</v>
      </c>
    </row>
    <row r="1795" spans="1:16" x14ac:dyDescent="0.2">
      <c r="A1795" t="s">
        <v>6959</v>
      </c>
      <c r="B1795" t="s">
        <v>7372</v>
      </c>
      <c r="C1795" t="s">
        <v>6960</v>
      </c>
      <c r="D1795" t="s">
        <v>6954</v>
      </c>
      <c r="E1795" t="s">
        <v>96</v>
      </c>
      <c r="F1795">
        <v>44.99</v>
      </c>
      <c r="G1795" t="s">
        <v>7014</v>
      </c>
      <c r="H1795">
        <v>0</v>
      </c>
      <c r="I1795" t="s">
        <v>290</v>
      </c>
      <c r="M1795">
        <v>0</v>
      </c>
      <c r="N1795">
        <v>0</v>
      </c>
      <c r="O1795">
        <v>0</v>
      </c>
      <c r="P1795">
        <v>0</v>
      </c>
    </row>
    <row r="1796" spans="1:16" x14ac:dyDescent="0.2">
      <c r="A1796" t="s">
        <v>2951</v>
      </c>
      <c r="B1796" t="s">
        <v>6438</v>
      </c>
      <c r="C1796" t="s">
        <v>2952</v>
      </c>
      <c r="D1796" t="s">
        <v>2928</v>
      </c>
      <c r="E1796" t="s">
        <v>96</v>
      </c>
      <c r="F1796">
        <v>239.99</v>
      </c>
      <c r="G1796" t="s">
        <v>7014</v>
      </c>
      <c r="H1796">
        <v>0</v>
      </c>
      <c r="I1796" t="s">
        <v>7015</v>
      </c>
      <c r="M1796">
        <v>0</v>
      </c>
      <c r="N1796">
        <v>0</v>
      </c>
      <c r="O1796">
        <v>0</v>
      </c>
      <c r="P1796">
        <v>0</v>
      </c>
    </row>
    <row r="1797" spans="1:16" x14ac:dyDescent="0.2">
      <c r="A1797" t="s">
        <v>6956</v>
      </c>
      <c r="B1797" t="s">
        <v>7373</v>
      </c>
      <c r="C1797" t="s">
        <v>6957</v>
      </c>
      <c r="D1797" t="s">
        <v>6954</v>
      </c>
      <c r="E1797" t="s">
        <v>96</v>
      </c>
      <c r="F1797">
        <v>44.99</v>
      </c>
      <c r="G1797" t="s">
        <v>7014</v>
      </c>
      <c r="H1797">
        <v>0</v>
      </c>
      <c r="I1797" t="s">
        <v>290</v>
      </c>
      <c r="M1797">
        <v>0</v>
      </c>
      <c r="N1797">
        <v>0</v>
      </c>
      <c r="O1797">
        <v>0</v>
      </c>
      <c r="P1797">
        <v>0</v>
      </c>
    </row>
    <row r="1798" spans="1:16" x14ac:dyDescent="0.2">
      <c r="A1798" t="s">
        <v>2933</v>
      </c>
      <c r="B1798" t="s">
        <v>6460</v>
      </c>
      <c r="C1798" t="s">
        <v>2934</v>
      </c>
      <c r="D1798" t="s">
        <v>2928</v>
      </c>
      <c r="E1798" t="s">
        <v>290</v>
      </c>
      <c r="F1798">
        <v>159.99</v>
      </c>
      <c r="G1798" t="s">
        <v>7014</v>
      </c>
      <c r="H1798">
        <v>0</v>
      </c>
      <c r="I1798" t="s">
        <v>7015</v>
      </c>
      <c r="M1798">
        <v>0</v>
      </c>
      <c r="N1798">
        <v>0</v>
      </c>
      <c r="O1798">
        <v>0</v>
      </c>
      <c r="P1798">
        <v>2</v>
      </c>
    </row>
    <row r="1799" spans="1:16" x14ac:dyDescent="0.2">
      <c r="A1799" t="s">
        <v>2937</v>
      </c>
      <c r="B1799" t="s">
        <v>6451</v>
      </c>
      <c r="C1799" t="s">
        <v>2938</v>
      </c>
      <c r="D1799" t="s">
        <v>2928</v>
      </c>
      <c r="E1799" t="s">
        <v>290</v>
      </c>
      <c r="F1799">
        <v>69.989999999999995</v>
      </c>
      <c r="G1799" t="s">
        <v>7014</v>
      </c>
      <c r="H1799">
        <v>0</v>
      </c>
      <c r="I1799" t="s">
        <v>7015</v>
      </c>
      <c r="M1799">
        <v>0</v>
      </c>
      <c r="N1799">
        <v>0</v>
      </c>
      <c r="O1799">
        <v>0</v>
      </c>
      <c r="P1799">
        <v>0</v>
      </c>
    </row>
    <row r="1800" spans="1:16" x14ac:dyDescent="0.2">
      <c r="A1800" t="s">
        <v>2943</v>
      </c>
      <c r="B1800" t="s">
        <v>6439</v>
      </c>
      <c r="C1800" t="s">
        <v>2944</v>
      </c>
      <c r="D1800" t="s">
        <v>2928</v>
      </c>
      <c r="E1800" t="s">
        <v>290</v>
      </c>
      <c r="F1800">
        <v>189.99</v>
      </c>
      <c r="G1800" t="s">
        <v>7014</v>
      </c>
      <c r="H1800">
        <v>0.11666666666666668</v>
      </c>
      <c r="I1800" t="s">
        <v>7015</v>
      </c>
      <c r="M1800">
        <v>6</v>
      </c>
      <c r="N1800">
        <v>0.83333333333333337</v>
      </c>
      <c r="O1800">
        <v>0</v>
      </c>
      <c r="P1800">
        <v>5</v>
      </c>
    </row>
    <row r="1801" spans="1:16" x14ac:dyDescent="0.2">
      <c r="A1801" t="s">
        <v>2949</v>
      </c>
      <c r="B1801" t="s">
        <v>6436</v>
      </c>
      <c r="C1801" t="s">
        <v>2950</v>
      </c>
      <c r="D1801" t="s">
        <v>2928</v>
      </c>
      <c r="E1801" t="s">
        <v>290</v>
      </c>
      <c r="F1801">
        <v>179.99</v>
      </c>
      <c r="G1801" t="s">
        <v>7014</v>
      </c>
      <c r="H1801">
        <v>3.3333333333333333E-2</v>
      </c>
      <c r="I1801" t="s">
        <v>7015</v>
      </c>
      <c r="M1801">
        <v>0</v>
      </c>
      <c r="N1801">
        <v>0</v>
      </c>
      <c r="O1801">
        <v>0</v>
      </c>
      <c r="P1801">
        <v>5</v>
      </c>
    </row>
    <row r="1802" spans="1:16" x14ac:dyDescent="0.2">
      <c r="A1802" t="s">
        <v>6273</v>
      </c>
      <c r="B1802" t="s">
        <v>7374</v>
      </c>
      <c r="C1802" t="s">
        <v>6274</v>
      </c>
      <c r="D1802" t="s">
        <v>2502</v>
      </c>
      <c r="E1802" t="s">
        <v>96</v>
      </c>
      <c r="F1802">
        <v>49.99</v>
      </c>
      <c r="G1802" t="s">
        <v>7014</v>
      </c>
      <c r="H1802">
        <v>0</v>
      </c>
      <c r="I1802" t="s">
        <v>7015</v>
      </c>
      <c r="M1802">
        <v>0</v>
      </c>
      <c r="N1802">
        <v>0</v>
      </c>
      <c r="O1802">
        <v>0</v>
      </c>
      <c r="P1802">
        <v>0</v>
      </c>
    </row>
    <row r="1803" spans="1:16" x14ac:dyDescent="0.2">
      <c r="A1803" t="s">
        <v>2953</v>
      </c>
      <c r="B1803" t="s">
        <v>6449</v>
      </c>
      <c r="C1803" t="s">
        <v>2954</v>
      </c>
      <c r="D1803" t="s">
        <v>2928</v>
      </c>
      <c r="E1803" t="s">
        <v>96</v>
      </c>
      <c r="F1803">
        <v>89.99</v>
      </c>
      <c r="G1803" t="s">
        <v>7014</v>
      </c>
      <c r="H1803">
        <v>6.25E-2</v>
      </c>
      <c r="I1803" t="s">
        <v>7015</v>
      </c>
      <c r="M1803">
        <v>16</v>
      </c>
      <c r="N1803">
        <v>0.5</v>
      </c>
      <c r="O1803">
        <v>0</v>
      </c>
      <c r="P1803">
        <v>8</v>
      </c>
    </row>
    <row r="1804" spans="1:16" x14ac:dyDescent="0.2">
      <c r="A1804" t="s">
        <v>6443</v>
      </c>
      <c r="B1804" t="s">
        <v>7375</v>
      </c>
      <c r="C1804" t="s">
        <v>6444</v>
      </c>
      <c r="D1804" t="s">
        <v>2928</v>
      </c>
      <c r="E1804" t="s">
        <v>96</v>
      </c>
      <c r="F1804">
        <v>149.99</v>
      </c>
      <c r="G1804" t="s">
        <v>7014</v>
      </c>
      <c r="H1804">
        <v>0</v>
      </c>
      <c r="I1804" t="s">
        <v>7015</v>
      </c>
      <c r="M1804">
        <v>0</v>
      </c>
      <c r="N1804">
        <v>0</v>
      </c>
      <c r="O1804">
        <v>0</v>
      </c>
      <c r="P1804">
        <v>0</v>
      </c>
    </row>
    <row r="1805" spans="1:16" x14ac:dyDescent="0.2">
      <c r="A1805" t="s">
        <v>2959</v>
      </c>
      <c r="B1805" t="s">
        <v>6455</v>
      </c>
      <c r="C1805" t="s">
        <v>2960</v>
      </c>
      <c r="D1805" t="s">
        <v>2928</v>
      </c>
      <c r="E1805" t="s">
        <v>290</v>
      </c>
      <c r="F1805">
        <v>44.99</v>
      </c>
      <c r="G1805" t="s">
        <v>7014</v>
      </c>
      <c r="H1805">
        <v>0</v>
      </c>
      <c r="I1805" t="s">
        <v>7015</v>
      </c>
      <c r="M1805">
        <v>0</v>
      </c>
      <c r="N1805">
        <v>0</v>
      </c>
      <c r="O1805">
        <v>0</v>
      </c>
      <c r="P1805">
        <v>1</v>
      </c>
    </row>
    <row r="1806" spans="1:16" x14ac:dyDescent="0.2">
      <c r="A1806" t="s">
        <v>2963</v>
      </c>
      <c r="B1806" t="s">
        <v>6453</v>
      </c>
      <c r="C1806" t="s">
        <v>2964</v>
      </c>
      <c r="D1806" t="s">
        <v>2928</v>
      </c>
      <c r="E1806" t="s">
        <v>290</v>
      </c>
      <c r="F1806">
        <v>34.99</v>
      </c>
      <c r="G1806" t="s">
        <v>7014</v>
      </c>
      <c r="H1806">
        <v>0</v>
      </c>
      <c r="I1806" t="s">
        <v>7015</v>
      </c>
      <c r="M1806">
        <v>0</v>
      </c>
      <c r="N1806">
        <v>0</v>
      </c>
      <c r="O1806">
        <v>0</v>
      </c>
      <c r="P1806">
        <v>0</v>
      </c>
    </row>
    <row r="1807" spans="1:16" x14ac:dyDescent="0.2">
      <c r="A1807" t="s">
        <v>2965</v>
      </c>
      <c r="B1807" t="s">
        <v>6446</v>
      </c>
      <c r="C1807" t="s">
        <v>2966</v>
      </c>
      <c r="D1807" t="s">
        <v>2928</v>
      </c>
      <c r="E1807" t="s">
        <v>96</v>
      </c>
      <c r="F1807">
        <v>149.99</v>
      </c>
      <c r="G1807" t="s">
        <v>7014</v>
      </c>
      <c r="H1807">
        <v>0</v>
      </c>
      <c r="I1807" t="s">
        <v>7015</v>
      </c>
      <c r="M1807">
        <v>0</v>
      </c>
      <c r="N1807">
        <v>0</v>
      </c>
      <c r="O1807">
        <v>0</v>
      </c>
      <c r="P1807">
        <v>0</v>
      </c>
    </row>
    <row r="1808" spans="1:16" x14ac:dyDescent="0.2">
      <c r="A1808" t="s">
        <v>2969</v>
      </c>
      <c r="B1808" t="s">
        <v>7376</v>
      </c>
      <c r="C1808" t="s">
        <v>2970</v>
      </c>
      <c r="D1808" t="s">
        <v>2928</v>
      </c>
      <c r="E1808" t="s">
        <v>96</v>
      </c>
      <c r="F1808">
        <v>79.989999999999995</v>
      </c>
      <c r="G1808" t="s">
        <v>7014</v>
      </c>
      <c r="H1808">
        <v>0</v>
      </c>
      <c r="I1808" t="s">
        <v>7015</v>
      </c>
      <c r="M1808">
        <v>0</v>
      </c>
      <c r="N1808">
        <v>0</v>
      </c>
      <c r="O1808">
        <v>0</v>
      </c>
      <c r="P1808">
        <v>0</v>
      </c>
    </row>
    <row r="1809" spans="1:16" x14ac:dyDescent="0.2">
      <c r="A1809" t="s">
        <v>2977</v>
      </c>
      <c r="B1809" t="s">
        <v>6466</v>
      </c>
      <c r="C1809" t="s">
        <v>2978</v>
      </c>
      <c r="D1809" t="s">
        <v>2928</v>
      </c>
      <c r="E1809" t="s">
        <v>96</v>
      </c>
      <c r="F1809">
        <v>149.99</v>
      </c>
      <c r="G1809" t="s">
        <v>7014</v>
      </c>
      <c r="H1809">
        <v>0.58333333333333337</v>
      </c>
      <c r="I1809" t="s">
        <v>7015</v>
      </c>
      <c r="M1809">
        <v>1.4999999999999998</v>
      </c>
      <c r="N1809">
        <v>0.66666666666666674</v>
      </c>
      <c r="O1809">
        <v>0</v>
      </c>
      <c r="P1809">
        <v>1</v>
      </c>
    </row>
    <row r="1810" spans="1:16" x14ac:dyDescent="0.2">
      <c r="A1810" t="s">
        <v>6793</v>
      </c>
      <c r="B1810" t="s">
        <v>7377</v>
      </c>
      <c r="C1810" t="s">
        <v>6794</v>
      </c>
      <c r="D1810" t="s">
        <v>2987</v>
      </c>
      <c r="E1810" t="s">
        <v>96</v>
      </c>
      <c r="F1810">
        <v>49.99</v>
      </c>
      <c r="G1810" t="s">
        <v>7014</v>
      </c>
      <c r="H1810">
        <v>0</v>
      </c>
      <c r="I1810" t="s">
        <v>7015</v>
      </c>
      <c r="M1810">
        <v>0</v>
      </c>
      <c r="N1810">
        <v>0</v>
      </c>
      <c r="O1810">
        <v>0</v>
      </c>
      <c r="P1810">
        <v>0</v>
      </c>
    </row>
    <row r="1811" spans="1:16" x14ac:dyDescent="0.2">
      <c r="A1811" t="s">
        <v>3015</v>
      </c>
      <c r="B1811" t="s">
        <v>6549</v>
      </c>
      <c r="C1811" t="s">
        <v>3016</v>
      </c>
      <c r="D1811" t="s">
        <v>2987</v>
      </c>
      <c r="E1811" t="s">
        <v>228</v>
      </c>
      <c r="F1811">
        <v>179.99</v>
      </c>
      <c r="G1811" t="s">
        <v>7014</v>
      </c>
      <c r="H1811">
        <v>4.1666666666666664E-2</v>
      </c>
      <c r="M1811">
        <v>0</v>
      </c>
      <c r="N1811">
        <v>0</v>
      </c>
      <c r="O1811">
        <v>0</v>
      </c>
      <c r="P1811">
        <v>2</v>
      </c>
    </row>
    <row r="1812" spans="1:16" x14ac:dyDescent="0.2">
      <c r="A1812" t="s">
        <v>3049</v>
      </c>
      <c r="B1812" t="s">
        <v>6537</v>
      </c>
      <c r="C1812" t="s">
        <v>3050</v>
      </c>
      <c r="D1812" t="s">
        <v>2987</v>
      </c>
      <c r="E1812" t="s">
        <v>228</v>
      </c>
      <c r="F1812">
        <v>249.99</v>
      </c>
      <c r="G1812" t="s">
        <v>7014</v>
      </c>
      <c r="H1812">
        <v>0.11458333333333331</v>
      </c>
      <c r="M1812">
        <v>48</v>
      </c>
      <c r="N1812">
        <v>0.16666666666666666</v>
      </c>
      <c r="O1812">
        <v>0</v>
      </c>
      <c r="P1812">
        <v>8</v>
      </c>
    </row>
    <row r="1813" spans="1:16" x14ac:dyDescent="0.2">
      <c r="A1813" t="s">
        <v>3051</v>
      </c>
      <c r="B1813" t="s">
        <v>6502</v>
      </c>
      <c r="C1813" t="s">
        <v>3052</v>
      </c>
      <c r="D1813" t="s">
        <v>2987</v>
      </c>
      <c r="E1813" t="s">
        <v>228</v>
      </c>
      <c r="F1813">
        <v>139.99</v>
      </c>
      <c r="G1813" t="s">
        <v>7014</v>
      </c>
      <c r="H1813">
        <v>0</v>
      </c>
      <c r="I1813" t="s">
        <v>7015</v>
      </c>
      <c r="M1813">
        <v>0</v>
      </c>
      <c r="N1813">
        <v>0</v>
      </c>
      <c r="O1813">
        <v>0</v>
      </c>
      <c r="P1813">
        <v>0</v>
      </c>
    </row>
    <row r="1814" spans="1:16" x14ac:dyDescent="0.2">
      <c r="A1814" t="s">
        <v>6505</v>
      </c>
      <c r="B1814" t="s">
        <v>6508</v>
      </c>
      <c r="C1814" t="s">
        <v>6506</v>
      </c>
      <c r="D1814" t="s">
        <v>2987</v>
      </c>
      <c r="E1814" t="s">
        <v>96</v>
      </c>
      <c r="F1814">
        <v>59.99</v>
      </c>
      <c r="G1814" t="s">
        <v>7014</v>
      </c>
      <c r="H1814">
        <v>0</v>
      </c>
      <c r="I1814" t="s">
        <v>7015</v>
      </c>
      <c r="M1814">
        <v>0</v>
      </c>
      <c r="N1814">
        <v>0</v>
      </c>
      <c r="O1814">
        <v>0</v>
      </c>
      <c r="P1814">
        <v>0</v>
      </c>
    </row>
    <row r="1815" spans="1:16" x14ac:dyDescent="0.2">
      <c r="A1815" t="s">
        <v>6690</v>
      </c>
      <c r="B1815" t="s">
        <v>6693</v>
      </c>
      <c r="C1815" t="s">
        <v>6691</v>
      </c>
      <c r="D1815" t="s">
        <v>2987</v>
      </c>
      <c r="E1815" t="s">
        <v>96</v>
      </c>
      <c r="F1815">
        <v>74.989999999999995</v>
      </c>
      <c r="G1815" t="s">
        <v>7014</v>
      </c>
      <c r="H1815">
        <v>0</v>
      </c>
      <c r="I1815" t="s">
        <v>7015</v>
      </c>
      <c r="M1815">
        <v>0</v>
      </c>
      <c r="N1815">
        <v>0</v>
      </c>
      <c r="O1815">
        <v>0</v>
      </c>
      <c r="P1815">
        <v>1</v>
      </c>
    </row>
    <row r="1816" spans="1:16" x14ac:dyDescent="0.2">
      <c r="A1816" t="s">
        <v>6783</v>
      </c>
      <c r="B1816" t="s">
        <v>6786</v>
      </c>
      <c r="C1816" t="s">
        <v>6784</v>
      </c>
      <c r="D1816" t="s">
        <v>2987</v>
      </c>
      <c r="E1816" t="s">
        <v>290</v>
      </c>
      <c r="F1816">
        <v>79.989999999999995</v>
      </c>
      <c r="G1816" t="s">
        <v>7014</v>
      </c>
      <c r="H1816">
        <v>6.25E-2</v>
      </c>
      <c r="I1816" t="s">
        <v>7015</v>
      </c>
      <c r="M1816">
        <v>23.999999999999989</v>
      </c>
      <c r="N1816">
        <v>0.16666666666666674</v>
      </c>
      <c r="O1816">
        <v>0</v>
      </c>
      <c r="P1816">
        <v>4</v>
      </c>
    </row>
    <row r="1817" spans="1:16" x14ac:dyDescent="0.2">
      <c r="A1817" t="s">
        <v>5825</v>
      </c>
      <c r="B1817" t="s">
        <v>7378</v>
      </c>
      <c r="C1817" t="s">
        <v>5826</v>
      </c>
      <c r="D1817" t="s">
        <v>2852</v>
      </c>
      <c r="E1817" t="s">
        <v>96</v>
      </c>
      <c r="F1817">
        <v>469.99</v>
      </c>
      <c r="G1817" t="s">
        <v>7014</v>
      </c>
      <c r="H1817">
        <v>0</v>
      </c>
      <c r="I1817" t="s">
        <v>290</v>
      </c>
      <c r="M1817">
        <v>0</v>
      </c>
      <c r="N1817">
        <v>0</v>
      </c>
      <c r="O1817">
        <v>0</v>
      </c>
      <c r="P1817">
        <v>0</v>
      </c>
    </row>
    <row r="1818" spans="1:16" x14ac:dyDescent="0.2">
      <c r="A1818" t="s">
        <v>5822</v>
      </c>
      <c r="B1818" t="s">
        <v>5824</v>
      </c>
      <c r="C1818" t="s">
        <v>5823</v>
      </c>
      <c r="D1818" t="s">
        <v>2852</v>
      </c>
      <c r="E1818" t="s">
        <v>96</v>
      </c>
      <c r="F1818">
        <v>119.99</v>
      </c>
      <c r="G1818" t="s">
        <v>7014</v>
      </c>
      <c r="H1818">
        <v>0</v>
      </c>
      <c r="I1818" t="s">
        <v>7015</v>
      </c>
      <c r="M1818">
        <v>0</v>
      </c>
      <c r="N1818">
        <v>0</v>
      </c>
      <c r="O1818">
        <v>0</v>
      </c>
      <c r="P1818">
        <v>1</v>
      </c>
    </row>
    <row r="1819" spans="1:16" x14ac:dyDescent="0.2">
      <c r="A1819" t="s">
        <v>7379</v>
      </c>
      <c r="B1819" t="s">
        <v>7380</v>
      </c>
      <c r="C1819" t="s">
        <v>7381</v>
      </c>
      <c r="D1819" t="s">
        <v>2852</v>
      </c>
      <c r="E1819" t="s">
        <v>96</v>
      </c>
      <c r="F1819">
        <v>99.99</v>
      </c>
      <c r="G1819" t="s">
        <v>7014</v>
      </c>
      <c r="H1819">
        <v>0</v>
      </c>
      <c r="I1819" t="s">
        <v>7015</v>
      </c>
      <c r="M1819">
        <v>0</v>
      </c>
      <c r="N1819">
        <v>0</v>
      </c>
      <c r="O1819">
        <v>0</v>
      </c>
      <c r="P1819">
        <v>0</v>
      </c>
    </row>
    <row r="1820" spans="1:16" x14ac:dyDescent="0.2">
      <c r="A1820" t="s">
        <v>6780</v>
      </c>
      <c r="B1820" t="s">
        <v>7382</v>
      </c>
      <c r="C1820" t="s">
        <v>6781</v>
      </c>
      <c r="D1820" t="s">
        <v>2987</v>
      </c>
      <c r="E1820" t="s">
        <v>96</v>
      </c>
      <c r="F1820">
        <v>104.99</v>
      </c>
      <c r="G1820" t="s">
        <v>7014</v>
      </c>
      <c r="H1820">
        <v>0</v>
      </c>
      <c r="I1820" t="s">
        <v>7015</v>
      </c>
      <c r="M1820">
        <v>0</v>
      </c>
      <c r="N1820">
        <v>0</v>
      </c>
      <c r="O1820">
        <v>0</v>
      </c>
      <c r="P1820">
        <v>0</v>
      </c>
    </row>
    <row r="1821" spans="1:16" x14ac:dyDescent="0.2">
      <c r="A1821" t="s">
        <v>6694</v>
      </c>
      <c r="B1821" t="s">
        <v>7383</v>
      </c>
      <c r="C1821" t="s">
        <v>6695</v>
      </c>
      <c r="D1821" t="s">
        <v>2987</v>
      </c>
      <c r="E1821" t="s">
        <v>290</v>
      </c>
      <c r="F1821">
        <v>49.99</v>
      </c>
      <c r="G1821" t="s">
        <v>7014</v>
      </c>
      <c r="H1821">
        <v>0</v>
      </c>
      <c r="I1821" t="s">
        <v>7015</v>
      </c>
      <c r="M1821">
        <v>0</v>
      </c>
      <c r="N1821">
        <v>0</v>
      </c>
      <c r="O1821">
        <v>0</v>
      </c>
      <c r="P1821">
        <v>0</v>
      </c>
    </row>
    <row r="1822" spans="1:16" x14ac:dyDescent="0.2">
      <c r="A1822" t="s">
        <v>749</v>
      </c>
      <c r="B1822" t="s">
        <v>4719</v>
      </c>
      <c r="C1822" t="s">
        <v>750</v>
      </c>
      <c r="D1822" t="s">
        <v>446</v>
      </c>
      <c r="E1822" t="s">
        <v>228</v>
      </c>
      <c r="F1822">
        <v>32.99</v>
      </c>
      <c r="G1822" t="s">
        <v>7014</v>
      </c>
      <c r="H1822">
        <v>0</v>
      </c>
      <c r="M1822">
        <v>0</v>
      </c>
      <c r="N1822">
        <v>0</v>
      </c>
      <c r="O1822">
        <v>0</v>
      </c>
      <c r="P1822">
        <v>0</v>
      </c>
    </row>
    <row r="1823" spans="1:16" x14ac:dyDescent="0.2">
      <c r="A1823" t="s">
        <v>3005</v>
      </c>
      <c r="B1823" t="s">
        <v>7384</v>
      </c>
      <c r="C1823" t="s">
        <v>3006</v>
      </c>
      <c r="D1823" t="s">
        <v>2987</v>
      </c>
      <c r="E1823" t="s">
        <v>290</v>
      </c>
      <c r="F1823">
        <v>49.99</v>
      </c>
      <c r="G1823" t="s">
        <v>7014</v>
      </c>
      <c r="H1823">
        <v>0</v>
      </c>
      <c r="I1823" t="s">
        <v>7015</v>
      </c>
      <c r="M1823">
        <v>0</v>
      </c>
      <c r="N1823">
        <v>0</v>
      </c>
      <c r="O1823">
        <v>0</v>
      </c>
      <c r="P1823">
        <v>0</v>
      </c>
    </row>
    <row r="1824" spans="1:16" x14ac:dyDescent="0.2">
      <c r="A1824" t="s">
        <v>6796</v>
      </c>
      <c r="B1824" t="s">
        <v>7385</v>
      </c>
      <c r="C1824" t="s">
        <v>6797</v>
      </c>
      <c r="D1824" t="s">
        <v>2987</v>
      </c>
      <c r="E1824" t="s">
        <v>96</v>
      </c>
      <c r="F1824">
        <v>49.99</v>
      </c>
      <c r="G1824" t="s">
        <v>7014</v>
      </c>
      <c r="H1824">
        <v>0</v>
      </c>
      <c r="I1824" t="s">
        <v>7015</v>
      </c>
      <c r="M1824">
        <v>0</v>
      </c>
      <c r="N1824">
        <v>0</v>
      </c>
      <c r="O1824">
        <v>0</v>
      </c>
      <c r="P1824">
        <v>0</v>
      </c>
    </row>
    <row r="1825" spans="1:16" x14ac:dyDescent="0.2">
      <c r="A1825" t="s">
        <v>3007</v>
      </c>
      <c r="B1825" t="s">
        <v>6529</v>
      </c>
      <c r="C1825" t="s">
        <v>3008</v>
      </c>
      <c r="D1825" t="s">
        <v>2987</v>
      </c>
      <c r="E1825" t="s">
        <v>228</v>
      </c>
      <c r="F1825">
        <v>79.989999999999995</v>
      </c>
      <c r="G1825" t="s">
        <v>7014</v>
      </c>
      <c r="H1825">
        <v>0</v>
      </c>
      <c r="M1825">
        <v>0</v>
      </c>
      <c r="N1825">
        <v>0</v>
      </c>
      <c r="O1825">
        <v>0</v>
      </c>
      <c r="P1825">
        <v>0</v>
      </c>
    </row>
    <row r="1826" spans="1:16" x14ac:dyDescent="0.2">
      <c r="A1826" t="s">
        <v>6699</v>
      </c>
      <c r="B1826" t="s">
        <v>7386</v>
      </c>
      <c r="C1826" t="s">
        <v>6700</v>
      </c>
      <c r="D1826" t="s">
        <v>2987</v>
      </c>
      <c r="E1826" t="s">
        <v>96</v>
      </c>
      <c r="F1826">
        <v>49.99</v>
      </c>
      <c r="G1826" t="s">
        <v>7014</v>
      </c>
      <c r="H1826">
        <v>0</v>
      </c>
      <c r="I1826" t="s">
        <v>7015</v>
      </c>
      <c r="M1826">
        <v>0</v>
      </c>
      <c r="N1826">
        <v>0</v>
      </c>
      <c r="O1826">
        <v>0</v>
      </c>
      <c r="P1826">
        <v>0</v>
      </c>
    </row>
    <row r="1827" spans="1:16" x14ac:dyDescent="0.2">
      <c r="A1827" t="s">
        <v>6817</v>
      </c>
      <c r="B1827" t="s">
        <v>7387</v>
      </c>
      <c r="C1827" t="s">
        <v>6818</v>
      </c>
      <c r="D1827" t="s">
        <v>2987</v>
      </c>
      <c r="E1827" t="s">
        <v>96</v>
      </c>
      <c r="F1827">
        <v>69.989999999999995</v>
      </c>
      <c r="G1827" t="s">
        <v>7014</v>
      </c>
      <c r="H1827">
        <v>0</v>
      </c>
      <c r="I1827" t="s">
        <v>7015</v>
      </c>
      <c r="M1827">
        <v>0</v>
      </c>
      <c r="N1827">
        <v>0</v>
      </c>
      <c r="O1827">
        <v>0</v>
      </c>
      <c r="P1827">
        <v>0</v>
      </c>
    </row>
    <row r="1828" spans="1:16" x14ac:dyDescent="0.2">
      <c r="A1828" t="s">
        <v>6820</v>
      </c>
      <c r="B1828" t="s">
        <v>7388</v>
      </c>
      <c r="C1828" t="s">
        <v>6821</v>
      </c>
      <c r="D1828" t="s">
        <v>2987</v>
      </c>
      <c r="E1828" t="s">
        <v>96</v>
      </c>
      <c r="F1828">
        <v>69.989999999999995</v>
      </c>
      <c r="G1828" t="s">
        <v>7014</v>
      </c>
      <c r="H1828">
        <v>0</v>
      </c>
      <c r="I1828" t="s">
        <v>7015</v>
      </c>
      <c r="M1828">
        <v>0</v>
      </c>
      <c r="N1828">
        <v>0</v>
      </c>
      <c r="O1828">
        <v>0</v>
      </c>
      <c r="P1828">
        <v>0</v>
      </c>
    </row>
    <row r="1829" spans="1:16" x14ac:dyDescent="0.2">
      <c r="A1829" t="s">
        <v>6823</v>
      </c>
      <c r="B1829" t="s">
        <v>7389</v>
      </c>
      <c r="C1829" t="s">
        <v>6824</v>
      </c>
      <c r="D1829" t="s">
        <v>2987</v>
      </c>
      <c r="E1829" t="s">
        <v>96</v>
      </c>
      <c r="F1829">
        <v>69.989999999999995</v>
      </c>
      <c r="G1829" t="s">
        <v>7014</v>
      </c>
      <c r="H1829">
        <v>0</v>
      </c>
      <c r="I1829" t="s">
        <v>7015</v>
      </c>
      <c r="M1829">
        <v>0</v>
      </c>
      <c r="N1829">
        <v>0</v>
      </c>
      <c r="O1829">
        <v>0</v>
      </c>
      <c r="P1829">
        <v>0</v>
      </c>
    </row>
    <row r="1830" spans="1:16" x14ac:dyDescent="0.2">
      <c r="A1830" t="s">
        <v>6923</v>
      </c>
      <c r="B1830" t="s">
        <v>6926</v>
      </c>
      <c r="C1830" t="s">
        <v>6924</v>
      </c>
      <c r="D1830" t="s">
        <v>2987</v>
      </c>
      <c r="E1830" t="s">
        <v>96</v>
      </c>
      <c r="F1830">
        <v>69.989999999999995</v>
      </c>
      <c r="G1830" t="s">
        <v>7014</v>
      </c>
      <c r="H1830">
        <v>0</v>
      </c>
      <c r="I1830" t="s">
        <v>7015</v>
      </c>
      <c r="M1830">
        <v>0</v>
      </c>
      <c r="N1830">
        <v>0</v>
      </c>
      <c r="O1830">
        <v>0</v>
      </c>
      <c r="P1830">
        <v>2</v>
      </c>
    </row>
    <row r="1831" spans="1:16" x14ac:dyDescent="0.2">
      <c r="A1831" t="s">
        <v>6829</v>
      </c>
      <c r="B1831" t="s">
        <v>6832</v>
      </c>
      <c r="C1831" t="s">
        <v>6830</v>
      </c>
      <c r="D1831" t="s">
        <v>2987</v>
      </c>
      <c r="E1831" t="s">
        <v>228</v>
      </c>
      <c r="F1831">
        <v>89.99</v>
      </c>
      <c r="G1831" t="s">
        <v>7014</v>
      </c>
      <c r="H1831">
        <v>0</v>
      </c>
      <c r="I1831" t="s">
        <v>7015</v>
      </c>
      <c r="M1831">
        <v>0</v>
      </c>
      <c r="N1831">
        <v>0.33333333333333337</v>
      </c>
      <c r="O1831">
        <v>0</v>
      </c>
      <c r="P1831">
        <v>0</v>
      </c>
    </row>
    <row r="1832" spans="1:16" x14ac:dyDescent="0.2">
      <c r="A1832" t="s">
        <v>2985</v>
      </c>
      <c r="B1832" t="s">
        <v>6463</v>
      </c>
      <c r="C1832" t="s">
        <v>2986</v>
      </c>
      <c r="D1832" t="s">
        <v>2928</v>
      </c>
      <c r="E1832" t="s">
        <v>96</v>
      </c>
      <c r="F1832">
        <v>129.99</v>
      </c>
      <c r="G1832" t="s">
        <v>7014</v>
      </c>
      <c r="H1832">
        <v>9.2592592592592587E-3</v>
      </c>
      <c r="I1832" t="s">
        <v>7015</v>
      </c>
      <c r="M1832">
        <v>0</v>
      </c>
      <c r="N1832">
        <v>0</v>
      </c>
      <c r="O1832">
        <v>0</v>
      </c>
      <c r="P1832">
        <v>9</v>
      </c>
    </row>
    <row r="1833" spans="1:16" x14ac:dyDescent="0.2">
      <c r="A1833" t="s">
        <v>3409</v>
      </c>
      <c r="B1833" t="s">
        <v>7003</v>
      </c>
      <c r="C1833" t="s">
        <v>3410</v>
      </c>
      <c r="D1833" t="s">
        <v>3396</v>
      </c>
      <c r="E1833" t="s">
        <v>96</v>
      </c>
      <c r="F1833">
        <v>469.99</v>
      </c>
      <c r="G1833" t="s">
        <v>7014</v>
      </c>
      <c r="H1833">
        <v>0</v>
      </c>
      <c r="I1833" t="s">
        <v>7015</v>
      </c>
      <c r="M1833">
        <v>0</v>
      </c>
      <c r="N1833">
        <v>0</v>
      </c>
      <c r="O1833">
        <v>0</v>
      </c>
      <c r="P1833">
        <v>1</v>
      </c>
    </row>
    <row r="1834" spans="1:16" x14ac:dyDescent="0.2">
      <c r="A1834" t="s">
        <v>3013</v>
      </c>
      <c r="B1834" t="s">
        <v>6552</v>
      </c>
      <c r="C1834" t="s">
        <v>3014</v>
      </c>
      <c r="D1834" t="s">
        <v>2987</v>
      </c>
      <c r="E1834" t="s">
        <v>228</v>
      </c>
      <c r="F1834">
        <v>179.99</v>
      </c>
      <c r="G1834" t="s">
        <v>7014</v>
      </c>
      <c r="H1834">
        <v>0</v>
      </c>
      <c r="M1834">
        <v>0</v>
      </c>
      <c r="N1834">
        <v>0</v>
      </c>
      <c r="O1834">
        <v>0</v>
      </c>
      <c r="P1834">
        <v>3</v>
      </c>
    </row>
    <row r="1835" spans="1:16" x14ac:dyDescent="0.2">
      <c r="A1835" t="s">
        <v>7390</v>
      </c>
      <c r="B1835" t="s">
        <v>7391</v>
      </c>
      <c r="C1835" t="s">
        <v>7392</v>
      </c>
      <c r="D1835" t="s">
        <v>446</v>
      </c>
      <c r="E1835" t="s">
        <v>96</v>
      </c>
      <c r="F1835">
        <v>139.99</v>
      </c>
      <c r="G1835" t="s">
        <v>7014</v>
      </c>
      <c r="H1835">
        <v>0</v>
      </c>
      <c r="I1835" t="s">
        <v>7015</v>
      </c>
      <c r="M1835">
        <v>0</v>
      </c>
      <c r="N1835">
        <v>0</v>
      </c>
      <c r="O1835">
        <v>0</v>
      </c>
      <c r="P1835">
        <v>0</v>
      </c>
    </row>
    <row r="1836" spans="1:16" x14ac:dyDescent="0.2">
      <c r="A1836" t="s">
        <v>3071</v>
      </c>
      <c r="B1836" t="s">
        <v>6773</v>
      </c>
      <c r="C1836" t="s">
        <v>3072</v>
      </c>
      <c r="D1836" t="s">
        <v>2987</v>
      </c>
      <c r="E1836" t="s">
        <v>290</v>
      </c>
      <c r="F1836">
        <v>199.99</v>
      </c>
      <c r="G1836" t="s">
        <v>7014</v>
      </c>
      <c r="H1836">
        <v>0</v>
      </c>
      <c r="I1836" t="s">
        <v>7015</v>
      </c>
      <c r="M1836">
        <v>0</v>
      </c>
      <c r="N1836">
        <v>0</v>
      </c>
      <c r="O1836">
        <v>0</v>
      </c>
      <c r="P1836">
        <v>0</v>
      </c>
    </row>
    <row r="1837" spans="1:16" x14ac:dyDescent="0.2">
      <c r="A1837" t="s">
        <v>6861</v>
      </c>
      <c r="B1837" t="s">
        <v>7393</v>
      </c>
      <c r="C1837" t="s">
        <v>6862</v>
      </c>
      <c r="D1837" t="s">
        <v>2987</v>
      </c>
      <c r="E1837" t="s">
        <v>96</v>
      </c>
      <c r="F1837">
        <v>159.99</v>
      </c>
      <c r="G1837" t="s">
        <v>7014</v>
      </c>
      <c r="H1837">
        <v>0</v>
      </c>
      <c r="I1837" t="s">
        <v>7015</v>
      </c>
      <c r="M1837">
        <v>0</v>
      </c>
      <c r="N1837">
        <v>0</v>
      </c>
      <c r="O1837">
        <v>0</v>
      </c>
      <c r="P1837">
        <v>0</v>
      </c>
    </row>
    <row r="1838" spans="1:16" x14ac:dyDescent="0.2">
      <c r="A1838" t="s">
        <v>3306</v>
      </c>
      <c r="B1838" t="s">
        <v>6995</v>
      </c>
      <c r="C1838" t="s">
        <v>3305</v>
      </c>
      <c r="D1838" t="s">
        <v>3268</v>
      </c>
      <c r="E1838" t="s">
        <v>228</v>
      </c>
      <c r="F1838">
        <v>449.99</v>
      </c>
      <c r="G1838" t="s">
        <v>7014</v>
      </c>
      <c r="H1838">
        <v>6.6666666666666666E-2</v>
      </c>
      <c r="I1838" t="s">
        <v>7015</v>
      </c>
      <c r="M1838">
        <v>15.517241379310343</v>
      </c>
      <c r="N1838">
        <v>4.8333333333333339</v>
      </c>
      <c r="O1838">
        <v>0</v>
      </c>
      <c r="P1838">
        <v>75</v>
      </c>
    </row>
    <row r="1839" spans="1:16" x14ac:dyDescent="0.2">
      <c r="A1839" t="s">
        <v>3311</v>
      </c>
      <c r="B1839" t="s">
        <v>5276</v>
      </c>
      <c r="C1839" t="s">
        <v>3312</v>
      </c>
      <c r="D1839" t="s">
        <v>3268</v>
      </c>
      <c r="E1839" t="s">
        <v>228</v>
      </c>
      <c r="F1839">
        <v>79.989999999999995</v>
      </c>
      <c r="G1839" t="s">
        <v>7014</v>
      </c>
      <c r="H1839">
        <v>3.3333333333333333E-2</v>
      </c>
      <c r="I1839" t="s">
        <v>7015</v>
      </c>
      <c r="M1839">
        <v>30</v>
      </c>
      <c r="N1839">
        <v>0.16666666666666666</v>
      </c>
      <c r="O1839">
        <v>0</v>
      </c>
      <c r="P1839">
        <v>5</v>
      </c>
    </row>
    <row r="1840" spans="1:16" x14ac:dyDescent="0.2">
      <c r="A1840" t="s">
        <v>671</v>
      </c>
      <c r="B1840" t="s">
        <v>4959</v>
      </c>
      <c r="C1840" t="s">
        <v>672</v>
      </c>
      <c r="D1840" t="s">
        <v>446</v>
      </c>
      <c r="E1840" t="s">
        <v>290</v>
      </c>
      <c r="F1840">
        <v>79.989999999999995</v>
      </c>
      <c r="G1840" t="s">
        <v>7014</v>
      </c>
      <c r="H1840">
        <v>0</v>
      </c>
      <c r="I1840" t="s">
        <v>7015</v>
      </c>
      <c r="M1840">
        <v>0</v>
      </c>
      <c r="N1840">
        <v>0.16666666666666663</v>
      </c>
      <c r="O1840">
        <v>0</v>
      </c>
      <c r="P1840">
        <v>0</v>
      </c>
    </row>
    <row r="1841" spans="1:16" x14ac:dyDescent="0.2">
      <c r="A1841" t="s">
        <v>3021</v>
      </c>
      <c r="B1841" t="s">
        <v>6487</v>
      </c>
      <c r="C1841" t="s">
        <v>3022</v>
      </c>
      <c r="D1841" t="s">
        <v>2987</v>
      </c>
      <c r="E1841" t="s">
        <v>228</v>
      </c>
      <c r="F1841">
        <v>139.99</v>
      </c>
      <c r="G1841" t="s">
        <v>7014</v>
      </c>
      <c r="H1841">
        <v>0</v>
      </c>
      <c r="I1841" t="s">
        <v>7015</v>
      </c>
      <c r="M1841">
        <v>0</v>
      </c>
      <c r="N1841">
        <v>0.66666666666666674</v>
      </c>
      <c r="O1841">
        <v>0</v>
      </c>
      <c r="P1841">
        <v>0</v>
      </c>
    </row>
    <row r="1842" spans="1:16" x14ac:dyDescent="0.2">
      <c r="A1842" t="s">
        <v>6765</v>
      </c>
      <c r="B1842" t="s">
        <v>6768</v>
      </c>
      <c r="C1842" t="s">
        <v>6766</v>
      </c>
      <c r="D1842" t="s">
        <v>2987</v>
      </c>
      <c r="E1842" t="s">
        <v>96</v>
      </c>
      <c r="F1842">
        <v>129.99</v>
      </c>
      <c r="G1842" t="s">
        <v>7014</v>
      </c>
      <c r="H1842">
        <v>0</v>
      </c>
      <c r="I1842" t="s">
        <v>7015</v>
      </c>
      <c r="M1842">
        <v>0</v>
      </c>
      <c r="N1842">
        <v>0</v>
      </c>
      <c r="O1842">
        <v>0</v>
      </c>
      <c r="P1842">
        <v>0</v>
      </c>
    </row>
    <row r="1843" spans="1:16" x14ac:dyDescent="0.2">
      <c r="A1843" t="s">
        <v>6643</v>
      </c>
      <c r="B1843" t="s">
        <v>6646</v>
      </c>
      <c r="C1843" t="s">
        <v>6644</v>
      </c>
      <c r="D1843" t="s">
        <v>2987</v>
      </c>
      <c r="E1843" t="s">
        <v>96</v>
      </c>
      <c r="F1843">
        <v>89.99</v>
      </c>
      <c r="G1843" t="s">
        <v>7014</v>
      </c>
      <c r="H1843">
        <v>0</v>
      </c>
      <c r="I1843" t="s">
        <v>7015</v>
      </c>
      <c r="M1843">
        <v>0</v>
      </c>
      <c r="N1843">
        <v>0</v>
      </c>
      <c r="O1843">
        <v>0</v>
      </c>
      <c r="P1843">
        <v>2</v>
      </c>
    </row>
    <row r="1844" spans="1:16" x14ac:dyDescent="0.2">
      <c r="A1844" t="s">
        <v>3035</v>
      </c>
      <c r="B1844" t="s">
        <v>6763</v>
      </c>
      <c r="C1844" t="s">
        <v>3036</v>
      </c>
      <c r="D1844" t="s">
        <v>2987</v>
      </c>
      <c r="E1844" t="s">
        <v>290</v>
      </c>
      <c r="F1844">
        <v>139.99</v>
      </c>
      <c r="G1844" t="s">
        <v>7014</v>
      </c>
      <c r="H1844">
        <v>0</v>
      </c>
      <c r="I1844" t="s">
        <v>7015</v>
      </c>
      <c r="M1844">
        <v>0</v>
      </c>
      <c r="N1844">
        <v>0</v>
      </c>
      <c r="O1844">
        <v>0</v>
      </c>
      <c r="P1844">
        <v>0</v>
      </c>
    </row>
    <row r="1845" spans="1:16" x14ac:dyDescent="0.2">
      <c r="A1845" t="s">
        <v>6826</v>
      </c>
      <c r="B1845" t="s">
        <v>7394</v>
      </c>
      <c r="C1845" t="s">
        <v>6827</v>
      </c>
      <c r="D1845" t="s">
        <v>2987</v>
      </c>
      <c r="E1845" t="s">
        <v>96</v>
      </c>
      <c r="F1845">
        <v>89.99</v>
      </c>
      <c r="G1845" t="s">
        <v>7014</v>
      </c>
      <c r="H1845">
        <v>0</v>
      </c>
      <c r="I1845" t="s">
        <v>7015</v>
      </c>
      <c r="M1845">
        <v>0</v>
      </c>
      <c r="N1845">
        <v>0</v>
      </c>
      <c r="O1845">
        <v>0</v>
      </c>
      <c r="P1845">
        <v>0</v>
      </c>
    </row>
    <row r="1846" spans="1:16" x14ac:dyDescent="0.2">
      <c r="A1846" t="s">
        <v>7395</v>
      </c>
      <c r="B1846" t="s">
        <v>7396</v>
      </c>
      <c r="C1846" t="s">
        <v>7397</v>
      </c>
      <c r="D1846" t="s">
        <v>2987</v>
      </c>
      <c r="E1846" t="s">
        <v>96</v>
      </c>
      <c r="F1846">
        <v>89.99</v>
      </c>
      <c r="G1846" t="s">
        <v>7014</v>
      </c>
      <c r="H1846">
        <v>0</v>
      </c>
      <c r="I1846" t="s">
        <v>7015</v>
      </c>
      <c r="M1846">
        <v>0</v>
      </c>
      <c r="N1846">
        <v>0</v>
      </c>
      <c r="O1846">
        <v>0</v>
      </c>
      <c r="P1846">
        <v>0</v>
      </c>
    </row>
    <row r="1847" spans="1:16" x14ac:dyDescent="0.2">
      <c r="A1847" t="s">
        <v>7398</v>
      </c>
      <c r="B1847" t="s">
        <v>7399</v>
      </c>
      <c r="C1847" t="s">
        <v>7400</v>
      </c>
      <c r="D1847" t="s">
        <v>2987</v>
      </c>
      <c r="E1847" t="s">
        <v>96</v>
      </c>
      <c r="F1847">
        <v>89.99</v>
      </c>
      <c r="G1847" t="s">
        <v>7014</v>
      </c>
      <c r="H1847">
        <v>0</v>
      </c>
      <c r="I1847" t="s">
        <v>7015</v>
      </c>
      <c r="M1847">
        <v>0</v>
      </c>
      <c r="N1847">
        <v>0</v>
      </c>
      <c r="O1847">
        <v>0</v>
      </c>
      <c r="P1847">
        <v>0</v>
      </c>
    </row>
    <row r="1848" spans="1:16" x14ac:dyDescent="0.2">
      <c r="A1848" t="s">
        <v>7401</v>
      </c>
      <c r="B1848" t="s">
        <v>7402</v>
      </c>
      <c r="C1848" t="s">
        <v>7403</v>
      </c>
      <c r="D1848" t="s">
        <v>2987</v>
      </c>
      <c r="E1848" t="s">
        <v>96</v>
      </c>
      <c r="F1848">
        <v>89.99</v>
      </c>
      <c r="G1848" t="s">
        <v>7014</v>
      </c>
      <c r="H1848">
        <v>0</v>
      </c>
      <c r="I1848" t="s">
        <v>7015</v>
      </c>
      <c r="M1848">
        <v>0</v>
      </c>
      <c r="N1848">
        <v>0</v>
      </c>
      <c r="O1848">
        <v>0</v>
      </c>
      <c r="P1848">
        <v>0</v>
      </c>
    </row>
    <row r="1849" spans="1:16" x14ac:dyDescent="0.2">
      <c r="A1849" t="s">
        <v>6885</v>
      </c>
      <c r="B1849" t="s">
        <v>6887</v>
      </c>
      <c r="C1849" t="s">
        <v>6886</v>
      </c>
      <c r="D1849" t="s">
        <v>2987</v>
      </c>
      <c r="E1849" t="s">
        <v>96</v>
      </c>
      <c r="F1849">
        <v>89.99</v>
      </c>
      <c r="G1849" t="s">
        <v>7014</v>
      </c>
      <c r="H1849">
        <v>0</v>
      </c>
      <c r="I1849" t="s">
        <v>7015</v>
      </c>
      <c r="M1849">
        <v>0</v>
      </c>
      <c r="N1849">
        <v>0</v>
      </c>
      <c r="O1849">
        <v>0</v>
      </c>
      <c r="P1849">
        <v>1</v>
      </c>
    </row>
    <row r="1850" spans="1:16" x14ac:dyDescent="0.2">
      <c r="A1850" t="s">
        <v>6891</v>
      </c>
      <c r="B1850" t="s">
        <v>7404</v>
      </c>
      <c r="C1850" t="s">
        <v>6892</v>
      </c>
      <c r="D1850" t="s">
        <v>2987</v>
      </c>
      <c r="E1850" t="s">
        <v>96</v>
      </c>
      <c r="F1850">
        <v>89.99</v>
      </c>
      <c r="G1850" t="s">
        <v>7014</v>
      </c>
      <c r="H1850">
        <v>0</v>
      </c>
      <c r="I1850" t="s">
        <v>7015</v>
      </c>
      <c r="M1850">
        <v>0</v>
      </c>
      <c r="N1850">
        <v>0</v>
      </c>
      <c r="O1850">
        <v>0</v>
      </c>
      <c r="P1850">
        <v>0</v>
      </c>
    </row>
    <row r="1851" spans="1:16" x14ac:dyDescent="0.2">
      <c r="A1851" t="s">
        <v>6888</v>
      </c>
      <c r="B1851" t="s">
        <v>7405</v>
      </c>
      <c r="C1851" t="s">
        <v>6889</v>
      </c>
      <c r="D1851" t="s">
        <v>2987</v>
      </c>
      <c r="E1851" t="s">
        <v>96</v>
      </c>
      <c r="F1851">
        <v>89.99</v>
      </c>
      <c r="G1851" t="s">
        <v>7014</v>
      </c>
      <c r="H1851">
        <v>0</v>
      </c>
      <c r="I1851" t="s">
        <v>7015</v>
      </c>
      <c r="M1851">
        <v>0</v>
      </c>
      <c r="N1851">
        <v>0</v>
      </c>
      <c r="O1851">
        <v>0</v>
      </c>
      <c r="P1851">
        <v>0</v>
      </c>
    </row>
    <row r="1852" spans="1:16" x14ac:dyDescent="0.2">
      <c r="A1852" t="s">
        <v>4985</v>
      </c>
      <c r="B1852" t="s">
        <v>4987</v>
      </c>
      <c r="C1852" t="s">
        <v>4986</v>
      </c>
      <c r="D1852" t="s">
        <v>446</v>
      </c>
      <c r="E1852" t="s">
        <v>96</v>
      </c>
      <c r="F1852">
        <v>119.99</v>
      </c>
      <c r="G1852" t="s">
        <v>7014</v>
      </c>
      <c r="H1852">
        <v>4.1666666666666664E-2</v>
      </c>
      <c r="I1852" t="s">
        <v>7015</v>
      </c>
      <c r="M1852">
        <v>0</v>
      </c>
      <c r="N1852">
        <v>0</v>
      </c>
      <c r="O1852">
        <v>0</v>
      </c>
      <c r="P1852">
        <v>4</v>
      </c>
    </row>
    <row r="1853" spans="1:16" x14ac:dyDescent="0.2">
      <c r="A1853" t="s">
        <v>6265</v>
      </c>
      <c r="B1853" t="s">
        <v>6267</v>
      </c>
      <c r="C1853" t="s">
        <v>6266</v>
      </c>
      <c r="D1853" t="s">
        <v>2502</v>
      </c>
      <c r="E1853" t="s">
        <v>290</v>
      </c>
      <c r="F1853">
        <v>59.99</v>
      </c>
      <c r="G1853" t="s">
        <v>7014</v>
      </c>
      <c r="H1853">
        <v>5.2083333333333336E-2</v>
      </c>
      <c r="I1853" t="s">
        <v>7015</v>
      </c>
      <c r="M1853">
        <v>20.571428571428569</v>
      </c>
      <c r="N1853">
        <v>1.1666666666666667</v>
      </c>
      <c r="O1853">
        <v>0</v>
      </c>
      <c r="P1853">
        <v>24</v>
      </c>
    </row>
    <row r="1854" spans="1:16" x14ac:dyDescent="0.2">
      <c r="A1854" t="s">
        <v>6114</v>
      </c>
      <c r="B1854" t="s">
        <v>7406</v>
      </c>
      <c r="C1854" t="s">
        <v>6115</v>
      </c>
      <c r="D1854" t="s">
        <v>2502</v>
      </c>
      <c r="E1854" t="s">
        <v>96</v>
      </c>
      <c r="F1854">
        <v>99.99</v>
      </c>
      <c r="G1854" t="s">
        <v>7014</v>
      </c>
      <c r="H1854">
        <v>0</v>
      </c>
      <c r="I1854" t="s">
        <v>7015</v>
      </c>
      <c r="M1854">
        <v>0</v>
      </c>
      <c r="N1854">
        <v>0</v>
      </c>
      <c r="O1854">
        <v>0</v>
      </c>
      <c r="P1854">
        <v>8</v>
      </c>
    </row>
    <row r="1855" spans="1:16" x14ac:dyDescent="0.2">
      <c r="A1855" t="s">
        <v>2539</v>
      </c>
      <c r="B1855" t="s">
        <v>7407</v>
      </c>
      <c r="C1855" t="s">
        <v>2540</v>
      </c>
      <c r="D1855" t="s">
        <v>2502</v>
      </c>
      <c r="E1855" t="s">
        <v>228</v>
      </c>
      <c r="F1855">
        <v>54.99</v>
      </c>
      <c r="G1855" t="s">
        <v>7014</v>
      </c>
      <c r="H1855">
        <v>0.10714285714285714</v>
      </c>
      <c r="I1855" t="s">
        <v>7015</v>
      </c>
      <c r="M1855">
        <v>10.499999999999998</v>
      </c>
      <c r="N1855">
        <v>1.3333333333333335</v>
      </c>
      <c r="O1855">
        <v>0</v>
      </c>
      <c r="P1855">
        <v>14</v>
      </c>
    </row>
    <row r="1856" spans="1:16" x14ac:dyDescent="0.2">
      <c r="A1856" t="s">
        <v>2529</v>
      </c>
      <c r="B1856" t="s">
        <v>6277</v>
      </c>
      <c r="C1856" t="s">
        <v>2530</v>
      </c>
      <c r="D1856" t="s">
        <v>2502</v>
      </c>
      <c r="E1856" t="s">
        <v>228</v>
      </c>
      <c r="F1856">
        <v>49.99</v>
      </c>
      <c r="G1856" t="s">
        <v>7014</v>
      </c>
      <c r="H1856">
        <v>8.3333333333333329E-2</v>
      </c>
      <c r="I1856" t="s">
        <v>7015</v>
      </c>
      <c r="M1856">
        <v>23.999999999999989</v>
      </c>
      <c r="N1856">
        <v>0.16666666666666674</v>
      </c>
      <c r="O1856">
        <v>0</v>
      </c>
      <c r="P1856">
        <v>4</v>
      </c>
    </row>
    <row r="1857" spans="1:16" x14ac:dyDescent="0.2">
      <c r="A1857" t="s">
        <v>5813</v>
      </c>
      <c r="B1857" t="s">
        <v>5815</v>
      </c>
      <c r="C1857" t="s">
        <v>5814</v>
      </c>
      <c r="D1857" t="s">
        <v>2495</v>
      </c>
      <c r="E1857" t="s">
        <v>96</v>
      </c>
      <c r="F1857">
        <v>999.99</v>
      </c>
      <c r="G1857" t="s">
        <v>7014</v>
      </c>
      <c r="H1857">
        <v>0</v>
      </c>
      <c r="I1857" t="s">
        <v>7015</v>
      </c>
      <c r="M1857">
        <v>0</v>
      </c>
      <c r="N1857">
        <v>0</v>
      </c>
      <c r="O1857">
        <v>0</v>
      </c>
      <c r="P1857">
        <v>0</v>
      </c>
    </row>
    <row r="1858" spans="1:16" x14ac:dyDescent="0.2">
      <c r="A1858" t="s">
        <v>2517</v>
      </c>
      <c r="B1858" t="s">
        <v>6139</v>
      </c>
      <c r="C1858" t="s">
        <v>7408</v>
      </c>
      <c r="D1858" t="s">
        <v>2502</v>
      </c>
      <c r="E1858" t="s">
        <v>228</v>
      </c>
      <c r="F1858">
        <v>159.99</v>
      </c>
      <c r="G1858" t="s">
        <v>7014</v>
      </c>
      <c r="H1858">
        <v>8.3333333333333329E-2</v>
      </c>
      <c r="M1858">
        <v>24.000000000000007</v>
      </c>
      <c r="N1858">
        <v>0.16666666666666663</v>
      </c>
      <c r="O1858">
        <v>0</v>
      </c>
      <c r="P1858">
        <v>4</v>
      </c>
    </row>
    <row r="1859" spans="1:16" x14ac:dyDescent="0.2">
      <c r="A1859" t="s">
        <v>2519</v>
      </c>
      <c r="B1859" t="s">
        <v>5991</v>
      </c>
      <c r="C1859" t="s">
        <v>2520</v>
      </c>
      <c r="D1859" t="s">
        <v>2502</v>
      </c>
      <c r="E1859" t="s">
        <v>228</v>
      </c>
      <c r="F1859">
        <v>249.99</v>
      </c>
      <c r="G1859" t="s">
        <v>7014</v>
      </c>
      <c r="H1859">
        <v>0.61111111111111105</v>
      </c>
      <c r="I1859" t="s">
        <v>7015</v>
      </c>
      <c r="M1859">
        <v>6</v>
      </c>
      <c r="N1859">
        <v>0.5</v>
      </c>
      <c r="O1859">
        <v>0</v>
      </c>
      <c r="P1859">
        <v>3</v>
      </c>
    </row>
    <row r="1860" spans="1:16" x14ac:dyDescent="0.2">
      <c r="A1860" t="s">
        <v>3411</v>
      </c>
      <c r="B1860" t="s">
        <v>7409</v>
      </c>
      <c r="C1860" t="s">
        <v>3412</v>
      </c>
      <c r="D1860" t="s">
        <v>3396</v>
      </c>
      <c r="E1860" t="s">
        <v>96</v>
      </c>
      <c r="F1860">
        <v>599.99</v>
      </c>
      <c r="G1860" t="s">
        <v>7014</v>
      </c>
      <c r="H1860">
        <v>0</v>
      </c>
      <c r="I1860" t="s">
        <v>7015</v>
      </c>
      <c r="M1860">
        <v>0</v>
      </c>
      <c r="N1860">
        <v>0</v>
      </c>
      <c r="O1860">
        <v>0</v>
      </c>
      <c r="P1860">
        <v>0</v>
      </c>
    </row>
    <row r="1861" spans="1:16" x14ac:dyDescent="0.2">
      <c r="A1861" t="s">
        <v>6601</v>
      </c>
      <c r="B1861" t="s">
        <v>7410</v>
      </c>
      <c r="C1861" t="s">
        <v>6602</v>
      </c>
      <c r="D1861" t="s">
        <v>2987</v>
      </c>
      <c r="E1861" t="s">
        <v>96</v>
      </c>
      <c r="F1861">
        <v>89.99</v>
      </c>
      <c r="G1861" t="s">
        <v>7014</v>
      </c>
      <c r="H1861">
        <v>0</v>
      </c>
      <c r="I1861" t="s">
        <v>7015</v>
      </c>
      <c r="M1861">
        <v>0</v>
      </c>
      <c r="N1861">
        <v>0</v>
      </c>
      <c r="O1861">
        <v>0</v>
      </c>
      <c r="P1861">
        <v>0</v>
      </c>
    </row>
    <row r="1862" spans="1:16" x14ac:dyDescent="0.2">
      <c r="A1862" t="s">
        <v>3283</v>
      </c>
      <c r="B1862" t="s">
        <v>6969</v>
      </c>
      <c r="C1862" t="s">
        <v>3284</v>
      </c>
      <c r="D1862" t="s">
        <v>3268</v>
      </c>
      <c r="E1862" t="s">
        <v>290</v>
      </c>
      <c r="F1862">
        <v>249.99</v>
      </c>
      <c r="G1862" t="s">
        <v>7014</v>
      </c>
      <c r="H1862">
        <v>0</v>
      </c>
      <c r="I1862" t="s">
        <v>290</v>
      </c>
      <c r="M1862">
        <v>0</v>
      </c>
      <c r="N1862">
        <v>0</v>
      </c>
      <c r="O1862">
        <v>0</v>
      </c>
      <c r="P1862">
        <v>0</v>
      </c>
    </row>
    <row r="1863" spans="1:16" x14ac:dyDescent="0.2">
      <c r="A1863" t="s">
        <v>7411</v>
      </c>
      <c r="B1863" t="s">
        <v>7412</v>
      </c>
      <c r="C1863" t="s">
        <v>7413</v>
      </c>
      <c r="D1863" t="s">
        <v>446</v>
      </c>
      <c r="E1863" t="s">
        <v>96</v>
      </c>
      <c r="F1863">
        <v>39.99</v>
      </c>
      <c r="G1863" t="s">
        <v>7014</v>
      </c>
      <c r="H1863">
        <v>0</v>
      </c>
      <c r="I1863" t="s">
        <v>290</v>
      </c>
      <c r="M1863">
        <v>0</v>
      </c>
      <c r="N1863">
        <v>0</v>
      </c>
      <c r="O1863">
        <v>0</v>
      </c>
      <c r="P1863">
        <v>0</v>
      </c>
    </row>
    <row r="1864" spans="1:16" x14ac:dyDescent="0.2">
      <c r="A1864" t="s">
        <v>3067</v>
      </c>
      <c r="B1864" t="s">
        <v>7414</v>
      </c>
      <c r="C1864" t="s">
        <v>3068</v>
      </c>
      <c r="D1864" t="s">
        <v>2987</v>
      </c>
      <c r="E1864" t="s">
        <v>228</v>
      </c>
      <c r="F1864">
        <v>99.99</v>
      </c>
      <c r="G1864" t="s">
        <v>7014</v>
      </c>
      <c r="H1864">
        <v>0</v>
      </c>
      <c r="I1864" t="s">
        <v>7015</v>
      </c>
      <c r="M1864">
        <v>0</v>
      </c>
      <c r="N1864">
        <v>0</v>
      </c>
      <c r="O1864">
        <v>0</v>
      </c>
      <c r="P1864">
        <v>0</v>
      </c>
    </row>
    <row r="1865" spans="1:16" x14ac:dyDescent="0.2">
      <c r="A1865" t="s">
        <v>3273</v>
      </c>
      <c r="B1865" t="s">
        <v>6972</v>
      </c>
      <c r="C1865" t="s">
        <v>3272</v>
      </c>
      <c r="D1865" t="s">
        <v>3268</v>
      </c>
      <c r="E1865" t="s">
        <v>290</v>
      </c>
      <c r="F1865">
        <v>179.99</v>
      </c>
      <c r="G1865" t="s">
        <v>7014</v>
      </c>
      <c r="H1865">
        <v>0</v>
      </c>
      <c r="I1865" t="s">
        <v>290</v>
      </c>
      <c r="M1865">
        <v>0</v>
      </c>
      <c r="N1865">
        <v>0</v>
      </c>
      <c r="O1865">
        <v>0</v>
      </c>
      <c r="P1865">
        <v>0</v>
      </c>
    </row>
    <row r="1866" spans="1:16" x14ac:dyDescent="0.2">
      <c r="A1866" t="s">
        <v>7415</v>
      </c>
      <c r="B1866" t="s">
        <v>7416</v>
      </c>
      <c r="C1866" t="s">
        <v>7417</v>
      </c>
      <c r="D1866" t="s">
        <v>446</v>
      </c>
      <c r="E1866" t="s">
        <v>96</v>
      </c>
      <c r="F1866">
        <v>44.99</v>
      </c>
      <c r="G1866" t="s">
        <v>7014</v>
      </c>
      <c r="H1866">
        <v>0</v>
      </c>
      <c r="I1866" t="s">
        <v>290</v>
      </c>
      <c r="M1866">
        <v>0</v>
      </c>
      <c r="N1866">
        <v>0</v>
      </c>
      <c r="O1866">
        <v>0</v>
      </c>
      <c r="P1866">
        <v>0</v>
      </c>
    </row>
    <row r="1867" spans="1:16" x14ac:dyDescent="0.2">
      <c r="A1867" t="s">
        <v>3276</v>
      </c>
      <c r="B1867" t="s">
        <v>6975</v>
      </c>
      <c r="C1867" t="s">
        <v>3275</v>
      </c>
      <c r="D1867" t="s">
        <v>3268</v>
      </c>
      <c r="E1867" t="s">
        <v>290</v>
      </c>
      <c r="F1867">
        <v>179.99</v>
      </c>
      <c r="G1867" t="s">
        <v>7014</v>
      </c>
      <c r="H1867">
        <v>0</v>
      </c>
      <c r="I1867" t="s">
        <v>290</v>
      </c>
      <c r="M1867">
        <v>0</v>
      </c>
      <c r="N1867">
        <v>0</v>
      </c>
      <c r="O1867">
        <v>0</v>
      </c>
      <c r="P1867">
        <v>0</v>
      </c>
    </row>
    <row r="1868" spans="1:16" x14ac:dyDescent="0.2">
      <c r="A1868" t="s">
        <v>7418</v>
      </c>
      <c r="B1868" t="s">
        <v>7419</v>
      </c>
      <c r="C1868" t="s">
        <v>7420</v>
      </c>
      <c r="D1868" t="s">
        <v>446</v>
      </c>
      <c r="E1868" t="s">
        <v>96</v>
      </c>
      <c r="F1868">
        <v>44.99</v>
      </c>
      <c r="G1868" t="s">
        <v>7014</v>
      </c>
      <c r="H1868">
        <v>0</v>
      </c>
      <c r="I1868" t="s">
        <v>290</v>
      </c>
      <c r="M1868">
        <v>0</v>
      </c>
      <c r="N1868">
        <v>0</v>
      </c>
      <c r="O1868">
        <v>0</v>
      </c>
      <c r="P1868">
        <v>0</v>
      </c>
    </row>
    <row r="1869" spans="1:16" x14ac:dyDescent="0.2">
      <c r="A1869" t="s">
        <v>7421</v>
      </c>
      <c r="B1869" t="s">
        <v>7422</v>
      </c>
      <c r="C1869" t="s">
        <v>7423</v>
      </c>
      <c r="D1869" t="s">
        <v>446</v>
      </c>
      <c r="E1869" t="s">
        <v>96</v>
      </c>
      <c r="F1869">
        <v>44.99</v>
      </c>
      <c r="G1869" t="s">
        <v>7014</v>
      </c>
      <c r="H1869">
        <v>0</v>
      </c>
      <c r="I1869" t="s">
        <v>290</v>
      </c>
      <c r="M1869">
        <v>0</v>
      </c>
      <c r="N1869">
        <v>0</v>
      </c>
      <c r="O1869">
        <v>0</v>
      </c>
      <c r="P1869">
        <v>0</v>
      </c>
    </row>
    <row r="1870" spans="1:16" x14ac:dyDescent="0.2">
      <c r="A1870" t="s">
        <v>647</v>
      </c>
      <c r="C1870" t="s">
        <v>648</v>
      </c>
      <c r="D1870" t="s">
        <v>446</v>
      </c>
      <c r="E1870" t="s">
        <v>228</v>
      </c>
      <c r="F1870">
        <v>59.99</v>
      </c>
      <c r="G1870" t="s">
        <v>7014</v>
      </c>
      <c r="H1870">
        <v>0</v>
      </c>
      <c r="I1870" t="s">
        <v>7015</v>
      </c>
      <c r="M1870">
        <v>0</v>
      </c>
      <c r="N1870">
        <v>2</v>
      </c>
      <c r="O1870">
        <v>0</v>
      </c>
      <c r="P1870">
        <v>0</v>
      </c>
    </row>
    <row r="1871" spans="1:16" x14ac:dyDescent="0.2">
      <c r="A1871" t="s">
        <v>3059</v>
      </c>
      <c r="B1871" t="s">
        <v>6495</v>
      </c>
      <c r="C1871" t="s">
        <v>3060</v>
      </c>
      <c r="D1871" t="s">
        <v>2987</v>
      </c>
      <c r="E1871" t="s">
        <v>228</v>
      </c>
      <c r="F1871">
        <v>219.99</v>
      </c>
      <c r="G1871" t="s">
        <v>7014</v>
      </c>
      <c r="H1871">
        <v>0</v>
      </c>
      <c r="I1871" t="s">
        <v>7015</v>
      </c>
      <c r="M1871">
        <v>0</v>
      </c>
      <c r="N1871">
        <v>0</v>
      </c>
      <c r="O1871">
        <v>0</v>
      </c>
      <c r="P1871">
        <v>0</v>
      </c>
    </row>
    <row r="1872" spans="1:16" x14ac:dyDescent="0.2">
      <c r="A1872" t="s">
        <v>2761</v>
      </c>
      <c r="B1872" t="s">
        <v>7424</v>
      </c>
      <c r="C1872" t="s">
        <v>2762</v>
      </c>
      <c r="D1872" t="s">
        <v>2502</v>
      </c>
      <c r="E1872" t="s">
        <v>228</v>
      </c>
      <c r="F1872">
        <v>119.99</v>
      </c>
      <c r="G1872" t="s">
        <v>7014</v>
      </c>
      <c r="H1872">
        <v>0</v>
      </c>
      <c r="I1872" t="s">
        <v>7015</v>
      </c>
      <c r="M1872">
        <v>0</v>
      </c>
      <c r="N1872">
        <v>0</v>
      </c>
      <c r="O1872">
        <v>0</v>
      </c>
      <c r="P1872">
        <v>0</v>
      </c>
    </row>
    <row r="1873" spans="1:16" x14ac:dyDescent="0.2">
      <c r="A1873" t="s">
        <v>6858</v>
      </c>
      <c r="B1873" t="s">
        <v>7425</v>
      </c>
      <c r="C1873" t="s">
        <v>6859</v>
      </c>
      <c r="D1873" t="s">
        <v>2987</v>
      </c>
      <c r="E1873" t="s">
        <v>96</v>
      </c>
      <c r="F1873">
        <v>139.99</v>
      </c>
      <c r="G1873" t="s">
        <v>7014</v>
      </c>
      <c r="H1873">
        <v>0</v>
      </c>
      <c r="I1873" t="s">
        <v>7015</v>
      </c>
      <c r="M1873">
        <v>0</v>
      </c>
      <c r="N1873">
        <v>0</v>
      </c>
      <c r="O1873">
        <v>0</v>
      </c>
      <c r="P1873">
        <v>0</v>
      </c>
    </row>
    <row r="1874" spans="1:16" x14ac:dyDescent="0.2">
      <c r="A1874" t="s">
        <v>3365</v>
      </c>
      <c r="B1874" t="s">
        <v>4545</v>
      </c>
      <c r="C1874" t="s">
        <v>3366</v>
      </c>
      <c r="D1874" t="s">
        <v>3268</v>
      </c>
      <c r="E1874" t="s">
        <v>228</v>
      </c>
      <c r="F1874">
        <v>39.99</v>
      </c>
      <c r="G1874" t="s">
        <v>7014</v>
      </c>
      <c r="H1874">
        <v>0</v>
      </c>
      <c r="I1874" t="s">
        <v>7015</v>
      </c>
      <c r="M1874">
        <v>0</v>
      </c>
      <c r="N1874">
        <v>0</v>
      </c>
      <c r="O1874">
        <v>0</v>
      </c>
      <c r="P1874">
        <v>0</v>
      </c>
    </row>
    <row r="1875" spans="1:16" x14ac:dyDescent="0.2">
      <c r="A1875" t="s">
        <v>7426</v>
      </c>
      <c r="B1875" t="s">
        <v>7427</v>
      </c>
      <c r="C1875" t="s">
        <v>7428</v>
      </c>
      <c r="D1875" t="s">
        <v>446</v>
      </c>
      <c r="E1875" t="s">
        <v>96</v>
      </c>
      <c r="F1875">
        <v>39.99</v>
      </c>
      <c r="G1875" t="s">
        <v>7014</v>
      </c>
      <c r="H1875">
        <v>0</v>
      </c>
      <c r="I1875" t="s">
        <v>290</v>
      </c>
      <c r="M1875">
        <v>0</v>
      </c>
      <c r="N1875">
        <v>0</v>
      </c>
      <c r="O1875">
        <v>0</v>
      </c>
      <c r="P1875">
        <v>0</v>
      </c>
    </row>
    <row r="1876" spans="1:16" x14ac:dyDescent="0.2">
      <c r="A1876" t="s">
        <v>3361</v>
      </c>
      <c r="B1876" t="s">
        <v>5249</v>
      </c>
      <c r="C1876" t="s">
        <v>3360</v>
      </c>
      <c r="D1876" t="s">
        <v>3268</v>
      </c>
      <c r="E1876" t="s">
        <v>228</v>
      </c>
      <c r="F1876">
        <v>429.99</v>
      </c>
      <c r="G1876" t="s">
        <v>7014</v>
      </c>
      <c r="H1876">
        <v>0.1111111111111111</v>
      </c>
      <c r="I1876" t="s">
        <v>7015</v>
      </c>
      <c r="M1876">
        <v>9.0000000000000018</v>
      </c>
      <c r="N1876">
        <v>0.33333333333333326</v>
      </c>
      <c r="O1876">
        <v>0</v>
      </c>
      <c r="P1876">
        <v>3</v>
      </c>
    </row>
    <row r="1877" spans="1:16" x14ac:dyDescent="0.2">
      <c r="A1877" t="s">
        <v>3426</v>
      </c>
      <c r="B1877" t="s">
        <v>7429</v>
      </c>
      <c r="C1877" t="s">
        <v>3427</v>
      </c>
      <c r="D1877" t="s">
        <v>297</v>
      </c>
      <c r="E1877" t="s">
        <v>96</v>
      </c>
      <c r="F1877">
        <v>269.99</v>
      </c>
      <c r="G1877" t="s">
        <v>7014</v>
      </c>
      <c r="H1877">
        <v>0</v>
      </c>
      <c r="I1877" t="s">
        <v>290</v>
      </c>
      <c r="M1877">
        <v>0</v>
      </c>
      <c r="N1877">
        <v>0</v>
      </c>
      <c r="O1877">
        <v>0</v>
      </c>
      <c r="P1877">
        <v>0</v>
      </c>
    </row>
    <row r="1878" spans="1:16" x14ac:dyDescent="0.2">
      <c r="A1878" t="s">
        <v>4235</v>
      </c>
      <c r="B1878" t="s">
        <v>7430</v>
      </c>
      <c r="C1878" t="s">
        <v>4236</v>
      </c>
      <c r="D1878" t="s">
        <v>223</v>
      </c>
      <c r="E1878" t="s">
        <v>96</v>
      </c>
      <c r="F1878">
        <v>39.99</v>
      </c>
      <c r="G1878" t="s">
        <v>7014</v>
      </c>
      <c r="H1878">
        <v>0</v>
      </c>
      <c r="I1878" t="s">
        <v>290</v>
      </c>
      <c r="M1878">
        <v>0</v>
      </c>
      <c r="N1878">
        <v>0</v>
      </c>
      <c r="O1878">
        <v>0</v>
      </c>
      <c r="P1878">
        <v>0</v>
      </c>
    </row>
    <row r="1879" spans="1:16" x14ac:dyDescent="0.2">
      <c r="A1879" t="s">
        <v>255</v>
      </c>
      <c r="B1879" t="s">
        <v>7208</v>
      </c>
      <c r="C1879" t="s">
        <v>256</v>
      </c>
      <c r="D1879" t="s">
        <v>223</v>
      </c>
      <c r="E1879" t="s">
        <v>96</v>
      </c>
      <c r="F1879">
        <v>59.99</v>
      </c>
      <c r="G1879" t="s">
        <v>7014</v>
      </c>
      <c r="H1879">
        <v>0</v>
      </c>
      <c r="I1879" t="s">
        <v>7015</v>
      </c>
      <c r="M1879">
        <v>0</v>
      </c>
      <c r="N1879">
        <v>0</v>
      </c>
      <c r="O1879">
        <v>0</v>
      </c>
      <c r="P1879">
        <v>0</v>
      </c>
    </row>
    <row r="1880" spans="1:16" x14ac:dyDescent="0.2">
      <c r="A1880" t="s">
        <v>4242</v>
      </c>
      <c r="B1880" t="s">
        <v>4245</v>
      </c>
      <c r="C1880" t="s">
        <v>4243</v>
      </c>
      <c r="D1880" t="s">
        <v>223</v>
      </c>
      <c r="E1880" t="s">
        <v>96</v>
      </c>
      <c r="F1880">
        <v>42.99</v>
      </c>
      <c r="G1880" t="s">
        <v>7014</v>
      </c>
      <c r="H1880">
        <v>0</v>
      </c>
      <c r="I1880" t="s">
        <v>290</v>
      </c>
      <c r="M1880">
        <v>0</v>
      </c>
      <c r="N1880">
        <v>0</v>
      </c>
      <c r="O1880">
        <v>0</v>
      </c>
      <c r="P1880">
        <v>1</v>
      </c>
    </row>
    <row r="1881" spans="1:16" x14ac:dyDescent="0.2">
      <c r="A1881" t="s">
        <v>3436</v>
      </c>
      <c r="B1881" t="s">
        <v>7431</v>
      </c>
      <c r="C1881" t="s">
        <v>3437</v>
      </c>
      <c r="D1881" t="s">
        <v>297</v>
      </c>
      <c r="E1881" t="s">
        <v>96</v>
      </c>
      <c r="F1881">
        <v>299.99</v>
      </c>
      <c r="G1881" t="s">
        <v>7014</v>
      </c>
      <c r="H1881">
        <v>0</v>
      </c>
      <c r="I1881" t="s">
        <v>290</v>
      </c>
      <c r="M1881">
        <v>0</v>
      </c>
      <c r="N1881">
        <v>0</v>
      </c>
      <c r="O1881">
        <v>0</v>
      </c>
      <c r="P1881">
        <v>0</v>
      </c>
    </row>
    <row r="1882" spans="1:16" x14ac:dyDescent="0.2">
      <c r="A1882" t="s">
        <v>3356</v>
      </c>
      <c r="B1882" t="s">
        <v>5251</v>
      </c>
      <c r="C1882" t="s">
        <v>3357</v>
      </c>
      <c r="D1882" t="s">
        <v>3268</v>
      </c>
      <c r="E1882" t="s">
        <v>228</v>
      </c>
      <c r="F1882">
        <v>429.99</v>
      </c>
      <c r="G1882" t="s">
        <v>7014</v>
      </c>
      <c r="H1882">
        <v>0.10714285714285714</v>
      </c>
      <c r="I1882" t="s">
        <v>7015</v>
      </c>
      <c r="M1882">
        <v>10.499999999999998</v>
      </c>
      <c r="N1882">
        <v>0.66666666666666674</v>
      </c>
      <c r="O1882">
        <v>0</v>
      </c>
      <c r="P1882">
        <v>7</v>
      </c>
    </row>
    <row r="1883" spans="1:16" x14ac:dyDescent="0.2">
      <c r="A1883" t="s">
        <v>3352</v>
      </c>
      <c r="B1883" t="s">
        <v>5227</v>
      </c>
      <c r="C1883" t="s">
        <v>3351</v>
      </c>
      <c r="D1883" t="s">
        <v>3268</v>
      </c>
      <c r="E1883" t="s">
        <v>290</v>
      </c>
      <c r="F1883">
        <v>699.99</v>
      </c>
      <c r="G1883" t="s">
        <v>7014</v>
      </c>
      <c r="H1883">
        <v>-5.5555555555555552E-2</v>
      </c>
      <c r="I1883" t="s">
        <v>7015</v>
      </c>
      <c r="M1883">
        <v>-54</v>
      </c>
      <c r="N1883">
        <v>-0.33333333333333331</v>
      </c>
      <c r="O1883">
        <v>0</v>
      </c>
      <c r="P1883">
        <v>18</v>
      </c>
    </row>
    <row r="1884" spans="1:16" x14ac:dyDescent="0.2">
      <c r="A1884" t="s">
        <v>683</v>
      </c>
      <c r="B1884" t="s">
        <v>5047</v>
      </c>
      <c r="C1884" t="s">
        <v>684</v>
      </c>
      <c r="D1884" t="s">
        <v>446</v>
      </c>
      <c r="E1884" t="s">
        <v>290</v>
      </c>
      <c r="F1884">
        <v>149.99</v>
      </c>
      <c r="G1884" t="s">
        <v>7014</v>
      </c>
      <c r="H1884">
        <v>0</v>
      </c>
      <c r="I1884" t="s">
        <v>7015</v>
      </c>
      <c r="M1884">
        <v>0</v>
      </c>
      <c r="N1884">
        <v>0</v>
      </c>
      <c r="O1884">
        <v>0</v>
      </c>
      <c r="P1884">
        <v>2</v>
      </c>
    </row>
    <row r="1885" spans="1:16" x14ac:dyDescent="0.2">
      <c r="A1885" t="s">
        <v>305</v>
      </c>
      <c r="B1885" t="s">
        <v>7432</v>
      </c>
      <c r="C1885" t="s">
        <v>306</v>
      </c>
      <c r="D1885" t="s">
        <v>304</v>
      </c>
      <c r="E1885" t="s">
        <v>96</v>
      </c>
      <c r="F1885">
        <v>179.99</v>
      </c>
      <c r="G1885" t="s">
        <v>7014</v>
      </c>
      <c r="H1885">
        <v>0</v>
      </c>
      <c r="I1885" t="s">
        <v>7015</v>
      </c>
      <c r="M1885">
        <v>0</v>
      </c>
      <c r="N1885">
        <v>0</v>
      </c>
      <c r="O1885">
        <v>0</v>
      </c>
      <c r="P1885">
        <v>0</v>
      </c>
    </row>
    <row r="1886" spans="1:16" x14ac:dyDescent="0.2">
      <c r="A1886" t="s">
        <v>7433</v>
      </c>
      <c r="B1886" t="s">
        <v>7434</v>
      </c>
      <c r="C1886" t="s">
        <v>7435</v>
      </c>
      <c r="D1886" t="s">
        <v>297</v>
      </c>
      <c r="E1886" t="s">
        <v>96</v>
      </c>
      <c r="F1886">
        <v>89.99</v>
      </c>
      <c r="G1886" t="s">
        <v>7014</v>
      </c>
      <c r="H1886">
        <v>0</v>
      </c>
      <c r="I1886" t="s">
        <v>290</v>
      </c>
      <c r="M1886">
        <v>0</v>
      </c>
      <c r="N1886">
        <v>0</v>
      </c>
      <c r="O1886">
        <v>0</v>
      </c>
      <c r="P1886">
        <v>0</v>
      </c>
    </row>
    <row r="1887" spans="1:16" x14ac:dyDescent="0.2">
      <c r="A1887" t="s">
        <v>7436</v>
      </c>
      <c r="B1887" t="s">
        <v>7432</v>
      </c>
      <c r="C1887" t="s">
        <v>7437</v>
      </c>
      <c r="D1887" t="s">
        <v>304</v>
      </c>
      <c r="E1887" t="s">
        <v>96</v>
      </c>
      <c r="F1887">
        <v>179.99</v>
      </c>
      <c r="G1887" t="s">
        <v>7014</v>
      </c>
      <c r="H1887">
        <v>0</v>
      </c>
      <c r="I1887" t="s">
        <v>7015</v>
      </c>
      <c r="M1887">
        <v>0</v>
      </c>
      <c r="N1887">
        <v>0</v>
      </c>
      <c r="O1887">
        <v>0</v>
      </c>
      <c r="P1887">
        <v>0</v>
      </c>
    </row>
    <row r="1888" spans="1:16" x14ac:dyDescent="0.2">
      <c r="A1888" t="s">
        <v>307</v>
      </c>
      <c r="B1888" t="s">
        <v>7438</v>
      </c>
      <c r="C1888" t="s">
        <v>308</v>
      </c>
      <c r="D1888" t="s">
        <v>304</v>
      </c>
      <c r="E1888" t="s">
        <v>96</v>
      </c>
      <c r="F1888">
        <v>179.99</v>
      </c>
      <c r="G1888" t="s">
        <v>7014</v>
      </c>
      <c r="H1888">
        <v>0</v>
      </c>
      <c r="I1888" t="s">
        <v>7015</v>
      </c>
      <c r="M1888">
        <v>0</v>
      </c>
      <c r="N1888">
        <v>0</v>
      </c>
      <c r="O1888">
        <v>0</v>
      </c>
      <c r="P1888">
        <v>0</v>
      </c>
    </row>
    <row r="1889" spans="1:16" x14ac:dyDescent="0.2">
      <c r="A1889" t="s">
        <v>7080</v>
      </c>
      <c r="B1889" t="s">
        <v>7439</v>
      </c>
      <c r="C1889" t="s">
        <v>7081</v>
      </c>
      <c r="D1889" t="s">
        <v>7082</v>
      </c>
      <c r="E1889" t="s">
        <v>96</v>
      </c>
      <c r="F1889">
        <v>59.99</v>
      </c>
      <c r="G1889" t="s">
        <v>7014</v>
      </c>
      <c r="H1889">
        <v>0</v>
      </c>
      <c r="I1889" t="s">
        <v>290</v>
      </c>
      <c r="M1889">
        <v>0</v>
      </c>
      <c r="N1889">
        <v>0</v>
      </c>
      <c r="O1889">
        <v>0</v>
      </c>
      <c r="P1889">
        <v>0</v>
      </c>
    </row>
    <row r="1890" spans="1:16" x14ac:dyDescent="0.2">
      <c r="A1890" t="s">
        <v>300</v>
      </c>
      <c r="B1890" t="s">
        <v>7440</v>
      </c>
      <c r="C1890" t="s">
        <v>301</v>
      </c>
      <c r="D1890" t="s">
        <v>297</v>
      </c>
      <c r="E1890" t="s">
        <v>290</v>
      </c>
      <c r="F1890">
        <v>54.99</v>
      </c>
      <c r="G1890" t="s">
        <v>7014</v>
      </c>
      <c r="H1890">
        <v>0</v>
      </c>
      <c r="I1890" t="s">
        <v>290</v>
      </c>
      <c r="M1890">
        <v>0</v>
      </c>
      <c r="N1890">
        <v>0</v>
      </c>
      <c r="O1890">
        <v>0</v>
      </c>
      <c r="P1890">
        <v>0</v>
      </c>
    </row>
    <row r="1891" spans="1:16" x14ac:dyDescent="0.2">
      <c r="A1891" t="s">
        <v>3440</v>
      </c>
      <c r="B1891" t="s">
        <v>7441</v>
      </c>
      <c r="C1891" t="s">
        <v>3441</v>
      </c>
      <c r="D1891" t="s">
        <v>297</v>
      </c>
      <c r="E1891" t="s">
        <v>96</v>
      </c>
      <c r="F1891">
        <v>449.99</v>
      </c>
      <c r="G1891" t="s">
        <v>7014</v>
      </c>
      <c r="H1891">
        <v>0</v>
      </c>
      <c r="I1891" t="s">
        <v>290</v>
      </c>
      <c r="M1891">
        <v>0</v>
      </c>
      <c r="N1891">
        <v>0</v>
      </c>
      <c r="O1891">
        <v>0</v>
      </c>
      <c r="P1891">
        <v>0</v>
      </c>
    </row>
    <row r="1892" spans="1:16" x14ac:dyDescent="0.2">
      <c r="A1892" t="s">
        <v>3420</v>
      </c>
      <c r="B1892" t="s">
        <v>7442</v>
      </c>
      <c r="C1892" t="s">
        <v>3421</v>
      </c>
      <c r="D1892" t="s">
        <v>297</v>
      </c>
      <c r="E1892" t="s">
        <v>96</v>
      </c>
      <c r="F1892">
        <v>89.99</v>
      </c>
      <c r="G1892" t="s">
        <v>7014</v>
      </c>
      <c r="H1892">
        <v>0</v>
      </c>
      <c r="I1892" t="s">
        <v>290</v>
      </c>
      <c r="M1892">
        <v>0</v>
      </c>
      <c r="N1892">
        <v>0</v>
      </c>
      <c r="O1892">
        <v>0</v>
      </c>
      <c r="P1892">
        <v>0</v>
      </c>
    </row>
    <row r="1893" spans="1:16" x14ac:dyDescent="0.2">
      <c r="A1893" t="s">
        <v>3429</v>
      </c>
      <c r="B1893" t="s">
        <v>7443</v>
      </c>
      <c r="C1893" t="s">
        <v>3430</v>
      </c>
      <c r="D1893" t="s">
        <v>297</v>
      </c>
      <c r="E1893" t="s">
        <v>96</v>
      </c>
      <c r="F1893">
        <v>99.99</v>
      </c>
      <c r="G1893" t="s">
        <v>7014</v>
      </c>
      <c r="H1893">
        <v>0</v>
      </c>
      <c r="I1893" t="s">
        <v>290</v>
      </c>
      <c r="M1893">
        <v>0</v>
      </c>
      <c r="N1893">
        <v>0</v>
      </c>
      <c r="O1893">
        <v>0</v>
      </c>
      <c r="P1893">
        <v>0</v>
      </c>
    </row>
    <row r="1894" spans="1:16" x14ac:dyDescent="0.2">
      <c r="A1894" t="s">
        <v>3347</v>
      </c>
      <c r="B1894" t="s">
        <v>5221</v>
      </c>
      <c r="C1894" t="s">
        <v>3348</v>
      </c>
      <c r="D1894" t="s">
        <v>3268</v>
      </c>
      <c r="E1894" t="s">
        <v>290</v>
      </c>
      <c r="F1894">
        <v>499.99</v>
      </c>
      <c r="G1894" t="s">
        <v>7014</v>
      </c>
      <c r="H1894">
        <v>-9.2592592592592587E-3</v>
      </c>
      <c r="I1894" t="s">
        <v>7015</v>
      </c>
      <c r="M1894">
        <v>0</v>
      </c>
      <c r="N1894">
        <v>0</v>
      </c>
      <c r="O1894">
        <v>0</v>
      </c>
      <c r="P1894">
        <v>9</v>
      </c>
    </row>
    <row r="1895" spans="1:16" x14ac:dyDescent="0.2">
      <c r="A1895" t="s">
        <v>4246</v>
      </c>
      <c r="B1895" t="s">
        <v>7444</v>
      </c>
      <c r="C1895" t="s">
        <v>4247</v>
      </c>
      <c r="D1895" t="s">
        <v>223</v>
      </c>
      <c r="E1895" t="s">
        <v>96</v>
      </c>
      <c r="F1895">
        <v>42.99</v>
      </c>
      <c r="G1895" t="s">
        <v>7014</v>
      </c>
      <c r="H1895">
        <v>0</v>
      </c>
      <c r="I1895" t="s">
        <v>7015</v>
      </c>
      <c r="M1895">
        <v>0</v>
      </c>
      <c r="N1895">
        <v>0</v>
      </c>
      <c r="O1895">
        <v>0</v>
      </c>
      <c r="P1895">
        <v>0</v>
      </c>
    </row>
    <row r="1896" spans="1:16" x14ac:dyDescent="0.2">
      <c r="A1896" t="s">
        <v>3423</v>
      </c>
      <c r="B1896" t="s">
        <v>7445</v>
      </c>
      <c r="C1896" t="s">
        <v>3424</v>
      </c>
      <c r="D1896" t="s">
        <v>297</v>
      </c>
      <c r="E1896" t="s">
        <v>96</v>
      </c>
      <c r="F1896">
        <v>59.99</v>
      </c>
      <c r="G1896" t="s">
        <v>7014</v>
      </c>
      <c r="H1896">
        <v>0</v>
      </c>
      <c r="I1896" t="s">
        <v>290</v>
      </c>
      <c r="M1896">
        <v>0</v>
      </c>
      <c r="N1896">
        <v>0</v>
      </c>
      <c r="O1896">
        <v>0</v>
      </c>
      <c r="P1896">
        <v>0</v>
      </c>
    </row>
    <row r="1897" spans="1:16" x14ac:dyDescent="0.2">
      <c r="A1897" t="s">
        <v>273</v>
      </c>
      <c r="B1897" t="s">
        <v>4304</v>
      </c>
      <c r="C1897" t="s">
        <v>274</v>
      </c>
      <c r="D1897" t="s">
        <v>223</v>
      </c>
      <c r="E1897" t="s">
        <v>228</v>
      </c>
      <c r="F1897">
        <v>59.99</v>
      </c>
      <c r="G1897" t="s">
        <v>7014</v>
      </c>
      <c r="H1897">
        <v>-8.3333333333333329E-2</v>
      </c>
      <c r="I1897" t="s">
        <v>7015</v>
      </c>
      <c r="M1897">
        <v>-6.0000000000000018</v>
      </c>
      <c r="N1897">
        <v>-0.16666666666666663</v>
      </c>
      <c r="O1897">
        <v>0</v>
      </c>
      <c r="P1897">
        <v>1</v>
      </c>
    </row>
    <row r="1898" spans="1:16" x14ac:dyDescent="0.2">
      <c r="A1898" t="s">
        <v>4300</v>
      </c>
      <c r="B1898" t="s">
        <v>7446</v>
      </c>
      <c r="C1898" t="s">
        <v>4301</v>
      </c>
      <c r="D1898" t="s">
        <v>223</v>
      </c>
      <c r="E1898" t="s">
        <v>96</v>
      </c>
      <c r="F1898">
        <v>54.99</v>
      </c>
      <c r="G1898" t="s">
        <v>7014</v>
      </c>
      <c r="H1898">
        <v>0</v>
      </c>
      <c r="I1898" t="s">
        <v>290</v>
      </c>
      <c r="M1898">
        <v>0</v>
      </c>
      <c r="N1898">
        <v>0</v>
      </c>
      <c r="O1898">
        <v>0</v>
      </c>
      <c r="P1898">
        <v>0</v>
      </c>
    </row>
    <row r="1899" spans="1:16" x14ac:dyDescent="0.2">
      <c r="A1899" t="s">
        <v>4294</v>
      </c>
      <c r="B1899" t="s">
        <v>7447</v>
      </c>
      <c r="C1899" t="s">
        <v>4295</v>
      </c>
      <c r="D1899" t="s">
        <v>223</v>
      </c>
      <c r="E1899" t="s">
        <v>96</v>
      </c>
      <c r="F1899">
        <v>54.99</v>
      </c>
      <c r="G1899" t="s">
        <v>7014</v>
      </c>
      <c r="H1899">
        <v>0</v>
      </c>
      <c r="I1899" t="s">
        <v>290</v>
      </c>
      <c r="M1899">
        <v>0</v>
      </c>
      <c r="N1899">
        <v>0</v>
      </c>
      <c r="O1899">
        <v>0</v>
      </c>
      <c r="P1899">
        <v>0</v>
      </c>
    </row>
    <row r="1900" spans="1:16" x14ac:dyDescent="0.2">
      <c r="A1900" t="s">
        <v>4314</v>
      </c>
      <c r="B1900" t="s">
        <v>7448</v>
      </c>
      <c r="C1900" t="s">
        <v>4315</v>
      </c>
      <c r="D1900" t="s">
        <v>223</v>
      </c>
      <c r="E1900" t="s">
        <v>96</v>
      </c>
      <c r="F1900">
        <v>149.99</v>
      </c>
      <c r="G1900" t="s">
        <v>7014</v>
      </c>
      <c r="H1900">
        <v>0</v>
      </c>
      <c r="I1900" t="s">
        <v>290</v>
      </c>
      <c r="M1900">
        <v>0</v>
      </c>
      <c r="N1900">
        <v>0</v>
      </c>
      <c r="O1900">
        <v>0</v>
      </c>
      <c r="P1900">
        <v>0</v>
      </c>
    </row>
    <row r="1901" spans="1:16" x14ac:dyDescent="0.2">
      <c r="A1901" t="s">
        <v>265</v>
      </c>
      <c r="B1901" t="s">
        <v>4293</v>
      </c>
      <c r="C1901" t="s">
        <v>266</v>
      </c>
      <c r="D1901" t="s">
        <v>223</v>
      </c>
      <c r="E1901" t="s">
        <v>96</v>
      </c>
      <c r="F1901">
        <v>22.99</v>
      </c>
      <c r="G1901" t="s">
        <v>7014</v>
      </c>
      <c r="H1901">
        <v>0</v>
      </c>
      <c r="I1901" t="s">
        <v>7015</v>
      </c>
      <c r="M1901">
        <v>0</v>
      </c>
      <c r="N1901">
        <v>0</v>
      </c>
      <c r="O1901">
        <v>0</v>
      </c>
      <c r="P1901">
        <v>6</v>
      </c>
    </row>
    <row r="1902" spans="1:16" x14ac:dyDescent="0.2">
      <c r="A1902" t="s">
        <v>7449</v>
      </c>
      <c r="B1902" t="s">
        <v>7450</v>
      </c>
      <c r="C1902" t="s">
        <v>7451</v>
      </c>
      <c r="D1902" t="s">
        <v>446</v>
      </c>
      <c r="E1902" t="s">
        <v>290</v>
      </c>
      <c r="F1902">
        <v>39.99</v>
      </c>
      <c r="G1902" t="s">
        <v>7014</v>
      </c>
      <c r="H1902">
        <v>0</v>
      </c>
      <c r="I1902" t="s">
        <v>290</v>
      </c>
      <c r="M1902">
        <v>0</v>
      </c>
      <c r="N1902">
        <v>0</v>
      </c>
      <c r="O1902">
        <v>0</v>
      </c>
      <c r="P1902">
        <v>0</v>
      </c>
    </row>
    <row r="1903" spans="1:16" x14ac:dyDescent="0.2">
      <c r="A1903" t="s">
        <v>3057</v>
      </c>
      <c r="B1903" t="s">
        <v>6937</v>
      </c>
      <c r="C1903" t="s">
        <v>3058</v>
      </c>
      <c r="D1903" t="s">
        <v>2987</v>
      </c>
      <c r="E1903" t="s">
        <v>228</v>
      </c>
      <c r="F1903">
        <v>139.99</v>
      </c>
      <c r="G1903" t="s">
        <v>7014</v>
      </c>
      <c r="H1903">
        <v>2.7777777777777776E-2</v>
      </c>
      <c r="I1903" t="s">
        <v>7015</v>
      </c>
      <c r="M1903">
        <v>0</v>
      </c>
      <c r="N1903">
        <v>0</v>
      </c>
      <c r="O1903">
        <v>0</v>
      </c>
      <c r="P1903">
        <v>6</v>
      </c>
    </row>
    <row r="1904" spans="1:16" x14ac:dyDescent="0.2">
      <c r="A1904" t="s">
        <v>3041</v>
      </c>
      <c r="B1904" t="s">
        <v>6525</v>
      </c>
      <c r="C1904" t="s">
        <v>3042</v>
      </c>
      <c r="D1904" t="s">
        <v>2987</v>
      </c>
      <c r="E1904" t="s">
        <v>228</v>
      </c>
      <c r="F1904">
        <v>79.989999999999995</v>
      </c>
      <c r="G1904" t="s">
        <v>7014</v>
      </c>
      <c r="H1904">
        <v>8.3333333333333329E-2</v>
      </c>
      <c r="I1904" t="s">
        <v>7015</v>
      </c>
      <c r="M1904">
        <v>0</v>
      </c>
      <c r="N1904">
        <v>0</v>
      </c>
      <c r="O1904">
        <v>0</v>
      </c>
      <c r="P1904">
        <v>1</v>
      </c>
    </row>
    <row r="1905" spans="1:16" x14ac:dyDescent="0.2">
      <c r="A1905" t="s">
        <v>6595</v>
      </c>
      <c r="B1905" t="s">
        <v>7452</v>
      </c>
      <c r="C1905" t="s">
        <v>6596</v>
      </c>
      <c r="D1905" t="s">
        <v>2987</v>
      </c>
      <c r="E1905" t="s">
        <v>96</v>
      </c>
      <c r="F1905">
        <v>59.99</v>
      </c>
      <c r="G1905" t="s">
        <v>7014</v>
      </c>
      <c r="H1905">
        <v>0</v>
      </c>
      <c r="I1905" t="s">
        <v>7015</v>
      </c>
      <c r="M1905">
        <v>0</v>
      </c>
      <c r="N1905">
        <v>0</v>
      </c>
      <c r="O1905">
        <v>0</v>
      </c>
      <c r="P1905">
        <v>0</v>
      </c>
    </row>
    <row r="1906" spans="1:16" x14ac:dyDescent="0.2">
      <c r="A1906" t="s">
        <v>6574</v>
      </c>
      <c r="B1906" t="s">
        <v>6577</v>
      </c>
      <c r="C1906" t="s">
        <v>6575</v>
      </c>
      <c r="D1906" t="s">
        <v>2987</v>
      </c>
      <c r="E1906" t="s">
        <v>290</v>
      </c>
      <c r="F1906">
        <v>129.99</v>
      </c>
      <c r="G1906" t="s">
        <v>7014</v>
      </c>
      <c r="H1906">
        <v>0</v>
      </c>
      <c r="I1906" t="s">
        <v>7015</v>
      </c>
      <c r="M1906">
        <v>0</v>
      </c>
      <c r="N1906">
        <v>0</v>
      </c>
      <c r="O1906">
        <v>0</v>
      </c>
      <c r="P1906">
        <v>0</v>
      </c>
    </row>
    <row r="1907" spans="1:16" x14ac:dyDescent="0.2">
      <c r="A1907" t="s">
        <v>6869</v>
      </c>
      <c r="B1907" t="s">
        <v>6872</v>
      </c>
      <c r="C1907" t="s">
        <v>6870</v>
      </c>
      <c r="D1907" t="s">
        <v>2987</v>
      </c>
      <c r="E1907" t="s">
        <v>96</v>
      </c>
      <c r="F1907">
        <v>139.99</v>
      </c>
      <c r="G1907" t="s">
        <v>7014</v>
      </c>
      <c r="H1907">
        <v>0</v>
      </c>
      <c r="I1907" t="s">
        <v>7015</v>
      </c>
      <c r="M1907">
        <v>0</v>
      </c>
      <c r="N1907">
        <v>0</v>
      </c>
      <c r="O1907">
        <v>0</v>
      </c>
      <c r="P1907">
        <v>0</v>
      </c>
    </row>
    <row r="1908" spans="1:16" x14ac:dyDescent="0.2">
      <c r="A1908" t="s">
        <v>275</v>
      </c>
      <c r="B1908" t="s">
        <v>4311</v>
      </c>
      <c r="C1908" t="s">
        <v>276</v>
      </c>
      <c r="D1908" t="s">
        <v>223</v>
      </c>
      <c r="E1908" t="s">
        <v>228</v>
      </c>
      <c r="F1908">
        <v>59.99</v>
      </c>
      <c r="G1908" t="s">
        <v>7014</v>
      </c>
      <c r="H1908">
        <v>0</v>
      </c>
      <c r="I1908" t="s">
        <v>7015</v>
      </c>
      <c r="M1908">
        <v>0</v>
      </c>
      <c r="N1908">
        <v>0</v>
      </c>
      <c r="O1908">
        <v>0</v>
      </c>
      <c r="P1908">
        <v>1</v>
      </c>
    </row>
    <row r="1909" spans="1:16" x14ac:dyDescent="0.2">
      <c r="A1909" t="s">
        <v>277</v>
      </c>
      <c r="B1909" t="s">
        <v>4318</v>
      </c>
      <c r="C1909" t="s">
        <v>278</v>
      </c>
      <c r="D1909" t="s">
        <v>223</v>
      </c>
      <c r="E1909" t="s">
        <v>228</v>
      </c>
      <c r="F1909">
        <v>27.99</v>
      </c>
      <c r="G1909" t="s">
        <v>7014</v>
      </c>
      <c r="H1909">
        <v>0</v>
      </c>
      <c r="I1909" t="s">
        <v>7015</v>
      </c>
      <c r="M1909">
        <v>0</v>
      </c>
      <c r="N1909">
        <v>0</v>
      </c>
      <c r="O1909">
        <v>0</v>
      </c>
      <c r="P1909">
        <v>4</v>
      </c>
    </row>
    <row r="1910" spans="1:16" x14ac:dyDescent="0.2">
      <c r="A1910" t="s">
        <v>6840</v>
      </c>
      <c r="B1910" t="s">
        <v>6843</v>
      </c>
      <c r="C1910" t="s">
        <v>6841</v>
      </c>
      <c r="D1910" t="s">
        <v>2987</v>
      </c>
      <c r="E1910" t="s">
        <v>96</v>
      </c>
      <c r="F1910">
        <v>159.99</v>
      </c>
      <c r="G1910" t="s">
        <v>7014</v>
      </c>
      <c r="H1910">
        <v>0</v>
      </c>
      <c r="I1910" t="s">
        <v>7015</v>
      </c>
      <c r="M1910">
        <v>0</v>
      </c>
      <c r="N1910">
        <v>0</v>
      </c>
      <c r="O1910">
        <v>0</v>
      </c>
      <c r="P1910">
        <v>1</v>
      </c>
    </row>
    <row r="1911" spans="1:16" x14ac:dyDescent="0.2">
      <c r="A1911" t="s">
        <v>281</v>
      </c>
      <c r="B1911" t="s">
        <v>4347</v>
      </c>
      <c r="C1911" t="s">
        <v>282</v>
      </c>
      <c r="D1911" t="s">
        <v>223</v>
      </c>
      <c r="E1911" t="s">
        <v>228</v>
      </c>
      <c r="F1911">
        <v>29.99</v>
      </c>
      <c r="G1911" t="s">
        <v>7014</v>
      </c>
      <c r="H1911">
        <v>0</v>
      </c>
      <c r="I1911" t="s">
        <v>7015</v>
      </c>
      <c r="M1911">
        <v>0</v>
      </c>
      <c r="N1911">
        <v>0.16666666666666663</v>
      </c>
      <c r="O1911">
        <v>0</v>
      </c>
      <c r="P1911">
        <v>0</v>
      </c>
    </row>
    <row r="1912" spans="1:16" x14ac:dyDescent="0.2">
      <c r="A1912" t="s">
        <v>239</v>
      </c>
      <c r="B1912" t="s">
        <v>7453</v>
      </c>
      <c r="C1912" t="s">
        <v>240</v>
      </c>
      <c r="D1912" t="s">
        <v>223</v>
      </c>
      <c r="E1912" t="s">
        <v>96</v>
      </c>
      <c r="F1912">
        <v>109.99</v>
      </c>
      <c r="G1912" t="s">
        <v>7014</v>
      </c>
      <c r="H1912">
        <v>0</v>
      </c>
      <c r="I1912" t="s">
        <v>290</v>
      </c>
      <c r="M1912">
        <v>0</v>
      </c>
      <c r="N1912">
        <v>0</v>
      </c>
      <c r="O1912">
        <v>0</v>
      </c>
      <c r="P1912">
        <v>0</v>
      </c>
    </row>
    <row r="1913" spans="1:16" x14ac:dyDescent="0.2">
      <c r="A1913" t="s">
        <v>279</v>
      </c>
      <c r="B1913" t="s">
        <v>4258</v>
      </c>
      <c r="C1913" t="s">
        <v>280</v>
      </c>
      <c r="D1913" t="s">
        <v>223</v>
      </c>
      <c r="E1913" t="s">
        <v>228</v>
      </c>
      <c r="F1913">
        <v>24.99</v>
      </c>
      <c r="G1913" t="s">
        <v>7014</v>
      </c>
      <c r="H1913">
        <v>0</v>
      </c>
      <c r="I1913" t="s">
        <v>7015</v>
      </c>
      <c r="M1913">
        <v>0</v>
      </c>
      <c r="N1913">
        <v>0</v>
      </c>
      <c r="O1913">
        <v>0</v>
      </c>
      <c r="P1913">
        <v>5</v>
      </c>
    </row>
    <row r="1914" spans="1:16" x14ac:dyDescent="0.2">
      <c r="A1914" t="s">
        <v>237</v>
      </c>
      <c r="B1914" t="s">
        <v>4222</v>
      </c>
      <c r="C1914" t="s">
        <v>238</v>
      </c>
      <c r="D1914" t="s">
        <v>223</v>
      </c>
      <c r="E1914" t="s">
        <v>96</v>
      </c>
      <c r="F1914">
        <v>109.99</v>
      </c>
      <c r="G1914" t="s">
        <v>7014</v>
      </c>
      <c r="H1914">
        <v>0</v>
      </c>
      <c r="I1914" t="s">
        <v>290</v>
      </c>
      <c r="M1914">
        <v>0</v>
      </c>
      <c r="N1914">
        <v>0</v>
      </c>
      <c r="O1914">
        <v>0</v>
      </c>
      <c r="P1914">
        <v>0</v>
      </c>
    </row>
    <row r="1915" spans="1:16" x14ac:dyDescent="0.2">
      <c r="A1915" t="s">
        <v>231</v>
      </c>
      <c r="B1915" t="s">
        <v>4220</v>
      </c>
      <c r="C1915" t="s">
        <v>232</v>
      </c>
      <c r="D1915" t="s">
        <v>223</v>
      </c>
      <c r="E1915" t="s">
        <v>96</v>
      </c>
      <c r="F1915">
        <v>109.99</v>
      </c>
      <c r="G1915" t="s">
        <v>7014</v>
      </c>
      <c r="H1915">
        <v>9.2592592592592587E-3</v>
      </c>
      <c r="I1915" t="s">
        <v>7015</v>
      </c>
      <c r="M1915">
        <v>108.00000000000003</v>
      </c>
      <c r="N1915">
        <v>0.16666666666666663</v>
      </c>
      <c r="O1915">
        <v>0</v>
      </c>
      <c r="P1915">
        <v>18</v>
      </c>
    </row>
    <row r="1916" spans="1:16" x14ac:dyDescent="0.2">
      <c r="A1916" t="s">
        <v>7100</v>
      </c>
      <c r="B1916" t="s">
        <v>7454</v>
      </c>
      <c r="C1916" t="s">
        <v>7101</v>
      </c>
      <c r="D1916" t="s">
        <v>223</v>
      </c>
      <c r="E1916" t="s">
        <v>96</v>
      </c>
      <c r="F1916">
        <v>22.99</v>
      </c>
      <c r="G1916" t="s">
        <v>7014</v>
      </c>
      <c r="H1916">
        <v>0</v>
      </c>
      <c r="I1916" t="s">
        <v>7015</v>
      </c>
      <c r="M1916">
        <v>0</v>
      </c>
      <c r="N1916">
        <v>0</v>
      </c>
      <c r="O1916">
        <v>0</v>
      </c>
      <c r="P1916">
        <v>0</v>
      </c>
    </row>
    <row r="1917" spans="1:16" x14ac:dyDescent="0.2">
      <c r="A1917" t="s">
        <v>4224</v>
      </c>
      <c r="B1917" t="s">
        <v>7455</v>
      </c>
      <c r="C1917" t="s">
        <v>4225</v>
      </c>
      <c r="D1917" t="s">
        <v>223</v>
      </c>
      <c r="E1917" t="s">
        <v>96</v>
      </c>
      <c r="F1917">
        <v>109.99</v>
      </c>
      <c r="G1917" t="s">
        <v>7014</v>
      </c>
      <c r="H1917">
        <v>0</v>
      </c>
      <c r="I1917" t="s">
        <v>290</v>
      </c>
      <c r="M1917">
        <v>0</v>
      </c>
      <c r="N1917">
        <v>0</v>
      </c>
      <c r="O1917">
        <v>0</v>
      </c>
      <c r="P1917">
        <v>0</v>
      </c>
    </row>
    <row r="1918" spans="1:16" x14ac:dyDescent="0.2">
      <c r="A1918" t="s">
        <v>261</v>
      </c>
      <c r="B1918" t="s">
        <v>4266</v>
      </c>
      <c r="C1918" t="s">
        <v>262</v>
      </c>
      <c r="D1918" t="s">
        <v>223</v>
      </c>
      <c r="E1918" t="s">
        <v>96</v>
      </c>
      <c r="F1918">
        <v>79.989999999999995</v>
      </c>
      <c r="G1918" t="s">
        <v>7014</v>
      </c>
      <c r="H1918">
        <v>0</v>
      </c>
      <c r="I1918" t="s">
        <v>7015</v>
      </c>
      <c r="M1918">
        <v>0</v>
      </c>
      <c r="N1918">
        <v>0</v>
      </c>
      <c r="O1918">
        <v>0</v>
      </c>
      <c r="P1918">
        <v>5</v>
      </c>
    </row>
    <row r="1919" spans="1:16" x14ac:dyDescent="0.2">
      <c r="A1919" t="s">
        <v>4283</v>
      </c>
      <c r="B1919" t="s">
        <v>7456</v>
      </c>
      <c r="C1919" t="s">
        <v>4284</v>
      </c>
      <c r="D1919" t="s">
        <v>223</v>
      </c>
      <c r="E1919" t="s">
        <v>96</v>
      </c>
      <c r="F1919">
        <v>79.989999999999995</v>
      </c>
      <c r="G1919" t="s">
        <v>7014</v>
      </c>
      <c r="H1919">
        <v>0</v>
      </c>
      <c r="I1919" t="s">
        <v>290</v>
      </c>
      <c r="M1919">
        <v>0</v>
      </c>
      <c r="N1919">
        <v>0</v>
      </c>
      <c r="O1919">
        <v>0</v>
      </c>
      <c r="P1919">
        <v>0</v>
      </c>
    </row>
    <row r="1920" spans="1:16" x14ac:dyDescent="0.2">
      <c r="A1920" t="s">
        <v>229</v>
      </c>
      <c r="B1920" t="s">
        <v>4232</v>
      </c>
      <c r="C1920" t="s">
        <v>230</v>
      </c>
      <c r="D1920" t="s">
        <v>223</v>
      </c>
      <c r="E1920" t="s">
        <v>228</v>
      </c>
      <c r="F1920">
        <v>119.99</v>
      </c>
      <c r="G1920" t="s">
        <v>7014</v>
      </c>
      <c r="H1920">
        <v>0</v>
      </c>
      <c r="I1920" t="s">
        <v>7015</v>
      </c>
      <c r="M1920">
        <v>0</v>
      </c>
      <c r="N1920">
        <v>0</v>
      </c>
      <c r="O1920">
        <v>0</v>
      </c>
      <c r="P1920">
        <v>0</v>
      </c>
    </row>
    <row r="1921" spans="1:16" x14ac:dyDescent="0.2">
      <c r="A1921" t="s">
        <v>263</v>
      </c>
      <c r="B1921" t="s">
        <v>4287</v>
      </c>
      <c r="C1921" t="s">
        <v>264</v>
      </c>
      <c r="D1921" t="s">
        <v>223</v>
      </c>
      <c r="E1921" t="s">
        <v>96</v>
      </c>
      <c r="F1921">
        <v>119.99</v>
      </c>
      <c r="G1921" t="s">
        <v>7014</v>
      </c>
      <c r="H1921">
        <v>0</v>
      </c>
      <c r="I1921" t="s">
        <v>7015</v>
      </c>
      <c r="M1921">
        <v>0</v>
      </c>
      <c r="N1921">
        <v>0</v>
      </c>
      <c r="O1921">
        <v>0</v>
      </c>
      <c r="P1921">
        <v>6</v>
      </c>
    </row>
    <row r="1922" spans="1:16" x14ac:dyDescent="0.2">
      <c r="A1922" t="s">
        <v>298</v>
      </c>
      <c r="B1922" t="s">
        <v>7457</v>
      </c>
      <c r="C1922" t="s">
        <v>299</v>
      </c>
      <c r="D1922" t="s">
        <v>297</v>
      </c>
      <c r="E1922" t="s">
        <v>290</v>
      </c>
      <c r="F1922">
        <v>54.99</v>
      </c>
      <c r="G1922" t="s">
        <v>7014</v>
      </c>
      <c r="H1922">
        <v>0</v>
      </c>
      <c r="I1922" t="s">
        <v>290</v>
      </c>
      <c r="M1922">
        <v>0</v>
      </c>
      <c r="N1922">
        <v>0</v>
      </c>
      <c r="O1922">
        <v>0</v>
      </c>
      <c r="P1922">
        <v>0</v>
      </c>
    </row>
    <row r="1923" spans="1:16" x14ac:dyDescent="0.2">
      <c r="A1923" t="s">
        <v>3433</v>
      </c>
      <c r="B1923" t="s">
        <v>7458</v>
      </c>
      <c r="C1923" t="s">
        <v>3434</v>
      </c>
      <c r="D1923" t="s">
        <v>297</v>
      </c>
      <c r="E1923" t="s">
        <v>96</v>
      </c>
      <c r="F1923">
        <v>319.99</v>
      </c>
      <c r="G1923" t="s">
        <v>7014</v>
      </c>
      <c r="H1923">
        <v>0</v>
      </c>
      <c r="I1923" t="s">
        <v>290</v>
      </c>
      <c r="M1923">
        <v>0</v>
      </c>
      <c r="N1923">
        <v>0</v>
      </c>
      <c r="O1923">
        <v>0</v>
      </c>
      <c r="P1923">
        <v>0</v>
      </c>
    </row>
    <row r="1924" spans="1:16" x14ac:dyDescent="0.2">
      <c r="A1924" t="s">
        <v>295</v>
      </c>
      <c r="B1924" t="s">
        <v>7459</v>
      </c>
      <c r="C1924" t="s">
        <v>296</v>
      </c>
      <c r="D1924" t="s">
        <v>287</v>
      </c>
      <c r="E1924" t="s">
        <v>290</v>
      </c>
      <c r="F1924">
        <v>329.99</v>
      </c>
      <c r="G1924" t="s">
        <v>7014</v>
      </c>
      <c r="H1924">
        <v>0</v>
      </c>
      <c r="I1924" t="s">
        <v>7015</v>
      </c>
      <c r="M1924">
        <v>0</v>
      </c>
      <c r="N1924">
        <v>0</v>
      </c>
      <c r="O1924">
        <v>0</v>
      </c>
      <c r="P1924">
        <v>0</v>
      </c>
    </row>
    <row r="1925" spans="1:16" x14ac:dyDescent="0.2">
      <c r="A1925" t="s">
        <v>293</v>
      </c>
      <c r="B1925" t="s">
        <v>4362</v>
      </c>
      <c r="C1925" t="s">
        <v>294</v>
      </c>
      <c r="D1925" t="s">
        <v>287</v>
      </c>
      <c r="E1925" t="s">
        <v>290</v>
      </c>
      <c r="F1925">
        <v>129.99</v>
      </c>
      <c r="G1925" t="s">
        <v>7014</v>
      </c>
      <c r="H1925">
        <v>0</v>
      </c>
      <c r="I1925" t="s">
        <v>7015</v>
      </c>
      <c r="M1925">
        <v>0</v>
      </c>
      <c r="N1925">
        <v>0</v>
      </c>
      <c r="O1925">
        <v>0</v>
      </c>
      <c r="P1925">
        <v>3</v>
      </c>
    </row>
    <row r="1926" spans="1:16" x14ac:dyDescent="0.2">
      <c r="A1926" t="s">
        <v>291</v>
      </c>
      <c r="B1926" t="s">
        <v>4366</v>
      </c>
      <c r="C1926" t="s">
        <v>292</v>
      </c>
      <c r="D1926" t="s">
        <v>287</v>
      </c>
      <c r="E1926" t="s">
        <v>290</v>
      </c>
      <c r="F1926">
        <v>329.99</v>
      </c>
      <c r="G1926" t="s">
        <v>7014</v>
      </c>
      <c r="H1926">
        <v>0</v>
      </c>
      <c r="I1926" t="s">
        <v>7015</v>
      </c>
      <c r="M1926">
        <v>0</v>
      </c>
      <c r="N1926">
        <v>0</v>
      </c>
      <c r="O1926">
        <v>0</v>
      </c>
      <c r="P1926">
        <v>0</v>
      </c>
    </row>
    <row r="1927" spans="1:16" x14ac:dyDescent="0.2">
      <c r="A1927" t="s">
        <v>288</v>
      </c>
      <c r="B1927" t="s">
        <v>4364</v>
      </c>
      <c r="C1927" t="s">
        <v>289</v>
      </c>
      <c r="D1927" t="s">
        <v>287</v>
      </c>
      <c r="E1927" t="s">
        <v>290</v>
      </c>
      <c r="F1927">
        <v>399.99</v>
      </c>
      <c r="G1927" t="s">
        <v>7014</v>
      </c>
      <c r="H1927">
        <v>0</v>
      </c>
      <c r="I1927" t="s">
        <v>7015</v>
      </c>
      <c r="M1927">
        <v>0</v>
      </c>
      <c r="N1927">
        <v>0</v>
      </c>
      <c r="O1927">
        <v>0</v>
      </c>
      <c r="P1927">
        <v>0</v>
      </c>
    </row>
    <row r="1928" spans="1:16" x14ac:dyDescent="0.2">
      <c r="A1928" t="s">
        <v>2401</v>
      </c>
      <c r="B1928" t="s">
        <v>97</v>
      </c>
      <c r="C1928" t="s">
        <v>2402</v>
      </c>
      <c r="D1928" t="s">
        <v>2374</v>
      </c>
      <c r="E1928" t="s">
        <v>290</v>
      </c>
      <c r="F1928">
        <v>199.99</v>
      </c>
      <c r="G1928" t="s">
        <v>7032</v>
      </c>
      <c r="H1928">
        <v>0</v>
      </c>
      <c r="M1928">
        <v>0</v>
      </c>
      <c r="N1928">
        <v>0</v>
      </c>
      <c r="O1928">
        <v>0</v>
      </c>
      <c r="P1928">
        <v>0</v>
      </c>
    </row>
    <row r="1929" spans="1:16" x14ac:dyDescent="0.2">
      <c r="A1929" t="s">
        <v>7218</v>
      </c>
      <c r="B1929" t="s">
        <v>97</v>
      </c>
      <c r="C1929" t="s">
        <v>7220</v>
      </c>
      <c r="D1929" t="s">
        <v>2411</v>
      </c>
      <c r="E1929" t="s">
        <v>96</v>
      </c>
      <c r="F1929">
        <v>39.99</v>
      </c>
      <c r="G1929" t="s">
        <v>7032</v>
      </c>
      <c r="H1929">
        <v>0</v>
      </c>
      <c r="M1929">
        <v>0</v>
      </c>
      <c r="N1929">
        <v>0</v>
      </c>
      <c r="O1929">
        <v>0</v>
      </c>
      <c r="P1929">
        <v>0</v>
      </c>
    </row>
    <row r="1930" spans="1:16" x14ac:dyDescent="0.2">
      <c r="A1930" t="s">
        <v>7215</v>
      </c>
      <c r="B1930" t="s">
        <v>97</v>
      </c>
      <c r="C1930" t="s">
        <v>7217</v>
      </c>
      <c r="D1930" t="s">
        <v>2411</v>
      </c>
      <c r="E1930" t="s">
        <v>96</v>
      </c>
      <c r="F1930">
        <v>49.99</v>
      </c>
      <c r="G1930" t="s">
        <v>7032</v>
      </c>
      <c r="H1930">
        <v>0</v>
      </c>
      <c r="M1930">
        <v>0</v>
      </c>
      <c r="N1930">
        <v>0</v>
      </c>
      <c r="O1930">
        <v>0</v>
      </c>
      <c r="P1930">
        <v>8</v>
      </c>
    </row>
    <row r="1931" spans="1:16" x14ac:dyDescent="0.2">
      <c r="A1931" t="s">
        <v>3690</v>
      </c>
      <c r="B1931" t="s">
        <v>97</v>
      </c>
      <c r="C1931" t="s">
        <v>3691</v>
      </c>
      <c r="D1931" t="s">
        <v>2425</v>
      </c>
      <c r="E1931" t="s">
        <v>96</v>
      </c>
      <c r="F1931">
        <v>69.989999999999995</v>
      </c>
      <c r="G1931" t="s">
        <v>7032</v>
      </c>
      <c r="H1931">
        <v>0</v>
      </c>
      <c r="M1931">
        <v>0</v>
      </c>
      <c r="N1931">
        <v>0</v>
      </c>
      <c r="O1931">
        <v>0</v>
      </c>
      <c r="P1931">
        <v>0</v>
      </c>
    </row>
    <row r="1932" spans="1:16" x14ac:dyDescent="0.2">
      <c r="A1932" t="s">
        <v>3651</v>
      </c>
      <c r="B1932" t="s">
        <v>97</v>
      </c>
      <c r="C1932" t="s">
        <v>3652</v>
      </c>
      <c r="D1932" t="s">
        <v>2425</v>
      </c>
      <c r="E1932" t="s">
        <v>290</v>
      </c>
      <c r="F1932">
        <v>109.99</v>
      </c>
      <c r="G1932" t="s">
        <v>7032</v>
      </c>
      <c r="H1932">
        <v>0</v>
      </c>
      <c r="M1932">
        <v>0</v>
      </c>
      <c r="N1932">
        <v>0</v>
      </c>
      <c r="O1932">
        <v>0</v>
      </c>
      <c r="P1932">
        <v>0</v>
      </c>
    </row>
    <row r="1933" spans="1:16" x14ac:dyDescent="0.2">
      <c r="A1933" t="s">
        <v>7235</v>
      </c>
      <c r="B1933" t="s">
        <v>97</v>
      </c>
      <c r="C1933" t="s">
        <v>7237</v>
      </c>
      <c r="D1933" t="s">
        <v>2425</v>
      </c>
      <c r="E1933" t="s">
        <v>96</v>
      </c>
      <c r="F1933">
        <v>599.99</v>
      </c>
      <c r="G1933" t="s">
        <v>7032</v>
      </c>
      <c r="H1933">
        <v>0</v>
      </c>
      <c r="M1933">
        <v>0</v>
      </c>
      <c r="N1933">
        <v>0</v>
      </c>
      <c r="O1933">
        <v>0</v>
      </c>
      <c r="P1933">
        <v>0</v>
      </c>
    </row>
    <row r="1934" spans="1:16" x14ac:dyDescent="0.2">
      <c r="A1934" t="s">
        <v>3648</v>
      </c>
      <c r="B1934" t="s">
        <v>97</v>
      </c>
      <c r="C1934" t="s">
        <v>3649</v>
      </c>
      <c r="D1934" t="s">
        <v>2425</v>
      </c>
      <c r="E1934" t="s">
        <v>96</v>
      </c>
      <c r="F1934">
        <v>89.99</v>
      </c>
      <c r="G1934" t="s">
        <v>7032</v>
      </c>
      <c r="H1934">
        <v>0</v>
      </c>
      <c r="M1934">
        <v>0</v>
      </c>
      <c r="N1934">
        <v>0</v>
      </c>
      <c r="O1934">
        <v>0</v>
      </c>
      <c r="P1934">
        <v>0</v>
      </c>
    </row>
    <row r="1935" spans="1:16" x14ac:dyDescent="0.2">
      <c r="A1935" t="s">
        <v>5696</v>
      </c>
      <c r="B1935" t="s">
        <v>97</v>
      </c>
      <c r="C1935" t="s">
        <v>5697</v>
      </c>
      <c r="D1935" t="s">
        <v>2411</v>
      </c>
      <c r="E1935" t="s">
        <v>96</v>
      </c>
      <c r="F1935">
        <v>69.989999999999995</v>
      </c>
      <c r="G1935" t="s">
        <v>7032</v>
      </c>
      <c r="H1935">
        <v>8.3333333333333329E-2</v>
      </c>
      <c r="M1935">
        <v>0</v>
      </c>
      <c r="N1935">
        <v>0</v>
      </c>
      <c r="O1935">
        <v>0</v>
      </c>
      <c r="P1935">
        <v>2</v>
      </c>
    </row>
    <row r="1936" spans="1:16" x14ac:dyDescent="0.2">
      <c r="A1936" t="s">
        <v>2389</v>
      </c>
      <c r="B1936" t="s">
        <v>97</v>
      </c>
      <c r="C1936" t="s">
        <v>2390</v>
      </c>
      <c r="D1936" t="s">
        <v>2374</v>
      </c>
      <c r="E1936" t="s">
        <v>290</v>
      </c>
      <c r="F1936">
        <v>349.99</v>
      </c>
      <c r="G1936" t="s">
        <v>7032</v>
      </c>
      <c r="H1936">
        <v>0</v>
      </c>
      <c r="M1936">
        <v>0</v>
      </c>
      <c r="N1936">
        <v>0</v>
      </c>
      <c r="O1936">
        <v>0</v>
      </c>
      <c r="P1936">
        <v>0</v>
      </c>
    </row>
    <row r="1937" spans="1:16" x14ac:dyDescent="0.2">
      <c r="A1937" t="s">
        <v>2699</v>
      </c>
      <c r="B1937" t="s">
        <v>97</v>
      </c>
      <c r="C1937" t="s">
        <v>2700</v>
      </c>
      <c r="D1937" t="s">
        <v>2502</v>
      </c>
      <c r="E1937" t="s">
        <v>290</v>
      </c>
      <c r="F1937">
        <v>119.99</v>
      </c>
      <c r="G1937" t="s">
        <v>7032</v>
      </c>
      <c r="H1937">
        <v>0</v>
      </c>
      <c r="M1937">
        <v>0</v>
      </c>
      <c r="N1937">
        <v>0</v>
      </c>
      <c r="O1937">
        <v>0</v>
      </c>
      <c r="P1937">
        <v>0</v>
      </c>
    </row>
    <row r="1938" spans="1:16" x14ac:dyDescent="0.2">
      <c r="A1938" t="s">
        <v>2551</v>
      </c>
      <c r="B1938" t="s">
        <v>97</v>
      </c>
      <c r="C1938" t="s">
        <v>2552</v>
      </c>
      <c r="D1938" t="s">
        <v>2502</v>
      </c>
      <c r="E1938" t="s">
        <v>290</v>
      </c>
      <c r="F1938">
        <v>149.99</v>
      </c>
      <c r="G1938" t="s">
        <v>7032</v>
      </c>
      <c r="H1938">
        <v>0</v>
      </c>
      <c r="M1938">
        <v>0</v>
      </c>
      <c r="N1938">
        <v>0</v>
      </c>
      <c r="O1938">
        <v>0</v>
      </c>
      <c r="P1938">
        <v>2</v>
      </c>
    </row>
    <row r="1939" spans="1:16" x14ac:dyDescent="0.2">
      <c r="A1939" t="s">
        <v>2569</v>
      </c>
      <c r="B1939" t="s">
        <v>97</v>
      </c>
      <c r="C1939" t="s">
        <v>2570</v>
      </c>
      <c r="D1939" t="s">
        <v>2502</v>
      </c>
      <c r="E1939" t="s">
        <v>228</v>
      </c>
      <c r="F1939">
        <v>39.99</v>
      </c>
      <c r="G1939" t="s">
        <v>7032</v>
      </c>
      <c r="H1939">
        <v>0</v>
      </c>
      <c r="M1939">
        <v>0</v>
      </c>
      <c r="N1939">
        <v>0</v>
      </c>
      <c r="O1939">
        <v>0</v>
      </c>
      <c r="P1939">
        <v>0</v>
      </c>
    </row>
    <row r="1940" spans="1:16" x14ac:dyDescent="0.2">
      <c r="A1940" t="s">
        <v>6876</v>
      </c>
      <c r="B1940" t="s">
        <v>97</v>
      </c>
      <c r="C1940" t="s">
        <v>6877</v>
      </c>
      <c r="D1940" t="s">
        <v>2987</v>
      </c>
      <c r="E1940" t="s">
        <v>96</v>
      </c>
      <c r="F1940">
        <v>49.99</v>
      </c>
      <c r="G1940" t="s">
        <v>7032</v>
      </c>
      <c r="H1940">
        <v>0</v>
      </c>
      <c r="M1940">
        <v>0</v>
      </c>
      <c r="N1940">
        <v>0</v>
      </c>
      <c r="O1940">
        <v>0</v>
      </c>
      <c r="P1940">
        <v>13</v>
      </c>
    </row>
    <row r="1941" spans="1:16" x14ac:dyDescent="0.2">
      <c r="A1941" t="s">
        <v>7460</v>
      </c>
      <c r="B1941" t="s">
        <v>97</v>
      </c>
      <c r="C1941" t="s">
        <v>7461</v>
      </c>
      <c r="D1941" t="s">
        <v>1012</v>
      </c>
      <c r="E1941" t="s">
        <v>96</v>
      </c>
      <c r="F1941">
        <v>29.99</v>
      </c>
      <c r="G1941" t="s">
        <v>7032</v>
      </c>
      <c r="H1941">
        <v>0</v>
      </c>
      <c r="M1941">
        <v>0</v>
      </c>
      <c r="N1941">
        <v>0</v>
      </c>
      <c r="O1941">
        <v>0</v>
      </c>
      <c r="P1941">
        <v>0</v>
      </c>
    </row>
    <row r="1942" spans="1:16" x14ac:dyDescent="0.2">
      <c r="A1942" t="s">
        <v>7462</v>
      </c>
      <c r="B1942" t="s">
        <v>97</v>
      </c>
      <c r="C1942" t="s">
        <v>7463</v>
      </c>
      <c r="D1942" t="s">
        <v>1012</v>
      </c>
      <c r="E1942" t="s">
        <v>96</v>
      </c>
      <c r="F1942">
        <v>69.989999999999995</v>
      </c>
      <c r="G1942" t="s">
        <v>7032</v>
      </c>
      <c r="H1942">
        <v>0</v>
      </c>
      <c r="M1942">
        <v>0</v>
      </c>
      <c r="N1942">
        <v>0</v>
      </c>
      <c r="O1942">
        <v>0</v>
      </c>
      <c r="P1942">
        <v>0</v>
      </c>
    </row>
    <row r="1943" spans="1:16" x14ac:dyDescent="0.2">
      <c r="A1943" t="s">
        <v>7464</v>
      </c>
      <c r="B1943" t="s">
        <v>97</v>
      </c>
      <c r="C1943" t="s">
        <v>7465</v>
      </c>
      <c r="D1943" t="s">
        <v>1012</v>
      </c>
      <c r="E1943" t="s">
        <v>96</v>
      </c>
      <c r="F1943">
        <v>69.989999999999995</v>
      </c>
      <c r="G1943" t="s">
        <v>7032</v>
      </c>
      <c r="H1943">
        <v>0</v>
      </c>
      <c r="M1943">
        <v>0</v>
      </c>
      <c r="N1943">
        <v>0</v>
      </c>
      <c r="O1943">
        <v>0</v>
      </c>
      <c r="P1943">
        <v>0</v>
      </c>
    </row>
    <row r="1944" spans="1:16" x14ac:dyDescent="0.2">
      <c r="A1944" t="s">
        <v>4441</v>
      </c>
      <c r="B1944" t="s">
        <v>97</v>
      </c>
      <c r="C1944" t="s">
        <v>4442</v>
      </c>
      <c r="D1944" t="s">
        <v>1012</v>
      </c>
      <c r="E1944" t="s">
        <v>96</v>
      </c>
      <c r="F1944">
        <v>69.989999999999995</v>
      </c>
      <c r="G1944" t="s">
        <v>7032</v>
      </c>
      <c r="H1944">
        <v>0</v>
      </c>
      <c r="M1944">
        <v>0</v>
      </c>
      <c r="N1944">
        <v>0</v>
      </c>
      <c r="O1944">
        <v>0</v>
      </c>
      <c r="P1944">
        <v>0</v>
      </c>
    </row>
    <row r="1945" spans="1:16" x14ac:dyDescent="0.2">
      <c r="A1945" t="s">
        <v>6321</v>
      </c>
      <c r="B1945" t="s">
        <v>97</v>
      </c>
      <c r="C1945" t="s">
        <v>7242</v>
      </c>
      <c r="D1945" t="s">
        <v>2502</v>
      </c>
      <c r="E1945" t="s">
        <v>290</v>
      </c>
      <c r="F1945">
        <v>229.99</v>
      </c>
      <c r="G1945" t="s">
        <v>7032</v>
      </c>
      <c r="H1945">
        <v>0</v>
      </c>
      <c r="M1945">
        <v>0</v>
      </c>
      <c r="N1945">
        <v>0</v>
      </c>
      <c r="O1945">
        <v>0</v>
      </c>
      <c r="P1945">
        <v>0</v>
      </c>
    </row>
    <row r="1946" spans="1:16" x14ac:dyDescent="0.2">
      <c r="A1946" t="s">
        <v>2426</v>
      </c>
      <c r="B1946" t="s">
        <v>97</v>
      </c>
      <c r="C1946" t="s">
        <v>2427</v>
      </c>
      <c r="D1946" t="s">
        <v>2425</v>
      </c>
      <c r="E1946" t="s">
        <v>290</v>
      </c>
      <c r="F1946">
        <v>179.99</v>
      </c>
      <c r="G1946" t="s">
        <v>7032</v>
      </c>
      <c r="H1946">
        <v>0</v>
      </c>
      <c r="M1946">
        <v>0</v>
      </c>
      <c r="N1946">
        <v>0</v>
      </c>
      <c r="O1946">
        <v>0</v>
      </c>
      <c r="P1946">
        <v>0</v>
      </c>
    </row>
    <row r="1947" spans="1:16" x14ac:dyDescent="0.2">
      <c r="A1947" t="s">
        <v>5997</v>
      </c>
      <c r="B1947" t="s">
        <v>97</v>
      </c>
      <c r="C1947" t="s">
        <v>5998</v>
      </c>
      <c r="D1947" t="s">
        <v>2502</v>
      </c>
      <c r="E1947" t="s">
        <v>290</v>
      </c>
      <c r="F1947">
        <v>99.99</v>
      </c>
      <c r="G1947" t="s">
        <v>7032</v>
      </c>
      <c r="H1947">
        <v>0</v>
      </c>
      <c r="M1947">
        <v>0</v>
      </c>
      <c r="N1947">
        <v>0</v>
      </c>
      <c r="O1947">
        <v>0</v>
      </c>
      <c r="P1947">
        <v>0</v>
      </c>
    </row>
    <row r="1948" spans="1:16" x14ac:dyDescent="0.2">
      <c r="A1948" t="s">
        <v>2387</v>
      </c>
      <c r="B1948" t="s">
        <v>97</v>
      </c>
      <c r="C1948" t="s">
        <v>2388</v>
      </c>
      <c r="D1948" t="s">
        <v>2374</v>
      </c>
      <c r="E1948" t="s">
        <v>290</v>
      </c>
      <c r="F1948">
        <v>279.99</v>
      </c>
      <c r="G1948" t="s">
        <v>7032</v>
      </c>
      <c r="H1948">
        <v>0</v>
      </c>
      <c r="M1948">
        <v>0</v>
      </c>
      <c r="N1948">
        <v>0</v>
      </c>
      <c r="O1948">
        <v>0</v>
      </c>
      <c r="P1948">
        <v>0</v>
      </c>
    </row>
    <row r="1949" spans="1:16" x14ac:dyDescent="0.2">
      <c r="A1949" t="s">
        <v>3632</v>
      </c>
      <c r="B1949" t="s">
        <v>97</v>
      </c>
      <c r="C1949" t="s">
        <v>2430</v>
      </c>
      <c r="D1949" t="s">
        <v>2425</v>
      </c>
      <c r="E1949" t="s">
        <v>96</v>
      </c>
      <c r="F1949">
        <v>149.99</v>
      </c>
      <c r="G1949" t="s">
        <v>7032</v>
      </c>
      <c r="H1949">
        <v>0</v>
      </c>
      <c r="M1949">
        <v>0</v>
      </c>
      <c r="N1949">
        <v>0</v>
      </c>
      <c r="O1949">
        <v>0</v>
      </c>
      <c r="P1949">
        <v>0</v>
      </c>
    </row>
    <row r="1950" spans="1:16" x14ac:dyDescent="0.2">
      <c r="A1950" t="s">
        <v>7191</v>
      </c>
      <c r="B1950" t="s">
        <v>97</v>
      </c>
      <c r="C1950" t="s">
        <v>7193</v>
      </c>
      <c r="D1950" t="s">
        <v>2425</v>
      </c>
      <c r="E1950" t="s">
        <v>96</v>
      </c>
      <c r="F1950">
        <v>179.99</v>
      </c>
      <c r="G1950" t="s">
        <v>7032</v>
      </c>
      <c r="H1950">
        <v>0</v>
      </c>
      <c r="M1950">
        <v>0</v>
      </c>
      <c r="N1950">
        <v>0</v>
      </c>
      <c r="O1950">
        <v>0</v>
      </c>
      <c r="P1950">
        <v>0</v>
      </c>
    </row>
    <row r="1951" spans="1:16" x14ac:dyDescent="0.2">
      <c r="A1951" t="s">
        <v>3669</v>
      </c>
      <c r="B1951" t="s">
        <v>97</v>
      </c>
      <c r="C1951" t="s">
        <v>3670</v>
      </c>
      <c r="D1951" t="s">
        <v>2425</v>
      </c>
      <c r="E1951" t="s">
        <v>96</v>
      </c>
      <c r="F1951">
        <v>89.99</v>
      </c>
      <c r="G1951" t="s">
        <v>7032</v>
      </c>
      <c r="H1951">
        <v>0</v>
      </c>
      <c r="M1951">
        <v>0</v>
      </c>
      <c r="N1951">
        <v>0</v>
      </c>
      <c r="O1951">
        <v>0</v>
      </c>
      <c r="P1951">
        <v>0</v>
      </c>
    </row>
    <row r="1952" spans="1:16" x14ac:dyDescent="0.2">
      <c r="A1952" t="s">
        <v>6153</v>
      </c>
      <c r="B1952" t="s">
        <v>97</v>
      </c>
      <c r="C1952" t="s">
        <v>6154</v>
      </c>
      <c r="D1952" t="s">
        <v>2502</v>
      </c>
      <c r="E1952" t="s">
        <v>290</v>
      </c>
      <c r="F1952">
        <v>109.99</v>
      </c>
      <c r="G1952" t="s">
        <v>7032</v>
      </c>
      <c r="H1952">
        <v>0</v>
      </c>
      <c r="M1952">
        <v>0</v>
      </c>
      <c r="N1952">
        <v>0</v>
      </c>
      <c r="O1952">
        <v>0</v>
      </c>
      <c r="P1952">
        <v>0</v>
      </c>
    </row>
    <row r="1953" spans="1:16" x14ac:dyDescent="0.2">
      <c r="A1953" t="s">
        <v>5545</v>
      </c>
      <c r="B1953" t="s">
        <v>97</v>
      </c>
      <c r="C1953" t="s">
        <v>5546</v>
      </c>
      <c r="D1953" t="s">
        <v>2146</v>
      </c>
      <c r="E1953" t="s">
        <v>96</v>
      </c>
      <c r="F1953">
        <v>579.99</v>
      </c>
      <c r="G1953" t="s">
        <v>7032</v>
      </c>
      <c r="H1953">
        <v>0</v>
      </c>
      <c r="M1953">
        <v>0</v>
      </c>
      <c r="N1953">
        <v>0</v>
      </c>
      <c r="O1953">
        <v>0</v>
      </c>
      <c r="P1953">
        <v>0</v>
      </c>
    </row>
    <row r="1954" spans="1:16" x14ac:dyDescent="0.2">
      <c r="A1954" t="s">
        <v>2379</v>
      </c>
      <c r="B1954" t="s">
        <v>97</v>
      </c>
      <c r="C1954" t="s">
        <v>2380</v>
      </c>
      <c r="D1954" t="s">
        <v>2374</v>
      </c>
      <c r="E1954" t="s">
        <v>290</v>
      </c>
      <c r="F1954">
        <v>49.99</v>
      </c>
      <c r="G1954" t="s">
        <v>7032</v>
      </c>
      <c r="H1954">
        <v>0</v>
      </c>
      <c r="M1954">
        <v>0</v>
      </c>
      <c r="N1954">
        <v>0</v>
      </c>
      <c r="O1954">
        <v>0</v>
      </c>
      <c r="P1954">
        <v>0</v>
      </c>
    </row>
    <row r="1955" spans="1:16" x14ac:dyDescent="0.2">
      <c r="A1955" t="s">
        <v>695</v>
      </c>
      <c r="B1955" t="s">
        <v>97</v>
      </c>
      <c r="C1955" t="s">
        <v>696</v>
      </c>
      <c r="D1955" t="s">
        <v>446</v>
      </c>
      <c r="E1955" t="s">
        <v>228</v>
      </c>
      <c r="F1955">
        <v>99.99</v>
      </c>
      <c r="G1955" t="s">
        <v>7032</v>
      </c>
      <c r="H1955">
        <v>8.3333333333333329E-2</v>
      </c>
      <c r="M1955">
        <v>6</v>
      </c>
      <c r="N1955">
        <v>0.16666666666666666</v>
      </c>
      <c r="O1955">
        <v>0</v>
      </c>
      <c r="P1955">
        <v>1</v>
      </c>
    </row>
    <row r="1956" spans="1:16" x14ac:dyDescent="0.2">
      <c r="A1956" t="s">
        <v>3659</v>
      </c>
      <c r="B1956" t="s">
        <v>97</v>
      </c>
      <c r="C1956" t="s">
        <v>3660</v>
      </c>
      <c r="D1956" t="s">
        <v>2425</v>
      </c>
      <c r="E1956" t="s">
        <v>96</v>
      </c>
      <c r="F1956">
        <v>49.99</v>
      </c>
      <c r="G1956" t="s">
        <v>7032</v>
      </c>
      <c r="H1956">
        <v>0</v>
      </c>
      <c r="M1956">
        <v>0</v>
      </c>
      <c r="N1956">
        <v>0</v>
      </c>
      <c r="O1956">
        <v>0</v>
      </c>
      <c r="P1956">
        <v>0</v>
      </c>
    </row>
    <row r="1957" spans="1:16" x14ac:dyDescent="0.2">
      <c r="A1957" t="s">
        <v>3654</v>
      </c>
      <c r="B1957" t="s">
        <v>97</v>
      </c>
      <c r="C1957" t="s">
        <v>3655</v>
      </c>
      <c r="D1957" t="s">
        <v>2425</v>
      </c>
      <c r="E1957" t="s">
        <v>96</v>
      </c>
      <c r="F1957">
        <v>89.99</v>
      </c>
      <c r="G1957" t="s">
        <v>7032</v>
      </c>
      <c r="H1957">
        <v>0</v>
      </c>
      <c r="M1957">
        <v>0</v>
      </c>
      <c r="N1957">
        <v>0</v>
      </c>
      <c r="O1957">
        <v>0</v>
      </c>
      <c r="P1957">
        <v>0</v>
      </c>
    </row>
    <row r="1958" spans="1:16" x14ac:dyDescent="0.2">
      <c r="A1958" t="s">
        <v>2436</v>
      </c>
      <c r="B1958" t="s">
        <v>97</v>
      </c>
      <c r="C1958" t="s">
        <v>2437</v>
      </c>
      <c r="D1958" t="s">
        <v>2425</v>
      </c>
      <c r="E1958" t="s">
        <v>290</v>
      </c>
      <c r="F1958">
        <v>159.99</v>
      </c>
      <c r="G1958" t="s">
        <v>7032</v>
      </c>
      <c r="H1958">
        <v>0</v>
      </c>
      <c r="M1958">
        <v>0</v>
      </c>
      <c r="N1958">
        <v>0</v>
      </c>
      <c r="O1958">
        <v>0</v>
      </c>
      <c r="P1958">
        <v>0</v>
      </c>
    </row>
    <row r="1959" spans="1:16" x14ac:dyDescent="0.2">
      <c r="A1959" t="s">
        <v>5855</v>
      </c>
      <c r="B1959" t="s">
        <v>97</v>
      </c>
      <c r="C1959" t="s">
        <v>5856</v>
      </c>
      <c r="D1959" t="s">
        <v>1692</v>
      </c>
      <c r="E1959" t="s">
        <v>96</v>
      </c>
      <c r="F1959">
        <v>34.99</v>
      </c>
      <c r="G1959" t="s">
        <v>7032</v>
      </c>
      <c r="H1959">
        <v>0</v>
      </c>
      <c r="M1959">
        <v>0</v>
      </c>
      <c r="N1959">
        <v>0</v>
      </c>
      <c r="O1959">
        <v>0</v>
      </c>
      <c r="P1959">
        <v>0</v>
      </c>
    </row>
    <row r="1960" spans="1:16" x14ac:dyDescent="0.2">
      <c r="A1960" t="s">
        <v>3677</v>
      </c>
      <c r="B1960" t="s">
        <v>97</v>
      </c>
      <c r="C1960" t="s">
        <v>3678</v>
      </c>
      <c r="D1960" t="s">
        <v>2425</v>
      </c>
      <c r="E1960" t="s">
        <v>96</v>
      </c>
      <c r="F1960">
        <v>99.99</v>
      </c>
      <c r="G1960" t="s">
        <v>7032</v>
      </c>
      <c r="H1960">
        <v>0</v>
      </c>
      <c r="M1960">
        <v>0</v>
      </c>
      <c r="N1960">
        <v>0</v>
      </c>
      <c r="O1960">
        <v>0</v>
      </c>
      <c r="P1960">
        <v>0</v>
      </c>
    </row>
    <row r="1961" spans="1:16" x14ac:dyDescent="0.2">
      <c r="A1961" t="s">
        <v>2429</v>
      </c>
      <c r="B1961" t="s">
        <v>97</v>
      </c>
      <c r="C1961" t="s">
        <v>2430</v>
      </c>
      <c r="D1961" t="s">
        <v>2425</v>
      </c>
      <c r="E1961" t="s">
        <v>290</v>
      </c>
      <c r="F1961">
        <v>149.99</v>
      </c>
      <c r="G1961" t="s">
        <v>7032</v>
      </c>
      <c r="H1961">
        <v>0</v>
      </c>
      <c r="M1961">
        <v>0</v>
      </c>
      <c r="N1961">
        <v>0</v>
      </c>
      <c r="O1961">
        <v>0</v>
      </c>
      <c r="P1961">
        <v>0</v>
      </c>
    </row>
    <row r="1962" spans="1:16" x14ac:dyDescent="0.2">
      <c r="A1962" t="s">
        <v>3672</v>
      </c>
      <c r="B1962" t="s">
        <v>97</v>
      </c>
      <c r="C1962" t="s">
        <v>3673</v>
      </c>
      <c r="D1962" t="s">
        <v>2425</v>
      </c>
      <c r="E1962" t="s">
        <v>96</v>
      </c>
      <c r="F1962">
        <v>99.99</v>
      </c>
      <c r="G1962" t="s">
        <v>7032</v>
      </c>
      <c r="H1962">
        <v>0</v>
      </c>
      <c r="M1962">
        <v>0</v>
      </c>
      <c r="N1962">
        <v>0</v>
      </c>
      <c r="O1962">
        <v>0</v>
      </c>
      <c r="P1962">
        <v>0</v>
      </c>
    </row>
    <row r="1963" spans="1:16" x14ac:dyDescent="0.2">
      <c r="A1963" t="s">
        <v>2383</v>
      </c>
      <c r="B1963" t="s">
        <v>97</v>
      </c>
      <c r="C1963" t="s">
        <v>2384</v>
      </c>
      <c r="D1963" t="s">
        <v>2374</v>
      </c>
      <c r="E1963" t="s">
        <v>290</v>
      </c>
      <c r="F1963">
        <v>139.99</v>
      </c>
      <c r="G1963" t="s">
        <v>7032</v>
      </c>
      <c r="H1963">
        <v>0</v>
      </c>
      <c r="M1963">
        <v>0</v>
      </c>
      <c r="N1963">
        <v>0</v>
      </c>
      <c r="O1963">
        <v>0</v>
      </c>
      <c r="P1963">
        <v>0</v>
      </c>
    </row>
    <row r="1964" spans="1:16" x14ac:dyDescent="0.2">
      <c r="A1964" t="s">
        <v>3695</v>
      </c>
      <c r="B1964" t="s">
        <v>97</v>
      </c>
      <c r="C1964" t="s">
        <v>3696</v>
      </c>
      <c r="D1964" t="s">
        <v>2425</v>
      </c>
      <c r="E1964" t="s">
        <v>96</v>
      </c>
      <c r="F1964">
        <v>69.989999999999995</v>
      </c>
      <c r="G1964" t="s">
        <v>7032</v>
      </c>
      <c r="H1964">
        <v>0</v>
      </c>
      <c r="M1964">
        <v>0</v>
      </c>
      <c r="N1964">
        <v>0</v>
      </c>
      <c r="O1964">
        <v>0</v>
      </c>
      <c r="P1964">
        <v>0</v>
      </c>
    </row>
    <row r="1965" spans="1:16" x14ac:dyDescent="0.2">
      <c r="A1965" t="s">
        <v>7166</v>
      </c>
      <c r="B1965" t="s">
        <v>97</v>
      </c>
      <c r="C1965" t="s">
        <v>7168</v>
      </c>
      <c r="D1965" t="s">
        <v>2425</v>
      </c>
      <c r="E1965" t="s">
        <v>96</v>
      </c>
      <c r="F1965">
        <v>69.989999999999995</v>
      </c>
      <c r="G1965" t="s">
        <v>7032</v>
      </c>
      <c r="H1965">
        <v>0</v>
      </c>
      <c r="M1965">
        <v>0</v>
      </c>
      <c r="N1965">
        <v>0</v>
      </c>
      <c r="O1965">
        <v>0</v>
      </c>
      <c r="P1965">
        <v>0</v>
      </c>
    </row>
    <row r="1966" spans="1:16" x14ac:dyDescent="0.2">
      <c r="A1966" t="s">
        <v>3662</v>
      </c>
      <c r="B1966" t="s">
        <v>97</v>
      </c>
      <c r="C1966" t="s">
        <v>3663</v>
      </c>
      <c r="D1966" t="s">
        <v>2425</v>
      </c>
      <c r="E1966" t="s">
        <v>96</v>
      </c>
      <c r="F1966">
        <v>49.99</v>
      </c>
      <c r="G1966" t="s">
        <v>7032</v>
      </c>
      <c r="H1966">
        <v>0</v>
      </c>
      <c r="M1966">
        <v>0</v>
      </c>
      <c r="N1966">
        <v>0</v>
      </c>
      <c r="O1966">
        <v>0</v>
      </c>
      <c r="P1966">
        <v>0</v>
      </c>
    </row>
    <row r="1967" spans="1:16" x14ac:dyDescent="0.2">
      <c r="A1967" t="s">
        <v>7153</v>
      </c>
      <c r="B1967" t="s">
        <v>97</v>
      </c>
      <c r="C1967" t="s">
        <v>7155</v>
      </c>
      <c r="D1967" t="s">
        <v>2425</v>
      </c>
      <c r="E1967" t="s">
        <v>96</v>
      </c>
      <c r="F1967">
        <v>49.99</v>
      </c>
      <c r="G1967" t="s">
        <v>7032</v>
      </c>
      <c r="H1967">
        <v>0</v>
      </c>
      <c r="M1967">
        <v>0</v>
      </c>
      <c r="N1967">
        <v>0</v>
      </c>
      <c r="O1967">
        <v>0</v>
      </c>
      <c r="P1967">
        <v>0</v>
      </c>
    </row>
    <row r="1968" spans="1:16" x14ac:dyDescent="0.2">
      <c r="A1968" t="s">
        <v>2443</v>
      </c>
      <c r="B1968" t="s">
        <v>97</v>
      </c>
      <c r="C1968" t="s">
        <v>2444</v>
      </c>
      <c r="D1968" t="s">
        <v>2425</v>
      </c>
      <c r="E1968" t="s">
        <v>290</v>
      </c>
      <c r="F1968">
        <v>129.99</v>
      </c>
      <c r="G1968" t="s">
        <v>7032</v>
      </c>
      <c r="H1968">
        <v>0</v>
      </c>
      <c r="M1968">
        <v>0</v>
      </c>
      <c r="N1968">
        <v>0</v>
      </c>
      <c r="O1968">
        <v>0</v>
      </c>
      <c r="P1968">
        <v>0</v>
      </c>
    </row>
    <row r="1969" spans="1:16" x14ac:dyDescent="0.2">
      <c r="A1969" t="s">
        <v>2431</v>
      </c>
      <c r="B1969" t="s">
        <v>97</v>
      </c>
      <c r="C1969" t="s">
        <v>2432</v>
      </c>
      <c r="D1969" t="s">
        <v>2425</v>
      </c>
      <c r="E1969" t="s">
        <v>290</v>
      </c>
      <c r="F1969">
        <v>179.99</v>
      </c>
      <c r="G1969" t="s">
        <v>7032</v>
      </c>
      <c r="H1969">
        <v>0</v>
      </c>
      <c r="M1969">
        <v>0</v>
      </c>
      <c r="N1969">
        <v>0</v>
      </c>
      <c r="O1969">
        <v>0</v>
      </c>
      <c r="P1969">
        <v>0</v>
      </c>
    </row>
    <row r="1970" spans="1:16" x14ac:dyDescent="0.2">
      <c r="A1970" t="s">
        <v>7198</v>
      </c>
      <c r="B1970" t="s">
        <v>97</v>
      </c>
      <c r="C1970" t="s">
        <v>7200</v>
      </c>
      <c r="D1970" t="s">
        <v>2425</v>
      </c>
      <c r="E1970" t="s">
        <v>96</v>
      </c>
      <c r="F1970">
        <v>89.99</v>
      </c>
      <c r="G1970" t="s">
        <v>7032</v>
      </c>
      <c r="H1970">
        <v>0</v>
      </c>
      <c r="M1970">
        <v>0</v>
      </c>
      <c r="N1970">
        <v>0</v>
      </c>
      <c r="O1970">
        <v>0</v>
      </c>
      <c r="P1970">
        <v>0</v>
      </c>
    </row>
    <row r="1971" spans="1:16" x14ac:dyDescent="0.2">
      <c r="A1971" t="s">
        <v>5686</v>
      </c>
      <c r="B1971" t="s">
        <v>97</v>
      </c>
      <c r="C1971" t="s">
        <v>5687</v>
      </c>
      <c r="D1971" t="s">
        <v>446</v>
      </c>
      <c r="E1971" t="s">
        <v>96</v>
      </c>
      <c r="G1971" t="s">
        <v>7032</v>
      </c>
      <c r="H1971">
        <v>0</v>
      </c>
      <c r="M1971">
        <v>0</v>
      </c>
      <c r="N1971">
        <v>0</v>
      </c>
      <c r="P1971">
        <v>0</v>
      </c>
    </row>
    <row r="1972" spans="1:16" x14ac:dyDescent="0.2">
      <c r="A1972" t="s">
        <v>2438</v>
      </c>
      <c r="B1972" t="s">
        <v>97</v>
      </c>
      <c r="C1972" t="s">
        <v>2439</v>
      </c>
      <c r="D1972" t="s">
        <v>2425</v>
      </c>
      <c r="E1972" t="s">
        <v>290</v>
      </c>
      <c r="F1972">
        <v>99.99</v>
      </c>
      <c r="G1972" t="s">
        <v>7032</v>
      </c>
      <c r="H1972">
        <v>0</v>
      </c>
      <c r="M1972">
        <v>0</v>
      </c>
      <c r="N1972">
        <v>0</v>
      </c>
      <c r="O1972">
        <v>0</v>
      </c>
      <c r="P1972">
        <v>0</v>
      </c>
    </row>
    <row r="1973" spans="1:16" x14ac:dyDescent="0.2">
      <c r="A1973" t="s">
        <v>7466</v>
      </c>
      <c r="B1973" t="s">
        <v>97</v>
      </c>
      <c r="C1973" t="s">
        <v>7467</v>
      </c>
      <c r="D1973" t="s">
        <v>1012</v>
      </c>
      <c r="E1973" t="s">
        <v>96</v>
      </c>
      <c r="F1973">
        <v>69.989999999999995</v>
      </c>
      <c r="G1973" t="s">
        <v>7032</v>
      </c>
      <c r="H1973">
        <v>0</v>
      </c>
      <c r="M1973">
        <v>0</v>
      </c>
      <c r="N1973">
        <v>0</v>
      </c>
      <c r="O1973">
        <v>0</v>
      </c>
      <c r="P1973">
        <v>0</v>
      </c>
    </row>
    <row r="1974" spans="1:16" x14ac:dyDescent="0.2">
      <c r="A1974" t="s">
        <v>7468</v>
      </c>
      <c r="B1974" t="s">
        <v>97</v>
      </c>
      <c r="C1974" t="s">
        <v>7469</v>
      </c>
      <c r="D1974" t="s">
        <v>1012</v>
      </c>
      <c r="E1974" t="s">
        <v>96</v>
      </c>
      <c r="F1974">
        <v>69.989999999999995</v>
      </c>
      <c r="G1974" t="s">
        <v>7032</v>
      </c>
      <c r="H1974">
        <v>0</v>
      </c>
      <c r="M1974">
        <v>0</v>
      </c>
      <c r="N1974">
        <v>0</v>
      </c>
      <c r="O1974">
        <v>0</v>
      </c>
      <c r="P1974">
        <v>0</v>
      </c>
    </row>
    <row r="1975" spans="1:16" x14ac:dyDescent="0.2">
      <c r="A1975" t="s">
        <v>4393</v>
      </c>
      <c r="B1975" t="s">
        <v>97</v>
      </c>
      <c r="C1975" t="s">
        <v>4394</v>
      </c>
      <c r="D1975" t="s">
        <v>1012</v>
      </c>
      <c r="E1975" t="s">
        <v>290</v>
      </c>
      <c r="F1975">
        <v>89.99</v>
      </c>
      <c r="G1975" t="s">
        <v>7032</v>
      </c>
      <c r="H1975">
        <v>0</v>
      </c>
      <c r="M1975">
        <v>0</v>
      </c>
      <c r="N1975">
        <v>0</v>
      </c>
      <c r="O1975">
        <v>0</v>
      </c>
      <c r="P1975">
        <v>0</v>
      </c>
    </row>
    <row r="1976" spans="1:16" x14ac:dyDescent="0.2">
      <c r="A1976" t="s">
        <v>4458</v>
      </c>
      <c r="B1976" t="s">
        <v>97</v>
      </c>
      <c r="C1976" t="s">
        <v>4459</v>
      </c>
      <c r="D1976" t="s">
        <v>1012</v>
      </c>
      <c r="E1976" t="s">
        <v>290</v>
      </c>
      <c r="F1976">
        <v>139.99</v>
      </c>
      <c r="G1976" t="s">
        <v>7032</v>
      </c>
      <c r="H1976">
        <v>0</v>
      </c>
      <c r="M1976">
        <v>0</v>
      </c>
      <c r="N1976">
        <v>0</v>
      </c>
      <c r="O1976">
        <v>0</v>
      </c>
      <c r="P1976">
        <v>0</v>
      </c>
    </row>
    <row r="1977" spans="1:16" x14ac:dyDescent="0.2">
      <c r="A1977" t="s">
        <v>3086</v>
      </c>
      <c r="B1977" t="s">
        <v>97</v>
      </c>
      <c r="C1977" t="s">
        <v>3087</v>
      </c>
      <c r="D1977" t="s">
        <v>3077</v>
      </c>
      <c r="E1977" t="s">
        <v>290</v>
      </c>
      <c r="F1977">
        <v>129.99</v>
      </c>
      <c r="G1977" t="s">
        <v>7032</v>
      </c>
      <c r="H1977">
        <v>0</v>
      </c>
      <c r="M1977">
        <v>0</v>
      </c>
      <c r="N1977">
        <v>0</v>
      </c>
      <c r="O1977">
        <v>0</v>
      </c>
      <c r="P1977">
        <v>0</v>
      </c>
    </row>
    <row r="1978" spans="1:16" x14ac:dyDescent="0.2">
      <c r="A1978" t="s">
        <v>2761</v>
      </c>
      <c r="B1978" t="s">
        <v>97</v>
      </c>
      <c r="C1978" t="s">
        <v>2762</v>
      </c>
      <c r="D1978" t="s">
        <v>2502</v>
      </c>
      <c r="E1978" t="s">
        <v>228</v>
      </c>
      <c r="F1978">
        <v>119.99</v>
      </c>
      <c r="G1978" t="s">
        <v>7032</v>
      </c>
      <c r="H1978">
        <v>0</v>
      </c>
      <c r="M1978">
        <v>0</v>
      </c>
      <c r="N1978">
        <v>0</v>
      </c>
      <c r="O1978">
        <v>0</v>
      </c>
      <c r="P1978">
        <v>0</v>
      </c>
    </row>
    <row r="1979" spans="1:16" x14ac:dyDescent="0.2">
      <c r="A1979" t="s">
        <v>7470</v>
      </c>
      <c r="B1979" t="s">
        <v>97</v>
      </c>
      <c r="C1979" t="s">
        <v>7471</v>
      </c>
      <c r="D1979" t="s">
        <v>1012</v>
      </c>
      <c r="E1979" t="s">
        <v>96</v>
      </c>
      <c r="F1979">
        <v>139.99</v>
      </c>
      <c r="G1979" t="s">
        <v>7032</v>
      </c>
      <c r="H1979">
        <v>0</v>
      </c>
      <c r="M1979">
        <v>0</v>
      </c>
      <c r="N1979">
        <v>0</v>
      </c>
      <c r="O1979">
        <v>0</v>
      </c>
      <c r="P1979">
        <v>0</v>
      </c>
    </row>
    <row r="1980" spans="1:16" x14ac:dyDescent="0.2">
      <c r="A1980" t="s">
        <v>7472</v>
      </c>
      <c r="B1980" t="s">
        <v>97</v>
      </c>
      <c r="C1980" t="s">
        <v>7473</v>
      </c>
      <c r="D1980" t="s">
        <v>1012</v>
      </c>
      <c r="E1980" t="s">
        <v>96</v>
      </c>
      <c r="F1980">
        <v>139.99</v>
      </c>
      <c r="G1980" t="s">
        <v>7032</v>
      </c>
      <c r="H1980">
        <v>0</v>
      </c>
      <c r="M1980">
        <v>0</v>
      </c>
      <c r="N1980">
        <v>0</v>
      </c>
      <c r="O1980">
        <v>0</v>
      </c>
      <c r="P1980">
        <v>0</v>
      </c>
    </row>
    <row r="1981" spans="1:16" x14ac:dyDescent="0.2">
      <c r="A1981" t="s">
        <v>3084</v>
      </c>
      <c r="B1981" t="s">
        <v>97</v>
      </c>
      <c r="C1981" t="s">
        <v>3085</v>
      </c>
      <c r="D1981" t="s">
        <v>3077</v>
      </c>
      <c r="E1981" t="s">
        <v>290</v>
      </c>
      <c r="F1981">
        <v>99.99</v>
      </c>
      <c r="G1981" t="s">
        <v>7032</v>
      </c>
      <c r="H1981">
        <v>0</v>
      </c>
      <c r="M1981">
        <v>0</v>
      </c>
      <c r="N1981">
        <v>0</v>
      </c>
      <c r="O1981">
        <v>0</v>
      </c>
      <c r="P1981">
        <v>0</v>
      </c>
    </row>
    <row r="1982" spans="1:16" x14ac:dyDescent="0.2">
      <c r="A1982" t="s">
        <v>3082</v>
      </c>
      <c r="B1982" t="s">
        <v>97</v>
      </c>
      <c r="C1982" t="s">
        <v>3083</v>
      </c>
      <c r="D1982" t="s">
        <v>3077</v>
      </c>
      <c r="E1982" t="s">
        <v>96</v>
      </c>
      <c r="F1982">
        <v>99.99</v>
      </c>
      <c r="G1982" t="s">
        <v>7032</v>
      </c>
      <c r="H1982">
        <v>0</v>
      </c>
      <c r="M1982">
        <v>0</v>
      </c>
      <c r="N1982">
        <v>0</v>
      </c>
      <c r="O1982">
        <v>0</v>
      </c>
      <c r="P1982">
        <v>0</v>
      </c>
    </row>
    <row r="1983" spans="1:16" x14ac:dyDescent="0.2">
      <c r="A1983" t="s">
        <v>6273</v>
      </c>
      <c r="B1983" t="s">
        <v>97</v>
      </c>
      <c r="C1983" t="s">
        <v>6274</v>
      </c>
      <c r="D1983" t="s">
        <v>2502</v>
      </c>
      <c r="E1983" t="s">
        <v>96</v>
      </c>
      <c r="F1983">
        <v>49.99</v>
      </c>
      <c r="G1983" t="s">
        <v>7032</v>
      </c>
      <c r="H1983">
        <v>0</v>
      </c>
      <c r="M1983">
        <v>0</v>
      </c>
      <c r="N1983">
        <v>0</v>
      </c>
      <c r="O1983">
        <v>0</v>
      </c>
      <c r="P1983">
        <v>0</v>
      </c>
    </row>
    <row r="1984" spans="1:16" x14ac:dyDescent="0.2">
      <c r="A1984" t="s">
        <v>3575</v>
      </c>
      <c r="B1984" t="s">
        <v>97</v>
      </c>
      <c r="C1984" t="s">
        <v>3576</v>
      </c>
      <c r="D1984" t="s">
        <v>3554</v>
      </c>
      <c r="E1984" t="s">
        <v>96</v>
      </c>
      <c r="F1984">
        <v>39.99</v>
      </c>
      <c r="G1984" t="s">
        <v>7032</v>
      </c>
      <c r="H1984">
        <v>0</v>
      </c>
      <c r="M1984">
        <v>0</v>
      </c>
      <c r="N1984">
        <v>0</v>
      </c>
      <c r="O1984">
        <v>0</v>
      </c>
      <c r="P1984">
        <v>0</v>
      </c>
    </row>
    <row r="1985" spans="1:16" x14ac:dyDescent="0.2">
      <c r="A1985" t="s">
        <v>7474</v>
      </c>
      <c r="B1985" t="s">
        <v>97</v>
      </c>
      <c r="C1985" t="s">
        <v>7475</v>
      </c>
      <c r="D1985" t="s">
        <v>1012</v>
      </c>
      <c r="E1985" t="s">
        <v>96</v>
      </c>
      <c r="F1985">
        <v>69.989999999999995</v>
      </c>
      <c r="G1985" t="s">
        <v>7032</v>
      </c>
      <c r="H1985">
        <v>0</v>
      </c>
      <c r="M1985">
        <v>0</v>
      </c>
      <c r="N1985">
        <v>0</v>
      </c>
      <c r="O1985">
        <v>0</v>
      </c>
      <c r="P1985">
        <v>0</v>
      </c>
    </row>
    <row r="1986" spans="1:16" x14ac:dyDescent="0.2">
      <c r="A1986" t="s">
        <v>7476</v>
      </c>
      <c r="B1986" t="s">
        <v>97</v>
      </c>
      <c r="C1986" t="s">
        <v>7477</v>
      </c>
      <c r="D1986" t="s">
        <v>1012</v>
      </c>
      <c r="E1986" t="s">
        <v>96</v>
      </c>
      <c r="F1986">
        <v>69.989999999999995</v>
      </c>
      <c r="G1986" t="s">
        <v>7032</v>
      </c>
      <c r="H1986">
        <v>0</v>
      </c>
      <c r="M1986">
        <v>0</v>
      </c>
      <c r="N1986">
        <v>0</v>
      </c>
      <c r="O1986">
        <v>0</v>
      </c>
      <c r="P1986">
        <v>0</v>
      </c>
    </row>
    <row r="1987" spans="1:16" x14ac:dyDescent="0.2">
      <c r="A1987" t="s">
        <v>4823</v>
      </c>
      <c r="B1987" t="s">
        <v>97</v>
      </c>
      <c r="C1987" t="s">
        <v>4824</v>
      </c>
      <c r="D1987" t="s">
        <v>446</v>
      </c>
      <c r="E1987" t="s">
        <v>96</v>
      </c>
      <c r="F1987">
        <v>89.99</v>
      </c>
      <c r="G1987" t="s">
        <v>7032</v>
      </c>
      <c r="H1987">
        <v>8.3333333333333329E-2</v>
      </c>
      <c r="M1987">
        <v>0</v>
      </c>
      <c r="N1987">
        <v>0</v>
      </c>
      <c r="O1987">
        <v>0</v>
      </c>
      <c r="P1987">
        <v>1</v>
      </c>
    </row>
    <row r="1988" spans="1:16" x14ac:dyDescent="0.2">
      <c r="A1988" t="s">
        <v>3587</v>
      </c>
      <c r="B1988" t="s">
        <v>97</v>
      </c>
      <c r="C1988" t="s">
        <v>3588</v>
      </c>
      <c r="D1988" t="s">
        <v>3554</v>
      </c>
      <c r="E1988" t="s">
        <v>96</v>
      </c>
      <c r="F1988">
        <v>39.99</v>
      </c>
      <c r="G1988" t="s">
        <v>7032</v>
      </c>
      <c r="H1988">
        <v>0</v>
      </c>
      <c r="M1988">
        <v>0</v>
      </c>
      <c r="N1988">
        <v>0</v>
      </c>
      <c r="O1988">
        <v>0</v>
      </c>
      <c r="P1988">
        <v>0</v>
      </c>
    </row>
    <row r="1989" spans="1:16" x14ac:dyDescent="0.2">
      <c r="A1989" t="s">
        <v>3075</v>
      </c>
      <c r="B1989" t="s">
        <v>97</v>
      </c>
      <c r="C1989" t="s">
        <v>3076</v>
      </c>
      <c r="D1989" t="s">
        <v>2987</v>
      </c>
      <c r="E1989" t="s">
        <v>228</v>
      </c>
      <c r="F1989">
        <v>49.99</v>
      </c>
      <c r="G1989" t="s">
        <v>7032</v>
      </c>
      <c r="H1989">
        <v>0</v>
      </c>
      <c r="M1989">
        <v>0</v>
      </c>
      <c r="N1989">
        <v>0</v>
      </c>
      <c r="O1989">
        <v>0</v>
      </c>
      <c r="P1989">
        <v>1</v>
      </c>
    </row>
    <row r="1990" spans="1:16" x14ac:dyDescent="0.2">
      <c r="A1990" t="s">
        <v>2759</v>
      </c>
      <c r="B1990" t="s">
        <v>97</v>
      </c>
      <c r="C1990" t="s">
        <v>2760</v>
      </c>
      <c r="D1990" t="s">
        <v>2502</v>
      </c>
      <c r="E1990" t="s">
        <v>290</v>
      </c>
      <c r="F1990">
        <v>119.99</v>
      </c>
      <c r="G1990" t="s">
        <v>7032</v>
      </c>
      <c r="H1990">
        <v>0</v>
      </c>
      <c r="M1990">
        <v>0</v>
      </c>
      <c r="N1990">
        <v>0</v>
      </c>
      <c r="O1990">
        <v>0</v>
      </c>
      <c r="P1990">
        <v>0</v>
      </c>
    </row>
    <row r="1991" spans="1:16" x14ac:dyDescent="0.2">
      <c r="A1991" t="s">
        <v>3088</v>
      </c>
      <c r="B1991" t="s">
        <v>97</v>
      </c>
      <c r="C1991" t="s">
        <v>3089</v>
      </c>
      <c r="D1991" t="s">
        <v>3077</v>
      </c>
      <c r="E1991" t="s">
        <v>290</v>
      </c>
      <c r="F1991">
        <v>79.989999999999995</v>
      </c>
      <c r="G1991" t="s">
        <v>7032</v>
      </c>
      <c r="H1991">
        <v>0</v>
      </c>
      <c r="M1991">
        <v>0</v>
      </c>
      <c r="N1991">
        <v>0</v>
      </c>
      <c r="O1991">
        <v>0</v>
      </c>
      <c r="P1991">
        <v>0</v>
      </c>
    </row>
    <row r="1992" spans="1:16" x14ac:dyDescent="0.2">
      <c r="A1992" t="s">
        <v>7478</v>
      </c>
      <c r="B1992" t="s">
        <v>97</v>
      </c>
      <c r="C1992" t="s">
        <v>7479</v>
      </c>
      <c r="D1992" t="s">
        <v>1012</v>
      </c>
      <c r="E1992" t="s">
        <v>96</v>
      </c>
      <c r="F1992">
        <v>139.99</v>
      </c>
      <c r="G1992" t="s">
        <v>7032</v>
      </c>
      <c r="H1992">
        <v>0</v>
      </c>
      <c r="M1992">
        <v>0</v>
      </c>
      <c r="N1992">
        <v>0</v>
      </c>
      <c r="O1992">
        <v>0</v>
      </c>
      <c r="P1992">
        <v>0</v>
      </c>
    </row>
    <row r="1993" spans="1:16" x14ac:dyDescent="0.2">
      <c r="A1993" t="s">
        <v>2563</v>
      </c>
      <c r="B1993" t="s">
        <v>97</v>
      </c>
      <c r="C1993" t="s">
        <v>2564</v>
      </c>
      <c r="D1993" t="s">
        <v>2502</v>
      </c>
      <c r="E1993" t="s">
        <v>290</v>
      </c>
      <c r="F1993">
        <v>99.99</v>
      </c>
      <c r="G1993" t="s">
        <v>7032</v>
      </c>
      <c r="H1993">
        <v>0</v>
      </c>
      <c r="M1993">
        <v>0</v>
      </c>
      <c r="N1993">
        <v>0</v>
      </c>
      <c r="O1993">
        <v>0</v>
      </c>
      <c r="P1993">
        <v>0</v>
      </c>
    </row>
    <row r="1994" spans="1:16" x14ac:dyDescent="0.2">
      <c r="A1994" t="s">
        <v>3090</v>
      </c>
      <c r="B1994" t="s">
        <v>97</v>
      </c>
      <c r="C1994" t="s">
        <v>3091</v>
      </c>
      <c r="D1994" t="s">
        <v>3077</v>
      </c>
      <c r="E1994" t="s">
        <v>290</v>
      </c>
      <c r="F1994">
        <v>119.99</v>
      </c>
      <c r="G1994" t="s">
        <v>7032</v>
      </c>
      <c r="H1994">
        <v>0</v>
      </c>
      <c r="N1994">
        <v>0</v>
      </c>
      <c r="O1994">
        <v>0</v>
      </c>
      <c r="P1994">
        <v>-1</v>
      </c>
    </row>
    <row r="1995" spans="1:16" x14ac:dyDescent="0.2">
      <c r="A1995" t="s">
        <v>7480</v>
      </c>
      <c r="B1995" t="s">
        <v>97</v>
      </c>
      <c r="C1995" t="s">
        <v>7481</v>
      </c>
      <c r="D1995" t="s">
        <v>1012</v>
      </c>
      <c r="E1995" t="s">
        <v>96</v>
      </c>
      <c r="F1995">
        <v>139.99</v>
      </c>
      <c r="G1995" t="s">
        <v>7032</v>
      </c>
      <c r="H1995">
        <v>0</v>
      </c>
      <c r="M1995">
        <v>0</v>
      </c>
      <c r="N1995">
        <v>0</v>
      </c>
      <c r="O1995">
        <v>0</v>
      </c>
      <c r="P1995">
        <v>0</v>
      </c>
    </row>
    <row r="1996" spans="1:16" x14ac:dyDescent="0.2">
      <c r="A1996" t="s">
        <v>5969</v>
      </c>
      <c r="B1996" t="s">
        <v>97</v>
      </c>
      <c r="C1996" t="s">
        <v>5970</v>
      </c>
      <c r="D1996" t="s">
        <v>2502</v>
      </c>
      <c r="E1996" t="s">
        <v>290</v>
      </c>
      <c r="F1996">
        <v>99.99</v>
      </c>
      <c r="G1996" t="s">
        <v>7032</v>
      </c>
      <c r="H1996">
        <v>0</v>
      </c>
      <c r="M1996">
        <v>0</v>
      </c>
      <c r="N1996">
        <v>0</v>
      </c>
      <c r="O1996">
        <v>0</v>
      </c>
      <c r="P1996">
        <v>0</v>
      </c>
    </row>
    <row r="1997" spans="1:16" x14ac:dyDescent="0.2">
      <c r="A1997" t="s">
        <v>3397</v>
      </c>
      <c r="B1997" t="s">
        <v>97</v>
      </c>
      <c r="C1997" t="s">
        <v>3398</v>
      </c>
      <c r="D1997" t="s">
        <v>3396</v>
      </c>
      <c r="E1997" t="s">
        <v>96</v>
      </c>
      <c r="F1997">
        <v>12.99</v>
      </c>
      <c r="G1997" t="s">
        <v>7032</v>
      </c>
      <c r="H1997">
        <v>0</v>
      </c>
      <c r="M1997">
        <v>0</v>
      </c>
      <c r="N1997">
        <v>0</v>
      </c>
      <c r="O1997">
        <v>0</v>
      </c>
      <c r="P1997">
        <v>0</v>
      </c>
    </row>
    <row r="1998" spans="1:16" x14ac:dyDescent="0.2">
      <c r="A1998" t="s">
        <v>3078</v>
      </c>
      <c r="B1998" t="s">
        <v>97</v>
      </c>
      <c r="C1998" t="s">
        <v>3079</v>
      </c>
      <c r="D1998" t="s">
        <v>3077</v>
      </c>
      <c r="E1998" t="s">
        <v>96</v>
      </c>
      <c r="F1998">
        <v>499.99</v>
      </c>
      <c r="G1998" t="s">
        <v>7032</v>
      </c>
      <c r="H1998">
        <v>0</v>
      </c>
      <c r="M1998">
        <v>0</v>
      </c>
      <c r="N1998">
        <v>0</v>
      </c>
      <c r="O1998">
        <v>0</v>
      </c>
      <c r="P1998">
        <v>0</v>
      </c>
    </row>
    <row r="1999" spans="1:16" x14ac:dyDescent="0.2">
      <c r="A1999" t="s">
        <v>6162</v>
      </c>
      <c r="B1999" t="s">
        <v>97</v>
      </c>
      <c r="C1999" t="s">
        <v>6163</v>
      </c>
      <c r="D1999" t="s">
        <v>2502</v>
      </c>
      <c r="E1999" t="s">
        <v>96</v>
      </c>
      <c r="F1999">
        <v>109.99</v>
      </c>
      <c r="G1999" t="s">
        <v>7032</v>
      </c>
      <c r="H1999">
        <v>0</v>
      </c>
      <c r="M1999">
        <v>0</v>
      </c>
      <c r="N1999">
        <v>0</v>
      </c>
      <c r="O1999">
        <v>0</v>
      </c>
      <c r="P1999">
        <v>0</v>
      </c>
    </row>
    <row r="2000" spans="1:16" x14ac:dyDescent="0.2">
      <c r="A2000" t="s">
        <v>7482</v>
      </c>
      <c r="B2000" t="s">
        <v>97</v>
      </c>
      <c r="C2000" t="s">
        <v>7483</v>
      </c>
      <c r="D2000" t="s">
        <v>1012</v>
      </c>
      <c r="E2000" t="s">
        <v>96</v>
      </c>
      <c r="F2000">
        <v>139.99</v>
      </c>
      <c r="G2000" t="s">
        <v>7032</v>
      </c>
      <c r="H2000">
        <v>0</v>
      </c>
      <c r="M2000">
        <v>0</v>
      </c>
      <c r="N2000">
        <v>0</v>
      </c>
      <c r="O2000">
        <v>0</v>
      </c>
      <c r="P2000">
        <v>0</v>
      </c>
    </row>
    <row r="2001" spans="1:16" x14ac:dyDescent="0.2">
      <c r="A2001" t="s">
        <v>7484</v>
      </c>
      <c r="B2001" t="s">
        <v>97</v>
      </c>
      <c r="C2001" t="s">
        <v>7485</v>
      </c>
      <c r="D2001" t="s">
        <v>1012</v>
      </c>
      <c r="E2001" t="s">
        <v>96</v>
      </c>
      <c r="F2001">
        <v>139.99</v>
      </c>
      <c r="G2001" t="s">
        <v>7032</v>
      </c>
      <c r="H2001">
        <v>0</v>
      </c>
      <c r="M2001">
        <v>0</v>
      </c>
      <c r="N2001">
        <v>0</v>
      </c>
      <c r="O2001">
        <v>0</v>
      </c>
      <c r="P2001">
        <v>0</v>
      </c>
    </row>
    <row r="2002" spans="1:16" x14ac:dyDescent="0.2">
      <c r="A2002" t="s">
        <v>2707</v>
      </c>
      <c r="B2002" t="s">
        <v>97</v>
      </c>
      <c r="C2002" t="s">
        <v>2708</v>
      </c>
      <c r="D2002" t="s">
        <v>2502</v>
      </c>
      <c r="E2002" t="s">
        <v>228</v>
      </c>
      <c r="F2002">
        <v>64.989999999999995</v>
      </c>
      <c r="G2002" t="s">
        <v>7032</v>
      </c>
      <c r="H2002">
        <v>0</v>
      </c>
      <c r="M2002">
        <v>0</v>
      </c>
      <c r="N2002">
        <v>0</v>
      </c>
      <c r="O2002">
        <v>0</v>
      </c>
      <c r="P2002">
        <v>0</v>
      </c>
    </row>
    <row r="2003" spans="1:16" x14ac:dyDescent="0.2">
      <c r="A2003" t="s">
        <v>2713</v>
      </c>
      <c r="B2003" t="s">
        <v>97</v>
      </c>
      <c r="C2003" t="s">
        <v>2714</v>
      </c>
      <c r="D2003" t="s">
        <v>2502</v>
      </c>
      <c r="E2003" t="s">
        <v>228</v>
      </c>
      <c r="F2003">
        <v>19.989999999999998</v>
      </c>
      <c r="G2003" t="s">
        <v>7032</v>
      </c>
      <c r="H2003">
        <v>0</v>
      </c>
      <c r="M2003">
        <v>0</v>
      </c>
      <c r="N2003">
        <v>0</v>
      </c>
      <c r="O2003">
        <v>0</v>
      </c>
      <c r="P2003">
        <v>0</v>
      </c>
    </row>
    <row r="2004" spans="1:16" x14ac:dyDescent="0.2">
      <c r="A2004" t="s">
        <v>2715</v>
      </c>
      <c r="B2004" t="s">
        <v>97</v>
      </c>
      <c r="C2004" t="s">
        <v>2716</v>
      </c>
      <c r="D2004" t="s">
        <v>2502</v>
      </c>
      <c r="E2004" t="s">
        <v>228</v>
      </c>
      <c r="F2004">
        <v>39.99</v>
      </c>
      <c r="G2004" t="s">
        <v>7032</v>
      </c>
      <c r="H2004">
        <v>0</v>
      </c>
      <c r="M2004">
        <v>0</v>
      </c>
      <c r="N2004">
        <v>0</v>
      </c>
      <c r="O2004">
        <v>0</v>
      </c>
      <c r="P2004">
        <v>0</v>
      </c>
    </row>
    <row r="2005" spans="1:16" x14ac:dyDescent="0.2">
      <c r="A2005" t="s">
        <v>7120</v>
      </c>
      <c r="B2005" t="s">
        <v>97</v>
      </c>
      <c r="C2005" t="s">
        <v>7122</v>
      </c>
      <c r="D2005" t="s">
        <v>2502</v>
      </c>
      <c r="E2005" t="s">
        <v>96</v>
      </c>
      <c r="F2005">
        <v>59.99</v>
      </c>
      <c r="G2005" t="s">
        <v>7032</v>
      </c>
      <c r="H2005">
        <v>0</v>
      </c>
      <c r="M2005">
        <v>0</v>
      </c>
      <c r="N2005">
        <v>0</v>
      </c>
      <c r="O2005">
        <v>0</v>
      </c>
      <c r="P2005">
        <v>0</v>
      </c>
    </row>
    <row r="2006" spans="1:16" x14ac:dyDescent="0.2">
      <c r="A2006" t="s">
        <v>7112</v>
      </c>
      <c r="B2006" t="s">
        <v>97</v>
      </c>
      <c r="C2006" t="s">
        <v>7114</v>
      </c>
      <c r="D2006" t="s">
        <v>2502</v>
      </c>
      <c r="E2006" t="s">
        <v>96</v>
      </c>
      <c r="F2006">
        <v>119.99</v>
      </c>
      <c r="G2006" t="s">
        <v>7032</v>
      </c>
      <c r="H2006">
        <v>0</v>
      </c>
      <c r="M2006">
        <v>0</v>
      </c>
      <c r="N2006">
        <v>0</v>
      </c>
      <c r="O2006">
        <v>0</v>
      </c>
      <c r="P2006">
        <v>2</v>
      </c>
    </row>
    <row r="2007" spans="1:16" x14ac:dyDescent="0.2">
      <c r="A2007" t="s">
        <v>6335</v>
      </c>
      <c r="B2007" t="s">
        <v>97</v>
      </c>
      <c r="C2007" t="s">
        <v>6336</v>
      </c>
      <c r="D2007" t="s">
        <v>2502</v>
      </c>
      <c r="E2007" t="s">
        <v>290</v>
      </c>
      <c r="F2007">
        <v>169.99</v>
      </c>
      <c r="G2007" t="s">
        <v>7032</v>
      </c>
      <c r="H2007">
        <v>0</v>
      </c>
      <c r="M2007">
        <v>0</v>
      </c>
      <c r="N2007">
        <v>0</v>
      </c>
      <c r="O2007">
        <v>0</v>
      </c>
      <c r="P2007">
        <v>1</v>
      </c>
    </row>
    <row r="2008" spans="1:16" x14ac:dyDescent="0.2">
      <c r="A2008" t="s">
        <v>5950</v>
      </c>
      <c r="B2008" t="s">
        <v>97</v>
      </c>
      <c r="C2008" t="s">
        <v>5951</v>
      </c>
      <c r="D2008" t="s">
        <v>2502</v>
      </c>
      <c r="E2008" t="s">
        <v>96</v>
      </c>
      <c r="F2008">
        <v>119.99</v>
      </c>
      <c r="G2008" t="s">
        <v>7032</v>
      </c>
      <c r="H2008">
        <v>0</v>
      </c>
      <c r="M2008">
        <v>0</v>
      </c>
      <c r="N2008">
        <v>0</v>
      </c>
      <c r="O2008">
        <v>0</v>
      </c>
      <c r="P2008">
        <v>0</v>
      </c>
    </row>
    <row r="2009" spans="1:16" x14ac:dyDescent="0.2">
      <c r="A2009" t="s">
        <v>6232</v>
      </c>
      <c r="B2009" t="s">
        <v>97</v>
      </c>
      <c r="C2009" t="s">
        <v>6233</v>
      </c>
      <c r="D2009" t="s">
        <v>2502</v>
      </c>
      <c r="E2009" t="s">
        <v>228</v>
      </c>
      <c r="F2009">
        <v>79.989999999999995</v>
      </c>
      <c r="G2009" t="s">
        <v>7032</v>
      </c>
      <c r="H2009">
        <v>0</v>
      </c>
      <c r="M2009">
        <v>0</v>
      </c>
      <c r="N2009">
        <v>0</v>
      </c>
      <c r="O2009">
        <v>0</v>
      </c>
      <c r="P2009">
        <v>2</v>
      </c>
    </row>
    <row r="2010" spans="1:16" x14ac:dyDescent="0.2">
      <c r="A2010" t="s">
        <v>7117</v>
      </c>
      <c r="B2010" t="s">
        <v>97</v>
      </c>
      <c r="C2010" t="s">
        <v>7119</v>
      </c>
      <c r="D2010" t="s">
        <v>2502</v>
      </c>
      <c r="E2010" t="s">
        <v>96</v>
      </c>
      <c r="F2010">
        <v>199.99</v>
      </c>
      <c r="G2010" t="s">
        <v>7032</v>
      </c>
      <c r="H2010">
        <v>0</v>
      </c>
      <c r="M2010">
        <v>0</v>
      </c>
      <c r="N2010">
        <v>0</v>
      </c>
      <c r="O2010">
        <v>0</v>
      </c>
      <c r="P2010">
        <v>0</v>
      </c>
    </row>
    <row r="2011" spans="1:16" x14ac:dyDescent="0.2">
      <c r="A2011" t="s">
        <v>6201</v>
      </c>
      <c r="B2011" t="s">
        <v>97</v>
      </c>
      <c r="C2011" t="s">
        <v>6202</v>
      </c>
      <c r="D2011" t="s">
        <v>2502</v>
      </c>
      <c r="E2011" t="s">
        <v>290</v>
      </c>
      <c r="F2011">
        <v>199.99</v>
      </c>
      <c r="G2011" t="s">
        <v>7032</v>
      </c>
      <c r="H2011">
        <v>0</v>
      </c>
      <c r="M2011">
        <v>0</v>
      </c>
      <c r="N2011">
        <v>0</v>
      </c>
      <c r="O2011">
        <v>0</v>
      </c>
      <c r="P2011">
        <v>0</v>
      </c>
    </row>
    <row r="2012" spans="1:16" x14ac:dyDescent="0.2">
      <c r="A2012" t="s">
        <v>6265</v>
      </c>
      <c r="B2012" t="s">
        <v>97</v>
      </c>
      <c r="C2012" t="s">
        <v>6266</v>
      </c>
      <c r="D2012" t="s">
        <v>2502</v>
      </c>
      <c r="E2012" t="s">
        <v>290</v>
      </c>
      <c r="F2012">
        <v>59.99</v>
      </c>
      <c r="G2012" t="s">
        <v>7032</v>
      </c>
      <c r="H2012">
        <v>0</v>
      </c>
      <c r="M2012">
        <v>0</v>
      </c>
      <c r="N2012">
        <v>0</v>
      </c>
      <c r="O2012">
        <v>0</v>
      </c>
      <c r="P2012">
        <v>1</v>
      </c>
    </row>
    <row r="2013" spans="1:16" x14ac:dyDescent="0.2">
      <c r="A2013" t="s">
        <v>2675</v>
      </c>
      <c r="B2013" t="s">
        <v>97</v>
      </c>
      <c r="C2013" t="s">
        <v>2676</v>
      </c>
      <c r="D2013" t="s">
        <v>2502</v>
      </c>
      <c r="E2013" t="s">
        <v>228</v>
      </c>
      <c r="F2013">
        <v>159.99</v>
      </c>
      <c r="G2013" t="s">
        <v>7032</v>
      </c>
      <c r="H2013">
        <v>0</v>
      </c>
      <c r="M2013">
        <v>0</v>
      </c>
      <c r="N2013">
        <v>0</v>
      </c>
      <c r="O2013">
        <v>0</v>
      </c>
      <c r="P2013">
        <v>0</v>
      </c>
    </row>
    <row r="2014" spans="1:16" x14ac:dyDescent="0.2">
      <c r="A2014" t="s">
        <v>2677</v>
      </c>
      <c r="B2014" t="s">
        <v>97</v>
      </c>
      <c r="C2014" t="s">
        <v>2678</v>
      </c>
      <c r="D2014" t="s">
        <v>2502</v>
      </c>
      <c r="E2014" t="s">
        <v>228</v>
      </c>
      <c r="F2014">
        <v>159.99</v>
      </c>
      <c r="G2014" t="s">
        <v>7032</v>
      </c>
      <c r="H2014">
        <v>0</v>
      </c>
      <c r="M2014">
        <v>0</v>
      </c>
      <c r="N2014">
        <v>0</v>
      </c>
      <c r="O2014">
        <v>0</v>
      </c>
      <c r="P2014">
        <v>2</v>
      </c>
    </row>
    <row r="2015" spans="1:16" x14ac:dyDescent="0.2">
      <c r="A2015" t="s">
        <v>7486</v>
      </c>
      <c r="B2015" t="s">
        <v>97</v>
      </c>
      <c r="C2015" t="s">
        <v>7487</v>
      </c>
      <c r="D2015" t="s">
        <v>1012</v>
      </c>
      <c r="E2015" t="s">
        <v>96</v>
      </c>
      <c r="F2015">
        <v>69.989999999999995</v>
      </c>
      <c r="G2015" t="s">
        <v>7032</v>
      </c>
      <c r="H2015">
        <v>0</v>
      </c>
      <c r="M2015">
        <v>0</v>
      </c>
      <c r="N2015">
        <v>0</v>
      </c>
      <c r="O2015">
        <v>0</v>
      </c>
      <c r="P2015">
        <v>0</v>
      </c>
    </row>
    <row r="2016" spans="1:16" x14ac:dyDescent="0.2">
      <c r="A2016" t="s">
        <v>7488</v>
      </c>
      <c r="B2016" t="s">
        <v>97</v>
      </c>
      <c r="C2016" t="s">
        <v>7489</v>
      </c>
      <c r="D2016" t="s">
        <v>1012</v>
      </c>
      <c r="E2016" t="s">
        <v>96</v>
      </c>
      <c r="F2016">
        <v>69.989999999999995</v>
      </c>
      <c r="G2016" t="s">
        <v>7032</v>
      </c>
      <c r="H2016">
        <v>0</v>
      </c>
      <c r="M2016">
        <v>0</v>
      </c>
      <c r="N2016">
        <v>0</v>
      </c>
      <c r="O2016">
        <v>0</v>
      </c>
      <c r="P2016">
        <v>0</v>
      </c>
    </row>
    <row r="2017" spans="1:16" x14ac:dyDescent="0.2">
      <c r="A2017" t="s">
        <v>7490</v>
      </c>
      <c r="B2017" t="s">
        <v>97</v>
      </c>
      <c r="C2017" t="s">
        <v>7491</v>
      </c>
      <c r="D2017" t="s">
        <v>1012</v>
      </c>
      <c r="E2017" t="s">
        <v>96</v>
      </c>
      <c r="F2017">
        <v>69.989999999999995</v>
      </c>
      <c r="G2017" t="s">
        <v>7032</v>
      </c>
      <c r="H2017">
        <v>0</v>
      </c>
      <c r="M2017">
        <v>0</v>
      </c>
      <c r="N2017">
        <v>0</v>
      </c>
      <c r="O2017">
        <v>0</v>
      </c>
      <c r="P2017">
        <v>0</v>
      </c>
    </row>
    <row r="2018" spans="1:16" x14ac:dyDescent="0.2">
      <c r="A2018" t="s">
        <v>2685</v>
      </c>
      <c r="B2018" t="s">
        <v>97</v>
      </c>
      <c r="C2018" t="s">
        <v>2686</v>
      </c>
      <c r="D2018" t="s">
        <v>2502</v>
      </c>
      <c r="E2018" t="s">
        <v>228</v>
      </c>
      <c r="F2018">
        <v>159.99</v>
      </c>
      <c r="G2018" t="s">
        <v>7032</v>
      </c>
      <c r="H2018">
        <v>0</v>
      </c>
      <c r="M2018">
        <v>0</v>
      </c>
      <c r="N2018">
        <v>0</v>
      </c>
      <c r="O2018">
        <v>0</v>
      </c>
      <c r="P2018">
        <v>0</v>
      </c>
    </row>
    <row r="2019" spans="1:16" x14ac:dyDescent="0.2">
      <c r="A2019" t="s">
        <v>7492</v>
      </c>
      <c r="B2019" t="s">
        <v>97</v>
      </c>
      <c r="C2019" t="s">
        <v>7493</v>
      </c>
      <c r="D2019" t="s">
        <v>1012</v>
      </c>
      <c r="E2019" t="s">
        <v>96</v>
      </c>
      <c r="F2019">
        <v>69.989999999999995</v>
      </c>
      <c r="G2019" t="s">
        <v>7032</v>
      </c>
      <c r="H2019">
        <v>0</v>
      </c>
      <c r="M2019">
        <v>0</v>
      </c>
      <c r="N2019">
        <v>0</v>
      </c>
      <c r="O2019">
        <v>0</v>
      </c>
      <c r="P2019">
        <v>0</v>
      </c>
    </row>
    <row r="2020" spans="1:16" x14ac:dyDescent="0.2">
      <c r="A2020" t="s">
        <v>2695</v>
      </c>
      <c r="B2020" t="s">
        <v>97</v>
      </c>
      <c r="C2020" t="s">
        <v>2696</v>
      </c>
      <c r="D2020" t="s">
        <v>2502</v>
      </c>
      <c r="E2020" t="s">
        <v>228</v>
      </c>
      <c r="F2020">
        <v>299.99</v>
      </c>
      <c r="G2020" t="s">
        <v>7032</v>
      </c>
      <c r="H2020">
        <v>0</v>
      </c>
      <c r="M2020">
        <v>0</v>
      </c>
      <c r="N2020">
        <v>0</v>
      </c>
      <c r="O2020">
        <v>0</v>
      </c>
      <c r="P2020">
        <v>1</v>
      </c>
    </row>
    <row r="2021" spans="1:16" x14ac:dyDescent="0.2">
      <c r="A2021" t="s">
        <v>6327</v>
      </c>
      <c r="B2021" t="s">
        <v>97</v>
      </c>
      <c r="C2021" t="s">
        <v>6328</v>
      </c>
      <c r="D2021" t="s">
        <v>2502</v>
      </c>
      <c r="E2021" t="s">
        <v>96</v>
      </c>
      <c r="F2021">
        <v>179.99</v>
      </c>
      <c r="G2021" t="s">
        <v>7032</v>
      </c>
      <c r="H2021">
        <v>0</v>
      </c>
      <c r="M2021">
        <v>0</v>
      </c>
      <c r="N2021">
        <v>0</v>
      </c>
      <c r="O2021">
        <v>0</v>
      </c>
      <c r="P2021">
        <v>0</v>
      </c>
    </row>
    <row r="2022" spans="1:16" x14ac:dyDescent="0.2">
      <c r="A2022" t="s">
        <v>7494</v>
      </c>
      <c r="B2022" t="s">
        <v>97</v>
      </c>
      <c r="C2022" t="s">
        <v>7495</v>
      </c>
      <c r="D2022" t="s">
        <v>1012</v>
      </c>
      <c r="E2022" t="s">
        <v>96</v>
      </c>
      <c r="F2022">
        <v>69.989999999999995</v>
      </c>
      <c r="G2022" t="s">
        <v>7032</v>
      </c>
      <c r="H2022">
        <v>0</v>
      </c>
      <c r="M2022">
        <v>0</v>
      </c>
      <c r="N2022">
        <v>0</v>
      </c>
      <c r="O2022">
        <v>0</v>
      </c>
      <c r="P2022">
        <v>0</v>
      </c>
    </row>
    <row r="2023" spans="1:16" x14ac:dyDescent="0.2">
      <c r="A2023" t="s">
        <v>6338</v>
      </c>
      <c r="B2023" t="s">
        <v>97</v>
      </c>
      <c r="C2023" t="s">
        <v>6339</v>
      </c>
      <c r="D2023" t="s">
        <v>2502</v>
      </c>
      <c r="E2023" t="s">
        <v>96</v>
      </c>
      <c r="F2023">
        <v>169.99</v>
      </c>
      <c r="G2023" t="s">
        <v>7032</v>
      </c>
      <c r="H2023">
        <v>0</v>
      </c>
      <c r="M2023">
        <v>0</v>
      </c>
      <c r="N2023">
        <v>0</v>
      </c>
      <c r="O2023">
        <v>0</v>
      </c>
      <c r="P2023">
        <v>0</v>
      </c>
    </row>
    <row r="2024" spans="1:16" x14ac:dyDescent="0.2">
      <c r="A2024" t="s">
        <v>7496</v>
      </c>
      <c r="B2024" t="s">
        <v>97</v>
      </c>
      <c r="C2024" t="s">
        <v>7497</v>
      </c>
      <c r="D2024" t="s">
        <v>1012</v>
      </c>
      <c r="E2024" t="s">
        <v>290</v>
      </c>
      <c r="F2024">
        <v>69.989999999999995</v>
      </c>
      <c r="G2024" t="s">
        <v>7032</v>
      </c>
      <c r="H2024">
        <v>0</v>
      </c>
      <c r="M2024">
        <v>0</v>
      </c>
      <c r="N2024">
        <v>0</v>
      </c>
      <c r="O2024">
        <v>0</v>
      </c>
      <c r="P2024">
        <v>3</v>
      </c>
    </row>
    <row r="2025" spans="1:16" x14ac:dyDescent="0.2">
      <c r="A2025" t="s">
        <v>2286</v>
      </c>
      <c r="B2025" t="s">
        <v>97</v>
      </c>
      <c r="C2025" t="s">
        <v>2287</v>
      </c>
      <c r="D2025" t="s">
        <v>2146</v>
      </c>
      <c r="E2025" t="s">
        <v>228</v>
      </c>
      <c r="F2025">
        <v>99.99</v>
      </c>
      <c r="G2025" t="s">
        <v>7032</v>
      </c>
      <c r="H2025">
        <v>0</v>
      </c>
      <c r="M2025">
        <v>0</v>
      </c>
      <c r="N2025">
        <v>0</v>
      </c>
      <c r="O2025">
        <v>0</v>
      </c>
      <c r="P2025">
        <v>0</v>
      </c>
    </row>
    <row r="2026" spans="1:16" x14ac:dyDescent="0.2">
      <c r="A2026" t="s">
        <v>6303</v>
      </c>
      <c r="B2026" t="s">
        <v>97</v>
      </c>
      <c r="C2026" t="s">
        <v>6304</v>
      </c>
      <c r="D2026" t="s">
        <v>2502</v>
      </c>
      <c r="E2026" t="s">
        <v>290</v>
      </c>
      <c r="F2026">
        <v>89.99</v>
      </c>
      <c r="G2026" t="s">
        <v>7032</v>
      </c>
      <c r="H2026">
        <v>0</v>
      </c>
      <c r="M2026">
        <v>0</v>
      </c>
      <c r="N2026">
        <v>0</v>
      </c>
      <c r="O2026">
        <v>0</v>
      </c>
      <c r="P2026">
        <v>0</v>
      </c>
    </row>
    <row r="2027" spans="1:16" x14ac:dyDescent="0.2">
      <c r="A2027" t="s">
        <v>2294</v>
      </c>
      <c r="B2027" t="s">
        <v>97</v>
      </c>
      <c r="C2027" t="s">
        <v>2295</v>
      </c>
      <c r="D2027" t="s">
        <v>2146</v>
      </c>
      <c r="E2027" t="s">
        <v>290</v>
      </c>
      <c r="F2027">
        <v>99.99</v>
      </c>
      <c r="G2027" t="s">
        <v>7032</v>
      </c>
      <c r="H2027">
        <v>0</v>
      </c>
      <c r="M2027">
        <v>0</v>
      </c>
      <c r="N2027">
        <v>0</v>
      </c>
      <c r="O2027">
        <v>0</v>
      </c>
      <c r="P2027">
        <v>0</v>
      </c>
    </row>
    <row r="2028" spans="1:16" x14ac:dyDescent="0.2">
      <c r="A2028" t="s">
        <v>7498</v>
      </c>
      <c r="B2028" t="s">
        <v>97</v>
      </c>
      <c r="C2028" t="s">
        <v>7499</v>
      </c>
      <c r="D2028" t="s">
        <v>446</v>
      </c>
      <c r="E2028" t="s">
        <v>96</v>
      </c>
      <c r="F2028">
        <v>99.99</v>
      </c>
      <c r="G2028" t="s">
        <v>7032</v>
      </c>
      <c r="H2028">
        <v>0</v>
      </c>
      <c r="M2028">
        <v>0</v>
      </c>
      <c r="N2028">
        <v>0</v>
      </c>
      <c r="O2028">
        <v>0</v>
      </c>
      <c r="P2028">
        <v>0</v>
      </c>
    </row>
    <row r="2029" spans="1:16" x14ac:dyDescent="0.2">
      <c r="A2029" t="s">
        <v>4947</v>
      </c>
      <c r="B2029" t="s">
        <v>97</v>
      </c>
      <c r="C2029" t="s">
        <v>4948</v>
      </c>
      <c r="D2029" t="s">
        <v>446</v>
      </c>
      <c r="E2029" t="s">
        <v>96</v>
      </c>
      <c r="F2029">
        <v>99.99</v>
      </c>
      <c r="G2029" t="s">
        <v>7032</v>
      </c>
      <c r="H2029">
        <v>0</v>
      </c>
      <c r="M2029">
        <v>0</v>
      </c>
      <c r="N2029">
        <v>0</v>
      </c>
      <c r="O2029">
        <v>0</v>
      </c>
      <c r="P2029">
        <v>0</v>
      </c>
    </row>
    <row r="2030" spans="1:16" x14ac:dyDescent="0.2">
      <c r="A2030" t="s">
        <v>7500</v>
      </c>
      <c r="B2030" t="s">
        <v>97</v>
      </c>
      <c r="C2030" t="s">
        <v>7501</v>
      </c>
      <c r="D2030" t="s">
        <v>446</v>
      </c>
      <c r="E2030" t="s">
        <v>96</v>
      </c>
      <c r="F2030">
        <v>59.99</v>
      </c>
      <c r="G2030" t="s">
        <v>7032</v>
      </c>
      <c r="H2030">
        <v>0</v>
      </c>
      <c r="M2030">
        <v>0</v>
      </c>
      <c r="N2030">
        <v>0</v>
      </c>
      <c r="O2030">
        <v>0</v>
      </c>
      <c r="P2030">
        <v>0</v>
      </c>
    </row>
    <row r="2031" spans="1:16" x14ac:dyDescent="0.2">
      <c r="A2031" t="s">
        <v>5810</v>
      </c>
      <c r="B2031" t="s">
        <v>97</v>
      </c>
      <c r="C2031" t="s">
        <v>5811</v>
      </c>
      <c r="D2031" t="s">
        <v>2495</v>
      </c>
      <c r="E2031" t="s">
        <v>96</v>
      </c>
      <c r="F2031">
        <v>349.99</v>
      </c>
      <c r="G2031" t="s">
        <v>7032</v>
      </c>
      <c r="H2031">
        <v>0</v>
      </c>
      <c r="M2031">
        <v>0</v>
      </c>
      <c r="N2031">
        <v>0</v>
      </c>
      <c r="O2031">
        <v>0</v>
      </c>
      <c r="P2031">
        <v>0</v>
      </c>
    </row>
    <row r="2032" spans="1:16" x14ac:dyDescent="0.2">
      <c r="A2032" t="s">
        <v>7502</v>
      </c>
      <c r="B2032" t="s">
        <v>97</v>
      </c>
      <c r="C2032" t="s">
        <v>7503</v>
      </c>
      <c r="D2032" t="s">
        <v>446</v>
      </c>
      <c r="E2032" t="s">
        <v>96</v>
      </c>
      <c r="F2032">
        <v>39.99</v>
      </c>
      <c r="G2032" t="s">
        <v>7032</v>
      </c>
      <c r="H2032">
        <v>0</v>
      </c>
      <c r="M2032">
        <v>0</v>
      </c>
      <c r="N2032">
        <v>0</v>
      </c>
      <c r="O2032">
        <v>0</v>
      </c>
      <c r="P2032">
        <v>0</v>
      </c>
    </row>
    <row r="2033" spans="1:16" x14ac:dyDescent="0.2">
      <c r="A2033" t="s">
        <v>4893</v>
      </c>
      <c r="B2033" t="s">
        <v>97</v>
      </c>
      <c r="C2033" t="s">
        <v>4894</v>
      </c>
      <c r="D2033" t="s">
        <v>446</v>
      </c>
      <c r="E2033" t="s">
        <v>96</v>
      </c>
      <c r="F2033">
        <v>79.989999999999995</v>
      </c>
      <c r="G2033" t="s">
        <v>7032</v>
      </c>
      <c r="H2033">
        <v>0</v>
      </c>
      <c r="M2033">
        <v>0</v>
      </c>
      <c r="N2033">
        <v>0</v>
      </c>
      <c r="O2033">
        <v>0</v>
      </c>
      <c r="P2033">
        <v>0</v>
      </c>
    </row>
    <row r="2034" spans="1:16" x14ac:dyDescent="0.2">
      <c r="A2034" t="s">
        <v>855</v>
      </c>
      <c r="B2034" t="s">
        <v>97</v>
      </c>
      <c r="C2034" t="s">
        <v>856</v>
      </c>
      <c r="D2034" t="s">
        <v>446</v>
      </c>
      <c r="E2034" t="s">
        <v>96</v>
      </c>
      <c r="F2034">
        <v>69.989999999999995</v>
      </c>
      <c r="G2034" t="s">
        <v>7032</v>
      </c>
      <c r="H2034">
        <v>0</v>
      </c>
      <c r="M2034">
        <v>0</v>
      </c>
      <c r="N2034">
        <v>0</v>
      </c>
      <c r="O2034">
        <v>0</v>
      </c>
      <c r="P2034">
        <v>1</v>
      </c>
    </row>
    <row r="2035" spans="1:16" x14ac:dyDescent="0.2">
      <c r="A2035" t="s">
        <v>859</v>
      </c>
      <c r="B2035" t="s">
        <v>97</v>
      </c>
      <c r="C2035" t="s">
        <v>860</v>
      </c>
      <c r="D2035" t="s">
        <v>446</v>
      </c>
      <c r="E2035" t="s">
        <v>96</v>
      </c>
      <c r="F2035">
        <v>99.99</v>
      </c>
      <c r="G2035" t="s">
        <v>7032</v>
      </c>
      <c r="H2035">
        <v>0</v>
      </c>
      <c r="M2035">
        <v>0</v>
      </c>
      <c r="N2035">
        <v>0</v>
      </c>
      <c r="O2035">
        <v>0</v>
      </c>
      <c r="P2035">
        <v>0</v>
      </c>
    </row>
    <row r="2036" spans="1:16" x14ac:dyDescent="0.2">
      <c r="A2036" t="s">
        <v>4962</v>
      </c>
      <c r="B2036" t="s">
        <v>97</v>
      </c>
      <c r="C2036" t="s">
        <v>4963</v>
      </c>
      <c r="D2036" t="s">
        <v>446</v>
      </c>
      <c r="E2036" t="s">
        <v>290</v>
      </c>
      <c r="F2036">
        <v>24.99</v>
      </c>
      <c r="G2036" t="s">
        <v>7032</v>
      </c>
      <c r="H2036">
        <v>3.0864197530864196E-3</v>
      </c>
      <c r="M2036">
        <v>162.00000000000003</v>
      </c>
      <c r="N2036">
        <v>0.16666666666666663</v>
      </c>
      <c r="O2036">
        <v>0</v>
      </c>
      <c r="P2036">
        <v>27</v>
      </c>
    </row>
    <row r="2037" spans="1:16" x14ac:dyDescent="0.2">
      <c r="A2037" t="s">
        <v>2539</v>
      </c>
      <c r="B2037" t="s">
        <v>97</v>
      </c>
      <c r="C2037" t="s">
        <v>2540</v>
      </c>
      <c r="D2037" t="s">
        <v>2502</v>
      </c>
      <c r="E2037" t="s">
        <v>228</v>
      </c>
      <c r="F2037">
        <v>54.99</v>
      </c>
      <c r="G2037" t="s">
        <v>7032</v>
      </c>
      <c r="H2037">
        <v>0</v>
      </c>
      <c r="M2037">
        <v>0</v>
      </c>
      <c r="N2037">
        <v>0</v>
      </c>
      <c r="O2037">
        <v>0</v>
      </c>
      <c r="P2037">
        <v>0</v>
      </c>
    </row>
    <row r="2038" spans="1:16" x14ac:dyDescent="0.2">
      <c r="A2038" t="s">
        <v>7504</v>
      </c>
      <c r="B2038" t="s">
        <v>97</v>
      </c>
      <c r="C2038" t="s">
        <v>7505</v>
      </c>
      <c r="D2038" t="s">
        <v>446</v>
      </c>
      <c r="E2038" t="s">
        <v>96</v>
      </c>
      <c r="F2038">
        <v>11.99</v>
      </c>
      <c r="G2038" t="s">
        <v>7032</v>
      </c>
      <c r="H2038">
        <v>0</v>
      </c>
      <c r="M2038">
        <v>0</v>
      </c>
      <c r="N2038">
        <v>0</v>
      </c>
      <c r="O2038">
        <v>0</v>
      </c>
      <c r="P2038">
        <v>0</v>
      </c>
    </row>
    <row r="2039" spans="1:16" x14ac:dyDescent="0.2">
      <c r="A2039" t="s">
        <v>2555</v>
      </c>
      <c r="B2039" t="s">
        <v>97</v>
      </c>
      <c r="C2039" t="s">
        <v>2556</v>
      </c>
      <c r="D2039" t="s">
        <v>2502</v>
      </c>
      <c r="E2039" t="s">
        <v>228</v>
      </c>
      <c r="F2039">
        <v>129.99</v>
      </c>
      <c r="G2039" t="s">
        <v>7032</v>
      </c>
      <c r="H2039">
        <v>0</v>
      </c>
      <c r="M2039">
        <v>0</v>
      </c>
      <c r="N2039">
        <v>0</v>
      </c>
      <c r="O2039">
        <v>0</v>
      </c>
      <c r="P2039">
        <v>0</v>
      </c>
    </row>
    <row r="2040" spans="1:16" x14ac:dyDescent="0.2">
      <c r="A2040" t="s">
        <v>4643</v>
      </c>
      <c r="B2040" t="s">
        <v>97</v>
      </c>
      <c r="C2040" t="s">
        <v>4644</v>
      </c>
      <c r="D2040" t="s">
        <v>446</v>
      </c>
      <c r="E2040" t="s">
        <v>96</v>
      </c>
      <c r="F2040">
        <v>19.989999999999998</v>
      </c>
      <c r="G2040" t="s">
        <v>7032</v>
      </c>
      <c r="H2040">
        <v>0</v>
      </c>
      <c r="M2040">
        <v>0</v>
      </c>
      <c r="N2040">
        <v>0</v>
      </c>
      <c r="O2040">
        <v>0</v>
      </c>
      <c r="P2040">
        <v>1</v>
      </c>
    </row>
    <row r="2041" spans="1:16" x14ac:dyDescent="0.2">
      <c r="A2041" t="s">
        <v>7186</v>
      </c>
      <c r="B2041" t="s">
        <v>97</v>
      </c>
      <c r="C2041" t="s">
        <v>7188</v>
      </c>
      <c r="D2041" t="s">
        <v>2502</v>
      </c>
      <c r="E2041" t="s">
        <v>96</v>
      </c>
      <c r="F2041">
        <v>79.989999999999995</v>
      </c>
      <c r="G2041" t="s">
        <v>7032</v>
      </c>
      <c r="H2041">
        <v>0</v>
      </c>
      <c r="M2041">
        <v>0</v>
      </c>
      <c r="N2041">
        <v>0</v>
      </c>
      <c r="O2041">
        <v>0</v>
      </c>
      <c r="P2041">
        <v>0</v>
      </c>
    </row>
    <row r="2042" spans="1:16" x14ac:dyDescent="0.2">
      <c r="A2042" t="s">
        <v>2559</v>
      </c>
      <c r="B2042" t="s">
        <v>97</v>
      </c>
      <c r="C2042" t="s">
        <v>2560</v>
      </c>
      <c r="D2042" t="s">
        <v>2502</v>
      </c>
      <c r="E2042" t="s">
        <v>228</v>
      </c>
      <c r="F2042">
        <v>17.989999999999998</v>
      </c>
      <c r="G2042" t="s">
        <v>7032</v>
      </c>
      <c r="H2042">
        <v>2.7777777777777776E-2</v>
      </c>
      <c r="M2042">
        <v>0</v>
      </c>
      <c r="N2042">
        <v>0</v>
      </c>
      <c r="O2042">
        <v>0</v>
      </c>
      <c r="P2042">
        <v>3</v>
      </c>
    </row>
    <row r="2043" spans="1:16" x14ac:dyDescent="0.2">
      <c r="A2043" t="s">
        <v>4647</v>
      </c>
      <c r="B2043" t="s">
        <v>97</v>
      </c>
      <c r="C2043" t="s">
        <v>4648</v>
      </c>
      <c r="D2043" t="s">
        <v>446</v>
      </c>
      <c r="E2043" t="s">
        <v>96</v>
      </c>
      <c r="F2043">
        <v>24.99</v>
      </c>
      <c r="G2043" t="s">
        <v>7032</v>
      </c>
      <c r="H2043">
        <v>0</v>
      </c>
      <c r="M2043">
        <v>0</v>
      </c>
      <c r="N2043">
        <v>0</v>
      </c>
      <c r="O2043">
        <v>0</v>
      </c>
      <c r="P2043">
        <v>11</v>
      </c>
    </row>
    <row r="2044" spans="1:16" x14ac:dyDescent="0.2">
      <c r="A2044" t="s">
        <v>2561</v>
      </c>
      <c r="B2044" t="s">
        <v>97</v>
      </c>
      <c r="C2044" t="s">
        <v>2562</v>
      </c>
      <c r="D2044" t="s">
        <v>2502</v>
      </c>
      <c r="E2044" t="s">
        <v>228</v>
      </c>
      <c r="F2044">
        <v>17.989999999999998</v>
      </c>
      <c r="G2044" t="s">
        <v>7032</v>
      </c>
      <c r="H2044">
        <v>4.1666666666666664E-2</v>
      </c>
      <c r="M2044">
        <v>12.000000000000004</v>
      </c>
      <c r="N2044">
        <v>0.16666666666666663</v>
      </c>
      <c r="O2044">
        <v>0</v>
      </c>
      <c r="P2044">
        <v>2</v>
      </c>
    </row>
    <row r="2045" spans="1:16" x14ac:dyDescent="0.2">
      <c r="A2045" t="s">
        <v>926</v>
      </c>
      <c r="B2045" t="s">
        <v>97</v>
      </c>
      <c r="C2045" t="s">
        <v>927</v>
      </c>
      <c r="D2045" t="s">
        <v>446</v>
      </c>
      <c r="E2045" t="s">
        <v>96</v>
      </c>
      <c r="F2045">
        <v>29.99</v>
      </c>
      <c r="G2045" t="s">
        <v>7032</v>
      </c>
      <c r="H2045">
        <v>0</v>
      </c>
      <c r="M2045">
        <v>0</v>
      </c>
      <c r="N2045">
        <v>0</v>
      </c>
      <c r="O2045">
        <v>0</v>
      </c>
      <c r="P2045">
        <v>0</v>
      </c>
    </row>
    <row r="2046" spans="1:16" x14ac:dyDescent="0.2">
      <c r="A2046" t="s">
        <v>928</v>
      </c>
      <c r="B2046" t="s">
        <v>97</v>
      </c>
      <c r="C2046" t="s">
        <v>929</v>
      </c>
      <c r="D2046" t="s">
        <v>446</v>
      </c>
      <c r="E2046" t="s">
        <v>228</v>
      </c>
      <c r="F2046">
        <v>79.989999999999995</v>
      </c>
      <c r="G2046" t="s">
        <v>7032</v>
      </c>
      <c r="H2046">
        <v>0</v>
      </c>
      <c r="M2046">
        <v>0</v>
      </c>
      <c r="N2046">
        <v>0</v>
      </c>
      <c r="O2046">
        <v>0</v>
      </c>
      <c r="P2046">
        <v>0</v>
      </c>
    </row>
    <row r="2047" spans="1:16" x14ac:dyDescent="0.2">
      <c r="A2047" t="s">
        <v>6114</v>
      </c>
      <c r="B2047" t="s">
        <v>97</v>
      </c>
      <c r="C2047" t="s">
        <v>6115</v>
      </c>
      <c r="D2047" t="s">
        <v>2502</v>
      </c>
      <c r="E2047" t="s">
        <v>96</v>
      </c>
      <c r="F2047">
        <v>99.99</v>
      </c>
      <c r="G2047" t="s">
        <v>7032</v>
      </c>
      <c r="H2047">
        <v>0</v>
      </c>
      <c r="M2047">
        <v>0</v>
      </c>
      <c r="N2047">
        <v>0</v>
      </c>
      <c r="O2047">
        <v>0</v>
      </c>
      <c r="P2047">
        <v>0</v>
      </c>
    </row>
    <row r="2048" spans="1:16" x14ac:dyDescent="0.2">
      <c r="A2048" t="s">
        <v>7183</v>
      </c>
      <c r="B2048" t="s">
        <v>97</v>
      </c>
      <c r="C2048" t="s">
        <v>7185</v>
      </c>
      <c r="D2048" t="s">
        <v>2502</v>
      </c>
      <c r="E2048" t="s">
        <v>96</v>
      </c>
      <c r="F2048">
        <v>74.989999999999995</v>
      </c>
      <c r="G2048" t="s">
        <v>7032</v>
      </c>
      <c r="H2048">
        <v>0</v>
      </c>
      <c r="M2048">
        <v>0</v>
      </c>
      <c r="N2048">
        <v>0</v>
      </c>
      <c r="O2048">
        <v>0</v>
      </c>
      <c r="P2048">
        <v>0</v>
      </c>
    </row>
    <row r="2049" spans="1:16" x14ac:dyDescent="0.2">
      <c r="A2049" t="s">
        <v>2481</v>
      </c>
      <c r="B2049" t="s">
        <v>97</v>
      </c>
      <c r="C2049" t="s">
        <v>2482</v>
      </c>
      <c r="D2049" t="s">
        <v>2448</v>
      </c>
      <c r="E2049" t="s">
        <v>228</v>
      </c>
      <c r="F2049">
        <v>59.99</v>
      </c>
      <c r="G2049" t="s">
        <v>7032</v>
      </c>
      <c r="H2049">
        <v>0</v>
      </c>
      <c r="M2049">
        <v>0</v>
      </c>
      <c r="N2049">
        <v>0</v>
      </c>
      <c r="O2049">
        <v>0</v>
      </c>
      <c r="P2049">
        <v>0</v>
      </c>
    </row>
    <row r="2050" spans="1:16" x14ac:dyDescent="0.2">
      <c r="A2050" t="s">
        <v>2479</v>
      </c>
      <c r="B2050" t="s">
        <v>97</v>
      </c>
      <c r="C2050" t="s">
        <v>7027</v>
      </c>
      <c r="D2050" t="s">
        <v>2448</v>
      </c>
      <c r="E2050" t="s">
        <v>228</v>
      </c>
      <c r="F2050">
        <v>59.99</v>
      </c>
      <c r="G2050" t="s">
        <v>7032</v>
      </c>
      <c r="H2050">
        <v>0.25</v>
      </c>
      <c r="M2050">
        <v>0</v>
      </c>
      <c r="N2050">
        <v>0</v>
      </c>
      <c r="O2050">
        <v>0</v>
      </c>
      <c r="P2050">
        <v>1</v>
      </c>
    </row>
    <row r="2051" spans="1:16" x14ac:dyDescent="0.2">
      <c r="A2051" t="s">
        <v>2473</v>
      </c>
      <c r="B2051" t="s">
        <v>97</v>
      </c>
      <c r="C2051" t="s">
        <v>7017</v>
      </c>
      <c r="D2051" t="s">
        <v>2448</v>
      </c>
      <c r="E2051" t="s">
        <v>228</v>
      </c>
      <c r="F2051">
        <v>59.99</v>
      </c>
      <c r="G2051" t="s">
        <v>7032</v>
      </c>
      <c r="H2051">
        <v>0</v>
      </c>
      <c r="M2051">
        <v>0</v>
      </c>
      <c r="N2051">
        <v>0</v>
      </c>
      <c r="O2051">
        <v>0</v>
      </c>
      <c r="P2051">
        <v>0</v>
      </c>
    </row>
    <row r="2052" spans="1:16" x14ac:dyDescent="0.2">
      <c r="A2052" t="s">
        <v>2471</v>
      </c>
      <c r="B2052" t="s">
        <v>97</v>
      </c>
      <c r="C2052" t="s">
        <v>2472</v>
      </c>
      <c r="D2052" t="s">
        <v>2448</v>
      </c>
      <c r="E2052" t="s">
        <v>228</v>
      </c>
      <c r="F2052">
        <v>59.99</v>
      </c>
      <c r="G2052" t="s">
        <v>7032</v>
      </c>
      <c r="H2052">
        <v>0</v>
      </c>
      <c r="M2052">
        <v>0</v>
      </c>
      <c r="N2052">
        <v>0.16666666666666666</v>
      </c>
      <c r="O2052">
        <v>0</v>
      </c>
      <c r="P2052">
        <v>0</v>
      </c>
    </row>
    <row r="2053" spans="1:16" x14ac:dyDescent="0.2">
      <c r="A2053" t="s">
        <v>7506</v>
      </c>
      <c r="B2053" t="s">
        <v>97</v>
      </c>
      <c r="C2053" t="s">
        <v>7507</v>
      </c>
      <c r="D2053" t="s">
        <v>1012</v>
      </c>
      <c r="E2053" t="s">
        <v>96</v>
      </c>
      <c r="F2053">
        <v>139.99</v>
      </c>
      <c r="G2053" t="s">
        <v>7032</v>
      </c>
      <c r="H2053">
        <v>0</v>
      </c>
      <c r="M2053">
        <v>0</v>
      </c>
      <c r="N2053">
        <v>0</v>
      </c>
      <c r="O2053">
        <v>0</v>
      </c>
      <c r="P2053">
        <v>0</v>
      </c>
    </row>
    <row r="2054" spans="1:16" x14ac:dyDescent="0.2">
      <c r="A2054" t="s">
        <v>7508</v>
      </c>
      <c r="B2054" t="s">
        <v>97</v>
      </c>
      <c r="C2054" t="s">
        <v>7509</v>
      </c>
      <c r="D2054" t="s">
        <v>1897</v>
      </c>
      <c r="E2054" t="s">
        <v>96</v>
      </c>
      <c r="F2054">
        <v>39.99</v>
      </c>
      <c r="G2054" t="s">
        <v>7032</v>
      </c>
      <c r="H2054">
        <v>0</v>
      </c>
      <c r="M2054">
        <v>0</v>
      </c>
      <c r="N2054">
        <v>0</v>
      </c>
      <c r="O2054">
        <v>0</v>
      </c>
      <c r="P2054">
        <v>0</v>
      </c>
    </row>
    <row r="2055" spans="1:16" x14ac:dyDescent="0.2">
      <c r="A2055" t="s">
        <v>2513</v>
      </c>
      <c r="B2055" t="s">
        <v>97</v>
      </c>
      <c r="C2055" t="s">
        <v>2514</v>
      </c>
      <c r="D2055" t="s">
        <v>2502</v>
      </c>
      <c r="E2055" t="s">
        <v>228</v>
      </c>
      <c r="F2055">
        <v>199.99</v>
      </c>
      <c r="G2055" t="s">
        <v>7032</v>
      </c>
      <c r="H2055">
        <v>1.3888888888888888E-2</v>
      </c>
      <c r="M2055">
        <v>0</v>
      </c>
      <c r="N2055">
        <v>0</v>
      </c>
      <c r="O2055">
        <v>0</v>
      </c>
      <c r="P2055">
        <v>6</v>
      </c>
    </row>
    <row r="2056" spans="1:16" x14ac:dyDescent="0.2">
      <c r="A2056" t="s">
        <v>2503</v>
      </c>
      <c r="B2056" t="s">
        <v>97</v>
      </c>
      <c r="C2056" t="s">
        <v>2504</v>
      </c>
      <c r="D2056" t="s">
        <v>2502</v>
      </c>
      <c r="E2056" t="s">
        <v>228</v>
      </c>
      <c r="F2056">
        <v>129.99</v>
      </c>
      <c r="G2056" t="s">
        <v>7032</v>
      </c>
      <c r="H2056">
        <v>0</v>
      </c>
      <c r="M2056">
        <v>0</v>
      </c>
      <c r="N2056">
        <v>0</v>
      </c>
      <c r="O2056">
        <v>0</v>
      </c>
      <c r="P2056">
        <v>2</v>
      </c>
    </row>
    <row r="2057" spans="1:16" x14ac:dyDescent="0.2">
      <c r="A2057" t="s">
        <v>2505</v>
      </c>
      <c r="B2057" t="s">
        <v>97</v>
      </c>
      <c r="C2057" t="s">
        <v>2506</v>
      </c>
      <c r="D2057" t="s">
        <v>2502</v>
      </c>
      <c r="E2057" t="s">
        <v>228</v>
      </c>
      <c r="F2057">
        <v>119.99</v>
      </c>
      <c r="G2057" t="s">
        <v>7032</v>
      </c>
      <c r="H2057">
        <v>0</v>
      </c>
      <c r="M2057">
        <v>0</v>
      </c>
      <c r="N2057">
        <v>0</v>
      </c>
      <c r="O2057">
        <v>0</v>
      </c>
      <c r="P2057">
        <v>0</v>
      </c>
    </row>
    <row r="2058" spans="1:16" x14ac:dyDescent="0.2">
      <c r="A2058" t="s">
        <v>884</v>
      </c>
      <c r="B2058" t="s">
        <v>97</v>
      </c>
      <c r="C2058" t="s">
        <v>885</v>
      </c>
      <c r="D2058" t="s">
        <v>446</v>
      </c>
      <c r="E2058" t="s">
        <v>228</v>
      </c>
      <c r="F2058">
        <v>99.99</v>
      </c>
      <c r="G2058" t="s">
        <v>7032</v>
      </c>
      <c r="H2058">
        <v>0</v>
      </c>
      <c r="M2058">
        <v>0</v>
      </c>
      <c r="N2058">
        <v>0</v>
      </c>
      <c r="O2058">
        <v>0</v>
      </c>
      <c r="P2058">
        <v>3</v>
      </c>
    </row>
    <row r="2059" spans="1:16" x14ac:dyDescent="0.2">
      <c r="A2059" t="s">
        <v>2507</v>
      </c>
      <c r="B2059" t="s">
        <v>97</v>
      </c>
      <c r="C2059" t="s">
        <v>2508</v>
      </c>
      <c r="D2059" t="s">
        <v>2502</v>
      </c>
      <c r="E2059" t="s">
        <v>228</v>
      </c>
      <c r="F2059">
        <v>139.99</v>
      </c>
      <c r="G2059" t="s">
        <v>7032</v>
      </c>
      <c r="H2059">
        <v>0</v>
      </c>
      <c r="M2059">
        <v>0</v>
      </c>
      <c r="N2059">
        <v>0</v>
      </c>
      <c r="O2059">
        <v>0</v>
      </c>
      <c r="P2059">
        <v>1</v>
      </c>
    </row>
    <row r="2060" spans="1:16" x14ac:dyDescent="0.2">
      <c r="A2060" t="s">
        <v>886</v>
      </c>
      <c r="B2060" t="s">
        <v>97</v>
      </c>
      <c r="C2060" t="s">
        <v>887</v>
      </c>
      <c r="D2060" t="s">
        <v>446</v>
      </c>
      <c r="E2060" t="s">
        <v>228</v>
      </c>
      <c r="F2060">
        <v>39.99</v>
      </c>
      <c r="G2060" t="s">
        <v>7032</v>
      </c>
      <c r="H2060">
        <v>0</v>
      </c>
      <c r="M2060">
        <v>0</v>
      </c>
      <c r="N2060">
        <v>0</v>
      </c>
      <c r="O2060">
        <v>0</v>
      </c>
      <c r="P2060">
        <v>0</v>
      </c>
    </row>
    <row r="2061" spans="1:16" x14ac:dyDescent="0.2">
      <c r="A2061" t="s">
        <v>888</v>
      </c>
      <c r="B2061" t="s">
        <v>97</v>
      </c>
      <c r="C2061" t="s">
        <v>889</v>
      </c>
      <c r="D2061" t="s">
        <v>446</v>
      </c>
      <c r="E2061" t="s">
        <v>228</v>
      </c>
      <c r="F2061">
        <v>39.99</v>
      </c>
      <c r="G2061" t="s">
        <v>7032</v>
      </c>
      <c r="H2061">
        <v>0</v>
      </c>
      <c r="M2061">
        <v>0</v>
      </c>
      <c r="N2061">
        <v>0</v>
      </c>
      <c r="O2061">
        <v>0</v>
      </c>
      <c r="P2061">
        <v>0</v>
      </c>
    </row>
    <row r="2062" spans="1:16" x14ac:dyDescent="0.2">
      <c r="A2062" t="s">
        <v>930</v>
      </c>
      <c r="B2062" t="s">
        <v>97</v>
      </c>
      <c r="C2062" t="s">
        <v>931</v>
      </c>
      <c r="D2062" t="s">
        <v>446</v>
      </c>
      <c r="E2062" t="s">
        <v>228</v>
      </c>
      <c r="F2062">
        <v>69.989999999999995</v>
      </c>
      <c r="G2062" t="s">
        <v>7032</v>
      </c>
      <c r="H2062">
        <v>0</v>
      </c>
      <c r="M2062">
        <v>0</v>
      </c>
      <c r="N2062">
        <v>0</v>
      </c>
      <c r="O2062">
        <v>0</v>
      </c>
      <c r="P2062">
        <v>0</v>
      </c>
    </row>
    <row r="2063" spans="1:16" x14ac:dyDescent="0.2">
      <c r="A2063" t="s">
        <v>5813</v>
      </c>
      <c r="B2063" t="s">
        <v>97</v>
      </c>
      <c r="C2063" t="s">
        <v>5814</v>
      </c>
      <c r="D2063" t="s">
        <v>2495</v>
      </c>
      <c r="E2063" t="s">
        <v>96</v>
      </c>
      <c r="F2063">
        <v>999.99</v>
      </c>
      <c r="G2063" t="s">
        <v>7032</v>
      </c>
      <c r="H2063">
        <v>0</v>
      </c>
      <c r="M2063">
        <v>0</v>
      </c>
      <c r="N2063">
        <v>0</v>
      </c>
      <c r="O2063">
        <v>0</v>
      </c>
      <c r="P2063">
        <v>0</v>
      </c>
    </row>
    <row r="2064" spans="1:16" x14ac:dyDescent="0.2">
      <c r="A2064" t="s">
        <v>892</v>
      </c>
      <c r="B2064" t="s">
        <v>97</v>
      </c>
      <c r="C2064" t="s">
        <v>893</v>
      </c>
      <c r="D2064" t="s">
        <v>446</v>
      </c>
      <c r="E2064" t="s">
        <v>228</v>
      </c>
      <c r="F2064">
        <v>29.99</v>
      </c>
      <c r="G2064" t="s">
        <v>7032</v>
      </c>
      <c r="H2064">
        <v>0</v>
      </c>
      <c r="M2064">
        <v>0</v>
      </c>
      <c r="N2064">
        <v>0.16666666666666666</v>
      </c>
      <c r="O2064">
        <v>0</v>
      </c>
      <c r="P2064">
        <v>0</v>
      </c>
    </row>
    <row r="2065" spans="1:16" x14ac:dyDescent="0.2">
      <c r="A2065" t="s">
        <v>2519</v>
      </c>
      <c r="B2065" t="s">
        <v>97</v>
      </c>
      <c r="C2065" t="s">
        <v>2520</v>
      </c>
      <c r="D2065" t="s">
        <v>2502</v>
      </c>
      <c r="E2065" t="s">
        <v>228</v>
      </c>
      <c r="F2065">
        <v>249.99</v>
      </c>
      <c r="G2065" t="s">
        <v>7032</v>
      </c>
      <c r="H2065">
        <v>0</v>
      </c>
      <c r="M2065">
        <v>0</v>
      </c>
      <c r="N2065">
        <v>0</v>
      </c>
      <c r="O2065">
        <v>0</v>
      </c>
      <c r="P2065">
        <v>0</v>
      </c>
    </row>
    <row r="2066" spans="1:16" x14ac:dyDescent="0.2">
      <c r="A2066" t="s">
        <v>5924</v>
      </c>
      <c r="B2066" t="s">
        <v>97</v>
      </c>
      <c r="C2066" t="s">
        <v>5925</v>
      </c>
      <c r="D2066" t="s">
        <v>2502</v>
      </c>
      <c r="E2066" t="s">
        <v>290</v>
      </c>
      <c r="F2066">
        <v>49.99</v>
      </c>
      <c r="G2066" t="s">
        <v>7032</v>
      </c>
      <c r="H2066">
        <v>0</v>
      </c>
      <c r="M2066">
        <v>0</v>
      </c>
      <c r="N2066">
        <v>0</v>
      </c>
      <c r="O2066">
        <v>0</v>
      </c>
      <c r="P2066">
        <v>0</v>
      </c>
    </row>
    <row r="2067" spans="1:16" x14ac:dyDescent="0.2">
      <c r="A2067" t="s">
        <v>2529</v>
      </c>
      <c r="B2067" t="s">
        <v>97</v>
      </c>
      <c r="C2067" t="s">
        <v>2530</v>
      </c>
      <c r="D2067" t="s">
        <v>2502</v>
      </c>
      <c r="E2067" t="s">
        <v>228</v>
      </c>
      <c r="F2067">
        <v>49.99</v>
      </c>
      <c r="G2067" t="s">
        <v>7032</v>
      </c>
      <c r="H2067">
        <v>8.3333333333333329E-2</v>
      </c>
      <c r="M2067">
        <v>0</v>
      </c>
      <c r="N2067">
        <v>0</v>
      </c>
      <c r="O2067">
        <v>0</v>
      </c>
      <c r="P2067">
        <v>1</v>
      </c>
    </row>
    <row r="2068" spans="1:16" x14ac:dyDescent="0.2">
      <c r="A2068" t="s">
        <v>7510</v>
      </c>
      <c r="B2068" t="s">
        <v>97</v>
      </c>
      <c r="C2068" t="s">
        <v>7511</v>
      </c>
      <c r="D2068" t="s">
        <v>446</v>
      </c>
      <c r="E2068" t="s">
        <v>96</v>
      </c>
      <c r="F2068">
        <v>29.99</v>
      </c>
      <c r="G2068" t="s">
        <v>7032</v>
      </c>
      <c r="H2068">
        <v>0</v>
      </c>
      <c r="M2068">
        <v>0</v>
      </c>
      <c r="N2068">
        <v>0</v>
      </c>
      <c r="O2068">
        <v>0</v>
      </c>
      <c r="P2068">
        <v>0</v>
      </c>
    </row>
    <row r="2069" spans="1:16" x14ac:dyDescent="0.2">
      <c r="A2069" t="s">
        <v>2500</v>
      </c>
      <c r="B2069" t="s">
        <v>97</v>
      </c>
      <c r="C2069" t="s">
        <v>2501</v>
      </c>
      <c r="D2069" t="s">
        <v>2495</v>
      </c>
      <c r="E2069" t="s">
        <v>290</v>
      </c>
      <c r="F2069">
        <v>159.99</v>
      </c>
      <c r="G2069" t="s">
        <v>7032</v>
      </c>
      <c r="H2069">
        <v>0</v>
      </c>
      <c r="M2069">
        <v>0</v>
      </c>
      <c r="N2069">
        <v>0</v>
      </c>
      <c r="O2069">
        <v>0</v>
      </c>
      <c r="P2069">
        <v>0</v>
      </c>
    </row>
    <row r="2070" spans="1:16" x14ac:dyDescent="0.2">
      <c r="A2070" t="s">
        <v>4911</v>
      </c>
      <c r="B2070" t="s">
        <v>97</v>
      </c>
      <c r="C2070" t="s">
        <v>4912</v>
      </c>
      <c r="D2070" t="s">
        <v>446</v>
      </c>
      <c r="E2070" t="s">
        <v>96</v>
      </c>
      <c r="F2070">
        <v>69.989999999999995</v>
      </c>
      <c r="G2070" t="s">
        <v>7032</v>
      </c>
      <c r="H2070">
        <v>0</v>
      </c>
      <c r="M2070">
        <v>0</v>
      </c>
      <c r="N2070">
        <v>0</v>
      </c>
      <c r="O2070">
        <v>0</v>
      </c>
      <c r="P2070">
        <v>0</v>
      </c>
    </row>
    <row r="2071" spans="1:16" x14ac:dyDescent="0.2">
      <c r="A2071" t="s">
        <v>2567</v>
      </c>
      <c r="B2071" t="s">
        <v>97</v>
      </c>
      <c r="C2071" t="s">
        <v>2568</v>
      </c>
      <c r="D2071" t="s">
        <v>2502</v>
      </c>
      <c r="E2071" t="s">
        <v>228</v>
      </c>
      <c r="F2071">
        <v>79.989999999999995</v>
      </c>
      <c r="G2071" t="s">
        <v>7032</v>
      </c>
      <c r="H2071">
        <v>3.3333333333333333E-2</v>
      </c>
      <c r="M2071">
        <v>0</v>
      </c>
      <c r="N2071">
        <v>0</v>
      </c>
      <c r="O2071">
        <v>0</v>
      </c>
      <c r="P2071">
        <v>5</v>
      </c>
    </row>
    <row r="2072" spans="1:16" x14ac:dyDescent="0.2">
      <c r="A2072" t="s">
        <v>2467</v>
      </c>
      <c r="B2072" t="s">
        <v>97</v>
      </c>
      <c r="C2072" t="s">
        <v>2468</v>
      </c>
      <c r="D2072" t="s">
        <v>2448</v>
      </c>
      <c r="E2072" t="s">
        <v>96</v>
      </c>
      <c r="F2072">
        <v>59.99</v>
      </c>
      <c r="G2072" t="s">
        <v>7032</v>
      </c>
      <c r="H2072">
        <v>0</v>
      </c>
      <c r="M2072">
        <v>0</v>
      </c>
      <c r="N2072">
        <v>0</v>
      </c>
      <c r="O2072">
        <v>0</v>
      </c>
      <c r="P2072">
        <v>0</v>
      </c>
    </row>
    <row r="2073" spans="1:16" x14ac:dyDescent="0.2">
      <c r="A2073" t="s">
        <v>2469</v>
      </c>
      <c r="B2073" t="s">
        <v>97</v>
      </c>
      <c r="C2073" t="s">
        <v>2470</v>
      </c>
      <c r="D2073" t="s">
        <v>2448</v>
      </c>
      <c r="E2073" t="s">
        <v>96</v>
      </c>
      <c r="F2073">
        <v>59.99</v>
      </c>
      <c r="G2073" t="s">
        <v>7032</v>
      </c>
      <c r="H2073">
        <v>0</v>
      </c>
      <c r="M2073">
        <v>0</v>
      </c>
      <c r="N2073">
        <v>0</v>
      </c>
      <c r="O2073">
        <v>0</v>
      </c>
      <c r="P2073">
        <v>0</v>
      </c>
    </row>
    <row r="2074" spans="1:16" x14ac:dyDescent="0.2">
      <c r="A2074" t="s">
        <v>2515</v>
      </c>
      <c r="B2074" t="s">
        <v>97</v>
      </c>
      <c r="C2074" t="s">
        <v>2516</v>
      </c>
      <c r="D2074" t="s">
        <v>2502</v>
      </c>
      <c r="E2074" t="s">
        <v>228</v>
      </c>
      <c r="F2074">
        <v>139.99</v>
      </c>
      <c r="G2074" t="s">
        <v>7032</v>
      </c>
      <c r="H2074">
        <v>0</v>
      </c>
      <c r="M2074">
        <v>0</v>
      </c>
      <c r="N2074">
        <v>0.16666666666666666</v>
      </c>
      <c r="O2074">
        <v>0</v>
      </c>
      <c r="P2074">
        <v>0</v>
      </c>
    </row>
    <row r="2075" spans="1:16" x14ac:dyDescent="0.2">
      <c r="A2075" t="s">
        <v>4820</v>
      </c>
      <c r="B2075" t="s">
        <v>97</v>
      </c>
      <c r="C2075" t="s">
        <v>4821</v>
      </c>
      <c r="D2075" t="s">
        <v>446</v>
      </c>
      <c r="E2075" t="s">
        <v>96</v>
      </c>
      <c r="F2075">
        <v>89.99</v>
      </c>
      <c r="G2075" t="s">
        <v>7032</v>
      </c>
      <c r="H2075">
        <v>0</v>
      </c>
      <c r="M2075">
        <v>0</v>
      </c>
      <c r="N2075">
        <v>0</v>
      </c>
      <c r="O2075">
        <v>0</v>
      </c>
      <c r="P2075">
        <v>0</v>
      </c>
    </row>
    <row r="2076" spans="1:16" x14ac:dyDescent="0.2">
      <c r="A2076" t="s">
        <v>936</v>
      </c>
      <c r="B2076" t="s">
        <v>97</v>
      </c>
      <c r="C2076" t="s">
        <v>937</v>
      </c>
      <c r="D2076" t="s">
        <v>446</v>
      </c>
      <c r="E2076" t="s">
        <v>228</v>
      </c>
      <c r="F2076">
        <v>69.989999999999995</v>
      </c>
      <c r="G2076" t="s">
        <v>7032</v>
      </c>
      <c r="H2076">
        <v>0</v>
      </c>
      <c r="M2076">
        <v>0</v>
      </c>
      <c r="N2076">
        <v>0</v>
      </c>
      <c r="O2076">
        <v>0</v>
      </c>
      <c r="P2076">
        <v>0</v>
      </c>
    </row>
    <row r="2077" spans="1:16" x14ac:dyDescent="0.2">
      <c r="A2077" t="s">
        <v>4949</v>
      </c>
      <c r="B2077" t="s">
        <v>97</v>
      </c>
      <c r="C2077" t="s">
        <v>4950</v>
      </c>
      <c r="D2077" t="s">
        <v>446</v>
      </c>
      <c r="E2077" t="s">
        <v>290</v>
      </c>
      <c r="F2077">
        <v>59.99</v>
      </c>
      <c r="G2077" t="s">
        <v>7032</v>
      </c>
      <c r="H2077">
        <v>0</v>
      </c>
      <c r="M2077">
        <v>0</v>
      </c>
      <c r="N2077">
        <v>0</v>
      </c>
      <c r="O2077">
        <v>0</v>
      </c>
      <c r="P2077">
        <v>0</v>
      </c>
    </row>
    <row r="2078" spans="1:16" x14ac:dyDescent="0.2">
      <c r="A2078" t="s">
        <v>669</v>
      </c>
      <c r="B2078" t="s">
        <v>97</v>
      </c>
      <c r="C2078" t="s">
        <v>670</v>
      </c>
      <c r="D2078" t="s">
        <v>446</v>
      </c>
      <c r="E2078" t="s">
        <v>96</v>
      </c>
      <c r="F2078">
        <v>59.99</v>
      </c>
      <c r="G2078" t="s">
        <v>7032</v>
      </c>
      <c r="H2078">
        <v>0</v>
      </c>
      <c r="M2078">
        <v>0</v>
      </c>
      <c r="N2078">
        <v>0</v>
      </c>
      <c r="O2078">
        <v>0</v>
      </c>
      <c r="P2078">
        <v>0</v>
      </c>
    </row>
    <row r="2079" spans="1:16" x14ac:dyDescent="0.2">
      <c r="A2079" t="s">
        <v>2393</v>
      </c>
      <c r="B2079" t="s">
        <v>97</v>
      </c>
      <c r="C2079" t="s">
        <v>2394</v>
      </c>
      <c r="D2079" t="s">
        <v>2374</v>
      </c>
      <c r="E2079" t="s">
        <v>290</v>
      </c>
      <c r="F2079">
        <v>479.99</v>
      </c>
      <c r="G2079" t="s">
        <v>7032</v>
      </c>
      <c r="H2079">
        <v>0</v>
      </c>
      <c r="M2079">
        <v>0</v>
      </c>
      <c r="N2079">
        <v>0</v>
      </c>
      <c r="O2079">
        <v>0</v>
      </c>
      <c r="P2079">
        <v>0</v>
      </c>
    </row>
    <row r="2080" spans="1:16" x14ac:dyDescent="0.2">
      <c r="A2080" t="s">
        <v>2360</v>
      </c>
      <c r="B2080" t="s">
        <v>97</v>
      </c>
      <c r="C2080" t="s">
        <v>2361</v>
      </c>
      <c r="D2080" t="s">
        <v>2146</v>
      </c>
      <c r="E2080" t="s">
        <v>228</v>
      </c>
      <c r="F2080">
        <v>349.99</v>
      </c>
      <c r="G2080" t="s">
        <v>7032</v>
      </c>
      <c r="H2080">
        <v>0</v>
      </c>
      <c r="M2080">
        <v>0</v>
      </c>
      <c r="N2080">
        <v>0</v>
      </c>
      <c r="O2080">
        <v>0</v>
      </c>
      <c r="P2080">
        <v>0</v>
      </c>
    </row>
    <row r="2081" spans="1:16" x14ac:dyDescent="0.2">
      <c r="A2081" t="s">
        <v>4951</v>
      </c>
      <c r="B2081" t="s">
        <v>97</v>
      </c>
      <c r="C2081" t="s">
        <v>4952</v>
      </c>
      <c r="D2081" t="s">
        <v>446</v>
      </c>
      <c r="E2081" t="s">
        <v>96</v>
      </c>
      <c r="F2081">
        <v>24.99</v>
      </c>
      <c r="G2081" t="s">
        <v>7032</v>
      </c>
      <c r="H2081">
        <v>0</v>
      </c>
      <c r="M2081">
        <v>0</v>
      </c>
      <c r="N2081">
        <v>0</v>
      </c>
      <c r="O2081">
        <v>0</v>
      </c>
      <c r="P2081">
        <v>0</v>
      </c>
    </row>
    <row r="2082" spans="1:16" x14ac:dyDescent="0.2">
      <c r="A2082" t="s">
        <v>2362</v>
      </c>
      <c r="B2082" t="s">
        <v>97</v>
      </c>
      <c r="C2082" t="s">
        <v>2363</v>
      </c>
      <c r="D2082" t="s">
        <v>2146</v>
      </c>
      <c r="E2082" t="s">
        <v>228</v>
      </c>
      <c r="F2082">
        <v>369.99</v>
      </c>
      <c r="G2082" t="s">
        <v>7032</v>
      </c>
      <c r="H2082">
        <v>0</v>
      </c>
      <c r="M2082">
        <v>0</v>
      </c>
      <c r="N2082">
        <v>0</v>
      </c>
      <c r="O2082">
        <v>0</v>
      </c>
      <c r="P2082">
        <v>2</v>
      </c>
    </row>
    <row r="2083" spans="1:16" x14ac:dyDescent="0.2">
      <c r="A2083" t="s">
        <v>4914</v>
      </c>
      <c r="B2083" t="s">
        <v>97</v>
      </c>
      <c r="C2083" t="s">
        <v>4915</v>
      </c>
      <c r="D2083" t="s">
        <v>446</v>
      </c>
      <c r="E2083" t="s">
        <v>96</v>
      </c>
      <c r="F2083">
        <v>39.99</v>
      </c>
      <c r="G2083" t="s">
        <v>7032</v>
      </c>
      <c r="H2083">
        <v>4.1666666666666664E-2</v>
      </c>
      <c r="M2083">
        <v>12</v>
      </c>
      <c r="N2083">
        <v>0.16666666666666666</v>
      </c>
      <c r="O2083">
        <v>0</v>
      </c>
      <c r="P2083">
        <v>2</v>
      </c>
    </row>
    <row r="2084" spans="1:16" x14ac:dyDescent="0.2">
      <c r="A2084" t="s">
        <v>4917</v>
      </c>
      <c r="B2084" t="s">
        <v>97</v>
      </c>
      <c r="C2084" t="s">
        <v>4918</v>
      </c>
      <c r="D2084" t="s">
        <v>446</v>
      </c>
      <c r="E2084" t="s">
        <v>96</v>
      </c>
      <c r="F2084">
        <v>44.99</v>
      </c>
      <c r="G2084" t="s">
        <v>7032</v>
      </c>
      <c r="H2084">
        <v>0</v>
      </c>
      <c r="M2084">
        <v>0</v>
      </c>
      <c r="N2084">
        <v>0</v>
      </c>
      <c r="O2084">
        <v>0</v>
      </c>
      <c r="P2084">
        <v>0</v>
      </c>
    </row>
    <row r="2085" spans="1:16" x14ac:dyDescent="0.2">
      <c r="A2085" t="s">
        <v>2375</v>
      </c>
      <c r="B2085" t="s">
        <v>97</v>
      </c>
      <c r="C2085" t="s">
        <v>2376</v>
      </c>
      <c r="D2085" t="s">
        <v>2374</v>
      </c>
      <c r="E2085" t="s">
        <v>290</v>
      </c>
      <c r="F2085">
        <v>149.99</v>
      </c>
      <c r="G2085" t="s">
        <v>7032</v>
      </c>
      <c r="H2085">
        <v>0</v>
      </c>
      <c r="M2085">
        <v>0</v>
      </c>
      <c r="N2085">
        <v>0</v>
      </c>
      <c r="O2085">
        <v>0</v>
      </c>
      <c r="P2085">
        <v>0</v>
      </c>
    </row>
    <row r="2086" spans="1:16" x14ac:dyDescent="0.2">
      <c r="A2086" t="s">
        <v>2350</v>
      </c>
      <c r="B2086" t="s">
        <v>97</v>
      </c>
      <c r="C2086" t="s">
        <v>2351</v>
      </c>
      <c r="D2086" t="s">
        <v>2146</v>
      </c>
      <c r="E2086" t="s">
        <v>228</v>
      </c>
      <c r="F2086">
        <v>189.99</v>
      </c>
      <c r="G2086" t="s">
        <v>7032</v>
      </c>
      <c r="H2086">
        <v>0</v>
      </c>
      <c r="M2086">
        <v>0</v>
      </c>
      <c r="N2086">
        <v>0</v>
      </c>
      <c r="O2086">
        <v>0</v>
      </c>
      <c r="P2086">
        <v>0</v>
      </c>
    </row>
    <row r="2087" spans="1:16" x14ac:dyDescent="0.2">
      <c r="A2087" t="s">
        <v>2348</v>
      </c>
      <c r="B2087" t="s">
        <v>97</v>
      </c>
      <c r="C2087" t="s">
        <v>2349</v>
      </c>
      <c r="D2087" t="s">
        <v>2146</v>
      </c>
      <c r="E2087" t="s">
        <v>228</v>
      </c>
      <c r="F2087">
        <v>119.99</v>
      </c>
      <c r="G2087" t="s">
        <v>7032</v>
      </c>
      <c r="H2087">
        <v>0</v>
      </c>
      <c r="M2087">
        <v>0</v>
      </c>
      <c r="N2087">
        <v>0</v>
      </c>
      <c r="O2087">
        <v>0</v>
      </c>
      <c r="P2087">
        <v>0</v>
      </c>
    </row>
    <row r="2088" spans="1:16" x14ac:dyDescent="0.2">
      <c r="A2088" t="s">
        <v>2346</v>
      </c>
      <c r="B2088" t="s">
        <v>97</v>
      </c>
      <c r="C2088" t="s">
        <v>2347</v>
      </c>
      <c r="D2088" t="s">
        <v>2146</v>
      </c>
      <c r="E2088" t="s">
        <v>228</v>
      </c>
      <c r="F2088">
        <v>99.99</v>
      </c>
      <c r="G2088" t="s">
        <v>7032</v>
      </c>
      <c r="H2088">
        <v>0</v>
      </c>
      <c r="M2088">
        <v>0</v>
      </c>
      <c r="N2088">
        <v>0</v>
      </c>
      <c r="O2088">
        <v>0</v>
      </c>
      <c r="P2088">
        <v>0</v>
      </c>
    </row>
    <row r="2089" spans="1:16" x14ac:dyDescent="0.2">
      <c r="A2089" t="s">
        <v>2344</v>
      </c>
      <c r="B2089" t="s">
        <v>97</v>
      </c>
      <c r="C2089" t="s">
        <v>2345</v>
      </c>
      <c r="D2089" t="s">
        <v>2146</v>
      </c>
      <c r="E2089" t="s">
        <v>228</v>
      </c>
      <c r="F2089">
        <v>16.989999999999998</v>
      </c>
      <c r="G2089" t="s">
        <v>7032</v>
      </c>
      <c r="H2089">
        <v>0</v>
      </c>
      <c r="M2089">
        <v>0</v>
      </c>
      <c r="N2089">
        <v>0</v>
      </c>
      <c r="O2089">
        <v>0</v>
      </c>
      <c r="P2089">
        <v>0</v>
      </c>
    </row>
    <row r="2090" spans="1:16" x14ac:dyDescent="0.2">
      <c r="A2090" t="s">
        <v>2340</v>
      </c>
      <c r="B2090" t="s">
        <v>97</v>
      </c>
      <c r="C2090" t="s">
        <v>2341</v>
      </c>
      <c r="D2090" t="s">
        <v>2146</v>
      </c>
      <c r="E2090" t="s">
        <v>228</v>
      </c>
      <c r="F2090">
        <v>549.99</v>
      </c>
      <c r="G2090" t="s">
        <v>7032</v>
      </c>
      <c r="H2090">
        <v>0</v>
      </c>
      <c r="M2090">
        <v>0</v>
      </c>
      <c r="N2090">
        <v>0.16666666666666666</v>
      </c>
      <c r="O2090">
        <v>0</v>
      </c>
      <c r="P2090">
        <v>0</v>
      </c>
    </row>
    <row r="2091" spans="1:16" x14ac:dyDescent="0.2">
      <c r="A2091" t="s">
        <v>2338</v>
      </c>
      <c r="B2091" t="s">
        <v>97</v>
      </c>
      <c r="C2091" t="s">
        <v>2339</v>
      </c>
      <c r="D2091" t="s">
        <v>2146</v>
      </c>
      <c r="E2091" t="s">
        <v>228</v>
      </c>
      <c r="F2091">
        <v>349.99</v>
      </c>
      <c r="G2091" t="s">
        <v>7032</v>
      </c>
      <c r="H2091">
        <v>0</v>
      </c>
      <c r="M2091">
        <v>0</v>
      </c>
      <c r="N2091">
        <v>0</v>
      </c>
      <c r="O2091">
        <v>0</v>
      </c>
      <c r="P2091">
        <v>0</v>
      </c>
    </row>
    <row r="2092" spans="1:16" x14ac:dyDescent="0.2">
      <c r="A2092" t="s">
        <v>2336</v>
      </c>
      <c r="B2092" t="s">
        <v>97</v>
      </c>
      <c r="C2092" t="s">
        <v>2337</v>
      </c>
      <c r="D2092" t="s">
        <v>2146</v>
      </c>
      <c r="E2092" t="s">
        <v>228</v>
      </c>
      <c r="F2092">
        <v>229.99</v>
      </c>
      <c r="G2092" t="s">
        <v>7032</v>
      </c>
      <c r="H2092">
        <v>0</v>
      </c>
      <c r="M2092">
        <v>0</v>
      </c>
      <c r="N2092">
        <v>0</v>
      </c>
      <c r="O2092">
        <v>0</v>
      </c>
      <c r="P2092">
        <v>0</v>
      </c>
    </row>
    <row r="2093" spans="1:16" x14ac:dyDescent="0.2">
      <c r="A2093" t="s">
        <v>5541</v>
      </c>
      <c r="B2093" t="s">
        <v>97</v>
      </c>
      <c r="C2093" t="s">
        <v>5542</v>
      </c>
      <c r="D2093" t="s">
        <v>2146</v>
      </c>
      <c r="E2093" t="s">
        <v>96</v>
      </c>
      <c r="F2093">
        <v>39.99</v>
      </c>
      <c r="G2093" t="s">
        <v>7032</v>
      </c>
      <c r="H2093">
        <v>0</v>
      </c>
      <c r="M2093">
        <v>0</v>
      </c>
      <c r="N2093">
        <v>0</v>
      </c>
      <c r="O2093">
        <v>0</v>
      </c>
      <c r="P2093">
        <v>0</v>
      </c>
    </row>
    <row r="2094" spans="1:16" x14ac:dyDescent="0.2">
      <c r="A2094" t="s">
        <v>2292</v>
      </c>
      <c r="B2094" t="s">
        <v>97</v>
      </c>
      <c r="C2094" t="s">
        <v>2293</v>
      </c>
      <c r="D2094" t="s">
        <v>2146</v>
      </c>
      <c r="E2094" t="s">
        <v>228</v>
      </c>
      <c r="F2094">
        <v>349.99</v>
      </c>
      <c r="G2094" t="s">
        <v>7032</v>
      </c>
      <c r="H2094">
        <v>0</v>
      </c>
      <c r="M2094">
        <v>0</v>
      </c>
      <c r="N2094">
        <v>0</v>
      </c>
      <c r="O2094">
        <v>0</v>
      </c>
      <c r="P2094">
        <v>0</v>
      </c>
    </row>
    <row r="2095" spans="1:16" x14ac:dyDescent="0.2">
      <c r="A2095" t="s">
        <v>2290</v>
      </c>
      <c r="B2095" t="s">
        <v>97</v>
      </c>
      <c r="C2095" t="s">
        <v>2291</v>
      </c>
      <c r="D2095" t="s">
        <v>2146</v>
      </c>
      <c r="E2095" t="s">
        <v>228</v>
      </c>
      <c r="F2095">
        <v>539.99</v>
      </c>
      <c r="G2095" t="s">
        <v>7032</v>
      </c>
      <c r="H2095">
        <v>0</v>
      </c>
      <c r="M2095">
        <v>0</v>
      </c>
      <c r="N2095">
        <v>0</v>
      </c>
      <c r="O2095">
        <v>0</v>
      </c>
      <c r="P2095">
        <v>0</v>
      </c>
    </row>
    <row r="2096" spans="1:16" x14ac:dyDescent="0.2">
      <c r="A2096" t="s">
        <v>2296</v>
      </c>
      <c r="B2096" t="s">
        <v>97</v>
      </c>
      <c r="C2096" t="s">
        <v>2297</v>
      </c>
      <c r="D2096" t="s">
        <v>2146</v>
      </c>
      <c r="E2096" t="s">
        <v>290</v>
      </c>
      <c r="F2096">
        <v>229.99</v>
      </c>
      <c r="G2096" t="s">
        <v>7032</v>
      </c>
      <c r="H2096">
        <v>0</v>
      </c>
      <c r="M2096">
        <v>0</v>
      </c>
      <c r="N2096">
        <v>0</v>
      </c>
      <c r="O2096">
        <v>0</v>
      </c>
      <c r="P2096">
        <v>0</v>
      </c>
    </row>
    <row r="2097" spans="1:16" x14ac:dyDescent="0.2">
      <c r="A2097" t="s">
        <v>2356</v>
      </c>
      <c r="B2097" t="s">
        <v>97</v>
      </c>
      <c r="C2097" t="s">
        <v>2357</v>
      </c>
      <c r="D2097" t="s">
        <v>2146</v>
      </c>
      <c r="E2097" t="s">
        <v>228</v>
      </c>
      <c r="F2097">
        <v>549.99</v>
      </c>
      <c r="G2097" t="s">
        <v>7032</v>
      </c>
      <c r="H2097">
        <v>0</v>
      </c>
      <c r="M2097">
        <v>0</v>
      </c>
      <c r="N2097">
        <v>0</v>
      </c>
      <c r="O2097">
        <v>0</v>
      </c>
      <c r="P2097">
        <v>3</v>
      </c>
    </row>
    <row r="2098" spans="1:16" x14ac:dyDescent="0.2">
      <c r="A2098" t="s">
        <v>4920</v>
      </c>
      <c r="B2098" t="s">
        <v>97</v>
      </c>
      <c r="C2098" t="s">
        <v>4921</v>
      </c>
      <c r="D2098" t="s">
        <v>446</v>
      </c>
      <c r="E2098" t="s">
        <v>96</v>
      </c>
      <c r="F2098">
        <v>34.99</v>
      </c>
      <c r="G2098" t="s">
        <v>7032</v>
      </c>
      <c r="H2098">
        <v>0</v>
      </c>
      <c r="M2098">
        <v>0</v>
      </c>
      <c r="N2098">
        <v>0.16666666666666663</v>
      </c>
      <c r="O2098">
        <v>0</v>
      </c>
      <c r="P2098">
        <v>0</v>
      </c>
    </row>
    <row r="2099" spans="1:16" x14ac:dyDescent="0.2">
      <c r="A2099" t="s">
        <v>2354</v>
      </c>
      <c r="B2099" t="s">
        <v>97</v>
      </c>
      <c r="C2099" t="s">
        <v>2355</v>
      </c>
      <c r="D2099" t="s">
        <v>2146</v>
      </c>
      <c r="E2099" t="s">
        <v>228</v>
      </c>
      <c r="F2099">
        <v>249.99</v>
      </c>
      <c r="G2099" t="s">
        <v>7032</v>
      </c>
      <c r="H2099">
        <v>0</v>
      </c>
      <c r="M2099">
        <v>0</v>
      </c>
      <c r="N2099">
        <v>0</v>
      </c>
      <c r="O2099">
        <v>0</v>
      </c>
      <c r="P2099">
        <v>0</v>
      </c>
    </row>
    <row r="2100" spans="1:16" x14ac:dyDescent="0.2">
      <c r="A2100" t="s">
        <v>667</v>
      </c>
      <c r="B2100" t="s">
        <v>97</v>
      </c>
      <c r="C2100" t="s">
        <v>668</v>
      </c>
      <c r="D2100" t="s">
        <v>446</v>
      </c>
      <c r="E2100" t="s">
        <v>228</v>
      </c>
      <c r="F2100">
        <v>139.99</v>
      </c>
      <c r="G2100" t="s">
        <v>7032</v>
      </c>
      <c r="H2100">
        <v>0</v>
      </c>
      <c r="M2100">
        <v>0</v>
      </c>
      <c r="N2100">
        <v>0</v>
      </c>
      <c r="O2100">
        <v>0</v>
      </c>
      <c r="P2100">
        <v>0</v>
      </c>
    </row>
    <row r="2101" spans="1:16" x14ac:dyDescent="0.2">
      <c r="A2101" t="s">
        <v>2549</v>
      </c>
      <c r="B2101" t="s">
        <v>97</v>
      </c>
      <c r="C2101" t="s">
        <v>2550</v>
      </c>
      <c r="D2101" t="s">
        <v>2502</v>
      </c>
      <c r="E2101" t="s">
        <v>290</v>
      </c>
      <c r="F2101">
        <v>149.99</v>
      </c>
      <c r="G2101" t="s">
        <v>7032</v>
      </c>
      <c r="H2101">
        <v>0</v>
      </c>
      <c r="M2101">
        <v>0</v>
      </c>
      <c r="N2101">
        <v>0</v>
      </c>
      <c r="O2101">
        <v>0</v>
      </c>
      <c r="P2101">
        <v>1</v>
      </c>
    </row>
    <row r="2102" spans="1:16" x14ac:dyDescent="0.2">
      <c r="A2102" t="s">
        <v>2557</v>
      </c>
      <c r="B2102" t="s">
        <v>97</v>
      </c>
      <c r="C2102" t="s">
        <v>2558</v>
      </c>
      <c r="D2102" t="s">
        <v>2502</v>
      </c>
      <c r="E2102" t="s">
        <v>228</v>
      </c>
      <c r="F2102">
        <v>179.99</v>
      </c>
      <c r="G2102" t="s">
        <v>7032</v>
      </c>
      <c r="H2102">
        <v>8.3333333333333329E-2</v>
      </c>
      <c r="M2102">
        <v>6</v>
      </c>
      <c r="N2102">
        <v>0.16666666666666666</v>
      </c>
      <c r="O2102">
        <v>0</v>
      </c>
      <c r="P2102">
        <v>1</v>
      </c>
    </row>
    <row r="2103" spans="1:16" x14ac:dyDescent="0.2">
      <c r="A2103" t="s">
        <v>7512</v>
      </c>
      <c r="B2103" t="s">
        <v>97</v>
      </c>
      <c r="C2103" t="s">
        <v>7513</v>
      </c>
      <c r="D2103" t="s">
        <v>446</v>
      </c>
      <c r="E2103" t="s">
        <v>96</v>
      </c>
      <c r="G2103" t="s">
        <v>7032</v>
      </c>
      <c r="H2103">
        <v>0</v>
      </c>
      <c r="M2103">
        <v>0</v>
      </c>
      <c r="N2103">
        <v>0</v>
      </c>
      <c r="P2103">
        <v>0</v>
      </c>
    </row>
    <row r="2104" spans="1:16" x14ac:dyDescent="0.2">
      <c r="A2104" t="s">
        <v>2553</v>
      </c>
      <c r="B2104" t="s">
        <v>97</v>
      </c>
      <c r="C2104" t="s">
        <v>2554</v>
      </c>
      <c r="D2104" t="s">
        <v>2502</v>
      </c>
      <c r="E2104" t="s">
        <v>228</v>
      </c>
      <c r="F2104">
        <v>129.99</v>
      </c>
      <c r="G2104" t="s">
        <v>7032</v>
      </c>
      <c r="H2104">
        <v>0.16666666666666666</v>
      </c>
      <c r="M2104">
        <v>3</v>
      </c>
      <c r="N2104">
        <v>0.33333333333333331</v>
      </c>
      <c r="O2104">
        <v>0</v>
      </c>
      <c r="P2104">
        <v>1</v>
      </c>
    </row>
    <row r="2105" spans="1:16" x14ac:dyDescent="0.2">
      <c r="A2105" t="s">
        <v>4641</v>
      </c>
      <c r="B2105" t="s">
        <v>97</v>
      </c>
      <c r="C2105" t="s">
        <v>4642</v>
      </c>
      <c r="D2105" t="s">
        <v>446</v>
      </c>
      <c r="E2105" t="s">
        <v>96</v>
      </c>
      <c r="F2105">
        <v>14.99</v>
      </c>
      <c r="G2105" t="s">
        <v>7032</v>
      </c>
      <c r="H2105">
        <v>0</v>
      </c>
      <c r="M2105">
        <v>0</v>
      </c>
      <c r="N2105">
        <v>0</v>
      </c>
      <c r="O2105">
        <v>0</v>
      </c>
      <c r="P2105">
        <v>0</v>
      </c>
    </row>
    <row r="2106" spans="1:16" x14ac:dyDescent="0.2">
      <c r="A2106" t="s">
        <v>7171</v>
      </c>
      <c r="B2106" t="s">
        <v>97</v>
      </c>
      <c r="C2106" t="s">
        <v>7173</v>
      </c>
      <c r="D2106" t="s">
        <v>2502</v>
      </c>
      <c r="E2106" t="s">
        <v>290</v>
      </c>
      <c r="F2106">
        <v>39.99</v>
      </c>
      <c r="G2106" t="s">
        <v>7032</v>
      </c>
      <c r="H2106">
        <v>0</v>
      </c>
      <c r="M2106">
        <v>0</v>
      </c>
      <c r="N2106">
        <v>0</v>
      </c>
      <c r="O2106">
        <v>0</v>
      </c>
      <c r="P2106">
        <v>0</v>
      </c>
    </row>
    <row r="2107" spans="1:16" x14ac:dyDescent="0.2">
      <c r="A2107" t="s">
        <v>2547</v>
      </c>
      <c r="B2107" t="s">
        <v>97</v>
      </c>
      <c r="C2107" t="s">
        <v>2548</v>
      </c>
      <c r="D2107" t="s">
        <v>2502</v>
      </c>
      <c r="E2107" t="s">
        <v>290</v>
      </c>
      <c r="F2107">
        <v>59.99</v>
      </c>
      <c r="G2107" t="s">
        <v>7032</v>
      </c>
      <c r="H2107">
        <v>0</v>
      </c>
      <c r="M2107">
        <v>0</v>
      </c>
      <c r="N2107">
        <v>0</v>
      </c>
      <c r="O2107">
        <v>0</v>
      </c>
      <c r="P2107">
        <v>0</v>
      </c>
    </row>
    <row r="2108" spans="1:16" x14ac:dyDescent="0.2">
      <c r="A2108" t="s">
        <v>924</v>
      </c>
      <c r="B2108" t="s">
        <v>97</v>
      </c>
      <c r="C2108" t="s">
        <v>925</v>
      </c>
      <c r="D2108" t="s">
        <v>446</v>
      </c>
      <c r="E2108" t="s">
        <v>96</v>
      </c>
      <c r="F2108">
        <v>29.99</v>
      </c>
      <c r="G2108" t="s">
        <v>7032</v>
      </c>
      <c r="H2108">
        <v>0</v>
      </c>
      <c r="M2108">
        <v>0</v>
      </c>
      <c r="N2108">
        <v>0</v>
      </c>
      <c r="O2108">
        <v>0</v>
      </c>
      <c r="P2108">
        <v>0</v>
      </c>
    </row>
    <row r="2109" spans="1:16" x14ac:dyDescent="0.2">
      <c r="A2109" t="s">
        <v>5956</v>
      </c>
      <c r="B2109" t="s">
        <v>97</v>
      </c>
      <c r="C2109" t="s">
        <v>5957</v>
      </c>
      <c r="D2109" t="s">
        <v>2502</v>
      </c>
      <c r="E2109" t="s">
        <v>290</v>
      </c>
      <c r="F2109">
        <v>59.99</v>
      </c>
      <c r="G2109" t="s">
        <v>7032</v>
      </c>
      <c r="H2109">
        <v>0</v>
      </c>
      <c r="M2109">
        <v>0</v>
      </c>
      <c r="N2109">
        <v>0</v>
      </c>
      <c r="O2109">
        <v>0</v>
      </c>
      <c r="P2109">
        <v>0</v>
      </c>
    </row>
    <row r="2110" spans="1:16" x14ac:dyDescent="0.2">
      <c r="A2110" t="s">
        <v>4630</v>
      </c>
      <c r="B2110" t="s">
        <v>97</v>
      </c>
      <c r="C2110" t="s">
        <v>4631</v>
      </c>
      <c r="D2110" t="s">
        <v>446</v>
      </c>
      <c r="E2110" t="s">
        <v>96</v>
      </c>
      <c r="F2110">
        <v>29.99</v>
      </c>
      <c r="G2110" t="s">
        <v>7032</v>
      </c>
      <c r="H2110">
        <v>0</v>
      </c>
      <c r="M2110">
        <v>0</v>
      </c>
      <c r="N2110">
        <v>0</v>
      </c>
      <c r="O2110">
        <v>0</v>
      </c>
      <c r="P2110">
        <v>0</v>
      </c>
    </row>
    <row r="2111" spans="1:16" x14ac:dyDescent="0.2">
      <c r="A2111" t="s">
        <v>7179</v>
      </c>
      <c r="B2111" t="s">
        <v>97</v>
      </c>
      <c r="C2111" t="s">
        <v>7181</v>
      </c>
      <c r="D2111" t="s">
        <v>2502</v>
      </c>
      <c r="E2111" t="s">
        <v>96</v>
      </c>
      <c r="F2111">
        <v>49.99</v>
      </c>
      <c r="G2111" t="s">
        <v>7032</v>
      </c>
      <c r="H2111">
        <v>0</v>
      </c>
      <c r="M2111">
        <v>0</v>
      </c>
      <c r="N2111">
        <v>0</v>
      </c>
      <c r="O2111">
        <v>0</v>
      </c>
      <c r="P2111">
        <v>0</v>
      </c>
    </row>
    <row r="2112" spans="1:16" x14ac:dyDescent="0.2">
      <c r="A2112" t="s">
        <v>7157</v>
      </c>
      <c r="B2112" t="s">
        <v>97</v>
      </c>
      <c r="C2112" t="s">
        <v>7159</v>
      </c>
      <c r="D2112" t="s">
        <v>2502</v>
      </c>
      <c r="E2112" t="s">
        <v>96</v>
      </c>
      <c r="F2112">
        <v>89.99</v>
      </c>
      <c r="G2112" t="s">
        <v>7032</v>
      </c>
      <c r="H2112">
        <v>0</v>
      </c>
      <c r="M2112">
        <v>0</v>
      </c>
      <c r="N2112">
        <v>0</v>
      </c>
      <c r="O2112">
        <v>0</v>
      </c>
      <c r="P2112">
        <v>2</v>
      </c>
    </row>
    <row r="2113" spans="1:16" x14ac:dyDescent="0.2">
      <c r="A2113" t="s">
        <v>916</v>
      </c>
      <c r="B2113" t="s">
        <v>97</v>
      </c>
      <c r="C2113" t="s">
        <v>917</v>
      </c>
      <c r="D2113" t="s">
        <v>446</v>
      </c>
      <c r="E2113" t="s">
        <v>228</v>
      </c>
      <c r="F2113">
        <v>34.99</v>
      </c>
      <c r="G2113" t="s">
        <v>7032</v>
      </c>
      <c r="H2113">
        <v>0</v>
      </c>
      <c r="M2113">
        <v>0</v>
      </c>
      <c r="N2113">
        <v>0</v>
      </c>
      <c r="O2113">
        <v>0</v>
      </c>
      <c r="P2113">
        <v>0</v>
      </c>
    </row>
    <row r="2114" spans="1:16" x14ac:dyDescent="0.2">
      <c r="A2114" t="s">
        <v>2543</v>
      </c>
      <c r="B2114" t="s">
        <v>97</v>
      </c>
      <c r="C2114" t="s">
        <v>2544</v>
      </c>
      <c r="D2114" t="s">
        <v>2502</v>
      </c>
      <c r="E2114" t="s">
        <v>228</v>
      </c>
      <c r="F2114">
        <v>79.989999999999995</v>
      </c>
      <c r="G2114" t="s">
        <v>7032</v>
      </c>
      <c r="H2114">
        <v>0</v>
      </c>
      <c r="M2114">
        <v>0</v>
      </c>
      <c r="N2114">
        <v>0</v>
      </c>
      <c r="O2114">
        <v>0</v>
      </c>
      <c r="P2114">
        <v>0</v>
      </c>
    </row>
    <row r="2115" spans="1:16" x14ac:dyDescent="0.2">
      <c r="A2115" t="s">
        <v>914</v>
      </c>
      <c r="B2115" t="s">
        <v>97</v>
      </c>
      <c r="C2115" t="s">
        <v>915</v>
      </c>
      <c r="D2115" t="s">
        <v>446</v>
      </c>
      <c r="E2115" t="s">
        <v>228</v>
      </c>
      <c r="F2115">
        <v>49.99</v>
      </c>
      <c r="G2115" t="s">
        <v>7032</v>
      </c>
      <c r="H2115">
        <v>0</v>
      </c>
      <c r="M2115">
        <v>0</v>
      </c>
      <c r="N2115">
        <v>0</v>
      </c>
      <c r="O2115">
        <v>0</v>
      </c>
      <c r="P2115">
        <v>0</v>
      </c>
    </row>
    <row r="2116" spans="1:16" x14ac:dyDescent="0.2">
      <c r="A2116" t="s">
        <v>2541</v>
      </c>
      <c r="B2116" t="s">
        <v>97</v>
      </c>
      <c r="C2116" t="s">
        <v>2542</v>
      </c>
      <c r="D2116" t="s">
        <v>2502</v>
      </c>
      <c r="E2116" t="s">
        <v>228</v>
      </c>
      <c r="F2116">
        <v>54.99</v>
      </c>
      <c r="G2116" t="s">
        <v>7032</v>
      </c>
      <c r="H2116">
        <v>0</v>
      </c>
      <c r="M2116">
        <v>0</v>
      </c>
      <c r="N2116">
        <v>0</v>
      </c>
      <c r="O2116">
        <v>0</v>
      </c>
      <c r="P2116">
        <v>0</v>
      </c>
    </row>
    <row r="2117" spans="1:16" x14ac:dyDescent="0.2">
      <c r="A2117" t="s">
        <v>7514</v>
      </c>
      <c r="B2117" t="s">
        <v>97</v>
      </c>
      <c r="C2117" t="s">
        <v>7515</v>
      </c>
      <c r="D2117" t="s">
        <v>446</v>
      </c>
      <c r="E2117" t="s">
        <v>96</v>
      </c>
      <c r="F2117">
        <v>11.99</v>
      </c>
      <c r="G2117" t="s">
        <v>7032</v>
      </c>
      <c r="H2117">
        <v>0</v>
      </c>
      <c r="M2117">
        <v>0</v>
      </c>
      <c r="N2117">
        <v>0</v>
      </c>
      <c r="O2117">
        <v>0</v>
      </c>
      <c r="P2117">
        <v>0</v>
      </c>
    </row>
    <row r="2118" spans="1:16" x14ac:dyDescent="0.2">
      <c r="A2118" t="s">
        <v>2465</v>
      </c>
      <c r="B2118" t="s">
        <v>97</v>
      </c>
      <c r="C2118" t="s">
        <v>2466</v>
      </c>
      <c r="D2118" t="s">
        <v>2448</v>
      </c>
      <c r="E2118" t="s">
        <v>96</v>
      </c>
      <c r="F2118">
        <v>59.99</v>
      </c>
      <c r="G2118" t="s">
        <v>7032</v>
      </c>
      <c r="H2118">
        <v>0</v>
      </c>
      <c r="M2118">
        <v>0</v>
      </c>
      <c r="N2118">
        <v>0</v>
      </c>
      <c r="O2118">
        <v>0</v>
      </c>
      <c r="P2118">
        <v>0</v>
      </c>
    </row>
    <row r="2119" spans="1:16" x14ac:dyDescent="0.2">
      <c r="A2119" t="s">
        <v>2463</v>
      </c>
      <c r="B2119" t="s">
        <v>97</v>
      </c>
      <c r="C2119" t="s">
        <v>2464</v>
      </c>
      <c r="D2119" t="s">
        <v>2448</v>
      </c>
      <c r="E2119" t="s">
        <v>96</v>
      </c>
      <c r="F2119">
        <v>59.99</v>
      </c>
      <c r="G2119" t="s">
        <v>7032</v>
      </c>
      <c r="H2119">
        <v>0</v>
      </c>
      <c r="M2119">
        <v>0</v>
      </c>
      <c r="N2119">
        <v>0</v>
      </c>
      <c r="O2119">
        <v>0</v>
      </c>
      <c r="P2119">
        <v>0</v>
      </c>
    </row>
    <row r="2120" spans="1:16" x14ac:dyDescent="0.2">
      <c r="A2120" t="s">
        <v>3665</v>
      </c>
      <c r="B2120" t="s">
        <v>97</v>
      </c>
      <c r="C2120" t="s">
        <v>3666</v>
      </c>
      <c r="D2120" t="s">
        <v>2425</v>
      </c>
      <c r="E2120" t="s">
        <v>96</v>
      </c>
      <c r="F2120">
        <v>39.99</v>
      </c>
      <c r="G2120" t="s">
        <v>7032</v>
      </c>
      <c r="H2120">
        <v>0</v>
      </c>
      <c r="M2120">
        <v>0</v>
      </c>
      <c r="N2120">
        <v>0</v>
      </c>
      <c r="O2120">
        <v>0</v>
      </c>
      <c r="P2120">
        <v>0</v>
      </c>
    </row>
    <row r="2121" spans="1:16" x14ac:dyDescent="0.2">
      <c r="A2121" t="s">
        <v>2358</v>
      </c>
      <c r="B2121" t="s">
        <v>97</v>
      </c>
      <c r="C2121" t="s">
        <v>2359</v>
      </c>
      <c r="D2121" t="s">
        <v>2146</v>
      </c>
      <c r="E2121" t="s">
        <v>228</v>
      </c>
      <c r="F2121">
        <v>199.99</v>
      </c>
      <c r="G2121" t="s">
        <v>7032</v>
      </c>
      <c r="H2121">
        <v>0</v>
      </c>
      <c r="M2121">
        <v>0</v>
      </c>
      <c r="N2121">
        <v>0</v>
      </c>
      <c r="O2121">
        <v>0</v>
      </c>
      <c r="P2121">
        <v>0</v>
      </c>
    </row>
    <row r="2122" spans="1:16" x14ac:dyDescent="0.2">
      <c r="A2122" t="s">
        <v>2352</v>
      </c>
      <c r="B2122" t="s">
        <v>97</v>
      </c>
      <c r="C2122" t="s">
        <v>2353</v>
      </c>
      <c r="D2122" t="s">
        <v>2146</v>
      </c>
      <c r="E2122" t="s">
        <v>290</v>
      </c>
      <c r="F2122">
        <v>189.99</v>
      </c>
      <c r="G2122" t="s">
        <v>7032</v>
      </c>
      <c r="H2122">
        <v>0</v>
      </c>
      <c r="M2122">
        <v>0</v>
      </c>
      <c r="N2122">
        <v>0</v>
      </c>
      <c r="O2122">
        <v>0</v>
      </c>
      <c r="P2122">
        <v>0</v>
      </c>
    </row>
    <row r="2123" spans="1:16" x14ac:dyDescent="0.2">
      <c r="A2123" t="s">
        <v>6377</v>
      </c>
      <c r="B2123" t="s">
        <v>97</v>
      </c>
      <c r="C2123" t="s">
        <v>6378</v>
      </c>
      <c r="D2123" t="s">
        <v>2502</v>
      </c>
      <c r="E2123" t="s">
        <v>96</v>
      </c>
      <c r="F2123">
        <v>64.989999999999995</v>
      </c>
      <c r="G2123" t="s">
        <v>7032</v>
      </c>
      <c r="H2123">
        <v>0</v>
      </c>
      <c r="M2123">
        <v>0</v>
      </c>
      <c r="N2123">
        <v>0</v>
      </c>
      <c r="O2123">
        <v>0</v>
      </c>
      <c r="P2123">
        <v>0</v>
      </c>
    </row>
    <row r="2124" spans="1:16" x14ac:dyDescent="0.2">
      <c r="A2124" t="s">
        <v>3399</v>
      </c>
      <c r="B2124" t="s">
        <v>97</v>
      </c>
      <c r="C2124" t="s">
        <v>3400</v>
      </c>
      <c r="D2124" t="s">
        <v>3396</v>
      </c>
      <c r="E2124" t="s">
        <v>96</v>
      </c>
      <c r="F2124">
        <v>12.99</v>
      </c>
      <c r="G2124" t="s">
        <v>7032</v>
      </c>
      <c r="H2124">
        <v>0</v>
      </c>
      <c r="M2124">
        <v>0</v>
      </c>
      <c r="N2124">
        <v>0</v>
      </c>
      <c r="O2124">
        <v>0</v>
      </c>
      <c r="P2124">
        <v>0</v>
      </c>
    </row>
    <row r="2125" spans="1:16" x14ac:dyDescent="0.2">
      <c r="A2125" t="s">
        <v>3401</v>
      </c>
      <c r="B2125" t="s">
        <v>97</v>
      </c>
      <c r="C2125" t="s">
        <v>3402</v>
      </c>
      <c r="D2125" t="s">
        <v>3396</v>
      </c>
      <c r="E2125" t="s">
        <v>96</v>
      </c>
      <c r="F2125">
        <v>12.99</v>
      </c>
      <c r="G2125" t="s">
        <v>7032</v>
      </c>
      <c r="H2125">
        <v>0</v>
      </c>
      <c r="M2125">
        <v>0</v>
      </c>
      <c r="N2125">
        <v>0</v>
      </c>
      <c r="O2125">
        <v>0</v>
      </c>
      <c r="P2125">
        <v>0</v>
      </c>
    </row>
    <row r="2126" spans="1:16" x14ac:dyDescent="0.2">
      <c r="A2126" t="s">
        <v>7516</v>
      </c>
      <c r="B2126" t="s">
        <v>97</v>
      </c>
      <c r="C2126" t="s">
        <v>7517</v>
      </c>
      <c r="D2126" t="s">
        <v>1897</v>
      </c>
      <c r="E2126" t="s">
        <v>96</v>
      </c>
      <c r="F2126">
        <v>79.989999999999995</v>
      </c>
      <c r="G2126" t="s">
        <v>7032</v>
      </c>
      <c r="H2126">
        <v>0</v>
      </c>
      <c r="M2126">
        <v>0</v>
      </c>
      <c r="N2126">
        <v>0</v>
      </c>
      <c r="O2126">
        <v>0</v>
      </c>
      <c r="P2126">
        <v>0</v>
      </c>
    </row>
    <row r="2127" spans="1:16" x14ac:dyDescent="0.2">
      <c r="A2127" t="s">
        <v>7518</v>
      </c>
      <c r="B2127" t="s">
        <v>97</v>
      </c>
      <c r="C2127" t="s">
        <v>7519</v>
      </c>
      <c r="D2127" t="s">
        <v>1897</v>
      </c>
      <c r="E2127" t="s">
        <v>96</v>
      </c>
      <c r="F2127">
        <v>79.989999999999995</v>
      </c>
      <c r="G2127" t="s">
        <v>7032</v>
      </c>
      <c r="H2127">
        <v>0</v>
      </c>
      <c r="M2127">
        <v>0</v>
      </c>
      <c r="N2127">
        <v>0</v>
      </c>
      <c r="O2127">
        <v>0</v>
      </c>
      <c r="P2127">
        <v>0</v>
      </c>
    </row>
    <row r="2128" spans="1:16" x14ac:dyDescent="0.2">
      <c r="A2128" t="s">
        <v>7520</v>
      </c>
      <c r="B2128" t="s">
        <v>97</v>
      </c>
      <c r="C2128" t="s">
        <v>7521</v>
      </c>
      <c r="D2128" t="s">
        <v>1897</v>
      </c>
      <c r="E2128" t="s">
        <v>96</v>
      </c>
      <c r="F2128">
        <v>89.99</v>
      </c>
      <c r="G2128" t="s">
        <v>7032</v>
      </c>
      <c r="H2128">
        <v>0</v>
      </c>
      <c r="M2128">
        <v>0</v>
      </c>
      <c r="N2128">
        <v>0</v>
      </c>
      <c r="O2128">
        <v>0</v>
      </c>
      <c r="P2128">
        <v>0</v>
      </c>
    </row>
    <row r="2129" spans="1:16" x14ac:dyDescent="0.2">
      <c r="A2129" t="s">
        <v>7522</v>
      </c>
      <c r="B2129" t="s">
        <v>97</v>
      </c>
      <c r="C2129" t="s">
        <v>7523</v>
      </c>
      <c r="D2129" t="s">
        <v>1897</v>
      </c>
      <c r="E2129" t="s">
        <v>96</v>
      </c>
      <c r="F2129">
        <v>89.99</v>
      </c>
      <c r="G2129" t="s">
        <v>7032</v>
      </c>
      <c r="H2129">
        <v>0</v>
      </c>
      <c r="M2129">
        <v>0</v>
      </c>
      <c r="N2129">
        <v>0</v>
      </c>
      <c r="O2129">
        <v>0</v>
      </c>
      <c r="P2129">
        <v>0</v>
      </c>
    </row>
    <row r="2130" spans="1:16" x14ac:dyDescent="0.2">
      <c r="A2130" t="s">
        <v>7524</v>
      </c>
      <c r="B2130" t="s">
        <v>97</v>
      </c>
      <c r="C2130" t="s">
        <v>7525</v>
      </c>
      <c r="D2130" t="s">
        <v>1897</v>
      </c>
      <c r="E2130" t="s">
        <v>96</v>
      </c>
      <c r="F2130">
        <v>44.99</v>
      </c>
      <c r="G2130" t="s">
        <v>7032</v>
      </c>
      <c r="H2130">
        <v>0</v>
      </c>
      <c r="M2130">
        <v>0</v>
      </c>
      <c r="N2130">
        <v>0</v>
      </c>
      <c r="O2130">
        <v>0</v>
      </c>
      <c r="P2130">
        <v>2</v>
      </c>
    </row>
    <row r="2131" spans="1:16" x14ac:dyDescent="0.2">
      <c r="A2131" t="s">
        <v>7526</v>
      </c>
      <c r="B2131" t="s">
        <v>97</v>
      </c>
      <c r="C2131" t="s">
        <v>7527</v>
      </c>
      <c r="D2131" t="s">
        <v>1897</v>
      </c>
      <c r="E2131" t="s">
        <v>96</v>
      </c>
      <c r="F2131">
        <v>89.99</v>
      </c>
      <c r="G2131" t="s">
        <v>7032</v>
      </c>
      <c r="H2131">
        <v>0</v>
      </c>
      <c r="M2131">
        <v>0</v>
      </c>
      <c r="N2131">
        <v>0</v>
      </c>
      <c r="O2131">
        <v>0</v>
      </c>
      <c r="P2131">
        <v>0</v>
      </c>
    </row>
    <row r="2132" spans="1:16" x14ac:dyDescent="0.2">
      <c r="A2132" t="s">
        <v>7528</v>
      </c>
      <c r="B2132" t="s">
        <v>97</v>
      </c>
      <c r="C2132" t="s">
        <v>7529</v>
      </c>
      <c r="D2132" t="s">
        <v>1897</v>
      </c>
      <c r="E2132" t="s">
        <v>96</v>
      </c>
      <c r="F2132">
        <v>44.99</v>
      </c>
      <c r="G2132" t="s">
        <v>7032</v>
      </c>
      <c r="H2132">
        <v>0</v>
      </c>
      <c r="M2132">
        <v>0</v>
      </c>
      <c r="N2132">
        <v>0</v>
      </c>
      <c r="O2132">
        <v>0</v>
      </c>
      <c r="P2132">
        <v>2</v>
      </c>
    </row>
    <row r="2133" spans="1:16" x14ac:dyDescent="0.2">
      <c r="A2133" t="s">
        <v>5852</v>
      </c>
      <c r="B2133" t="s">
        <v>97</v>
      </c>
      <c r="C2133" t="s">
        <v>5853</v>
      </c>
      <c r="D2133" t="s">
        <v>1692</v>
      </c>
      <c r="E2133" t="s">
        <v>96</v>
      </c>
      <c r="F2133">
        <v>24.99</v>
      </c>
      <c r="G2133" t="s">
        <v>7032</v>
      </c>
      <c r="H2133">
        <v>0</v>
      </c>
      <c r="M2133">
        <v>0</v>
      </c>
      <c r="N2133">
        <v>0</v>
      </c>
      <c r="O2133">
        <v>0</v>
      </c>
      <c r="P2133">
        <v>0</v>
      </c>
    </row>
    <row r="2134" spans="1:16" x14ac:dyDescent="0.2">
      <c r="A2134" t="s">
        <v>7530</v>
      </c>
      <c r="B2134" t="s">
        <v>97</v>
      </c>
      <c r="C2134" t="s">
        <v>7531</v>
      </c>
      <c r="D2134" t="s">
        <v>1897</v>
      </c>
      <c r="E2134" t="s">
        <v>96</v>
      </c>
      <c r="F2134">
        <v>44.99</v>
      </c>
      <c r="G2134" t="s">
        <v>7032</v>
      </c>
      <c r="H2134">
        <v>0</v>
      </c>
      <c r="M2134">
        <v>0</v>
      </c>
      <c r="N2134">
        <v>0</v>
      </c>
      <c r="O2134">
        <v>0</v>
      </c>
      <c r="P2134">
        <v>0</v>
      </c>
    </row>
    <row r="2135" spans="1:16" x14ac:dyDescent="0.2">
      <c r="A2135" t="s">
        <v>7532</v>
      </c>
      <c r="B2135" t="s">
        <v>97</v>
      </c>
      <c r="C2135" t="s">
        <v>7533</v>
      </c>
      <c r="D2135" t="s">
        <v>1692</v>
      </c>
      <c r="E2135" t="s">
        <v>96</v>
      </c>
      <c r="F2135">
        <v>79.989999999999995</v>
      </c>
      <c r="G2135" t="s">
        <v>7032</v>
      </c>
      <c r="H2135">
        <v>0</v>
      </c>
      <c r="M2135">
        <v>0</v>
      </c>
      <c r="N2135">
        <v>0</v>
      </c>
      <c r="O2135">
        <v>0</v>
      </c>
      <c r="P2135">
        <v>0</v>
      </c>
    </row>
    <row r="2136" spans="1:16" x14ac:dyDescent="0.2">
      <c r="A2136" t="s">
        <v>7534</v>
      </c>
      <c r="B2136" t="s">
        <v>97</v>
      </c>
      <c r="C2136" t="s">
        <v>7535</v>
      </c>
      <c r="D2136" t="s">
        <v>1897</v>
      </c>
      <c r="E2136" t="s">
        <v>96</v>
      </c>
      <c r="F2136">
        <v>79.989999999999995</v>
      </c>
      <c r="G2136" t="s">
        <v>7032</v>
      </c>
      <c r="H2136">
        <v>0</v>
      </c>
      <c r="M2136">
        <v>0</v>
      </c>
      <c r="N2136">
        <v>0</v>
      </c>
      <c r="O2136">
        <v>0</v>
      </c>
      <c r="P2136">
        <v>0</v>
      </c>
    </row>
    <row r="2137" spans="1:16" x14ac:dyDescent="0.2">
      <c r="A2137" t="s">
        <v>7536</v>
      </c>
      <c r="B2137" t="s">
        <v>97</v>
      </c>
      <c r="C2137" t="s">
        <v>7537</v>
      </c>
      <c r="D2137" t="s">
        <v>1897</v>
      </c>
      <c r="E2137" t="s">
        <v>96</v>
      </c>
      <c r="F2137">
        <v>44.99</v>
      </c>
      <c r="G2137" t="s">
        <v>7032</v>
      </c>
      <c r="H2137">
        <v>0</v>
      </c>
      <c r="M2137">
        <v>0</v>
      </c>
      <c r="N2137">
        <v>0</v>
      </c>
      <c r="O2137">
        <v>0</v>
      </c>
      <c r="P2137">
        <v>0</v>
      </c>
    </row>
    <row r="2138" spans="1:16" x14ac:dyDescent="0.2">
      <c r="A2138" t="s">
        <v>7538</v>
      </c>
      <c r="B2138" t="s">
        <v>97</v>
      </c>
      <c r="C2138" t="s">
        <v>7539</v>
      </c>
      <c r="D2138" t="s">
        <v>1897</v>
      </c>
      <c r="E2138" t="s">
        <v>96</v>
      </c>
      <c r="F2138">
        <v>44.99</v>
      </c>
      <c r="G2138" t="s">
        <v>7032</v>
      </c>
      <c r="H2138">
        <v>1.3888888888888888E-2</v>
      </c>
      <c r="M2138">
        <v>0</v>
      </c>
      <c r="N2138">
        <v>0</v>
      </c>
      <c r="O2138">
        <v>0</v>
      </c>
      <c r="P2138">
        <v>6</v>
      </c>
    </row>
    <row r="2139" spans="1:16" x14ac:dyDescent="0.2">
      <c r="A2139" t="s">
        <v>7540</v>
      </c>
      <c r="B2139" t="s">
        <v>97</v>
      </c>
      <c r="C2139" t="s">
        <v>7541</v>
      </c>
      <c r="D2139" t="s">
        <v>1897</v>
      </c>
      <c r="E2139" t="s">
        <v>96</v>
      </c>
      <c r="F2139">
        <v>89.99</v>
      </c>
      <c r="G2139" t="s">
        <v>7032</v>
      </c>
      <c r="H2139">
        <v>0</v>
      </c>
      <c r="M2139">
        <v>0</v>
      </c>
      <c r="N2139">
        <v>0</v>
      </c>
      <c r="O2139">
        <v>0</v>
      </c>
      <c r="P2139">
        <v>0</v>
      </c>
    </row>
    <row r="2140" spans="1:16" x14ac:dyDescent="0.2">
      <c r="A2140" t="s">
        <v>1956</v>
      </c>
      <c r="B2140" t="s">
        <v>97</v>
      </c>
      <c r="C2140" t="s">
        <v>1957</v>
      </c>
      <c r="D2140" t="s">
        <v>1897</v>
      </c>
      <c r="E2140" t="s">
        <v>290</v>
      </c>
      <c r="F2140">
        <v>79.989999999999995</v>
      </c>
      <c r="G2140" t="s">
        <v>7032</v>
      </c>
      <c r="H2140">
        <v>0</v>
      </c>
      <c r="M2140">
        <v>0</v>
      </c>
      <c r="N2140">
        <v>0</v>
      </c>
      <c r="O2140">
        <v>0</v>
      </c>
      <c r="P2140">
        <v>0</v>
      </c>
    </row>
    <row r="2141" spans="1:16" x14ac:dyDescent="0.2">
      <c r="A2141" t="s">
        <v>1934</v>
      </c>
      <c r="B2141" t="s">
        <v>97</v>
      </c>
      <c r="C2141" t="s">
        <v>1935</v>
      </c>
      <c r="D2141" t="s">
        <v>1897</v>
      </c>
      <c r="E2141" t="s">
        <v>96</v>
      </c>
      <c r="F2141">
        <v>29.99</v>
      </c>
      <c r="G2141" t="s">
        <v>7032</v>
      </c>
      <c r="H2141">
        <v>0</v>
      </c>
      <c r="M2141">
        <v>0</v>
      </c>
      <c r="N2141">
        <v>0</v>
      </c>
      <c r="O2141">
        <v>0</v>
      </c>
      <c r="P2141">
        <v>0</v>
      </c>
    </row>
    <row r="2142" spans="1:16" x14ac:dyDescent="0.2">
      <c r="A2142" t="s">
        <v>1938</v>
      </c>
      <c r="B2142" t="s">
        <v>97</v>
      </c>
      <c r="C2142" t="s">
        <v>1939</v>
      </c>
      <c r="D2142" t="s">
        <v>1897</v>
      </c>
      <c r="E2142" t="s">
        <v>290</v>
      </c>
      <c r="F2142">
        <v>29.99</v>
      </c>
      <c r="G2142" t="s">
        <v>7032</v>
      </c>
      <c r="H2142">
        <v>0</v>
      </c>
      <c r="M2142">
        <v>0</v>
      </c>
      <c r="N2142">
        <v>0</v>
      </c>
      <c r="O2142">
        <v>0</v>
      </c>
      <c r="P2142">
        <v>1</v>
      </c>
    </row>
    <row r="2143" spans="1:16" x14ac:dyDescent="0.2">
      <c r="A2143" t="s">
        <v>7542</v>
      </c>
      <c r="B2143" t="s">
        <v>97</v>
      </c>
      <c r="C2143" t="s">
        <v>7543</v>
      </c>
      <c r="D2143" t="s">
        <v>1897</v>
      </c>
      <c r="E2143" t="s">
        <v>96</v>
      </c>
      <c r="F2143">
        <v>69.989999999999995</v>
      </c>
      <c r="G2143" t="s">
        <v>7032</v>
      </c>
      <c r="H2143">
        <v>0</v>
      </c>
      <c r="M2143">
        <v>0</v>
      </c>
      <c r="N2143">
        <v>0</v>
      </c>
      <c r="O2143">
        <v>0</v>
      </c>
      <c r="P2143">
        <v>0</v>
      </c>
    </row>
    <row r="2144" spans="1:16" x14ac:dyDescent="0.2">
      <c r="A2144" t="s">
        <v>7544</v>
      </c>
      <c r="B2144" t="s">
        <v>97</v>
      </c>
      <c r="C2144" t="s">
        <v>7545</v>
      </c>
      <c r="D2144" t="s">
        <v>1897</v>
      </c>
      <c r="E2144" t="s">
        <v>96</v>
      </c>
      <c r="F2144">
        <v>99.99</v>
      </c>
      <c r="G2144" t="s">
        <v>7032</v>
      </c>
      <c r="H2144">
        <v>0</v>
      </c>
      <c r="M2144">
        <v>0</v>
      </c>
      <c r="N2144">
        <v>0</v>
      </c>
      <c r="O2144">
        <v>0</v>
      </c>
      <c r="P2144">
        <v>0</v>
      </c>
    </row>
    <row r="2145" spans="1:16" x14ac:dyDescent="0.2">
      <c r="A2145" t="s">
        <v>7546</v>
      </c>
      <c r="B2145" t="s">
        <v>97</v>
      </c>
      <c r="C2145" t="s">
        <v>7547</v>
      </c>
      <c r="D2145" t="s">
        <v>1897</v>
      </c>
      <c r="E2145" t="s">
        <v>96</v>
      </c>
      <c r="F2145">
        <v>99.99</v>
      </c>
      <c r="G2145" t="s">
        <v>7032</v>
      </c>
      <c r="H2145">
        <v>0</v>
      </c>
      <c r="M2145">
        <v>0</v>
      </c>
      <c r="N2145">
        <v>0</v>
      </c>
      <c r="O2145">
        <v>0</v>
      </c>
      <c r="P2145">
        <v>0</v>
      </c>
    </row>
    <row r="2146" spans="1:16" x14ac:dyDescent="0.2">
      <c r="A2146" t="s">
        <v>7548</v>
      </c>
      <c r="B2146" t="s">
        <v>97</v>
      </c>
      <c r="C2146" t="s">
        <v>7549</v>
      </c>
      <c r="D2146" t="s">
        <v>1897</v>
      </c>
      <c r="E2146" t="s">
        <v>96</v>
      </c>
      <c r="F2146">
        <v>69.989999999999995</v>
      </c>
      <c r="G2146" t="s">
        <v>7032</v>
      </c>
      <c r="H2146">
        <v>0</v>
      </c>
      <c r="M2146">
        <v>0</v>
      </c>
      <c r="N2146">
        <v>0</v>
      </c>
      <c r="O2146">
        <v>0</v>
      </c>
      <c r="P2146">
        <v>0</v>
      </c>
    </row>
    <row r="2147" spans="1:16" x14ac:dyDescent="0.2">
      <c r="A2147" t="s">
        <v>7550</v>
      </c>
      <c r="B2147" t="s">
        <v>97</v>
      </c>
      <c r="C2147" t="s">
        <v>7551</v>
      </c>
      <c r="D2147" t="s">
        <v>1897</v>
      </c>
      <c r="E2147" t="s">
        <v>96</v>
      </c>
      <c r="F2147">
        <v>99.99</v>
      </c>
      <c r="G2147" t="s">
        <v>7032</v>
      </c>
      <c r="H2147">
        <v>0</v>
      </c>
      <c r="M2147">
        <v>0</v>
      </c>
      <c r="N2147">
        <v>0</v>
      </c>
      <c r="O2147">
        <v>0</v>
      </c>
      <c r="P2147">
        <v>0</v>
      </c>
    </row>
    <row r="2148" spans="1:16" x14ac:dyDescent="0.2">
      <c r="A2148" t="s">
        <v>7552</v>
      </c>
      <c r="B2148" t="s">
        <v>97</v>
      </c>
      <c r="C2148" t="s">
        <v>7553</v>
      </c>
      <c r="D2148" t="s">
        <v>1897</v>
      </c>
      <c r="E2148" t="s">
        <v>96</v>
      </c>
      <c r="F2148">
        <v>59.99</v>
      </c>
      <c r="G2148" t="s">
        <v>7032</v>
      </c>
      <c r="H2148">
        <v>0</v>
      </c>
      <c r="M2148">
        <v>0</v>
      </c>
      <c r="N2148">
        <v>0</v>
      </c>
      <c r="O2148">
        <v>0</v>
      </c>
      <c r="P2148">
        <v>1</v>
      </c>
    </row>
    <row r="2149" spans="1:16" x14ac:dyDescent="0.2">
      <c r="A2149" t="s">
        <v>5849</v>
      </c>
      <c r="B2149" t="s">
        <v>97</v>
      </c>
      <c r="C2149" t="s">
        <v>5850</v>
      </c>
      <c r="D2149" t="s">
        <v>1692</v>
      </c>
      <c r="E2149" t="s">
        <v>96</v>
      </c>
      <c r="F2149">
        <v>69.989999999999995</v>
      </c>
      <c r="G2149" t="s">
        <v>7032</v>
      </c>
      <c r="H2149">
        <v>0</v>
      </c>
      <c r="M2149">
        <v>0</v>
      </c>
      <c r="N2149">
        <v>0</v>
      </c>
      <c r="O2149">
        <v>0</v>
      </c>
      <c r="P2149">
        <v>0</v>
      </c>
    </row>
    <row r="2150" spans="1:16" x14ac:dyDescent="0.2">
      <c r="A2150" t="s">
        <v>1936</v>
      </c>
      <c r="B2150" t="s">
        <v>97</v>
      </c>
      <c r="C2150" t="s">
        <v>1937</v>
      </c>
      <c r="D2150" t="s">
        <v>1897</v>
      </c>
      <c r="E2150" t="s">
        <v>290</v>
      </c>
      <c r="F2150">
        <v>29.99</v>
      </c>
      <c r="G2150" t="s">
        <v>7032</v>
      </c>
      <c r="H2150">
        <v>0</v>
      </c>
      <c r="M2150">
        <v>0</v>
      </c>
      <c r="N2150">
        <v>0</v>
      </c>
      <c r="O2150">
        <v>0</v>
      </c>
      <c r="P2150">
        <v>9</v>
      </c>
    </row>
    <row r="2151" spans="1:16" x14ac:dyDescent="0.2">
      <c r="A2151" t="s">
        <v>7554</v>
      </c>
      <c r="B2151" t="s">
        <v>97</v>
      </c>
      <c r="C2151" t="s">
        <v>7555</v>
      </c>
      <c r="D2151" t="s">
        <v>1897</v>
      </c>
      <c r="E2151" t="s">
        <v>96</v>
      </c>
      <c r="F2151">
        <v>79.989999999999995</v>
      </c>
      <c r="G2151" t="s">
        <v>7032</v>
      </c>
      <c r="H2151">
        <v>0</v>
      </c>
      <c r="M2151">
        <v>0</v>
      </c>
      <c r="N2151">
        <v>0</v>
      </c>
      <c r="O2151">
        <v>0</v>
      </c>
      <c r="P2151">
        <v>0</v>
      </c>
    </row>
    <row r="2152" spans="1:16" x14ac:dyDescent="0.2">
      <c r="A2152" t="s">
        <v>4102</v>
      </c>
      <c r="B2152" t="s">
        <v>97</v>
      </c>
      <c r="C2152" t="s">
        <v>4103</v>
      </c>
      <c r="D2152" t="s">
        <v>1897</v>
      </c>
      <c r="E2152" t="s">
        <v>96</v>
      </c>
      <c r="F2152">
        <v>69.989999999999995</v>
      </c>
      <c r="G2152" t="s">
        <v>7032</v>
      </c>
      <c r="H2152">
        <v>0</v>
      </c>
      <c r="M2152">
        <v>0</v>
      </c>
      <c r="N2152">
        <v>0</v>
      </c>
      <c r="O2152">
        <v>0</v>
      </c>
      <c r="P2152">
        <v>0</v>
      </c>
    </row>
    <row r="2153" spans="1:16" x14ac:dyDescent="0.2">
      <c r="A2153" t="s">
        <v>3746</v>
      </c>
      <c r="B2153" t="s">
        <v>97</v>
      </c>
      <c r="C2153" t="s">
        <v>7048</v>
      </c>
      <c r="D2153" t="s">
        <v>1897</v>
      </c>
      <c r="E2153" t="s">
        <v>96</v>
      </c>
      <c r="F2153">
        <v>49.99</v>
      </c>
      <c r="G2153" t="s">
        <v>7032</v>
      </c>
      <c r="H2153">
        <v>0</v>
      </c>
      <c r="M2153">
        <v>0</v>
      </c>
      <c r="N2153">
        <v>0</v>
      </c>
      <c r="O2153">
        <v>0</v>
      </c>
      <c r="P2153">
        <v>0</v>
      </c>
    </row>
    <row r="2154" spans="1:16" x14ac:dyDescent="0.2">
      <c r="A2154" t="s">
        <v>7556</v>
      </c>
      <c r="B2154" t="s">
        <v>97</v>
      </c>
      <c r="C2154" t="s">
        <v>7557</v>
      </c>
      <c r="D2154" t="s">
        <v>1897</v>
      </c>
      <c r="E2154" t="s">
        <v>96</v>
      </c>
      <c r="F2154">
        <v>32.99</v>
      </c>
      <c r="G2154" t="s">
        <v>7032</v>
      </c>
      <c r="H2154">
        <v>0</v>
      </c>
      <c r="M2154">
        <v>0</v>
      </c>
      <c r="N2154">
        <v>0</v>
      </c>
      <c r="O2154">
        <v>0</v>
      </c>
      <c r="P2154">
        <v>0</v>
      </c>
    </row>
    <row r="2155" spans="1:16" x14ac:dyDescent="0.2">
      <c r="A2155" t="s">
        <v>4000</v>
      </c>
      <c r="B2155" t="s">
        <v>97</v>
      </c>
      <c r="C2155" t="s">
        <v>4001</v>
      </c>
      <c r="D2155" t="s">
        <v>1897</v>
      </c>
      <c r="E2155" t="s">
        <v>96</v>
      </c>
      <c r="F2155">
        <v>59.99</v>
      </c>
      <c r="G2155" t="s">
        <v>7032</v>
      </c>
      <c r="H2155">
        <v>0</v>
      </c>
      <c r="M2155">
        <v>0</v>
      </c>
      <c r="N2155">
        <v>0</v>
      </c>
      <c r="O2155">
        <v>0</v>
      </c>
      <c r="P2155">
        <v>2</v>
      </c>
    </row>
    <row r="2156" spans="1:16" x14ac:dyDescent="0.2">
      <c r="A2156" t="s">
        <v>4171</v>
      </c>
      <c r="B2156" t="s">
        <v>97</v>
      </c>
      <c r="C2156" t="s">
        <v>4172</v>
      </c>
      <c r="D2156" t="s">
        <v>1897</v>
      </c>
      <c r="E2156" t="s">
        <v>96</v>
      </c>
      <c r="F2156">
        <v>69.989999999999995</v>
      </c>
      <c r="G2156" t="s">
        <v>7032</v>
      </c>
      <c r="H2156">
        <v>0</v>
      </c>
      <c r="M2156">
        <v>0</v>
      </c>
      <c r="N2156">
        <v>0</v>
      </c>
      <c r="O2156">
        <v>0</v>
      </c>
      <c r="P2156">
        <v>0</v>
      </c>
    </row>
    <row r="2157" spans="1:16" x14ac:dyDescent="0.2">
      <c r="A2157" t="s">
        <v>4042</v>
      </c>
      <c r="B2157" t="s">
        <v>97</v>
      </c>
      <c r="C2157" t="s">
        <v>4043</v>
      </c>
      <c r="D2157" t="s">
        <v>1897</v>
      </c>
      <c r="E2157" t="s">
        <v>96</v>
      </c>
      <c r="F2157">
        <v>49.99</v>
      </c>
      <c r="G2157" t="s">
        <v>7032</v>
      </c>
      <c r="H2157">
        <v>0</v>
      </c>
      <c r="M2157">
        <v>0</v>
      </c>
      <c r="N2157">
        <v>0</v>
      </c>
      <c r="O2157">
        <v>0</v>
      </c>
      <c r="P2157">
        <v>0</v>
      </c>
    </row>
    <row r="2158" spans="1:16" x14ac:dyDescent="0.2">
      <c r="A2158" t="s">
        <v>3788</v>
      </c>
      <c r="B2158" t="s">
        <v>97</v>
      </c>
      <c r="C2158" t="s">
        <v>3789</v>
      </c>
      <c r="D2158" t="s">
        <v>1897</v>
      </c>
      <c r="E2158" t="s">
        <v>96</v>
      </c>
      <c r="F2158">
        <v>159.99</v>
      </c>
      <c r="G2158" t="s">
        <v>7032</v>
      </c>
      <c r="H2158">
        <v>0</v>
      </c>
      <c r="M2158">
        <v>0</v>
      </c>
      <c r="N2158">
        <v>0</v>
      </c>
      <c r="O2158">
        <v>0</v>
      </c>
      <c r="P2158">
        <v>0</v>
      </c>
    </row>
    <row r="2159" spans="1:16" x14ac:dyDescent="0.2">
      <c r="A2159" t="s">
        <v>7558</v>
      </c>
      <c r="B2159" t="s">
        <v>97</v>
      </c>
      <c r="C2159" t="s">
        <v>7559</v>
      </c>
      <c r="D2159" t="s">
        <v>1897</v>
      </c>
      <c r="E2159" t="s">
        <v>96</v>
      </c>
      <c r="F2159">
        <v>69.989999999999995</v>
      </c>
      <c r="G2159" t="s">
        <v>7032</v>
      </c>
      <c r="H2159">
        <v>0</v>
      </c>
      <c r="M2159">
        <v>0</v>
      </c>
      <c r="N2159">
        <v>0</v>
      </c>
      <c r="O2159">
        <v>0</v>
      </c>
      <c r="P2159">
        <v>0</v>
      </c>
    </row>
    <row r="2160" spans="1:16" x14ac:dyDescent="0.2">
      <c r="A2160" t="s">
        <v>7560</v>
      </c>
      <c r="B2160" t="s">
        <v>97</v>
      </c>
      <c r="C2160" t="s">
        <v>7561</v>
      </c>
      <c r="D2160" t="s">
        <v>1897</v>
      </c>
      <c r="E2160" t="s">
        <v>96</v>
      </c>
      <c r="F2160">
        <v>49.99</v>
      </c>
      <c r="G2160" t="s">
        <v>7032</v>
      </c>
      <c r="H2160">
        <v>0</v>
      </c>
      <c r="M2160">
        <v>0</v>
      </c>
      <c r="N2160">
        <v>0</v>
      </c>
      <c r="O2160">
        <v>0</v>
      </c>
      <c r="P2160">
        <v>0</v>
      </c>
    </row>
    <row r="2161" spans="1:16" x14ac:dyDescent="0.2">
      <c r="A2161" t="s">
        <v>3969</v>
      </c>
      <c r="B2161" t="s">
        <v>97</v>
      </c>
      <c r="C2161" t="s">
        <v>3970</v>
      </c>
      <c r="D2161" t="s">
        <v>1897</v>
      </c>
      <c r="E2161" t="s">
        <v>96</v>
      </c>
      <c r="F2161">
        <v>29.99</v>
      </c>
      <c r="G2161" t="s">
        <v>7032</v>
      </c>
      <c r="H2161">
        <v>0</v>
      </c>
      <c r="M2161">
        <v>0</v>
      </c>
      <c r="N2161">
        <v>0</v>
      </c>
      <c r="O2161">
        <v>0</v>
      </c>
      <c r="P2161">
        <v>0</v>
      </c>
    </row>
    <row r="2162" spans="1:16" x14ac:dyDescent="0.2">
      <c r="A2162" t="s">
        <v>7562</v>
      </c>
      <c r="B2162" t="s">
        <v>97</v>
      </c>
      <c r="C2162" t="s">
        <v>7563</v>
      </c>
      <c r="D2162" t="s">
        <v>1897</v>
      </c>
      <c r="E2162" t="s">
        <v>96</v>
      </c>
      <c r="F2162">
        <v>59.99</v>
      </c>
      <c r="G2162" t="s">
        <v>7032</v>
      </c>
      <c r="H2162">
        <v>0</v>
      </c>
      <c r="M2162">
        <v>0</v>
      </c>
      <c r="N2162">
        <v>0</v>
      </c>
      <c r="O2162">
        <v>0</v>
      </c>
      <c r="P2162">
        <v>0</v>
      </c>
    </row>
    <row r="2163" spans="1:16" x14ac:dyDescent="0.2">
      <c r="A2163" t="s">
        <v>4066</v>
      </c>
      <c r="B2163" t="s">
        <v>97</v>
      </c>
      <c r="C2163" t="s">
        <v>4067</v>
      </c>
      <c r="D2163" t="s">
        <v>1897</v>
      </c>
      <c r="E2163" t="s">
        <v>96</v>
      </c>
      <c r="F2163">
        <v>69.989999999999995</v>
      </c>
      <c r="G2163" t="s">
        <v>7032</v>
      </c>
      <c r="H2163">
        <v>0</v>
      </c>
      <c r="M2163">
        <v>0</v>
      </c>
      <c r="N2163">
        <v>0</v>
      </c>
      <c r="O2163">
        <v>0</v>
      </c>
      <c r="P2163">
        <v>0</v>
      </c>
    </row>
    <row r="2164" spans="1:16" x14ac:dyDescent="0.2">
      <c r="A2164" t="s">
        <v>7564</v>
      </c>
      <c r="B2164" t="s">
        <v>97</v>
      </c>
      <c r="C2164" t="s">
        <v>7565</v>
      </c>
      <c r="D2164" t="s">
        <v>1897</v>
      </c>
      <c r="E2164" t="s">
        <v>96</v>
      </c>
      <c r="F2164">
        <v>79.989999999999995</v>
      </c>
      <c r="G2164" t="s">
        <v>7032</v>
      </c>
      <c r="H2164">
        <v>0</v>
      </c>
      <c r="M2164">
        <v>0</v>
      </c>
      <c r="N2164">
        <v>0</v>
      </c>
      <c r="O2164">
        <v>0</v>
      </c>
      <c r="P2164">
        <v>0</v>
      </c>
    </row>
    <row r="2165" spans="1:16" x14ac:dyDescent="0.2">
      <c r="A2165" t="s">
        <v>1958</v>
      </c>
      <c r="B2165" t="s">
        <v>97</v>
      </c>
      <c r="C2165" t="s">
        <v>1959</v>
      </c>
      <c r="D2165" t="s">
        <v>1897</v>
      </c>
      <c r="E2165" t="s">
        <v>290</v>
      </c>
      <c r="F2165">
        <v>99.99</v>
      </c>
      <c r="G2165" t="s">
        <v>7032</v>
      </c>
      <c r="H2165">
        <v>0</v>
      </c>
      <c r="M2165">
        <v>0</v>
      </c>
      <c r="N2165">
        <v>0</v>
      </c>
      <c r="O2165">
        <v>0</v>
      </c>
      <c r="P2165">
        <v>4</v>
      </c>
    </row>
    <row r="2166" spans="1:16" x14ac:dyDescent="0.2">
      <c r="A2166" t="s">
        <v>4063</v>
      </c>
      <c r="B2166" t="s">
        <v>97</v>
      </c>
      <c r="C2166" t="s">
        <v>4064</v>
      </c>
      <c r="D2166" t="s">
        <v>1897</v>
      </c>
      <c r="E2166" t="s">
        <v>96</v>
      </c>
      <c r="F2166">
        <v>59.99</v>
      </c>
      <c r="G2166" t="s">
        <v>7032</v>
      </c>
      <c r="H2166">
        <v>0</v>
      </c>
      <c r="M2166">
        <v>0</v>
      </c>
      <c r="N2166">
        <v>0</v>
      </c>
      <c r="O2166">
        <v>0</v>
      </c>
      <c r="P2166">
        <v>0</v>
      </c>
    </row>
    <row r="2167" spans="1:16" x14ac:dyDescent="0.2">
      <c r="A2167" t="s">
        <v>1960</v>
      </c>
      <c r="B2167" t="s">
        <v>97</v>
      </c>
      <c r="C2167" t="s">
        <v>1961</v>
      </c>
      <c r="D2167" t="s">
        <v>1897</v>
      </c>
      <c r="E2167" t="s">
        <v>290</v>
      </c>
      <c r="F2167">
        <v>64.989999999999995</v>
      </c>
      <c r="G2167" t="s">
        <v>7032</v>
      </c>
      <c r="H2167">
        <v>0</v>
      </c>
      <c r="M2167">
        <v>0</v>
      </c>
      <c r="N2167">
        <v>0</v>
      </c>
      <c r="O2167">
        <v>0</v>
      </c>
      <c r="P2167">
        <v>7</v>
      </c>
    </row>
    <row r="2168" spans="1:16" x14ac:dyDescent="0.2">
      <c r="A2168" t="s">
        <v>7566</v>
      </c>
      <c r="B2168" t="s">
        <v>97</v>
      </c>
      <c r="C2168" t="s">
        <v>7567</v>
      </c>
      <c r="D2168" t="s">
        <v>1897</v>
      </c>
      <c r="E2168" t="s">
        <v>96</v>
      </c>
      <c r="F2168">
        <v>54.99</v>
      </c>
      <c r="G2168" t="s">
        <v>7032</v>
      </c>
      <c r="H2168">
        <v>0</v>
      </c>
      <c r="M2168">
        <v>0</v>
      </c>
      <c r="N2168">
        <v>0</v>
      </c>
      <c r="O2168">
        <v>0</v>
      </c>
      <c r="P2168">
        <v>3</v>
      </c>
    </row>
    <row r="2169" spans="1:16" x14ac:dyDescent="0.2">
      <c r="A2169" t="s">
        <v>7568</v>
      </c>
      <c r="B2169" t="s">
        <v>97</v>
      </c>
      <c r="C2169" t="s">
        <v>7569</v>
      </c>
      <c r="D2169" t="s">
        <v>1897</v>
      </c>
      <c r="E2169" t="s">
        <v>96</v>
      </c>
      <c r="F2169">
        <v>54.99</v>
      </c>
      <c r="G2169" t="s">
        <v>7032</v>
      </c>
      <c r="H2169">
        <v>0</v>
      </c>
      <c r="M2169">
        <v>0</v>
      </c>
      <c r="N2169">
        <v>0</v>
      </c>
      <c r="O2169">
        <v>0</v>
      </c>
      <c r="P2169">
        <v>0</v>
      </c>
    </row>
    <row r="2170" spans="1:16" x14ac:dyDescent="0.2">
      <c r="A2170" t="s">
        <v>7570</v>
      </c>
      <c r="B2170" t="s">
        <v>97</v>
      </c>
      <c r="C2170" t="s">
        <v>7571</v>
      </c>
      <c r="D2170" t="s">
        <v>1897</v>
      </c>
      <c r="E2170" t="s">
        <v>96</v>
      </c>
      <c r="F2170">
        <v>49.99</v>
      </c>
      <c r="G2170" t="s">
        <v>7032</v>
      </c>
      <c r="H2170">
        <v>0</v>
      </c>
      <c r="M2170">
        <v>0</v>
      </c>
      <c r="N2170">
        <v>0</v>
      </c>
      <c r="O2170">
        <v>0</v>
      </c>
      <c r="P2170">
        <v>0</v>
      </c>
    </row>
    <row r="2171" spans="1:16" x14ac:dyDescent="0.2">
      <c r="A2171" t="s">
        <v>3816</v>
      </c>
      <c r="B2171" t="s">
        <v>97</v>
      </c>
      <c r="C2171" t="s">
        <v>3817</v>
      </c>
      <c r="D2171" t="s">
        <v>1897</v>
      </c>
      <c r="E2171" t="s">
        <v>96</v>
      </c>
      <c r="F2171">
        <v>19.989999999999998</v>
      </c>
      <c r="G2171" t="s">
        <v>7032</v>
      </c>
      <c r="H2171">
        <v>0</v>
      </c>
      <c r="M2171">
        <v>0</v>
      </c>
      <c r="N2171">
        <v>0</v>
      </c>
      <c r="O2171">
        <v>0</v>
      </c>
      <c r="P2171">
        <v>0</v>
      </c>
    </row>
    <row r="2172" spans="1:16" x14ac:dyDescent="0.2">
      <c r="A2172" t="s">
        <v>7572</v>
      </c>
      <c r="B2172" t="s">
        <v>97</v>
      </c>
      <c r="C2172" t="s">
        <v>7573</v>
      </c>
      <c r="D2172" t="s">
        <v>1897</v>
      </c>
      <c r="E2172" t="s">
        <v>96</v>
      </c>
      <c r="F2172">
        <v>32.99</v>
      </c>
      <c r="G2172" t="s">
        <v>7032</v>
      </c>
      <c r="H2172">
        <v>0</v>
      </c>
      <c r="M2172">
        <v>0</v>
      </c>
      <c r="N2172">
        <v>0</v>
      </c>
      <c r="O2172">
        <v>0</v>
      </c>
      <c r="P2172">
        <v>0</v>
      </c>
    </row>
    <row r="2173" spans="1:16" x14ac:dyDescent="0.2">
      <c r="A2173" t="s">
        <v>4057</v>
      </c>
      <c r="B2173" t="s">
        <v>97</v>
      </c>
      <c r="C2173" t="s">
        <v>4058</v>
      </c>
      <c r="D2173" t="s">
        <v>1897</v>
      </c>
      <c r="E2173" t="s">
        <v>96</v>
      </c>
      <c r="F2173">
        <v>49.99</v>
      </c>
      <c r="G2173" t="s">
        <v>7032</v>
      </c>
      <c r="H2173">
        <v>0</v>
      </c>
      <c r="M2173">
        <v>0</v>
      </c>
      <c r="N2173">
        <v>0</v>
      </c>
      <c r="O2173">
        <v>0</v>
      </c>
      <c r="P2173">
        <v>0</v>
      </c>
    </row>
    <row r="2174" spans="1:16" x14ac:dyDescent="0.2">
      <c r="A2174" t="s">
        <v>4045</v>
      </c>
      <c r="B2174" t="s">
        <v>97</v>
      </c>
      <c r="C2174" t="s">
        <v>4046</v>
      </c>
      <c r="D2174" t="s">
        <v>1897</v>
      </c>
      <c r="E2174" t="s">
        <v>96</v>
      </c>
      <c r="F2174">
        <v>49.99</v>
      </c>
      <c r="G2174" t="s">
        <v>7032</v>
      </c>
      <c r="H2174">
        <v>0</v>
      </c>
      <c r="M2174">
        <v>0</v>
      </c>
      <c r="N2174">
        <v>0</v>
      </c>
      <c r="O2174">
        <v>0</v>
      </c>
      <c r="P2174">
        <v>0</v>
      </c>
    </row>
    <row r="2175" spans="1:16" x14ac:dyDescent="0.2">
      <c r="A2175" t="s">
        <v>7574</v>
      </c>
      <c r="B2175" t="s">
        <v>97</v>
      </c>
      <c r="C2175" t="s">
        <v>7575</v>
      </c>
      <c r="D2175" t="s">
        <v>1897</v>
      </c>
      <c r="E2175" t="s">
        <v>96</v>
      </c>
      <c r="F2175">
        <v>129.99</v>
      </c>
      <c r="G2175" t="s">
        <v>7032</v>
      </c>
      <c r="H2175">
        <v>0</v>
      </c>
      <c r="M2175">
        <v>0</v>
      </c>
      <c r="N2175">
        <v>0</v>
      </c>
      <c r="O2175">
        <v>0</v>
      </c>
      <c r="P2175">
        <v>0</v>
      </c>
    </row>
    <row r="2176" spans="1:16" x14ac:dyDescent="0.2">
      <c r="A2176" t="s">
        <v>4039</v>
      </c>
      <c r="B2176" t="s">
        <v>97</v>
      </c>
      <c r="C2176" t="s">
        <v>4040</v>
      </c>
      <c r="D2176" t="s">
        <v>1897</v>
      </c>
      <c r="E2176" t="s">
        <v>96</v>
      </c>
      <c r="F2176">
        <v>49.99</v>
      </c>
      <c r="G2176" t="s">
        <v>7032</v>
      </c>
      <c r="H2176">
        <v>0</v>
      </c>
      <c r="M2176">
        <v>0</v>
      </c>
      <c r="N2176">
        <v>0</v>
      </c>
      <c r="O2176">
        <v>0</v>
      </c>
      <c r="P2176">
        <v>0</v>
      </c>
    </row>
    <row r="2177" spans="1:16" x14ac:dyDescent="0.2">
      <c r="A2177" t="s">
        <v>3930</v>
      </c>
      <c r="B2177" t="s">
        <v>97</v>
      </c>
      <c r="C2177" t="s">
        <v>3931</v>
      </c>
      <c r="D2177" t="s">
        <v>1897</v>
      </c>
      <c r="E2177" t="s">
        <v>96</v>
      </c>
      <c r="F2177">
        <v>59.99</v>
      </c>
      <c r="G2177" t="s">
        <v>7032</v>
      </c>
      <c r="H2177">
        <v>0</v>
      </c>
      <c r="M2177">
        <v>0</v>
      </c>
      <c r="N2177">
        <v>0</v>
      </c>
      <c r="O2177">
        <v>0</v>
      </c>
      <c r="P2177">
        <v>0</v>
      </c>
    </row>
    <row r="2178" spans="1:16" x14ac:dyDescent="0.2">
      <c r="A2178" t="s">
        <v>4114</v>
      </c>
      <c r="B2178" t="s">
        <v>97</v>
      </c>
      <c r="C2178" t="s">
        <v>4115</v>
      </c>
      <c r="D2178" t="s">
        <v>1897</v>
      </c>
      <c r="E2178" t="s">
        <v>290</v>
      </c>
      <c r="F2178">
        <v>79.989999999999995</v>
      </c>
      <c r="G2178" t="s">
        <v>7032</v>
      </c>
      <c r="H2178">
        <v>0</v>
      </c>
      <c r="M2178">
        <v>0</v>
      </c>
      <c r="N2178">
        <v>0</v>
      </c>
      <c r="O2178">
        <v>0</v>
      </c>
      <c r="P2178">
        <v>1</v>
      </c>
    </row>
    <row r="2179" spans="1:16" x14ac:dyDescent="0.2">
      <c r="A2179" t="s">
        <v>1940</v>
      </c>
      <c r="B2179" t="s">
        <v>97</v>
      </c>
      <c r="C2179" t="s">
        <v>1941</v>
      </c>
      <c r="D2179" t="s">
        <v>1897</v>
      </c>
      <c r="E2179" t="s">
        <v>290</v>
      </c>
      <c r="F2179">
        <v>29.99</v>
      </c>
      <c r="G2179" t="s">
        <v>7032</v>
      </c>
      <c r="H2179">
        <v>0</v>
      </c>
      <c r="M2179">
        <v>0</v>
      </c>
      <c r="N2179">
        <v>0</v>
      </c>
      <c r="O2179">
        <v>0</v>
      </c>
      <c r="P2179">
        <v>2</v>
      </c>
    </row>
    <row r="2180" spans="1:16" x14ac:dyDescent="0.2">
      <c r="A2180" t="s">
        <v>1942</v>
      </c>
      <c r="B2180" t="s">
        <v>97</v>
      </c>
      <c r="C2180" t="s">
        <v>1943</v>
      </c>
      <c r="D2180" t="s">
        <v>1897</v>
      </c>
      <c r="E2180" t="s">
        <v>290</v>
      </c>
      <c r="F2180">
        <v>79.989999999999995</v>
      </c>
      <c r="G2180" t="s">
        <v>7032</v>
      </c>
      <c r="H2180">
        <v>0</v>
      </c>
      <c r="M2180">
        <v>0</v>
      </c>
      <c r="N2180">
        <v>0</v>
      </c>
      <c r="O2180">
        <v>0</v>
      </c>
      <c r="P2180">
        <v>2</v>
      </c>
    </row>
    <row r="2181" spans="1:16" x14ac:dyDescent="0.2">
      <c r="A2181" t="s">
        <v>4191</v>
      </c>
      <c r="B2181" t="s">
        <v>97</v>
      </c>
      <c r="C2181" t="s">
        <v>4192</v>
      </c>
      <c r="D2181" t="s">
        <v>1897</v>
      </c>
      <c r="E2181" t="s">
        <v>96</v>
      </c>
      <c r="F2181">
        <v>249.99</v>
      </c>
      <c r="G2181" t="s">
        <v>7032</v>
      </c>
      <c r="H2181">
        <v>0</v>
      </c>
      <c r="M2181">
        <v>0</v>
      </c>
      <c r="N2181">
        <v>0</v>
      </c>
      <c r="O2181">
        <v>0</v>
      </c>
      <c r="P2181">
        <v>0</v>
      </c>
    </row>
    <row r="2182" spans="1:16" x14ac:dyDescent="0.2">
      <c r="A2182" t="s">
        <v>3871</v>
      </c>
      <c r="B2182" t="s">
        <v>97</v>
      </c>
      <c r="C2182" t="s">
        <v>3872</v>
      </c>
      <c r="D2182" t="s">
        <v>1897</v>
      </c>
      <c r="E2182" t="s">
        <v>96</v>
      </c>
      <c r="F2182">
        <v>89.99</v>
      </c>
      <c r="G2182" t="s">
        <v>7032</v>
      </c>
      <c r="H2182">
        <v>0</v>
      </c>
      <c r="M2182">
        <v>0</v>
      </c>
      <c r="N2182">
        <v>0</v>
      </c>
      <c r="O2182">
        <v>0</v>
      </c>
      <c r="P2182">
        <v>1</v>
      </c>
    </row>
    <row r="2183" spans="1:16" x14ac:dyDescent="0.2">
      <c r="A2183" t="s">
        <v>7576</v>
      </c>
      <c r="B2183" t="s">
        <v>97</v>
      </c>
      <c r="C2183" t="s">
        <v>7577</v>
      </c>
      <c r="D2183" t="s">
        <v>1897</v>
      </c>
      <c r="E2183" t="s">
        <v>96</v>
      </c>
      <c r="F2183">
        <v>39.99</v>
      </c>
      <c r="G2183" t="s">
        <v>7032</v>
      </c>
      <c r="H2183">
        <v>0</v>
      </c>
      <c r="M2183">
        <v>0</v>
      </c>
      <c r="N2183">
        <v>0</v>
      </c>
      <c r="O2183">
        <v>0</v>
      </c>
      <c r="P2183">
        <v>0</v>
      </c>
    </row>
    <row r="2184" spans="1:16" x14ac:dyDescent="0.2">
      <c r="A2184" t="s">
        <v>3868</v>
      </c>
      <c r="B2184" t="s">
        <v>97</v>
      </c>
      <c r="C2184" t="s">
        <v>3869</v>
      </c>
      <c r="D2184" t="s">
        <v>1897</v>
      </c>
      <c r="E2184" t="s">
        <v>96</v>
      </c>
      <c r="F2184">
        <v>89.99</v>
      </c>
      <c r="G2184" t="s">
        <v>7032</v>
      </c>
      <c r="H2184">
        <v>0</v>
      </c>
      <c r="M2184">
        <v>0</v>
      </c>
      <c r="N2184">
        <v>0</v>
      </c>
      <c r="O2184">
        <v>0</v>
      </c>
      <c r="P2184">
        <v>0</v>
      </c>
    </row>
    <row r="2185" spans="1:16" x14ac:dyDescent="0.2">
      <c r="A2185" t="s">
        <v>3772</v>
      </c>
      <c r="B2185" t="s">
        <v>97</v>
      </c>
      <c r="C2185" t="s">
        <v>3773</v>
      </c>
      <c r="D2185" t="s">
        <v>1897</v>
      </c>
      <c r="E2185" t="s">
        <v>290</v>
      </c>
      <c r="F2185">
        <v>39.99</v>
      </c>
      <c r="G2185" t="s">
        <v>7032</v>
      </c>
      <c r="H2185">
        <v>0</v>
      </c>
      <c r="M2185">
        <v>0</v>
      </c>
      <c r="N2185">
        <v>0</v>
      </c>
      <c r="O2185">
        <v>0</v>
      </c>
      <c r="P2185">
        <v>2</v>
      </c>
    </row>
    <row r="2186" spans="1:16" x14ac:dyDescent="0.2">
      <c r="A2186" t="s">
        <v>7578</v>
      </c>
      <c r="B2186" t="s">
        <v>97</v>
      </c>
      <c r="C2186" t="s">
        <v>7579</v>
      </c>
      <c r="D2186" t="s">
        <v>1897</v>
      </c>
      <c r="E2186" t="s">
        <v>96</v>
      </c>
      <c r="F2186">
        <v>44.99</v>
      </c>
      <c r="G2186" t="s">
        <v>7032</v>
      </c>
      <c r="H2186">
        <v>0</v>
      </c>
      <c r="M2186">
        <v>0</v>
      </c>
      <c r="N2186">
        <v>0</v>
      </c>
      <c r="O2186">
        <v>0</v>
      </c>
      <c r="P2186">
        <v>0</v>
      </c>
    </row>
    <row r="2187" spans="1:16" x14ac:dyDescent="0.2">
      <c r="A2187" t="s">
        <v>7580</v>
      </c>
      <c r="B2187" t="s">
        <v>97</v>
      </c>
      <c r="C2187" t="s">
        <v>7581</v>
      </c>
      <c r="D2187" t="s">
        <v>1897</v>
      </c>
      <c r="E2187" t="s">
        <v>96</v>
      </c>
      <c r="F2187">
        <v>54.99</v>
      </c>
      <c r="G2187" t="s">
        <v>7032</v>
      </c>
      <c r="H2187">
        <v>0</v>
      </c>
      <c r="M2187">
        <v>0</v>
      </c>
      <c r="N2187">
        <v>0</v>
      </c>
      <c r="O2187">
        <v>0</v>
      </c>
      <c r="P2187">
        <v>0</v>
      </c>
    </row>
    <row r="2188" spans="1:16" x14ac:dyDescent="0.2">
      <c r="A2188" t="s">
        <v>7582</v>
      </c>
      <c r="B2188" t="s">
        <v>97</v>
      </c>
      <c r="C2188" t="s">
        <v>7583</v>
      </c>
      <c r="D2188" t="s">
        <v>1897</v>
      </c>
      <c r="E2188" t="s">
        <v>96</v>
      </c>
      <c r="F2188">
        <v>54.99</v>
      </c>
      <c r="G2188" t="s">
        <v>7032</v>
      </c>
      <c r="H2188">
        <v>0</v>
      </c>
      <c r="M2188">
        <v>0</v>
      </c>
      <c r="N2188">
        <v>0</v>
      </c>
      <c r="O2188">
        <v>0</v>
      </c>
      <c r="P2188">
        <v>0</v>
      </c>
    </row>
    <row r="2189" spans="1:16" x14ac:dyDescent="0.2">
      <c r="A2189" t="s">
        <v>7584</v>
      </c>
      <c r="B2189" t="s">
        <v>97</v>
      </c>
      <c r="C2189" t="s">
        <v>7585</v>
      </c>
      <c r="D2189" t="s">
        <v>1897</v>
      </c>
      <c r="E2189" t="s">
        <v>96</v>
      </c>
      <c r="F2189">
        <v>79.989999999999995</v>
      </c>
      <c r="G2189" t="s">
        <v>7032</v>
      </c>
      <c r="H2189">
        <v>0</v>
      </c>
      <c r="M2189">
        <v>0</v>
      </c>
      <c r="N2189">
        <v>0</v>
      </c>
      <c r="O2189">
        <v>0</v>
      </c>
      <c r="P2189">
        <v>0</v>
      </c>
    </row>
    <row r="2190" spans="1:16" x14ac:dyDescent="0.2">
      <c r="A2190" t="s">
        <v>7586</v>
      </c>
      <c r="B2190" t="s">
        <v>97</v>
      </c>
      <c r="C2190" t="s">
        <v>7587</v>
      </c>
      <c r="D2190" t="s">
        <v>1897</v>
      </c>
      <c r="E2190" t="s">
        <v>96</v>
      </c>
      <c r="F2190">
        <v>79.989999999999995</v>
      </c>
      <c r="G2190" t="s">
        <v>7032</v>
      </c>
      <c r="H2190">
        <v>0</v>
      </c>
      <c r="M2190">
        <v>0</v>
      </c>
      <c r="N2190">
        <v>0</v>
      </c>
      <c r="O2190">
        <v>0</v>
      </c>
      <c r="P2190">
        <v>0</v>
      </c>
    </row>
    <row r="2191" spans="1:16" x14ac:dyDescent="0.2">
      <c r="A2191" t="s">
        <v>7588</v>
      </c>
      <c r="B2191" t="s">
        <v>97</v>
      </c>
      <c r="C2191" t="s">
        <v>7589</v>
      </c>
      <c r="D2191" t="s">
        <v>1897</v>
      </c>
      <c r="E2191" t="s">
        <v>96</v>
      </c>
      <c r="F2191">
        <v>89.99</v>
      </c>
      <c r="G2191" t="s">
        <v>7032</v>
      </c>
      <c r="H2191">
        <v>0</v>
      </c>
      <c r="M2191">
        <v>0</v>
      </c>
      <c r="N2191">
        <v>0</v>
      </c>
      <c r="O2191">
        <v>0</v>
      </c>
      <c r="P2191">
        <v>0</v>
      </c>
    </row>
    <row r="2192" spans="1:16" x14ac:dyDescent="0.2">
      <c r="A2192" t="s">
        <v>3883</v>
      </c>
      <c r="B2192" t="s">
        <v>97</v>
      </c>
      <c r="C2192" t="s">
        <v>3884</v>
      </c>
      <c r="D2192" t="s">
        <v>1897</v>
      </c>
      <c r="E2192" t="s">
        <v>96</v>
      </c>
      <c r="F2192">
        <v>89.99</v>
      </c>
      <c r="G2192" t="s">
        <v>7032</v>
      </c>
      <c r="H2192">
        <v>0</v>
      </c>
      <c r="M2192">
        <v>0</v>
      </c>
      <c r="N2192">
        <v>0</v>
      </c>
      <c r="O2192">
        <v>0</v>
      </c>
      <c r="P2192">
        <v>0</v>
      </c>
    </row>
    <row r="2193" spans="1:16" x14ac:dyDescent="0.2">
      <c r="A2193" t="s">
        <v>7590</v>
      </c>
      <c r="B2193" t="s">
        <v>97</v>
      </c>
      <c r="C2193" t="s">
        <v>7591</v>
      </c>
      <c r="D2193" t="s">
        <v>1897</v>
      </c>
      <c r="E2193" t="s">
        <v>96</v>
      </c>
      <c r="F2193">
        <v>89.99</v>
      </c>
      <c r="G2193" t="s">
        <v>7032</v>
      </c>
      <c r="H2193">
        <v>0</v>
      </c>
      <c r="M2193">
        <v>0</v>
      </c>
      <c r="N2193">
        <v>0</v>
      </c>
      <c r="O2193">
        <v>0</v>
      </c>
      <c r="P2193">
        <v>0</v>
      </c>
    </row>
    <row r="2194" spans="1:16" x14ac:dyDescent="0.2">
      <c r="A2194" t="s">
        <v>7592</v>
      </c>
      <c r="B2194" t="s">
        <v>97</v>
      </c>
      <c r="C2194" t="s">
        <v>7593</v>
      </c>
      <c r="D2194" t="s">
        <v>1897</v>
      </c>
      <c r="E2194" t="s">
        <v>96</v>
      </c>
      <c r="F2194">
        <v>44.99</v>
      </c>
      <c r="G2194" t="s">
        <v>7032</v>
      </c>
      <c r="H2194">
        <v>0</v>
      </c>
      <c r="M2194">
        <v>0</v>
      </c>
      <c r="N2194">
        <v>0</v>
      </c>
      <c r="O2194">
        <v>0</v>
      </c>
      <c r="P2194">
        <v>0</v>
      </c>
    </row>
    <row r="2195" spans="1:16" x14ac:dyDescent="0.2">
      <c r="A2195" t="s">
        <v>4174</v>
      </c>
      <c r="B2195" t="s">
        <v>97</v>
      </c>
      <c r="C2195" t="s">
        <v>4175</v>
      </c>
      <c r="D2195" t="s">
        <v>1897</v>
      </c>
      <c r="E2195" t="s">
        <v>96</v>
      </c>
      <c r="F2195">
        <v>27.99</v>
      </c>
      <c r="G2195" t="s">
        <v>7032</v>
      </c>
      <c r="H2195">
        <v>0</v>
      </c>
      <c r="M2195">
        <v>0</v>
      </c>
      <c r="N2195">
        <v>0</v>
      </c>
      <c r="O2195">
        <v>0</v>
      </c>
      <c r="P2195">
        <v>0</v>
      </c>
    </row>
    <row r="2196" spans="1:16" x14ac:dyDescent="0.2">
      <c r="A2196" t="s">
        <v>7594</v>
      </c>
      <c r="B2196" t="s">
        <v>97</v>
      </c>
      <c r="C2196" t="s">
        <v>7595</v>
      </c>
      <c r="D2196" t="s">
        <v>1897</v>
      </c>
      <c r="E2196" t="s">
        <v>96</v>
      </c>
      <c r="F2196">
        <v>99.99</v>
      </c>
      <c r="G2196" t="s">
        <v>7032</v>
      </c>
      <c r="H2196">
        <v>0</v>
      </c>
      <c r="M2196">
        <v>0</v>
      </c>
      <c r="N2196">
        <v>0</v>
      </c>
      <c r="O2196">
        <v>0</v>
      </c>
      <c r="P2196">
        <v>0</v>
      </c>
    </row>
    <row r="2197" spans="1:16" x14ac:dyDescent="0.2">
      <c r="A2197" t="s">
        <v>7596</v>
      </c>
      <c r="B2197" t="s">
        <v>97</v>
      </c>
      <c r="C2197" t="s">
        <v>7597</v>
      </c>
      <c r="D2197" t="s">
        <v>1897</v>
      </c>
      <c r="E2197" t="s">
        <v>96</v>
      </c>
      <c r="F2197">
        <v>44.99</v>
      </c>
      <c r="G2197" t="s">
        <v>7032</v>
      </c>
      <c r="H2197">
        <v>0</v>
      </c>
      <c r="M2197">
        <v>0</v>
      </c>
      <c r="N2197">
        <v>0</v>
      </c>
      <c r="O2197">
        <v>0</v>
      </c>
      <c r="P2197">
        <v>0</v>
      </c>
    </row>
    <row r="2198" spans="1:16" x14ac:dyDescent="0.2">
      <c r="A2198" t="s">
        <v>4036</v>
      </c>
      <c r="B2198" t="s">
        <v>97</v>
      </c>
      <c r="C2198" t="s">
        <v>4037</v>
      </c>
      <c r="D2198" t="s">
        <v>1897</v>
      </c>
      <c r="E2198" t="s">
        <v>96</v>
      </c>
      <c r="F2198">
        <v>99.99</v>
      </c>
      <c r="G2198" t="s">
        <v>7032</v>
      </c>
      <c r="H2198">
        <v>0</v>
      </c>
      <c r="M2198">
        <v>0</v>
      </c>
      <c r="N2198">
        <v>0</v>
      </c>
      <c r="O2198">
        <v>0</v>
      </c>
      <c r="P2198">
        <v>0</v>
      </c>
    </row>
    <row r="2199" spans="1:16" x14ac:dyDescent="0.2">
      <c r="A2199" t="s">
        <v>7598</v>
      </c>
      <c r="B2199" t="s">
        <v>97</v>
      </c>
      <c r="C2199" t="s">
        <v>7599</v>
      </c>
      <c r="D2199" t="s">
        <v>1897</v>
      </c>
      <c r="E2199" t="s">
        <v>96</v>
      </c>
      <c r="F2199">
        <v>119.99</v>
      </c>
      <c r="G2199" t="s">
        <v>7032</v>
      </c>
      <c r="H2199">
        <v>0</v>
      </c>
      <c r="M2199">
        <v>0</v>
      </c>
      <c r="N2199">
        <v>0</v>
      </c>
      <c r="O2199">
        <v>0</v>
      </c>
      <c r="P2199">
        <v>0</v>
      </c>
    </row>
    <row r="2200" spans="1:16" x14ac:dyDescent="0.2">
      <c r="A2200" t="s">
        <v>3880</v>
      </c>
      <c r="B2200" t="s">
        <v>97</v>
      </c>
      <c r="C2200" t="s">
        <v>3881</v>
      </c>
      <c r="D2200" t="s">
        <v>1897</v>
      </c>
      <c r="E2200" t="s">
        <v>96</v>
      </c>
      <c r="F2200">
        <v>139.99</v>
      </c>
      <c r="G2200" t="s">
        <v>7032</v>
      </c>
      <c r="H2200">
        <v>0</v>
      </c>
      <c r="M2200">
        <v>0</v>
      </c>
      <c r="N2200">
        <v>0</v>
      </c>
      <c r="O2200">
        <v>0</v>
      </c>
      <c r="P2200">
        <v>0</v>
      </c>
    </row>
    <row r="2201" spans="1:16" x14ac:dyDescent="0.2">
      <c r="A2201" t="s">
        <v>4060</v>
      </c>
      <c r="B2201" t="s">
        <v>97</v>
      </c>
      <c r="C2201" t="s">
        <v>4061</v>
      </c>
      <c r="D2201" t="s">
        <v>1897</v>
      </c>
      <c r="E2201" t="s">
        <v>96</v>
      </c>
      <c r="F2201">
        <v>49.99</v>
      </c>
      <c r="G2201" t="s">
        <v>7032</v>
      </c>
      <c r="H2201">
        <v>0</v>
      </c>
      <c r="M2201">
        <v>0</v>
      </c>
      <c r="N2201">
        <v>0</v>
      </c>
      <c r="O2201">
        <v>0</v>
      </c>
      <c r="P2201">
        <v>1</v>
      </c>
    </row>
    <row r="2202" spans="1:16" x14ac:dyDescent="0.2">
      <c r="A2202" t="s">
        <v>7600</v>
      </c>
      <c r="B2202" t="s">
        <v>97</v>
      </c>
      <c r="C2202" t="s">
        <v>7601</v>
      </c>
      <c r="D2202" t="s">
        <v>1897</v>
      </c>
      <c r="E2202" t="s">
        <v>290</v>
      </c>
      <c r="F2202">
        <v>99.99</v>
      </c>
      <c r="G2202" t="s">
        <v>7032</v>
      </c>
      <c r="H2202">
        <v>0</v>
      </c>
      <c r="M2202">
        <v>0</v>
      </c>
      <c r="N2202">
        <v>0</v>
      </c>
      <c r="O2202">
        <v>0</v>
      </c>
      <c r="P2202">
        <v>0</v>
      </c>
    </row>
    <row r="2203" spans="1:16" x14ac:dyDescent="0.2">
      <c r="A2203" t="s">
        <v>4048</v>
      </c>
      <c r="B2203" t="s">
        <v>97</v>
      </c>
      <c r="C2203" t="s">
        <v>4049</v>
      </c>
      <c r="D2203" t="s">
        <v>1897</v>
      </c>
      <c r="E2203" t="s">
        <v>96</v>
      </c>
      <c r="F2203">
        <v>49.99</v>
      </c>
      <c r="G2203" t="s">
        <v>7032</v>
      </c>
      <c r="H2203">
        <v>0</v>
      </c>
      <c r="M2203">
        <v>0</v>
      </c>
      <c r="N2203">
        <v>0</v>
      </c>
      <c r="O2203">
        <v>0</v>
      </c>
      <c r="P2203">
        <v>0</v>
      </c>
    </row>
    <row r="2204" spans="1:16" x14ac:dyDescent="0.2">
      <c r="A2204" t="s">
        <v>3874</v>
      </c>
      <c r="B2204" t="s">
        <v>97</v>
      </c>
      <c r="C2204" t="s">
        <v>3875</v>
      </c>
      <c r="D2204" t="s">
        <v>1897</v>
      </c>
      <c r="E2204" t="s">
        <v>96</v>
      </c>
      <c r="F2204">
        <v>99.99</v>
      </c>
      <c r="G2204" t="s">
        <v>7032</v>
      </c>
      <c r="H2204">
        <v>0</v>
      </c>
      <c r="M2204">
        <v>0</v>
      </c>
      <c r="N2204">
        <v>0</v>
      </c>
      <c r="O2204">
        <v>0</v>
      </c>
      <c r="P2204">
        <v>0</v>
      </c>
    </row>
    <row r="2205" spans="1:16" x14ac:dyDescent="0.2">
      <c r="A2205" t="s">
        <v>7602</v>
      </c>
      <c r="B2205" t="s">
        <v>97</v>
      </c>
      <c r="C2205" t="s">
        <v>7603</v>
      </c>
      <c r="D2205" t="s">
        <v>1897</v>
      </c>
      <c r="E2205" t="s">
        <v>96</v>
      </c>
      <c r="F2205">
        <v>44.99</v>
      </c>
      <c r="G2205" t="s">
        <v>7032</v>
      </c>
      <c r="H2205">
        <v>0</v>
      </c>
      <c r="M2205">
        <v>0</v>
      </c>
      <c r="N2205">
        <v>0</v>
      </c>
      <c r="O2205">
        <v>0</v>
      </c>
      <c r="P2205">
        <v>0</v>
      </c>
    </row>
    <row r="2206" spans="1:16" x14ac:dyDescent="0.2">
      <c r="A2206" t="s">
        <v>1954</v>
      </c>
      <c r="B2206" t="s">
        <v>97</v>
      </c>
      <c r="C2206" t="s">
        <v>1955</v>
      </c>
      <c r="D2206" t="s">
        <v>1897</v>
      </c>
      <c r="E2206" t="s">
        <v>290</v>
      </c>
      <c r="F2206">
        <v>79.989999999999995</v>
      </c>
      <c r="G2206" t="s">
        <v>7032</v>
      </c>
      <c r="H2206">
        <v>0</v>
      </c>
      <c r="M2206">
        <v>0</v>
      </c>
      <c r="N2206">
        <v>0</v>
      </c>
      <c r="O2206">
        <v>0</v>
      </c>
      <c r="P2206">
        <v>0</v>
      </c>
    </row>
    <row r="2207" spans="1:16" x14ac:dyDescent="0.2">
      <c r="A2207" t="s">
        <v>4075</v>
      </c>
      <c r="B2207" t="s">
        <v>97</v>
      </c>
      <c r="C2207" t="s">
        <v>4076</v>
      </c>
      <c r="D2207" t="s">
        <v>1897</v>
      </c>
      <c r="E2207" t="s">
        <v>96</v>
      </c>
      <c r="F2207">
        <v>299.99</v>
      </c>
      <c r="G2207" t="s">
        <v>7032</v>
      </c>
      <c r="H2207">
        <v>0</v>
      </c>
      <c r="M2207">
        <v>0</v>
      </c>
      <c r="N2207">
        <v>0</v>
      </c>
      <c r="O2207">
        <v>0</v>
      </c>
      <c r="P2207">
        <v>0</v>
      </c>
    </row>
    <row r="2208" spans="1:16" x14ac:dyDescent="0.2">
      <c r="A2208" t="s">
        <v>4072</v>
      </c>
      <c r="B2208" t="s">
        <v>97</v>
      </c>
      <c r="C2208" t="s">
        <v>4073</v>
      </c>
      <c r="D2208" t="s">
        <v>1897</v>
      </c>
      <c r="E2208" t="s">
        <v>96</v>
      </c>
      <c r="F2208">
        <v>299.99</v>
      </c>
      <c r="G2208" t="s">
        <v>7032</v>
      </c>
      <c r="H2208">
        <v>0</v>
      </c>
      <c r="M2208">
        <v>0</v>
      </c>
      <c r="N2208">
        <v>0</v>
      </c>
      <c r="O2208">
        <v>0</v>
      </c>
      <c r="P2208">
        <v>0</v>
      </c>
    </row>
    <row r="2209" spans="1:16" x14ac:dyDescent="0.2">
      <c r="A2209" t="s">
        <v>1946</v>
      </c>
      <c r="B2209" t="s">
        <v>97</v>
      </c>
      <c r="C2209" t="s">
        <v>1947</v>
      </c>
      <c r="D2209" t="s">
        <v>1897</v>
      </c>
      <c r="E2209" t="s">
        <v>290</v>
      </c>
      <c r="F2209">
        <v>79.989999999999995</v>
      </c>
      <c r="G2209" t="s">
        <v>7032</v>
      </c>
      <c r="H2209">
        <v>0</v>
      </c>
      <c r="M2209">
        <v>0</v>
      </c>
      <c r="N2209">
        <v>0</v>
      </c>
      <c r="O2209">
        <v>0</v>
      </c>
      <c r="P2209">
        <v>2</v>
      </c>
    </row>
    <row r="2210" spans="1:16" x14ac:dyDescent="0.2">
      <c r="A2210" t="s">
        <v>1948</v>
      </c>
      <c r="B2210" t="s">
        <v>97</v>
      </c>
      <c r="C2210" t="s">
        <v>1949</v>
      </c>
      <c r="D2210" t="s">
        <v>1897</v>
      </c>
      <c r="E2210" t="s">
        <v>290</v>
      </c>
      <c r="F2210">
        <v>79.989999999999995</v>
      </c>
      <c r="G2210" t="s">
        <v>7032</v>
      </c>
      <c r="H2210">
        <v>0</v>
      </c>
      <c r="M2210">
        <v>0</v>
      </c>
      <c r="N2210">
        <v>0</v>
      </c>
      <c r="O2210">
        <v>0</v>
      </c>
      <c r="P2210">
        <v>0</v>
      </c>
    </row>
    <row r="2211" spans="1:16" x14ac:dyDescent="0.2">
      <c r="A2211" t="s">
        <v>1950</v>
      </c>
      <c r="B2211" t="s">
        <v>97</v>
      </c>
      <c r="C2211" t="s">
        <v>1951</v>
      </c>
      <c r="D2211" t="s">
        <v>1897</v>
      </c>
      <c r="E2211" t="s">
        <v>290</v>
      </c>
      <c r="F2211">
        <v>79.989999999999995</v>
      </c>
      <c r="G2211" t="s">
        <v>7032</v>
      </c>
      <c r="H2211">
        <v>0</v>
      </c>
      <c r="M2211">
        <v>0</v>
      </c>
      <c r="N2211">
        <v>0</v>
      </c>
      <c r="O2211">
        <v>0</v>
      </c>
      <c r="P2211">
        <v>3</v>
      </c>
    </row>
    <row r="2212" spans="1:16" x14ac:dyDescent="0.2">
      <c r="A2212" t="s">
        <v>1952</v>
      </c>
      <c r="B2212" t="s">
        <v>97</v>
      </c>
      <c r="C2212" t="s">
        <v>1953</v>
      </c>
      <c r="D2212" t="s">
        <v>1897</v>
      </c>
      <c r="E2212" t="s">
        <v>290</v>
      </c>
      <c r="F2212">
        <v>89.99</v>
      </c>
      <c r="G2212" t="s">
        <v>7032</v>
      </c>
      <c r="H2212">
        <v>0</v>
      </c>
      <c r="M2212">
        <v>0</v>
      </c>
      <c r="N2212">
        <v>0</v>
      </c>
      <c r="O2212">
        <v>0</v>
      </c>
      <c r="P2212">
        <v>2</v>
      </c>
    </row>
    <row r="2213" spans="1:16" x14ac:dyDescent="0.2">
      <c r="A2213" t="s">
        <v>7604</v>
      </c>
      <c r="B2213" t="s">
        <v>97</v>
      </c>
      <c r="C2213" t="s">
        <v>7605</v>
      </c>
      <c r="D2213" t="s">
        <v>1897</v>
      </c>
      <c r="E2213" t="s">
        <v>96</v>
      </c>
      <c r="F2213">
        <v>99.99</v>
      </c>
      <c r="G2213" t="s">
        <v>7032</v>
      </c>
      <c r="H2213">
        <v>0</v>
      </c>
      <c r="M2213">
        <v>0</v>
      </c>
      <c r="N2213">
        <v>0</v>
      </c>
      <c r="O2213">
        <v>0</v>
      </c>
      <c r="P2213">
        <v>0</v>
      </c>
    </row>
    <row r="2214" spans="1:16" x14ac:dyDescent="0.2">
      <c r="A2214" t="s">
        <v>7606</v>
      </c>
      <c r="B2214" t="s">
        <v>97</v>
      </c>
      <c r="C2214" t="s">
        <v>7607</v>
      </c>
      <c r="D2214" t="s">
        <v>1897</v>
      </c>
      <c r="E2214" t="s">
        <v>96</v>
      </c>
      <c r="F2214">
        <v>79.989999999999995</v>
      </c>
      <c r="G2214" t="s">
        <v>7032</v>
      </c>
      <c r="H2214">
        <v>0</v>
      </c>
      <c r="M2214">
        <v>0</v>
      </c>
      <c r="N2214">
        <v>0</v>
      </c>
      <c r="O2214">
        <v>0</v>
      </c>
      <c r="P2214">
        <v>0</v>
      </c>
    </row>
    <row r="2215" spans="1:16" x14ac:dyDescent="0.2">
      <c r="A2215" t="s">
        <v>7608</v>
      </c>
      <c r="B2215" t="s">
        <v>97</v>
      </c>
      <c r="C2215" t="s">
        <v>7609</v>
      </c>
      <c r="D2215" t="s">
        <v>1897</v>
      </c>
      <c r="E2215" t="s">
        <v>96</v>
      </c>
      <c r="F2215">
        <v>79.989999999999995</v>
      </c>
      <c r="G2215" t="s">
        <v>7032</v>
      </c>
      <c r="H2215">
        <v>0</v>
      </c>
      <c r="M2215">
        <v>0</v>
      </c>
      <c r="N2215">
        <v>0</v>
      </c>
      <c r="O2215">
        <v>0</v>
      </c>
      <c r="P2215">
        <v>0</v>
      </c>
    </row>
    <row r="2216" spans="1:16" x14ac:dyDescent="0.2">
      <c r="A2216" t="s">
        <v>7610</v>
      </c>
      <c r="B2216" t="s">
        <v>97</v>
      </c>
      <c r="C2216" t="s">
        <v>7611</v>
      </c>
      <c r="D2216" t="s">
        <v>1897</v>
      </c>
      <c r="E2216" t="s">
        <v>96</v>
      </c>
      <c r="F2216">
        <v>39.99</v>
      </c>
      <c r="G2216" t="s">
        <v>7032</v>
      </c>
      <c r="H2216">
        <v>0</v>
      </c>
      <c r="M2216">
        <v>0</v>
      </c>
      <c r="N2216">
        <v>0</v>
      </c>
      <c r="O2216">
        <v>0</v>
      </c>
      <c r="P2216">
        <v>0</v>
      </c>
    </row>
    <row r="2217" spans="1:16" x14ac:dyDescent="0.2">
      <c r="A2217" t="s">
        <v>3807</v>
      </c>
      <c r="B2217" t="s">
        <v>97</v>
      </c>
      <c r="C2217" t="s">
        <v>3808</v>
      </c>
      <c r="D2217" t="s">
        <v>1897</v>
      </c>
      <c r="E2217" t="s">
        <v>96</v>
      </c>
      <c r="F2217">
        <v>34.99</v>
      </c>
      <c r="G2217" t="s">
        <v>7032</v>
      </c>
      <c r="H2217">
        <v>0</v>
      </c>
      <c r="M2217">
        <v>0</v>
      </c>
      <c r="N2217">
        <v>0</v>
      </c>
      <c r="O2217">
        <v>0</v>
      </c>
      <c r="P2217">
        <v>2</v>
      </c>
    </row>
    <row r="2218" spans="1:16" x14ac:dyDescent="0.2">
      <c r="A2218" t="s">
        <v>1976</v>
      </c>
      <c r="B2218" t="s">
        <v>97</v>
      </c>
      <c r="C2218" t="s">
        <v>1977</v>
      </c>
      <c r="D2218" t="s">
        <v>1897</v>
      </c>
      <c r="E2218" t="s">
        <v>290</v>
      </c>
      <c r="F2218">
        <v>39.99</v>
      </c>
      <c r="G2218" t="s">
        <v>7032</v>
      </c>
      <c r="H2218">
        <v>0</v>
      </c>
      <c r="M2218">
        <v>0</v>
      </c>
      <c r="N2218">
        <v>0</v>
      </c>
      <c r="O2218">
        <v>0</v>
      </c>
      <c r="P2218">
        <v>0</v>
      </c>
    </row>
    <row r="2219" spans="1:16" x14ac:dyDescent="0.2">
      <c r="A2219" t="s">
        <v>7612</v>
      </c>
      <c r="B2219" t="s">
        <v>97</v>
      </c>
      <c r="C2219" t="s">
        <v>7613</v>
      </c>
      <c r="D2219" t="s">
        <v>1897</v>
      </c>
      <c r="E2219" t="s">
        <v>96</v>
      </c>
      <c r="F2219">
        <v>89.99</v>
      </c>
      <c r="G2219" t="s">
        <v>7032</v>
      </c>
      <c r="H2219">
        <v>0</v>
      </c>
      <c r="M2219">
        <v>0</v>
      </c>
      <c r="N2219">
        <v>0</v>
      </c>
      <c r="O2219">
        <v>0</v>
      </c>
      <c r="P2219">
        <v>1</v>
      </c>
    </row>
    <row r="2220" spans="1:16" x14ac:dyDescent="0.2">
      <c r="A2220" t="s">
        <v>3889</v>
      </c>
      <c r="B2220" t="s">
        <v>97</v>
      </c>
      <c r="C2220" t="s">
        <v>3890</v>
      </c>
      <c r="D2220" t="s">
        <v>1897</v>
      </c>
      <c r="E2220" t="s">
        <v>96</v>
      </c>
      <c r="F2220">
        <v>89.99</v>
      </c>
      <c r="G2220" t="s">
        <v>7032</v>
      </c>
      <c r="H2220">
        <v>0</v>
      </c>
      <c r="M2220">
        <v>0</v>
      </c>
      <c r="N2220">
        <v>0</v>
      </c>
      <c r="O2220">
        <v>0</v>
      </c>
      <c r="P2220">
        <v>0</v>
      </c>
    </row>
    <row r="2221" spans="1:16" x14ac:dyDescent="0.2">
      <c r="A2221" t="s">
        <v>7614</v>
      </c>
      <c r="B2221" t="s">
        <v>97</v>
      </c>
      <c r="C2221" t="s">
        <v>7615</v>
      </c>
      <c r="D2221" t="s">
        <v>1897</v>
      </c>
      <c r="E2221" t="s">
        <v>96</v>
      </c>
      <c r="F2221">
        <v>79.989999999999995</v>
      </c>
      <c r="G2221" t="s">
        <v>7032</v>
      </c>
      <c r="H2221">
        <v>0</v>
      </c>
      <c r="M2221">
        <v>0</v>
      </c>
      <c r="N2221">
        <v>0</v>
      </c>
      <c r="O2221">
        <v>0</v>
      </c>
      <c r="P2221">
        <v>0</v>
      </c>
    </row>
    <row r="2222" spans="1:16" x14ac:dyDescent="0.2">
      <c r="A2222" t="s">
        <v>3765</v>
      </c>
      <c r="B2222" t="s">
        <v>97</v>
      </c>
      <c r="C2222" t="s">
        <v>3766</v>
      </c>
      <c r="D2222" t="s">
        <v>1897</v>
      </c>
      <c r="E2222" t="s">
        <v>96</v>
      </c>
      <c r="F2222">
        <v>44.99</v>
      </c>
      <c r="G2222" t="s">
        <v>7032</v>
      </c>
      <c r="H2222">
        <v>0</v>
      </c>
      <c r="M2222">
        <v>0</v>
      </c>
      <c r="N2222">
        <v>0</v>
      </c>
      <c r="O2222">
        <v>0</v>
      </c>
      <c r="P2222">
        <v>1</v>
      </c>
    </row>
    <row r="2223" spans="1:16" x14ac:dyDescent="0.2">
      <c r="A2223" t="s">
        <v>3892</v>
      </c>
      <c r="B2223" t="s">
        <v>97</v>
      </c>
      <c r="C2223" t="s">
        <v>7047</v>
      </c>
      <c r="D2223" t="s">
        <v>1897</v>
      </c>
      <c r="E2223" t="s">
        <v>96</v>
      </c>
      <c r="F2223">
        <v>89.99</v>
      </c>
      <c r="G2223" t="s">
        <v>7032</v>
      </c>
      <c r="H2223">
        <v>0</v>
      </c>
      <c r="M2223">
        <v>0</v>
      </c>
      <c r="N2223">
        <v>0</v>
      </c>
      <c r="O2223">
        <v>0</v>
      </c>
      <c r="P2223">
        <v>0</v>
      </c>
    </row>
    <row r="2224" spans="1:16" x14ac:dyDescent="0.2">
      <c r="A2224" t="s">
        <v>3769</v>
      </c>
      <c r="B2224" t="s">
        <v>97</v>
      </c>
      <c r="C2224" t="s">
        <v>3770</v>
      </c>
      <c r="D2224" t="s">
        <v>1897</v>
      </c>
      <c r="E2224" t="s">
        <v>96</v>
      </c>
      <c r="F2224">
        <v>44.99</v>
      </c>
      <c r="G2224" t="s">
        <v>7032</v>
      </c>
      <c r="H2224">
        <v>0</v>
      </c>
      <c r="M2224">
        <v>0</v>
      </c>
      <c r="N2224">
        <v>0</v>
      </c>
      <c r="O2224">
        <v>0</v>
      </c>
      <c r="P2224">
        <v>0</v>
      </c>
    </row>
    <row r="2225" spans="1:16" x14ac:dyDescent="0.2">
      <c r="A2225" t="s">
        <v>3877</v>
      </c>
      <c r="B2225" t="s">
        <v>97</v>
      </c>
      <c r="C2225" t="s">
        <v>7046</v>
      </c>
      <c r="D2225" t="s">
        <v>1897</v>
      </c>
      <c r="E2225" t="s">
        <v>96</v>
      </c>
      <c r="F2225">
        <v>89.99</v>
      </c>
      <c r="G2225" t="s">
        <v>7032</v>
      </c>
      <c r="H2225">
        <v>0</v>
      </c>
      <c r="M2225">
        <v>0</v>
      </c>
      <c r="N2225">
        <v>0</v>
      </c>
      <c r="O2225">
        <v>0</v>
      </c>
      <c r="P2225">
        <v>0</v>
      </c>
    </row>
    <row r="2226" spans="1:16" x14ac:dyDescent="0.2">
      <c r="A2226" t="s">
        <v>1906</v>
      </c>
      <c r="B2226" t="s">
        <v>97</v>
      </c>
      <c r="C2226" t="s">
        <v>1907</v>
      </c>
      <c r="D2226" t="s">
        <v>1897</v>
      </c>
      <c r="E2226" t="s">
        <v>290</v>
      </c>
      <c r="F2226">
        <v>44.99</v>
      </c>
      <c r="G2226" t="s">
        <v>7032</v>
      </c>
      <c r="H2226">
        <v>0</v>
      </c>
      <c r="M2226">
        <v>0</v>
      </c>
      <c r="N2226">
        <v>0</v>
      </c>
      <c r="O2226">
        <v>0</v>
      </c>
      <c r="P2226">
        <v>6</v>
      </c>
    </row>
    <row r="2227" spans="1:16" x14ac:dyDescent="0.2">
      <c r="A2227" t="s">
        <v>7616</v>
      </c>
      <c r="B2227" t="s">
        <v>97</v>
      </c>
      <c r="C2227" t="s">
        <v>7617</v>
      </c>
      <c r="D2227" t="s">
        <v>1897</v>
      </c>
      <c r="E2227" t="s">
        <v>96</v>
      </c>
      <c r="F2227">
        <v>89.99</v>
      </c>
      <c r="G2227" t="s">
        <v>7032</v>
      </c>
      <c r="H2227">
        <v>0</v>
      </c>
      <c r="M2227">
        <v>0</v>
      </c>
      <c r="N2227">
        <v>0</v>
      </c>
      <c r="O2227">
        <v>0</v>
      </c>
      <c r="P2227">
        <v>0</v>
      </c>
    </row>
    <row r="2228" spans="1:16" x14ac:dyDescent="0.2">
      <c r="A2228" t="s">
        <v>7618</v>
      </c>
      <c r="B2228" t="s">
        <v>97</v>
      </c>
      <c r="C2228" t="s">
        <v>7619</v>
      </c>
      <c r="D2228" t="s">
        <v>1897</v>
      </c>
      <c r="E2228" t="s">
        <v>96</v>
      </c>
      <c r="F2228">
        <v>44.99</v>
      </c>
      <c r="G2228" t="s">
        <v>7032</v>
      </c>
      <c r="H2228">
        <v>0</v>
      </c>
      <c r="M2228">
        <v>0</v>
      </c>
      <c r="N2228">
        <v>0</v>
      </c>
      <c r="O2228">
        <v>0</v>
      </c>
      <c r="P2228">
        <v>0</v>
      </c>
    </row>
    <row r="2229" spans="1:16" x14ac:dyDescent="0.2">
      <c r="A2229" t="s">
        <v>3762</v>
      </c>
      <c r="B2229" t="s">
        <v>97</v>
      </c>
      <c r="C2229" t="s">
        <v>3763</v>
      </c>
      <c r="D2229" t="s">
        <v>1897</v>
      </c>
      <c r="E2229" t="s">
        <v>96</v>
      </c>
      <c r="F2229">
        <v>44.99</v>
      </c>
      <c r="G2229" t="s">
        <v>7032</v>
      </c>
      <c r="H2229">
        <v>0</v>
      </c>
      <c r="M2229">
        <v>0</v>
      </c>
      <c r="N2229">
        <v>0</v>
      </c>
      <c r="O2229">
        <v>0</v>
      </c>
      <c r="P2229">
        <v>0</v>
      </c>
    </row>
    <row r="2230" spans="1:16" x14ac:dyDescent="0.2">
      <c r="A2230" t="s">
        <v>3886</v>
      </c>
      <c r="B2230" t="s">
        <v>97</v>
      </c>
      <c r="C2230" t="s">
        <v>3887</v>
      </c>
      <c r="D2230" t="s">
        <v>1897</v>
      </c>
      <c r="E2230" t="s">
        <v>96</v>
      </c>
      <c r="F2230">
        <v>74.989999999999995</v>
      </c>
      <c r="G2230" t="s">
        <v>7032</v>
      </c>
      <c r="H2230">
        <v>0</v>
      </c>
      <c r="M2230">
        <v>0</v>
      </c>
      <c r="N2230">
        <v>0</v>
      </c>
      <c r="O2230">
        <v>0</v>
      </c>
      <c r="P2230">
        <v>0</v>
      </c>
    </row>
    <row r="2231" spans="1:16" x14ac:dyDescent="0.2">
      <c r="A2231" t="s">
        <v>3756</v>
      </c>
      <c r="B2231" t="s">
        <v>97</v>
      </c>
      <c r="C2231" t="s">
        <v>3757</v>
      </c>
      <c r="D2231" t="s">
        <v>1897</v>
      </c>
      <c r="E2231" t="s">
        <v>96</v>
      </c>
      <c r="F2231">
        <v>44.99</v>
      </c>
      <c r="G2231" t="s">
        <v>7032</v>
      </c>
      <c r="H2231">
        <v>0</v>
      </c>
      <c r="M2231">
        <v>0</v>
      </c>
      <c r="N2231">
        <v>0</v>
      </c>
      <c r="O2231">
        <v>0</v>
      </c>
      <c r="P2231">
        <v>0</v>
      </c>
    </row>
    <row r="2232" spans="1:16" x14ac:dyDescent="0.2">
      <c r="A2232" t="s">
        <v>7620</v>
      </c>
      <c r="B2232" t="s">
        <v>97</v>
      </c>
      <c r="C2232" t="s">
        <v>7621</v>
      </c>
      <c r="D2232" t="s">
        <v>1897</v>
      </c>
      <c r="E2232" t="s">
        <v>96</v>
      </c>
      <c r="F2232">
        <v>74.989999999999995</v>
      </c>
      <c r="G2232" t="s">
        <v>7032</v>
      </c>
      <c r="H2232">
        <v>0</v>
      </c>
      <c r="M2232">
        <v>0</v>
      </c>
      <c r="N2232">
        <v>0</v>
      </c>
      <c r="O2232">
        <v>0</v>
      </c>
      <c r="P2232">
        <v>0</v>
      </c>
    </row>
    <row r="2233" spans="1:16" x14ac:dyDescent="0.2">
      <c r="A2233" t="s">
        <v>3896</v>
      </c>
      <c r="B2233" t="s">
        <v>97</v>
      </c>
      <c r="C2233" t="s">
        <v>3897</v>
      </c>
      <c r="D2233" t="s">
        <v>1897</v>
      </c>
      <c r="E2233" t="s">
        <v>96</v>
      </c>
      <c r="F2233">
        <v>79.989999999999995</v>
      </c>
      <c r="G2233" t="s">
        <v>7032</v>
      </c>
      <c r="H2233">
        <v>0</v>
      </c>
      <c r="M2233">
        <v>0</v>
      </c>
      <c r="N2233">
        <v>0</v>
      </c>
      <c r="O2233">
        <v>0</v>
      </c>
      <c r="P2233">
        <v>0</v>
      </c>
    </row>
    <row r="2234" spans="1:16" x14ac:dyDescent="0.2">
      <c r="A2234" t="s">
        <v>3905</v>
      </c>
      <c r="B2234" t="s">
        <v>97</v>
      </c>
      <c r="C2234" t="s">
        <v>3906</v>
      </c>
      <c r="D2234" t="s">
        <v>1897</v>
      </c>
      <c r="E2234" t="s">
        <v>96</v>
      </c>
      <c r="F2234">
        <v>49.99</v>
      </c>
      <c r="G2234" t="s">
        <v>7032</v>
      </c>
      <c r="H2234">
        <v>0</v>
      </c>
      <c r="M2234">
        <v>0</v>
      </c>
      <c r="N2234">
        <v>0</v>
      </c>
      <c r="O2234">
        <v>0</v>
      </c>
      <c r="P2234">
        <v>0</v>
      </c>
    </row>
    <row r="2235" spans="1:16" x14ac:dyDescent="0.2">
      <c r="A2235" t="s">
        <v>1922</v>
      </c>
      <c r="B2235" t="s">
        <v>97</v>
      </c>
      <c r="C2235" t="s">
        <v>1923</v>
      </c>
      <c r="D2235" t="s">
        <v>1897</v>
      </c>
      <c r="E2235" t="s">
        <v>290</v>
      </c>
      <c r="F2235">
        <v>49.99</v>
      </c>
      <c r="G2235" t="s">
        <v>7032</v>
      </c>
      <c r="H2235">
        <v>0</v>
      </c>
      <c r="M2235">
        <v>0</v>
      </c>
      <c r="N2235">
        <v>0</v>
      </c>
      <c r="O2235">
        <v>0</v>
      </c>
      <c r="P2235">
        <v>1</v>
      </c>
    </row>
    <row r="2236" spans="1:16" x14ac:dyDescent="0.2">
      <c r="A2236" t="s">
        <v>1928</v>
      </c>
      <c r="B2236" t="s">
        <v>97</v>
      </c>
      <c r="C2236" t="s">
        <v>1929</v>
      </c>
      <c r="D2236" t="s">
        <v>1897</v>
      </c>
      <c r="E2236" t="s">
        <v>290</v>
      </c>
      <c r="F2236">
        <v>69.989999999999995</v>
      </c>
      <c r="G2236" t="s">
        <v>7032</v>
      </c>
      <c r="H2236">
        <v>8.3333333333333329E-2</v>
      </c>
      <c r="M2236">
        <v>6</v>
      </c>
      <c r="N2236">
        <v>0.16666666666666666</v>
      </c>
      <c r="O2236">
        <v>0</v>
      </c>
      <c r="P2236">
        <v>1</v>
      </c>
    </row>
    <row r="2237" spans="1:16" x14ac:dyDescent="0.2">
      <c r="A2237" t="s">
        <v>6840</v>
      </c>
      <c r="B2237" t="s">
        <v>97</v>
      </c>
      <c r="C2237" t="s">
        <v>6841</v>
      </c>
      <c r="D2237" t="s">
        <v>2987</v>
      </c>
      <c r="E2237" t="s">
        <v>96</v>
      </c>
      <c r="F2237">
        <v>159.99</v>
      </c>
      <c r="G2237" t="s">
        <v>7032</v>
      </c>
      <c r="H2237">
        <v>0</v>
      </c>
      <c r="M2237">
        <v>0</v>
      </c>
      <c r="N2237">
        <v>0</v>
      </c>
      <c r="O2237">
        <v>0</v>
      </c>
      <c r="P2237">
        <v>0</v>
      </c>
    </row>
    <row r="2238" spans="1:16" x14ac:dyDescent="0.2">
      <c r="A2238" t="s">
        <v>6034</v>
      </c>
      <c r="B2238" t="s">
        <v>97</v>
      </c>
      <c r="C2238" t="s">
        <v>6035</v>
      </c>
      <c r="D2238" t="s">
        <v>2502</v>
      </c>
      <c r="E2238" t="s">
        <v>96</v>
      </c>
      <c r="F2238">
        <v>14.99</v>
      </c>
      <c r="G2238" t="s">
        <v>7032</v>
      </c>
      <c r="H2238">
        <v>0</v>
      </c>
      <c r="M2238">
        <v>0</v>
      </c>
      <c r="N2238">
        <v>0</v>
      </c>
      <c r="O2238">
        <v>0</v>
      </c>
      <c r="P2238">
        <v>0</v>
      </c>
    </row>
    <row r="2239" spans="1:16" x14ac:dyDescent="0.2">
      <c r="A2239" t="s">
        <v>6826</v>
      </c>
      <c r="B2239" t="s">
        <v>97</v>
      </c>
      <c r="C2239" t="s">
        <v>6827</v>
      </c>
      <c r="D2239" t="s">
        <v>2987</v>
      </c>
      <c r="E2239" t="s">
        <v>96</v>
      </c>
      <c r="F2239">
        <v>89.99</v>
      </c>
      <c r="G2239" t="s">
        <v>7032</v>
      </c>
      <c r="H2239">
        <v>0</v>
      </c>
      <c r="M2239">
        <v>0</v>
      </c>
      <c r="N2239">
        <v>0</v>
      </c>
      <c r="O2239">
        <v>0</v>
      </c>
      <c r="P2239">
        <v>0</v>
      </c>
    </row>
    <row r="2240" spans="1:16" x14ac:dyDescent="0.2">
      <c r="A2240" t="s">
        <v>6387</v>
      </c>
      <c r="B2240" t="s">
        <v>97</v>
      </c>
      <c r="C2240" t="s">
        <v>6388</v>
      </c>
      <c r="D2240" t="s">
        <v>2502</v>
      </c>
      <c r="E2240" t="s">
        <v>96</v>
      </c>
      <c r="F2240">
        <v>199.99</v>
      </c>
      <c r="G2240" t="s">
        <v>7032</v>
      </c>
      <c r="H2240">
        <v>0</v>
      </c>
      <c r="M2240">
        <v>0</v>
      </c>
      <c r="N2240">
        <v>0</v>
      </c>
      <c r="O2240">
        <v>0</v>
      </c>
      <c r="P2240">
        <v>0</v>
      </c>
    </row>
    <row r="2241" spans="1:16" x14ac:dyDescent="0.2">
      <c r="A2241" t="s">
        <v>7395</v>
      </c>
      <c r="B2241" t="s">
        <v>97</v>
      </c>
      <c r="C2241" t="s">
        <v>7397</v>
      </c>
      <c r="D2241" t="s">
        <v>2987</v>
      </c>
      <c r="E2241" t="s">
        <v>96</v>
      </c>
      <c r="F2241">
        <v>89.99</v>
      </c>
      <c r="G2241" t="s">
        <v>7032</v>
      </c>
      <c r="H2241">
        <v>0</v>
      </c>
      <c r="M2241">
        <v>0</v>
      </c>
      <c r="N2241">
        <v>0</v>
      </c>
      <c r="O2241">
        <v>0</v>
      </c>
      <c r="P2241">
        <v>0</v>
      </c>
    </row>
    <row r="2242" spans="1:16" x14ac:dyDescent="0.2">
      <c r="A2242" t="s">
        <v>7398</v>
      </c>
      <c r="B2242" t="s">
        <v>97</v>
      </c>
      <c r="C2242" t="s">
        <v>7400</v>
      </c>
      <c r="D2242" t="s">
        <v>2987</v>
      </c>
      <c r="E2242" t="s">
        <v>96</v>
      </c>
      <c r="F2242">
        <v>89.99</v>
      </c>
      <c r="G2242" t="s">
        <v>7032</v>
      </c>
      <c r="H2242">
        <v>0</v>
      </c>
      <c r="M2242">
        <v>0</v>
      </c>
      <c r="N2242">
        <v>0</v>
      </c>
      <c r="O2242">
        <v>0</v>
      </c>
      <c r="P2242">
        <v>0</v>
      </c>
    </row>
    <row r="2243" spans="1:16" x14ac:dyDescent="0.2">
      <c r="A2243" t="s">
        <v>2585</v>
      </c>
      <c r="B2243" t="s">
        <v>97</v>
      </c>
      <c r="C2243" t="s">
        <v>2586</v>
      </c>
      <c r="D2243" t="s">
        <v>2502</v>
      </c>
      <c r="E2243" t="s">
        <v>228</v>
      </c>
      <c r="F2243">
        <v>89.99</v>
      </c>
      <c r="G2243" t="s">
        <v>7032</v>
      </c>
      <c r="H2243">
        <v>0</v>
      </c>
      <c r="M2243">
        <v>0</v>
      </c>
      <c r="N2243">
        <v>0</v>
      </c>
      <c r="O2243">
        <v>0</v>
      </c>
      <c r="P2243">
        <v>0</v>
      </c>
    </row>
    <row r="2244" spans="1:16" x14ac:dyDescent="0.2">
      <c r="A2244" t="s">
        <v>2591</v>
      </c>
      <c r="B2244" t="s">
        <v>97</v>
      </c>
      <c r="C2244" t="s">
        <v>2592</v>
      </c>
      <c r="D2244" t="s">
        <v>2502</v>
      </c>
      <c r="E2244" t="s">
        <v>228</v>
      </c>
      <c r="F2244">
        <v>49.99</v>
      </c>
      <c r="G2244" t="s">
        <v>7032</v>
      </c>
      <c r="H2244">
        <v>0</v>
      </c>
      <c r="M2244">
        <v>0</v>
      </c>
      <c r="N2244">
        <v>0</v>
      </c>
      <c r="O2244">
        <v>0</v>
      </c>
      <c r="P2244">
        <v>0</v>
      </c>
    </row>
    <row r="2245" spans="1:16" x14ac:dyDescent="0.2">
      <c r="A2245" t="s">
        <v>7401</v>
      </c>
      <c r="B2245" t="s">
        <v>97</v>
      </c>
      <c r="C2245" t="s">
        <v>7403</v>
      </c>
      <c r="D2245" t="s">
        <v>2987</v>
      </c>
      <c r="E2245" t="s">
        <v>96</v>
      </c>
      <c r="F2245">
        <v>89.99</v>
      </c>
      <c r="G2245" t="s">
        <v>7032</v>
      </c>
      <c r="H2245">
        <v>0</v>
      </c>
      <c r="M2245">
        <v>0</v>
      </c>
      <c r="N2245">
        <v>0</v>
      </c>
      <c r="O2245">
        <v>0</v>
      </c>
      <c r="P2245">
        <v>0</v>
      </c>
    </row>
    <row r="2246" spans="1:16" x14ac:dyDescent="0.2">
      <c r="A2246" t="s">
        <v>2593</v>
      </c>
      <c r="B2246" t="s">
        <v>97</v>
      </c>
      <c r="C2246" t="s">
        <v>2594</v>
      </c>
      <c r="D2246" t="s">
        <v>2502</v>
      </c>
      <c r="E2246" t="s">
        <v>228</v>
      </c>
      <c r="F2246">
        <v>49.99</v>
      </c>
      <c r="G2246" t="s">
        <v>7032</v>
      </c>
      <c r="H2246">
        <v>0</v>
      </c>
      <c r="M2246">
        <v>0</v>
      </c>
      <c r="N2246">
        <v>0</v>
      </c>
      <c r="O2246">
        <v>0</v>
      </c>
      <c r="P2246">
        <v>1</v>
      </c>
    </row>
    <row r="2247" spans="1:16" x14ac:dyDescent="0.2">
      <c r="A2247" t="s">
        <v>6885</v>
      </c>
      <c r="B2247" t="s">
        <v>97</v>
      </c>
      <c r="C2247" t="s">
        <v>6886</v>
      </c>
      <c r="D2247" t="s">
        <v>2987</v>
      </c>
      <c r="E2247" t="s">
        <v>96</v>
      </c>
      <c r="F2247">
        <v>89.99</v>
      </c>
      <c r="G2247" t="s">
        <v>7032</v>
      </c>
      <c r="H2247">
        <v>0</v>
      </c>
      <c r="M2247">
        <v>0</v>
      </c>
      <c r="N2247">
        <v>0</v>
      </c>
      <c r="O2247">
        <v>0</v>
      </c>
      <c r="P2247">
        <v>0</v>
      </c>
    </row>
    <row r="2248" spans="1:16" x14ac:dyDescent="0.2">
      <c r="A2248" t="s">
        <v>2603</v>
      </c>
      <c r="B2248" t="s">
        <v>97</v>
      </c>
      <c r="C2248" t="s">
        <v>2604</v>
      </c>
      <c r="D2248" t="s">
        <v>2502</v>
      </c>
      <c r="E2248" t="s">
        <v>228</v>
      </c>
      <c r="F2248">
        <v>89.99</v>
      </c>
      <c r="G2248" t="s">
        <v>7032</v>
      </c>
      <c r="H2248">
        <v>0</v>
      </c>
      <c r="M2248">
        <v>0</v>
      </c>
      <c r="N2248">
        <v>0</v>
      </c>
      <c r="O2248">
        <v>0</v>
      </c>
      <c r="P2248">
        <v>0</v>
      </c>
    </row>
    <row r="2249" spans="1:16" x14ac:dyDescent="0.2">
      <c r="A2249" t="s">
        <v>5944</v>
      </c>
      <c r="B2249" t="s">
        <v>97</v>
      </c>
      <c r="C2249" t="s">
        <v>5945</v>
      </c>
      <c r="D2249" t="s">
        <v>2502</v>
      </c>
      <c r="E2249" t="s">
        <v>96</v>
      </c>
      <c r="F2249">
        <v>49.99</v>
      </c>
      <c r="G2249" t="s">
        <v>7032</v>
      </c>
      <c r="H2249">
        <v>0</v>
      </c>
      <c r="M2249">
        <v>0</v>
      </c>
      <c r="N2249">
        <v>0</v>
      </c>
      <c r="O2249">
        <v>0</v>
      </c>
      <c r="P2249">
        <v>0</v>
      </c>
    </row>
    <row r="2250" spans="1:16" x14ac:dyDescent="0.2">
      <c r="A2250" t="s">
        <v>5939</v>
      </c>
      <c r="B2250" t="s">
        <v>97</v>
      </c>
      <c r="C2250" t="s">
        <v>5940</v>
      </c>
      <c r="D2250" t="s">
        <v>2502</v>
      </c>
      <c r="E2250" t="s">
        <v>96</v>
      </c>
      <c r="F2250">
        <v>49.99</v>
      </c>
      <c r="G2250" t="s">
        <v>7032</v>
      </c>
      <c r="H2250">
        <v>0</v>
      </c>
      <c r="M2250">
        <v>0</v>
      </c>
      <c r="N2250">
        <v>0</v>
      </c>
      <c r="O2250">
        <v>0</v>
      </c>
      <c r="P2250">
        <v>0</v>
      </c>
    </row>
    <row r="2251" spans="1:16" x14ac:dyDescent="0.2">
      <c r="A2251" t="s">
        <v>6888</v>
      </c>
      <c r="B2251" t="s">
        <v>97</v>
      </c>
      <c r="C2251" t="s">
        <v>6889</v>
      </c>
      <c r="D2251" t="s">
        <v>2987</v>
      </c>
      <c r="E2251" t="s">
        <v>96</v>
      </c>
      <c r="F2251">
        <v>89.99</v>
      </c>
      <c r="G2251" t="s">
        <v>7032</v>
      </c>
      <c r="H2251">
        <v>0</v>
      </c>
      <c r="M2251">
        <v>0</v>
      </c>
      <c r="N2251">
        <v>0</v>
      </c>
      <c r="O2251">
        <v>0</v>
      </c>
      <c r="P2251">
        <v>0</v>
      </c>
    </row>
    <row r="2252" spans="1:16" x14ac:dyDescent="0.2">
      <c r="A2252" t="s">
        <v>7622</v>
      </c>
      <c r="B2252" t="s">
        <v>97</v>
      </c>
      <c r="C2252" t="s">
        <v>7623</v>
      </c>
      <c r="D2252" t="s">
        <v>7624</v>
      </c>
      <c r="E2252" t="s">
        <v>290</v>
      </c>
      <c r="F2252">
        <v>11.99</v>
      </c>
      <c r="G2252" t="s">
        <v>7032</v>
      </c>
      <c r="H2252">
        <v>0</v>
      </c>
      <c r="M2252">
        <v>0</v>
      </c>
      <c r="N2252">
        <v>0</v>
      </c>
      <c r="O2252">
        <v>0</v>
      </c>
      <c r="P2252">
        <v>3</v>
      </c>
    </row>
    <row r="2253" spans="1:16" x14ac:dyDescent="0.2">
      <c r="A2253" t="s">
        <v>7625</v>
      </c>
      <c r="B2253" t="s">
        <v>97</v>
      </c>
      <c r="C2253" t="s">
        <v>7626</v>
      </c>
      <c r="D2253" t="s">
        <v>2448</v>
      </c>
      <c r="E2253" t="s">
        <v>96</v>
      </c>
      <c r="F2253">
        <v>59.99</v>
      </c>
      <c r="G2253" t="s">
        <v>7032</v>
      </c>
      <c r="H2253">
        <v>0</v>
      </c>
      <c r="M2253">
        <v>0</v>
      </c>
      <c r="N2253">
        <v>0</v>
      </c>
      <c r="O2253">
        <v>0</v>
      </c>
      <c r="P2253">
        <v>0</v>
      </c>
    </row>
    <row r="2254" spans="1:16" x14ac:dyDescent="0.2">
      <c r="A2254" t="s">
        <v>3055</v>
      </c>
      <c r="B2254" t="s">
        <v>97</v>
      </c>
      <c r="C2254" t="s">
        <v>3056</v>
      </c>
      <c r="D2254" t="s">
        <v>2987</v>
      </c>
      <c r="E2254" t="s">
        <v>228</v>
      </c>
      <c r="F2254">
        <v>139.99</v>
      </c>
      <c r="G2254" t="s">
        <v>7032</v>
      </c>
      <c r="H2254">
        <v>0</v>
      </c>
      <c r="M2254">
        <v>0</v>
      </c>
      <c r="N2254">
        <v>0</v>
      </c>
      <c r="O2254">
        <v>0</v>
      </c>
      <c r="P2254">
        <v>0</v>
      </c>
    </row>
    <row r="2255" spans="1:16" x14ac:dyDescent="0.2">
      <c r="A2255" t="s">
        <v>5504</v>
      </c>
      <c r="B2255" t="s">
        <v>97</v>
      </c>
      <c r="C2255" t="s">
        <v>5505</v>
      </c>
      <c r="D2255" t="s">
        <v>2411</v>
      </c>
      <c r="E2255" t="s">
        <v>96</v>
      </c>
      <c r="F2255">
        <v>49.99</v>
      </c>
      <c r="G2255" t="s">
        <v>7032</v>
      </c>
      <c r="H2255">
        <v>0</v>
      </c>
      <c r="M2255">
        <v>0</v>
      </c>
      <c r="N2255">
        <v>0</v>
      </c>
      <c r="O2255">
        <v>0</v>
      </c>
      <c r="P2255">
        <v>0</v>
      </c>
    </row>
    <row r="2256" spans="1:16" x14ac:dyDescent="0.2">
      <c r="A2256" t="s">
        <v>5677</v>
      </c>
      <c r="B2256" t="s">
        <v>97</v>
      </c>
      <c r="C2256" t="s">
        <v>5678</v>
      </c>
      <c r="D2256" t="s">
        <v>2411</v>
      </c>
      <c r="E2256" t="s">
        <v>96</v>
      </c>
      <c r="F2256">
        <v>29.99</v>
      </c>
      <c r="G2256" t="s">
        <v>7032</v>
      </c>
      <c r="H2256">
        <v>0</v>
      </c>
      <c r="M2256">
        <v>0</v>
      </c>
      <c r="N2256">
        <v>0</v>
      </c>
      <c r="O2256">
        <v>0</v>
      </c>
      <c r="P2256">
        <v>0</v>
      </c>
    </row>
    <row r="2257" spans="1:16" x14ac:dyDescent="0.2">
      <c r="A2257" t="s">
        <v>5702</v>
      </c>
      <c r="B2257" t="s">
        <v>97</v>
      </c>
      <c r="C2257" t="s">
        <v>5703</v>
      </c>
      <c r="D2257" t="s">
        <v>2411</v>
      </c>
      <c r="E2257" t="s">
        <v>96</v>
      </c>
      <c r="F2257">
        <v>19.989999999999998</v>
      </c>
      <c r="G2257" t="s">
        <v>7032</v>
      </c>
      <c r="H2257">
        <v>0</v>
      </c>
      <c r="M2257">
        <v>0</v>
      </c>
      <c r="N2257">
        <v>0</v>
      </c>
      <c r="O2257">
        <v>0</v>
      </c>
      <c r="P2257">
        <v>0</v>
      </c>
    </row>
    <row r="2258" spans="1:16" x14ac:dyDescent="0.2">
      <c r="A2258" t="s">
        <v>5672</v>
      </c>
      <c r="B2258" t="s">
        <v>97</v>
      </c>
      <c r="C2258" t="s">
        <v>5673</v>
      </c>
      <c r="D2258" t="s">
        <v>2411</v>
      </c>
      <c r="E2258" t="s">
        <v>96</v>
      </c>
      <c r="F2258">
        <v>89.99</v>
      </c>
      <c r="G2258" t="s">
        <v>7032</v>
      </c>
      <c r="H2258">
        <v>0</v>
      </c>
      <c r="M2258">
        <v>0</v>
      </c>
      <c r="N2258">
        <v>0</v>
      </c>
      <c r="O2258">
        <v>0</v>
      </c>
      <c r="P2258">
        <v>0</v>
      </c>
    </row>
    <row r="2259" spans="1:16" x14ac:dyDescent="0.2">
      <c r="A2259" t="s">
        <v>7073</v>
      </c>
      <c r="B2259" t="s">
        <v>97</v>
      </c>
      <c r="C2259" t="s">
        <v>7074</v>
      </c>
      <c r="D2259" t="s">
        <v>2411</v>
      </c>
      <c r="E2259" t="s">
        <v>96</v>
      </c>
      <c r="F2259">
        <v>149.99</v>
      </c>
      <c r="G2259" t="s">
        <v>7032</v>
      </c>
      <c r="H2259">
        <v>0</v>
      </c>
      <c r="M2259">
        <v>0</v>
      </c>
      <c r="N2259">
        <v>0</v>
      </c>
      <c r="O2259">
        <v>0</v>
      </c>
      <c r="P2259">
        <v>0</v>
      </c>
    </row>
    <row r="2260" spans="1:16" x14ac:dyDescent="0.2">
      <c r="A2260" t="s">
        <v>5522</v>
      </c>
      <c r="B2260" t="s">
        <v>97</v>
      </c>
      <c r="C2260" t="s">
        <v>5523</v>
      </c>
      <c r="D2260" t="s">
        <v>2411</v>
      </c>
      <c r="E2260" t="s">
        <v>96</v>
      </c>
      <c r="F2260">
        <v>24.99</v>
      </c>
      <c r="G2260" t="s">
        <v>7032</v>
      </c>
      <c r="H2260">
        <v>0</v>
      </c>
      <c r="M2260">
        <v>0</v>
      </c>
      <c r="N2260">
        <v>0</v>
      </c>
      <c r="O2260">
        <v>0</v>
      </c>
      <c r="P2260">
        <v>0</v>
      </c>
    </row>
    <row r="2261" spans="1:16" x14ac:dyDescent="0.2">
      <c r="A2261" t="s">
        <v>6891</v>
      </c>
      <c r="B2261" t="s">
        <v>97</v>
      </c>
      <c r="C2261" t="s">
        <v>6892</v>
      </c>
      <c r="D2261" t="s">
        <v>2987</v>
      </c>
      <c r="E2261" t="s">
        <v>96</v>
      </c>
      <c r="F2261">
        <v>89.99</v>
      </c>
      <c r="G2261" t="s">
        <v>7032</v>
      </c>
      <c r="H2261">
        <v>0</v>
      </c>
      <c r="M2261">
        <v>0</v>
      </c>
      <c r="N2261">
        <v>0</v>
      </c>
      <c r="O2261">
        <v>0</v>
      </c>
      <c r="P2261">
        <v>0</v>
      </c>
    </row>
    <row r="2262" spans="1:16" x14ac:dyDescent="0.2">
      <c r="A2262" t="s">
        <v>5664</v>
      </c>
      <c r="B2262" t="s">
        <v>97</v>
      </c>
      <c r="C2262" t="s">
        <v>5665</v>
      </c>
      <c r="D2262" t="s">
        <v>2411</v>
      </c>
      <c r="E2262" t="s">
        <v>96</v>
      </c>
      <c r="F2262">
        <v>99.99</v>
      </c>
      <c r="G2262" t="s">
        <v>7032</v>
      </c>
      <c r="H2262">
        <v>0</v>
      </c>
      <c r="M2262">
        <v>0</v>
      </c>
      <c r="N2262">
        <v>0</v>
      </c>
      <c r="O2262">
        <v>0</v>
      </c>
      <c r="P2262">
        <v>0</v>
      </c>
    </row>
    <row r="2263" spans="1:16" x14ac:dyDescent="0.2">
      <c r="A2263" t="s">
        <v>6583</v>
      </c>
      <c r="B2263" t="s">
        <v>97</v>
      </c>
      <c r="C2263" t="s">
        <v>6584</v>
      </c>
      <c r="D2263" t="s">
        <v>2987</v>
      </c>
      <c r="E2263" t="s">
        <v>96</v>
      </c>
      <c r="F2263">
        <v>89.99</v>
      </c>
      <c r="G2263" t="s">
        <v>7032</v>
      </c>
      <c r="H2263">
        <v>0</v>
      </c>
      <c r="M2263">
        <v>0</v>
      </c>
      <c r="N2263">
        <v>0</v>
      </c>
      <c r="O2263">
        <v>0</v>
      </c>
      <c r="P2263">
        <v>0</v>
      </c>
    </row>
    <row r="2264" spans="1:16" x14ac:dyDescent="0.2">
      <c r="A2264" t="s">
        <v>6383</v>
      </c>
      <c r="B2264" t="s">
        <v>97</v>
      </c>
      <c r="C2264" t="s">
        <v>6384</v>
      </c>
      <c r="D2264" t="s">
        <v>2502</v>
      </c>
      <c r="E2264" t="s">
        <v>228</v>
      </c>
      <c r="F2264">
        <v>99.99</v>
      </c>
      <c r="G2264" t="s">
        <v>7032</v>
      </c>
      <c r="H2264">
        <v>0</v>
      </c>
      <c r="M2264">
        <v>0</v>
      </c>
      <c r="N2264">
        <v>0</v>
      </c>
      <c r="O2264">
        <v>0</v>
      </c>
      <c r="P2264">
        <v>1</v>
      </c>
    </row>
    <row r="2265" spans="1:16" x14ac:dyDescent="0.2">
      <c r="A2265" t="s">
        <v>5467</v>
      </c>
      <c r="B2265" t="s">
        <v>97</v>
      </c>
      <c r="C2265" t="s">
        <v>5468</v>
      </c>
      <c r="D2265" t="s">
        <v>2411</v>
      </c>
      <c r="E2265" t="s">
        <v>96</v>
      </c>
      <c r="F2265">
        <v>34.99</v>
      </c>
      <c r="G2265" t="s">
        <v>7032</v>
      </c>
      <c r="H2265">
        <v>0</v>
      </c>
      <c r="M2265">
        <v>0</v>
      </c>
      <c r="N2265">
        <v>0</v>
      </c>
      <c r="O2265">
        <v>0</v>
      </c>
      <c r="P2265">
        <v>0</v>
      </c>
    </row>
    <row r="2266" spans="1:16" x14ac:dyDescent="0.2">
      <c r="A2266" t="s">
        <v>5454</v>
      </c>
      <c r="B2266" t="s">
        <v>97</v>
      </c>
      <c r="C2266" t="s">
        <v>5455</v>
      </c>
      <c r="D2266" t="s">
        <v>2411</v>
      </c>
      <c r="E2266" t="s">
        <v>96</v>
      </c>
      <c r="F2266">
        <v>39.99</v>
      </c>
      <c r="G2266" t="s">
        <v>7032</v>
      </c>
      <c r="H2266">
        <v>0</v>
      </c>
      <c r="M2266">
        <v>0</v>
      </c>
      <c r="N2266">
        <v>0</v>
      </c>
      <c r="O2266">
        <v>0</v>
      </c>
      <c r="P2266">
        <v>0</v>
      </c>
    </row>
    <row r="2267" spans="1:16" x14ac:dyDescent="0.2">
      <c r="A2267" t="s">
        <v>2581</v>
      </c>
      <c r="B2267" t="s">
        <v>97</v>
      </c>
      <c r="C2267" t="s">
        <v>2582</v>
      </c>
      <c r="D2267" t="s">
        <v>2502</v>
      </c>
      <c r="E2267" t="s">
        <v>228</v>
      </c>
      <c r="F2267">
        <v>79.989999999999995</v>
      </c>
      <c r="G2267" t="s">
        <v>7032</v>
      </c>
      <c r="H2267">
        <v>0</v>
      </c>
      <c r="M2267">
        <v>0</v>
      </c>
      <c r="N2267">
        <v>0</v>
      </c>
      <c r="O2267">
        <v>0</v>
      </c>
      <c r="P2267">
        <v>0</v>
      </c>
    </row>
    <row r="2268" spans="1:16" x14ac:dyDescent="0.2">
      <c r="A2268" t="s">
        <v>3021</v>
      </c>
      <c r="B2268" t="s">
        <v>97</v>
      </c>
      <c r="C2268" t="s">
        <v>3022</v>
      </c>
      <c r="D2268" t="s">
        <v>2987</v>
      </c>
      <c r="E2268" t="s">
        <v>228</v>
      </c>
      <c r="F2268">
        <v>139.99</v>
      </c>
      <c r="G2268" t="s">
        <v>7032</v>
      </c>
      <c r="H2268">
        <v>0</v>
      </c>
      <c r="M2268">
        <v>0</v>
      </c>
      <c r="N2268">
        <v>0.16666666666666666</v>
      </c>
      <c r="O2268">
        <v>0</v>
      </c>
      <c r="P2268">
        <v>0</v>
      </c>
    </row>
    <row r="2269" spans="1:16" x14ac:dyDescent="0.2">
      <c r="A2269" t="s">
        <v>2579</v>
      </c>
      <c r="B2269" t="s">
        <v>97</v>
      </c>
      <c r="C2269" t="s">
        <v>7627</v>
      </c>
      <c r="D2269" t="s">
        <v>2502</v>
      </c>
      <c r="E2269" t="s">
        <v>228</v>
      </c>
      <c r="F2269">
        <v>79.989999999999995</v>
      </c>
      <c r="G2269" t="s">
        <v>7032</v>
      </c>
      <c r="H2269">
        <v>0</v>
      </c>
      <c r="M2269">
        <v>0</v>
      </c>
      <c r="N2269">
        <v>0</v>
      </c>
      <c r="O2269">
        <v>0</v>
      </c>
      <c r="P2269">
        <v>0</v>
      </c>
    </row>
    <row r="2270" spans="1:16" x14ac:dyDescent="0.2">
      <c r="A2270" t="s">
        <v>3023</v>
      </c>
      <c r="B2270" t="s">
        <v>97</v>
      </c>
      <c r="C2270" t="s">
        <v>3024</v>
      </c>
      <c r="D2270" t="s">
        <v>2987</v>
      </c>
      <c r="E2270" t="s">
        <v>228</v>
      </c>
      <c r="F2270">
        <v>89.99</v>
      </c>
      <c r="G2270" t="s">
        <v>7032</v>
      </c>
      <c r="H2270">
        <v>0</v>
      </c>
      <c r="M2270">
        <v>0</v>
      </c>
      <c r="N2270">
        <v>0</v>
      </c>
      <c r="O2270">
        <v>0</v>
      </c>
      <c r="P2270">
        <v>2</v>
      </c>
    </row>
    <row r="2271" spans="1:16" x14ac:dyDescent="0.2">
      <c r="A2271" t="s">
        <v>2577</v>
      </c>
      <c r="B2271" t="s">
        <v>97</v>
      </c>
      <c r="C2271" t="s">
        <v>7019</v>
      </c>
      <c r="D2271" t="s">
        <v>2502</v>
      </c>
      <c r="E2271" t="s">
        <v>228</v>
      </c>
      <c r="F2271">
        <v>79.989999999999995</v>
      </c>
      <c r="G2271" t="s">
        <v>7032</v>
      </c>
      <c r="H2271">
        <v>0.22222222222222221</v>
      </c>
      <c r="M2271">
        <v>18</v>
      </c>
      <c r="N2271">
        <v>0.16666666666666666</v>
      </c>
      <c r="O2271">
        <v>0</v>
      </c>
      <c r="P2271">
        <v>3</v>
      </c>
    </row>
    <row r="2272" spans="1:16" x14ac:dyDescent="0.2">
      <c r="A2272" t="s">
        <v>2575</v>
      </c>
      <c r="B2272" t="s">
        <v>97</v>
      </c>
      <c r="C2272" t="s">
        <v>2576</v>
      </c>
      <c r="D2272" t="s">
        <v>2502</v>
      </c>
      <c r="E2272" t="s">
        <v>228</v>
      </c>
      <c r="F2272">
        <v>69.989999999999995</v>
      </c>
      <c r="G2272" t="s">
        <v>7032</v>
      </c>
      <c r="H2272">
        <v>0</v>
      </c>
      <c r="M2272">
        <v>0</v>
      </c>
      <c r="N2272">
        <v>0</v>
      </c>
      <c r="O2272">
        <v>0</v>
      </c>
      <c r="P2272">
        <v>0</v>
      </c>
    </row>
    <row r="2273" spans="1:16" x14ac:dyDescent="0.2">
      <c r="A2273" t="s">
        <v>3025</v>
      </c>
      <c r="B2273" t="s">
        <v>97</v>
      </c>
      <c r="C2273" t="s">
        <v>3026</v>
      </c>
      <c r="D2273" t="s">
        <v>2987</v>
      </c>
      <c r="E2273" t="s">
        <v>228</v>
      </c>
      <c r="F2273">
        <v>89.99</v>
      </c>
      <c r="G2273" t="s">
        <v>7032</v>
      </c>
      <c r="H2273">
        <v>0</v>
      </c>
      <c r="M2273">
        <v>0</v>
      </c>
      <c r="N2273">
        <v>0</v>
      </c>
      <c r="O2273">
        <v>0</v>
      </c>
      <c r="P2273">
        <v>0</v>
      </c>
    </row>
    <row r="2274" spans="1:16" x14ac:dyDescent="0.2">
      <c r="A2274" t="s">
        <v>2573</v>
      </c>
      <c r="B2274" t="s">
        <v>97</v>
      </c>
      <c r="C2274" t="s">
        <v>2574</v>
      </c>
      <c r="D2274" t="s">
        <v>2502</v>
      </c>
      <c r="E2274" t="s">
        <v>228</v>
      </c>
      <c r="F2274">
        <v>99.99</v>
      </c>
      <c r="G2274" t="s">
        <v>7032</v>
      </c>
      <c r="H2274">
        <v>0</v>
      </c>
      <c r="M2274">
        <v>0</v>
      </c>
      <c r="N2274">
        <v>0</v>
      </c>
      <c r="O2274">
        <v>0</v>
      </c>
      <c r="P2274">
        <v>0</v>
      </c>
    </row>
    <row r="2275" spans="1:16" x14ac:dyDescent="0.2">
      <c r="A2275" t="s">
        <v>2565</v>
      </c>
      <c r="B2275" t="s">
        <v>97</v>
      </c>
      <c r="C2275" t="s">
        <v>2566</v>
      </c>
      <c r="D2275" t="s">
        <v>2502</v>
      </c>
      <c r="E2275" t="s">
        <v>228</v>
      </c>
      <c r="F2275">
        <v>79.989999999999995</v>
      </c>
      <c r="G2275" t="s">
        <v>7032</v>
      </c>
      <c r="H2275">
        <v>0</v>
      </c>
      <c r="M2275">
        <v>0</v>
      </c>
      <c r="N2275">
        <v>0</v>
      </c>
      <c r="O2275">
        <v>0</v>
      </c>
      <c r="P2275">
        <v>0</v>
      </c>
    </row>
    <row r="2276" spans="1:16" x14ac:dyDescent="0.2">
      <c r="A2276" t="s">
        <v>6341</v>
      </c>
      <c r="B2276" t="s">
        <v>97</v>
      </c>
      <c r="C2276" t="s">
        <v>6342</v>
      </c>
      <c r="D2276" t="s">
        <v>2502</v>
      </c>
      <c r="E2276" t="s">
        <v>290</v>
      </c>
      <c r="F2276">
        <v>49.99</v>
      </c>
      <c r="G2276" t="s">
        <v>7032</v>
      </c>
      <c r="H2276">
        <v>0</v>
      </c>
      <c r="M2276">
        <v>0</v>
      </c>
      <c r="N2276">
        <v>0</v>
      </c>
      <c r="O2276">
        <v>0</v>
      </c>
      <c r="P2276">
        <v>2</v>
      </c>
    </row>
    <row r="2277" spans="1:16" x14ac:dyDescent="0.2">
      <c r="A2277" t="s">
        <v>3035</v>
      </c>
      <c r="B2277" t="s">
        <v>97</v>
      </c>
      <c r="C2277" t="s">
        <v>3036</v>
      </c>
      <c r="D2277" t="s">
        <v>2987</v>
      </c>
      <c r="E2277" t="s">
        <v>290</v>
      </c>
      <c r="F2277">
        <v>139.99</v>
      </c>
      <c r="G2277" t="s">
        <v>7032</v>
      </c>
      <c r="H2277">
        <v>0</v>
      </c>
      <c r="M2277">
        <v>0</v>
      </c>
      <c r="N2277">
        <v>0</v>
      </c>
      <c r="O2277">
        <v>0</v>
      </c>
      <c r="P2277">
        <v>0</v>
      </c>
    </row>
    <row r="2278" spans="1:16" x14ac:dyDescent="0.2">
      <c r="A2278" t="s">
        <v>3037</v>
      </c>
      <c r="B2278" t="s">
        <v>97</v>
      </c>
      <c r="C2278" t="s">
        <v>3038</v>
      </c>
      <c r="D2278" t="s">
        <v>2987</v>
      </c>
      <c r="E2278" t="s">
        <v>228</v>
      </c>
      <c r="F2278">
        <v>79.989999999999995</v>
      </c>
      <c r="G2278" t="s">
        <v>7032</v>
      </c>
      <c r="H2278">
        <v>2.7777777777777776E-2</v>
      </c>
      <c r="M2278">
        <v>18</v>
      </c>
      <c r="N2278">
        <v>0.16666666666666666</v>
      </c>
      <c r="O2278">
        <v>0</v>
      </c>
      <c r="P2278">
        <v>3</v>
      </c>
    </row>
    <row r="2279" spans="1:16" x14ac:dyDescent="0.2">
      <c r="A2279" t="s">
        <v>7628</v>
      </c>
      <c r="B2279" t="s">
        <v>97</v>
      </c>
      <c r="C2279" t="s">
        <v>7629</v>
      </c>
      <c r="D2279" t="s">
        <v>2502</v>
      </c>
      <c r="E2279" t="s">
        <v>96</v>
      </c>
      <c r="F2279">
        <v>64.989999999999995</v>
      </c>
      <c r="G2279" t="s">
        <v>7032</v>
      </c>
      <c r="H2279">
        <v>0</v>
      </c>
      <c r="M2279">
        <v>0</v>
      </c>
      <c r="N2279">
        <v>0</v>
      </c>
      <c r="O2279">
        <v>0</v>
      </c>
      <c r="P2279">
        <v>0</v>
      </c>
    </row>
    <row r="2280" spans="1:16" x14ac:dyDescent="0.2">
      <c r="A2280" t="s">
        <v>3039</v>
      </c>
      <c r="B2280" t="s">
        <v>97</v>
      </c>
      <c r="C2280" t="s">
        <v>3040</v>
      </c>
      <c r="D2280" t="s">
        <v>2987</v>
      </c>
      <c r="E2280" t="s">
        <v>228</v>
      </c>
      <c r="F2280">
        <v>79.989999999999995</v>
      </c>
      <c r="G2280" t="s">
        <v>7032</v>
      </c>
      <c r="H2280">
        <v>0</v>
      </c>
      <c r="M2280">
        <v>0</v>
      </c>
      <c r="N2280">
        <v>0</v>
      </c>
      <c r="O2280">
        <v>0</v>
      </c>
      <c r="P2280">
        <v>0</v>
      </c>
    </row>
    <row r="2281" spans="1:16" x14ac:dyDescent="0.2">
      <c r="A2281" t="s">
        <v>6251</v>
      </c>
      <c r="B2281" t="s">
        <v>97</v>
      </c>
      <c r="C2281" t="s">
        <v>6252</v>
      </c>
      <c r="D2281" t="s">
        <v>2502</v>
      </c>
      <c r="E2281" t="s">
        <v>290</v>
      </c>
      <c r="F2281">
        <v>54.99</v>
      </c>
      <c r="G2281" t="s">
        <v>7032</v>
      </c>
      <c r="H2281">
        <v>0</v>
      </c>
      <c r="M2281">
        <v>0</v>
      </c>
      <c r="N2281">
        <v>0</v>
      </c>
      <c r="O2281">
        <v>0</v>
      </c>
      <c r="P2281">
        <v>1</v>
      </c>
    </row>
    <row r="2282" spans="1:16" x14ac:dyDescent="0.2">
      <c r="A2282" t="s">
        <v>6003</v>
      </c>
      <c r="B2282" t="s">
        <v>97</v>
      </c>
      <c r="C2282" t="s">
        <v>6004</v>
      </c>
      <c r="D2282" t="s">
        <v>2502</v>
      </c>
      <c r="E2282" t="s">
        <v>290</v>
      </c>
      <c r="F2282">
        <v>99.99</v>
      </c>
      <c r="G2282" t="s">
        <v>7032</v>
      </c>
      <c r="H2282">
        <v>0</v>
      </c>
      <c r="M2282">
        <v>0</v>
      </c>
      <c r="N2282">
        <v>0</v>
      </c>
      <c r="O2282">
        <v>0</v>
      </c>
      <c r="P2282">
        <v>0</v>
      </c>
    </row>
    <row r="2283" spans="1:16" x14ac:dyDescent="0.2">
      <c r="A2283" t="s">
        <v>6595</v>
      </c>
      <c r="B2283" t="s">
        <v>97</v>
      </c>
      <c r="C2283" t="s">
        <v>6596</v>
      </c>
      <c r="D2283" t="s">
        <v>2987</v>
      </c>
      <c r="E2283" t="s">
        <v>96</v>
      </c>
      <c r="F2283">
        <v>59.99</v>
      </c>
      <c r="G2283" t="s">
        <v>7032</v>
      </c>
      <c r="H2283">
        <v>0</v>
      </c>
      <c r="M2283">
        <v>0</v>
      </c>
      <c r="N2283">
        <v>0</v>
      </c>
      <c r="O2283">
        <v>0</v>
      </c>
      <c r="P2283">
        <v>0</v>
      </c>
    </row>
    <row r="2284" spans="1:16" x14ac:dyDescent="0.2">
      <c r="A2284" t="s">
        <v>2496</v>
      </c>
      <c r="B2284" t="s">
        <v>97</v>
      </c>
      <c r="C2284" t="s">
        <v>2497</v>
      </c>
      <c r="D2284" t="s">
        <v>2495</v>
      </c>
      <c r="E2284" t="s">
        <v>290</v>
      </c>
      <c r="F2284">
        <v>349.99</v>
      </c>
      <c r="G2284" t="s">
        <v>7032</v>
      </c>
      <c r="H2284">
        <v>0</v>
      </c>
      <c r="M2284">
        <v>0</v>
      </c>
      <c r="N2284">
        <v>0</v>
      </c>
      <c r="O2284">
        <v>0</v>
      </c>
      <c r="P2284">
        <v>0</v>
      </c>
    </row>
    <row r="2285" spans="1:16" x14ac:dyDescent="0.2">
      <c r="A2285" t="s">
        <v>6574</v>
      </c>
      <c r="B2285" t="s">
        <v>97</v>
      </c>
      <c r="C2285" t="s">
        <v>6575</v>
      </c>
      <c r="D2285" t="s">
        <v>2987</v>
      </c>
      <c r="E2285" t="s">
        <v>290</v>
      </c>
      <c r="F2285">
        <v>129.99</v>
      </c>
      <c r="G2285" t="s">
        <v>7032</v>
      </c>
      <c r="H2285">
        <v>0</v>
      </c>
      <c r="M2285">
        <v>0</v>
      </c>
      <c r="N2285">
        <v>0</v>
      </c>
      <c r="O2285">
        <v>0</v>
      </c>
      <c r="P2285">
        <v>0</v>
      </c>
    </row>
    <row r="2286" spans="1:16" x14ac:dyDescent="0.2">
      <c r="A2286" t="s">
        <v>3019</v>
      </c>
      <c r="B2286" t="s">
        <v>97</v>
      </c>
      <c r="C2286" t="s">
        <v>3020</v>
      </c>
      <c r="D2286" t="s">
        <v>2987</v>
      </c>
      <c r="E2286" t="s">
        <v>228</v>
      </c>
      <c r="F2286">
        <v>139.99</v>
      </c>
      <c r="G2286" t="s">
        <v>7032</v>
      </c>
      <c r="H2286">
        <v>0</v>
      </c>
      <c r="M2286">
        <v>0</v>
      </c>
      <c r="N2286">
        <v>0</v>
      </c>
      <c r="O2286">
        <v>0</v>
      </c>
      <c r="P2286">
        <v>1</v>
      </c>
    </row>
    <row r="2287" spans="1:16" x14ac:dyDescent="0.2">
      <c r="A2287" t="s">
        <v>2583</v>
      </c>
      <c r="B2287" t="s">
        <v>97</v>
      </c>
      <c r="C2287" t="s">
        <v>2584</v>
      </c>
      <c r="D2287" t="s">
        <v>2502</v>
      </c>
      <c r="E2287" t="s">
        <v>228</v>
      </c>
      <c r="F2287">
        <v>79.989999999999995</v>
      </c>
      <c r="G2287" t="s">
        <v>7032</v>
      </c>
      <c r="H2287">
        <v>0</v>
      </c>
      <c r="M2287">
        <v>0</v>
      </c>
      <c r="N2287">
        <v>0</v>
      </c>
      <c r="O2287">
        <v>0</v>
      </c>
      <c r="P2287">
        <v>0</v>
      </c>
    </row>
    <row r="2288" spans="1:16" x14ac:dyDescent="0.2">
      <c r="A2288" t="s">
        <v>6765</v>
      </c>
      <c r="B2288" t="s">
        <v>97</v>
      </c>
      <c r="C2288" t="s">
        <v>6766</v>
      </c>
      <c r="D2288" t="s">
        <v>2987</v>
      </c>
      <c r="E2288" t="s">
        <v>96</v>
      </c>
      <c r="F2288">
        <v>129.99</v>
      </c>
      <c r="G2288" t="s">
        <v>7032</v>
      </c>
      <c r="H2288">
        <v>0</v>
      </c>
      <c r="M2288">
        <v>0</v>
      </c>
      <c r="N2288">
        <v>0</v>
      </c>
      <c r="O2288">
        <v>0</v>
      </c>
      <c r="P2288">
        <v>0</v>
      </c>
    </row>
    <row r="2289" spans="1:16" x14ac:dyDescent="0.2">
      <c r="A2289" t="s">
        <v>7630</v>
      </c>
      <c r="B2289" t="s">
        <v>97</v>
      </c>
      <c r="C2289" t="s">
        <v>7631</v>
      </c>
      <c r="D2289" t="s">
        <v>2502</v>
      </c>
      <c r="E2289" t="s">
        <v>96</v>
      </c>
      <c r="F2289">
        <v>39.99</v>
      </c>
      <c r="G2289" t="s">
        <v>7032</v>
      </c>
      <c r="H2289">
        <v>0</v>
      </c>
      <c r="M2289">
        <v>0</v>
      </c>
      <c r="N2289">
        <v>0</v>
      </c>
      <c r="O2289">
        <v>0</v>
      </c>
      <c r="P2289">
        <v>0</v>
      </c>
    </row>
    <row r="2290" spans="1:16" x14ac:dyDescent="0.2">
      <c r="A2290" t="s">
        <v>7632</v>
      </c>
      <c r="B2290" t="s">
        <v>97</v>
      </c>
      <c r="C2290" t="s">
        <v>7633</v>
      </c>
      <c r="D2290" t="s">
        <v>1897</v>
      </c>
      <c r="E2290" t="s">
        <v>96</v>
      </c>
      <c r="F2290">
        <v>34.99</v>
      </c>
      <c r="G2290" t="s">
        <v>7032</v>
      </c>
      <c r="H2290">
        <v>0</v>
      </c>
      <c r="M2290">
        <v>0</v>
      </c>
      <c r="N2290">
        <v>0</v>
      </c>
      <c r="O2290">
        <v>0</v>
      </c>
      <c r="P2290">
        <v>0</v>
      </c>
    </row>
    <row r="2291" spans="1:16" x14ac:dyDescent="0.2">
      <c r="A2291" t="s">
        <v>5661</v>
      </c>
      <c r="B2291" t="s">
        <v>97</v>
      </c>
      <c r="C2291" t="s">
        <v>5662</v>
      </c>
      <c r="D2291" t="s">
        <v>2411</v>
      </c>
      <c r="E2291" t="s">
        <v>290</v>
      </c>
      <c r="F2291">
        <v>99.99</v>
      </c>
      <c r="G2291" t="s">
        <v>7032</v>
      </c>
      <c r="H2291">
        <v>0</v>
      </c>
      <c r="M2291">
        <v>0</v>
      </c>
      <c r="N2291">
        <v>0</v>
      </c>
      <c r="O2291">
        <v>0</v>
      </c>
      <c r="P2291">
        <v>28</v>
      </c>
    </row>
    <row r="2292" spans="1:16" x14ac:dyDescent="0.2">
      <c r="A2292" t="s">
        <v>5501</v>
      </c>
      <c r="B2292" t="s">
        <v>97</v>
      </c>
      <c r="C2292" t="s">
        <v>5502</v>
      </c>
      <c r="D2292" t="s">
        <v>2411</v>
      </c>
      <c r="E2292" t="s">
        <v>96</v>
      </c>
      <c r="F2292">
        <v>49.99</v>
      </c>
      <c r="G2292" t="s">
        <v>7032</v>
      </c>
      <c r="H2292">
        <v>0</v>
      </c>
      <c r="M2292">
        <v>0</v>
      </c>
      <c r="N2292">
        <v>0</v>
      </c>
      <c r="O2292">
        <v>0</v>
      </c>
      <c r="P2292">
        <v>0</v>
      </c>
    </row>
    <row r="2293" spans="1:16" x14ac:dyDescent="0.2">
      <c r="A2293" t="s">
        <v>6858</v>
      </c>
      <c r="B2293" t="s">
        <v>97</v>
      </c>
      <c r="C2293" t="s">
        <v>6859</v>
      </c>
      <c r="D2293" t="s">
        <v>2987</v>
      </c>
      <c r="E2293" t="s">
        <v>96</v>
      </c>
      <c r="F2293">
        <v>139.99</v>
      </c>
      <c r="G2293" t="s">
        <v>7032</v>
      </c>
      <c r="H2293">
        <v>0</v>
      </c>
      <c r="M2293">
        <v>0</v>
      </c>
      <c r="N2293">
        <v>0</v>
      </c>
      <c r="O2293">
        <v>0</v>
      </c>
      <c r="P2293">
        <v>0</v>
      </c>
    </row>
    <row r="2294" spans="1:16" x14ac:dyDescent="0.2">
      <c r="A2294" t="s">
        <v>5516</v>
      </c>
      <c r="B2294" t="s">
        <v>97</v>
      </c>
      <c r="C2294" t="s">
        <v>5517</v>
      </c>
      <c r="D2294" t="s">
        <v>2411</v>
      </c>
      <c r="E2294" t="s">
        <v>96</v>
      </c>
      <c r="F2294">
        <v>29.99</v>
      </c>
      <c r="G2294" t="s">
        <v>7032</v>
      </c>
      <c r="H2294">
        <v>0</v>
      </c>
      <c r="M2294">
        <v>0</v>
      </c>
      <c r="N2294">
        <v>0</v>
      </c>
      <c r="O2294">
        <v>0</v>
      </c>
      <c r="P2294">
        <v>0</v>
      </c>
    </row>
    <row r="2295" spans="1:16" x14ac:dyDescent="0.2">
      <c r="A2295" t="s">
        <v>6861</v>
      </c>
      <c r="B2295" t="s">
        <v>97</v>
      </c>
      <c r="C2295" t="s">
        <v>6862</v>
      </c>
      <c r="D2295" t="s">
        <v>2987</v>
      </c>
      <c r="E2295" t="s">
        <v>96</v>
      </c>
      <c r="F2295">
        <v>159.99</v>
      </c>
      <c r="G2295" t="s">
        <v>7032</v>
      </c>
      <c r="H2295">
        <v>0</v>
      </c>
      <c r="M2295">
        <v>0</v>
      </c>
      <c r="N2295">
        <v>0</v>
      </c>
      <c r="O2295">
        <v>0</v>
      </c>
      <c r="P2295">
        <v>1</v>
      </c>
    </row>
    <row r="2296" spans="1:16" x14ac:dyDescent="0.2">
      <c r="A2296" t="s">
        <v>1900</v>
      </c>
      <c r="B2296" t="s">
        <v>97</v>
      </c>
      <c r="C2296" t="s">
        <v>1901</v>
      </c>
      <c r="D2296" t="s">
        <v>1897</v>
      </c>
      <c r="E2296" t="s">
        <v>290</v>
      </c>
      <c r="F2296">
        <v>69.989999999999995</v>
      </c>
      <c r="G2296" t="s">
        <v>7032</v>
      </c>
      <c r="H2296">
        <v>0</v>
      </c>
      <c r="M2296">
        <v>0</v>
      </c>
      <c r="N2296">
        <v>0</v>
      </c>
      <c r="O2296">
        <v>0</v>
      </c>
      <c r="P2296">
        <v>0</v>
      </c>
    </row>
    <row r="2297" spans="1:16" x14ac:dyDescent="0.2">
      <c r="A2297" t="s">
        <v>7634</v>
      </c>
      <c r="B2297" t="s">
        <v>97</v>
      </c>
      <c r="C2297" t="s">
        <v>7635</v>
      </c>
      <c r="D2297" t="s">
        <v>1897</v>
      </c>
      <c r="E2297" t="s">
        <v>96</v>
      </c>
      <c r="F2297">
        <v>79.989999999999995</v>
      </c>
      <c r="G2297" t="s">
        <v>7032</v>
      </c>
      <c r="H2297">
        <v>0</v>
      </c>
      <c r="M2297">
        <v>0</v>
      </c>
      <c r="N2297">
        <v>0</v>
      </c>
      <c r="O2297">
        <v>0</v>
      </c>
      <c r="P2297">
        <v>0</v>
      </c>
    </row>
    <row r="2298" spans="1:16" x14ac:dyDescent="0.2">
      <c r="A2298" t="s">
        <v>7636</v>
      </c>
      <c r="B2298" t="s">
        <v>97</v>
      </c>
      <c r="C2298" t="s">
        <v>7637</v>
      </c>
      <c r="D2298" t="s">
        <v>1897</v>
      </c>
      <c r="E2298" t="s">
        <v>96</v>
      </c>
      <c r="F2298">
        <v>79.989999999999995</v>
      </c>
      <c r="G2298" t="s">
        <v>7032</v>
      </c>
      <c r="H2298">
        <v>0</v>
      </c>
      <c r="M2298">
        <v>0</v>
      </c>
      <c r="N2298">
        <v>0</v>
      </c>
      <c r="O2298">
        <v>0</v>
      </c>
      <c r="P2298">
        <v>0</v>
      </c>
    </row>
    <row r="2299" spans="1:16" x14ac:dyDescent="0.2">
      <c r="A2299" t="s">
        <v>7638</v>
      </c>
      <c r="B2299" t="s">
        <v>97</v>
      </c>
      <c r="C2299" t="s">
        <v>7639</v>
      </c>
      <c r="D2299" t="s">
        <v>1897</v>
      </c>
      <c r="E2299" t="s">
        <v>96</v>
      </c>
      <c r="F2299">
        <v>139.99</v>
      </c>
      <c r="G2299" t="s">
        <v>7032</v>
      </c>
      <c r="H2299">
        <v>0</v>
      </c>
      <c r="M2299">
        <v>0</v>
      </c>
      <c r="N2299">
        <v>0</v>
      </c>
      <c r="O2299">
        <v>0</v>
      </c>
      <c r="P2299">
        <v>0</v>
      </c>
    </row>
    <row r="2300" spans="1:16" x14ac:dyDescent="0.2">
      <c r="A2300" t="s">
        <v>7640</v>
      </c>
      <c r="B2300" t="s">
        <v>97</v>
      </c>
      <c r="C2300" t="s">
        <v>7641</v>
      </c>
      <c r="D2300" t="s">
        <v>1897</v>
      </c>
      <c r="E2300" t="s">
        <v>96</v>
      </c>
      <c r="F2300">
        <v>69.989999999999995</v>
      </c>
      <c r="G2300" t="s">
        <v>7032</v>
      </c>
      <c r="H2300">
        <v>0</v>
      </c>
      <c r="M2300">
        <v>0</v>
      </c>
      <c r="N2300">
        <v>0</v>
      </c>
      <c r="O2300">
        <v>0</v>
      </c>
      <c r="P2300">
        <v>0</v>
      </c>
    </row>
    <row r="2301" spans="1:16" x14ac:dyDescent="0.2">
      <c r="A2301" t="s">
        <v>7642</v>
      </c>
      <c r="B2301" t="s">
        <v>97</v>
      </c>
      <c r="C2301" t="s">
        <v>7643</v>
      </c>
      <c r="D2301" t="s">
        <v>1897</v>
      </c>
      <c r="E2301" t="s">
        <v>96</v>
      </c>
      <c r="F2301">
        <v>44.99</v>
      </c>
      <c r="G2301" t="s">
        <v>7032</v>
      </c>
      <c r="H2301">
        <v>0</v>
      </c>
      <c r="M2301">
        <v>0</v>
      </c>
      <c r="N2301">
        <v>0</v>
      </c>
      <c r="O2301">
        <v>0</v>
      </c>
      <c r="P2301">
        <v>0</v>
      </c>
    </row>
    <row r="2302" spans="1:16" x14ac:dyDescent="0.2">
      <c r="A2302" t="s">
        <v>7644</v>
      </c>
      <c r="B2302" t="s">
        <v>97</v>
      </c>
      <c r="C2302" t="s">
        <v>7645</v>
      </c>
      <c r="D2302" t="s">
        <v>1897</v>
      </c>
      <c r="E2302" t="s">
        <v>96</v>
      </c>
      <c r="F2302">
        <v>49.99</v>
      </c>
      <c r="G2302" t="s">
        <v>7032</v>
      </c>
      <c r="H2302">
        <v>0</v>
      </c>
      <c r="M2302">
        <v>0</v>
      </c>
      <c r="N2302">
        <v>0</v>
      </c>
      <c r="O2302">
        <v>0</v>
      </c>
      <c r="P2302">
        <v>0</v>
      </c>
    </row>
    <row r="2303" spans="1:16" x14ac:dyDescent="0.2">
      <c r="A2303" t="s">
        <v>5519</v>
      </c>
      <c r="B2303" t="s">
        <v>97</v>
      </c>
      <c r="C2303" t="s">
        <v>5520</v>
      </c>
      <c r="D2303" t="s">
        <v>2411</v>
      </c>
      <c r="E2303" t="s">
        <v>96</v>
      </c>
      <c r="F2303">
        <v>29.99</v>
      </c>
      <c r="G2303" t="s">
        <v>7032</v>
      </c>
      <c r="H2303">
        <v>0</v>
      </c>
      <c r="M2303">
        <v>0</v>
      </c>
      <c r="N2303">
        <v>0</v>
      </c>
      <c r="O2303">
        <v>0</v>
      </c>
      <c r="P2303">
        <v>0</v>
      </c>
    </row>
    <row r="2304" spans="1:16" x14ac:dyDescent="0.2">
      <c r="A2304" t="s">
        <v>7646</v>
      </c>
      <c r="B2304" t="s">
        <v>97</v>
      </c>
      <c r="C2304" t="s">
        <v>7647</v>
      </c>
      <c r="D2304" t="s">
        <v>1897</v>
      </c>
      <c r="E2304" t="s">
        <v>96</v>
      </c>
      <c r="F2304">
        <v>49.99</v>
      </c>
      <c r="G2304" t="s">
        <v>7032</v>
      </c>
      <c r="H2304">
        <v>0</v>
      </c>
      <c r="M2304">
        <v>0</v>
      </c>
      <c r="N2304">
        <v>0</v>
      </c>
      <c r="O2304">
        <v>0</v>
      </c>
      <c r="P2304">
        <v>0</v>
      </c>
    </row>
    <row r="2305" spans="1:16" x14ac:dyDescent="0.2">
      <c r="A2305" t="s">
        <v>3749</v>
      </c>
      <c r="B2305" t="s">
        <v>97</v>
      </c>
      <c r="C2305" t="s">
        <v>3750</v>
      </c>
      <c r="D2305" t="s">
        <v>1897</v>
      </c>
      <c r="E2305" t="s">
        <v>96</v>
      </c>
      <c r="F2305">
        <v>54.99</v>
      </c>
      <c r="G2305" t="s">
        <v>7032</v>
      </c>
      <c r="H2305">
        <v>0</v>
      </c>
      <c r="M2305">
        <v>0</v>
      </c>
      <c r="N2305">
        <v>0</v>
      </c>
      <c r="O2305">
        <v>0</v>
      </c>
      <c r="P2305">
        <v>0</v>
      </c>
    </row>
    <row r="2306" spans="1:16" x14ac:dyDescent="0.2">
      <c r="A2306" t="s">
        <v>7648</v>
      </c>
      <c r="B2306" t="s">
        <v>97</v>
      </c>
      <c r="C2306" t="s">
        <v>7649</v>
      </c>
      <c r="D2306" t="s">
        <v>1897</v>
      </c>
      <c r="E2306" t="s">
        <v>96</v>
      </c>
      <c r="F2306">
        <v>69.989999999999995</v>
      </c>
      <c r="G2306" t="s">
        <v>7032</v>
      </c>
      <c r="H2306">
        <v>0</v>
      </c>
      <c r="M2306">
        <v>0</v>
      </c>
      <c r="N2306">
        <v>0</v>
      </c>
      <c r="O2306">
        <v>0</v>
      </c>
      <c r="P2306">
        <v>0</v>
      </c>
    </row>
    <row r="2307" spans="1:16" x14ac:dyDescent="0.2">
      <c r="A2307" t="s">
        <v>3726</v>
      </c>
      <c r="B2307" t="s">
        <v>97</v>
      </c>
      <c r="C2307" t="s">
        <v>3727</v>
      </c>
      <c r="D2307" t="s">
        <v>1897</v>
      </c>
      <c r="E2307" t="s">
        <v>96</v>
      </c>
      <c r="F2307">
        <v>54.99</v>
      </c>
      <c r="G2307" t="s">
        <v>7032</v>
      </c>
      <c r="H2307">
        <v>0</v>
      </c>
      <c r="M2307">
        <v>0</v>
      </c>
      <c r="N2307">
        <v>0</v>
      </c>
      <c r="O2307">
        <v>0</v>
      </c>
      <c r="P2307">
        <v>0</v>
      </c>
    </row>
    <row r="2308" spans="1:16" x14ac:dyDescent="0.2">
      <c r="A2308" t="s">
        <v>7650</v>
      </c>
      <c r="B2308" t="s">
        <v>97</v>
      </c>
      <c r="C2308" t="s">
        <v>7651</v>
      </c>
      <c r="D2308" t="s">
        <v>1897</v>
      </c>
      <c r="E2308" t="s">
        <v>96</v>
      </c>
      <c r="F2308">
        <v>39.99</v>
      </c>
      <c r="G2308" t="s">
        <v>7032</v>
      </c>
      <c r="H2308">
        <v>0</v>
      </c>
      <c r="M2308">
        <v>0</v>
      </c>
      <c r="N2308">
        <v>0</v>
      </c>
      <c r="O2308">
        <v>0</v>
      </c>
      <c r="P2308">
        <v>1</v>
      </c>
    </row>
    <row r="2309" spans="1:16" x14ac:dyDescent="0.2">
      <c r="A2309" t="s">
        <v>7652</v>
      </c>
      <c r="B2309" t="s">
        <v>97</v>
      </c>
      <c r="C2309" t="s">
        <v>7653</v>
      </c>
      <c r="D2309" t="s">
        <v>1897</v>
      </c>
      <c r="E2309" t="s">
        <v>96</v>
      </c>
      <c r="F2309">
        <v>39.99</v>
      </c>
      <c r="G2309" t="s">
        <v>7032</v>
      </c>
      <c r="H2309">
        <v>0</v>
      </c>
      <c r="M2309">
        <v>0</v>
      </c>
      <c r="N2309">
        <v>0</v>
      </c>
      <c r="O2309">
        <v>0</v>
      </c>
      <c r="P2309">
        <v>0</v>
      </c>
    </row>
    <row r="2310" spans="1:16" x14ac:dyDescent="0.2">
      <c r="A2310" t="s">
        <v>1926</v>
      </c>
      <c r="B2310" t="s">
        <v>97</v>
      </c>
      <c r="C2310" t="s">
        <v>1927</v>
      </c>
      <c r="D2310" t="s">
        <v>1897</v>
      </c>
      <c r="E2310" t="s">
        <v>290</v>
      </c>
      <c r="F2310">
        <v>39.99</v>
      </c>
      <c r="G2310" t="s">
        <v>7032</v>
      </c>
      <c r="H2310">
        <v>0</v>
      </c>
      <c r="M2310">
        <v>0</v>
      </c>
      <c r="N2310">
        <v>0</v>
      </c>
      <c r="O2310">
        <v>0</v>
      </c>
      <c r="P2310">
        <v>4</v>
      </c>
    </row>
    <row r="2311" spans="1:16" x14ac:dyDescent="0.2">
      <c r="A2311" t="s">
        <v>7654</v>
      </c>
      <c r="B2311" t="s">
        <v>97</v>
      </c>
      <c r="C2311" t="s">
        <v>7655</v>
      </c>
      <c r="D2311" t="s">
        <v>1897</v>
      </c>
      <c r="E2311" t="s">
        <v>96</v>
      </c>
      <c r="F2311">
        <v>44.99</v>
      </c>
      <c r="G2311" t="s">
        <v>7032</v>
      </c>
      <c r="H2311">
        <v>0</v>
      </c>
      <c r="M2311">
        <v>0</v>
      </c>
      <c r="N2311">
        <v>0</v>
      </c>
      <c r="O2311">
        <v>0</v>
      </c>
      <c r="P2311">
        <v>0</v>
      </c>
    </row>
    <row r="2312" spans="1:16" x14ac:dyDescent="0.2">
      <c r="A2312" t="s">
        <v>3853</v>
      </c>
      <c r="B2312" t="s">
        <v>97</v>
      </c>
      <c r="C2312" t="s">
        <v>3854</v>
      </c>
      <c r="D2312" t="s">
        <v>1897</v>
      </c>
      <c r="E2312" t="s">
        <v>290</v>
      </c>
      <c r="F2312">
        <v>69.989999999999995</v>
      </c>
      <c r="G2312" t="s">
        <v>7032</v>
      </c>
      <c r="H2312">
        <v>0</v>
      </c>
      <c r="M2312">
        <v>0</v>
      </c>
      <c r="N2312">
        <v>0</v>
      </c>
      <c r="O2312">
        <v>0</v>
      </c>
      <c r="P2312">
        <v>0</v>
      </c>
    </row>
    <row r="2313" spans="1:16" x14ac:dyDescent="0.2">
      <c r="A2313" t="s">
        <v>3856</v>
      </c>
      <c r="B2313" t="s">
        <v>97</v>
      </c>
      <c r="C2313" t="s">
        <v>3857</v>
      </c>
      <c r="D2313" t="s">
        <v>1897</v>
      </c>
      <c r="E2313" t="s">
        <v>96</v>
      </c>
      <c r="F2313">
        <v>69.989999999999995</v>
      </c>
      <c r="G2313" t="s">
        <v>7032</v>
      </c>
      <c r="H2313">
        <v>0</v>
      </c>
      <c r="M2313">
        <v>0</v>
      </c>
      <c r="N2313">
        <v>0</v>
      </c>
      <c r="O2313">
        <v>0</v>
      </c>
      <c r="P2313">
        <v>0</v>
      </c>
    </row>
    <row r="2314" spans="1:16" x14ac:dyDescent="0.2">
      <c r="A2314" t="s">
        <v>3859</v>
      </c>
      <c r="B2314" t="s">
        <v>97</v>
      </c>
      <c r="C2314" t="s">
        <v>3860</v>
      </c>
      <c r="D2314" t="s">
        <v>1897</v>
      </c>
      <c r="E2314" t="s">
        <v>96</v>
      </c>
      <c r="F2314">
        <v>79.989999999999995</v>
      </c>
      <c r="G2314" t="s">
        <v>7032</v>
      </c>
      <c r="H2314">
        <v>0</v>
      </c>
      <c r="M2314">
        <v>0</v>
      </c>
      <c r="N2314">
        <v>0</v>
      </c>
      <c r="O2314">
        <v>0</v>
      </c>
      <c r="P2314">
        <v>0</v>
      </c>
    </row>
    <row r="2315" spans="1:16" x14ac:dyDescent="0.2">
      <c r="A2315" t="s">
        <v>3743</v>
      </c>
      <c r="B2315" t="s">
        <v>97</v>
      </c>
      <c r="C2315" t="s">
        <v>3744</v>
      </c>
      <c r="D2315" t="s">
        <v>1897</v>
      </c>
      <c r="E2315" t="s">
        <v>96</v>
      </c>
      <c r="F2315">
        <v>69.989999999999995</v>
      </c>
      <c r="G2315" t="s">
        <v>7032</v>
      </c>
      <c r="H2315">
        <v>0</v>
      </c>
      <c r="M2315">
        <v>0</v>
      </c>
      <c r="N2315">
        <v>0</v>
      </c>
      <c r="O2315">
        <v>0</v>
      </c>
      <c r="P2315">
        <v>0</v>
      </c>
    </row>
    <row r="2316" spans="1:16" x14ac:dyDescent="0.2">
      <c r="A2316" t="s">
        <v>7656</v>
      </c>
      <c r="B2316" t="s">
        <v>97</v>
      </c>
      <c r="C2316" t="s">
        <v>7657</v>
      </c>
      <c r="D2316" t="s">
        <v>1897</v>
      </c>
      <c r="E2316" t="s">
        <v>96</v>
      </c>
      <c r="F2316">
        <v>49.99</v>
      </c>
      <c r="G2316" t="s">
        <v>7032</v>
      </c>
      <c r="H2316">
        <v>0</v>
      </c>
      <c r="M2316">
        <v>0</v>
      </c>
      <c r="N2316">
        <v>0</v>
      </c>
      <c r="O2316">
        <v>0</v>
      </c>
      <c r="P2316">
        <v>0</v>
      </c>
    </row>
    <row r="2317" spans="1:16" x14ac:dyDescent="0.2">
      <c r="A2317" t="s">
        <v>5492</v>
      </c>
      <c r="B2317" t="s">
        <v>97</v>
      </c>
      <c r="C2317" t="s">
        <v>5493</v>
      </c>
      <c r="D2317" t="s">
        <v>2411</v>
      </c>
      <c r="E2317" t="s">
        <v>96</v>
      </c>
      <c r="F2317">
        <v>29.99</v>
      </c>
      <c r="G2317" t="s">
        <v>7032</v>
      </c>
      <c r="H2317">
        <v>0</v>
      </c>
      <c r="M2317">
        <v>0</v>
      </c>
      <c r="N2317">
        <v>0</v>
      </c>
      <c r="O2317">
        <v>0</v>
      </c>
      <c r="P2317">
        <v>0</v>
      </c>
    </row>
    <row r="2318" spans="1:16" x14ac:dyDescent="0.2">
      <c r="A2318" t="s">
        <v>3071</v>
      </c>
      <c r="B2318" t="s">
        <v>97</v>
      </c>
      <c r="C2318" t="s">
        <v>3072</v>
      </c>
      <c r="D2318" t="s">
        <v>2987</v>
      </c>
      <c r="E2318" t="s">
        <v>290</v>
      </c>
      <c r="F2318">
        <v>199.99</v>
      </c>
      <c r="G2318" t="s">
        <v>7032</v>
      </c>
      <c r="H2318">
        <v>0</v>
      </c>
      <c r="M2318">
        <v>0</v>
      </c>
      <c r="N2318">
        <v>0</v>
      </c>
      <c r="O2318">
        <v>0</v>
      </c>
      <c r="P2318">
        <v>1</v>
      </c>
    </row>
    <row r="2319" spans="1:16" x14ac:dyDescent="0.2">
      <c r="A2319" t="s">
        <v>6643</v>
      </c>
      <c r="B2319" t="s">
        <v>97</v>
      </c>
      <c r="C2319" t="s">
        <v>6644</v>
      </c>
      <c r="D2319" t="s">
        <v>2987</v>
      </c>
      <c r="E2319" t="s">
        <v>96</v>
      </c>
      <c r="F2319">
        <v>89.99</v>
      </c>
      <c r="G2319" t="s">
        <v>7032</v>
      </c>
      <c r="H2319">
        <v>0</v>
      </c>
      <c r="M2319">
        <v>0</v>
      </c>
      <c r="N2319">
        <v>0</v>
      </c>
      <c r="O2319">
        <v>0</v>
      </c>
      <c r="P2319">
        <v>0</v>
      </c>
    </row>
    <row r="2320" spans="1:16" x14ac:dyDescent="0.2">
      <c r="A2320" t="s">
        <v>7658</v>
      </c>
      <c r="B2320" t="s">
        <v>97</v>
      </c>
      <c r="C2320" t="s">
        <v>7659</v>
      </c>
      <c r="D2320" t="s">
        <v>2411</v>
      </c>
      <c r="E2320" t="s">
        <v>96</v>
      </c>
      <c r="F2320">
        <v>7.99</v>
      </c>
      <c r="G2320" t="s">
        <v>7032</v>
      </c>
      <c r="H2320">
        <v>0</v>
      </c>
      <c r="M2320">
        <v>0</v>
      </c>
      <c r="N2320">
        <v>0</v>
      </c>
      <c r="O2320">
        <v>0</v>
      </c>
      <c r="P2320">
        <v>0</v>
      </c>
    </row>
    <row r="2321" spans="1:16" x14ac:dyDescent="0.2">
      <c r="A2321" t="s">
        <v>5489</v>
      </c>
      <c r="B2321" t="s">
        <v>97</v>
      </c>
      <c r="C2321" t="s">
        <v>5490</v>
      </c>
      <c r="D2321" t="s">
        <v>2411</v>
      </c>
      <c r="E2321" t="s">
        <v>96</v>
      </c>
      <c r="F2321">
        <v>29.99</v>
      </c>
      <c r="G2321" t="s">
        <v>7032</v>
      </c>
      <c r="H2321">
        <v>0</v>
      </c>
      <c r="M2321">
        <v>0</v>
      </c>
      <c r="N2321">
        <v>0</v>
      </c>
      <c r="O2321">
        <v>0</v>
      </c>
      <c r="P2321">
        <v>0</v>
      </c>
    </row>
    <row r="2322" spans="1:16" x14ac:dyDescent="0.2">
      <c r="A2322" t="s">
        <v>5457</v>
      </c>
      <c r="B2322" t="s">
        <v>97</v>
      </c>
      <c r="C2322" t="s">
        <v>5458</v>
      </c>
      <c r="D2322" t="s">
        <v>2411</v>
      </c>
      <c r="E2322" t="s">
        <v>96</v>
      </c>
      <c r="F2322">
        <v>59.99</v>
      </c>
      <c r="G2322" t="s">
        <v>7032</v>
      </c>
      <c r="H2322">
        <v>0</v>
      </c>
      <c r="M2322">
        <v>0</v>
      </c>
      <c r="N2322">
        <v>0</v>
      </c>
      <c r="O2322">
        <v>0</v>
      </c>
      <c r="P2322">
        <v>3</v>
      </c>
    </row>
    <row r="2323" spans="1:16" x14ac:dyDescent="0.2">
      <c r="A2323" t="s">
        <v>5460</v>
      </c>
      <c r="B2323" t="s">
        <v>97</v>
      </c>
      <c r="C2323" t="s">
        <v>5461</v>
      </c>
      <c r="D2323" t="s">
        <v>2411</v>
      </c>
      <c r="E2323" t="s">
        <v>96</v>
      </c>
      <c r="F2323">
        <v>24.99</v>
      </c>
      <c r="G2323" t="s">
        <v>7032</v>
      </c>
      <c r="H2323">
        <v>0</v>
      </c>
      <c r="M2323">
        <v>0</v>
      </c>
      <c r="N2323">
        <v>0</v>
      </c>
      <c r="O2323">
        <v>0</v>
      </c>
      <c r="P2323">
        <v>0</v>
      </c>
    </row>
    <row r="2324" spans="1:16" x14ac:dyDescent="0.2">
      <c r="A2324" t="s">
        <v>5451</v>
      </c>
      <c r="B2324" t="s">
        <v>97</v>
      </c>
      <c r="C2324" t="s">
        <v>5452</v>
      </c>
      <c r="D2324" t="s">
        <v>2411</v>
      </c>
      <c r="E2324" t="s">
        <v>96</v>
      </c>
      <c r="F2324">
        <v>24.99</v>
      </c>
      <c r="G2324" t="s">
        <v>7032</v>
      </c>
      <c r="H2324">
        <v>0</v>
      </c>
      <c r="M2324">
        <v>0</v>
      </c>
      <c r="N2324">
        <v>0</v>
      </c>
      <c r="O2324">
        <v>0</v>
      </c>
      <c r="P2324">
        <v>5</v>
      </c>
    </row>
    <row r="2325" spans="1:16" x14ac:dyDescent="0.2">
      <c r="A2325" t="s">
        <v>5473</v>
      </c>
      <c r="B2325" t="s">
        <v>97</v>
      </c>
      <c r="C2325" t="s">
        <v>5474</v>
      </c>
      <c r="D2325" t="s">
        <v>2411</v>
      </c>
      <c r="E2325" t="s">
        <v>96</v>
      </c>
      <c r="F2325">
        <v>24.99</v>
      </c>
      <c r="G2325" t="s">
        <v>7032</v>
      </c>
      <c r="H2325">
        <v>0</v>
      </c>
      <c r="M2325">
        <v>0</v>
      </c>
      <c r="N2325">
        <v>0</v>
      </c>
      <c r="O2325">
        <v>0</v>
      </c>
      <c r="P2325">
        <v>0</v>
      </c>
    </row>
    <row r="2326" spans="1:16" x14ac:dyDescent="0.2">
      <c r="A2326" t="s">
        <v>7660</v>
      </c>
      <c r="B2326" t="s">
        <v>97</v>
      </c>
      <c r="C2326" t="s">
        <v>7661</v>
      </c>
      <c r="D2326" t="s">
        <v>2411</v>
      </c>
      <c r="E2326" t="s">
        <v>96</v>
      </c>
      <c r="F2326">
        <v>59.99</v>
      </c>
      <c r="G2326" t="s">
        <v>7032</v>
      </c>
      <c r="H2326">
        <v>0</v>
      </c>
      <c r="M2326">
        <v>0</v>
      </c>
      <c r="N2326">
        <v>0</v>
      </c>
      <c r="O2326">
        <v>0</v>
      </c>
      <c r="P2326">
        <v>5</v>
      </c>
    </row>
    <row r="2327" spans="1:16" x14ac:dyDescent="0.2">
      <c r="A2327" t="s">
        <v>7662</v>
      </c>
      <c r="B2327" t="s">
        <v>97</v>
      </c>
      <c r="C2327" t="s">
        <v>7663</v>
      </c>
      <c r="D2327" t="s">
        <v>2411</v>
      </c>
      <c r="E2327" t="s">
        <v>290</v>
      </c>
      <c r="F2327">
        <v>49.99</v>
      </c>
      <c r="G2327" t="s">
        <v>7032</v>
      </c>
      <c r="H2327">
        <v>8.3333333333333329E-2</v>
      </c>
      <c r="M2327">
        <v>0</v>
      </c>
      <c r="N2327">
        <v>0</v>
      </c>
      <c r="O2327">
        <v>0</v>
      </c>
      <c r="P2327">
        <v>2</v>
      </c>
    </row>
    <row r="2328" spans="1:16" x14ac:dyDescent="0.2">
      <c r="A2328" t="s">
        <v>5463</v>
      </c>
      <c r="B2328" t="s">
        <v>97</v>
      </c>
      <c r="C2328" t="s">
        <v>5464</v>
      </c>
      <c r="D2328" t="s">
        <v>2411</v>
      </c>
      <c r="E2328" t="s">
        <v>96</v>
      </c>
      <c r="F2328">
        <v>49.99</v>
      </c>
      <c r="G2328" t="s">
        <v>7032</v>
      </c>
      <c r="H2328">
        <v>0</v>
      </c>
      <c r="M2328">
        <v>0</v>
      </c>
      <c r="N2328">
        <v>0</v>
      </c>
      <c r="O2328">
        <v>0</v>
      </c>
      <c r="P2328">
        <v>0</v>
      </c>
    </row>
    <row r="2329" spans="1:16" x14ac:dyDescent="0.2">
      <c r="A2329" t="s">
        <v>5705</v>
      </c>
      <c r="B2329" t="s">
        <v>97</v>
      </c>
      <c r="C2329" t="s">
        <v>5706</v>
      </c>
      <c r="D2329" t="s">
        <v>2411</v>
      </c>
      <c r="E2329" t="s">
        <v>96</v>
      </c>
      <c r="F2329">
        <v>19.989999999999998</v>
      </c>
      <c r="G2329" t="s">
        <v>7032</v>
      </c>
      <c r="H2329">
        <v>0</v>
      </c>
      <c r="M2329">
        <v>0</v>
      </c>
      <c r="N2329">
        <v>0</v>
      </c>
      <c r="O2329">
        <v>0</v>
      </c>
      <c r="P2329">
        <v>0</v>
      </c>
    </row>
    <row r="2330" spans="1:16" x14ac:dyDescent="0.2">
      <c r="A2330" t="s">
        <v>3067</v>
      </c>
      <c r="B2330" t="s">
        <v>97</v>
      </c>
      <c r="C2330" t="s">
        <v>3068</v>
      </c>
      <c r="D2330" t="s">
        <v>2987</v>
      </c>
      <c r="E2330" t="s">
        <v>228</v>
      </c>
      <c r="F2330">
        <v>99.99</v>
      </c>
      <c r="G2330" t="s">
        <v>7032</v>
      </c>
      <c r="H2330">
        <v>0</v>
      </c>
      <c r="M2330">
        <v>0</v>
      </c>
      <c r="N2330">
        <v>0</v>
      </c>
      <c r="O2330">
        <v>0</v>
      </c>
      <c r="P2330">
        <v>1</v>
      </c>
    </row>
    <row r="2331" spans="1:16" x14ac:dyDescent="0.2">
      <c r="A2331" t="s">
        <v>5712</v>
      </c>
      <c r="B2331" t="s">
        <v>97</v>
      </c>
      <c r="C2331" t="s">
        <v>5713</v>
      </c>
      <c r="D2331" t="s">
        <v>2411</v>
      </c>
      <c r="E2331" t="s">
        <v>96</v>
      </c>
      <c r="F2331">
        <v>59.99</v>
      </c>
      <c r="G2331" t="s">
        <v>7032</v>
      </c>
      <c r="H2331">
        <v>0</v>
      </c>
      <c r="M2331">
        <v>0</v>
      </c>
      <c r="N2331">
        <v>0</v>
      </c>
      <c r="O2331">
        <v>0</v>
      </c>
      <c r="P2331">
        <v>2</v>
      </c>
    </row>
    <row r="2332" spans="1:16" x14ac:dyDescent="0.2">
      <c r="A2332" t="s">
        <v>7664</v>
      </c>
      <c r="B2332" t="s">
        <v>97</v>
      </c>
      <c r="C2332" t="s">
        <v>7665</v>
      </c>
      <c r="D2332" t="s">
        <v>2448</v>
      </c>
      <c r="E2332" t="s">
        <v>96</v>
      </c>
      <c r="F2332">
        <v>59.99</v>
      </c>
      <c r="G2332" t="s">
        <v>7032</v>
      </c>
      <c r="H2332">
        <v>0</v>
      </c>
      <c r="M2332">
        <v>0</v>
      </c>
      <c r="N2332">
        <v>0</v>
      </c>
      <c r="O2332">
        <v>0</v>
      </c>
      <c r="P2332">
        <v>0</v>
      </c>
    </row>
    <row r="2333" spans="1:16" x14ac:dyDescent="0.2">
      <c r="A2333" t="s">
        <v>3057</v>
      </c>
      <c r="B2333" t="s">
        <v>97</v>
      </c>
      <c r="C2333" t="s">
        <v>3058</v>
      </c>
      <c r="D2333" t="s">
        <v>2987</v>
      </c>
      <c r="E2333" t="s">
        <v>228</v>
      </c>
      <c r="F2333">
        <v>139.99</v>
      </c>
      <c r="G2333" t="s">
        <v>7032</v>
      </c>
      <c r="H2333">
        <v>0</v>
      </c>
      <c r="M2333">
        <v>0</v>
      </c>
      <c r="N2333">
        <v>0</v>
      </c>
      <c r="O2333">
        <v>0</v>
      </c>
      <c r="P2333">
        <v>0</v>
      </c>
    </row>
    <row r="2334" spans="1:16" x14ac:dyDescent="0.2">
      <c r="A2334" t="s">
        <v>7666</v>
      </c>
      <c r="B2334" t="s">
        <v>97</v>
      </c>
      <c r="C2334" t="s">
        <v>7667</v>
      </c>
      <c r="D2334" t="s">
        <v>2425</v>
      </c>
      <c r="E2334" t="s">
        <v>96</v>
      </c>
      <c r="F2334">
        <v>249.99</v>
      </c>
      <c r="G2334" t="s">
        <v>7032</v>
      </c>
      <c r="H2334">
        <v>0</v>
      </c>
      <c r="M2334">
        <v>0</v>
      </c>
      <c r="N2334">
        <v>0</v>
      </c>
      <c r="O2334">
        <v>0</v>
      </c>
      <c r="P2334">
        <v>0</v>
      </c>
    </row>
    <row r="2335" spans="1:16" x14ac:dyDescent="0.2">
      <c r="A2335" t="s">
        <v>6869</v>
      </c>
      <c r="B2335" t="s">
        <v>97</v>
      </c>
      <c r="C2335" t="s">
        <v>6870</v>
      </c>
      <c r="D2335" t="s">
        <v>2987</v>
      </c>
      <c r="E2335" t="s">
        <v>96</v>
      </c>
      <c r="F2335">
        <v>139.99</v>
      </c>
      <c r="G2335" t="s">
        <v>7032</v>
      </c>
      <c r="H2335">
        <v>0</v>
      </c>
      <c r="M2335">
        <v>0</v>
      </c>
      <c r="N2335">
        <v>0</v>
      </c>
      <c r="O2335">
        <v>0</v>
      </c>
      <c r="P2335">
        <v>0</v>
      </c>
    </row>
    <row r="2336" spans="1:16" x14ac:dyDescent="0.2">
      <c r="A2336" t="s">
        <v>7668</v>
      </c>
      <c r="B2336" t="s">
        <v>97</v>
      </c>
      <c r="C2336" t="s">
        <v>7669</v>
      </c>
      <c r="D2336" t="s">
        <v>2425</v>
      </c>
      <c r="E2336" t="s">
        <v>96</v>
      </c>
      <c r="F2336">
        <v>89.99</v>
      </c>
      <c r="G2336" t="s">
        <v>7032</v>
      </c>
      <c r="H2336">
        <v>0</v>
      </c>
      <c r="M2336">
        <v>0</v>
      </c>
      <c r="N2336">
        <v>0</v>
      </c>
      <c r="O2336">
        <v>0</v>
      </c>
      <c r="P2336">
        <v>0</v>
      </c>
    </row>
    <row r="2337" spans="1:16" x14ac:dyDescent="0.2">
      <c r="A2337" t="s">
        <v>3698</v>
      </c>
      <c r="B2337" t="s">
        <v>97</v>
      </c>
      <c r="C2337" t="s">
        <v>3699</v>
      </c>
      <c r="D2337" t="s">
        <v>2425</v>
      </c>
      <c r="E2337" t="s">
        <v>96</v>
      </c>
      <c r="F2337">
        <v>69.989999999999995</v>
      </c>
      <c r="G2337" t="s">
        <v>7032</v>
      </c>
      <c r="H2337">
        <v>0</v>
      </c>
      <c r="M2337">
        <v>0</v>
      </c>
      <c r="N2337">
        <v>0</v>
      </c>
      <c r="O2337">
        <v>0</v>
      </c>
      <c r="P2337">
        <v>0</v>
      </c>
    </row>
    <row r="2338" spans="1:16" x14ac:dyDescent="0.2">
      <c r="A2338" t="s">
        <v>3059</v>
      </c>
      <c r="B2338" t="s">
        <v>97</v>
      </c>
      <c r="C2338" t="s">
        <v>3060</v>
      </c>
      <c r="D2338" t="s">
        <v>2987</v>
      </c>
      <c r="E2338" t="s">
        <v>228</v>
      </c>
      <c r="F2338">
        <v>219.99</v>
      </c>
      <c r="G2338" t="s">
        <v>7032</v>
      </c>
      <c r="H2338">
        <v>8.3333333333333329E-2</v>
      </c>
      <c r="M2338">
        <v>0</v>
      </c>
      <c r="N2338">
        <v>0</v>
      </c>
      <c r="O2338">
        <v>0</v>
      </c>
      <c r="P2338">
        <v>1</v>
      </c>
    </row>
    <row r="2339" spans="1:16" x14ac:dyDescent="0.2">
      <c r="A2339" t="s">
        <v>3701</v>
      </c>
      <c r="B2339" t="s">
        <v>97</v>
      </c>
      <c r="C2339" t="s">
        <v>3702</v>
      </c>
      <c r="D2339" t="s">
        <v>2425</v>
      </c>
      <c r="E2339" t="s">
        <v>96</v>
      </c>
      <c r="F2339">
        <v>716.99</v>
      </c>
      <c r="G2339" t="s">
        <v>7032</v>
      </c>
      <c r="H2339">
        <v>0</v>
      </c>
      <c r="M2339">
        <v>0</v>
      </c>
      <c r="N2339">
        <v>0</v>
      </c>
      <c r="O2339">
        <v>0</v>
      </c>
      <c r="P2339">
        <v>0</v>
      </c>
    </row>
    <row r="2340" spans="1:16" x14ac:dyDescent="0.2">
      <c r="A2340" t="s">
        <v>6601</v>
      </c>
      <c r="B2340" t="s">
        <v>97</v>
      </c>
      <c r="C2340" t="s">
        <v>6602</v>
      </c>
      <c r="D2340" t="s">
        <v>2987</v>
      </c>
      <c r="E2340" t="s">
        <v>96</v>
      </c>
      <c r="F2340">
        <v>89.99</v>
      </c>
      <c r="G2340" t="s">
        <v>7032</v>
      </c>
      <c r="H2340">
        <v>0</v>
      </c>
      <c r="M2340">
        <v>0</v>
      </c>
      <c r="N2340">
        <v>0</v>
      </c>
      <c r="O2340">
        <v>0</v>
      </c>
      <c r="P2340">
        <v>0</v>
      </c>
    </row>
    <row r="2341" spans="1:16" x14ac:dyDescent="0.2">
      <c r="A2341" t="s">
        <v>5689</v>
      </c>
      <c r="B2341" t="s">
        <v>97</v>
      </c>
      <c r="C2341" t="s">
        <v>5690</v>
      </c>
      <c r="D2341" t="s">
        <v>2411</v>
      </c>
      <c r="E2341" t="s">
        <v>96</v>
      </c>
      <c r="F2341">
        <v>59.99</v>
      </c>
      <c r="G2341" t="s">
        <v>7032</v>
      </c>
      <c r="H2341">
        <v>0</v>
      </c>
      <c r="M2341">
        <v>0</v>
      </c>
      <c r="N2341">
        <v>0</v>
      </c>
      <c r="O2341">
        <v>0</v>
      </c>
      <c r="P2341">
        <v>0</v>
      </c>
    </row>
    <row r="2342" spans="1:16" x14ac:dyDescent="0.2">
      <c r="A2342" t="s">
        <v>7078</v>
      </c>
      <c r="B2342" t="s">
        <v>97</v>
      </c>
      <c r="C2342" t="s">
        <v>7079</v>
      </c>
      <c r="D2342" t="s">
        <v>2411</v>
      </c>
      <c r="E2342" t="s">
        <v>96</v>
      </c>
      <c r="F2342">
        <v>59.99</v>
      </c>
      <c r="G2342" t="s">
        <v>7032</v>
      </c>
      <c r="H2342">
        <v>0</v>
      </c>
      <c r="M2342">
        <v>0</v>
      </c>
      <c r="N2342">
        <v>0</v>
      </c>
      <c r="O2342">
        <v>0</v>
      </c>
      <c r="P2342">
        <v>0</v>
      </c>
    </row>
    <row r="2343" spans="1:16" x14ac:dyDescent="0.2">
      <c r="A2343" t="s">
        <v>5699</v>
      </c>
      <c r="B2343" t="s">
        <v>97</v>
      </c>
      <c r="C2343" t="s">
        <v>5700</v>
      </c>
      <c r="D2343" t="s">
        <v>2411</v>
      </c>
      <c r="E2343" t="s">
        <v>96</v>
      </c>
      <c r="F2343">
        <v>79.989999999999995</v>
      </c>
      <c r="G2343" t="s">
        <v>7032</v>
      </c>
      <c r="H2343">
        <v>0</v>
      </c>
      <c r="M2343">
        <v>0</v>
      </c>
      <c r="N2343">
        <v>0</v>
      </c>
      <c r="O2343">
        <v>0</v>
      </c>
      <c r="P2343">
        <v>0</v>
      </c>
    </row>
    <row r="2344" spans="1:16" x14ac:dyDescent="0.2">
      <c r="A2344" t="s">
        <v>2412</v>
      </c>
      <c r="B2344" t="s">
        <v>97</v>
      </c>
      <c r="C2344" t="s">
        <v>2413</v>
      </c>
      <c r="D2344" t="s">
        <v>2411</v>
      </c>
      <c r="E2344" t="s">
        <v>96</v>
      </c>
      <c r="F2344">
        <v>59.99</v>
      </c>
      <c r="G2344" t="s">
        <v>7032</v>
      </c>
      <c r="H2344">
        <v>0</v>
      </c>
      <c r="M2344">
        <v>0</v>
      </c>
      <c r="N2344">
        <v>0</v>
      </c>
      <c r="O2344">
        <v>0</v>
      </c>
      <c r="P2344">
        <v>0</v>
      </c>
    </row>
    <row r="2345" spans="1:16" x14ac:dyDescent="0.2">
      <c r="A2345" t="s">
        <v>7670</v>
      </c>
      <c r="B2345" t="s">
        <v>97</v>
      </c>
      <c r="C2345" t="s">
        <v>7671</v>
      </c>
      <c r="D2345" t="s">
        <v>1897</v>
      </c>
      <c r="E2345" t="s">
        <v>96</v>
      </c>
      <c r="F2345">
        <v>59.99</v>
      </c>
      <c r="G2345" t="s">
        <v>7032</v>
      </c>
      <c r="H2345">
        <v>0</v>
      </c>
      <c r="M2345">
        <v>0</v>
      </c>
      <c r="N2345">
        <v>0</v>
      </c>
      <c r="O2345">
        <v>0</v>
      </c>
      <c r="P2345">
        <v>0</v>
      </c>
    </row>
    <row r="2346" spans="1:16" x14ac:dyDescent="0.2">
      <c r="A2346" t="s">
        <v>7672</v>
      </c>
      <c r="B2346" t="s">
        <v>97</v>
      </c>
      <c r="C2346" t="s">
        <v>7673</v>
      </c>
      <c r="D2346" t="s">
        <v>1897</v>
      </c>
      <c r="E2346" t="s">
        <v>96</v>
      </c>
      <c r="F2346">
        <v>59.99</v>
      </c>
      <c r="G2346" t="s">
        <v>7032</v>
      </c>
      <c r="H2346">
        <v>0</v>
      </c>
      <c r="M2346">
        <v>0</v>
      </c>
      <c r="N2346">
        <v>0</v>
      </c>
      <c r="O2346">
        <v>0</v>
      </c>
      <c r="P2346">
        <v>0</v>
      </c>
    </row>
    <row r="2347" spans="1:16" x14ac:dyDescent="0.2">
      <c r="A2347" t="s">
        <v>6847</v>
      </c>
      <c r="B2347" t="s">
        <v>97</v>
      </c>
      <c r="C2347" t="s">
        <v>6848</v>
      </c>
      <c r="D2347" t="s">
        <v>2987</v>
      </c>
      <c r="E2347" t="s">
        <v>96</v>
      </c>
      <c r="F2347">
        <v>119.99</v>
      </c>
      <c r="G2347" t="s">
        <v>7032</v>
      </c>
      <c r="H2347">
        <v>0</v>
      </c>
      <c r="M2347">
        <v>0</v>
      </c>
      <c r="N2347">
        <v>0</v>
      </c>
      <c r="O2347">
        <v>0</v>
      </c>
      <c r="P2347">
        <v>0</v>
      </c>
    </row>
    <row r="2348" spans="1:16" x14ac:dyDescent="0.2">
      <c r="A2348" t="s">
        <v>2899</v>
      </c>
      <c r="B2348" t="s">
        <v>97</v>
      </c>
      <c r="C2348" t="s">
        <v>2900</v>
      </c>
      <c r="D2348" t="s">
        <v>2852</v>
      </c>
      <c r="E2348" t="s">
        <v>228</v>
      </c>
      <c r="F2348">
        <v>279.99</v>
      </c>
      <c r="G2348" t="s">
        <v>7032</v>
      </c>
      <c r="H2348">
        <v>0</v>
      </c>
      <c r="M2348">
        <v>0</v>
      </c>
      <c r="N2348">
        <v>0</v>
      </c>
      <c r="O2348">
        <v>0</v>
      </c>
      <c r="P2348">
        <v>0</v>
      </c>
    </row>
    <row r="2349" spans="1:16" x14ac:dyDescent="0.2">
      <c r="A2349" t="s">
        <v>2933</v>
      </c>
      <c r="B2349" t="s">
        <v>97</v>
      </c>
      <c r="C2349" t="s">
        <v>2934</v>
      </c>
      <c r="D2349" t="s">
        <v>2928</v>
      </c>
      <c r="E2349" t="s">
        <v>290</v>
      </c>
      <c r="F2349">
        <v>159.99</v>
      </c>
      <c r="G2349" t="s">
        <v>7032</v>
      </c>
      <c r="H2349">
        <v>0</v>
      </c>
      <c r="M2349">
        <v>0</v>
      </c>
      <c r="N2349">
        <v>0</v>
      </c>
      <c r="O2349">
        <v>0</v>
      </c>
      <c r="P2349">
        <v>3</v>
      </c>
    </row>
    <row r="2350" spans="1:16" x14ac:dyDescent="0.2">
      <c r="A2350" t="s">
        <v>6844</v>
      </c>
      <c r="B2350" t="s">
        <v>97</v>
      </c>
      <c r="C2350" t="s">
        <v>6845</v>
      </c>
      <c r="D2350" t="s">
        <v>2987</v>
      </c>
      <c r="E2350" t="s">
        <v>96</v>
      </c>
      <c r="F2350">
        <v>169.99</v>
      </c>
      <c r="G2350" t="s">
        <v>7032</v>
      </c>
      <c r="H2350">
        <v>0</v>
      </c>
      <c r="M2350">
        <v>0</v>
      </c>
      <c r="N2350">
        <v>0</v>
      </c>
      <c r="O2350">
        <v>0</v>
      </c>
      <c r="P2350">
        <v>0</v>
      </c>
    </row>
    <row r="2351" spans="1:16" x14ac:dyDescent="0.2">
      <c r="A2351" t="s">
        <v>6690</v>
      </c>
      <c r="B2351" t="s">
        <v>97</v>
      </c>
      <c r="C2351" t="s">
        <v>6691</v>
      </c>
      <c r="D2351" t="s">
        <v>2987</v>
      </c>
      <c r="E2351" t="s">
        <v>96</v>
      </c>
      <c r="F2351">
        <v>74.989999999999995</v>
      </c>
      <c r="G2351" t="s">
        <v>7032</v>
      </c>
      <c r="H2351">
        <v>0</v>
      </c>
      <c r="M2351">
        <v>0</v>
      </c>
      <c r="N2351">
        <v>0</v>
      </c>
      <c r="O2351">
        <v>0</v>
      </c>
      <c r="P2351">
        <v>0</v>
      </c>
    </row>
    <row r="2352" spans="1:16" x14ac:dyDescent="0.2">
      <c r="A2352" t="s">
        <v>3620</v>
      </c>
      <c r="B2352" t="s">
        <v>97</v>
      </c>
      <c r="C2352" t="s">
        <v>3621</v>
      </c>
      <c r="D2352" t="s">
        <v>2852</v>
      </c>
      <c r="E2352" t="s">
        <v>228</v>
      </c>
      <c r="F2352">
        <v>249.99</v>
      </c>
      <c r="G2352" t="s">
        <v>7032</v>
      </c>
      <c r="H2352">
        <v>0</v>
      </c>
      <c r="M2352">
        <v>0</v>
      </c>
      <c r="N2352">
        <v>0</v>
      </c>
      <c r="O2352">
        <v>0</v>
      </c>
      <c r="P2352">
        <v>0</v>
      </c>
    </row>
    <row r="2353" spans="1:16" x14ac:dyDescent="0.2">
      <c r="A2353" t="s">
        <v>2937</v>
      </c>
      <c r="B2353" t="s">
        <v>97</v>
      </c>
      <c r="C2353" t="s">
        <v>2938</v>
      </c>
      <c r="D2353" t="s">
        <v>2928</v>
      </c>
      <c r="E2353" t="s">
        <v>290</v>
      </c>
      <c r="F2353">
        <v>69.989999999999995</v>
      </c>
      <c r="G2353" t="s">
        <v>7032</v>
      </c>
      <c r="H2353">
        <v>0</v>
      </c>
      <c r="M2353">
        <v>0</v>
      </c>
      <c r="N2353">
        <v>0</v>
      </c>
      <c r="O2353">
        <v>0</v>
      </c>
      <c r="P2353">
        <v>2</v>
      </c>
    </row>
    <row r="2354" spans="1:16" x14ac:dyDescent="0.2">
      <c r="A2354" t="s">
        <v>6505</v>
      </c>
      <c r="B2354" t="s">
        <v>97</v>
      </c>
      <c r="C2354" t="s">
        <v>6506</v>
      </c>
      <c r="D2354" t="s">
        <v>2987</v>
      </c>
      <c r="E2354" t="s">
        <v>96</v>
      </c>
      <c r="F2354">
        <v>59.99</v>
      </c>
      <c r="G2354" t="s">
        <v>7032</v>
      </c>
      <c r="H2354">
        <v>0</v>
      </c>
      <c r="M2354">
        <v>0</v>
      </c>
      <c r="N2354">
        <v>0</v>
      </c>
      <c r="O2354">
        <v>0</v>
      </c>
      <c r="P2354">
        <v>0</v>
      </c>
    </row>
    <row r="2355" spans="1:16" x14ac:dyDescent="0.2">
      <c r="A2355" t="s">
        <v>7674</v>
      </c>
      <c r="B2355" t="s">
        <v>97</v>
      </c>
      <c r="C2355" t="s">
        <v>7675</v>
      </c>
      <c r="D2355" t="s">
        <v>2987</v>
      </c>
      <c r="E2355" t="s">
        <v>96</v>
      </c>
      <c r="F2355">
        <v>139.99</v>
      </c>
      <c r="G2355" t="s">
        <v>7032</v>
      </c>
      <c r="H2355">
        <v>0</v>
      </c>
      <c r="M2355">
        <v>0</v>
      </c>
      <c r="N2355">
        <v>0</v>
      </c>
      <c r="O2355">
        <v>0</v>
      </c>
      <c r="P2355">
        <v>0</v>
      </c>
    </row>
    <row r="2356" spans="1:16" x14ac:dyDescent="0.2">
      <c r="A2356" t="s">
        <v>7676</v>
      </c>
      <c r="B2356" t="s">
        <v>97</v>
      </c>
      <c r="C2356" t="s">
        <v>7677</v>
      </c>
      <c r="D2356" t="s">
        <v>2502</v>
      </c>
      <c r="E2356" t="s">
        <v>96</v>
      </c>
      <c r="F2356">
        <v>59.99</v>
      </c>
      <c r="G2356" t="s">
        <v>7032</v>
      </c>
      <c r="H2356">
        <v>0</v>
      </c>
      <c r="M2356">
        <v>0</v>
      </c>
      <c r="N2356">
        <v>0</v>
      </c>
      <c r="O2356">
        <v>0</v>
      </c>
      <c r="P2356">
        <v>0</v>
      </c>
    </row>
    <row r="2357" spans="1:16" x14ac:dyDescent="0.2">
      <c r="A2357" t="s">
        <v>4367</v>
      </c>
      <c r="B2357" t="s">
        <v>97</v>
      </c>
      <c r="C2357" t="s">
        <v>4368</v>
      </c>
      <c r="D2357" t="s">
        <v>2852</v>
      </c>
      <c r="E2357" t="s">
        <v>96</v>
      </c>
      <c r="F2357">
        <v>29.99</v>
      </c>
      <c r="G2357" t="s">
        <v>7032</v>
      </c>
      <c r="H2357">
        <v>0</v>
      </c>
      <c r="M2357">
        <v>0</v>
      </c>
      <c r="N2357">
        <v>0</v>
      </c>
      <c r="O2357">
        <v>0</v>
      </c>
      <c r="P2357">
        <v>0</v>
      </c>
    </row>
    <row r="2358" spans="1:16" x14ac:dyDescent="0.2">
      <c r="A2358" t="s">
        <v>2931</v>
      </c>
      <c r="B2358" t="s">
        <v>97</v>
      </c>
      <c r="C2358" t="s">
        <v>2932</v>
      </c>
      <c r="D2358" t="s">
        <v>2928</v>
      </c>
      <c r="E2358" t="s">
        <v>96</v>
      </c>
      <c r="F2358">
        <v>159.99</v>
      </c>
      <c r="G2358" t="s">
        <v>7032</v>
      </c>
      <c r="H2358">
        <v>0</v>
      </c>
      <c r="M2358">
        <v>0</v>
      </c>
      <c r="N2358">
        <v>0</v>
      </c>
      <c r="O2358">
        <v>0</v>
      </c>
      <c r="P2358">
        <v>2</v>
      </c>
    </row>
    <row r="2359" spans="1:16" x14ac:dyDescent="0.2">
      <c r="A2359" t="s">
        <v>2945</v>
      </c>
      <c r="B2359" t="s">
        <v>97</v>
      </c>
      <c r="C2359" t="s">
        <v>2946</v>
      </c>
      <c r="D2359" t="s">
        <v>2928</v>
      </c>
      <c r="E2359" t="s">
        <v>96</v>
      </c>
      <c r="F2359">
        <v>159.99</v>
      </c>
      <c r="G2359" t="s">
        <v>7032</v>
      </c>
      <c r="H2359">
        <v>0</v>
      </c>
      <c r="M2359">
        <v>0</v>
      </c>
      <c r="N2359">
        <v>0</v>
      </c>
      <c r="O2359">
        <v>0</v>
      </c>
      <c r="P2359">
        <v>2</v>
      </c>
    </row>
    <row r="2360" spans="1:16" x14ac:dyDescent="0.2">
      <c r="A2360" t="s">
        <v>4213</v>
      </c>
      <c r="B2360" t="s">
        <v>97</v>
      </c>
      <c r="C2360" t="s">
        <v>4214</v>
      </c>
      <c r="D2360" t="s">
        <v>2852</v>
      </c>
      <c r="E2360" t="s">
        <v>96</v>
      </c>
      <c r="F2360">
        <v>44.99</v>
      </c>
      <c r="G2360" t="s">
        <v>7032</v>
      </c>
      <c r="H2360">
        <v>0</v>
      </c>
      <c r="M2360">
        <v>0</v>
      </c>
      <c r="N2360">
        <v>0</v>
      </c>
      <c r="O2360">
        <v>0</v>
      </c>
      <c r="P2360">
        <v>1</v>
      </c>
    </row>
    <row r="2361" spans="1:16" x14ac:dyDescent="0.2">
      <c r="A2361" t="s">
        <v>4194</v>
      </c>
      <c r="B2361" t="s">
        <v>97</v>
      </c>
      <c r="C2361" t="s">
        <v>4195</v>
      </c>
      <c r="D2361" t="s">
        <v>2852</v>
      </c>
      <c r="E2361" t="s">
        <v>96</v>
      </c>
      <c r="F2361">
        <v>29.99</v>
      </c>
      <c r="G2361" t="s">
        <v>7032</v>
      </c>
      <c r="H2361">
        <v>0</v>
      </c>
      <c r="M2361">
        <v>0</v>
      </c>
      <c r="N2361">
        <v>0</v>
      </c>
      <c r="O2361">
        <v>0</v>
      </c>
      <c r="P2361">
        <v>0</v>
      </c>
    </row>
    <row r="2362" spans="1:16" x14ac:dyDescent="0.2">
      <c r="A2362" t="s">
        <v>2905</v>
      </c>
      <c r="B2362" t="s">
        <v>97</v>
      </c>
      <c r="C2362" t="s">
        <v>2906</v>
      </c>
      <c r="D2362" t="s">
        <v>2852</v>
      </c>
      <c r="E2362" t="s">
        <v>228</v>
      </c>
      <c r="F2362">
        <v>179.99</v>
      </c>
      <c r="G2362" t="s">
        <v>7032</v>
      </c>
      <c r="H2362">
        <v>0</v>
      </c>
      <c r="M2362">
        <v>0</v>
      </c>
      <c r="N2362">
        <v>0</v>
      </c>
      <c r="O2362">
        <v>0</v>
      </c>
      <c r="P2362">
        <v>0</v>
      </c>
    </row>
    <row r="2363" spans="1:16" x14ac:dyDescent="0.2">
      <c r="A2363" t="s">
        <v>6882</v>
      </c>
      <c r="B2363" t="s">
        <v>97</v>
      </c>
      <c r="C2363" t="s">
        <v>6883</v>
      </c>
      <c r="D2363" t="s">
        <v>2987</v>
      </c>
      <c r="E2363" t="s">
        <v>290</v>
      </c>
      <c r="F2363">
        <v>74.989999999999995</v>
      </c>
      <c r="G2363" t="s">
        <v>7032</v>
      </c>
      <c r="H2363">
        <v>0</v>
      </c>
      <c r="M2363">
        <v>0</v>
      </c>
      <c r="N2363">
        <v>0</v>
      </c>
      <c r="O2363">
        <v>0</v>
      </c>
      <c r="P2363">
        <v>0</v>
      </c>
    </row>
    <row r="2364" spans="1:16" x14ac:dyDescent="0.2">
      <c r="A2364" t="s">
        <v>2655</v>
      </c>
      <c r="B2364" t="s">
        <v>97</v>
      </c>
      <c r="C2364" t="s">
        <v>2656</v>
      </c>
      <c r="D2364" t="s">
        <v>2502</v>
      </c>
      <c r="E2364" t="s">
        <v>228</v>
      </c>
      <c r="F2364">
        <v>79.989999999999995</v>
      </c>
      <c r="G2364" t="s">
        <v>7032</v>
      </c>
      <c r="H2364">
        <v>0</v>
      </c>
      <c r="M2364">
        <v>0</v>
      </c>
      <c r="N2364">
        <v>0</v>
      </c>
      <c r="O2364">
        <v>0</v>
      </c>
      <c r="P2364">
        <v>0</v>
      </c>
    </row>
    <row r="2365" spans="1:16" x14ac:dyDescent="0.2">
      <c r="A2365" t="s">
        <v>2865</v>
      </c>
      <c r="B2365" t="s">
        <v>97</v>
      </c>
      <c r="C2365" t="s">
        <v>2866</v>
      </c>
      <c r="D2365" t="s">
        <v>2852</v>
      </c>
      <c r="E2365" t="s">
        <v>228</v>
      </c>
      <c r="F2365">
        <v>5499.99</v>
      </c>
      <c r="G2365" t="s">
        <v>7032</v>
      </c>
      <c r="H2365">
        <v>0</v>
      </c>
      <c r="M2365">
        <v>0</v>
      </c>
      <c r="N2365">
        <v>0</v>
      </c>
      <c r="O2365">
        <v>0</v>
      </c>
      <c r="P2365">
        <v>0</v>
      </c>
    </row>
    <row r="2366" spans="1:16" x14ac:dyDescent="0.2">
      <c r="A2366" t="s">
        <v>7678</v>
      </c>
      <c r="B2366" t="s">
        <v>97</v>
      </c>
      <c r="C2366" t="s">
        <v>7679</v>
      </c>
      <c r="D2366" t="s">
        <v>2987</v>
      </c>
      <c r="E2366" t="s">
        <v>96</v>
      </c>
      <c r="F2366">
        <v>89.99</v>
      </c>
      <c r="G2366" t="s">
        <v>7032</v>
      </c>
      <c r="H2366">
        <v>0</v>
      </c>
      <c r="M2366">
        <v>0</v>
      </c>
      <c r="N2366">
        <v>0</v>
      </c>
      <c r="O2366">
        <v>0</v>
      </c>
      <c r="P2366">
        <v>0</v>
      </c>
    </row>
    <row r="2367" spans="1:16" x14ac:dyDescent="0.2">
      <c r="A2367" t="s">
        <v>6879</v>
      </c>
      <c r="B2367" t="s">
        <v>97</v>
      </c>
      <c r="C2367" t="s">
        <v>6880</v>
      </c>
      <c r="D2367" t="s">
        <v>2987</v>
      </c>
      <c r="E2367" t="s">
        <v>96</v>
      </c>
      <c r="F2367">
        <v>74.989999999999995</v>
      </c>
      <c r="G2367" t="s">
        <v>7032</v>
      </c>
      <c r="H2367">
        <v>0</v>
      </c>
      <c r="M2367">
        <v>0</v>
      </c>
      <c r="N2367">
        <v>0</v>
      </c>
      <c r="O2367">
        <v>0</v>
      </c>
      <c r="P2367">
        <v>0</v>
      </c>
    </row>
    <row r="2368" spans="1:16" x14ac:dyDescent="0.2">
      <c r="A2368" t="s">
        <v>6681</v>
      </c>
      <c r="B2368" t="s">
        <v>97</v>
      </c>
      <c r="C2368" t="s">
        <v>6682</v>
      </c>
      <c r="D2368" t="s">
        <v>2987</v>
      </c>
      <c r="E2368" t="s">
        <v>96</v>
      </c>
      <c r="F2368">
        <v>49.99</v>
      </c>
      <c r="G2368" t="s">
        <v>7032</v>
      </c>
      <c r="H2368">
        <v>0</v>
      </c>
      <c r="M2368">
        <v>0</v>
      </c>
      <c r="N2368">
        <v>0</v>
      </c>
      <c r="O2368">
        <v>0</v>
      </c>
      <c r="P2368">
        <v>0</v>
      </c>
    </row>
    <row r="2369" spans="1:16" x14ac:dyDescent="0.2">
      <c r="A2369" t="s">
        <v>6940</v>
      </c>
      <c r="B2369" t="s">
        <v>97</v>
      </c>
      <c r="C2369" t="s">
        <v>6941</v>
      </c>
      <c r="D2369" t="s">
        <v>2987</v>
      </c>
      <c r="E2369" t="s">
        <v>290</v>
      </c>
      <c r="F2369">
        <v>179.99</v>
      </c>
      <c r="G2369" t="s">
        <v>7032</v>
      </c>
      <c r="H2369">
        <v>0</v>
      </c>
      <c r="M2369">
        <v>0</v>
      </c>
      <c r="N2369">
        <v>0</v>
      </c>
      <c r="O2369">
        <v>0</v>
      </c>
      <c r="P2369">
        <v>0</v>
      </c>
    </row>
    <row r="2370" spans="1:16" x14ac:dyDescent="0.2">
      <c r="A2370" t="s">
        <v>6586</v>
      </c>
      <c r="B2370" t="s">
        <v>97</v>
      </c>
      <c r="C2370" t="s">
        <v>6587</v>
      </c>
      <c r="D2370" t="s">
        <v>2987</v>
      </c>
      <c r="E2370" t="s">
        <v>96</v>
      </c>
      <c r="F2370">
        <v>49.99</v>
      </c>
      <c r="G2370" t="s">
        <v>7032</v>
      </c>
      <c r="H2370">
        <v>0</v>
      </c>
      <c r="M2370">
        <v>0</v>
      </c>
      <c r="N2370">
        <v>0</v>
      </c>
      <c r="O2370">
        <v>0</v>
      </c>
      <c r="P2370">
        <v>0</v>
      </c>
    </row>
    <row r="2371" spans="1:16" x14ac:dyDescent="0.2">
      <c r="A2371" t="s">
        <v>6914</v>
      </c>
      <c r="B2371" t="s">
        <v>97</v>
      </c>
      <c r="C2371" t="s">
        <v>6915</v>
      </c>
      <c r="D2371" t="s">
        <v>2987</v>
      </c>
      <c r="E2371" t="s">
        <v>96</v>
      </c>
      <c r="F2371">
        <v>89.99</v>
      </c>
      <c r="G2371" t="s">
        <v>7032</v>
      </c>
      <c r="H2371">
        <v>0</v>
      </c>
      <c r="M2371">
        <v>0</v>
      </c>
      <c r="N2371">
        <v>0</v>
      </c>
      <c r="O2371">
        <v>0</v>
      </c>
      <c r="P2371">
        <v>0</v>
      </c>
    </row>
    <row r="2372" spans="1:16" x14ac:dyDescent="0.2">
      <c r="A2372" t="s">
        <v>7680</v>
      </c>
      <c r="B2372" t="s">
        <v>97</v>
      </c>
      <c r="C2372" t="s">
        <v>7681</v>
      </c>
      <c r="D2372" t="s">
        <v>1012</v>
      </c>
      <c r="E2372" t="s">
        <v>96</v>
      </c>
      <c r="F2372">
        <v>139.99</v>
      </c>
      <c r="G2372" t="s">
        <v>7032</v>
      </c>
      <c r="H2372">
        <v>0</v>
      </c>
      <c r="M2372">
        <v>0</v>
      </c>
      <c r="N2372">
        <v>0</v>
      </c>
      <c r="O2372">
        <v>0</v>
      </c>
      <c r="P2372">
        <v>0</v>
      </c>
    </row>
    <row r="2373" spans="1:16" x14ac:dyDescent="0.2">
      <c r="A2373" t="s">
        <v>2893</v>
      </c>
      <c r="B2373" t="s">
        <v>97</v>
      </c>
      <c r="C2373" t="s">
        <v>2894</v>
      </c>
      <c r="D2373" t="s">
        <v>2852</v>
      </c>
      <c r="E2373" t="s">
        <v>228</v>
      </c>
      <c r="F2373">
        <v>249.99</v>
      </c>
      <c r="G2373" t="s">
        <v>7032</v>
      </c>
      <c r="H2373">
        <v>0</v>
      </c>
      <c r="M2373">
        <v>0</v>
      </c>
      <c r="N2373">
        <v>0</v>
      </c>
      <c r="O2373">
        <v>0</v>
      </c>
      <c r="P2373">
        <v>0</v>
      </c>
    </row>
    <row r="2374" spans="1:16" x14ac:dyDescent="0.2">
      <c r="A2374" t="s">
        <v>6850</v>
      </c>
      <c r="B2374" t="s">
        <v>97</v>
      </c>
      <c r="C2374" t="s">
        <v>6851</v>
      </c>
      <c r="D2374" t="s">
        <v>2987</v>
      </c>
      <c r="E2374" t="s">
        <v>96</v>
      </c>
      <c r="F2374">
        <v>159.99</v>
      </c>
      <c r="G2374" t="s">
        <v>7032</v>
      </c>
      <c r="H2374">
        <v>0</v>
      </c>
      <c r="M2374">
        <v>0</v>
      </c>
      <c r="N2374">
        <v>0</v>
      </c>
      <c r="O2374">
        <v>0</v>
      </c>
      <c r="P2374">
        <v>0</v>
      </c>
    </row>
    <row r="2375" spans="1:16" x14ac:dyDescent="0.2">
      <c r="A2375" t="s">
        <v>2929</v>
      </c>
      <c r="B2375" t="s">
        <v>97</v>
      </c>
      <c r="C2375" t="s">
        <v>2930</v>
      </c>
      <c r="D2375" t="s">
        <v>2928</v>
      </c>
      <c r="E2375" t="s">
        <v>96</v>
      </c>
      <c r="F2375">
        <v>179.99</v>
      </c>
      <c r="G2375" t="s">
        <v>7032</v>
      </c>
      <c r="H2375">
        <v>0</v>
      </c>
      <c r="M2375">
        <v>0</v>
      </c>
      <c r="N2375">
        <v>0</v>
      </c>
      <c r="O2375">
        <v>0</v>
      </c>
      <c r="P2375">
        <v>0</v>
      </c>
    </row>
    <row r="2376" spans="1:16" x14ac:dyDescent="0.2">
      <c r="A2376" t="s">
        <v>2957</v>
      </c>
      <c r="B2376" t="s">
        <v>97</v>
      </c>
      <c r="C2376" t="s">
        <v>2958</v>
      </c>
      <c r="D2376" t="s">
        <v>2928</v>
      </c>
      <c r="E2376" t="s">
        <v>96</v>
      </c>
      <c r="F2376">
        <v>119.99</v>
      </c>
      <c r="G2376" t="s">
        <v>7032</v>
      </c>
      <c r="H2376">
        <v>0</v>
      </c>
      <c r="M2376">
        <v>0</v>
      </c>
      <c r="N2376">
        <v>0</v>
      </c>
      <c r="O2376">
        <v>0</v>
      </c>
      <c r="P2376">
        <v>3</v>
      </c>
    </row>
    <row r="2377" spans="1:16" x14ac:dyDescent="0.2">
      <c r="A2377" t="s">
        <v>2983</v>
      </c>
      <c r="B2377" t="s">
        <v>97</v>
      </c>
      <c r="C2377" t="s">
        <v>2984</v>
      </c>
      <c r="D2377" t="s">
        <v>2928</v>
      </c>
      <c r="E2377" t="s">
        <v>290</v>
      </c>
      <c r="F2377">
        <v>119.99</v>
      </c>
      <c r="G2377" t="s">
        <v>7032</v>
      </c>
      <c r="H2377">
        <v>0</v>
      </c>
      <c r="M2377">
        <v>0</v>
      </c>
      <c r="N2377">
        <v>0</v>
      </c>
      <c r="O2377">
        <v>0</v>
      </c>
      <c r="P2377">
        <v>1</v>
      </c>
    </row>
    <row r="2378" spans="1:16" x14ac:dyDescent="0.2">
      <c r="A2378" t="s">
        <v>2963</v>
      </c>
      <c r="B2378" t="s">
        <v>97</v>
      </c>
      <c r="C2378" t="s">
        <v>2964</v>
      </c>
      <c r="D2378" t="s">
        <v>2928</v>
      </c>
      <c r="E2378" t="s">
        <v>290</v>
      </c>
      <c r="F2378">
        <v>34.99</v>
      </c>
      <c r="G2378" t="s">
        <v>7032</v>
      </c>
      <c r="H2378">
        <v>0</v>
      </c>
      <c r="M2378">
        <v>0</v>
      </c>
      <c r="N2378">
        <v>0</v>
      </c>
      <c r="O2378">
        <v>0</v>
      </c>
      <c r="P2378">
        <v>3</v>
      </c>
    </row>
    <row r="2379" spans="1:16" x14ac:dyDescent="0.2">
      <c r="A2379" t="s">
        <v>2955</v>
      </c>
      <c r="B2379" t="s">
        <v>97</v>
      </c>
      <c r="C2379" t="s">
        <v>2956</v>
      </c>
      <c r="D2379" t="s">
        <v>2928</v>
      </c>
      <c r="E2379" t="s">
        <v>96</v>
      </c>
      <c r="F2379">
        <v>129.99</v>
      </c>
      <c r="G2379" t="s">
        <v>7032</v>
      </c>
      <c r="H2379">
        <v>0</v>
      </c>
      <c r="M2379">
        <v>0</v>
      </c>
      <c r="N2379">
        <v>0</v>
      </c>
      <c r="O2379">
        <v>0</v>
      </c>
      <c r="P2379">
        <v>3</v>
      </c>
    </row>
    <row r="2380" spans="1:16" x14ac:dyDescent="0.2">
      <c r="A2380" t="s">
        <v>2935</v>
      </c>
      <c r="B2380" t="s">
        <v>97</v>
      </c>
      <c r="C2380" t="s">
        <v>2936</v>
      </c>
      <c r="D2380" t="s">
        <v>2928</v>
      </c>
      <c r="E2380" t="s">
        <v>290</v>
      </c>
      <c r="F2380">
        <v>89.99</v>
      </c>
      <c r="G2380" t="s">
        <v>7032</v>
      </c>
      <c r="H2380">
        <v>0.25</v>
      </c>
      <c r="M2380">
        <v>0</v>
      </c>
      <c r="N2380">
        <v>0</v>
      </c>
      <c r="O2380">
        <v>0</v>
      </c>
      <c r="P2380">
        <v>1</v>
      </c>
    </row>
    <row r="2381" spans="1:16" x14ac:dyDescent="0.2">
      <c r="A2381" t="s">
        <v>2965</v>
      </c>
      <c r="B2381" t="s">
        <v>97</v>
      </c>
      <c r="C2381" t="s">
        <v>2966</v>
      </c>
      <c r="D2381" t="s">
        <v>2928</v>
      </c>
      <c r="E2381" t="s">
        <v>96</v>
      </c>
      <c r="F2381">
        <v>149.99</v>
      </c>
      <c r="G2381" t="s">
        <v>7032</v>
      </c>
      <c r="H2381">
        <v>0</v>
      </c>
      <c r="M2381">
        <v>0</v>
      </c>
      <c r="N2381">
        <v>0</v>
      </c>
      <c r="O2381">
        <v>0</v>
      </c>
      <c r="P2381">
        <v>2</v>
      </c>
    </row>
    <row r="2382" spans="1:16" x14ac:dyDescent="0.2">
      <c r="A2382" t="s">
        <v>2977</v>
      </c>
      <c r="B2382" t="s">
        <v>97</v>
      </c>
      <c r="C2382" t="s">
        <v>2978</v>
      </c>
      <c r="D2382" t="s">
        <v>2928</v>
      </c>
      <c r="E2382" t="s">
        <v>96</v>
      </c>
      <c r="F2382">
        <v>149.99</v>
      </c>
      <c r="G2382" t="s">
        <v>7032</v>
      </c>
      <c r="H2382">
        <v>0</v>
      </c>
      <c r="M2382">
        <v>0</v>
      </c>
      <c r="N2382">
        <v>0</v>
      </c>
      <c r="O2382">
        <v>0</v>
      </c>
      <c r="P2382">
        <v>0</v>
      </c>
    </row>
    <row r="2383" spans="1:16" x14ac:dyDescent="0.2">
      <c r="A2383" t="s">
        <v>2947</v>
      </c>
      <c r="B2383" t="s">
        <v>97</v>
      </c>
      <c r="C2383" t="s">
        <v>2948</v>
      </c>
      <c r="D2383" t="s">
        <v>2928</v>
      </c>
      <c r="E2383" t="s">
        <v>96</v>
      </c>
      <c r="F2383">
        <v>219.99</v>
      </c>
      <c r="G2383" t="s">
        <v>7032</v>
      </c>
      <c r="H2383">
        <v>0</v>
      </c>
      <c r="M2383">
        <v>0</v>
      </c>
      <c r="N2383">
        <v>0</v>
      </c>
      <c r="O2383">
        <v>0</v>
      </c>
      <c r="P2383">
        <v>0</v>
      </c>
    </row>
    <row r="2384" spans="1:16" x14ac:dyDescent="0.2">
      <c r="A2384" t="s">
        <v>2969</v>
      </c>
      <c r="B2384" t="s">
        <v>97</v>
      </c>
      <c r="C2384" t="s">
        <v>2970</v>
      </c>
      <c r="D2384" t="s">
        <v>2928</v>
      </c>
      <c r="E2384" t="s">
        <v>96</v>
      </c>
      <c r="F2384">
        <v>79.989999999999995</v>
      </c>
      <c r="G2384" t="s">
        <v>7032</v>
      </c>
      <c r="H2384">
        <v>0</v>
      </c>
      <c r="M2384">
        <v>0</v>
      </c>
      <c r="N2384">
        <v>0</v>
      </c>
      <c r="O2384">
        <v>0</v>
      </c>
      <c r="P2384">
        <v>0</v>
      </c>
    </row>
    <row r="2385" spans="1:16" x14ac:dyDescent="0.2">
      <c r="A2385" t="s">
        <v>2981</v>
      </c>
      <c r="B2385" t="s">
        <v>97</v>
      </c>
      <c r="C2385" t="s">
        <v>2982</v>
      </c>
      <c r="D2385" t="s">
        <v>2928</v>
      </c>
      <c r="E2385" t="s">
        <v>96</v>
      </c>
      <c r="F2385">
        <v>39.99</v>
      </c>
      <c r="G2385" t="s">
        <v>7032</v>
      </c>
      <c r="H2385">
        <v>0</v>
      </c>
      <c r="M2385">
        <v>0</v>
      </c>
      <c r="N2385">
        <v>0</v>
      </c>
      <c r="O2385">
        <v>0</v>
      </c>
      <c r="P2385">
        <v>0</v>
      </c>
    </row>
    <row r="2386" spans="1:16" x14ac:dyDescent="0.2">
      <c r="A2386" t="s">
        <v>6783</v>
      </c>
      <c r="B2386" t="s">
        <v>97</v>
      </c>
      <c r="C2386" t="s">
        <v>6784</v>
      </c>
      <c r="D2386" t="s">
        <v>2987</v>
      </c>
      <c r="E2386" t="s">
        <v>290</v>
      </c>
      <c r="F2386">
        <v>79.989999999999995</v>
      </c>
      <c r="G2386" t="s">
        <v>7032</v>
      </c>
      <c r="H2386">
        <v>0</v>
      </c>
      <c r="M2386">
        <v>0</v>
      </c>
      <c r="N2386">
        <v>0</v>
      </c>
      <c r="O2386">
        <v>0</v>
      </c>
      <c r="P2386">
        <v>0</v>
      </c>
    </row>
    <row r="2387" spans="1:16" x14ac:dyDescent="0.2">
      <c r="A2387" t="s">
        <v>2943</v>
      </c>
      <c r="B2387" t="s">
        <v>97</v>
      </c>
      <c r="C2387" t="s">
        <v>2944</v>
      </c>
      <c r="D2387" t="s">
        <v>2928</v>
      </c>
      <c r="E2387" t="s">
        <v>290</v>
      </c>
      <c r="F2387">
        <v>189.99</v>
      </c>
      <c r="G2387" t="s">
        <v>7032</v>
      </c>
      <c r="H2387">
        <v>0</v>
      </c>
      <c r="M2387">
        <v>0</v>
      </c>
      <c r="N2387">
        <v>0</v>
      </c>
      <c r="O2387">
        <v>0</v>
      </c>
      <c r="P2387">
        <v>1</v>
      </c>
    </row>
    <row r="2388" spans="1:16" x14ac:dyDescent="0.2">
      <c r="A2388" t="s">
        <v>4197</v>
      </c>
      <c r="B2388" t="s">
        <v>97</v>
      </c>
      <c r="C2388" t="s">
        <v>4198</v>
      </c>
      <c r="D2388" t="s">
        <v>2852</v>
      </c>
      <c r="E2388" t="s">
        <v>96</v>
      </c>
      <c r="F2388">
        <v>29.99</v>
      </c>
      <c r="G2388" t="s">
        <v>7032</v>
      </c>
      <c r="H2388">
        <v>0</v>
      </c>
      <c r="M2388">
        <v>0</v>
      </c>
      <c r="N2388">
        <v>0</v>
      </c>
      <c r="O2388">
        <v>0</v>
      </c>
      <c r="P2388">
        <v>0</v>
      </c>
    </row>
    <row r="2389" spans="1:16" x14ac:dyDescent="0.2">
      <c r="A2389" t="s">
        <v>2727</v>
      </c>
      <c r="B2389" t="s">
        <v>97</v>
      </c>
      <c r="C2389" t="s">
        <v>2728</v>
      </c>
      <c r="D2389" t="s">
        <v>2502</v>
      </c>
      <c r="E2389" t="s">
        <v>228</v>
      </c>
      <c r="F2389">
        <v>44.99</v>
      </c>
      <c r="G2389" t="s">
        <v>7032</v>
      </c>
      <c r="H2389">
        <v>0</v>
      </c>
      <c r="M2389">
        <v>0</v>
      </c>
      <c r="N2389">
        <v>0</v>
      </c>
      <c r="O2389">
        <v>0</v>
      </c>
      <c r="P2389">
        <v>1</v>
      </c>
    </row>
    <row r="2390" spans="1:16" x14ac:dyDescent="0.2">
      <c r="A2390" t="s">
        <v>6959</v>
      </c>
      <c r="B2390" t="s">
        <v>97</v>
      </c>
      <c r="C2390" t="s">
        <v>6960</v>
      </c>
      <c r="D2390" t="s">
        <v>6954</v>
      </c>
      <c r="E2390" t="s">
        <v>96</v>
      </c>
      <c r="F2390">
        <v>44.99</v>
      </c>
      <c r="G2390" t="s">
        <v>7032</v>
      </c>
      <c r="H2390">
        <v>0</v>
      </c>
      <c r="M2390">
        <v>0</v>
      </c>
      <c r="N2390">
        <v>0</v>
      </c>
      <c r="O2390">
        <v>0</v>
      </c>
      <c r="P2390">
        <v>0</v>
      </c>
    </row>
    <row r="2391" spans="1:16" x14ac:dyDescent="0.2">
      <c r="A2391" t="s">
        <v>3556</v>
      </c>
      <c r="B2391" t="s">
        <v>97</v>
      </c>
      <c r="C2391" t="s">
        <v>3557</v>
      </c>
      <c r="D2391" t="s">
        <v>3554</v>
      </c>
      <c r="E2391" t="s">
        <v>96</v>
      </c>
      <c r="F2391">
        <v>39.99</v>
      </c>
      <c r="G2391" t="s">
        <v>7032</v>
      </c>
      <c r="H2391">
        <v>0</v>
      </c>
      <c r="M2391">
        <v>0</v>
      </c>
      <c r="N2391">
        <v>0</v>
      </c>
      <c r="O2391">
        <v>0</v>
      </c>
      <c r="P2391">
        <v>0</v>
      </c>
    </row>
    <row r="2392" spans="1:16" x14ac:dyDescent="0.2">
      <c r="A2392" t="s">
        <v>6802</v>
      </c>
      <c r="B2392" t="s">
        <v>97</v>
      </c>
      <c r="C2392" t="s">
        <v>6803</v>
      </c>
      <c r="D2392" t="s">
        <v>2987</v>
      </c>
      <c r="E2392" t="s">
        <v>96</v>
      </c>
      <c r="F2392">
        <v>89.99</v>
      </c>
      <c r="G2392" t="s">
        <v>7032</v>
      </c>
      <c r="H2392">
        <v>0</v>
      </c>
      <c r="M2392">
        <v>0</v>
      </c>
      <c r="N2392">
        <v>0</v>
      </c>
      <c r="O2392">
        <v>0</v>
      </c>
      <c r="P2392">
        <v>0</v>
      </c>
    </row>
    <row r="2393" spans="1:16" x14ac:dyDescent="0.2">
      <c r="A2393" t="s">
        <v>6805</v>
      </c>
      <c r="B2393" t="s">
        <v>97</v>
      </c>
      <c r="C2393" t="s">
        <v>6806</v>
      </c>
      <c r="D2393" t="s">
        <v>2987</v>
      </c>
      <c r="E2393" t="s">
        <v>96</v>
      </c>
      <c r="F2393">
        <v>89.99</v>
      </c>
      <c r="G2393" t="s">
        <v>7032</v>
      </c>
      <c r="H2393">
        <v>0</v>
      </c>
      <c r="M2393">
        <v>0</v>
      </c>
      <c r="N2393">
        <v>0</v>
      </c>
      <c r="O2393">
        <v>0</v>
      </c>
      <c r="P2393">
        <v>0</v>
      </c>
    </row>
    <row r="2394" spans="1:16" x14ac:dyDescent="0.2">
      <c r="A2394" t="s">
        <v>6956</v>
      </c>
      <c r="B2394" t="s">
        <v>97</v>
      </c>
      <c r="C2394" t="s">
        <v>6957</v>
      </c>
      <c r="D2394" t="s">
        <v>6954</v>
      </c>
      <c r="E2394" t="s">
        <v>96</v>
      </c>
      <c r="F2394">
        <v>44.99</v>
      </c>
      <c r="G2394" t="s">
        <v>7032</v>
      </c>
      <c r="H2394">
        <v>0</v>
      </c>
      <c r="M2394">
        <v>0</v>
      </c>
      <c r="N2394">
        <v>0</v>
      </c>
      <c r="O2394">
        <v>0</v>
      </c>
      <c r="P2394">
        <v>2</v>
      </c>
    </row>
    <row r="2395" spans="1:16" x14ac:dyDescent="0.2">
      <c r="A2395" t="s">
        <v>2990</v>
      </c>
      <c r="B2395" t="s">
        <v>97</v>
      </c>
      <c r="C2395" t="s">
        <v>2991</v>
      </c>
      <c r="D2395" t="s">
        <v>2987</v>
      </c>
      <c r="E2395" t="s">
        <v>228</v>
      </c>
      <c r="F2395">
        <v>89.99</v>
      </c>
      <c r="G2395" t="s">
        <v>7032</v>
      </c>
      <c r="H2395">
        <v>0</v>
      </c>
      <c r="M2395">
        <v>0</v>
      </c>
      <c r="N2395">
        <v>0</v>
      </c>
      <c r="O2395">
        <v>0</v>
      </c>
      <c r="P2395">
        <v>0</v>
      </c>
    </row>
    <row r="2396" spans="1:16" x14ac:dyDescent="0.2">
      <c r="A2396" t="s">
        <v>6808</v>
      </c>
      <c r="B2396" t="s">
        <v>97</v>
      </c>
      <c r="C2396" t="s">
        <v>6809</v>
      </c>
      <c r="D2396" t="s">
        <v>2987</v>
      </c>
      <c r="E2396" t="s">
        <v>96</v>
      </c>
      <c r="F2396">
        <v>89.99</v>
      </c>
      <c r="G2396" t="s">
        <v>7032</v>
      </c>
      <c r="H2396">
        <v>0</v>
      </c>
      <c r="M2396">
        <v>0</v>
      </c>
      <c r="N2396">
        <v>0</v>
      </c>
      <c r="O2396">
        <v>0</v>
      </c>
      <c r="P2396">
        <v>0</v>
      </c>
    </row>
    <row r="2397" spans="1:16" x14ac:dyDescent="0.2">
      <c r="A2397" t="s">
        <v>2879</v>
      </c>
      <c r="B2397" t="s">
        <v>97</v>
      </c>
      <c r="C2397" t="s">
        <v>2880</v>
      </c>
      <c r="D2397" t="s">
        <v>2852</v>
      </c>
      <c r="E2397" t="s">
        <v>228</v>
      </c>
      <c r="F2397">
        <v>44.99</v>
      </c>
      <c r="G2397" t="s">
        <v>7032</v>
      </c>
      <c r="H2397">
        <v>0</v>
      </c>
      <c r="M2397">
        <v>0</v>
      </c>
      <c r="N2397">
        <v>0</v>
      </c>
      <c r="O2397">
        <v>0</v>
      </c>
      <c r="P2397">
        <v>1</v>
      </c>
    </row>
    <row r="2398" spans="1:16" x14ac:dyDescent="0.2">
      <c r="A2398" t="s">
        <v>2881</v>
      </c>
      <c r="B2398" t="s">
        <v>97</v>
      </c>
      <c r="C2398" t="s">
        <v>2882</v>
      </c>
      <c r="D2398" t="s">
        <v>2852</v>
      </c>
      <c r="E2398" t="s">
        <v>228</v>
      </c>
      <c r="F2398">
        <v>329.99</v>
      </c>
      <c r="G2398" t="s">
        <v>7032</v>
      </c>
      <c r="H2398">
        <v>0</v>
      </c>
      <c r="M2398">
        <v>0</v>
      </c>
      <c r="N2398">
        <v>0</v>
      </c>
      <c r="O2398">
        <v>0</v>
      </c>
      <c r="P2398">
        <v>0</v>
      </c>
    </row>
    <row r="2399" spans="1:16" x14ac:dyDescent="0.2">
      <c r="A2399" t="s">
        <v>7682</v>
      </c>
      <c r="B2399" t="s">
        <v>97</v>
      </c>
      <c r="C2399" t="s">
        <v>7683</v>
      </c>
      <c r="D2399" t="s">
        <v>2987</v>
      </c>
      <c r="E2399" t="s">
        <v>96</v>
      </c>
      <c r="F2399">
        <v>99.99</v>
      </c>
      <c r="G2399" t="s">
        <v>7032</v>
      </c>
      <c r="H2399">
        <v>0</v>
      </c>
      <c r="M2399">
        <v>0</v>
      </c>
      <c r="N2399">
        <v>0</v>
      </c>
      <c r="O2399">
        <v>0</v>
      </c>
      <c r="P2399">
        <v>0</v>
      </c>
    </row>
    <row r="2400" spans="1:16" x14ac:dyDescent="0.2">
      <c r="A2400" t="s">
        <v>2959</v>
      </c>
      <c r="B2400" t="s">
        <v>97</v>
      </c>
      <c r="C2400" t="s">
        <v>2960</v>
      </c>
      <c r="D2400" t="s">
        <v>2928</v>
      </c>
      <c r="E2400" t="s">
        <v>290</v>
      </c>
      <c r="F2400">
        <v>44.99</v>
      </c>
      <c r="G2400" t="s">
        <v>7032</v>
      </c>
      <c r="H2400">
        <v>0</v>
      </c>
      <c r="M2400">
        <v>0</v>
      </c>
      <c r="N2400">
        <v>0</v>
      </c>
      <c r="O2400">
        <v>0</v>
      </c>
      <c r="P2400">
        <v>2</v>
      </c>
    </row>
    <row r="2401" spans="1:16" x14ac:dyDescent="0.2">
      <c r="A2401" t="s">
        <v>6684</v>
      </c>
      <c r="B2401" t="s">
        <v>97</v>
      </c>
      <c r="C2401" t="s">
        <v>6685</v>
      </c>
      <c r="D2401" t="s">
        <v>2987</v>
      </c>
      <c r="E2401" t="s">
        <v>96</v>
      </c>
      <c r="F2401">
        <v>49.99</v>
      </c>
      <c r="G2401" t="s">
        <v>7032</v>
      </c>
      <c r="H2401">
        <v>0</v>
      </c>
      <c r="M2401">
        <v>0</v>
      </c>
      <c r="N2401">
        <v>0</v>
      </c>
      <c r="O2401">
        <v>0</v>
      </c>
      <c r="P2401">
        <v>0</v>
      </c>
    </row>
    <row r="2402" spans="1:16" x14ac:dyDescent="0.2">
      <c r="A2402" t="s">
        <v>6729</v>
      </c>
      <c r="B2402" t="s">
        <v>97</v>
      </c>
      <c r="C2402" t="s">
        <v>6730</v>
      </c>
      <c r="D2402" t="s">
        <v>2987</v>
      </c>
      <c r="E2402" t="s">
        <v>96</v>
      </c>
      <c r="F2402">
        <v>89.99</v>
      </c>
      <c r="G2402" t="s">
        <v>7032</v>
      </c>
      <c r="H2402">
        <v>0</v>
      </c>
      <c r="M2402">
        <v>0</v>
      </c>
      <c r="N2402">
        <v>0</v>
      </c>
      <c r="O2402">
        <v>0</v>
      </c>
      <c r="P2402">
        <v>0</v>
      </c>
    </row>
    <row r="2403" spans="1:16" x14ac:dyDescent="0.2">
      <c r="A2403" t="s">
        <v>7684</v>
      </c>
      <c r="B2403" t="s">
        <v>97</v>
      </c>
      <c r="C2403" t="s">
        <v>7685</v>
      </c>
      <c r="D2403" t="s">
        <v>2987</v>
      </c>
      <c r="E2403" t="s">
        <v>96</v>
      </c>
      <c r="F2403">
        <v>89.99</v>
      </c>
      <c r="G2403" t="s">
        <v>7032</v>
      </c>
      <c r="H2403">
        <v>0</v>
      </c>
      <c r="M2403">
        <v>0</v>
      </c>
      <c r="N2403">
        <v>0</v>
      </c>
      <c r="O2403">
        <v>0</v>
      </c>
      <c r="P2403">
        <v>0</v>
      </c>
    </row>
    <row r="2404" spans="1:16" x14ac:dyDescent="0.2">
      <c r="A2404" t="s">
        <v>6589</v>
      </c>
      <c r="B2404" t="s">
        <v>97</v>
      </c>
      <c r="C2404" t="s">
        <v>6590</v>
      </c>
      <c r="D2404" t="s">
        <v>2987</v>
      </c>
      <c r="E2404" t="s">
        <v>96</v>
      </c>
      <c r="F2404">
        <v>59.99</v>
      </c>
      <c r="G2404" t="s">
        <v>7032</v>
      </c>
      <c r="H2404">
        <v>0</v>
      </c>
      <c r="M2404">
        <v>0</v>
      </c>
      <c r="N2404">
        <v>0</v>
      </c>
      <c r="O2404">
        <v>0</v>
      </c>
      <c r="P2404">
        <v>0</v>
      </c>
    </row>
    <row r="2405" spans="1:16" x14ac:dyDescent="0.2">
      <c r="A2405" t="s">
        <v>6490</v>
      </c>
      <c r="B2405" t="s">
        <v>97</v>
      </c>
      <c r="C2405" t="s">
        <v>6491</v>
      </c>
      <c r="D2405" t="s">
        <v>2987</v>
      </c>
      <c r="E2405" t="s">
        <v>96</v>
      </c>
      <c r="F2405">
        <v>139.99</v>
      </c>
      <c r="G2405" t="s">
        <v>7032</v>
      </c>
      <c r="H2405">
        <v>0</v>
      </c>
      <c r="M2405">
        <v>0</v>
      </c>
      <c r="N2405">
        <v>0</v>
      </c>
      <c r="O2405">
        <v>0</v>
      </c>
      <c r="P2405">
        <v>0</v>
      </c>
    </row>
    <row r="2406" spans="1:16" x14ac:dyDescent="0.2">
      <c r="A2406" t="s">
        <v>3073</v>
      </c>
      <c r="B2406" t="s">
        <v>97</v>
      </c>
      <c r="C2406" t="s">
        <v>3074</v>
      </c>
      <c r="D2406" t="s">
        <v>2987</v>
      </c>
      <c r="E2406" t="s">
        <v>228</v>
      </c>
      <c r="F2406">
        <v>199.99</v>
      </c>
      <c r="G2406" t="s">
        <v>7032</v>
      </c>
      <c r="H2406">
        <v>8.3333333333333329E-2</v>
      </c>
      <c r="M2406">
        <v>6.0000000000000018</v>
      </c>
      <c r="N2406">
        <v>0.16666666666666663</v>
      </c>
      <c r="O2406">
        <v>0</v>
      </c>
      <c r="P2406">
        <v>1</v>
      </c>
    </row>
    <row r="2407" spans="1:16" x14ac:dyDescent="0.2">
      <c r="A2407" t="s">
        <v>6811</v>
      </c>
      <c r="B2407" t="s">
        <v>97</v>
      </c>
      <c r="C2407" t="s">
        <v>6812</v>
      </c>
      <c r="D2407" t="s">
        <v>2987</v>
      </c>
      <c r="E2407" t="s">
        <v>96</v>
      </c>
      <c r="F2407">
        <v>89.99</v>
      </c>
      <c r="G2407" t="s">
        <v>7032</v>
      </c>
      <c r="H2407">
        <v>0</v>
      </c>
      <c r="M2407">
        <v>0</v>
      </c>
      <c r="N2407">
        <v>0</v>
      </c>
      <c r="O2407">
        <v>0</v>
      </c>
      <c r="P2407">
        <v>0</v>
      </c>
    </row>
    <row r="2408" spans="1:16" x14ac:dyDescent="0.2">
      <c r="A2408" t="s">
        <v>6817</v>
      </c>
      <c r="B2408" t="s">
        <v>97</v>
      </c>
      <c r="C2408" t="s">
        <v>6818</v>
      </c>
      <c r="D2408" t="s">
        <v>2987</v>
      </c>
      <c r="E2408" t="s">
        <v>96</v>
      </c>
      <c r="F2408">
        <v>69.989999999999995</v>
      </c>
      <c r="G2408" t="s">
        <v>7032</v>
      </c>
      <c r="H2408">
        <v>0</v>
      </c>
      <c r="M2408">
        <v>0</v>
      </c>
      <c r="N2408">
        <v>0</v>
      </c>
      <c r="O2408">
        <v>0</v>
      </c>
      <c r="P2408">
        <v>1</v>
      </c>
    </row>
    <row r="2409" spans="1:16" x14ac:dyDescent="0.2">
      <c r="A2409" t="s">
        <v>5284</v>
      </c>
      <c r="B2409" t="s">
        <v>97</v>
      </c>
      <c r="C2409" t="s">
        <v>5285</v>
      </c>
      <c r="D2409" t="s">
        <v>2852</v>
      </c>
      <c r="E2409" t="s">
        <v>96</v>
      </c>
      <c r="F2409">
        <v>99.99</v>
      </c>
      <c r="G2409" t="s">
        <v>7032</v>
      </c>
      <c r="H2409">
        <v>0</v>
      </c>
      <c r="M2409">
        <v>0</v>
      </c>
      <c r="N2409">
        <v>0</v>
      </c>
      <c r="O2409">
        <v>0</v>
      </c>
      <c r="P2409">
        <v>0</v>
      </c>
    </row>
    <row r="2410" spans="1:16" x14ac:dyDescent="0.2">
      <c r="A2410" t="s">
        <v>3043</v>
      </c>
      <c r="B2410" t="s">
        <v>97</v>
      </c>
      <c r="C2410" t="s">
        <v>3044</v>
      </c>
      <c r="D2410" t="s">
        <v>2987</v>
      </c>
      <c r="E2410" t="s">
        <v>228</v>
      </c>
      <c r="F2410">
        <v>64.989999999999995</v>
      </c>
      <c r="G2410" t="s">
        <v>7032</v>
      </c>
      <c r="H2410">
        <v>0</v>
      </c>
      <c r="M2410">
        <v>0</v>
      </c>
      <c r="N2410">
        <v>0</v>
      </c>
      <c r="O2410">
        <v>0</v>
      </c>
      <c r="P2410">
        <v>0</v>
      </c>
    </row>
    <row r="2411" spans="1:16" x14ac:dyDescent="0.2">
      <c r="A2411" t="s">
        <v>3069</v>
      </c>
      <c r="B2411" t="s">
        <v>97</v>
      </c>
      <c r="C2411" t="s">
        <v>3070</v>
      </c>
      <c r="D2411" t="s">
        <v>2987</v>
      </c>
      <c r="E2411" t="s">
        <v>290</v>
      </c>
      <c r="F2411">
        <v>89.99</v>
      </c>
      <c r="G2411" t="s">
        <v>7032</v>
      </c>
      <c r="H2411">
        <v>0</v>
      </c>
      <c r="M2411">
        <v>0</v>
      </c>
      <c r="N2411">
        <v>0</v>
      </c>
      <c r="O2411">
        <v>0</v>
      </c>
      <c r="P2411">
        <v>3</v>
      </c>
    </row>
    <row r="2412" spans="1:16" x14ac:dyDescent="0.2">
      <c r="A2412" t="s">
        <v>2659</v>
      </c>
      <c r="B2412" t="s">
        <v>97</v>
      </c>
      <c r="C2412" t="s">
        <v>2660</v>
      </c>
      <c r="D2412" t="s">
        <v>2502</v>
      </c>
      <c r="E2412" t="s">
        <v>290</v>
      </c>
      <c r="F2412">
        <v>199.99</v>
      </c>
      <c r="G2412" t="s">
        <v>7032</v>
      </c>
      <c r="H2412">
        <v>0</v>
      </c>
      <c r="M2412">
        <v>0</v>
      </c>
      <c r="N2412">
        <v>0</v>
      </c>
      <c r="O2412">
        <v>0</v>
      </c>
      <c r="P2412">
        <v>0</v>
      </c>
    </row>
    <row r="2413" spans="1:16" x14ac:dyDescent="0.2">
      <c r="A2413" t="s">
        <v>3602</v>
      </c>
      <c r="B2413" t="s">
        <v>97</v>
      </c>
      <c r="C2413" t="s">
        <v>3603</v>
      </c>
      <c r="D2413" t="s">
        <v>3554</v>
      </c>
      <c r="E2413" t="s">
        <v>96</v>
      </c>
      <c r="F2413">
        <v>39.99</v>
      </c>
      <c r="G2413" t="s">
        <v>7032</v>
      </c>
      <c r="H2413">
        <v>0</v>
      </c>
      <c r="M2413">
        <v>0</v>
      </c>
      <c r="N2413">
        <v>0</v>
      </c>
      <c r="O2413">
        <v>0</v>
      </c>
      <c r="P2413">
        <v>0</v>
      </c>
    </row>
    <row r="2414" spans="1:16" x14ac:dyDescent="0.2">
      <c r="A2414" t="s">
        <v>7686</v>
      </c>
      <c r="B2414" t="s">
        <v>97</v>
      </c>
      <c r="C2414" t="s">
        <v>7687</v>
      </c>
      <c r="D2414" t="s">
        <v>1012</v>
      </c>
      <c r="E2414" t="s">
        <v>290</v>
      </c>
      <c r="F2414">
        <v>139.99</v>
      </c>
      <c r="G2414" t="s">
        <v>7032</v>
      </c>
      <c r="H2414">
        <v>0</v>
      </c>
      <c r="M2414">
        <v>0</v>
      </c>
      <c r="N2414">
        <v>0</v>
      </c>
      <c r="O2414">
        <v>0</v>
      </c>
      <c r="P2414">
        <v>0</v>
      </c>
    </row>
    <row r="2415" spans="1:16" x14ac:dyDescent="0.2">
      <c r="A2415" t="s">
        <v>6702</v>
      </c>
      <c r="B2415" t="s">
        <v>97</v>
      </c>
      <c r="C2415" t="s">
        <v>6703</v>
      </c>
      <c r="D2415" t="s">
        <v>2987</v>
      </c>
      <c r="E2415" t="s">
        <v>228</v>
      </c>
      <c r="F2415">
        <v>99.99</v>
      </c>
      <c r="G2415" t="s">
        <v>7032</v>
      </c>
      <c r="H2415">
        <v>0</v>
      </c>
      <c r="M2415">
        <v>0</v>
      </c>
      <c r="N2415">
        <v>0</v>
      </c>
      <c r="O2415">
        <v>0</v>
      </c>
      <c r="P2415">
        <v>0</v>
      </c>
    </row>
    <row r="2416" spans="1:16" x14ac:dyDescent="0.2">
      <c r="A2416" t="s">
        <v>4436</v>
      </c>
      <c r="B2416" t="s">
        <v>97</v>
      </c>
      <c r="C2416" t="s">
        <v>4437</v>
      </c>
      <c r="D2416" t="s">
        <v>1012</v>
      </c>
      <c r="E2416" t="s">
        <v>96</v>
      </c>
      <c r="F2416">
        <v>59.99</v>
      </c>
      <c r="G2416" t="s">
        <v>7032</v>
      </c>
      <c r="H2416">
        <v>0</v>
      </c>
      <c r="M2416">
        <v>0</v>
      </c>
      <c r="N2416">
        <v>0</v>
      </c>
      <c r="O2416">
        <v>0</v>
      </c>
      <c r="P2416">
        <v>0</v>
      </c>
    </row>
    <row r="2417" spans="1:16" x14ac:dyDescent="0.2">
      <c r="A2417" t="s">
        <v>7688</v>
      </c>
      <c r="B2417" t="s">
        <v>97</v>
      </c>
      <c r="C2417" t="s">
        <v>7689</v>
      </c>
      <c r="D2417" t="s">
        <v>1012</v>
      </c>
      <c r="E2417" t="s">
        <v>290</v>
      </c>
      <c r="F2417">
        <v>139.99</v>
      </c>
      <c r="G2417" t="s">
        <v>7032</v>
      </c>
      <c r="H2417">
        <v>0</v>
      </c>
      <c r="M2417">
        <v>0</v>
      </c>
      <c r="N2417">
        <v>0</v>
      </c>
      <c r="O2417">
        <v>0</v>
      </c>
      <c r="P2417">
        <v>0</v>
      </c>
    </row>
    <row r="2418" spans="1:16" x14ac:dyDescent="0.2">
      <c r="A2418" t="s">
        <v>6927</v>
      </c>
      <c r="B2418" t="s">
        <v>97</v>
      </c>
      <c r="C2418" t="s">
        <v>6928</v>
      </c>
      <c r="D2418" t="s">
        <v>2987</v>
      </c>
      <c r="E2418" t="s">
        <v>290</v>
      </c>
      <c r="F2418">
        <v>139.99</v>
      </c>
      <c r="G2418" t="s">
        <v>7032</v>
      </c>
      <c r="H2418">
        <v>0</v>
      </c>
      <c r="M2418">
        <v>0</v>
      </c>
      <c r="N2418">
        <v>0</v>
      </c>
      <c r="O2418">
        <v>0</v>
      </c>
      <c r="P2418">
        <v>1</v>
      </c>
    </row>
    <row r="2419" spans="1:16" x14ac:dyDescent="0.2">
      <c r="A2419" t="s">
        <v>6814</v>
      </c>
      <c r="B2419" t="s">
        <v>97</v>
      </c>
      <c r="C2419" t="s">
        <v>6815</v>
      </c>
      <c r="D2419" t="s">
        <v>2987</v>
      </c>
      <c r="E2419" t="s">
        <v>96</v>
      </c>
      <c r="F2419">
        <v>89.99</v>
      </c>
      <c r="G2419" t="s">
        <v>7032</v>
      </c>
      <c r="H2419">
        <v>0</v>
      </c>
      <c r="M2419">
        <v>0</v>
      </c>
      <c r="N2419">
        <v>0</v>
      </c>
      <c r="O2419">
        <v>0</v>
      </c>
      <c r="P2419">
        <v>0</v>
      </c>
    </row>
    <row r="2420" spans="1:16" x14ac:dyDescent="0.2">
      <c r="A2420" t="s">
        <v>6900</v>
      </c>
      <c r="B2420" t="s">
        <v>97</v>
      </c>
      <c r="C2420" t="s">
        <v>6901</v>
      </c>
      <c r="D2420" t="s">
        <v>2987</v>
      </c>
      <c r="E2420" t="s">
        <v>228</v>
      </c>
      <c r="F2420">
        <v>99.99</v>
      </c>
      <c r="G2420" t="s">
        <v>7032</v>
      </c>
      <c r="H2420">
        <v>0</v>
      </c>
      <c r="M2420">
        <v>0</v>
      </c>
      <c r="N2420">
        <v>0</v>
      </c>
      <c r="O2420">
        <v>0</v>
      </c>
      <c r="P2420">
        <v>0</v>
      </c>
    </row>
    <row r="2421" spans="1:16" x14ac:dyDescent="0.2">
      <c r="A2421" t="s">
        <v>6699</v>
      </c>
      <c r="B2421" t="s">
        <v>97</v>
      </c>
      <c r="C2421" t="s">
        <v>6700</v>
      </c>
      <c r="D2421" t="s">
        <v>2987</v>
      </c>
      <c r="E2421" t="s">
        <v>96</v>
      </c>
      <c r="F2421">
        <v>49.99</v>
      </c>
      <c r="G2421" t="s">
        <v>7032</v>
      </c>
      <c r="H2421">
        <v>0</v>
      </c>
      <c r="M2421">
        <v>0</v>
      </c>
      <c r="N2421">
        <v>0</v>
      </c>
      <c r="O2421">
        <v>0</v>
      </c>
      <c r="P2421">
        <v>0</v>
      </c>
    </row>
    <row r="2422" spans="1:16" x14ac:dyDescent="0.2">
      <c r="A2422" t="s">
        <v>5287</v>
      </c>
      <c r="B2422" t="s">
        <v>97</v>
      </c>
      <c r="C2422" t="s">
        <v>5288</v>
      </c>
      <c r="D2422" t="s">
        <v>2852</v>
      </c>
      <c r="E2422" t="s">
        <v>290</v>
      </c>
      <c r="F2422">
        <v>99.99</v>
      </c>
      <c r="G2422" t="s">
        <v>7032</v>
      </c>
      <c r="H2422">
        <v>0</v>
      </c>
      <c r="M2422">
        <v>0</v>
      </c>
      <c r="N2422">
        <v>0</v>
      </c>
      <c r="O2422">
        <v>0</v>
      </c>
      <c r="P2422">
        <v>0</v>
      </c>
    </row>
    <row r="2423" spans="1:16" x14ac:dyDescent="0.2">
      <c r="A2423" t="s">
        <v>4336</v>
      </c>
      <c r="B2423" t="s">
        <v>97</v>
      </c>
      <c r="C2423" t="s">
        <v>4337</v>
      </c>
      <c r="D2423" t="s">
        <v>2852</v>
      </c>
      <c r="E2423" t="s">
        <v>96</v>
      </c>
      <c r="F2423">
        <v>29.99</v>
      </c>
      <c r="G2423" t="s">
        <v>7032</v>
      </c>
      <c r="H2423">
        <v>0</v>
      </c>
      <c r="M2423">
        <v>0</v>
      </c>
      <c r="N2423">
        <v>0</v>
      </c>
      <c r="O2423">
        <v>0</v>
      </c>
      <c r="P2423">
        <v>0</v>
      </c>
    </row>
    <row r="2424" spans="1:16" x14ac:dyDescent="0.2">
      <c r="A2424" t="s">
        <v>6823</v>
      </c>
      <c r="B2424" t="s">
        <v>97</v>
      </c>
      <c r="C2424" t="s">
        <v>6824</v>
      </c>
      <c r="D2424" t="s">
        <v>2987</v>
      </c>
      <c r="E2424" t="s">
        <v>96</v>
      </c>
      <c r="F2424">
        <v>69.989999999999995</v>
      </c>
      <c r="G2424" t="s">
        <v>7032</v>
      </c>
      <c r="H2424">
        <v>0</v>
      </c>
      <c r="M2424">
        <v>0</v>
      </c>
      <c r="N2424">
        <v>0</v>
      </c>
      <c r="O2424">
        <v>0</v>
      </c>
      <c r="P2424">
        <v>1</v>
      </c>
    </row>
    <row r="2425" spans="1:16" x14ac:dyDescent="0.2">
      <c r="A2425" t="s">
        <v>6829</v>
      </c>
      <c r="B2425" t="s">
        <v>97</v>
      </c>
      <c r="C2425" t="s">
        <v>6830</v>
      </c>
      <c r="D2425" t="s">
        <v>2987</v>
      </c>
      <c r="E2425" t="s">
        <v>228</v>
      </c>
      <c r="F2425">
        <v>89.99</v>
      </c>
      <c r="G2425" t="s">
        <v>7032</v>
      </c>
      <c r="H2425">
        <v>0</v>
      </c>
      <c r="M2425">
        <v>0</v>
      </c>
      <c r="N2425">
        <v>0</v>
      </c>
      <c r="O2425">
        <v>0</v>
      </c>
      <c r="P2425">
        <v>0</v>
      </c>
    </row>
    <row r="2426" spans="1:16" x14ac:dyDescent="0.2">
      <c r="A2426" t="s">
        <v>7690</v>
      </c>
      <c r="B2426" t="s">
        <v>97</v>
      </c>
      <c r="C2426" t="s">
        <v>7691</v>
      </c>
      <c r="D2426" t="s">
        <v>1012</v>
      </c>
      <c r="E2426" t="s">
        <v>96</v>
      </c>
      <c r="F2426">
        <v>139.99</v>
      </c>
      <c r="G2426" t="s">
        <v>7032</v>
      </c>
      <c r="H2426">
        <v>0</v>
      </c>
      <c r="M2426">
        <v>0</v>
      </c>
      <c r="N2426">
        <v>0</v>
      </c>
      <c r="O2426">
        <v>0</v>
      </c>
      <c r="P2426">
        <v>0</v>
      </c>
    </row>
    <row r="2427" spans="1:16" x14ac:dyDescent="0.2">
      <c r="A2427" t="s">
        <v>7106</v>
      </c>
      <c r="B2427" t="s">
        <v>97</v>
      </c>
      <c r="C2427" t="s">
        <v>7107</v>
      </c>
      <c r="D2427" t="s">
        <v>1012</v>
      </c>
      <c r="E2427" t="s">
        <v>96</v>
      </c>
      <c r="F2427">
        <v>59.99</v>
      </c>
      <c r="G2427" t="s">
        <v>7032</v>
      </c>
      <c r="H2427">
        <v>0</v>
      </c>
      <c r="M2427">
        <v>0</v>
      </c>
      <c r="N2427">
        <v>0</v>
      </c>
      <c r="O2427">
        <v>0</v>
      </c>
      <c r="P2427">
        <v>0</v>
      </c>
    </row>
    <row r="2428" spans="1:16" x14ac:dyDescent="0.2">
      <c r="A2428" t="s">
        <v>6716</v>
      </c>
      <c r="B2428" t="s">
        <v>97</v>
      </c>
      <c r="C2428" t="s">
        <v>6717</v>
      </c>
      <c r="D2428" t="s">
        <v>2987</v>
      </c>
      <c r="E2428" t="s">
        <v>96</v>
      </c>
      <c r="F2428">
        <v>99.99</v>
      </c>
      <c r="G2428" t="s">
        <v>7032</v>
      </c>
      <c r="H2428">
        <v>0</v>
      </c>
      <c r="M2428">
        <v>0</v>
      </c>
      <c r="N2428">
        <v>0</v>
      </c>
      <c r="O2428">
        <v>0</v>
      </c>
      <c r="P2428">
        <v>0</v>
      </c>
    </row>
    <row r="2429" spans="1:16" x14ac:dyDescent="0.2">
      <c r="A2429" t="s">
        <v>7692</v>
      </c>
      <c r="B2429" t="s">
        <v>97</v>
      </c>
      <c r="C2429" t="s">
        <v>7693</v>
      </c>
      <c r="D2429" t="s">
        <v>2987</v>
      </c>
      <c r="E2429" t="s">
        <v>96</v>
      </c>
      <c r="F2429">
        <v>89.99</v>
      </c>
      <c r="G2429" t="s">
        <v>7032</v>
      </c>
      <c r="H2429">
        <v>0</v>
      </c>
      <c r="M2429">
        <v>0</v>
      </c>
      <c r="N2429">
        <v>0</v>
      </c>
      <c r="O2429">
        <v>0</v>
      </c>
      <c r="P2429">
        <v>0</v>
      </c>
    </row>
    <row r="2430" spans="1:16" x14ac:dyDescent="0.2">
      <c r="A2430" t="s">
        <v>7694</v>
      </c>
      <c r="B2430" t="s">
        <v>97</v>
      </c>
      <c r="C2430" t="s">
        <v>7695</v>
      </c>
      <c r="D2430" t="s">
        <v>2987</v>
      </c>
      <c r="E2430" t="s">
        <v>96</v>
      </c>
      <c r="F2430">
        <v>89.99</v>
      </c>
      <c r="G2430" t="s">
        <v>7032</v>
      </c>
      <c r="H2430">
        <v>0</v>
      </c>
      <c r="M2430">
        <v>0</v>
      </c>
      <c r="N2430">
        <v>0</v>
      </c>
      <c r="O2430">
        <v>0</v>
      </c>
      <c r="P2430">
        <v>0</v>
      </c>
    </row>
    <row r="2431" spans="1:16" x14ac:dyDescent="0.2">
      <c r="A2431" t="s">
        <v>7696</v>
      </c>
      <c r="B2431" t="s">
        <v>97</v>
      </c>
      <c r="C2431" t="s">
        <v>7697</v>
      </c>
      <c r="D2431" t="s">
        <v>2987</v>
      </c>
      <c r="E2431" t="s">
        <v>96</v>
      </c>
      <c r="F2431">
        <v>89.99</v>
      </c>
      <c r="G2431" t="s">
        <v>7032</v>
      </c>
      <c r="H2431">
        <v>0</v>
      </c>
      <c r="M2431">
        <v>0</v>
      </c>
      <c r="N2431">
        <v>0</v>
      </c>
      <c r="O2431">
        <v>0</v>
      </c>
      <c r="P2431">
        <v>0</v>
      </c>
    </row>
    <row r="2432" spans="1:16" x14ac:dyDescent="0.2">
      <c r="A2432" t="s">
        <v>4332</v>
      </c>
      <c r="B2432" t="s">
        <v>97</v>
      </c>
      <c r="C2432" t="s">
        <v>4333</v>
      </c>
      <c r="D2432" t="s">
        <v>2852</v>
      </c>
      <c r="E2432" t="s">
        <v>96</v>
      </c>
      <c r="F2432">
        <v>29.99</v>
      </c>
      <c r="G2432" t="s">
        <v>7032</v>
      </c>
      <c r="H2432">
        <v>0</v>
      </c>
      <c r="M2432">
        <v>0</v>
      </c>
      <c r="N2432">
        <v>0</v>
      </c>
      <c r="O2432">
        <v>0</v>
      </c>
      <c r="P2432">
        <v>0</v>
      </c>
    </row>
    <row r="2433" spans="1:16" x14ac:dyDescent="0.2">
      <c r="A2433" t="s">
        <v>6726</v>
      </c>
      <c r="B2433" t="s">
        <v>97</v>
      </c>
      <c r="C2433" t="s">
        <v>6727</v>
      </c>
      <c r="D2433" t="s">
        <v>2987</v>
      </c>
      <c r="E2433" t="s">
        <v>96</v>
      </c>
      <c r="F2433">
        <v>89.99</v>
      </c>
      <c r="G2433" t="s">
        <v>7032</v>
      </c>
      <c r="H2433">
        <v>0</v>
      </c>
      <c r="M2433">
        <v>0</v>
      </c>
      <c r="N2433">
        <v>0</v>
      </c>
      <c r="O2433">
        <v>0</v>
      </c>
      <c r="P2433">
        <v>0</v>
      </c>
    </row>
    <row r="2434" spans="1:16" x14ac:dyDescent="0.2">
      <c r="A2434" t="s">
        <v>2861</v>
      </c>
      <c r="B2434" t="s">
        <v>97</v>
      </c>
      <c r="C2434" t="s">
        <v>2862</v>
      </c>
      <c r="D2434" t="s">
        <v>2852</v>
      </c>
      <c r="E2434" t="s">
        <v>228</v>
      </c>
      <c r="F2434">
        <v>399.99</v>
      </c>
      <c r="G2434" t="s">
        <v>7032</v>
      </c>
      <c r="H2434">
        <v>0</v>
      </c>
      <c r="M2434">
        <v>0</v>
      </c>
      <c r="N2434">
        <v>0</v>
      </c>
      <c r="O2434">
        <v>0</v>
      </c>
      <c r="P2434">
        <v>0</v>
      </c>
    </row>
    <row r="2435" spans="1:16" x14ac:dyDescent="0.2">
      <c r="A2435" t="s">
        <v>2635</v>
      </c>
      <c r="B2435" t="s">
        <v>97</v>
      </c>
      <c r="C2435" t="s">
        <v>2636</v>
      </c>
      <c r="D2435" t="s">
        <v>2502</v>
      </c>
      <c r="E2435" t="s">
        <v>228</v>
      </c>
      <c r="F2435">
        <v>69.989999999999995</v>
      </c>
      <c r="G2435" t="s">
        <v>7032</v>
      </c>
      <c r="H2435">
        <v>0</v>
      </c>
      <c r="M2435">
        <v>0</v>
      </c>
      <c r="N2435">
        <v>0</v>
      </c>
      <c r="O2435">
        <v>0</v>
      </c>
      <c r="P2435">
        <v>0</v>
      </c>
    </row>
    <row r="2436" spans="1:16" x14ac:dyDescent="0.2">
      <c r="A2436" t="s">
        <v>2903</v>
      </c>
      <c r="B2436" t="s">
        <v>97</v>
      </c>
      <c r="C2436" t="s">
        <v>2904</v>
      </c>
      <c r="D2436" t="s">
        <v>2852</v>
      </c>
      <c r="E2436" t="s">
        <v>228</v>
      </c>
      <c r="F2436">
        <v>99.99</v>
      </c>
      <c r="G2436" t="s">
        <v>7032</v>
      </c>
      <c r="H2436">
        <v>0</v>
      </c>
      <c r="M2436">
        <v>0</v>
      </c>
      <c r="N2436">
        <v>0</v>
      </c>
      <c r="O2436">
        <v>0</v>
      </c>
      <c r="P2436">
        <v>1</v>
      </c>
    </row>
    <row r="2437" spans="1:16" x14ac:dyDescent="0.2">
      <c r="A2437" t="s">
        <v>7698</v>
      </c>
      <c r="B2437" t="s">
        <v>97</v>
      </c>
      <c r="C2437" t="s">
        <v>7699</v>
      </c>
      <c r="D2437" t="s">
        <v>2502</v>
      </c>
      <c r="E2437" t="s">
        <v>290</v>
      </c>
      <c r="F2437">
        <v>74.989999999999995</v>
      </c>
      <c r="G2437" t="s">
        <v>7032</v>
      </c>
      <c r="H2437">
        <v>0</v>
      </c>
      <c r="M2437">
        <v>0</v>
      </c>
      <c r="N2437">
        <v>0</v>
      </c>
      <c r="O2437">
        <v>0</v>
      </c>
      <c r="P2437">
        <v>0</v>
      </c>
    </row>
    <row r="2438" spans="1:16" x14ac:dyDescent="0.2">
      <c r="A2438" t="s">
        <v>6944</v>
      </c>
      <c r="B2438" t="s">
        <v>97</v>
      </c>
      <c r="C2438" t="s">
        <v>6945</v>
      </c>
      <c r="D2438" t="s">
        <v>2987</v>
      </c>
      <c r="E2438" t="s">
        <v>96</v>
      </c>
      <c r="F2438">
        <v>179.99</v>
      </c>
      <c r="G2438" t="s">
        <v>7032</v>
      </c>
      <c r="H2438">
        <v>0</v>
      </c>
      <c r="M2438">
        <v>0</v>
      </c>
      <c r="N2438">
        <v>0</v>
      </c>
      <c r="O2438">
        <v>0</v>
      </c>
      <c r="P2438">
        <v>1</v>
      </c>
    </row>
    <row r="2439" spans="1:16" x14ac:dyDescent="0.2">
      <c r="A2439" t="s">
        <v>3061</v>
      </c>
      <c r="B2439" t="s">
        <v>97</v>
      </c>
      <c r="C2439" t="s">
        <v>3062</v>
      </c>
      <c r="D2439" t="s">
        <v>2987</v>
      </c>
      <c r="E2439" t="s">
        <v>290</v>
      </c>
      <c r="F2439">
        <v>229.99</v>
      </c>
      <c r="G2439" t="s">
        <v>7032</v>
      </c>
      <c r="H2439">
        <v>0</v>
      </c>
      <c r="M2439">
        <v>0</v>
      </c>
      <c r="N2439">
        <v>0</v>
      </c>
      <c r="O2439">
        <v>0</v>
      </c>
      <c r="P2439">
        <v>0</v>
      </c>
    </row>
    <row r="2440" spans="1:16" x14ac:dyDescent="0.2">
      <c r="A2440" t="s">
        <v>7700</v>
      </c>
      <c r="B2440" t="s">
        <v>97</v>
      </c>
      <c r="C2440" t="s">
        <v>7701</v>
      </c>
      <c r="D2440" t="s">
        <v>1012</v>
      </c>
      <c r="E2440" t="s">
        <v>96</v>
      </c>
      <c r="F2440">
        <v>139.99</v>
      </c>
      <c r="G2440" t="s">
        <v>7032</v>
      </c>
      <c r="H2440">
        <v>0</v>
      </c>
      <c r="M2440">
        <v>0</v>
      </c>
      <c r="N2440">
        <v>0</v>
      </c>
      <c r="O2440">
        <v>0</v>
      </c>
      <c r="P2440">
        <v>0</v>
      </c>
    </row>
    <row r="2441" spans="1:16" x14ac:dyDescent="0.2">
      <c r="A2441" t="s">
        <v>6660</v>
      </c>
      <c r="B2441" t="s">
        <v>97</v>
      </c>
      <c r="C2441" t="s">
        <v>6661</v>
      </c>
      <c r="D2441" t="s">
        <v>2987</v>
      </c>
      <c r="E2441" t="s">
        <v>96</v>
      </c>
      <c r="F2441">
        <v>239.99</v>
      </c>
      <c r="G2441" t="s">
        <v>7032</v>
      </c>
      <c r="H2441">
        <v>0</v>
      </c>
      <c r="M2441">
        <v>0</v>
      </c>
      <c r="N2441">
        <v>0</v>
      </c>
      <c r="O2441">
        <v>0</v>
      </c>
      <c r="P2441">
        <v>1</v>
      </c>
    </row>
    <row r="2442" spans="1:16" x14ac:dyDescent="0.2">
      <c r="A2442" t="s">
        <v>7702</v>
      </c>
      <c r="B2442" t="s">
        <v>97</v>
      </c>
      <c r="C2442" t="s">
        <v>7703</v>
      </c>
      <c r="D2442" t="s">
        <v>2502</v>
      </c>
      <c r="E2442" t="s">
        <v>96</v>
      </c>
      <c r="F2442">
        <v>74.989999999999995</v>
      </c>
      <c r="G2442" t="s">
        <v>7032</v>
      </c>
      <c r="H2442">
        <v>0</v>
      </c>
      <c r="M2442">
        <v>0</v>
      </c>
      <c r="N2442">
        <v>0</v>
      </c>
      <c r="O2442">
        <v>0</v>
      </c>
      <c r="P2442">
        <v>0</v>
      </c>
    </row>
    <row r="2443" spans="1:16" x14ac:dyDescent="0.2">
      <c r="A2443" t="s">
        <v>7704</v>
      </c>
      <c r="B2443" t="s">
        <v>97</v>
      </c>
      <c r="C2443" t="s">
        <v>7705</v>
      </c>
      <c r="D2443" t="s">
        <v>2987</v>
      </c>
      <c r="E2443" t="s">
        <v>96</v>
      </c>
      <c r="F2443">
        <v>89.99</v>
      </c>
      <c r="G2443" t="s">
        <v>7032</v>
      </c>
      <c r="H2443">
        <v>0</v>
      </c>
      <c r="M2443">
        <v>0</v>
      </c>
      <c r="N2443">
        <v>0</v>
      </c>
      <c r="O2443">
        <v>0</v>
      </c>
      <c r="P2443">
        <v>0</v>
      </c>
    </row>
    <row r="2444" spans="1:16" x14ac:dyDescent="0.2">
      <c r="A2444" t="s">
        <v>7706</v>
      </c>
      <c r="B2444" t="s">
        <v>97</v>
      </c>
      <c r="C2444" t="s">
        <v>7707</v>
      </c>
      <c r="D2444" t="s">
        <v>1012</v>
      </c>
      <c r="E2444" t="s">
        <v>96</v>
      </c>
      <c r="F2444">
        <v>139.99</v>
      </c>
      <c r="G2444" t="s">
        <v>7032</v>
      </c>
      <c r="H2444">
        <v>0</v>
      </c>
      <c r="M2444">
        <v>0</v>
      </c>
      <c r="N2444">
        <v>0</v>
      </c>
      <c r="O2444">
        <v>0</v>
      </c>
      <c r="P2444">
        <v>0</v>
      </c>
    </row>
    <row r="2445" spans="1:16" x14ac:dyDescent="0.2">
      <c r="A2445" t="s">
        <v>7341</v>
      </c>
      <c r="B2445" t="s">
        <v>97</v>
      </c>
      <c r="C2445" t="s">
        <v>7343</v>
      </c>
      <c r="D2445" t="s">
        <v>2852</v>
      </c>
      <c r="E2445" t="s">
        <v>96</v>
      </c>
      <c r="F2445">
        <v>49.99</v>
      </c>
      <c r="G2445" t="s">
        <v>7032</v>
      </c>
      <c r="H2445">
        <v>0</v>
      </c>
      <c r="M2445">
        <v>0</v>
      </c>
      <c r="N2445">
        <v>0</v>
      </c>
      <c r="O2445">
        <v>0</v>
      </c>
      <c r="P2445">
        <v>0</v>
      </c>
    </row>
    <row r="2446" spans="1:16" x14ac:dyDescent="0.2">
      <c r="A2446" t="s">
        <v>2901</v>
      </c>
      <c r="B2446" t="s">
        <v>97</v>
      </c>
      <c r="C2446" t="s">
        <v>2902</v>
      </c>
      <c r="D2446" t="s">
        <v>2852</v>
      </c>
      <c r="E2446" t="s">
        <v>228</v>
      </c>
      <c r="F2446">
        <v>99.99</v>
      </c>
      <c r="G2446" t="s">
        <v>7032</v>
      </c>
      <c r="H2446">
        <v>0</v>
      </c>
      <c r="M2446">
        <v>0</v>
      </c>
      <c r="N2446">
        <v>0</v>
      </c>
      <c r="O2446">
        <v>0</v>
      </c>
      <c r="P2446">
        <v>6</v>
      </c>
    </row>
    <row r="2447" spans="1:16" x14ac:dyDescent="0.2">
      <c r="A2447" t="s">
        <v>6592</v>
      </c>
      <c r="B2447" t="s">
        <v>97</v>
      </c>
      <c r="C2447" t="s">
        <v>6593</v>
      </c>
      <c r="D2447" t="s">
        <v>2987</v>
      </c>
      <c r="E2447" t="s">
        <v>96</v>
      </c>
      <c r="F2447">
        <v>59.99</v>
      </c>
      <c r="G2447" t="s">
        <v>7032</v>
      </c>
      <c r="H2447">
        <v>0</v>
      </c>
      <c r="M2447">
        <v>0</v>
      </c>
      <c r="N2447">
        <v>0</v>
      </c>
      <c r="O2447">
        <v>0</v>
      </c>
      <c r="P2447">
        <v>0</v>
      </c>
    </row>
    <row r="2448" spans="1:16" x14ac:dyDescent="0.2">
      <c r="A2448" t="s">
        <v>6911</v>
      </c>
      <c r="B2448" t="s">
        <v>97</v>
      </c>
      <c r="C2448" t="s">
        <v>6912</v>
      </c>
      <c r="D2448" t="s">
        <v>2987</v>
      </c>
      <c r="E2448" t="s">
        <v>96</v>
      </c>
      <c r="F2448">
        <v>89.99</v>
      </c>
      <c r="G2448" t="s">
        <v>7032</v>
      </c>
      <c r="H2448">
        <v>0</v>
      </c>
      <c r="M2448">
        <v>0</v>
      </c>
      <c r="N2448">
        <v>0</v>
      </c>
      <c r="O2448">
        <v>0</v>
      </c>
      <c r="P2448">
        <v>0</v>
      </c>
    </row>
    <row r="2449" spans="1:16" x14ac:dyDescent="0.2">
      <c r="A2449" t="s">
        <v>6710</v>
      </c>
      <c r="B2449" t="s">
        <v>97</v>
      </c>
      <c r="C2449" t="s">
        <v>6711</v>
      </c>
      <c r="D2449" t="s">
        <v>2987</v>
      </c>
      <c r="E2449" t="s">
        <v>96</v>
      </c>
      <c r="F2449">
        <v>139.99</v>
      </c>
      <c r="G2449" t="s">
        <v>7032</v>
      </c>
      <c r="H2449">
        <v>0</v>
      </c>
      <c r="M2449">
        <v>0</v>
      </c>
      <c r="N2449">
        <v>0</v>
      </c>
      <c r="O2449">
        <v>0</v>
      </c>
      <c r="P2449">
        <v>3</v>
      </c>
    </row>
    <row r="2450" spans="1:16" x14ac:dyDescent="0.2">
      <c r="A2450" t="s">
        <v>6820</v>
      </c>
      <c r="B2450" t="s">
        <v>97</v>
      </c>
      <c r="C2450" t="s">
        <v>6821</v>
      </c>
      <c r="D2450" t="s">
        <v>2987</v>
      </c>
      <c r="E2450" t="s">
        <v>96</v>
      </c>
      <c r="F2450">
        <v>69.989999999999995</v>
      </c>
      <c r="G2450" t="s">
        <v>7032</v>
      </c>
      <c r="H2450">
        <v>0</v>
      </c>
      <c r="M2450">
        <v>0</v>
      </c>
      <c r="N2450">
        <v>0</v>
      </c>
      <c r="O2450">
        <v>0</v>
      </c>
      <c r="P2450">
        <v>0</v>
      </c>
    </row>
    <row r="2451" spans="1:16" x14ac:dyDescent="0.2">
      <c r="A2451" t="s">
        <v>6923</v>
      </c>
      <c r="B2451" t="s">
        <v>97</v>
      </c>
      <c r="C2451" t="s">
        <v>6924</v>
      </c>
      <c r="D2451" t="s">
        <v>2987</v>
      </c>
      <c r="E2451" t="s">
        <v>96</v>
      </c>
      <c r="F2451">
        <v>69.989999999999995</v>
      </c>
      <c r="G2451" t="s">
        <v>7032</v>
      </c>
      <c r="H2451">
        <v>0</v>
      </c>
      <c r="M2451">
        <v>0</v>
      </c>
      <c r="N2451">
        <v>0</v>
      </c>
      <c r="O2451">
        <v>0</v>
      </c>
      <c r="P2451">
        <v>0</v>
      </c>
    </row>
    <row r="2452" spans="1:16" x14ac:dyDescent="0.2">
      <c r="A2452" t="s">
        <v>4203</v>
      </c>
      <c r="B2452" t="s">
        <v>97</v>
      </c>
      <c r="C2452" t="s">
        <v>4204</v>
      </c>
      <c r="D2452" t="s">
        <v>2852</v>
      </c>
      <c r="E2452" t="s">
        <v>228</v>
      </c>
      <c r="F2452">
        <v>369.99</v>
      </c>
      <c r="G2452" t="s">
        <v>7032</v>
      </c>
      <c r="H2452">
        <v>0</v>
      </c>
      <c r="M2452">
        <v>0</v>
      </c>
      <c r="N2452">
        <v>0</v>
      </c>
      <c r="O2452">
        <v>0</v>
      </c>
      <c r="P2452">
        <v>0</v>
      </c>
    </row>
    <row r="2453" spans="1:16" x14ac:dyDescent="0.2">
      <c r="A2453" t="s">
        <v>2909</v>
      </c>
      <c r="B2453" t="s">
        <v>97</v>
      </c>
      <c r="C2453" t="s">
        <v>2910</v>
      </c>
      <c r="D2453" t="s">
        <v>2852</v>
      </c>
      <c r="E2453" t="s">
        <v>228</v>
      </c>
      <c r="F2453">
        <v>99.99</v>
      </c>
      <c r="G2453" t="s">
        <v>7032</v>
      </c>
      <c r="H2453">
        <v>0</v>
      </c>
      <c r="M2453">
        <v>0</v>
      </c>
      <c r="N2453">
        <v>0</v>
      </c>
      <c r="O2453">
        <v>0</v>
      </c>
      <c r="P2453">
        <v>0</v>
      </c>
    </row>
    <row r="2454" spans="1:16" x14ac:dyDescent="0.2">
      <c r="A2454" t="s">
        <v>6741</v>
      </c>
      <c r="B2454" t="s">
        <v>97</v>
      </c>
      <c r="C2454" t="s">
        <v>6742</v>
      </c>
      <c r="D2454" t="s">
        <v>2987</v>
      </c>
      <c r="E2454" t="s">
        <v>96</v>
      </c>
      <c r="F2454">
        <v>109.99</v>
      </c>
      <c r="G2454" t="s">
        <v>7032</v>
      </c>
      <c r="H2454">
        <v>0</v>
      </c>
      <c r="M2454">
        <v>0</v>
      </c>
      <c r="N2454">
        <v>0</v>
      </c>
      <c r="O2454">
        <v>0</v>
      </c>
      <c r="P2454">
        <v>0</v>
      </c>
    </row>
    <row r="2455" spans="1:16" x14ac:dyDescent="0.2">
      <c r="A2455" t="s">
        <v>7708</v>
      </c>
      <c r="B2455" t="s">
        <v>97</v>
      </c>
      <c r="C2455" t="s">
        <v>7709</v>
      </c>
      <c r="D2455" t="s">
        <v>2987</v>
      </c>
      <c r="E2455" t="s">
        <v>96</v>
      </c>
      <c r="F2455">
        <v>89.99</v>
      </c>
      <c r="G2455" t="s">
        <v>7032</v>
      </c>
      <c r="H2455">
        <v>0</v>
      </c>
      <c r="M2455">
        <v>0</v>
      </c>
      <c r="N2455">
        <v>0</v>
      </c>
      <c r="O2455">
        <v>0</v>
      </c>
      <c r="P2455">
        <v>0</v>
      </c>
    </row>
    <row r="2456" spans="1:16" x14ac:dyDescent="0.2">
      <c r="A2456" t="s">
        <v>3902</v>
      </c>
      <c r="B2456" t="s">
        <v>97</v>
      </c>
      <c r="C2456" t="s">
        <v>3903</v>
      </c>
      <c r="D2456" t="s">
        <v>1897</v>
      </c>
      <c r="E2456" t="s">
        <v>96</v>
      </c>
      <c r="F2456">
        <v>49.99</v>
      </c>
      <c r="G2456" t="s">
        <v>7032</v>
      </c>
      <c r="H2456">
        <v>0</v>
      </c>
      <c r="M2456">
        <v>0</v>
      </c>
      <c r="N2456">
        <v>0</v>
      </c>
      <c r="O2456">
        <v>0</v>
      </c>
      <c r="P2456">
        <v>0</v>
      </c>
    </row>
    <row r="2457" spans="1:16" x14ac:dyDescent="0.2">
      <c r="A2457" t="s">
        <v>5861</v>
      </c>
      <c r="B2457" t="s">
        <v>97</v>
      </c>
      <c r="C2457" t="s">
        <v>5862</v>
      </c>
      <c r="D2457" t="s">
        <v>1692</v>
      </c>
      <c r="E2457" t="s">
        <v>96</v>
      </c>
      <c r="F2457">
        <v>34.99</v>
      </c>
      <c r="G2457" t="s">
        <v>7032</v>
      </c>
      <c r="H2457">
        <v>0</v>
      </c>
      <c r="M2457">
        <v>0</v>
      </c>
      <c r="N2457">
        <v>0</v>
      </c>
      <c r="O2457">
        <v>0</v>
      </c>
      <c r="P2457">
        <v>0</v>
      </c>
    </row>
    <row r="2458" spans="1:16" x14ac:dyDescent="0.2">
      <c r="A2458" t="s">
        <v>5836</v>
      </c>
      <c r="B2458" t="s">
        <v>97</v>
      </c>
      <c r="C2458" t="s">
        <v>5837</v>
      </c>
      <c r="D2458" t="s">
        <v>1692</v>
      </c>
      <c r="E2458" t="s">
        <v>96</v>
      </c>
      <c r="F2458">
        <v>79.989999999999995</v>
      </c>
      <c r="G2458" t="s">
        <v>7032</v>
      </c>
      <c r="H2458">
        <v>0</v>
      </c>
      <c r="M2458">
        <v>0</v>
      </c>
      <c r="N2458">
        <v>0</v>
      </c>
      <c r="O2458">
        <v>0</v>
      </c>
      <c r="P2458">
        <v>0</v>
      </c>
    </row>
    <row r="2459" spans="1:16" x14ac:dyDescent="0.2">
      <c r="A2459" t="s">
        <v>3810</v>
      </c>
      <c r="B2459" t="s">
        <v>97</v>
      </c>
      <c r="C2459" t="s">
        <v>3811</v>
      </c>
      <c r="D2459" t="s">
        <v>1897</v>
      </c>
      <c r="E2459" t="s">
        <v>96</v>
      </c>
      <c r="F2459">
        <v>59.99</v>
      </c>
      <c r="G2459" t="s">
        <v>7032</v>
      </c>
      <c r="H2459">
        <v>0</v>
      </c>
      <c r="M2459">
        <v>0</v>
      </c>
      <c r="N2459">
        <v>0</v>
      </c>
      <c r="O2459">
        <v>0</v>
      </c>
      <c r="P2459">
        <v>5</v>
      </c>
    </row>
    <row r="2460" spans="1:16" x14ac:dyDescent="0.2">
      <c r="A2460" t="s">
        <v>4027</v>
      </c>
      <c r="B2460" t="s">
        <v>97</v>
      </c>
      <c r="C2460" t="s">
        <v>4028</v>
      </c>
      <c r="D2460" t="s">
        <v>1897</v>
      </c>
      <c r="E2460" t="s">
        <v>96</v>
      </c>
      <c r="F2460">
        <v>189.99</v>
      </c>
      <c r="G2460" t="s">
        <v>7032</v>
      </c>
      <c r="H2460">
        <v>0</v>
      </c>
      <c r="M2460">
        <v>0</v>
      </c>
      <c r="N2460">
        <v>0</v>
      </c>
      <c r="O2460">
        <v>0</v>
      </c>
      <c r="P2460">
        <v>0</v>
      </c>
    </row>
    <row r="2461" spans="1:16" x14ac:dyDescent="0.2">
      <c r="A2461" t="s">
        <v>3945</v>
      </c>
      <c r="B2461" t="s">
        <v>97</v>
      </c>
      <c r="C2461" t="s">
        <v>3946</v>
      </c>
      <c r="D2461" t="s">
        <v>1897</v>
      </c>
      <c r="E2461" t="s">
        <v>290</v>
      </c>
      <c r="F2461">
        <v>139.99</v>
      </c>
      <c r="G2461" t="s">
        <v>7032</v>
      </c>
      <c r="H2461">
        <v>0</v>
      </c>
      <c r="M2461">
        <v>0</v>
      </c>
      <c r="N2461">
        <v>0</v>
      </c>
      <c r="O2461">
        <v>0</v>
      </c>
      <c r="P2461">
        <v>0</v>
      </c>
    </row>
    <row r="2462" spans="1:16" x14ac:dyDescent="0.2">
      <c r="A2462" t="s">
        <v>4009</v>
      </c>
      <c r="B2462" t="s">
        <v>97</v>
      </c>
      <c r="C2462" t="s">
        <v>4010</v>
      </c>
      <c r="D2462" t="s">
        <v>1897</v>
      </c>
      <c r="E2462" t="s">
        <v>96</v>
      </c>
      <c r="F2462">
        <v>149.99</v>
      </c>
      <c r="G2462" t="s">
        <v>7032</v>
      </c>
      <c r="H2462">
        <v>0</v>
      </c>
      <c r="M2462">
        <v>0</v>
      </c>
      <c r="N2462">
        <v>0</v>
      </c>
      <c r="O2462">
        <v>0</v>
      </c>
      <c r="P2462">
        <v>1</v>
      </c>
    </row>
    <row r="2463" spans="1:16" x14ac:dyDescent="0.2">
      <c r="A2463" t="s">
        <v>3939</v>
      </c>
      <c r="B2463" t="s">
        <v>97</v>
      </c>
      <c r="C2463" t="s">
        <v>3940</v>
      </c>
      <c r="D2463" t="s">
        <v>1897</v>
      </c>
      <c r="E2463" t="s">
        <v>96</v>
      </c>
      <c r="F2463">
        <v>139.99</v>
      </c>
      <c r="G2463" t="s">
        <v>7032</v>
      </c>
      <c r="H2463">
        <v>0</v>
      </c>
      <c r="M2463">
        <v>0</v>
      </c>
      <c r="N2463">
        <v>0</v>
      </c>
      <c r="O2463">
        <v>0</v>
      </c>
      <c r="P2463">
        <v>0</v>
      </c>
    </row>
    <row r="2464" spans="1:16" x14ac:dyDescent="0.2">
      <c r="A2464" t="s">
        <v>7710</v>
      </c>
      <c r="B2464" t="s">
        <v>97</v>
      </c>
      <c r="C2464" t="s">
        <v>7711</v>
      </c>
      <c r="D2464" t="s">
        <v>1897</v>
      </c>
      <c r="E2464" t="s">
        <v>96</v>
      </c>
      <c r="F2464">
        <v>124.99</v>
      </c>
      <c r="G2464" t="s">
        <v>7032</v>
      </c>
      <c r="H2464">
        <v>0</v>
      </c>
      <c r="M2464">
        <v>0</v>
      </c>
      <c r="N2464">
        <v>0</v>
      </c>
      <c r="O2464">
        <v>0</v>
      </c>
      <c r="P2464">
        <v>0</v>
      </c>
    </row>
    <row r="2465" spans="1:16" x14ac:dyDescent="0.2">
      <c r="A2465" t="s">
        <v>7712</v>
      </c>
      <c r="B2465" t="s">
        <v>97</v>
      </c>
      <c r="C2465" t="s">
        <v>7713</v>
      </c>
      <c r="D2465" t="s">
        <v>1897</v>
      </c>
      <c r="E2465" t="s">
        <v>96</v>
      </c>
      <c r="F2465">
        <v>49.99</v>
      </c>
      <c r="G2465" t="s">
        <v>7032</v>
      </c>
      <c r="H2465">
        <v>0</v>
      </c>
      <c r="M2465">
        <v>0</v>
      </c>
      <c r="N2465">
        <v>0</v>
      </c>
      <c r="O2465">
        <v>0</v>
      </c>
      <c r="P2465">
        <v>0</v>
      </c>
    </row>
    <row r="2466" spans="1:16" x14ac:dyDescent="0.2">
      <c r="A2466" t="s">
        <v>7714</v>
      </c>
      <c r="B2466" t="s">
        <v>97</v>
      </c>
      <c r="C2466" t="s">
        <v>7715</v>
      </c>
      <c r="D2466" t="s">
        <v>1897</v>
      </c>
      <c r="E2466" t="s">
        <v>96</v>
      </c>
      <c r="F2466">
        <v>54.99</v>
      </c>
      <c r="G2466" t="s">
        <v>7032</v>
      </c>
      <c r="H2466">
        <v>0</v>
      </c>
      <c r="M2466">
        <v>0</v>
      </c>
      <c r="N2466">
        <v>0</v>
      </c>
      <c r="O2466">
        <v>0</v>
      </c>
      <c r="P2466">
        <v>0</v>
      </c>
    </row>
    <row r="2467" spans="1:16" x14ac:dyDescent="0.2">
      <c r="A2467" t="s">
        <v>7716</v>
      </c>
      <c r="B2467" t="s">
        <v>97</v>
      </c>
      <c r="C2467" t="s">
        <v>7717</v>
      </c>
      <c r="D2467" t="s">
        <v>1897</v>
      </c>
      <c r="E2467" t="s">
        <v>96</v>
      </c>
      <c r="F2467">
        <v>54.99</v>
      </c>
      <c r="G2467" t="s">
        <v>7032</v>
      </c>
      <c r="H2467">
        <v>0</v>
      </c>
      <c r="M2467">
        <v>0</v>
      </c>
      <c r="N2467">
        <v>0</v>
      </c>
      <c r="O2467">
        <v>0</v>
      </c>
      <c r="P2467">
        <v>0</v>
      </c>
    </row>
    <row r="2468" spans="1:16" x14ac:dyDescent="0.2">
      <c r="A2468" t="s">
        <v>1912</v>
      </c>
      <c r="B2468" t="s">
        <v>97</v>
      </c>
      <c r="C2468" t="s">
        <v>1913</v>
      </c>
      <c r="D2468" t="s">
        <v>1897</v>
      </c>
      <c r="E2468" t="s">
        <v>290</v>
      </c>
      <c r="F2468">
        <v>54.99</v>
      </c>
      <c r="G2468" t="s">
        <v>7032</v>
      </c>
      <c r="H2468">
        <v>0</v>
      </c>
      <c r="M2468">
        <v>0</v>
      </c>
      <c r="N2468">
        <v>0</v>
      </c>
      <c r="O2468">
        <v>0</v>
      </c>
      <c r="P2468">
        <v>0</v>
      </c>
    </row>
    <row r="2469" spans="1:16" x14ac:dyDescent="0.2">
      <c r="A2469" t="s">
        <v>1914</v>
      </c>
      <c r="B2469" t="s">
        <v>97</v>
      </c>
      <c r="C2469" t="s">
        <v>1915</v>
      </c>
      <c r="D2469" t="s">
        <v>1897</v>
      </c>
      <c r="E2469" t="s">
        <v>290</v>
      </c>
      <c r="F2469">
        <v>64.989999999999995</v>
      </c>
      <c r="G2469" t="s">
        <v>7032</v>
      </c>
      <c r="H2469">
        <v>8.3333333333333329E-2</v>
      </c>
      <c r="M2469">
        <v>6</v>
      </c>
      <c r="N2469">
        <v>0.16666666666666666</v>
      </c>
      <c r="O2469">
        <v>0</v>
      </c>
      <c r="P2469">
        <v>1</v>
      </c>
    </row>
    <row r="2470" spans="1:16" x14ac:dyDescent="0.2">
      <c r="A2470" t="s">
        <v>3801</v>
      </c>
      <c r="B2470" t="s">
        <v>97</v>
      </c>
      <c r="C2470" t="s">
        <v>3802</v>
      </c>
      <c r="D2470" t="s">
        <v>1897</v>
      </c>
      <c r="E2470" t="s">
        <v>96</v>
      </c>
      <c r="F2470">
        <v>44.99</v>
      </c>
      <c r="G2470" t="s">
        <v>7032</v>
      </c>
      <c r="H2470">
        <v>0</v>
      </c>
      <c r="M2470">
        <v>0</v>
      </c>
      <c r="N2470">
        <v>0</v>
      </c>
      <c r="O2470">
        <v>0</v>
      </c>
      <c r="P2470">
        <v>0</v>
      </c>
    </row>
    <row r="2471" spans="1:16" x14ac:dyDescent="0.2">
      <c r="A2471" t="s">
        <v>1916</v>
      </c>
      <c r="B2471" t="s">
        <v>97</v>
      </c>
      <c r="C2471" t="s">
        <v>1917</v>
      </c>
      <c r="D2471" t="s">
        <v>1897</v>
      </c>
      <c r="E2471" t="s">
        <v>290</v>
      </c>
      <c r="F2471">
        <v>99.99</v>
      </c>
      <c r="G2471" t="s">
        <v>7032</v>
      </c>
      <c r="H2471">
        <v>0</v>
      </c>
      <c r="M2471">
        <v>0</v>
      </c>
      <c r="N2471">
        <v>0</v>
      </c>
      <c r="O2471">
        <v>0</v>
      </c>
      <c r="P2471">
        <v>0</v>
      </c>
    </row>
    <row r="2472" spans="1:16" x14ac:dyDescent="0.2">
      <c r="A2472" t="s">
        <v>1094</v>
      </c>
      <c r="B2472" t="s">
        <v>97</v>
      </c>
      <c r="C2472" t="s">
        <v>1095</v>
      </c>
      <c r="D2472" t="s">
        <v>1089</v>
      </c>
      <c r="E2472" t="s">
        <v>96</v>
      </c>
      <c r="F2472">
        <v>99.99</v>
      </c>
      <c r="G2472" t="s">
        <v>7032</v>
      </c>
      <c r="H2472">
        <v>0</v>
      </c>
      <c r="M2472">
        <v>0</v>
      </c>
      <c r="N2472">
        <v>0</v>
      </c>
      <c r="O2472">
        <v>0</v>
      </c>
      <c r="P2472">
        <v>0</v>
      </c>
    </row>
    <row r="2473" spans="1:16" x14ac:dyDescent="0.2">
      <c r="A2473" t="s">
        <v>6622</v>
      </c>
      <c r="B2473" t="s">
        <v>97</v>
      </c>
      <c r="C2473" t="s">
        <v>6623</v>
      </c>
      <c r="D2473" t="s">
        <v>2987</v>
      </c>
      <c r="E2473" t="s">
        <v>96</v>
      </c>
      <c r="G2473" t="s">
        <v>7032</v>
      </c>
      <c r="H2473">
        <v>0</v>
      </c>
      <c r="M2473">
        <v>0</v>
      </c>
      <c r="N2473">
        <v>0</v>
      </c>
      <c r="P2473">
        <v>0</v>
      </c>
    </row>
    <row r="2474" spans="1:16" x14ac:dyDescent="0.2">
      <c r="A2474" t="s">
        <v>7718</v>
      </c>
      <c r="B2474" t="s">
        <v>97</v>
      </c>
      <c r="C2474" t="s">
        <v>7719</v>
      </c>
      <c r="D2474" t="s">
        <v>2987</v>
      </c>
      <c r="E2474" t="s">
        <v>96</v>
      </c>
      <c r="F2474">
        <v>49.99</v>
      </c>
      <c r="G2474" t="s">
        <v>7032</v>
      </c>
      <c r="H2474">
        <v>0</v>
      </c>
      <c r="M2474">
        <v>0</v>
      </c>
      <c r="N2474">
        <v>0</v>
      </c>
      <c r="O2474">
        <v>0</v>
      </c>
      <c r="P2474">
        <v>0</v>
      </c>
    </row>
    <row r="2475" spans="1:16" x14ac:dyDescent="0.2">
      <c r="A2475" t="s">
        <v>7720</v>
      </c>
      <c r="B2475" t="s">
        <v>97</v>
      </c>
      <c r="C2475" t="s">
        <v>7721</v>
      </c>
      <c r="D2475" t="s">
        <v>2987</v>
      </c>
      <c r="E2475" t="s">
        <v>96</v>
      </c>
      <c r="F2475">
        <v>64.989999999999995</v>
      </c>
      <c r="G2475" t="s">
        <v>7032</v>
      </c>
      <c r="H2475">
        <v>0</v>
      </c>
      <c r="M2475">
        <v>0</v>
      </c>
      <c r="N2475">
        <v>0</v>
      </c>
      <c r="O2475">
        <v>0</v>
      </c>
      <c r="P2475">
        <v>0</v>
      </c>
    </row>
    <row r="2476" spans="1:16" x14ac:dyDescent="0.2">
      <c r="A2476" t="s">
        <v>5913</v>
      </c>
      <c r="B2476" t="s">
        <v>97</v>
      </c>
      <c r="C2476" t="s">
        <v>5914</v>
      </c>
      <c r="D2476" t="s">
        <v>2852</v>
      </c>
      <c r="E2476" t="s">
        <v>96</v>
      </c>
      <c r="F2476">
        <v>199.99</v>
      </c>
      <c r="G2476" t="s">
        <v>7032</v>
      </c>
      <c r="H2476">
        <v>0</v>
      </c>
      <c r="M2476">
        <v>0</v>
      </c>
      <c r="N2476">
        <v>0</v>
      </c>
      <c r="O2476">
        <v>0</v>
      </c>
      <c r="P2476">
        <v>0</v>
      </c>
    </row>
    <row r="2477" spans="1:16" x14ac:dyDescent="0.2">
      <c r="A2477" t="s">
        <v>2711</v>
      </c>
      <c r="B2477" t="s">
        <v>97</v>
      </c>
      <c r="C2477" t="s">
        <v>2712</v>
      </c>
      <c r="D2477" t="s">
        <v>2502</v>
      </c>
      <c r="E2477" t="s">
        <v>228</v>
      </c>
      <c r="F2477">
        <v>34.99</v>
      </c>
      <c r="G2477" t="s">
        <v>7032</v>
      </c>
      <c r="H2477">
        <v>8.3333333333333329E-2</v>
      </c>
      <c r="M2477">
        <v>0</v>
      </c>
      <c r="N2477">
        <v>0</v>
      </c>
      <c r="O2477">
        <v>0</v>
      </c>
      <c r="P2477">
        <v>1</v>
      </c>
    </row>
    <row r="2478" spans="1:16" x14ac:dyDescent="0.2">
      <c r="A2478" t="s">
        <v>6897</v>
      </c>
      <c r="B2478" t="s">
        <v>97</v>
      </c>
      <c r="C2478" t="s">
        <v>6898</v>
      </c>
      <c r="D2478" t="s">
        <v>2987</v>
      </c>
      <c r="E2478" t="s">
        <v>96</v>
      </c>
      <c r="F2478">
        <v>64.989999999999995</v>
      </c>
      <c r="G2478" t="s">
        <v>7032</v>
      </c>
      <c r="H2478">
        <v>0</v>
      </c>
      <c r="M2478">
        <v>0</v>
      </c>
      <c r="N2478">
        <v>0</v>
      </c>
      <c r="O2478">
        <v>0</v>
      </c>
      <c r="P2478">
        <v>0</v>
      </c>
    </row>
    <row r="2479" spans="1:16" x14ac:dyDescent="0.2">
      <c r="A2479" t="s">
        <v>6894</v>
      </c>
      <c r="B2479" t="s">
        <v>97</v>
      </c>
      <c r="C2479" t="s">
        <v>6895</v>
      </c>
      <c r="D2479" t="s">
        <v>2987</v>
      </c>
      <c r="E2479" t="s">
        <v>96</v>
      </c>
      <c r="F2479">
        <v>64.989999999999995</v>
      </c>
      <c r="G2479" t="s">
        <v>7032</v>
      </c>
      <c r="H2479">
        <v>0</v>
      </c>
      <c r="M2479">
        <v>0</v>
      </c>
      <c r="N2479">
        <v>0</v>
      </c>
      <c r="O2479">
        <v>0</v>
      </c>
      <c r="P2479">
        <v>0</v>
      </c>
    </row>
    <row r="2480" spans="1:16" x14ac:dyDescent="0.2">
      <c r="A2480" t="s">
        <v>34</v>
      </c>
      <c r="B2480" t="s">
        <v>97</v>
      </c>
      <c r="C2480" t="s">
        <v>3004</v>
      </c>
      <c r="D2480" t="s">
        <v>2987</v>
      </c>
      <c r="E2480" t="s">
        <v>228</v>
      </c>
      <c r="F2480">
        <v>59.99</v>
      </c>
      <c r="G2480" t="s">
        <v>7032</v>
      </c>
      <c r="H2480">
        <v>0</v>
      </c>
      <c r="M2480">
        <v>0</v>
      </c>
      <c r="N2480">
        <v>0</v>
      </c>
      <c r="O2480">
        <v>0</v>
      </c>
      <c r="P2480">
        <v>2</v>
      </c>
    </row>
    <row r="2481" spans="1:16" x14ac:dyDescent="0.2">
      <c r="A2481" t="s">
        <v>5265</v>
      </c>
      <c r="B2481" t="s">
        <v>97</v>
      </c>
      <c r="C2481" t="s">
        <v>5266</v>
      </c>
      <c r="D2481" t="s">
        <v>2852</v>
      </c>
      <c r="E2481" t="s">
        <v>96</v>
      </c>
      <c r="F2481">
        <v>249.99</v>
      </c>
      <c r="G2481" t="s">
        <v>7032</v>
      </c>
      <c r="H2481">
        <v>0</v>
      </c>
      <c r="M2481">
        <v>0</v>
      </c>
      <c r="N2481">
        <v>0</v>
      </c>
      <c r="O2481">
        <v>0</v>
      </c>
      <c r="P2481">
        <v>0</v>
      </c>
    </row>
    <row r="2482" spans="1:16" x14ac:dyDescent="0.2">
      <c r="A2482" t="s">
        <v>7722</v>
      </c>
      <c r="B2482" t="s">
        <v>97</v>
      </c>
      <c r="C2482" t="s">
        <v>7723</v>
      </c>
      <c r="D2482" t="s">
        <v>2987</v>
      </c>
      <c r="E2482" t="s">
        <v>96</v>
      </c>
      <c r="F2482">
        <v>49.99</v>
      </c>
      <c r="G2482" t="s">
        <v>7032</v>
      </c>
      <c r="H2482">
        <v>0</v>
      </c>
      <c r="M2482">
        <v>0</v>
      </c>
      <c r="N2482">
        <v>0</v>
      </c>
      <c r="O2482">
        <v>0</v>
      </c>
      <c r="P2482">
        <v>0</v>
      </c>
    </row>
    <row r="2483" spans="1:16" x14ac:dyDescent="0.2">
      <c r="A2483" t="s">
        <v>6834</v>
      </c>
      <c r="B2483" t="s">
        <v>97</v>
      </c>
      <c r="C2483" t="s">
        <v>6835</v>
      </c>
      <c r="D2483" t="s">
        <v>2987</v>
      </c>
      <c r="E2483" t="s">
        <v>228</v>
      </c>
      <c r="F2483">
        <v>89.99</v>
      </c>
      <c r="G2483" t="s">
        <v>7032</v>
      </c>
      <c r="H2483">
        <v>0</v>
      </c>
      <c r="M2483">
        <v>0</v>
      </c>
      <c r="N2483">
        <v>0</v>
      </c>
      <c r="O2483">
        <v>0</v>
      </c>
      <c r="P2483">
        <v>0</v>
      </c>
    </row>
    <row r="2484" spans="1:16" x14ac:dyDescent="0.2">
      <c r="A2484" t="s">
        <v>7724</v>
      </c>
      <c r="B2484" t="s">
        <v>97</v>
      </c>
      <c r="C2484" t="s">
        <v>7725</v>
      </c>
      <c r="D2484" t="s">
        <v>2987</v>
      </c>
      <c r="E2484" t="s">
        <v>96</v>
      </c>
      <c r="F2484">
        <v>49.99</v>
      </c>
      <c r="G2484" t="s">
        <v>7032</v>
      </c>
      <c r="H2484">
        <v>0</v>
      </c>
      <c r="M2484">
        <v>0</v>
      </c>
      <c r="N2484">
        <v>0</v>
      </c>
      <c r="O2484">
        <v>0</v>
      </c>
      <c r="P2484">
        <v>0</v>
      </c>
    </row>
    <row r="2485" spans="1:16" x14ac:dyDescent="0.2">
      <c r="A2485" t="s">
        <v>7726</v>
      </c>
      <c r="B2485" t="s">
        <v>97</v>
      </c>
      <c r="C2485" t="s">
        <v>7727</v>
      </c>
      <c r="D2485" t="s">
        <v>1897</v>
      </c>
      <c r="E2485" t="s">
        <v>96</v>
      </c>
      <c r="F2485">
        <v>64.989999999999995</v>
      </c>
      <c r="G2485" t="s">
        <v>7032</v>
      </c>
      <c r="H2485">
        <v>0</v>
      </c>
      <c r="M2485">
        <v>0</v>
      </c>
      <c r="N2485">
        <v>0</v>
      </c>
      <c r="O2485">
        <v>0</v>
      </c>
      <c r="P2485">
        <v>0</v>
      </c>
    </row>
    <row r="2486" spans="1:16" x14ac:dyDescent="0.2">
      <c r="A2486" t="s">
        <v>1908</v>
      </c>
      <c r="B2486" t="s">
        <v>97</v>
      </c>
      <c r="C2486" t="s">
        <v>1909</v>
      </c>
      <c r="D2486" t="s">
        <v>1897</v>
      </c>
      <c r="E2486" t="s">
        <v>290</v>
      </c>
      <c r="F2486">
        <v>89.99</v>
      </c>
      <c r="G2486" t="s">
        <v>7032</v>
      </c>
      <c r="H2486">
        <v>0</v>
      </c>
      <c r="M2486">
        <v>0</v>
      </c>
      <c r="N2486">
        <v>0</v>
      </c>
      <c r="O2486">
        <v>0</v>
      </c>
      <c r="P2486">
        <v>7</v>
      </c>
    </row>
    <row r="2487" spans="1:16" x14ac:dyDescent="0.2">
      <c r="A2487" t="s">
        <v>7728</v>
      </c>
      <c r="B2487" t="s">
        <v>97</v>
      </c>
      <c r="C2487" t="s">
        <v>7729</v>
      </c>
      <c r="D2487" t="s">
        <v>1897</v>
      </c>
      <c r="E2487" t="s">
        <v>96</v>
      </c>
      <c r="F2487">
        <v>159.99</v>
      </c>
      <c r="G2487" t="s">
        <v>7032</v>
      </c>
      <c r="H2487">
        <v>0</v>
      </c>
      <c r="M2487">
        <v>0</v>
      </c>
      <c r="N2487">
        <v>0</v>
      </c>
      <c r="O2487">
        <v>0</v>
      </c>
      <c r="P2487">
        <v>1</v>
      </c>
    </row>
    <row r="2488" spans="1:16" x14ac:dyDescent="0.2">
      <c r="A2488" t="s">
        <v>3923</v>
      </c>
      <c r="B2488" t="s">
        <v>97</v>
      </c>
      <c r="C2488" t="s">
        <v>3924</v>
      </c>
      <c r="D2488" t="s">
        <v>1897</v>
      </c>
      <c r="E2488" t="s">
        <v>96</v>
      </c>
      <c r="F2488">
        <v>99.99</v>
      </c>
      <c r="G2488" t="s">
        <v>7032</v>
      </c>
      <c r="H2488">
        <v>0</v>
      </c>
      <c r="M2488">
        <v>0</v>
      </c>
      <c r="N2488">
        <v>0</v>
      </c>
      <c r="O2488">
        <v>0</v>
      </c>
      <c r="P2488">
        <v>0</v>
      </c>
    </row>
    <row r="2489" spans="1:16" x14ac:dyDescent="0.2">
      <c r="A2489" t="s">
        <v>4150</v>
      </c>
      <c r="B2489" t="s">
        <v>97</v>
      </c>
      <c r="C2489" t="s">
        <v>4151</v>
      </c>
      <c r="D2489" t="s">
        <v>1897</v>
      </c>
      <c r="E2489" t="s">
        <v>96</v>
      </c>
      <c r="F2489">
        <v>299.99</v>
      </c>
      <c r="G2489" t="s">
        <v>7032</v>
      </c>
      <c r="H2489">
        <v>0</v>
      </c>
      <c r="M2489">
        <v>0</v>
      </c>
      <c r="N2489">
        <v>0</v>
      </c>
      <c r="O2489">
        <v>0</v>
      </c>
      <c r="P2489">
        <v>0</v>
      </c>
    </row>
    <row r="2490" spans="1:16" x14ac:dyDescent="0.2">
      <c r="A2490" t="s">
        <v>3911</v>
      </c>
      <c r="B2490" t="s">
        <v>97</v>
      </c>
      <c r="C2490" t="s">
        <v>3912</v>
      </c>
      <c r="D2490" t="s">
        <v>1897</v>
      </c>
      <c r="E2490" t="s">
        <v>96</v>
      </c>
      <c r="F2490">
        <v>109.99</v>
      </c>
      <c r="G2490" t="s">
        <v>7032</v>
      </c>
      <c r="H2490">
        <v>0</v>
      </c>
      <c r="M2490">
        <v>0</v>
      </c>
      <c r="N2490">
        <v>0</v>
      </c>
      <c r="O2490">
        <v>0</v>
      </c>
      <c r="P2490">
        <v>0</v>
      </c>
    </row>
    <row r="2491" spans="1:16" x14ac:dyDescent="0.2">
      <c r="A2491" t="s">
        <v>3926</v>
      </c>
      <c r="B2491" t="s">
        <v>97</v>
      </c>
      <c r="C2491" t="s">
        <v>3927</v>
      </c>
      <c r="D2491" t="s">
        <v>1897</v>
      </c>
      <c r="E2491" t="s">
        <v>96</v>
      </c>
      <c r="F2491">
        <v>109.99</v>
      </c>
      <c r="G2491" t="s">
        <v>7032</v>
      </c>
      <c r="H2491">
        <v>0</v>
      </c>
      <c r="M2491">
        <v>0</v>
      </c>
      <c r="N2491">
        <v>0</v>
      </c>
      <c r="O2491">
        <v>0</v>
      </c>
      <c r="P2491">
        <v>0</v>
      </c>
    </row>
    <row r="2492" spans="1:16" x14ac:dyDescent="0.2">
      <c r="A2492" t="s">
        <v>1918</v>
      </c>
      <c r="B2492" t="s">
        <v>97</v>
      </c>
      <c r="C2492" t="s">
        <v>1919</v>
      </c>
      <c r="D2492" t="s">
        <v>1897</v>
      </c>
      <c r="E2492" t="s">
        <v>290</v>
      </c>
      <c r="F2492">
        <v>99.99</v>
      </c>
      <c r="G2492" t="s">
        <v>7032</v>
      </c>
      <c r="H2492">
        <v>0</v>
      </c>
      <c r="M2492">
        <v>0</v>
      </c>
      <c r="N2492">
        <v>0</v>
      </c>
      <c r="O2492">
        <v>0</v>
      </c>
      <c r="P2492">
        <v>1</v>
      </c>
    </row>
    <row r="2493" spans="1:16" x14ac:dyDescent="0.2">
      <c r="A2493" t="s">
        <v>3865</v>
      </c>
      <c r="B2493" t="s">
        <v>97</v>
      </c>
      <c r="C2493" t="s">
        <v>3866</v>
      </c>
      <c r="D2493" t="s">
        <v>1897</v>
      </c>
      <c r="E2493" t="s">
        <v>96</v>
      </c>
      <c r="F2493">
        <v>59.99</v>
      </c>
      <c r="G2493" t="s">
        <v>7032</v>
      </c>
      <c r="H2493">
        <v>0</v>
      </c>
      <c r="M2493">
        <v>0</v>
      </c>
      <c r="N2493">
        <v>0</v>
      </c>
      <c r="O2493">
        <v>0</v>
      </c>
      <c r="P2493">
        <v>0</v>
      </c>
    </row>
    <row r="2494" spans="1:16" x14ac:dyDescent="0.2">
      <c r="A2494" t="s">
        <v>4181</v>
      </c>
      <c r="B2494" t="s">
        <v>97</v>
      </c>
      <c r="C2494" t="s">
        <v>4182</v>
      </c>
      <c r="D2494" t="s">
        <v>1897</v>
      </c>
      <c r="E2494" t="s">
        <v>96</v>
      </c>
      <c r="F2494">
        <v>99.99</v>
      </c>
      <c r="G2494" t="s">
        <v>7032</v>
      </c>
      <c r="H2494">
        <v>0</v>
      </c>
      <c r="M2494">
        <v>0</v>
      </c>
      <c r="N2494">
        <v>0</v>
      </c>
      <c r="O2494">
        <v>0</v>
      </c>
      <c r="P2494">
        <v>0</v>
      </c>
    </row>
    <row r="2495" spans="1:16" x14ac:dyDescent="0.2">
      <c r="A2495" t="s">
        <v>3917</v>
      </c>
      <c r="B2495" t="s">
        <v>97</v>
      </c>
      <c r="C2495" t="s">
        <v>3918</v>
      </c>
      <c r="D2495" t="s">
        <v>1897</v>
      </c>
      <c r="E2495" t="s">
        <v>96</v>
      </c>
      <c r="F2495">
        <v>99.99</v>
      </c>
      <c r="G2495" t="s">
        <v>7032</v>
      </c>
      <c r="H2495">
        <v>0</v>
      </c>
      <c r="M2495">
        <v>0</v>
      </c>
      <c r="N2495">
        <v>0</v>
      </c>
      <c r="O2495">
        <v>0</v>
      </c>
      <c r="P2495">
        <v>0</v>
      </c>
    </row>
    <row r="2496" spans="1:16" x14ac:dyDescent="0.2">
      <c r="A2496" t="s">
        <v>4006</v>
      </c>
      <c r="B2496" t="s">
        <v>97</v>
      </c>
      <c r="C2496" t="s">
        <v>4007</v>
      </c>
      <c r="D2496" t="s">
        <v>1897</v>
      </c>
      <c r="E2496" t="s">
        <v>96</v>
      </c>
      <c r="F2496">
        <v>119.99</v>
      </c>
      <c r="G2496" t="s">
        <v>7032</v>
      </c>
      <c r="H2496">
        <v>0</v>
      </c>
      <c r="M2496">
        <v>0</v>
      </c>
      <c r="N2496">
        <v>0</v>
      </c>
      <c r="O2496">
        <v>0</v>
      </c>
      <c r="P2496">
        <v>0</v>
      </c>
    </row>
    <row r="2497" spans="1:16" x14ac:dyDescent="0.2">
      <c r="A2497" t="s">
        <v>7730</v>
      </c>
      <c r="B2497" t="s">
        <v>97</v>
      </c>
      <c r="C2497" t="s">
        <v>7731</v>
      </c>
      <c r="D2497" t="s">
        <v>1897</v>
      </c>
      <c r="E2497" t="s">
        <v>96</v>
      </c>
      <c r="F2497">
        <v>109.99</v>
      </c>
      <c r="G2497" t="s">
        <v>7032</v>
      </c>
      <c r="H2497">
        <v>0</v>
      </c>
      <c r="M2497">
        <v>0</v>
      </c>
      <c r="N2497">
        <v>0</v>
      </c>
      <c r="O2497">
        <v>0</v>
      </c>
      <c r="P2497">
        <v>0</v>
      </c>
    </row>
    <row r="2498" spans="1:16" x14ac:dyDescent="0.2">
      <c r="A2498" t="s">
        <v>3997</v>
      </c>
      <c r="B2498" t="s">
        <v>97</v>
      </c>
      <c r="C2498" t="s">
        <v>3998</v>
      </c>
      <c r="D2498" t="s">
        <v>1897</v>
      </c>
      <c r="E2498" t="s">
        <v>96</v>
      </c>
      <c r="F2498">
        <v>44.99</v>
      </c>
      <c r="G2498" t="s">
        <v>7032</v>
      </c>
      <c r="H2498">
        <v>0</v>
      </c>
      <c r="M2498">
        <v>0</v>
      </c>
      <c r="N2498">
        <v>0</v>
      </c>
      <c r="O2498">
        <v>0</v>
      </c>
      <c r="P2498">
        <v>0</v>
      </c>
    </row>
    <row r="2499" spans="1:16" x14ac:dyDescent="0.2">
      <c r="A2499" t="s">
        <v>7732</v>
      </c>
      <c r="B2499" t="s">
        <v>97</v>
      </c>
      <c r="C2499" t="s">
        <v>7733</v>
      </c>
      <c r="D2499" t="s">
        <v>1897</v>
      </c>
      <c r="E2499" t="s">
        <v>96</v>
      </c>
      <c r="F2499">
        <v>59.99</v>
      </c>
      <c r="G2499" t="s">
        <v>7032</v>
      </c>
      <c r="H2499">
        <v>0</v>
      </c>
      <c r="M2499">
        <v>0</v>
      </c>
      <c r="N2499">
        <v>0</v>
      </c>
      <c r="O2499">
        <v>0</v>
      </c>
      <c r="P2499">
        <v>0</v>
      </c>
    </row>
    <row r="2500" spans="1:16" x14ac:dyDescent="0.2">
      <c r="A2500" t="s">
        <v>7734</v>
      </c>
      <c r="B2500" t="s">
        <v>97</v>
      </c>
      <c r="C2500" t="s">
        <v>7735</v>
      </c>
      <c r="D2500" t="s">
        <v>1897</v>
      </c>
      <c r="E2500" t="s">
        <v>96</v>
      </c>
      <c r="F2500">
        <v>69.989999999999995</v>
      </c>
      <c r="G2500" t="s">
        <v>7032</v>
      </c>
      <c r="H2500">
        <v>0</v>
      </c>
      <c r="M2500">
        <v>0</v>
      </c>
      <c r="N2500">
        <v>0</v>
      </c>
      <c r="O2500">
        <v>0</v>
      </c>
      <c r="P2500">
        <v>0</v>
      </c>
    </row>
    <row r="2501" spans="1:16" x14ac:dyDescent="0.2">
      <c r="A2501" t="s">
        <v>7736</v>
      </c>
      <c r="B2501" t="s">
        <v>97</v>
      </c>
      <c r="C2501" t="s">
        <v>7737</v>
      </c>
      <c r="D2501" t="s">
        <v>1897</v>
      </c>
      <c r="E2501" t="s">
        <v>96</v>
      </c>
      <c r="F2501">
        <v>59.99</v>
      </c>
      <c r="G2501" t="s">
        <v>7032</v>
      </c>
      <c r="H2501">
        <v>0</v>
      </c>
      <c r="M2501">
        <v>0</v>
      </c>
      <c r="N2501">
        <v>0</v>
      </c>
      <c r="O2501">
        <v>0</v>
      </c>
      <c r="P2501">
        <v>0</v>
      </c>
    </row>
    <row r="2502" spans="1:16" x14ac:dyDescent="0.2">
      <c r="A2502" t="s">
        <v>7738</v>
      </c>
      <c r="B2502" t="s">
        <v>97</v>
      </c>
      <c r="C2502" t="s">
        <v>7739</v>
      </c>
      <c r="D2502" t="s">
        <v>1897</v>
      </c>
      <c r="E2502" t="s">
        <v>96</v>
      </c>
      <c r="F2502">
        <v>59.99</v>
      </c>
      <c r="G2502" t="s">
        <v>7032</v>
      </c>
      <c r="H2502">
        <v>0</v>
      </c>
      <c r="M2502">
        <v>0</v>
      </c>
      <c r="N2502">
        <v>0</v>
      </c>
      <c r="O2502">
        <v>0</v>
      </c>
      <c r="P2502">
        <v>0</v>
      </c>
    </row>
    <row r="2503" spans="1:16" x14ac:dyDescent="0.2">
      <c r="A2503" t="s">
        <v>7740</v>
      </c>
      <c r="B2503" t="s">
        <v>97</v>
      </c>
      <c r="C2503" t="s">
        <v>7741</v>
      </c>
      <c r="D2503" t="s">
        <v>1897</v>
      </c>
      <c r="E2503" t="s">
        <v>96</v>
      </c>
      <c r="F2503">
        <v>59.99</v>
      </c>
      <c r="G2503" t="s">
        <v>7032</v>
      </c>
      <c r="H2503">
        <v>0</v>
      </c>
      <c r="M2503">
        <v>0</v>
      </c>
      <c r="N2503">
        <v>0</v>
      </c>
      <c r="O2503">
        <v>0</v>
      </c>
      <c r="P2503">
        <v>0</v>
      </c>
    </row>
    <row r="2504" spans="1:16" x14ac:dyDescent="0.2">
      <c r="A2504" t="s">
        <v>4168</v>
      </c>
      <c r="B2504" t="s">
        <v>97</v>
      </c>
      <c r="C2504" t="s">
        <v>4169</v>
      </c>
      <c r="D2504" t="s">
        <v>1897</v>
      </c>
      <c r="E2504" t="s">
        <v>96</v>
      </c>
      <c r="F2504">
        <v>34.99</v>
      </c>
      <c r="G2504" t="s">
        <v>7032</v>
      </c>
      <c r="H2504">
        <v>0</v>
      </c>
      <c r="M2504">
        <v>0</v>
      </c>
      <c r="N2504">
        <v>0</v>
      </c>
      <c r="O2504">
        <v>0</v>
      </c>
      <c r="P2504">
        <v>0</v>
      </c>
    </row>
    <row r="2505" spans="1:16" x14ac:dyDescent="0.2">
      <c r="A2505" t="s">
        <v>3908</v>
      </c>
      <c r="B2505" t="s">
        <v>97</v>
      </c>
      <c r="C2505" t="s">
        <v>3909</v>
      </c>
      <c r="D2505" t="s">
        <v>1897</v>
      </c>
      <c r="E2505" t="s">
        <v>96</v>
      </c>
      <c r="F2505">
        <v>99.99</v>
      </c>
      <c r="G2505" t="s">
        <v>7032</v>
      </c>
      <c r="H2505">
        <v>0</v>
      </c>
      <c r="M2505">
        <v>0</v>
      </c>
      <c r="N2505">
        <v>0</v>
      </c>
      <c r="O2505">
        <v>0</v>
      </c>
      <c r="P2505">
        <v>0</v>
      </c>
    </row>
    <row r="2506" spans="1:16" x14ac:dyDescent="0.2">
      <c r="A2506" t="s">
        <v>4178</v>
      </c>
      <c r="B2506" t="s">
        <v>97</v>
      </c>
      <c r="C2506" t="s">
        <v>4179</v>
      </c>
      <c r="D2506" t="s">
        <v>1897</v>
      </c>
      <c r="E2506" t="s">
        <v>96</v>
      </c>
      <c r="F2506">
        <v>99.99</v>
      </c>
      <c r="G2506" t="s">
        <v>7032</v>
      </c>
      <c r="H2506">
        <v>0</v>
      </c>
      <c r="M2506">
        <v>0</v>
      </c>
      <c r="N2506">
        <v>0</v>
      </c>
      <c r="O2506">
        <v>0</v>
      </c>
      <c r="P2506">
        <v>0</v>
      </c>
    </row>
    <row r="2507" spans="1:16" x14ac:dyDescent="0.2">
      <c r="A2507" t="s">
        <v>7742</v>
      </c>
      <c r="B2507" t="s">
        <v>97</v>
      </c>
      <c r="C2507" t="s">
        <v>7743</v>
      </c>
      <c r="D2507" t="s">
        <v>1897</v>
      </c>
      <c r="E2507" t="s">
        <v>96</v>
      </c>
      <c r="F2507">
        <v>69.989999999999995</v>
      </c>
      <c r="G2507" t="s">
        <v>7032</v>
      </c>
      <c r="H2507">
        <v>0</v>
      </c>
      <c r="M2507">
        <v>0</v>
      </c>
      <c r="N2507">
        <v>0</v>
      </c>
      <c r="O2507">
        <v>0</v>
      </c>
      <c r="P2507">
        <v>0</v>
      </c>
    </row>
    <row r="2508" spans="1:16" x14ac:dyDescent="0.2">
      <c r="A2508" t="s">
        <v>3795</v>
      </c>
      <c r="B2508" t="s">
        <v>97</v>
      </c>
      <c r="C2508" t="s">
        <v>3796</v>
      </c>
      <c r="D2508" t="s">
        <v>1897</v>
      </c>
      <c r="E2508" t="s">
        <v>96</v>
      </c>
      <c r="F2508">
        <v>34.99</v>
      </c>
      <c r="G2508" t="s">
        <v>7032</v>
      </c>
      <c r="H2508">
        <v>0</v>
      </c>
      <c r="M2508">
        <v>0</v>
      </c>
      <c r="N2508">
        <v>0</v>
      </c>
      <c r="O2508">
        <v>0</v>
      </c>
      <c r="P2508">
        <v>3</v>
      </c>
    </row>
    <row r="2509" spans="1:16" x14ac:dyDescent="0.2">
      <c r="A2509" t="s">
        <v>3899</v>
      </c>
      <c r="B2509" t="s">
        <v>97</v>
      </c>
      <c r="C2509" t="s">
        <v>3900</v>
      </c>
      <c r="D2509" t="s">
        <v>1897</v>
      </c>
      <c r="E2509" t="s">
        <v>96</v>
      </c>
      <c r="F2509">
        <v>49.99</v>
      </c>
      <c r="G2509" t="s">
        <v>7032</v>
      </c>
      <c r="H2509">
        <v>0</v>
      </c>
      <c r="M2509">
        <v>0</v>
      </c>
      <c r="N2509">
        <v>0</v>
      </c>
      <c r="O2509">
        <v>0</v>
      </c>
      <c r="P2509">
        <v>0</v>
      </c>
    </row>
    <row r="2510" spans="1:16" x14ac:dyDescent="0.2">
      <c r="A2510" t="s">
        <v>4003</v>
      </c>
      <c r="B2510" t="s">
        <v>97</v>
      </c>
      <c r="C2510" t="s">
        <v>4004</v>
      </c>
      <c r="D2510" t="s">
        <v>1897</v>
      </c>
      <c r="E2510" t="s">
        <v>96</v>
      </c>
      <c r="F2510">
        <v>69.989999999999995</v>
      </c>
      <c r="G2510" t="s">
        <v>7032</v>
      </c>
      <c r="H2510">
        <v>0</v>
      </c>
      <c r="M2510">
        <v>0</v>
      </c>
      <c r="N2510">
        <v>0</v>
      </c>
      <c r="O2510">
        <v>0</v>
      </c>
      <c r="P2510">
        <v>0</v>
      </c>
    </row>
    <row r="2511" spans="1:16" x14ac:dyDescent="0.2">
      <c r="A2511" t="s">
        <v>7744</v>
      </c>
      <c r="B2511" t="s">
        <v>97</v>
      </c>
      <c r="C2511" t="s">
        <v>7745</v>
      </c>
      <c r="D2511" t="s">
        <v>1897</v>
      </c>
      <c r="E2511" t="s">
        <v>96</v>
      </c>
      <c r="F2511">
        <v>59.99</v>
      </c>
      <c r="G2511" t="s">
        <v>7032</v>
      </c>
      <c r="H2511">
        <v>0</v>
      </c>
      <c r="M2511">
        <v>0</v>
      </c>
      <c r="N2511">
        <v>0</v>
      </c>
      <c r="O2511">
        <v>0</v>
      </c>
      <c r="P2511">
        <v>0</v>
      </c>
    </row>
    <row r="2512" spans="1:16" x14ac:dyDescent="0.2">
      <c r="A2512" t="s">
        <v>2967</v>
      </c>
      <c r="B2512" t="s">
        <v>97</v>
      </c>
      <c r="C2512" t="s">
        <v>2968</v>
      </c>
      <c r="D2512" t="s">
        <v>2928</v>
      </c>
      <c r="E2512" t="s">
        <v>96</v>
      </c>
      <c r="F2512">
        <v>39.99</v>
      </c>
      <c r="G2512" t="s">
        <v>7032</v>
      </c>
      <c r="H2512">
        <v>0</v>
      </c>
      <c r="M2512">
        <v>0</v>
      </c>
      <c r="N2512">
        <v>0</v>
      </c>
      <c r="O2512">
        <v>0</v>
      </c>
      <c r="P2512">
        <v>0</v>
      </c>
    </row>
    <row r="2513" spans="1:16" x14ac:dyDescent="0.2">
      <c r="A2513" t="s">
        <v>7746</v>
      </c>
      <c r="B2513" t="s">
        <v>97</v>
      </c>
      <c r="C2513" t="s">
        <v>7747</v>
      </c>
      <c r="D2513" t="s">
        <v>2502</v>
      </c>
      <c r="E2513" t="s">
        <v>96</v>
      </c>
      <c r="F2513">
        <v>39.99</v>
      </c>
      <c r="G2513" t="s">
        <v>7032</v>
      </c>
      <c r="H2513">
        <v>0</v>
      </c>
      <c r="M2513">
        <v>0</v>
      </c>
      <c r="N2513">
        <v>0</v>
      </c>
      <c r="O2513">
        <v>0</v>
      </c>
      <c r="P2513">
        <v>0</v>
      </c>
    </row>
    <row r="2514" spans="1:16" x14ac:dyDescent="0.2">
      <c r="A2514" t="s">
        <v>6509</v>
      </c>
      <c r="B2514" t="s">
        <v>97</v>
      </c>
      <c r="C2514" t="s">
        <v>6510</v>
      </c>
      <c r="D2514" t="s">
        <v>2987</v>
      </c>
      <c r="E2514" t="s">
        <v>96</v>
      </c>
      <c r="F2514">
        <v>139.99</v>
      </c>
      <c r="G2514" t="s">
        <v>7032</v>
      </c>
      <c r="H2514">
        <v>0</v>
      </c>
      <c r="M2514">
        <v>0</v>
      </c>
      <c r="N2514">
        <v>0</v>
      </c>
      <c r="O2514">
        <v>0</v>
      </c>
      <c r="P2514">
        <v>1</v>
      </c>
    </row>
    <row r="2515" spans="1:16" x14ac:dyDescent="0.2">
      <c r="A2515" t="s">
        <v>2691</v>
      </c>
      <c r="B2515" t="s">
        <v>97</v>
      </c>
      <c r="C2515" t="s">
        <v>2692</v>
      </c>
      <c r="D2515" t="s">
        <v>2502</v>
      </c>
      <c r="E2515" t="s">
        <v>228</v>
      </c>
      <c r="F2515">
        <v>249.99</v>
      </c>
      <c r="G2515" t="s">
        <v>7032</v>
      </c>
      <c r="H2515">
        <v>0</v>
      </c>
      <c r="M2515">
        <v>0</v>
      </c>
      <c r="N2515">
        <v>0</v>
      </c>
      <c r="O2515">
        <v>0</v>
      </c>
      <c r="P2515">
        <v>0</v>
      </c>
    </row>
    <row r="2516" spans="1:16" x14ac:dyDescent="0.2">
      <c r="A2516" t="s">
        <v>6949</v>
      </c>
      <c r="B2516" t="s">
        <v>97</v>
      </c>
      <c r="C2516" t="s">
        <v>6950</v>
      </c>
      <c r="D2516" t="s">
        <v>2987</v>
      </c>
      <c r="E2516" t="s">
        <v>96</v>
      </c>
      <c r="F2516">
        <v>109.99</v>
      </c>
      <c r="G2516" t="s">
        <v>7032</v>
      </c>
      <c r="H2516">
        <v>0</v>
      </c>
      <c r="M2516">
        <v>0</v>
      </c>
      <c r="N2516">
        <v>0</v>
      </c>
      <c r="O2516">
        <v>0</v>
      </c>
      <c r="P2516">
        <v>0</v>
      </c>
    </row>
    <row r="2517" spans="1:16" x14ac:dyDescent="0.2">
      <c r="A2517" t="s">
        <v>2697</v>
      </c>
      <c r="B2517" t="s">
        <v>97</v>
      </c>
      <c r="C2517" t="s">
        <v>2698</v>
      </c>
      <c r="D2517" t="s">
        <v>2502</v>
      </c>
      <c r="E2517" t="s">
        <v>228</v>
      </c>
      <c r="F2517">
        <v>89.99</v>
      </c>
      <c r="G2517" t="s">
        <v>7032</v>
      </c>
      <c r="H2517">
        <v>0</v>
      </c>
      <c r="M2517">
        <v>0</v>
      </c>
      <c r="N2517">
        <v>0.33333333333333331</v>
      </c>
      <c r="O2517">
        <v>0</v>
      </c>
      <c r="P2517">
        <v>0</v>
      </c>
    </row>
    <row r="2518" spans="1:16" x14ac:dyDescent="0.2">
      <c r="A2518" t="s">
        <v>5825</v>
      </c>
      <c r="B2518" t="s">
        <v>97</v>
      </c>
      <c r="C2518" t="s">
        <v>5826</v>
      </c>
      <c r="D2518" t="s">
        <v>2852</v>
      </c>
      <c r="E2518" t="s">
        <v>96</v>
      </c>
      <c r="F2518">
        <v>469.99</v>
      </c>
      <c r="G2518" t="s">
        <v>7032</v>
      </c>
      <c r="H2518">
        <v>0</v>
      </c>
      <c r="M2518">
        <v>0</v>
      </c>
      <c r="N2518">
        <v>0</v>
      </c>
      <c r="O2518">
        <v>0</v>
      </c>
      <c r="P2518">
        <v>0</v>
      </c>
    </row>
    <row r="2519" spans="1:16" x14ac:dyDescent="0.2">
      <c r="A2519" t="s">
        <v>6046</v>
      </c>
      <c r="B2519" t="s">
        <v>97</v>
      </c>
      <c r="C2519" t="s">
        <v>6047</v>
      </c>
      <c r="D2519" t="s">
        <v>2502</v>
      </c>
      <c r="E2519" t="s">
        <v>96</v>
      </c>
      <c r="F2519">
        <v>79.989999999999995</v>
      </c>
      <c r="G2519" t="s">
        <v>7032</v>
      </c>
      <c r="H2519">
        <v>0</v>
      </c>
      <c r="M2519">
        <v>0</v>
      </c>
      <c r="N2519">
        <v>0</v>
      </c>
      <c r="O2519">
        <v>0</v>
      </c>
      <c r="P2519">
        <v>0</v>
      </c>
    </row>
    <row r="2520" spans="1:16" x14ac:dyDescent="0.2">
      <c r="A2520" t="s">
        <v>6663</v>
      </c>
      <c r="B2520" t="s">
        <v>97</v>
      </c>
      <c r="C2520" t="s">
        <v>6664</v>
      </c>
      <c r="D2520" t="s">
        <v>2987</v>
      </c>
      <c r="E2520" t="s">
        <v>96</v>
      </c>
      <c r="F2520">
        <v>89.99</v>
      </c>
      <c r="G2520" t="s">
        <v>7032</v>
      </c>
      <c r="H2520">
        <v>0</v>
      </c>
      <c r="M2520">
        <v>0</v>
      </c>
      <c r="N2520">
        <v>0</v>
      </c>
      <c r="O2520">
        <v>0</v>
      </c>
      <c r="P2520">
        <v>0</v>
      </c>
    </row>
    <row r="2521" spans="1:16" x14ac:dyDescent="0.2">
      <c r="A2521" t="s">
        <v>5822</v>
      </c>
      <c r="B2521" t="s">
        <v>97</v>
      </c>
      <c r="C2521" t="s">
        <v>5823</v>
      </c>
      <c r="D2521" t="s">
        <v>2852</v>
      </c>
      <c r="E2521" t="s">
        <v>96</v>
      </c>
      <c r="F2521">
        <v>119.99</v>
      </c>
      <c r="G2521" t="s">
        <v>7032</v>
      </c>
      <c r="H2521">
        <v>0</v>
      </c>
      <c r="M2521">
        <v>0</v>
      </c>
      <c r="N2521">
        <v>0</v>
      </c>
      <c r="O2521">
        <v>0</v>
      </c>
      <c r="P2521">
        <v>0</v>
      </c>
    </row>
    <row r="2522" spans="1:16" x14ac:dyDescent="0.2">
      <c r="A2522" t="s">
        <v>6580</v>
      </c>
      <c r="B2522" t="s">
        <v>97</v>
      </c>
      <c r="C2522" t="s">
        <v>6581</v>
      </c>
      <c r="D2522" t="s">
        <v>2987</v>
      </c>
      <c r="E2522" t="s">
        <v>96</v>
      </c>
      <c r="F2522">
        <v>59.99</v>
      </c>
      <c r="G2522" t="s">
        <v>7032</v>
      </c>
      <c r="H2522">
        <v>0</v>
      </c>
      <c r="M2522">
        <v>0</v>
      </c>
      <c r="N2522">
        <v>0</v>
      </c>
      <c r="O2522">
        <v>0</v>
      </c>
      <c r="P2522">
        <v>0</v>
      </c>
    </row>
    <row r="2523" spans="1:16" x14ac:dyDescent="0.2">
      <c r="A2523" t="s">
        <v>7748</v>
      </c>
      <c r="B2523" t="s">
        <v>97</v>
      </c>
      <c r="C2523" t="s">
        <v>7749</v>
      </c>
      <c r="D2523" t="s">
        <v>2502</v>
      </c>
      <c r="E2523" t="s">
        <v>96</v>
      </c>
      <c r="F2523">
        <v>79.989999999999995</v>
      </c>
      <c r="G2523" t="s">
        <v>7032</v>
      </c>
      <c r="H2523">
        <v>0</v>
      </c>
      <c r="M2523">
        <v>0</v>
      </c>
      <c r="N2523">
        <v>0</v>
      </c>
      <c r="O2523">
        <v>0</v>
      </c>
      <c r="P2523">
        <v>0</v>
      </c>
    </row>
    <row r="2524" spans="1:16" x14ac:dyDescent="0.2">
      <c r="A2524" t="s">
        <v>6678</v>
      </c>
      <c r="B2524" t="s">
        <v>97</v>
      </c>
      <c r="C2524" t="s">
        <v>6679</v>
      </c>
      <c r="D2524" t="s">
        <v>2987</v>
      </c>
      <c r="E2524" t="s">
        <v>96</v>
      </c>
      <c r="F2524">
        <v>59.99</v>
      </c>
      <c r="G2524" t="s">
        <v>7032</v>
      </c>
      <c r="H2524">
        <v>0</v>
      </c>
      <c r="M2524">
        <v>0</v>
      </c>
      <c r="N2524">
        <v>0</v>
      </c>
      <c r="O2524">
        <v>0</v>
      </c>
      <c r="P2524">
        <v>14</v>
      </c>
    </row>
    <row r="2525" spans="1:16" x14ac:dyDescent="0.2">
      <c r="A2525" t="s">
        <v>7750</v>
      </c>
      <c r="B2525" t="s">
        <v>97</v>
      </c>
      <c r="C2525" t="s">
        <v>7751</v>
      </c>
      <c r="D2525" t="s">
        <v>2987</v>
      </c>
      <c r="E2525" t="s">
        <v>96</v>
      </c>
      <c r="F2525">
        <v>64.989999999999995</v>
      </c>
      <c r="G2525" t="s">
        <v>7032</v>
      </c>
      <c r="H2525">
        <v>0</v>
      </c>
      <c r="M2525">
        <v>0</v>
      </c>
      <c r="N2525">
        <v>0</v>
      </c>
      <c r="O2525">
        <v>0</v>
      </c>
      <c r="P2525">
        <v>0</v>
      </c>
    </row>
    <row r="2526" spans="1:16" x14ac:dyDescent="0.2">
      <c r="A2526" t="s">
        <v>6920</v>
      </c>
      <c r="B2526" t="s">
        <v>97</v>
      </c>
      <c r="C2526" t="s">
        <v>6921</v>
      </c>
      <c r="D2526" t="s">
        <v>2987</v>
      </c>
      <c r="E2526" t="s">
        <v>96</v>
      </c>
      <c r="F2526">
        <v>119.99</v>
      </c>
      <c r="G2526" t="s">
        <v>7032</v>
      </c>
      <c r="H2526">
        <v>0</v>
      </c>
      <c r="M2526">
        <v>0</v>
      </c>
      <c r="N2526">
        <v>0</v>
      </c>
      <c r="O2526">
        <v>0</v>
      </c>
      <c r="P2526">
        <v>0</v>
      </c>
    </row>
    <row r="2527" spans="1:16" x14ac:dyDescent="0.2">
      <c r="A2527" t="s">
        <v>6952</v>
      </c>
      <c r="B2527" t="s">
        <v>97</v>
      </c>
      <c r="C2527" t="s">
        <v>6953</v>
      </c>
      <c r="D2527" t="s">
        <v>6954</v>
      </c>
      <c r="E2527" t="s">
        <v>96</v>
      </c>
      <c r="F2527">
        <v>109.99</v>
      </c>
      <c r="G2527" t="s">
        <v>7032</v>
      </c>
      <c r="H2527">
        <v>0</v>
      </c>
      <c r="M2527">
        <v>0</v>
      </c>
      <c r="N2527">
        <v>0</v>
      </c>
      <c r="O2527">
        <v>0</v>
      </c>
      <c r="P2527">
        <v>0</v>
      </c>
    </row>
    <row r="2528" spans="1:16" x14ac:dyDescent="0.2">
      <c r="A2528" t="s">
        <v>6651</v>
      </c>
      <c r="B2528" t="s">
        <v>97</v>
      </c>
      <c r="C2528" t="s">
        <v>6652</v>
      </c>
      <c r="D2528" t="s">
        <v>2987</v>
      </c>
      <c r="E2528" t="s">
        <v>96</v>
      </c>
      <c r="F2528">
        <v>119.99</v>
      </c>
      <c r="G2528" t="s">
        <v>7032</v>
      </c>
      <c r="H2528">
        <v>0</v>
      </c>
      <c r="M2528">
        <v>0</v>
      </c>
      <c r="N2528">
        <v>0</v>
      </c>
      <c r="O2528">
        <v>0</v>
      </c>
      <c r="P2528">
        <v>0</v>
      </c>
    </row>
    <row r="2529" spans="1:16" x14ac:dyDescent="0.2">
      <c r="A2529" t="s">
        <v>3051</v>
      </c>
      <c r="B2529" t="s">
        <v>97</v>
      </c>
      <c r="C2529" t="s">
        <v>3052</v>
      </c>
      <c r="D2529" t="s">
        <v>2987</v>
      </c>
      <c r="E2529" t="s">
        <v>228</v>
      </c>
      <c r="F2529">
        <v>139.99</v>
      </c>
      <c r="G2529" t="s">
        <v>7032</v>
      </c>
      <c r="H2529">
        <v>0</v>
      </c>
      <c r="M2529">
        <v>0</v>
      </c>
      <c r="N2529">
        <v>0</v>
      </c>
      <c r="O2529">
        <v>0</v>
      </c>
      <c r="P2529">
        <v>0</v>
      </c>
    </row>
    <row r="2530" spans="1:16" x14ac:dyDescent="0.2">
      <c r="A2530" t="s">
        <v>4200</v>
      </c>
      <c r="B2530" t="s">
        <v>97</v>
      </c>
      <c r="C2530" t="s">
        <v>4201</v>
      </c>
      <c r="D2530" t="s">
        <v>2852</v>
      </c>
      <c r="E2530" t="s">
        <v>96</v>
      </c>
      <c r="F2530">
        <v>29.99</v>
      </c>
      <c r="G2530" t="s">
        <v>7032</v>
      </c>
      <c r="H2530">
        <v>0</v>
      </c>
      <c r="M2530">
        <v>0</v>
      </c>
      <c r="N2530">
        <v>0</v>
      </c>
      <c r="O2530">
        <v>0</v>
      </c>
      <c r="P2530">
        <v>0</v>
      </c>
    </row>
    <row r="2531" spans="1:16" x14ac:dyDescent="0.2">
      <c r="A2531" t="s">
        <v>2979</v>
      </c>
      <c r="B2531" t="s">
        <v>97</v>
      </c>
      <c r="C2531" t="s">
        <v>2980</v>
      </c>
      <c r="D2531" t="s">
        <v>2928</v>
      </c>
      <c r="E2531" t="s">
        <v>96</v>
      </c>
      <c r="F2531">
        <v>69.989999999999995</v>
      </c>
      <c r="G2531" t="s">
        <v>7032</v>
      </c>
      <c r="H2531">
        <v>0</v>
      </c>
      <c r="M2531">
        <v>0</v>
      </c>
      <c r="N2531">
        <v>0</v>
      </c>
      <c r="O2531">
        <v>0</v>
      </c>
      <c r="P2531">
        <v>0</v>
      </c>
    </row>
    <row r="2532" spans="1:16" x14ac:dyDescent="0.2">
      <c r="A2532" t="s">
        <v>2919</v>
      </c>
      <c r="B2532" t="s">
        <v>97</v>
      </c>
      <c r="C2532" t="s">
        <v>2920</v>
      </c>
      <c r="D2532" t="s">
        <v>2852</v>
      </c>
      <c r="E2532" t="s">
        <v>228</v>
      </c>
      <c r="F2532">
        <v>499.99</v>
      </c>
      <c r="G2532" t="s">
        <v>7032</v>
      </c>
      <c r="H2532">
        <v>0</v>
      </c>
      <c r="M2532">
        <v>0</v>
      </c>
      <c r="N2532">
        <v>0</v>
      </c>
      <c r="O2532">
        <v>0</v>
      </c>
      <c r="P2532">
        <v>0</v>
      </c>
    </row>
    <row r="2533" spans="1:16" x14ac:dyDescent="0.2">
      <c r="A2533" t="s">
        <v>2975</v>
      </c>
      <c r="B2533" t="s">
        <v>97</v>
      </c>
      <c r="C2533" t="s">
        <v>2976</v>
      </c>
      <c r="D2533" t="s">
        <v>2928</v>
      </c>
      <c r="E2533" t="s">
        <v>290</v>
      </c>
      <c r="F2533">
        <v>119.99</v>
      </c>
      <c r="G2533" t="s">
        <v>7032</v>
      </c>
      <c r="H2533">
        <v>0</v>
      </c>
      <c r="M2533">
        <v>0</v>
      </c>
      <c r="N2533">
        <v>0</v>
      </c>
      <c r="O2533">
        <v>0</v>
      </c>
      <c r="P2533">
        <v>1</v>
      </c>
    </row>
    <row r="2534" spans="1:16" x14ac:dyDescent="0.2">
      <c r="A2534" t="s">
        <v>2887</v>
      </c>
      <c r="B2534" t="s">
        <v>97</v>
      </c>
      <c r="C2534" t="s">
        <v>2888</v>
      </c>
      <c r="D2534" t="s">
        <v>2852</v>
      </c>
      <c r="E2534" t="s">
        <v>228</v>
      </c>
      <c r="F2534">
        <v>329.99</v>
      </c>
      <c r="G2534" t="s">
        <v>7032</v>
      </c>
      <c r="H2534">
        <v>0</v>
      </c>
      <c r="M2534">
        <v>0</v>
      </c>
      <c r="N2534">
        <v>0</v>
      </c>
      <c r="O2534">
        <v>0</v>
      </c>
      <c r="P2534">
        <v>0</v>
      </c>
    </row>
    <row r="2535" spans="1:16" x14ac:dyDescent="0.2">
      <c r="A2535" t="s">
        <v>2953</v>
      </c>
      <c r="B2535" t="s">
        <v>97</v>
      </c>
      <c r="C2535" t="s">
        <v>2954</v>
      </c>
      <c r="D2535" t="s">
        <v>2928</v>
      </c>
      <c r="E2535" t="s">
        <v>96</v>
      </c>
      <c r="F2535">
        <v>89.99</v>
      </c>
      <c r="G2535" t="s">
        <v>7032</v>
      </c>
      <c r="H2535">
        <v>0</v>
      </c>
      <c r="M2535">
        <v>0</v>
      </c>
      <c r="N2535">
        <v>0</v>
      </c>
      <c r="O2535">
        <v>0</v>
      </c>
      <c r="P2535">
        <v>0</v>
      </c>
    </row>
    <row r="2536" spans="1:16" x14ac:dyDescent="0.2">
      <c r="A2536" t="s">
        <v>2971</v>
      </c>
      <c r="B2536" t="s">
        <v>97</v>
      </c>
      <c r="C2536" t="s">
        <v>2972</v>
      </c>
      <c r="D2536" t="s">
        <v>2928</v>
      </c>
      <c r="E2536" t="s">
        <v>96</v>
      </c>
      <c r="F2536">
        <v>99.99</v>
      </c>
      <c r="G2536" t="s">
        <v>7032</v>
      </c>
      <c r="H2536">
        <v>0</v>
      </c>
      <c r="M2536">
        <v>0</v>
      </c>
      <c r="N2536">
        <v>0</v>
      </c>
      <c r="O2536">
        <v>0</v>
      </c>
      <c r="P2536">
        <v>0</v>
      </c>
    </row>
    <row r="2537" spans="1:16" x14ac:dyDescent="0.2">
      <c r="A2537" t="s">
        <v>6443</v>
      </c>
      <c r="B2537" t="s">
        <v>97</v>
      </c>
      <c r="C2537" t="s">
        <v>6444</v>
      </c>
      <c r="D2537" t="s">
        <v>2928</v>
      </c>
      <c r="E2537" t="s">
        <v>96</v>
      </c>
      <c r="F2537">
        <v>149.99</v>
      </c>
      <c r="G2537" t="s">
        <v>7032</v>
      </c>
      <c r="H2537">
        <v>0</v>
      </c>
      <c r="M2537">
        <v>0</v>
      </c>
      <c r="N2537">
        <v>0</v>
      </c>
      <c r="O2537">
        <v>0</v>
      </c>
      <c r="P2537">
        <v>0</v>
      </c>
    </row>
    <row r="2538" spans="1:16" x14ac:dyDescent="0.2">
      <c r="A2538" t="s">
        <v>7752</v>
      </c>
      <c r="B2538" t="s">
        <v>97</v>
      </c>
      <c r="C2538" t="s">
        <v>7753</v>
      </c>
      <c r="D2538" t="s">
        <v>2852</v>
      </c>
      <c r="E2538" t="s">
        <v>96</v>
      </c>
      <c r="F2538">
        <v>29.99</v>
      </c>
      <c r="G2538" t="s">
        <v>7032</v>
      </c>
      <c r="H2538">
        <v>0</v>
      </c>
      <c r="M2538">
        <v>0</v>
      </c>
      <c r="N2538">
        <v>0</v>
      </c>
      <c r="O2538">
        <v>0</v>
      </c>
      <c r="P2538">
        <v>0</v>
      </c>
    </row>
    <row r="2539" spans="1:16" x14ac:dyDescent="0.2">
      <c r="A2539" t="s">
        <v>2988</v>
      </c>
      <c r="B2539" t="s">
        <v>97</v>
      </c>
      <c r="C2539" t="s">
        <v>2989</v>
      </c>
      <c r="D2539" t="s">
        <v>2987</v>
      </c>
      <c r="E2539" t="s">
        <v>228</v>
      </c>
      <c r="F2539">
        <v>89.99</v>
      </c>
      <c r="G2539" t="s">
        <v>7032</v>
      </c>
      <c r="H2539">
        <v>8.3333333333333329E-2</v>
      </c>
      <c r="M2539">
        <v>0</v>
      </c>
      <c r="N2539">
        <v>0</v>
      </c>
      <c r="O2539">
        <v>0</v>
      </c>
      <c r="P2539">
        <v>1</v>
      </c>
    </row>
    <row r="2540" spans="1:16" x14ac:dyDescent="0.2">
      <c r="A2540" t="s">
        <v>6908</v>
      </c>
      <c r="B2540" t="s">
        <v>97</v>
      </c>
      <c r="C2540" t="s">
        <v>6909</v>
      </c>
      <c r="D2540" t="s">
        <v>2987</v>
      </c>
      <c r="E2540" t="s">
        <v>96</v>
      </c>
      <c r="F2540">
        <v>49.99</v>
      </c>
      <c r="G2540" t="s">
        <v>7032</v>
      </c>
      <c r="H2540">
        <v>0</v>
      </c>
      <c r="M2540">
        <v>0</v>
      </c>
      <c r="N2540">
        <v>0</v>
      </c>
      <c r="O2540">
        <v>0</v>
      </c>
      <c r="P2540">
        <v>0</v>
      </c>
    </row>
    <row r="2541" spans="1:16" x14ac:dyDescent="0.2">
      <c r="A2541" t="s">
        <v>6917</v>
      </c>
      <c r="B2541" t="s">
        <v>97</v>
      </c>
      <c r="C2541" t="s">
        <v>6918</v>
      </c>
      <c r="D2541" t="s">
        <v>2987</v>
      </c>
      <c r="E2541" t="s">
        <v>96</v>
      </c>
      <c r="F2541">
        <v>159.99</v>
      </c>
      <c r="G2541" t="s">
        <v>7032</v>
      </c>
      <c r="H2541">
        <v>0</v>
      </c>
      <c r="M2541">
        <v>0</v>
      </c>
      <c r="N2541">
        <v>0</v>
      </c>
      <c r="O2541">
        <v>0</v>
      </c>
      <c r="P2541">
        <v>0</v>
      </c>
    </row>
    <row r="2542" spans="1:16" x14ac:dyDescent="0.2">
      <c r="A2542" t="s">
        <v>7754</v>
      </c>
      <c r="B2542" t="s">
        <v>97</v>
      </c>
      <c r="C2542" t="s">
        <v>7755</v>
      </c>
      <c r="D2542" t="s">
        <v>2987</v>
      </c>
      <c r="E2542" t="s">
        <v>96</v>
      </c>
      <c r="F2542">
        <v>139.99</v>
      </c>
      <c r="G2542" t="s">
        <v>7032</v>
      </c>
      <c r="H2542">
        <v>0</v>
      </c>
      <c r="M2542">
        <v>0</v>
      </c>
      <c r="N2542">
        <v>0</v>
      </c>
      <c r="O2542">
        <v>0</v>
      </c>
      <c r="P2542">
        <v>0</v>
      </c>
    </row>
    <row r="2543" spans="1:16" x14ac:dyDescent="0.2">
      <c r="A2543" t="s">
        <v>4357</v>
      </c>
      <c r="B2543" t="s">
        <v>97</v>
      </c>
      <c r="C2543" t="s">
        <v>4358</v>
      </c>
      <c r="D2543" t="s">
        <v>2852</v>
      </c>
      <c r="E2543" t="s">
        <v>96</v>
      </c>
      <c r="F2543">
        <v>79.989999999999995</v>
      </c>
      <c r="G2543" t="s">
        <v>7032</v>
      </c>
      <c r="H2543">
        <v>0</v>
      </c>
      <c r="M2543">
        <v>0</v>
      </c>
      <c r="N2543">
        <v>0</v>
      </c>
      <c r="O2543">
        <v>0</v>
      </c>
      <c r="P2543">
        <v>0</v>
      </c>
    </row>
    <row r="2544" spans="1:16" x14ac:dyDescent="0.2">
      <c r="A2544" t="s">
        <v>6610</v>
      </c>
      <c r="B2544" t="s">
        <v>97</v>
      </c>
      <c r="C2544" t="s">
        <v>6611</v>
      </c>
      <c r="D2544" t="s">
        <v>2987</v>
      </c>
      <c r="E2544" t="s">
        <v>96</v>
      </c>
      <c r="F2544">
        <v>59.99</v>
      </c>
      <c r="G2544" t="s">
        <v>7032</v>
      </c>
      <c r="H2544">
        <v>0</v>
      </c>
      <c r="M2544">
        <v>0</v>
      </c>
      <c r="N2544">
        <v>0</v>
      </c>
      <c r="O2544">
        <v>0</v>
      </c>
      <c r="P2544">
        <v>0</v>
      </c>
    </row>
    <row r="2545" spans="1:16" x14ac:dyDescent="0.2">
      <c r="A2545" t="s">
        <v>6186</v>
      </c>
      <c r="B2545" t="s">
        <v>97</v>
      </c>
      <c r="C2545" t="s">
        <v>6187</v>
      </c>
      <c r="D2545" t="s">
        <v>2502</v>
      </c>
      <c r="E2545" t="s">
        <v>228</v>
      </c>
      <c r="F2545">
        <v>39.99</v>
      </c>
      <c r="G2545" t="s">
        <v>7032</v>
      </c>
      <c r="H2545">
        <v>0</v>
      </c>
      <c r="M2545">
        <v>0</v>
      </c>
      <c r="N2545">
        <v>0</v>
      </c>
      <c r="O2545">
        <v>0</v>
      </c>
      <c r="P2545">
        <v>0</v>
      </c>
    </row>
    <row r="2546" spans="1:16" x14ac:dyDescent="0.2">
      <c r="A2546" t="s">
        <v>6598</v>
      </c>
      <c r="B2546" t="s">
        <v>97</v>
      </c>
      <c r="C2546" t="s">
        <v>6599</v>
      </c>
      <c r="D2546" t="s">
        <v>2987</v>
      </c>
      <c r="E2546" t="s">
        <v>290</v>
      </c>
      <c r="F2546">
        <v>59.99</v>
      </c>
      <c r="G2546" t="s">
        <v>7032</v>
      </c>
      <c r="H2546">
        <v>0</v>
      </c>
      <c r="M2546">
        <v>0</v>
      </c>
      <c r="N2546">
        <v>0</v>
      </c>
      <c r="O2546">
        <v>0</v>
      </c>
      <c r="P2546">
        <v>0</v>
      </c>
    </row>
    <row r="2547" spans="1:16" x14ac:dyDescent="0.2">
      <c r="A2547" t="s">
        <v>6672</v>
      </c>
      <c r="B2547" t="s">
        <v>97</v>
      </c>
      <c r="C2547" t="s">
        <v>6673</v>
      </c>
      <c r="D2547" t="s">
        <v>2987</v>
      </c>
      <c r="E2547" t="s">
        <v>96</v>
      </c>
      <c r="F2547">
        <v>109.99</v>
      </c>
      <c r="G2547" t="s">
        <v>7032</v>
      </c>
      <c r="H2547">
        <v>0</v>
      </c>
      <c r="M2547">
        <v>0</v>
      </c>
      <c r="N2547">
        <v>0</v>
      </c>
      <c r="O2547">
        <v>0</v>
      </c>
      <c r="P2547">
        <v>0</v>
      </c>
    </row>
    <row r="2548" spans="1:16" x14ac:dyDescent="0.2">
      <c r="A2548" t="s">
        <v>6193</v>
      </c>
      <c r="B2548" t="s">
        <v>97</v>
      </c>
      <c r="C2548" t="s">
        <v>6194</v>
      </c>
      <c r="D2548" t="s">
        <v>2502</v>
      </c>
      <c r="E2548" t="s">
        <v>290</v>
      </c>
      <c r="F2548">
        <v>39.99</v>
      </c>
      <c r="G2548" t="s">
        <v>7032</v>
      </c>
      <c r="H2548">
        <v>0</v>
      </c>
      <c r="M2548">
        <v>0</v>
      </c>
      <c r="N2548">
        <v>0</v>
      </c>
      <c r="O2548">
        <v>0</v>
      </c>
      <c r="P2548">
        <v>0</v>
      </c>
    </row>
    <row r="2549" spans="1:16" x14ac:dyDescent="0.2">
      <c r="A2549" t="s">
        <v>2923</v>
      </c>
      <c r="B2549" t="s">
        <v>97</v>
      </c>
      <c r="C2549" t="s">
        <v>2924</v>
      </c>
      <c r="D2549" t="s">
        <v>2852</v>
      </c>
      <c r="E2549" t="s">
        <v>228</v>
      </c>
      <c r="F2549">
        <v>44.99</v>
      </c>
      <c r="G2549" t="s">
        <v>7032</v>
      </c>
      <c r="H2549">
        <v>0</v>
      </c>
      <c r="M2549">
        <v>0</v>
      </c>
      <c r="N2549">
        <v>0</v>
      </c>
      <c r="O2549">
        <v>0</v>
      </c>
      <c r="P2549">
        <v>0</v>
      </c>
    </row>
    <row r="2550" spans="1:16" x14ac:dyDescent="0.2">
      <c r="A2550" t="s">
        <v>7756</v>
      </c>
      <c r="B2550" t="s">
        <v>97</v>
      </c>
      <c r="C2550" t="s">
        <v>7757</v>
      </c>
      <c r="D2550" t="s">
        <v>2987</v>
      </c>
      <c r="E2550" t="s">
        <v>96</v>
      </c>
      <c r="F2550">
        <v>189.99</v>
      </c>
      <c r="G2550" t="s">
        <v>7032</v>
      </c>
      <c r="H2550">
        <v>0</v>
      </c>
      <c r="M2550">
        <v>0</v>
      </c>
      <c r="N2550">
        <v>0</v>
      </c>
      <c r="O2550">
        <v>0</v>
      </c>
      <c r="P2550">
        <v>0</v>
      </c>
    </row>
    <row r="2551" spans="1:16" x14ac:dyDescent="0.2">
      <c r="A2551" t="s">
        <v>7758</v>
      </c>
      <c r="B2551" t="s">
        <v>97</v>
      </c>
      <c r="C2551" t="s">
        <v>7759</v>
      </c>
      <c r="D2551" t="s">
        <v>2987</v>
      </c>
      <c r="E2551" t="s">
        <v>96</v>
      </c>
      <c r="F2551">
        <v>34.99</v>
      </c>
      <c r="G2551" t="s">
        <v>7032</v>
      </c>
      <c r="H2551">
        <v>0</v>
      </c>
      <c r="M2551">
        <v>0</v>
      </c>
      <c r="N2551">
        <v>0</v>
      </c>
      <c r="O2551">
        <v>0</v>
      </c>
      <c r="P2551">
        <v>0</v>
      </c>
    </row>
    <row r="2552" spans="1:16" x14ac:dyDescent="0.2">
      <c r="A2552" t="s">
        <v>2717</v>
      </c>
      <c r="B2552" t="s">
        <v>97</v>
      </c>
      <c r="C2552" t="s">
        <v>2718</v>
      </c>
      <c r="D2552" t="s">
        <v>2502</v>
      </c>
      <c r="E2552" t="s">
        <v>228</v>
      </c>
      <c r="F2552">
        <v>17.989999999999998</v>
      </c>
      <c r="G2552" t="s">
        <v>7032</v>
      </c>
      <c r="H2552">
        <v>0</v>
      </c>
      <c r="M2552">
        <v>0</v>
      </c>
      <c r="N2552">
        <v>0.33333333333333331</v>
      </c>
      <c r="O2552">
        <v>0</v>
      </c>
      <c r="P2552">
        <v>0</v>
      </c>
    </row>
    <row r="2553" spans="1:16" x14ac:dyDescent="0.2">
      <c r="A2553" t="s">
        <v>4370</v>
      </c>
      <c r="B2553" t="s">
        <v>97</v>
      </c>
      <c r="C2553" t="s">
        <v>4371</v>
      </c>
      <c r="D2553" t="s">
        <v>2852</v>
      </c>
      <c r="E2553" t="s">
        <v>96</v>
      </c>
      <c r="F2553">
        <v>29.99</v>
      </c>
      <c r="G2553" t="s">
        <v>7032</v>
      </c>
      <c r="H2553">
        <v>0</v>
      </c>
      <c r="M2553">
        <v>0</v>
      </c>
      <c r="N2553">
        <v>0</v>
      </c>
      <c r="O2553">
        <v>0</v>
      </c>
      <c r="P2553">
        <v>0</v>
      </c>
    </row>
    <row r="2554" spans="1:16" x14ac:dyDescent="0.2">
      <c r="A2554" t="s">
        <v>2689</v>
      </c>
      <c r="B2554" t="s">
        <v>97</v>
      </c>
      <c r="C2554" t="s">
        <v>2690</v>
      </c>
      <c r="D2554" t="s">
        <v>2502</v>
      </c>
      <c r="E2554" t="s">
        <v>228</v>
      </c>
      <c r="F2554">
        <v>249.99</v>
      </c>
      <c r="G2554" t="s">
        <v>7032</v>
      </c>
      <c r="H2554">
        <v>0</v>
      </c>
      <c r="M2554">
        <v>0</v>
      </c>
      <c r="N2554">
        <v>0</v>
      </c>
      <c r="O2554">
        <v>0</v>
      </c>
      <c r="P2554">
        <v>0</v>
      </c>
    </row>
    <row r="2555" spans="1:16" x14ac:dyDescent="0.2">
      <c r="A2555" t="s">
        <v>6866</v>
      </c>
      <c r="B2555" t="s">
        <v>97</v>
      </c>
      <c r="C2555" t="s">
        <v>6867</v>
      </c>
      <c r="D2555" t="s">
        <v>2987</v>
      </c>
      <c r="E2555" t="s">
        <v>96</v>
      </c>
      <c r="F2555">
        <v>119.99</v>
      </c>
      <c r="G2555" t="s">
        <v>7032</v>
      </c>
      <c r="H2555">
        <v>0</v>
      </c>
      <c r="M2555">
        <v>0</v>
      </c>
      <c r="N2555">
        <v>0</v>
      </c>
      <c r="O2555">
        <v>0</v>
      </c>
      <c r="P2555">
        <v>0</v>
      </c>
    </row>
    <row r="2556" spans="1:16" x14ac:dyDescent="0.2">
      <c r="A2556" t="s">
        <v>5910</v>
      </c>
      <c r="B2556" t="s">
        <v>97</v>
      </c>
      <c r="C2556" t="s">
        <v>5911</v>
      </c>
      <c r="D2556" t="s">
        <v>2852</v>
      </c>
      <c r="E2556" t="s">
        <v>96</v>
      </c>
      <c r="F2556">
        <v>129.99</v>
      </c>
      <c r="G2556" t="s">
        <v>7032</v>
      </c>
      <c r="H2556">
        <v>0</v>
      </c>
      <c r="M2556">
        <v>0</v>
      </c>
      <c r="N2556">
        <v>0</v>
      </c>
      <c r="O2556">
        <v>0</v>
      </c>
      <c r="P2556">
        <v>0</v>
      </c>
    </row>
    <row r="2557" spans="1:16" x14ac:dyDescent="0.2">
      <c r="A2557" t="s">
        <v>6780</v>
      </c>
      <c r="B2557" t="s">
        <v>97</v>
      </c>
      <c r="C2557" t="s">
        <v>6781</v>
      </c>
      <c r="D2557" t="s">
        <v>2987</v>
      </c>
      <c r="E2557" t="s">
        <v>96</v>
      </c>
      <c r="F2557">
        <v>104.99</v>
      </c>
      <c r="G2557" t="s">
        <v>7032</v>
      </c>
      <c r="H2557">
        <v>0</v>
      </c>
      <c r="M2557">
        <v>0</v>
      </c>
      <c r="N2557">
        <v>0</v>
      </c>
      <c r="O2557">
        <v>0</v>
      </c>
      <c r="P2557">
        <v>0</v>
      </c>
    </row>
    <row r="2558" spans="1:16" x14ac:dyDescent="0.2">
      <c r="A2558" t="s">
        <v>7760</v>
      </c>
      <c r="B2558" t="s">
        <v>97</v>
      </c>
      <c r="C2558" t="s">
        <v>7761</v>
      </c>
      <c r="D2558" t="s">
        <v>2502</v>
      </c>
      <c r="E2558" t="s">
        <v>96</v>
      </c>
      <c r="F2558">
        <v>49.99</v>
      </c>
      <c r="G2558" t="s">
        <v>7032</v>
      </c>
      <c r="H2558">
        <v>0</v>
      </c>
      <c r="M2558">
        <v>0</v>
      </c>
      <c r="N2558">
        <v>0</v>
      </c>
      <c r="O2558">
        <v>0</v>
      </c>
      <c r="P2558">
        <v>0</v>
      </c>
    </row>
    <row r="2559" spans="1:16" x14ac:dyDescent="0.2">
      <c r="A2559" t="s">
        <v>7762</v>
      </c>
      <c r="B2559" t="s">
        <v>97</v>
      </c>
      <c r="C2559" t="s">
        <v>7763</v>
      </c>
      <c r="D2559" t="s">
        <v>2987</v>
      </c>
      <c r="E2559" t="s">
        <v>96</v>
      </c>
      <c r="F2559">
        <v>109.99</v>
      </c>
      <c r="G2559" t="s">
        <v>7032</v>
      </c>
      <c r="H2559">
        <v>0</v>
      </c>
      <c r="M2559">
        <v>0</v>
      </c>
      <c r="N2559">
        <v>0</v>
      </c>
      <c r="O2559">
        <v>0</v>
      </c>
      <c r="P2559">
        <v>0</v>
      </c>
    </row>
    <row r="2560" spans="1:16" x14ac:dyDescent="0.2">
      <c r="A2560" t="s">
        <v>6687</v>
      </c>
      <c r="B2560" t="s">
        <v>97</v>
      </c>
      <c r="C2560" t="s">
        <v>6688</v>
      </c>
      <c r="D2560" t="s">
        <v>2987</v>
      </c>
      <c r="E2560" t="s">
        <v>96</v>
      </c>
      <c r="F2560">
        <v>139.99</v>
      </c>
      <c r="G2560" t="s">
        <v>7032</v>
      </c>
      <c r="H2560">
        <v>0</v>
      </c>
      <c r="M2560">
        <v>0</v>
      </c>
      <c r="N2560">
        <v>0</v>
      </c>
      <c r="O2560">
        <v>0</v>
      </c>
      <c r="P2560">
        <v>0</v>
      </c>
    </row>
    <row r="2561" spans="1:16" x14ac:dyDescent="0.2">
      <c r="A2561" t="s">
        <v>6796</v>
      </c>
      <c r="B2561" t="s">
        <v>97</v>
      </c>
      <c r="C2561" t="s">
        <v>6797</v>
      </c>
      <c r="D2561" t="s">
        <v>2987</v>
      </c>
      <c r="E2561" t="s">
        <v>96</v>
      </c>
      <c r="F2561">
        <v>49.99</v>
      </c>
      <c r="G2561" t="s">
        <v>7032</v>
      </c>
      <c r="H2561">
        <v>0</v>
      </c>
      <c r="M2561">
        <v>0</v>
      </c>
      <c r="N2561">
        <v>0</v>
      </c>
      <c r="O2561">
        <v>0</v>
      </c>
      <c r="P2561">
        <v>2</v>
      </c>
    </row>
    <row r="2562" spans="1:16" x14ac:dyDescent="0.2">
      <c r="A2562" t="s">
        <v>4376</v>
      </c>
      <c r="B2562" t="s">
        <v>97</v>
      </c>
      <c r="C2562" t="s">
        <v>4377</v>
      </c>
      <c r="D2562" t="s">
        <v>2852</v>
      </c>
      <c r="E2562" t="s">
        <v>96</v>
      </c>
      <c r="F2562">
        <v>29.99</v>
      </c>
      <c r="G2562" t="s">
        <v>7032</v>
      </c>
      <c r="H2562">
        <v>0</v>
      </c>
      <c r="M2562">
        <v>0</v>
      </c>
      <c r="N2562">
        <v>0</v>
      </c>
      <c r="O2562">
        <v>0</v>
      </c>
      <c r="P2562">
        <v>0</v>
      </c>
    </row>
    <row r="2563" spans="1:16" x14ac:dyDescent="0.2">
      <c r="A2563" t="s">
        <v>6498</v>
      </c>
      <c r="B2563" t="s">
        <v>97</v>
      </c>
      <c r="C2563" t="s">
        <v>6499</v>
      </c>
      <c r="D2563" t="s">
        <v>2987</v>
      </c>
      <c r="E2563" t="s">
        <v>96</v>
      </c>
      <c r="F2563">
        <v>89.99</v>
      </c>
      <c r="G2563" t="s">
        <v>7032</v>
      </c>
      <c r="H2563">
        <v>0</v>
      </c>
      <c r="M2563">
        <v>0</v>
      </c>
      <c r="N2563">
        <v>0</v>
      </c>
      <c r="O2563">
        <v>0</v>
      </c>
      <c r="P2563">
        <v>0</v>
      </c>
    </row>
    <row r="2564" spans="1:16" x14ac:dyDescent="0.2">
      <c r="A2564" t="s">
        <v>7764</v>
      </c>
      <c r="B2564" t="s">
        <v>97</v>
      </c>
      <c r="C2564" t="s">
        <v>7765</v>
      </c>
      <c r="D2564" t="s">
        <v>2502</v>
      </c>
      <c r="E2564" t="s">
        <v>96</v>
      </c>
      <c r="F2564">
        <v>11.99</v>
      </c>
      <c r="G2564" t="s">
        <v>7032</v>
      </c>
      <c r="H2564">
        <v>0</v>
      </c>
      <c r="M2564">
        <v>0</v>
      </c>
      <c r="N2564">
        <v>0</v>
      </c>
      <c r="O2564">
        <v>0</v>
      </c>
      <c r="P2564">
        <v>0</v>
      </c>
    </row>
    <row r="2565" spans="1:16" x14ac:dyDescent="0.2">
      <c r="A2565" t="s">
        <v>6793</v>
      </c>
      <c r="B2565" t="s">
        <v>97</v>
      </c>
      <c r="C2565" t="s">
        <v>6794</v>
      </c>
      <c r="D2565" t="s">
        <v>2987</v>
      </c>
      <c r="E2565" t="s">
        <v>96</v>
      </c>
      <c r="F2565">
        <v>49.99</v>
      </c>
      <c r="G2565" t="s">
        <v>7032</v>
      </c>
      <c r="H2565">
        <v>0</v>
      </c>
      <c r="M2565">
        <v>0</v>
      </c>
      <c r="N2565">
        <v>0</v>
      </c>
      <c r="O2565">
        <v>0</v>
      </c>
      <c r="P2565">
        <v>3</v>
      </c>
    </row>
    <row r="2566" spans="1:16" x14ac:dyDescent="0.2">
      <c r="A2566" t="s">
        <v>6947</v>
      </c>
      <c r="B2566" t="s">
        <v>97</v>
      </c>
      <c r="C2566" t="s">
        <v>6948</v>
      </c>
      <c r="D2566" t="s">
        <v>2987</v>
      </c>
      <c r="E2566" t="s">
        <v>96</v>
      </c>
      <c r="F2566">
        <v>139.99</v>
      </c>
      <c r="G2566" t="s">
        <v>7032</v>
      </c>
      <c r="H2566">
        <v>0</v>
      </c>
      <c r="M2566">
        <v>0</v>
      </c>
      <c r="N2566">
        <v>0</v>
      </c>
      <c r="O2566">
        <v>0</v>
      </c>
      <c r="P2566">
        <v>0</v>
      </c>
    </row>
    <row r="2567" spans="1:16" x14ac:dyDescent="0.2">
      <c r="A2567" t="s">
        <v>2709</v>
      </c>
      <c r="B2567" t="s">
        <v>97</v>
      </c>
      <c r="C2567" t="s">
        <v>2710</v>
      </c>
      <c r="D2567" t="s">
        <v>2502</v>
      </c>
      <c r="E2567" t="s">
        <v>228</v>
      </c>
      <c r="F2567">
        <v>44.99</v>
      </c>
      <c r="G2567" t="s">
        <v>7032</v>
      </c>
      <c r="H2567">
        <v>0</v>
      </c>
      <c r="M2567">
        <v>0</v>
      </c>
      <c r="N2567">
        <v>0</v>
      </c>
      <c r="O2567">
        <v>0</v>
      </c>
      <c r="P2567">
        <v>2</v>
      </c>
    </row>
    <row r="2568" spans="1:16" x14ac:dyDescent="0.2">
      <c r="A2568" t="s">
        <v>5692</v>
      </c>
      <c r="B2568" t="s">
        <v>97</v>
      </c>
      <c r="C2568" t="s">
        <v>5693</v>
      </c>
      <c r="D2568" t="s">
        <v>2411</v>
      </c>
      <c r="E2568" t="s">
        <v>96</v>
      </c>
      <c r="F2568">
        <v>59.99</v>
      </c>
      <c r="G2568" t="s">
        <v>7032</v>
      </c>
      <c r="H2568">
        <v>0</v>
      </c>
      <c r="M2568">
        <v>0</v>
      </c>
      <c r="N2568">
        <v>0</v>
      </c>
      <c r="O2568">
        <v>0</v>
      </c>
      <c r="P2568">
        <v>0</v>
      </c>
    </row>
    <row r="2569" spans="1:16" x14ac:dyDescent="0.2">
      <c r="A2569" t="s">
        <v>7766</v>
      </c>
      <c r="B2569" t="s">
        <v>97</v>
      </c>
      <c r="C2569" t="s">
        <v>7767</v>
      </c>
      <c r="D2569" t="s">
        <v>1897</v>
      </c>
      <c r="E2569" t="s">
        <v>96</v>
      </c>
      <c r="F2569">
        <v>99.99</v>
      </c>
      <c r="G2569" t="s">
        <v>7032</v>
      </c>
      <c r="H2569">
        <v>0</v>
      </c>
      <c r="M2569">
        <v>0</v>
      </c>
      <c r="N2569">
        <v>0</v>
      </c>
      <c r="O2569">
        <v>0</v>
      </c>
      <c r="P2569">
        <v>0</v>
      </c>
    </row>
    <row r="2570" spans="1:16" x14ac:dyDescent="0.2">
      <c r="A2570" t="s">
        <v>6720</v>
      </c>
      <c r="B2570" t="s">
        <v>97</v>
      </c>
      <c r="C2570" t="s">
        <v>6721</v>
      </c>
      <c r="D2570" t="s">
        <v>2987</v>
      </c>
      <c r="E2570" t="s">
        <v>96</v>
      </c>
      <c r="F2570">
        <v>89.99</v>
      </c>
      <c r="G2570" t="s">
        <v>7032</v>
      </c>
      <c r="H2570">
        <v>0</v>
      </c>
      <c r="M2570">
        <v>0</v>
      </c>
      <c r="N2570">
        <v>0</v>
      </c>
      <c r="O2570">
        <v>0</v>
      </c>
      <c r="P2570">
        <v>0</v>
      </c>
    </row>
    <row r="2571" spans="1:16" x14ac:dyDescent="0.2">
      <c r="A2571" t="s">
        <v>4686</v>
      </c>
      <c r="B2571" t="s">
        <v>97</v>
      </c>
      <c r="C2571" t="s">
        <v>4687</v>
      </c>
      <c r="D2571" t="s">
        <v>446</v>
      </c>
      <c r="E2571" t="s">
        <v>96</v>
      </c>
      <c r="F2571">
        <v>27.99</v>
      </c>
      <c r="G2571" t="s">
        <v>7032</v>
      </c>
      <c r="H2571">
        <v>0</v>
      </c>
      <c r="M2571">
        <v>0</v>
      </c>
      <c r="N2571">
        <v>0</v>
      </c>
      <c r="O2571">
        <v>0</v>
      </c>
      <c r="P2571">
        <v>0</v>
      </c>
    </row>
    <row r="2572" spans="1:16" x14ac:dyDescent="0.2">
      <c r="A2572" t="s">
        <v>4488</v>
      </c>
      <c r="B2572" t="s">
        <v>97</v>
      </c>
      <c r="C2572" t="s">
        <v>4489</v>
      </c>
      <c r="D2572" t="s">
        <v>4463</v>
      </c>
      <c r="E2572" t="s">
        <v>96</v>
      </c>
      <c r="F2572">
        <v>19.989999999999998</v>
      </c>
      <c r="G2572" t="s">
        <v>7032</v>
      </c>
      <c r="H2572">
        <v>0</v>
      </c>
      <c r="M2572">
        <v>0</v>
      </c>
      <c r="N2572">
        <v>0</v>
      </c>
      <c r="O2572">
        <v>0</v>
      </c>
      <c r="P2572">
        <v>0</v>
      </c>
    </row>
    <row r="2573" spans="1:16" x14ac:dyDescent="0.2">
      <c r="A2573" t="s">
        <v>4480</v>
      </c>
      <c r="B2573" t="s">
        <v>97</v>
      </c>
      <c r="C2573" t="s">
        <v>4481</v>
      </c>
      <c r="D2573" t="s">
        <v>4463</v>
      </c>
      <c r="E2573" t="s">
        <v>96</v>
      </c>
      <c r="F2573">
        <v>44.99</v>
      </c>
      <c r="G2573" t="s">
        <v>7032</v>
      </c>
      <c r="H2573">
        <v>0</v>
      </c>
      <c r="M2573">
        <v>0</v>
      </c>
      <c r="N2573">
        <v>0</v>
      </c>
      <c r="O2573">
        <v>0</v>
      </c>
      <c r="P2573">
        <v>0</v>
      </c>
    </row>
    <row r="2574" spans="1:16" x14ac:dyDescent="0.2">
      <c r="A2574" t="s">
        <v>801</v>
      </c>
      <c r="B2574" t="s">
        <v>97</v>
      </c>
      <c r="C2574" t="s">
        <v>802</v>
      </c>
      <c r="D2574" t="s">
        <v>446</v>
      </c>
      <c r="E2574" t="s">
        <v>228</v>
      </c>
      <c r="F2574">
        <v>49.99</v>
      </c>
      <c r="G2574" t="s">
        <v>7032</v>
      </c>
      <c r="H2574">
        <v>0</v>
      </c>
      <c r="M2574">
        <v>0</v>
      </c>
      <c r="N2574">
        <v>0</v>
      </c>
      <c r="O2574">
        <v>0</v>
      </c>
      <c r="P2574">
        <v>0</v>
      </c>
    </row>
    <row r="2575" spans="1:16" x14ac:dyDescent="0.2">
      <c r="A2575" t="s">
        <v>4472</v>
      </c>
      <c r="B2575" t="s">
        <v>97</v>
      </c>
      <c r="C2575" t="s">
        <v>4473</v>
      </c>
      <c r="D2575" t="s">
        <v>4463</v>
      </c>
      <c r="E2575" t="s">
        <v>96</v>
      </c>
      <c r="F2575">
        <v>44.99</v>
      </c>
      <c r="G2575" t="s">
        <v>7032</v>
      </c>
      <c r="H2575">
        <v>0</v>
      </c>
      <c r="M2575">
        <v>0</v>
      </c>
      <c r="N2575">
        <v>0</v>
      </c>
      <c r="O2575">
        <v>0</v>
      </c>
      <c r="P2575">
        <v>4</v>
      </c>
    </row>
    <row r="2576" spans="1:16" x14ac:dyDescent="0.2">
      <c r="A2576" t="s">
        <v>4476</v>
      </c>
      <c r="B2576" t="s">
        <v>97</v>
      </c>
      <c r="C2576" t="s">
        <v>4477</v>
      </c>
      <c r="D2576" t="s">
        <v>4463</v>
      </c>
      <c r="E2576" t="s">
        <v>290</v>
      </c>
      <c r="F2576">
        <v>39.99</v>
      </c>
      <c r="G2576" t="s">
        <v>7032</v>
      </c>
      <c r="H2576">
        <v>0</v>
      </c>
      <c r="M2576">
        <v>0</v>
      </c>
      <c r="N2576">
        <v>0</v>
      </c>
      <c r="O2576">
        <v>0</v>
      </c>
      <c r="P2576">
        <v>2</v>
      </c>
    </row>
    <row r="2577" spans="1:16" x14ac:dyDescent="0.2">
      <c r="A2577" t="s">
        <v>4995</v>
      </c>
      <c r="B2577" t="s">
        <v>97</v>
      </c>
      <c r="C2577" t="s">
        <v>4996</v>
      </c>
      <c r="D2577" t="s">
        <v>446</v>
      </c>
      <c r="E2577" t="s">
        <v>290</v>
      </c>
      <c r="F2577">
        <v>29.99</v>
      </c>
      <c r="G2577" t="s">
        <v>7032</v>
      </c>
      <c r="H2577">
        <v>0</v>
      </c>
      <c r="M2577">
        <v>0</v>
      </c>
      <c r="N2577">
        <v>0</v>
      </c>
      <c r="O2577">
        <v>0</v>
      </c>
      <c r="P2577">
        <v>0</v>
      </c>
    </row>
    <row r="2578" spans="1:16" x14ac:dyDescent="0.2">
      <c r="A2578" t="s">
        <v>4991</v>
      </c>
      <c r="B2578" t="s">
        <v>97</v>
      </c>
      <c r="C2578" t="s">
        <v>7038</v>
      </c>
      <c r="D2578" t="s">
        <v>446</v>
      </c>
      <c r="E2578" t="s">
        <v>96</v>
      </c>
      <c r="F2578">
        <v>29.99</v>
      </c>
      <c r="G2578" t="s">
        <v>7032</v>
      </c>
      <c r="H2578">
        <v>0</v>
      </c>
      <c r="M2578">
        <v>0</v>
      </c>
      <c r="N2578">
        <v>0</v>
      </c>
      <c r="O2578">
        <v>0</v>
      </c>
      <c r="P2578">
        <v>0</v>
      </c>
    </row>
    <row r="2579" spans="1:16" x14ac:dyDescent="0.2">
      <c r="A2579" t="s">
        <v>4985</v>
      </c>
      <c r="B2579" t="s">
        <v>97</v>
      </c>
      <c r="C2579" t="s">
        <v>4986</v>
      </c>
      <c r="D2579" t="s">
        <v>446</v>
      </c>
      <c r="E2579" t="s">
        <v>96</v>
      </c>
      <c r="F2579">
        <v>119.99</v>
      </c>
      <c r="G2579" t="s">
        <v>7032</v>
      </c>
      <c r="H2579">
        <v>0</v>
      </c>
      <c r="M2579">
        <v>0</v>
      </c>
      <c r="N2579">
        <v>0</v>
      </c>
      <c r="O2579">
        <v>0</v>
      </c>
      <c r="P2579">
        <v>0</v>
      </c>
    </row>
    <row r="2580" spans="1:16" x14ac:dyDescent="0.2">
      <c r="A2580" t="s">
        <v>4354</v>
      </c>
      <c r="B2580" t="s">
        <v>97</v>
      </c>
      <c r="C2580" t="s">
        <v>4355</v>
      </c>
      <c r="D2580" t="s">
        <v>223</v>
      </c>
      <c r="E2580" t="s">
        <v>96</v>
      </c>
      <c r="F2580">
        <v>29.99</v>
      </c>
      <c r="G2580" t="s">
        <v>7032</v>
      </c>
      <c r="H2580">
        <v>0</v>
      </c>
      <c r="M2580">
        <v>0</v>
      </c>
      <c r="N2580">
        <v>0</v>
      </c>
      <c r="O2580">
        <v>0</v>
      </c>
      <c r="P2580">
        <v>0</v>
      </c>
    </row>
    <row r="2581" spans="1:16" x14ac:dyDescent="0.2">
      <c r="A2581" t="s">
        <v>249</v>
      </c>
      <c r="B2581" t="s">
        <v>97</v>
      </c>
      <c r="C2581" t="s">
        <v>250</v>
      </c>
      <c r="D2581" t="s">
        <v>223</v>
      </c>
      <c r="E2581" t="s">
        <v>228</v>
      </c>
      <c r="F2581">
        <v>39.99</v>
      </c>
      <c r="G2581" t="s">
        <v>7032</v>
      </c>
      <c r="H2581">
        <v>0</v>
      </c>
      <c r="M2581">
        <v>0</v>
      </c>
      <c r="N2581">
        <v>0</v>
      </c>
      <c r="O2581">
        <v>0</v>
      </c>
      <c r="P2581">
        <v>0</v>
      </c>
    </row>
    <row r="2582" spans="1:16" x14ac:dyDescent="0.2">
      <c r="A2582" t="s">
        <v>4498</v>
      </c>
      <c r="B2582" t="s">
        <v>97</v>
      </c>
      <c r="C2582" t="s">
        <v>4499</v>
      </c>
      <c r="D2582" t="s">
        <v>4463</v>
      </c>
      <c r="E2582" t="s">
        <v>96</v>
      </c>
      <c r="F2582">
        <v>19.989999999999998</v>
      </c>
      <c r="G2582" t="s">
        <v>7032</v>
      </c>
      <c r="H2582">
        <v>0</v>
      </c>
      <c r="M2582">
        <v>0</v>
      </c>
      <c r="N2582">
        <v>0</v>
      </c>
      <c r="O2582">
        <v>0</v>
      </c>
      <c r="P2582">
        <v>2</v>
      </c>
    </row>
    <row r="2583" spans="1:16" x14ac:dyDescent="0.2">
      <c r="A2583" t="s">
        <v>4246</v>
      </c>
      <c r="B2583" t="s">
        <v>97</v>
      </c>
      <c r="C2583" t="s">
        <v>4247</v>
      </c>
      <c r="D2583" t="s">
        <v>223</v>
      </c>
      <c r="E2583" t="s">
        <v>96</v>
      </c>
      <c r="F2583">
        <v>42.99</v>
      </c>
      <c r="G2583" t="s">
        <v>7032</v>
      </c>
      <c r="H2583">
        <v>0</v>
      </c>
      <c r="M2583">
        <v>0</v>
      </c>
      <c r="N2583">
        <v>0</v>
      </c>
      <c r="O2583">
        <v>0</v>
      </c>
      <c r="P2583">
        <v>0</v>
      </c>
    </row>
    <row r="2584" spans="1:16" x14ac:dyDescent="0.2">
      <c r="A2584" t="s">
        <v>4242</v>
      </c>
      <c r="B2584" t="s">
        <v>97</v>
      </c>
      <c r="C2584" t="s">
        <v>4243</v>
      </c>
      <c r="D2584" t="s">
        <v>223</v>
      </c>
      <c r="E2584" t="s">
        <v>96</v>
      </c>
      <c r="F2584">
        <v>42.99</v>
      </c>
      <c r="G2584" t="s">
        <v>7032</v>
      </c>
      <c r="H2584">
        <v>0</v>
      </c>
      <c r="M2584">
        <v>0</v>
      </c>
      <c r="N2584">
        <v>0</v>
      </c>
      <c r="O2584">
        <v>0</v>
      </c>
      <c r="P2584">
        <v>0</v>
      </c>
    </row>
    <row r="2585" spans="1:16" x14ac:dyDescent="0.2">
      <c r="A2585" t="s">
        <v>4351</v>
      </c>
      <c r="B2585" t="s">
        <v>97</v>
      </c>
      <c r="C2585" t="s">
        <v>4352</v>
      </c>
      <c r="D2585" t="s">
        <v>223</v>
      </c>
      <c r="E2585" t="s">
        <v>96</v>
      </c>
      <c r="F2585">
        <v>24.99</v>
      </c>
      <c r="G2585" t="s">
        <v>7032</v>
      </c>
      <c r="H2585">
        <v>0</v>
      </c>
      <c r="M2585">
        <v>0</v>
      </c>
      <c r="N2585">
        <v>0</v>
      </c>
      <c r="O2585">
        <v>0</v>
      </c>
      <c r="P2585">
        <v>0</v>
      </c>
    </row>
    <row r="2586" spans="1:16" x14ac:dyDescent="0.2">
      <c r="A2586" t="s">
        <v>247</v>
      </c>
      <c r="B2586" t="s">
        <v>97</v>
      </c>
      <c r="C2586" t="s">
        <v>248</v>
      </c>
      <c r="D2586" t="s">
        <v>223</v>
      </c>
      <c r="E2586" t="s">
        <v>228</v>
      </c>
      <c r="F2586">
        <v>39.99</v>
      </c>
      <c r="G2586" t="s">
        <v>7032</v>
      </c>
      <c r="H2586">
        <v>0</v>
      </c>
      <c r="M2586">
        <v>0</v>
      </c>
      <c r="N2586">
        <v>0</v>
      </c>
      <c r="O2586">
        <v>0</v>
      </c>
      <c r="P2586">
        <v>0</v>
      </c>
    </row>
    <row r="2587" spans="1:16" x14ac:dyDescent="0.2">
      <c r="A2587" t="s">
        <v>251</v>
      </c>
      <c r="B2587" t="s">
        <v>97</v>
      </c>
      <c r="C2587" t="s">
        <v>252</v>
      </c>
      <c r="D2587" t="s">
        <v>223</v>
      </c>
      <c r="E2587" t="s">
        <v>228</v>
      </c>
      <c r="F2587">
        <v>79.989999999999995</v>
      </c>
      <c r="G2587" t="s">
        <v>7032</v>
      </c>
      <c r="H2587">
        <v>0</v>
      </c>
      <c r="M2587">
        <v>0</v>
      </c>
      <c r="N2587">
        <v>0</v>
      </c>
      <c r="O2587">
        <v>0</v>
      </c>
      <c r="P2587">
        <v>0</v>
      </c>
    </row>
    <row r="2588" spans="1:16" x14ac:dyDescent="0.2">
      <c r="A2588" t="s">
        <v>273</v>
      </c>
      <c r="B2588" t="s">
        <v>97</v>
      </c>
      <c r="C2588" t="s">
        <v>274</v>
      </c>
      <c r="D2588" t="s">
        <v>223</v>
      </c>
      <c r="E2588" t="s">
        <v>228</v>
      </c>
      <c r="F2588">
        <v>59.99</v>
      </c>
      <c r="G2588" t="s">
        <v>7032</v>
      </c>
      <c r="H2588">
        <v>0</v>
      </c>
      <c r="M2588">
        <v>0</v>
      </c>
      <c r="N2588">
        <v>0</v>
      </c>
      <c r="O2588">
        <v>0</v>
      </c>
      <c r="P2588">
        <v>0</v>
      </c>
    </row>
    <row r="2589" spans="1:16" x14ac:dyDescent="0.2">
      <c r="A2589" t="s">
        <v>253</v>
      </c>
      <c r="B2589" t="s">
        <v>97</v>
      </c>
      <c r="C2589" t="s">
        <v>254</v>
      </c>
      <c r="D2589" t="s">
        <v>223</v>
      </c>
      <c r="E2589" t="s">
        <v>228</v>
      </c>
      <c r="F2589">
        <v>89.99</v>
      </c>
      <c r="G2589" t="s">
        <v>7032</v>
      </c>
      <c r="H2589">
        <v>0</v>
      </c>
      <c r="M2589">
        <v>0</v>
      </c>
      <c r="N2589">
        <v>0.33333333333333331</v>
      </c>
      <c r="O2589">
        <v>0</v>
      </c>
      <c r="P2589">
        <v>0</v>
      </c>
    </row>
    <row r="2590" spans="1:16" x14ac:dyDescent="0.2">
      <c r="A2590" t="s">
        <v>259</v>
      </c>
      <c r="B2590" t="s">
        <v>97</v>
      </c>
      <c r="C2590" t="s">
        <v>260</v>
      </c>
      <c r="D2590" t="s">
        <v>223</v>
      </c>
      <c r="E2590" t="s">
        <v>290</v>
      </c>
      <c r="F2590">
        <v>99.99</v>
      </c>
      <c r="G2590" t="s">
        <v>7032</v>
      </c>
      <c r="H2590">
        <v>0</v>
      </c>
      <c r="M2590">
        <v>0</v>
      </c>
      <c r="N2590">
        <v>0</v>
      </c>
      <c r="O2590">
        <v>0</v>
      </c>
      <c r="P2590">
        <v>1</v>
      </c>
    </row>
    <row r="2591" spans="1:16" x14ac:dyDescent="0.2">
      <c r="A2591" t="s">
        <v>261</v>
      </c>
      <c r="B2591" t="s">
        <v>97</v>
      </c>
      <c r="C2591" t="s">
        <v>262</v>
      </c>
      <c r="D2591" t="s">
        <v>223</v>
      </c>
      <c r="E2591" t="s">
        <v>96</v>
      </c>
      <c r="F2591">
        <v>79.989999999999995</v>
      </c>
      <c r="G2591" t="s">
        <v>7032</v>
      </c>
      <c r="H2591">
        <v>0</v>
      </c>
      <c r="M2591">
        <v>0</v>
      </c>
      <c r="N2591">
        <v>0</v>
      </c>
      <c r="O2591">
        <v>0</v>
      </c>
      <c r="P2591">
        <v>0</v>
      </c>
    </row>
    <row r="2592" spans="1:16" x14ac:dyDescent="0.2">
      <c r="A2592" t="s">
        <v>4283</v>
      </c>
      <c r="B2592" t="s">
        <v>97</v>
      </c>
      <c r="C2592" t="s">
        <v>4284</v>
      </c>
      <c r="D2592" t="s">
        <v>223</v>
      </c>
      <c r="E2592" t="s">
        <v>96</v>
      </c>
      <c r="F2592">
        <v>79.989999999999995</v>
      </c>
      <c r="G2592" t="s">
        <v>7032</v>
      </c>
      <c r="H2592">
        <v>0</v>
      </c>
      <c r="M2592">
        <v>0</v>
      </c>
      <c r="N2592">
        <v>0</v>
      </c>
      <c r="O2592">
        <v>0</v>
      </c>
      <c r="P2592">
        <v>0</v>
      </c>
    </row>
    <row r="2593" spans="1:16" x14ac:dyDescent="0.2">
      <c r="A2593" t="s">
        <v>263</v>
      </c>
      <c r="B2593" t="s">
        <v>97</v>
      </c>
      <c r="C2593" t="s">
        <v>264</v>
      </c>
      <c r="D2593" t="s">
        <v>223</v>
      </c>
      <c r="E2593" t="s">
        <v>96</v>
      </c>
      <c r="F2593">
        <v>119.99</v>
      </c>
      <c r="G2593" t="s">
        <v>7032</v>
      </c>
      <c r="H2593">
        <v>0</v>
      </c>
      <c r="M2593">
        <v>0</v>
      </c>
      <c r="N2593">
        <v>0</v>
      </c>
      <c r="O2593">
        <v>0</v>
      </c>
      <c r="P2593">
        <v>0</v>
      </c>
    </row>
    <row r="2594" spans="1:16" x14ac:dyDescent="0.2">
      <c r="A2594" t="s">
        <v>241</v>
      </c>
      <c r="B2594" t="s">
        <v>97</v>
      </c>
      <c r="C2594" t="s">
        <v>242</v>
      </c>
      <c r="D2594" t="s">
        <v>223</v>
      </c>
      <c r="E2594" t="s">
        <v>96</v>
      </c>
      <c r="F2594">
        <v>29.99</v>
      </c>
      <c r="G2594" t="s">
        <v>7032</v>
      </c>
      <c r="H2594">
        <v>0</v>
      </c>
      <c r="M2594">
        <v>0</v>
      </c>
      <c r="N2594">
        <v>0</v>
      </c>
      <c r="O2594">
        <v>0</v>
      </c>
      <c r="P2594">
        <v>0</v>
      </c>
    </row>
    <row r="2595" spans="1:16" x14ac:dyDescent="0.2">
      <c r="A2595" t="s">
        <v>245</v>
      </c>
      <c r="B2595" t="s">
        <v>97</v>
      </c>
      <c r="C2595" t="s">
        <v>246</v>
      </c>
      <c r="D2595" t="s">
        <v>223</v>
      </c>
      <c r="E2595" t="s">
        <v>228</v>
      </c>
      <c r="F2595">
        <v>29.99</v>
      </c>
      <c r="G2595" t="s">
        <v>7032</v>
      </c>
      <c r="H2595">
        <v>0</v>
      </c>
      <c r="M2595">
        <v>0</v>
      </c>
      <c r="N2595">
        <v>0</v>
      </c>
      <c r="O2595">
        <v>0</v>
      </c>
      <c r="P2595">
        <v>0</v>
      </c>
    </row>
    <row r="2596" spans="1:16" x14ac:dyDescent="0.2">
      <c r="A2596" t="s">
        <v>841</v>
      </c>
      <c r="B2596" t="s">
        <v>97</v>
      </c>
      <c r="C2596" t="s">
        <v>842</v>
      </c>
      <c r="D2596" t="s">
        <v>446</v>
      </c>
      <c r="E2596" t="s">
        <v>290</v>
      </c>
      <c r="F2596">
        <v>54.99</v>
      </c>
      <c r="G2596" t="s">
        <v>7032</v>
      </c>
      <c r="H2596">
        <v>0</v>
      </c>
      <c r="M2596">
        <v>0</v>
      </c>
      <c r="N2596">
        <v>0</v>
      </c>
      <c r="O2596">
        <v>0</v>
      </c>
      <c r="P2596">
        <v>0</v>
      </c>
    </row>
    <row r="2597" spans="1:16" x14ac:dyDescent="0.2">
      <c r="A2597" t="s">
        <v>4465</v>
      </c>
      <c r="B2597" t="s">
        <v>97</v>
      </c>
      <c r="C2597" t="s">
        <v>4466</v>
      </c>
      <c r="D2597" t="s">
        <v>4463</v>
      </c>
      <c r="E2597" t="s">
        <v>96</v>
      </c>
      <c r="F2597">
        <v>59.99</v>
      </c>
      <c r="G2597" t="s">
        <v>7032</v>
      </c>
      <c r="H2597">
        <v>0</v>
      </c>
      <c r="M2597">
        <v>0</v>
      </c>
      <c r="N2597">
        <v>0</v>
      </c>
      <c r="O2597">
        <v>0</v>
      </c>
      <c r="P2597">
        <v>0</v>
      </c>
    </row>
    <row r="2598" spans="1:16" x14ac:dyDescent="0.2">
      <c r="A2598" t="s">
        <v>4468</v>
      </c>
      <c r="B2598" t="s">
        <v>97</v>
      </c>
      <c r="C2598" t="s">
        <v>4469</v>
      </c>
      <c r="D2598" t="s">
        <v>4463</v>
      </c>
      <c r="E2598" t="s">
        <v>290</v>
      </c>
      <c r="F2598">
        <v>39.99</v>
      </c>
      <c r="G2598" t="s">
        <v>7032</v>
      </c>
      <c r="H2598">
        <v>0</v>
      </c>
      <c r="M2598">
        <v>0</v>
      </c>
      <c r="N2598">
        <v>0</v>
      </c>
      <c r="O2598">
        <v>0</v>
      </c>
      <c r="P2598">
        <v>6</v>
      </c>
    </row>
    <row r="2599" spans="1:16" x14ac:dyDescent="0.2">
      <c r="A2599" t="s">
        <v>934</v>
      </c>
      <c r="B2599" t="s">
        <v>97</v>
      </c>
      <c r="C2599" t="s">
        <v>935</v>
      </c>
      <c r="D2599" t="s">
        <v>446</v>
      </c>
      <c r="E2599" t="s">
        <v>228</v>
      </c>
      <c r="F2599">
        <v>39.99</v>
      </c>
      <c r="G2599" t="s">
        <v>7032</v>
      </c>
      <c r="H2599">
        <v>0</v>
      </c>
      <c r="M2599">
        <v>0</v>
      </c>
      <c r="N2599">
        <v>0</v>
      </c>
      <c r="O2599">
        <v>0</v>
      </c>
      <c r="P2599">
        <v>1</v>
      </c>
    </row>
    <row r="2600" spans="1:16" x14ac:dyDescent="0.2">
      <c r="A2600" t="s">
        <v>4633</v>
      </c>
      <c r="B2600" t="s">
        <v>97</v>
      </c>
      <c r="C2600" t="s">
        <v>4634</v>
      </c>
      <c r="D2600" t="s">
        <v>446</v>
      </c>
      <c r="E2600" t="s">
        <v>290</v>
      </c>
      <c r="F2600">
        <v>34.99</v>
      </c>
      <c r="G2600" t="s">
        <v>7032</v>
      </c>
      <c r="H2600">
        <v>0</v>
      </c>
      <c r="M2600">
        <v>0</v>
      </c>
      <c r="N2600">
        <v>0</v>
      </c>
      <c r="O2600">
        <v>0</v>
      </c>
      <c r="P2600">
        <v>0</v>
      </c>
    </row>
    <row r="2601" spans="1:16" x14ac:dyDescent="0.2">
      <c r="A2601" t="s">
        <v>4650</v>
      </c>
      <c r="B2601" t="s">
        <v>97</v>
      </c>
      <c r="C2601" t="s">
        <v>4651</v>
      </c>
      <c r="D2601" t="s">
        <v>446</v>
      </c>
      <c r="E2601" t="s">
        <v>96</v>
      </c>
      <c r="F2601">
        <v>24.99</v>
      </c>
      <c r="G2601" t="s">
        <v>7032</v>
      </c>
      <c r="H2601">
        <v>0</v>
      </c>
      <c r="M2601">
        <v>0</v>
      </c>
      <c r="N2601">
        <v>0</v>
      </c>
      <c r="O2601">
        <v>0</v>
      </c>
      <c r="P2601">
        <v>1</v>
      </c>
    </row>
    <row r="2602" spans="1:16" x14ac:dyDescent="0.2">
      <c r="A2602" t="s">
        <v>4511</v>
      </c>
      <c r="B2602" t="s">
        <v>97</v>
      </c>
      <c r="C2602" t="s">
        <v>4512</v>
      </c>
      <c r="D2602" t="s">
        <v>4463</v>
      </c>
      <c r="E2602" t="s">
        <v>96</v>
      </c>
      <c r="F2602">
        <v>19.989999999999998</v>
      </c>
      <c r="G2602" t="s">
        <v>7032</v>
      </c>
      <c r="H2602">
        <v>0</v>
      </c>
      <c r="M2602">
        <v>0</v>
      </c>
      <c r="N2602">
        <v>0</v>
      </c>
      <c r="O2602">
        <v>0</v>
      </c>
      <c r="P2602">
        <v>6</v>
      </c>
    </row>
    <row r="2603" spans="1:16" x14ac:dyDescent="0.2">
      <c r="A2603" t="s">
        <v>932</v>
      </c>
      <c r="B2603" t="s">
        <v>97</v>
      </c>
      <c r="C2603" t="s">
        <v>933</v>
      </c>
      <c r="D2603" t="s">
        <v>446</v>
      </c>
      <c r="E2603" t="s">
        <v>228</v>
      </c>
      <c r="F2603">
        <v>49.99</v>
      </c>
      <c r="G2603" t="s">
        <v>7032</v>
      </c>
      <c r="H2603">
        <v>0</v>
      </c>
      <c r="M2603">
        <v>0</v>
      </c>
      <c r="N2603">
        <v>0.16666666666666666</v>
      </c>
      <c r="O2603">
        <v>0</v>
      </c>
      <c r="P2603">
        <v>0</v>
      </c>
    </row>
    <row r="2604" spans="1:16" x14ac:dyDescent="0.2">
      <c r="A2604" t="s">
        <v>4528</v>
      </c>
      <c r="B2604" t="s">
        <v>97</v>
      </c>
      <c r="C2604" t="s">
        <v>4529</v>
      </c>
      <c r="D2604" t="s">
        <v>4463</v>
      </c>
      <c r="E2604" t="s">
        <v>290</v>
      </c>
      <c r="F2604">
        <v>19.989999999999998</v>
      </c>
      <c r="G2604" t="s">
        <v>7032</v>
      </c>
      <c r="H2604">
        <v>0</v>
      </c>
      <c r="M2604">
        <v>0</v>
      </c>
      <c r="N2604">
        <v>0</v>
      </c>
      <c r="O2604">
        <v>0</v>
      </c>
      <c r="P2604">
        <v>3</v>
      </c>
    </row>
    <row r="2605" spans="1:16" x14ac:dyDescent="0.2">
      <c r="A2605" t="s">
        <v>4517</v>
      </c>
      <c r="B2605" t="s">
        <v>97</v>
      </c>
      <c r="C2605" t="s">
        <v>4518</v>
      </c>
      <c r="D2605" t="s">
        <v>4463</v>
      </c>
      <c r="E2605" t="s">
        <v>96</v>
      </c>
      <c r="F2605">
        <v>17.989999999999998</v>
      </c>
      <c r="G2605" t="s">
        <v>7032</v>
      </c>
      <c r="H2605">
        <v>0</v>
      </c>
      <c r="M2605">
        <v>0</v>
      </c>
      <c r="N2605">
        <v>0</v>
      </c>
      <c r="O2605">
        <v>0</v>
      </c>
      <c r="P2605">
        <v>4</v>
      </c>
    </row>
    <row r="2606" spans="1:16" x14ac:dyDescent="0.2">
      <c r="A2606" t="s">
        <v>795</v>
      </c>
      <c r="B2606" t="s">
        <v>97</v>
      </c>
      <c r="C2606" t="s">
        <v>796</v>
      </c>
      <c r="D2606" t="s">
        <v>446</v>
      </c>
      <c r="E2606" t="s">
        <v>228</v>
      </c>
      <c r="F2606">
        <v>129.99</v>
      </c>
      <c r="G2606" t="s">
        <v>7032</v>
      </c>
      <c r="H2606">
        <v>0</v>
      </c>
      <c r="M2606">
        <v>0</v>
      </c>
      <c r="N2606">
        <v>0</v>
      </c>
      <c r="O2606">
        <v>0</v>
      </c>
      <c r="P2606">
        <v>0</v>
      </c>
    </row>
    <row r="2607" spans="1:16" x14ac:dyDescent="0.2">
      <c r="A2607" t="s">
        <v>4494</v>
      </c>
      <c r="B2607" t="s">
        <v>97</v>
      </c>
      <c r="C2607" t="s">
        <v>4495</v>
      </c>
      <c r="D2607" t="s">
        <v>4463</v>
      </c>
      <c r="E2607" t="s">
        <v>290</v>
      </c>
      <c r="F2607">
        <v>19.989999999999998</v>
      </c>
      <c r="G2607" t="s">
        <v>7032</v>
      </c>
      <c r="H2607">
        <v>0</v>
      </c>
      <c r="M2607">
        <v>0</v>
      </c>
      <c r="N2607">
        <v>0</v>
      </c>
      <c r="O2607">
        <v>0</v>
      </c>
      <c r="P2607">
        <v>4</v>
      </c>
    </row>
    <row r="2608" spans="1:16" x14ac:dyDescent="0.2">
      <c r="A2608" t="s">
        <v>7333</v>
      </c>
      <c r="B2608" t="s">
        <v>97</v>
      </c>
      <c r="C2608" t="s">
        <v>7335</v>
      </c>
      <c r="D2608" t="s">
        <v>446</v>
      </c>
      <c r="E2608" t="s">
        <v>96</v>
      </c>
      <c r="F2608">
        <v>39.99</v>
      </c>
      <c r="G2608" t="s">
        <v>7032</v>
      </c>
      <c r="H2608">
        <v>0</v>
      </c>
      <c r="M2608">
        <v>0</v>
      </c>
      <c r="N2608">
        <v>0</v>
      </c>
      <c r="O2608">
        <v>0</v>
      </c>
      <c r="P2608">
        <v>0</v>
      </c>
    </row>
    <row r="2609" spans="1:16" x14ac:dyDescent="0.2">
      <c r="A2609" t="s">
        <v>940</v>
      </c>
      <c r="B2609" t="s">
        <v>97</v>
      </c>
      <c r="C2609" t="s">
        <v>941</v>
      </c>
      <c r="D2609" t="s">
        <v>446</v>
      </c>
      <c r="E2609" t="s">
        <v>228</v>
      </c>
      <c r="F2609">
        <v>15.99</v>
      </c>
      <c r="G2609" t="s">
        <v>7032</v>
      </c>
      <c r="H2609">
        <v>0</v>
      </c>
      <c r="M2609">
        <v>0</v>
      </c>
      <c r="N2609">
        <v>0</v>
      </c>
      <c r="O2609">
        <v>0</v>
      </c>
      <c r="P2609">
        <v>0</v>
      </c>
    </row>
    <row r="2610" spans="1:16" x14ac:dyDescent="0.2">
      <c r="A2610" t="s">
        <v>4524</v>
      </c>
      <c r="B2610" t="s">
        <v>97</v>
      </c>
      <c r="C2610" t="s">
        <v>4525</v>
      </c>
      <c r="D2610" t="s">
        <v>4463</v>
      </c>
      <c r="E2610" t="s">
        <v>96</v>
      </c>
      <c r="F2610">
        <v>17.989999999999998</v>
      </c>
      <c r="G2610" t="s">
        <v>7032</v>
      </c>
      <c r="H2610">
        <v>0</v>
      </c>
      <c r="M2610">
        <v>0</v>
      </c>
      <c r="N2610">
        <v>0</v>
      </c>
      <c r="O2610">
        <v>0</v>
      </c>
      <c r="P2610">
        <v>18</v>
      </c>
    </row>
    <row r="2611" spans="1:16" x14ac:dyDescent="0.2">
      <c r="A2611" t="s">
        <v>4540</v>
      </c>
      <c r="B2611" t="s">
        <v>97</v>
      </c>
      <c r="C2611" t="s">
        <v>4541</v>
      </c>
      <c r="D2611" t="s">
        <v>4463</v>
      </c>
      <c r="E2611" t="s">
        <v>290</v>
      </c>
      <c r="F2611">
        <v>19.989999999999998</v>
      </c>
      <c r="G2611" t="s">
        <v>7032</v>
      </c>
      <c r="H2611">
        <v>0</v>
      </c>
      <c r="M2611">
        <v>0</v>
      </c>
      <c r="N2611">
        <v>0</v>
      </c>
      <c r="O2611">
        <v>0</v>
      </c>
      <c r="P2611">
        <v>4</v>
      </c>
    </row>
    <row r="2612" spans="1:16" x14ac:dyDescent="0.2">
      <c r="A2612" t="s">
        <v>7316</v>
      </c>
      <c r="B2612" t="s">
        <v>97</v>
      </c>
      <c r="C2612" t="s">
        <v>7318</v>
      </c>
      <c r="D2612" t="s">
        <v>446</v>
      </c>
      <c r="E2612" t="s">
        <v>96</v>
      </c>
      <c r="F2612">
        <v>34.99</v>
      </c>
      <c r="G2612" t="s">
        <v>7032</v>
      </c>
      <c r="H2612">
        <v>0</v>
      </c>
      <c r="M2612">
        <v>0</v>
      </c>
      <c r="N2612">
        <v>0</v>
      </c>
      <c r="O2612">
        <v>0</v>
      </c>
      <c r="P2612">
        <v>0</v>
      </c>
    </row>
    <row r="2613" spans="1:16" x14ac:dyDescent="0.2">
      <c r="A2613" t="s">
        <v>4532</v>
      </c>
      <c r="B2613" t="s">
        <v>97</v>
      </c>
      <c r="C2613" t="s">
        <v>4533</v>
      </c>
      <c r="D2613" t="s">
        <v>4463</v>
      </c>
      <c r="E2613" t="s">
        <v>290</v>
      </c>
      <c r="F2613">
        <v>19.989999999999998</v>
      </c>
      <c r="G2613" t="s">
        <v>7032</v>
      </c>
      <c r="H2613">
        <v>0</v>
      </c>
      <c r="M2613">
        <v>0</v>
      </c>
      <c r="N2613">
        <v>0</v>
      </c>
      <c r="O2613">
        <v>0</v>
      </c>
      <c r="P2613">
        <v>2</v>
      </c>
    </row>
    <row r="2614" spans="1:16" x14ac:dyDescent="0.2">
      <c r="A2614" t="s">
        <v>912</v>
      </c>
      <c r="B2614" t="s">
        <v>97</v>
      </c>
      <c r="C2614" t="s">
        <v>913</v>
      </c>
      <c r="D2614" t="s">
        <v>446</v>
      </c>
      <c r="E2614" t="s">
        <v>228</v>
      </c>
      <c r="F2614">
        <v>89.99</v>
      </c>
      <c r="G2614" t="s">
        <v>7032</v>
      </c>
      <c r="H2614">
        <v>0</v>
      </c>
      <c r="M2614">
        <v>0</v>
      </c>
      <c r="N2614">
        <v>0.16666666666666666</v>
      </c>
      <c r="O2614">
        <v>0</v>
      </c>
      <c r="P2614">
        <v>0</v>
      </c>
    </row>
    <row r="2615" spans="1:16" x14ac:dyDescent="0.2">
      <c r="A2615" t="s">
        <v>4514</v>
      </c>
      <c r="B2615" t="s">
        <v>97</v>
      </c>
      <c r="C2615" t="s">
        <v>4515</v>
      </c>
      <c r="D2615" t="s">
        <v>4463</v>
      </c>
      <c r="E2615" t="s">
        <v>96</v>
      </c>
      <c r="F2615">
        <v>19.989999999999998</v>
      </c>
      <c r="G2615" t="s">
        <v>7032</v>
      </c>
      <c r="H2615">
        <v>0</v>
      </c>
      <c r="M2615">
        <v>0</v>
      </c>
      <c r="N2615">
        <v>0</v>
      </c>
      <c r="O2615">
        <v>0</v>
      </c>
      <c r="P2615">
        <v>18</v>
      </c>
    </row>
    <row r="2616" spans="1:16" x14ac:dyDescent="0.2">
      <c r="A2616" t="s">
        <v>4972</v>
      </c>
      <c r="B2616" t="s">
        <v>97</v>
      </c>
      <c r="C2616" t="s">
        <v>4973</v>
      </c>
      <c r="D2616" t="s">
        <v>446</v>
      </c>
      <c r="E2616" t="s">
        <v>96</v>
      </c>
      <c r="F2616">
        <v>79.989999999999995</v>
      </c>
      <c r="G2616" t="s">
        <v>7032</v>
      </c>
      <c r="H2616">
        <v>0</v>
      </c>
      <c r="M2616">
        <v>0</v>
      </c>
      <c r="N2616">
        <v>0</v>
      </c>
      <c r="O2616">
        <v>0</v>
      </c>
      <c r="P2616">
        <v>0</v>
      </c>
    </row>
    <row r="2617" spans="1:16" x14ac:dyDescent="0.2">
      <c r="A2617" t="s">
        <v>4504</v>
      </c>
      <c r="B2617" t="s">
        <v>97</v>
      </c>
      <c r="C2617" t="s">
        <v>4505</v>
      </c>
      <c r="D2617" t="s">
        <v>4463</v>
      </c>
      <c r="E2617" t="s">
        <v>96</v>
      </c>
      <c r="F2617">
        <v>19.989999999999998</v>
      </c>
      <c r="G2617" t="s">
        <v>7032</v>
      </c>
      <c r="H2617">
        <v>0</v>
      </c>
      <c r="M2617">
        <v>0</v>
      </c>
      <c r="N2617">
        <v>0</v>
      </c>
      <c r="O2617">
        <v>0</v>
      </c>
      <c r="P2617">
        <v>10</v>
      </c>
    </row>
    <row r="2618" spans="1:16" x14ac:dyDescent="0.2">
      <c r="A2618" t="s">
        <v>4694</v>
      </c>
      <c r="B2618" t="s">
        <v>97</v>
      </c>
      <c r="C2618" t="s">
        <v>4695</v>
      </c>
      <c r="D2618" t="s">
        <v>446</v>
      </c>
      <c r="E2618" t="s">
        <v>290</v>
      </c>
      <c r="F2618">
        <v>59.99</v>
      </c>
      <c r="G2618" t="s">
        <v>7032</v>
      </c>
      <c r="H2618">
        <v>0</v>
      </c>
      <c r="M2618">
        <v>0</v>
      </c>
      <c r="N2618">
        <v>0</v>
      </c>
      <c r="O2618">
        <v>0</v>
      </c>
      <c r="P2618">
        <v>10</v>
      </c>
    </row>
    <row r="2619" spans="1:16" x14ac:dyDescent="0.2">
      <c r="A2619" t="s">
        <v>4501</v>
      </c>
      <c r="B2619" t="s">
        <v>97</v>
      </c>
      <c r="C2619" t="s">
        <v>4502</v>
      </c>
      <c r="D2619" t="s">
        <v>4463</v>
      </c>
      <c r="E2619" t="s">
        <v>96</v>
      </c>
      <c r="F2619">
        <v>19.989999999999998</v>
      </c>
      <c r="G2619" t="s">
        <v>7032</v>
      </c>
      <c r="H2619">
        <v>0</v>
      </c>
      <c r="M2619">
        <v>0</v>
      </c>
      <c r="N2619">
        <v>0</v>
      </c>
      <c r="O2619">
        <v>0</v>
      </c>
      <c r="P2619">
        <v>2</v>
      </c>
    </row>
    <row r="2620" spans="1:16" x14ac:dyDescent="0.2">
      <c r="A2620" t="s">
        <v>4520</v>
      </c>
      <c r="B2620" t="s">
        <v>97</v>
      </c>
      <c r="C2620" t="s">
        <v>4521</v>
      </c>
      <c r="D2620" t="s">
        <v>4463</v>
      </c>
      <c r="E2620" t="s">
        <v>290</v>
      </c>
      <c r="F2620">
        <v>17.989999999999998</v>
      </c>
      <c r="G2620" t="s">
        <v>7032</v>
      </c>
      <c r="H2620">
        <v>2.7777777777777776E-2</v>
      </c>
      <c r="M2620">
        <v>18</v>
      </c>
      <c r="N2620">
        <v>0.16666666666666666</v>
      </c>
      <c r="O2620">
        <v>0</v>
      </c>
      <c r="P2620">
        <v>3</v>
      </c>
    </row>
    <row r="2621" spans="1:16" x14ac:dyDescent="0.2">
      <c r="A2621" t="s">
        <v>4461</v>
      </c>
      <c r="B2621" t="s">
        <v>97</v>
      </c>
      <c r="C2621" t="s">
        <v>4462</v>
      </c>
      <c r="D2621" t="s">
        <v>4463</v>
      </c>
      <c r="E2621" t="s">
        <v>96</v>
      </c>
      <c r="F2621">
        <v>59.99</v>
      </c>
      <c r="G2621" t="s">
        <v>7032</v>
      </c>
      <c r="H2621">
        <v>0</v>
      </c>
      <c r="M2621">
        <v>0</v>
      </c>
      <c r="N2621">
        <v>0</v>
      </c>
      <c r="O2621">
        <v>0</v>
      </c>
      <c r="P2621">
        <v>0</v>
      </c>
    </row>
    <row r="2622" spans="1:16" x14ac:dyDescent="0.2">
      <c r="A2622" t="s">
        <v>235</v>
      </c>
      <c r="B2622" t="s">
        <v>97</v>
      </c>
      <c r="C2622" t="s">
        <v>236</v>
      </c>
      <c r="D2622" t="s">
        <v>223</v>
      </c>
      <c r="E2622" t="s">
        <v>96</v>
      </c>
      <c r="F2622">
        <v>64.989999999999995</v>
      </c>
      <c r="G2622" t="s">
        <v>7032</v>
      </c>
      <c r="H2622">
        <v>0</v>
      </c>
      <c r="M2622">
        <v>0</v>
      </c>
      <c r="N2622">
        <v>0</v>
      </c>
      <c r="O2622">
        <v>0</v>
      </c>
      <c r="P2622">
        <v>0</v>
      </c>
    </row>
    <row r="2623" spans="1:16" x14ac:dyDescent="0.2">
      <c r="A2623" t="s">
        <v>233</v>
      </c>
      <c r="B2623" t="s">
        <v>97</v>
      </c>
      <c r="C2623" t="s">
        <v>234</v>
      </c>
      <c r="D2623" t="s">
        <v>223</v>
      </c>
      <c r="E2623" t="s">
        <v>96</v>
      </c>
      <c r="F2623">
        <v>59.99</v>
      </c>
      <c r="G2623" t="s">
        <v>7032</v>
      </c>
      <c r="H2623">
        <v>0</v>
      </c>
      <c r="M2623">
        <v>0</v>
      </c>
      <c r="N2623">
        <v>0</v>
      </c>
      <c r="O2623">
        <v>0</v>
      </c>
      <c r="P2623">
        <v>0</v>
      </c>
    </row>
    <row r="2624" spans="1:16" x14ac:dyDescent="0.2">
      <c r="A2624" t="s">
        <v>7449</v>
      </c>
      <c r="B2624" t="s">
        <v>97</v>
      </c>
      <c r="C2624" t="s">
        <v>7451</v>
      </c>
      <c r="D2624" t="s">
        <v>446</v>
      </c>
      <c r="E2624" t="s">
        <v>290</v>
      </c>
      <c r="F2624">
        <v>39.99</v>
      </c>
      <c r="G2624" t="s">
        <v>7032</v>
      </c>
      <c r="H2624">
        <v>0</v>
      </c>
      <c r="M2624">
        <v>0</v>
      </c>
      <c r="N2624">
        <v>0</v>
      </c>
      <c r="O2624">
        <v>0</v>
      </c>
      <c r="P2624">
        <v>0</v>
      </c>
    </row>
    <row r="2625" spans="1:16" x14ac:dyDescent="0.2">
      <c r="A2625" t="s">
        <v>7411</v>
      </c>
      <c r="B2625" t="s">
        <v>97</v>
      </c>
      <c r="C2625" t="s">
        <v>7413</v>
      </c>
      <c r="D2625" t="s">
        <v>446</v>
      </c>
      <c r="E2625" t="s">
        <v>96</v>
      </c>
      <c r="F2625">
        <v>39.99</v>
      </c>
      <c r="G2625" t="s">
        <v>7032</v>
      </c>
      <c r="H2625">
        <v>0</v>
      </c>
      <c r="M2625">
        <v>0</v>
      </c>
      <c r="N2625">
        <v>0</v>
      </c>
      <c r="O2625">
        <v>0</v>
      </c>
      <c r="P2625">
        <v>0</v>
      </c>
    </row>
    <row r="2626" spans="1:16" x14ac:dyDescent="0.2">
      <c r="A2626" t="s">
        <v>639</v>
      </c>
      <c r="B2626" t="s">
        <v>97</v>
      </c>
      <c r="C2626" t="s">
        <v>640</v>
      </c>
      <c r="D2626" t="s">
        <v>446</v>
      </c>
      <c r="E2626" t="s">
        <v>228</v>
      </c>
      <c r="F2626">
        <v>119.99</v>
      </c>
      <c r="G2626" t="s">
        <v>7032</v>
      </c>
      <c r="H2626">
        <v>0.125</v>
      </c>
      <c r="M2626">
        <v>6</v>
      </c>
      <c r="N2626">
        <v>0.33333333333333331</v>
      </c>
      <c r="O2626">
        <v>0</v>
      </c>
      <c r="P2626">
        <v>2</v>
      </c>
    </row>
    <row r="2627" spans="1:16" x14ac:dyDescent="0.2">
      <c r="A2627" t="s">
        <v>3429</v>
      </c>
      <c r="B2627" t="s">
        <v>97</v>
      </c>
      <c r="C2627" t="s">
        <v>3430</v>
      </c>
      <c r="D2627" t="s">
        <v>297</v>
      </c>
      <c r="E2627" t="s">
        <v>96</v>
      </c>
      <c r="F2627">
        <v>99.99</v>
      </c>
      <c r="G2627" t="s">
        <v>7032</v>
      </c>
      <c r="H2627">
        <v>0</v>
      </c>
      <c r="M2627">
        <v>0</v>
      </c>
      <c r="N2627">
        <v>0</v>
      </c>
      <c r="O2627">
        <v>0</v>
      </c>
      <c r="P2627">
        <v>0</v>
      </c>
    </row>
    <row r="2628" spans="1:16" x14ac:dyDescent="0.2">
      <c r="A2628" t="s">
        <v>4307</v>
      </c>
      <c r="B2628" t="s">
        <v>97</v>
      </c>
      <c r="C2628" t="s">
        <v>4308</v>
      </c>
      <c r="D2628" t="s">
        <v>223</v>
      </c>
      <c r="E2628" t="s">
        <v>96</v>
      </c>
      <c r="F2628">
        <v>62.99</v>
      </c>
      <c r="G2628" t="s">
        <v>7032</v>
      </c>
      <c r="H2628">
        <v>0</v>
      </c>
      <c r="M2628">
        <v>0</v>
      </c>
      <c r="N2628">
        <v>0</v>
      </c>
      <c r="O2628">
        <v>0</v>
      </c>
      <c r="P2628">
        <v>0</v>
      </c>
    </row>
    <row r="2629" spans="1:16" x14ac:dyDescent="0.2">
      <c r="A2629" t="s">
        <v>3436</v>
      </c>
      <c r="B2629" t="s">
        <v>97</v>
      </c>
      <c r="C2629" t="s">
        <v>3437</v>
      </c>
      <c r="D2629" t="s">
        <v>297</v>
      </c>
      <c r="E2629" t="s">
        <v>96</v>
      </c>
      <c r="F2629">
        <v>299.99</v>
      </c>
      <c r="G2629" t="s">
        <v>7032</v>
      </c>
      <c r="H2629">
        <v>0</v>
      </c>
      <c r="M2629">
        <v>0</v>
      </c>
      <c r="N2629">
        <v>0</v>
      </c>
      <c r="O2629">
        <v>0</v>
      </c>
      <c r="P2629">
        <v>0</v>
      </c>
    </row>
    <row r="2630" spans="1:16" x14ac:dyDescent="0.2">
      <c r="A2630" t="s">
        <v>7768</v>
      </c>
      <c r="B2630" t="s">
        <v>97</v>
      </c>
      <c r="C2630" t="s">
        <v>7769</v>
      </c>
      <c r="D2630" t="s">
        <v>223</v>
      </c>
      <c r="E2630" t="s">
        <v>96</v>
      </c>
      <c r="F2630">
        <v>54.99</v>
      </c>
      <c r="G2630" t="s">
        <v>7032</v>
      </c>
      <c r="H2630">
        <v>0</v>
      </c>
      <c r="M2630">
        <v>0</v>
      </c>
      <c r="N2630">
        <v>0</v>
      </c>
      <c r="O2630">
        <v>0</v>
      </c>
      <c r="P2630">
        <v>0</v>
      </c>
    </row>
    <row r="2631" spans="1:16" x14ac:dyDescent="0.2">
      <c r="A2631" t="s">
        <v>271</v>
      </c>
      <c r="B2631" t="s">
        <v>97</v>
      </c>
      <c r="C2631" t="s">
        <v>272</v>
      </c>
      <c r="D2631" t="s">
        <v>223</v>
      </c>
      <c r="E2631" t="s">
        <v>96</v>
      </c>
      <c r="F2631">
        <v>54.99</v>
      </c>
      <c r="G2631" t="s">
        <v>7032</v>
      </c>
      <c r="H2631">
        <v>0</v>
      </c>
      <c r="M2631">
        <v>0</v>
      </c>
      <c r="N2631">
        <v>0</v>
      </c>
      <c r="O2631">
        <v>0</v>
      </c>
      <c r="P2631">
        <v>4</v>
      </c>
    </row>
    <row r="2632" spans="1:16" x14ac:dyDescent="0.2">
      <c r="A2632" t="s">
        <v>298</v>
      </c>
      <c r="B2632" t="s">
        <v>97</v>
      </c>
      <c r="C2632" t="s">
        <v>299</v>
      </c>
      <c r="D2632" t="s">
        <v>297</v>
      </c>
      <c r="E2632" t="s">
        <v>290</v>
      </c>
      <c r="F2632">
        <v>54.99</v>
      </c>
      <c r="G2632" t="s">
        <v>7032</v>
      </c>
      <c r="H2632">
        <v>0</v>
      </c>
      <c r="M2632">
        <v>0</v>
      </c>
      <c r="N2632">
        <v>0</v>
      </c>
      <c r="O2632">
        <v>0</v>
      </c>
      <c r="P2632">
        <v>0</v>
      </c>
    </row>
    <row r="2633" spans="1:16" x14ac:dyDescent="0.2">
      <c r="A2633" t="s">
        <v>269</v>
      </c>
      <c r="B2633" t="s">
        <v>97</v>
      </c>
      <c r="C2633" t="s">
        <v>270</v>
      </c>
      <c r="D2633" t="s">
        <v>223</v>
      </c>
      <c r="E2633" t="s">
        <v>96</v>
      </c>
      <c r="F2633">
        <v>54.99</v>
      </c>
      <c r="G2633" t="s">
        <v>7032</v>
      </c>
      <c r="H2633">
        <v>0</v>
      </c>
      <c r="M2633">
        <v>0</v>
      </c>
      <c r="N2633">
        <v>0</v>
      </c>
      <c r="O2633">
        <v>0</v>
      </c>
      <c r="P2633">
        <v>0</v>
      </c>
    </row>
    <row r="2634" spans="1:16" x14ac:dyDescent="0.2">
      <c r="A2634" t="s">
        <v>267</v>
      </c>
      <c r="B2634" t="s">
        <v>97</v>
      </c>
      <c r="C2634" t="s">
        <v>268</v>
      </c>
      <c r="D2634" t="s">
        <v>223</v>
      </c>
      <c r="E2634" t="s">
        <v>96</v>
      </c>
      <c r="F2634">
        <v>54.99</v>
      </c>
      <c r="G2634" t="s">
        <v>7032</v>
      </c>
      <c r="H2634">
        <v>0</v>
      </c>
      <c r="M2634">
        <v>0</v>
      </c>
      <c r="N2634">
        <v>0.16666666666666666</v>
      </c>
      <c r="O2634">
        <v>0</v>
      </c>
      <c r="P2634">
        <v>0</v>
      </c>
    </row>
    <row r="2635" spans="1:16" x14ac:dyDescent="0.2">
      <c r="A2635" t="s">
        <v>7426</v>
      </c>
      <c r="B2635" t="s">
        <v>97</v>
      </c>
      <c r="C2635" t="s">
        <v>7428</v>
      </c>
      <c r="D2635" t="s">
        <v>446</v>
      </c>
      <c r="E2635" t="s">
        <v>96</v>
      </c>
      <c r="F2635">
        <v>39.99</v>
      </c>
      <c r="G2635" t="s">
        <v>7032</v>
      </c>
      <c r="H2635">
        <v>0</v>
      </c>
      <c r="M2635">
        <v>0</v>
      </c>
      <c r="N2635">
        <v>0</v>
      </c>
      <c r="O2635">
        <v>0</v>
      </c>
      <c r="P2635">
        <v>0</v>
      </c>
    </row>
    <row r="2636" spans="1:16" x14ac:dyDescent="0.2">
      <c r="A2636" t="s">
        <v>3433</v>
      </c>
      <c r="B2636" t="s">
        <v>97</v>
      </c>
      <c r="C2636" t="s">
        <v>3434</v>
      </c>
      <c r="D2636" t="s">
        <v>297</v>
      </c>
      <c r="E2636" t="s">
        <v>96</v>
      </c>
      <c r="F2636">
        <v>319.99</v>
      </c>
      <c r="G2636" t="s">
        <v>7032</v>
      </c>
      <c r="H2636">
        <v>0</v>
      </c>
      <c r="M2636">
        <v>0</v>
      </c>
      <c r="N2636">
        <v>0</v>
      </c>
      <c r="O2636">
        <v>0</v>
      </c>
      <c r="P2636">
        <v>0</v>
      </c>
    </row>
    <row r="2637" spans="1:16" x14ac:dyDescent="0.2">
      <c r="A2637" t="s">
        <v>293</v>
      </c>
      <c r="B2637" t="s">
        <v>97</v>
      </c>
      <c r="C2637" t="s">
        <v>294</v>
      </c>
      <c r="D2637" t="s">
        <v>287</v>
      </c>
      <c r="E2637" t="s">
        <v>290</v>
      </c>
      <c r="F2637">
        <v>129.99</v>
      </c>
      <c r="G2637" t="s">
        <v>7032</v>
      </c>
      <c r="H2637">
        <v>0</v>
      </c>
      <c r="M2637">
        <v>0</v>
      </c>
      <c r="N2637">
        <v>0</v>
      </c>
      <c r="O2637">
        <v>0</v>
      </c>
      <c r="P2637">
        <v>0</v>
      </c>
    </row>
    <row r="2638" spans="1:16" x14ac:dyDescent="0.2">
      <c r="A2638" t="s">
        <v>291</v>
      </c>
      <c r="B2638" t="s">
        <v>97</v>
      </c>
      <c r="C2638" t="s">
        <v>292</v>
      </c>
      <c r="D2638" t="s">
        <v>287</v>
      </c>
      <c r="E2638" t="s">
        <v>290</v>
      </c>
      <c r="F2638">
        <v>329.99</v>
      </c>
      <c r="G2638" t="s">
        <v>7032</v>
      </c>
      <c r="H2638">
        <v>0</v>
      </c>
      <c r="M2638">
        <v>0</v>
      </c>
      <c r="N2638">
        <v>0</v>
      </c>
      <c r="O2638">
        <v>0</v>
      </c>
      <c r="P2638">
        <v>0</v>
      </c>
    </row>
    <row r="2639" spans="1:16" x14ac:dyDescent="0.2">
      <c r="A2639" t="s">
        <v>4289</v>
      </c>
      <c r="B2639" t="s">
        <v>97</v>
      </c>
      <c r="C2639" t="s">
        <v>4290</v>
      </c>
      <c r="D2639" t="s">
        <v>223</v>
      </c>
      <c r="E2639" t="s">
        <v>96</v>
      </c>
      <c r="F2639">
        <v>99.99</v>
      </c>
      <c r="G2639" t="s">
        <v>7032</v>
      </c>
      <c r="H2639">
        <v>0</v>
      </c>
      <c r="M2639">
        <v>0</v>
      </c>
      <c r="N2639">
        <v>0</v>
      </c>
      <c r="O2639">
        <v>0</v>
      </c>
      <c r="P2639">
        <v>0</v>
      </c>
    </row>
    <row r="2640" spans="1:16" x14ac:dyDescent="0.2">
      <c r="A2640" t="s">
        <v>288</v>
      </c>
      <c r="B2640" t="s">
        <v>97</v>
      </c>
      <c r="C2640" t="s">
        <v>289</v>
      </c>
      <c r="D2640" t="s">
        <v>287</v>
      </c>
      <c r="E2640" t="s">
        <v>290</v>
      </c>
      <c r="F2640">
        <v>399.99</v>
      </c>
      <c r="G2640" t="s">
        <v>7032</v>
      </c>
      <c r="H2640">
        <v>0</v>
      </c>
      <c r="M2640">
        <v>0</v>
      </c>
      <c r="N2640">
        <v>0</v>
      </c>
      <c r="O2640">
        <v>0</v>
      </c>
      <c r="P2640">
        <v>0</v>
      </c>
    </row>
    <row r="2641" spans="1:16" x14ac:dyDescent="0.2">
      <c r="A2641" t="s">
        <v>281</v>
      </c>
      <c r="B2641" t="s">
        <v>97</v>
      </c>
      <c r="C2641" t="s">
        <v>282</v>
      </c>
      <c r="D2641" t="s">
        <v>223</v>
      </c>
      <c r="E2641" t="s">
        <v>228</v>
      </c>
      <c r="F2641">
        <v>29.99</v>
      </c>
      <c r="G2641" t="s">
        <v>7032</v>
      </c>
      <c r="H2641">
        <v>0</v>
      </c>
      <c r="M2641">
        <v>0</v>
      </c>
      <c r="N2641">
        <v>0.16666666666666666</v>
      </c>
      <c r="O2641">
        <v>0</v>
      </c>
      <c r="P2641">
        <v>0</v>
      </c>
    </row>
    <row r="2642" spans="1:16" x14ac:dyDescent="0.2">
      <c r="A2642" t="s">
        <v>279</v>
      </c>
      <c r="B2642" t="s">
        <v>97</v>
      </c>
      <c r="C2642" t="s">
        <v>280</v>
      </c>
      <c r="D2642" t="s">
        <v>223</v>
      </c>
      <c r="E2642" t="s">
        <v>228</v>
      </c>
      <c r="F2642">
        <v>24.99</v>
      </c>
      <c r="G2642" t="s">
        <v>7032</v>
      </c>
      <c r="H2642">
        <v>0</v>
      </c>
      <c r="M2642">
        <v>0</v>
      </c>
      <c r="N2642">
        <v>0</v>
      </c>
      <c r="O2642">
        <v>0</v>
      </c>
      <c r="P2642">
        <v>0</v>
      </c>
    </row>
    <row r="2643" spans="1:16" x14ac:dyDescent="0.2">
      <c r="A2643" t="s">
        <v>257</v>
      </c>
      <c r="B2643" t="s">
        <v>97</v>
      </c>
      <c r="C2643" t="s">
        <v>258</v>
      </c>
      <c r="D2643" t="s">
        <v>223</v>
      </c>
      <c r="E2643" t="s">
        <v>228</v>
      </c>
      <c r="F2643">
        <v>59.99</v>
      </c>
      <c r="G2643" t="s">
        <v>7032</v>
      </c>
      <c r="H2643">
        <v>0</v>
      </c>
      <c r="M2643">
        <v>0</v>
      </c>
      <c r="N2643">
        <v>0</v>
      </c>
      <c r="O2643">
        <v>0</v>
      </c>
      <c r="P2643">
        <v>0</v>
      </c>
    </row>
    <row r="2644" spans="1:16" x14ac:dyDescent="0.2">
      <c r="A2644" t="s">
        <v>4536</v>
      </c>
      <c r="B2644" t="s">
        <v>97</v>
      </c>
      <c r="C2644" t="s">
        <v>4537</v>
      </c>
      <c r="D2644" t="s">
        <v>4463</v>
      </c>
      <c r="E2644" t="s">
        <v>290</v>
      </c>
      <c r="F2644">
        <v>19.989999999999998</v>
      </c>
      <c r="G2644" t="s">
        <v>7032</v>
      </c>
      <c r="H2644">
        <v>0</v>
      </c>
      <c r="M2644">
        <v>0</v>
      </c>
      <c r="N2644">
        <v>0</v>
      </c>
      <c r="O2644">
        <v>0</v>
      </c>
      <c r="P2644">
        <v>3</v>
      </c>
    </row>
    <row r="2645" spans="1:16" x14ac:dyDescent="0.2">
      <c r="A2645" t="s">
        <v>5012</v>
      </c>
      <c r="B2645" t="s">
        <v>97</v>
      </c>
      <c r="C2645" t="s">
        <v>5013</v>
      </c>
      <c r="D2645" t="s">
        <v>446</v>
      </c>
      <c r="E2645" t="s">
        <v>96</v>
      </c>
      <c r="F2645">
        <v>44.99</v>
      </c>
      <c r="G2645" t="s">
        <v>7032</v>
      </c>
      <c r="H2645">
        <v>0</v>
      </c>
      <c r="M2645">
        <v>0</v>
      </c>
      <c r="N2645">
        <v>0</v>
      </c>
      <c r="O2645">
        <v>0</v>
      </c>
      <c r="P2645">
        <v>0</v>
      </c>
    </row>
    <row r="2646" spans="1:16" x14ac:dyDescent="0.2">
      <c r="A2646" t="s">
        <v>4600</v>
      </c>
      <c r="B2646" t="s">
        <v>97</v>
      </c>
      <c r="C2646" t="s">
        <v>4601</v>
      </c>
      <c r="D2646" t="s">
        <v>4463</v>
      </c>
      <c r="E2646" t="s">
        <v>96</v>
      </c>
      <c r="F2646">
        <v>19.989999999999998</v>
      </c>
      <c r="G2646" t="s">
        <v>7032</v>
      </c>
      <c r="H2646">
        <v>0</v>
      </c>
      <c r="M2646">
        <v>0</v>
      </c>
      <c r="N2646">
        <v>0</v>
      </c>
      <c r="O2646">
        <v>0</v>
      </c>
      <c r="P2646">
        <v>0</v>
      </c>
    </row>
    <row r="2647" spans="1:16" x14ac:dyDescent="0.2">
      <c r="A2647" t="s">
        <v>4874</v>
      </c>
      <c r="B2647" t="s">
        <v>97</v>
      </c>
      <c r="C2647" t="s">
        <v>4875</v>
      </c>
      <c r="D2647" t="s">
        <v>446</v>
      </c>
      <c r="E2647" t="s">
        <v>96</v>
      </c>
      <c r="F2647">
        <v>24.99</v>
      </c>
      <c r="G2647" t="s">
        <v>7032</v>
      </c>
      <c r="H2647">
        <v>0</v>
      </c>
      <c r="M2647">
        <v>0</v>
      </c>
      <c r="N2647">
        <v>0</v>
      </c>
      <c r="O2647">
        <v>0</v>
      </c>
      <c r="P2647">
        <v>0</v>
      </c>
    </row>
    <row r="2648" spans="1:16" x14ac:dyDescent="0.2">
      <c r="A2648" t="s">
        <v>295</v>
      </c>
      <c r="B2648" t="s">
        <v>97</v>
      </c>
      <c r="C2648" t="s">
        <v>296</v>
      </c>
      <c r="D2648" t="s">
        <v>287</v>
      </c>
      <c r="E2648" t="s">
        <v>290</v>
      </c>
      <c r="F2648">
        <v>329.99</v>
      </c>
      <c r="G2648" t="s">
        <v>7032</v>
      </c>
      <c r="H2648">
        <v>0</v>
      </c>
      <c r="M2648">
        <v>0</v>
      </c>
      <c r="N2648">
        <v>0</v>
      </c>
      <c r="O2648">
        <v>0</v>
      </c>
      <c r="P2648">
        <v>0</v>
      </c>
    </row>
    <row r="2649" spans="1:16" x14ac:dyDescent="0.2">
      <c r="A2649" t="s">
        <v>243</v>
      </c>
      <c r="B2649" t="s">
        <v>97</v>
      </c>
      <c r="C2649" t="s">
        <v>244</v>
      </c>
      <c r="D2649" t="s">
        <v>223</v>
      </c>
      <c r="E2649" t="s">
        <v>228</v>
      </c>
      <c r="F2649">
        <v>29.99</v>
      </c>
      <c r="G2649" t="s">
        <v>7032</v>
      </c>
      <c r="H2649">
        <v>0</v>
      </c>
      <c r="M2649">
        <v>0</v>
      </c>
      <c r="N2649">
        <v>0</v>
      </c>
      <c r="O2649">
        <v>0</v>
      </c>
      <c r="P2649">
        <v>0</v>
      </c>
    </row>
    <row r="2650" spans="1:16" x14ac:dyDescent="0.2">
      <c r="A2650" t="s">
        <v>555</v>
      </c>
      <c r="B2650" t="s">
        <v>97</v>
      </c>
      <c r="C2650" t="s">
        <v>556</v>
      </c>
      <c r="D2650" t="s">
        <v>446</v>
      </c>
      <c r="E2650" t="s">
        <v>228</v>
      </c>
      <c r="F2650">
        <v>29.99</v>
      </c>
      <c r="G2650" t="s">
        <v>7032</v>
      </c>
      <c r="H2650">
        <v>0</v>
      </c>
      <c r="M2650">
        <v>0</v>
      </c>
      <c r="N2650">
        <v>0</v>
      </c>
      <c r="O2650">
        <v>0</v>
      </c>
      <c r="P2650">
        <v>0</v>
      </c>
    </row>
    <row r="2651" spans="1:16" x14ac:dyDescent="0.2">
      <c r="A2651" t="s">
        <v>277</v>
      </c>
      <c r="B2651" t="s">
        <v>97</v>
      </c>
      <c r="C2651" t="s">
        <v>278</v>
      </c>
      <c r="D2651" t="s">
        <v>223</v>
      </c>
      <c r="E2651" t="s">
        <v>228</v>
      </c>
      <c r="F2651">
        <v>27.99</v>
      </c>
      <c r="G2651" t="s">
        <v>7032</v>
      </c>
      <c r="H2651">
        <v>0</v>
      </c>
      <c r="M2651">
        <v>0</v>
      </c>
      <c r="N2651">
        <v>0</v>
      </c>
      <c r="O2651">
        <v>0</v>
      </c>
      <c r="P2651">
        <v>0</v>
      </c>
    </row>
    <row r="2652" spans="1:16" x14ac:dyDescent="0.2">
      <c r="A2652" t="s">
        <v>7770</v>
      </c>
      <c r="B2652" t="s">
        <v>97</v>
      </c>
      <c r="C2652" t="s">
        <v>7771</v>
      </c>
      <c r="D2652" t="s">
        <v>223</v>
      </c>
      <c r="E2652" t="s">
        <v>96</v>
      </c>
      <c r="F2652">
        <v>59.99</v>
      </c>
      <c r="G2652" t="s">
        <v>7032</v>
      </c>
      <c r="H2652">
        <v>0</v>
      </c>
      <c r="M2652">
        <v>0</v>
      </c>
      <c r="N2652">
        <v>0</v>
      </c>
      <c r="O2652">
        <v>0</v>
      </c>
      <c r="P2652">
        <v>0</v>
      </c>
    </row>
    <row r="2653" spans="1:16" x14ac:dyDescent="0.2">
      <c r="A2653" t="s">
        <v>4224</v>
      </c>
      <c r="B2653" t="s">
        <v>97</v>
      </c>
      <c r="C2653" t="s">
        <v>4225</v>
      </c>
      <c r="D2653" t="s">
        <v>223</v>
      </c>
      <c r="E2653" t="s">
        <v>96</v>
      </c>
      <c r="F2653">
        <v>109.99</v>
      </c>
      <c r="G2653" t="s">
        <v>7032</v>
      </c>
      <c r="H2653">
        <v>0</v>
      </c>
      <c r="M2653">
        <v>0</v>
      </c>
      <c r="N2653">
        <v>0</v>
      </c>
      <c r="O2653">
        <v>0</v>
      </c>
      <c r="P2653">
        <v>0</v>
      </c>
    </row>
    <row r="2654" spans="1:16" x14ac:dyDescent="0.2">
      <c r="A2654" t="s">
        <v>239</v>
      </c>
      <c r="B2654" t="s">
        <v>97</v>
      </c>
      <c r="C2654" t="s">
        <v>240</v>
      </c>
      <c r="D2654" t="s">
        <v>223</v>
      </c>
      <c r="E2654" t="s">
        <v>96</v>
      </c>
      <c r="F2654">
        <v>109.99</v>
      </c>
      <c r="G2654" t="s">
        <v>7032</v>
      </c>
      <c r="H2654">
        <v>0</v>
      </c>
      <c r="M2654">
        <v>0</v>
      </c>
      <c r="N2654">
        <v>0</v>
      </c>
      <c r="O2654">
        <v>0</v>
      </c>
      <c r="P2654">
        <v>0</v>
      </c>
    </row>
    <row r="2655" spans="1:16" x14ac:dyDescent="0.2">
      <c r="A2655" t="s">
        <v>237</v>
      </c>
      <c r="B2655" t="s">
        <v>97</v>
      </c>
      <c r="C2655" t="s">
        <v>238</v>
      </c>
      <c r="D2655" t="s">
        <v>223</v>
      </c>
      <c r="E2655" t="s">
        <v>96</v>
      </c>
      <c r="F2655">
        <v>109.99</v>
      </c>
      <c r="G2655" t="s">
        <v>7032</v>
      </c>
      <c r="H2655">
        <v>0</v>
      </c>
      <c r="M2655">
        <v>0</v>
      </c>
      <c r="N2655">
        <v>0</v>
      </c>
      <c r="O2655">
        <v>0</v>
      </c>
      <c r="P2655">
        <v>0</v>
      </c>
    </row>
    <row r="2656" spans="1:16" x14ac:dyDescent="0.2">
      <c r="A2656" t="s">
        <v>4343</v>
      </c>
      <c r="B2656" t="s">
        <v>97</v>
      </c>
      <c r="C2656" t="s">
        <v>4344</v>
      </c>
      <c r="D2656" t="s">
        <v>223</v>
      </c>
      <c r="E2656" t="s">
        <v>96</v>
      </c>
      <c r="F2656">
        <v>22.99</v>
      </c>
      <c r="G2656" t="s">
        <v>7032</v>
      </c>
      <c r="H2656">
        <v>0</v>
      </c>
      <c r="M2656">
        <v>0</v>
      </c>
      <c r="N2656">
        <v>0</v>
      </c>
      <c r="O2656">
        <v>0</v>
      </c>
      <c r="P2656">
        <v>0</v>
      </c>
    </row>
    <row r="2657" spans="1:16" x14ac:dyDescent="0.2">
      <c r="A2657" t="s">
        <v>6428</v>
      </c>
      <c r="B2657" t="s">
        <v>97</v>
      </c>
      <c r="C2657" t="s">
        <v>6429</v>
      </c>
      <c r="D2657" t="s">
        <v>223</v>
      </c>
      <c r="E2657" t="s">
        <v>96</v>
      </c>
      <c r="F2657">
        <v>19.989999999999998</v>
      </c>
      <c r="G2657" t="s">
        <v>7032</v>
      </c>
      <c r="H2657">
        <v>0</v>
      </c>
      <c r="M2657">
        <v>0</v>
      </c>
      <c r="N2657">
        <v>0</v>
      </c>
      <c r="O2657">
        <v>0</v>
      </c>
      <c r="P2657">
        <v>0</v>
      </c>
    </row>
    <row r="2658" spans="1:16" x14ac:dyDescent="0.2">
      <c r="A2658" t="s">
        <v>4322</v>
      </c>
      <c r="B2658" t="s">
        <v>97</v>
      </c>
      <c r="C2658" t="s">
        <v>4323</v>
      </c>
      <c r="D2658" t="s">
        <v>223</v>
      </c>
      <c r="E2658" t="s">
        <v>96</v>
      </c>
      <c r="F2658">
        <v>89.99</v>
      </c>
      <c r="G2658" t="s">
        <v>7032</v>
      </c>
      <c r="H2658">
        <v>0</v>
      </c>
      <c r="M2658">
        <v>0</v>
      </c>
      <c r="N2658">
        <v>0</v>
      </c>
      <c r="O2658">
        <v>0</v>
      </c>
      <c r="P2658">
        <v>0</v>
      </c>
    </row>
    <row r="2659" spans="1:16" x14ac:dyDescent="0.2">
      <c r="A2659" t="s">
        <v>231</v>
      </c>
      <c r="B2659" t="s">
        <v>97</v>
      </c>
      <c r="C2659" t="s">
        <v>232</v>
      </c>
      <c r="D2659" t="s">
        <v>223</v>
      </c>
      <c r="E2659" t="s">
        <v>96</v>
      </c>
      <c r="F2659">
        <v>109.99</v>
      </c>
      <c r="G2659" t="s">
        <v>7032</v>
      </c>
      <c r="H2659">
        <v>0</v>
      </c>
      <c r="M2659">
        <v>0</v>
      </c>
      <c r="N2659">
        <v>0</v>
      </c>
      <c r="O2659">
        <v>0</v>
      </c>
      <c r="P2659">
        <v>0</v>
      </c>
    </row>
    <row r="2660" spans="1:16" x14ac:dyDescent="0.2">
      <c r="A2660" t="s">
        <v>7100</v>
      </c>
      <c r="B2660" t="s">
        <v>97</v>
      </c>
      <c r="C2660" t="s">
        <v>7101</v>
      </c>
      <c r="D2660" t="s">
        <v>223</v>
      </c>
      <c r="E2660" t="s">
        <v>96</v>
      </c>
      <c r="F2660">
        <v>22.99</v>
      </c>
      <c r="G2660" t="s">
        <v>7032</v>
      </c>
      <c r="H2660">
        <v>0</v>
      </c>
      <c r="M2660">
        <v>0</v>
      </c>
      <c r="N2660">
        <v>0</v>
      </c>
      <c r="O2660">
        <v>0</v>
      </c>
      <c r="P2660">
        <v>0</v>
      </c>
    </row>
    <row r="2661" spans="1:16" x14ac:dyDescent="0.2">
      <c r="A2661" t="s">
        <v>224</v>
      </c>
      <c r="B2661" t="s">
        <v>97</v>
      </c>
      <c r="C2661" t="s">
        <v>225</v>
      </c>
      <c r="D2661" t="s">
        <v>223</v>
      </c>
      <c r="E2661" t="s">
        <v>96</v>
      </c>
      <c r="F2661">
        <v>149.99</v>
      </c>
      <c r="G2661" t="s">
        <v>7032</v>
      </c>
      <c r="H2661">
        <v>0</v>
      </c>
      <c r="M2661">
        <v>0</v>
      </c>
      <c r="N2661">
        <v>0</v>
      </c>
      <c r="O2661">
        <v>0</v>
      </c>
      <c r="P2661">
        <v>0</v>
      </c>
    </row>
    <row r="2662" spans="1:16" x14ac:dyDescent="0.2">
      <c r="A2662" t="s">
        <v>229</v>
      </c>
      <c r="B2662" t="s">
        <v>97</v>
      </c>
      <c r="C2662" t="s">
        <v>230</v>
      </c>
      <c r="D2662" t="s">
        <v>223</v>
      </c>
      <c r="E2662" t="s">
        <v>228</v>
      </c>
      <c r="F2662">
        <v>119.99</v>
      </c>
      <c r="G2662" t="s">
        <v>7032</v>
      </c>
      <c r="H2662">
        <v>0</v>
      </c>
      <c r="M2662">
        <v>0</v>
      </c>
      <c r="N2662">
        <v>0</v>
      </c>
      <c r="O2662">
        <v>0</v>
      </c>
      <c r="P2662">
        <v>0</v>
      </c>
    </row>
    <row r="2663" spans="1:16" x14ac:dyDescent="0.2">
      <c r="A2663" t="s">
        <v>553</v>
      </c>
      <c r="B2663" t="s">
        <v>97</v>
      </c>
      <c r="C2663" t="s">
        <v>554</v>
      </c>
      <c r="D2663" t="s">
        <v>446</v>
      </c>
      <c r="E2663" t="s">
        <v>228</v>
      </c>
      <c r="F2663">
        <v>24.99</v>
      </c>
      <c r="G2663" t="s">
        <v>7032</v>
      </c>
      <c r="H2663">
        <v>0</v>
      </c>
      <c r="M2663">
        <v>0</v>
      </c>
      <c r="N2663">
        <v>0</v>
      </c>
      <c r="O2663">
        <v>0</v>
      </c>
      <c r="P2663">
        <v>0</v>
      </c>
    </row>
    <row r="2664" spans="1:16" x14ac:dyDescent="0.2">
      <c r="A2664" t="s">
        <v>7772</v>
      </c>
      <c r="B2664" t="s">
        <v>97</v>
      </c>
      <c r="C2664" t="s">
        <v>7773</v>
      </c>
      <c r="D2664" t="s">
        <v>223</v>
      </c>
      <c r="E2664" t="s">
        <v>96</v>
      </c>
      <c r="F2664">
        <v>79.989999999999995</v>
      </c>
      <c r="G2664" t="s">
        <v>7032</v>
      </c>
      <c r="H2664">
        <v>0</v>
      </c>
      <c r="M2664">
        <v>0</v>
      </c>
      <c r="N2664">
        <v>0</v>
      </c>
      <c r="O2664">
        <v>0</v>
      </c>
      <c r="P2664">
        <v>0</v>
      </c>
    </row>
    <row r="2665" spans="1:16" x14ac:dyDescent="0.2">
      <c r="A2665" t="s">
        <v>265</v>
      </c>
      <c r="B2665" t="s">
        <v>97</v>
      </c>
      <c r="C2665" t="s">
        <v>266</v>
      </c>
      <c r="D2665" t="s">
        <v>223</v>
      </c>
      <c r="E2665" t="s">
        <v>96</v>
      </c>
      <c r="F2665">
        <v>22.99</v>
      </c>
      <c r="G2665" t="s">
        <v>7032</v>
      </c>
      <c r="H2665">
        <v>0</v>
      </c>
      <c r="M2665">
        <v>0</v>
      </c>
      <c r="N2665">
        <v>0</v>
      </c>
      <c r="O2665">
        <v>0</v>
      </c>
      <c r="P2665">
        <v>0</v>
      </c>
    </row>
    <row r="2666" spans="1:16" x14ac:dyDescent="0.2">
      <c r="A2666" t="s">
        <v>275</v>
      </c>
      <c r="B2666" t="s">
        <v>97</v>
      </c>
      <c r="C2666" t="s">
        <v>276</v>
      </c>
      <c r="D2666" t="s">
        <v>223</v>
      </c>
      <c r="E2666" t="s">
        <v>228</v>
      </c>
      <c r="F2666">
        <v>59.99</v>
      </c>
      <c r="G2666" t="s">
        <v>7032</v>
      </c>
      <c r="H2666">
        <v>0</v>
      </c>
      <c r="M2666">
        <v>0</v>
      </c>
      <c r="N2666">
        <v>0</v>
      </c>
      <c r="O2666">
        <v>0</v>
      </c>
      <c r="P2666">
        <v>0</v>
      </c>
    </row>
    <row r="2667" spans="1:16" x14ac:dyDescent="0.2">
      <c r="A2667" t="s">
        <v>649</v>
      </c>
      <c r="B2667" t="s">
        <v>97</v>
      </c>
      <c r="C2667" t="s">
        <v>7026</v>
      </c>
      <c r="D2667" t="s">
        <v>446</v>
      </c>
      <c r="E2667" t="s">
        <v>228</v>
      </c>
      <c r="F2667">
        <v>99.99</v>
      </c>
      <c r="G2667" t="s">
        <v>7032</v>
      </c>
      <c r="H2667">
        <v>0</v>
      </c>
      <c r="M2667">
        <v>0</v>
      </c>
      <c r="N2667">
        <v>0</v>
      </c>
      <c r="O2667">
        <v>0</v>
      </c>
      <c r="P2667">
        <v>0</v>
      </c>
    </row>
    <row r="2668" spans="1:16" x14ac:dyDescent="0.2">
      <c r="A2668" t="s">
        <v>547</v>
      </c>
      <c r="B2668" t="s">
        <v>97</v>
      </c>
      <c r="C2668" t="s">
        <v>7085</v>
      </c>
      <c r="D2668" t="s">
        <v>446</v>
      </c>
      <c r="E2668" t="s">
        <v>290</v>
      </c>
      <c r="F2668">
        <v>199.99</v>
      </c>
      <c r="G2668" t="s">
        <v>7032</v>
      </c>
      <c r="H2668">
        <v>0</v>
      </c>
      <c r="M2668">
        <v>0</v>
      </c>
      <c r="N2668">
        <v>0</v>
      </c>
      <c r="O2668">
        <v>0</v>
      </c>
      <c r="P2668">
        <v>0</v>
      </c>
    </row>
    <row r="2669" spans="1:16" x14ac:dyDescent="0.2">
      <c r="A2669" t="s">
        <v>3420</v>
      </c>
      <c r="B2669" t="s">
        <v>97</v>
      </c>
      <c r="C2669" t="s">
        <v>3421</v>
      </c>
      <c r="D2669" t="s">
        <v>297</v>
      </c>
      <c r="E2669" t="s">
        <v>96</v>
      </c>
      <c r="F2669">
        <v>89.99</v>
      </c>
      <c r="G2669" t="s">
        <v>7032</v>
      </c>
      <c r="H2669">
        <v>0</v>
      </c>
      <c r="M2669">
        <v>0</v>
      </c>
      <c r="N2669">
        <v>0</v>
      </c>
      <c r="O2669">
        <v>0</v>
      </c>
      <c r="P2669">
        <v>0</v>
      </c>
    </row>
    <row r="2670" spans="1:16" x14ac:dyDescent="0.2">
      <c r="A2670" t="s">
        <v>300</v>
      </c>
      <c r="B2670" t="s">
        <v>97</v>
      </c>
      <c r="C2670" t="s">
        <v>301</v>
      </c>
      <c r="D2670" t="s">
        <v>297</v>
      </c>
      <c r="E2670" t="s">
        <v>290</v>
      </c>
      <c r="F2670">
        <v>54.99</v>
      </c>
      <c r="G2670" t="s">
        <v>7032</v>
      </c>
      <c r="H2670">
        <v>0</v>
      </c>
      <c r="M2670">
        <v>0</v>
      </c>
      <c r="N2670">
        <v>0</v>
      </c>
      <c r="O2670">
        <v>0</v>
      </c>
      <c r="P2670">
        <v>0</v>
      </c>
    </row>
    <row r="2671" spans="1:16" x14ac:dyDescent="0.2">
      <c r="A2671" t="s">
        <v>305</v>
      </c>
      <c r="B2671" t="s">
        <v>97</v>
      </c>
      <c r="C2671" t="s">
        <v>306</v>
      </c>
      <c r="D2671" t="s">
        <v>304</v>
      </c>
      <c r="E2671" t="s">
        <v>96</v>
      </c>
      <c r="F2671">
        <v>179.99</v>
      </c>
      <c r="G2671" t="s">
        <v>7032</v>
      </c>
      <c r="H2671">
        <v>0</v>
      </c>
      <c r="M2671">
        <v>0</v>
      </c>
      <c r="N2671">
        <v>0</v>
      </c>
      <c r="O2671">
        <v>0</v>
      </c>
      <c r="P2671">
        <v>3</v>
      </c>
    </row>
    <row r="2672" spans="1:16" x14ac:dyDescent="0.2">
      <c r="A2672" t="s">
        <v>693</v>
      </c>
      <c r="B2672" t="s">
        <v>97</v>
      </c>
      <c r="C2672" t="s">
        <v>7020</v>
      </c>
      <c r="D2672" t="s">
        <v>446</v>
      </c>
      <c r="E2672" t="s">
        <v>228</v>
      </c>
      <c r="F2672">
        <v>59.99</v>
      </c>
      <c r="G2672" t="s">
        <v>7032</v>
      </c>
      <c r="H2672">
        <v>0</v>
      </c>
      <c r="M2672">
        <v>0</v>
      </c>
      <c r="N2672">
        <v>0.16666666666666666</v>
      </c>
      <c r="O2672">
        <v>0</v>
      </c>
      <c r="P2672">
        <v>0</v>
      </c>
    </row>
    <row r="2673" spans="1:16" x14ac:dyDescent="0.2">
      <c r="A2673" t="s">
        <v>7390</v>
      </c>
      <c r="B2673" t="s">
        <v>97</v>
      </c>
      <c r="C2673" t="s">
        <v>7392</v>
      </c>
      <c r="D2673" t="s">
        <v>446</v>
      </c>
      <c r="E2673" t="s">
        <v>96</v>
      </c>
      <c r="F2673">
        <v>139.99</v>
      </c>
      <c r="G2673" t="s">
        <v>7032</v>
      </c>
      <c r="H2673">
        <v>0</v>
      </c>
      <c r="M2673">
        <v>0</v>
      </c>
      <c r="N2673">
        <v>0</v>
      </c>
      <c r="O2673">
        <v>0</v>
      </c>
      <c r="P2673">
        <v>0</v>
      </c>
    </row>
    <row r="2674" spans="1:16" x14ac:dyDescent="0.2">
      <c r="A2674" t="s">
        <v>5019</v>
      </c>
      <c r="B2674" t="s">
        <v>97</v>
      </c>
      <c r="C2674" t="s">
        <v>5020</v>
      </c>
      <c r="D2674" t="s">
        <v>446</v>
      </c>
      <c r="E2674" t="s">
        <v>96</v>
      </c>
      <c r="F2674">
        <v>149.99</v>
      </c>
      <c r="G2674" t="s">
        <v>7032</v>
      </c>
      <c r="H2674">
        <v>0</v>
      </c>
      <c r="M2674">
        <v>0</v>
      </c>
      <c r="N2674">
        <v>0</v>
      </c>
      <c r="O2674">
        <v>0</v>
      </c>
      <c r="P2674">
        <v>0</v>
      </c>
    </row>
    <row r="2675" spans="1:16" x14ac:dyDescent="0.2">
      <c r="A2675" t="s">
        <v>549</v>
      </c>
      <c r="B2675" t="s">
        <v>97</v>
      </c>
      <c r="C2675" t="s">
        <v>550</v>
      </c>
      <c r="D2675" t="s">
        <v>446</v>
      </c>
      <c r="E2675" t="s">
        <v>228</v>
      </c>
      <c r="F2675">
        <v>169.99</v>
      </c>
      <c r="G2675" t="s">
        <v>7032</v>
      </c>
      <c r="H2675">
        <v>0</v>
      </c>
      <c r="M2675">
        <v>0</v>
      </c>
      <c r="N2675">
        <v>0</v>
      </c>
      <c r="O2675">
        <v>0</v>
      </c>
      <c r="P2675">
        <v>0</v>
      </c>
    </row>
    <row r="2676" spans="1:16" x14ac:dyDescent="0.2">
      <c r="A2676" t="s">
        <v>4740</v>
      </c>
      <c r="B2676" t="s">
        <v>97</v>
      </c>
      <c r="C2676" t="s">
        <v>4741</v>
      </c>
      <c r="D2676" t="s">
        <v>446</v>
      </c>
      <c r="E2676" t="s">
        <v>96</v>
      </c>
      <c r="F2676">
        <v>49.99</v>
      </c>
      <c r="G2676" t="s">
        <v>7032</v>
      </c>
      <c r="H2676">
        <v>0</v>
      </c>
      <c r="M2676">
        <v>0</v>
      </c>
      <c r="N2676">
        <v>0</v>
      </c>
      <c r="O2676">
        <v>0</v>
      </c>
      <c r="P2676">
        <v>0</v>
      </c>
    </row>
    <row r="2677" spans="1:16" x14ac:dyDescent="0.2">
      <c r="A2677" t="s">
        <v>685</v>
      </c>
      <c r="B2677" t="s">
        <v>97</v>
      </c>
      <c r="C2677" t="s">
        <v>686</v>
      </c>
      <c r="D2677" t="s">
        <v>446</v>
      </c>
      <c r="E2677" t="s">
        <v>228</v>
      </c>
      <c r="F2677">
        <v>59.99</v>
      </c>
      <c r="G2677" t="s">
        <v>7032</v>
      </c>
      <c r="H2677">
        <v>0</v>
      </c>
      <c r="M2677">
        <v>0</v>
      </c>
      <c r="N2677">
        <v>0</v>
      </c>
      <c r="O2677">
        <v>0</v>
      </c>
      <c r="P2677">
        <v>3</v>
      </c>
    </row>
    <row r="2678" spans="1:16" x14ac:dyDescent="0.2">
      <c r="A2678" t="s">
        <v>683</v>
      </c>
      <c r="B2678" t="s">
        <v>97</v>
      </c>
      <c r="C2678" t="s">
        <v>684</v>
      </c>
      <c r="D2678" t="s">
        <v>446</v>
      </c>
      <c r="E2678" t="s">
        <v>290</v>
      </c>
      <c r="F2678">
        <v>149.99</v>
      </c>
      <c r="G2678" t="s">
        <v>7032</v>
      </c>
      <c r="H2678">
        <v>0</v>
      </c>
      <c r="M2678">
        <v>0</v>
      </c>
      <c r="N2678">
        <v>0</v>
      </c>
      <c r="O2678">
        <v>0</v>
      </c>
      <c r="P2678">
        <v>0</v>
      </c>
    </row>
    <row r="2679" spans="1:16" x14ac:dyDescent="0.2">
      <c r="A2679" t="s">
        <v>6019</v>
      </c>
      <c r="B2679" t="s">
        <v>97</v>
      </c>
      <c r="C2679" t="s">
        <v>6020</v>
      </c>
      <c r="D2679" t="s">
        <v>2502</v>
      </c>
      <c r="E2679" t="s">
        <v>228</v>
      </c>
      <c r="F2679">
        <v>29.99</v>
      </c>
      <c r="G2679" t="s">
        <v>7032</v>
      </c>
      <c r="H2679">
        <v>0</v>
      </c>
      <c r="M2679">
        <v>0</v>
      </c>
      <c r="N2679">
        <v>0</v>
      </c>
      <c r="O2679">
        <v>0</v>
      </c>
      <c r="P2679">
        <v>4</v>
      </c>
    </row>
    <row r="2680" spans="1:16" x14ac:dyDescent="0.2">
      <c r="A2680" t="s">
        <v>6024</v>
      </c>
      <c r="B2680" t="s">
        <v>97</v>
      </c>
      <c r="C2680" t="s">
        <v>6025</v>
      </c>
      <c r="D2680" t="s">
        <v>2502</v>
      </c>
      <c r="E2680" t="s">
        <v>228</v>
      </c>
      <c r="F2680">
        <v>29.99</v>
      </c>
      <c r="G2680" t="s">
        <v>7032</v>
      </c>
      <c r="H2680">
        <v>0</v>
      </c>
      <c r="M2680">
        <v>0</v>
      </c>
      <c r="N2680">
        <v>0</v>
      </c>
      <c r="O2680">
        <v>0</v>
      </c>
      <c r="P2680">
        <v>3</v>
      </c>
    </row>
    <row r="2681" spans="1:16" x14ac:dyDescent="0.2">
      <c r="A2681" t="s">
        <v>4657</v>
      </c>
      <c r="B2681" t="s">
        <v>97</v>
      </c>
      <c r="C2681" t="s">
        <v>4658</v>
      </c>
      <c r="D2681" t="s">
        <v>446</v>
      </c>
      <c r="E2681" t="s">
        <v>96</v>
      </c>
      <c r="F2681">
        <v>34.99</v>
      </c>
      <c r="G2681" t="s">
        <v>7032</v>
      </c>
      <c r="H2681">
        <v>8.3333333333333329E-2</v>
      </c>
      <c r="M2681">
        <v>0</v>
      </c>
      <c r="N2681">
        <v>0</v>
      </c>
      <c r="O2681">
        <v>0</v>
      </c>
      <c r="P2681">
        <v>1</v>
      </c>
    </row>
    <row r="2682" spans="1:16" x14ac:dyDescent="0.2">
      <c r="A2682" t="s">
        <v>6073</v>
      </c>
      <c r="B2682" t="s">
        <v>97</v>
      </c>
      <c r="C2682" t="s">
        <v>6074</v>
      </c>
      <c r="D2682" t="s">
        <v>2502</v>
      </c>
      <c r="E2682" t="s">
        <v>96</v>
      </c>
      <c r="F2682">
        <v>59.99</v>
      </c>
      <c r="G2682" t="s">
        <v>7032</v>
      </c>
      <c r="H2682">
        <v>0</v>
      </c>
      <c r="M2682">
        <v>0</v>
      </c>
      <c r="N2682">
        <v>0</v>
      </c>
      <c r="O2682">
        <v>0</v>
      </c>
      <c r="P2682">
        <v>0</v>
      </c>
    </row>
    <row r="2683" spans="1:16" x14ac:dyDescent="0.2">
      <c r="A2683" t="s">
        <v>4655</v>
      </c>
      <c r="B2683" t="s">
        <v>97</v>
      </c>
      <c r="C2683" t="s">
        <v>4656</v>
      </c>
      <c r="D2683" t="s">
        <v>446</v>
      </c>
      <c r="E2683" t="s">
        <v>96</v>
      </c>
      <c r="F2683">
        <v>34.99</v>
      </c>
      <c r="G2683" t="s">
        <v>7032</v>
      </c>
      <c r="H2683">
        <v>0</v>
      </c>
      <c r="M2683">
        <v>0</v>
      </c>
      <c r="N2683">
        <v>0</v>
      </c>
      <c r="O2683">
        <v>0</v>
      </c>
      <c r="P2683">
        <v>3</v>
      </c>
    </row>
    <row r="2684" spans="1:16" x14ac:dyDescent="0.2">
      <c r="A2684" t="s">
        <v>6068</v>
      </c>
      <c r="B2684" t="s">
        <v>97</v>
      </c>
      <c r="C2684" t="s">
        <v>6069</v>
      </c>
      <c r="D2684" t="s">
        <v>2502</v>
      </c>
      <c r="E2684" t="s">
        <v>96</v>
      </c>
      <c r="F2684">
        <v>59.99</v>
      </c>
      <c r="G2684" t="s">
        <v>7032</v>
      </c>
      <c r="H2684">
        <v>0</v>
      </c>
      <c r="M2684">
        <v>0</v>
      </c>
      <c r="N2684">
        <v>0</v>
      </c>
      <c r="O2684">
        <v>0</v>
      </c>
      <c r="P2684">
        <v>0</v>
      </c>
    </row>
    <row r="2685" spans="1:16" x14ac:dyDescent="0.2">
      <c r="A2685" t="s">
        <v>6056</v>
      </c>
      <c r="B2685" t="s">
        <v>97</v>
      </c>
      <c r="C2685" t="s">
        <v>6057</v>
      </c>
      <c r="D2685" t="s">
        <v>2502</v>
      </c>
      <c r="E2685" t="s">
        <v>96</v>
      </c>
      <c r="F2685">
        <v>59.99</v>
      </c>
      <c r="G2685" t="s">
        <v>7032</v>
      </c>
      <c r="H2685">
        <v>0</v>
      </c>
      <c r="M2685">
        <v>0</v>
      </c>
      <c r="N2685">
        <v>0</v>
      </c>
      <c r="O2685">
        <v>0</v>
      </c>
      <c r="P2685">
        <v>0</v>
      </c>
    </row>
    <row r="2686" spans="1:16" x14ac:dyDescent="0.2">
      <c r="A2686" t="s">
        <v>6064</v>
      </c>
      <c r="B2686" t="s">
        <v>97</v>
      </c>
      <c r="C2686" t="s">
        <v>6065</v>
      </c>
      <c r="D2686" t="s">
        <v>2502</v>
      </c>
      <c r="E2686" t="s">
        <v>96</v>
      </c>
      <c r="F2686">
        <v>59.99</v>
      </c>
      <c r="G2686" t="s">
        <v>7032</v>
      </c>
      <c r="H2686">
        <v>0</v>
      </c>
      <c r="M2686">
        <v>0</v>
      </c>
      <c r="N2686">
        <v>0</v>
      </c>
      <c r="O2686">
        <v>0</v>
      </c>
      <c r="P2686">
        <v>0</v>
      </c>
    </row>
    <row r="2687" spans="1:16" x14ac:dyDescent="0.2">
      <c r="A2687" t="s">
        <v>6052</v>
      </c>
      <c r="B2687" t="s">
        <v>97</v>
      </c>
      <c r="C2687" t="s">
        <v>6053</v>
      </c>
      <c r="D2687" t="s">
        <v>2502</v>
      </c>
      <c r="E2687" t="s">
        <v>96</v>
      </c>
      <c r="F2687">
        <v>59.99</v>
      </c>
      <c r="G2687" t="s">
        <v>7032</v>
      </c>
      <c r="H2687">
        <v>0</v>
      </c>
      <c r="M2687">
        <v>0</v>
      </c>
      <c r="N2687">
        <v>0</v>
      </c>
      <c r="O2687">
        <v>0</v>
      </c>
      <c r="P2687">
        <v>0</v>
      </c>
    </row>
    <row r="2688" spans="1:16" x14ac:dyDescent="0.2">
      <c r="A2688" t="s">
        <v>6060</v>
      </c>
      <c r="B2688" t="s">
        <v>97</v>
      </c>
      <c r="C2688" t="s">
        <v>6061</v>
      </c>
      <c r="D2688" t="s">
        <v>2502</v>
      </c>
      <c r="E2688" t="s">
        <v>290</v>
      </c>
      <c r="F2688">
        <v>59.99</v>
      </c>
      <c r="G2688" t="s">
        <v>7032</v>
      </c>
      <c r="H2688">
        <v>0</v>
      </c>
      <c r="M2688">
        <v>0</v>
      </c>
      <c r="N2688">
        <v>0</v>
      </c>
      <c r="O2688">
        <v>0</v>
      </c>
      <c r="P2688">
        <v>0</v>
      </c>
    </row>
    <row r="2689" spans="1:16" x14ac:dyDescent="0.2">
      <c r="A2689" t="s">
        <v>2587</v>
      </c>
      <c r="B2689" t="s">
        <v>97</v>
      </c>
      <c r="C2689" t="s">
        <v>2588</v>
      </c>
      <c r="D2689" t="s">
        <v>2502</v>
      </c>
      <c r="E2689" t="s">
        <v>228</v>
      </c>
      <c r="F2689">
        <v>89.99</v>
      </c>
      <c r="G2689" t="s">
        <v>7032</v>
      </c>
      <c r="H2689">
        <v>0</v>
      </c>
      <c r="M2689">
        <v>0</v>
      </c>
      <c r="N2689">
        <v>0</v>
      </c>
      <c r="O2689">
        <v>0</v>
      </c>
      <c r="P2689">
        <v>1</v>
      </c>
    </row>
    <row r="2690" spans="1:16" x14ac:dyDescent="0.2">
      <c r="A2690" t="s">
        <v>6029</v>
      </c>
      <c r="B2690" t="s">
        <v>97</v>
      </c>
      <c r="C2690" t="s">
        <v>6030</v>
      </c>
      <c r="D2690" t="s">
        <v>2502</v>
      </c>
      <c r="E2690" t="s">
        <v>228</v>
      </c>
      <c r="F2690">
        <v>29.99</v>
      </c>
      <c r="G2690" t="s">
        <v>7032</v>
      </c>
      <c r="H2690">
        <v>0</v>
      </c>
      <c r="M2690">
        <v>0</v>
      </c>
      <c r="N2690">
        <v>0</v>
      </c>
      <c r="O2690">
        <v>0</v>
      </c>
      <c r="P2690">
        <v>0</v>
      </c>
    </row>
    <row r="2691" spans="1:16" x14ac:dyDescent="0.2">
      <c r="A2691" t="s">
        <v>2641</v>
      </c>
      <c r="B2691" t="s">
        <v>97</v>
      </c>
      <c r="C2691" t="s">
        <v>2642</v>
      </c>
      <c r="D2691" t="s">
        <v>2502</v>
      </c>
      <c r="E2691" t="s">
        <v>228</v>
      </c>
      <c r="F2691">
        <v>109.99</v>
      </c>
      <c r="G2691" t="s">
        <v>7032</v>
      </c>
      <c r="H2691">
        <v>0</v>
      </c>
      <c r="M2691">
        <v>0</v>
      </c>
      <c r="N2691">
        <v>0.5</v>
      </c>
      <c r="O2691">
        <v>0</v>
      </c>
      <c r="P2691">
        <v>0</v>
      </c>
    </row>
    <row r="2692" spans="1:16" x14ac:dyDescent="0.2">
      <c r="A2692" t="s">
        <v>7774</v>
      </c>
      <c r="B2692" t="s">
        <v>97</v>
      </c>
      <c r="C2692" t="s">
        <v>7775</v>
      </c>
      <c r="D2692" t="s">
        <v>1012</v>
      </c>
      <c r="E2692" t="s">
        <v>96</v>
      </c>
      <c r="F2692">
        <v>69.989999999999995</v>
      </c>
      <c r="G2692" t="s">
        <v>7032</v>
      </c>
      <c r="H2692">
        <v>0</v>
      </c>
      <c r="M2692">
        <v>0</v>
      </c>
      <c r="N2692">
        <v>0</v>
      </c>
      <c r="O2692">
        <v>0</v>
      </c>
      <c r="P2692">
        <v>0</v>
      </c>
    </row>
    <row r="2693" spans="1:16" x14ac:dyDescent="0.2">
      <c r="A2693" t="s">
        <v>7776</v>
      </c>
      <c r="B2693" t="s">
        <v>97</v>
      </c>
      <c r="C2693" t="s">
        <v>7777</v>
      </c>
      <c r="D2693" t="s">
        <v>1012</v>
      </c>
      <c r="E2693" t="s">
        <v>96</v>
      </c>
      <c r="F2693">
        <v>69.989999999999995</v>
      </c>
      <c r="G2693" t="s">
        <v>7032</v>
      </c>
      <c r="H2693">
        <v>0</v>
      </c>
      <c r="M2693">
        <v>0</v>
      </c>
      <c r="N2693">
        <v>0</v>
      </c>
      <c r="O2693">
        <v>0</v>
      </c>
      <c r="P2693">
        <v>0</v>
      </c>
    </row>
    <row r="2694" spans="1:16" x14ac:dyDescent="0.2">
      <c r="A2694" t="s">
        <v>7778</v>
      </c>
      <c r="B2694" t="s">
        <v>97</v>
      </c>
      <c r="C2694" t="s">
        <v>7779</v>
      </c>
      <c r="D2694" t="s">
        <v>1012</v>
      </c>
      <c r="E2694" t="s">
        <v>96</v>
      </c>
      <c r="F2694">
        <v>69.989999999999995</v>
      </c>
      <c r="G2694" t="s">
        <v>7032</v>
      </c>
      <c r="H2694">
        <v>0</v>
      </c>
      <c r="M2694">
        <v>0</v>
      </c>
      <c r="N2694">
        <v>0</v>
      </c>
      <c r="O2694">
        <v>0</v>
      </c>
      <c r="P2694">
        <v>0</v>
      </c>
    </row>
    <row r="2695" spans="1:16" x14ac:dyDescent="0.2">
      <c r="A2695" t="s">
        <v>6167</v>
      </c>
      <c r="B2695" t="s">
        <v>97</v>
      </c>
      <c r="C2695" t="s">
        <v>6168</v>
      </c>
      <c r="D2695" t="s">
        <v>2502</v>
      </c>
      <c r="E2695" t="s">
        <v>228</v>
      </c>
      <c r="F2695">
        <v>29.99</v>
      </c>
      <c r="G2695" t="s">
        <v>7032</v>
      </c>
      <c r="H2695">
        <v>0</v>
      </c>
      <c r="M2695">
        <v>0</v>
      </c>
      <c r="N2695">
        <v>0</v>
      </c>
      <c r="O2695">
        <v>0</v>
      </c>
      <c r="P2695">
        <v>1</v>
      </c>
    </row>
    <row r="2696" spans="1:16" x14ac:dyDescent="0.2">
      <c r="A2696" t="s">
        <v>2665</v>
      </c>
      <c r="B2696" t="s">
        <v>97</v>
      </c>
      <c r="C2696" t="s">
        <v>2666</v>
      </c>
      <c r="D2696" t="s">
        <v>2502</v>
      </c>
      <c r="E2696" t="s">
        <v>228</v>
      </c>
      <c r="F2696">
        <v>64.989999999999995</v>
      </c>
      <c r="G2696" t="s">
        <v>7032</v>
      </c>
      <c r="H2696">
        <v>0</v>
      </c>
      <c r="M2696">
        <v>0</v>
      </c>
      <c r="N2696">
        <v>0</v>
      </c>
      <c r="O2696">
        <v>0</v>
      </c>
      <c r="P2696">
        <v>0</v>
      </c>
    </row>
    <row r="2697" spans="1:16" x14ac:dyDescent="0.2">
      <c r="A2697" t="s">
        <v>6309</v>
      </c>
      <c r="B2697" t="s">
        <v>97</v>
      </c>
      <c r="C2697" t="s">
        <v>6310</v>
      </c>
      <c r="D2697" t="s">
        <v>2502</v>
      </c>
      <c r="E2697" t="s">
        <v>290</v>
      </c>
      <c r="F2697">
        <v>99.99</v>
      </c>
      <c r="G2697" t="s">
        <v>7032</v>
      </c>
      <c r="H2697">
        <v>0</v>
      </c>
      <c r="M2697">
        <v>0</v>
      </c>
      <c r="N2697">
        <v>0</v>
      </c>
      <c r="O2697">
        <v>0</v>
      </c>
      <c r="P2697">
        <v>0</v>
      </c>
    </row>
    <row r="2698" spans="1:16" x14ac:dyDescent="0.2">
      <c r="A2698" t="s">
        <v>7780</v>
      </c>
      <c r="B2698" t="s">
        <v>97</v>
      </c>
      <c r="C2698" t="s">
        <v>7781</v>
      </c>
      <c r="D2698" t="s">
        <v>1012</v>
      </c>
      <c r="E2698" t="s">
        <v>96</v>
      </c>
      <c r="F2698">
        <v>69.989999999999995</v>
      </c>
      <c r="G2698" t="s">
        <v>7032</v>
      </c>
      <c r="H2698">
        <v>0</v>
      </c>
      <c r="M2698">
        <v>0</v>
      </c>
      <c r="N2698">
        <v>0</v>
      </c>
      <c r="O2698">
        <v>0</v>
      </c>
      <c r="P2698">
        <v>0</v>
      </c>
    </row>
    <row r="2699" spans="1:16" x14ac:dyDescent="0.2">
      <c r="A2699" t="s">
        <v>2667</v>
      </c>
      <c r="B2699" t="s">
        <v>97</v>
      </c>
      <c r="C2699" t="s">
        <v>2668</v>
      </c>
      <c r="D2699" t="s">
        <v>2502</v>
      </c>
      <c r="E2699" t="s">
        <v>228</v>
      </c>
      <c r="F2699">
        <v>99.99</v>
      </c>
      <c r="G2699" t="s">
        <v>7032</v>
      </c>
      <c r="H2699">
        <v>0</v>
      </c>
      <c r="M2699">
        <v>0</v>
      </c>
      <c r="N2699">
        <v>0</v>
      </c>
      <c r="O2699">
        <v>0</v>
      </c>
      <c r="P2699">
        <v>0</v>
      </c>
    </row>
    <row r="2700" spans="1:16" x14ac:dyDescent="0.2">
      <c r="A2700" t="s">
        <v>6206</v>
      </c>
      <c r="B2700" t="s">
        <v>97</v>
      </c>
      <c r="C2700" t="s">
        <v>6207</v>
      </c>
      <c r="D2700" t="s">
        <v>2502</v>
      </c>
      <c r="E2700" t="s">
        <v>228</v>
      </c>
      <c r="F2700">
        <v>59.99</v>
      </c>
      <c r="G2700" t="s">
        <v>7032</v>
      </c>
      <c r="H2700">
        <v>0</v>
      </c>
      <c r="M2700">
        <v>0</v>
      </c>
      <c r="N2700">
        <v>0</v>
      </c>
      <c r="O2700">
        <v>0</v>
      </c>
      <c r="P2700">
        <v>0</v>
      </c>
    </row>
    <row r="2701" spans="1:16" x14ac:dyDescent="0.2">
      <c r="A2701" t="s">
        <v>7124</v>
      </c>
      <c r="B2701" t="s">
        <v>97</v>
      </c>
      <c r="C2701" t="s">
        <v>7126</v>
      </c>
      <c r="D2701" t="s">
        <v>2502</v>
      </c>
      <c r="E2701" t="s">
        <v>96</v>
      </c>
      <c r="F2701">
        <v>119.99</v>
      </c>
      <c r="G2701" t="s">
        <v>7032</v>
      </c>
      <c r="H2701">
        <v>0</v>
      </c>
      <c r="M2701">
        <v>0</v>
      </c>
      <c r="N2701">
        <v>0</v>
      </c>
      <c r="O2701">
        <v>0</v>
      </c>
      <c r="P2701">
        <v>0</v>
      </c>
    </row>
    <row r="2702" spans="1:16" x14ac:dyDescent="0.2">
      <c r="A2702" t="s">
        <v>7782</v>
      </c>
      <c r="B2702" t="s">
        <v>97</v>
      </c>
      <c r="C2702" t="s">
        <v>7783</v>
      </c>
      <c r="D2702" t="s">
        <v>1012</v>
      </c>
      <c r="E2702" t="s">
        <v>290</v>
      </c>
      <c r="F2702">
        <v>89.99</v>
      </c>
      <c r="G2702" t="s">
        <v>7032</v>
      </c>
      <c r="H2702">
        <v>0</v>
      </c>
      <c r="M2702">
        <v>0</v>
      </c>
      <c r="N2702">
        <v>0</v>
      </c>
      <c r="O2702">
        <v>0</v>
      </c>
      <c r="P2702">
        <v>0</v>
      </c>
    </row>
    <row r="2703" spans="1:16" x14ac:dyDescent="0.2">
      <c r="A2703" t="s">
        <v>2595</v>
      </c>
      <c r="B2703" t="s">
        <v>97</v>
      </c>
      <c r="C2703" t="s">
        <v>2596</v>
      </c>
      <c r="D2703" t="s">
        <v>2502</v>
      </c>
      <c r="E2703" t="s">
        <v>228</v>
      </c>
      <c r="F2703">
        <v>49.99</v>
      </c>
      <c r="G2703" t="s">
        <v>7032</v>
      </c>
      <c r="H2703">
        <v>0</v>
      </c>
      <c r="M2703">
        <v>0</v>
      </c>
      <c r="N2703">
        <v>0</v>
      </c>
      <c r="O2703">
        <v>0</v>
      </c>
      <c r="P2703">
        <v>0</v>
      </c>
    </row>
    <row r="2704" spans="1:16" x14ac:dyDescent="0.2">
      <c r="A2704" t="s">
        <v>2633</v>
      </c>
      <c r="B2704" t="s">
        <v>97</v>
      </c>
      <c r="C2704" t="s">
        <v>2634</v>
      </c>
      <c r="D2704" t="s">
        <v>2502</v>
      </c>
      <c r="E2704" t="s">
        <v>228</v>
      </c>
      <c r="F2704">
        <v>189.99</v>
      </c>
      <c r="G2704" t="s">
        <v>7032</v>
      </c>
      <c r="H2704">
        <v>0</v>
      </c>
      <c r="M2704">
        <v>0</v>
      </c>
      <c r="N2704">
        <v>0</v>
      </c>
      <c r="O2704">
        <v>0</v>
      </c>
      <c r="P2704">
        <v>1</v>
      </c>
    </row>
    <row r="2705" spans="1:16" x14ac:dyDescent="0.2">
      <c r="A2705" t="s">
        <v>7784</v>
      </c>
      <c r="B2705" t="s">
        <v>97</v>
      </c>
      <c r="C2705" t="s">
        <v>7785</v>
      </c>
      <c r="D2705" t="s">
        <v>1012</v>
      </c>
      <c r="E2705" t="s">
        <v>96</v>
      </c>
      <c r="F2705">
        <v>139.99</v>
      </c>
      <c r="G2705" t="s">
        <v>7032</v>
      </c>
      <c r="H2705">
        <v>0</v>
      </c>
      <c r="M2705">
        <v>0</v>
      </c>
      <c r="N2705">
        <v>0</v>
      </c>
      <c r="O2705">
        <v>0</v>
      </c>
      <c r="P2705">
        <v>0</v>
      </c>
    </row>
    <row r="2706" spans="1:16" x14ac:dyDescent="0.2">
      <c r="A2706" t="s">
        <v>3413</v>
      </c>
      <c r="B2706" t="s">
        <v>97</v>
      </c>
      <c r="C2706" t="s">
        <v>3414</v>
      </c>
      <c r="D2706" t="s">
        <v>3396</v>
      </c>
      <c r="E2706" t="s">
        <v>96</v>
      </c>
      <c r="F2706">
        <v>339.99</v>
      </c>
      <c r="G2706" t="s">
        <v>7032</v>
      </c>
      <c r="H2706">
        <v>0</v>
      </c>
      <c r="M2706">
        <v>0</v>
      </c>
      <c r="N2706">
        <v>0</v>
      </c>
      <c r="O2706">
        <v>0</v>
      </c>
      <c r="P2706">
        <v>0</v>
      </c>
    </row>
    <row r="2707" spans="1:16" x14ac:dyDescent="0.2">
      <c r="A2707" t="s">
        <v>7786</v>
      </c>
      <c r="B2707" t="s">
        <v>97</v>
      </c>
      <c r="C2707" t="s">
        <v>7787</v>
      </c>
      <c r="D2707" t="s">
        <v>1012</v>
      </c>
      <c r="E2707" t="s">
        <v>96</v>
      </c>
      <c r="F2707">
        <v>139.99</v>
      </c>
      <c r="G2707" t="s">
        <v>7032</v>
      </c>
      <c r="H2707">
        <v>0</v>
      </c>
      <c r="M2707">
        <v>0</v>
      </c>
      <c r="N2707">
        <v>0</v>
      </c>
      <c r="O2707">
        <v>0</v>
      </c>
      <c r="P2707">
        <v>0</v>
      </c>
    </row>
    <row r="2708" spans="1:16" x14ac:dyDescent="0.2">
      <c r="A2708" t="s">
        <v>3415</v>
      </c>
      <c r="B2708" t="s">
        <v>97</v>
      </c>
      <c r="C2708" t="s">
        <v>3416</v>
      </c>
      <c r="D2708" t="s">
        <v>3396</v>
      </c>
      <c r="E2708" t="s">
        <v>96</v>
      </c>
      <c r="F2708">
        <v>149.99</v>
      </c>
      <c r="G2708" t="s">
        <v>7032</v>
      </c>
      <c r="H2708">
        <v>0</v>
      </c>
      <c r="M2708">
        <v>0</v>
      </c>
      <c r="N2708">
        <v>0</v>
      </c>
      <c r="O2708">
        <v>0</v>
      </c>
      <c r="P2708">
        <v>0</v>
      </c>
    </row>
    <row r="2709" spans="1:16" x14ac:dyDescent="0.2">
      <c r="A2709" t="s">
        <v>7788</v>
      </c>
      <c r="B2709" t="s">
        <v>97</v>
      </c>
      <c r="C2709" t="s">
        <v>7789</v>
      </c>
      <c r="D2709" t="s">
        <v>1012</v>
      </c>
      <c r="E2709" t="s">
        <v>96</v>
      </c>
      <c r="F2709">
        <v>139.99</v>
      </c>
      <c r="G2709" t="s">
        <v>7032</v>
      </c>
      <c r="H2709">
        <v>0</v>
      </c>
      <c r="M2709">
        <v>0</v>
      </c>
      <c r="N2709">
        <v>0</v>
      </c>
      <c r="O2709">
        <v>0</v>
      </c>
      <c r="P2709">
        <v>0</v>
      </c>
    </row>
    <row r="2710" spans="1:16" x14ac:dyDescent="0.2">
      <c r="A2710" t="s">
        <v>7790</v>
      </c>
      <c r="B2710" t="s">
        <v>97</v>
      </c>
      <c r="C2710" t="s">
        <v>7791</v>
      </c>
      <c r="D2710" t="s">
        <v>1012</v>
      </c>
      <c r="E2710" t="s">
        <v>96</v>
      </c>
      <c r="F2710">
        <v>79.989999999999995</v>
      </c>
      <c r="G2710" t="s">
        <v>7032</v>
      </c>
      <c r="H2710">
        <v>0</v>
      </c>
      <c r="M2710">
        <v>0</v>
      </c>
      <c r="N2710">
        <v>0</v>
      </c>
      <c r="O2710">
        <v>0</v>
      </c>
      <c r="P2710">
        <v>0</v>
      </c>
    </row>
    <row r="2711" spans="1:16" x14ac:dyDescent="0.2">
      <c r="A2711" t="s">
        <v>6197</v>
      </c>
      <c r="B2711" t="s">
        <v>97</v>
      </c>
      <c r="C2711" t="s">
        <v>6198</v>
      </c>
      <c r="D2711" t="s">
        <v>2502</v>
      </c>
      <c r="E2711" t="s">
        <v>96</v>
      </c>
      <c r="F2711">
        <v>99.99</v>
      </c>
      <c r="G2711" t="s">
        <v>7032</v>
      </c>
      <c r="H2711">
        <v>0</v>
      </c>
      <c r="M2711">
        <v>0</v>
      </c>
      <c r="N2711">
        <v>0</v>
      </c>
      <c r="O2711">
        <v>0</v>
      </c>
      <c r="P2711">
        <v>0</v>
      </c>
    </row>
    <row r="2712" spans="1:16" x14ac:dyDescent="0.2">
      <c r="A2712" t="s">
        <v>7195</v>
      </c>
      <c r="B2712" t="s">
        <v>97</v>
      </c>
      <c r="C2712" t="s">
        <v>7197</v>
      </c>
      <c r="D2712" t="s">
        <v>2502</v>
      </c>
      <c r="E2712" t="s">
        <v>96</v>
      </c>
      <c r="F2712">
        <v>99.99</v>
      </c>
      <c r="G2712" t="s">
        <v>7032</v>
      </c>
      <c r="H2712">
        <v>0</v>
      </c>
      <c r="M2712">
        <v>0</v>
      </c>
      <c r="N2712">
        <v>0</v>
      </c>
      <c r="O2712">
        <v>0</v>
      </c>
      <c r="P2712">
        <v>0</v>
      </c>
    </row>
    <row r="2713" spans="1:16" x14ac:dyDescent="0.2">
      <c r="A2713" t="s">
        <v>2703</v>
      </c>
      <c r="B2713" t="s">
        <v>97</v>
      </c>
      <c r="C2713" t="s">
        <v>2704</v>
      </c>
      <c r="D2713" t="s">
        <v>2502</v>
      </c>
      <c r="E2713" t="s">
        <v>290</v>
      </c>
      <c r="F2713">
        <v>129.99</v>
      </c>
      <c r="G2713" t="s">
        <v>7032</v>
      </c>
      <c r="H2713">
        <v>0</v>
      </c>
      <c r="M2713">
        <v>0</v>
      </c>
      <c r="N2713">
        <v>0</v>
      </c>
      <c r="O2713">
        <v>0</v>
      </c>
      <c r="P2713">
        <v>0</v>
      </c>
    </row>
    <row r="2714" spans="1:16" x14ac:dyDescent="0.2">
      <c r="A2714" t="s">
        <v>7142</v>
      </c>
      <c r="B2714" t="s">
        <v>97</v>
      </c>
      <c r="C2714" t="s">
        <v>7144</v>
      </c>
      <c r="D2714" t="s">
        <v>2502</v>
      </c>
      <c r="E2714" t="s">
        <v>96</v>
      </c>
      <c r="F2714">
        <v>79.989999999999995</v>
      </c>
      <c r="G2714" t="s">
        <v>7032</v>
      </c>
      <c r="H2714">
        <v>0</v>
      </c>
      <c r="M2714">
        <v>0</v>
      </c>
      <c r="N2714">
        <v>0</v>
      </c>
      <c r="O2714">
        <v>0</v>
      </c>
      <c r="P2714">
        <v>0</v>
      </c>
    </row>
    <row r="2715" spans="1:16" x14ac:dyDescent="0.2">
      <c r="A2715" t="s">
        <v>5976</v>
      </c>
      <c r="B2715" t="s">
        <v>97</v>
      </c>
      <c r="C2715" t="s">
        <v>5977</v>
      </c>
      <c r="D2715" t="s">
        <v>2502</v>
      </c>
      <c r="E2715" t="s">
        <v>96</v>
      </c>
      <c r="F2715">
        <v>79.989999999999995</v>
      </c>
      <c r="G2715" t="s">
        <v>7032</v>
      </c>
      <c r="H2715">
        <v>0</v>
      </c>
      <c r="M2715">
        <v>0</v>
      </c>
      <c r="N2715">
        <v>0</v>
      </c>
      <c r="O2715">
        <v>0</v>
      </c>
      <c r="P2715">
        <v>0</v>
      </c>
    </row>
    <row r="2716" spans="1:16" x14ac:dyDescent="0.2">
      <c r="A2716" t="s">
        <v>2609</v>
      </c>
      <c r="B2716" t="s">
        <v>97</v>
      </c>
      <c r="C2716" t="s">
        <v>2610</v>
      </c>
      <c r="D2716" t="s">
        <v>2502</v>
      </c>
      <c r="E2716" t="s">
        <v>290</v>
      </c>
      <c r="F2716">
        <v>179.99</v>
      </c>
      <c r="G2716" t="s">
        <v>7032</v>
      </c>
      <c r="H2716">
        <v>0</v>
      </c>
      <c r="M2716">
        <v>0</v>
      </c>
      <c r="N2716">
        <v>0</v>
      </c>
      <c r="O2716">
        <v>0</v>
      </c>
      <c r="P2716">
        <v>0</v>
      </c>
    </row>
    <row r="2717" spans="1:16" x14ac:dyDescent="0.2">
      <c r="A2717" t="s">
        <v>998</v>
      </c>
      <c r="B2717" t="s">
        <v>97</v>
      </c>
      <c r="C2717" t="s">
        <v>999</v>
      </c>
      <c r="D2717" t="s">
        <v>446</v>
      </c>
      <c r="E2717" t="s">
        <v>228</v>
      </c>
      <c r="F2717">
        <v>49.99</v>
      </c>
      <c r="G2717" t="s">
        <v>7032</v>
      </c>
      <c r="H2717">
        <v>0</v>
      </c>
      <c r="M2717">
        <v>0</v>
      </c>
      <c r="N2717">
        <v>0</v>
      </c>
      <c r="O2717">
        <v>0</v>
      </c>
      <c r="P2717">
        <v>2</v>
      </c>
    </row>
    <row r="2718" spans="1:16" x14ac:dyDescent="0.2">
      <c r="A2718" t="s">
        <v>2701</v>
      </c>
      <c r="B2718" t="s">
        <v>97</v>
      </c>
      <c r="C2718" t="s">
        <v>2702</v>
      </c>
      <c r="D2718" t="s">
        <v>2502</v>
      </c>
      <c r="E2718" t="s">
        <v>290</v>
      </c>
      <c r="F2718">
        <v>99.99</v>
      </c>
      <c r="G2718" t="s">
        <v>7032</v>
      </c>
      <c r="H2718">
        <v>0</v>
      </c>
      <c r="M2718">
        <v>0</v>
      </c>
      <c r="N2718">
        <v>0</v>
      </c>
      <c r="O2718">
        <v>0</v>
      </c>
      <c r="P2718">
        <v>1</v>
      </c>
    </row>
    <row r="2719" spans="1:16" x14ac:dyDescent="0.2">
      <c r="A2719" t="s">
        <v>4906</v>
      </c>
      <c r="B2719" t="s">
        <v>97</v>
      </c>
      <c r="C2719" t="s">
        <v>4907</v>
      </c>
      <c r="D2719" t="s">
        <v>446</v>
      </c>
      <c r="E2719" t="s">
        <v>290</v>
      </c>
      <c r="F2719">
        <v>69.989999999999995</v>
      </c>
      <c r="G2719" t="s">
        <v>7032</v>
      </c>
      <c r="H2719">
        <v>0</v>
      </c>
      <c r="M2719">
        <v>0</v>
      </c>
      <c r="N2719">
        <v>0</v>
      </c>
      <c r="O2719">
        <v>0</v>
      </c>
      <c r="P2719">
        <v>2</v>
      </c>
    </row>
    <row r="2720" spans="1:16" x14ac:dyDescent="0.2">
      <c r="A2720" t="s">
        <v>1002</v>
      </c>
      <c r="B2720" t="s">
        <v>97</v>
      </c>
      <c r="C2720" t="s">
        <v>1003</v>
      </c>
      <c r="D2720" t="s">
        <v>446</v>
      </c>
      <c r="E2720" t="s">
        <v>228</v>
      </c>
      <c r="F2720">
        <v>49.99</v>
      </c>
      <c r="G2720" t="s">
        <v>7032</v>
      </c>
      <c r="H2720">
        <v>0</v>
      </c>
      <c r="M2720">
        <v>0</v>
      </c>
      <c r="N2720">
        <v>0</v>
      </c>
      <c r="O2720">
        <v>0</v>
      </c>
      <c r="P2720">
        <v>0</v>
      </c>
    </row>
    <row r="2721" spans="1:16" x14ac:dyDescent="0.2">
      <c r="A2721" t="s">
        <v>7128</v>
      </c>
      <c r="B2721" t="s">
        <v>97</v>
      </c>
      <c r="C2721" t="s">
        <v>7130</v>
      </c>
      <c r="D2721" t="s">
        <v>2502</v>
      </c>
      <c r="E2721" t="s">
        <v>96</v>
      </c>
      <c r="G2721" t="s">
        <v>7032</v>
      </c>
      <c r="H2721">
        <v>0</v>
      </c>
      <c r="M2721">
        <v>0</v>
      </c>
      <c r="N2721">
        <v>0</v>
      </c>
      <c r="P2721">
        <v>0</v>
      </c>
    </row>
    <row r="2722" spans="1:16" x14ac:dyDescent="0.2">
      <c r="A2722" t="s">
        <v>6348</v>
      </c>
      <c r="B2722" t="s">
        <v>97</v>
      </c>
      <c r="C2722" t="s">
        <v>6349</v>
      </c>
      <c r="D2722" t="s">
        <v>2502</v>
      </c>
      <c r="E2722" t="s">
        <v>290</v>
      </c>
      <c r="F2722">
        <v>129.99</v>
      </c>
      <c r="G2722" t="s">
        <v>7032</v>
      </c>
      <c r="H2722">
        <v>0</v>
      </c>
      <c r="M2722">
        <v>0</v>
      </c>
      <c r="N2722">
        <v>0</v>
      </c>
      <c r="O2722">
        <v>0</v>
      </c>
      <c r="P2722">
        <v>0</v>
      </c>
    </row>
    <row r="2723" spans="1:16" x14ac:dyDescent="0.2">
      <c r="A2723" t="s">
        <v>6353</v>
      </c>
      <c r="B2723" t="s">
        <v>97</v>
      </c>
      <c r="C2723" t="s">
        <v>6354</v>
      </c>
      <c r="D2723" t="s">
        <v>2502</v>
      </c>
      <c r="E2723" t="s">
        <v>96</v>
      </c>
      <c r="F2723">
        <v>129.99</v>
      </c>
      <c r="G2723" t="s">
        <v>7032</v>
      </c>
      <c r="H2723">
        <v>0</v>
      </c>
      <c r="M2723">
        <v>0</v>
      </c>
      <c r="N2723">
        <v>0</v>
      </c>
      <c r="O2723">
        <v>0</v>
      </c>
      <c r="P2723">
        <v>0</v>
      </c>
    </row>
    <row r="2724" spans="1:16" x14ac:dyDescent="0.2">
      <c r="A2724" t="s">
        <v>6157</v>
      </c>
      <c r="B2724" t="s">
        <v>97</v>
      </c>
      <c r="C2724" t="s">
        <v>6158</v>
      </c>
      <c r="D2724" t="s">
        <v>2502</v>
      </c>
      <c r="E2724" t="s">
        <v>290</v>
      </c>
      <c r="F2724">
        <v>109.99</v>
      </c>
      <c r="G2724" t="s">
        <v>7032</v>
      </c>
      <c r="H2724">
        <v>0</v>
      </c>
      <c r="M2724">
        <v>0</v>
      </c>
      <c r="N2724">
        <v>0</v>
      </c>
      <c r="O2724">
        <v>0</v>
      </c>
      <c r="P2724">
        <v>0</v>
      </c>
    </row>
    <row r="2725" spans="1:16" x14ac:dyDescent="0.2">
      <c r="A2725" t="s">
        <v>1008</v>
      </c>
      <c r="B2725" t="s">
        <v>97</v>
      </c>
      <c r="C2725" t="s">
        <v>1009</v>
      </c>
      <c r="D2725" t="s">
        <v>446</v>
      </c>
      <c r="E2725" t="s">
        <v>228</v>
      </c>
      <c r="F2725">
        <v>29.99</v>
      </c>
      <c r="G2725" t="s">
        <v>7032</v>
      </c>
      <c r="H2725">
        <v>0</v>
      </c>
      <c r="M2725">
        <v>0</v>
      </c>
      <c r="N2725">
        <v>0</v>
      </c>
      <c r="O2725">
        <v>0</v>
      </c>
      <c r="P2725">
        <v>3</v>
      </c>
    </row>
    <row r="2726" spans="1:16" x14ac:dyDescent="0.2">
      <c r="A2726" t="s">
        <v>2637</v>
      </c>
      <c r="B2726" t="s">
        <v>97</v>
      </c>
      <c r="C2726" t="s">
        <v>2638</v>
      </c>
      <c r="D2726" t="s">
        <v>2502</v>
      </c>
      <c r="E2726" t="s">
        <v>228</v>
      </c>
      <c r="F2726">
        <v>99.99</v>
      </c>
      <c r="G2726" t="s">
        <v>7032</v>
      </c>
      <c r="H2726">
        <v>0</v>
      </c>
      <c r="M2726">
        <v>0</v>
      </c>
      <c r="N2726">
        <v>0</v>
      </c>
      <c r="O2726">
        <v>0</v>
      </c>
      <c r="P2726">
        <v>0</v>
      </c>
    </row>
    <row r="2727" spans="1:16" x14ac:dyDescent="0.2">
      <c r="A2727" t="s">
        <v>2639</v>
      </c>
      <c r="B2727" t="s">
        <v>97</v>
      </c>
      <c r="C2727" t="s">
        <v>2640</v>
      </c>
      <c r="D2727" t="s">
        <v>2502</v>
      </c>
      <c r="E2727" t="s">
        <v>228</v>
      </c>
      <c r="F2727">
        <v>109.99</v>
      </c>
      <c r="G2727" t="s">
        <v>7032</v>
      </c>
      <c r="H2727">
        <v>0</v>
      </c>
      <c r="M2727">
        <v>0</v>
      </c>
      <c r="N2727">
        <v>0</v>
      </c>
      <c r="O2727">
        <v>0</v>
      </c>
      <c r="P2727">
        <v>0</v>
      </c>
    </row>
    <row r="2728" spans="1:16" x14ac:dyDescent="0.2">
      <c r="A2728" t="s">
        <v>6145</v>
      </c>
      <c r="B2728" t="s">
        <v>97</v>
      </c>
      <c r="C2728" t="s">
        <v>6146</v>
      </c>
      <c r="D2728" t="s">
        <v>2502</v>
      </c>
      <c r="E2728" t="s">
        <v>290</v>
      </c>
      <c r="F2728">
        <v>69.989999999999995</v>
      </c>
      <c r="G2728" t="s">
        <v>7032</v>
      </c>
      <c r="H2728">
        <v>0</v>
      </c>
      <c r="M2728">
        <v>0</v>
      </c>
      <c r="N2728">
        <v>0</v>
      </c>
      <c r="O2728">
        <v>0</v>
      </c>
      <c r="P2728">
        <v>0</v>
      </c>
    </row>
    <row r="2729" spans="1:16" x14ac:dyDescent="0.2">
      <c r="A2729" t="s">
        <v>5973</v>
      </c>
      <c r="B2729" t="s">
        <v>97</v>
      </c>
      <c r="C2729" t="s">
        <v>5974</v>
      </c>
      <c r="D2729" t="s">
        <v>2502</v>
      </c>
      <c r="E2729" t="s">
        <v>290</v>
      </c>
      <c r="F2729">
        <v>79.989999999999995</v>
      </c>
      <c r="G2729" t="s">
        <v>7032</v>
      </c>
      <c r="H2729">
        <v>0</v>
      </c>
      <c r="M2729">
        <v>0</v>
      </c>
      <c r="N2729">
        <v>0</v>
      </c>
      <c r="O2729">
        <v>0</v>
      </c>
      <c r="P2729">
        <v>0</v>
      </c>
    </row>
    <row r="2730" spans="1:16" x14ac:dyDescent="0.2">
      <c r="A2730" t="s">
        <v>691</v>
      </c>
      <c r="B2730" t="s">
        <v>97</v>
      </c>
      <c r="C2730" t="s">
        <v>7018</v>
      </c>
      <c r="D2730" t="s">
        <v>446</v>
      </c>
      <c r="E2730" t="s">
        <v>228</v>
      </c>
      <c r="F2730">
        <v>59.99</v>
      </c>
      <c r="G2730" t="s">
        <v>7032</v>
      </c>
      <c r="H2730">
        <v>0</v>
      </c>
      <c r="M2730">
        <v>0</v>
      </c>
      <c r="N2730">
        <v>0</v>
      </c>
      <c r="O2730">
        <v>0</v>
      </c>
      <c r="P2730">
        <v>3</v>
      </c>
    </row>
    <row r="2731" spans="1:16" x14ac:dyDescent="0.2">
      <c r="A2731" t="s">
        <v>6214</v>
      </c>
      <c r="B2731" t="s">
        <v>97</v>
      </c>
      <c r="C2731" t="s">
        <v>6215</v>
      </c>
      <c r="D2731" t="s">
        <v>2502</v>
      </c>
      <c r="E2731" t="s">
        <v>228</v>
      </c>
      <c r="F2731">
        <v>59.99</v>
      </c>
      <c r="G2731" t="s">
        <v>7032</v>
      </c>
      <c r="H2731">
        <v>0</v>
      </c>
      <c r="M2731">
        <v>0</v>
      </c>
      <c r="N2731">
        <v>0</v>
      </c>
      <c r="O2731">
        <v>0</v>
      </c>
      <c r="P2731">
        <v>0</v>
      </c>
    </row>
    <row r="2732" spans="1:16" x14ac:dyDescent="0.2">
      <c r="A2732" t="s">
        <v>2669</v>
      </c>
      <c r="B2732" t="s">
        <v>97</v>
      </c>
      <c r="C2732" t="s">
        <v>2670</v>
      </c>
      <c r="D2732" t="s">
        <v>2502</v>
      </c>
      <c r="E2732" t="s">
        <v>228</v>
      </c>
      <c r="F2732">
        <v>59.99</v>
      </c>
      <c r="G2732" t="s">
        <v>7032</v>
      </c>
      <c r="H2732">
        <v>0</v>
      </c>
      <c r="M2732">
        <v>0</v>
      </c>
      <c r="N2732">
        <v>0</v>
      </c>
      <c r="O2732">
        <v>0</v>
      </c>
      <c r="P2732">
        <v>2</v>
      </c>
    </row>
    <row r="2733" spans="1:16" x14ac:dyDescent="0.2">
      <c r="A2733" t="s">
        <v>769</v>
      </c>
      <c r="B2733" t="s">
        <v>97</v>
      </c>
      <c r="C2733" t="s">
        <v>770</v>
      </c>
      <c r="D2733" t="s">
        <v>446</v>
      </c>
      <c r="E2733" t="s">
        <v>228</v>
      </c>
      <c r="F2733">
        <v>49.99</v>
      </c>
      <c r="G2733" t="s">
        <v>7032</v>
      </c>
      <c r="H2733">
        <v>0</v>
      </c>
      <c r="M2733">
        <v>0</v>
      </c>
      <c r="N2733">
        <v>0</v>
      </c>
      <c r="O2733">
        <v>0</v>
      </c>
      <c r="P2733">
        <v>0</v>
      </c>
    </row>
    <row r="2734" spans="1:16" x14ac:dyDescent="0.2">
      <c r="A2734" t="s">
        <v>789</v>
      </c>
      <c r="B2734" t="s">
        <v>97</v>
      </c>
      <c r="C2734" t="s">
        <v>790</v>
      </c>
      <c r="D2734" t="s">
        <v>446</v>
      </c>
      <c r="E2734" t="s">
        <v>228</v>
      </c>
      <c r="F2734">
        <v>44.99</v>
      </c>
      <c r="G2734" t="s">
        <v>7032</v>
      </c>
      <c r="H2734">
        <v>0</v>
      </c>
      <c r="M2734">
        <v>0</v>
      </c>
      <c r="N2734">
        <v>0</v>
      </c>
      <c r="O2734">
        <v>0</v>
      </c>
      <c r="P2734">
        <v>0</v>
      </c>
    </row>
    <row r="2735" spans="1:16" x14ac:dyDescent="0.2">
      <c r="A2735" t="s">
        <v>781</v>
      </c>
      <c r="B2735" t="s">
        <v>97</v>
      </c>
      <c r="C2735" t="s">
        <v>782</v>
      </c>
      <c r="D2735" t="s">
        <v>446</v>
      </c>
      <c r="E2735" t="s">
        <v>228</v>
      </c>
      <c r="F2735">
        <v>44.99</v>
      </c>
      <c r="G2735" t="s">
        <v>7032</v>
      </c>
      <c r="H2735">
        <v>0</v>
      </c>
      <c r="M2735">
        <v>0</v>
      </c>
      <c r="N2735">
        <v>0</v>
      </c>
      <c r="O2735">
        <v>0</v>
      </c>
      <c r="P2735">
        <v>1</v>
      </c>
    </row>
    <row r="2736" spans="1:16" x14ac:dyDescent="0.2">
      <c r="A2736" t="s">
        <v>783</v>
      </c>
      <c r="B2736" t="s">
        <v>97</v>
      </c>
      <c r="C2736" t="s">
        <v>784</v>
      </c>
      <c r="D2736" t="s">
        <v>446</v>
      </c>
      <c r="E2736" t="s">
        <v>228</v>
      </c>
      <c r="F2736">
        <v>44.99</v>
      </c>
      <c r="G2736" t="s">
        <v>7032</v>
      </c>
      <c r="H2736">
        <v>0</v>
      </c>
      <c r="M2736">
        <v>0</v>
      </c>
      <c r="N2736">
        <v>0</v>
      </c>
      <c r="O2736">
        <v>0</v>
      </c>
      <c r="P2736">
        <v>2</v>
      </c>
    </row>
    <row r="2737" spans="1:16" x14ac:dyDescent="0.2">
      <c r="A2737" t="s">
        <v>4590</v>
      </c>
      <c r="B2737" t="s">
        <v>97</v>
      </c>
      <c r="C2737" t="s">
        <v>4591</v>
      </c>
      <c r="D2737" t="s">
        <v>4463</v>
      </c>
      <c r="E2737" t="s">
        <v>96</v>
      </c>
      <c r="F2737">
        <v>17.989999999999998</v>
      </c>
      <c r="G2737" t="s">
        <v>7032</v>
      </c>
      <c r="H2737">
        <v>0</v>
      </c>
      <c r="M2737">
        <v>0</v>
      </c>
      <c r="N2737">
        <v>0</v>
      </c>
      <c r="O2737">
        <v>0</v>
      </c>
      <c r="P2737">
        <v>0</v>
      </c>
    </row>
    <row r="2738" spans="1:16" x14ac:dyDescent="0.2">
      <c r="A2738" t="s">
        <v>787</v>
      </c>
      <c r="B2738" t="s">
        <v>97</v>
      </c>
      <c r="C2738" t="s">
        <v>788</v>
      </c>
      <c r="D2738" t="s">
        <v>446</v>
      </c>
      <c r="E2738" t="s">
        <v>228</v>
      </c>
      <c r="F2738">
        <v>44.99</v>
      </c>
      <c r="G2738" t="s">
        <v>7032</v>
      </c>
      <c r="H2738">
        <v>0</v>
      </c>
      <c r="M2738">
        <v>0</v>
      </c>
      <c r="N2738">
        <v>0.16666666666666666</v>
      </c>
      <c r="O2738">
        <v>0</v>
      </c>
      <c r="P2738">
        <v>0</v>
      </c>
    </row>
    <row r="2739" spans="1:16" x14ac:dyDescent="0.2">
      <c r="A2739" t="s">
        <v>4593</v>
      </c>
      <c r="B2739" t="s">
        <v>97</v>
      </c>
      <c r="C2739" t="s">
        <v>4594</v>
      </c>
      <c r="D2739" t="s">
        <v>4463</v>
      </c>
      <c r="E2739" t="s">
        <v>96</v>
      </c>
      <c r="F2739">
        <v>14.99</v>
      </c>
      <c r="G2739" t="s">
        <v>7032</v>
      </c>
      <c r="H2739">
        <v>0</v>
      </c>
      <c r="M2739">
        <v>0</v>
      </c>
      <c r="N2739">
        <v>0</v>
      </c>
      <c r="O2739">
        <v>0</v>
      </c>
      <c r="P2739">
        <v>4</v>
      </c>
    </row>
    <row r="2740" spans="1:16" x14ac:dyDescent="0.2">
      <c r="A2740" t="s">
        <v>785</v>
      </c>
      <c r="B2740" t="s">
        <v>97</v>
      </c>
      <c r="C2740" t="s">
        <v>786</v>
      </c>
      <c r="D2740" t="s">
        <v>446</v>
      </c>
      <c r="E2740" t="s">
        <v>228</v>
      </c>
      <c r="F2740">
        <v>44.99</v>
      </c>
      <c r="G2740" t="s">
        <v>7032</v>
      </c>
      <c r="H2740">
        <v>0</v>
      </c>
      <c r="M2740">
        <v>0</v>
      </c>
      <c r="N2740">
        <v>0</v>
      </c>
      <c r="O2740">
        <v>0</v>
      </c>
      <c r="P2740">
        <v>0</v>
      </c>
    </row>
    <row r="2741" spans="1:16" x14ac:dyDescent="0.2">
      <c r="A2741" t="s">
        <v>757</v>
      </c>
      <c r="B2741" t="s">
        <v>97</v>
      </c>
      <c r="C2741" t="s">
        <v>758</v>
      </c>
      <c r="D2741" t="s">
        <v>446</v>
      </c>
      <c r="E2741" t="s">
        <v>228</v>
      </c>
      <c r="F2741">
        <v>49.99</v>
      </c>
      <c r="G2741" t="s">
        <v>7032</v>
      </c>
      <c r="H2741">
        <v>0</v>
      </c>
      <c r="M2741">
        <v>0</v>
      </c>
      <c r="N2741">
        <v>0</v>
      </c>
      <c r="O2741">
        <v>0</v>
      </c>
      <c r="P2741">
        <v>0</v>
      </c>
    </row>
    <row r="2742" spans="1:16" x14ac:dyDescent="0.2">
      <c r="A2742" t="s">
        <v>677</v>
      </c>
      <c r="B2742" t="s">
        <v>97</v>
      </c>
      <c r="C2742" t="s">
        <v>678</v>
      </c>
      <c r="D2742" t="s">
        <v>446</v>
      </c>
      <c r="E2742" t="s">
        <v>290</v>
      </c>
      <c r="F2742">
        <v>129.99</v>
      </c>
      <c r="G2742" t="s">
        <v>7032</v>
      </c>
      <c r="H2742">
        <v>0</v>
      </c>
      <c r="M2742">
        <v>0</v>
      </c>
      <c r="N2742">
        <v>0</v>
      </c>
      <c r="O2742">
        <v>0</v>
      </c>
      <c r="P2742">
        <v>0</v>
      </c>
    </row>
    <row r="2743" spans="1:16" x14ac:dyDescent="0.2">
      <c r="A2743" t="s">
        <v>765</v>
      </c>
      <c r="B2743" t="s">
        <v>97</v>
      </c>
      <c r="C2743" t="s">
        <v>766</v>
      </c>
      <c r="D2743" t="s">
        <v>446</v>
      </c>
      <c r="E2743" t="s">
        <v>228</v>
      </c>
      <c r="F2743">
        <v>39.99</v>
      </c>
      <c r="G2743" t="s">
        <v>7032</v>
      </c>
      <c r="H2743">
        <v>0.16666666666666666</v>
      </c>
      <c r="M2743">
        <v>0</v>
      </c>
      <c r="N2743">
        <v>0</v>
      </c>
      <c r="O2743">
        <v>0</v>
      </c>
      <c r="P2743">
        <v>2</v>
      </c>
    </row>
    <row r="2744" spans="1:16" x14ac:dyDescent="0.2">
      <c r="A2744" t="s">
        <v>551</v>
      </c>
      <c r="B2744" t="s">
        <v>97</v>
      </c>
      <c r="C2744" t="s">
        <v>552</v>
      </c>
      <c r="D2744" t="s">
        <v>446</v>
      </c>
      <c r="E2744" t="s">
        <v>228</v>
      </c>
      <c r="F2744">
        <v>169.99</v>
      </c>
      <c r="G2744" t="s">
        <v>7032</v>
      </c>
      <c r="H2744">
        <v>0</v>
      </c>
      <c r="M2744">
        <v>0</v>
      </c>
      <c r="N2744">
        <v>0</v>
      </c>
      <c r="O2744">
        <v>0</v>
      </c>
      <c r="P2744">
        <v>0</v>
      </c>
    </row>
    <row r="2745" spans="1:16" x14ac:dyDescent="0.2">
      <c r="A2745" t="s">
        <v>641</v>
      </c>
      <c r="B2745" t="s">
        <v>97</v>
      </c>
      <c r="C2745" t="s">
        <v>642</v>
      </c>
      <c r="D2745" t="s">
        <v>446</v>
      </c>
      <c r="E2745" t="s">
        <v>228</v>
      </c>
      <c r="F2745">
        <v>69.989999999999995</v>
      </c>
      <c r="G2745" t="s">
        <v>7032</v>
      </c>
      <c r="H2745">
        <v>4.1666666666666664E-2</v>
      </c>
      <c r="M2745">
        <v>0</v>
      </c>
      <c r="N2745">
        <v>0</v>
      </c>
      <c r="O2745">
        <v>0</v>
      </c>
      <c r="P2745">
        <v>2</v>
      </c>
    </row>
    <row r="2746" spans="1:16" x14ac:dyDescent="0.2">
      <c r="A2746" t="s">
        <v>645</v>
      </c>
      <c r="B2746" t="s">
        <v>97</v>
      </c>
      <c r="C2746" t="s">
        <v>646</v>
      </c>
      <c r="D2746" t="s">
        <v>446</v>
      </c>
      <c r="E2746" t="s">
        <v>228</v>
      </c>
      <c r="F2746">
        <v>59.99</v>
      </c>
      <c r="G2746" t="s">
        <v>7032</v>
      </c>
      <c r="H2746">
        <v>0</v>
      </c>
      <c r="M2746">
        <v>0</v>
      </c>
      <c r="N2746">
        <v>0</v>
      </c>
      <c r="O2746">
        <v>0</v>
      </c>
      <c r="P2746">
        <v>0</v>
      </c>
    </row>
    <row r="2747" spans="1:16" x14ac:dyDescent="0.2">
      <c r="A2747" t="s">
        <v>647</v>
      </c>
      <c r="B2747" t="s">
        <v>97</v>
      </c>
      <c r="C2747" t="s">
        <v>648</v>
      </c>
      <c r="D2747" t="s">
        <v>446</v>
      </c>
      <c r="E2747" t="s">
        <v>228</v>
      </c>
      <c r="F2747">
        <v>59.99</v>
      </c>
      <c r="G2747" t="s">
        <v>7032</v>
      </c>
      <c r="H2747">
        <v>0.16666666666666666</v>
      </c>
      <c r="M2747">
        <v>0</v>
      </c>
      <c r="N2747">
        <v>0</v>
      </c>
      <c r="O2747">
        <v>0</v>
      </c>
      <c r="P2747">
        <v>1</v>
      </c>
    </row>
    <row r="2748" spans="1:16" x14ac:dyDescent="0.2">
      <c r="A2748" t="s">
        <v>651</v>
      </c>
      <c r="B2748" t="s">
        <v>97</v>
      </c>
      <c r="C2748" t="s">
        <v>652</v>
      </c>
      <c r="D2748" t="s">
        <v>446</v>
      </c>
      <c r="E2748" t="s">
        <v>290</v>
      </c>
      <c r="F2748">
        <v>44.99</v>
      </c>
      <c r="G2748" t="s">
        <v>7032</v>
      </c>
      <c r="H2748">
        <v>0</v>
      </c>
      <c r="M2748">
        <v>0</v>
      </c>
      <c r="N2748">
        <v>0</v>
      </c>
      <c r="O2748">
        <v>0</v>
      </c>
      <c r="P2748">
        <v>0</v>
      </c>
    </row>
    <row r="2749" spans="1:16" x14ac:dyDescent="0.2">
      <c r="A2749" t="s">
        <v>7421</v>
      </c>
      <c r="B2749" t="s">
        <v>97</v>
      </c>
      <c r="C2749" t="s">
        <v>7423</v>
      </c>
      <c r="D2749" t="s">
        <v>446</v>
      </c>
      <c r="E2749" t="s">
        <v>96</v>
      </c>
      <c r="F2749">
        <v>44.99</v>
      </c>
      <c r="G2749" t="s">
        <v>7032</v>
      </c>
      <c r="H2749">
        <v>0</v>
      </c>
      <c r="M2749">
        <v>0</v>
      </c>
      <c r="N2749">
        <v>0</v>
      </c>
      <c r="O2749">
        <v>0</v>
      </c>
      <c r="P2749">
        <v>0</v>
      </c>
    </row>
    <row r="2750" spans="1:16" x14ac:dyDescent="0.2">
      <c r="A2750" t="s">
        <v>7415</v>
      </c>
      <c r="B2750" t="s">
        <v>97</v>
      </c>
      <c r="C2750" t="s">
        <v>7417</v>
      </c>
      <c r="D2750" t="s">
        <v>446</v>
      </c>
      <c r="E2750" t="s">
        <v>96</v>
      </c>
      <c r="F2750">
        <v>44.99</v>
      </c>
      <c r="G2750" t="s">
        <v>7032</v>
      </c>
      <c r="H2750">
        <v>0</v>
      </c>
      <c r="M2750">
        <v>0</v>
      </c>
      <c r="N2750">
        <v>0</v>
      </c>
      <c r="O2750">
        <v>0</v>
      </c>
      <c r="P2750">
        <v>0</v>
      </c>
    </row>
    <row r="2751" spans="1:16" x14ac:dyDescent="0.2">
      <c r="A2751" t="s">
        <v>687</v>
      </c>
      <c r="B2751" t="s">
        <v>97</v>
      </c>
      <c r="C2751" t="s">
        <v>688</v>
      </c>
      <c r="D2751" t="s">
        <v>446</v>
      </c>
      <c r="E2751" t="s">
        <v>228</v>
      </c>
      <c r="F2751">
        <v>59.99</v>
      </c>
      <c r="G2751" t="s">
        <v>7032</v>
      </c>
      <c r="H2751">
        <v>0</v>
      </c>
      <c r="M2751">
        <v>0</v>
      </c>
      <c r="N2751">
        <v>0</v>
      </c>
      <c r="O2751">
        <v>0</v>
      </c>
      <c r="P2751">
        <v>1</v>
      </c>
    </row>
    <row r="2752" spans="1:16" x14ac:dyDescent="0.2">
      <c r="A2752" t="s">
        <v>4386</v>
      </c>
      <c r="B2752" t="s">
        <v>97</v>
      </c>
      <c r="C2752" t="s">
        <v>4387</v>
      </c>
      <c r="D2752" t="s">
        <v>304</v>
      </c>
      <c r="E2752" t="s">
        <v>96</v>
      </c>
      <c r="F2752">
        <v>179.99</v>
      </c>
      <c r="G2752" t="s">
        <v>7032</v>
      </c>
      <c r="H2752">
        <v>0</v>
      </c>
      <c r="M2752">
        <v>0</v>
      </c>
      <c r="N2752">
        <v>0</v>
      </c>
      <c r="O2752">
        <v>0</v>
      </c>
      <c r="P2752">
        <v>0</v>
      </c>
    </row>
    <row r="2753" spans="1:16" x14ac:dyDescent="0.2">
      <c r="A2753" t="s">
        <v>671</v>
      </c>
      <c r="B2753" t="s">
        <v>97</v>
      </c>
      <c r="C2753" t="s">
        <v>672</v>
      </c>
      <c r="D2753" t="s">
        <v>446</v>
      </c>
      <c r="E2753" t="s">
        <v>290</v>
      </c>
      <c r="F2753">
        <v>79.989999999999995</v>
      </c>
      <c r="G2753" t="s">
        <v>7032</v>
      </c>
      <c r="H2753">
        <v>0</v>
      </c>
      <c r="M2753">
        <v>0</v>
      </c>
      <c r="N2753">
        <v>0</v>
      </c>
      <c r="O2753">
        <v>0</v>
      </c>
      <c r="P2753">
        <v>2</v>
      </c>
    </row>
    <row r="2754" spans="1:16" x14ac:dyDescent="0.2">
      <c r="A2754" t="s">
        <v>675</v>
      </c>
      <c r="B2754" t="s">
        <v>97</v>
      </c>
      <c r="C2754" t="s">
        <v>676</v>
      </c>
      <c r="D2754" t="s">
        <v>446</v>
      </c>
      <c r="E2754" t="s">
        <v>228</v>
      </c>
      <c r="F2754">
        <v>199.99</v>
      </c>
      <c r="G2754" t="s">
        <v>7032</v>
      </c>
      <c r="H2754">
        <v>0</v>
      </c>
      <c r="M2754">
        <v>0</v>
      </c>
      <c r="N2754">
        <v>0</v>
      </c>
      <c r="O2754">
        <v>0</v>
      </c>
      <c r="P2754">
        <v>0</v>
      </c>
    </row>
    <row r="2755" spans="1:16" x14ac:dyDescent="0.2">
      <c r="A2755" t="s">
        <v>7418</v>
      </c>
      <c r="B2755" t="s">
        <v>97</v>
      </c>
      <c r="C2755" t="s">
        <v>7420</v>
      </c>
      <c r="D2755" t="s">
        <v>446</v>
      </c>
      <c r="E2755" t="s">
        <v>96</v>
      </c>
      <c r="F2755">
        <v>44.99</v>
      </c>
      <c r="G2755" t="s">
        <v>7032</v>
      </c>
      <c r="H2755">
        <v>0</v>
      </c>
      <c r="M2755">
        <v>0</v>
      </c>
      <c r="N2755">
        <v>0</v>
      </c>
      <c r="O2755">
        <v>0</v>
      </c>
      <c r="P2755">
        <v>0</v>
      </c>
    </row>
    <row r="2756" spans="1:16" x14ac:dyDescent="0.2">
      <c r="A2756" t="s">
        <v>7792</v>
      </c>
      <c r="B2756" t="s">
        <v>97</v>
      </c>
      <c r="C2756" t="s">
        <v>7793</v>
      </c>
      <c r="D2756" t="s">
        <v>1012</v>
      </c>
      <c r="E2756" t="s">
        <v>96</v>
      </c>
      <c r="F2756">
        <v>69.989999999999995</v>
      </c>
      <c r="G2756" t="s">
        <v>7032</v>
      </c>
      <c r="H2756">
        <v>0</v>
      </c>
      <c r="M2756">
        <v>0</v>
      </c>
      <c r="N2756">
        <v>0</v>
      </c>
      <c r="O2756">
        <v>0</v>
      </c>
      <c r="P2756">
        <v>0</v>
      </c>
    </row>
    <row r="2757" spans="1:16" x14ac:dyDescent="0.2">
      <c r="A2757" t="s">
        <v>759</v>
      </c>
      <c r="B2757" t="s">
        <v>97</v>
      </c>
      <c r="C2757" t="s">
        <v>760</v>
      </c>
      <c r="D2757" t="s">
        <v>446</v>
      </c>
      <c r="E2757" t="s">
        <v>228</v>
      </c>
      <c r="F2757">
        <v>39.99</v>
      </c>
      <c r="G2757" t="s">
        <v>7032</v>
      </c>
      <c r="H2757">
        <v>0</v>
      </c>
      <c r="M2757">
        <v>0</v>
      </c>
      <c r="N2757">
        <v>0.16666666666666666</v>
      </c>
      <c r="O2757">
        <v>0</v>
      </c>
      <c r="P2757">
        <v>0</v>
      </c>
    </row>
    <row r="2758" spans="1:16" x14ac:dyDescent="0.2">
      <c r="A2758" t="s">
        <v>761</v>
      </c>
      <c r="B2758" t="s">
        <v>97</v>
      </c>
      <c r="C2758" t="s">
        <v>7023</v>
      </c>
      <c r="D2758" t="s">
        <v>446</v>
      </c>
      <c r="E2758" t="s">
        <v>228</v>
      </c>
      <c r="F2758">
        <v>39.99</v>
      </c>
      <c r="G2758" t="s">
        <v>7032</v>
      </c>
      <c r="H2758">
        <v>0</v>
      </c>
      <c r="M2758">
        <v>0</v>
      </c>
      <c r="N2758">
        <v>0</v>
      </c>
      <c r="O2758">
        <v>0</v>
      </c>
      <c r="P2758">
        <v>1</v>
      </c>
    </row>
    <row r="2759" spans="1:16" x14ac:dyDescent="0.2">
      <c r="A2759" t="s">
        <v>7794</v>
      </c>
      <c r="B2759" t="s">
        <v>97</v>
      </c>
      <c r="C2759" t="s">
        <v>7795</v>
      </c>
      <c r="D2759" t="s">
        <v>1012</v>
      </c>
      <c r="E2759" t="s">
        <v>96</v>
      </c>
      <c r="F2759">
        <v>69.989999999999995</v>
      </c>
      <c r="G2759" t="s">
        <v>7032</v>
      </c>
      <c r="H2759">
        <v>0</v>
      </c>
      <c r="M2759">
        <v>0</v>
      </c>
      <c r="N2759">
        <v>0</v>
      </c>
      <c r="O2759">
        <v>0</v>
      </c>
      <c r="P2759">
        <v>0</v>
      </c>
    </row>
    <row r="2760" spans="1:16" x14ac:dyDescent="0.2">
      <c r="A2760" t="s">
        <v>6625</v>
      </c>
      <c r="B2760" t="s">
        <v>97</v>
      </c>
      <c r="C2760" t="s">
        <v>6626</v>
      </c>
      <c r="D2760" t="s">
        <v>2987</v>
      </c>
      <c r="E2760" t="s">
        <v>96</v>
      </c>
      <c r="F2760">
        <v>99.99</v>
      </c>
      <c r="G2760" t="s">
        <v>7032</v>
      </c>
      <c r="H2760">
        <v>0</v>
      </c>
      <c r="M2760">
        <v>0</v>
      </c>
      <c r="N2760">
        <v>0</v>
      </c>
      <c r="O2760">
        <v>0</v>
      </c>
      <c r="P2760">
        <v>0</v>
      </c>
    </row>
    <row r="2761" spans="1:16" x14ac:dyDescent="0.2">
      <c r="A2761" t="s">
        <v>2729</v>
      </c>
      <c r="B2761" t="s">
        <v>97</v>
      </c>
      <c r="C2761" t="s">
        <v>2730</v>
      </c>
      <c r="D2761" t="s">
        <v>2502</v>
      </c>
      <c r="E2761" t="s">
        <v>290</v>
      </c>
      <c r="F2761">
        <v>54.99</v>
      </c>
      <c r="G2761" t="s">
        <v>7032</v>
      </c>
      <c r="H2761">
        <v>0</v>
      </c>
      <c r="M2761">
        <v>0</v>
      </c>
      <c r="N2761">
        <v>0</v>
      </c>
      <c r="O2761">
        <v>0</v>
      </c>
      <c r="P2761">
        <v>0</v>
      </c>
    </row>
    <row r="2762" spans="1:16" x14ac:dyDescent="0.2">
      <c r="A2762" t="s">
        <v>7796</v>
      </c>
      <c r="B2762" t="s">
        <v>97</v>
      </c>
      <c r="C2762" t="s">
        <v>7797</v>
      </c>
      <c r="D2762" t="s">
        <v>1012</v>
      </c>
      <c r="E2762" t="s">
        <v>96</v>
      </c>
      <c r="F2762">
        <v>94.99</v>
      </c>
      <c r="G2762" t="s">
        <v>7032</v>
      </c>
      <c r="H2762">
        <v>0</v>
      </c>
      <c r="M2762">
        <v>0</v>
      </c>
      <c r="N2762">
        <v>0</v>
      </c>
      <c r="O2762">
        <v>0</v>
      </c>
      <c r="P2762">
        <v>2</v>
      </c>
    </row>
    <row r="2763" spans="1:16" x14ac:dyDescent="0.2">
      <c r="A2763" t="s">
        <v>7798</v>
      </c>
      <c r="B2763" t="s">
        <v>97</v>
      </c>
      <c r="C2763" t="s">
        <v>7799</v>
      </c>
      <c r="D2763" t="s">
        <v>1012</v>
      </c>
      <c r="E2763" t="s">
        <v>96</v>
      </c>
      <c r="F2763">
        <v>94.99</v>
      </c>
      <c r="G2763" t="s">
        <v>7032</v>
      </c>
      <c r="H2763">
        <v>0</v>
      </c>
      <c r="M2763">
        <v>0</v>
      </c>
      <c r="N2763">
        <v>0</v>
      </c>
      <c r="O2763">
        <v>0</v>
      </c>
      <c r="P2763">
        <v>0</v>
      </c>
    </row>
    <row r="2764" spans="1:16" x14ac:dyDescent="0.2">
      <c r="A2764" t="s">
        <v>7137</v>
      </c>
      <c r="B2764" t="s">
        <v>97</v>
      </c>
      <c r="C2764" t="s">
        <v>7139</v>
      </c>
      <c r="D2764" t="s">
        <v>2502</v>
      </c>
      <c r="E2764" t="s">
        <v>96</v>
      </c>
      <c r="F2764">
        <v>74.989999999999995</v>
      </c>
      <c r="G2764" t="s">
        <v>7032</v>
      </c>
      <c r="H2764">
        <v>0</v>
      </c>
      <c r="M2764">
        <v>0</v>
      </c>
      <c r="N2764">
        <v>0</v>
      </c>
      <c r="O2764">
        <v>0</v>
      </c>
      <c r="P2764">
        <v>0</v>
      </c>
    </row>
    <row r="2765" spans="1:16" x14ac:dyDescent="0.2">
      <c r="A2765" t="s">
        <v>2719</v>
      </c>
      <c r="B2765" t="s">
        <v>97</v>
      </c>
      <c r="C2765" t="s">
        <v>2720</v>
      </c>
      <c r="D2765" t="s">
        <v>2502</v>
      </c>
      <c r="E2765" t="s">
        <v>228</v>
      </c>
      <c r="F2765">
        <v>69.989999999999995</v>
      </c>
      <c r="G2765" t="s">
        <v>7032</v>
      </c>
      <c r="H2765">
        <v>0</v>
      </c>
      <c r="M2765">
        <v>0</v>
      </c>
      <c r="N2765">
        <v>0</v>
      </c>
      <c r="O2765">
        <v>0</v>
      </c>
      <c r="P2765">
        <v>1</v>
      </c>
    </row>
    <row r="2766" spans="1:16" x14ac:dyDescent="0.2">
      <c r="A2766" t="s">
        <v>6254</v>
      </c>
      <c r="B2766" t="s">
        <v>97</v>
      </c>
      <c r="C2766" t="s">
        <v>6255</v>
      </c>
      <c r="D2766" t="s">
        <v>2502</v>
      </c>
      <c r="E2766" t="s">
        <v>290</v>
      </c>
      <c r="F2766">
        <v>159.99</v>
      </c>
      <c r="G2766" t="s">
        <v>7032</v>
      </c>
      <c r="H2766">
        <v>0</v>
      </c>
      <c r="M2766">
        <v>0</v>
      </c>
      <c r="N2766">
        <v>0</v>
      </c>
      <c r="O2766">
        <v>0</v>
      </c>
      <c r="P2766">
        <v>2</v>
      </c>
    </row>
    <row r="2767" spans="1:16" x14ac:dyDescent="0.2">
      <c r="A2767" t="s">
        <v>6258</v>
      </c>
      <c r="B2767" t="s">
        <v>97</v>
      </c>
      <c r="C2767" t="s">
        <v>6259</v>
      </c>
      <c r="D2767" t="s">
        <v>2502</v>
      </c>
      <c r="E2767" t="s">
        <v>96</v>
      </c>
      <c r="F2767">
        <v>159.99</v>
      </c>
      <c r="G2767" t="s">
        <v>7032</v>
      </c>
      <c r="H2767">
        <v>0</v>
      </c>
      <c r="M2767">
        <v>0</v>
      </c>
      <c r="N2767">
        <v>0</v>
      </c>
      <c r="O2767">
        <v>0</v>
      </c>
      <c r="P2767">
        <v>2</v>
      </c>
    </row>
    <row r="2768" spans="1:16" x14ac:dyDescent="0.2">
      <c r="A2768" t="s">
        <v>6006</v>
      </c>
      <c r="B2768" t="s">
        <v>97</v>
      </c>
      <c r="C2768" t="s">
        <v>6007</v>
      </c>
      <c r="D2768" t="s">
        <v>2502</v>
      </c>
      <c r="E2768" t="s">
        <v>290</v>
      </c>
      <c r="F2768">
        <v>149.99</v>
      </c>
      <c r="G2768" t="s">
        <v>7032</v>
      </c>
      <c r="H2768">
        <v>0</v>
      </c>
      <c r="M2768">
        <v>0</v>
      </c>
      <c r="N2768">
        <v>0</v>
      </c>
      <c r="O2768">
        <v>0</v>
      </c>
      <c r="P2768">
        <v>1</v>
      </c>
    </row>
    <row r="2769" spans="1:16" x14ac:dyDescent="0.2">
      <c r="A2769" t="s">
        <v>6009</v>
      </c>
      <c r="B2769" t="s">
        <v>97</v>
      </c>
      <c r="C2769" t="s">
        <v>6010</v>
      </c>
      <c r="D2769" t="s">
        <v>2502</v>
      </c>
      <c r="E2769" t="s">
        <v>96</v>
      </c>
      <c r="F2769">
        <v>149.99</v>
      </c>
      <c r="G2769" t="s">
        <v>7032</v>
      </c>
      <c r="H2769">
        <v>0</v>
      </c>
      <c r="M2769">
        <v>0</v>
      </c>
      <c r="N2769">
        <v>0</v>
      </c>
      <c r="O2769">
        <v>0</v>
      </c>
      <c r="P2769">
        <v>1</v>
      </c>
    </row>
    <row r="2770" spans="1:16" x14ac:dyDescent="0.2">
      <c r="A2770" t="s">
        <v>763</v>
      </c>
      <c r="B2770" t="s">
        <v>97</v>
      </c>
      <c r="C2770" t="s">
        <v>7022</v>
      </c>
      <c r="D2770" t="s">
        <v>446</v>
      </c>
      <c r="E2770" t="s">
        <v>228</v>
      </c>
      <c r="F2770">
        <v>39.99</v>
      </c>
      <c r="G2770" t="s">
        <v>7032</v>
      </c>
      <c r="H2770">
        <v>0</v>
      </c>
      <c r="M2770">
        <v>0</v>
      </c>
      <c r="N2770">
        <v>0</v>
      </c>
      <c r="O2770">
        <v>0</v>
      </c>
      <c r="P2770">
        <v>0</v>
      </c>
    </row>
    <row r="2771" spans="1:16" x14ac:dyDescent="0.2">
      <c r="A2771" t="s">
        <v>2687</v>
      </c>
      <c r="B2771" t="s">
        <v>97</v>
      </c>
      <c r="C2771" t="s">
        <v>2688</v>
      </c>
      <c r="D2771" t="s">
        <v>2502</v>
      </c>
      <c r="E2771" t="s">
        <v>228</v>
      </c>
      <c r="F2771">
        <v>159.99</v>
      </c>
      <c r="G2771" t="s">
        <v>7032</v>
      </c>
      <c r="H2771">
        <v>0.16666666666666666</v>
      </c>
      <c r="M2771">
        <v>0</v>
      </c>
      <c r="N2771">
        <v>0</v>
      </c>
      <c r="O2771">
        <v>0</v>
      </c>
      <c r="P2771">
        <v>1</v>
      </c>
    </row>
    <row r="2772" spans="1:16" x14ac:dyDescent="0.2">
      <c r="A2772" t="s">
        <v>6240</v>
      </c>
      <c r="B2772" t="s">
        <v>97</v>
      </c>
      <c r="C2772" t="s">
        <v>6241</v>
      </c>
      <c r="D2772" t="s">
        <v>2502</v>
      </c>
      <c r="E2772" t="s">
        <v>96</v>
      </c>
      <c r="F2772">
        <v>179.99</v>
      </c>
      <c r="G2772" t="s">
        <v>7032</v>
      </c>
      <c r="H2772">
        <v>0</v>
      </c>
      <c r="M2772">
        <v>0</v>
      </c>
      <c r="N2772">
        <v>0</v>
      </c>
      <c r="O2772">
        <v>0</v>
      </c>
      <c r="P2772">
        <v>0</v>
      </c>
    </row>
    <row r="2773" spans="1:16" x14ac:dyDescent="0.2">
      <c r="A2773" t="s">
        <v>2683</v>
      </c>
      <c r="B2773" t="s">
        <v>97</v>
      </c>
      <c r="C2773" t="s">
        <v>2684</v>
      </c>
      <c r="D2773" t="s">
        <v>2502</v>
      </c>
      <c r="E2773" t="s">
        <v>290</v>
      </c>
      <c r="F2773">
        <v>89.99</v>
      </c>
      <c r="G2773" t="s">
        <v>7032</v>
      </c>
      <c r="H2773">
        <v>0</v>
      </c>
      <c r="M2773">
        <v>0</v>
      </c>
      <c r="N2773">
        <v>0</v>
      </c>
      <c r="O2773">
        <v>0</v>
      </c>
      <c r="P2773">
        <v>1</v>
      </c>
    </row>
    <row r="2774" spans="1:16" x14ac:dyDescent="0.2">
      <c r="A2774" t="s">
        <v>2681</v>
      </c>
      <c r="B2774" t="s">
        <v>97</v>
      </c>
      <c r="C2774" t="s">
        <v>2682</v>
      </c>
      <c r="D2774" t="s">
        <v>2502</v>
      </c>
      <c r="E2774" t="s">
        <v>290</v>
      </c>
      <c r="F2774">
        <v>89.99</v>
      </c>
      <c r="G2774" t="s">
        <v>7032</v>
      </c>
      <c r="H2774">
        <v>0</v>
      </c>
      <c r="M2774">
        <v>0</v>
      </c>
      <c r="N2774">
        <v>0</v>
      </c>
      <c r="O2774">
        <v>0</v>
      </c>
      <c r="P2774">
        <v>0</v>
      </c>
    </row>
    <row r="2775" spans="1:16" x14ac:dyDescent="0.2">
      <c r="A2775" t="s">
        <v>6219</v>
      </c>
      <c r="B2775" t="s">
        <v>97</v>
      </c>
      <c r="C2775" t="s">
        <v>6220</v>
      </c>
      <c r="D2775" t="s">
        <v>2502</v>
      </c>
      <c r="E2775" t="s">
        <v>290</v>
      </c>
      <c r="F2775">
        <v>89.99</v>
      </c>
      <c r="G2775" t="s">
        <v>7032</v>
      </c>
      <c r="H2775">
        <v>0</v>
      </c>
      <c r="M2775">
        <v>0</v>
      </c>
      <c r="N2775">
        <v>0</v>
      </c>
      <c r="O2775">
        <v>0</v>
      </c>
      <c r="P2775">
        <v>2</v>
      </c>
    </row>
    <row r="2776" spans="1:16" x14ac:dyDescent="0.2">
      <c r="A2776" t="s">
        <v>6117</v>
      </c>
      <c r="B2776" t="s">
        <v>97</v>
      </c>
      <c r="C2776" t="s">
        <v>6118</v>
      </c>
      <c r="D2776" t="s">
        <v>2502</v>
      </c>
      <c r="E2776" t="s">
        <v>290</v>
      </c>
      <c r="F2776">
        <v>149.99</v>
      </c>
      <c r="G2776" t="s">
        <v>7032</v>
      </c>
      <c r="H2776">
        <v>0</v>
      </c>
      <c r="M2776">
        <v>0</v>
      </c>
      <c r="N2776">
        <v>0</v>
      </c>
      <c r="O2776">
        <v>0</v>
      </c>
      <c r="P2776">
        <v>0</v>
      </c>
    </row>
    <row r="2777" spans="1:16" x14ac:dyDescent="0.2">
      <c r="A2777" t="s">
        <v>2645</v>
      </c>
      <c r="B2777" t="s">
        <v>97</v>
      </c>
      <c r="C2777" t="s">
        <v>2646</v>
      </c>
      <c r="D2777" t="s">
        <v>2502</v>
      </c>
      <c r="E2777" t="s">
        <v>228</v>
      </c>
      <c r="F2777">
        <v>139.99</v>
      </c>
      <c r="G2777" t="s">
        <v>7032</v>
      </c>
      <c r="H2777">
        <v>8.3333333333333329E-2</v>
      </c>
      <c r="M2777">
        <v>0</v>
      </c>
      <c r="N2777">
        <v>0</v>
      </c>
      <c r="O2777">
        <v>0</v>
      </c>
      <c r="P2777">
        <v>1</v>
      </c>
    </row>
    <row r="2778" spans="1:16" x14ac:dyDescent="0.2">
      <c r="A2778" t="s">
        <v>2258</v>
      </c>
      <c r="B2778" t="s">
        <v>97</v>
      </c>
      <c r="C2778" t="s">
        <v>2259</v>
      </c>
      <c r="D2778" t="s">
        <v>2146</v>
      </c>
      <c r="E2778" t="s">
        <v>228</v>
      </c>
      <c r="F2778">
        <v>99.99</v>
      </c>
      <c r="G2778" t="s">
        <v>7032</v>
      </c>
      <c r="H2778">
        <v>0</v>
      </c>
      <c r="M2778">
        <v>0</v>
      </c>
      <c r="N2778">
        <v>0</v>
      </c>
      <c r="O2778">
        <v>0</v>
      </c>
      <c r="P2778">
        <v>0</v>
      </c>
    </row>
    <row r="2779" spans="1:16" x14ac:dyDescent="0.2">
      <c r="A2779" t="s">
        <v>2256</v>
      </c>
      <c r="B2779" t="s">
        <v>97</v>
      </c>
      <c r="C2779" t="s">
        <v>2257</v>
      </c>
      <c r="D2779" t="s">
        <v>2146</v>
      </c>
      <c r="E2779" t="s">
        <v>228</v>
      </c>
      <c r="F2779">
        <v>39.99</v>
      </c>
      <c r="G2779" t="s">
        <v>7032</v>
      </c>
      <c r="H2779">
        <v>0</v>
      </c>
      <c r="M2779">
        <v>0</v>
      </c>
      <c r="N2779">
        <v>0</v>
      </c>
      <c r="O2779">
        <v>0</v>
      </c>
      <c r="P2779">
        <v>0</v>
      </c>
    </row>
    <row r="2780" spans="1:16" x14ac:dyDescent="0.2">
      <c r="A2780" t="s">
        <v>2264</v>
      </c>
      <c r="B2780" t="s">
        <v>97</v>
      </c>
      <c r="C2780" t="s">
        <v>2265</v>
      </c>
      <c r="D2780" t="s">
        <v>2146</v>
      </c>
      <c r="E2780" t="s">
        <v>290</v>
      </c>
      <c r="F2780">
        <v>99.99</v>
      </c>
      <c r="G2780" t="s">
        <v>7032</v>
      </c>
      <c r="H2780">
        <v>0</v>
      </c>
      <c r="M2780">
        <v>0</v>
      </c>
      <c r="N2780">
        <v>0</v>
      </c>
      <c r="O2780">
        <v>0</v>
      </c>
      <c r="P2780">
        <v>0</v>
      </c>
    </row>
    <row r="2781" spans="1:16" x14ac:dyDescent="0.2">
      <c r="A2781" t="s">
        <v>775</v>
      </c>
      <c r="B2781" t="s">
        <v>97</v>
      </c>
      <c r="C2781" t="s">
        <v>776</v>
      </c>
      <c r="D2781" t="s">
        <v>446</v>
      </c>
      <c r="E2781" t="s">
        <v>228</v>
      </c>
      <c r="F2781">
        <v>34.99</v>
      </c>
      <c r="G2781" t="s">
        <v>7032</v>
      </c>
      <c r="H2781">
        <v>0</v>
      </c>
      <c r="M2781">
        <v>0</v>
      </c>
      <c r="N2781">
        <v>0</v>
      </c>
      <c r="O2781">
        <v>0</v>
      </c>
      <c r="P2781">
        <v>0</v>
      </c>
    </row>
    <row r="2782" spans="1:16" x14ac:dyDescent="0.2">
      <c r="A2782" t="s">
        <v>771</v>
      </c>
      <c r="B2782" t="s">
        <v>97</v>
      </c>
      <c r="C2782" t="s">
        <v>772</v>
      </c>
      <c r="D2782" t="s">
        <v>446</v>
      </c>
      <c r="E2782" t="s">
        <v>228</v>
      </c>
      <c r="F2782">
        <v>49.99</v>
      </c>
      <c r="G2782" t="s">
        <v>7032</v>
      </c>
      <c r="H2782">
        <v>0</v>
      </c>
      <c r="M2782">
        <v>0</v>
      </c>
      <c r="N2782">
        <v>0</v>
      </c>
      <c r="O2782">
        <v>0</v>
      </c>
      <c r="P2782">
        <v>0</v>
      </c>
    </row>
    <row r="2783" spans="1:16" x14ac:dyDescent="0.2">
      <c r="A2783" t="s">
        <v>6236</v>
      </c>
      <c r="B2783" t="s">
        <v>97</v>
      </c>
      <c r="C2783" t="s">
        <v>6237</v>
      </c>
      <c r="D2783" t="s">
        <v>2502</v>
      </c>
      <c r="E2783" t="s">
        <v>96</v>
      </c>
      <c r="F2783">
        <v>179.99</v>
      </c>
      <c r="G2783" t="s">
        <v>7032</v>
      </c>
      <c r="H2783">
        <v>0</v>
      </c>
      <c r="M2783">
        <v>0</v>
      </c>
      <c r="N2783">
        <v>0</v>
      </c>
      <c r="O2783">
        <v>0</v>
      </c>
      <c r="P2783">
        <v>0</v>
      </c>
    </row>
    <row r="2784" spans="1:16" x14ac:dyDescent="0.2">
      <c r="A2784" t="s">
        <v>3986</v>
      </c>
      <c r="B2784" t="s">
        <v>97</v>
      </c>
      <c r="C2784" t="s">
        <v>3987</v>
      </c>
      <c r="D2784" t="s">
        <v>1897</v>
      </c>
      <c r="E2784" t="s">
        <v>96</v>
      </c>
      <c r="F2784">
        <v>64.989999999999995</v>
      </c>
      <c r="G2784" t="s">
        <v>7032</v>
      </c>
      <c r="H2784">
        <v>0</v>
      </c>
      <c r="M2784">
        <v>0</v>
      </c>
      <c r="N2784">
        <v>0</v>
      </c>
      <c r="O2784">
        <v>0</v>
      </c>
      <c r="P2784">
        <v>0</v>
      </c>
    </row>
    <row r="2785" spans="1:16" x14ac:dyDescent="0.2">
      <c r="A2785" t="s">
        <v>2671</v>
      </c>
      <c r="B2785" t="s">
        <v>97</v>
      </c>
      <c r="C2785" t="s">
        <v>2672</v>
      </c>
      <c r="D2785" t="s">
        <v>2502</v>
      </c>
      <c r="E2785" t="s">
        <v>228</v>
      </c>
      <c r="F2785">
        <v>229.99</v>
      </c>
      <c r="G2785" t="s">
        <v>7032</v>
      </c>
      <c r="H2785">
        <v>0</v>
      </c>
      <c r="M2785">
        <v>0</v>
      </c>
      <c r="N2785">
        <v>0</v>
      </c>
      <c r="O2785">
        <v>0</v>
      </c>
      <c r="P2785">
        <v>1</v>
      </c>
    </row>
    <row r="2786" spans="1:16" x14ac:dyDescent="0.2">
      <c r="A2786" t="s">
        <v>3976</v>
      </c>
      <c r="B2786" t="s">
        <v>97</v>
      </c>
      <c r="C2786" t="s">
        <v>3977</v>
      </c>
      <c r="D2786" t="s">
        <v>1897</v>
      </c>
      <c r="E2786" t="s">
        <v>96</v>
      </c>
      <c r="F2786">
        <v>89.99</v>
      </c>
      <c r="G2786" t="s">
        <v>7032</v>
      </c>
      <c r="H2786">
        <v>0</v>
      </c>
      <c r="M2786">
        <v>0</v>
      </c>
      <c r="N2786">
        <v>0</v>
      </c>
      <c r="O2786">
        <v>0</v>
      </c>
      <c r="P2786">
        <v>0</v>
      </c>
    </row>
    <row r="2787" spans="1:16" x14ac:dyDescent="0.2">
      <c r="A2787" t="s">
        <v>2186</v>
      </c>
      <c r="B2787" t="s">
        <v>97</v>
      </c>
      <c r="C2787" t="s">
        <v>2187</v>
      </c>
      <c r="D2787" t="s">
        <v>2146</v>
      </c>
      <c r="E2787" t="s">
        <v>290</v>
      </c>
      <c r="F2787">
        <v>16.989999999999998</v>
      </c>
      <c r="G2787" t="s">
        <v>7032</v>
      </c>
      <c r="H2787">
        <v>0</v>
      </c>
      <c r="M2787">
        <v>0</v>
      </c>
      <c r="N2787">
        <v>0</v>
      </c>
      <c r="O2787">
        <v>0</v>
      </c>
      <c r="P2787">
        <v>0</v>
      </c>
    </row>
    <row r="2788" spans="1:16" x14ac:dyDescent="0.2">
      <c r="A2788" t="s">
        <v>2180</v>
      </c>
      <c r="B2788" t="s">
        <v>97</v>
      </c>
      <c r="C2788" t="s">
        <v>2181</v>
      </c>
      <c r="D2788" t="s">
        <v>2146</v>
      </c>
      <c r="E2788" t="s">
        <v>290</v>
      </c>
      <c r="F2788">
        <v>17.989999999999998</v>
      </c>
      <c r="G2788" t="s">
        <v>7032</v>
      </c>
      <c r="H2788">
        <v>0</v>
      </c>
      <c r="M2788">
        <v>0</v>
      </c>
      <c r="N2788">
        <v>0</v>
      </c>
      <c r="O2788">
        <v>0</v>
      </c>
      <c r="P2788">
        <v>0</v>
      </c>
    </row>
    <row r="2789" spans="1:16" x14ac:dyDescent="0.2">
      <c r="A2789" t="s">
        <v>3409</v>
      </c>
      <c r="B2789" t="s">
        <v>97</v>
      </c>
      <c r="C2789" t="s">
        <v>3410</v>
      </c>
      <c r="D2789" t="s">
        <v>3396</v>
      </c>
      <c r="E2789" t="s">
        <v>96</v>
      </c>
      <c r="F2789">
        <v>469.99</v>
      </c>
      <c r="G2789" t="s">
        <v>7032</v>
      </c>
      <c r="H2789">
        <v>0</v>
      </c>
      <c r="M2789">
        <v>0</v>
      </c>
      <c r="N2789">
        <v>0</v>
      </c>
      <c r="O2789">
        <v>0</v>
      </c>
      <c r="P2789">
        <v>0</v>
      </c>
    </row>
    <row r="2790" spans="1:16" x14ac:dyDescent="0.2">
      <c r="A2790" t="s">
        <v>2176</v>
      </c>
      <c r="B2790" t="s">
        <v>97</v>
      </c>
      <c r="C2790" t="s">
        <v>2177</v>
      </c>
      <c r="D2790" t="s">
        <v>2146</v>
      </c>
      <c r="E2790" t="s">
        <v>228</v>
      </c>
      <c r="F2790">
        <v>34.99</v>
      </c>
      <c r="G2790" t="s">
        <v>7032</v>
      </c>
      <c r="H2790">
        <v>0</v>
      </c>
      <c r="M2790">
        <v>0</v>
      </c>
      <c r="N2790">
        <v>0</v>
      </c>
      <c r="O2790">
        <v>0</v>
      </c>
      <c r="P2790">
        <v>0</v>
      </c>
    </row>
    <row r="2791" spans="1:16" x14ac:dyDescent="0.2">
      <c r="A2791" t="s">
        <v>3411</v>
      </c>
      <c r="B2791" t="s">
        <v>97</v>
      </c>
      <c r="C2791" t="s">
        <v>3412</v>
      </c>
      <c r="D2791" t="s">
        <v>3396</v>
      </c>
      <c r="E2791" t="s">
        <v>96</v>
      </c>
      <c r="F2791">
        <v>599.99</v>
      </c>
      <c r="G2791" t="s">
        <v>7032</v>
      </c>
      <c r="H2791">
        <v>0</v>
      </c>
      <c r="M2791">
        <v>0</v>
      </c>
      <c r="N2791">
        <v>0</v>
      </c>
      <c r="O2791">
        <v>0</v>
      </c>
      <c r="P2791">
        <v>0</v>
      </c>
    </row>
    <row r="2792" spans="1:16" x14ac:dyDescent="0.2">
      <c r="A2792" t="s">
        <v>2385</v>
      </c>
      <c r="B2792" t="s">
        <v>97</v>
      </c>
      <c r="C2792" t="s">
        <v>2386</v>
      </c>
      <c r="D2792" t="s">
        <v>2374</v>
      </c>
      <c r="E2792" t="s">
        <v>290</v>
      </c>
      <c r="F2792">
        <v>169.99</v>
      </c>
      <c r="G2792" t="s">
        <v>7032</v>
      </c>
      <c r="H2792">
        <v>0</v>
      </c>
      <c r="M2792">
        <v>0</v>
      </c>
      <c r="N2792">
        <v>0</v>
      </c>
      <c r="O2792">
        <v>0</v>
      </c>
      <c r="P2792">
        <v>0</v>
      </c>
    </row>
    <row r="2793" spans="1:16" x14ac:dyDescent="0.2">
      <c r="A2793" t="s">
        <v>2391</v>
      </c>
      <c r="B2793" t="s">
        <v>97</v>
      </c>
      <c r="C2793" t="s">
        <v>2392</v>
      </c>
      <c r="D2793" t="s">
        <v>2374</v>
      </c>
      <c r="E2793" t="s">
        <v>290</v>
      </c>
      <c r="F2793">
        <v>149.99</v>
      </c>
      <c r="G2793" t="s">
        <v>7032</v>
      </c>
      <c r="H2793">
        <v>0</v>
      </c>
      <c r="M2793">
        <v>0</v>
      </c>
      <c r="N2793">
        <v>0</v>
      </c>
      <c r="O2793">
        <v>0</v>
      </c>
      <c r="P2793">
        <v>4</v>
      </c>
    </row>
    <row r="2794" spans="1:16" x14ac:dyDescent="0.2">
      <c r="A2794" t="s">
        <v>2395</v>
      </c>
      <c r="B2794" t="s">
        <v>97</v>
      </c>
      <c r="C2794" t="s">
        <v>2396</v>
      </c>
      <c r="D2794" t="s">
        <v>2374</v>
      </c>
      <c r="E2794" t="s">
        <v>290</v>
      </c>
      <c r="F2794">
        <v>499.99</v>
      </c>
      <c r="G2794" t="s">
        <v>7032</v>
      </c>
      <c r="H2794">
        <v>0</v>
      </c>
      <c r="M2794">
        <v>0</v>
      </c>
      <c r="N2794">
        <v>0</v>
      </c>
      <c r="O2794">
        <v>0</v>
      </c>
      <c r="P2794">
        <v>0</v>
      </c>
    </row>
    <row r="2795" spans="1:16" x14ac:dyDescent="0.2">
      <c r="A2795" t="s">
        <v>2433</v>
      </c>
      <c r="B2795" t="s">
        <v>97</v>
      </c>
      <c r="C2795" t="s">
        <v>2434</v>
      </c>
      <c r="D2795" t="s">
        <v>2425</v>
      </c>
      <c r="E2795" t="s">
        <v>290</v>
      </c>
      <c r="F2795">
        <v>69.989999999999995</v>
      </c>
      <c r="G2795" t="s">
        <v>7032</v>
      </c>
      <c r="H2795">
        <v>0</v>
      </c>
      <c r="M2795">
        <v>0</v>
      </c>
      <c r="N2795">
        <v>0</v>
      </c>
      <c r="O2795">
        <v>0</v>
      </c>
      <c r="P2795">
        <v>0</v>
      </c>
    </row>
    <row r="2796" spans="1:16" x14ac:dyDescent="0.2">
      <c r="A2796" t="s">
        <v>2441</v>
      </c>
      <c r="B2796" t="s">
        <v>97</v>
      </c>
      <c r="C2796" t="s">
        <v>2442</v>
      </c>
      <c r="D2796" t="s">
        <v>2425</v>
      </c>
      <c r="E2796" t="s">
        <v>290</v>
      </c>
      <c r="F2796">
        <v>69.989999999999995</v>
      </c>
      <c r="G2796" t="s">
        <v>7032</v>
      </c>
      <c r="H2796">
        <v>0</v>
      </c>
      <c r="M2796">
        <v>0</v>
      </c>
      <c r="N2796">
        <v>0</v>
      </c>
      <c r="O2796">
        <v>0</v>
      </c>
      <c r="P2796">
        <v>0</v>
      </c>
    </row>
    <row r="2797" spans="1:16" x14ac:dyDescent="0.2">
      <c r="A2797" t="s">
        <v>1697</v>
      </c>
      <c r="B2797" t="s">
        <v>97</v>
      </c>
      <c r="C2797" t="s">
        <v>1698</v>
      </c>
      <c r="D2797" t="s">
        <v>1696</v>
      </c>
      <c r="E2797" t="s">
        <v>290</v>
      </c>
      <c r="F2797">
        <v>39.99</v>
      </c>
      <c r="G2797" t="s">
        <v>7032</v>
      </c>
      <c r="H2797">
        <v>0</v>
      </c>
      <c r="M2797">
        <v>0</v>
      </c>
      <c r="N2797">
        <v>0</v>
      </c>
      <c r="O2797">
        <v>0</v>
      </c>
      <c r="P2797">
        <v>0</v>
      </c>
    </row>
    <row r="2798" spans="1:16" x14ac:dyDescent="0.2">
      <c r="A2798" t="s">
        <v>7086</v>
      </c>
      <c r="B2798" t="s">
        <v>97</v>
      </c>
      <c r="C2798" t="s">
        <v>7087</v>
      </c>
      <c r="D2798" t="s">
        <v>2146</v>
      </c>
      <c r="E2798" t="s">
        <v>96</v>
      </c>
      <c r="F2798">
        <v>17.989999999999998</v>
      </c>
      <c r="G2798" t="s">
        <v>7032</v>
      </c>
      <c r="H2798">
        <v>0</v>
      </c>
      <c r="M2798">
        <v>0</v>
      </c>
      <c r="N2798">
        <v>0</v>
      </c>
      <c r="O2798">
        <v>0</v>
      </c>
      <c r="P2798">
        <v>0</v>
      </c>
    </row>
    <row r="2799" spans="1:16" x14ac:dyDescent="0.2">
      <c r="A2799" t="s">
        <v>1700</v>
      </c>
      <c r="B2799" t="s">
        <v>97</v>
      </c>
      <c r="C2799" t="s">
        <v>1701</v>
      </c>
      <c r="D2799" t="s">
        <v>1696</v>
      </c>
      <c r="E2799" t="s">
        <v>290</v>
      </c>
      <c r="F2799">
        <v>39.99</v>
      </c>
      <c r="G2799" t="s">
        <v>7032</v>
      </c>
      <c r="H2799">
        <v>0</v>
      </c>
      <c r="M2799">
        <v>0</v>
      </c>
      <c r="N2799">
        <v>0</v>
      </c>
      <c r="O2799">
        <v>0</v>
      </c>
      <c r="P2799">
        <v>0</v>
      </c>
    </row>
    <row r="2800" spans="1:16" x14ac:dyDescent="0.2">
      <c r="A2800" t="s">
        <v>1704</v>
      </c>
      <c r="B2800" t="s">
        <v>97</v>
      </c>
      <c r="C2800" t="s">
        <v>1705</v>
      </c>
      <c r="D2800" t="s">
        <v>1696</v>
      </c>
      <c r="E2800" t="s">
        <v>290</v>
      </c>
      <c r="F2800">
        <v>39.99</v>
      </c>
      <c r="G2800" t="s">
        <v>7032</v>
      </c>
      <c r="H2800">
        <v>0</v>
      </c>
      <c r="M2800">
        <v>0</v>
      </c>
      <c r="N2800">
        <v>0</v>
      </c>
      <c r="O2800">
        <v>0</v>
      </c>
      <c r="P2800">
        <v>0</v>
      </c>
    </row>
    <row r="2801" spans="1:16" x14ac:dyDescent="0.2">
      <c r="A2801" t="s">
        <v>5256</v>
      </c>
      <c r="B2801" t="s">
        <v>97</v>
      </c>
      <c r="C2801" t="s">
        <v>5257</v>
      </c>
      <c r="D2801" t="s">
        <v>5254</v>
      </c>
      <c r="E2801" t="s">
        <v>96</v>
      </c>
      <c r="F2801">
        <v>379.99</v>
      </c>
      <c r="G2801" t="s">
        <v>7032</v>
      </c>
      <c r="H2801">
        <v>0</v>
      </c>
      <c r="M2801">
        <v>0</v>
      </c>
      <c r="N2801">
        <v>0</v>
      </c>
      <c r="O2801">
        <v>0</v>
      </c>
      <c r="P2801">
        <v>0</v>
      </c>
    </row>
    <row r="2802" spans="1:16" x14ac:dyDescent="0.2">
      <c r="A2802" t="s">
        <v>6756</v>
      </c>
      <c r="B2802" t="s">
        <v>97</v>
      </c>
      <c r="C2802" t="s">
        <v>6757</v>
      </c>
      <c r="D2802" t="s">
        <v>2987</v>
      </c>
      <c r="E2802" t="s">
        <v>96</v>
      </c>
      <c r="F2802">
        <v>74.989999999999995</v>
      </c>
      <c r="G2802" t="s">
        <v>7032</v>
      </c>
      <c r="H2802">
        <v>0</v>
      </c>
      <c r="M2802">
        <v>0</v>
      </c>
      <c r="N2802">
        <v>0</v>
      </c>
      <c r="O2802">
        <v>0</v>
      </c>
      <c r="P2802">
        <v>0</v>
      </c>
    </row>
    <row r="2803" spans="1:16" x14ac:dyDescent="0.2">
      <c r="A2803" t="s">
        <v>2298</v>
      </c>
      <c r="B2803" t="s">
        <v>97</v>
      </c>
      <c r="C2803" t="s">
        <v>2299</v>
      </c>
      <c r="D2803" t="s">
        <v>2146</v>
      </c>
      <c r="E2803" t="s">
        <v>228</v>
      </c>
      <c r="F2803">
        <v>16.989999999999998</v>
      </c>
      <c r="G2803" t="s">
        <v>7032</v>
      </c>
      <c r="H2803">
        <v>0</v>
      </c>
      <c r="M2803">
        <v>0</v>
      </c>
      <c r="N2803">
        <v>0</v>
      </c>
      <c r="O2803">
        <v>0</v>
      </c>
      <c r="P2803">
        <v>1</v>
      </c>
    </row>
    <row r="2804" spans="1:16" x14ac:dyDescent="0.2">
      <c r="A2804" t="s">
        <v>1092</v>
      </c>
      <c r="B2804" t="s">
        <v>97</v>
      </c>
      <c r="C2804" t="s">
        <v>1093</v>
      </c>
      <c r="D2804" t="s">
        <v>1089</v>
      </c>
      <c r="E2804" t="s">
        <v>96</v>
      </c>
      <c r="F2804">
        <v>69.989999999999995</v>
      </c>
      <c r="G2804" t="s">
        <v>7032</v>
      </c>
      <c r="H2804">
        <v>0</v>
      </c>
      <c r="M2804">
        <v>0</v>
      </c>
      <c r="N2804">
        <v>0</v>
      </c>
      <c r="O2804">
        <v>0</v>
      </c>
      <c r="P2804">
        <v>0</v>
      </c>
    </row>
    <row r="2805" spans="1:16" x14ac:dyDescent="0.2">
      <c r="A2805" t="s">
        <v>2342</v>
      </c>
      <c r="B2805" t="s">
        <v>97</v>
      </c>
      <c r="C2805" t="s">
        <v>2343</v>
      </c>
      <c r="D2805" t="s">
        <v>2146</v>
      </c>
      <c r="E2805" t="s">
        <v>228</v>
      </c>
      <c r="F2805">
        <v>16.989999999999998</v>
      </c>
      <c r="G2805" t="s">
        <v>7032</v>
      </c>
      <c r="H2805">
        <v>0</v>
      </c>
      <c r="M2805">
        <v>0</v>
      </c>
      <c r="N2805">
        <v>0</v>
      </c>
      <c r="O2805">
        <v>0</v>
      </c>
      <c r="P2805">
        <v>0</v>
      </c>
    </row>
    <row r="2806" spans="1:16" x14ac:dyDescent="0.2">
      <c r="A2806" t="s">
        <v>5694</v>
      </c>
      <c r="B2806" t="s">
        <v>97</v>
      </c>
      <c r="C2806" t="s">
        <v>5695</v>
      </c>
      <c r="D2806" t="s">
        <v>2411</v>
      </c>
      <c r="E2806" t="s">
        <v>96</v>
      </c>
      <c r="F2806">
        <v>59.99</v>
      </c>
      <c r="G2806" t="s">
        <v>7032</v>
      </c>
      <c r="H2806">
        <v>0</v>
      </c>
      <c r="M2806">
        <v>0</v>
      </c>
      <c r="N2806">
        <v>0</v>
      </c>
      <c r="O2806">
        <v>0</v>
      </c>
      <c r="P2806">
        <v>0</v>
      </c>
    </row>
    <row r="2807" spans="1:16" x14ac:dyDescent="0.2">
      <c r="A2807" t="s">
        <v>5449</v>
      </c>
      <c r="B2807" t="s">
        <v>97</v>
      </c>
      <c r="C2807" t="s">
        <v>5450</v>
      </c>
      <c r="D2807" t="s">
        <v>2411</v>
      </c>
      <c r="E2807" t="s">
        <v>96</v>
      </c>
      <c r="F2807">
        <v>59.99</v>
      </c>
      <c r="G2807" t="s">
        <v>7032</v>
      </c>
      <c r="H2807">
        <v>0</v>
      </c>
      <c r="M2807">
        <v>0</v>
      </c>
      <c r="N2807">
        <v>0</v>
      </c>
      <c r="O2807">
        <v>0</v>
      </c>
      <c r="P2807">
        <v>0</v>
      </c>
    </row>
    <row r="2808" spans="1:16" x14ac:dyDescent="0.2">
      <c r="A2808" t="s">
        <v>2397</v>
      </c>
      <c r="B2808" t="s">
        <v>97</v>
      </c>
      <c r="C2808" t="s">
        <v>2398</v>
      </c>
      <c r="D2808" t="s">
        <v>2374</v>
      </c>
      <c r="E2808" t="s">
        <v>290</v>
      </c>
      <c r="F2808">
        <v>499.99</v>
      </c>
      <c r="G2808" t="s">
        <v>7032</v>
      </c>
      <c r="H2808">
        <v>0</v>
      </c>
      <c r="M2808">
        <v>0</v>
      </c>
      <c r="N2808">
        <v>0</v>
      </c>
      <c r="O2808">
        <v>0</v>
      </c>
      <c r="P2808">
        <v>0</v>
      </c>
    </row>
    <row r="2809" spans="1:16" x14ac:dyDescent="0.2">
      <c r="A2809" t="s">
        <v>4573</v>
      </c>
      <c r="B2809" t="s">
        <v>97</v>
      </c>
      <c r="C2809" t="s">
        <v>4574</v>
      </c>
      <c r="D2809" t="s">
        <v>4486</v>
      </c>
      <c r="E2809" t="s">
        <v>96</v>
      </c>
      <c r="F2809">
        <v>59.99</v>
      </c>
      <c r="G2809" t="s">
        <v>7032</v>
      </c>
      <c r="H2809">
        <v>0</v>
      </c>
      <c r="M2809">
        <v>0</v>
      </c>
      <c r="N2809">
        <v>0</v>
      </c>
      <c r="O2809">
        <v>0</v>
      </c>
      <c r="P2809">
        <v>0</v>
      </c>
    </row>
    <row r="2810" spans="1:16" x14ac:dyDescent="0.2">
      <c r="A2810" t="s">
        <v>4579</v>
      </c>
      <c r="B2810" t="s">
        <v>97</v>
      </c>
      <c r="C2810" t="s">
        <v>4580</v>
      </c>
      <c r="D2810" t="s">
        <v>4486</v>
      </c>
      <c r="E2810" t="s">
        <v>96</v>
      </c>
      <c r="F2810">
        <v>109.99</v>
      </c>
      <c r="G2810" t="s">
        <v>7032</v>
      </c>
      <c r="H2810">
        <v>0</v>
      </c>
      <c r="M2810">
        <v>0</v>
      </c>
      <c r="N2810">
        <v>0</v>
      </c>
      <c r="O2810">
        <v>0</v>
      </c>
      <c r="P2810">
        <v>0</v>
      </c>
    </row>
    <row r="2811" spans="1:16" x14ac:dyDescent="0.2">
      <c r="A2811" t="s">
        <v>1702</v>
      </c>
      <c r="B2811" t="s">
        <v>97</v>
      </c>
      <c r="C2811" t="s">
        <v>1703</v>
      </c>
      <c r="D2811" t="s">
        <v>1696</v>
      </c>
      <c r="E2811" t="s">
        <v>290</v>
      </c>
      <c r="F2811">
        <v>39.99</v>
      </c>
      <c r="G2811" t="s">
        <v>7032</v>
      </c>
      <c r="H2811">
        <v>0</v>
      </c>
      <c r="M2811">
        <v>0</v>
      </c>
      <c r="N2811">
        <v>0</v>
      </c>
      <c r="O2811">
        <v>0</v>
      </c>
      <c r="P2811">
        <v>0</v>
      </c>
    </row>
    <row r="2812" spans="1:16" x14ac:dyDescent="0.2">
      <c r="A2812" t="s">
        <v>4582</v>
      </c>
      <c r="B2812" t="s">
        <v>97</v>
      </c>
      <c r="C2812" t="s">
        <v>4583</v>
      </c>
      <c r="D2812" t="s">
        <v>4486</v>
      </c>
      <c r="E2812" t="s">
        <v>96</v>
      </c>
      <c r="F2812">
        <v>119.99</v>
      </c>
      <c r="G2812" t="s">
        <v>7032</v>
      </c>
      <c r="H2812">
        <v>0</v>
      </c>
      <c r="M2812">
        <v>0</v>
      </c>
      <c r="N2812">
        <v>0</v>
      </c>
      <c r="O2812">
        <v>0</v>
      </c>
      <c r="P2812">
        <v>0</v>
      </c>
    </row>
    <row r="2813" spans="1:16" x14ac:dyDescent="0.2">
      <c r="A2813" t="s">
        <v>5538</v>
      </c>
      <c r="B2813" t="s">
        <v>97</v>
      </c>
      <c r="C2813" t="s">
        <v>5539</v>
      </c>
      <c r="D2813" t="s">
        <v>2146</v>
      </c>
      <c r="E2813" t="s">
        <v>96</v>
      </c>
      <c r="F2813">
        <v>44.99</v>
      </c>
      <c r="G2813" t="s">
        <v>7032</v>
      </c>
      <c r="H2813">
        <v>0</v>
      </c>
      <c r="M2813">
        <v>0</v>
      </c>
      <c r="N2813">
        <v>0</v>
      </c>
      <c r="O2813">
        <v>0</v>
      </c>
      <c r="P2813">
        <v>0</v>
      </c>
    </row>
    <row r="2814" spans="1:16" x14ac:dyDescent="0.2">
      <c r="A2814" t="s">
        <v>2288</v>
      </c>
      <c r="B2814" t="s">
        <v>97</v>
      </c>
      <c r="C2814" t="s">
        <v>2289</v>
      </c>
      <c r="D2814" t="s">
        <v>2146</v>
      </c>
      <c r="E2814" t="s">
        <v>290</v>
      </c>
      <c r="F2814">
        <v>29.99</v>
      </c>
      <c r="G2814" t="s">
        <v>7032</v>
      </c>
      <c r="H2814">
        <v>0</v>
      </c>
      <c r="M2814">
        <v>0</v>
      </c>
      <c r="N2814">
        <v>0</v>
      </c>
      <c r="O2814">
        <v>0</v>
      </c>
      <c r="P2814">
        <v>3</v>
      </c>
    </row>
    <row r="2815" spans="1:16" x14ac:dyDescent="0.2">
      <c r="A2815" t="s">
        <v>3752</v>
      </c>
      <c r="B2815" t="s">
        <v>97</v>
      </c>
      <c r="C2815" t="s">
        <v>3753</v>
      </c>
      <c r="D2815" t="s">
        <v>1897</v>
      </c>
      <c r="E2815" t="s">
        <v>96</v>
      </c>
      <c r="F2815">
        <v>44.99</v>
      </c>
      <c r="G2815" t="s">
        <v>7032</v>
      </c>
      <c r="H2815">
        <v>0</v>
      </c>
      <c r="M2815">
        <v>0</v>
      </c>
      <c r="N2815">
        <v>0</v>
      </c>
      <c r="O2815">
        <v>0</v>
      </c>
      <c r="P2815">
        <v>0</v>
      </c>
    </row>
    <row r="2816" spans="1:16" x14ac:dyDescent="0.2">
      <c r="A2816" t="s">
        <v>4078</v>
      </c>
      <c r="B2816" t="s">
        <v>97</v>
      </c>
      <c r="C2816" t="s">
        <v>4079</v>
      </c>
      <c r="D2816" t="s">
        <v>1897</v>
      </c>
      <c r="E2816" t="s">
        <v>96</v>
      </c>
      <c r="F2816">
        <v>54.99</v>
      </c>
      <c r="G2816" t="s">
        <v>7032</v>
      </c>
      <c r="H2816">
        <v>0</v>
      </c>
      <c r="M2816">
        <v>0</v>
      </c>
      <c r="N2816">
        <v>0</v>
      </c>
      <c r="O2816">
        <v>0</v>
      </c>
      <c r="P2816">
        <v>0</v>
      </c>
    </row>
    <row r="2817" spans="1:16" x14ac:dyDescent="0.2">
      <c r="A2817" t="s">
        <v>3914</v>
      </c>
      <c r="B2817" t="s">
        <v>97</v>
      </c>
      <c r="C2817" t="s">
        <v>3915</v>
      </c>
      <c r="D2817" t="s">
        <v>1897</v>
      </c>
      <c r="E2817" t="s">
        <v>96</v>
      </c>
      <c r="F2817">
        <v>99.99</v>
      </c>
      <c r="G2817" t="s">
        <v>7032</v>
      </c>
      <c r="H2817">
        <v>0</v>
      </c>
      <c r="M2817">
        <v>0</v>
      </c>
      <c r="N2817">
        <v>0</v>
      </c>
      <c r="O2817">
        <v>0</v>
      </c>
      <c r="P2817">
        <v>1</v>
      </c>
    </row>
    <row r="2818" spans="1:16" x14ac:dyDescent="0.2">
      <c r="A2818" t="s">
        <v>1021</v>
      </c>
      <c r="B2818" t="s">
        <v>97</v>
      </c>
      <c r="C2818" t="s">
        <v>1022</v>
      </c>
      <c r="D2818" t="s">
        <v>1020</v>
      </c>
      <c r="E2818" t="s">
        <v>96</v>
      </c>
      <c r="F2818">
        <v>47.99</v>
      </c>
      <c r="G2818" t="s">
        <v>7032</v>
      </c>
      <c r="H2818">
        <v>0</v>
      </c>
      <c r="M2818">
        <v>0</v>
      </c>
      <c r="N2818">
        <v>0</v>
      </c>
      <c r="O2818">
        <v>0</v>
      </c>
      <c r="P2818">
        <v>0</v>
      </c>
    </row>
    <row r="2819" spans="1:16" x14ac:dyDescent="0.2">
      <c r="A2819" t="s">
        <v>4429</v>
      </c>
      <c r="B2819" t="s">
        <v>97</v>
      </c>
      <c r="C2819" t="s">
        <v>4430</v>
      </c>
      <c r="D2819" t="s">
        <v>1012</v>
      </c>
      <c r="E2819" t="s">
        <v>96</v>
      </c>
      <c r="F2819">
        <v>59.99</v>
      </c>
      <c r="G2819" t="s">
        <v>7032</v>
      </c>
      <c r="H2819">
        <v>0</v>
      </c>
      <c r="M2819">
        <v>0</v>
      </c>
      <c r="N2819">
        <v>0</v>
      </c>
      <c r="O2819">
        <v>0</v>
      </c>
      <c r="P2819">
        <v>0</v>
      </c>
    </row>
    <row r="2820" spans="1:16" x14ac:dyDescent="0.2">
      <c r="A2820" t="s">
        <v>4426</v>
      </c>
      <c r="B2820" t="s">
        <v>97</v>
      </c>
      <c r="C2820" t="s">
        <v>4427</v>
      </c>
      <c r="D2820" t="s">
        <v>1012</v>
      </c>
      <c r="E2820" t="s">
        <v>96</v>
      </c>
      <c r="F2820">
        <v>59.99</v>
      </c>
      <c r="G2820" t="s">
        <v>7032</v>
      </c>
      <c r="H2820">
        <v>0</v>
      </c>
      <c r="M2820">
        <v>0</v>
      </c>
      <c r="N2820">
        <v>0</v>
      </c>
      <c r="O2820">
        <v>0</v>
      </c>
      <c r="P2820">
        <v>0</v>
      </c>
    </row>
    <row r="2821" spans="1:16" x14ac:dyDescent="0.2">
      <c r="A2821" t="s">
        <v>7289</v>
      </c>
      <c r="B2821" t="s">
        <v>97</v>
      </c>
      <c r="C2821" t="s">
        <v>7291</v>
      </c>
      <c r="D2821" t="s">
        <v>1012</v>
      </c>
      <c r="E2821" t="s">
        <v>96</v>
      </c>
      <c r="F2821">
        <v>139.99</v>
      </c>
      <c r="G2821" t="s">
        <v>7032</v>
      </c>
      <c r="H2821">
        <v>0</v>
      </c>
      <c r="M2821">
        <v>0</v>
      </c>
      <c r="N2821">
        <v>0</v>
      </c>
      <c r="O2821">
        <v>0</v>
      </c>
      <c r="P2821">
        <v>0</v>
      </c>
    </row>
    <row r="2822" spans="1:16" x14ac:dyDescent="0.2">
      <c r="A2822" t="s">
        <v>4415</v>
      </c>
      <c r="B2822" t="s">
        <v>97</v>
      </c>
      <c r="C2822" t="s">
        <v>4416</v>
      </c>
      <c r="D2822" t="s">
        <v>1012</v>
      </c>
      <c r="E2822" t="s">
        <v>96</v>
      </c>
      <c r="F2822">
        <v>114.99</v>
      </c>
      <c r="G2822" t="s">
        <v>7032</v>
      </c>
      <c r="H2822">
        <v>0</v>
      </c>
      <c r="M2822">
        <v>0</v>
      </c>
      <c r="N2822">
        <v>0</v>
      </c>
      <c r="O2822">
        <v>0</v>
      </c>
      <c r="P2822">
        <v>0</v>
      </c>
    </row>
    <row r="2823" spans="1:16" x14ac:dyDescent="0.2">
      <c r="A2823" t="s">
        <v>7094</v>
      </c>
      <c r="B2823" t="s">
        <v>97</v>
      </c>
      <c r="C2823" t="s">
        <v>7095</v>
      </c>
      <c r="D2823" t="s">
        <v>1012</v>
      </c>
      <c r="E2823" t="s">
        <v>96</v>
      </c>
      <c r="F2823">
        <v>114.99</v>
      </c>
      <c r="G2823" t="s">
        <v>7032</v>
      </c>
      <c r="H2823">
        <v>0</v>
      </c>
      <c r="M2823">
        <v>0</v>
      </c>
      <c r="N2823">
        <v>0</v>
      </c>
      <c r="O2823">
        <v>0</v>
      </c>
      <c r="P2823">
        <v>0</v>
      </c>
    </row>
    <row r="2824" spans="1:16" x14ac:dyDescent="0.2">
      <c r="A2824" t="s">
        <v>4408</v>
      </c>
      <c r="B2824" t="s">
        <v>97</v>
      </c>
      <c r="C2824" t="s">
        <v>4409</v>
      </c>
      <c r="D2824" t="s">
        <v>1012</v>
      </c>
      <c r="E2824" t="s">
        <v>96</v>
      </c>
      <c r="F2824">
        <v>114.99</v>
      </c>
      <c r="G2824" t="s">
        <v>7032</v>
      </c>
      <c r="H2824">
        <v>0</v>
      </c>
      <c r="M2824">
        <v>0</v>
      </c>
      <c r="N2824">
        <v>0</v>
      </c>
      <c r="O2824">
        <v>0</v>
      </c>
      <c r="P2824">
        <v>0</v>
      </c>
    </row>
    <row r="2825" spans="1:16" x14ac:dyDescent="0.2">
      <c r="A2825" t="s">
        <v>7293</v>
      </c>
      <c r="B2825" t="s">
        <v>97</v>
      </c>
      <c r="C2825" t="s">
        <v>7294</v>
      </c>
      <c r="D2825" t="s">
        <v>1012</v>
      </c>
      <c r="E2825" t="s">
        <v>96</v>
      </c>
      <c r="F2825">
        <v>59.99</v>
      </c>
      <c r="G2825" t="s">
        <v>7032</v>
      </c>
      <c r="H2825">
        <v>0</v>
      </c>
      <c r="M2825">
        <v>0</v>
      </c>
      <c r="N2825">
        <v>0</v>
      </c>
      <c r="O2825">
        <v>0</v>
      </c>
      <c r="P2825">
        <v>0</v>
      </c>
    </row>
    <row r="2826" spans="1:16" x14ac:dyDescent="0.2">
      <c r="A2826" t="s">
        <v>7075</v>
      </c>
      <c r="B2826" t="s">
        <v>97</v>
      </c>
      <c r="C2826" t="s">
        <v>7076</v>
      </c>
      <c r="D2826" t="s">
        <v>2146</v>
      </c>
      <c r="E2826" t="s">
        <v>96</v>
      </c>
      <c r="F2826">
        <v>16.989999999999998</v>
      </c>
      <c r="G2826" t="s">
        <v>7032</v>
      </c>
      <c r="H2826">
        <v>0</v>
      </c>
      <c r="M2826">
        <v>0</v>
      </c>
      <c r="N2826">
        <v>0</v>
      </c>
      <c r="O2826">
        <v>0</v>
      </c>
      <c r="P2826">
        <v>0</v>
      </c>
    </row>
    <row r="2827" spans="1:16" x14ac:dyDescent="0.2">
      <c r="A2827" t="s">
        <v>1015</v>
      </c>
      <c r="B2827" t="s">
        <v>97</v>
      </c>
      <c r="C2827" t="s">
        <v>1016</v>
      </c>
      <c r="D2827" t="s">
        <v>1012</v>
      </c>
      <c r="E2827" t="s">
        <v>290</v>
      </c>
      <c r="F2827">
        <v>49.99</v>
      </c>
      <c r="G2827" t="s">
        <v>7032</v>
      </c>
      <c r="H2827">
        <v>0</v>
      </c>
      <c r="M2827">
        <v>0</v>
      </c>
      <c r="N2827">
        <v>0</v>
      </c>
      <c r="O2827">
        <v>0</v>
      </c>
      <c r="P2827">
        <v>0</v>
      </c>
    </row>
    <row r="2828" spans="1:16" x14ac:dyDescent="0.2">
      <c r="A2828" t="s">
        <v>7298</v>
      </c>
      <c r="B2828" t="s">
        <v>97</v>
      </c>
      <c r="C2828" t="s">
        <v>7300</v>
      </c>
      <c r="D2828" t="s">
        <v>1012</v>
      </c>
      <c r="E2828" t="s">
        <v>96</v>
      </c>
      <c r="F2828">
        <v>49.99</v>
      </c>
      <c r="G2828" t="s">
        <v>7032</v>
      </c>
      <c r="H2828">
        <v>0</v>
      </c>
      <c r="M2828">
        <v>0</v>
      </c>
      <c r="N2828">
        <v>0</v>
      </c>
      <c r="O2828">
        <v>0</v>
      </c>
      <c r="P2828">
        <v>0</v>
      </c>
    </row>
    <row r="2829" spans="1:16" x14ac:dyDescent="0.2">
      <c r="A2829" t="s">
        <v>4432</v>
      </c>
      <c r="B2829" t="s">
        <v>97</v>
      </c>
      <c r="C2829" t="s">
        <v>4433</v>
      </c>
      <c r="D2829" t="s">
        <v>1012</v>
      </c>
      <c r="E2829" t="s">
        <v>290</v>
      </c>
      <c r="F2829">
        <v>49.99</v>
      </c>
      <c r="G2829" t="s">
        <v>7032</v>
      </c>
      <c r="H2829">
        <v>0</v>
      </c>
      <c r="M2829">
        <v>0</v>
      </c>
      <c r="N2829">
        <v>0</v>
      </c>
      <c r="O2829">
        <v>0</v>
      </c>
      <c r="P2829">
        <v>0</v>
      </c>
    </row>
    <row r="2830" spans="1:16" x14ac:dyDescent="0.2">
      <c r="A2830" t="s">
        <v>4438</v>
      </c>
      <c r="B2830" t="s">
        <v>97</v>
      </c>
      <c r="C2830" t="s">
        <v>4439</v>
      </c>
      <c r="D2830" t="s">
        <v>1012</v>
      </c>
      <c r="E2830" t="s">
        <v>290</v>
      </c>
      <c r="F2830">
        <v>49.99</v>
      </c>
      <c r="G2830" t="s">
        <v>7032</v>
      </c>
      <c r="H2830">
        <v>0</v>
      </c>
      <c r="M2830">
        <v>0</v>
      </c>
      <c r="N2830">
        <v>0</v>
      </c>
      <c r="O2830">
        <v>0</v>
      </c>
      <c r="P2830">
        <v>0</v>
      </c>
    </row>
    <row r="2831" spans="1:16" x14ac:dyDescent="0.2">
      <c r="A2831" t="s">
        <v>4444</v>
      </c>
      <c r="B2831" t="s">
        <v>97</v>
      </c>
      <c r="C2831" t="s">
        <v>4445</v>
      </c>
      <c r="D2831" t="s">
        <v>1012</v>
      </c>
      <c r="E2831" t="s">
        <v>290</v>
      </c>
      <c r="F2831">
        <v>199.99</v>
      </c>
      <c r="G2831" t="s">
        <v>7032</v>
      </c>
      <c r="H2831">
        <v>0</v>
      </c>
      <c r="M2831">
        <v>0</v>
      </c>
      <c r="N2831">
        <v>0</v>
      </c>
      <c r="O2831">
        <v>0</v>
      </c>
      <c r="P2831">
        <v>0</v>
      </c>
    </row>
    <row r="2832" spans="1:16" x14ac:dyDescent="0.2">
      <c r="A2832" t="s">
        <v>4398</v>
      </c>
      <c r="B2832" t="s">
        <v>97</v>
      </c>
      <c r="C2832" t="s">
        <v>4399</v>
      </c>
      <c r="D2832" t="s">
        <v>1012</v>
      </c>
      <c r="E2832" t="s">
        <v>290</v>
      </c>
      <c r="F2832">
        <v>79.989999999999995</v>
      </c>
      <c r="G2832" t="s">
        <v>7032</v>
      </c>
      <c r="H2832">
        <v>0</v>
      </c>
      <c r="M2832">
        <v>0</v>
      </c>
      <c r="N2832">
        <v>0</v>
      </c>
      <c r="O2832">
        <v>0</v>
      </c>
      <c r="P2832">
        <v>0</v>
      </c>
    </row>
    <row r="2833" spans="1:16" x14ac:dyDescent="0.2">
      <c r="A2833" t="s">
        <v>1013</v>
      </c>
      <c r="B2833" t="s">
        <v>97</v>
      </c>
      <c r="C2833" t="s">
        <v>1014</v>
      </c>
      <c r="D2833" t="s">
        <v>1012</v>
      </c>
      <c r="E2833" t="s">
        <v>290</v>
      </c>
      <c r="F2833">
        <v>79.989999999999995</v>
      </c>
      <c r="G2833" t="s">
        <v>7032</v>
      </c>
      <c r="H2833">
        <v>0</v>
      </c>
      <c r="M2833">
        <v>0</v>
      </c>
      <c r="N2833">
        <v>0</v>
      </c>
      <c r="O2833">
        <v>0</v>
      </c>
      <c r="P2833">
        <v>0</v>
      </c>
    </row>
    <row r="2834" spans="1:16" x14ac:dyDescent="0.2">
      <c r="A2834" t="s">
        <v>3590</v>
      </c>
      <c r="B2834" t="s">
        <v>97</v>
      </c>
      <c r="C2834" t="s">
        <v>3591</v>
      </c>
      <c r="D2834" t="s">
        <v>3554</v>
      </c>
      <c r="E2834" t="s">
        <v>96</v>
      </c>
      <c r="F2834">
        <v>39.99</v>
      </c>
      <c r="G2834" t="s">
        <v>7032</v>
      </c>
      <c r="H2834">
        <v>0</v>
      </c>
      <c r="M2834">
        <v>0</v>
      </c>
      <c r="N2834">
        <v>0</v>
      </c>
      <c r="O2834">
        <v>0</v>
      </c>
      <c r="P2834">
        <v>0</v>
      </c>
    </row>
    <row r="2835" spans="1:16" x14ac:dyDescent="0.2">
      <c r="A2835" t="s">
        <v>3681</v>
      </c>
      <c r="B2835" t="s">
        <v>97</v>
      </c>
      <c r="C2835" t="s">
        <v>3682</v>
      </c>
      <c r="D2835" t="s">
        <v>2425</v>
      </c>
      <c r="E2835" t="s">
        <v>96</v>
      </c>
      <c r="F2835">
        <v>99.99</v>
      </c>
      <c r="G2835" t="s">
        <v>7032</v>
      </c>
      <c r="H2835">
        <v>0</v>
      </c>
      <c r="M2835">
        <v>0</v>
      </c>
      <c r="N2835">
        <v>0</v>
      </c>
      <c r="O2835">
        <v>0</v>
      </c>
      <c r="P2835">
        <v>0</v>
      </c>
    </row>
    <row r="2836" spans="1:16" x14ac:dyDescent="0.2">
      <c r="A2836" t="s">
        <v>6873</v>
      </c>
      <c r="B2836" t="s">
        <v>97</v>
      </c>
      <c r="C2836" t="s">
        <v>6874</v>
      </c>
      <c r="D2836" t="s">
        <v>2987</v>
      </c>
      <c r="E2836" t="s">
        <v>96</v>
      </c>
      <c r="F2836">
        <v>49.99</v>
      </c>
      <c r="G2836" t="s">
        <v>7032</v>
      </c>
      <c r="H2836">
        <v>2.7777777777777776E-2</v>
      </c>
      <c r="M2836">
        <v>0</v>
      </c>
      <c r="N2836">
        <v>0</v>
      </c>
      <c r="O2836">
        <v>0</v>
      </c>
      <c r="P2836">
        <v>3</v>
      </c>
    </row>
    <row r="2837" spans="1:16" x14ac:dyDescent="0.2">
      <c r="A2837" t="s">
        <v>5259</v>
      </c>
      <c r="B2837" t="s">
        <v>97</v>
      </c>
      <c r="C2837" t="s">
        <v>5260</v>
      </c>
      <c r="D2837" t="s">
        <v>5254</v>
      </c>
      <c r="E2837" t="s">
        <v>290</v>
      </c>
      <c r="F2837">
        <v>429.99</v>
      </c>
      <c r="G2837" t="s">
        <v>7032</v>
      </c>
      <c r="H2837">
        <v>0</v>
      </c>
      <c r="M2837">
        <v>0</v>
      </c>
      <c r="N2837">
        <v>0</v>
      </c>
      <c r="O2837">
        <v>0</v>
      </c>
      <c r="P2837">
        <v>0</v>
      </c>
    </row>
    <row r="2838" spans="1:16" x14ac:dyDescent="0.2">
      <c r="A2838" t="s">
        <v>7295</v>
      </c>
      <c r="B2838" t="s">
        <v>97</v>
      </c>
      <c r="C2838" t="s">
        <v>7297</v>
      </c>
      <c r="D2838" t="s">
        <v>1012</v>
      </c>
      <c r="E2838" t="s">
        <v>96</v>
      </c>
      <c r="F2838">
        <v>49.99</v>
      </c>
      <c r="G2838" t="s">
        <v>7032</v>
      </c>
      <c r="H2838">
        <v>0</v>
      </c>
      <c r="M2838">
        <v>0</v>
      </c>
      <c r="N2838">
        <v>0</v>
      </c>
      <c r="O2838">
        <v>0</v>
      </c>
      <c r="P2838">
        <v>0</v>
      </c>
    </row>
    <row r="2839" spans="1:16" x14ac:dyDescent="0.2">
      <c r="A2839" t="s">
        <v>3759</v>
      </c>
      <c r="B2839" t="s">
        <v>97</v>
      </c>
      <c r="C2839" t="s">
        <v>3760</v>
      </c>
      <c r="D2839" t="s">
        <v>1897</v>
      </c>
      <c r="E2839" t="s">
        <v>96</v>
      </c>
      <c r="F2839">
        <v>44.99</v>
      </c>
      <c r="G2839" t="s">
        <v>7032</v>
      </c>
      <c r="H2839">
        <v>0</v>
      </c>
      <c r="M2839">
        <v>0</v>
      </c>
      <c r="N2839">
        <v>0</v>
      </c>
      <c r="O2839">
        <v>0</v>
      </c>
      <c r="P2839">
        <v>0</v>
      </c>
    </row>
    <row r="2840" spans="1:16" x14ac:dyDescent="0.2">
      <c r="A2840" t="s">
        <v>4561</v>
      </c>
      <c r="B2840" t="s">
        <v>97</v>
      </c>
      <c r="C2840" t="s">
        <v>4562</v>
      </c>
      <c r="D2840" t="s">
        <v>4486</v>
      </c>
      <c r="E2840" t="s">
        <v>96</v>
      </c>
      <c r="F2840">
        <v>109.95</v>
      </c>
      <c r="G2840" t="s">
        <v>7032</v>
      </c>
      <c r="H2840">
        <v>0</v>
      </c>
      <c r="M2840">
        <v>0</v>
      </c>
      <c r="N2840">
        <v>0</v>
      </c>
      <c r="O2840">
        <v>0</v>
      </c>
      <c r="P2840">
        <v>0</v>
      </c>
    </row>
    <row r="2841" spans="1:16" x14ac:dyDescent="0.2">
      <c r="A2841" t="s">
        <v>2332</v>
      </c>
      <c r="B2841" t="s">
        <v>97</v>
      </c>
      <c r="C2841" t="s">
        <v>2333</v>
      </c>
      <c r="D2841" t="s">
        <v>2146</v>
      </c>
      <c r="E2841" t="s">
        <v>228</v>
      </c>
      <c r="F2841">
        <v>17.989999999999998</v>
      </c>
      <c r="G2841" t="s">
        <v>7032</v>
      </c>
      <c r="H2841">
        <v>0</v>
      </c>
      <c r="M2841">
        <v>0</v>
      </c>
      <c r="N2841">
        <v>0</v>
      </c>
      <c r="O2841">
        <v>0</v>
      </c>
      <c r="P2841">
        <v>0</v>
      </c>
    </row>
    <row r="2842" spans="1:16" x14ac:dyDescent="0.2">
      <c r="A2842" t="s">
        <v>7800</v>
      </c>
      <c r="B2842" t="s">
        <v>97</v>
      </c>
      <c r="C2842" t="s">
        <v>7801</v>
      </c>
      <c r="D2842" t="s">
        <v>1897</v>
      </c>
      <c r="E2842" t="s">
        <v>96</v>
      </c>
      <c r="F2842">
        <v>29.99</v>
      </c>
      <c r="G2842" t="s">
        <v>7032</v>
      </c>
      <c r="H2842">
        <v>0</v>
      </c>
      <c r="M2842">
        <v>0</v>
      </c>
      <c r="N2842">
        <v>0</v>
      </c>
      <c r="O2842">
        <v>0</v>
      </c>
      <c r="P2842">
        <v>0</v>
      </c>
    </row>
    <row r="2843" spans="1:16" x14ac:dyDescent="0.2">
      <c r="A2843" t="s">
        <v>7802</v>
      </c>
      <c r="B2843" t="s">
        <v>97</v>
      </c>
      <c r="C2843" t="s">
        <v>7803</v>
      </c>
      <c r="D2843" t="s">
        <v>1897</v>
      </c>
      <c r="E2843" t="s">
        <v>96</v>
      </c>
      <c r="F2843">
        <v>69.989999999999995</v>
      </c>
      <c r="G2843" t="s">
        <v>7032</v>
      </c>
      <c r="H2843">
        <v>0</v>
      </c>
      <c r="M2843">
        <v>0</v>
      </c>
      <c r="N2843">
        <v>0</v>
      </c>
      <c r="O2843">
        <v>0</v>
      </c>
      <c r="P2843">
        <v>0</v>
      </c>
    </row>
    <row r="2844" spans="1:16" x14ac:dyDescent="0.2">
      <c r="A2844" t="s">
        <v>7804</v>
      </c>
      <c r="B2844" t="s">
        <v>97</v>
      </c>
      <c r="C2844" t="s">
        <v>7805</v>
      </c>
      <c r="D2844" t="s">
        <v>1897</v>
      </c>
      <c r="E2844" t="s">
        <v>96</v>
      </c>
      <c r="F2844">
        <v>69.989999999999995</v>
      </c>
      <c r="G2844" t="s">
        <v>7032</v>
      </c>
      <c r="H2844">
        <v>0</v>
      </c>
      <c r="M2844">
        <v>0</v>
      </c>
      <c r="N2844">
        <v>0</v>
      </c>
      <c r="O2844">
        <v>0</v>
      </c>
      <c r="P2844">
        <v>0</v>
      </c>
    </row>
    <row r="2845" spans="1:16" x14ac:dyDescent="0.2">
      <c r="A2845" t="s">
        <v>7806</v>
      </c>
      <c r="B2845" t="s">
        <v>97</v>
      </c>
      <c r="C2845" t="s">
        <v>7807</v>
      </c>
      <c r="D2845" t="s">
        <v>1858</v>
      </c>
      <c r="E2845" t="s">
        <v>96</v>
      </c>
      <c r="F2845">
        <v>59.99</v>
      </c>
      <c r="G2845" t="s">
        <v>7032</v>
      </c>
      <c r="H2845">
        <v>0</v>
      </c>
      <c r="M2845">
        <v>0</v>
      </c>
      <c r="N2845">
        <v>0</v>
      </c>
      <c r="O2845">
        <v>0</v>
      </c>
      <c r="P2845">
        <v>0</v>
      </c>
    </row>
    <row r="2846" spans="1:16" x14ac:dyDescent="0.2">
      <c r="A2846" t="s">
        <v>6732</v>
      </c>
      <c r="B2846" t="s">
        <v>97</v>
      </c>
      <c r="C2846" t="s">
        <v>6733</v>
      </c>
      <c r="D2846" t="s">
        <v>2987</v>
      </c>
      <c r="E2846" t="s">
        <v>96</v>
      </c>
      <c r="F2846">
        <v>109.99</v>
      </c>
      <c r="G2846" t="s">
        <v>7032</v>
      </c>
      <c r="H2846">
        <v>0</v>
      </c>
      <c r="M2846">
        <v>0</v>
      </c>
      <c r="N2846">
        <v>0</v>
      </c>
      <c r="O2846">
        <v>0</v>
      </c>
      <c r="P2846">
        <v>0</v>
      </c>
    </row>
    <row r="2847" spans="1:16" x14ac:dyDescent="0.2">
      <c r="A2847" t="s">
        <v>6735</v>
      </c>
      <c r="B2847" t="s">
        <v>97</v>
      </c>
      <c r="C2847" t="s">
        <v>6736</v>
      </c>
      <c r="D2847" t="s">
        <v>2987</v>
      </c>
      <c r="E2847" t="s">
        <v>96</v>
      </c>
      <c r="F2847">
        <v>109.99</v>
      </c>
      <c r="G2847" t="s">
        <v>7032</v>
      </c>
      <c r="H2847">
        <v>0</v>
      </c>
      <c r="M2847">
        <v>0</v>
      </c>
      <c r="N2847">
        <v>0</v>
      </c>
      <c r="O2847">
        <v>0</v>
      </c>
      <c r="P2847">
        <v>0</v>
      </c>
    </row>
    <row r="2848" spans="1:16" x14ac:dyDescent="0.2">
      <c r="A2848" t="s">
        <v>2129</v>
      </c>
      <c r="B2848" t="s">
        <v>97</v>
      </c>
      <c r="C2848" t="s">
        <v>2130</v>
      </c>
      <c r="D2848" t="s">
        <v>2088</v>
      </c>
      <c r="E2848" t="s">
        <v>96</v>
      </c>
      <c r="F2848">
        <v>59.99</v>
      </c>
      <c r="G2848" t="s">
        <v>7032</v>
      </c>
      <c r="H2848">
        <v>0</v>
      </c>
      <c r="M2848">
        <v>0</v>
      </c>
      <c r="N2848">
        <v>0</v>
      </c>
      <c r="O2848">
        <v>0</v>
      </c>
      <c r="P2848">
        <v>0</v>
      </c>
    </row>
    <row r="2849" spans="1:16" x14ac:dyDescent="0.2">
      <c r="A2849" t="s">
        <v>2136</v>
      </c>
      <c r="B2849" t="s">
        <v>97</v>
      </c>
      <c r="C2849" t="s">
        <v>2137</v>
      </c>
      <c r="D2849" t="s">
        <v>2131</v>
      </c>
      <c r="E2849" t="s">
        <v>96</v>
      </c>
      <c r="F2849">
        <v>39.99</v>
      </c>
      <c r="G2849" t="s">
        <v>7032</v>
      </c>
      <c r="H2849">
        <v>0</v>
      </c>
      <c r="M2849">
        <v>0</v>
      </c>
      <c r="N2849">
        <v>0</v>
      </c>
      <c r="O2849">
        <v>0</v>
      </c>
      <c r="P2849">
        <v>0</v>
      </c>
    </row>
    <row r="2850" spans="1:16" x14ac:dyDescent="0.2">
      <c r="A2850" t="s">
        <v>7808</v>
      </c>
      <c r="B2850" t="s">
        <v>97</v>
      </c>
      <c r="C2850" t="s">
        <v>7809</v>
      </c>
      <c r="D2850" t="s">
        <v>5254</v>
      </c>
      <c r="E2850" t="s">
        <v>96</v>
      </c>
      <c r="F2850">
        <v>429.99</v>
      </c>
      <c r="G2850" t="s">
        <v>7032</v>
      </c>
      <c r="H2850">
        <v>0</v>
      </c>
      <c r="M2850">
        <v>0</v>
      </c>
      <c r="N2850">
        <v>0</v>
      </c>
      <c r="O2850">
        <v>0</v>
      </c>
      <c r="P2850">
        <v>0</v>
      </c>
    </row>
    <row r="2851" spans="1:16" x14ac:dyDescent="0.2">
      <c r="A2851" t="s">
        <v>5252</v>
      </c>
      <c r="B2851" t="s">
        <v>97</v>
      </c>
      <c r="C2851" t="s">
        <v>5253</v>
      </c>
      <c r="D2851" t="s">
        <v>5254</v>
      </c>
      <c r="E2851" t="s">
        <v>96</v>
      </c>
      <c r="F2851">
        <v>79.989999999999995</v>
      </c>
      <c r="G2851" t="s">
        <v>7032</v>
      </c>
      <c r="H2851">
        <v>0</v>
      </c>
      <c r="M2851">
        <v>0</v>
      </c>
      <c r="N2851">
        <v>0</v>
      </c>
      <c r="O2851">
        <v>0</v>
      </c>
      <c r="P2851">
        <v>0</v>
      </c>
    </row>
    <row r="2852" spans="1:16" x14ac:dyDescent="0.2">
      <c r="A2852" t="s">
        <v>2134</v>
      </c>
      <c r="B2852" t="s">
        <v>97</v>
      </c>
      <c r="C2852" t="s">
        <v>2135</v>
      </c>
      <c r="D2852" t="s">
        <v>2131</v>
      </c>
      <c r="E2852" t="s">
        <v>96</v>
      </c>
      <c r="F2852">
        <v>39.99</v>
      </c>
      <c r="G2852" t="s">
        <v>7032</v>
      </c>
      <c r="H2852">
        <v>0</v>
      </c>
      <c r="M2852">
        <v>0</v>
      </c>
      <c r="N2852">
        <v>0</v>
      </c>
      <c r="O2852">
        <v>0</v>
      </c>
      <c r="P2852">
        <v>0</v>
      </c>
    </row>
    <row r="2853" spans="1:16" x14ac:dyDescent="0.2">
      <c r="A2853" t="s">
        <v>7810</v>
      </c>
      <c r="B2853" t="s">
        <v>97</v>
      </c>
      <c r="C2853" t="s">
        <v>7811</v>
      </c>
      <c r="D2853" t="s">
        <v>1897</v>
      </c>
      <c r="E2853" t="s">
        <v>96</v>
      </c>
      <c r="F2853">
        <v>49.99</v>
      </c>
      <c r="G2853" t="s">
        <v>7032</v>
      </c>
      <c r="H2853">
        <v>0</v>
      </c>
      <c r="M2853">
        <v>0</v>
      </c>
      <c r="N2853">
        <v>0</v>
      </c>
      <c r="O2853">
        <v>0</v>
      </c>
      <c r="P2853">
        <v>0</v>
      </c>
    </row>
    <row r="2854" spans="1:16" x14ac:dyDescent="0.2">
      <c r="A2854" t="s">
        <v>3850</v>
      </c>
      <c r="B2854" t="s">
        <v>97</v>
      </c>
      <c r="C2854" t="s">
        <v>3851</v>
      </c>
      <c r="D2854" t="s">
        <v>1897</v>
      </c>
      <c r="E2854" t="s">
        <v>96</v>
      </c>
      <c r="G2854" t="s">
        <v>7032</v>
      </c>
      <c r="H2854">
        <v>0</v>
      </c>
      <c r="M2854">
        <v>0</v>
      </c>
      <c r="N2854">
        <v>0</v>
      </c>
      <c r="P2854">
        <v>0</v>
      </c>
    </row>
    <row r="2855" spans="1:16" x14ac:dyDescent="0.2">
      <c r="A2855" t="s">
        <v>2132</v>
      </c>
      <c r="B2855" t="s">
        <v>97</v>
      </c>
      <c r="C2855" t="s">
        <v>2133</v>
      </c>
      <c r="D2855" t="s">
        <v>2131</v>
      </c>
      <c r="E2855" t="s">
        <v>96</v>
      </c>
      <c r="F2855">
        <v>29.99</v>
      </c>
      <c r="G2855" t="s">
        <v>7032</v>
      </c>
      <c r="H2855">
        <v>0</v>
      </c>
      <c r="M2855">
        <v>0</v>
      </c>
      <c r="N2855">
        <v>0</v>
      </c>
      <c r="O2855">
        <v>0</v>
      </c>
      <c r="P2855">
        <v>0</v>
      </c>
    </row>
    <row r="2856" spans="1:16" x14ac:dyDescent="0.2">
      <c r="A2856" t="s">
        <v>4340</v>
      </c>
      <c r="B2856" t="s">
        <v>97</v>
      </c>
      <c r="C2856" t="s">
        <v>4341</v>
      </c>
      <c r="D2856" t="s">
        <v>4330</v>
      </c>
      <c r="E2856" t="s">
        <v>96</v>
      </c>
      <c r="F2856">
        <v>21.99</v>
      </c>
      <c r="G2856" t="s">
        <v>7032</v>
      </c>
      <c r="H2856">
        <v>0</v>
      </c>
      <c r="M2856">
        <v>0</v>
      </c>
      <c r="N2856">
        <v>0</v>
      </c>
      <c r="O2856">
        <v>0</v>
      </c>
      <c r="P2856">
        <v>0</v>
      </c>
    </row>
    <row r="2857" spans="1:16" x14ac:dyDescent="0.2">
      <c r="A2857" t="s">
        <v>7812</v>
      </c>
      <c r="B2857" t="s">
        <v>97</v>
      </c>
      <c r="C2857" t="s">
        <v>7813</v>
      </c>
      <c r="D2857" t="s">
        <v>1897</v>
      </c>
      <c r="E2857" t="s">
        <v>96</v>
      </c>
      <c r="F2857">
        <v>99.99</v>
      </c>
      <c r="G2857" t="s">
        <v>7032</v>
      </c>
      <c r="H2857">
        <v>0</v>
      </c>
      <c r="M2857">
        <v>0</v>
      </c>
      <c r="N2857">
        <v>0</v>
      </c>
      <c r="O2857">
        <v>0</v>
      </c>
      <c r="P2857">
        <v>0</v>
      </c>
    </row>
    <row r="2858" spans="1:16" x14ac:dyDescent="0.2">
      <c r="A2858" t="s">
        <v>2121</v>
      </c>
      <c r="B2858" t="s">
        <v>97</v>
      </c>
      <c r="C2858" t="s">
        <v>2122</v>
      </c>
      <c r="D2858" t="s">
        <v>2088</v>
      </c>
      <c r="E2858" t="s">
        <v>96</v>
      </c>
      <c r="F2858">
        <v>59.99</v>
      </c>
      <c r="G2858" t="s">
        <v>7032</v>
      </c>
      <c r="H2858">
        <v>0</v>
      </c>
      <c r="M2858">
        <v>0</v>
      </c>
      <c r="N2858">
        <v>0</v>
      </c>
      <c r="O2858">
        <v>0</v>
      </c>
      <c r="P2858">
        <v>0</v>
      </c>
    </row>
    <row r="2859" spans="1:16" x14ac:dyDescent="0.2">
      <c r="A2859" t="s">
        <v>7814</v>
      </c>
      <c r="B2859" t="s">
        <v>97</v>
      </c>
      <c r="C2859" t="s">
        <v>7815</v>
      </c>
      <c r="D2859" t="s">
        <v>4330</v>
      </c>
      <c r="E2859" t="s">
        <v>96</v>
      </c>
      <c r="F2859">
        <v>169.99</v>
      </c>
      <c r="G2859" t="s">
        <v>7032</v>
      </c>
      <c r="H2859">
        <v>0</v>
      </c>
      <c r="M2859">
        <v>0</v>
      </c>
      <c r="N2859">
        <v>0</v>
      </c>
      <c r="O2859">
        <v>0</v>
      </c>
      <c r="P2859">
        <v>0</v>
      </c>
    </row>
    <row r="2860" spans="1:16" x14ac:dyDescent="0.2">
      <c r="A2860" t="s">
        <v>4328</v>
      </c>
      <c r="B2860" t="s">
        <v>97</v>
      </c>
      <c r="C2860" t="s">
        <v>4329</v>
      </c>
      <c r="D2860" t="s">
        <v>4330</v>
      </c>
      <c r="E2860" t="s">
        <v>96</v>
      </c>
      <c r="F2860">
        <v>49.99</v>
      </c>
      <c r="G2860" t="s">
        <v>7032</v>
      </c>
      <c r="H2860">
        <v>0</v>
      </c>
      <c r="M2860">
        <v>0</v>
      </c>
      <c r="N2860">
        <v>0</v>
      </c>
      <c r="O2860">
        <v>0</v>
      </c>
      <c r="P2860">
        <v>0</v>
      </c>
    </row>
    <row r="2861" spans="1:16" x14ac:dyDescent="0.2">
      <c r="A2861" t="s">
        <v>2125</v>
      </c>
      <c r="B2861" t="s">
        <v>97</v>
      </c>
      <c r="C2861" t="s">
        <v>2126</v>
      </c>
      <c r="D2861" t="s">
        <v>2088</v>
      </c>
      <c r="E2861" t="s">
        <v>290</v>
      </c>
      <c r="F2861">
        <v>59.99</v>
      </c>
      <c r="G2861" t="s">
        <v>7032</v>
      </c>
      <c r="H2861">
        <v>0</v>
      </c>
      <c r="M2861">
        <v>0</v>
      </c>
      <c r="N2861">
        <v>0</v>
      </c>
      <c r="O2861">
        <v>0</v>
      </c>
      <c r="P2861">
        <v>0</v>
      </c>
    </row>
    <row r="2862" spans="1:16" x14ac:dyDescent="0.2">
      <c r="A2862" t="s">
        <v>7102</v>
      </c>
      <c r="B2862" t="s">
        <v>97</v>
      </c>
      <c r="C2862" t="s">
        <v>7103</v>
      </c>
      <c r="D2862" t="s">
        <v>2987</v>
      </c>
      <c r="E2862" t="s">
        <v>96</v>
      </c>
      <c r="F2862">
        <v>89.99</v>
      </c>
      <c r="G2862" t="s">
        <v>7032</v>
      </c>
      <c r="H2862">
        <v>0</v>
      </c>
      <c r="M2862">
        <v>0</v>
      </c>
      <c r="N2862">
        <v>0</v>
      </c>
      <c r="O2862">
        <v>0</v>
      </c>
      <c r="P2862">
        <v>0</v>
      </c>
    </row>
    <row r="2863" spans="1:16" x14ac:dyDescent="0.2">
      <c r="A2863" t="s">
        <v>2123</v>
      </c>
      <c r="B2863" t="s">
        <v>97</v>
      </c>
      <c r="C2863" t="s">
        <v>2124</v>
      </c>
      <c r="D2863" t="s">
        <v>2088</v>
      </c>
      <c r="E2863" t="s">
        <v>96</v>
      </c>
      <c r="F2863">
        <v>59.99</v>
      </c>
      <c r="G2863" t="s">
        <v>7032</v>
      </c>
      <c r="H2863">
        <v>0</v>
      </c>
      <c r="M2863">
        <v>0</v>
      </c>
      <c r="N2863">
        <v>0</v>
      </c>
      <c r="O2863">
        <v>0</v>
      </c>
      <c r="P2863">
        <v>0</v>
      </c>
    </row>
    <row r="2864" spans="1:16" x14ac:dyDescent="0.2">
      <c r="A2864" t="s">
        <v>4742</v>
      </c>
      <c r="B2864" t="s">
        <v>97</v>
      </c>
      <c r="C2864" t="s">
        <v>4743</v>
      </c>
      <c r="D2864" t="s">
        <v>446</v>
      </c>
      <c r="E2864" t="s">
        <v>290</v>
      </c>
      <c r="F2864">
        <v>49.99</v>
      </c>
      <c r="G2864" t="s">
        <v>7032</v>
      </c>
      <c r="H2864">
        <v>0</v>
      </c>
      <c r="M2864">
        <v>0</v>
      </c>
      <c r="N2864">
        <v>0</v>
      </c>
      <c r="O2864">
        <v>0</v>
      </c>
      <c r="P2864">
        <v>1</v>
      </c>
    </row>
    <row r="2865" spans="1:16" x14ac:dyDescent="0.2">
      <c r="A2865" t="s">
        <v>6723</v>
      </c>
      <c r="B2865" t="s">
        <v>97</v>
      </c>
      <c r="C2865" t="s">
        <v>6724</v>
      </c>
      <c r="D2865" t="s">
        <v>2987</v>
      </c>
      <c r="E2865" t="s">
        <v>96</v>
      </c>
      <c r="F2865">
        <v>89.99</v>
      </c>
      <c r="G2865" t="s">
        <v>7032</v>
      </c>
      <c r="H2865">
        <v>0</v>
      </c>
      <c r="M2865">
        <v>0</v>
      </c>
      <c r="N2865">
        <v>0</v>
      </c>
      <c r="O2865">
        <v>0</v>
      </c>
      <c r="P2865">
        <v>0</v>
      </c>
    </row>
    <row r="2866" spans="1:16" x14ac:dyDescent="0.2">
      <c r="A2866" t="s">
        <v>3729</v>
      </c>
      <c r="B2866" t="s">
        <v>97</v>
      </c>
      <c r="C2866" t="s">
        <v>3730</v>
      </c>
      <c r="D2866" t="s">
        <v>1897</v>
      </c>
      <c r="E2866" t="s">
        <v>96</v>
      </c>
      <c r="F2866">
        <v>49.99</v>
      </c>
      <c r="G2866" t="s">
        <v>7032</v>
      </c>
      <c r="H2866">
        <v>0</v>
      </c>
      <c r="M2866">
        <v>0</v>
      </c>
      <c r="N2866">
        <v>0</v>
      </c>
      <c r="O2866">
        <v>0</v>
      </c>
      <c r="P2866">
        <v>0</v>
      </c>
    </row>
    <row r="2867" spans="1:16" x14ac:dyDescent="0.2">
      <c r="A2867" t="s">
        <v>7816</v>
      </c>
      <c r="B2867" t="s">
        <v>97</v>
      </c>
      <c r="C2867" t="s">
        <v>7817</v>
      </c>
      <c r="D2867" t="s">
        <v>4486</v>
      </c>
      <c r="E2867" t="s">
        <v>96</v>
      </c>
      <c r="F2867">
        <v>29.99</v>
      </c>
      <c r="G2867" t="s">
        <v>7032</v>
      </c>
      <c r="H2867">
        <v>0</v>
      </c>
      <c r="M2867">
        <v>0</v>
      </c>
      <c r="N2867">
        <v>0</v>
      </c>
      <c r="O2867">
        <v>0</v>
      </c>
      <c r="P2867">
        <v>0</v>
      </c>
    </row>
    <row r="2868" spans="1:16" x14ac:dyDescent="0.2">
      <c r="A2868" t="s">
        <v>7818</v>
      </c>
      <c r="B2868" t="s">
        <v>97</v>
      </c>
      <c r="C2868" t="s">
        <v>7819</v>
      </c>
      <c r="D2868" t="s">
        <v>1897</v>
      </c>
      <c r="E2868" t="s">
        <v>96</v>
      </c>
      <c r="F2868">
        <v>49.99</v>
      </c>
      <c r="G2868" t="s">
        <v>7032</v>
      </c>
      <c r="H2868">
        <v>0</v>
      </c>
      <c r="M2868">
        <v>0</v>
      </c>
      <c r="N2868">
        <v>0</v>
      </c>
      <c r="O2868">
        <v>0</v>
      </c>
      <c r="P2868">
        <v>0</v>
      </c>
    </row>
    <row r="2869" spans="1:16" x14ac:dyDescent="0.2">
      <c r="A2869" t="s">
        <v>7820</v>
      </c>
      <c r="B2869" t="s">
        <v>97</v>
      </c>
      <c r="C2869" t="s">
        <v>7821</v>
      </c>
      <c r="D2869" t="s">
        <v>1897</v>
      </c>
      <c r="E2869" t="s">
        <v>96</v>
      </c>
      <c r="F2869">
        <v>44.99</v>
      </c>
      <c r="G2869" t="s">
        <v>7032</v>
      </c>
      <c r="H2869">
        <v>0</v>
      </c>
      <c r="M2869">
        <v>0</v>
      </c>
      <c r="N2869">
        <v>0</v>
      </c>
      <c r="O2869">
        <v>0</v>
      </c>
      <c r="P2869">
        <v>0</v>
      </c>
    </row>
    <row r="2870" spans="1:16" x14ac:dyDescent="0.2">
      <c r="A2870" t="s">
        <v>2302</v>
      </c>
      <c r="B2870" t="s">
        <v>97</v>
      </c>
      <c r="C2870" t="s">
        <v>2303</v>
      </c>
      <c r="D2870" t="s">
        <v>2146</v>
      </c>
      <c r="E2870" t="s">
        <v>228</v>
      </c>
      <c r="F2870">
        <v>35.99</v>
      </c>
      <c r="G2870" t="s">
        <v>7032</v>
      </c>
      <c r="H2870">
        <v>0</v>
      </c>
      <c r="M2870">
        <v>0</v>
      </c>
      <c r="N2870">
        <v>0</v>
      </c>
      <c r="O2870">
        <v>0</v>
      </c>
      <c r="P2870">
        <v>0</v>
      </c>
    </row>
    <row r="2871" spans="1:16" x14ac:dyDescent="0.2">
      <c r="A2871" t="s">
        <v>2326</v>
      </c>
      <c r="B2871" t="s">
        <v>97</v>
      </c>
      <c r="C2871" t="s">
        <v>2327</v>
      </c>
      <c r="D2871" t="s">
        <v>2146</v>
      </c>
      <c r="E2871" t="s">
        <v>228</v>
      </c>
      <c r="F2871">
        <v>79.989999999999995</v>
      </c>
      <c r="G2871" t="s">
        <v>7032</v>
      </c>
      <c r="H2871">
        <v>0</v>
      </c>
      <c r="M2871">
        <v>0</v>
      </c>
      <c r="N2871">
        <v>0</v>
      </c>
      <c r="O2871">
        <v>0</v>
      </c>
      <c r="P2871">
        <v>0</v>
      </c>
    </row>
    <row r="2872" spans="1:16" x14ac:dyDescent="0.2">
      <c r="A2872" t="s">
        <v>2324</v>
      </c>
      <c r="B2872" t="s">
        <v>97</v>
      </c>
      <c r="C2872" t="s">
        <v>2325</v>
      </c>
      <c r="D2872" t="s">
        <v>2146</v>
      </c>
      <c r="E2872" t="s">
        <v>228</v>
      </c>
      <c r="F2872">
        <v>89.99</v>
      </c>
      <c r="G2872" t="s">
        <v>7032</v>
      </c>
      <c r="H2872">
        <v>0</v>
      </c>
      <c r="M2872">
        <v>0</v>
      </c>
      <c r="N2872">
        <v>0</v>
      </c>
      <c r="O2872">
        <v>0</v>
      </c>
      <c r="P2872">
        <v>2</v>
      </c>
    </row>
    <row r="2873" spans="1:16" x14ac:dyDescent="0.2">
      <c r="A2873" t="s">
        <v>7822</v>
      </c>
      <c r="B2873" t="s">
        <v>97</v>
      </c>
      <c r="C2873" t="s">
        <v>7823</v>
      </c>
      <c r="D2873" t="s">
        <v>1089</v>
      </c>
      <c r="E2873" t="s">
        <v>96</v>
      </c>
      <c r="F2873">
        <v>499.99</v>
      </c>
      <c r="G2873" t="s">
        <v>7032</v>
      </c>
      <c r="H2873">
        <v>0</v>
      </c>
      <c r="M2873">
        <v>0</v>
      </c>
      <c r="N2873">
        <v>0</v>
      </c>
      <c r="O2873">
        <v>0</v>
      </c>
      <c r="P2873">
        <v>0</v>
      </c>
    </row>
    <row r="2874" spans="1:16" x14ac:dyDescent="0.2">
      <c r="A2874" t="s">
        <v>2322</v>
      </c>
      <c r="B2874" t="s">
        <v>97</v>
      </c>
      <c r="C2874" t="s">
        <v>2323</v>
      </c>
      <c r="D2874" t="s">
        <v>2146</v>
      </c>
      <c r="E2874" t="s">
        <v>228</v>
      </c>
      <c r="F2874">
        <v>34.99</v>
      </c>
      <c r="G2874" t="s">
        <v>7032</v>
      </c>
      <c r="H2874">
        <v>0</v>
      </c>
      <c r="M2874">
        <v>0</v>
      </c>
      <c r="N2874">
        <v>0</v>
      </c>
      <c r="O2874">
        <v>0</v>
      </c>
      <c r="P2874">
        <v>0</v>
      </c>
    </row>
    <row r="2875" spans="1:16" x14ac:dyDescent="0.2">
      <c r="A2875" t="s">
        <v>1090</v>
      </c>
      <c r="B2875" t="s">
        <v>97</v>
      </c>
      <c r="C2875" t="s">
        <v>1091</v>
      </c>
      <c r="D2875" t="s">
        <v>1089</v>
      </c>
      <c r="E2875" t="s">
        <v>290</v>
      </c>
      <c r="F2875">
        <v>529.99</v>
      </c>
      <c r="G2875" t="s">
        <v>7032</v>
      </c>
      <c r="H2875">
        <v>0</v>
      </c>
      <c r="M2875">
        <v>0</v>
      </c>
      <c r="N2875">
        <v>0</v>
      </c>
      <c r="O2875">
        <v>0</v>
      </c>
      <c r="P2875">
        <v>0</v>
      </c>
    </row>
    <row r="2876" spans="1:16" x14ac:dyDescent="0.2">
      <c r="A2876" t="s">
        <v>2304</v>
      </c>
      <c r="B2876" t="s">
        <v>97</v>
      </c>
      <c r="C2876" t="s">
        <v>2305</v>
      </c>
      <c r="D2876" t="s">
        <v>2146</v>
      </c>
      <c r="E2876" t="s">
        <v>228</v>
      </c>
      <c r="F2876">
        <v>35.99</v>
      </c>
      <c r="G2876" t="s">
        <v>7032</v>
      </c>
      <c r="H2876">
        <v>0</v>
      </c>
      <c r="M2876">
        <v>0</v>
      </c>
      <c r="N2876">
        <v>0</v>
      </c>
      <c r="O2876">
        <v>0</v>
      </c>
      <c r="P2876">
        <v>0</v>
      </c>
    </row>
    <row r="2877" spans="1:16" x14ac:dyDescent="0.2">
      <c r="A2877" t="s">
        <v>7824</v>
      </c>
      <c r="B2877" t="s">
        <v>97</v>
      </c>
      <c r="C2877" t="s">
        <v>7825</v>
      </c>
      <c r="D2877" t="s">
        <v>1089</v>
      </c>
      <c r="E2877" t="s">
        <v>96</v>
      </c>
      <c r="F2877">
        <v>69.989999999999995</v>
      </c>
      <c r="G2877" t="s">
        <v>7032</v>
      </c>
      <c r="H2877">
        <v>0</v>
      </c>
      <c r="M2877">
        <v>0</v>
      </c>
      <c r="N2877">
        <v>0</v>
      </c>
      <c r="O2877">
        <v>0</v>
      </c>
      <c r="P2877">
        <v>0</v>
      </c>
    </row>
    <row r="2878" spans="1:16" x14ac:dyDescent="0.2">
      <c r="A2878" t="s">
        <v>2144</v>
      </c>
      <c r="B2878" t="s">
        <v>97</v>
      </c>
      <c r="C2878" t="s">
        <v>2145</v>
      </c>
      <c r="D2878" t="s">
        <v>2131</v>
      </c>
      <c r="E2878" t="s">
        <v>290</v>
      </c>
      <c r="F2878">
        <v>49.99</v>
      </c>
      <c r="G2878" t="s">
        <v>7032</v>
      </c>
      <c r="H2878">
        <v>0</v>
      </c>
      <c r="M2878">
        <v>0</v>
      </c>
      <c r="N2878">
        <v>0</v>
      </c>
      <c r="O2878">
        <v>0</v>
      </c>
      <c r="P2878">
        <v>0</v>
      </c>
    </row>
    <row r="2879" spans="1:16" x14ac:dyDescent="0.2">
      <c r="A2879" t="s">
        <v>2142</v>
      </c>
      <c r="B2879" t="s">
        <v>97</v>
      </c>
      <c r="C2879" t="s">
        <v>2143</v>
      </c>
      <c r="D2879" t="s">
        <v>2131</v>
      </c>
      <c r="E2879" t="s">
        <v>96</v>
      </c>
      <c r="F2879">
        <v>49.99</v>
      </c>
      <c r="G2879" t="s">
        <v>7032</v>
      </c>
      <c r="H2879">
        <v>0</v>
      </c>
      <c r="M2879">
        <v>0</v>
      </c>
      <c r="N2879">
        <v>0</v>
      </c>
      <c r="O2879">
        <v>0</v>
      </c>
      <c r="P2879">
        <v>0</v>
      </c>
    </row>
    <row r="2880" spans="1:16" x14ac:dyDescent="0.2">
      <c r="A2880" t="s">
        <v>1898</v>
      </c>
      <c r="B2880" t="s">
        <v>97</v>
      </c>
      <c r="C2880" t="s">
        <v>1899</v>
      </c>
      <c r="D2880" t="s">
        <v>1897</v>
      </c>
      <c r="E2880" t="s">
        <v>290</v>
      </c>
      <c r="F2880">
        <v>44.99</v>
      </c>
      <c r="G2880" t="s">
        <v>7032</v>
      </c>
      <c r="H2880">
        <v>0</v>
      </c>
      <c r="M2880">
        <v>0</v>
      </c>
      <c r="N2880">
        <v>0</v>
      </c>
      <c r="O2880">
        <v>0</v>
      </c>
      <c r="P2880">
        <v>0</v>
      </c>
    </row>
    <row r="2881" spans="1:16" x14ac:dyDescent="0.2">
      <c r="A2881" t="s">
        <v>6149</v>
      </c>
      <c r="B2881" t="s">
        <v>97</v>
      </c>
      <c r="C2881" t="s">
        <v>6150</v>
      </c>
      <c r="D2881" t="s">
        <v>2502</v>
      </c>
      <c r="E2881" t="s">
        <v>96</v>
      </c>
      <c r="F2881">
        <v>69.989999999999995</v>
      </c>
      <c r="G2881" t="s">
        <v>7032</v>
      </c>
      <c r="H2881">
        <v>0</v>
      </c>
      <c r="M2881">
        <v>0</v>
      </c>
      <c r="N2881">
        <v>0</v>
      </c>
      <c r="O2881">
        <v>0</v>
      </c>
      <c r="P2881">
        <v>0</v>
      </c>
    </row>
    <row r="2882" spans="1:16" x14ac:dyDescent="0.2">
      <c r="A2882" t="s">
        <v>1878</v>
      </c>
      <c r="B2882" t="s">
        <v>97</v>
      </c>
      <c r="C2882" t="s">
        <v>1879</v>
      </c>
      <c r="D2882" t="s">
        <v>1863</v>
      </c>
      <c r="E2882" t="s">
        <v>228</v>
      </c>
      <c r="F2882">
        <v>349</v>
      </c>
      <c r="G2882" t="s">
        <v>7032</v>
      </c>
      <c r="H2882">
        <v>0</v>
      </c>
      <c r="M2882">
        <v>0</v>
      </c>
      <c r="N2882">
        <v>0</v>
      </c>
      <c r="O2882">
        <v>0</v>
      </c>
      <c r="P2882">
        <v>0</v>
      </c>
    </row>
    <row r="2883" spans="1:16" x14ac:dyDescent="0.2">
      <c r="A2883" t="s">
        <v>3813</v>
      </c>
      <c r="B2883" t="s">
        <v>97</v>
      </c>
      <c r="C2883" t="s">
        <v>3814</v>
      </c>
      <c r="D2883" t="s">
        <v>1897</v>
      </c>
      <c r="E2883" t="s">
        <v>96</v>
      </c>
      <c r="F2883">
        <v>54.99</v>
      </c>
      <c r="G2883" t="s">
        <v>7032</v>
      </c>
      <c r="H2883">
        <v>0</v>
      </c>
      <c r="M2883">
        <v>0</v>
      </c>
      <c r="N2883">
        <v>0</v>
      </c>
      <c r="O2883">
        <v>0</v>
      </c>
      <c r="P2883">
        <v>0</v>
      </c>
    </row>
    <row r="2884" spans="1:16" x14ac:dyDescent="0.2">
      <c r="A2884" t="s">
        <v>2119</v>
      </c>
      <c r="B2884" t="s">
        <v>97</v>
      </c>
      <c r="C2884" t="s">
        <v>2120</v>
      </c>
      <c r="D2884" t="s">
        <v>2088</v>
      </c>
      <c r="E2884" t="s">
        <v>290</v>
      </c>
      <c r="F2884">
        <v>59.99</v>
      </c>
      <c r="G2884" t="s">
        <v>7032</v>
      </c>
      <c r="H2884">
        <v>0</v>
      </c>
      <c r="M2884">
        <v>0</v>
      </c>
      <c r="N2884">
        <v>0</v>
      </c>
      <c r="O2884">
        <v>0</v>
      </c>
      <c r="P2884">
        <v>0</v>
      </c>
    </row>
    <row r="2885" spans="1:16" x14ac:dyDescent="0.2">
      <c r="A2885" t="s">
        <v>3792</v>
      </c>
      <c r="B2885" t="s">
        <v>97</v>
      </c>
      <c r="C2885" t="s">
        <v>3793</v>
      </c>
      <c r="D2885" t="s">
        <v>1897</v>
      </c>
      <c r="E2885" t="s">
        <v>96</v>
      </c>
      <c r="F2885">
        <v>37.99</v>
      </c>
      <c r="G2885" t="s">
        <v>7032</v>
      </c>
      <c r="H2885">
        <v>0</v>
      </c>
      <c r="M2885">
        <v>0</v>
      </c>
      <c r="N2885">
        <v>0</v>
      </c>
      <c r="O2885">
        <v>0</v>
      </c>
      <c r="P2885">
        <v>0</v>
      </c>
    </row>
    <row r="2886" spans="1:16" x14ac:dyDescent="0.2">
      <c r="A2886" t="s">
        <v>2117</v>
      </c>
      <c r="B2886" t="s">
        <v>97</v>
      </c>
      <c r="C2886" t="s">
        <v>2118</v>
      </c>
      <c r="D2886" t="s">
        <v>2088</v>
      </c>
      <c r="E2886" t="s">
        <v>290</v>
      </c>
      <c r="F2886">
        <v>59.99</v>
      </c>
      <c r="G2886" t="s">
        <v>7032</v>
      </c>
      <c r="H2886">
        <v>0</v>
      </c>
      <c r="M2886">
        <v>0</v>
      </c>
      <c r="N2886">
        <v>0</v>
      </c>
      <c r="O2886">
        <v>0</v>
      </c>
      <c r="P2886">
        <v>0</v>
      </c>
    </row>
    <row r="2887" spans="1:16" x14ac:dyDescent="0.2">
      <c r="A2887" t="s">
        <v>2115</v>
      </c>
      <c r="B2887" t="s">
        <v>97</v>
      </c>
      <c r="C2887" t="s">
        <v>2116</v>
      </c>
      <c r="D2887" t="s">
        <v>2088</v>
      </c>
      <c r="E2887" t="s">
        <v>290</v>
      </c>
      <c r="F2887">
        <v>69.989999999999995</v>
      </c>
      <c r="G2887" t="s">
        <v>7032</v>
      </c>
      <c r="H2887">
        <v>0</v>
      </c>
      <c r="M2887">
        <v>0</v>
      </c>
      <c r="N2887">
        <v>0</v>
      </c>
      <c r="O2887">
        <v>0</v>
      </c>
      <c r="P2887">
        <v>0</v>
      </c>
    </row>
    <row r="2888" spans="1:16" x14ac:dyDescent="0.2">
      <c r="A2888" t="s">
        <v>2113</v>
      </c>
      <c r="B2888" t="s">
        <v>97</v>
      </c>
      <c r="C2888" t="s">
        <v>2114</v>
      </c>
      <c r="D2888" t="s">
        <v>2088</v>
      </c>
      <c r="E2888" t="s">
        <v>96</v>
      </c>
      <c r="F2888">
        <v>69.989999999999995</v>
      </c>
      <c r="G2888" t="s">
        <v>7032</v>
      </c>
      <c r="H2888">
        <v>0</v>
      </c>
      <c r="M2888">
        <v>0</v>
      </c>
      <c r="N2888">
        <v>0</v>
      </c>
      <c r="O2888">
        <v>0</v>
      </c>
      <c r="P2888">
        <v>0</v>
      </c>
    </row>
    <row r="2889" spans="1:16" x14ac:dyDescent="0.2">
      <c r="A2889" t="s">
        <v>2109</v>
      </c>
      <c r="B2889" t="s">
        <v>97</v>
      </c>
      <c r="C2889" t="s">
        <v>2110</v>
      </c>
      <c r="D2889" t="s">
        <v>2088</v>
      </c>
      <c r="E2889" t="s">
        <v>96</v>
      </c>
      <c r="F2889">
        <v>59.99</v>
      </c>
      <c r="G2889" t="s">
        <v>7032</v>
      </c>
      <c r="H2889">
        <v>0</v>
      </c>
      <c r="M2889">
        <v>0</v>
      </c>
      <c r="N2889">
        <v>0</v>
      </c>
      <c r="O2889">
        <v>0</v>
      </c>
      <c r="P2889">
        <v>0</v>
      </c>
    </row>
    <row r="2890" spans="1:16" x14ac:dyDescent="0.2">
      <c r="A2890" t="s">
        <v>3948</v>
      </c>
      <c r="B2890" t="s">
        <v>97</v>
      </c>
      <c r="C2890" t="s">
        <v>3949</v>
      </c>
      <c r="D2890" t="s">
        <v>1897</v>
      </c>
      <c r="E2890" t="s">
        <v>96</v>
      </c>
      <c r="F2890">
        <v>239.99</v>
      </c>
      <c r="G2890" t="s">
        <v>7032</v>
      </c>
      <c r="H2890">
        <v>0</v>
      </c>
      <c r="M2890">
        <v>0</v>
      </c>
      <c r="N2890">
        <v>0</v>
      </c>
      <c r="O2890">
        <v>0</v>
      </c>
      <c r="P2890">
        <v>0</v>
      </c>
    </row>
    <row r="2891" spans="1:16" x14ac:dyDescent="0.2">
      <c r="A2891" t="s">
        <v>7826</v>
      </c>
      <c r="B2891" t="s">
        <v>97</v>
      </c>
      <c r="C2891" t="s">
        <v>7827</v>
      </c>
      <c r="D2891" t="s">
        <v>1897</v>
      </c>
      <c r="E2891" t="s">
        <v>96</v>
      </c>
      <c r="F2891">
        <v>44.99</v>
      </c>
      <c r="G2891" t="s">
        <v>7032</v>
      </c>
      <c r="H2891">
        <v>0</v>
      </c>
      <c r="M2891">
        <v>0</v>
      </c>
      <c r="N2891">
        <v>0</v>
      </c>
      <c r="O2891">
        <v>0</v>
      </c>
      <c r="P2891">
        <v>0</v>
      </c>
    </row>
    <row r="2892" spans="1:16" x14ac:dyDescent="0.2">
      <c r="A2892" t="s">
        <v>1978</v>
      </c>
      <c r="B2892" t="s">
        <v>97</v>
      </c>
      <c r="C2892" t="s">
        <v>1979</v>
      </c>
      <c r="D2892" t="s">
        <v>1897</v>
      </c>
      <c r="E2892" t="s">
        <v>290</v>
      </c>
      <c r="F2892">
        <v>44.99</v>
      </c>
      <c r="G2892" t="s">
        <v>7032</v>
      </c>
      <c r="H2892">
        <v>0</v>
      </c>
      <c r="M2892">
        <v>0</v>
      </c>
      <c r="N2892">
        <v>0</v>
      </c>
      <c r="O2892">
        <v>0</v>
      </c>
      <c r="P2892">
        <v>2</v>
      </c>
    </row>
    <row r="2893" spans="1:16" x14ac:dyDescent="0.2">
      <c r="A2893" t="s">
        <v>5262</v>
      </c>
      <c r="B2893" t="s">
        <v>97</v>
      </c>
      <c r="C2893" t="s">
        <v>5263</v>
      </c>
      <c r="D2893" t="s">
        <v>5254</v>
      </c>
      <c r="E2893" t="s">
        <v>96</v>
      </c>
      <c r="F2893">
        <v>379.99</v>
      </c>
      <c r="G2893" t="s">
        <v>7032</v>
      </c>
      <c r="H2893">
        <v>0</v>
      </c>
      <c r="M2893">
        <v>0</v>
      </c>
      <c r="N2893">
        <v>0</v>
      </c>
      <c r="O2893">
        <v>0</v>
      </c>
      <c r="P2893">
        <v>0</v>
      </c>
    </row>
    <row r="2894" spans="1:16" x14ac:dyDescent="0.2">
      <c r="A2894" t="s">
        <v>1904</v>
      </c>
      <c r="B2894" t="s">
        <v>97</v>
      </c>
      <c r="C2894" t="s">
        <v>1905</v>
      </c>
      <c r="D2894" t="s">
        <v>1897</v>
      </c>
      <c r="E2894" t="s">
        <v>290</v>
      </c>
      <c r="F2894">
        <v>44.99</v>
      </c>
      <c r="G2894" t="s">
        <v>7032</v>
      </c>
      <c r="H2894">
        <v>0</v>
      </c>
      <c r="M2894">
        <v>0</v>
      </c>
      <c r="N2894">
        <v>0</v>
      </c>
      <c r="O2894">
        <v>0</v>
      </c>
      <c r="P2894">
        <v>5</v>
      </c>
    </row>
    <row r="2895" spans="1:16" x14ac:dyDescent="0.2">
      <c r="A2895" t="s">
        <v>2107</v>
      </c>
      <c r="B2895" t="s">
        <v>97</v>
      </c>
      <c r="C2895" t="s">
        <v>2108</v>
      </c>
      <c r="D2895" t="s">
        <v>2088</v>
      </c>
      <c r="E2895" t="s">
        <v>96</v>
      </c>
      <c r="F2895">
        <v>59.99</v>
      </c>
      <c r="G2895" t="s">
        <v>7032</v>
      </c>
      <c r="H2895">
        <v>0</v>
      </c>
      <c r="M2895">
        <v>0</v>
      </c>
      <c r="N2895">
        <v>0</v>
      </c>
      <c r="O2895">
        <v>0</v>
      </c>
      <c r="P2895">
        <v>0</v>
      </c>
    </row>
    <row r="2896" spans="1:16" x14ac:dyDescent="0.2">
      <c r="A2896" t="s">
        <v>7108</v>
      </c>
      <c r="B2896" t="s">
        <v>97</v>
      </c>
      <c r="C2896" t="s">
        <v>7109</v>
      </c>
      <c r="D2896" t="s">
        <v>1012</v>
      </c>
      <c r="E2896" t="s">
        <v>96</v>
      </c>
      <c r="F2896">
        <v>79.989999999999995</v>
      </c>
      <c r="G2896" t="s">
        <v>7032</v>
      </c>
      <c r="H2896">
        <v>0</v>
      </c>
      <c r="M2896">
        <v>0</v>
      </c>
      <c r="N2896">
        <v>0</v>
      </c>
      <c r="O2896">
        <v>0</v>
      </c>
      <c r="P2896">
        <v>0</v>
      </c>
    </row>
    <row r="2897" spans="1:16" x14ac:dyDescent="0.2">
      <c r="A2897" t="s">
        <v>5710</v>
      </c>
      <c r="B2897" t="s">
        <v>97</v>
      </c>
      <c r="C2897" t="s">
        <v>5711</v>
      </c>
      <c r="D2897" t="s">
        <v>446</v>
      </c>
      <c r="E2897" t="s">
        <v>96</v>
      </c>
      <c r="F2897">
        <v>59.99</v>
      </c>
      <c r="G2897" t="s">
        <v>7032</v>
      </c>
      <c r="H2897">
        <v>0</v>
      </c>
      <c r="M2897">
        <v>0</v>
      </c>
      <c r="N2897">
        <v>0</v>
      </c>
      <c r="O2897">
        <v>0</v>
      </c>
      <c r="P2897">
        <v>0</v>
      </c>
    </row>
    <row r="2898" spans="1:16" x14ac:dyDescent="0.2">
      <c r="A2898" t="s">
        <v>7277</v>
      </c>
      <c r="B2898" t="s">
        <v>97</v>
      </c>
      <c r="C2898" t="s">
        <v>7279</v>
      </c>
      <c r="D2898" t="s">
        <v>1897</v>
      </c>
      <c r="E2898" t="s">
        <v>96</v>
      </c>
      <c r="F2898">
        <v>39.99</v>
      </c>
      <c r="G2898" t="s">
        <v>7032</v>
      </c>
      <c r="H2898">
        <v>0</v>
      </c>
      <c r="M2898">
        <v>0</v>
      </c>
      <c r="N2898">
        <v>0</v>
      </c>
      <c r="O2898">
        <v>0</v>
      </c>
      <c r="P2898">
        <v>0</v>
      </c>
    </row>
    <row r="2899" spans="1:16" x14ac:dyDescent="0.2">
      <c r="A2899" t="s">
        <v>2240</v>
      </c>
      <c r="B2899" t="s">
        <v>97</v>
      </c>
      <c r="C2899" t="s">
        <v>2241</v>
      </c>
      <c r="D2899" t="s">
        <v>2146</v>
      </c>
      <c r="E2899" t="s">
        <v>290</v>
      </c>
      <c r="F2899">
        <v>99.99</v>
      </c>
      <c r="G2899" t="s">
        <v>7032</v>
      </c>
      <c r="H2899">
        <v>0</v>
      </c>
      <c r="M2899">
        <v>0</v>
      </c>
      <c r="N2899">
        <v>0</v>
      </c>
      <c r="O2899">
        <v>0</v>
      </c>
      <c r="P2899">
        <v>0</v>
      </c>
    </row>
    <row r="2900" spans="1:16" x14ac:dyDescent="0.2">
      <c r="A2900" t="s">
        <v>2214</v>
      </c>
      <c r="B2900" t="s">
        <v>97</v>
      </c>
      <c r="C2900" t="s">
        <v>2215</v>
      </c>
      <c r="D2900" t="s">
        <v>2146</v>
      </c>
      <c r="E2900" t="s">
        <v>228</v>
      </c>
      <c r="F2900">
        <v>99.99</v>
      </c>
      <c r="G2900" t="s">
        <v>7032</v>
      </c>
      <c r="H2900">
        <v>0</v>
      </c>
      <c r="M2900">
        <v>0</v>
      </c>
      <c r="N2900">
        <v>0</v>
      </c>
      <c r="O2900">
        <v>0</v>
      </c>
      <c r="P2900">
        <v>0</v>
      </c>
    </row>
    <row r="2901" spans="1:16" x14ac:dyDescent="0.2">
      <c r="A2901" t="s">
        <v>2220</v>
      </c>
      <c r="B2901" t="s">
        <v>97</v>
      </c>
      <c r="C2901" t="s">
        <v>2221</v>
      </c>
      <c r="D2901" t="s">
        <v>2146</v>
      </c>
      <c r="E2901" t="s">
        <v>228</v>
      </c>
      <c r="F2901">
        <v>54.99</v>
      </c>
      <c r="G2901" t="s">
        <v>7032</v>
      </c>
      <c r="H2901">
        <v>0</v>
      </c>
      <c r="M2901">
        <v>0</v>
      </c>
      <c r="N2901">
        <v>0</v>
      </c>
      <c r="O2901">
        <v>0</v>
      </c>
      <c r="P2901">
        <v>0</v>
      </c>
    </row>
    <row r="2902" spans="1:16" x14ac:dyDescent="0.2">
      <c r="A2902" t="s">
        <v>2222</v>
      </c>
      <c r="B2902" t="s">
        <v>97</v>
      </c>
      <c r="C2902" t="s">
        <v>2223</v>
      </c>
      <c r="D2902" t="s">
        <v>2146</v>
      </c>
      <c r="E2902" t="s">
        <v>228</v>
      </c>
      <c r="F2902">
        <v>99.99</v>
      </c>
      <c r="G2902" t="s">
        <v>7032</v>
      </c>
      <c r="H2902">
        <v>0</v>
      </c>
      <c r="M2902">
        <v>0</v>
      </c>
      <c r="N2902">
        <v>0</v>
      </c>
      <c r="O2902">
        <v>0</v>
      </c>
      <c r="P2902">
        <v>0</v>
      </c>
    </row>
    <row r="2903" spans="1:16" x14ac:dyDescent="0.2">
      <c r="A2903" t="s">
        <v>2232</v>
      </c>
      <c r="B2903" t="s">
        <v>97</v>
      </c>
      <c r="C2903" t="s">
        <v>2233</v>
      </c>
      <c r="D2903" t="s">
        <v>2146</v>
      </c>
      <c r="E2903" t="s">
        <v>228</v>
      </c>
      <c r="F2903">
        <v>39.99</v>
      </c>
      <c r="G2903" t="s">
        <v>7032</v>
      </c>
      <c r="H2903">
        <v>0</v>
      </c>
      <c r="M2903">
        <v>0</v>
      </c>
      <c r="N2903">
        <v>0</v>
      </c>
      <c r="O2903">
        <v>0</v>
      </c>
      <c r="P2903">
        <v>5</v>
      </c>
    </row>
    <row r="2904" spans="1:16" x14ac:dyDescent="0.2">
      <c r="A2904" t="s">
        <v>2234</v>
      </c>
      <c r="B2904" t="s">
        <v>97</v>
      </c>
      <c r="C2904" t="s">
        <v>2235</v>
      </c>
      <c r="D2904" t="s">
        <v>2146</v>
      </c>
      <c r="E2904" t="s">
        <v>290</v>
      </c>
      <c r="F2904">
        <v>49.99</v>
      </c>
      <c r="G2904" t="s">
        <v>7032</v>
      </c>
      <c r="H2904">
        <v>0</v>
      </c>
      <c r="M2904">
        <v>0</v>
      </c>
      <c r="N2904">
        <v>0</v>
      </c>
      <c r="O2904">
        <v>0</v>
      </c>
      <c r="P2904">
        <v>0</v>
      </c>
    </row>
    <row r="2905" spans="1:16" x14ac:dyDescent="0.2">
      <c r="A2905" t="s">
        <v>2236</v>
      </c>
      <c r="B2905" t="s">
        <v>97</v>
      </c>
      <c r="C2905" t="s">
        <v>2237</v>
      </c>
      <c r="D2905" t="s">
        <v>2146</v>
      </c>
      <c r="E2905" t="s">
        <v>290</v>
      </c>
      <c r="F2905">
        <v>89.99</v>
      </c>
      <c r="G2905" t="s">
        <v>7032</v>
      </c>
      <c r="H2905">
        <v>0</v>
      </c>
      <c r="M2905">
        <v>0</v>
      </c>
      <c r="N2905">
        <v>0</v>
      </c>
      <c r="O2905">
        <v>0</v>
      </c>
      <c r="P2905">
        <v>0</v>
      </c>
    </row>
    <row r="2906" spans="1:16" x14ac:dyDescent="0.2">
      <c r="A2906" t="s">
        <v>7096</v>
      </c>
      <c r="B2906" t="s">
        <v>97</v>
      </c>
      <c r="C2906" t="s">
        <v>7097</v>
      </c>
      <c r="D2906" t="s">
        <v>446</v>
      </c>
      <c r="E2906" t="s">
        <v>96</v>
      </c>
      <c r="F2906">
        <v>59.99</v>
      </c>
      <c r="G2906" t="s">
        <v>7032</v>
      </c>
      <c r="H2906">
        <v>0</v>
      </c>
      <c r="M2906">
        <v>0</v>
      </c>
      <c r="N2906">
        <v>0</v>
      </c>
      <c r="O2906">
        <v>0</v>
      </c>
      <c r="P2906">
        <v>0</v>
      </c>
    </row>
    <row r="2907" spans="1:16" x14ac:dyDescent="0.2">
      <c r="A2907" t="s">
        <v>2272</v>
      </c>
      <c r="B2907" t="s">
        <v>97</v>
      </c>
      <c r="C2907" t="s">
        <v>2273</v>
      </c>
      <c r="D2907" t="s">
        <v>2146</v>
      </c>
      <c r="E2907" t="s">
        <v>96</v>
      </c>
      <c r="F2907">
        <v>119.99</v>
      </c>
      <c r="G2907" t="s">
        <v>7032</v>
      </c>
      <c r="H2907">
        <v>0</v>
      </c>
      <c r="M2907">
        <v>0</v>
      </c>
      <c r="N2907">
        <v>0</v>
      </c>
      <c r="O2907">
        <v>0</v>
      </c>
      <c r="P2907">
        <v>0</v>
      </c>
    </row>
    <row r="2908" spans="1:16" x14ac:dyDescent="0.2">
      <c r="A2908" t="s">
        <v>2238</v>
      </c>
      <c r="B2908" t="s">
        <v>97</v>
      </c>
      <c r="C2908" t="s">
        <v>2239</v>
      </c>
      <c r="D2908" t="s">
        <v>2146</v>
      </c>
      <c r="E2908" t="s">
        <v>228</v>
      </c>
      <c r="F2908">
        <v>129.99</v>
      </c>
      <c r="G2908" t="s">
        <v>7032</v>
      </c>
      <c r="H2908">
        <v>0</v>
      </c>
      <c r="M2908">
        <v>0</v>
      </c>
      <c r="N2908">
        <v>0</v>
      </c>
      <c r="O2908">
        <v>0</v>
      </c>
      <c r="P2908">
        <v>0</v>
      </c>
    </row>
    <row r="2909" spans="1:16" x14ac:dyDescent="0.2">
      <c r="A2909" t="s">
        <v>2252</v>
      </c>
      <c r="B2909" t="s">
        <v>97</v>
      </c>
      <c r="C2909" t="s">
        <v>2253</v>
      </c>
      <c r="D2909" t="s">
        <v>2146</v>
      </c>
      <c r="E2909" t="s">
        <v>290</v>
      </c>
      <c r="F2909">
        <v>99.99</v>
      </c>
      <c r="G2909" t="s">
        <v>7032</v>
      </c>
      <c r="H2909">
        <v>0</v>
      </c>
      <c r="M2909">
        <v>0</v>
      </c>
      <c r="N2909">
        <v>0</v>
      </c>
      <c r="O2909">
        <v>0</v>
      </c>
      <c r="P2909">
        <v>1</v>
      </c>
    </row>
    <row r="2910" spans="1:16" x14ac:dyDescent="0.2">
      <c r="A2910" t="s">
        <v>2244</v>
      </c>
      <c r="B2910" t="s">
        <v>97</v>
      </c>
      <c r="C2910" t="s">
        <v>2245</v>
      </c>
      <c r="D2910" t="s">
        <v>2146</v>
      </c>
      <c r="E2910" t="s">
        <v>228</v>
      </c>
      <c r="F2910">
        <v>39.99</v>
      </c>
      <c r="G2910" t="s">
        <v>7032</v>
      </c>
      <c r="H2910">
        <v>0</v>
      </c>
      <c r="M2910">
        <v>0</v>
      </c>
      <c r="N2910">
        <v>0</v>
      </c>
      <c r="O2910">
        <v>0</v>
      </c>
      <c r="P2910">
        <v>0</v>
      </c>
    </row>
    <row r="2911" spans="1:16" x14ac:dyDescent="0.2">
      <c r="A2911" t="s">
        <v>2246</v>
      </c>
      <c r="B2911" t="s">
        <v>97</v>
      </c>
      <c r="C2911" t="s">
        <v>2247</v>
      </c>
      <c r="D2911" t="s">
        <v>2146</v>
      </c>
      <c r="E2911" t="s">
        <v>228</v>
      </c>
      <c r="F2911">
        <v>99.99</v>
      </c>
      <c r="G2911" t="s">
        <v>7032</v>
      </c>
      <c r="H2911">
        <v>0</v>
      </c>
      <c r="M2911">
        <v>0</v>
      </c>
      <c r="N2911">
        <v>0.33333333333333337</v>
      </c>
      <c r="O2911">
        <v>0</v>
      </c>
      <c r="P2911">
        <v>0</v>
      </c>
    </row>
    <row r="2912" spans="1:16" x14ac:dyDescent="0.2">
      <c r="A2912" t="s">
        <v>2254</v>
      </c>
      <c r="B2912" t="s">
        <v>97</v>
      </c>
      <c r="C2912" t="s">
        <v>2255</v>
      </c>
      <c r="D2912" t="s">
        <v>2146</v>
      </c>
      <c r="E2912" t="s">
        <v>290</v>
      </c>
      <c r="F2912">
        <v>39.99</v>
      </c>
      <c r="G2912" t="s">
        <v>7032</v>
      </c>
      <c r="H2912">
        <v>0</v>
      </c>
      <c r="M2912">
        <v>0</v>
      </c>
      <c r="N2912">
        <v>0</v>
      </c>
      <c r="O2912">
        <v>0</v>
      </c>
      <c r="P2912">
        <v>0</v>
      </c>
    </row>
    <row r="2913" spans="1:16" x14ac:dyDescent="0.2">
      <c r="A2913" t="s">
        <v>527</v>
      </c>
      <c r="B2913" t="s">
        <v>97</v>
      </c>
      <c r="C2913" t="s">
        <v>528</v>
      </c>
      <c r="D2913" t="s">
        <v>446</v>
      </c>
      <c r="E2913" t="s">
        <v>290</v>
      </c>
      <c r="F2913">
        <v>19.989999999999998</v>
      </c>
      <c r="G2913" t="s">
        <v>7032</v>
      </c>
      <c r="H2913">
        <v>0</v>
      </c>
      <c r="M2913">
        <v>0</v>
      </c>
      <c r="N2913">
        <v>0</v>
      </c>
      <c r="O2913">
        <v>0</v>
      </c>
      <c r="P2913">
        <v>0</v>
      </c>
    </row>
    <row r="2914" spans="1:16" x14ac:dyDescent="0.2">
      <c r="A2914" t="s">
        <v>2212</v>
      </c>
      <c r="B2914" t="s">
        <v>97</v>
      </c>
      <c r="C2914" t="s">
        <v>2213</v>
      </c>
      <c r="D2914" t="s">
        <v>2146</v>
      </c>
      <c r="E2914" t="s">
        <v>228</v>
      </c>
      <c r="F2914">
        <v>39.99</v>
      </c>
      <c r="G2914" t="s">
        <v>7032</v>
      </c>
      <c r="H2914">
        <v>0</v>
      </c>
      <c r="M2914">
        <v>0</v>
      </c>
      <c r="N2914">
        <v>0</v>
      </c>
      <c r="O2914">
        <v>0</v>
      </c>
      <c r="P2914">
        <v>0</v>
      </c>
    </row>
    <row r="2915" spans="1:16" x14ac:dyDescent="0.2">
      <c r="A2915" t="s">
        <v>2210</v>
      </c>
      <c r="B2915" t="s">
        <v>97</v>
      </c>
      <c r="C2915" t="s">
        <v>2211</v>
      </c>
      <c r="D2915" t="s">
        <v>2146</v>
      </c>
      <c r="E2915" t="s">
        <v>228</v>
      </c>
      <c r="F2915">
        <v>429.99</v>
      </c>
      <c r="G2915" t="s">
        <v>7032</v>
      </c>
      <c r="H2915">
        <v>0</v>
      </c>
      <c r="M2915">
        <v>0</v>
      </c>
      <c r="N2915">
        <v>0</v>
      </c>
      <c r="O2915">
        <v>0</v>
      </c>
      <c r="P2915">
        <v>2</v>
      </c>
    </row>
    <row r="2916" spans="1:16" x14ac:dyDescent="0.2">
      <c r="A2916" t="s">
        <v>2208</v>
      </c>
      <c r="B2916" t="s">
        <v>97</v>
      </c>
      <c r="C2916" t="s">
        <v>2209</v>
      </c>
      <c r="D2916" t="s">
        <v>2146</v>
      </c>
      <c r="E2916" t="s">
        <v>228</v>
      </c>
      <c r="F2916">
        <v>149.99</v>
      </c>
      <c r="G2916" t="s">
        <v>7032</v>
      </c>
      <c r="H2916">
        <v>0</v>
      </c>
      <c r="M2916">
        <v>0</v>
      </c>
      <c r="N2916">
        <v>0</v>
      </c>
      <c r="O2916">
        <v>0</v>
      </c>
      <c r="P2916">
        <v>0</v>
      </c>
    </row>
    <row r="2917" spans="1:16" x14ac:dyDescent="0.2">
      <c r="A2917" t="s">
        <v>2190</v>
      </c>
      <c r="B2917" t="s">
        <v>97</v>
      </c>
      <c r="C2917" t="s">
        <v>2191</v>
      </c>
      <c r="D2917" t="s">
        <v>2146</v>
      </c>
      <c r="E2917" t="s">
        <v>290</v>
      </c>
      <c r="F2917">
        <v>349.99</v>
      </c>
      <c r="G2917" t="s">
        <v>7032</v>
      </c>
      <c r="H2917">
        <v>0</v>
      </c>
      <c r="M2917">
        <v>0</v>
      </c>
      <c r="N2917">
        <v>0</v>
      </c>
      <c r="O2917">
        <v>0</v>
      </c>
      <c r="P2917">
        <v>0</v>
      </c>
    </row>
    <row r="2918" spans="1:16" x14ac:dyDescent="0.2">
      <c r="A2918" t="s">
        <v>2188</v>
      </c>
      <c r="B2918" t="s">
        <v>97</v>
      </c>
      <c r="C2918" t="s">
        <v>2189</v>
      </c>
      <c r="D2918" t="s">
        <v>2146</v>
      </c>
      <c r="E2918" t="s">
        <v>96</v>
      </c>
      <c r="F2918">
        <v>199.99</v>
      </c>
      <c r="G2918" t="s">
        <v>7032</v>
      </c>
      <c r="H2918">
        <v>0</v>
      </c>
      <c r="M2918">
        <v>0</v>
      </c>
      <c r="N2918">
        <v>0</v>
      </c>
      <c r="O2918">
        <v>0</v>
      </c>
      <c r="P2918">
        <v>0</v>
      </c>
    </row>
    <row r="2919" spans="1:16" x14ac:dyDescent="0.2">
      <c r="A2919" t="s">
        <v>2184</v>
      </c>
      <c r="B2919" t="s">
        <v>97</v>
      </c>
      <c r="C2919" t="s">
        <v>2185</v>
      </c>
      <c r="D2919" t="s">
        <v>2146</v>
      </c>
      <c r="E2919" t="s">
        <v>290</v>
      </c>
      <c r="F2919">
        <v>44.99</v>
      </c>
      <c r="G2919" t="s">
        <v>7032</v>
      </c>
      <c r="H2919">
        <v>0</v>
      </c>
      <c r="M2919">
        <v>0</v>
      </c>
      <c r="N2919">
        <v>0</v>
      </c>
      <c r="O2919">
        <v>0</v>
      </c>
      <c r="P2919">
        <v>0</v>
      </c>
    </row>
    <row r="2920" spans="1:16" x14ac:dyDescent="0.2">
      <c r="A2920" t="s">
        <v>2242</v>
      </c>
      <c r="B2920" t="s">
        <v>97</v>
      </c>
      <c r="C2920" t="s">
        <v>2243</v>
      </c>
      <c r="D2920" t="s">
        <v>2146</v>
      </c>
      <c r="E2920" t="s">
        <v>290</v>
      </c>
      <c r="F2920">
        <v>39.99</v>
      </c>
      <c r="G2920" t="s">
        <v>7032</v>
      </c>
      <c r="H2920">
        <v>0</v>
      </c>
      <c r="M2920">
        <v>0</v>
      </c>
      <c r="N2920">
        <v>0</v>
      </c>
      <c r="O2920">
        <v>0</v>
      </c>
      <c r="P2920">
        <v>0</v>
      </c>
    </row>
    <row r="2921" spans="1:16" x14ac:dyDescent="0.2">
      <c r="A2921" t="s">
        <v>513</v>
      </c>
      <c r="B2921" t="s">
        <v>97</v>
      </c>
      <c r="C2921" t="s">
        <v>514</v>
      </c>
      <c r="D2921" t="s">
        <v>446</v>
      </c>
      <c r="E2921" t="s">
        <v>290</v>
      </c>
      <c r="F2921">
        <v>29.99</v>
      </c>
      <c r="G2921" t="s">
        <v>7032</v>
      </c>
      <c r="H2921">
        <v>0</v>
      </c>
      <c r="M2921">
        <v>0</v>
      </c>
      <c r="N2921">
        <v>0</v>
      </c>
      <c r="O2921">
        <v>0</v>
      </c>
      <c r="P2921">
        <v>0</v>
      </c>
    </row>
    <row r="2922" spans="1:16" x14ac:dyDescent="0.2">
      <c r="A2922" t="s">
        <v>1920</v>
      </c>
      <c r="B2922" t="s">
        <v>97</v>
      </c>
      <c r="C2922" t="s">
        <v>1921</v>
      </c>
      <c r="D2922" t="s">
        <v>1897</v>
      </c>
      <c r="E2922" t="s">
        <v>290</v>
      </c>
      <c r="F2922">
        <v>49.99</v>
      </c>
      <c r="G2922" t="s">
        <v>7032</v>
      </c>
      <c r="H2922">
        <v>0</v>
      </c>
      <c r="M2922">
        <v>0</v>
      </c>
      <c r="N2922">
        <v>0</v>
      </c>
      <c r="O2922">
        <v>0</v>
      </c>
      <c r="P2922">
        <v>3</v>
      </c>
    </row>
    <row r="2923" spans="1:16" x14ac:dyDescent="0.2">
      <c r="A2923" t="s">
        <v>1930</v>
      </c>
      <c r="B2923" t="s">
        <v>97</v>
      </c>
      <c r="C2923" t="s">
        <v>1931</v>
      </c>
      <c r="D2923" t="s">
        <v>1897</v>
      </c>
      <c r="E2923" t="s">
        <v>290</v>
      </c>
      <c r="F2923">
        <v>59.99</v>
      </c>
      <c r="G2923" t="s">
        <v>7032</v>
      </c>
      <c r="H2923">
        <v>0</v>
      </c>
      <c r="M2923">
        <v>0</v>
      </c>
      <c r="N2923">
        <v>0</v>
      </c>
      <c r="O2923">
        <v>0</v>
      </c>
      <c r="P2923">
        <v>0</v>
      </c>
    </row>
    <row r="2924" spans="1:16" x14ac:dyDescent="0.2">
      <c r="A2924" t="s">
        <v>7828</v>
      </c>
      <c r="B2924" t="s">
        <v>97</v>
      </c>
      <c r="C2924" t="s">
        <v>7829</v>
      </c>
      <c r="D2924" t="s">
        <v>446</v>
      </c>
      <c r="E2924" t="s">
        <v>96</v>
      </c>
      <c r="F2924">
        <v>24.99</v>
      </c>
      <c r="G2924" t="s">
        <v>7032</v>
      </c>
      <c r="H2924">
        <v>0</v>
      </c>
      <c r="M2924">
        <v>0</v>
      </c>
      <c r="N2924">
        <v>0</v>
      </c>
      <c r="O2924">
        <v>0</v>
      </c>
      <c r="P2924">
        <v>0</v>
      </c>
    </row>
    <row r="2925" spans="1:16" x14ac:dyDescent="0.2">
      <c r="A2925" t="s">
        <v>1968</v>
      </c>
      <c r="B2925" t="s">
        <v>97</v>
      </c>
      <c r="C2925" t="s">
        <v>1969</v>
      </c>
      <c r="D2925" t="s">
        <v>1897</v>
      </c>
      <c r="E2925" t="s">
        <v>96</v>
      </c>
      <c r="F2925">
        <v>79.989999999999995</v>
      </c>
      <c r="G2925" t="s">
        <v>7032</v>
      </c>
      <c r="H2925">
        <v>0</v>
      </c>
      <c r="M2925">
        <v>0</v>
      </c>
      <c r="N2925">
        <v>0</v>
      </c>
      <c r="O2925">
        <v>0</v>
      </c>
      <c r="P2925">
        <v>0</v>
      </c>
    </row>
    <row r="2926" spans="1:16" x14ac:dyDescent="0.2">
      <c r="A2926" t="s">
        <v>3831</v>
      </c>
      <c r="B2926" t="s">
        <v>97</v>
      </c>
      <c r="C2926" t="s">
        <v>3832</v>
      </c>
      <c r="D2926" t="s">
        <v>1897</v>
      </c>
      <c r="E2926" t="s">
        <v>96</v>
      </c>
      <c r="F2926">
        <v>49.99</v>
      </c>
      <c r="G2926" t="s">
        <v>7032</v>
      </c>
      <c r="H2926">
        <v>0</v>
      </c>
      <c r="M2926">
        <v>0</v>
      </c>
      <c r="N2926">
        <v>0</v>
      </c>
      <c r="O2926">
        <v>0</v>
      </c>
      <c r="P2926">
        <v>1</v>
      </c>
    </row>
    <row r="2927" spans="1:16" x14ac:dyDescent="0.2">
      <c r="A2927" t="s">
        <v>1970</v>
      </c>
      <c r="B2927" t="s">
        <v>97</v>
      </c>
      <c r="C2927" t="s">
        <v>1971</v>
      </c>
      <c r="D2927" t="s">
        <v>1897</v>
      </c>
      <c r="E2927" t="s">
        <v>290</v>
      </c>
      <c r="F2927">
        <v>29.99</v>
      </c>
      <c r="G2927" t="s">
        <v>7032</v>
      </c>
      <c r="H2927">
        <v>0</v>
      </c>
      <c r="M2927">
        <v>0</v>
      </c>
      <c r="N2927">
        <v>0</v>
      </c>
      <c r="O2927">
        <v>0</v>
      </c>
      <c r="P2927">
        <v>0</v>
      </c>
    </row>
    <row r="2928" spans="1:16" x14ac:dyDescent="0.2">
      <c r="A2928" t="s">
        <v>4872</v>
      </c>
      <c r="B2928" t="s">
        <v>97</v>
      </c>
      <c r="C2928" t="s">
        <v>4873</v>
      </c>
      <c r="D2928" t="s">
        <v>446</v>
      </c>
      <c r="E2928" t="s">
        <v>96</v>
      </c>
      <c r="F2928">
        <v>29.99</v>
      </c>
      <c r="G2928" t="s">
        <v>7032</v>
      </c>
      <c r="H2928">
        <v>3.9872408293460925E-4</v>
      </c>
      <c r="M2928">
        <v>0</v>
      </c>
      <c r="N2928">
        <v>0</v>
      </c>
      <c r="O2928">
        <v>0</v>
      </c>
      <c r="P2928">
        <v>418</v>
      </c>
    </row>
    <row r="2929" spans="1:16" x14ac:dyDescent="0.2">
      <c r="A2929" t="s">
        <v>4866</v>
      </c>
      <c r="B2929" t="s">
        <v>97</v>
      </c>
      <c r="C2929" t="s">
        <v>4867</v>
      </c>
      <c r="D2929" t="s">
        <v>446</v>
      </c>
      <c r="E2929" t="s">
        <v>96</v>
      </c>
      <c r="F2929">
        <v>29.99</v>
      </c>
      <c r="G2929" t="s">
        <v>7032</v>
      </c>
      <c r="H2929">
        <v>0</v>
      </c>
      <c r="M2929">
        <v>0</v>
      </c>
      <c r="N2929">
        <v>0</v>
      </c>
      <c r="O2929">
        <v>0</v>
      </c>
      <c r="P2929">
        <v>436</v>
      </c>
    </row>
    <row r="2930" spans="1:16" x14ac:dyDescent="0.2">
      <c r="A2930" t="s">
        <v>5790</v>
      </c>
      <c r="B2930" t="s">
        <v>97</v>
      </c>
      <c r="C2930" t="s">
        <v>5791</v>
      </c>
      <c r="D2930" t="s">
        <v>2131</v>
      </c>
      <c r="E2930" t="s">
        <v>96</v>
      </c>
      <c r="F2930">
        <v>29.99</v>
      </c>
      <c r="G2930" t="s">
        <v>7032</v>
      </c>
      <c r="H2930">
        <v>0</v>
      </c>
      <c r="M2930">
        <v>0</v>
      </c>
      <c r="N2930">
        <v>0</v>
      </c>
      <c r="O2930">
        <v>0</v>
      </c>
      <c r="P2930">
        <v>0</v>
      </c>
    </row>
    <row r="2931" spans="1:16" x14ac:dyDescent="0.2">
      <c r="A2931" t="s">
        <v>4870</v>
      </c>
      <c r="B2931" t="s">
        <v>97</v>
      </c>
      <c r="C2931" t="s">
        <v>4871</v>
      </c>
      <c r="D2931" t="s">
        <v>446</v>
      </c>
      <c r="E2931" t="s">
        <v>96</v>
      </c>
      <c r="F2931">
        <v>29.99</v>
      </c>
      <c r="G2931" t="s">
        <v>7032</v>
      </c>
      <c r="H2931">
        <v>0</v>
      </c>
      <c r="M2931">
        <v>0</v>
      </c>
      <c r="N2931">
        <v>0</v>
      </c>
      <c r="O2931">
        <v>0</v>
      </c>
      <c r="P2931">
        <v>317</v>
      </c>
    </row>
    <row r="2932" spans="1:16" x14ac:dyDescent="0.2">
      <c r="A2932" t="s">
        <v>2152</v>
      </c>
      <c r="B2932" t="s">
        <v>97</v>
      </c>
      <c r="C2932" t="s">
        <v>2153</v>
      </c>
      <c r="D2932" t="s">
        <v>2146</v>
      </c>
      <c r="E2932" t="s">
        <v>228</v>
      </c>
      <c r="F2932">
        <v>169.99</v>
      </c>
      <c r="G2932" t="s">
        <v>7032</v>
      </c>
      <c r="H2932">
        <v>0</v>
      </c>
      <c r="M2932">
        <v>0</v>
      </c>
      <c r="N2932">
        <v>0</v>
      </c>
      <c r="O2932">
        <v>0</v>
      </c>
      <c r="P2932">
        <v>0</v>
      </c>
    </row>
    <row r="2933" spans="1:16" x14ac:dyDescent="0.2">
      <c r="A2933" t="s">
        <v>4876</v>
      </c>
      <c r="B2933" t="s">
        <v>97</v>
      </c>
      <c r="C2933" t="s">
        <v>4877</v>
      </c>
      <c r="D2933" t="s">
        <v>446</v>
      </c>
      <c r="E2933" t="s">
        <v>96</v>
      </c>
      <c r="F2933">
        <v>24.99</v>
      </c>
      <c r="G2933" t="s">
        <v>7032</v>
      </c>
      <c r="H2933">
        <v>4.5662100456620998E-4</v>
      </c>
      <c r="M2933">
        <v>1094.9999999999998</v>
      </c>
      <c r="N2933">
        <v>0.33333333333333337</v>
      </c>
      <c r="O2933">
        <v>0</v>
      </c>
      <c r="P2933">
        <v>365</v>
      </c>
    </row>
    <row r="2934" spans="1:16" x14ac:dyDescent="0.2">
      <c r="A2934" t="s">
        <v>4868</v>
      </c>
      <c r="B2934" t="s">
        <v>97</v>
      </c>
      <c r="C2934" t="s">
        <v>4869</v>
      </c>
      <c r="D2934" t="s">
        <v>446</v>
      </c>
      <c r="E2934" t="s">
        <v>290</v>
      </c>
      <c r="F2934">
        <v>29.99</v>
      </c>
      <c r="G2934" t="s">
        <v>7032</v>
      </c>
      <c r="H2934">
        <v>1.9984012789768185E-4</v>
      </c>
      <c r="M2934">
        <v>2502</v>
      </c>
      <c r="N2934">
        <v>0.16666666666666666</v>
      </c>
      <c r="O2934">
        <v>0</v>
      </c>
      <c r="P2934">
        <v>417</v>
      </c>
    </row>
    <row r="2935" spans="1:16" x14ac:dyDescent="0.2">
      <c r="A2935" t="s">
        <v>3735</v>
      </c>
      <c r="B2935" t="s">
        <v>97</v>
      </c>
      <c r="C2935" t="s">
        <v>3736</v>
      </c>
      <c r="D2935" t="s">
        <v>1897</v>
      </c>
      <c r="E2935" t="s">
        <v>96</v>
      </c>
      <c r="F2935">
        <v>59.99</v>
      </c>
      <c r="G2935" t="s">
        <v>7032</v>
      </c>
      <c r="H2935">
        <v>0</v>
      </c>
      <c r="M2935">
        <v>0</v>
      </c>
      <c r="N2935">
        <v>0</v>
      </c>
      <c r="O2935">
        <v>0</v>
      </c>
      <c r="P2935">
        <v>0</v>
      </c>
    </row>
    <row r="2936" spans="1:16" x14ac:dyDescent="0.2">
      <c r="A2936" t="s">
        <v>3993</v>
      </c>
      <c r="B2936" t="s">
        <v>97</v>
      </c>
      <c r="C2936" t="s">
        <v>3994</v>
      </c>
      <c r="D2936" t="s">
        <v>1897</v>
      </c>
      <c r="E2936" t="s">
        <v>96</v>
      </c>
      <c r="F2936">
        <v>44.99</v>
      </c>
      <c r="G2936" t="s">
        <v>7032</v>
      </c>
      <c r="H2936">
        <v>0</v>
      </c>
      <c r="M2936">
        <v>0</v>
      </c>
      <c r="N2936">
        <v>0</v>
      </c>
      <c r="O2936">
        <v>0</v>
      </c>
      <c r="P2936">
        <v>0</v>
      </c>
    </row>
    <row r="2937" spans="1:16" x14ac:dyDescent="0.2">
      <c r="A2937" t="s">
        <v>3973</v>
      </c>
      <c r="B2937" t="s">
        <v>97</v>
      </c>
      <c r="C2937" t="s">
        <v>3974</v>
      </c>
      <c r="D2937" t="s">
        <v>1897</v>
      </c>
      <c r="E2937" t="s">
        <v>96</v>
      </c>
      <c r="F2937">
        <v>109.99</v>
      </c>
      <c r="G2937" t="s">
        <v>7032</v>
      </c>
      <c r="H2937">
        <v>0</v>
      </c>
      <c r="M2937">
        <v>0</v>
      </c>
      <c r="N2937">
        <v>0</v>
      </c>
      <c r="O2937">
        <v>0</v>
      </c>
      <c r="P2937">
        <v>0</v>
      </c>
    </row>
    <row r="2938" spans="1:16" x14ac:dyDescent="0.2">
      <c r="A2938" t="s">
        <v>1966</v>
      </c>
      <c r="B2938" t="s">
        <v>97</v>
      </c>
      <c r="C2938" t="s">
        <v>1967</v>
      </c>
      <c r="D2938" t="s">
        <v>1897</v>
      </c>
      <c r="E2938" t="s">
        <v>96</v>
      </c>
      <c r="F2938">
        <v>139.99</v>
      </c>
      <c r="G2938" t="s">
        <v>7032</v>
      </c>
      <c r="H2938">
        <v>0</v>
      </c>
      <c r="M2938">
        <v>0</v>
      </c>
      <c r="N2938">
        <v>0</v>
      </c>
      <c r="O2938">
        <v>0</v>
      </c>
      <c r="P2938">
        <v>1</v>
      </c>
    </row>
    <row r="2939" spans="1:16" x14ac:dyDescent="0.2">
      <c r="A2939" t="s">
        <v>3990</v>
      </c>
      <c r="B2939" t="s">
        <v>97</v>
      </c>
      <c r="C2939" t="s">
        <v>3991</v>
      </c>
      <c r="D2939" t="s">
        <v>1897</v>
      </c>
      <c r="E2939" t="s">
        <v>96</v>
      </c>
      <c r="F2939">
        <v>109.99</v>
      </c>
      <c r="G2939" t="s">
        <v>7032</v>
      </c>
      <c r="H2939">
        <v>0</v>
      </c>
      <c r="M2939">
        <v>0</v>
      </c>
      <c r="N2939">
        <v>0</v>
      </c>
      <c r="O2939">
        <v>0</v>
      </c>
      <c r="P2939">
        <v>1</v>
      </c>
    </row>
    <row r="2940" spans="1:16" x14ac:dyDescent="0.2">
      <c r="A2940" t="s">
        <v>3960</v>
      </c>
      <c r="B2940" t="s">
        <v>97</v>
      </c>
      <c r="C2940" t="s">
        <v>3961</v>
      </c>
      <c r="D2940" t="s">
        <v>1897</v>
      </c>
      <c r="E2940" t="s">
        <v>96</v>
      </c>
      <c r="F2940">
        <v>79.989999999999995</v>
      </c>
      <c r="G2940" t="s">
        <v>7032</v>
      </c>
      <c r="H2940">
        <v>0</v>
      </c>
      <c r="M2940">
        <v>0</v>
      </c>
      <c r="N2940">
        <v>0</v>
      </c>
      <c r="O2940">
        <v>0</v>
      </c>
      <c r="P2940">
        <v>0</v>
      </c>
    </row>
    <row r="2941" spans="1:16" x14ac:dyDescent="0.2">
      <c r="A2941" t="s">
        <v>1964</v>
      </c>
      <c r="B2941" t="s">
        <v>97</v>
      </c>
      <c r="C2941" t="s">
        <v>1965</v>
      </c>
      <c r="D2941" t="s">
        <v>1897</v>
      </c>
      <c r="E2941" t="s">
        <v>96</v>
      </c>
      <c r="F2941">
        <v>54.99</v>
      </c>
      <c r="G2941" t="s">
        <v>7032</v>
      </c>
      <c r="H2941">
        <v>0</v>
      </c>
      <c r="M2941">
        <v>0</v>
      </c>
      <c r="N2941">
        <v>0</v>
      </c>
      <c r="O2941">
        <v>0</v>
      </c>
      <c r="P2941">
        <v>0</v>
      </c>
    </row>
    <row r="2942" spans="1:16" x14ac:dyDescent="0.2">
      <c r="A2942" t="s">
        <v>3781</v>
      </c>
      <c r="B2942" t="s">
        <v>97</v>
      </c>
      <c r="C2942" t="s">
        <v>3782</v>
      </c>
      <c r="D2942" t="s">
        <v>1897</v>
      </c>
      <c r="E2942" t="s">
        <v>96</v>
      </c>
      <c r="F2942">
        <v>149.99</v>
      </c>
      <c r="G2942" t="s">
        <v>7032</v>
      </c>
      <c r="H2942">
        <v>0</v>
      </c>
      <c r="M2942">
        <v>0</v>
      </c>
      <c r="N2942">
        <v>0</v>
      </c>
      <c r="O2942">
        <v>0</v>
      </c>
      <c r="P2942">
        <v>0</v>
      </c>
    </row>
    <row r="2943" spans="1:16" x14ac:dyDescent="0.2">
      <c r="A2943" t="s">
        <v>7830</v>
      </c>
      <c r="B2943" t="s">
        <v>97</v>
      </c>
      <c r="C2943" t="s">
        <v>7831</v>
      </c>
      <c r="D2943" t="s">
        <v>446</v>
      </c>
      <c r="E2943" t="s">
        <v>96</v>
      </c>
      <c r="F2943">
        <v>99.99</v>
      </c>
      <c r="G2943" t="s">
        <v>7032</v>
      </c>
      <c r="H2943">
        <v>0</v>
      </c>
      <c r="M2943">
        <v>0</v>
      </c>
      <c r="N2943">
        <v>0</v>
      </c>
      <c r="O2943">
        <v>0</v>
      </c>
      <c r="P2943">
        <v>0</v>
      </c>
    </row>
    <row r="2944" spans="1:16" x14ac:dyDescent="0.2">
      <c r="A2944" t="s">
        <v>7252</v>
      </c>
      <c r="B2944" t="s">
        <v>97</v>
      </c>
      <c r="C2944" t="s">
        <v>7254</v>
      </c>
      <c r="D2944" t="s">
        <v>1897</v>
      </c>
      <c r="E2944" t="s">
        <v>96</v>
      </c>
      <c r="F2944">
        <v>64.989999999999995</v>
      </c>
      <c r="G2944" t="s">
        <v>7032</v>
      </c>
      <c r="H2944">
        <v>0</v>
      </c>
      <c r="M2944">
        <v>0</v>
      </c>
      <c r="N2944">
        <v>0</v>
      </c>
      <c r="O2944">
        <v>0</v>
      </c>
      <c r="P2944">
        <v>0</v>
      </c>
    </row>
    <row r="2945" spans="1:16" x14ac:dyDescent="0.2">
      <c r="A2945" t="s">
        <v>4093</v>
      </c>
      <c r="B2945" t="s">
        <v>97</v>
      </c>
      <c r="C2945" t="s">
        <v>4094</v>
      </c>
      <c r="D2945" t="s">
        <v>1897</v>
      </c>
      <c r="E2945" t="s">
        <v>96</v>
      </c>
      <c r="F2945">
        <v>69.989999999999995</v>
      </c>
      <c r="G2945" t="s">
        <v>7032</v>
      </c>
      <c r="H2945">
        <v>0</v>
      </c>
      <c r="M2945">
        <v>0</v>
      </c>
      <c r="N2945">
        <v>0</v>
      </c>
      <c r="O2945">
        <v>0</v>
      </c>
      <c r="P2945">
        <v>0</v>
      </c>
    </row>
    <row r="2946" spans="1:16" x14ac:dyDescent="0.2">
      <c r="A2946" t="s">
        <v>4081</v>
      </c>
      <c r="B2946" t="s">
        <v>97</v>
      </c>
      <c r="C2946" t="s">
        <v>4082</v>
      </c>
      <c r="D2946" t="s">
        <v>1897</v>
      </c>
      <c r="E2946" t="s">
        <v>96</v>
      </c>
      <c r="F2946">
        <v>69.989999999999995</v>
      </c>
      <c r="G2946" t="s">
        <v>7032</v>
      </c>
      <c r="H2946">
        <v>0</v>
      </c>
      <c r="M2946">
        <v>0</v>
      </c>
      <c r="N2946">
        <v>0</v>
      </c>
      <c r="O2946">
        <v>0</v>
      </c>
      <c r="P2946">
        <v>0</v>
      </c>
    </row>
    <row r="2947" spans="1:16" x14ac:dyDescent="0.2">
      <c r="A2947" t="s">
        <v>7260</v>
      </c>
      <c r="B2947" t="s">
        <v>97</v>
      </c>
      <c r="C2947" t="s">
        <v>7262</v>
      </c>
      <c r="D2947" t="s">
        <v>1897</v>
      </c>
      <c r="E2947" t="s">
        <v>96</v>
      </c>
      <c r="F2947">
        <v>59.99</v>
      </c>
      <c r="G2947" t="s">
        <v>7032</v>
      </c>
      <c r="H2947">
        <v>0</v>
      </c>
      <c r="M2947">
        <v>0</v>
      </c>
      <c r="N2947">
        <v>0</v>
      </c>
      <c r="O2947">
        <v>0</v>
      </c>
      <c r="P2947">
        <v>0</v>
      </c>
    </row>
    <row r="2948" spans="1:16" x14ac:dyDescent="0.2">
      <c r="A2948" t="s">
        <v>7832</v>
      </c>
      <c r="B2948" t="s">
        <v>97</v>
      </c>
      <c r="C2948" t="s">
        <v>7833</v>
      </c>
      <c r="D2948" t="s">
        <v>446</v>
      </c>
      <c r="E2948" t="s">
        <v>96</v>
      </c>
      <c r="F2948">
        <v>39.99</v>
      </c>
      <c r="G2948" t="s">
        <v>7032</v>
      </c>
      <c r="H2948">
        <v>0</v>
      </c>
      <c r="M2948">
        <v>0</v>
      </c>
      <c r="N2948">
        <v>0</v>
      </c>
      <c r="O2948">
        <v>0</v>
      </c>
      <c r="P2948">
        <v>0</v>
      </c>
    </row>
    <row r="2949" spans="1:16" x14ac:dyDescent="0.2">
      <c r="A2949" t="s">
        <v>2182</v>
      </c>
      <c r="B2949" t="s">
        <v>97</v>
      </c>
      <c r="C2949" t="s">
        <v>2183</v>
      </c>
      <c r="D2949" t="s">
        <v>2146</v>
      </c>
      <c r="E2949" t="s">
        <v>290</v>
      </c>
      <c r="F2949">
        <v>109.99</v>
      </c>
      <c r="G2949" t="s">
        <v>7032</v>
      </c>
      <c r="H2949">
        <v>0</v>
      </c>
      <c r="M2949">
        <v>0</v>
      </c>
      <c r="N2949">
        <v>0</v>
      </c>
      <c r="O2949">
        <v>0</v>
      </c>
      <c r="P2949">
        <v>0</v>
      </c>
    </row>
    <row r="2950" spans="1:16" x14ac:dyDescent="0.2">
      <c r="A2950" t="s">
        <v>5028</v>
      </c>
      <c r="B2950" t="s">
        <v>97</v>
      </c>
      <c r="C2950" t="s">
        <v>5029</v>
      </c>
      <c r="D2950" t="s">
        <v>446</v>
      </c>
      <c r="E2950" t="s">
        <v>96</v>
      </c>
      <c r="F2950">
        <v>99.99</v>
      </c>
      <c r="G2950" t="s">
        <v>7032</v>
      </c>
      <c r="H2950">
        <v>0</v>
      </c>
      <c r="M2950">
        <v>0</v>
      </c>
      <c r="N2950">
        <v>0</v>
      </c>
      <c r="O2950">
        <v>0</v>
      </c>
      <c r="P2950">
        <v>0</v>
      </c>
    </row>
    <row r="2951" spans="1:16" x14ac:dyDescent="0.2">
      <c r="A2951" t="s">
        <v>509</v>
      </c>
      <c r="B2951" t="s">
        <v>97</v>
      </c>
      <c r="C2951" t="s">
        <v>510</v>
      </c>
      <c r="D2951" t="s">
        <v>446</v>
      </c>
      <c r="E2951" t="s">
        <v>228</v>
      </c>
      <c r="F2951">
        <v>19.989999999999998</v>
      </c>
      <c r="G2951" t="s">
        <v>7032</v>
      </c>
      <c r="H2951">
        <v>0</v>
      </c>
      <c r="M2951">
        <v>0</v>
      </c>
      <c r="N2951">
        <v>0</v>
      </c>
      <c r="O2951">
        <v>0</v>
      </c>
      <c r="P2951">
        <v>12</v>
      </c>
    </row>
    <row r="2952" spans="1:16" x14ac:dyDescent="0.2">
      <c r="A2952" t="s">
        <v>5780</v>
      </c>
      <c r="B2952" t="s">
        <v>97</v>
      </c>
      <c r="C2952" t="s">
        <v>5781</v>
      </c>
      <c r="D2952" t="s">
        <v>4463</v>
      </c>
      <c r="E2952" t="s">
        <v>96</v>
      </c>
      <c r="F2952">
        <v>19.989999999999998</v>
      </c>
      <c r="G2952" t="s">
        <v>7032</v>
      </c>
      <c r="H2952">
        <v>0</v>
      </c>
      <c r="M2952">
        <v>0</v>
      </c>
      <c r="N2952">
        <v>0</v>
      </c>
      <c r="O2952">
        <v>0</v>
      </c>
      <c r="P2952">
        <v>0</v>
      </c>
    </row>
    <row r="2953" spans="1:16" x14ac:dyDescent="0.2">
      <c r="A2953" t="s">
        <v>962</v>
      </c>
      <c r="B2953" t="s">
        <v>97</v>
      </c>
      <c r="C2953" t="s">
        <v>963</v>
      </c>
      <c r="D2953" t="s">
        <v>446</v>
      </c>
      <c r="E2953" t="s">
        <v>228</v>
      </c>
      <c r="F2953">
        <v>14.99</v>
      </c>
      <c r="G2953" t="s">
        <v>7032</v>
      </c>
      <c r="H2953">
        <v>0</v>
      </c>
      <c r="M2953">
        <v>0</v>
      </c>
      <c r="N2953">
        <v>0</v>
      </c>
      <c r="O2953">
        <v>0</v>
      </c>
      <c r="P2953">
        <v>0</v>
      </c>
    </row>
    <row r="2954" spans="1:16" x14ac:dyDescent="0.2">
      <c r="A2954" t="s">
        <v>5777</v>
      </c>
      <c r="B2954" t="s">
        <v>97</v>
      </c>
      <c r="C2954" t="s">
        <v>5778</v>
      </c>
      <c r="D2954" t="s">
        <v>4463</v>
      </c>
      <c r="E2954" t="s">
        <v>96</v>
      </c>
      <c r="F2954">
        <v>19.989999999999998</v>
      </c>
      <c r="G2954" t="s">
        <v>7032</v>
      </c>
      <c r="H2954">
        <v>0</v>
      </c>
      <c r="M2954">
        <v>0</v>
      </c>
      <c r="N2954">
        <v>0</v>
      </c>
      <c r="O2954">
        <v>0</v>
      </c>
      <c r="P2954">
        <v>0</v>
      </c>
    </row>
    <row r="2955" spans="1:16" x14ac:dyDescent="0.2">
      <c r="A2955" t="s">
        <v>5719</v>
      </c>
      <c r="B2955" t="s">
        <v>97</v>
      </c>
      <c r="C2955" t="s">
        <v>5720</v>
      </c>
      <c r="D2955" t="s">
        <v>4463</v>
      </c>
      <c r="E2955" t="s">
        <v>96</v>
      </c>
      <c r="F2955">
        <v>59.99</v>
      </c>
      <c r="G2955" t="s">
        <v>7032</v>
      </c>
      <c r="H2955">
        <v>0</v>
      </c>
      <c r="M2955">
        <v>0</v>
      </c>
      <c r="N2955">
        <v>0</v>
      </c>
      <c r="O2955">
        <v>0</v>
      </c>
      <c r="P2955">
        <v>0</v>
      </c>
    </row>
    <row r="2956" spans="1:16" x14ac:dyDescent="0.2">
      <c r="A2956" t="s">
        <v>956</v>
      </c>
      <c r="B2956" t="s">
        <v>97</v>
      </c>
      <c r="C2956" t="s">
        <v>957</v>
      </c>
      <c r="D2956" t="s">
        <v>446</v>
      </c>
      <c r="E2956" t="s">
        <v>228</v>
      </c>
      <c r="F2956">
        <v>29.99</v>
      </c>
      <c r="G2956" t="s">
        <v>7032</v>
      </c>
      <c r="H2956">
        <v>0</v>
      </c>
      <c r="M2956">
        <v>0</v>
      </c>
      <c r="N2956">
        <v>0</v>
      </c>
      <c r="O2956">
        <v>0</v>
      </c>
      <c r="P2956">
        <v>0</v>
      </c>
    </row>
    <row r="2957" spans="1:16" x14ac:dyDescent="0.2">
      <c r="A2957" t="s">
        <v>5327</v>
      </c>
      <c r="B2957" t="s">
        <v>97</v>
      </c>
      <c r="C2957" t="s">
        <v>5328</v>
      </c>
      <c r="D2957" t="s">
        <v>4463</v>
      </c>
      <c r="E2957" t="s">
        <v>290</v>
      </c>
      <c r="F2957">
        <v>19.989999999999998</v>
      </c>
      <c r="G2957" t="s">
        <v>7032</v>
      </c>
      <c r="H2957">
        <v>0</v>
      </c>
      <c r="M2957">
        <v>0</v>
      </c>
      <c r="N2957">
        <v>0</v>
      </c>
      <c r="O2957">
        <v>0</v>
      </c>
      <c r="P2957">
        <v>0</v>
      </c>
    </row>
    <row r="2958" spans="1:16" x14ac:dyDescent="0.2">
      <c r="A2958" t="s">
        <v>952</v>
      </c>
      <c r="B2958" t="s">
        <v>97</v>
      </c>
      <c r="C2958" t="s">
        <v>953</v>
      </c>
      <c r="D2958" t="s">
        <v>446</v>
      </c>
      <c r="E2958" t="s">
        <v>228</v>
      </c>
      <c r="F2958">
        <v>59.99</v>
      </c>
      <c r="G2958" t="s">
        <v>7032</v>
      </c>
      <c r="H2958">
        <v>0</v>
      </c>
      <c r="M2958">
        <v>0</v>
      </c>
      <c r="N2958">
        <v>0</v>
      </c>
      <c r="O2958">
        <v>0</v>
      </c>
      <c r="P2958">
        <v>0</v>
      </c>
    </row>
    <row r="2959" spans="1:16" x14ac:dyDescent="0.2">
      <c r="A2959" t="s">
        <v>5331</v>
      </c>
      <c r="B2959" t="s">
        <v>97</v>
      </c>
      <c r="C2959" t="s">
        <v>5332</v>
      </c>
      <c r="D2959" t="s">
        <v>4463</v>
      </c>
      <c r="E2959" t="s">
        <v>96</v>
      </c>
      <c r="F2959">
        <v>19.989999999999998</v>
      </c>
      <c r="G2959" t="s">
        <v>7032</v>
      </c>
      <c r="H2959">
        <v>0</v>
      </c>
      <c r="M2959">
        <v>0</v>
      </c>
      <c r="N2959">
        <v>0</v>
      </c>
      <c r="O2959">
        <v>0</v>
      </c>
      <c r="P2959">
        <v>0</v>
      </c>
    </row>
    <row r="2960" spans="1:16" x14ac:dyDescent="0.2">
      <c r="A2960" t="s">
        <v>950</v>
      </c>
      <c r="B2960" t="s">
        <v>97</v>
      </c>
      <c r="C2960" t="s">
        <v>951</v>
      </c>
      <c r="D2960" t="s">
        <v>446</v>
      </c>
      <c r="E2960" t="s">
        <v>228</v>
      </c>
      <c r="F2960">
        <v>49.99</v>
      </c>
      <c r="G2960" t="s">
        <v>7032</v>
      </c>
      <c r="H2960">
        <v>0</v>
      </c>
      <c r="M2960">
        <v>0</v>
      </c>
      <c r="N2960">
        <v>0</v>
      </c>
      <c r="O2960">
        <v>0</v>
      </c>
      <c r="P2960">
        <v>0</v>
      </c>
    </row>
    <row r="2961" spans="1:16" x14ac:dyDescent="0.2">
      <c r="A2961" t="s">
        <v>4585</v>
      </c>
      <c r="B2961" t="s">
        <v>97</v>
      </c>
      <c r="C2961" t="s">
        <v>4586</v>
      </c>
      <c r="D2961" t="s">
        <v>4463</v>
      </c>
      <c r="E2961" t="s">
        <v>96</v>
      </c>
      <c r="F2961">
        <v>19.989999999999998</v>
      </c>
      <c r="G2961" t="s">
        <v>7032</v>
      </c>
      <c r="H2961">
        <v>0</v>
      </c>
      <c r="M2961">
        <v>0</v>
      </c>
      <c r="N2961">
        <v>0</v>
      </c>
      <c r="O2961">
        <v>0</v>
      </c>
      <c r="P2961">
        <v>1</v>
      </c>
    </row>
    <row r="2962" spans="1:16" x14ac:dyDescent="0.2">
      <c r="A2962" t="s">
        <v>5016</v>
      </c>
      <c r="B2962" t="s">
        <v>97</v>
      </c>
      <c r="C2962" t="s">
        <v>5017</v>
      </c>
      <c r="D2962" t="s">
        <v>446</v>
      </c>
      <c r="E2962" t="s">
        <v>96</v>
      </c>
      <c r="F2962">
        <v>49.99</v>
      </c>
      <c r="G2962" t="s">
        <v>7032</v>
      </c>
      <c r="H2962">
        <v>0</v>
      </c>
      <c r="M2962">
        <v>0</v>
      </c>
      <c r="N2962">
        <v>0</v>
      </c>
      <c r="O2962">
        <v>0</v>
      </c>
      <c r="P2962">
        <v>0</v>
      </c>
    </row>
    <row r="2963" spans="1:16" x14ac:dyDescent="0.2">
      <c r="A2963" t="s">
        <v>5207</v>
      </c>
      <c r="B2963" t="s">
        <v>97</v>
      </c>
      <c r="C2963" t="s">
        <v>5208</v>
      </c>
      <c r="D2963" t="s">
        <v>4463</v>
      </c>
      <c r="E2963" t="s">
        <v>96</v>
      </c>
      <c r="F2963">
        <v>9.99</v>
      </c>
      <c r="G2963" t="s">
        <v>7032</v>
      </c>
      <c r="H2963">
        <v>0</v>
      </c>
      <c r="M2963">
        <v>0</v>
      </c>
      <c r="N2963">
        <v>0</v>
      </c>
      <c r="O2963">
        <v>0</v>
      </c>
      <c r="P2963">
        <v>0</v>
      </c>
    </row>
    <row r="2964" spans="1:16" x14ac:dyDescent="0.2">
      <c r="A2964" t="s">
        <v>5203</v>
      </c>
      <c r="B2964" t="s">
        <v>97</v>
      </c>
      <c r="C2964" t="s">
        <v>5204</v>
      </c>
      <c r="D2964" t="s">
        <v>4463</v>
      </c>
      <c r="E2964" t="s">
        <v>96</v>
      </c>
      <c r="F2964">
        <v>37.99</v>
      </c>
      <c r="G2964" t="s">
        <v>7032</v>
      </c>
      <c r="H2964">
        <v>0</v>
      </c>
      <c r="M2964">
        <v>0</v>
      </c>
      <c r="N2964">
        <v>0</v>
      </c>
      <c r="O2964">
        <v>0</v>
      </c>
      <c r="P2964">
        <v>0</v>
      </c>
    </row>
    <row r="2965" spans="1:16" x14ac:dyDescent="0.2">
      <c r="A2965" t="s">
        <v>5014</v>
      </c>
      <c r="B2965" t="s">
        <v>97</v>
      </c>
      <c r="C2965" t="s">
        <v>5015</v>
      </c>
      <c r="D2965" t="s">
        <v>446</v>
      </c>
      <c r="E2965" t="s">
        <v>96</v>
      </c>
      <c r="F2965">
        <v>49.99</v>
      </c>
      <c r="G2965" t="s">
        <v>7032</v>
      </c>
      <c r="H2965">
        <v>0</v>
      </c>
      <c r="M2965">
        <v>0</v>
      </c>
      <c r="N2965">
        <v>0</v>
      </c>
      <c r="O2965">
        <v>0</v>
      </c>
      <c r="P2965">
        <v>1</v>
      </c>
    </row>
    <row r="2966" spans="1:16" x14ac:dyDescent="0.2">
      <c r="A2966" t="s">
        <v>4402</v>
      </c>
      <c r="B2966" t="s">
        <v>97</v>
      </c>
      <c r="C2966" t="s">
        <v>4403</v>
      </c>
      <c r="D2966" t="s">
        <v>1012</v>
      </c>
      <c r="E2966" t="s">
        <v>96</v>
      </c>
      <c r="F2966">
        <v>94.99</v>
      </c>
      <c r="G2966" t="s">
        <v>7032</v>
      </c>
      <c r="H2966">
        <v>0</v>
      </c>
      <c r="M2966">
        <v>0</v>
      </c>
      <c r="N2966">
        <v>0</v>
      </c>
      <c r="O2966">
        <v>0</v>
      </c>
      <c r="P2966">
        <v>0</v>
      </c>
    </row>
    <row r="2967" spans="1:16" x14ac:dyDescent="0.2">
      <c r="A2967" t="s">
        <v>4184</v>
      </c>
      <c r="B2967" t="s">
        <v>97</v>
      </c>
      <c r="C2967" t="s">
        <v>4185</v>
      </c>
      <c r="D2967" t="s">
        <v>1897</v>
      </c>
      <c r="E2967" t="s">
        <v>96</v>
      </c>
      <c r="F2967">
        <v>99.99</v>
      </c>
      <c r="G2967" t="s">
        <v>7032</v>
      </c>
      <c r="H2967">
        <v>0</v>
      </c>
      <c r="M2967">
        <v>0</v>
      </c>
      <c r="N2967">
        <v>0</v>
      </c>
      <c r="O2967">
        <v>0</v>
      </c>
      <c r="P2967">
        <v>0</v>
      </c>
    </row>
    <row r="2968" spans="1:16" x14ac:dyDescent="0.2">
      <c r="A2968" t="s">
        <v>1889</v>
      </c>
      <c r="B2968" t="s">
        <v>97</v>
      </c>
      <c r="C2968" t="s">
        <v>1890</v>
      </c>
      <c r="D2968" t="s">
        <v>1888</v>
      </c>
      <c r="E2968" t="s">
        <v>290</v>
      </c>
      <c r="F2968">
        <v>149.99</v>
      </c>
      <c r="G2968" t="s">
        <v>7032</v>
      </c>
      <c r="H2968">
        <v>0</v>
      </c>
      <c r="M2968">
        <v>0</v>
      </c>
      <c r="N2968">
        <v>0</v>
      </c>
      <c r="O2968">
        <v>0</v>
      </c>
      <c r="P2968">
        <v>0</v>
      </c>
    </row>
    <row r="2969" spans="1:16" x14ac:dyDescent="0.2">
      <c r="A2969" t="s">
        <v>1023</v>
      </c>
      <c r="B2969" t="s">
        <v>97</v>
      </c>
      <c r="C2969" t="s">
        <v>1024</v>
      </c>
      <c r="D2969" t="s">
        <v>1020</v>
      </c>
      <c r="E2969" t="s">
        <v>96</v>
      </c>
      <c r="F2969">
        <v>54.99</v>
      </c>
      <c r="G2969" t="s">
        <v>7032</v>
      </c>
      <c r="H2969">
        <v>0</v>
      </c>
      <c r="M2969">
        <v>0</v>
      </c>
      <c r="N2969">
        <v>0</v>
      </c>
      <c r="O2969">
        <v>0</v>
      </c>
      <c r="P2969">
        <v>0</v>
      </c>
    </row>
    <row r="2970" spans="1:16" x14ac:dyDescent="0.2">
      <c r="A2970" t="s">
        <v>1859</v>
      </c>
      <c r="B2970" t="s">
        <v>97</v>
      </c>
      <c r="C2970" t="s">
        <v>1860</v>
      </c>
      <c r="D2970" t="s">
        <v>1858</v>
      </c>
      <c r="E2970" t="s">
        <v>96</v>
      </c>
      <c r="F2970">
        <v>99.99</v>
      </c>
      <c r="G2970" t="s">
        <v>7032</v>
      </c>
      <c r="H2970">
        <v>0</v>
      </c>
      <c r="M2970">
        <v>0</v>
      </c>
      <c r="N2970">
        <v>0</v>
      </c>
      <c r="O2970">
        <v>0</v>
      </c>
      <c r="P2970">
        <v>0</v>
      </c>
    </row>
    <row r="2971" spans="1:16" x14ac:dyDescent="0.2">
      <c r="A2971" t="s">
        <v>7265</v>
      </c>
      <c r="B2971" t="s">
        <v>97</v>
      </c>
      <c r="C2971" t="s">
        <v>7267</v>
      </c>
      <c r="D2971" t="s">
        <v>1858</v>
      </c>
      <c r="E2971" t="s">
        <v>96</v>
      </c>
      <c r="F2971">
        <v>99.99</v>
      </c>
      <c r="G2971" t="s">
        <v>7032</v>
      </c>
      <c r="H2971">
        <v>0</v>
      </c>
      <c r="M2971">
        <v>0</v>
      </c>
      <c r="N2971">
        <v>0</v>
      </c>
      <c r="O2971">
        <v>0</v>
      </c>
      <c r="P2971">
        <v>0</v>
      </c>
    </row>
    <row r="2972" spans="1:16" x14ac:dyDescent="0.2">
      <c r="A2972" t="s">
        <v>1861</v>
      </c>
      <c r="B2972" t="s">
        <v>97</v>
      </c>
      <c r="C2972" t="s">
        <v>1862</v>
      </c>
      <c r="D2972" t="s">
        <v>1858</v>
      </c>
      <c r="E2972" t="s">
        <v>96</v>
      </c>
      <c r="F2972">
        <v>69.989999999999995</v>
      </c>
      <c r="G2972" t="s">
        <v>7032</v>
      </c>
      <c r="H2972">
        <v>0</v>
      </c>
      <c r="M2972">
        <v>0</v>
      </c>
      <c r="N2972">
        <v>0</v>
      </c>
      <c r="O2972">
        <v>0</v>
      </c>
      <c r="P2972">
        <v>0</v>
      </c>
    </row>
    <row r="2973" spans="1:16" x14ac:dyDescent="0.2">
      <c r="A2973" t="s">
        <v>511</v>
      </c>
      <c r="B2973" t="s">
        <v>97</v>
      </c>
      <c r="C2973" t="s">
        <v>512</v>
      </c>
      <c r="D2973" t="s">
        <v>446</v>
      </c>
      <c r="E2973" t="s">
        <v>228</v>
      </c>
      <c r="F2973">
        <v>29.99</v>
      </c>
      <c r="G2973" t="s">
        <v>7032</v>
      </c>
      <c r="H2973">
        <v>0</v>
      </c>
      <c r="M2973">
        <v>0</v>
      </c>
      <c r="N2973">
        <v>0</v>
      </c>
      <c r="O2973">
        <v>0</v>
      </c>
      <c r="P2973">
        <v>1</v>
      </c>
    </row>
    <row r="2974" spans="1:16" x14ac:dyDescent="0.2">
      <c r="A2974" t="s">
        <v>1893</v>
      </c>
      <c r="B2974" t="s">
        <v>97</v>
      </c>
      <c r="C2974" t="s">
        <v>1894</v>
      </c>
      <c r="D2974" t="s">
        <v>1888</v>
      </c>
      <c r="E2974" t="s">
        <v>228</v>
      </c>
      <c r="F2974">
        <v>149.99</v>
      </c>
      <c r="G2974" t="s">
        <v>7032</v>
      </c>
      <c r="H2974">
        <v>0</v>
      </c>
      <c r="M2974">
        <v>0</v>
      </c>
      <c r="N2974">
        <v>0.16666666666666666</v>
      </c>
      <c r="O2974">
        <v>0</v>
      </c>
      <c r="P2974">
        <v>0</v>
      </c>
    </row>
    <row r="2975" spans="1:16" x14ac:dyDescent="0.2">
      <c r="A2975" t="s">
        <v>1876</v>
      </c>
      <c r="B2975" t="s">
        <v>97</v>
      </c>
      <c r="C2975" t="s">
        <v>1877</v>
      </c>
      <c r="D2975" t="s">
        <v>1863</v>
      </c>
      <c r="E2975" t="s">
        <v>290</v>
      </c>
      <c r="F2975">
        <v>549.99</v>
      </c>
      <c r="G2975" t="s">
        <v>7032</v>
      </c>
      <c r="H2975">
        <v>0</v>
      </c>
      <c r="M2975">
        <v>0</v>
      </c>
      <c r="N2975">
        <v>0</v>
      </c>
      <c r="O2975">
        <v>0</v>
      </c>
      <c r="P2975">
        <v>0</v>
      </c>
    </row>
    <row r="2976" spans="1:16" x14ac:dyDescent="0.2">
      <c r="A2976" t="s">
        <v>1872</v>
      </c>
      <c r="B2976" t="s">
        <v>97</v>
      </c>
      <c r="C2976" t="s">
        <v>1873</v>
      </c>
      <c r="D2976" t="s">
        <v>1863</v>
      </c>
      <c r="E2976" t="s">
        <v>290</v>
      </c>
      <c r="F2976">
        <v>599.99</v>
      </c>
      <c r="G2976" t="s">
        <v>7032</v>
      </c>
      <c r="H2976">
        <v>0</v>
      </c>
      <c r="N2976">
        <v>0</v>
      </c>
      <c r="O2976">
        <v>0</v>
      </c>
      <c r="P2976">
        <v>-1</v>
      </c>
    </row>
    <row r="2977" spans="1:16" x14ac:dyDescent="0.2">
      <c r="A2977" t="s">
        <v>5766</v>
      </c>
      <c r="B2977" t="s">
        <v>97</v>
      </c>
      <c r="C2977" t="s">
        <v>5767</v>
      </c>
      <c r="D2977" t="s">
        <v>4463</v>
      </c>
      <c r="E2977" t="s">
        <v>290</v>
      </c>
      <c r="F2977">
        <v>34.99</v>
      </c>
      <c r="G2977" t="s">
        <v>7032</v>
      </c>
      <c r="H2977">
        <v>0</v>
      </c>
      <c r="M2977">
        <v>0</v>
      </c>
      <c r="N2977">
        <v>0</v>
      </c>
      <c r="O2977">
        <v>0</v>
      </c>
      <c r="P2977">
        <v>0</v>
      </c>
    </row>
    <row r="2978" spans="1:16" x14ac:dyDescent="0.2">
      <c r="A2978" t="s">
        <v>807</v>
      </c>
      <c r="B2978" t="s">
        <v>97</v>
      </c>
      <c r="C2978" t="s">
        <v>808</v>
      </c>
      <c r="D2978" t="s">
        <v>446</v>
      </c>
      <c r="E2978" t="s">
        <v>228</v>
      </c>
      <c r="F2978">
        <v>19.989999999999998</v>
      </c>
      <c r="G2978" t="s">
        <v>7032</v>
      </c>
      <c r="H2978">
        <v>0</v>
      </c>
      <c r="M2978">
        <v>0</v>
      </c>
      <c r="N2978">
        <v>0.16666666666666666</v>
      </c>
      <c r="O2978">
        <v>0</v>
      </c>
      <c r="P2978">
        <v>0</v>
      </c>
    </row>
    <row r="2979" spans="1:16" x14ac:dyDescent="0.2">
      <c r="A2979" t="s">
        <v>4455</v>
      </c>
      <c r="B2979" t="s">
        <v>97</v>
      </c>
      <c r="C2979" t="s">
        <v>4456</v>
      </c>
      <c r="D2979" t="s">
        <v>1012</v>
      </c>
      <c r="E2979" t="s">
        <v>96</v>
      </c>
      <c r="F2979">
        <v>279.99</v>
      </c>
      <c r="G2979" t="s">
        <v>7032</v>
      </c>
      <c r="H2979">
        <v>0</v>
      </c>
      <c r="M2979">
        <v>0</v>
      </c>
      <c r="N2979">
        <v>0</v>
      </c>
      <c r="O2979">
        <v>0</v>
      </c>
      <c r="P2979">
        <v>0</v>
      </c>
    </row>
    <row r="2980" spans="1:16" x14ac:dyDescent="0.2">
      <c r="A2980" t="s">
        <v>4452</v>
      </c>
      <c r="B2980" t="s">
        <v>97</v>
      </c>
      <c r="C2980" t="s">
        <v>4453</v>
      </c>
      <c r="D2980" t="s">
        <v>1012</v>
      </c>
      <c r="E2980" t="s">
        <v>96</v>
      </c>
      <c r="F2980">
        <v>249.99</v>
      </c>
      <c r="G2980" t="s">
        <v>7032</v>
      </c>
      <c r="H2980">
        <v>0</v>
      </c>
      <c r="M2980">
        <v>0</v>
      </c>
      <c r="N2980">
        <v>0</v>
      </c>
      <c r="O2980">
        <v>0</v>
      </c>
      <c r="P2980">
        <v>0</v>
      </c>
    </row>
    <row r="2981" spans="1:16" x14ac:dyDescent="0.2">
      <c r="A2981" t="s">
        <v>505</v>
      </c>
      <c r="B2981" t="s">
        <v>97</v>
      </c>
      <c r="C2981" t="s">
        <v>506</v>
      </c>
      <c r="D2981" t="s">
        <v>446</v>
      </c>
      <c r="E2981" t="s">
        <v>228</v>
      </c>
      <c r="F2981">
        <v>39.99</v>
      </c>
      <c r="G2981" t="s">
        <v>7032</v>
      </c>
      <c r="H2981">
        <v>0</v>
      </c>
      <c r="M2981">
        <v>0</v>
      </c>
      <c r="N2981">
        <v>0</v>
      </c>
      <c r="O2981">
        <v>0</v>
      </c>
      <c r="P2981">
        <v>0</v>
      </c>
    </row>
    <row r="2982" spans="1:16" x14ac:dyDescent="0.2">
      <c r="A2982" t="s">
        <v>5769</v>
      </c>
      <c r="B2982" t="s">
        <v>97</v>
      </c>
      <c r="C2982" t="s">
        <v>5770</v>
      </c>
      <c r="D2982" t="s">
        <v>4463</v>
      </c>
      <c r="E2982" t="s">
        <v>290</v>
      </c>
      <c r="F2982">
        <v>34.99</v>
      </c>
      <c r="G2982" t="s">
        <v>7032</v>
      </c>
      <c r="H2982">
        <v>0</v>
      </c>
      <c r="M2982">
        <v>0</v>
      </c>
      <c r="N2982">
        <v>0</v>
      </c>
      <c r="O2982">
        <v>0</v>
      </c>
      <c r="P2982">
        <v>0</v>
      </c>
    </row>
    <row r="2983" spans="1:16" x14ac:dyDescent="0.2">
      <c r="A2983" t="s">
        <v>2178</v>
      </c>
      <c r="B2983" t="s">
        <v>97</v>
      </c>
      <c r="C2983" t="s">
        <v>2179</v>
      </c>
      <c r="D2983" t="s">
        <v>2146</v>
      </c>
      <c r="E2983" t="s">
        <v>290</v>
      </c>
      <c r="F2983">
        <v>99.99</v>
      </c>
      <c r="G2983" t="s">
        <v>7032</v>
      </c>
      <c r="H2983">
        <v>0</v>
      </c>
      <c r="M2983">
        <v>0</v>
      </c>
      <c r="N2983">
        <v>0</v>
      </c>
      <c r="O2983">
        <v>0</v>
      </c>
      <c r="P2983">
        <v>0</v>
      </c>
    </row>
    <row r="2984" spans="1:16" x14ac:dyDescent="0.2">
      <c r="A2984" t="s">
        <v>503</v>
      </c>
      <c r="B2984" t="s">
        <v>97</v>
      </c>
      <c r="C2984" t="s">
        <v>504</v>
      </c>
      <c r="D2984" t="s">
        <v>446</v>
      </c>
      <c r="E2984" t="s">
        <v>228</v>
      </c>
      <c r="F2984">
        <v>39.99</v>
      </c>
      <c r="G2984" t="s">
        <v>7032</v>
      </c>
      <c r="H2984">
        <v>0</v>
      </c>
      <c r="M2984">
        <v>0</v>
      </c>
      <c r="N2984">
        <v>0.16666666666666666</v>
      </c>
      <c r="O2984">
        <v>0</v>
      </c>
      <c r="P2984">
        <v>0</v>
      </c>
    </row>
    <row r="2985" spans="1:16" x14ac:dyDescent="0.2">
      <c r="A2985" t="s">
        <v>4645</v>
      </c>
      <c r="B2985" t="s">
        <v>97</v>
      </c>
      <c r="C2985" t="s">
        <v>4646</v>
      </c>
      <c r="D2985" t="s">
        <v>446</v>
      </c>
      <c r="E2985" t="s">
        <v>96</v>
      </c>
      <c r="F2985">
        <v>14.99</v>
      </c>
      <c r="G2985" t="s">
        <v>7032</v>
      </c>
      <c r="H2985">
        <v>0</v>
      </c>
      <c r="M2985">
        <v>0</v>
      </c>
      <c r="N2985">
        <v>0</v>
      </c>
      <c r="O2985">
        <v>0</v>
      </c>
      <c r="P2985">
        <v>0</v>
      </c>
    </row>
    <row r="2986" spans="1:16" x14ac:dyDescent="0.2">
      <c r="A2986" t="s">
        <v>2274</v>
      </c>
      <c r="B2986" t="s">
        <v>97</v>
      </c>
      <c r="C2986" t="s">
        <v>2275</v>
      </c>
      <c r="D2986" t="s">
        <v>2146</v>
      </c>
      <c r="E2986" t="s">
        <v>290</v>
      </c>
      <c r="F2986">
        <v>349.99</v>
      </c>
      <c r="G2986" t="s">
        <v>7032</v>
      </c>
      <c r="H2986">
        <v>0</v>
      </c>
      <c r="M2986">
        <v>0</v>
      </c>
      <c r="N2986">
        <v>0</v>
      </c>
      <c r="O2986">
        <v>0</v>
      </c>
      <c r="P2986">
        <v>0</v>
      </c>
    </row>
    <row r="2987" spans="1:16" x14ac:dyDescent="0.2">
      <c r="A2987" t="s">
        <v>4926</v>
      </c>
      <c r="B2987" t="s">
        <v>97</v>
      </c>
      <c r="C2987" t="s">
        <v>4927</v>
      </c>
      <c r="D2987" t="s">
        <v>446</v>
      </c>
      <c r="E2987" t="s">
        <v>290</v>
      </c>
      <c r="F2987">
        <v>39.99</v>
      </c>
      <c r="G2987" t="s">
        <v>7032</v>
      </c>
      <c r="H2987">
        <v>0</v>
      </c>
      <c r="M2987">
        <v>0</v>
      </c>
      <c r="N2987">
        <v>0</v>
      </c>
      <c r="O2987">
        <v>0</v>
      </c>
      <c r="P2987">
        <v>1</v>
      </c>
    </row>
    <row r="2988" spans="1:16" x14ac:dyDescent="0.2">
      <c r="A2988" t="s">
        <v>4829</v>
      </c>
      <c r="B2988" t="s">
        <v>97</v>
      </c>
      <c r="C2988" t="s">
        <v>4830</v>
      </c>
      <c r="D2988" t="s">
        <v>446</v>
      </c>
      <c r="E2988" t="s">
        <v>96</v>
      </c>
      <c r="F2988">
        <v>149.99</v>
      </c>
      <c r="G2988" t="s">
        <v>7032</v>
      </c>
      <c r="H2988">
        <v>0</v>
      </c>
      <c r="M2988">
        <v>0</v>
      </c>
      <c r="N2988">
        <v>0</v>
      </c>
      <c r="O2988">
        <v>0</v>
      </c>
      <c r="P2988">
        <v>0</v>
      </c>
    </row>
    <row r="2989" spans="1:16" x14ac:dyDescent="0.2">
      <c r="A2989" t="s">
        <v>944</v>
      </c>
      <c r="B2989" t="s">
        <v>97</v>
      </c>
      <c r="C2989" t="s">
        <v>945</v>
      </c>
      <c r="D2989" t="s">
        <v>446</v>
      </c>
      <c r="E2989" t="s">
        <v>228</v>
      </c>
      <c r="F2989">
        <v>39.99</v>
      </c>
      <c r="G2989" t="s">
        <v>7032</v>
      </c>
      <c r="H2989">
        <v>0</v>
      </c>
      <c r="M2989">
        <v>0</v>
      </c>
      <c r="N2989">
        <v>0</v>
      </c>
      <c r="O2989">
        <v>0</v>
      </c>
      <c r="P2989">
        <v>1</v>
      </c>
    </row>
    <row r="2990" spans="1:16" x14ac:dyDescent="0.2">
      <c r="A2990" t="s">
        <v>4965</v>
      </c>
      <c r="B2990" t="s">
        <v>97</v>
      </c>
      <c r="C2990" t="s">
        <v>4966</v>
      </c>
      <c r="D2990" t="s">
        <v>446</v>
      </c>
      <c r="E2990" t="s">
        <v>290</v>
      </c>
      <c r="F2990">
        <v>69.989999999999995</v>
      </c>
      <c r="G2990" t="s">
        <v>7032</v>
      </c>
      <c r="H2990">
        <v>0</v>
      </c>
      <c r="M2990">
        <v>0</v>
      </c>
      <c r="N2990">
        <v>0</v>
      </c>
      <c r="O2990">
        <v>0</v>
      </c>
      <c r="P2990">
        <v>0</v>
      </c>
    </row>
    <row r="2991" spans="1:16" x14ac:dyDescent="0.2">
      <c r="A2991" t="s">
        <v>5783</v>
      </c>
      <c r="B2991" t="s">
        <v>97</v>
      </c>
      <c r="C2991" t="s">
        <v>5784</v>
      </c>
      <c r="D2991" t="s">
        <v>4463</v>
      </c>
      <c r="E2991" t="s">
        <v>96</v>
      </c>
      <c r="F2991">
        <v>14.99</v>
      </c>
      <c r="G2991" t="s">
        <v>7032</v>
      </c>
      <c r="H2991">
        <v>0</v>
      </c>
      <c r="M2991">
        <v>0</v>
      </c>
      <c r="N2991">
        <v>0</v>
      </c>
      <c r="O2991">
        <v>0</v>
      </c>
      <c r="P2991">
        <v>0</v>
      </c>
    </row>
    <row r="2992" spans="1:16" x14ac:dyDescent="0.2">
      <c r="A2992" t="s">
        <v>970</v>
      </c>
      <c r="B2992" t="s">
        <v>97</v>
      </c>
      <c r="C2992" t="s">
        <v>971</v>
      </c>
      <c r="D2992" t="s">
        <v>446</v>
      </c>
      <c r="E2992" t="s">
        <v>290</v>
      </c>
      <c r="F2992">
        <v>69.989999999999995</v>
      </c>
      <c r="G2992" t="s">
        <v>7032</v>
      </c>
      <c r="H2992">
        <v>0</v>
      </c>
      <c r="M2992">
        <v>0</v>
      </c>
      <c r="N2992">
        <v>0</v>
      </c>
      <c r="O2992">
        <v>0</v>
      </c>
      <c r="P2992">
        <v>1</v>
      </c>
    </row>
    <row r="2993" spans="1:16" x14ac:dyDescent="0.2">
      <c r="A2993" t="s">
        <v>3740</v>
      </c>
      <c r="B2993" t="s">
        <v>97</v>
      </c>
      <c r="C2993" t="s">
        <v>3741</v>
      </c>
      <c r="D2993" t="s">
        <v>1897</v>
      </c>
      <c r="E2993" t="s">
        <v>96</v>
      </c>
      <c r="F2993">
        <v>49.99</v>
      </c>
      <c r="G2993" t="s">
        <v>7032</v>
      </c>
      <c r="H2993">
        <v>0</v>
      </c>
      <c r="M2993">
        <v>0</v>
      </c>
      <c r="N2993">
        <v>0</v>
      </c>
      <c r="O2993">
        <v>0</v>
      </c>
      <c r="P2993">
        <v>0</v>
      </c>
    </row>
    <row r="2994" spans="1:16" x14ac:dyDescent="0.2">
      <c r="A2994" t="s">
        <v>5867</v>
      </c>
      <c r="B2994" t="s">
        <v>97</v>
      </c>
      <c r="C2994" t="s">
        <v>5868</v>
      </c>
      <c r="D2994" t="s">
        <v>4463</v>
      </c>
      <c r="E2994" t="s">
        <v>290</v>
      </c>
      <c r="F2994">
        <v>44.99</v>
      </c>
      <c r="G2994" t="s">
        <v>7032</v>
      </c>
      <c r="H2994">
        <v>0</v>
      </c>
      <c r="M2994">
        <v>0</v>
      </c>
      <c r="N2994">
        <v>0</v>
      </c>
      <c r="O2994">
        <v>0</v>
      </c>
      <c r="P2994">
        <v>0</v>
      </c>
    </row>
    <row r="2995" spans="1:16" x14ac:dyDescent="0.2">
      <c r="A2995" t="s">
        <v>5833</v>
      </c>
      <c r="B2995" t="s">
        <v>97</v>
      </c>
      <c r="C2995" t="s">
        <v>5834</v>
      </c>
      <c r="D2995" t="s">
        <v>4463</v>
      </c>
      <c r="E2995" t="s">
        <v>96</v>
      </c>
      <c r="F2995">
        <v>149.99</v>
      </c>
      <c r="G2995" t="s">
        <v>7032</v>
      </c>
      <c r="H2995">
        <v>0</v>
      </c>
      <c r="M2995">
        <v>0</v>
      </c>
      <c r="N2995">
        <v>0</v>
      </c>
      <c r="O2995">
        <v>0</v>
      </c>
      <c r="P2995">
        <v>0</v>
      </c>
    </row>
    <row r="2996" spans="1:16" x14ac:dyDescent="0.2">
      <c r="A2996" t="s">
        <v>4447</v>
      </c>
      <c r="B2996" t="s">
        <v>97</v>
      </c>
      <c r="C2996" t="s">
        <v>4448</v>
      </c>
      <c r="D2996" t="s">
        <v>1012</v>
      </c>
      <c r="E2996" t="s">
        <v>96</v>
      </c>
      <c r="F2996">
        <v>199.99</v>
      </c>
      <c r="G2996" t="s">
        <v>7032</v>
      </c>
      <c r="H2996">
        <v>0</v>
      </c>
      <c r="M2996">
        <v>0</v>
      </c>
      <c r="N2996">
        <v>0</v>
      </c>
      <c r="O2996">
        <v>0</v>
      </c>
      <c r="P2996">
        <v>0</v>
      </c>
    </row>
    <row r="2997" spans="1:16" x14ac:dyDescent="0.2">
      <c r="A2997" t="s">
        <v>7269</v>
      </c>
      <c r="B2997" t="s">
        <v>97</v>
      </c>
      <c r="C2997" t="s">
        <v>7271</v>
      </c>
      <c r="D2997" t="s">
        <v>1012</v>
      </c>
      <c r="E2997" t="s">
        <v>96</v>
      </c>
      <c r="G2997" t="s">
        <v>7032</v>
      </c>
      <c r="H2997">
        <v>0</v>
      </c>
      <c r="M2997">
        <v>0</v>
      </c>
      <c r="N2997">
        <v>0</v>
      </c>
      <c r="P2997">
        <v>0</v>
      </c>
    </row>
    <row r="2998" spans="1:16" x14ac:dyDescent="0.2">
      <c r="A2998" t="s">
        <v>4405</v>
      </c>
      <c r="B2998" t="s">
        <v>97</v>
      </c>
      <c r="C2998" t="s">
        <v>4406</v>
      </c>
      <c r="D2998" t="s">
        <v>1012</v>
      </c>
      <c r="E2998" t="s">
        <v>96</v>
      </c>
      <c r="F2998">
        <v>89.99</v>
      </c>
      <c r="G2998" t="s">
        <v>7032</v>
      </c>
      <c r="H2998">
        <v>0</v>
      </c>
      <c r="M2998">
        <v>0</v>
      </c>
      <c r="N2998">
        <v>0</v>
      </c>
      <c r="O2998">
        <v>0</v>
      </c>
      <c r="P2998">
        <v>0</v>
      </c>
    </row>
    <row r="2999" spans="1:16" x14ac:dyDescent="0.2">
      <c r="A2999" t="s">
        <v>4411</v>
      </c>
      <c r="B2999" t="s">
        <v>97</v>
      </c>
      <c r="C2999" t="s">
        <v>4412</v>
      </c>
      <c r="D2999" t="s">
        <v>1012</v>
      </c>
      <c r="E2999" t="s">
        <v>290</v>
      </c>
      <c r="F2999">
        <v>94.99</v>
      </c>
      <c r="G2999" t="s">
        <v>7032</v>
      </c>
      <c r="H2999">
        <v>0</v>
      </c>
      <c r="M2999">
        <v>0</v>
      </c>
      <c r="N2999">
        <v>0</v>
      </c>
      <c r="O2999">
        <v>0</v>
      </c>
      <c r="P2999">
        <v>0</v>
      </c>
    </row>
    <row r="3000" spans="1:16" x14ac:dyDescent="0.2">
      <c r="A3000" t="s">
        <v>4418</v>
      </c>
      <c r="B3000" t="s">
        <v>97</v>
      </c>
      <c r="C3000" t="s">
        <v>4419</v>
      </c>
      <c r="D3000" t="s">
        <v>1012</v>
      </c>
      <c r="E3000" t="s">
        <v>290</v>
      </c>
      <c r="F3000">
        <v>89.99</v>
      </c>
      <c r="G3000" t="s">
        <v>7032</v>
      </c>
      <c r="H3000">
        <v>0</v>
      </c>
      <c r="M3000">
        <v>0</v>
      </c>
      <c r="N3000">
        <v>0</v>
      </c>
      <c r="O3000">
        <v>0</v>
      </c>
      <c r="P3000">
        <v>0</v>
      </c>
    </row>
    <row r="3001" spans="1:16" x14ac:dyDescent="0.2">
      <c r="A3001" t="s">
        <v>5918</v>
      </c>
      <c r="B3001" t="s">
        <v>97</v>
      </c>
      <c r="C3001" t="s">
        <v>5919</v>
      </c>
      <c r="D3001" t="s">
        <v>4463</v>
      </c>
      <c r="E3001" t="s">
        <v>96</v>
      </c>
      <c r="F3001">
        <v>16.989999999999998</v>
      </c>
      <c r="G3001" t="s">
        <v>7032</v>
      </c>
      <c r="H3001">
        <v>0</v>
      </c>
      <c r="M3001">
        <v>0</v>
      </c>
      <c r="N3001">
        <v>0</v>
      </c>
      <c r="O3001">
        <v>0</v>
      </c>
      <c r="P3001">
        <v>0</v>
      </c>
    </row>
    <row r="3002" spans="1:16" x14ac:dyDescent="0.2">
      <c r="A3002" t="s">
        <v>4449</v>
      </c>
      <c r="B3002" t="s">
        <v>97</v>
      </c>
      <c r="C3002" t="s">
        <v>4450</v>
      </c>
      <c r="D3002" t="s">
        <v>1012</v>
      </c>
      <c r="E3002" t="s">
        <v>96</v>
      </c>
      <c r="F3002">
        <v>159.99</v>
      </c>
      <c r="G3002" t="s">
        <v>7032</v>
      </c>
      <c r="H3002">
        <v>0</v>
      </c>
      <c r="M3002">
        <v>0</v>
      </c>
      <c r="N3002">
        <v>0</v>
      </c>
      <c r="O3002">
        <v>0</v>
      </c>
      <c r="P3002">
        <v>0</v>
      </c>
    </row>
    <row r="3003" spans="1:16" x14ac:dyDescent="0.2">
      <c r="A3003" t="s">
        <v>1010</v>
      </c>
      <c r="B3003" t="s">
        <v>97</v>
      </c>
      <c r="C3003" t="s">
        <v>1011</v>
      </c>
      <c r="D3003" t="s">
        <v>446</v>
      </c>
      <c r="E3003" t="s">
        <v>290</v>
      </c>
      <c r="F3003">
        <v>69.989999999999995</v>
      </c>
      <c r="G3003" t="s">
        <v>7032</v>
      </c>
      <c r="H3003">
        <v>0</v>
      </c>
      <c r="M3003">
        <v>0</v>
      </c>
      <c r="N3003">
        <v>0</v>
      </c>
      <c r="O3003">
        <v>0</v>
      </c>
      <c r="P3003">
        <v>0</v>
      </c>
    </row>
    <row r="3004" spans="1:16" x14ac:dyDescent="0.2">
      <c r="A3004" t="s">
        <v>4978</v>
      </c>
      <c r="B3004" t="s">
        <v>97</v>
      </c>
      <c r="C3004" t="s">
        <v>7312</v>
      </c>
      <c r="D3004" t="s">
        <v>446</v>
      </c>
      <c r="E3004" t="s">
        <v>290</v>
      </c>
      <c r="F3004">
        <v>99.99</v>
      </c>
      <c r="G3004" t="s">
        <v>7032</v>
      </c>
      <c r="H3004">
        <v>0</v>
      </c>
      <c r="M3004">
        <v>0</v>
      </c>
      <c r="N3004">
        <v>0</v>
      </c>
      <c r="O3004">
        <v>0</v>
      </c>
      <c r="P3004">
        <v>0</v>
      </c>
    </row>
    <row r="3005" spans="1:16" x14ac:dyDescent="0.2">
      <c r="A3005" t="s">
        <v>2188</v>
      </c>
      <c r="B3005" t="s">
        <v>7834</v>
      </c>
      <c r="C3005" t="s">
        <v>2189</v>
      </c>
      <c r="D3005" t="s">
        <v>2146</v>
      </c>
      <c r="E3005" t="s">
        <v>96</v>
      </c>
      <c r="F3005">
        <v>199.99</v>
      </c>
      <c r="G3005" t="s">
        <v>8</v>
      </c>
      <c r="H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</row>
    <row r="3006" spans="1:16" x14ac:dyDescent="0.2">
      <c r="A3006" t="s">
        <v>2190</v>
      </c>
      <c r="B3006" t="s">
        <v>7835</v>
      </c>
      <c r="C3006" t="s">
        <v>2191</v>
      </c>
      <c r="D3006" t="s">
        <v>2146</v>
      </c>
      <c r="E3006" t="s">
        <v>290</v>
      </c>
      <c r="F3006">
        <v>349.99</v>
      </c>
      <c r="G3006" t="s">
        <v>8</v>
      </c>
      <c r="H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</row>
    <row r="3007" spans="1:16" x14ac:dyDescent="0.2">
      <c r="A3007" t="s">
        <v>2208</v>
      </c>
      <c r="B3007" t="s">
        <v>5627</v>
      </c>
      <c r="C3007" t="s">
        <v>2209</v>
      </c>
      <c r="D3007" t="s">
        <v>2146</v>
      </c>
      <c r="E3007" t="s">
        <v>228</v>
      </c>
      <c r="F3007">
        <v>149.99</v>
      </c>
      <c r="G3007" t="s">
        <v>8</v>
      </c>
      <c r="H3007">
        <v>0</v>
      </c>
      <c r="J3007">
        <v>0</v>
      </c>
      <c r="K3007">
        <v>0</v>
      </c>
      <c r="L3007">
        <v>0</v>
      </c>
      <c r="M3007">
        <v>0</v>
      </c>
      <c r="N3007">
        <v>0.33333333333333331</v>
      </c>
      <c r="O3007">
        <v>0</v>
      </c>
      <c r="P3007">
        <v>0</v>
      </c>
    </row>
    <row r="3008" spans="1:16" x14ac:dyDescent="0.2">
      <c r="A3008" t="s">
        <v>7836</v>
      </c>
      <c r="B3008" t="s">
        <v>7837</v>
      </c>
      <c r="C3008" t="s">
        <v>7838</v>
      </c>
      <c r="D3008" t="s">
        <v>1897</v>
      </c>
      <c r="E3008" t="s">
        <v>96</v>
      </c>
      <c r="G3008" t="s">
        <v>8</v>
      </c>
      <c r="H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P3008">
        <v>0</v>
      </c>
    </row>
    <row r="3009" spans="1:16" x14ac:dyDescent="0.2">
      <c r="A3009" t="s">
        <v>7534</v>
      </c>
      <c r="B3009" t="s">
        <v>7839</v>
      </c>
      <c r="C3009" t="s">
        <v>7535</v>
      </c>
      <c r="D3009" t="s">
        <v>1897</v>
      </c>
      <c r="E3009" t="s">
        <v>96</v>
      </c>
      <c r="F3009">
        <v>79.989999999999995</v>
      </c>
      <c r="G3009" t="s">
        <v>8</v>
      </c>
      <c r="H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</row>
    <row r="3010" spans="1:16" x14ac:dyDescent="0.2">
      <c r="A3010" t="s">
        <v>2334</v>
      </c>
      <c r="B3010" t="s">
        <v>5562</v>
      </c>
      <c r="C3010" t="s">
        <v>2335</v>
      </c>
      <c r="D3010" t="s">
        <v>2146</v>
      </c>
      <c r="E3010" t="s">
        <v>228</v>
      </c>
      <c r="F3010">
        <v>99.99</v>
      </c>
      <c r="G3010" t="s">
        <v>8</v>
      </c>
      <c r="H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</row>
    <row r="3011" spans="1:16" x14ac:dyDescent="0.2">
      <c r="A3011" t="s">
        <v>7554</v>
      </c>
      <c r="B3011" t="s">
        <v>7840</v>
      </c>
      <c r="C3011" t="s">
        <v>7555</v>
      </c>
      <c r="D3011" t="s">
        <v>1897</v>
      </c>
      <c r="E3011" t="s">
        <v>96</v>
      </c>
      <c r="F3011">
        <v>79.989999999999995</v>
      </c>
      <c r="G3011" t="s">
        <v>8</v>
      </c>
      <c r="H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</row>
    <row r="3012" spans="1:16" x14ac:dyDescent="0.2">
      <c r="A3012" t="s">
        <v>1092</v>
      </c>
      <c r="B3012" t="s">
        <v>7841</v>
      </c>
      <c r="C3012" t="s">
        <v>1093</v>
      </c>
      <c r="D3012" t="s">
        <v>1089</v>
      </c>
      <c r="E3012" t="s">
        <v>96</v>
      </c>
      <c r="F3012">
        <v>69.989999999999995</v>
      </c>
      <c r="G3012" t="s">
        <v>8</v>
      </c>
      <c r="H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 spans="1:16" x14ac:dyDescent="0.2">
      <c r="A3013" t="s">
        <v>7824</v>
      </c>
      <c r="B3013" t="s">
        <v>7842</v>
      </c>
      <c r="C3013" t="s">
        <v>7825</v>
      </c>
      <c r="D3013" t="s">
        <v>1089</v>
      </c>
      <c r="E3013" t="s">
        <v>96</v>
      </c>
      <c r="F3013">
        <v>69.989999999999995</v>
      </c>
      <c r="G3013" t="s">
        <v>8</v>
      </c>
      <c r="H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</row>
    <row r="3014" spans="1:16" x14ac:dyDescent="0.2">
      <c r="A3014" t="s">
        <v>1094</v>
      </c>
      <c r="B3014" t="s">
        <v>7843</v>
      </c>
      <c r="C3014" t="s">
        <v>1095</v>
      </c>
      <c r="D3014" t="s">
        <v>1089</v>
      </c>
      <c r="E3014" t="s">
        <v>96</v>
      </c>
      <c r="F3014">
        <v>99.99</v>
      </c>
      <c r="G3014" t="s">
        <v>8</v>
      </c>
      <c r="H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</row>
    <row r="3015" spans="1:16" x14ac:dyDescent="0.2">
      <c r="A3015" t="s">
        <v>7844</v>
      </c>
      <c r="B3015" t="s">
        <v>7845</v>
      </c>
      <c r="C3015" t="s">
        <v>7846</v>
      </c>
      <c r="D3015" t="s">
        <v>1089</v>
      </c>
      <c r="E3015" t="s">
        <v>96</v>
      </c>
      <c r="F3015">
        <v>69.989999999999995</v>
      </c>
      <c r="G3015" t="s">
        <v>8</v>
      </c>
      <c r="H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</row>
    <row r="3016" spans="1:16" x14ac:dyDescent="0.2">
      <c r="A3016" t="s">
        <v>4340</v>
      </c>
      <c r="B3016" t="s">
        <v>7847</v>
      </c>
      <c r="C3016" t="s">
        <v>4341</v>
      </c>
      <c r="D3016" t="s">
        <v>4330</v>
      </c>
      <c r="E3016" t="s">
        <v>96</v>
      </c>
      <c r="F3016">
        <v>21.99</v>
      </c>
      <c r="G3016" t="s">
        <v>8</v>
      </c>
      <c r="H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 spans="1:16" x14ac:dyDescent="0.2">
      <c r="A3017" t="s">
        <v>2178</v>
      </c>
      <c r="B3017" t="s">
        <v>7848</v>
      </c>
      <c r="C3017" t="s">
        <v>2179</v>
      </c>
      <c r="D3017" t="s">
        <v>2146</v>
      </c>
      <c r="E3017" t="s">
        <v>290</v>
      </c>
      <c r="F3017">
        <v>99.99</v>
      </c>
      <c r="G3017" t="s">
        <v>8</v>
      </c>
      <c r="H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</row>
    <row r="3018" spans="1:16" x14ac:dyDescent="0.2">
      <c r="A3018" t="s">
        <v>2142</v>
      </c>
      <c r="B3018" t="s">
        <v>5798</v>
      </c>
      <c r="C3018" t="s">
        <v>2143</v>
      </c>
      <c r="D3018" t="s">
        <v>2131</v>
      </c>
      <c r="E3018" t="s">
        <v>96</v>
      </c>
      <c r="F3018">
        <v>49.99</v>
      </c>
      <c r="G3018" t="s">
        <v>8</v>
      </c>
      <c r="H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 spans="1:16" x14ac:dyDescent="0.2">
      <c r="A3019" t="s">
        <v>2272</v>
      </c>
      <c r="B3019" t="s">
        <v>7849</v>
      </c>
      <c r="C3019" t="s">
        <v>2273</v>
      </c>
      <c r="D3019" t="s">
        <v>2146</v>
      </c>
      <c r="E3019" t="s">
        <v>96</v>
      </c>
      <c r="F3019">
        <v>119.99</v>
      </c>
      <c r="G3019" t="s">
        <v>8</v>
      </c>
      <c r="H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</row>
    <row r="3020" spans="1:16" x14ac:dyDescent="0.2">
      <c r="A3020" t="s">
        <v>2125</v>
      </c>
      <c r="B3020" t="s">
        <v>7850</v>
      </c>
      <c r="C3020" t="s">
        <v>2126</v>
      </c>
      <c r="D3020" t="s">
        <v>2088</v>
      </c>
      <c r="E3020" t="s">
        <v>290</v>
      </c>
      <c r="F3020">
        <v>59.99</v>
      </c>
      <c r="G3020" t="s">
        <v>8</v>
      </c>
      <c r="H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 spans="1:16" x14ac:dyDescent="0.2">
      <c r="A3021" t="s">
        <v>2144</v>
      </c>
      <c r="B3021" t="s">
        <v>7851</v>
      </c>
      <c r="C3021" t="s">
        <v>2145</v>
      </c>
      <c r="D3021" t="s">
        <v>2131</v>
      </c>
      <c r="E3021" t="s">
        <v>290</v>
      </c>
      <c r="F3021">
        <v>49.99</v>
      </c>
      <c r="G3021" t="s">
        <v>8</v>
      </c>
      <c r="H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</row>
    <row r="3022" spans="1:16" x14ac:dyDescent="0.2">
      <c r="A3022" t="s">
        <v>7852</v>
      </c>
      <c r="B3022" t="s">
        <v>7853</v>
      </c>
      <c r="C3022" t="s">
        <v>7854</v>
      </c>
      <c r="D3022" t="s">
        <v>4330</v>
      </c>
      <c r="E3022" t="s">
        <v>96</v>
      </c>
      <c r="F3022">
        <v>349.99</v>
      </c>
      <c r="G3022" t="s">
        <v>8</v>
      </c>
      <c r="H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</row>
    <row r="3023" spans="1:16" x14ac:dyDescent="0.2">
      <c r="A3023" t="s">
        <v>2127</v>
      </c>
      <c r="B3023" t="s">
        <v>5311</v>
      </c>
      <c r="C3023" t="s">
        <v>2128</v>
      </c>
      <c r="D3023" t="s">
        <v>2088</v>
      </c>
      <c r="E3023" t="s">
        <v>290</v>
      </c>
      <c r="F3023">
        <v>59.99</v>
      </c>
      <c r="G3023" t="s">
        <v>8</v>
      </c>
      <c r="H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</row>
    <row r="3024" spans="1:16" x14ac:dyDescent="0.2">
      <c r="A3024" t="s">
        <v>2129</v>
      </c>
      <c r="B3024" t="s">
        <v>5310</v>
      </c>
      <c r="C3024" t="s">
        <v>2130</v>
      </c>
      <c r="D3024" t="s">
        <v>2088</v>
      </c>
      <c r="E3024" t="s">
        <v>96</v>
      </c>
      <c r="F3024">
        <v>59.99</v>
      </c>
      <c r="G3024" t="s">
        <v>8</v>
      </c>
      <c r="H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 spans="1:16" x14ac:dyDescent="0.2">
      <c r="A3025" t="s">
        <v>2132</v>
      </c>
      <c r="B3025" t="s">
        <v>7855</v>
      </c>
      <c r="C3025" t="s">
        <v>2133</v>
      </c>
      <c r="D3025" t="s">
        <v>2131</v>
      </c>
      <c r="E3025" t="s">
        <v>96</v>
      </c>
      <c r="F3025">
        <v>29.99</v>
      </c>
      <c r="G3025" t="s">
        <v>8</v>
      </c>
      <c r="H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 spans="1:16" x14ac:dyDescent="0.2">
      <c r="A3026" t="s">
        <v>857</v>
      </c>
      <c r="B3026" t="s">
        <v>4892</v>
      </c>
      <c r="C3026" t="s">
        <v>858</v>
      </c>
      <c r="D3026" t="s">
        <v>446</v>
      </c>
      <c r="E3026" t="s">
        <v>96</v>
      </c>
      <c r="F3026">
        <v>139.99</v>
      </c>
      <c r="G3026" t="s">
        <v>8</v>
      </c>
      <c r="H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 spans="1:16" x14ac:dyDescent="0.2">
      <c r="A3027" t="s">
        <v>5790</v>
      </c>
      <c r="B3027" t="s">
        <v>7856</v>
      </c>
      <c r="C3027" t="s">
        <v>5791</v>
      </c>
      <c r="D3027" t="s">
        <v>2131</v>
      </c>
      <c r="E3027" t="s">
        <v>96</v>
      </c>
      <c r="F3027">
        <v>29.99</v>
      </c>
      <c r="G3027" t="s">
        <v>8</v>
      </c>
      <c r="H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 spans="1:16" x14ac:dyDescent="0.2">
      <c r="A3028" t="s">
        <v>2134</v>
      </c>
      <c r="B3028" t="s">
        <v>5795</v>
      </c>
      <c r="C3028" t="s">
        <v>2135</v>
      </c>
      <c r="D3028" t="s">
        <v>2131</v>
      </c>
      <c r="E3028" t="s">
        <v>96</v>
      </c>
      <c r="F3028">
        <v>39.99</v>
      </c>
      <c r="G3028" t="s">
        <v>8</v>
      </c>
      <c r="H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 spans="1:16" x14ac:dyDescent="0.2">
      <c r="A3029" t="s">
        <v>2136</v>
      </c>
      <c r="B3029" t="s">
        <v>7857</v>
      </c>
      <c r="C3029" t="s">
        <v>2137</v>
      </c>
      <c r="D3029" t="s">
        <v>2131</v>
      </c>
      <c r="E3029" t="s">
        <v>96</v>
      </c>
      <c r="F3029">
        <v>39.99</v>
      </c>
      <c r="G3029" t="s">
        <v>8</v>
      </c>
      <c r="H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</row>
    <row r="3030" spans="1:16" x14ac:dyDescent="0.2">
      <c r="A3030" t="s">
        <v>4893</v>
      </c>
      <c r="B3030" t="s">
        <v>4895</v>
      </c>
      <c r="C3030" t="s">
        <v>4894</v>
      </c>
      <c r="D3030" t="s">
        <v>446</v>
      </c>
      <c r="E3030" t="s">
        <v>96</v>
      </c>
      <c r="F3030">
        <v>79.989999999999995</v>
      </c>
      <c r="G3030" t="s">
        <v>8</v>
      </c>
      <c r="H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</row>
    <row r="3031" spans="1:16" x14ac:dyDescent="0.2">
      <c r="A3031" t="s">
        <v>2152</v>
      </c>
      <c r="B3031" t="s">
        <v>5433</v>
      </c>
      <c r="C3031" t="s">
        <v>2153</v>
      </c>
      <c r="D3031" t="s">
        <v>2146</v>
      </c>
      <c r="E3031" t="s">
        <v>228</v>
      </c>
      <c r="F3031">
        <v>169.99</v>
      </c>
      <c r="G3031" t="s">
        <v>8</v>
      </c>
      <c r="H3031">
        <v>3.8461538461538464E-2</v>
      </c>
      <c r="J3031">
        <v>0</v>
      </c>
      <c r="K3031">
        <v>13</v>
      </c>
      <c r="L3031">
        <v>0</v>
      </c>
      <c r="M3031">
        <v>39</v>
      </c>
      <c r="N3031">
        <v>0.33333333333333331</v>
      </c>
      <c r="O3031">
        <v>0</v>
      </c>
      <c r="P3031">
        <v>13</v>
      </c>
    </row>
    <row r="3032" spans="1:16" x14ac:dyDescent="0.2">
      <c r="A3032" t="s">
        <v>5549</v>
      </c>
      <c r="B3032" t="s">
        <v>7858</v>
      </c>
      <c r="C3032" t="s">
        <v>5550</v>
      </c>
      <c r="D3032" t="s">
        <v>2146</v>
      </c>
      <c r="E3032" t="s">
        <v>290</v>
      </c>
      <c r="F3032">
        <v>79.989999999999995</v>
      </c>
      <c r="G3032" t="s">
        <v>8</v>
      </c>
      <c r="H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</row>
    <row r="3033" spans="1:16" x14ac:dyDescent="0.2">
      <c r="A3033" t="s">
        <v>7049</v>
      </c>
      <c r="B3033" t="s">
        <v>7859</v>
      </c>
      <c r="C3033" t="s">
        <v>7051</v>
      </c>
      <c r="D3033" t="s">
        <v>93</v>
      </c>
      <c r="E3033" t="s">
        <v>96</v>
      </c>
      <c r="F3033">
        <v>299.99</v>
      </c>
      <c r="G3033" t="s">
        <v>8</v>
      </c>
      <c r="H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 spans="1:16" x14ac:dyDescent="0.2">
      <c r="A3034" t="s">
        <v>2274</v>
      </c>
      <c r="B3034" t="s">
        <v>7860</v>
      </c>
      <c r="C3034" t="s">
        <v>2275</v>
      </c>
      <c r="D3034" t="s">
        <v>2146</v>
      </c>
      <c r="E3034" t="s">
        <v>290</v>
      </c>
      <c r="F3034">
        <v>349.99</v>
      </c>
      <c r="G3034" t="s">
        <v>8</v>
      </c>
      <c r="H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 spans="1:16" x14ac:dyDescent="0.2">
      <c r="A3035" t="s">
        <v>1021</v>
      </c>
      <c r="B3035" t="s">
        <v>7861</v>
      </c>
      <c r="C3035" t="s">
        <v>1022</v>
      </c>
      <c r="D3035" t="s">
        <v>1020</v>
      </c>
      <c r="E3035" t="s">
        <v>96</v>
      </c>
      <c r="F3035">
        <v>47.99</v>
      </c>
      <c r="G3035" t="s">
        <v>8</v>
      </c>
      <c r="H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</row>
    <row r="3036" spans="1:16" x14ac:dyDescent="0.2">
      <c r="A3036" t="s">
        <v>1814</v>
      </c>
      <c r="B3036" t="s">
        <v>4385</v>
      </c>
      <c r="C3036" t="s">
        <v>7862</v>
      </c>
      <c r="D3036" t="s">
        <v>1811</v>
      </c>
      <c r="E3036" t="s">
        <v>228</v>
      </c>
      <c r="F3036">
        <v>349.99</v>
      </c>
      <c r="G3036" t="s">
        <v>8</v>
      </c>
      <c r="H3036">
        <v>4.329004329004329E-3</v>
      </c>
      <c r="J3036">
        <v>0</v>
      </c>
      <c r="K3036">
        <v>115</v>
      </c>
      <c r="L3036">
        <v>116</v>
      </c>
      <c r="M3036">
        <v>231</v>
      </c>
      <c r="N3036">
        <v>1</v>
      </c>
      <c r="O3036">
        <v>0</v>
      </c>
      <c r="P3036">
        <v>231</v>
      </c>
    </row>
    <row r="3037" spans="1:16" x14ac:dyDescent="0.2">
      <c r="A3037" t="s">
        <v>5014</v>
      </c>
      <c r="B3037" t="s">
        <v>7863</v>
      </c>
      <c r="C3037" t="s">
        <v>5015</v>
      </c>
      <c r="D3037" t="s">
        <v>446</v>
      </c>
      <c r="E3037" t="s">
        <v>96</v>
      </c>
      <c r="F3037">
        <v>49.99</v>
      </c>
      <c r="G3037" t="s">
        <v>8</v>
      </c>
      <c r="H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 spans="1:16" x14ac:dyDescent="0.2">
      <c r="A3038" t="s">
        <v>1010</v>
      </c>
      <c r="B3038" t="s">
        <v>4971</v>
      </c>
      <c r="C3038" t="s">
        <v>1011</v>
      </c>
      <c r="D3038" t="s">
        <v>446</v>
      </c>
      <c r="E3038" t="s">
        <v>290</v>
      </c>
      <c r="F3038">
        <v>69.989999999999995</v>
      </c>
      <c r="G3038" t="s">
        <v>8</v>
      </c>
      <c r="H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</row>
    <row r="3039" spans="1:16" x14ac:dyDescent="0.2">
      <c r="A3039" t="s">
        <v>4965</v>
      </c>
      <c r="B3039" t="s">
        <v>7864</v>
      </c>
      <c r="C3039" t="s">
        <v>4966</v>
      </c>
      <c r="D3039" t="s">
        <v>446</v>
      </c>
      <c r="E3039" t="s">
        <v>290</v>
      </c>
      <c r="F3039">
        <v>69.989999999999995</v>
      </c>
      <c r="G3039" t="s">
        <v>8</v>
      </c>
      <c r="H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</row>
    <row r="3040" spans="1:16" x14ac:dyDescent="0.2">
      <c r="A3040" t="s">
        <v>1830</v>
      </c>
      <c r="B3040" t="s">
        <v>4625</v>
      </c>
      <c r="C3040" t="s">
        <v>7865</v>
      </c>
      <c r="D3040" t="s">
        <v>1811</v>
      </c>
      <c r="E3040" t="s">
        <v>228</v>
      </c>
      <c r="F3040">
        <v>199.99</v>
      </c>
      <c r="G3040" t="s">
        <v>8</v>
      </c>
      <c r="H3040">
        <v>2.696078431372549E-3</v>
      </c>
      <c r="J3040">
        <v>0</v>
      </c>
      <c r="K3040">
        <v>172</v>
      </c>
      <c r="L3040">
        <v>168</v>
      </c>
      <c r="M3040">
        <v>250.5</v>
      </c>
      <c r="N3040">
        <v>1.3333333333333333</v>
      </c>
      <c r="O3040">
        <v>0</v>
      </c>
      <c r="P3040">
        <v>334</v>
      </c>
    </row>
    <row r="3041" spans="1:16" x14ac:dyDescent="0.2">
      <c r="A3041" t="s">
        <v>1832</v>
      </c>
      <c r="B3041" t="s">
        <v>4626</v>
      </c>
      <c r="C3041" t="s">
        <v>7866</v>
      </c>
      <c r="D3041" t="s">
        <v>1811</v>
      </c>
      <c r="E3041" t="s">
        <v>228</v>
      </c>
      <c r="F3041">
        <v>249.99</v>
      </c>
      <c r="G3041" t="s">
        <v>8</v>
      </c>
      <c r="H3041">
        <v>2.9239766081871343E-3</v>
      </c>
      <c r="J3041">
        <v>0</v>
      </c>
      <c r="K3041">
        <v>32</v>
      </c>
      <c r="L3041">
        <v>196</v>
      </c>
      <c r="M3041">
        <v>271.2</v>
      </c>
      <c r="N3041">
        <v>0.83333333333333337</v>
      </c>
      <c r="O3041">
        <v>0</v>
      </c>
      <c r="P3041">
        <v>226</v>
      </c>
    </row>
    <row r="3042" spans="1:16" x14ac:dyDescent="0.2">
      <c r="A3042" t="s">
        <v>7740</v>
      </c>
      <c r="B3042" t="s">
        <v>7867</v>
      </c>
      <c r="C3042" t="s">
        <v>7741</v>
      </c>
      <c r="D3042" t="s">
        <v>1897</v>
      </c>
      <c r="E3042" t="s">
        <v>96</v>
      </c>
      <c r="F3042">
        <v>59.99</v>
      </c>
      <c r="G3042" t="s">
        <v>8</v>
      </c>
      <c r="H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 spans="1:16" x14ac:dyDescent="0.2">
      <c r="A3043" t="s">
        <v>3831</v>
      </c>
      <c r="B3043" t="s">
        <v>7868</v>
      </c>
      <c r="C3043" t="s">
        <v>3832</v>
      </c>
      <c r="D3043" t="s">
        <v>1897</v>
      </c>
      <c r="E3043" t="s">
        <v>96</v>
      </c>
      <c r="F3043">
        <v>49.99</v>
      </c>
      <c r="G3043" t="s">
        <v>8</v>
      </c>
      <c r="H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</row>
    <row r="3044" spans="1:16" x14ac:dyDescent="0.2">
      <c r="A3044" t="s">
        <v>4078</v>
      </c>
      <c r="B3044" t="s">
        <v>7869</v>
      </c>
      <c r="C3044" t="s">
        <v>4079</v>
      </c>
      <c r="D3044" t="s">
        <v>1897</v>
      </c>
      <c r="E3044" t="s">
        <v>96</v>
      </c>
      <c r="F3044">
        <v>54.99</v>
      </c>
      <c r="G3044" t="s">
        <v>8</v>
      </c>
      <c r="H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 spans="1:16" x14ac:dyDescent="0.2">
      <c r="A3045" t="s">
        <v>5016</v>
      </c>
      <c r="B3045" t="s">
        <v>7870</v>
      </c>
      <c r="C3045" t="s">
        <v>5017</v>
      </c>
      <c r="D3045" t="s">
        <v>446</v>
      </c>
      <c r="E3045" t="s">
        <v>96</v>
      </c>
      <c r="F3045">
        <v>49.99</v>
      </c>
      <c r="G3045" t="s">
        <v>8</v>
      </c>
      <c r="H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 spans="1:16" x14ac:dyDescent="0.2">
      <c r="A3046" t="s">
        <v>4817</v>
      </c>
      <c r="B3046" t="s">
        <v>4819</v>
      </c>
      <c r="C3046" t="s">
        <v>4818</v>
      </c>
      <c r="D3046" t="s">
        <v>446</v>
      </c>
      <c r="E3046" t="s">
        <v>96</v>
      </c>
      <c r="F3046">
        <v>49.99</v>
      </c>
      <c r="G3046" t="s">
        <v>8</v>
      </c>
      <c r="H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 spans="1:16" x14ac:dyDescent="0.2">
      <c r="A3047" t="s">
        <v>1816</v>
      </c>
      <c r="B3047" t="s">
        <v>6964</v>
      </c>
      <c r="C3047" t="s">
        <v>1817</v>
      </c>
      <c r="D3047" t="s">
        <v>1811</v>
      </c>
      <c r="E3047" t="s">
        <v>228</v>
      </c>
      <c r="F3047">
        <v>99.99</v>
      </c>
      <c r="G3047" t="s">
        <v>8</v>
      </c>
      <c r="H3047">
        <v>2.5462962962962962E-2</v>
      </c>
      <c r="J3047">
        <v>0</v>
      </c>
      <c r="K3047">
        <v>35</v>
      </c>
      <c r="L3047">
        <v>1</v>
      </c>
      <c r="M3047">
        <v>216</v>
      </c>
      <c r="N3047">
        <v>0.16666666666666666</v>
      </c>
      <c r="O3047">
        <v>0</v>
      </c>
      <c r="P3047">
        <v>36</v>
      </c>
    </row>
    <row r="3048" spans="1:16" x14ac:dyDescent="0.2">
      <c r="A3048" t="s">
        <v>1822</v>
      </c>
      <c r="B3048" t="s">
        <v>6966</v>
      </c>
      <c r="C3048" t="s">
        <v>1823</v>
      </c>
      <c r="D3048" t="s">
        <v>1811</v>
      </c>
      <c r="E3048" t="s">
        <v>228</v>
      </c>
      <c r="F3048">
        <v>249.99</v>
      </c>
      <c r="G3048" t="s">
        <v>8</v>
      </c>
      <c r="H3048">
        <v>5.1440329218106989E-4</v>
      </c>
      <c r="J3048">
        <v>0</v>
      </c>
      <c r="K3048">
        <v>125</v>
      </c>
      <c r="L3048">
        <v>37</v>
      </c>
      <c r="M3048">
        <v>0</v>
      </c>
      <c r="N3048">
        <v>0</v>
      </c>
      <c r="O3048">
        <v>0</v>
      </c>
      <c r="P3048">
        <v>162</v>
      </c>
    </row>
    <row r="3049" spans="1:16" x14ac:dyDescent="0.2">
      <c r="A3049" t="s">
        <v>926</v>
      </c>
      <c r="B3049" t="s">
        <v>4654</v>
      </c>
      <c r="C3049" t="s">
        <v>927</v>
      </c>
      <c r="D3049" t="s">
        <v>446</v>
      </c>
      <c r="E3049" t="s">
        <v>96</v>
      </c>
      <c r="F3049">
        <v>29.99</v>
      </c>
      <c r="G3049" t="s">
        <v>8</v>
      </c>
      <c r="H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 spans="1:16" x14ac:dyDescent="0.2">
      <c r="A3050" t="s">
        <v>1826</v>
      </c>
      <c r="B3050" t="s">
        <v>6962</v>
      </c>
      <c r="C3050" t="s">
        <v>7871</v>
      </c>
      <c r="D3050" t="s">
        <v>1811</v>
      </c>
      <c r="E3050" t="s">
        <v>228</v>
      </c>
      <c r="F3050">
        <v>399.99</v>
      </c>
      <c r="G3050" t="s">
        <v>8</v>
      </c>
      <c r="H3050">
        <v>0</v>
      </c>
      <c r="J3050">
        <v>0</v>
      </c>
      <c r="K3050">
        <v>68</v>
      </c>
      <c r="L3050">
        <v>1</v>
      </c>
      <c r="M3050">
        <v>0</v>
      </c>
      <c r="N3050">
        <v>0</v>
      </c>
      <c r="O3050">
        <v>0</v>
      </c>
      <c r="P3050">
        <v>70</v>
      </c>
    </row>
    <row r="3051" spans="1:16" x14ac:dyDescent="0.2">
      <c r="A3051" t="s">
        <v>4328</v>
      </c>
      <c r="B3051" t="s">
        <v>7872</v>
      </c>
      <c r="C3051" t="s">
        <v>4329</v>
      </c>
      <c r="D3051" t="s">
        <v>4330</v>
      </c>
      <c r="E3051" t="s">
        <v>96</v>
      </c>
      <c r="F3051">
        <v>49.99</v>
      </c>
      <c r="G3051" t="s">
        <v>8</v>
      </c>
      <c r="H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 spans="1:16" x14ac:dyDescent="0.2">
      <c r="A3052" t="s">
        <v>1090</v>
      </c>
      <c r="B3052" t="s">
        <v>7873</v>
      </c>
      <c r="C3052" t="s">
        <v>1091</v>
      </c>
      <c r="D3052" t="s">
        <v>1089</v>
      </c>
      <c r="E3052" t="s">
        <v>290</v>
      </c>
      <c r="F3052">
        <v>529.99</v>
      </c>
      <c r="G3052" t="s">
        <v>8</v>
      </c>
      <c r="H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 spans="1:16" x14ac:dyDescent="0.2">
      <c r="A3053" t="s">
        <v>1023</v>
      </c>
      <c r="B3053" t="s">
        <v>7874</v>
      </c>
      <c r="C3053" t="s">
        <v>1024</v>
      </c>
      <c r="D3053" t="s">
        <v>1020</v>
      </c>
      <c r="E3053" t="s">
        <v>96</v>
      </c>
      <c r="F3053">
        <v>54.99</v>
      </c>
      <c r="G3053" t="s">
        <v>8</v>
      </c>
      <c r="H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 spans="1:16" x14ac:dyDescent="0.2">
      <c r="A3054" t="s">
        <v>4906</v>
      </c>
      <c r="B3054" t="s">
        <v>4908</v>
      </c>
      <c r="C3054" t="s">
        <v>4907</v>
      </c>
      <c r="D3054" t="s">
        <v>446</v>
      </c>
      <c r="E3054" t="s">
        <v>290</v>
      </c>
      <c r="F3054">
        <v>69.989999999999995</v>
      </c>
      <c r="G3054" t="s">
        <v>8</v>
      </c>
      <c r="H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 spans="1:16" x14ac:dyDescent="0.2">
      <c r="A3055" t="s">
        <v>972</v>
      </c>
      <c r="B3055" t="s">
        <v>4661</v>
      </c>
      <c r="C3055" t="s">
        <v>973</v>
      </c>
      <c r="D3055" t="s">
        <v>446</v>
      </c>
      <c r="E3055" t="s">
        <v>228</v>
      </c>
      <c r="F3055">
        <v>44.99</v>
      </c>
      <c r="G3055" t="s">
        <v>8</v>
      </c>
      <c r="H3055">
        <v>0</v>
      </c>
      <c r="J3055">
        <v>0</v>
      </c>
      <c r="K3055">
        <v>3</v>
      </c>
      <c r="L3055">
        <v>1</v>
      </c>
      <c r="M3055">
        <v>0</v>
      </c>
      <c r="N3055">
        <v>0</v>
      </c>
      <c r="O3055">
        <v>0</v>
      </c>
      <c r="P3055">
        <v>4</v>
      </c>
    </row>
    <row r="3056" spans="1:16" x14ac:dyDescent="0.2">
      <c r="A3056" t="s">
        <v>4655</v>
      </c>
      <c r="B3056" t="s">
        <v>7875</v>
      </c>
      <c r="C3056" t="s">
        <v>4656</v>
      </c>
      <c r="D3056" t="s">
        <v>446</v>
      </c>
      <c r="E3056" t="s">
        <v>96</v>
      </c>
      <c r="F3056">
        <v>34.99</v>
      </c>
      <c r="G3056" t="s">
        <v>8</v>
      </c>
      <c r="H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 spans="1:16" x14ac:dyDescent="0.2">
      <c r="A3057" t="s">
        <v>4814</v>
      </c>
      <c r="B3057" t="s">
        <v>4816</v>
      </c>
      <c r="C3057" t="s">
        <v>4815</v>
      </c>
      <c r="D3057" t="s">
        <v>446</v>
      </c>
      <c r="E3057" t="s">
        <v>96</v>
      </c>
      <c r="F3057">
        <v>49.99</v>
      </c>
      <c r="G3057" t="s">
        <v>8</v>
      </c>
      <c r="H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 spans="1:16" x14ac:dyDescent="0.2">
      <c r="A3058" t="s">
        <v>7822</v>
      </c>
      <c r="B3058" t="s">
        <v>7876</v>
      </c>
      <c r="C3058" t="s">
        <v>7823</v>
      </c>
      <c r="D3058" t="s">
        <v>1089</v>
      </c>
      <c r="E3058" t="s">
        <v>96</v>
      </c>
      <c r="F3058">
        <v>499.99</v>
      </c>
      <c r="G3058" t="s">
        <v>8</v>
      </c>
      <c r="H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 spans="1:16" x14ac:dyDescent="0.2">
      <c r="A3059" t="s">
        <v>2292</v>
      </c>
      <c r="B3059" t="s">
        <v>5653</v>
      </c>
      <c r="C3059" t="s">
        <v>2293</v>
      </c>
      <c r="D3059" t="s">
        <v>2146</v>
      </c>
      <c r="E3059" t="s">
        <v>228</v>
      </c>
      <c r="F3059">
        <v>349.99</v>
      </c>
      <c r="G3059" t="s">
        <v>8</v>
      </c>
      <c r="H3059">
        <v>0.16666666666666666</v>
      </c>
      <c r="J3059">
        <v>1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1</v>
      </c>
    </row>
    <row r="3060" spans="1:16" x14ac:dyDescent="0.2">
      <c r="A3060" t="s">
        <v>2109</v>
      </c>
      <c r="B3060" t="s">
        <v>7877</v>
      </c>
      <c r="C3060" t="s">
        <v>2110</v>
      </c>
      <c r="D3060" t="s">
        <v>2088</v>
      </c>
      <c r="E3060" t="s">
        <v>96</v>
      </c>
      <c r="F3060">
        <v>59.99</v>
      </c>
      <c r="G3060" t="s">
        <v>8</v>
      </c>
      <c r="H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 spans="1:16" x14ac:dyDescent="0.2">
      <c r="A3061" t="s">
        <v>2286</v>
      </c>
      <c r="B3061" t="s">
        <v>7878</v>
      </c>
      <c r="C3061" t="s">
        <v>2287</v>
      </c>
      <c r="D3061" t="s">
        <v>2146</v>
      </c>
      <c r="E3061" t="s">
        <v>228</v>
      </c>
      <c r="F3061">
        <v>99.99</v>
      </c>
      <c r="G3061" t="s">
        <v>8</v>
      </c>
      <c r="H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 spans="1:16" x14ac:dyDescent="0.2">
      <c r="A3062" t="s">
        <v>2095</v>
      </c>
      <c r="B3062" t="s">
        <v>5320</v>
      </c>
      <c r="C3062" t="s">
        <v>7879</v>
      </c>
      <c r="D3062" t="s">
        <v>2088</v>
      </c>
      <c r="E3062" t="s">
        <v>290</v>
      </c>
      <c r="F3062">
        <v>59.99</v>
      </c>
      <c r="G3062" t="s">
        <v>8</v>
      </c>
      <c r="H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</row>
    <row r="3063" spans="1:16" x14ac:dyDescent="0.2">
      <c r="A3063" t="s">
        <v>2097</v>
      </c>
      <c r="B3063" t="s">
        <v>5321</v>
      </c>
      <c r="C3063" t="s">
        <v>7880</v>
      </c>
      <c r="D3063" t="s">
        <v>2088</v>
      </c>
      <c r="E3063" t="s">
        <v>96</v>
      </c>
      <c r="F3063">
        <v>59.99</v>
      </c>
      <c r="G3063" t="s">
        <v>8</v>
      </c>
      <c r="H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 spans="1:16" x14ac:dyDescent="0.2">
      <c r="A3064" t="s">
        <v>2099</v>
      </c>
      <c r="B3064" t="s">
        <v>5323</v>
      </c>
      <c r="C3064" t="s">
        <v>7881</v>
      </c>
      <c r="D3064" t="s">
        <v>2088</v>
      </c>
      <c r="E3064" t="s">
        <v>96</v>
      </c>
      <c r="F3064">
        <v>59.99</v>
      </c>
      <c r="G3064" t="s">
        <v>8</v>
      </c>
      <c r="H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</row>
    <row r="3065" spans="1:16" x14ac:dyDescent="0.2">
      <c r="A3065" t="s">
        <v>2101</v>
      </c>
      <c r="B3065" t="s">
        <v>5322</v>
      </c>
      <c r="C3065" t="s">
        <v>7882</v>
      </c>
      <c r="D3065" t="s">
        <v>2088</v>
      </c>
      <c r="E3065" t="s">
        <v>96</v>
      </c>
      <c r="F3065">
        <v>59.99</v>
      </c>
      <c r="G3065" t="s">
        <v>8</v>
      </c>
      <c r="H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 spans="1:16" x14ac:dyDescent="0.2">
      <c r="A3066" t="s">
        <v>2103</v>
      </c>
      <c r="B3066" t="s">
        <v>5324</v>
      </c>
      <c r="C3066" t="s">
        <v>7883</v>
      </c>
      <c r="D3066" t="s">
        <v>2088</v>
      </c>
      <c r="E3066" t="s">
        <v>96</v>
      </c>
      <c r="F3066">
        <v>59.99</v>
      </c>
      <c r="G3066" t="s">
        <v>8</v>
      </c>
      <c r="H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 spans="1:16" x14ac:dyDescent="0.2">
      <c r="A3067" t="s">
        <v>2105</v>
      </c>
      <c r="B3067" t="s">
        <v>7884</v>
      </c>
      <c r="C3067" t="s">
        <v>2106</v>
      </c>
      <c r="D3067" t="s">
        <v>2088</v>
      </c>
      <c r="E3067" t="s">
        <v>96</v>
      </c>
      <c r="F3067">
        <v>59.99</v>
      </c>
      <c r="G3067" t="s">
        <v>8</v>
      </c>
      <c r="H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 spans="1:16" x14ac:dyDescent="0.2">
      <c r="A3068" t="s">
        <v>2093</v>
      </c>
      <c r="B3068" t="s">
        <v>5319</v>
      </c>
      <c r="C3068" t="s">
        <v>7885</v>
      </c>
      <c r="D3068" t="s">
        <v>2088</v>
      </c>
      <c r="E3068" t="s">
        <v>290</v>
      </c>
      <c r="F3068">
        <v>59.99</v>
      </c>
      <c r="G3068" t="s">
        <v>8</v>
      </c>
      <c r="H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 spans="1:16" x14ac:dyDescent="0.2">
      <c r="A3069" t="s">
        <v>2107</v>
      </c>
      <c r="B3069" t="s">
        <v>7886</v>
      </c>
      <c r="C3069" t="s">
        <v>2108</v>
      </c>
      <c r="D3069" t="s">
        <v>2088</v>
      </c>
      <c r="E3069" t="s">
        <v>96</v>
      </c>
      <c r="F3069">
        <v>59.99</v>
      </c>
      <c r="G3069" t="s">
        <v>8</v>
      </c>
      <c r="H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</row>
    <row r="3070" spans="1:16" x14ac:dyDescent="0.2">
      <c r="A3070" t="s">
        <v>2111</v>
      </c>
      <c r="B3070" t="s">
        <v>5308</v>
      </c>
      <c r="C3070" t="s">
        <v>2112</v>
      </c>
      <c r="D3070" t="s">
        <v>2088</v>
      </c>
      <c r="E3070" t="s">
        <v>96</v>
      </c>
      <c r="F3070">
        <v>69.989999999999995</v>
      </c>
      <c r="G3070" t="s">
        <v>8</v>
      </c>
      <c r="H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</row>
    <row r="3071" spans="1:16" x14ac:dyDescent="0.2">
      <c r="A3071" t="s">
        <v>2113</v>
      </c>
      <c r="B3071" t="s">
        <v>7887</v>
      </c>
      <c r="C3071" t="s">
        <v>2114</v>
      </c>
      <c r="D3071" t="s">
        <v>2088</v>
      </c>
      <c r="E3071" t="s">
        <v>96</v>
      </c>
      <c r="F3071">
        <v>69.989999999999995</v>
      </c>
      <c r="G3071" t="s">
        <v>8</v>
      </c>
      <c r="H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</row>
    <row r="3072" spans="1:16" x14ac:dyDescent="0.2">
      <c r="A3072" t="s">
        <v>2115</v>
      </c>
      <c r="B3072" t="s">
        <v>7888</v>
      </c>
      <c r="C3072" t="s">
        <v>2116</v>
      </c>
      <c r="D3072" t="s">
        <v>2088</v>
      </c>
      <c r="E3072" t="s">
        <v>290</v>
      </c>
      <c r="F3072">
        <v>69.989999999999995</v>
      </c>
      <c r="G3072" t="s">
        <v>8</v>
      </c>
      <c r="H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 spans="1:16" x14ac:dyDescent="0.2">
      <c r="A3073" t="s">
        <v>2117</v>
      </c>
      <c r="B3073" t="s">
        <v>5317</v>
      </c>
      <c r="C3073" t="s">
        <v>2118</v>
      </c>
      <c r="D3073" t="s">
        <v>2088</v>
      </c>
      <c r="E3073" t="s">
        <v>290</v>
      </c>
      <c r="F3073">
        <v>59.99</v>
      </c>
      <c r="G3073" t="s">
        <v>8</v>
      </c>
      <c r="H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 spans="1:16" x14ac:dyDescent="0.2">
      <c r="A3074" t="s">
        <v>1968</v>
      </c>
      <c r="B3074" t="s">
        <v>7889</v>
      </c>
      <c r="C3074" t="s">
        <v>1969</v>
      </c>
      <c r="D3074" t="s">
        <v>1897</v>
      </c>
      <c r="E3074" t="s">
        <v>96</v>
      </c>
      <c r="F3074">
        <v>79.989999999999995</v>
      </c>
      <c r="G3074" t="s">
        <v>8</v>
      </c>
      <c r="H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 spans="1:16" x14ac:dyDescent="0.2">
      <c r="A3075" t="s">
        <v>3986</v>
      </c>
      <c r="B3075" t="s">
        <v>7890</v>
      </c>
      <c r="C3075" t="s">
        <v>3987</v>
      </c>
      <c r="D3075" t="s">
        <v>1897</v>
      </c>
      <c r="E3075" t="s">
        <v>96</v>
      </c>
      <c r="F3075">
        <v>64.989999999999995</v>
      </c>
      <c r="G3075" t="s">
        <v>8</v>
      </c>
      <c r="H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 spans="1:16" x14ac:dyDescent="0.2">
      <c r="A3076" t="s">
        <v>4911</v>
      </c>
      <c r="B3076" t="s">
        <v>4913</v>
      </c>
      <c r="C3076" t="s">
        <v>4912</v>
      </c>
      <c r="D3076" t="s">
        <v>446</v>
      </c>
      <c r="E3076" t="s">
        <v>96</v>
      </c>
      <c r="F3076">
        <v>69.989999999999995</v>
      </c>
      <c r="G3076" t="s">
        <v>8</v>
      </c>
      <c r="H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 spans="1:16" x14ac:dyDescent="0.2">
      <c r="A3077" t="s">
        <v>2091</v>
      </c>
      <c r="B3077" t="s">
        <v>5326</v>
      </c>
      <c r="C3077" t="s">
        <v>7891</v>
      </c>
      <c r="D3077" t="s">
        <v>2088</v>
      </c>
      <c r="E3077" t="s">
        <v>96</v>
      </c>
      <c r="F3077">
        <v>59.99</v>
      </c>
      <c r="G3077" t="s">
        <v>8</v>
      </c>
      <c r="H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</row>
    <row r="3078" spans="1:16" x14ac:dyDescent="0.2">
      <c r="A3078" t="s">
        <v>2089</v>
      </c>
      <c r="B3078" t="s">
        <v>5325</v>
      </c>
      <c r="C3078" t="s">
        <v>7892</v>
      </c>
      <c r="D3078" t="s">
        <v>2088</v>
      </c>
      <c r="E3078" t="s">
        <v>96</v>
      </c>
      <c r="F3078">
        <v>59.99</v>
      </c>
      <c r="G3078" t="s">
        <v>8</v>
      </c>
      <c r="H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</row>
    <row r="3079" spans="1:16" x14ac:dyDescent="0.2">
      <c r="A3079" t="s">
        <v>7100</v>
      </c>
      <c r="B3079" t="s">
        <v>7893</v>
      </c>
      <c r="C3079" t="s">
        <v>7101</v>
      </c>
      <c r="D3079" t="s">
        <v>223</v>
      </c>
      <c r="E3079" t="s">
        <v>96</v>
      </c>
      <c r="F3079">
        <v>22.99</v>
      </c>
      <c r="G3079" t="s">
        <v>8</v>
      </c>
      <c r="H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</row>
    <row r="3080" spans="1:16" x14ac:dyDescent="0.2">
      <c r="A3080" t="s">
        <v>2647</v>
      </c>
      <c r="B3080" t="s">
        <v>6049</v>
      </c>
      <c r="C3080" t="s">
        <v>2648</v>
      </c>
      <c r="D3080" t="s">
        <v>2502</v>
      </c>
      <c r="E3080" t="s">
        <v>228</v>
      </c>
      <c r="F3080">
        <v>199.99</v>
      </c>
      <c r="G3080" t="s">
        <v>8</v>
      </c>
      <c r="H3080">
        <v>2.2727272727272728E-2</v>
      </c>
      <c r="J3080">
        <v>0</v>
      </c>
      <c r="K3080">
        <v>10</v>
      </c>
      <c r="L3080">
        <v>1</v>
      </c>
      <c r="M3080">
        <v>0</v>
      </c>
      <c r="N3080">
        <v>0</v>
      </c>
      <c r="O3080">
        <v>0</v>
      </c>
      <c r="P3080">
        <v>11</v>
      </c>
    </row>
    <row r="3081" spans="1:16" x14ac:dyDescent="0.2">
      <c r="A3081" t="s">
        <v>2649</v>
      </c>
      <c r="B3081" t="s">
        <v>6051</v>
      </c>
      <c r="C3081" t="s">
        <v>2650</v>
      </c>
      <c r="D3081" t="s">
        <v>2502</v>
      </c>
      <c r="E3081" t="s">
        <v>228</v>
      </c>
      <c r="F3081">
        <v>199.99</v>
      </c>
      <c r="G3081" t="s">
        <v>8</v>
      </c>
      <c r="H3081">
        <v>1.6129032258064516E-2</v>
      </c>
      <c r="J3081">
        <v>0</v>
      </c>
      <c r="K3081">
        <v>6</v>
      </c>
      <c r="L3081">
        <v>25</v>
      </c>
      <c r="M3081">
        <v>186</v>
      </c>
      <c r="N3081">
        <v>0.16666666666666666</v>
      </c>
      <c r="O3081">
        <v>0</v>
      </c>
      <c r="P3081">
        <v>31</v>
      </c>
    </row>
    <row r="3082" spans="1:16" x14ac:dyDescent="0.2">
      <c r="A3082" t="s">
        <v>3051</v>
      </c>
      <c r="B3082" t="s">
        <v>6504</v>
      </c>
      <c r="C3082" t="s">
        <v>3052</v>
      </c>
      <c r="D3082" t="s">
        <v>2987</v>
      </c>
      <c r="E3082" t="s">
        <v>228</v>
      </c>
      <c r="F3082">
        <v>139.99</v>
      </c>
      <c r="G3082" t="s">
        <v>8</v>
      </c>
      <c r="H3082">
        <v>6.41025641025641E-3</v>
      </c>
      <c r="J3082">
        <v>0</v>
      </c>
      <c r="K3082">
        <v>2</v>
      </c>
      <c r="L3082">
        <v>24</v>
      </c>
      <c r="M3082">
        <v>156</v>
      </c>
      <c r="N3082">
        <v>0.16666666666666666</v>
      </c>
      <c r="O3082">
        <v>0</v>
      </c>
      <c r="P3082">
        <v>26</v>
      </c>
    </row>
    <row r="3083" spans="1:16" x14ac:dyDescent="0.2">
      <c r="A3083" t="s">
        <v>4585</v>
      </c>
      <c r="B3083" t="s">
        <v>4587</v>
      </c>
      <c r="C3083" t="s">
        <v>4586</v>
      </c>
      <c r="D3083" t="s">
        <v>4463</v>
      </c>
      <c r="E3083" t="s">
        <v>96</v>
      </c>
      <c r="F3083">
        <v>19.989999999999998</v>
      </c>
      <c r="G3083" t="s">
        <v>8</v>
      </c>
      <c r="H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</row>
    <row r="3084" spans="1:16" x14ac:dyDescent="0.2">
      <c r="A3084" t="s">
        <v>5924</v>
      </c>
      <c r="B3084" t="s">
        <v>5928</v>
      </c>
      <c r="C3084" t="s">
        <v>5925</v>
      </c>
      <c r="D3084" t="s">
        <v>2502</v>
      </c>
      <c r="E3084" t="s">
        <v>290</v>
      </c>
      <c r="F3084">
        <v>49.99</v>
      </c>
      <c r="G3084" t="s">
        <v>8</v>
      </c>
      <c r="H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</row>
    <row r="3085" spans="1:16" x14ac:dyDescent="0.2">
      <c r="A3085" t="s">
        <v>2541</v>
      </c>
      <c r="B3085" t="s">
        <v>5931</v>
      </c>
      <c r="C3085" t="s">
        <v>2542</v>
      </c>
      <c r="D3085" t="s">
        <v>2502</v>
      </c>
      <c r="E3085" t="s">
        <v>228</v>
      </c>
      <c r="F3085">
        <v>54.99</v>
      </c>
      <c r="G3085" t="s">
        <v>8</v>
      </c>
      <c r="H3085">
        <v>5.7291666666666664E-2</v>
      </c>
      <c r="J3085">
        <v>0</v>
      </c>
      <c r="K3085">
        <v>16</v>
      </c>
      <c r="L3085">
        <v>0</v>
      </c>
      <c r="M3085">
        <v>96</v>
      </c>
      <c r="N3085">
        <v>0.16666666666666666</v>
      </c>
      <c r="O3085">
        <v>0</v>
      </c>
      <c r="P3085">
        <v>16</v>
      </c>
    </row>
    <row r="3086" spans="1:16" x14ac:dyDescent="0.2">
      <c r="A3086" t="s">
        <v>4657</v>
      </c>
      <c r="B3086" t="s">
        <v>7894</v>
      </c>
      <c r="C3086" t="s">
        <v>4658</v>
      </c>
      <c r="D3086" t="s">
        <v>446</v>
      </c>
      <c r="E3086" t="s">
        <v>96</v>
      </c>
      <c r="F3086">
        <v>34.99</v>
      </c>
      <c r="G3086" t="s">
        <v>8</v>
      </c>
      <c r="H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 spans="1:16" x14ac:dyDescent="0.2">
      <c r="A3087" t="s">
        <v>6273</v>
      </c>
      <c r="B3087" t="s">
        <v>6276</v>
      </c>
      <c r="C3087" t="s">
        <v>6274</v>
      </c>
      <c r="D3087" t="s">
        <v>2502</v>
      </c>
      <c r="E3087" t="s">
        <v>96</v>
      </c>
      <c r="F3087">
        <v>49.99</v>
      </c>
      <c r="G3087" t="s">
        <v>8</v>
      </c>
      <c r="H3087">
        <v>1.8518518518518517E-2</v>
      </c>
      <c r="J3087">
        <v>0</v>
      </c>
      <c r="K3087">
        <v>0</v>
      </c>
      <c r="L3087">
        <v>9</v>
      </c>
      <c r="M3087">
        <v>10</v>
      </c>
      <c r="N3087">
        <v>0.5</v>
      </c>
      <c r="O3087">
        <v>0</v>
      </c>
      <c r="P3087">
        <v>5</v>
      </c>
    </row>
    <row r="3088" spans="1:16" x14ac:dyDescent="0.2">
      <c r="A3088" t="s">
        <v>7564</v>
      </c>
      <c r="B3088" t="s">
        <v>7895</v>
      </c>
      <c r="C3088" t="s">
        <v>7565</v>
      </c>
      <c r="D3088" t="s">
        <v>1897</v>
      </c>
      <c r="E3088" t="s">
        <v>96</v>
      </c>
      <c r="F3088">
        <v>79.989999999999995</v>
      </c>
      <c r="G3088" t="s">
        <v>8</v>
      </c>
      <c r="H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 spans="1:16" x14ac:dyDescent="0.2">
      <c r="A3089" t="s">
        <v>1970</v>
      </c>
      <c r="B3089" t="s">
        <v>7896</v>
      </c>
      <c r="C3089" t="s">
        <v>1971</v>
      </c>
      <c r="D3089" t="s">
        <v>1897</v>
      </c>
      <c r="E3089" t="s">
        <v>290</v>
      </c>
      <c r="F3089">
        <v>29.99</v>
      </c>
      <c r="G3089" t="s">
        <v>8</v>
      </c>
      <c r="H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</row>
    <row r="3090" spans="1:16" x14ac:dyDescent="0.2">
      <c r="A3090" t="s">
        <v>1974</v>
      </c>
      <c r="B3090" t="s">
        <v>7897</v>
      </c>
      <c r="C3090" t="s">
        <v>1975</v>
      </c>
      <c r="D3090" t="s">
        <v>1897</v>
      </c>
      <c r="E3090" t="s">
        <v>96</v>
      </c>
      <c r="F3090">
        <v>64.989999999999995</v>
      </c>
      <c r="G3090" t="s">
        <v>8</v>
      </c>
      <c r="H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 spans="1:16" x14ac:dyDescent="0.2">
      <c r="A3091" t="s">
        <v>6064</v>
      </c>
      <c r="B3091" t="s">
        <v>6067</v>
      </c>
      <c r="C3091" t="s">
        <v>6065</v>
      </c>
      <c r="D3091" t="s">
        <v>2502</v>
      </c>
      <c r="E3091" t="s">
        <v>96</v>
      </c>
      <c r="F3091">
        <v>59.99</v>
      </c>
      <c r="G3091" t="s">
        <v>8</v>
      </c>
      <c r="H3091">
        <v>0</v>
      </c>
      <c r="J3091">
        <v>0</v>
      </c>
      <c r="K3091">
        <v>-1</v>
      </c>
      <c r="L3091">
        <v>0</v>
      </c>
      <c r="N3091">
        <v>0</v>
      </c>
      <c r="O3091">
        <v>0</v>
      </c>
      <c r="P3091">
        <v>-1</v>
      </c>
    </row>
    <row r="3092" spans="1:16" x14ac:dyDescent="0.2">
      <c r="A3092" t="s">
        <v>7514</v>
      </c>
      <c r="B3092" t="s">
        <v>7898</v>
      </c>
      <c r="C3092" t="s">
        <v>7515</v>
      </c>
      <c r="D3092" t="s">
        <v>446</v>
      </c>
      <c r="E3092" t="s">
        <v>96</v>
      </c>
      <c r="F3092">
        <v>11.99</v>
      </c>
      <c r="G3092" t="s">
        <v>8</v>
      </c>
      <c r="H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</row>
    <row r="3093" spans="1:16" x14ac:dyDescent="0.2">
      <c r="A3093" t="s">
        <v>7899</v>
      </c>
      <c r="B3093" t="s">
        <v>7900</v>
      </c>
      <c r="C3093" t="s">
        <v>7901</v>
      </c>
      <c r="D3093" t="s">
        <v>1897</v>
      </c>
      <c r="E3093" t="s">
        <v>96</v>
      </c>
      <c r="G3093" t="s">
        <v>8</v>
      </c>
      <c r="H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P3093">
        <v>0</v>
      </c>
    </row>
    <row r="3094" spans="1:16" x14ac:dyDescent="0.2">
      <c r="A3094" t="s">
        <v>7902</v>
      </c>
      <c r="B3094" t="s">
        <v>7903</v>
      </c>
      <c r="C3094" t="s">
        <v>7904</v>
      </c>
      <c r="D3094" t="s">
        <v>1897</v>
      </c>
      <c r="E3094" t="s">
        <v>96</v>
      </c>
      <c r="G3094" t="s">
        <v>8</v>
      </c>
      <c r="H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P3094">
        <v>0</v>
      </c>
    </row>
    <row r="3095" spans="1:16" x14ac:dyDescent="0.2">
      <c r="A3095" t="s">
        <v>7260</v>
      </c>
      <c r="B3095" t="s">
        <v>7905</v>
      </c>
      <c r="C3095" t="s">
        <v>7262</v>
      </c>
      <c r="D3095" t="s">
        <v>1897</v>
      </c>
      <c r="E3095" t="s">
        <v>96</v>
      </c>
      <c r="F3095">
        <v>59.99</v>
      </c>
      <c r="G3095" t="s">
        <v>8</v>
      </c>
      <c r="H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 spans="1:16" x14ac:dyDescent="0.2">
      <c r="A3096" t="s">
        <v>2232</v>
      </c>
      <c r="B3096" t="s">
        <v>5636</v>
      </c>
      <c r="C3096" t="s">
        <v>2233</v>
      </c>
      <c r="D3096" t="s">
        <v>2146</v>
      </c>
      <c r="E3096" t="s">
        <v>228</v>
      </c>
      <c r="F3096">
        <v>39.99</v>
      </c>
      <c r="G3096" t="s">
        <v>8</v>
      </c>
      <c r="H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 spans="1:16" x14ac:dyDescent="0.2">
      <c r="A3097" t="s">
        <v>2234</v>
      </c>
      <c r="B3097" t="s">
        <v>5423</v>
      </c>
      <c r="C3097" t="s">
        <v>2235</v>
      </c>
      <c r="D3097" t="s">
        <v>2146</v>
      </c>
      <c r="E3097" t="s">
        <v>290</v>
      </c>
      <c r="F3097">
        <v>49.99</v>
      </c>
      <c r="G3097" t="s">
        <v>8</v>
      </c>
      <c r="H3097">
        <v>0</v>
      </c>
      <c r="J3097">
        <v>6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6</v>
      </c>
    </row>
    <row r="3098" spans="1:16" x14ac:dyDescent="0.2">
      <c r="A3098" t="s">
        <v>2240</v>
      </c>
      <c r="B3098" t="s">
        <v>5641</v>
      </c>
      <c r="C3098" t="s">
        <v>2241</v>
      </c>
      <c r="D3098" t="s">
        <v>2146</v>
      </c>
      <c r="E3098" t="s">
        <v>290</v>
      </c>
      <c r="F3098">
        <v>99.99</v>
      </c>
      <c r="G3098" t="s">
        <v>8</v>
      </c>
      <c r="H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 spans="1:16" x14ac:dyDescent="0.2">
      <c r="A3099" t="s">
        <v>2242</v>
      </c>
      <c r="B3099" t="s">
        <v>5579</v>
      </c>
      <c r="C3099" t="s">
        <v>2243</v>
      </c>
      <c r="D3099" t="s">
        <v>2146</v>
      </c>
      <c r="E3099" t="s">
        <v>290</v>
      </c>
      <c r="F3099">
        <v>39.99</v>
      </c>
      <c r="G3099" t="s">
        <v>8</v>
      </c>
      <c r="H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 spans="1:16" x14ac:dyDescent="0.2">
      <c r="A3100" t="s">
        <v>2252</v>
      </c>
      <c r="B3100" t="s">
        <v>7906</v>
      </c>
      <c r="C3100" t="s">
        <v>2253</v>
      </c>
      <c r="D3100" t="s">
        <v>2146</v>
      </c>
      <c r="E3100" t="s">
        <v>290</v>
      </c>
      <c r="F3100">
        <v>99.99</v>
      </c>
      <c r="G3100" t="s">
        <v>8</v>
      </c>
      <c r="H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 spans="1:16" x14ac:dyDescent="0.2">
      <c r="A3101" t="s">
        <v>2246</v>
      </c>
      <c r="B3101" t="s">
        <v>5404</v>
      </c>
      <c r="C3101" t="s">
        <v>2247</v>
      </c>
      <c r="D3101" t="s">
        <v>2146</v>
      </c>
      <c r="E3101" t="s">
        <v>228</v>
      </c>
      <c r="F3101">
        <v>99.99</v>
      </c>
      <c r="G3101" t="s">
        <v>8</v>
      </c>
      <c r="H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</row>
    <row r="3102" spans="1:16" x14ac:dyDescent="0.2">
      <c r="A3102" t="s">
        <v>2210</v>
      </c>
      <c r="B3102" t="s">
        <v>5631</v>
      </c>
      <c r="C3102" t="s">
        <v>2211</v>
      </c>
      <c r="D3102" t="s">
        <v>2146</v>
      </c>
      <c r="E3102" t="s">
        <v>228</v>
      </c>
      <c r="F3102">
        <v>429.99</v>
      </c>
      <c r="G3102" t="s">
        <v>8</v>
      </c>
      <c r="H3102">
        <v>1.5350877192982455E-2</v>
      </c>
      <c r="J3102">
        <v>1</v>
      </c>
      <c r="K3102">
        <v>6</v>
      </c>
      <c r="L3102">
        <v>31</v>
      </c>
      <c r="M3102">
        <v>74</v>
      </c>
      <c r="N3102">
        <v>0.5</v>
      </c>
      <c r="O3102">
        <v>0</v>
      </c>
      <c r="P3102">
        <v>37</v>
      </c>
    </row>
    <row r="3103" spans="1:16" x14ac:dyDescent="0.2">
      <c r="A3103" t="s">
        <v>2254</v>
      </c>
      <c r="B3103" t="s">
        <v>5587</v>
      </c>
      <c r="C3103" t="s">
        <v>2255</v>
      </c>
      <c r="D3103" t="s">
        <v>2146</v>
      </c>
      <c r="E3103" t="s">
        <v>290</v>
      </c>
      <c r="F3103">
        <v>39.99</v>
      </c>
      <c r="G3103" t="s">
        <v>8</v>
      </c>
      <c r="H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</row>
    <row r="3104" spans="1:16" x14ac:dyDescent="0.2">
      <c r="A3104" t="s">
        <v>2264</v>
      </c>
      <c r="B3104" t="s">
        <v>7907</v>
      </c>
      <c r="C3104" t="s">
        <v>2265</v>
      </c>
      <c r="D3104" t="s">
        <v>2146</v>
      </c>
      <c r="E3104" t="s">
        <v>290</v>
      </c>
      <c r="F3104">
        <v>99.99</v>
      </c>
      <c r="G3104" t="s">
        <v>8</v>
      </c>
      <c r="H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</row>
    <row r="3105" spans="1:16" x14ac:dyDescent="0.2">
      <c r="A3105" t="s">
        <v>2258</v>
      </c>
      <c r="B3105" t="s">
        <v>5407</v>
      </c>
      <c r="C3105" t="s">
        <v>2259</v>
      </c>
      <c r="D3105" t="s">
        <v>2146</v>
      </c>
      <c r="E3105" t="s">
        <v>228</v>
      </c>
      <c r="F3105">
        <v>99.99</v>
      </c>
      <c r="G3105" t="s">
        <v>8</v>
      </c>
      <c r="H3105">
        <v>0</v>
      </c>
      <c r="J3105">
        <v>2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2</v>
      </c>
    </row>
    <row r="3106" spans="1:16" x14ac:dyDescent="0.2">
      <c r="A3106" t="s">
        <v>2294</v>
      </c>
      <c r="B3106" t="s">
        <v>5649</v>
      </c>
      <c r="C3106" t="s">
        <v>2295</v>
      </c>
      <c r="D3106" t="s">
        <v>2146</v>
      </c>
      <c r="E3106" t="s">
        <v>290</v>
      </c>
      <c r="F3106">
        <v>99.99</v>
      </c>
      <c r="G3106" t="s">
        <v>8</v>
      </c>
      <c r="H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</row>
    <row r="3107" spans="1:16" x14ac:dyDescent="0.2">
      <c r="A3107" t="s">
        <v>2296</v>
      </c>
      <c r="B3107" t="s">
        <v>5657</v>
      </c>
      <c r="C3107" t="s">
        <v>2297</v>
      </c>
      <c r="D3107" t="s">
        <v>2146</v>
      </c>
      <c r="E3107" t="s">
        <v>290</v>
      </c>
      <c r="F3107">
        <v>229.99</v>
      </c>
      <c r="G3107" t="s">
        <v>8</v>
      </c>
      <c r="H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</row>
    <row r="3108" spans="1:16" x14ac:dyDescent="0.2">
      <c r="A3108" t="s">
        <v>2290</v>
      </c>
      <c r="B3108" t="s">
        <v>7908</v>
      </c>
      <c r="C3108" t="s">
        <v>2291</v>
      </c>
      <c r="D3108" t="s">
        <v>2146</v>
      </c>
      <c r="E3108" t="s">
        <v>228</v>
      </c>
      <c r="F3108">
        <v>539.99</v>
      </c>
      <c r="G3108" t="s">
        <v>8</v>
      </c>
      <c r="H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 spans="1:16" x14ac:dyDescent="0.2">
      <c r="A3109" t="s">
        <v>2123</v>
      </c>
      <c r="B3109" t="s">
        <v>5313</v>
      </c>
      <c r="C3109" t="s">
        <v>2124</v>
      </c>
      <c r="D3109" t="s">
        <v>2088</v>
      </c>
      <c r="E3109" t="s">
        <v>96</v>
      </c>
      <c r="F3109">
        <v>59.99</v>
      </c>
      <c r="G3109" t="s">
        <v>8</v>
      </c>
      <c r="H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 spans="1:16" x14ac:dyDescent="0.2">
      <c r="A3110" t="s">
        <v>2119</v>
      </c>
      <c r="B3110" t="s">
        <v>7909</v>
      </c>
      <c r="C3110" t="s">
        <v>2120</v>
      </c>
      <c r="D3110" t="s">
        <v>2088</v>
      </c>
      <c r="E3110" t="s">
        <v>290</v>
      </c>
      <c r="F3110">
        <v>59.99</v>
      </c>
      <c r="G3110" t="s">
        <v>8</v>
      </c>
      <c r="H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 spans="1:16" x14ac:dyDescent="0.2">
      <c r="A3111" t="s">
        <v>3822</v>
      </c>
      <c r="B3111" t="s">
        <v>7910</v>
      </c>
      <c r="C3111" t="s">
        <v>3823</v>
      </c>
      <c r="D3111" t="s">
        <v>1897</v>
      </c>
      <c r="E3111" t="s">
        <v>96</v>
      </c>
      <c r="F3111">
        <v>34.99</v>
      </c>
      <c r="G3111" t="s">
        <v>8</v>
      </c>
      <c r="H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</row>
    <row r="3112" spans="1:16" x14ac:dyDescent="0.2">
      <c r="A3112" t="s">
        <v>3930</v>
      </c>
      <c r="B3112" t="s">
        <v>7911</v>
      </c>
      <c r="C3112" t="s">
        <v>3931</v>
      </c>
      <c r="D3112" t="s">
        <v>1897</v>
      </c>
      <c r="E3112" t="s">
        <v>96</v>
      </c>
      <c r="F3112">
        <v>59.99</v>
      </c>
      <c r="G3112" t="s">
        <v>8</v>
      </c>
      <c r="H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 spans="1:16" x14ac:dyDescent="0.2">
      <c r="A3113" t="s">
        <v>7562</v>
      </c>
      <c r="B3113" t="s">
        <v>7912</v>
      </c>
      <c r="C3113" t="s">
        <v>7563</v>
      </c>
      <c r="D3113" t="s">
        <v>1897</v>
      </c>
      <c r="E3113" t="s">
        <v>96</v>
      </c>
      <c r="F3113">
        <v>59.99</v>
      </c>
      <c r="G3113" t="s">
        <v>8</v>
      </c>
      <c r="H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 spans="1:16" x14ac:dyDescent="0.2">
      <c r="A3114" t="s">
        <v>7558</v>
      </c>
      <c r="B3114" t="s">
        <v>7913</v>
      </c>
      <c r="C3114" t="s">
        <v>7559</v>
      </c>
      <c r="D3114" t="s">
        <v>1897</v>
      </c>
      <c r="E3114" t="s">
        <v>96</v>
      </c>
      <c r="F3114">
        <v>69.989999999999995</v>
      </c>
      <c r="G3114" t="s">
        <v>8</v>
      </c>
      <c r="H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 spans="1:16" x14ac:dyDescent="0.2">
      <c r="A3115" t="s">
        <v>7672</v>
      </c>
      <c r="B3115" t="s">
        <v>7914</v>
      </c>
      <c r="C3115" t="s">
        <v>7673</v>
      </c>
      <c r="D3115" t="s">
        <v>1897</v>
      </c>
      <c r="E3115" t="s">
        <v>96</v>
      </c>
      <c r="F3115">
        <v>59.99</v>
      </c>
      <c r="G3115" t="s">
        <v>8</v>
      </c>
      <c r="H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</row>
    <row r="3116" spans="1:16" x14ac:dyDescent="0.2">
      <c r="A3116" t="s">
        <v>7915</v>
      </c>
      <c r="B3116" t="s">
        <v>7916</v>
      </c>
      <c r="C3116" t="s">
        <v>7917</v>
      </c>
      <c r="D3116" t="s">
        <v>1897</v>
      </c>
      <c r="E3116" t="s">
        <v>96</v>
      </c>
      <c r="G3116" t="s">
        <v>8</v>
      </c>
      <c r="H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P3116">
        <v>0</v>
      </c>
    </row>
    <row r="3117" spans="1:16" x14ac:dyDescent="0.2">
      <c r="A3117" t="s">
        <v>1966</v>
      </c>
      <c r="B3117" t="s">
        <v>7918</v>
      </c>
      <c r="C3117" t="s">
        <v>1967</v>
      </c>
      <c r="D3117" t="s">
        <v>1897</v>
      </c>
      <c r="E3117" t="s">
        <v>96</v>
      </c>
      <c r="F3117">
        <v>139.99</v>
      </c>
      <c r="G3117" t="s">
        <v>8</v>
      </c>
      <c r="H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</row>
    <row r="3118" spans="1:16" x14ac:dyDescent="0.2">
      <c r="A3118" t="s">
        <v>1964</v>
      </c>
      <c r="B3118" t="s">
        <v>7919</v>
      </c>
      <c r="C3118" t="s">
        <v>1965</v>
      </c>
      <c r="D3118" t="s">
        <v>1897</v>
      </c>
      <c r="E3118" t="s">
        <v>96</v>
      </c>
      <c r="F3118">
        <v>54.99</v>
      </c>
      <c r="G3118" t="s">
        <v>8</v>
      </c>
      <c r="H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</row>
    <row r="3119" spans="1:16" x14ac:dyDescent="0.2">
      <c r="A3119" t="s">
        <v>3798</v>
      </c>
      <c r="B3119" t="s">
        <v>7920</v>
      </c>
      <c r="C3119" t="s">
        <v>3799</v>
      </c>
      <c r="D3119" t="s">
        <v>1897</v>
      </c>
      <c r="E3119" t="s">
        <v>96</v>
      </c>
      <c r="F3119">
        <v>34.99</v>
      </c>
      <c r="G3119" t="s">
        <v>8</v>
      </c>
      <c r="H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</row>
    <row r="3120" spans="1:16" x14ac:dyDescent="0.2">
      <c r="A3120" t="s">
        <v>3844</v>
      </c>
      <c r="B3120" t="s">
        <v>7921</v>
      </c>
      <c r="C3120" t="s">
        <v>3845</v>
      </c>
      <c r="D3120" t="s">
        <v>1897</v>
      </c>
      <c r="E3120" t="s">
        <v>96</v>
      </c>
      <c r="F3120">
        <v>31.99</v>
      </c>
      <c r="G3120" t="s">
        <v>8</v>
      </c>
      <c r="H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 spans="1:16" x14ac:dyDescent="0.2">
      <c r="A3121" t="s">
        <v>7504</v>
      </c>
      <c r="B3121" t="s">
        <v>7922</v>
      </c>
      <c r="C3121" t="s">
        <v>7505</v>
      </c>
      <c r="D3121" t="s">
        <v>446</v>
      </c>
      <c r="E3121" t="s">
        <v>96</v>
      </c>
      <c r="F3121">
        <v>11.99</v>
      </c>
      <c r="G3121" t="s">
        <v>8</v>
      </c>
      <c r="H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 spans="1:16" x14ac:dyDescent="0.2">
      <c r="A3122" t="s">
        <v>3847</v>
      </c>
      <c r="B3122" t="s">
        <v>7923</v>
      </c>
      <c r="C3122" t="s">
        <v>3848</v>
      </c>
      <c r="D3122" t="s">
        <v>1897</v>
      </c>
      <c r="E3122" t="s">
        <v>96</v>
      </c>
      <c r="F3122">
        <v>34.99</v>
      </c>
      <c r="G3122" t="s">
        <v>8</v>
      </c>
      <c r="H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 spans="1:16" x14ac:dyDescent="0.2">
      <c r="A3123" t="s">
        <v>3828</v>
      </c>
      <c r="B3123" t="s">
        <v>7924</v>
      </c>
      <c r="C3123" t="s">
        <v>3829</v>
      </c>
      <c r="D3123" t="s">
        <v>1897</v>
      </c>
      <c r="E3123" t="s">
        <v>96</v>
      </c>
      <c r="F3123">
        <v>34.99</v>
      </c>
      <c r="G3123" t="s">
        <v>8</v>
      </c>
      <c r="H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 spans="1:16" x14ac:dyDescent="0.2">
      <c r="A3124" t="s">
        <v>3825</v>
      </c>
      <c r="B3124" t="s">
        <v>7925</v>
      </c>
      <c r="C3124" t="s">
        <v>3826</v>
      </c>
      <c r="D3124" t="s">
        <v>1897</v>
      </c>
      <c r="E3124" t="s">
        <v>96</v>
      </c>
      <c r="F3124">
        <v>59.99</v>
      </c>
      <c r="G3124" t="s">
        <v>8</v>
      </c>
      <c r="H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 spans="1:16" x14ac:dyDescent="0.2">
      <c r="A3125" t="s">
        <v>1972</v>
      </c>
      <c r="B3125" t="s">
        <v>7926</v>
      </c>
      <c r="C3125" t="s">
        <v>1973</v>
      </c>
      <c r="D3125" t="s">
        <v>1897</v>
      </c>
      <c r="E3125" t="s">
        <v>290</v>
      </c>
      <c r="F3125">
        <v>39.99</v>
      </c>
      <c r="G3125" t="s">
        <v>8</v>
      </c>
      <c r="H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 spans="1:16" x14ac:dyDescent="0.2">
      <c r="A3126" t="s">
        <v>7927</v>
      </c>
      <c r="B3126" t="s">
        <v>7928</v>
      </c>
      <c r="C3126" t="s">
        <v>7929</v>
      </c>
      <c r="D3126" t="s">
        <v>1897</v>
      </c>
      <c r="E3126" t="s">
        <v>96</v>
      </c>
      <c r="G3126" t="s">
        <v>8</v>
      </c>
      <c r="H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P3126">
        <v>0</v>
      </c>
    </row>
    <row r="3127" spans="1:16" x14ac:dyDescent="0.2">
      <c r="A3127" t="s">
        <v>2121</v>
      </c>
      <c r="B3127" t="s">
        <v>5314</v>
      </c>
      <c r="C3127" t="s">
        <v>2122</v>
      </c>
      <c r="D3127" t="s">
        <v>2088</v>
      </c>
      <c r="E3127" t="s">
        <v>96</v>
      </c>
      <c r="F3127">
        <v>59.99</v>
      </c>
      <c r="G3127" t="s">
        <v>8</v>
      </c>
      <c r="H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</row>
    <row r="3128" spans="1:16" x14ac:dyDescent="0.2">
      <c r="A3128" t="s">
        <v>4087</v>
      </c>
      <c r="B3128" t="s">
        <v>7930</v>
      </c>
      <c r="C3128" t="s">
        <v>4088</v>
      </c>
      <c r="D3128" t="s">
        <v>1897</v>
      </c>
      <c r="E3128" t="s">
        <v>96</v>
      </c>
      <c r="F3128">
        <v>54.99</v>
      </c>
      <c r="G3128" t="s">
        <v>8</v>
      </c>
      <c r="H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 spans="1:16" x14ac:dyDescent="0.2">
      <c r="A3129" t="s">
        <v>7931</v>
      </c>
      <c r="B3129" t="s">
        <v>7932</v>
      </c>
      <c r="C3129" t="s">
        <v>7933</v>
      </c>
      <c r="D3129" t="s">
        <v>7624</v>
      </c>
      <c r="E3129" t="s">
        <v>290</v>
      </c>
      <c r="F3129">
        <v>79.989999999999995</v>
      </c>
      <c r="G3129" t="s">
        <v>8</v>
      </c>
      <c r="H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</row>
    <row r="3130" spans="1:16" x14ac:dyDescent="0.2">
      <c r="A3130" t="s">
        <v>3630</v>
      </c>
      <c r="B3130" t="s">
        <v>7934</v>
      </c>
      <c r="C3130" t="s">
        <v>2432</v>
      </c>
      <c r="D3130" t="s">
        <v>2425</v>
      </c>
      <c r="E3130" t="s">
        <v>96</v>
      </c>
      <c r="F3130">
        <v>179.99</v>
      </c>
      <c r="G3130" t="s">
        <v>8</v>
      </c>
      <c r="H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</row>
    <row r="3131" spans="1:16" x14ac:dyDescent="0.2">
      <c r="A3131" t="s">
        <v>7622</v>
      </c>
      <c r="B3131" t="s">
        <v>7935</v>
      </c>
      <c r="C3131" t="s">
        <v>7623</v>
      </c>
      <c r="D3131" t="s">
        <v>7624</v>
      </c>
      <c r="E3131" t="s">
        <v>290</v>
      </c>
      <c r="F3131">
        <v>11.99</v>
      </c>
      <c r="G3131" t="s">
        <v>8</v>
      </c>
      <c r="H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</row>
    <row r="3132" spans="1:16" x14ac:dyDescent="0.2">
      <c r="A3132" t="s">
        <v>5476</v>
      </c>
      <c r="B3132" t="s">
        <v>7936</v>
      </c>
      <c r="C3132" t="s">
        <v>5477</v>
      </c>
      <c r="D3132" t="s">
        <v>2374</v>
      </c>
      <c r="E3132" t="s">
        <v>96</v>
      </c>
      <c r="F3132">
        <v>169.99</v>
      </c>
      <c r="G3132" t="s">
        <v>8</v>
      </c>
      <c r="H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</row>
    <row r="3133" spans="1:16" x14ac:dyDescent="0.2">
      <c r="A3133" t="s">
        <v>4549</v>
      </c>
      <c r="B3133" t="s">
        <v>7937</v>
      </c>
      <c r="C3133" t="s">
        <v>4550</v>
      </c>
      <c r="D3133" t="s">
        <v>4486</v>
      </c>
      <c r="E3133" t="s">
        <v>96</v>
      </c>
      <c r="F3133">
        <v>59.99</v>
      </c>
      <c r="G3133" t="s">
        <v>8</v>
      </c>
      <c r="H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</row>
    <row r="3134" spans="1:16" x14ac:dyDescent="0.2">
      <c r="A3134" t="s">
        <v>2579</v>
      </c>
      <c r="B3134" t="s">
        <v>6103</v>
      </c>
      <c r="C3134" t="s">
        <v>7627</v>
      </c>
      <c r="D3134" t="s">
        <v>2502</v>
      </c>
      <c r="E3134" t="s">
        <v>228</v>
      </c>
      <c r="F3134">
        <v>79.989999999999995</v>
      </c>
      <c r="G3134" t="s">
        <v>8</v>
      </c>
      <c r="H3134">
        <v>0</v>
      </c>
      <c r="J3134">
        <v>6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6</v>
      </c>
    </row>
    <row r="3135" spans="1:16" x14ac:dyDescent="0.2">
      <c r="A3135" t="s">
        <v>2354</v>
      </c>
      <c r="B3135" t="s">
        <v>5616</v>
      </c>
      <c r="C3135" t="s">
        <v>2355</v>
      </c>
      <c r="D3135" t="s">
        <v>2146</v>
      </c>
      <c r="E3135" t="s">
        <v>228</v>
      </c>
      <c r="F3135">
        <v>249.99</v>
      </c>
      <c r="G3135" t="s">
        <v>8</v>
      </c>
      <c r="H3135">
        <v>0.29166666666666669</v>
      </c>
      <c r="J3135">
        <v>0</v>
      </c>
      <c r="K3135">
        <v>0</v>
      </c>
      <c r="L3135">
        <v>2</v>
      </c>
      <c r="M3135">
        <v>6</v>
      </c>
      <c r="N3135">
        <v>0.16666666666666666</v>
      </c>
      <c r="O3135">
        <v>0</v>
      </c>
      <c r="P3135">
        <v>1</v>
      </c>
    </row>
    <row r="3136" spans="1:16" x14ac:dyDescent="0.2">
      <c r="A3136" t="s">
        <v>2352</v>
      </c>
      <c r="B3136" t="s">
        <v>7938</v>
      </c>
      <c r="C3136" t="s">
        <v>2353</v>
      </c>
      <c r="D3136" t="s">
        <v>2146</v>
      </c>
      <c r="E3136" t="s">
        <v>290</v>
      </c>
      <c r="F3136">
        <v>189.99</v>
      </c>
      <c r="G3136" t="s">
        <v>8</v>
      </c>
      <c r="H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</row>
    <row r="3137" spans="1:16" x14ac:dyDescent="0.2">
      <c r="A3137" t="s">
        <v>4567</v>
      </c>
      <c r="B3137" t="s">
        <v>7939</v>
      </c>
      <c r="C3137" t="s">
        <v>4568</v>
      </c>
      <c r="D3137" t="s">
        <v>4486</v>
      </c>
      <c r="E3137" t="s">
        <v>96</v>
      </c>
      <c r="F3137">
        <v>49.99</v>
      </c>
      <c r="G3137" t="s">
        <v>8</v>
      </c>
      <c r="H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</row>
    <row r="3138" spans="1:16" x14ac:dyDescent="0.2">
      <c r="A3138" t="s">
        <v>7166</v>
      </c>
      <c r="B3138" t="s">
        <v>7940</v>
      </c>
      <c r="C3138" t="s">
        <v>7168</v>
      </c>
      <c r="D3138" t="s">
        <v>2425</v>
      </c>
      <c r="E3138" t="s">
        <v>96</v>
      </c>
      <c r="F3138">
        <v>69.989999999999995</v>
      </c>
      <c r="G3138" t="s">
        <v>8</v>
      </c>
      <c r="H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</row>
    <row r="3139" spans="1:16" x14ac:dyDescent="0.2">
      <c r="A3139" t="s">
        <v>3669</v>
      </c>
      <c r="B3139" t="s">
        <v>7941</v>
      </c>
      <c r="C3139" t="s">
        <v>3670</v>
      </c>
      <c r="D3139" t="s">
        <v>2425</v>
      </c>
      <c r="E3139" t="s">
        <v>96</v>
      </c>
      <c r="F3139">
        <v>89.99</v>
      </c>
      <c r="G3139" t="s">
        <v>8</v>
      </c>
      <c r="H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</row>
    <row r="3140" spans="1:16" x14ac:dyDescent="0.2">
      <c r="A3140" t="s">
        <v>3677</v>
      </c>
      <c r="B3140" t="s">
        <v>3680</v>
      </c>
      <c r="C3140" t="s">
        <v>3678</v>
      </c>
      <c r="D3140" t="s">
        <v>2425</v>
      </c>
      <c r="E3140" t="s">
        <v>96</v>
      </c>
      <c r="F3140">
        <v>99.99</v>
      </c>
      <c r="G3140" t="s">
        <v>8</v>
      </c>
      <c r="H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</row>
    <row r="3141" spans="1:16" x14ac:dyDescent="0.2">
      <c r="A3141" t="s">
        <v>3684</v>
      </c>
      <c r="B3141" t="s">
        <v>3686</v>
      </c>
      <c r="C3141" t="s">
        <v>3685</v>
      </c>
      <c r="D3141" t="s">
        <v>2425</v>
      </c>
      <c r="E3141" t="s">
        <v>290</v>
      </c>
      <c r="F3141">
        <v>99.99</v>
      </c>
      <c r="G3141" t="s">
        <v>8</v>
      </c>
      <c r="H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 spans="1:16" x14ac:dyDescent="0.2">
      <c r="A3142" t="s">
        <v>2505</v>
      </c>
      <c r="B3142" t="s">
        <v>6287</v>
      </c>
      <c r="C3142" t="s">
        <v>2506</v>
      </c>
      <c r="D3142" t="s">
        <v>2502</v>
      </c>
      <c r="E3142" t="s">
        <v>228</v>
      </c>
      <c r="F3142">
        <v>119.99</v>
      </c>
      <c r="G3142" t="s">
        <v>8</v>
      </c>
      <c r="H3142">
        <v>0</v>
      </c>
      <c r="J3142">
        <v>0</v>
      </c>
      <c r="K3142">
        <v>0</v>
      </c>
      <c r="L3142">
        <v>0</v>
      </c>
      <c r="M3142">
        <v>-6</v>
      </c>
      <c r="N3142">
        <v>-0.16666666666666666</v>
      </c>
      <c r="O3142">
        <v>0</v>
      </c>
      <c r="P3142">
        <v>1</v>
      </c>
    </row>
    <row r="3143" spans="1:16" x14ac:dyDescent="0.2">
      <c r="A3143" t="s">
        <v>3687</v>
      </c>
      <c r="B3143" t="s">
        <v>3689</v>
      </c>
      <c r="C3143" t="s">
        <v>3688</v>
      </c>
      <c r="D3143" t="s">
        <v>2425</v>
      </c>
      <c r="E3143" t="s">
        <v>96</v>
      </c>
      <c r="F3143">
        <v>99.99</v>
      </c>
      <c r="G3143" t="s">
        <v>8</v>
      </c>
      <c r="H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</row>
    <row r="3144" spans="1:16" x14ac:dyDescent="0.2">
      <c r="A3144" t="s">
        <v>3681</v>
      </c>
      <c r="B3144" t="s">
        <v>3683</v>
      </c>
      <c r="C3144" t="s">
        <v>3682</v>
      </c>
      <c r="D3144" t="s">
        <v>2425</v>
      </c>
      <c r="E3144" t="s">
        <v>96</v>
      </c>
      <c r="F3144">
        <v>99.99</v>
      </c>
      <c r="G3144" t="s">
        <v>8</v>
      </c>
      <c r="H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</row>
    <row r="3145" spans="1:16" x14ac:dyDescent="0.2">
      <c r="A3145" t="s">
        <v>2515</v>
      </c>
      <c r="B3145" t="s">
        <v>6308</v>
      </c>
      <c r="C3145" t="s">
        <v>2516</v>
      </c>
      <c r="D3145" t="s">
        <v>2502</v>
      </c>
      <c r="E3145" t="s">
        <v>228</v>
      </c>
      <c r="F3145">
        <v>139.99</v>
      </c>
      <c r="G3145" t="s">
        <v>8</v>
      </c>
      <c r="H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</row>
    <row r="3146" spans="1:16" x14ac:dyDescent="0.2">
      <c r="A3146" t="s">
        <v>7942</v>
      </c>
      <c r="B3146" t="s">
        <v>7943</v>
      </c>
      <c r="C3146" t="s">
        <v>7944</v>
      </c>
      <c r="D3146" t="s">
        <v>7624</v>
      </c>
      <c r="E3146" t="s">
        <v>290</v>
      </c>
      <c r="F3146">
        <v>49.99</v>
      </c>
      <c r="G3146" t="s">
        <v>8</v>
      </c>
      <c r="H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</row>
    <row r="3147" spans="1:16" x14ac:dyDescent="0.2">
      <c r="A3147" t="s">
        <v>3632</v>
      </c>
      <c r="B3147" t="s">
        <v>7945</v>
      </c>
      <c r="C3147" t="s">
        <v>2430</v>
      </c>
      <c r="D3147" t="s">
        <v>2425</v>
      </c>
      <c r="E3147" t="s">
        <v>96</v>
      </c>
      <c r="F3147">
        <v>149.99</v>
      </c>
      <c r="G3147" t="s">
        <v>8</v>
      </c>
      <c r="H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</row>
    <row r="3148" spans="1:16" x14ac:dyDescent="0.2">
      <c r="A3148" t="s">
        <v>2429</v>
      </c>
      <c r="B3148" t="s">
        <v>7946</v>
      </c>
      <c r="C3148" t="s">
        <v>2430</v>
      </c>
      <c r="D3148" t="s">
        <v>2425</v>
      </c>
      <c r="E3148" t="s">
        <v>290</v>
      </c>
      <c r="F3148">
        <v>149.99</v>
      </c>
      <c r="G3148" t="s">
        <v>8</v>
      </c>
      <c r="H3148">
        <v>0</v>
      </c>
      <c r="J3148">
        <v>0</v>
      </c>
      <c r="K3148">
        <v>0</v>
      </c>
      <c r="L3148">
        <v>0</v>
      </c>
      <c r="M3148">
        <v>0</v>
      </c>
      <c r="N3148">
        <v>0.5</v>
      </c>
      <c r="O3148">
        <v>0</v>
      </c>
      <c r="P3148">
        <v>0</v>
      </c>
    </row>
    <row r="3149" spans="1:16" x14ac:dyDescent="0.2">
      <c r="A3149" t="s">
        <v>3695</v>
      </c>
      <c r="B3149" t="s">
        <v>7947</v>
      </c>
      <c r="C3149" t="s">
        <v>3696</v>
      </c>
      <c r="D3149" t="s">
        <v>2425</v>
      </c>
      <c r="E3149" t="s">
        <v>96</v>
      </c>
      <c r="F3149">
        <v>69.989999999999995</v>
      </c>
      <c r="G3149" t="s">
        <v>8</v>
      </c>
      <c r="H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 spans="1:16" x14ac:dyDescent="0.2">
      <c r="A3150" t="s">
        <v>2583</v>
      </c>
      <c r="B3150" t="s">
        <v>6107</v>
      </c>
      <c r="C3150" t="s">
        <v>2584</v>
      </c>
      <c r="D3150" t="s">
        <v>2502</v>
      </c>
      <c r="E3150" t="s">
        <v>228</v>
      </c>
      <c r="F3150">
        <v>79.989999999999995</v>
      </c>
      <c r="G3150" t="s">
        <v>8</v>
      </c>
      <c r="H3150">
        <v>0</v>
      </c>
      <c r="J3150">
        <v>11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11</v>
      </c>
    </row>
    <row r="3151" spans="1:16" x14ac:dyDescent="0.2">
      <c r="A3151" t="s">
        <v>2350</v>
      </c>
      <c r="B3151" t="s">
        <v>5620</v>
      </c>
      <c r="C3151" t="s">
        <v>2351</v>
      </c>
      <c r="D3151" t="s">
        <v>2146</v>
      </c>
      <c r="E3151" t="s">
        <v>228</v>
      </c>
      <c r="F3151">
        <v>189.99</v>
      </c>
      <c r="G3151" t="s">
        <v>8</v>
      </c>
      <c r="H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</row>
    <row r="3152" spans="1:16" x14ac:dyDescent="0.2">
      <c r="A3152" t="s">
        <v>2469</v>
      </c>
      <c r="B3152" t="s">
        <v>7948</v>
      </c>
      <c r="C3152" t="s">
        <v>2470</v>
      </c>
      <c r="D3152" t="s">
        <v>2448</v>
      </c>
      <c r="E3152" t="s">
        <v>96</v>
      </c>
      <c r="F3152">
        <v>59.99</v>
      </c>
      <c r="G3152" t="s">
        <v>8</v>
      </c>
      <c r="H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</row>
    <row r="3153" spans="1:16" x14ac:dyDescent="0.2">
      <c r="A3153" t="s">
        <v>2362</v>
      </c>
      <c r="B3153" t="s">
        <v>5606</v>
      </c>
      <c r="C3153" t="s">
        <v>2363</v>
      </c>
      <c r="D3153" t="s">
        <v>2146</v>
      </c>
      <c r="E3153" t="s">
        <v>228</v>
      </c>
      <c r="F3153">
        <v>369.99</v>
      </c>
      <c r="G3153" t="s">
        <v>8</v>
      </c>
      <c r="H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</row>
    <row r="3154" spans="1:16" x14ac:dyDescent="0.2">
      <c r="A3154" t="s">
        <v>2463</v>
      </c>
      <c r="B3154" t="s">
        <v>5725</v>
      </c>
      <c r="C3154" t="s">
        <v>2464</v>
      </c>
      <c r="D3154" t="s">
        <v>2448</v>
      </c>
      <c r="E3154" t="s">
        <v>96</v>
      </c>
      <c r="F3154">
        <v>59.99</v>
      </c>
      <c r="G3154" t="s">
        <v>8</v>
      </c>
      <c r="H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</row>
    <row r="3155" spans="1:16" x14ac:dyDescent="0.2">
      <c r="A3155" t="s">
        <v>5950</v>
      </c>
      <c r="B3155" t="s">
        <v>7949</v>
      </c>
      <c r="C3155" t="s">
        <v>5951</v>
      </c>
      <c r="D3155" t="s">
        <v>2502</v>
      </c>
      <c r="E3155" t="s">
        <v>96</v>
      </c>
      <c r="F3155">
        <v>119.99</v>
      </c>
      <c r="G3155" t="s">
        <v>8</v>
      </c>
      <c r="H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</row>
    <row r="3156" spans="1:16" x14ac:dyDescent="0.2">
      <c r="A3156" t="s">
        <v>2358</v>
      </c>
      <c r="B3156" t="s">
        <v>7950</v>
      </c>
      <c r="C3156" t="s">
        <v>2359</v>
      </c>
      <c r="D3156" t="s">
        <v>2146</v>
      </c>
      <c r="E3156" t="s">
        <v>228</v>
      </c>
      <c r="F3156">
        <v>199.99</v>
      </c>
      <c r="G3156" t="s">
        <v>8</v>
      </c>
      <c r="H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</row>
    <row r="3157" spans="1:16" x14ac:dyDescent="0.2">
      <c r="A3157" t="s">
        <v>2467</v>
      </c>
      <c r="B3157" t="s">
        <v>7951</v>
      </c>
      <c r="C3157" t="s">
        <v>2468</v>
      </c>
      <c r="D3157" t="s">
        <v>2448</v>
      </c>
      <c r="E3157" t="s">
        <v>96</v>
      </c>
      <c r="F3157">
        <v>59.99</v>
      </c>
      <c r="G3157" t="s">
        <v>8</v>
      </c>
      <c r="H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</row>
    <row r="3158" spans="1:16" x14ac:dyDescent="0.2">
      <c r="A3158" t="s">
        <v>4536</v>
      </c>
      <c r="B3158" t="s">
        <v>4539</v>
      </c>
      <c r="C3158" t="s">
        <v>4537</v>
      </c>
      <c r="D3158" t="s">
        <v>4463</v>
      </c>
      <c r="E3158" t="s">
        <v>290</v>
      </c>
      <c r="F3158">
        <v>19.989999999999998</v>
      </c>
      <c r="G3158" t="s">
        <v>8</v>
      </c>
      <c r="H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</row>
    <row r="3159" spans="1:16" x14ac:dyDescent="0.2">
      <c r="A3159" t="s">
        <v>4570</v>
      </c>
      <c r="B3159" t="s">
        <v>7952</v>
      </c>
      <c r="C3159" t="s">
        <v>4571</v>
      </c>
      <c r="D3159" t="s">
        <v>4486</v>
      </c>
      <c r="E3159" t="s">
        <v>96</v>
      </c>
      <c r="F3159">
        <v>49.99</v>
      </c>
      <c r="G3159" t="s">
        <v>8</v>
      </c>
      <c r="H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</row>
    <row r="3160" spans="1:16" x14ac:dyDescent="0.2">
      <c r="A3160" t="s">
        <v>2346</v>
      </c>
      <c r="B3160" t="s">
        <v>7953</v>
      </c>
      <c r="C3160" t="s">
        <v>2347</v>
      </c>
      <c r="D3160" t="s">
        <v>2146</v>
      </c>
      <c r="E3160" t="s">
        <v>228</v>
      </c>
      <c r="F3160">
        <v>99.99</v>
      </c>
      <c r="G3160" t="s">
        <v>8</v>
      </c>
      <c r="H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</row>
    <row r="3161" spans="1:16" x14ac:dyDescent="0.2">
      <c r="A3161" t="s">
        <v>2356</v>
      </c>
      <c r="B3161" t="s">
        <v>7954</v>
      </c>
      <c r="C3161" t="s">
        <v>2357</v>
      </c>
      <c r="D3161" t="s">
        <v>2146</v>
      </c>
      <c r="E3161" t="s">
        <v>228</v>
      </c>
      <c r="F3161">
        <v>549.99</v>
      </c>
      <c r="G3161" t="s">
        <v>8</v>
      </c>
      <c r="H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</row>
    <row r="3162" spans="1:16" x14ac:dyDescent="0.2">
      <c r="A3162" t="s">
        <v>2587</v>
      </c>
      <c r="B3162" t="s">
        <v>6112</v>
      </c>
      <c r="C3162" t="s">
        <v>2588</v>
      </c>
      <c r="D3162" t="s">
        <v>2502</v>
      </c>
      <c r="E3162" t="s">
        <v>228</v>
      </c>
      <c r="F3162">
        <v>89.99</v>
      </c>
      <c r="G3162" t="s">
        <v>8</v>
      </c>
      <c r="H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</row>
    <row r="3163" spans="1:16" x14ac:dyDescent="0.2">
      <c r="A3163" t="s">
        <v>6060</v>
      </c>
      <c r="B3163" t="s">
        <v>6063</v>
      </c>
      <c r="C3163" t="s">
        <v>6061</v>
      </c>
      <c r="D3163" t="s">
        <v>2502</v>
      </c>
      <c r="E3163" t="s">
        <v>290</v>
      </c>
      <c r="F3163">
        <v>59.99</v>
      </c>
      <c r="G3163" t="s">
        <v>8</v>
      </c>
      <c r="H3163">
        <v>0</v>
      </c>
      <c r="J3163">
        <v>0</v>
      </c>
      <c r="K3163">
        <v>0</v>
      </c>
      <c r="L3163">
        <v>0</v>
      </c>
      <c r="M3163">
        <v>0</v>
      </c>
      <c r="N3163">
        <v>0.66666666666666674</v>
      </c>
      <c r="O3163">
        <v>0</v>
      </c>
      <c r="P3163">
        <v>0</v>
      </c>
    </row>
    <row r="3164" spans="1:16" x14ac:dyDescent="0.2">
      <c r="A3164" t="s">
        <v>2344</v>
      </c>
      <c r="B3164" t="s">
        <v>5379</v>
      </c>
      <c r="C3164" t="s">
        <v>2345</v>
      </c>
      <c r="D3164" t="s">
        <v>2146</v>
      </c>
      <c r="E3164" t="s">
        <v>228</v>
      </c>
      <c r="F3164">
        <v>16.989999999999998</v>
      </c>
      <c r="G3164" t="s">
        <v>8</v>
      </c>
      <c r="H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</row>
    <row r="3165" spans="1:16" x14ac:dyDescent="0.2">
      <c r="A3165" t="s">
        <v>683</v>
      </c>
      <c r="B3165" t="s">
        <v>7955</v>
      </c>
      <c r="C3165" t="s">
        <v>684</v>
      </c>
      <c r="D3165" t="s">
        <v>446</v>
      </c>
      <c r="E3165" t="s">
        <v>290</v>
      </c>
      <c r="F3165">
        <v>149.99</v>
      </c>
      <c r="G3165" t="s">
        <v>8</v>
      </c>
      <c r="H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</row>
    <row r="3166" spans="1:16" x14ac:dyDescent="0.2">
      <c r="A3166" t="s">
        <v>6052</v>
      </c>
      <c r="B3166" t="s">
        <v>6055</v>
      </c>
      <c r="C3166" t="s">
        <v>6053</v>
      </c>
      <c r="D3166" t="s">
        <v>2502</v>
      </c>
      <c r="E3166" t="s">
        <v>96</v>
      </c>
      <c r="F3166">
        <v>59.99</v>
      </c>
      <c r="G3166" t="s">
        <v>8</v>
      </c>
      <c r="H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</row>
    <row r="3167" spans="1:16" x14ac:dyDescent="0.2">
      <c r="A3167" t="s">
        <v>2340</v>
      </c>
      <c r="B3167" t="s">
        <v>7956</v>
      </c>
      <c r="C3167" t="s">
        <v>2341</v>
      </c>
      <c r="D3167" t="s">
        <v>2146</v>
      </c>
      <c r="E3167" t="s">
        <v>228</v>
      </c>
      <c r="F3167">
        <v>549.99</v>
      </c>
      <c r="G3167" t="s">
        <v>8</v>
      </c>
      <c r="H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</row>
    <row r="3168" spans="1:16" x14ac:dyDescent="0.2">
      <c r="A3168" t="s">
        <v>2336</v>
      </c>
      <c r="B3168" t="s">
        <v>5571</v>
      </c>
      <c r="C3168" t="s">
        <v>2337</v>
      </c>
      <c r="D3168" t="s">
        <v>2146</v>
      </c>
      <c r="E3168" t="s">
        <v>228</v>
      </c>
      <c r="F3168">
        <v>229.99</v>
      </c>
      <c r="G3168" t="s">
        <v>8</v>
      </c>
      <c r="H3168">
        <v>2.625570776255708E-2</v>
      </c>
      <c r="J3168">
        <v>0</v>
      </c>
      <c r="K3168">
        <v>2</v>
      </c>
      <c r="L3168">
        <v>71</v>
      </c>
      <c r="M3168">
        <v>28.4</v>
      </c>
      <c r="N3168">
        <v>2.5</v>
      </c>
      <c r="O3168">
        <v>0</v>
      </c>
      <c r="P3168">
        <v>71</v>
      </c>
    </row>
    <row r="3169" spans="1:16" x14ac:dyDescent="0.2">
      <c r="A3169" t="s">
        <v>677</v>
      </c>
      <c r="B3169" t="s">
        <v>7957</v>
      </c>
      <c r="C3169" t="s">
        <v>678</v>
      </c>
      <c r="D3169" t="s">
        <v>446</v>
      </c>
      <c r="E3169" t="s">
        <v>290</v>
      </c>
      <c r="F3169">
        <v>129.99</v>
      </c>
      <c r="G3169" t="s">
        <v>8</v>
      </c>
      <c r="H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</row>
    <row r="3170" spans="1:16" x14ac:dyDescent="0.2">
      <c r="A3170" t="s">
        <v>793</v>
      </c>
      <c r="B3170" t="s">
        <v>7958</v>
      </c>
      <c r="C3170" t="s">
        <v>794</v>
      </c>
      <c r="D3170" t="s">
        <v>446</v>
      </c>
      <c r="E3170" t="s">
        <v>228</v>
      </c>
      <c r="F3170">
        <v>49.99</v>
      </c>
      <c r="G3170" t="s">
        <v>8</v>
      </c>
      <c r="H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</row>
    <row r="3171" spans="1:16" x14ac:dyDescent="0.2">
      <c r="A3171" t="s">
        <v>2465</v>
      </c>
      <c r="B3171" t="s">
        <v>2465</v>
      </c>
      <c r="C3171" t="s">
        <v>2466</v>
      </c>
      <c r="D3171" t="s">
        <v>2448</v>
      </c>
      <c r="E3171" t="s">
        <v>96</v>
      </c>
      <c r="F3171">
        <v>59.99</v>
      </c>
      <c r="G3171" t="s">
        <v>8</v>
      </c>
      <c r="H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</row>
    <row r="3172" spans="1:16" x14ac:dyDescent="0.2">
      <c r="A3172" t="s">
        <v>3672</v>
      </c>
      <c r="B3172" t="s">
        <v>3676</v>
      </c>
      <c r="C3172" t="s">
        <v>3673</v>
      </c>
      <c r="D3172" t="s">
        <v>2425</v>
      </c>
      <c r="E3172" t="s">
        <v>96</v>
      </c>
      <c r="F3172">
        <v>99.99</v>
      </c>
      <c r="G3172" t="s">
        <v>8</v>
      </c>
      <c r="H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 spans="1:16" x14ac:dyDescent="0.2">
      <c r="A3173" t="s">
        <v>2436</v>
      </c>
      <c r="B3173" t="s">
        <v>3638</v>
      </c>
      <c r="C3173" t="s">
        <v>2437</v>
      </c>
      <c r="D3173" t="s">
        <v>2425</v>
      </c>
      <c r="E3173" t="s">
        <v>290</v>
      </c>
      <c r="F3173">
        <v>159.99</v>
      </c>
      <c r="G3173" t="s">
        <v>8</v>
      </c>
      <c r="H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</row>
    <row r="3174" spans="1:16" x14ac:dyDescent="0.2">
      <c r="A3174" t="s">
        <v>3654</v>
      </c>
      <c r="B3174" t="s">
        <v>3658</v>
      </c>
      <c r="C3174" t="s">
        <v>3655</v>
      </c>
      <c r="D3174" t="s">
        <v>2425</v>
      </c>
      <c r="E3174" t="s">
        <v>96</v>
      </c>
      <c r="F3174">
        <v>89.99</v>
      </c>
      <c r="G3174" t="s">
        <v>8</v>
      </c>
      <c r="H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</row>
    <row r="3175" spans="1:16" x14ac:dyDescent="0.2">
      <c r="A3175" t="s">
        <v>1868</v>
      </c>
      <c r="B3175" t="s">
        <v>7959</v>
      </c>
      <c r="C3175" t="s">
        <v>1869</v>
      </c>
      <c r="D3175" t="s">
        <v>1863</v>
      </c>
      <c r="E3175" t="s">
        <v>290</v>
      </c>
      <c r="F3175">
        <v>499.99</v>
      </c>
      <c r="G3175" t="s">
        <v>8</v>
      </c>
      <c r="H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</row>
    <row r="3176" spans="1:16" x14ac:dyDescent="0.2">
      <c r="A3176" t="s">
        <v>1870</v>
      </c>
      <c r="B3176" t="s">
        <v>7960</v>
      </c>
      <c r="C3176" t="s">
        <v>1871</v>
      </c>
      <c r="D3176" t="s">
        <v>1863</v>
      </c>
      <c r="E3176" t="s">
        <v>290</v>
      </c>
      <c r="F3176">
        <v>499.99</v>
      </c>
      <c r="G3176" t="s">
        <v>8</v>
      </c>
      <c r="H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</row>
    <row r="3177" spans="1:16" x14ac:dyDescent="0.2">
      <c r="A3177" t="s">
        <v>1872</v>
      </c>
      <c r="B3177" t="s">
        <v>7961</v>
      </c>
      <c r="C3177" t="s">
        <v>1873</v>
      </c>
      <c r="D3177" t="s">
        <v>1863</v>
      </c>
      <c r="E3177" t="s">
        <v>290</v>
      </c>
      <c r="F3177">
        <v>599.99</v>
      </c>
      <c r="G3177" t="s">
        <v>8</v>
      </c>
      <c r="H3177">
        <v>0</v>
      </c>
      <c r="J3177">
        <v>0</v>
      </c>
      <c r="K3177">
        <v>0</v>
      </c>
      <c r="L3177">
        <v>2</v>
      </c>
      <c r="M3177">
        <v>0</v>
      </c>
      <c r="N3177">
        <v>0</v>
      </c>
      <c r="O3177">
        <v>0</v>
      </c>
      <c r="P3177">
        <v>0</v>
      </c>
    </row>
    <row r="3178" spans="1:16" x14ac:dyDescent="0.2">
      <c r="A3178" t="s">
        <v>1874</v>
      </c>
      <c r="B3178" t="s">
        <v>7962</v>
      </c>
      <c r="C3178" t="s">
        <v>1875</v>
      </c>
      <c r="D3178" t="s">
        <v>1863</v>
      </c>
      <c r="E3178" t="s">
        <v>290</v>
      </c>
      <c r="F3178">
        <v>599.99</v>
      </c>
      <c r="G3178" t="s">
        <v>8</v>
      </c>
      <c r="H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</row>
    <row r="3179" spans="1:16" x14ac:dyDescent="0.2">
      <c r="A3179" t="s">
        <v>1876</v>
      </c>
      <c r="B3179" t="s">
        <v>7963</v>
      </c>
      <c r="C3179" t="s">
        <v>1877</v>
      </c>
      <c r="D3179" t="s">
        <v>1863</v>
      </c>
      <c r="E3179" t="s">
        <v>290</v>
      </c>
      <c r="F3179">
        <v>549.99</v>
      </c>
      <c r="G3179" t="s">
        <v>8</v>
      </c>
      <c r="H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</row>
    <row r="3180" spans="1:16" x14ac:dyDescent="0.2">
      <c r="A3180" t="s">
        <v>1878</v>
      </c>
      <c r="B3180" t="s">
        <v>1878</v>
      </c>
      <c r="C3180" t="s">
        <v>1879</v>
      </c>
      <c r="D3180" t="s">
        <v>1863</v>
      </c>
      <c r="E3180" t="s">
        <v>228</v>
      </c>
      <c r="F3180">
        <v>349</v>
      </c>
      <c r="G3180" t="s">
        <v>8</v>
      </c>
      <c r="H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</row>
    <row r="3181" spans="1:16" x14ac:dyDescent="0.2">
      <c r="A3181" t="s">
        <v>4630</v>
      </c>
      <c r="B3181" t="s">
        <v>4632</v>
      </c>
      <c r="C3181" t="s">
        <v>4631</v>
      </c>
      <c r="D3181" t="s">
        <v>446</v>
      </c>
      <c r="E3181" t="s">
        <v>96</v>
      </c>
      <c r="F3181">
        <v>29.99</v>
      </c>
      <c r="G3181" t="s">
        <v>8</v>
      </c>
      <c r="H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</row>
    <row r="3182" spans="1:16" x14ac:dyDescent="0.2">
      <c r="A3182" t="s">
        <v>1880</v>
      </c>
      <c r="B3182" t="s">
        <v>1880</v>
      </c>
      <c r="C3182" t="s">
        <v>1881</v>
      </c>
      <c r="D3182" t="s">
        <v>1863</v>
      </c>
      <c r="E3182" t="s">
        <v>228</v>
      </c>
      <c r="F3182">
        <v>649.99</v>
      </c>
      <c r="G3182" t="s">
        <v>8</v>
      </c>
      <c r="H3182">
        <v>0</v>
      </c>
      <c r="J3182">
        <v>0</v>
      </c>
      <c r="K3182">
        <v>0</v>
      </c>
      <c r="L3182">
        <v>0</v>
      </c>
      <c r="M3182">
        <v>0</v>
      </c>
      <c r="N3182">
        <v>0.5</v>
      </c>
      <c r="O3182">
        <v>0</v>
      </c>
      <c r="P3182">
        <v>0</v>
      </c>
    </row>
    <row r="3183" spans="1:16" x14ac:dyDescent="0.2">
      <c r="A3183" t="s">
        <v>4650</v>
      </c>
      <c r="B3183" t="s">
        <v>4653</v>
      </c>
      <c r="C3183" t="s">
        <v>4651</v>
      </c>
      <c r="D3183" t="s">
        <v>446</v>
      </c>
      <c r="E3183" t="s">
        <v>96</v>
      </c>
      <c r="F3183">
        <v>24.99</v>
      </c>
      <c r="G3183" t="s">
        <v>8</v>
      </c>
      <c r="H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</row>
    <row r="3184" spans="1:16" x14ac:dyDescent="0.2">
      <c r="A3184" t="s">
        <v>1882</v>
      </c>
      <c r="B3184" t="s">
        <v>7964</v>
      </c>
      <c r="C3184" t="s">
        <v>1883</v>
      </c>
      <c r="D3184" t="s">
        <v>1863</v>
      </c>
      <c r="E3184" t="s">
        <v>228</v>
      </c>
      <c r="F3184">
        <v>849.99</v>
      </c>
      <c r="G3184" t="s">
        <v>8</v>
      </c>
      <c r="H3184">
        <v>0.54166666666666663</v>
      </c>
      <c r="J3184">
        <v>0</v>
      </c>
      <c r="K3184">
        <v>0</v>
      </c>
      <c r="L3184">
        <v>2</v>
      </c>
      <c r="M3184">
        <v>4.5</v>
      </c>
      <c r="N3184">
        <v>0.66666666666666663</v>
      </c>
      <c r="O3184">
        <v>0</v>
      </c>
      <c r="P3184">
        <v>3</v>
      </c>
    </row>
    <row r="3185" spans="1:16" x14ac:dyDescent="0.2">
      <c r="A3185" t="s">
        <v>4633</v>
      </c>
      <c r="B3185" t="s">
        <v>4637</v>
      </c>
      <c r="C3185" t="s">
        <v>4634</v>
      </c>
      <c r="D3185" t="s">
        <v>446</v>
      </c>
      <c r="E3185" t="s">
        <v>290</v>
      </c>
      <c r="F3185">
        <v>34.99</v>
      </c>
      <c r="G3185" t="s">
        <v>8</v>
      </c>
      <c r="H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</row>
    <row r="3186" spans="1:16" x14ac:dyDescent="0.2">
      <c r="A3186" t="s">
        <v>1886</v>
      </c>
      <c r="B3186" t="s">
        <v>3493</v>
      </c>
      <c r="C3186" t="s">
        <v>1887</v>
      </c>
      <c r="D3186" t="s">
        <v>1863</v>
      </c>
      <c r="E3186" t="s">
        <v>228</v>
      </c>
      <c r="F3186">
        <v>39.99</v>
      </c>
      <c r="G3186" t="s">
        <v>8</v>
      </c>
      <c r="H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 spans="1:16" x14ac:dyDescent="0.2">
      <c r="A3187" t="s">
        <v>1889</v>
      </c>
      <c r="B3187" t="s">
        <v>5307</v>
      </c>
      <c r="C3187" t="s">
        <v>1890</v>
      </c>
      <c r="D3187" t="s">
        <v>1888</v>
      </c>
      <c r="E3187" t="s">
        <v>290</v>
      </c>
      <c r="F3187">
        <v>149.99</v>
      </c>
      <c r="G3187" t="s">
        <v>8</v>
      </c>
      <c r="H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</row>
    <row r="3188" spans="1:16" x14ac:dyDescent="0.2">
      <c r="A3188" t="s">
        <v>924</v>
      </c>
      <c r="B3188" t="s">
        <v>7965</v>
      </c>
      <c r="C3188" t="s">
        <v>925</v>
      </c>
      <c r="D3188" t="s">
        <v>446</v>
      </c>
      <c r="E3188" t="s">
        <v>96</v>
      </c>
      <c r="F3188">
        <v>29.99</v>
      </c>
      <c r="G3188" t="s">
        <v>8</v>
      </c>
      <c r="H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</row>
    <row r="3189" spans="1:16" x14ac:dyDescent="0.2">
      <c r="A3189" t="s">
        <v>1893</v>
      </c>
      <c r="B3189" t="s">
        <v>5305</v>
      </c>
      <c r="C3189" t="s">
        <v>1894</v>
      </c>
      <c r="D3189" t="s">
        <v>1888</v>
      </c>
      <c r="E3189" t="s">
        <v>228</v>
      </c>
      <c r="F3189">
        <v>149.99</v>
      </c>
      <c r="G3189" t="s">
        <v>8</v>
      </c>
      <c r="H3189">
        <v>4.5138888888888888E-2</v>
      </c>
      <c r="J3189">
        <v>0</v>
      </c>
      <c r="K3189">
        <v>0</v>
      </c>
      <c r="L3189">
        <v>24</v>
      </c>
      <c r="M3189">
        <v>44</v>
      </c>
      <c r="N3189">
        <v>0.5</v>
      </c>
      <c r="O3189">
        <v>0</v>
      </c>
      <c r="P3189">
        <v>22</v>
      </c>
    </row>
    <row r="3190" spans="1:16" x14ac:dyDescent="0.2">
      <c r="A3190" t="s">
        <v>1895</v>
      </c>
      <c r="B3190" t="s">
        <v>5302</v>
      </c>
      <c r="C3190" t="s">
        <v>1896</v>
      </c>
      <c r="D3190" t="s">
        <v>1888</v>
      </c>
      <c r="E3190" t="s">
        <v>228</v>
      </c>
      <c r="F3190">
        <v>119.99</v>
      </c>
      <c r="G3190" t="s">
        <v>8</v>
      </c>
      <c r="H3190">
        <v>5.6497175141242938E-3</v>
      </c>
      <c r="J3190">
        <v>0</v>
      </c>
      <c r="K3190">
        <v>2</v>
      </c>
      <c r="L3190">
        <v>57</v>
      </c>
      <c r="M3190">
        <v>82.499999999999986</v>
      </c>
      <c r="N3190">
        <v>0.66666666666666674</v>
      </c>
      <c r="O3190">
        <v>0</v>
      </c>
      <c r="P3190">
        <v>55</v>
      </c>
    </row>
    <row r="3191" spans="1:16" x14ac:dyDescent="0.2">
      <c r="A3191" t="s">
        <v>2332</v>
      </c>
      <c r="B3191" t="s">
        <v>5387</v>
      </c>
      <c r="C3191" t="s">
        <v>2333</v>
      </c>
      <c r="D3191" t="s">
        <v>2146</v>
      </c>
      <c r="E3191" t="s">
        <v>228</v>
      </c>
      <c r="F3191">
        <v>17.989999999999998</v>
      </c>
      <c r="G3191" t="s">
        <v>8</v>
      </c>
      <c r="H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</row>
    <row r="3192" spans="1:16" x14ac:dyDescent="0.2">
      <c r="A3192" t="s">
        <v>1866</v>
      </c>
      <c r="B3192" t="s">
        <v>3492</v>
      </c>
      <c r="C3192" t="s">
        <v>1867</v>
      </c>
      <c r="D3192" t="s">
        <v>1863</v>
      </c>
      <c r="E3192" t="s">
        <v>228</v>
      </c>
      <c r="F3192">
        <v>39.99</v>
      </c>
      <c r="G3192" t="s">
        <v>8</v>
      </c>
      <c r="H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</row>
    <row r="3193" spans="1:16" x14ac:dyDescent="0.2">
      <c r="A3193" t="s">
        <v>7826</v>
      </c>
      <c r="B3193" t="s">
        <v>7966</v>
      </c>
      <c r="C3193" t="s">
        <v>7827</v>
      </c>
      <c r="D3193" t="s">
        <v>1897</v>
      </c>
      <c r="E3193" t="s">
        <v>96</v>
      </c>
      <c r="F3193">
        <v>44.99</v>
      </c>
      <c r="G3193" t="s">
        <v>8</v>
      </c>
      <c r="H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</row>
    <row r="3194" spans="1:16" x14ac:dyDescent="0.2">
      <c r="A3194" t="s">
        <v>1864</v>
      </c>
      <c r="B3194" t="s">
        <v>3496</v>
      </c>
      <c r="C3194" t="s">
        <v>1865</v>
      </c>
      <c r="D3194" t="s">
        <v>1863</v>
      </c>
      <c r="E3194" t="s">
        <v>228</v>
      </c>
      <c r="F3194">
        <v>1499.99</v>
      </c>
      <c r="G3194" t="s">
        <v>8</v>
      </c>
      <c r="H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</row>
    <row r="3195" spans="1:16" x14ac:dyDescent="0.2">
      <c r="A3195" t="s">
        <v>7736</v>
      </c>
      <c r="B3195" t="s">
        <v>7967</v>
      </c>
      <c r="C3195" t="s">
        <v>7737</v>
      </c>
      <c r="D3195" t="s">
        <v>1897</v>
      </c>
      <c r="E3195" t="s">
        <v>96</v>
      </c>
      <c r="F3195">
        <v>59.99</v>
      </c>
      <c r="G3195" t="s">
        <v>8</v>
      </c>
      <c r="H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</row>
    <row r="3196" spans="1:16" x14ac:dyDescent="0.2">
      <c r="A3196" t="s">
        <v>7738</v>
      </c>
      <c r="B3196" t="s">
        <v>7968</v>
      </c>
      <c r="C3196" t="s">
        <v>7739</v>
      </c>
      <c r="D3196" t="s">
        <v>1897</v>
      </c>
      <c r="E3196" t="s">
        <v>96</v>
      </c>
      <c r="F3196">
        <v>59.99</v>
      </c>
      <c r="G3196" t="s">
        <v>8</v>
      </c>
      <c r="H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</row>
    <row r="3197" spans="1:16" x14ac:dyDescent="0.2">
      <c r="A3197" t="s">
        <v>3795</v>
      </c>
      <c r="B3197" t="s">
        <v>7969</v>
      </c>
      <c r="C3197" t="s">
        <v>3796</v>
      </c>
      <c r="D3197" t="s">
        <v>1897</v>
      </c>
      <c r="E3197" t="s">
        <v>96</v>
      </c>
      <c r="F3197">
        <v>34.99</v>
      </c>
      <c r="G3197" t="s">
        <v>8</v>
      </c>
      <c r="H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</row>
    <row r="3198" spans="1:16" x14ac:dyDescent="0.2">
      <c r="A3198" t="s">
        <v>3801</v>
      </c>
      <c r="B3198" t="s">
        <v>7970</v>
      </c>
      <c r="C3198" t="s">
        <v>3802</v>
      </c>
      <c r="D3198" t="s">
        <v>1897</v>
      </c>
      <c r="E3198" t="s">
        <v>96</v>
      </c>
      <c r="F3198">
        <v>44.99</v>
      </c>
      <c r="G3198" t="s">
        <v>8</v>
      </c>
      <c r="H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</row>
    <row r="3199" spans="1:16" x14ac:dyDescent="0.2">
      <c r="A3199" t="s">
        <v>3837</v>
      </c>
      <c r="B3199" t="s">
        <v>7971</v>
      </c>
      <c r="C3199" t="s">
        <v>3838</v>
      </c>
      <c r="D3199" t="s">
        <v>1897</v>
      </c>
      <c r="E3199" t="s">
        <v>96</v>
      </c>
      <c r="G3199" t="s">
        <v>8</v>
      </c>
      <c r="H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P3199">
        <v>0</v>
      </c>
    </row>
    <row r="3200" spans="1:16" x14ac:dyDescent="0.2">
      <c r="A3200" t="s">
        <v>1930</v>
      </c>
      <c r="B3200" t="s">
        <v>7972</v>
      </c>
      <c r="C3200" t="s">
        <v>1931</v>
      </c>
      <c r="D3200" t="s">
        <v>1897</v>
      </c>
      <c r="E3200" t="s">
        <v>290</v>
      </c>
      <c r="F3200">
        <v>59.99</v>
      </c>
      <c r="G3200" t="s">
        <v>8</v>
      </c>
      <c r="H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</row>
    <row r="3201" spans="1:16" x14ac:dyDescent="0.2">
      <c r="A3201" t="s">
        <v>1932</v>
      </c>
      <c r="B3201" t="s">
        <v>7973</v>
      </c>
      <c r="C3201" t="s">
        <v>1933</v>
      </c>
      <c r="D3201" t="s">
        <v>1897</v>
      </c>
      <c r="E3201" t="s">
        <v>290</v>
      </c>
      <c r="F3201">
        <v>49.99</v>
      </c>
      <c r="G3201" t="s">
        <v>8</v>
      </c>
      <c r="H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</row>
    <row r="3202" spans="1:16" x14ac:dyDescent="0.2">
      <c r="A3202" t="s">
        <v>1934</v>
      </c>
      <c r="B3202" t="s">
        <v>7974</v>
      </c>
      <c r="C3202" t="s">
        <v>1935</v>
      </c>
      <c r="D3202" t="s">
        <v>1897</v>
      </c>
      <c r="E3202" t="s">
        <v>96</v>
      </c>
      <c r="F3202">
        <v>29.99</v>
      </c>
      <c r="G3202" t="s">
        <v>8</v>
      </c>
      <c r="H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</row>
    <row r="3203" spans="1:16" x14ac:dyDescent="0.2">
      <c r="A3203" t="s">
        <v>4102</v>
      </c>
      <c r="B3203" t="s">
        <v>7975</v>
      </c>
      <c r="C3203" t="s">
        <v>4103</v>
      </c>
      <c r="D3203" t="s">
        <v>1897</v>
      </c>
      <c r="E3203" t="s">
        <v>96</v>
      </c>
      <c r="F3203">
        <v>69.989999999999995</v>
      </c>
      <c r="G3203" t="s">
        <v>8</v>
      </c>
      <c r="H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</row>
    <row r="3204" spans="1:16" x14ac:dyDescent="0.2">
      <c r="A3204" t="s">
        <v>4081</v>
      </c>
      <c r="B3204" t="s">
        <v>7976</v>
      </c>
      <c r="C3204" t="s">
        <v>4082</v>
      </c>
      <c r="D3204" t="s">
        <v>1897</v>
      </c>
      <c r="E3204" t="s">
        <v>96</v>
      </c>
      <c r="F3204">
        <v>69.989999999999995</v>
      </c>
      <c r="G3204" t="s">
        <v>8</v>
      </c>
      <c r="H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</row>
    <row r="3205" spans="1:16" x14ac:dyDescent="0.2">
      <c r="A3205" t="s">
        <v>4093</v>
      </c>
      <c r="B3205" t="s">
        <v>7977</v>
      </c>
      <c r="C3205" t="s">
        <v>4094</v>
      </c>
      <c r="D3205" t="s">
        <v>1897</v>
      </c>
      <c r="E3205" t="s">
        <v>96</v>
      </c>
      <c r="F3205">
        <v>69.989999999999995</v>
      </c>
      <c r="G3205" t="s">
        <v>8</v>
      </c>
      <c r="H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</row>
    <row r="3206" spans="1:16" x14ac:dyDescent="0.2">
      <c r="A3206" t="s">
        <v>3792</v>
      </c>
      <c r="B3206" t="s">
        <v>7978</v>
      </c>
      <c r="C3206" t="s">
        <v>3793</v>
      </c>
      <c r="D3206" t="s">
        <v>1897</v>
      </c>
      <c r="E3206" t="s">
        <v>96</v>
      </c>
      <c r="F3206">
        <v>37.99</v>
      </c>
      <c r="G3206" t="s">
        <v>8</v>
      </c>
      <c r="H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</row>
    <row r="3207" spans="1:16" x14ac:dyDescent="0.2">
      <c r="A3207" t="s">
        <v>3816</v>
      </c>
      <c r="B3207" t="s">
        <v>7979</v>
      </c>
      <c r="C3207" t="s">
        <v>3817</v>
      </c>
      <c r="D3207" t="s">
        <v>1897</v>
      </c>
      <c r="E3207" t="s">
        <v>96</v>
      </c>
      <c r="F3207">
        <v>19.989999999999998</v>
      </c>
      <c r="G3207" t="s">
        <v>8</v>
      </c>
      <c r="H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</row>
    <row r="3208" spans="1:16" x14ac:dyDescent="0.2">
      <c r="A3208" t="s">
        <v>4647</v>
      </c>
      <c r="B3208" t="s">
        <v>4649</v>
      </c>
      <c r="C3208" t="s">
        <v>4648</v>
      </c>
      <c r="D3208" t="s">
        <v>446</v>
      </c>
      <c r="E3208" t="s">
        <v>96</v>
      </c>
      <c r="F3208">
        <v>24.99</v>
      </c>
      <c r="G3208" t="s">
        <v>8</v>
      </c>
      <c r="H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</row>
    <row r="3209" spans="1:16" x14ac:dyDescent="0.2">
      <c r="A3209" t="s">
        <v>1856</v>
      </c>
      <c r="B3209" t="s">
        <v>4212</v>
      </c>
      <c r="C3209" t="s">
        <v>1857</v>
      </c>
      <c r="D3209" t="s">
        <v>1811</v>
      </c>
      <c r="E3209" t="s">
        <v>228</v>
      </c>
      <c r="F3209">
        <v>79.989999999999995</v>
      </c>
      <c r="G3209" t="s">
        <v>8</v>
      </c>
      <c r="H3209">
        <v>2.0325203252032518E-3</v>
      </c>
      <c r="J3209">
        <v>0</v>
      </c>
      <c r="K3209">
        <v>139</v>
      </c>
      <c r="L3209">
        <v>148</v>
      </c>
      <c r="M3209">
        <v>339.59999999999997</v>
      </c>
      <c r="N3209">
        <v>0.83333333333333337</v>
      </c>
      <c r="O3209">
        <v>0</v>
      </c>
      <c r="P3209">
        <v>283</v>
      </c>
    </row>
    <row r="3210" spans="1:16" x14ac:dyDescent="0.2">
      <c r="A3210" t="s">
        <v>7980</v>
      </c>
      <c r="B3210" t="s">
        <v>7981</v>
      </c>
      <c r="C3210" t="s">
        <v>7982</v>
      </c>
      <c r="D3210" t="s">
        <v>1897</v>
      </c>
      <c r="E3210" t="s">
        <v>96</v>
      </c>
      <c r="F3210">
        <v>59.99</v>
      </c>
      <c r="G3210" t="s">
        <v>8</v>
      </c>
      <c r="H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</row>
    <row r="3211" spans="1:16" x14ac:dyDescent="0.2">
      <c r="A3211" t="s">
        <v>7235</v>
      </c>
      <c r="B3211" t="s">
        <v>7983</v>
      </c>
      <c r="C3211" t="s">
        <v>7237</v>
      </c>
      <c r="D3211" t="s">
        <v>2425</v>
      </c>
      <c r="E3211" t="s">
        <v>96</v>
      </c>
      <c r="F3211">
        <v>599.99</v>
      </c>
      <c r="G3211" t="s">
        <v>8</v>
      </c>
      <c r="H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</row>
    <row r="3212" spans="1:16" x14ac:dyDescent="0.2">
      <c r="A3212" t="s">
        <v>2389</v>
      </c>
      <c r="B3212" t="s">
        <v>7984</v>
      </c>
      <c r="C3212" t="s">
        <v>2390</v>
      </c>
      <c r="D3212" t="s">
        <v>2374</v>
      </c>
      <c r="E3212" t="s">
        <v>290</v>
      </c>
      <c r="F3212">
        <v>349.99</v>
      </c>
      <c r="G3212" t="s">
        <v>8</v>
      </c>
      <c r="H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</row>
    <row r="3213" spans="1:16" x14ac:dyDescent="0.2">
      <c r="A3213" t="s">
        <v>3659</v>
      </c>
      <c r="B3213" t="s">
        <v>7985</v>
      </c>
      <c r="C3213" t="s">
        <v>3660</v>
      </c>
      <c r="D3213" t="s">
        <v>2425</v>
      </c>
      <c r="E3213" t="s">
        <v>96</v>
      </c>
      <c r="F3213">
        <v>49.99</v>
      </c>
      <c r="G3213" t="s">
        <v>8</v>
      </c>
      <c r="H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</row>
    <row r="3214" spans="1:16" x14ac:dyDescent="0.2">
      <c r="A3214" t="s">
        <v>2379</v>
      </c>
      <c r="B3214" t="s">
        <v>7986</v>
      </c>
      <c r="C3214" t="s">
        <v>2380</v>
      </c>
      <c r="D3214" t="s">
        <v>2374</v>
      </c>
      <c r="E3214" t="s">
        <v>290</v>
      </c>
      <c r="F3214">
        <v>49.99</v>
      </c>
      <c r="G3214" t="s">
        <v>8</v>
      </c>
      <c r="H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</row>
    <row r="3215" spans="1:16" x14ac:dyDescent="0.2">
      <c r="A3215" t="s">
        <v>2383</v>
      </c>
      <c r="B3215" t="s">
        <v>7987</v>
      </c>
      <c r="C3215" t="s">
        <v>2384</v>
      </c>
      <c r="D3215" t="s">
        <v>2374</v>
      </c>
      <c r="E3215" t="s">
        <v>290</v>
      </c>
      <c r="F3215">
        <v>139.99</v>
      </c>
      <c r="G3215" t="s">
        <v>8</v>
      </c>
      <c r="H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</row>
    <row r="3216" spans="1:16" x14ac:dyDescent="0.2">
      <c r="A3216" t="s">
        <v>2393</v>
      </c>
      <c r="B3216" t="s">
        <v>7988</v>
      </c>
      <c r="C3216" t="s">
        <v>2394</v>
      </c>
      <c r="D3216" t="s">
        <v>2374</v>
      </c>
      <c r="E3216" t="s">
        <v>290</v>
      </c>
      <c r="F3216">
        <v>479.99</v>
      </c>
      <c r="G3216" t="s">
        <v>8</v>
      </c>
      <c r="H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 spans="1:16" x14ac:dyDescent="0.2">
      <c r="A3217" t="s">
        <v>3662</v>
      </c>
      <c r="B3217" t="s">
        <v>7989</v>
      </c>
      <c r="C3217" t="s">
        <v>3663</v>
      </c>
      <c r="D3217" t="s">
        <v>2425</v>
      </c>
      <c r="E3217" t="s">
        <v>96</v>
      </c>
      <c r="F3217">
        <v>49.99</v>
      </c>
      <c r="G3217" t="s">
        <v>8</v>
      </c>
      <c r="H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 spans="1:16" x14ac:dyDescent="0.2">
      <c r="A3218" t="s">
        <v>2557</v>
      </c>
      <c r="B3218" t="s">
        <v>6264</v>
      </c>
      <c r="C3218" t="s">
        <v>2558</v>
      </c>
      <c r="D3218" t="s">
        <v>2502</v>
      </c>
      <c r="E3218" t="s">
        <v>228</v>
      </c>
      <c r="F3218">
        <v>179.99</v>
      </c>
      <c r="G3218" t="s">
        <v>8</v>
      </c>
      <c r="H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</row>
    <row r="3219" spans="1:16" x14ac:dyDescent="0.2">
      <c r="A3219" t="s">
        <v>3651</v>
      </c>
      <c r="B3219" t="s">
        <v>7990</v>
      </c>
      <c r="C3219" t="s">
        <v>3652</v>
      </c>
      <c r="D3219" t="s">
        <v>2425</v>
      </c>
      <c r="E3219" t="s">
        <v>290</v>
      </c>
      <c r="F3219">
        <v>109.99</v>
      </c>
      <c r="G3219" t="s">
        <v>8</v>
      </c>
      <c r="H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</row>
    <row r="3220" spans="1:16" x14ac:dyDescent="0.2">
      <c r="A3220" t="s">
        <v>2426</v>
      </c>
      <c r="B3220" t="s">
        <v>3646</v>
      </c>
      <c r="C3220" t="s">
        <v>2427</v>
      </c>
      <c r="D3220" t="s">
        <v>2425</v>
      </c>
      <c r="E3220" t="s">
        <v>290</v>
      </c>
      <c r="F3220">
        <v>179.99</v>
      </c>
      <c r="G3220" t="s">
        <v>8</v>
      </c>
      <c r="H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</row>
    <row r="3221" spans="1:16" x14ac:dyDescent="0.2">
      <c r="A3221" t="s">
        <v>2507</v>
      </c>
      <c r="B3221" t="s">
        <v>6180</v>
      </c>
      <c r="C3221" t="s">
        <v>2508</v>
      </c>
      <c r="D3221" t="s">
        <v>2502</v>
      </c>
      <c r="E3221" t="s">
        <v>228</v>
      </c>
      <c r="F3221">
        <v>139.99</v>
      </c>
      <c r="G3221" t="s">
        <v>8</v>
      </c>
      <c r="H3221">
        <v>0.22222222222222221</v>
      </c>
      <c r="J3221">
        <v>0</v>
      </c>
      <c r="K3221">
        <v>3</v>
      </c>
      <c r="L3221">
        <v>0</v>
      </c>
      <c r="M3221">
        <v>2</v>
      </c>
      <c r="N3221">
        <v>1</v>
      </c>
      <c r="O3221">
        <v>0</v>
      </c>
      <c r="P3221">
        <v>2</v>
      </c>
    </row>
    <row r="3222" spans="1:16" x14ac:dyDescent="0.2">
      <c r="A3222" t="s">
        <v>2438</v>
      </c>
      <c r="B3222" t="s">
        <v>3647</v>
      </c>
      <c r="C3222" t="s">
        <v>2439</v>
      </c>
      <c r="D3222" t="s">
        <v>2425</v>
      </c>
      <c r="E3222" t="s">
        <v>290</v>
      </c>
      <c r="F3222">
        <v>99.99</v>
      </c>
      <c r="G3222" t="s">
        <v>8</v>
      </c>
      <c r="H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</row>
    <row r="3223" spans="1:16" x14ac:dyDescent="0.2">
      <c r="A3223" t="s">
        <v>2431</v>
      </c>
      <c r="B3223" t="s">
        <v>3641</v>
      </c>
      <c r="C3223" t="s">
        <v>2432</v>
      </c>
      <c r="D3223" t="s">
        <v>2425</v>
      </c>
      <c r="E3223" t="s">
        <v>290</v>
      </c>
      <c r="F3223">
        <v>179.99</v>
      </c>
      <c r="G3223" t="s">
        <v>8</v>
      </c>
      <c r="H3223">
        <v>0</v>
      </c>
      <c r="J3223">
        <v>0</v>
      </c>
      <c r="K3223">
        <v>0</v>
      </c>
      <c r="L3223">
        <v>0</v>
      </c>
      <c r="M3223">
        <v>0</v>
      </c>
      <c r="N3223">
        <v>0.83333333333333337</v>
      </c>
      <c r="O3223">
        <v>0</v>
      </c>
      <c r="P3223">
        <v>0</v>
      </c>
    </row>
    <row r="3224" spans="1:16" x14ac:dyDescent="0.2">
      <c r="A3224" t="s">
        <v>3698</v>
      </c>
      <c r="B3224" t="s">
        <v>3700</v>
      </c>
      <c r="C3224" t="s">
        <v>3699</v>
      </c>
      <c r="D3224" t="s">
        <v>2425</v>
      </c>
      <c r="E3224" t="s">
        <v>96</v>
      </c>
      <c r="F3224">
        <v>69.989999999999995</v>
      </c>
      <c r="G3224" t="s">
        <v>8</v>
      </c>
      <c r="H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</row>
    <row r="3225" spans="1:16" x14ac:dyDescent="0.2">
      <c r="A3225" t="s">
        <v>2503</v>
      </c>
      <c r="B3225" t="s">
        <v>6178</v>
      </c>
      <c r="C3225" t="s">
        <v>2504</v>
      </c>
      <c r="D3225" t="s">
        <v>2502</v>
      </c>
      <c r="E3225" t="s">
        <v>228</v>
      </c>
      <c r="F3225">
        <v>129.99</v>
      </c>
      <c r="G3225" t="s">
        <v>8</v>
      </c>
      <c r="H3225">
        <v>0</v>
      </c>
      <c r="J3225">
        <v>0</v>
      </c>
      <c r="K3225">
        <v>0</v>
      </c>
      <c r="L3225">
        <v>0</v>
      </c>
      <c r="M3225">
        <v>0</v>
      </c>
      <c r="N3225">
        <v>1.5</v>
      </c>
      <c r="O3225">
        <v>0</v>
      </c>
      <c r="P3225">
        <v>0</v>
      </c>
    </row>
    <row r="3226" spans="1:16" x14ac:dyDescent="0.2">
      <c r="A3226" t="s">
        <v>6303</v>
      </c>
      <c r="B3226" t="s">
        <v>7991</v>
      </c>
      <c r="C3226" t="s">
        <v>6304</v>
      </c>
      <c r="D3226" t="s">
        <v>2502</v>
      </c>
      <c r="E3226" t="s">
        <v>290</v>
      </c>
      <c r="F3226">
        <v>89.99</v>
      </c>
      <c r="G3226" t="s">
        <v>8</v>
      </c>
      <c r="H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</row>
    <row r="3227" spans="1:16" x14ac:dyDescent="0.2">
      <c r="A3227" t="s">
        <v>7992</v>
      </c>
      <c r="B3227" t="s">
        <v>7993</v>
      </c>
      <c r="C3227" t="s">
        <v>7994</v>
      </c>
      <c r="D3227" t="s">
        <v>7624</v>
      </c>
      <c r="E3227" t="s">
        <v>290</v>
      </c>
      <c r="F3227">
        <v>26.99</v>
      </c>
      <c r="G3227" t="s">
        <v>8</v>
      </c>
      <c r="H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</row>
    <row r="3228" spans="1:16" x14ac:dyDescent="0.2">
      <c r="A3228" t="s">
        <v>4573</v>
      </c>
      <c r="B3228" t="s">
        <v>7995</v>
      </c>
      <c r="C3228" t="s">
        <v>4574</v>
      </c>
      <c r="D3228" t="s">
        <v>4486</v>
      </c>
      <c r="E3228" t="s">
        <v>96</v>
      </c>
      <c r="F3228">
        <v>59.99</v>
      </c>
      <c r="G3228" t="s">
        <v>8</v>
      </c>
      <c r="H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</row>
    <row r="3229" spans="1:16" x14ac:dyDescent="0.2">
      <c r="A3229" t="s">
        <v>7996</v>
      </c>
      <c r="B3229" t="s">
        <v>7997</v>
      </c>
      <c r="C3229" t="s">
        <v>7998</v>
      </c>
      <c r="D3229" t="s">
        <v>7624</v>
      </c>
      <c r="E3229" t="s">
        <v>290</v>
      </c>
      <c r="F3229">
        <v>25.99</v>
      </c>
      <c r="G3229" t="s">
        <v>8</v>
      </c>
      <c r="H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</row>
    <row r="3230" spans="1:16" x14ac:dyDescent="0.2">
      <c r="A3230" t="s">
        <v>2401</v>
      </c>
      <c r="B3230" t="s">
        <v>7999</v>
      </c>
      <c r="C3230" t="s">
        <v>2402</v>
      </c>
      <c r="D3230" t="s">
        <v>2374</v>
      </c>
      <c r="E3230" t="s">
        <v>290</v>
      </c>
      <c r="F3230">
        <v>199.99</v>
      </c>
      <c r="G3230" t="s">
        <v>8</v>
      </c>
      <c r="H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</row>
    <row r="3231" spans="1:16" x14ac:dyDescent="0.2">
      <c r="A3231" t="s">
        <v>3690</v>
      </c>
      <c r="B3231" t="s">
        <v>3694</v>
      </c>
      <c r="C3231" t="s">
        <v>3691</v>
      </c>
      <c r="D3231" t="s">
        <v>2425</v>
      </c>
      <c r="E3231" t="s">
        <v>96</v>
      </c>
      <c r="F3231">
        <v>69.989999999999995</v>
      </c>
      <c r="G3231" t="s">
        <v>8</v>
      </c>
      <c r="H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</row>
    <row r="3232" spans="1:16" x14ac:dyDescent="0.2">
      <c r="A3232" t="s">
        <v>2375</v>
      </c>
      <c r="B3232" t="s">
        <v>8000</v>
      </c>
      <c r="C3232" t="s">
        <v>2376</v>
      </c>
      <c r="D3232" t="s">
        <v>2374</v>
      </c>
      <c r="E3232" t="s">
        <v>290</v>
      </c>
      <c r="F3232">
        <v>149.99</v>
      </c>
      <c r="G3232" t="s">
        <v>8</v>
      </c>
      <c r="H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</row>
    <row r="3233" spans="1:16" x14ac:dyDescent="0.2">
      <c r="A3233" t="s">
        <v>8001</v>
      </c>
      <c r="B3233" t="s">
        <v>8002</v>
      </c>
      <c r="C3233" t="s">
        <v>8003</v>
      </c>
      <c r="D3233" t="s">
        <v>7624</v>
      </c>
      <c r="E3233" t="s">
        <v>290</v>
      </c>
      <c r="F3233">
        <v>99.99</v>
      </c>
      <c r="G3233" t="s">
        <v>8</v>
      </c>
      <c r="H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</row>
    <row r="3234" spans="1:16" x14ac:dyDescent="0.2">
      <c r="A3234" t="s">
        <v>7039</v>
      </c>
      <c r="B3234" t="s">
        <v>8004</v>
      </c>
      <c r="C3234" t="s">
        <v>7040</v>
      </c>
      <c r="D3234" t="s">
        <v>2425</v>
      </c>
      <c r="E3234" t="s">
        <v>96</v>
      </c>
      <c r="F3234">
        <v>69.989999999999995</v>
      </c>
      <c r="G3234" t="s">
        <v>8</v>
      </c>
      <c r="H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</row>
    <row r="3235" spans="1:16" x14ac:dyDescent="0.2">
      <c r="A3235" t="s">
        <v>3648</v>
      </c>
      <c r="B3235" t="s">
        <v>8005</v>
      </c>
      <c r="C3235" t="s">
        <v>3649</v>
      </c>
      <c r="D3235" t="s">
        <v>2425</v>
      </c>
      <c r="E3235" t="s">
        <v>96</v>
      </c>
      <c r="F3235">
        <v>89.99</v>
      </c>
      <c r="G3235" t="s">
        <v>8</v>
      </c>
      <c r="H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</row>
    <row r="3236" spans="1:16" x14ac:dyDescent="0.2">
      <c r="A3236" t="s">
        <v>7157</v>
      </c>
      <c r="B3236" t="s">
        <v>8006</v>
      </c>
      <c r="C3236" t="s">
        <v>7159</v>
      </c>
      <c r="D3236" t="s">
        <v>2502</v>
      </c>
      <c r="E3236" t="s">
        <v>96</v>
      </c>
      <c r="F3236">
        <v>89.99</v>
      </c>
      <c r="G3236" t="s">
        <v>8</v>
      </c>
      <c r="H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</row>
    <row r="3237" spans="1:16" x14ac:dyDescent="0.2">
      <c r="A3237" t="s">
        <v>2545</v>
      </c>
      <c r="B3237" t="s">
        <v>5954</v>
      </c>
      <c r="C3237" t="s">
        <v>2546</v>
      </c>
      <c r="D3237" t="s">
        <v>2502</v>
      </c>
      <c r="E3237" t="s">
        <v>228</v>
      </c>
      <c r="F3237">
        <v>79.989999999999995</v>
      </c>
      <c r="G3237" t="s">
        <v>8</v>
      </c>
      <c r="H3237">
        <v>0</v>
      </c>
      <c r="J3237">
        <v>0</v>
      </c>
      <c r="K3237">
        <v>0</v>
      </c>
      <c r="L3237">
        <v>0</v>
      </c>
      <c r="M3237">
        <v>0</v>
      </c>
      <c r="N3237">
        <v>1</v>
      </c>
      <c r="O3237">
        <v>0</v>
      </c>
      <c r="P3237">
        <v>0</v>
      </c>
    </row>
    <row r="3238" spans="1:16" x14ac:dyDescent="0.2">
      <c r="A3238" t="s">
        <v>8007</v>
      </c>
      <c r="B3238" t="s">
        <v>8008</v>
      </c>
      <c r="C3238" t="s">
        <v>8009</v>
      </c>
      <c r="D3238" t="s">
        <v>7624</v>
      </c>
      <c r="E3238" t="s">
        <v>290</v>
      </c>
      <c r="F3238">
        <v>16.989999999999998</v>
      </c>
      <c r="G3238" t="s">
        <v>8</v>
      </c>
      <c r="H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</row>
    <row r="3239" spans="1:16" x14ac:dyDescent="0.2">
      <c r="A3239" t="s">
        <v>2387</v>
      </c>
      <c r="B3239" t="s">
        <v>8010</v>
      </c>
      <c r="C3239" t="s">
        <v>2388</v>
      </c>
      <c r="D3239" t="s">
        <v>2374</v>
      </c>
      <c r="E3239" t="s">
        <v>290</v>
      </c>
      <c r="F3239">
        <v>279.99</v>
      </c>
      <c r="G3239" t="s">
        <v>8</v>
      </c>
      <c r="H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</row>
    <row r="3240" spans="1:16" x14ac:dyDescent="0.2">
      <c r="A3240" t="s">
        <v>801</v>
      </c>
      <c r="B3240" t="s">
        <v>5044</v>
      </c>
      <c r="C3240" t="s">
        <v>802</v>
      </c>
      <c r="D3240" t="s">
        <v>446</v>
      </c>
      <c r="E3240" t="s">
        <v>228</v>
      </c>
      <c r="F3240">
        <v>49.99</v>
      </c>
      <c r="G3240" t="s">
        <v>8</v>
      </c>
      <c r="H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</row>
    <row r="3241" spans="1:16" x14ac:dyDescent="0.2">
      <c r="A3241" t="s">
        <v>7153</v>
      </c>
      <c r="B3241" t="s">
        <v>7946</v>
      </c>
      <c r="C3241" t="s">
        <v>7155</v>
      </c>
      <c r="D3241" t="s">
        <v>2425</v>
      </c>
      <c r="E3241" t="s">
        <v>96</v>
      </c>
      <c r="F3241">
        <v>49.99</v>
      </c>
      <c r="G3241" t="s">
        <v>8</v>
      </c>
      <c r="H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</row>
    <row r="3242" spans="1:16" x14ac:dyDescent="0.2">
      <c r="A3242" t="s">
        <v>3665</v>
      </c>
      <c r="B3242" t="s">
        <v>8011</v>
      </c>
      <c r="C3242" t="s">
        <v>3666</v>
      </c>
      <c r="D3242" t="s">
        <v>2425</v>
      </c>
      <c r="E3242" t="s">
        <v>96</v>
      </c>
      <c r="F3242">
        <v>39.99</v>
      </c>
      <c r="G3242" t="s">
        <v>8</v>
      </c>
      <c r="H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 spans="1:16" x14ac:dyDescent="0.2">
      <c r="A3243" t="s">
        <v>6056</v>
      </c>
      <c r="B3243" t="s">
        <v>6059</v>
      </c>
      <c r="C3243" t="s">
        <v>6057</v>
      </c>
      <c r="D3243" t="s">
        <v>2502</v>
      </c>
      <c r="E3243" t="s">
        <v>96</v>
      </c>
      <c r="F3243">
        <v>59.99</v>
      </c>
      <c r="G3243" t="s">
        <v>8</v>
      </c>
      <c r="H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</row>
    <row r="3244" spans="1:16" x14ac:dyDescent="0.2">
      <c r="A3244" t="s">
        <v>6613</v>
      </c>
      <c r="B3244" t="s">
        <v>8012</v>
      </c>
      <c r="C3244" t="s">
        <v>6614</v>
      </c>
      <c r="D3244" t="s">
        <v>2987</v>
      </c>
      <c r="E3244" t="s">
        <v>96</v>
      </c>
      <c r="F3244">
        <v>69.989999999999995</v>
      </c>
      <c r="G3244" t="s">
        <v>8</v>
      </c>
      <c r="H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</row>
    <row r="3245" spans="1:16" x14ac:dyDescent="0.2">
      <c r="A3245" t="s">
        <v>5331</v>
      </c>
      <c r="B3245" t="s">
        <v>5333</v>
      </c>
      <c r="C3245" t="s">
        <v>5332</v>
      </c>
      <c r="D3245" t="s">
        <v>4463</v>
      </c>
      <c r="E3245" t="s">
        <v>96</v>
      </c>
      <c r="F3245">
        <v>19.989999999999998</v>
      </c>
      <c r="G3245" t="s">
        <v>8</v>
      </c>
      <c r="H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</row>
    <row r="3246" spans="1:16" x14ac:dyDescent="0.2">
      <c r="A3246" t="s">
        <v>6348</v>
      </c>
      <c r="B3246" t="s">
        <v>6352</v>
      </c>
      <c r="C3246" t="s">
        <v>6349</v>
      </c>
      <c r="D3246" t="s">
        <v>2502</v>
      </c>
      <c r="E3246" t="s">
        <v>290</v>
      </c>
      <c r="F3246">
        <v>129.99</v>
      </c>
      <c r="G3246" t="s">
        <v>8</v>
      </c>
      <c r="H3246">
        <v>4.1666666666666664E-2</v>
      </c>
      <c r="J3246">
        <v>0</v>
      </c>
      <c r="K3246">
        <v>0</v>
      </c>
      <c r="L3246">
        <v>2</v>
      </c>
      <c r="M3246">
        <v>0</v>
      </c>
      <c r="N3246">
        <v>0</v>
      </c>
      <c r="O3246">
        <v>0</v>
      </c>
      <c r="P3246">
        <v>2</v>
      </c>
    </row>
    <row r="3247" spans="1:16" x14ac:dyDescent="0.2">
      <c r="A3247" t="s">
        <v>6236</v>
      </c>
      <c r="B3247" t="s">
        <v>8013</v>
      </c>
      <c r="C3247" t="s">
        <v>6237</v>
      </c>
      <c r="D3247" t="s">
        <v>2502</v>
      </c>
      <c r="E3247" t="s">
        <v>96</v>
      </c>
      <c r="F3247">
        <v>179.99</v>
      </c>
      <c r="G3247" t="s">
        <v>8</v>
      </c>
      <c r="H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</row>
    <row r="3248" spans="1:16" x14ac:dyDescent="0.2">
      <c r="A3248" t="s">
        <v>6327</v>
      </c>
      <c r="B3248" t="s">
        <v>8014</v>
      </c>
      <c r="C3248" t="s">
        <v>6328</v>
      </c>
      <c r="D3248" t="s">
        <v>2502</v>
      </c>
      <c r="E3248" t="s">
        <v>96</v>
      </c>
      <c r="F3248">
        <v>179.99</v>
      </c>
      <c r="G3248" t="s">
        <v>8</v>
      </c>
      <c r="H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</row>
    <row r="3249" spans="1:16" x14ac:dyDescent="0.2">
      <c r="A3249" t="s">
        <v>649</v>
      </c>
      <c r="B3249" t="s">
        <v>4990</v>
      </c>
      <c r="C3249" t="s">
        <v>7026</v>
      </c>
      <c r="D3249" t="s">
        <v>446</v>
      </c>
      <c r="E3249" t="s">
        <v>228</v>
      </c>
      <c r="F3249">
        <v>99.99</v>
      </c>
      <c r="G3249" t="s">
        <v>8</v>
      </c>
      <c r="H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 spans="1:16" x14ac:dyDescent="0.2">
      <c r="A3250" t="s">
        <v>6829</v>
      </c>
      <c r="B3250" t="s">
        <v>6833</v>
      </c>
      <c r="C3250" t="s">
        <v>6830</v>
      </c>
      <c r="D3250" t="s">
        <v>2987</v>
      </c>
      <c r="E3250" t="s">
        <v>228</v>
      </c>
      <c r="F3250">
        <v>89.99</v>
      </c>
      <c r="G3250" t="s">
        <v>8</v>
      </c>
      <c r="H3250">
        <v>2.564102564102564E-2</v>
      </c>
      <c r="J3250">
        <v>0</v>
      </c>
      <c r="K3250">
        <v>10</v>
      </c>
      <c r="L3250">
        <v>3</v>
      </c>
      <c r="M3250">
        <v>78</v>
      </c>
      <c r="N3250">
        <v>0.16666666666666666</v>
      </c>
      <c r="O3250">
        <v>0</v>
      </c>
      <c r="P3250">
        <v>13</v>
      </c>
    </row>
    <row r="3251" spans="1:16" x14ac:dyDescent="0.2">
      <c r="A3251" t="s">
        <v>4213</v>
      </c>
      <c r="B3251" t="s">
        <v>8015</v>
      </c>
      <c r="C3251" t="s">
        <v>4214</v>
      </c>
      <c r="D3251" t="s">
        <v>2852</v>
      </c>
      <c r="E3251" t="s">
        <v>96</v>
      </c>
      <c r="F3251">
        <v>44.99</v>
      </c>
      <c r="G3251" t="s">
        <v>8</v>
      </c>
      <c r="H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</row>
    <row r="3252" spans="1:16" x14ac:dyDescent="0.2">
      <c r="A3252" t="s">
        <v>4917</v>
      </c>
      <c r="B3252" t="s">
        <v>4919</v>
      </c>
      <c r="C3252" t="s">
        <v>4918</v>
      </c>
      <c r="D3252" t="s">
        <v>446</v>
      </c>
      <c r="E3252" t="s">
        <v>96</v>
      </c>
      <c r="F3252">
        <v>44.99</v>
      </c>
      <c r="G3252" t="s">
        <v>8</v>
      </c>
      <c r="H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</row>
    <row r="3253" spans="1:16" x14ac:dyDescent="0.2">
      <c r="A3253" t="s">
        <v>5284</v>
      </c>
      <c r="B3253" t="s">
        <v>8016</v>
      </c>
      <c r="C3253" t="s">
        <v>5285</v>
      </c>
      <c r="D3253" t="s">
        <v>2852</v>
      </c>
      <c r="E3253" t="s">
        <v>96</v>
      </c>
      <c r="F3253">
        <v>99.99</v>
      </c>
      <c r="G3253" t="s">
        <v>8</v>
      </c>
      <c r="H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</row>
    <row r="3254" spans="1:16" x14ac:dyDescent="0.2">
      <c r="A3254" t="s">
        <v>4995</v>
      </c>
      <c r="B3254" t="s">
        <v>4999</v>
      </c>
      <c r="C3254" t="s">
        <v>4996</v>
      </c>
      <c r="D3254" t="s">
        <v>446</v>
      </c>
      <c r="E3254" t="s">
        <v>290</v>
      </c>
      <c r="F3254">
        <v>29.99</v>
      </c>
      <c r="G3254" t="s">
        <v>8</v>
      </c>
      <c r="H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</row>
    <row r="3255" spans="1:16" x14ac:dyDescent="0.2">
      <c r="A3255" t="s">
        <v>5297</v>
      </c>
      <c r="B3255" t="s">
        <v>8017</v>
      </c>
      <c r="C3255" t="s">
        <v>5298</v>
      </c>
      <c r="D3255" t="s">
        <v>2852</v>
      </c>
      <c r="E3255" t="s">
        <v>96</v>
      </c>
      <c r="F3255">
        <v>99.99</v>
      </c>
      <c r="G3255" t="s">
        <v>8</v>
      </c>
      <c r="H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</row>
    <row r="3256" spans="1:16" x14ac:dyDescent="0.2">
      <c r="A3256" t="s">
        <v>6383</v>
      </c>
      <c r="B3256" t="s">
        <v>6386</v>
      </c>
      <c r="C3256" t="s">
        <v>6384</v>
      </c>
      <c r="D3256" t="s">
        <v>2502</v>
      </c>
      <c r="E3256" t="s">
        <v>228</v>
      </c>
      <c r="F3256">
        <v>99.99</v>
      </c>
      <c r="G3256" t="s">
        <v>8</v>
      </c>
      <c r="H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</row>
    <row r="3257" spans="1:16" x14ac:dyDescent="0.2">
      <c r="A3257" t="s">
        <v>6240</v>
      </c>
      <c r="B3257" t="s">
        <v>8018</v>
      </c>
      <c r="C3257" t="s">
        <v>6241</v>
      </c>
      <c r="D3257" t="s">
        <v>2502</v>
      </c>
      <c r="E3257" t="s">
        <v>96</v>
      </c>
      <c r="F3257">
        <v>179.99</v>
      </c>
      <c r="G3257" t="s">
        <v>8</v>
      </c>
      <c r="H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</row>
    <row r="3258" spans="1:16" x14ac:dyDescent="0.2">
      <c r="A3258" t="s">
        <v>7124</v>
      </c>
      <c r="B3258" t="s">
        <v>8019</v>
      </c>
      <c r="C3258" t="s">
        <v>7126</v>
      </c>
      <c r="D3258" t="s">
        <v>2502</v>
      </c>
      <c r="E3258" t="s">
        <v>96</v>
      </c>
      <c r="F3258">
        <v>119.99</v>
      </c>
      <c r="G3258" t="s">
        <v>8</v>
      </c>
      <c r="H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</row>
    <row r="3259" spans="1:16" x14ac:dyDescent="0.2">
      <c r="A3259" t="s">
        <v>4914</v>
      </c>
      <c r="B3259" t="s">
        <v>4916</v>
      </c>
      <c r="C3259" t="s">
        <v>4915</v>
      </c>
      <c r="D3259" t="s">
        <v>446</v>
      </c>
      <c r="E3259" t="s">
        <v>96</v>
      </c>
      <c r="F3259">
        <v>39.99</v>
      </c>
      <c r="G3259" t="s">
        <v>8</v>
      </c>
      <c r="H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</row>
    <row r="3260" spans="1:16" x14ac:dyDescent="0.2">
      <c r="A3260" t="s">
        <v>5939</v>
      </c>
      <c r="B3260" t="s">
        <v>5941</v>
      </c>
      <c r="C3260" t="s">
        <v>5940</v>
      </c>
      <c r="D3260" t="s">
        <v>2502</v>
      </c>
      <c r="E3260" t="s">
        <v>96</v>
      </c>
      <c r="F3260">
        <v>49.99</v>
      </c>
      <c r="G3260" t="s">
        <v>8</v>
      </c>
      <c r="H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</row>
    <row r="3261" spans="1:16" x14ac:dyDescent="0.2">
      <c r="A3261" t="s">
        <v>6068</v>
      </c>
      <c r="B3261" t="s">
        <v>6072</v>
      </c>
      <c r="C3261" t="s">
        <v>6069</v>
      </c>
      <c r="D3261" t="s">
        <v>2502</v>
      </c>
      <c r="E3261" t="s">
        <v>96</v>
      </c>
      <c r="F3261">
        <v>59.99</v>
      </c>
      <c r="G3261" t="s">
        <v>8</v>
      </c>
      <c r="H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</row>
    <row r="3262" spans="1:16" x14ac:dyDescent="0.2">
      <c r="A3262" t="s">
        <v>6073</v>
      </c>
      <c r="B3262" t="s">
        <v>6076</v>
      </c>
      <c r="C3262" t="s">
        <v>6074</v>
      </c>
      <c r="D3262" t="s">
        <v>2502</v>
      </c>
      <c r="E3262" t="s">
        <v>96</v>
      </c>
      <c r="F3262">
        <v>59.99</v>
      </c>
      <c r="G3262" t="s">
        <v>8</v>
      </c>
      <c r="H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</row>
    <row r="3263" spans="1:16" x14ac:dyDescent="0.2">
      <c r="A3263" t="s">
        <v>671</v>
      </c>
      <c r="B3263" t="s">
        <v>4961</v>
      </c>
      <c r="C3263" t="s">
        <v>672</v>
      </c>
      <c r="D3263" t="s">
        <v>446</v>
      </c>
      <c r="E3263" t="s">
        <v>290</v>
      </c>
      <c r="F3263">
        <v>79.989999999999995</v>
      </c>
      <c r="G3263" t="s">
        <v>8</v>
      </c>
      <c r="H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</row>
    <row r="3264" spans="1:16" x14ac:dyDescent="0.2">
      <c r="A3264" t="s">
        <v>2591</v>
      </c>
      <c r="B3264" t="s">
        <v>5938</v>
      </c>
      <c r="C3264" t="s">
        <v>2592</v>
      </c>
      <c r="D3264" t="s">
        <v>2502</v>
      </c>
      <c r="E3264" t="s">
        <v>228</v>
      </c>
      <c r="F3264">
        <v>49.99</v>
      </c>
      <c r="G3264" t="s">
        <v>8</v>
      </c>
      <c r="H3264">
        <v>2.564102564102564E-2</v>
      </c>
      <c r="J3264">
        <v>0</v>
      </c>
      <c r="K3264">
        <v>13</v>
      </c>
      <c r="L3264">
        <v>0</v>
      </c>
      <c r="M3264">
        <v>30</v>
      </c>
      <c r="N3264">
        <v>0.5</v>
      </c>
      <c r="O3264">
        <v>0</v>
      </c>
      <c r="P3264">
        <v>15</v>
      </c>
    </row>
    <row r="3265" spans="1:16" x14ac:dyDescent="0.2">
      <c r="A3265" t="s">
        <v>5944</v>
      </c>
      <c r="B3265" t="s">
        <v>5946</v>
      </c>
      <c r="C3265" t="s">
        <v>5945</v>
      </c>
      <c r="D3265" t="s">
        <v>2502</v>
      </c>
      <c r="E3265" t="s">
        <v>96</v>
      </c>
      <c r="F3265">
        <v>49.99</v>
      </c>
      <c r="G3265" t="s">
        <v>8</v>
      </c>
      <c r="H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</row>
    <row r="3266" spans="1:16" x14ac:dyDescent="0.2">
      <c r="A3266" t="s">
        <v>2637</v>
      </c>
      <c r="B3266" t="s">
        <v>6359</v>
      </c>
      <c r="C3266" t="s">
        <v>2638</v>
      </c>
      <c r="D3266" t="s">
        <v>2502</v>
      </c>
      <c r="E3266" t="s">
        <v>228</v>
      </c>
      <c r="F3266">
        <v>99.99</v>
      </c>
      <c r="G3266" t="s">
        <v>8</v>
      </c>
      <c r="H3266">
        <v>0.75</v>
      </c>
      <c r="J3266">
        <v>0</v>
      </c>
      <c r="K3266">
        <v>0</v>
      </c>
      <c r="L3266">
        <v>2</v>
      </c>
      <c r="M3266">
        <v>0</v>
      </c>
      <c r="N3266">
        <v>0</v>
      </c>
      <c r="O3266">
        <v>0</v>
      </c>
      <c r="P3266">
        <v>2</v>
      </c>
    </row>
    <row r="3267" spans="1:16" x14ac:dyDescent="0.2">
      <c r="A3267" t="s">
        <v>4991</v>
      </c>
      <c r="B3267" t="s">
        <v>4994</v>
      </c>
      <c r="C3267" t="s">
        <v>7038</v>
      </c>
      <c r="D3267" t="s">
        <v>446</v>
      </c>
      <c r="E3267" t="s">
        <v>96</v>
      </c>
      <c r="F3267">
        <v>29.99</v>
      </c>
      <c r="G3267" t="s">
        <v>8</v>
      </c>
      <c r="H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 spans="1:16" x14ac:dyDescent="0.2">
      <c r="A3268" t="s">
        <v>4194</v>
      </c>
      <c r="B3268" t="s">
        <v>8020</v>
      </c>
      <c r="C3268" t="s">
        <v>4195</v>
      </c>
      <c r="D3268" t="s">
        <v>2852</v>
      </c>
      <c r="E3268" t="s">
        <v>96</v>
      </c>
      <c r="F3268">
        <v>29.99</v>
      </c>
      <c r="G3268" t="s">
        <v>8</v>
      </c>
      <c r="H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 spans="1:16" x14ac:dyDescent="0.2">
      <c r="A3269" t="s">
        <v>4197</v>
      </c>
      <c r="B3269" t="s">
        <v>8021</v>
      </c>
      <c r="C3269" t="s">
        <v>4198</v>
      </c>
      <c r="D3269" t="s">
        <v>2852</v>
      </c>
      <c r="E3269" t="s">
        <v>96</v>
      </c>
      <c r="F3269">
        <v>29.99</v>
      </c>
      <c r="G3269" t="s">
        <v>8</v>
      </c>
      <c r="H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</row>
    <row r="3270" spans="1:16" x14ac:dyDescent="0.2">
      <c r="A3270" t="s">
        <v>2725</v>
      </c>
      <c r="B3270" t="s">
        <v>6402</v>
      </c>
      <c r="C3270" t="s">
        <v>2726</v>
      </c>
      <c r="D3270" t="s">
        <v>2502</v>
      </c>
      <c r="E3270" t="s">
        <v>228</v>
      </c>
      <c r="F3270">
        <v>59.99</v>
      </c>
      <c r="G3270" t="s">
        <v>8</v>
      </c>
      <c r="H3270">
        <v>5.128205128205128E-2</v>
      </c>
      <c r="J3270">
        <v>0</v>
      </c>
      <c r="K3270">
        <v>13</v>
      </c>
      <c r="L3270">
        <v>0</v>
      </c>
      <c r="M3270">
        <v>26</v>
      </c>
      <c r="N3270">
        <v>0.5</v>
      </c>
      <c r="O3270">
        <v>0</v>
      </c>
      <c r="P3270">
        <v>13</v>
      </c>
    </row>
    <row r="3271" spans="1:16" x14ac:dyDescent="0.2">
      <c r="A3271" t="s">
        <v>5969</v>
      </c>
      <c r="B3271" t="s">
        <v>5972</v>
      </c>
      <c r="C3271" t="s">
        <v>5970</v>
      </c>
      <c r="D3271" t="s">
        <v>2502</v>
      </c>
      <c r="E3271" t="s">
        <v>290</v>
      </c>
      <c r="F3271">
        <v>99.99</v>
      </c>
      <c r="G3271" t="s">
        <v>8</v>
      </c>
      <c r="H3271">
        <v>0</v>
      </c>
      <c r="J3271">
        <v>0</v>
      </c>
      <c r="K3271">
        <v>0</v>
      </c>
      <c r="L3271">
        <v>0</v>
      </c>
      <c r="M3271">
        <v>0</v>
      </c>
      <c r="N3271">
        <v>0.66666666666666663</v>
      </c>
      <c r="O3271">
        <v>0</v>
      </c>
      <c r="P3271">
        <v>0</v>
      </c>
    </row>
    <row r="3272" spans="1:16" x14ac:dyDescent="0.2">
      <c r="A3272" t="s">
        <v>4978</v>
      </c>
      <c r="B3272" t="s">
        <v>4981</v>
      </c>
      <c r="C3272" t="s">
        <v>7312</v>
      </c>
      <c r="D3272" t="s">
        <v>446</v>
      </c>
      <c r="E3272" t="s">
        <v>290</v>
      </c>
      <c r="F3272">
        <v>99.99</v>
      </c>
      <c r="G3272" t="s">
        <v>8</v>
      </c>
      <c r="H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</row>
    <row r="3273" spans="1:16" x14ac:dyDescent="0.2">
      <c r="A3273" t="s">
        <v>3005</v>
      </c>
      <c r="B3273" t="s">
        <v>8022</v>
      </c>
      <c r="C3273" t="s">
        <v>3006</v>
      </c>
      <c r="D3273" t="s">
        <v>2987</v>
      </c>
      <c r="E3273" t="s">
        <v>290</v>
      </c>
      <c r="F3273">
        <v>49.99</v>
      </c>
      <c r="G3273" t="s">
        <v>8</v>
      </c>
      <c r="H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</row>
    <row r="3274" spans="1:16" x14ac:dyDescent="0.2">
      <c r="A3274" t="s">
        <v>288</v>
      </c>
      <c r="B3274" t="s">
        <v>8023</v>
      </c>
      <c r="C3274" t="s">
        <v>289</v>
      </c>
      <c r="D3274" t="s">
        <v>287</v>
      </c>
      <c r="E3274" t="s">
        <v>290</v>
      </c>
      <c r="F3274">
        <v>399.99</v>
      </c>
      <c r="G3274" t="s">
        <v>8</v>
      </c>
      <c r="H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</row>
    <row r="3275" spans="1:16" x14ac:dyDescent="0.2">
      <c r="A3275" t="s">
        <v>2166</v>
      </c>
      <c r="B3275" t="s">
        <v>5362</v>
      </c>
      <c r="C3275" t="s">
        <v>2167</v>
      </c>
      <c r="D3275" t="s">
        <v>2146</v>
      </c>
      <c r="E3275" t="s">
        <v>228</v>
      </c>
      <c r="F3275">
        <v>89.99</v>
      </c>
      <c r="G3275" t="s">
        <v>8</v>
      </c>
      <c r="H3275">
        <v>0</v>
      </c>
      <c r="J3275">
        <v>0</v>
      </c>
      <c r="K3275">
        <v>10</v>
      </c>
      <c r="L3275">
        <v>0</v>
      </c>
      <c r="M3275">
        <v>0</v>
      </c>
      <c r="N3275">
        <v>0</v>
      </c>
      <c r="O3275">
        <v>0</v>
      </c>
      <c r="P3275">
        <v>11</v>
      </c>
    </row>
    <row r="3276" spans="1:16" x14ac:dyDescent="0.2">
      <c r="A3276" t="s">
        <v>281</v>
      </c>
      <c r="B3276" t="s">
        <v>4349</v>
      </c>
      <c r="C3276" t="s">
        <v>282</v>
      </c>
      <c r="D3276" t="s">
        <v>223</v>
      </c>
      <c r="E3276" t="s">
        <v>228</v>
      </c>
      <c r="F3276">
        <v>29.99</v>
      </c>
      <c r="G3276" t="s">
        <v>8</v>
      </c>
      <c r="H3276">
        <v>0.16666666666666669</v>
      </c>
      <c r="J3276">
        <v>0</v>
      </c>
      <c r="K3276">
        <v>3</v>
      </c>
      <c r="L3276">
        <v>2</v>
      </c>
      <c r="M3276">
        <v>12</v>
      </c>
      <c r="N3276">
        <v>0.5</v>
      </c>
      <c r="O3276">
        <v>0</v>
      </c>
      <c r="P3276">
        <v>6</v>
      </c>
    </row>
    <row r="3277" spans="1:16" x14ac:dyDescent="0.2">
      <c r="A3277" t="s">
        <v>2687</v>
      </c>
      <c r="B3277" t="s">
        <v>6229</v>
      </c>
      <c r="C3277" t="s">
        <v>2688</v>
      </c>
      <c r="D3277" t="s">
        <v>2502</v>
      </c>
      <c r="E3277" t="s">
        <v>228</v>
      </c>
      <c r="F3277">
        <v>159.99</v>
      </c>
      <c r="G3277" t="s">
        <v>8</v>
      </c>
      <c r="H3277">
        <v>1.7857142857142856E-2</v>
      </c>
      <c r="J3277">
        <v>0</v>
      </c>
      <c r="K3277">
        <v>0</v>
      </c>
      <c r="L3277">
        <v>14</v>
      </c>
      <c r="M3277">
        <v>54.000000000000014</v>
      </c>
      <c r="N3277">
        <v>0.16666666666666663</v>
      </c>
      <c r="O3277">
        <v>0</v>
      </c>
      <c r="P3277">
        <v>9</v>
      </c>
    </row>
    <row r="3278" spans="1:16" x14ac:dyDescent="0.2">
      <c r="A3278" t="s">
        <v>7746</v>
      </c>
      <c r="B3278" t="s">
        <v>8024</v>
      </c>
      <c r="C3278" t="s">
        <v>7747</v>
      </c>
      <c r="D3278" t="s">
        <v>2502</v>
      </c>
      <c r="E3278" t="s">
        <v>96</v>
      </c>
      <c r="F3278">
        <v>39.99</v>
      </c>
      <c r="G3278" t="s">
        <v>8</v>
      </c>
      <c r="H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</row>
    <row r="3279" spans="1:16" x14ac:dyDescent="0.2">
      <c r="A3279" t="s">
        <v>2563</v>
      </c>
      <c r="B3279" t="s">
        <v>5968</v>
      </c>
      <c r="C3279" t="s">
        <v>2564</v>
      </c>
      <c r="D3279" t="s">
        <v>2502</v>
      </c>
      <c r="E3279" t="s">
        <v>290</v>
      </c>
      <c r="F3279">
        <v>99.99</v>
      </c>
      <c r="G3279" t="s">
        <v>8</v>
      </c>
      <c r="H3279">
        <v>0.66666666666666663</v>
      </c>
      <c r="J3279">
        <v>1</v>
      </c>
      <c r="K3279">
        <v>0</v>
      </c>
      <c r="L3279">
        <v>0</v>
      </c>
      <c r="M3279">
        <v>2.9999999999999996</v>
      </c>
      <c r="N3279">
        <v>0.66666666666666674</v>
      </c>
      <c r="O3279">
        <v>0</v>
      </c>
      <c r="P3279">
        <v>2</v>
      </c>
    </row>
    <row r="3280" spans="1:16" x14ac:dyDescent="0.2">
      <c r="A3280" t="s">
        <v>4985</v>
      </c>
      <c r="B3280" t="s">
        <v>8025</v>
      </c>
      <c r="C3280" t="s">
        <v>4986</v>
      </c>
      <c r="D3280" t="s">
        <v>446</v>
      </c>
      <c r="E3280" t="s">
        <v>96</v>
      </c>
      <c r="F3280">
        <v>119.99</v>
      </c>
      <c r="G3280" t="s">
        <v>8</v>
      </c>
      <c r="H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</row>
    <row r="3281" spans="1:16" x14ac:dyDescent="0.2">
      <c r="A3281" t="s">
        <v>5825</v>
      </c>
      <c r="B3281" t="s">
        <v>8026</v>
      </c>
      <c r="C3281" t="s">
        <v>5826</v>
      </c>
      <c r="D3281" t="s">
        <v>2852</v>
      </c>
      <c r="E3281" t="s">
        <v>96</v>
      </c>
      <c r="F3281">
        <v>469.99</v>
      </c>
      <c r="G3281" t="s">
        <v>8</v>
      </c>
      <c r="H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</row>
    <row r="3282" spans="1:16" x14ac:dyDescent="0.2">
      <c r="A3282" t="s">
        <v>5910</v>
      </c>
      <c r="B3282" t="s">
        <v>8027</v>
      </c>
      <c r="C3282" t="s">
        <v>5911</v>
      </c>
      <c r="D3282" t="s">
        <v>2852</v>
      </c>
      <c r="E3282" t="s">
        <v>96</v>
      </c>
      <c r="F3282">
        <v>129.99</v>
      </c>
      <c r="G3282" t="s">
        <v>8</v>
      </c>
      <c r="H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</row>
    <row r="3283" spans="1:16" x14ac:dyDescent="0.2">
      <c r="A3283" t="s">
        <v>5913</v>
      </c>
      <c r="B3283" t="s">
        <v>8028</v>
      </c>
      <c r="C3283" t="s">
        <v>5914</v>
      </c>
      <c r="D3283" t="s">
        <v>2852</v>
      </c>
      <c r="E3283" t="s">
        <v>96</v>
      </c>
      <c r="F3283">
        <v>199.99</v>
      </c>
      <c r="G3283" t="s">
        <v>8</v>
      </c>
      <c r="H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</row>
    <row r="3284" spans="1:16" x14ac:dyDescent="0.2">
      <c r="A3284" t="s">
        <v>2861</v>
      </c>
      <c r="B3284" t="s">
        <v>5273</v>
      </c>
      <c r="C3284" t="s">
        <v>2862</v>
      </c>
      <c r="D3284" t="s">
        <v>2852</v>
      </c>
      <c r="E3284" t="s">
        <v>228</v>
      </c>
      <c r="F3284">
        <v>399.99</v>
      </c>
      <c r="G3284" t="s">
        <v>8</v>
      </c>
      <c r="H3284">
        <v>3.364389233954451E-3</v>
      </c>
      <c r="J3284">
        <v>2</v>
      </c>
      <c r="K3284">
        <v>19</v>
      </c>
      <c r="L3284">
        <v>301</v>
      </c>
      <c r="M3284">
        <v>385.2</v>
      </c>
      <c r="N3284">
        <v>0.83333333333333337</v>
      </c>
      <c r="O3284">
        <v>0</v>
      </c>
      <c r="P3284">
        <v>321</v>
      </c>
    </row>
    <row r="3285" spans="1:16" x14ac:dyDescent="0.2">
      <c r="A3285" t="s">
        <v>2759</v>
      </c>
      <c r="B3285" t="s">
        <v>5963</v>
      </c>
      <c r="C3285" t="s">
        <v>2760</v>
      </c>
      <c r="D3285" t="s">
        <v>2502</v>
      </c>
      <c r="E3285" t="s">
        <v>290</v>
      </c>
      <c r="F3285">
        <v>119.99</v>
      </c>
      <c r="G3285" t="s">
        <v>8</v>
      </c>
      <c r="H3285">
        <v>0.45833333333333326</v>
      </c>
      <c r="J3285">
        <v>0</v>
      </c>
      <c r="K3285">
        <v>0</v>
      </c>
      <c r="L3285">
        <v>2</v>
      </c>
      <c r="M3285">
        <v>1.5</v>
      </c>
      <c r="N3285">
        <v>1.3333333333333333</v>
      </c>
      <c r="O3285">
        <v>0</v>
      </c>
      <c r="P3285">
        <v>2</v>
      </c>
    </row>
    <row r="3286" spans="1:16" x14ac:dyDescent="0.2">
      <c r="A3286" t="s">
        <v>6006</v>
      </c>
      <c r="B3286" t="s">
        <v>8029</v>
      </c>
      <c r="C3286" t="s">
        <v>6007</v>
      </c>
      <c r="D3286" t="s">
        <v>2502</v>
      </c>
      <c r="E3286" t="s">
        <v>290</v>
      </c>
      <c r="F3286">
        <v>149.99</v>
      </c>
      <c r="G3286" t="s">
        <v>8</v>
      </c>
      <c r="H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</row>
    <row r="3287" spans="1:16" x14ac:dyDescent="0.2">
      <c r="A3287" t="s">
        <v>2709</v>
      </c>
      <c r="B3287" t="s">
        <v>8030</v>
      </c>
      <c r="C3287" t="s">
        <v>2710</v>
      </c>
      <c r="D3287" t="s">
        <v>2502</v>
      </c>
      <c r="E3287" t="s">
        <v>228</v>
      </c>
      <c r="F3287">
        <v>44.99</v>
      </c>
      <c r="G3287" t="s">
        <v>8</v>
      </c>
      <c r="H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</row>
    <row r="3288" spans="1:16" x14ac:dyDescent="0.2">
      <c r="A3288" t="s">
        <v>6254</v>
      </c>
      <c r="B3288" t="s">
        <v>8031</v>
      </c>
      <c r="C3288" t="s">
        <v>6255</v>
      </c>
      <c r="D3288" t="s">
        <v>2502</v>
      </c>
      <c r="E3288" t="s">
        <v>290</v>
      </c>
      <c r="F3288">
        <v>159.99</v>
      </c>
      <c r="G3288" t="s">
        <v>8</v>
      </c>
      <c r="H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</row>
    <row r="3289" spans="1:16" x14ac:dyDescent="0.2">
      <c r="A3289" t="s">
        <v>6321</v>
      </c>
      <c r="B3289" t="s">
        <v>8032</v>
      </c>
      <c r="C3289" t="s">
        <v>7242</v>
      </c>
      <c r="D3289" t="s">
        <v>2502</v>
      </c>
      <c r="E3289" t="s">
        <v>290</v>
      </c>
      <c r="F3289">
        <v>229.99</v>
      </c>
      <c r="G3289" t="s">
        <v>8</v>
      </c>
      <c r="H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 spans="1:16" x14ac:dyDescent="0.2">
      <c r="A3290" t="s">
        <v>2701</v>
      </c>
      <c r="B3290" t="s">
        <v>6002</v>
      </c>
      <c r="C3290" t="s">
        <v>2702</v>
      </c>
      <c r="D3290" t="s">
        <v>2502</v>
      </c>
      <c r="E3290" t="s">
        <v>290</v>
      </c>
      <c r="F3290">
        <v>99.99</v>
      </c>
      <c r="G3290" t="s">
        <v>8</v>
      </c>
      <c r="H3290">
        <v>8.3333333333333329E-2</v>
      </c>
      <c r="J3290">
        <v>0</v>
      </c>
      <c r="K3290">
        <v>0</v>
      </c>
      <c r="L3290">
        <v>1</v>
      </c>
      <c r="M3290">
        <v>0</v>
      </c>
      <c r="N3290">
        <v>0</v>
      </c>
      <c r="O3290">
        <v>0</v>
      </c>
      <c r="P3290">
        <v>1</v>
      </c>
    </row>
    <row r="3291" spans="1:16" x14ac:dyDescent="0.2">
      <c r="A3291" t="s">
        <v>6157</v>
      </c>
      <c r="B3291" t="s">
        <v>6161</v>
      </c>
      <c r="C3291" t="s">
        <v>6158</v>
      </c>
      <c r="D3291" t="s">
        <v>2502</v>
      </c>
      <c r="E3291" t="s">
        <v>290</v>
      </c>
      <c r="F3291">
        <v>109.99</v>
      </c>
      <c r="G3291" t="s">
        <v>8</v>
      </c>
      <c r="H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 spans="1:16" x14ac:dyDescent="0.2">
      <c r="A3292" t="s">
        <v>2703</v>
      </c>
      <c r="B3292" t="s">
        <v>6347</v>
      </c>
      <c r="C3292" t="s">
        <v>2704</v>
      </c>
      <c r="D3292" t="s">
        <v>2502</v>
      </c>
      <c r="E3292" t="s">
        <v>290</v>
      </c>
      <c r="F3292">
        <v>129.99</v>
      </c>
      <c r="G3292" t="s">
        <v>8</v>
      </c>
      <c r="H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</row>
    <row r="3293" spans="1:16" x14ac:dyDescent="0.2">
      <c r="A3293" t="s">
        <v>7760</v>
      </c>
      <c r="B3293" t="s">
        <v>8033</v>
      </c>
      <c r="C3293" t="s">
        <v>7761</v>
      </c>
      <c r="D3293" t="s">
        <v>2502</v>
      </c>
      <c r="E3293" t="s">
        <v>96</v>
      </c>
      <c r="F3293">
        <v>49.99</v>
      </c>
      <c r="G3293" t="s">
        <v>8</v>
      </c>
      <c r="H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</row>
    <row r="3294" spans="1:16" x14ac:dyDescent="0.2">
      <c r="A3294" t="s">
        <v>2713</v>
      </c>
      <c r="B3294" t="s">
        <v>8034</v>
      </c>
      <c r="C3294" t="s">
        <v>2714</v>
      </c>
      <c r="D3294" t="s">
        <v>2502</v>
      </c>
      <c r="E3294" t="s">
        <v>228</v>
      </c>
      <c r="F3294">
        <v>19.989999999999998</v>
      </c>
      <c r="G3294" t="s">
        <v>8</v>
      </c>
      <c r="H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</row>
    <row r="3295" spans="1:16" x14ac:dyDescent="0.2">
      <c r="A3295" t="s">
        <v>2683</v>
      </c>
      <c r="B3295" t="s">
        <v>8035</v>
      </c>
      <c r="C3295" t="s">
        <v>2684</v>
      </c>
      <c r="D3295" t="s">
        <v>2502</v>
      </c>
      <c r="E3295" t="s">
        <v>290</v>
      </c>
      <c r="F3295">
        <v>89.99</v>
      </c>
      <c r="G3295" t="s">
        <v>8</v>
      </c>
      <c r="H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</row>
    <row r="3296" spans="1:16" x14ac:dyDescent="0.2">
      <c r="A3296" t="s">
        <v>239</v>
      </c>
      <c r="B3296" t="s">
        <v>8036</v>
      </c>
      <c r="C3296" t="s">
        <v>240</v>
      </c>
      <c r="D3296" t="s">
        <v>223</v>
      </c>
      <c r="E3296" t="s">
        <v>96</v>
      </c>
      <c r="F3296">
        <v>109.99</v>
      </c>
      <c r="G3296" t="s">
        <v>8</v>
      </c>
      <c r="H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</row>
    <row r="3297" spans="1:16" x14ac:dyDescent="0.2">
      <c r="A3297" t="s">
        <v>4820</v>
      </c>
      <c r="B3297" t="s">
        <v>4822</v>
      </c>
      <c r="C3297" t="s">
        <v>4821</v>
      </c>
      <c r="D3297" t="s">
        <v>446</v>
      </c>
      <c r="E3297" t="s">
        <v>96</v>
      </c>
      <c r="F3297">
        <v>89.99</v>
      </c>
      <c r="G3297" t="s">
        <v>8</v>
      </c>
      <c r="H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</row>
    <row r="3298" spans="1:16" x14ac:dyDescent="0.2">
      <c r="A3298" t="s">
        <v>2931</v>
      </c>
      <c r="B3298" t="s">
        <v>8037</v>
      </c>
      <c r="C3298" t="s">
        <v>2932</v>
      </c>
      <c r="D3298" t="s">
        <v>2928</v>
      </c>
      <c r="E3298" t="s">
        <v>96</v>
      </c>
      <c r="F3298">
        <v>159.99</v>
      </c>
      <c r="G3298" t="s">
        <v>8</v>
      </c>
      <c r="H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</row>
    <row r="3299" spans="1:16" x14ac:dyDescent="0.2">
      <c r="A3299" t="s">
        <v>6637</v>
      </c>
      <c r="B3299" t="s">
        <v>8038</v>
      </c>
      <c r="C3299" t="s">
        <v>6638</v>
      </c>
      <c r="D3299" t="s">
        <v>2987</v>
      </c>
      <c r="E3299" t="s">
        <v>96</v>
      </c>
      <c r="F3299">
        <v>44.99</v>
      </c>
      <c r="G3299" t="s">
        <v>8</v>
      </c>
      <c r="H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 spans="1:16" x14ac:dyDescent="0.2">
      <c r="A3300" t="s">
        <v>6607</v>
      </c>
      <c r="B3300" t="s">
        <v>8039</v>
      </c>
      <c r="C3300" t="s">
        <v>6608</v>
      </c>
      <c r="D3300" t="s">
        <v>2987</v>
      </c>
      <c r="E3300" t="s">
        <v>96</v>
      </c>
      <c r="F3300">
        <v>59.99</v>
      </c>
      <c r="G3300" t="s">
        <v>8</v>
      </c>
      <c r="H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</row>
    <row r="3301" spans="1:16" x14ac:dyDescent="0.2">
      <c r="A3301" t="s">
        <v>7090</v>
      </c>
      <c r="B3301" t="s">
        <v>8040</v>
      </c>
      <c r="C3301" t="s">
        <v>7091</v>
      </c>
      <c r="D3301" t="s">
        <v>2852</v>
      </c>
      <c r="E3301" t="s">
        <v>96</v>
      </c>
      <c r="F3301">
        <v>3099</v>
      </c>
      <c r="G3301" t="s">
        <v>8</v>
      </c>
      <c r="H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</row>
    <row r="3302" spans="1:16" x14ac:dyDescent="0.2">
      <c r="A3302" t="s">
        <v>2981</v>
      </c>
      <c r="B3302" t="s">
        <v>8041</v>
      </c>
      <c r="C3302" t="s">
        <v>2982</v>
      </c>
      <c r="D3302" t="s">
        <v>2928</v>
      </c>
      <c r="E3302" t="s">
        <v>96</v>
      </c>
      <c r="F3302">
        <v>39.99</v>
      </c>
      <c r="G3302" t="s">
        <v>8</v>
      </c>
      <c r="H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</row>
    <row r="3303" spans="1:16" x14ac:dyDescent="0.2">
      <c r="A3303" t="s">
        <v>2983</v>
      </c>
      <c r="B3303" t="s">
        <v>8042</v>
      </c>
      <c r="C3303" t="s">
        <v>2984</v>
      </c>
      <c r="D3303" t="s">
        <v>2928</v>
      </c>
      <c r="E3303" t="s">
        <v>290</v>
      </c>
      <c r="F3303">
        <v>119.99</v>
      </c>
      <c r="G3303" t="s">
        <v>8</v>
      </c>
      <c r="H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</row>
    <row r="3304" spans="1:16" x14ac:dyDescent="0.2">
      <c r="A3304" t="s">
        <v>4774</v>
      </c>
      <c r="B3304" t="s">
        <v>8043</v>
      </c>
      <c r="C3304" t="s">
        <v>4775</v>
      </c>
      <c r="D3304" t="s">
        <v>446</v>
      </c>
      <c r="E3304" t="s">
        <v>96</v>
      </c>
      <c r="F3304">
        <v>19.989999999999998</v>
      </c>
      <c r="G3304" t="s">
        <v>8</v>
      </c>
      <c r="H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</row>
    <row r="3305" spans="1:16" x14ac:dyDescent="0.2">
      <c r="A3305" t="s">
        <v>3053</v>
      </c>
      <c r="B3305" t="s">
        <v>8044</v>
      </c>
      <c r="C3305" t="s">
        <v>3054</v>
      </c>
      <c r="D3305" t="s">
        <v>2987</v>
      </c>
      <c r="E3305" t="s">
        <v>96</v>
      </c>
      <c r="F3305">
        <v>139.99</v>
      </c>
      <c r="G3305" t="s">
        <v>8</v>
      </c>
      <c r="H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</row>
    <row r="3306" spans="1:16" x14ac:dyDescent="0.2">
      <c r="A3306" t="s">
        <v>6640</v>
      </c>
      <c r="B3306" t="s">
        <v>8045</v>
      </c>
      <c r="C3306" t="s">
        <v>6641</v>
      </c>
      <c r="D3306" t="s">
        <v>2987</v>
      </c>
      <c r="E3306" t="s">
        <v>96</v>
      </c>
      <c r="G3306" t="s">
        <v>8</v>
      </c>
      <c r="H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P3306">
        <v>0</v>
      </c>
    </row>
    <row r="3307" spans="1:16" x14ac:dyDescent="0.2">
      <c r="A3307" t="s">
        <v>2926</v>
      </c>
      <c r="B3307" t="s">
        <v>3491</v>
      </c>
      <c r="C3307" t="s">
        <v>2927</v>
      </c>
      <c r="D3307" t="s">
        <v>2925</v>
      </c>
      <c r="E3307" t="s">
        <v>290</v>
      </c>
      <c r="F3307">
        <v>179.99</v>
      </c>
      <c r="G3307" t="s">
        <v>8</v>
      </c>
      <c r="H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</row>
    <row r="3308" spans="1:16" x14ac:dyDescent="0.2">
      <c r="A3308" t="s">
        <v>2923</v>
      </c>
      <c r="B3308" t="s">
        <v>4375</v>
      </c>
      <c r="C3308" t="s">
        <v>2924</v>
      </c>
      <c r="D3308" t="s">
        <v>2852</v>
      </c>
      <c r="E3308" t="s">
        <v>228</v>
      </c>
      <c r="F3308">
        <v>44.99</v>
      </c>
      <c r="G3308" t="s">
        <v>8</v>
      </c>
      <c r="H3308">
        <v>1.6666666666666666E-2</v>
      </c>
      <c r="J3308">
        <v>0</v>
      </c>
      <c r="K3308">
        <v>5</v>
      </c>
      <c r="L3308">
        <v>0</v>
      </c>
      <c r="M3308">
        <v>0</v>
      </c>
      <c r="N3308">
        <v>0</v>
      </c>
      <c r="O3308">
        <v>0</v>
      </c>
      <c r="P3308">
        <v>5</v>
      </c>
    </row>
    <row r="3309" spans="1:16" x14ac:dyDescent="0.2">
      <c r="A3309" t="s">
        <v>2939</v>
      </c>
      <c r="B3309" t="s">
        <v>8046</v>
      </c>
      <c r="C3309" t="s">
        <v>2940</v>
      </c>
      <c r="D3309" t="s">
        <v>2928</v>
      </c>
      <c r="E3309" t="s">
        <v>96</v>
      </c>
      <c r="F3309">
        <v>129.99</v>
      </c>
      <c r="G3309" t="s">
        <v>8</v>
      </c>
      <c r="H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</row>
    <row r="3310" spans="1:16" x14ac:dyDescent="0.2">
      <c r="A3310" t="s">
        <v>6783</v>
      </c>
      <c r="B3310" t="s">
        <v>6788</v>
      </c>
      <c r="C3310" t="s">
        <v>6784</v>
      </c>
      <c r="D3310" t="s">
        <v>2987</v>
      </c>
      <c r="E3310" t="s">
        <v>290</v>
      </c>
      <c r="F3310">
        <v>79.989999999999995</v>
      </c>
      <c r="G3310" t="s">
        <v>8</v>
      </c>
      <c r="H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</row>
    <row r="3311" spans="1:16" x14ac:dyDescent="0.2">
      <c r="A3311" t="s">
        <v>2945</v>
      </c>
      <c r="B3311" t="s">
        <v>8047</v>
      </c>
      <c r="C3311" t="s">
        <v>2946</v>
      </c>
      <c r="D3311" t="s">
        <v>2928</v>
      </c>
      <c r="E3311" t="s">
        <v>96</v>
      </c>
      <c r="F3311">
        <v>159.99</v>
      </c>
      <c r="G3311" t="s">
        <v>8</v>
      </c>
      <c r="H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</row>
    <row r="3312" spans="1:16" x14ac:dyDescent="0.2">
      <c r="A3312" t="s">
        <v>2937</v>
      </c>
      <c r="B3312" t="s">
        <v>8048</v>
      </c>
      <c r="C3312" t="s">
        <v>2938</v>
      </c>
      <c r="D3312" t="s">
        <v>2928</v>
      </c>
      <c r="E3312" t="s">
        <v>290</v>
      </c>
      <c r="F3312">
        <v>69.989999999999995</v>
      </c>
      <c r="G3312" t="s">
        <v>8</v>
      </c>
      <c r="H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</row>
    <row r="3313" spans="1:16" x14ac:dyDescent="0.2">
      <c r="A3313" t="s">
        <v>2933</v>
      </c>
      <c r="B3313" t="s">
        <v>8049</v>
      </c>
      <c r="C3313" t="s">
        <v>2934</v>
      </c>
      <c r="D3313" t="s">
        <v>2928</v>
      </c>
      <c r="E3313" t="s">
        <v>290</v>
      </c>
      <c r="F3313">
        <v>159.99</v>
      </c>
      <c r="G3313" t="s">
        <v>8</v>
      </c>
      <c r="H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</row>
    <row r="3314" spans="1:16" x14ac:dyDescent="0.2">
      <c r="A3314" t="s">
        <v>2947</v>
      </c>
      <c r="B3314" t="s">
        <v>8050</v>
      </c>
      <c r="C3314" t="s">
        <v>2948</v>
      </c>
      <c r="D3314" t="s">
        <v>2928</v>
      </c>
      <c r="E3314" t="s">
        <v>96</v>
      </c>
      <c r="F3314">
        <v>219.99</v>
      </c>
      <c r="G3314" t="s">
        <v>8</v>
      </c>
      <c r="H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 spans="1:16" x14ac:dyDescent="0.2">
      <c r="A3315" t="s">
        <v>2926</v>
      </c>
      <c r="B3315" t="s">
        <v>3491</v>
      </c>
      <c r="C3315" t="s">
        <v>2927</v>
      </c>
      <c r="D3315" t="s">
        <v>2925</v>
      </c>
      <c r="E3315" t="s">
        <v>290</v>
      </c>
      <c r="F3315">
        <v>179.99</v>
      </c>
      <c r="G3315" t="s">
        <v>8</v>
      </c>
      <c r="H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 spans="1:16" x14ac:dyDescent="0.2">
      <c r="A3316" t="s">
        <v>4823</v>
      </c>
      <c r="B3316" t="s">
        <v>4825</v>
      </c>
      <c r="C3316" t="s">
        <v>4824</v>
      </c>
      <c r="D3316" t="s">
        <v>446</v>
      </c>
      <c r="E3316" t="s">
        <v>96</v>
      </c>
      <c r="F3316">
        <v>89.99</v>
      </c>
      <c r="G3316" t="s">
        <v>8</v>
      </c>
      <c r="H3316">
        <v>0</v>
      </c>
      <c r="J3316">
        <v>0</v>
      </c>
      <c r="K3316">
        <v>0</v>
      </c>
      <c r="L3316">
        <v>2</v>
      </c>
      <c r="M3316">
        <v>0</v>
      </c>
      <c r="N3316">
        <v>0</v>
      </c>
      <c r="O3316">
        <v>0</v>
      </c>
      <c r="P3316">
        <v>1</v>
      </c>
    </row>
    <row r="3317" spans="1:16" x14ac:dyDescent="0.2">
      <c r="A3317" t="s">
        <v>5265</v>
      </c>
      <c r="B3317" t="s">
        <v>5269</v>
      </c>
      <c r="C3317" t="s">
        <v>5266</v>
      </c>
      <c r="D3317" t="s">
        <v>2852</v>
      </c>
      <c r="E3317" t="s">
        <v>96</v>
      </c>
      <c r="F3317">
        <v>249.99</v>
      </c>
      <c r="G3317" t="s">
        <v>8</v>
      </c>
      <c r="H3317">
        <v>0</v>
      </c>
      <c r="J3317">
        <v>0</v>
      </c>
      <c r="K3317">
        <v>0</v>
      </c>
      <c r="L3317">
        <v>43</v>
      </c>
      <c r="M3317">
        <v>0</v>
      </c>
      <c r="N3317">
        <v>0</v>
      </c>
      <c r="O3317">
        <v>0</v>
      </c>
      <c r="P3317">
        <v>43</v>
      </c>
    </row>
    <row r="3318" spans="1:16" x14ac:dyDescent="0.2">
      <c r="A3318" t="s">
        <v>6694</v>
      </c>
      <c r="B3318" t="s">
        <v>8051</v>
      </c>
      <c r="C3318" t="s">
        <v>6695</v>
      </c>
      <c r="D3318" t="s">
        <v>2987</v>
      </c>
      <c r="E3318" t="s">
        <v>290</v>
      </c>
      <c r="F3318">
        <v>49.99</v>
      </c>
      <c r="G3318" t="s">
        <v>8</v>
      </c>
      <c r="H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</row>
    <row r="3319" spans="1:16" x14ac:dyDescent="0.2">
      <c r="A3319" t="s">
        <v>6780</v>
      </c>
      <c r="B3319" t="s">
        <v>8052</v>
      </c>
      <c r="C3319" t="s">
        <v>6781</v>
      </c>
      <c r="D3319" t="s">
        <v>2987</v>
      </c>
      <c r="E3319" t="s">
        <v>96</v>
      </c>
      <c r="F3319">
        <v>104.99</v>
      </c>
      <c r="G3319" t="s">
        <v>8</v>
      </c>
      <c r="H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</row>
    <row r="3320" spans="1:16" x14ac:dyDescent="0.2">
      <c r="A3320" t="s">
        <v>6690</v>
      </c>
      <c r="B3320" t="s">
        <v>8053</v>
      </c>
      <c r="C3320" t="s">
        <v>6691</v>
      </c>
      <c r="D3320" t="s">
        <v>2987</v>
      </c>
      <c r="E3320" t="s">
        <v>96</v>
      </c>
      <c r="F3320">
        <v>74.989999999999995</v>
      </c>
      <c r="G3320" t="s">
        <v>8</v>
      </c>
      <c r="H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</row>
    <row r="3321" spans="1:16" x14ac:dyDescent="0.2">
      <c r="A3321" t="s">
        <v>4926</v>
      </c>
      <c r="B3321" t="s">
        <v>4928</v>
      </c>
      <c r="C3321" t="s">
        <v>4927</v>
      </c>
      <c r="D3321" t="s">
        <v>446</v>
      </c>
      <c r="E3321" t="s">
        <v>290</v>
      </c>
      <c r="F3321">
        <v>39.99</v>
      </c>
      <c r="G3321" t="s">
        <v>8</v>
      </c>
      <c r="H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</row>
    <row r="3322" spans="1:16" x14ac:dyDescent="0.2">
      <c r="A3322" t="s">
        <v>6583</v>
      </c>
      <c r="B3322" t="s">
        <v>8054</v>
      </c>
      <c r="C3322" t="s">
        <v>6584</v>
      </c>
      <c r="D3322" t="s">
        <v>2987</v>
      </c>
      <c r="E3322" t="s">
        <v>96</v>
      </c>
      <c r="F3322">
        <v>89.99</v>
      </c>
      <c r="G3322" t="s">
        <v>8</v>
      </c>
      <c r="H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</row>
    <row r="3323" spans="1:16" x14ac:dyDescent="0.2">
      <c r="A3323" t="s">
        <v>513</v>
      </c>
      <c r="B3323" t="s">
        <v>8055</v>
      </c>
      <c r="C3323" t="s">
        <v>514</v>
      </c>
      <c r="D3323" t="s">
        <v>446</v>
      </c>
      <c r="E3323" t="s">
        <v>290</v>
      </c>
      <c r="F3323">
        <v>29.99</v>
      </c>
      <c r="G3323" t="s">
        <v>8</v>
      </c>
      <c r="H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</row>
    <row r="3324" spans="1:16" x14ac:dyDescent="0.2">
      <c r="A3324" t="s">
        <v>547</v>
      </c>
      <c r="B3324" t="s">
        <v>5054</v>
      </c>
      <c r="C3324" t="s">
        <v>7085</v>
      </c>
      <c r="D3324" t="s">
        <v>446</v>
      </c>
      <c r="E3324" t="s">
        <v>290</v>
      </c>
      <c r="F3324">
        <v>199.99</v>
      </c>
      <c r="G3324" t="s">
        <v>8</v>
      </c>
      <c r="H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 spans="1:16" x14ac:dyDescent="0.2">
      <c r="A3325" t="s">
        <v>5287</v>
      </c>
      <c r="B3325" t="s">
        <v>8056</v>
      </c>
      <c r="C3325" t="s">
        <v>5288</v>
      </c>
      <c r="D3325" t="s">
        <v>2852</v>
      </c>
      <c r="E3325" t="s">
        <v>290</v>
      </c>
      <c r="F3325">
        <v>99.99</v>
      </c>
      <c r="G3325" t="s">
        <v>8</v>
      </c>
      <c r="H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</row>
    <row r="3326" spans="1:16" x14ac:dyDescent="0.2">
      <c r="A3326" t="s">
        <v>4627</v>
      </c>
      <c r="B3326" t="s">
        <v>4629</v>
      </c>
      <c r="C3326" t="s">
        <v>4628</v>
      </c>
      <c r="D3326" t="s">
        <v>2852</v>
      </c>
      <c r="E3326" t="s">
        <v>96</v>
      </c>
      <c r="F3326">
        <v>2499.9899999999998</v>
      </c>
      <c r="G3326" t="s">
        <v>8</v>
      </c>
      <c r="H3326">
        <v>0</v>
      </c>
      <c r="J3326">
        <v>0</v>
      </c>
      <c r="K3326">
        <v>0</v>
      </c>
      <c r="L3326">
        <v>1</v>
      </c>
      <c r="M3326">
        <v>0</v>
      </c>
      <c r="N3326">
        <v>0</v>
      </c>
      <c r="O3326">
        <v>0</v>
      </c>
      <c r="P3326">
        <v>1</v>
      </c>
    </row>
    <row r="3327" spans="1:16" x14ac:dyDescent="0.2">
      <c r="A3327" t="s">
        <v>6309</v>
      </c>
      <c r="B3327" t="s">
        <v>6313</v>
      </c>
      <c r="C3327" t="s">
        <v>6310</v>
      </c>
      <c r="D3327" t="s">
        <v>2502</v>
      </c>
      <c r="E3327" t="s">
        <v>290</v>
      </c>
      <c r="F3327">
        <v>99.99</v>
      </c>
      <c r="G3327" t="s">
        <v>8</v>
      </c>
      <c r="H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</row>
    <row r="3328" spans="1:16" x14ac:dyDescent="0.2">
      <c r="A3328" t="s">
        <v>7128</v>
      </c>
      <c r="B3328" t="s">
        <v>8057</v>
      </c>
      <c r="C3328" t="s">
        <v>7130</v>
      </c>
      <c r="D3328" t="s">
        <v>2502</v>
      </c>
      <c r="E3328" t="s">
        <v>96</v>
      </c>
      <c r="G3328" t="s">
        <v>8</v>
      </c>
      <c r="H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P3328">
        <v>0</v>
      </c>
    </row>
    <row r="3329" spans="1:16" x14ac:dyDescent="0.2">
      <c r="A3329" t="s">
        <v>2659</v>
      </c>
      <c r="B3329" t="s">
        <v>6392</v>
      </c>
      <c r="C3329" t="s">
        <v>2660</v>
      </c>
      <c r="D3329" t="s">
        <v>2502</v>
      </c>
      <c r="E3329" t="s">
        <v>290</v>
      </c>
      <c r="F3329">
        <v>199.99</v>
      </c>
      <c r="G3329" t="s">
        <v>8</v>
      </c>
      <c r="H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</row>
    <row r="3330" spans="1:16" x14ac:dyDescent="0.2">
      <c r="A3330" t="s">
        <v>6214</v>
      </c>
      <c r="B3330" t="s">
        <v>6218</v>
      </c>
      <c r="C3330" t="s">
        <v>6215</v>
      </c>
      <c r="D3330" t="s">
        <v>2502</v>
      </c>
      <c r="E3330" t="s">
        <v>228</v>
      </c>
      <c r="F3330">
        <v>59.99</v>
      </c>
      <c r="G3330" t="s">
        <v>8</v>
      </c>
      <c r="H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</row>
    <row r="3331" spans="1:16" x14ac:dyDescent="0.2">
      <c r="A3331" t="s">
        <v>2667</v>
      </c>
      <c r="B3331" t="s">
        <v>6316</v>
      </c>
      <c r="C3331" t="s">
        <v>2668</v>
      </c>
      <c r="D3331" t="s">
        <v>2502</v>
      </c>
      <c r="E3331" t="s">
        <v>228</v>
      </c>
      <c r="F3331">
        <v>99.99</v>
      </c>
      <c r="G3331" t="s">
        <v>8</v>
      </c>
      <c r="H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</row>
    <row r="3332" spans="1:16" x14ac:dyDescent="0.2">
      <c r="A3332" t="s">
        <v>6197</v>
      </c>
      <c r="B3332" t="s">
        <v>8058</v>
      </c>
      <c r="C3332" t="s">
        <v>6198</v>
      </c>
      <c r="D3332" t="s">
        <v>2502</v>
      </c>
      <c r="E3332" t="s">
        <v>96</v>
      </c>
      <c r="F3332">
        <v>99.99</v>
      </c>
      <c r="G3332" t="s">
        <v>8</v>
      </c>
      <c r="H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</row>
    <row r="3333" spans="1:16" x14ac:dyDescent="0.2">
      <c r="A3333" t="s">
        <v>6201</v>
      </c>
      <c r="B3333" t="s">
        <v>6205</v>
      </c>
      <c r="C3333" t="s">
        <v>6202</v>
      </c>
      <c r="D3333" t="s">
        <v>2502</v>
      </c>
      <c r="E3333" t="s">
        <v>290</v>
      </c>
      <c r="F3333">
        <v>199.99</v>
      </c>
      <c r="G3333" t="s">
        <v>8</v>
      </c>
      <c r="H3333">
        <v>-8.3333333333333329E-2</v>
      </c>
      <c r="J3333">
        <v>2</v>
      </c>
      <c r="K3333">
        <v>0</v>
      </c>
      <c r="L3333">
        <v>0</v>
      </c>
      <c r="M3333">
        <v>-6</v>
      </c>
      <c r="N3333">
        <v>-0.33333333333333331</v>
      </c>
      <c r="O3333">
        <v>0</v>
      </c>
      <c r="P3333">
        <v>2</v>
      </c>
    </row>
    <row r="3334" spans="1:16" x14ac:dyDescent="0.2">
      <c r="A3334" t="s">
        <v>2963</v>
      </c>
      <c r="B3334" t="s">
        <v>8059</v>
      </c>
      <c r="C3334" t="s">
        <v>2964</v>
      </c>
      <c r="D3334" t="s">
        <v>2928</v>
      </c>
      <c r="E3334" t="s">
        <v>290</v>
      </c>
      <c r="F3334">
        <v>34.99</v>
      </c>
      <c r="G3334" t="s">
        <v>8</v>
      </c>
      <c r="H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 spans="1:16" x14ac:dyDescent="0.2">
      <c r="A3335" t="s">
        <v>2681</v>
      </c>
      <c r="B3335" t="s">
        <v>8060</v>
      </c>
      <c r="C3335" t="s">
        <v>2682</v>
      </c>
      <c r="D3335" t="s">
        <v>2502</v>
      </c>
      <c r="E3335" t="s">
        <v>290</v>
      </c>
      <c r="F3335">
        <v>89.99</v>
      </c>
      <c r="G3335" t="s">
        <v>8</v>
      </c>
      <c r="H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</row>
    <row r="3336" spans="1:16" x14ac:dyDescent="0.2">
      <c r="A3336" t="s">
        <v>2957</v>
      </c>
      <c r="B3336" t="s">
        <v>8061</v>
      </c>
      <c r="C3336" t="s">
        <v>2958</v>
      </c>
      <c r="D3336" t="s">
        <v>2928</v>
      </c>
      <c r="E3336" t="s">
        <v>96</v>
      </c>
      <c r="F3336">
        <v>119.99</v>
      </c>
      <c r="G3336" t="s">
        <v>8</v>
      </c>
      <c r="H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</row>
    <row r="3337" spans="1:16" x14ac:dyDescent="0.2">
      <c r="A3337" t="s">
        <v>6592</v>
      </c>
      <c r="B3337" t="s">
        <v>8062</v>
      </c>
      <c r="C3337" t="s">
        <v>6593</v>
      </c>
      <c r="D3337" t="s">
        <v>2987</v>
      </c>
      <c r="E3337" t="s">
        <v>96</v>
      </c>
      <c r="F3337">
        <v>59.99</v>
      </c>
      <c r="G3337" t="s">
        <v>8</v>
      </c>
      <c r="H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</row>
    <row r="3338" spans="1:16" x14ac:dyDescent="0.2">
      <c r="A3338" t="s">
        <v>6589</v>
      </c>
      <c r="B3338" t="s">
        <v>8063</v>
      </c>
      <c r="C3338" t="s">
        <v>6590</v>
      </c>
      <c r="D3338" t="s">
        <v>2987</v>
      </c>
      <c r="E3338" t="s">
        <v>96</v>
      </c>
      <c r="F3338">
        <v>59.99</v>
      </c>
      <c r="G3338" t="s">
        <v>8</v>
      </c>
      <c r="H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</row>
    <row r="3339" spans="1:16" x14ac:dyDescent="0.2">
      <c r="A3339" t="s">
        <v>6595</v>
      </c>
      <c r="B3339" t="s">
        <v>8064</v>
      </c>
      <c r="C3339" t="s">
        <v>6596</v>
      </c>
      <c r="D3339" t="s">
        <v>2987</v>
      </c>
      <c r="E3339" t="s">
        <v>96</v>
      </c>
      <c r="F3339">
        <v>59.99</v>
      </c>
      <c r="G3339" t="s">
        <v>8</v>
      </c>
      <c r="H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 spans="1:16" x14ac:dyDescent="0.2">
      <c r="A3340" t="s">
        <v>511</v>
      </c>
      <c r="B3340" t="s">
        <v>4773</v>
      </c>
      <c r="C3340" t="s">
        <v>512</v>
      </c>
      <c r="D3340" t="s">
        <v>446</v>
      </c>
      <c r="E3340" t="s">
        <v>228</v>
      </c>
      <c r="F3340">
        <v>29.99</v>
      </c>
      <c r="G3340" t="s">
        <v>8</v>
      </c>
      <c r="H3340">
        <v>6.0185185185185182E-2</v>
      </c>
      <c r="J3340">
        <v>0</v>
      </c>
      <c r="K3340">
        <v>18</v>
      </c>
      <c r="L3340">
        <v>0</v>
      </c>
      <c r="M3340">
        <v>20</v>
      </c>
      <c r="N3340">
        <v>1</v>
      </c>
      <c r="O3340">
        <v>0</v>
      </c>
      <c r="P3340">
        <v>20</v>
      </c>
    </row>
    <row r="3341" spans="1:16" x14ac:dyDescent="0.2">
      <c r="A3341" t="s">
        <v>237</v>
      </c>
      <c r="B3341" t="s">
        <v>8065</v>
      </c>
      <c r="C3341" t="s">
        <v>238</v>
      </c>
      <c r="D3341" t="s">
        <v>223</v>
      </c>
      <c r="E3341" t="s">
        <v>96</v>
      </c>
      <c r="F3341">
        <v>109.99</v>
      </c>
      <c r="G3341" t="s">
        <v>8</v>
      </c>
      <c r="H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</row>
    <row r="3342" spans="1:16" x14ac:dyDescent="0.2">
      <c r="A3342" t="s">
        <v>6610</v>
      </c>
      <c r="B3342" t="s">
        <v>8066</v>
      </c>
      <c r="C3342" t="s">
        <v>6611</v>
      </c>
      <c r="D3342" t="s">
        <v>2987</v>
      </c>
      <c r="E3342" t="s">
        <v>96</v>
      </c>
      <c r="F3342">
        <v>59.99</v>
      </c>
      <c r="G3342" t="s">
        <v>8</v>
      </c>
      <c r="H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 spans="1:16" x14ac:dyDescent="0.2">
      <c r="A3343" t="s">
        <v>2965</v>
      </c>
      <c r="B3343" t="s">
        <v>8067</v>
      </c>
      <c r="C3343" t="s">
        <v>2966</v>
      </c>
      <c r="D3343" t="s">
        <v>2928</v>
      </c>
      <c r="E3343" t="s">
        <v>96</v>
      </c>
      <c r="F3343">
        <v>149.99</v>
      </c>
      <c r="G3343" t="s">
        <v>8</v>
      </c>
      <c r="H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</row>
    <row r="3344" spans="1:16" x14ac:dyDescent="0.2">
      <c r="A3344" t="s">
        <v>2955</v>
      </c>
      <c r="B3344" t="s">
        <v>8068</v>
      </c>
      <c r="C3344" t="s">
        <v>2956</v>
      </c>
      <c r="D3344" t="s">
        <v>2928</v>
      </c>
      <c r="E3344" t="s">
        <v>96</v>
      </c>
      <c r="F3344">
        <v>129.99</v>
      </c>
      <c r="G3344" t="s">
        <v>8</v>
      </c>
      <c r="H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 spans="1:16" x14ac:dyDescent="0.2">
      <c r="A3345" t="s">
        <v>2951</v>
      </c>
      <c r="B3345" t="s">
        <v>8069</v>
      </c>
      <c r="C3345" t="s">
        <v>2952</v>
      </c>
      <c r="D3345" t="s">
        <v>2928</v>
      </c>
      <c r="E3345" t="s">
        <v>96</v>
      </c>
      <c r="F3345">
        <v>239.99</v>
      </c>
      <c r="G3345" t="s">
        <v>8</v>
      </c>
      <c r="H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</row>
    <row r="3346" spans="1:16" x14ac:dyDescent="0.2">
      <c r="A3346" t="s">
        <v>6634</v>
      </c>
      <c r="B3346" t="s">
        <v>8070</v>
      </c>
      <c r="C3346" t="s">
        <v>6635</v>
      </c>
      <c r="D3346" t="s">
        <v>2987</v>
      </c>
      <c r="E3346" t="s">
        <v>96</v>
      </c>
      <c r="G3346" t="s">
        <v>8</v>
      </c>
      <c r="H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P3346">
        <v>0</v>
      </c>
    </row>
    <row r="3347" spans="1:16" x14ac:dyDescent="0.2">
      <c r="A3347" t="s">
        <v>6586</v>
      </c>
      <c r="B3347" t="s">
        <v>8071</v>
      </c>
      <c r="C3347" t="s">
        <v>6587</v>
      </c>
      <c r="D3347" t="s">
        <v>2987</v>
      </c>
      <c r="E3347" t="s">
        <v>96</v>
      </c>
      <c r="F3347">
        <v>49.99</v>
      </c>
      <c r="G3347" t="s">
        <v>8</v>
      </c>
      <c r="H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</row>
    <row r="3348" spans="1:16" x14ac:dyDescent="0.2">
      <c r="A3348" t="s">
        <v>6604</v>
      </c>
      <c r="B3348" t="s">
        <v>8072</v>
      </c>
      <c r="C3348" t="s">
        <v>6605</v>
      </c>
      <c r="D3348" t="s">
        <v>2987</v>
      </c>
      <c r="E3348" t="s">
        <v>96</v>
      </c>
      <c r="F3348">
        <v>59.99</v>
      </c>
      <c r="G3348" t="s">
        <v>8</v>
      </c>
      <c r="H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</row>
    <row r="3349" spans="1:16" x14ac:dyDescent="0.2">
      <c r="A3349" t="s">
        <v>2953</v>
      </c>
      <c r="B3349" t="s">
        <v>8073</v>
      </c>
      <c r="C3349" t="s">
        <v>2954</v>
      </c>
      <c r="D3349" t="s">
        <v>2928</v>
      </c>
      <c r="E3349" t="s">
        <v>96</v>
      </c>
      <c r="F3349">
        <v>89.99</v>
      </c>
      <c r="G3349" t="s">
        <v>8</v>
      </c>
      <c r="H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</row>
    <row r="3350" spans="1:16" x14ac:dyDescent="0.2">
      <c r="A3350" t="s">
        <v>6443</v>
      </c>
      <c r="B3350" t="s">
        <v>8074</v>
      </c>
      <c r="C3350" t="s">
        <v>6444</v>
      </c>
      <c r="D3350" t="s">
        <v>2928</v>
      </c>
      <c r="E3350" t="s">
        <v>96</v>
      </c>
      <c r="F3350">
        <v>149.99</v>
      </c>
      <c r="G3350" t="s">
        <v>8</v>
      </c>
      <c r="H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</row>
    <row r="3351" spans="1:16" x14ac:dyDescent="0.2">
      <c r="A3351" t="s">
        <v>6616</v>
      </c>
      <c r="B3351" t="s">
        <v>8075</v>
      </c>
      <c r="C3351" t="s">
        <v>6617</v>
      </c>
      <c r="D3351" t="s">
        <v>2987</v>
      </c>
      <c r="E3351" t="s">
        <v>96</v>
      </c>
      <c r="F3351">
        <v>69.989999999999995</v>
      </c>
      <c r="G3351" t="s">
        <v>8</v>
      </c>
      <c r="H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</row>
    <row r="3352" spans="1:16" x14ac:dyDescent="0.2">
      <c r="A3352" t="s">
        <v>2959</v>
      </c>
      <c r="B3352" t="s">
        <v>8076</v>
      </c>
      <c r="C3352" t="s">
        <v>2960</v>
      </c>
      <c r="D3352" t="s">
        <v>2928</v>
      </c>
      <c r="E3352" t="s">
        <v>290</v>
      </c>
      <c r="F3352">
        <v>44.99</v>
      </c>
      <c r="G3352" t="s">
        <v>8</v>
      </c>
      <c r="H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</row>
    <row r="3353" spans="1:16" x14ac:dyDescent="0.2">
      <c r="A3353" t="s">
        <v>2164</v>
      </c>
      <c r="B3353" t="s">
        <v>5357</v>
      </c>
      <c r="C3353" t="s">
        <v>2165</v>
      </c>
      <c r="D3353" t="s">
        <v>2146</v>
      </c>
      <c r="E3353" t="s">
        <v>228</v>
      </c>
      <c r="F3353">
        <v>54.99</v>
      </c>
      <c r="G3353" t="s">
        <v>8</v>
      </c>
      <c r="H3353">
        <v>0</v>
      </c>
      <c r="J3353">
        <v>0</v>
      </c>
      <c r="K3353">
        <v>6</v>
      </c>
      <c r="L3353">
        <v>0</v>
      </c>
      <c r="M3353">
        <v>0</v>
      </c>
      <c r="N3353">
        <v>0</v>
      </c>
      <c r="O3353">
        <v>0</v>
      </c>
      <c r="P3353">
        <v>6</v>
      </c>
    </row>
    <row r="3354" spans="1:16" x14ac:dyDescent="0.2">
      <c r="A3354" t="s">
        <v>4242</v>
      </c>
      <c r="B3354" t="s">
        <v>8077</v>
      </c>
      <c r="C3354" t="s">
        <v>4243</v>
      </c>
      <c r="D3354" t="s">
        <v>223</v>
      </c>
      <c r="E3354" t="s">
        <v>96</v>
      </c>
      <c r="F3354">
        <v>42.99</v>
      </c>
      <c r="G3354" t="s">
        <v>8</v>
      </c>
      <c r="H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</row>
    <row r="3355" spans="1:16" x14ac:dyDescent="0.2">
      <c r="A3355" t="s">
        <v>6853</v>
      </c>
      <c r="B3355" t="s">
        <v>6857</v>
      </c>
      <c r="C3355" t="s">
        <v>6854</v>
      </c>
      <c r="D3355" t="s">
        <v>2987</v>
      </c>
      <c r="E3355" t="s">
        <v>290</v>
      </c>
      <c r="F3355">
        <v>79.989999999999995</v>
      </c>
      <c r="G3355" t="s">
        <v>8</v>
      </c>
      <c r="H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</row>
    <row r="3356" spans="1:16" x14ac:dyDescent="0.2">
      <c r="A3356" t="s">
        <v>241</v>
      </c>
      <c r="B3356" t="s">
        <v>8078</v>
      </c>
      <c r="C3356" t="s">
        <v>242</v>
      </c>
      <c r="D3356" t="s">
        <v>223</v>
      </c>
      <c r="E3356" t="s">
        <v>96</v>
      </c>
      <c r="F3356">
        <v>29.99</v>
      </c>
      <c r="G3356" t="s">
        <v>8</v>
      </c>
      <c r="H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</row>
    <row r="3357" spans="1:16" x14ac:dyDescent="0.2">
      <c r="A3357" t="s">
        <v>3035</v>
      </c>
      <c r="B3357" t="s">
        <v>6764</v>
      </c>
      <c r="C3357" t="s">
        <v>3036</v>
      </c>
      <c r="D3357" t="s">
        <v>2987</v>
      </c>
      <c r="E3357" t="s">
        <v>290</v>
      </c>
      <c r="F3357">
        <v>139.99</v>
      </c>
      <c r="G3357" t="s">
        <v>8</v>
      </c>
      <c r="H3357">
        <v>0.20833333333333337</v>
      </c>
      <c r="J3357">
        <v>0</v>
      </c>
      <c r="K3357">
        <v>2</v>
      </c>
      <c r="L3357">
        <v>0</v>
      </c>
      <c r="M3357">
        <v>0</v>
      </c>
      <c r="N3357">
        <v>0.66666666666666663</v>
      </c>
      <c r="O3357">
        <v>0</v>
      </c>
      <c r="P3357">
        <v>0</v>
      </c>
    </row>
    <row r="3358" spans="1:16" x14ac:dyDescent="0.2">
      <c r="A3358" t="s">
        <v>3021</v>
      </c>
      <c r="B3358" t="s">
        <v>6489</v>
      </c>
      <c r="C3358" t="s">
        <v>3022</v>
      </c>
      <c r="D3358" t="s">
        <v>2987</v>
      </c>
      <c r="E3358" t="s">
        <v>228</v>
      </c>
      <c r="F3358">
        <v>139.99</v>
      </c>
      <c r="G3358" t="s">
        <v>8</v>
      </c>
      <c r="H3358">
        <v>0.10714285714285714</v>
      </c>
      <c r="J3358">
        <v>0</v>
      </c>
      <c r="K3358">
        <v>13</v>
      </c>
      <c r="L3358">
        <v>1</v>
      </c>
      <c r="M3358">
        <v>45</v>
      </c>
      <c r="N3358">
        <v>0.33333333333333331</v>
      </c>
      <c r="O3358">
        <v>0</v>
      </c>
      <c r="P3358">
        <v>15</v>
      </c>
    </row>
    <row r="3359" spans="1:16" x14ac:dyDescent="0.2">
      <c r="A3359" t="s">
        <v>4829</v>
      </c>
      <c r="B3359" t="s">
        <v>4831</v>
      </c>
      <c r="C3359" t="s">
        <v>4830</v>
      </c>
      <c r="D3359" t="s">
        <v>446</v>
      </c>
      <c r="E3359" t="s">
        <v>96</v>
      </c>
      <c r="F3359">
        <v>149.99</v>
      </c>
      <c r="G3359" t="s">
        <v>8</v>
      </c>
      <c r="H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</row>
    <row r="3360" spans="1:16" x14ac:dyDescent="0.2">
      <c r="A3360" t="s">
        <v>6927</v>
      </c>
      <c r="B3360" t="s">
        <v>6931</v>
      </c>
      <c r="C3360" t="s">
        <v>6928</v>
      </c>
      <c r="D3360" t="s">
        <v>2987</v>
      </c>
      <c r="E3360" t="s">
        <v>290</v>
      </c>
      <c r="F3360">
        <v>139.99</v>
      </c>
      <c r="G3360" t="s">
        <v>8</v>
      </c>
      <c r="H3360">
        <v>0.25</v>
      </c>
      <c r="J3360">
        <v>0</v>
      </c>
      <c r="K3360">
        <v>1</v>
      </c>
      <c r="L3360">
        <v>1</v>
      </c>
      <c r="M3360">
        <v>0</v>
      </c>
      <c r="N3360">
        <v>0</v>
      </c>
      <c r="O3360">
        <v>0</v>
      </c>
      <c r="P3360">
        <v>2</v>
      </c>
    </row>
    <row r="3361" spans="1:16" x14ac:dyDescent="0.2">
      <c r="A3361" t="s">
        <v>4826</v>
      </c>
      <c r="B3361" t="s">
        <v>4828</v>
      </c>
      <c r="C3361" t="s">
        <v>4827</v>
      </c>
      <c r="D3361" t="s">
        <v>446</v>
      </c>
      <c r="E3361" t="s">
        <v>96</v>
      </c>
      <c r="F3361">
        <v>79.989999999999995</v>
      </c>
      <c r="G3361" t="s">
        <v>8</v>
      </c>
      <c r="H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 spans="1:16" x14ac:dyDescent="0.2">
      <c r="A3362" t="s">
        <v>6601</v>
      </c>
      <c r="B3362" t="s">
        <v>8079</v>
      </c>
      <c r="C3362" t="s">
        <v>6602</v>
      </c>
      <c r="D3362" t="s">
        <v>2987</v>
      </c>
      <c r="E3362" t="s">
        <v>96</v>
      </c>
      <c r="F3362">
        <v>89.99</v>
      </c>
      <c r="G3362" t="s">
        <v>8</v>
      </c>
      <c r="H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 spans="1:16" x14ac:dyDescent="0.2">
      <c r="A3363" t="s">
        <v>231</v>
      </c>
      <c r="B3363" t="s">
        <v>8080</v>
      </c>
      <c r="C3363" t="s">
        <v>232</v>
      </c>
      <c r="D3363" t="s">
        <v>223</v>
      </c>
      <c r="E3363" t="s">
        <v>96</v>
      </c>
      <c r="F3363">
        <v>109.99</v>
      </c>
      <c r="G3363" t="s">
        <v>8</v>
      </c>
      <c r="H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 spans="1:16" x14ac:dyDescent="0.2">
      <c r="A3364" t="s">
        <v>3300</v>
      </c>
      <c r="B3364" t="s">
        <v>6993</v>
      </c>
      <c r="C3364" t="s">
        <v>3299</v>
      </c>
      <c r="D3364" t="s">
        <v>3268</v>
      </c>
      <c r="E3364" t="s">
        <v>228</v>
      </c>
      <c r="F3364">
        <v>199.99</v>
      </c>
      <c r="G3364" t="s">
        <v>8</v>
      </c>
      <c r="H3364">
        <v>0.16666666666666666</v>
      </c>
      <c r="J3364">
        <v>0</v>
      </c>
      <c r="K3364">
        <v>4</v>
      </c>
      <c r="L3364">
        <v>0</v>
      </c>
      <c r="M3364">
        <v>9.6</v>
      </c>
      <c r="N3364">
        <v>0.83333333333333337</v>
      </c>
      <c r="O3364">
        <v>0</v>
      </c>
      <c r="P3364">
        <v>8</v>
      </c>
    </row>
    <row r="3365" spans="1:16" x14ac:dyDescent="0.2">
      <c r="A3365" t="s">
        <v>3041</v>
      </c>
      <c r="B3365" t="s">
        <v>6527</v>
      </c>
      <c r="C3365" t="s">
        <v>3042</v>
      </c>
      <c r="D3365" t="s">
        <v>2987</v>
      </c>
      <c r="E3365" t="s">
        <v>228</v>
      </c>
      <c r="F3365">
        <v>79.989999999999995</v>
      </c>
      <c r="G3365" t="s">
        <v>8</v>
      </c>
      <c r="H3365">
        <v>6.9444444444444448E-2</v>
      </c>
      <c r="J3365">
        <v>0</v>
      </c>
      <c r="K3365">
        <v>12</v>
      </c>
      <c r="L3365">
        <v>0</v>
      </c>
      <c r="M3365">
        <v>26</v>
      </c>
      <c r="N3365">
        <v>0.5</v>
      </c>
      <c r="O3365">
        <v>0</v>
      </c>
      <c r="P3365">
        <v>13</v>
      </c>
    </row>
    <row r="3366" spans="1:16" x14ac:dyDescent="0.2">
      <c r="A3366" t="s">
        <v>6643</v>
      </c>
      <c r="B3366" t="s">
        <v>8081</v>
      </c>
      <c r="C3366" t="s">
        <v>6644</v>
      </c>
      <c r="D3366" t="s">
        <v>2987</v>
      </c>
      <c r="E3366" t="s">
        <v>96</v>
      </c>
      <c r="F3366">
        <v>89.99</v>
      </c>
      <c r="G3366" t="s">
        <v>8</v>
      </c>
      <c r="H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</row>
    <row r="3367" spans="1:16" x14ac:dyDescent="0.2">
      <c r="A3367" t="s">
        <v>5019</v>
      </c>
      <c r="B3367" t="s">
        <v>8082</v>
      </c>
      <c r="C3367" t="s">
        <v>5020</v>
      </c>
      <c r="D3367" t="s">
        <v>446</v>
      </c>
      <c r="E3367" t="s">
        <v>96</v>
      </c>
      <c r="F3367">
        <v>149.99</v>
      </c>
      <c r="G3367" t="s">
        <v>8</v>
      </c>
      <c r="H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</row>
    <row r="3368" spans="1:16" x14ac:dyDescent="0.2">
      <c r="A3368" t="s">
        <v>7390</v>
      </c>
      <c r="B3368" t="s">
        <v>8083</v>
      </c>
      <c r="C3368" t="s">
        <v>7392</v>
      </c>
      <c r="D3368" t="s">
        <v>446</v>
      </c>
      <c r="E3368" t="s">
        <v>96</v>
      </c>
      <c r="F3368">
        <v>139.99</v>
      </c>
      <c r="G3368" t="s">
        <v>8</v>
      </c>
      <c r="H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</row>
    <row r="3369" spans="1:16" x14ac:dyDescent="0.2">
      <c r="A3369" t="s">
        <v>3071</v>
      </c>
      <c r="B3369" t="s">
        <v>6775</v>
      </c>
      <c r="C3369" t="s">
        <v>3072</v>
      </c>
      <c r="D3369" t="s">
        <v>2987</v>
      </c>
      <c r="E3369" t="s">
        <v>290</v>
      </c>
      <c r="F3369">
        <v>199.99</v>
      </c>
      <c r="G3369" t="s">
        <v>8</v>
      </c>
      <c r="H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</row>
    <row r="3370" spans="1:16" x14ac:dyDescent="0.2">
      <c r="A3370" t="s">
        <v>6952</v>
      </c>
      <c r="B3370" t="s">
        <v>6952</v>
      </c>
      <c r="C3370" t="s">
        <v>6953</v>
      </c>
      <c r="D3370" t="s">
        <v>6954</v>
      </c>
      <c r="E3370" t="s">
        <v>96</v>
      </c>
      <c r="F3370">
        <v>109.99</v>
      </c>
      <c r="G3370" t="s">
        <v>8</v>
      </c>
      <c r="H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</row>
    <row r="3371" spans="1:16" x14ac:dyDescent="0.2">
      <c r="A3371" t="s">
        <v>4294</v>
      </c>
      <c r="B3371" t="s">
        <v>8084</v>
      </c>
      <c r="C3371" t="s">
        <v>4295</v>
      </c>
      <c r="D3371" t="s">
        <v>223</v>
      </c>
      <c r="E3371" t="s">
        <v>96</v>
      </c>
      <c r="F3371">
        <v>54.99</v>
      </c>
      <c r="G3371" t="s">
        <v>8</v>
      </c>
      <c r="H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</row>
    <row r="3372" spans="1:16" x14ac:dyDescent="0.2">
      <c r="A3372" t="s">
        <v>6959</v>
      </c>
      <c r="B3372" t="s">
        <v>6959</v>
      </c>
      <c r="C3372" t="s">
        <v>6960</v>
      </c>
      <c r="D3372" t="s">
        <v>6954</v>
      </c>
      <c r="E3372" t="s">
        <v>96</v>
      </c>
      <c r="F3372">
        <v>44.99</v>
      </c>
      <c r="G3372" t="s">
        <v>8</v>
      </c>
      <c r="H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 spans="1:16" x14ac:dyDescent="0.2">
      <c r="A3373" t="s">
        <v>6956</v>
      </c>
      <c r="B3373" t="s">
        <v>6956</v>
      </c>
      <c r="C3373" t="s">
        <v>6957</v>
      </c>
      <c r="D3373" t="s">
        <v>6954</v>
      </c>
      <c r="E3373" t="s">
        <v>96</v>
      </c>
      <c r="F3373">
        <v>44.99</v>
      </c>
      <c r="G3373" t="s">
        <v>8</v>
      </c>
      <c r="H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</row>
    <row r="3374" spans="1:16" x14ac:dyDescent="0.2">
      <c r="A3374" t="s">
        <v>5028</v>
      </c>
      <c r="B3374" t="s">
        <v>8085</v>
      </c>
      <c r="C3374" t="s">
        <v>5029</v>
      </c>
      <c r="D3374" t="s">
        <v>446</v>
      </c>
      <c r="E3374" t="s">
        <v>96</v>
      </c>
      <c r="F3374">
        <v>99.99</v>
      </c>
      <c r="G3374" t="s">
        <v>8</v>
      </c>
      <c r="H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</row>
    <row r="3375" spans="1:16" x14ac:dyDescent="0.2">
      <c r="A3375" t="s">
        <v>3273</v>
      </c>
      <c r="B3375" t="s">
        <v>6973</v>
      </c>
      <c r="C3375" t="s">
        <v>3272</v>
      </c>
      <c r="D3375" t="s">
        <v>3268</v>
      </c>
      <c r="E3375" t="s">
        <v>290</v>
      </c>
      <c r="F3375">
        <v>179.99</v>
      </c>
      <c r="G3375" t="s">
        <v>8</v>
      </c>
      <c r="H3375">
        <v>-8.3333333333333329E-2</v>
      </c>
      <c r="J3375">
        <v>0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1</v>
      </c>
    </row>
    <row r="3376" spans="1:16" x14ac:dyDescent="0.2">
      <c r="A3376" t="s">
        <v>4731</v>
      </c>
      <c r="B3376" t="s">
        <v>4733</v>
      </c>
      <c r="C3376" t="s">
        <v>4732</v>
      </c>
      <c r="D3376" t="s">
        <v>446</v>
      </c>
      <c r="E3376" t="s">
        <v>96</v>
      </c>
      <c r="F3376">
        <v>69.989999999999995</v>
      </c>
      <c r="G3376" t="s">
        <v>8</v>
      </c>
      <c r="H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</row>
    <row r="3377" spans="1:16" x14ac:dyDescent="0.2">
      <c r="A3377" t="s">
        <v>3276</v>
      </c>
      <c r="B3377" t="s">
        <v>6976</v>
      </c>
      <c r="C3377" t="s">
        <v>3275</v>
      </c>
      <c r="D3377" t="s">
        <v>3268</v>
      </c>
      <c r="E3377" t="s">
        <v>290</v>
      </c>
      <c r="F3377">
        <v>179.99</v>
      </c>
      <c r="G3377" t="s">
        <v>8</v>
      </c>
      <c r="H3377">
        <v>-8.3333333333333329E-2</v>
      </c>
      <c r="J3377">
        <v>1</v>
      </c>
      <c r="K3377">
        <v>0</v>
      </c>
      <c r="L3377">
        <v>0</v>
      </c>
      <c r="M3377">
        <v>-6</v>
      </c>
      <c r="N3377">
        <v>-0.16666666666666666</v>
      </c>
      <c r="O3377">
        <v>0</v>
      </c>
      <c r="P3377">
        <v>1</v>
      </c>
    </row>
    <row r="3378" spans="1:16" x14ac:dyDescent="0.2">
      <c r="A3378" t="s">
        <v>3283</v>
      </c>
      <c r="B3378" t="s">
        <v>6970</v>
      </c>
      <c r="C3378" t="s">
        <v>3284</v>
      </c>
      <c r="D3378" t="s">
        <v>3268</v>
      </c>
      <c r="E3378" t="s">
        <v>290</v>
      </c>
      <c r="F3378">
        <v>249.99</v>
      </c>
      <c r="G3378" t="s">
        <v>8</v>
      </c>
      <c r="H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</row>
    <row r="3379" spans="1:16" x14ac:dyDescent="0.2">
      <c r="A3379" t="s">
        <v>444</v>
      </c>
      <c r="B3379" t="s">
        <v>8086</v>
      </c>
      <c r="C3379" t="s">
        <v>445</v>
      </c>
      <c r="D3379" t="s">
        <v>433</v>
      </c>
      <c r="E3379" t="s">
        <v>290</v>
      </c>
      <c r="F3379">
        <v>499.99</v>
      </c>
      <c r="G3379" t="s">
        <v>8</v>
      </c>
      <c r="H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</row>
    <row r="3380" spans="1:16" x14ac:dyDescent="0.2">
      <c r="A3380" t="s">
        <v>4297</v>
      </c>
      <c r="B3380" t="s">
        <v>8087</v>
      </c>
      <c r="C3380" t="s">
        <v>4298</v>
      </c>
      <c r="D3380" t="s">
        <v>223</v>
      </c>
      <c r="E3380" t="s">
        <v>96</v>
      </c>
      <c r="F3380">
        <v>54.99</v>
      </c>
      <c r="G3380" t="s">
        <v>8</v>
      </c>
      <c r="H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</row>
    <row r="3381" spans="1:16" x14ac:dyDescent="0.2">
      <c r="A3381" t="s">
        <v>4734</v>
      </c>
      <c r="B3381" t="s">
        <v>4736</v>
      </c>
      <c r="C3381" t="s">
        <v>4735</v>
      </c>
      <c r="D3381" t="s">
        <v>446</v>
      </c>
      <c r="E3381" t="s">
        <v>96</v>
      </c>
      <c r="F3381">
        <v>69.989999999999995</v>
      </c>
      <c r="G3381" t="s">
        <v>8</v>
      </c>
      <c r="H3381">
        <v>0</v>
      </c>
      <c r="J3381">
        <v>0</v>
      </c>
      <c r="K3381">
        <v>0</v>
      </c>
      <c r="L3381">
        <v>1</v>
      </c>
      <c r="M3381">
        <v>0</v>
      </c>
      <c r="N3381">
        <v>0</v>
      </c>
      <c r="O3381">
        <v>0</v>
      </c>
      <c r="P3381">
        <v>1</v>
      </c>
    </row>
    <row r="3382" spans="1:16" x14ac:dyDescent="0.2">
      <c r="A3382" t="s">
        <v>3017</v>
      </c>
      <c r="C3382" t="s">
        <v>3018</v>
      </c>
      <c r="D3382" t="s">
        <v>2987</v>
      </c>
      <c r="E3382" t="s">
        <v>228</v>
      </c>
      <c r="F3382">
        <v>179.99</v>
      </c>
      <c r="G3382" t="s">
        <v>8</v>
      </c>
      <c r="H3382">
        <v>0</v>
      </c>
      <c r="J3382">
        <v>0</v>
      </c>
      <c r="K3382">
        <v>97</v>
      </c>
      <c r="L3382">
        <v>0</v>
      </c>
      <c r="M3382">
        <v>0</v>
      </c>
      <c r="N3382">
        <v>0</v>
      </c>
      <c r="O3382">
        <v>0</v>
      </c>
      <c r="P3382">
        <v>97</v>
      </c>
    </row>
    <row r="3383" spans="1:16" x14ac:dyDescent="0.2">
      <c r="A3383" t="s">
        <v>1891</v>
      </c>
      <c r="B3383" t="s">
        <v>5307</v>
      </c>
      <c r="C3383" t="s">
        <v>8088</v>
      </c>
      <c r="D3383" t="s">
        <v>1888</v>
      </c>
      <c r="E3383" t="s">
        <v>228</v>
      </c>
      <c r="F3383">
        <v>149.99</v>
      </c>
      <c r="G3383" t="s">
        <v>8</v>
      </c>
      <c r="H3383">
        <v>0</v>
      </c>
      <c r="J3383">
        <v>0</v>
      </c>
      <c r="K3383">
        <v>0</v>
      </c>
      <c r="L3383">
        <v>0</v>
      </c>
      <c r="M3383">
        <v>0</v>
      </c>
      <c r="N3383">
        <v>0.5</v>
      </c>
      <c r="O3383">
        <v>0</v>
      </c>
      <c r="P3383">
        <v>0</v>
      </c>
    </row>
    <row r="3384" spans="1:16" x14ac:dyDescent="0.2">
      <c r="A3384" t="s">
        <v>4590</v>
      </c>
      <c r="B3384" t="s">
        <v>4592</v>
      </c>
      <c r="C3384" t="s">
        <v>4591</v>
      </c>
      <c r="D3384" t="s">
        <v>4463</v>
      </c>
      <c r="E3384" t="s">
        <v>96</v>
      </c>
      <c r="F3384">
        <v>17.989999999999998</v>
      </c>
      <c r="G3384" t="s">
        <v>8</v>
      </c>
      <c r="H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</row>
    <row r="3385" spans="1:16" x14ac:dyDescent="0.2">
      <c r="A3385" t="s">
        <v>434</v>
      </c>
      <c r="B3385" t="s">
        <v>8089</v>
      </c>
      <c r="C3385" t="s">
        <v>435</v>
      </c>
      <c r="D3385" t="s">
        <v>433</v>
      </c>
      <c r="E3385" t="s">
        <v>290</v>
      </c>
      <c r="F3385">
        <v>179.99</v>
      </c>
      <c r="G3385" t="s">
        <v>8</v>
      </c>
      <c r="H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</row>
    <row r="3386" spans="1:16" x14ac:dyDescent="0.2">
      <c r="A3386" t="s">
        <v>4300</v>
      </c>
      <c r="B3386" t="s">
        <v>8090</v>
      </c>
      <c r="C3386" t="s">
        <v>4301</v>
      </c>
      <c r="D3386" t="s">
        <v>223</v>
      </c>
      <c r="E3386" t="s">
        <v>96</v>
      </c>
      <c r="F3386">
        <v>54.99</v>
      </c>
      <c r="G3386" t="s">
        <v>8</v>
      </c>
      <c r="H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</row>
    <row r="3387" spans="1:16" x14ac:dyDescent="0.2">
      <c r="A3387" t="s">
        <v>3385</v>
      </c>
      <c r="B3387" t="s">
        <v>5904</v>
      </c>
      <c r="C3387" t="s">
        <v>3386</v>
      </c>
      <c r="D3387" t="s">
        <v>3268</v>
      </c>
      <c r="E3387" t="s">
        <v>228</v>
      </c>
      <c r="F3387">
        <v>179.99</v>
      </c>
      <c r="G3387" t="s">
        <v>8</v>
      </c>
      <c r="M3387">
        <v>0</v>
      </c>
      <c r="N3387">
        <v>0</v>
      </c>
      <c r="O3387">
        <v>0</v>
      </c>
      <c r="P3387">
        <v>0</v>
      </c>
    </row>
    <row r="3388" spans="1:16" x14ac:dyDescent="0.2">
      <c r="A3388" t="s">
        <v>5327</v>
      </c>
      <c r="B3388" t="s">
        <v>5330</v>
      </c>
      <c r="C3388" t="s">
        <v>5328</v>
      </c>
      <c r="D3388" t="s">
        <v>4463</v>
      </c>
      <c r="E3388" t="s">
        <v>290</v>
      </c>
      <c r="F3388">
        <v>19.989999999999998</v>
      </c>
      <c r="G3388" t="s">
        <v>8</v>
      </c>
      <c r="H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</row>
    <row r="3389" spans="1:16" x14ac:dyDescent="0.2">
      <c r="A3389" t="s">
        <v>4224</v>
      </c>
      <c r="B3389" t="s">
        <v>8091</v>
      </c>
      <c r="C3389" t="s">
        <v>4225</v>
      </c>
      <c r="D3389" t="s">
        <v>223</v>
      </c>
      <c r="E3389" t="s">
        <v>96</v>
      </c>
      <c r="F3389">
        <v>109.99</v>
      </c>
      <c r="G3389" t="s">
        <v>8</v>
      </c>
      <c r="H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</row>
    <row r="3390" spans="1:16" x14ac:dyDescent="0.2">
      <c r="A3390" t="s">
        <v>4593</v>
      </c>
      <c r="B3390" t="s">
        <v>4596</v>
      </c>
      <c r="C3390" t="s">
        <v>4594</v>
      </c>
      <c r="D3390" t="s">
        <v>4463</v>
      </c>
      <c r="E3390" t="s">
        <v>96</v>
      </c>
      <c r="F3390">
        <v>14.99</v>
      </c>
      <c r="G3390" t="s">
        <v>8</v>
      </c>
      <c r="H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</row>
    <row r="3391" spans="1:16" x14ac:dyDescent="0.2">
      <c r="A3391" t="s">
        <v>6387</v>
      </c>
      <c r="B3391" t="s">
        <v>6390</v>
      </c>
      <c r="C3391" t="s">
        <v>6388</v>
      </c>
      <c r="D3391" t="s">
        <v>2502</v>
      </c>
      <c r="E3391" t="s">
        <v>96</v>
      </c>
      <c r="F3391">
        <v>199.99</v>
      </c>
      <c r="G3391" t="s">
        <v>8</v>
      </c>
      <c r="H3391">
        <v>2.7777777777777776E-2</v>
      </c>
      <c r="J3391">
        <v>0</v>
      </c>
      <c r="K3391">
        <v>3</v>
      </c>
      <c r="L3391">
        <v>0</v>
      </c>
      <c r="M3391">
        <v>18</v>
      </c>
      <c r="N3391">
        <v>0.16666666666666666</v>
      </c>
      <c r="O3391">
        <v>0</v>
      </c>
      <c r="P3391">
        <v>3</v>
      </c>
    </row>
    <row r="3392" spans="1:16" x14ac:dyDescent="0.2">
      <c r="A3392" t="s">
        <v>6869</v>
      </c>
      <c r="B3392" t="s">
        <v>8092</v>
      </c>
      <c r="C3392" t="s">
        <v>6870</v>
      </c>
      <c r="D3392" t="s">
        <v>2987</v>
      </c>
      <c r="E3392" t="s">
        <v>96</v>
      </c>
      <c r="F3392">
        <v>139.99</v>
      </c>
      <c r="G3392" t="s">
        <v>8</v>
      </c>
      <c r="H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</row>
    <row r="3393" spans="1:16" x14ac:dyDescent="0.2">
      <c r="A3393" t="s">
        <v>4737</v>
      </c>
      <c r="B3393" t="s">
        <v>4739</v>
      </c>
      <c r="C3393" t="s">
        <v>4738</v>
      </c>
      <c r="D3393" t="s">
        <v>446</v>
      </c>
      <c r="E3393" t="s">
        <v>96</v>
      </c>
      <c r="F3393">
        <v>69.989999999999995</v>
      </c>
      <c r="G3393" t="s">
        <v>8</v>
      </c>
      <c r="H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</row>
    <row r="3394" spans="1:16" x14ac:dyDescent="0.2">
      <c r="A3394" t="s">
        <v>3059</v>
      </c>
      <c r="B3394" t="s">
        <v>6497</v>
      </c>
      <c r="C3394" t="s">
        <v>3060</v>
      </c>
      <c r="D3394" t="s">
        <v>2987</v>
      </c>
      <c r="E3394" t="s">
        <v>228</v>
      </c>
      <c r="F3394">
        <v>219.99</v>
      </c>
      <c r="G3394" t="s">
        <v>8</v>
      </c>
      <c r="H3394">
        <v>0.11458333333333331</v>
      </c>
      <c r="J3394">
        <v>0</v>
      </c>
      <c r="K3394">
        <v>5</v>
      </c>
      <c r="L3394">
        <v>3</v>
      </c>
      <c r="M3394">
        <v>5</v>
      </c>
      <c r="N3394">
        <v>1</v>
      </c>
      <c r="O3394">
        <v>0</v>
      </c>
      <c r="P3394">
        <v>5</v>
      </c>
    </row>
    <row r="3395" spans="1:16" x14ac:dyDescent="0.2">
      <c r="A3395" t="s">
        <v>438</v>
      </c>
      <c r="B3395" t="s">
        <v>8093</v>
      </c>
      <c r="C3395" t="s">
        <v>439</v>
      </c>
      <c r="D3395" t="s">
        <v>433</v>
      </c>
      <c r="E3395" t="s">
        <v>290</v>
      </c>
      <c r="F3395">
        <v>339.99</v>
      </c>
      <c r="G3395" t="s">
        <v>8</v>
      </c>
      <c r="H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</row>
    <row r="3396" spans="1:16" x14ac:dyDescent="0.2">
      <c r="A3396" t="s">
        <v>4472</v>
      </c>
      <c r="B3396" t="s">
        <v>4475</v>
      </c>
      <c r="C3396" t="s">
        <v>4473</v>
      </c>
      <c r="D3396" t="s">
        <v>4463</v>
      </c>
      <c r="E3396" t="s">
        <v>96</v>
      </c>
      <c r="F3396">
        <v>44.99</v>
      </c>
      <c r="G3396" t="s">
        <v>8</v>
      </c>
      <c r="H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</row>
    <row r="3397" spans="1:16" x14ac:dyDescent="0.2">
      <c r="A3397" t="s">
        <v>4540</v>
      </c>
      <c r="B3397" t="s">
        <v>4543</v>
      </c>
      <c r="C3397" t="s">
        <v>4541</v>
      </c>
      <c r="D3397" t="s">
        <v>4463</v>
      </c>
      <c r="E3397" t="s">
        <v>290</v>
      </c>
      <c r="F3397">
        <v>19.989999999999998</v>
      </c>
      <c r="G3397" t="s">
        <v>8</v>
      </c>
      <c r="H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</row>
    <row r="3398" spans="1:16" x14ac:dyDescent="0.2">
      <c r="A3398" t="s">
        <v>4235</v>
      </c>
      <c r="B3398" t="s">
        <v>8094</v>
      </c>
      <c r="C3398" t="s">
        <v>4236</v>
      </c>
      <c r="D3398" t="s">
        <v>223</v>
      </c>
      <c r="E3398" t="s">
        <v>96</v>
      </c>
      <c r="F3398">
        <v>39.99</v>
      </c>
      <c r="G3398" t="s">
        <v>8</v>
      </c>
      <c r="H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</row>
    <row r="3399" spans="1:16" x14ac:dyDescent="0.2">
      <c r="A3399" t="s">
        <v>4480</v>
      </c>
      <c r="B3399" t="s">
        <v>4483</v>
      </c>
      <c r="C3399" t="s">
        <v>4481</v>
      </c>
      <c r="D3399" t="s">
        <v>4463</v>
      </c>
      <c r="E3399" t="s">
        <v>96</v>
      </c>
      <c r="F3399">
        <v>44.99</v>
      </c>
      <c r="G3399" t="s">
        <v>8</v>
      </c>
      <c r="H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</row>
    <row r="3400" spans="1:16" x14ac:dyDescent="0.2">
      <c r="A3400" t="s">
        <v>2513</v>
      </c>
      <c r="B3400" t="s">
        <v>6292</v>
      </c>
      <c r="C3400" t="s">
        <v>2514</v>
      </c>
      <c r="D3400" t="s">
        <v>2502</v>
      </c>
      <c r="E3400" t="s">
        <v>228</v>
      </c>
      <c r="F3400">
        <v>199.99</v>
      </c>
      <c r="G3400" t="s">
        <v>8</v>
      </c>
      <c r="H3400">
        <v>4.72972972972973E-2</v>
      </c>
      <c r="J3400">
        <v>0</v>
      </c>
      <c r="K3400">
        <v>21</v>
      </c>
      <c r="L3400">
        <v>16</v>
      </c>
      <c r="M3400">
        <v>80</v>
      </c>
      <c r="N3400">
        <v>0.5</v>
      </c>
      <c r="O3400">
        <v>0</v>
      </c>
      <c r="P3400">
        <v>40</v>
      </c>
    </row>
    <row r="3401" spans="1:16" x14ac:dyDescent="0.2">
      <c r="A3401" t="s">
        <v>966</v>
      </c>
      <c r="B3401" t="s">
        <v>4700</v>
      </c>
      <c r="C3401" t="s">
        <v>967</v>
      </c>
      <c r="D3401" t="s">
        <v>446</v>
      </c>
      <c r="E3401" t="s">
        <v>290</v>
      </c>
      <c r="F3401">
        <v>59.99</v>
      </c>
      <c r="G3401" t="s">
        <v>8</v>
      </c>
      <c r="H3401">
        <v>5.128205128205128E-2</v>
      </c>
      <c r="J3401">
        <v>0</v>
      </c>
      <c r="K3401">
        <v>38</v>
      </c>
      <c r="L3401">
        <v>1</v>
      </c>
      <c r="M3401">
        <v>39</v>
      </c>
      <c r="N3401">
        <v>1</v>
      </c>
      <c r="O3401">
        <v>0</v>
      </c>
      <c r="P3401">
        <v>39</v>
      </c>
    </row>
    <row r="3402" spans="1:16" x14ac:dyDescent="0.2">
      <c r="A3402" t="s">
        <v>968</v>
      </c>
      <c r="B3402" t="s">
        <v>4703</v>
      </c>
      <c r="C3402" t="s">
        <v>969</v>
      </c>
      <c r="D3402" t="s">
        <v>446</v>
      </c>
      <c r="E3402" t="s">
        <v>96</v>
      </c>
      <c r="F3402">
        <v>59.99</v>
      </c>
      <c r="G3402" t="s">
        <v>8</v>
      </c>
      <c r="H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</row>
    <row r="3403" spans="1:16" x14ac:dyDescent="0.2">
      <c r="A3403" t="s">
        <v>970</v>
      </c>
      <c r="B3403" t="s">
        <v>4706</v>
      </c>
      <c r="C3403" t="s">
        <v>971</v>
      </c>
      <c r="D3403" t="s">
        <v>446</v>
      </c>
      <c r="E3403" t="s">
        <v>290</v>
      </c>
      <c r="F3403">
        <v>69.989999999999995</v>
      </c>
      <c r="G3403" t="s">
        <v>8</v>
      </c>
      <c r="H3403">
        <v>7.9365079365079361E-3</v>
      </c>
      <c r="J3403">
        <v>0</v>
      </c>
      <c r="K3403">
        <v>21</v>
      </c>
      <c r="L3403">
        <v>0</v>
      </c>
      <c r="M3403">
        <v>126</v>
      </c>
      <c r="N3403">
        <v>0.16666666666666666</v>
      </c>
      <c r="O3403">
        <v>0</v>
      </c>
      <c r="P3403">
        <v>21</v>
      </c>
    </row>
    <row r="3404" spans="1:16" x14ac:dyDescent="0.2">
      <c r="A3404" t="s">
        <v>4283</v>
      </c>
      <c r="B3404" t="s">
        <v>8095</v>
      </c>
      <c r="C3404" t="s">
        <v>4284</v>
      </c>
      <c r="D3404" t="s">
        <v>223</v>
      </c>
      <c r="E3404" t="s">
        <v>96</v>
      </c>
      <c r="F3404">
        <v>79.989999999999995</v>
      </c>
      <c r="G3404" t="s">
        <v>8</v>
      </c>
      <c r="H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</row>
    <row r="3405" spans="1:16" x14ac:dyDescent="0.2">
      <c r="A3405" t="s">
        <v>4246</v>
      </c>
      <c r="B3405" t="s">
        <v>8096</v>
      </c>
      <c r="C3405" t="s">
        <v>4247</v>
      </c>
      <c r="D3405" t="s">
        <v>223</v>
      </c>
      <c r="E3405" t="s">
        <v>96</v>
      </c>
      <c r="F3405">
        <v>42.99</v>
      </c>
      <c r="G3405" t="s">
        <v>8</v>
      </c>
      <c r="H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</row>
    <row r="3406" spans="1:16" x14ac:dyDescent="0.2">
      <c r="A3406" t="s">
        <v>2172</v>
      </c>
      <c r="C3406" t="s">
        <v>2173</v>
      </c>
      <c r="D3406" t="s">
        <v>2146</v>
      </c>
      <c r="E3406" t="s">
        <v>228</v>
      </c>
      <c r="F3406">
        <v>89.99</v>
      </c>
      <c r="G3406" t="s">
        <v>8</v>
      </c>
      <c r="H3406">
        <v>0</v>
      </c>
      <c r="J3406">
        <v>0</v>
      </c>
      <c r="K3406">
        <v>7</v>
      </c>
      <c r="L3406">
        <v>0</v>
      </c>
      <c r="M3406">
        <v>0</v>
      </c>
      <c r="N3406">
        <v>0</v>
      </c>
      <c r="O3406">
        <v>0</v>
      </c>
      <c r="P3406">
        <v>7</v>
      </c>
    </row>
    <row r="3407" spans="1:16" x14ac:dyDescent="0.2">
      <c r="A3407" t="s">
        <v>2711</v>
      </c>
      <c r="B3407" t="s">
        <v>6225</v>
      </c>
      <c r="C3407" t="s">
        <v>2712</v>
      </c>
      <c r="D3407" t="s">
        <v>2502</v>
      </c>
      <c r="E3407" t="s">
        <v>228</v>
      </c>
      <c r="F3407">
        <v>34.99</v>
      </c>
      <c r="G3407" t="s">
        <v>8</v>
      </c>
      <c r="H3407">
        <v>0</v>
      </c>
      <c r="J3407">
        <v>0</v>
      </c>
      <c r="K3407">
        <v>58</v>
      </c>
      <c r="L3407">
        <v>0</v>
      </c>
      <c r="M3407">
        <v>0</v>
      </c>
      <c r="N3407">
        <v>0</v>
      </c>
      <c r="O3407">
        <v>0</v>
      </c>
      <c r="P3407">
        <v>58</v>
      </c>
    </row>
    <row r="3408" spans="1:16" x14ac:dyDescent="0.2">
      <c r="A3408" t="s">
        <v>2158</v>
      </c>
      <c r="B3408" t="s">
        <v>5369</v>
      </c>
      <c r="C3408" t="s">
        <v>2159</v>
      </c>
      <c r="D3408" t="s">
        <v>2146</v>
      </c>
      <c r="E3408" t="s">
        <v>228</v>
      </c>
      <c r="F3408">
        <v>299.99</v>
      </c>
      <c r="G3408" t="s">
        <v>8</v>
      </c>
      <c r="H3408">
        <v>2.6455026455026458E-3</v>
      </c>
      <c r="J3408">
        <v>0</v>
      </c>
      <c r="K3408">
        <v>11</v>
      </c>
      <c r="L3408">
        <v>52</v>
      </c>
      <c r="M3408">
        <v>0</v>
      </c>
      <c r="N3408">
        <v>0</v>
      </c>
      <c r="O3408">
        <v>0</v>
      </c>
      <c r="P3408">
        <v>65</v>
      </c>
    </row>
    <row r="3409" spans="1:16" x14ac:dyDescent="0.2">
      <c r="A3409" t="s">
        <v>291</v>
      </c>
      <c r="B3409" t="s">
        <v>8097</v>
      </c>
      <c r="C3409" t="s">
        <v>292</v>
      </c>
      <c r="D3409" t="s">
        <v>287</v>
      </c>
      <c r="E3409" t="s">
        <v>290</v>
      </c>
      <c r="F3409">
        <v>329.99</v>
      </c>
      <c r="G3409" t="s">
        <v>8</v>
      </c>
      <c r="H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</row>
    <row r="3410" spans="1:16" x14ac:dyDescent="0.2">
      <c r="A3410" t="s">
        <v>293</v>
      </c>
      <c r="B3410" t="s">
        <v>8098</v>
      </c>
      <c r="C3410" t="s">
        <v>294</v>
      </c>
      <c r="D3410" t="s">
        <v>287</v>
      </c>
      <c r="E3410" t="s">
        <v>290</v>
      </c>
      <c r="F3410">
        <v>129.99</v>
      </c>
      <c r="G3410" t="s">
        <v>8</v>
      </c>
      <c r="H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 spans="1:16" x14ac:dyDescent="0.2">
      <c r="A3411" t="s">
        <v>2160</v>
      </c>
      <c r="C3411" t="s">
        <v>2161</v>
      </c>
      <c r="D3411" t="s">
        <v>2146</v>
      </c>
      <c r="E3411" t="s">
        <v>228</v>
      </c>
      <c r="F3411">
        <v>429.99</v>
      </c>
      <c r="G3411" t="s">
        <v>8</v>
      </c>
      <c r="H3411">
        <v>0</v>
      </c>
      <c r="J3411">
        <v>0</v>
      </c>
      <c r="K3411">
        <v>9</v>
      </c>
      <c r="L3411">
        <v>0</v>
      </c>
      <c r="M3411">
        <v>0</v>
      </c>
      <c r="N3411">
        <v>0</v>
      </c>
      <c r="O3411">
        <v>0</v>
      </c>
      <c r="P3411">
        <v>11</v>
      </c>
    </row>
    <row r="3412" spans="1:16" x14ac:dyDescent="0.2">
      <c r="A3412" t="s">
        <v>279</v>
      </c>
      <c r="B3412" t="s">
        <v>4260</v>
      </c>
      <c r="C3412" t="s">
        <v>280</v>
      </c>
      <c r="D3412" t="s">
        <v>223</v>
      </c>
      <c r="E3412" t="s">
        <v>228</v>
      </c>
      <c r="F3412">
        <v>24.99</v>
      </c>
      <c r="G3412" t="s">
        <v>8</v>
      </c>
      <c r="H3412">
        <v>0</v>
      </c>
      <c r="J3412">
        <v>0</v>
      </c>
      <c r="K3412">
        <v>15</v>
      </c>
      <c r="L3412">
        <v>2</v>
      </c>
      <c r="M3412">
        <v>0</v>
      </c>
      <c r="N3412">
        <v>0</v>
      </c>
      <c r="O3412">
        <v>0</v>
      </c>
      <c r="P3412">
        <v>17</v>
      </c>
    </row>
    <row r="3413" spans="1:16" x14ac:dyDescent="0.2">
      <c r="A3413" t="s">
        <v>2168</v>
      </c>
      <c r="B3413" t="s">
        <v>5354</v>
      </c>
      <c r="C3413" t="s">
        <v>2169</v>
      </c>
      <c r="D3413" t="s">
        <v>2146</v>
      </c>
      <c r="E3413" t="s">
        <v>228</v>
      </c>
      <c r="F3413">
        <v>89.99</v>
      </c>
      <c r="G3413" t="s">
        <v>8</v>
      </c>
      <c r="H3413">
        <v>0</v>
      </c>
      <c r="J3413">
        <v>0</v>
      </c>
      <c r="K3413">
        <v>10</v>
      </c>
      <c r="L3413">
        <v>0</v>
      </c>
      <c r="M3413">
        <v>0</v>
      </c>
      <c r="N3413">
        <v>0</v>
      </c>
      <c r="O3413">
        <v>0</v>
      </c>
      <c r="P3413">
        <v>11</v>
      </c>
    </row>
    <row r="3414" spans="1:16" x14ac:dyDescent="0.2">
      <c r="A3414" t="s">
        <v>4307</v>
      </c>
      <c r="B3414" t="s">
        <v>8099</v>
      </c>
      <c r="C3414" t="s">
        <v>4308</v>
      </c>
      <c r="D3414" t="s">
        <v>223</v>
      </c>
      <c r="E3414" t="s">
        <v>96</v>
      </c>
      <c r="F3414">
        <v>62.99</v>
      </c>
      <c r="G3414" t="s">
        <v>8</v>
      </c>
      <c r="H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</row>
    <row r="3415" spans="1:16" x14ac:dyDescent="0.2">
      <c r="A3415" t="s">
        <v>2727</v>
      </c>
      <c r="B3415" t="s">
        <v>6281</v>
      </c>
      <c r="C3415" t="s">
        <v>2728</v>
      </c>
      <c r="D3415" t="s">
        <v>2502</v>
      </c>
      <c r="E3415" t="s">
        <v>228</v>
      </c>
      <c r="F3415">
        <v>44.99</v>
      </c>
      <c r="G3415" t="s">
        <v>8</v>
      </c>
      <c r="H3415">
        <v>0</v>
      </c>
      <c r="J3415">
        <v>0</v>
      </c>
      <c r="K3415">
        <v>36</v>
      </c>
      <c r="L3415">
        <v>0</v>
      </c>
      <c r="M3415">
        <v>0</v>
      </c>
      <c r="N3415">
        <v>0</v>
      </c>
      <c r="O3415">
        <v>0</v>
      </c>
      <c r="P3415">
        <v>36</v>
      </c>
    </row>
    <row r="3416" spans="1:16" x14ac:dyDescent="0.2">
      <c r="A3416" t="s">
        <v>2162</v>
      </c>
      <c r="B3416" t="s">
        <v>5352</v>
      </c>
      <c r="C3416" t="s">
        <v>2163</v>
      </c>
      <c r="D3416" t="s">
        <v>2146</v>
      </c>
      <c r="E3416" t="s">
        <v>228</v>
      </c>
      <c r="F3416">
        <v>79.989999999999995</v>
      </c>
      <c r="G3416" t="s">
        <v>8</v>
      </c>
      <c r="H3416">
        <v>2.3809523809523808E-2</v>
      </c>
      <c r="J3416">
        <v>0</v>
      </c>
      <c r="K3416">
        <v>7</v>
      </c>
      <c r="L3416">
        <v>0</v>
      </c>
      <c r="M3416">
        <v>21</v>
      </c>
      <c r="N3416">
        <v>0.33333333333333331</v>
      </c>
      <c r="O3416">
        <v>0</v>
      </c>
      <c r="P3416">
        <v>7</v>
      </c>
    </row>
    <row r="3417" spans="1:16" x14ac:dyDescent="0.2">
      <c r="A3417" t="s">
        <v>295</v>
      </c>
      <c r="B3417" t="s">
        <v>8100</v>
      </c>
      <c r="C3417" t="s">
        <v>296</v>
      </c>
      <c r="D3417" t="s">
        <v>287</v>
      </c>
      <c r="E3417" t="s">
        <v>290</v>
      </c>
      <c r="F3417">
        <v>329.99</v>
      </c>
      <c r="G3417" t="s">
        <v>8</v>
      </c>
      <c r="H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</row>
    <row r="3418" spans="1:16" x14ac:dyDescent="0.2">
      <c r="A3418" t="s">
        <v>3013</v>
      </c>
      <c r="C3418" t="s">
        <v>3014</v>
      </c>
      <c r="D3418" t="s">
        <v>2987</v>
      </c>
      <c r="E3418" t="s">
        <v>228</v>
      </c>
      <c r="F3418">
        <v>179.99</v>
      </c>
      <c r="G3418" t="s">
        <v>8</v>
      </c>
      <c r="H3418">
        <v>0</v>
      </c>
      <c r="J3418">
        <v>0</v>
      </c>
      <c r="K3418">
        <v>100</v>
      </c>
      <c r="L3418">
        <v>0</v>
      </c>
      <c r="M3418">
        <v>0</v>
      </c>
      <c r="N3418">
        <v>0</v>
      </c>
      <c r="O3418">
        <v>0</v>
      </c>
      <c r="P3418">
        <v>100</v>
      </c>
    </row>
    <row r="3419" spans="1:16" x14ac:dyDescent="0.2">
      <c r="A3419" t="s">
        <v>3015</v>
      </c>
      <c r="C3419" t="s">
        <v>3016</v>
      </c>
      <c r="D3419" t="s">
        <v>2987</v>
      </c>
      <c r="E3419" t="s">
        <v>228</v>
      </c>
      <c r="F3419">
        <v>179.99</v>
      </c>
      <c r="G3419" t="s">
        <v>8</v>
      </c>
      <c r="H3419">
        <v>0</v>
      </c>
      <c r="J3419">
        <v>0</v>
      </c>
      <c r="K3419">
        <v>104</v>
      </c>
      <c r="L3419">
        <v>0</v>
      </c>
      <c r="M3419">
        <v>0</v>
      </c>
      <c r="N3419">
        <v>0</v>
      </c>
      <c r="O3419">
        <v>0</v>
      </c>
      <c r="P3419">
        <v>104</v>
      </c>
    </row>
    <row r="3420" spans="1:16" x14ac:dyDescent="0.2">
      <c r="A3420" t="s">
        <v>6186</v>
      </c>
      <c r="B3420" t="s">
        <v>6189</v>
      </c>
      <c r="C3420" t="s">
        <v>6187</v>
      </c>
      <c r="D3420" t="s">
        <v>2502</v>
      </c>
      <c r="E3420" t="s">
        <v>228</v>
      </c>
      <c r="F3420">
        <v>39.99</v>
      </c>
      <c r="G3420" t="s">
        <v>8</v>
      </c>
      <c r="H3420">
        <v>0</v>
      </c>
      <c r="J3420">
        <v>0</v>
      </c>
      <c r="K3420">
        <v>5</v>
      </c>
      <c r="L3420">
        <v>0</v>
      </c>
      <c r="M3420">
        <v>0</v>
      </c>
      <c r="N3420">
        <v>0</v>
      </c>
      <c r="O3420">
        <v>0</v>
      </c>
      <c r="P3420">
        <v>5</v>
      </c>
    </row>
    <row r="3421" spans="1:16" x14ac:dyDescent="0.2">
      <c r="A3421" t="s">
        <v>4314</v>
      </c>
      <c r="B3421" t="s">
        <v>8101</v>
      </c>
      <c r="C3421" t="s">
        <v>4315</v>
      </c>
      <c r="D3421" t="s">
        <v>223</v>
      </c>
      <c r="E3421" t="s">
        <v>96</v>
      </c>
      <c r="F3421">
        <v>149.99</v>
      </c>
      <c r="G3421" t="s">
        <v>8</v>
      </c>
      <c r="H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</row>
    <row r="3422" spans="1:16" x14ac:dyDescent="0.2">
      <c r="A3422" t="s">
        <v>263</v>
      </c>
      <c r="B3422" t="s">
        <v>4288</v>
      </c>
      <c r="C3422" t="s">
        <v>264</v>
      </c>
      <c r="D3422" t="s">
        <v>223</v>
      </c>
      <c r="E3422" t="s">
        <v>96</v>
      </c>
      <c r="F3422">
        <v>119.99</v>
      </c>
      <c r="G3422" t="s">
        <v>8</v>
      </c>
      <c r="H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</row>
    <row r="3423" spans="1:16" x14ac:dyDescent="0.2">
      <c r="A3423" t="s">
        <v>6167</v>
      </c>
      <c r="B3423" t="s">
        <v>6170</v>
      </c>
      <c r="C3423" t="s">
        <v>6168</v>
      </c>
      <c r="D3423" t="s">
        <v>2502</v>
      </c>
      <c r="E3423" t="s">
        <v>228</v>
      </c>
      <c r="F3423">
        <v>29.99</v>
      </c>
      <c r="G3423" t="s">
        <v>8</v>
      </c>
      <c r="H3423">
        <v>0</v>
      </c>
      <c r="J3423">
        <v>0</v>
      </c>
      <c r="K3423">
        <v>82</v>
      </c>
      <c r="L3423">
        <v>0</v>
      </c>
      <c r="M3423">
        <v>0</v>
      </c>
      <c r="N3423">
        <v>0</v>
      </c>
      <c r="O3423">
        <v>0</v>
      </c>
      <c r="P3423">
        <v>82</v>
      </c>
    </row>
    <row r="3424" spans="1:16" x14ac:dyDescent="0.2">
      <c r="A3424" t="s">
        <v>6193</v>
      </c>
      <c r="B3424" t="s">
        <v>6196</v>
      </c>
      <c r="C3424" t="s">
        <v>6194</v>
      </c>
      <c r="D3424" t="s">
        <v>2502</v>
      </c>
      <c r="E3424" t="s">
        <v>290</v>
      </c>
      <c r="F3424">
        <v>39.99</v>
      </c>
      <c r="G3424" t="s">
        <v>8</v>
      </c>
      <c r="H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 spans="1:16" x14ac:dyDescent="0.2">
      <c r="A3425" t="s">
        <v>275</v>
      </c>
      <c r="B3425" t="s">
        <v>4313</v>
      </c>
      <c r="C3425" t="s">
        <v>276</v>
      </c>
      <c r="D3425" t="s">
        <v>223</v>
      </c>
      <c r="E3425" t="s">
        <v>228</v>
      </c>
      <c r="F3425">
        <v>59.99</v>
      </c>
      <c r="G3425" t="s">
        <v>8</v>
      </c>
      <c r="H3425">
        <v>9.5155709342560554E-3</v>
      </c>
      <c r="J3425">
        <v>7</v>
      </c>
      <c r="K3425">
        <v>33</v>
      </c>
      <c r="L3425">
        <v>249</v>
      </c>
      <c r="M3425">
        <v>0</v>
      </c>
      <c r="N3425">
        <v>0</v>
      </c>
      <c r="O3425">
        <v>0</v>
      </c>
      <c r="P3425">
        <v>293</v>
      </c>
    </row>
    <row r="3426" spans="1:16" x14ac:dyDescent="0.2">
      <c r="A3426" t="s">
        <v>261</v>
      </c>
      <c r="B3426" t="s">
        <v>8102</v>
      </c>
      <c r="C3426" t="s">
        <v>262</v>
      </c>
      <c r="D3426" t="s">
        <v>223</v>
      </c>
      <c r="E3426" t="s">
        <v>96</v>
      </c>
      <c r="F3426">
        <v>79.989999999999995</v>
      </c>
      <c r="G3426" t="s">
        <v>8</v>
      </c>
      <c r="H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</row>
    <row r="3427" spans="1:16" x14ac:dyDescent="0.2">
      <c r="A3427" t="s">
        <v>2717</v>
      </c>
      <c r="B3427" t="s">
        <v>6185</v>
      </c>
      <c r="C3427" t="s">
        <v>2718</v>
      </c>
      <c r="D3427" t="s">
        <v>2502</v>
      </c>
      <c r="E3427" t="s">
        <v>228</v>
      </c>
      <c r="F3427">
        <v>17.989999999999998</v>
      </c>
      <c r="G3427" t="s">
        <v>8</v>
      </c>
      <c r="H3427">
        <v>0</v>
      </c>
      <c r="J3427">
        <v>0</v>
      </c>
      <c r="K3427">
        <v>157</v>
      </c>
      <c r="L3427">
        <v>0</v>
      </c>
      <c r="M3427">
        <v>0</v>
      </c>
      <c r="N3427">
        <v>0</v>
      </c>
      <c r="O3427">
        <v>0</v>
      </c>
      <c r="P3427">
        <v>168</v>
      </c>
    </row>
    <row r="3428" spans="1:16" x14ac:dyDescent="0.2">
      <c r="A3428" t="s">
        <v>253</v>
      </c>
      <c r="B3428" t="s">
        <v>253</v>
      </c>
      <c r="C3428" t="s">
        <v>254</v>
      </c>
      <c r="D3428" t="s">
        <v>223</v>
      </c>
      <c r="E3428" t="s">
        <v>228</v>
      </c>
      <c r="F3428">
        <v>89.99</v>
      </c>
      <c r="G3428" t="s">
        <v>8</v>
      </c>
      <c r="H3428">
        <v>1.6129032258064516E-2</v>
      </c>
      <c r="J3428">
        <v>0</v>
      </c>
      <c r="K3428">
        <v>51</v>
      </c>
      <c r="L3428">
        <v>11</v>
      </c>
      <c r="M3428">
        <v>372</v>
      </c>
      <c r="N3428">
        <v>0.16666666666666666</v>
      </c>
      <c r="O3428">
        <v>0</v>
      </c>
      <c r="P3428">
        <v>62</v>
      </c>
    </row>
    <row r="3429" spans="1:16" x14ac:dyDescent="0.2">
      <c r="A3429" t="s">
        <v>2170</v>
      </c>
      <c r="B3429" t="s">
        <v>5373</v>
      </c>
      <c r="C3429" t="s">
        <v>2171</v>
      </c>
      <c r="D3429" t="s">
        <v>2146</v>
      </c>
      <c r="E3429" t="s">
        <v>228</v>
      </c>
      <c r="F3429">
        <v>349.99</v>
      </c>
      <c r="G3429" t="s">
        <v>8</v>
      </c>
      <c r="H3429">
        <v>1.2437810945273632E-2</v>
      </c>
      <c r="J3429">
        <v>0</v>
      </c>
      <c r="K3429">
        <v>9</v>
      </c>
      <c r="L3429">
        <v>58</v>
      </c>
      <c r="M3429">
        <v>414</v>
      </c>
      <c r="N3429">
        <v>0.16666666666666666</v>
      </c>
      <c r="O3429">
        <v>0</v>
      </c>
      <c r="P3429">
        <v>69</v>
      </c>
    </row>
    <row r="3430" spans="1:16" x14ac:dyDescent="0.2">
      <c r="A3430" t="s">
        <v>479</v>
      </c>
      <c r="B3430" t="s">
        <v>4747</v>
      </c>
      <c r="C3430" t="s">
        <v>480</v>
      </c>
      <c r="D3430" t="s">
        <v>446</v>
      </c>
      <c r="E3430" t="s">
        <v>228</v>
      </c>
      <c r="F3430">
        <v>249.99</v>
      </c>
      <c r="G3430" t="s">
        <v>8</v>
      </c>
      <c r="H3430">
        <v>5.4166666666666662E-2</v>
      </c>
      <c r="J3430">
        <v>0</v>
      </c>
      <c r="K3430">
        <v>8</v>
      </c>
      <c r="L3430">
        <v>12</v>
      </c>
      <c r="M3430">
        <v>13.09090909090909</v>
      </c>
      <c r="N3430">
        <v>1.8333333333333335</v>
      </c>
      <c r="O3430">
        <v>0</v>
      </c>
      <c r="P3430">
        <v>24</v>
      </c>
    </row>
    <row r="3431" spans="1:16" x14ac:dyDescent="0.2">
      <c r="A3431" t="s">
        <v>2320</v>
      </c>
      <c r="B3431" t="s">
        <v>5338</v>
      </c>
      <c r="C3431" t="s">
        <v>2321</v>
      </c>
      <c r="D3431" t="s">
        <v>2146</v>
      </c>
      <c r="E3431" t="s">
        <v>228</v>
      </c>
      <c r="F3431">
        <v>69.989999999999995</v>
      </c>
      <c r="G3431" t="s">
        <v>8</v>
      </c>
      <c r="H3431">
        <v>1.4560099132589838E-2</v>
      </c>
      <c r="J3431">
        <v>76</v>
      </c>
      <c r="K3431">
        <v>18</v>
      </c>
      <c r="L3431">
        <v>175</v>
      </c>
      <c r="M3431">
        <v>115.71428571428572</v>
      </c>
      <c r="N3431">
        <v>2.333333333333333</v>
      </c>
      <c r="O3431">
        <v>0</v>
      </c>
      <c r="P3431">
        <v>270</v>
      </c>
    </row>
    <row r="3432" spans="1:16" x14ac:dyDescent="0.2">
      <c r="A3432" t="s">
        <v>255</v>
      </c>
      <c r="B3432" t="s">
        <v>4276</v>
      </c>
      <c r="C3432" t="s">
        <v>256</v>
      </c>
      <c r="D3432" t="s">
        <v>223</v>
      </c>
      <c r="E3432" t="s">
        <v>96</v>
      </c>
      <c r="F3432">
        <v>59.99</v>
      </c>
      <c r="G3432" t="s">
        <v>8</v>
      </c>
      <c r="H3432">
        <v>0.14215686274509803</v>
      </c>
      <c r="J3432">
        <v>2</v>
      </c>
      <c r="K3432">
        <v>0</v>
      </c>
      <c r="L3432">
        <v>15</v>
      </c>
      <c r="M3432">
        <v>0</v>
      </c>
      <c r="N3432">
        <v>0</v>
      </c>
      <c r="O3432">
        <v>0</v>
      </c>
      <c r="P3432">
        <v>16</v>
      </c>
    </row>
    <row r="3433" spans="1:16" x14ac:dyDescent="0.2">
      <c r="A3433" t="s">
        <v>2715</v>
      </c>
      <c r="B3433" t="s">
        <v>6192</v>
      </c>
      <c r="C3433" t="s">
        <v>2716</v>
      </c>
      <c r="D3433" t="s">
        <v>2502</v>
      </c>
      <c r="E3433" t="s">
        <v>228</v>
      </c>
      <c r="F3433">
        <v>39.99</v>
      </c>
      <c r="G3433" t="s">
        <v>8</v>
      </c>
      <c r="H3433">
        <v>0</v>
      </c>
      <c r="J3433">
        <v>0</v>
      </c>
      <c r="K3433">
        <v>240</v>
      </c>
      <c r="L3433">
        <v>0</v>
      </c>
      <c r="M3433">
        <v>0</v>
      </c>
      <c r="N3433">
        <v>0</v>
      </c>
      <c r="O3433">
        <v>0</v>
      </c>
      <c r="P3433">
        <v>240</v>
      </c>
    </row>
    <row r="3434" spans="1:16" x14ac:dyDescent="0.2">
      <c r="A3434" t="s">
        <v>259</v>
      </c>
      <c r="B3434" t="s">
        <v>259</v>
      </c>
      <c r="C3434" t="s">
        <v>260</v>
      </c>
      <c r="D3434" t="s">
        <v>223</v>
      </c>
      <c r="E3434" t="s">
        <v>290</v>
      </c>
      <c r="F3434">
        <v>99.99</v>
      </c>
      <c r="G3434" t="s">
        <v>8</v>
      </c>
      <c r="H3434">
        <v>8.0906148867313909E-4</v>
      </c>
      <c r="J3434">
        <v>0</v>
      </c>
      <c r="K3434">
        <v>98</v>
      </c>
      <c r="L3434">
        <v>5</v>
      </c>
      <c r="M3434">
        <v>0</v>
      </c>
      <c r="N3434">
        <v>0</v>
      </c>
      <c r="O3434">
        <v>0</v>
      </c>
      <c r="P3434">
        <v>103</v>
      </c>
    </row>
    <row r="3435" spans="1:16" x14ac:dyDescent="0.2">
      <c r="A3435" t="s">
        <v>2127</v>
      </c>
      <c r="C3435" t="s">
        <v>2128</v>
      </c>
      <c r="D3435" t="s">
        <v>2088</v>
      </c>
      <c r="E3435" t="s">
        <v>290</v>
      </c>
      <c r="F3435">
        <v>59.99</v>
      </c>
      <c r="G3435" t="s">
        <v>7029</v>
      </c>
      <c r="H3435">
        <v>0</v>
      </c>
      <c r="M3435">
        <v>0</v>
      </c>
      <c r="N3435">
        <v>0.16666666666666663</v>
      </c>
      <c r="O3435">
        <v>0</v>
      </c>
      <c r="P3435">
        <v>0</v>
      </c>
    </row>
    <row r="3436" spans="1:16" x14ac:dyDescent="0.2">
      <c r="A3436" t="s">
        <v>1015</v>
      </c>
      <c r="C3436" t="s">
        <v>1016</v>
      </c>
      <c r="D3436" t="s">
        <v>1012</v>
      </c>
      <c r="E3436" t="s">
        <v>290</v>
      </c>
      <c r="F3436">
        <v>49.99</v>
      </c>
      <c r="G3436" t="s">
        <v>7029</v>
      </c>
      <c r="H3436">
        <v>0</v>
      </c>
      <c r="M3436">
        <v>0</v>
      </c>
      <c r="N3436">
        <v>0</v>
      </c>
      <c r="O3436">
        <v>0</v>
      </c>
      <c r="P3436">
        <v>11</v>
      </c>
    </row>
    <row r="3437" spans="1:16" x14ac:dyDescent="0.2">
      <c r="A3437" t="s">
        <v>2117</v>
      </c>
      <c r="C3437" t="s">
        <v>2118</v>
      </c>
      <c r="D3437" t="s">
        <v>2088</v>
      </c>
      <c r="E3437" t="s">
        <v>290</v>
      </c>
      <c r="F3437">
        <v>59.99</v>
      </c>
      <c r="G3437" t="s">
        <v>7029</v>
      </c>
      <c r="H3437">
        <v>0</v>
      </c>
      <c r="M3437">
        <v>0</v>
      </c>
      <c r="N3437">
        <v>0</v>
      </c>
      <c r="O3437">
        <v>0</v>
      </c>
      <c r="P3437">
        <v>5</v>
      </c>
    </row>
    <row r="3438" spans="1:16" x14ac:dyDescent="0.2">
      <c r="A3438" t="s">
        <v>2115</v>
      </c>
      <c r="C3438" t="s">
        <v>2116</v>
      </c>
      <c r="D3438" t="s">
        <v>2088</v>
      </c>
      <c r="E3438" t="s">
        <v>290</v>
      </c>
      <c r="F3438">
        <v>69.989999999999995</v>
      </c>
      <c r="G3438" t="s">
        <v>7029</v>
      </c>
      <c r="H3438">
        <v>0</v>
      </c>
      <c r="M3438">
        <v>0</v>
      </c>
      <c r="N3438">
        <v>0</v>
      </c>
      <c r="O3438">
        <v>0</v>
      </c>
      <c r="P3438">
        <v>0</v>
      </c>
    </row>
    <row r="3439" spans="1:16" x14ac:dyDescent="0.2">
      <c r="A3439" t="s">
        <v>950</v>
      </c>
      <c r="C3439" t="s">
        <v>951</v>
      </c>
      <c r="D3439" t="s">
        <v>446</v>
      </c>
      <c r="E3439" t="s">
        <v>228</v>
      </c>
      <c r="F3439">
        <v>49.99</v>
      </c>
      <c r="G3439" t="s">
        <v>7029</v>
      </c>
      <c r="H3439">
        <v>9.2592592592592587E-3</v>
      </c>
      <c r="M3439">
        <v>0</v>
      </c>
      <c r="N3439">
        <v>0</v>
      </c>
      <c r="O3439">
        <v>0</v>
      </c>
      <c r="P3439">
        <v>9</v>
      </c>
    </row>
    <row r="3440" spans="1:16" x14ac:dyDescent="0.2">
      <c r="A3440" t="s">
        <v>934</v>
      </c>
      <c r="C3440" t="s">
        <v>935</v>
      </c>
      <c r="D3440" t="s">
        <v>446</v>
      </c>
      <c r="E3440" t="s">
        <v>228</v>
      </c>
      <c r="F3440">
        <v>39.99</v>
      </c>
      <c r="G3440" t="s">
        <v>7029</v>
      </c>
      <c r="H3440">
        <v>6.6666666666666662E-3</v>
      </c>
      <c r="M3440">
        <v>75</v>
      </c>
      <c r="N3440">
        <v>0.33333333333333331</v>
      </c>
      <c r="O3440">
        <v>0</v>
      </c>
      <c r="P3440">
        <v>25</v>
      </c>
    </row>
    <row r="3441" spans="1:16" x14ac:dyDescent="0.2">
      <c r="A3441" t="s">
        <v>932</v>
      </c>
      <c r="C3441" t="s">
        <v>933</v>
      </c>
      <c r="D3441" t="s">
        <v>446</v>
      </c>
      <c r="E3441" t="s">
        <v>228</v>
      </c>
      <c r="F3441">
        <v>49.99</v>
      </c>
      <c r="G3441" t="s">
        <v>7029</v>
      </c>
      <c r="H3441">
        <v>1.2500000000000001E-2</v>
      </c>
      <c r="M3441">
        <v>59.999999999999993</v>
      </c>
      <c r="N3441">
        <v>0.33333333333333337</v>
      </c>
      <c r="O3441">
        <v>0</v>
      </c>
      <c r="P3441">
        <v>20</v>
      </c>
    </row>
    <row r="3442" spans="1:16" x14ac:dyDescent="0.2">
      <c r="A3442" t="s">
        <v>2107</v>
      </c>
      <c r="C3442" t="s">
        <v>2108</v>
      </c>
      <c r="D3442" t="s">
        <v>2088</v>
      </c>
      <c r="E3442" t="s">
        <v>96</v>
      </c>
      <c r="F3442">
        <v>59.99</v>
      </c>
      <c r="G3442" t="s">
        <v>7029</v>
      </c>
      <c r="H3442">
        <v>0</v>
      </c>
      <c r="M3442">
        <v>0</v>
      </c>
      <c r="N3442">
        <v>0</v>
      </c>
      <c r="O3442">
        <v>0</v>
      </c>
      <c r="P3442">
        <v>0</v>
      </c>
    </row>
    <row r="3443" spans="1:16" x14ac:dyDescent="0.2">
      <c r="A3443" t="s">
        <v>1882</v>
      </c>
      <c r="C3443" t="s">
        <v>1883</v>
      </c>
      <c r="D3443" t="s">
        <v>1863</v>
      </c>
      <c r="E3443" t="s">
        <v>228</v>
      </c>
      <c r="F3443">
        <v>849.99</v>
      </c>
      <c r="G3443" t="s">
        <v>7029</v>
      </c>
      <c r="H3443">
        <v>0</v>
      </c>
      <c r="M3443">
        <v>0</v>
      </c>
      <c r="N3443">
        <v>0</v>
      </c>
      <c r="O3443">
        <v>0</v>
      </c>
      <c r="P3443">
        <v>3</v>
      </c>
    </row>
    <row r="3444" spans="1:16" x14ac:dyDescent="0.2">
      <c r="A3444" t="s">
        <v>2105</v>
      </c>
      <c r="C3444" t="s">
        <v>2106</v>
      </c>
      <c r="D3444" t="s">
        <v>2088</v>
      </c>
      <c r="E3444" t="s">
        <v>96</v>
      </c>
      <c r="F3444">
        <v>59.99</v>
      </c>
      <c r="G3444" t="s">
        <v>7029</v>
      </c>
      <c r="H3444">
        <v>0</v>
      </c>
      <c r="M3444">
        <v>0</v>
      </c>
      <c r="N3444">
        <v>0</v>
      </c>
      <c r="O3444">
        <v>0</v>
      </c>
      <c r="P3444">
        <v>5</v>
      </c>
    </row>
    <row r="3445" spans="1:16" x14ac:dyDescent="0.2">
      <c r="A3445" t="s">
        <v>2129</v>
      </c>
      <c r="C3445" t="s">
        <v>2130</v>
      </c>
      <c r="D3445" t="s">
        <v>2088</v>
      </c>
      <c r="E3445" t="s">
        <v>96</v>
      </c>
      <c r="F3445">
        <v>59.99</v>
      </c>
      <c r="G3445" t="s">
        <v>7029</v>
      </c>
      <c r="H3445">
        <v>0</v>
      </c>
      <c r="M3445">
        <v>0</v>
      </c>
      <c r="N3445">
        <v>0</v>
      </c>
      <c r="O3445">
        <v>0</v>
      </c>
      <c r="P3445">
        <v>0</v>
      </c>
    </row>
    <row r="3446" spans="1:16" x14ac:dyDescent="0.2">
      <c r="A3446" t="s">
        <v>2109</v>
      </c>
      <c r="C3446" t="s">
        <v>2110</v>
      </c>
      <c r="D3446" t="s">
        <v>2088</v>
      </c>
      <c r="E3446" t="s">
        <v>96</v>
      </c>
      <c r="F3446">
        <v>59.99</v>
      </c>
      <c r="G3446" t="s">
        <v>7029</v>
      </c>
      <c r="H3446">
        <v>0</v>
      </c>
      <c r="M3446">
        <v>0</v>
      </c>
      <c r="N3446">
        <v>0</v>
      </c>
      <c r="O3446">
        <v>0</v>
      </c>
      <c r="P3446">
        <v>0</v>
      </c>
    </row>
    <row r="3447" spans="1:16" x14ac:dyDescent="0.2">
      <c r="A3447" t="s">
        <v>2429</v>
      </c>
      <c r="C3447" t="s">
        <v>2430</v>
      </c>
      <c r="D3447" t="s">
        <v>2425</v>
      </c>
      <c r="E3447" t="s">
        <v>290</v>
      </c>
      <c r="F3447">
        <v>149.99</v>
      </c>
      <c r="G3447" t="s">
        <v>7029</v>
      </c>
      <c r="H3447">
        <v>0</v>
      </c>
      <c r="M3447">
        <v>0</v>
      </c>
      <c r="N3447">
        <v>0</v>
      </c>
      <c r="O3447">
        <v>0</v>
      </c>
      <c r="P3447">
        <v>1</v>
      </c>
    </row>
    <row r="3448" spans="1:16" x14ac:dyDescent="0.2">
      <c r="A3448" t="s">
        <v>6114</v>
      </c>
      <c r="C3448" t="s">
        <v>6115</v>
      </c>
      <c r="D3448" t="s">
        <v>2502</v>
      </c>
      <c r="E3448" t="s">
        <v>96</v>
      </c>
      <c r="F3448">
        <v>99.99</v>
      </c>
      <c r="G3448" t="s">
        <v>7029</v>
      </c>
      <c r="H3448">
        <v>0</v>
      </c>
      <c r="M3448">
        <v>0</v>
      </c>
      <c r="N3448">
        <v>0</v>
      </c>
      <c r="O3448">
        <v>0</v>
      </c>
      <c r="P3448">
        <v>0</v>
      </c>
    </row>
    <row r="3449" spans="1:16" x14ac:dyDescent="0.2">
      <c r="A3449" t="s">
        <v>2431</v>
      </c>
      <c r="C3449" t="s">
        <v>2432</v>
      </c>
      <c r="D3449" t="s">
        <v>2425</v>
      </c>
      <c r="E3449" t="s">
        <v>290</v>
      </c>
      <c r="F3449">
        <v>179.99</v>
      </c>
      <c r="G3449" t="s">
        <v>7029</v>
      </c>
      <c r="H3449">
        <v>0</v>
      </c>
      <c r="M3449">
        <v>0</v>
      </c>
      <c r="N3449">
        <v>0</v>
      </c>
      <c r="O3449">
        <v>0</v>
      </c>
      <c r="P3449">
        <v>0</v>
      </c>
    </row>
    <row r="3450" spans="1:16" x14ac:dyDescent="0.2">
      <c r="A3450" t="s">
        <v>2436</v>
      </c>
      <c r="C3450" t="s">
        <v>2437</v>
      </c>
      <c r="D3450" t="s">
        <v>2425</v>
      </c>
      <c r="E3450" t="s">
        <v>290</v>
      </c>
      <c r="F3450">
        <v>159.99</v>
      </c>
      <c r="G3450" t="s">
        <v>7029</v>
      </c>
      <c r="H3450">
        <v>0</v>
      </c>
      <c r="M3450">
        <v>0</v>
      </c>
      <c r="N3450">
        <v>0</v>
      </c>
      <c r="O3450">
        <v>0</v>
      </c>
      <c r="P3450">
        <v>0</v>
      </c>
    </row>
    <row r="3451" spans="1:16" x14ac:dyDescent="0.2">
      <c r="A3451" t="s">
        <v>2438</v>
      </c>
      <c r="C3451" t="s">
        <v>2439</v>
      </c>
      <c r="D3451" t="s">
        <v>2425</v>
      </c>
      <c r="E3451" t="s">
        <v>290</v>
      </c>
      <c r="F3451">
        <v>99.99</v>
      </c>
      <c r="G3451" t="s">
        <v>7029</v>
      </c>
      <c r="H3451">
        <v>0</v>
      </c>
      <c r="M3451">
        <v>0</v>
      </c>
      <c r="N3451">
        <v>0</v>
      </c>
      <c r="O3451">
        <v>0</v>
      </c>
      <c r="P3451">
        <v>0</v>
      </c>
    </row>
    <row r="3452" spans="1:16" x14ac:dyDescent="0.2">
      <c r="A3452" t="s">
        <v>2441</v>
      </c>
      <c r="C3452" t="s">
        <v>2442</v>
      </c>
      <c r="D3452" t="s">
        <v>2425</v>
      </c>
      <c r="E3452" t="s">
        <v>290</v>
      </c>
      <c r="F3452">
        <v>69.989999999999995</v>
      </c>
      <c r="G3452" t="s">
        <v>7029</v>
      </c>
      <c r="H3452">
        <v>0</v>
      </c>
      <c r="M3452">
        <v>0</v>
      </c>
      <c r="N3452">
        <v>0</v>
      </c>
      <c r="O3452">
        <v>0</v>
      </c>
      <c r="P3452">
        <v>0</v>
      </c>
    </row>
    <row r="3453" spans="1:16" x14ac:dyDescent="0.2">
      <c r="A3453" t="s">
        <v>2503</v>
      </c>
      <c r="C3453" t="s">
        <v>2504</v>
      </c>
      <c r="D3453" t="s">
        <v>2502</v>
      </c>
      <c r="E3453" t="s">
        <v>228</v>
      </c>
      <c r="F3453">
        <v>129.99</v>
      </c>
      <c r="G3453" t="s">
        <v>7029</v>
      </c>
      <c r="H3453">
        <v>8.9285714285714281E-3</v>
      </c>
      <c r="M3453">
        <v>168.00000000000003</v>
      </c>
      <c r="N3453">
        <v>0.16666666666666663</v>
      </c>
      <c r="O3453">
        <v>0</v>
      </c>
      <c r="P3453">
        <v>28</v>
      </c>
    </row>
    <row r="3454" spans="1:16" x14ac:dyDescent="0.2">
      <c r="A3454" t="s">
        <v>2505</v>
      </c>
      <c r="C3454" t="s">
        <v>2506</v>
      </c>
      <c r="D3454" t="s">
        <v>2502</v>
      </c>
      <c r="E3454" t="s">
        <v>228</v>
      </c>
      <c r="F3454">
        <v>119.99</v>
      </c>
      <c r="G3454" t="s">
        <v>7029</v>
      </c>
      <c r="H3454">
        <v>4.3859649122807015E-3</v>
      </c>
      <c r="M3454">
        <v>0</v>
      </c>
      <c r="N3454">
        <v>0</v>
      </c>
      <c r="O3454">
        <v>0</v>
      </c>
      <c r="P3454">
        <v>19</v>
      </c>
    </row>
    <row r="3455" spans="1:16" x14ac:dyDescent="0.2">
      <c r="A3455" t="s">
        <v>2507</v>
      </c>
      <c r="C3455" t="s">
        <v>2508</v>
      </c>
      <c r="D3455" t="s">
        <v>2502</v>
      </c>
      <c r="E3455" t="s">
        <v>228</v>
      </c>
      <c r="F3455">
        <v>139.99</v>
      </c>
      <c r="G3455" t="s">
        <v>7029</v>
      </c>
      <c r="H3455">
        <v>0</v>
      </c>
      <c r="M3455">
        <v>0</v>
      </c>
      <c r="N3455">
        <v>0</v>
      </c>
      <c r="O3455">
        <v>0</v>
      </c>
      <c r="P3455">
        <v>14</v>
      </c>
    </row>
    <row r="3456" spans="1:16" x14ac:dyDescent="0.2">
      <c r="A3456" t="s">
        <v>2513</v>
      </c>
      <c r="C3456" t="s">
        <v>2514</v>
      </c>
      <c r="D3456" t="s">
        <v>2502</v>
      </c>
      <c r="E3456" t="s">
        <v>228</v>
      </c>
      <c r="F3456">
        <v>199.99</v>
      </c>
      <c r="G3456" t="s">
        <v>7029</v>
      </c>
      <c r="H3456">
        <v>0</v>
      </c>
      <c r="M3456">
        <v>0</v>
      </c>
      <c r="N3456">
        <v>0</v>
      </c>
      <c r="O3456">
        <v>0</v>
      </c>
      <c r="P3456">
        <v>21</v>
      </c>
    </row>
    <row r="3457" spans="1:16" x14ac:dyDescent="0.2">
      <c r="A3457" t="s">
        <v>2539</v>
      </c>
      <c r="C3457" t="s">
        <v>2540</v>
      </c>
      <c r="D3457" t="s">
        <v>2502</v>
      </c>
      <c r="E3457" t="s">
        <v>228</v>
      </c>
      <c r="F3457">
        <v>54.99</v>
      </c>
      <c r="G3457" t="s">
        <v>7029</v>
      </c>
      <c r="H3457">
        <v>1.0416666666666666E-2</v>
      </c>
      <c r="M3457">
        <v>72</v>
      </c>
      <c r="N3457">
        <v>0.33333333333333331</v>
      </c>
      <c r="O3457">
        <v>0</v>
      </c>
      <c r="P3457">
        <v>24</v>
      </c>
    </row>
    <row r="3458" spans="1:16" x14ac:dyDescent="0.2">
      <c r="A3458" t="s">
        <v>2543</v>
      </c>
      <c r="C3458" t="s">
        <v>2544</v>
      </c>
      <c r="D3458" t="s">
        <v>2502</v>
      </c>
      <c r="E3458" t="s">
        <v>228</v>
      </c>
      <c r="F3458">
        <v>79.989999999999995</v>
      </c>
      <c r="G3458" t="s">
        <v>7029</v>
      </c>
      <c r="H3458">
        <v>1.3440860215053764E-2</v>
      </c>
      <c r="M3458">
        <v>186</v>
      </c>
      <c r="N3458">
        <v>0.16666666666666666</v>
      </c>
      <c r="O3458">
        <v>0</v>
      </c>
      <c r="P3458">
        <v>31</v>
      </c>
    </row>
    <row r="3459" spans="1:16" x14ac:dyDescent="0.2">
      <c r="A3459" t="s">
        <v>2561</v>
      </c>
      <c r="C3459" t="s">
        <v>2562</v>
      </c>
      <c r="D3459" t="s">
        <v>2502</v>
      </c>
      <c r="E3459" t="s">
        <v>228</v>
      </c>
      <c r="F3459">
        <v>17.989999999999998</v>
      </c>
      <c r="G3459" t="s">
        <v>7029</v>
      </c>
      <c r="H3459">
        <v>1.5931372549019607E-2</v>
      </c>
      <c r="M3459">
        <v>68</v>
      </c>
      <c r="N3459">
        <v>1</v>
      </c>
      <c r="O3459">
        <v>0</v>
      </c>
      <c r="P3459">
        <v>68</v>
      </c>
    </row>
    <row r="3460" spans="1:16" x14ac:dyDescent="0.2">
      <c r="A3460" t="s">
        <v>2567</v>
      </c>
      <c r="C3460" t="s">
        <v>2568</v>
      </c>
      <c r="D3460" t="s">
        <v>2502</v>
      </c>
      <c r="E3460" t="s">
        <v>228</v>
      </c>
      <c r="F3460">
        <v>79.989999999999995</v>
      </c>
      <c r="G3460" t="s">
        <v>7029</v>
      </c>
      <c r="H3460">
        <v>0</v>
      </c>
      <c r="M3460">
        <v>0</v>
      </c>
      <c r="N3460">
        <v>0</v>
      </c>
      <c r="O3460">
        <v>0</v>
      </c>
      <c r="P3460">
        <v>8</v>
      </c>
    </row>
    <row r="3461" spans="1:16" x14ac:dyDescent="0.2">
      <c r="A3461" t="s">
        <v>693</v>
      </c>
      <c r="C3461" t="s">
        <v>7020</v>
      </c>
      <c r="D3461" t="s">
        <v>446</v>
      </c>
      <c r="E3461" t="s">
        <v>228</v>
      </c>
      <c r="F3461">
        <v>59.99</v>
      </c>
      <c r="G3461" t="s">
        <v>7029</v>
      </c>
      <c r="H3461">
        <v>2.1604938271604941E-2</v>
      </c>
      <c r="M3461">
        <v>162</v>
      </c>
      <c r="N3461">
        <v>0.16666666666666666</v>
      </c>
      <c r="O3461">
        <v>0</v>
      </c>
      <c r="P3461">
        <v>27</v>
      </c>
    </row>
    <row r="3462" spans="1:16" x14ac:dyDescent="0.2">
      <c r="A3462" t="s">
        <v>926</v>
      </c>
      <c r="C3462" t="s">
        <v>927</v>
      </c>
      <c r="D3462" t="s">
        <v>446</v>
      </c>
      <c r="E3462" t="s">
        <v>96</v>
      </c>
      <c r="F3462">
        <v>29.99</v>
      </c>
      <c r="G3462" t="s">
        <v>7029</v>
      </c>
      <c r="H3462">
        <v>0</v>
      </c>
      <c r="M3462">
        <v>0</v>
      </c>
      <c r="N3462">
        <v>0</v>
      </c>
      <c r="O3462">
        <v>0</v>
      </c>
      <c r="P3462">
        <v>0</v>
      </c>
    </row>
    <row r="3463" spans="1:16" x14ac:dyDescent="0.2">
      <c r="A3463" t="s">
        <v>4647</v>
      </c>
      <c r="C3463" t="s">
        <v>4648</v>
      </c>
      <c r="D3463" t="s">
        <v>446</v>
      </c>
      <c r="E3463" t="s">
        <v>96</v>
      </c>
      <c r="F3463">
        <v>24.99</v>
      </c>
      <c r="G3463" t="s">
        <v>7029</v>
      </c>
      <c r="H3463">
        <v>0</v>
      </c>
      <c r="M3463">
        <v>0</v>
      </c>
      <c r="N3463">
        <v>0</v>
      </c>
      <c r="O3463">
        <v>0</v>
      </c>
      <c r="P3463">
        <v>0</v>
      </c>
    </row>
    <row r="3464" spans="1:16" x14ac:dyDescent="0.2">
      <c r="A3464" t="s">
        <v>2641</v>
      </c>
      <c r="C3464" t="s">
        <v>2642</v>
      </c>
      <c r="D3464" t="s">
        <v>2502</v>
      </c>
      <c r="E3464" t="s">
        <v>228</v>
      </c>
      <c r="F3464">
        <v>109.99</v>
      </c>
      <c r="G3464" t="s">
        <v>7029</v>
      </c>
      <c r="H3464">
        <v>0</v>
      </c>
      <c r="M3464">
        <v>0</v>
      </c>
      <c r="N3464">
        <v>0</v>
      </c>
      <c r="O3464">
        <v>0</v>
      </c>
      <c r="P3464">
        <v>19</v>
      </c>
    </row>
    <row r="3465" spans="1:16" x14ac:dyDescent="0.2">
      <c r="A3465" t="s">
        <v>6387</v>
      </c>
      <c r="C3465" t="s">
        <v>6388</v>
      </c>
      <c r="D3465" t="s">
        <v>2502</v>
      </c>
      <c r="E3465" t="s">
        <v>96</v>
      </c>
      <c r="F3465">
        <v>199.99</v>
      </c>
      <c r="G3465" t="s">
        <v>7029</v>
      </c>
      <c r="H3465">
        <v>2.7777777777777776E-2</v>
      </c>
      <c r="M3465">
        <v>0</v>
      </c>
      <c r="N3465">
        <v>0</v>
      </c>
      <c r="O3465">
        <v>0</v>
      </c>
      <c r="P3465">
        <v>3</v>
      </c>
    </row>
    <row r="3466" spans="1:16" x14ac:dyDescent="0.2">
      <c r="A3466" t="s">
        <v>6341</v>
      </c>
      <c r="C3466" t="s">
        <v>6342</v>
      </c>
      <c r="D3466" t="s">
        <v>2502</v>
      </c>
      <c r="E3466" t="s">
        <v>290</v>
      </c>
      <c r="F3466">
        <v>49.99</v>
      </c>
      <c r="G3466" t="s">
        <v>7029</v>
      </c>
      <c r="H3466">
        <v>2.5000000000000001E-2</v>
      </c>
      <c r="M3466">
        <v>0</v>
      </c>
      <c r="N3466">
        <v>0</v>
      </c>
      <c r="O3466">
        <v>0</v>
      </c>
      <c r="P3466">
        <v>10</v>
      </c>
    </row>
    <row r="3467" spans="1:16" x14ac:dyDescent="0.2">
      <c r="A3467" t="s">
        <v>4432</v>
      </c>
      <c r="C3467" t="s">
        <v>4433</v>
      </c>
      <c r="D3467" t="s">
        <v>1012</v>
      </c>
      <c r="E3467" t="s">
        <v>290</v>
      </c>
      <c r="F3467">
        <v>49.99</v>
      </c>
      <c r="G3467" t="s">
        <v>7029</v>
      </c>
      <c r="H3467">
        <v>0</v>
      </c>
      <c r="M3467">
        <v>0</v>
      </c>
      <c r="N3467">
        <v>0</v>
      </c>
      <c r="O3467">
        <v>0</v>
      </c>
      <c r="P3467">
        <v>4</v>
      </c>
    </row>
    <row r="3468" spans="1:16" x14ac:dyDescent="0.2">
      <c r="A3468" t="s">
        <v>2645</v>
      </c>
      <c r="C3468" t="s">
        <v>2646</v>
      </c>
      <c r="D3468" t="s">
        <v>2502</v>
      </c>
      <c r="E3468" t="s">
        <v>228</v>
      </c>
      <c r="F3468">
        <v>139.99</v>
      </c>
      <c r="G3468" t="s">
        <v>7029</v>
      </c>
      <c r="H3468">
        <v>0</v>
      </c>
      <c r="M3468">
        <v>0</v>
      </c>
      <c r="N3468">
        <v>0</v>
      </c>
      <c r="O3468">
        <v>0</v>
      </c>
      <c r="P3468">
        <v>17</v>
      </c>
    </row>
    <row r="3469" spans="1:16" x14ac:dyDescent="0.2">
      <c r="A3469" t="s">
        <v>2659</v>
      </c>
      <c r="C3469" t="s">
        <v>2660</v>
      </c>
      <c r="D3469" t="s">
        <v>2502</v>
      </c>
      <c r="E3469" t="s">
        <v>290</v>
      </c>
      <c r="F3469">
        <v>199.99</v>
      </c>
      <c r="G3469" t="s">
        <v>7029</v>
      </c>
      <c r="H3469">
        <v>0</v>
      </c>
      <c r="M3469">
        <v>0</v>
      </c>
      <c r="N3469">
        <v>0</v>
      </c>
      <c r="O3469">
        <v>0</v>
      </c>
      <c r="P3469">
        <v>0</v>
      </c>
    </row>
    <row r="3470" spans="1:16" x14ac:dyDescent="0.2">
      <c r="A3470" t="s">
        <v>807</v>
      </c>
      <c r="C3470" t="s">
        <v>808</v>
      </c>
      <c r="D3470" t="s">
        <v>446</v>
      </c>
      <c r="E3470" t="s">
        <v>228</v>
      </c>
      <c r="F3470">
        <v>19.989999999999998</v>
      </c>
      <c r="G3470" t="s">
        <v>7029</v>
      </c>
      <c r="H3470">
        <v>1.3888888888888888E-2</v>
      </c>
      <c r="M3470">
        <v>54</v>
      </c>
      <c r="N3470">
        <v>0.33333333333333331</v>
      </c>
      <c r="O3470">
        <v>0</v>
      </c>
      <c r="P3470">
        <v>18</v>
      </c>
    </row>
    <row r="3471" spans="1:16" x14ac:dyDescent="0.2">
      <c r="A3471" t="s">
        <v>5924</v>
      </c>
      <c r="C3471" t="s">
        <v>5925</v>
      </c>
      <c r="D3471" t="s">
        <v>2502</v>
      </c>
      <c r="E3471" t="s">
        <v>290</v>
      </c>
      <c r="F3471">
        <v>49.99</v>
      </c>
      <c r="G3471" t="s">
        <v>7029</v>
      </c>
      <c r="H3471">
        <v>2.7777777777777776E-2</v>
      </c>
      <c r="M3471">
        <v>36.000000000000007</v>
      </c>
      <c r="N3471">
        <v>0.16666666666666663</v>
      </c>
      <c r="O3471">
        <v>0</v>
      </c>
      <c r="P3471">
        <v>6</v>
      </c>
    </row>
    <row r="3472" spans="1:16" x14ac:dyDescent="0.2">
      <c r="A3472" t="s">
        <v>2665</v>
      </c>
      <c r="C3472" t="s">
        <v>2666</v>
      </c>
      <c r="D3472" t="s">
        <v>2502</v>
      </c>
      <c r="E3472" t="s">
        <v>228</v>
      </c>
      <c r="F3472">
        <v>64.989999999999995</v>
      </c>
      <c r="G3472" t="s">
        <v>7029</v>
      </c>
      <c r="H3472">
        <v>3.2608695652173912E-2</v>
      </c>
      <c r="M3472">
        <v>27.599999999999998</v>
      </c>
      <c r="N3472">
        <v>0.83333333333333337</v>
      </c>
      <c r="O3472">
        <v>0</v>
      </c>
      <c r="P3472">
        <v>23</v>
      </c>
    </row>
    <row r="3473" spans="1:16" x14ac:dyDescent="0.2">
      <c r="A3473" t="s">
        <v>4650</v>
      </c>
      <c r="C3473" t="s">
        <v>4651</v>
      </c>
      <c r="D3473" t="s">
        <v>446</v>
      </c>
      <c r="E3473" t="s">
        <v>96</v>
      </c>
      <c r="F3473">
        <v>24.99</v>
      </c>
      <c r="G3473" t="s">
        <v>7029</v>
      </c>
      <c r="H3473">
        <v>0</v>
      </c>
      <c r="M3473">
        <v>0</v>
      </c>
      <c r="N3473">
        <v>0</v>
      </c>
      <c r="O3473">
        <v>0</v>
      </c>
      <c r="P3473">
        <v>0</v>
      </c>
    </row>
    <row r="3474" spans="1:16" x14ac:dyDescent="0.2">
      <c r="A3474" t="s">
        <v>2669</v>
      </c>
      <c r="C3474" t="s">
        <v>2670</v>
      </c>
      <c r="D3474" t="s">
        <v>2502</v>
      </c>
      <c r="E3474" t="s">
        <v>228</v>
      </c>
      <c r="F3474">
        <v>59.99</v>
      </c>
      <c r="G3474" t="s">
        <v>7029</v>
      </c>
      <c r="H3474">
        <v>0</v>
      </c>
      <c r="M3474">
        <v>0</v>
      </c>
      <c r="N3474">
        <v>0</v>
      </c>
      <c r="O3474">
        <v>0</v>
      </c>
      <c r="P3474">
        <v>10</v>
      </c>
    </row>
    <row r="3475" spans="1:16" x14ac:dyDescent="0.2">
      <c r="A3475" t="s">
        <v>2687</v>
      </c>
      <c r="C3475" t="s">
        <v>2688</v>
      </c>
      <c r="D3475" t="s">
        <v>2502</v>
      </c>
      <c r="E3475" t="s">
        <v>228</v>
      </c>
      <c r="F3475">
        <v>159.99</v>
      </c>
      <c r="G3475" t="s">
        <v>7029</v>
      </c>
      <c r="H3475">
        <v>5.2083333333333336E-2</v>
      </c>
      <c r="M3475">
        <v>13.714285714285715</v>
      </c>
      <c r="N3475">
        <v>1.1666666666666665</v>
      </c>
      <c r="O3475">
        <v>0</v>
      </c>
      <c r="P3475">
        <v>16</v>
      </c>
    </row>
    <row r="3476" spans="1:16" x14ac:dyDescent="0.2">
      <c r="A3476" t="s">
        <v>249</v>
      </c>
      <c r="C3476" t="s">
        <v>250</v>
      </c>
      <c r="D3476" t="s">
        <v>223</v>
      </c>
      <c r="E3476" t="s">
        <v>228</v>
      </c>
      <c r="F3476">
        <v>39.99</v>
      </c>
      <c r="G3476" t="s">
        <v>7029</v>
      </c>
      <c r="H3476">
        <v>0</v>
      </c>
      <c r="M3476">
        <v>0</v>
      </c>
      <c r="N3476">
        <v>0</v>
      </c>
      <c r="O3476">
        <v>0</v>
      </c>
      <c r="P3476">
        <v>0</v>
      </c>
    </row>
    <row r="3477" spans="1:16" x14ac:dyDescent="0.2">
      <c r="A3477" t="s">
        <v>2701</v>
      </c>
      <c r="C3477" t="s">
        <v>2702</v>
      </c>
      <c r="D3477" t="s">
        <v>2502</v>
      </c>
      <c r="E3477" t="s">
        <v>290</v>
      </c>
      <c r="F3477">
        <v>99.99</v>
      </c>
      <c r="G3477" t="s">
        <v>7029</v>
      </c>
      <c r="H3477">
        <v>3.0701754385964911E-2</v>
      </c>
      <c r="M3477">
        <v>38</v>
      </c>
      <c r="N3477">
        <v>0.5</v>
      </c>
      <c r="O3477">
        <v>0</v>
      </c>
      <c r="P3477">
        <v>19</v>
      </c>
    </row>
    <row r="3478" spans="1:16" x14ac:dyDescent="0.2">
      <c r="A3478" t="s">
        <v>6157</v>
      </c>
      <c r="C3478" t="s">
        <v>6158</v>
      </c>
      <c r="D3478" t="s">
        <v>2502</v>
      </c>
      <c r="E3478" t="s">
        <v>290</v>
      </c>
      <c r="F3478">
        <v>109.99</v>
      </c>
      <c r="G3478" t="s">
        <v>7029</v>
      </c>
      <c r="H3478">
        <v>7.2222222222222202E-2</v>
      </c>
      <c r="M3478">
        <v>30</v>
      </c>
      <c r="N3478">
        <v>0.5</v>
      </c>
      <c r="O3478">
        <v>0</v>
      </c>
      <c r="P3478">
        <v>15</v>
      </c>
    </row>
    <row r="3479" spans="1:16" x14ac:dyDescent="0.2">
      <c r="A3479" t="s">
        <v>4643</v>
      </c>
      <c r="C3479" t="s">
        <v>4644</v>
      </c>
      <c r="D3479" t="s">
        <v>446</v>
      </c>
      <c r="E3479" t="s">
        <v>96</v>
      </c>
      <c r="F3479">
        <v>19.989999999999998</v>
      </c>
      <c r="G3479" t="s">
        <v>7029</v>
      </c>
      <c r="H3479">
        <v>0</v>
      </c>
      <c r="M3479">
        <v>0</v>
      </c>
      <c r="N3479">
        <v>0</v>
      </c>
      <c r="O3479">
        <v>0</v>
      </c>
      <c r="P3479">
        <v>1</v>
      </c>
    </row>
    <row r="3480" spans="1:16" x14ac:dyDescent="0.2">
      <c r="A3480" t="s">
        <v>6348</v>
      </c>
      <c r="C3480" t="s">
        <v>6349</v>
      </c>
      <c r="D3480" t="s">
        <v>2502</v>
      </c>
      <c r="E3480" t="s">
        <v>290</v>
      </c>
      <c r="F3480">
        <v>129.99</v>
      </c>
      <c r="G3480" t="s">
        <v>7029</v>
      </c>
      <c r="H3480">
        <v>0</v>
      </c>
      <c r="M3480">
        <v>0</v>
      </c>
      <c r="N3480">
        <v>0</v>
      </c>
      <c r="O3480">
        <v>0</v>
      </c>
      <c r="P3480">
        <v>20</v>
      </c>
    </row>
    <row r="3481" spans="1:16" x14ac:dyDescent="0.2">
      <c r="A3481" t="s">
        <v>2713</v>
      </c>
      <c r="C3481" t="s">
        <v>2714</v>
      </c>
      <c r="D3481" t="s">
        <v>2502</v>
      </c>
      <c r="E3481" t="s">
        <v>228</v>
      </c>
      <c r="F3481">
        <v>19.989999999999998</v>
      </c>
      <c r="G3481" t="s">
        <v>7029</v>
      </c>
      <c r="H3481">
        <v>1.3333333333333332E-2</v>
      </c>
      <c r="M3481">
        <v>75</v>
      </c>
      <c r="N3481">
        <v>0.33333333333333331</v>
      </c>
      <c r="O3481">
        <v>0</v>
      </c>
      <c r="P3481">
        <v>25</v>
      </c>
    </row>
    <row r="3482" spans="1:16" x14ac:dyDescent="0.2">
      <c r="A3482" t="s">
        <v>7512</v>
      </c>
      <c r="C3482" t="s">
        <v>7513</v>
      </c>
      <c r="D3482" t="s">
        <v>446</v>
      </c>
      <c r="E3482" t="s">
        <v>96</v>
      </c>
      <c r="G3482" t="s">
        <v>7029</v>
      </c>
      <c r="H3482">
        <v>0</v>
      </c>
      <c r="M3482">
        <v>0</v>
      </c>
      <c r="N3482">
        <v>0</v>
      </c>
      <c r="P3482">
        <v>0</v>
      </c>
    </row>
    <row r="3483" spans="1:16" x14ac:dyDescent="0.2">
      <c r="A3483" t="s">
        <v>2729</v>
      </c>
      <c r="C3483" t="s">
        <v>2730</v>
      </c>
      <c r="D3483" t="s">
        <v>2502</v>
      </c>
      <c r="E3483" t="s">
        <v>290</v>
      </c>
      <c r="F3483">
        <v>54.99</v>
      </c>
      <c r="G3483" t="s">
        <v>7029</v>
      </c>
      <c r="H3483">
        <v>0</v>
      </c>
      <c r="M3483">
        <v>0</v>
      </c>
      <c r="N3483">
        <v>0</v>
      </c>
      <c r="O3483">
        <v>0</v>
      </c>
      <c r="P3483">
        <v>18</v>
      </c>
    </row>
    <row r="3484" spans="1:16" x14ac:dyDescent="0.2">
      <c r="A3484" t="s">
        <v>5839</v>
      </c>
      <c r="C3484" t="s">
        <v>5840</v>
      </c>
      <c r="D3484" t="s">
        <v>1692</v>
      </c>
      <c r="E3484" t="s">
        <v>96</v>
      </c>
      <c r="F3484">
        <v>49.99</v>
      </c>
      <c r="G3484" t="s">
        <v>7029</v>
      </c>
      <c r="H3484">
        <v>0</v>
      </c>
      <c r="M3484">
        <v>0</v>
      </c>
      <c r="N3484">
        <v>0</v>
      </c>
      <c r="O3484">
        <v>0</v>
      </c>
      <c r="P3484">
        <v>6</v>
      </c>
    </row>
    <row r="3485" spans="1:16" x14ac:dyDescent="0.2">
      <c r="A3485" t="s">
        <v>1008</v>
      </c>
      <c r="C3485" t="s">
        <v>1009</v>
      </c>
      <c r="D3485" t="s">
        <v>446</v>
      </c>
      <c r="E3485" t="s">
        <v>228</v>
      </c>
      <c r="F3485">
        <v>29.99</v>
      </c>
      <c r="G3485" t="s">
        <v>7029</v>
      </c>
      <c r="H3485">
        <v>0</v>
      </c>
      <c r="M3485">
        <v>0</v>
      </c>
      <c r="N3485">
        <v>0</v>
      </c>
      <c r="O3485">
        <v>0</v>
      </c>
      <c r="P3485">
        <v>1</v>
      </c>
    </row>
    <row r="3486" spans="1:16" x14ac:dyDescent="0.2">
      <c r="A3486" t="s">
        <v>5845</v>
      </c>
      <c r="C3486" t="s">
        <v>5846</v>
      </c>
      <c r="D3486" t="s">
        <v>5847</v>
      </c>
      <c r="E3486" t="s">
        <v>96</v>
      </c>
      <c r="F3486">
        <v>89.99</v>
      </c>
      <c r="G3486" t="s">
        <v>7029</v>
      </c>
      <c r="H3486">
        <v>0</v>
      </c>
      <c r="M3486">
        <v>0</v>
      </c>
      <c r="N3486">
        <v>0</v>
      </c>
      <c r="O3486">
        <v>0</v>
      </c>
      <c r="P3486">
        <v>0</v>
      </c>
    </row>
    <row r="3487" spans="1:16" x14ac:dyDescent="0.2">
      <c r="A3487" t="s">
        <v>7532</v>
      </c>
      <c r="C3487" t="s">
        <v>7533</v>
      </c>
      <c r="D3487" t="s">
        <v>1692</v>
      </c>
      <c r="E3487" t="s">
        <v>96</v>
      </c>
      <c r="F3487">
        <v>79.989999999999995</v>
      </c>
      <c r="G3487" t="s">
        <v>7029</v>
      </c>
      <c r="H3487">
        <v>0</v>
      </c>
      <c r="M3487">
        <v>0</v>
      </c>
      <c r="N3487">
        <v>0</v>
      </c>
      <c r="O3487">
        <v>0</v>
      </c>
      <c r="P3487">
        <v>0</v>
      </c>
    </row>
    <row r="3488" spans="1:16" x14ac:dyDescent="0.2">
      <c r="A3488" t="s">
        <v>4438</v>
      </c>
      <c r="C3488" t="s">
        <v>4439</v>
      </c>
      <c r="D3488" t="s">
        <v>1012</v>
      </c>
      <c r="E3488" t="s">
        <v>290</v>
      </c>
      <c r="F3488">
        <v>49.99</v>
      </c>
      <c r="G3488" t="s">
        <v>7029</v>
      </c>
      <c r="H3488">
        <v>0</v>
      </c>
      <c r="M3488">
        <v>0</v>
      </c>
      <c r="N3488">
        <v>0</v>
      </c>
      <c r="O3488">
        <v>0</v>
      </c>
      <c r="P3488">
        <v>6</v>
      </c>
    </row>
    <row r="3489" spans="1:16" x14ac:dyDescent="0.2">
      <c r="A3489" t="s">
        <v>5875</v>
      </c>
      <c r="C3489" t="s">
        <v>5876</v>
      </c>
      <c r="D3489" t="s">
        <v>1692</v>
      </c>
      <c r="E3489" t="s">
        <v>96</v>
      </c>
      <c r="G3489" t="s">
        <v>7029</v>
      </c>
      <c r="H3489">
        <v>0</v>
      </c>
      <c r="M3489">
        <v>0</v>
      </c>
      <c r="N3489">
        <v>0</v>
      </c>
      <c r="P3489">
        <v>0</v>
      </c>
    </row>
    <row r="3490" spans="1:16" x14ac:dyDescent="0.2">
      <c r="A3490" t="s">
        <v>4436</v>
      </c>
      <c r="C3490" t="s">
        <v>4437</v>
      </c>
      <c r="D3490" t="s">
        <v>1012</v>
      </c>
      <c r="E3490" t="s">
        <v>96</v>
      </c>
      <c r="F3490">
        <v>59.99</v>
      </c>
      <c r="G3490" t="s">
        <v>7029</v>
      </c>
      <c r="H3490">
        <v>0</v>
      </c>
      <c r="M3490">
        <v>0</v>
      </c>
      <c r="N3490">
        <v>0</v>
      </c>
      <c r="O3490">
        <v>0</v>
      </c>
      <c r="P3490">
        <v>1</v>
      </c>
    </row>
    <row r="3491" spans="1:16" x14ac:dyDescent="0.2">
      <c r="A3491" t="s">
        <v>6690</v>
      </c>
      <c r="C3491" t="s">
        <v>6691</v>
      </c>
      <c r="D3491" t="s">
        <v>2987</v>
      </c>
      <c r="E3491" t="s">
        <v>96</v>
      </c>
      <c r="F3491">
        <v>74.989999999999995</v>
      </c>
      <c r="G3491" t="s">
        <v>7029</v>
      </c>
      <c r="H3491">
        <v>0</v>
      </c>
      <c r="M3491">
        <v>0</v>
      </c>
      <c r="N3491">
        <v>0</v>
      </c>
      <c r="O3491">
        <v>0</v>
      </c>
      <c r="P3491">
        <v>0</v>
      </c>
    </row>
    <row r="3492" spans="1:16" x14ac:dyDescent="0.2">
      <c r="A3492" t="s">
        <v>1693</v>
      </c>
      <c r="C3492" t="s">
        <v>1694</v>
      </c>
      <c r="D3492" t="s">
        <v>1692</v>
      </c>
      <c r="E3492" t="s">
        <v>96</v>
      </c>
      <c r="F3492">
        <v>29.99</v>
      </c>
      <c r="G3492" t="s">
        <v>7029</v>
      </c>
      <c r="H3492">
        <v>0</v>
      </c>
      <c r="M3492">
        <v>0</v>
      </c>
      <c r="N3492">
        <v>0</v>
      </c>
      <c r="O3492">
        <v>0</v>
      </c>
      <c r="P3492">
        <v>0</v>
      </c>
    </row>
    <row r="3493" spans="1:16" x14ac:dyDescent="0.2">
      <c r="A3493" t="s">
        <v>4630</v>
      </c>
      <c r="C3493" t="s">
        <v>4631</v>
      </c>
      <c r="D3493" t="s">
        <v>446</v>
      </c>
      <c r="E3493" t="s">
        <v>96</v>
      </c>
      <c r="F3493">
        <v>29.99</v>
      </c>
      <c r="G3493" t="s">
        <v>7029</v>
      </c>
      <c r="H3493">
        <v>0</v>
      </c>
      <c r="M3493">
        <v>0</v>
      </c>
      <c r="N3493">
        <v>0</v>
      </c>
      <c r="O3493">
        <v>0</v>
      </c>
      <c r="P3493">
        <v>0</v>
      </c>
    </row>
    <row r="3494" spans="1:16" x14ac:dyDescent="0.2">
      <c r="A3494" t="s">
        <v>5887</v>
      </c>
      <c r="C3494" t="s">
        <v>5888</v>
      </c>
      <c r="D3494" t="s">
        <v>1692</v>
      </c>
      <c r="E3494" t="s">
        <v>290</v>
      </c>
      <c r="F3494">
        <v>29.99</v>
      </c>
      <c r="G3494" t="s">
        <v>7029</v>
      </c>
      <c r="H3494">
        <v>0</v>
      </c>
      <c r="M3494">
        <v>0</v>
      </c>
      <c r="N3494">
        <v>0</v>
      </c>
      <c r="O3494">
        <v>0</v>
      </c>
      <c r="P3494">
        <v>0</v>
      </c>
    </row>
    <row r="3495" spans="1:16" x14ac:dyDescent="0.2">
      <c r="A3495" t="s">
        <v>5849</v>
      </c>
      <c r="C3495" t="s">
        <v>5850</v>
      </c>
      <c r="D3495" t="s">
        <v>1692</v>
      </c>
      <c r="E3495" t="s">
        <v>96</v>
      </c>
      <c r="F3495">
        <v>69.989999999999995</v>
      </c>
      <c r="G3495" t="s">
        <v>7029</v>
      </c>
      <c r="H3495">
        <v>0</v>
      </c>
      <c r="M3495">
        <v>0</v>
      </c>
      <c r="N3495">
        <v>0</v>
      </c>
      <c r="O3495">
        <v>0</v>
      </c>
      <c r="P3495">
        <v>0</v>
      </c>
    </row>
    <row r="3496" spans="1:16" x14ac:dyDescent="0.2">
      <c r="A3496" t="s">
        <v>4633</v>
      </c>
      <c r="C3496" t="s">
        <v>4634</v>
      </c>
      <c r="D3496" t="s">
        <v>446</v>
      </c>
      <c r="E3496" t="s">
        <v>290</v>
      </c>
      <c r="F3496">
        <v>34.99</v>
      </c>
      <c r="G3496" t="s">
        <v>7029</v>
      </c>
      <c r="H3496">
        <v>0</v>
      </c>
      <c r="M3496">
        <v>0</v>
      </c>
      <c r="N3496">
        <v>0</v>
      </c>
      <c r="O3496">
        <v>0</v>
      </c>
      <c r="P3496">
        <v>0</v>
      </c>
    </row>
    <row r="3497" spans="1:16" x14ac:dyDescent="0.2">
      <c r="A3497" t="s">
        <v>5855</v>
      </c>
      <c r="C3497" t="s">
        <v>5856</v>
      </c>
      <c r="D3497" t="s">
        <v>1692</v>
      </c>
      <c r="E3497" t="s">
        <v>96</v>
      </c>
      <c r="F3497">
        <v>34.99</v>
      </c>
      <c r="G3497" t="s">
        <v>7029</v>
      </c>
      <c r="H3497">
        <v>0</v>
      </c>
      <c r="M3497">
        <v>0</v>
      </c>
      <c r="N3497">
        <v>0</v>
      </c>
      <c r="O3497">
        <v>0</v>
      </c>
      <c r="P3497">
        <v>0</v>
      </c>
    </row>
    <row r="3498" spans="1:16" x14ac:dyDescent="0.2">
      <c r="A3498" t="s">
        <v>924</v>
      </c>
      <c r="C3498" t="s">
        <v>925</v>
      </c>
      <c r="D3498" t="s">
        <v>446</v>
      </c>
      <c r="E3498" t="s">
        <v>96</v>
      </c>
      <c r="F3498">
        <v>29.99</v>
      </c>
      <c r="G3498" t="s">
        <v>7029</v>
      </c>
      <c r="H3498">
        <v>0</v>
      </c>
      <c r="M3498">
        <v>0</v>
      </c>
      <c r="N3498">
        <v>0</v>
      </c>
      <c r="O3498">
        <v>0</v>
      </c>
      <c r="P3498">
        <v>0</v>
      </c>
    </row>
    <row r="3499" spans="1:16" x14ac:dyDescent="0.2">
      <c r="A3499" t="s">
        <v>5858</v>
      </c>
      <c r="C3499" t="s">
        <v>5859</v>
      </c>
      <c r="D3499" t="s">
        <v>1692</v>
      </c>
      <c r="E3499" t="s">
        <v>96</v>
      </c>
      <c r="F3499">
        <v>34.99</v>
      </c>
      <c r="G3499" t="s">
        <v>7029</v>
      </c>
      <c r="H3499">
        <v>0</v>
      </c>
      <c r="M3499">
        <v>0</v>
      </c>
      <c r="N3499">
        <v>0</v>
      </c>
      <c r="O3499">
        <v>0</v>
      </c>
      <c r="P3499">
        <v>0</v>
      </c>
    </row>
    <row r="3500" spans="1:16" x14ac:dyDescent="0.2">
      <c r="A3500" t="s">
        <v>5861</v>
      </c>
      <c r="C3500" t="s">
        <v>5862</v>
      </c>
      <c r="D3500" t="s">
        <v>1692</v>
      </c>
      <c r="E3500" t="s">
        <v>96</v>
      </c>
      <c r="F3500">
        <v>34.99</v>
      </c>
      <c r="G3500" t="s">
        <v>7029</v>
      </c>
      <c r="H3500">
        <v>0</v>
      </c>
      <c r="M3500">
        <v>0</v>
      </c>
      <c r="N3500">
        <v>0</v>
      </c>
      <c r="O3500">
        <v>0</v>
      </c>
      <c r="P3500">
        <v>0</v>
      </c>
    </row>
    <row r="3501" spans="1:16" x14ac:dyDescent="0.2">
      <c r="A3501" t="s">
        <v>5872</v>
      </c>
      <c r="C3501" t="s">
        <v>5873</v>
      </c>
      <c r="D3501" t="s">
        <v>1692</v>
      </c>
      <c r="E3501" t="s">
        <v>96</v>
      </c>
      <c r="F3501">
        <v>39.99</v>
      </c>
      <c r="G3501" t="s">
        <v>7029</v>
      </c>
      <c r="H3501">
        <v>0</v>
      </c>
      <c r="M3501">
        <v>0</v>
      </c>
      <c r="N3501">
        <v>0</v>
      </c>
      <c r="O3501">
        <v>0</v>
      </c>
      <c r="P3501">
        <v>0</v>
      </c>
    </row>
    <row r="3502" spans="1:16" x14ac:dyDescent="0.2">
      <c r="A3502" t="s">
        <v>914</v>
      </c>
      <c r="C3502" t="s">
        <v>915</v>
      </c>
      <c r="D3502" t="s">
        <v>446</v>
      </c>
      <c r="E3502" t="s">
        <v>228</v>
      </c>
      <c r="F3502">
        <v>49.99</v>
      </c>
      <c r="G3502" t="s">
        <v>7029</v>
      </c>
      <c r="H3502">
        <v>0</v>
      </c>
      <c r="M3502">
        <v>0</v>
      </c>
      <c r="N3502">
        <v>0</v>
      </c>
      <c r="O3502">
        <v>0</v>
      </c>
      <c r="P3502">
        <v>3</v>
      </c>
    </row>
    <row r="3503" spans="1:16" x14ac:dyDescent="0.2">
      <c r="A3503" t="s">
        <v>5878</v>
      </c>
      <c r="C3503" t="s">
        <v>5879</v>
      </c>
      <c r="D3503" t="s">
        <v>1692</v>
      </c>
      <c r="E3503" t="s">
        <v>96</v>
      </c>
      <c r="F3503">
        <v>39.99</v>
      </c>
      <c r="G3503" t="s">
        <v>7029</v>
      </c>
      <c r="H3503">
        <v>0</v>
      </c>
      <c r="M3503">
        <v>0</v>
      </c>
      <c r="N3503">
        <v>0</v>
      </c>
      <c r="O3503">
        <v>0</v>
      </c>
      <c r="P3503">
        <v>0</v>
      </c>
    </row>
    <row r="3504" spans="1:16" x14ac:dyDescent="0.2">
      <c r="A3504" t="s">
        <v>5896</v>
      </c>
      <c r="C3504" t="s">
        <v>5897</v>
      </c>
      <c r="D3504" t="s">
        <v>1692</v>
      </c>
      <c r="E3504" t="s">
        <v>96</v>
      </c>
      <c r="F3504">
        <v>19.989999999999998</v>
      </c>
      <c r="G3504" t="s">
        <v>7029</v>
      </c>
      <c r="H3504">
        <v>0</v>
      </c>
      <c r="M3504">
        <v>0</v>
      </c>
      <c r="N3504">
        <v>0</v>
      </c>
      <c r="O3504">
        <v>0</v>
      </c>
      <c r="P3504">
        <v>0</v>
      </c>
    </row>
    <row r="3505" spans="1:16" x14ac:dyDescent="0.2">
      <c r="A3505" t="s">
        <v>5884</v>
      </c>
      <c r="C3505" t="s">
        <v>5885</v>
      </c>
      <c r="D3505" t="s">
        <v>5847</v>
      </c>
      <c r="E3505" t="s">
        <v>96</v>
      </c>
      <c r="F3505">
        <v>29.99</v>
      </c>
      <c r="G3505" t="s">
        <v>7029</v>
      </c>
      <c r="H3505">
        <v>0</v>
      </c>
      <c r="M3505">
        <v>0</v>
      </c>
      <c r="N3505">
        <v>0</v>
      </c>
      <c r="O3505">
        <v>0</v>
      </c>
      <c r="P3505">
        <v>0</v>
      </c>
    </row>
    <row r="3506" spans="1:16" x14ac:dyDescent="0.2">
      <c r="A3506" t="s">
        <v>5890</v>
      </c>
      <c r="C3506" t="s">
        <v>5891</v>
      </c>
      <c r="D3506" t="s">
        <v>1692</v>
      </c>
      <c r="E3506" t="s">
        <v>96</v>
      </c>
      <c r="F3506">
        <v>34.99</v>
      </c>
      <c r="G3506" t="s">
        <v>7029</v>
      </c>
      <c r="H3506">
        <v>0</v>
      </c>
      <c r="M3506">
        <v>0</v>
      </c>
      <c r="N3506">
        <v>0</v>
      </c>
      <c r="O3506">
        <v>0</v>
      </c>
      <c r="P3506">
        <v>0</v>
      </c>
    </row>
    <row r="3507" spans="1:16" x14ac:dyDescent="0.2">
      <c r="A3507" t="s">
        <v>5893</v>
      </c>
      <c r="C3507" t="s">
        <v>5894</v>
      </c>
      <c r="D3507" t="s">
        <v>1692</v>
      </c>
      <c r="E3507" t="s">
        <v>96</v>
      </c>
      <c r="F3507">
        <v>19.989999999999998</v>
      </c>
      <c r="G3507" t="s">
        <v>7029</v>
      </c>
      <c r="H3507">
        <v>0</v>
      </c>
      <c r="M3507">
        <v>0</v>
      </c>
      <c r="N3507">
        <v>0</v>
      </c>
      <c r="O3507">
        <v>0</v>
      </c>
      <c r="P3507">
        <v>0</v>
      </c>
    </row>
    <row r="3508" spans="1:16" x14ac:dyDescent="0.2">
      <c r="A3508" t="s">
        <v>4314</v>
      </c>
      <c r="C3508" t="s">
        <v>4315</v>
      </c>
      <c r="D3508" t="s">
        <v>223</v>
      </c>
      <c r="E3508" t="s">
        <v>96</v>
      </c>
      <c r="F3508">
        <v>149.99</v>
      </c>
      <c r="G3508" t="s">
        <v>7029</v>
      </c>
      <c r="H3508">
        <v>0</v>
      </c>
      <c r="M3508">
        <v>0</v>
      </c>
      <c r="N3508">
        <v>0</v>
      </c>
      <c r="O3508">
        <v>0</v>
      </c>
      <c r="P3508">
        <v>0</v>
      </c>
    </row>
    <row r="3509" spans="1:16" x14ac:dyDescent="0.2">
      <c r="A3509" t="s">
        <v>5836</v>
      </c>
      <c r="C3509" t="s">
        <v>5837</v>
      </c>
      <c r="D3509" t="s">
        <v>1692</v>
      </c>
      <c r="E3509" t="s">
        <v>96</v>
      </c>
      <c r="F3509">
        <v>79.989999999999995</v>
      </c>
      <c r="G3509" t="s">
        <v>7029</v>
      </c>
      <c r="H3509">
        <v>0</v>
      </c>
      <c r="M3509">
        <v>0</v>
      </c>
      <c r="N3509">
        <v>0</v>
      </c>
      <c r="O3509">
        <v>0</v>
      </c>
      <c r="P3509">
        <v>0</v>
      </c>
    </row>
    <row r="3510" spans="1:16" x14ac:dyDescent="0.2">
      <c r="A3510" t="s">
        <v>912</v>
      </c>
      <c r="C3510" t="s">
        <v>913</v>
      </c>
      <c r="D3510" t="s">
        <v>446</v>
      </c>
      <c r="E3510" t="s">
        <v>228</v>
      </c>
      <c r="F3510">
        <v>89.99</v>
      </c>
      <c r="G3510" t="s">
        <v>7029</v>
      </c>
      <c r="H3510">
        <v>0</v>
      </c>
      <c r="M3510">
        <v>0</v>
      </c>
      <c r="N3510">
        <v>0</v>
      </c>
      <c r="O3510">
        <v>0</v>
      </c>
      <c r="P3510">
        <v>4</v>
      </c>
    </row>
    <row r="3511" spans="1:16" x14ac:dyDescent="0.2">
      <c r="A3511" t="s">
        <v>5852</v>
      </c>
      <c r="C3511" t="s">
        <v>5853</v>
      </c>
      <c r="D3511" t="s">
        <v>1692</v>
      </c>
      <c r="E3511" t="s">
        <v>96</v>
      </c>
      <c r="F3511">
        <v>24.99</v>
      </c>
      <c r="G3511" t="s">
        <v>7029</v>
      </c>
      <c r="H3511">
        <v>0</v>
      </c>
      <c r="M3511">
        <v>0</v>
      </c>
      <c r="N3511">
        <v>0</v>
      </c>
      <c r="O3511">
        <v>0</v>
      </c>
      <c r="P3511">
        <v>0</v>
      </c>
    </row>
    <row r="3512" spans="1:16" x14ac:dyDescent="0.2">
      <c r="A3512" t="s">
        <v>5864</v>
      </c>
      <c r="C3512" t="s">
        <v>5865</v>
      </c>
      <c r="D3512" t="s">
        <v>1692</v>
      </c>
      <c r="E3512" t="s">
        <v>96</v>
      </c>
      <c r="F3512">
        <v>42.99</v>
      </c>
      <c r="G3512" t="s">
        <v>7029</v>
      </c>
      <c r="H3512">
        <v>0</v>
      </c>
      <c r="M3512">
        <v>0</v>
      </c>
      <c r="N3512">
        <v>0</v>
      </c>
      <c r="O3512">
        <v>0</v>
      </c>
      <c r="P3512">
        <v>0</v>
      </c>
    </row>
    <row r="3513" spans="1:16" x14ac:dyDescent="0.2">
      <c r="A3513" t="s">
        <v>6505</v>
      </c>
      <c r="C3513" t="s">
        <v>6506</v>
      </c>
      <c r="D3513" t="s">
        <v>2987</v>
      </c>
      <c r="E3513" t="s">
        <v>96</v>
      </c>
      <c r="F3513">
        <v>59.99</v>
      </c>
      <c r="G3513" t="s">
        <v>7029</v>
      </c>
      <c r="H3513">
        <v>0</v>
      </c>
      <c r="M3513">
        <v>0</v>
      </c>
      <c r="N3513">
        <v>0.16666666666666663</v>
      </c>
      <c r="O3513">
        <v>0</v>
      </c>
      <c r="P3513">
        <v>0</v>
      </c>
    </row>
    <row r="3514" spans="1:16" x14ac:dyDescent="0.2">
      <c r="A3514" t="s">
        <v>7514</v>
      </c>
      <c r="C3514" t="s">
        <v>7515</v>
      </c>
      <c r="D3514" t="s">
        <v>446</v>
      </c>
      <c r="E3514" t="s">
        <v>96</v>
      </c>
      <c r="F3514">
        <v>11.99</v>
      </c>
      <c r="G3514" t="s">
        <v>7029</v>
      </c>
      <c r="H3514">
        <v>0</v>
      </c>
      <c r="M3514">
        <v>0</v>
      </c>
      <c r="N3514">
        <v>0</v>
      </c>
      <c r="O3514">
        <v>0</v>
      </c>
      <c r="P3514">
        <v>0</v>
      </c>
    </row>
    <row r="3515" spans="1:16" x14ac:dyDescent="0.2">
      <c r="A3515" t="s">
        <v>7504</v>
      </c>
      <c r="C3515" t="s">
        <v>7505</v>
      </c>
      <c r="D3515" t="s">
        <v>446</v>
      </c>
      <c r="E3515" t="s">
        <v>96</v>
      </c>
      <c r="F3515">
        <v>11.99</v>
      </c>
      <c r="G3515" t="s">
        <v>7029</v>
      </c>
      <c r="H3515">
        <v>0</v>
      </c>
      <c r="M3515">
        <v>0</v>
      </c>
      <c r="N3515">
        <v>0</v>
      </c>
      <c r="O3515">
        <v>0</v>
      </c>
      <c r="P3515">
        <v>0</v>
      </c>
    </row>
    <row r="3516" spans="1:16" x14ac:dyDescent="0.2">
      <c r="A3516" t="s">
        <v>34</v>
      </c>
      <c r="C3516" t="s">
        <v>3004</v>
      </c>
      <c r="D3516" t="s">
        <v>2987</v>
      </c>
      <c r="E3516" t="s">
        <v>228</v>
      </c>
      <c r="F3516">
        <v>59.99</v>
      </c>
      <c r="G3516" t="s">
        <v>7029</v>
      </c>
      <c r="H3516">
        <v>2.4553571428571428E-2</v>
      </c>
      <c r="M3516">
        <v>41.999999999999993</v>
      </c>
      <c r="N3516">
        <v>2.666666666666667</v>
      </c>
      <c r="O3516">
        <v>0</v>
      </c>
      <c r="P3516">
        <v>112</v>
      </c>
    </row>
    <row r="3517" spans="1:16" x14ac:dyDescent="0.2">
      <c r="A3517" t="s">
        <v>6663</v>
      </c>
      <c r="C3517" t="s">
        <v>6664</v>
      </c>
      <c r="D3517" t="s">
        <v>2987</v>
      </c>
      <c r="E3517" t="s">
        <v>96</v>
      </c>
      <c r="F3517">
        <v>89.99</v>
      </c>
      <c r="G3517" t="s">
        <v>7029</v>
      </c>
      <c r="H3517">
        <v>4.1666666666666664E-2</v>
      </c>
      <c r="M3517">
        <v>0</v>
      </c>
      <c r="N3517">
        <v>0</v>
      </c>
      <c r="O3517">
        <v>0</v>
      </c>
      <c r="P3517">
        <v>2</v>
      </c>
    </row>
    <row r="3518" spans="1:16" x14ac:dyDescent="0.2">
      <c r="A3518" t="s">
        <v>7106</v>
      </c>
      <c r="C3518" t="s">
        <v>7107</v>
      </c>
      <c r="D3518" t="s">
        <v>1012</v>
      </c>
      <c r="E3518" t="s">
        <v>96</v>
      </c>
      <c r="F3518">
        <v>59.99</v>
      </c>
      <c r="G3518" t="s">
        <v>7029</v>
      </c>
      <c r="H3518">
        <v>0</v>
      </c>
      <c r="M3518">
        <v>0</v>
      </c>
      <c r="N3518">
        <v>0</v>
      </c>
      <c r="O3518">
        <v>0</v>
      </c>
      <c r="P3518">
        <v>4</v>
      </c>
    </row>
    <row r="3519" spans="1:16" x14ac:dyDescent="0.2">
      <c r="A3519" t="s">
        <v>8103</v>
      </c>
      <c r="C3519" t="s">
        <v>8104</v>
      </c>
      <c r="D3519" t="s">
        <v>1692</v>
      </c>
      <c r="E3519" t="s">
        <v>96</v>
      </c>
      <c r="F3519">
        <v>29.99</v>
      </c>
      <c r="G3519" t="s">
        <v>7029</v>
      </c>
      <c r="H3519">
        <v>0</v>
      </c>
      <c r="M3519">
        <v>0</v>
      </c>
      <c r="N3519">
        <v>0</v>
      </c>
      <c r="O3519">
        <v>0</v>
      </c>
      <c r="P3519">
        <v>1</v>
      </c>
    </row>
    <row r="3520" spans="1:16" x14ac:dyDescent="0.2">
      <c r="A3520" t="s">
        <v>6702</v>
      </c>
      <c r="C3520" t="s">
        <v>6703</v>
      </c>
      <c r="D3520" t="s">
        <v>2987</v>
      </c>
      <c r="E3520" t="s">
        <v>228</v>
      </c>
      <c r="F3520">
        <v>99.99</v>
      </c>
      <c r="G3520" t="s">
        <v>7029</v>
      </c>
      <c r="H3520">
        <v>0.01</v>
      </c>
      <c r="M3520">
        <v>100</v>
      </c>
      <c r="N3520">
        <v>0.5</v>
      </c>
      <c r="O3520">
        <v>0</v>
      </c>
      <c r="P3520">
        <v>50</v>
      </c>
    </row>
    <row r="3521" spans="1:16" x14ac:dyDescent="0.2">
      <c r="A3521" t="s">
        <v>884</v>
      </c>
      <c r="C3521" t="s">
        <v>885</v>
      </c>
      <c r="D3521" t="s">
        <v>446</v>
      </c>
      <c r="E3521" t="s">
        <v>228</v>
      </c>
      <c r="F3521">
        <v>99.99</v>
      </c>
      <c r="G3521" t="s">
        <v>7029</v>
      </c>
      <c r="H3521">
        <v>1.1904761904761904E-2</v>
      </c>
      <c r="M3521">
        <v>84.000000000000014</v>
      </c>
      <c r="N3521">
        <v>0.16666666666666663</v>
      </c>
      <c r="O3521">
        <v>0</v>
      </c>
      <c r="P3521">
        <v>14</v>
      </c>
    </row>
    <row r="3522" spans="1:16" x14ac:dyDescent="0.2">
      <c r="A3522" t="s">
        <v>3019</v>
      </c>
      <c r="C3522" t="s">
        <v>3020</v>
      </c>
      <c r="D3522" t="s">
        <v>2987</v>
      </c>
      <c r="E3522" t="s">
        <v>228</v>
      </c>
      <c r="F3522">
        <v>139.99</v>
      </c>
      <c r="G3522" t="s">
        <v>7029</v>
      </c>
      <c r="H3522">
        <v>0</v>
      </c>
      <c r="M3522">
        <v>0</v>
      </c>
      <c r="N3522">
        <v>0</v>
      </c>
      <c r="O3522">
        <v>0</v>
      </c>
      <c r="P3522">
        <v>8</v>
      </c>
    </row>
    <row r="3523" spans="1:16" x14ac:dyDescent="0.2">
      <c r="A3523" t="s">
        <v>6643</v>
      </c>
      <c r="C3523" t="s">
        <v>6644</v>
      </c>
      <c r="D3523" t="s">
        <v>2987</v>
      </c>
      <c r="E3523" t="s">
        <v>96</v>
      </c>
      <c r="F3523">
        <v>89.99</v>
      </c>
      <c r="G3523" t="s">
        <v>7029</v>
      </c>
      <c r="H3523">
        <v>0</v>
      </c>
      <c r="M3523">
        <v>0</v>
      </c>
      <c r="N3523">
        <v>0</v>
      </c>
      <c r="O3523">
        <v>0</v>
      </c>
      <c r="P3523">
        <v>0</v>
      </c>
    </row>
    <row r="3524" spans="1:16" x14ac:dyDescent="0.2">
      <c r="A3524" t="s">
        <v>6858</v>
      </c>
      <c r="C3524" t="s">
        <v>6859</v>
      </c>
      <c r="D3524" t="s">
        <v>2987</v>
      </c>
      <c r="E3524" t="s">
        <v>96</v>
      </c>
      <c r="F3524">
        <v>139.99</v>
      </c>
      <c r="G3524" t="s">
        <v>7029</v>
      </c>
      <c r="H3524">
        <v>0</v>
      </c>
      <c r="M3524">
        <v>0</v>
      </c>
      <c r="N3524">
        <v>0</v>
      </c>
      <c r="O3524">
        <v>0</v>
      </c>
      <c r="P3524">
        <v>0</v>
      </c>
    </row>
    <row r="3525" spans="1:16" x14ac:dyDescent="0.2">
      <c r="A3525" t="s">
        <v>7500</v>
      </c>
      <c r="C3525" t="s">
        <v>7501</v>
      </c>
      <c r="D3525" t="s">
        <v>446</v>
      </c>
      <c r="E3525" t="s">
        <v>96</v>
      </c>
      <c r="F3525">
        <v>59.99</v>
      </c>
      <c r="G3525" t="s">
        <v>7029</v>
      </c>
      <c r="H3525">
        <v>0</v>
      </c>
      <c r="M3525">
        <v>0</v>
      </c>
      <c r="N3525">
        <v>0</v>
      </c>
      <c r="O3525">
        <v>0</v>
      </c>
      <c r="P3525">
        <v>0</v>
      </c>
    </row>
    <row r="3526" spans="1:16" x14ac:dyDescent="0.2">
      <c r="A3526" t="s">
        <v>6861</v>
      </c>
      <c r="C3526" t="s">
        <v>6862</v>
      </c>
      <c r="D3526" t="s">
        <v>2987</v>
      </c>
      <c r="E3526" t="s">
        <v>96</v>
      </c>
      <c r="F3526">
        <v>159.99</v>
      </c>
      <c r="G3526" t="s">
        <v>7029</v>
      </c>
      <c r="H3526">
        <v>0</v>
      </c>
      <c r="M3526">
        <v>0</v>
      </c>
      <c r="N3526">
        <v>0</v>
      </c>
      <c r="O3526">
        <v>0</v>
      </c>
      <c r="P3526">
        <v>0</v>
      </c>
    </row>
    <row r="3527" spans="1:16" x14ac:dyDescent="0.2">
      <c r="A3527" t="s">
        <v>7498</v>
      </c>
      <c r="C3527" t="s">
        <v>7499</v>
      </c>
      <c r="D3527" t="s">
        <v>446</v>
      </c>
      <c r="E3527" t="s">
        <v>96</v>
      </c>
      <c r="F3527">
        <v>99.99</v>
      </c>
      <c r="G3527" t="s">
        <v>7029</v>
      </c>
      <c r="H3527">
        <v>0</v>
      </c>
      <c r="M3527">
        <v>0</v>
      </c>
      <c r="N3527">
        <v>0</v>
      </c>
      <c r="O3527">
        <v>0</v>
      </c>
      <c r="P3527">
        <v>0</v>
      </c>
    </row>
    <row r="3528" spans="1:16" x14ac:dyDescent="0.2">
      <c r="A3528" t="s">
        <v>4386</v>
      </c>
      <c r="C3528" t="s">
        <v>4387</v>
      </c>
      <c r="D3528" t="s">
        <v>304</v>
      </c>
      <c r="E3528" t="s">
        <v>96</v>
      </c>
      <c r="F3528">
        <v>179.99</v>
      </c>
      <c r="G3528" t="s">
        <v>7029</v>
      </c>
      <c r="H3528">
        <v>0</v>
      </c>
      <c r="M3528">
        <v>0</v>
      </c>
      <c r="N3528">
        <v>0</v>
      </c>
      <c r="O3528">
        <v>0</v>
      </c>
      <c r="P3528">
        <v>7</v>
      </c>
    </row>
    <row r="3529" spans="1:16" x14ac:dyDescent="0.2">
      <c r="A3529" t="s">
        <v>793</v>
      </c>
      <c r="C3529" t="s">
        <v>794</v>
      </c>
      <c r="D3529" t="s">
        <v>446</v>
      </c>
      <c r="E3529" t="s">
        <v>228</v>
      </c>
      <c r="F3529">
        <v>49.99</v>
      </c>
      <c r="G3529" t="s">
        <v>7029</v>
      </c>
      <c r="H3529">
        <v>1.1904761904761904E-2</v>
      </c>
      <c r="M3529">
        <v>42</v>
      </c>
      <c r="N3529">
        <v>0.5</v>
      </c>
      <c r="O3529">
        <v>0</v>
      </c>
      <c r="P3529">
        <v>21</v>
      </c>
    </row>
    <row r="3530" spans="1:16" x14ac:dyDescent="0.2">
      <c r="A3530" t="s">
        <v>787</v>
      </c>
      <c r="C3530" t="s">
        <v>788</v>
      </c>
      <c r="D3530" t="s">
        <v>446</v>
      </c>
      <c r="E3530" t="s">
        <v>228</v>
      </c>
      <c r="F3530">
        <v>44.99</v>
      </c>
      <c r="G3530" t="s">
        <v>7029</v>
      </c>
      <c r="H3530">
        <v>9.6153846153846159E-3</v>
      </c>
      <c r="M3530">
        <v>156</v>
      </c>
      <c r="N3530">
        <v>0.16666666666666666</v>
      </c>
      <c r="O3530">
        <v>0</v>
      </c>
      <c r="P3530">
        <v>26</v>
      </c>
    </row>
    <row r="3531" spans="1:16" x14ac:dyDescent="0.2">
      <c r="A3531" t="s">
        <v>305</v>
      </c>
      <c r="C3531" t="s">
        <v>306</v>
      </c>
      <c r="D3531" t="s">
        <v>304</v>
      </c>
      <c r="E3531" t="s">
        <v>96</v>
      </c>
      <c r="F3531">
        <v>179.99</v>
      </c>
      <c r="G3531" t="s">
        <v>7029</v>
      </c>
      <c r="H3531">
        <v>0</v>
      </c>
      <c r="M3531">
        <v>0</v>
      </c>
      <c r="N3531">
        <v>0</v>
      </c>
      <c r="O3531">
        <v>0</v>
      </c>
      <c r="P3531">
        <v>1</v>
      </c>
    </row>
    <row r="3532" spans="1:16" x14ac:dyDescent="0.2">
      <c r="A3532" t="s">
        <v>765</v>
      </c>
      <c r="C3532" t="s">
        <v>766</v>
      </c>
      <c r="D3532" t="s">
        <v>446</v>
      </c>
      <c r="E3532" t="s">
        <v>228</v>
      </c>
      <c r="F3532">
        <v>39.99</v>
      </c>
      <c r="G3532" t="s">
        <v>7029</v>
      </c>
      <c r="H3532">
        <v>1.1363636363636364E-2</v>
      </c>
      <c r="M3532">
        <v>0</v>
      </c>
      <c r="N3532">
        <v>0</v>
      </c>
      <c r="O3532">
        <v>0</v>
      </c>
      <c r="P3532">
        <v>22</v>
      </c>
    </row>
    <row r="3533" spans="1:16" x14ac:dyDescent="0.2">
      <c r="A3533" t="s">
        <v>759</v>
      </c>
      <c r="C3533" t="s">
        <v>760</v>
      </c>
      <c r="D3533" t="s">
        <v>446</v>
      </c>
      <c r="E3533" t="s">
        <v>228</v>
      </c>
      <c r="F3533">
        <v>39.99</v>
      </c>
      <c r="G3533" t="s">
        <v>7029</v>
      </c>
      <c r="H3533">
        <v>2.314814814814815E-2</v>
      </c>
      <c r="M3533">
        <v>108</v>
      </c>
      <c r="N3533">
        <v>0.16666666666666666</v>
      </c>
      <c r="O3533">
        <v>0</v>
      </c>
      <c r="P3533">
        <v>18</v>
      </c>
    </row>
    <row r="3534" spans="1:16" x14ac:dyDescent="0.2">
      <c r="A3534" t="s">
        <v>695</v>
      </c>
      <c r="C3534" t="s">
        <v>696</v>
      </c>
      <c r="D3534" t="s">
        <v>446</v>
      </c>
      <c r="E3534" t="s">
        <v>228</v>
      </c>
      <c r="F3534">
        <v>99.99</v>
      </c>
      <c r="G3534" t="s">
        <v>7029</v>
      </c>
      <c r="H3534">
        <v>6.9444444444444448E-2</v>
      </c>
      <c r="M3534">
        <v>36</v>
      </c>
      <c r="N3534">
        <v>0.16666666666666666</v>
      </c>
      <c r="O3534">
        <v>0</v>
      </c>
      <c r="P3534">
        <v>6</v>
      </c>
    </row>
    <row r="3535" spans="1:16" x14ac:dyDescent="0.2">
      <c r="A3535" t="s">
        <v>4920</v>
      </c>
      <c r="C3535" t="s">
        <v>4921</v>
      </c>
      <c r="D3535" t="s">
        <v>446</v>
      </c>
      <c r="E3535" t="s">
        <v>96</v>
      </c>
      <c r="F3535">
        <v>34.99</v>
      </c>
      <c r="G3535" t="s">
        <v>7029</v>
      </c>
      <c r="H3535">
        <v>0</v>
      </c>
      <c r="M3535">
        <v>0</v>
      </c>
      <c r="N3535">
        <v>0</v>
      </c>
      <c r="O3535">
        <v>0</v>
      </c>
      <c r="P3535">
        <v>4</v>
      </c>
    </row>
    <row r="3536" spans="1:16" x14ac:dyDescent="0.2">
      <c r="A3536" t="s">
        <v>4965</v>
      </c>
      <c r="C3536" t="s">
        <v>4966</v>
      </c>
      <c r="D3536" t="s">
        <v>446</v>
      </c>
      <c r="E3536" t="s">
        <v>290</v>
      </c>
      <c r="F3536">
        <v>69.989999999999995</v>
      </c>
      <c r="G3536" t="s">
        <v>7029</v>
      </c>
      <c r="H3536">
        <v>0</v>
      </c>
      <c r="M3536">
        <v>0</v>
      </c>
      <c r="N3536">
        <v>0</v>
      </c>
      <c r="O3536">
        <v>0</v>
      </c>
      <c r="P3536">
        <v>0</v>
      </c>
    </row>
    <row r="3537" spans="1:16" x14ac:dyDescent="0.2">
      <c r="A3537" t="s">
        <v>651</v>
      </c>
      <c r="C3537" t="s">
        <v>652</v>
      </c>
      <c r="D3537" t="s">
        <v>446</v>
      </c>
      <c r="E3537" t="s">
        <v>290</v>
      </c>
      <c r="F3537">
        <v>44.99</v>
      </c>
      <c r="G3537" t="s">
        <v>7029</v>
      </c>
      <c r="H3537">
        <v>1.7857142857142856E-2</v>
      </c>
      <c r="M3537">
        <v>33.6</v>
      </c>
      <c r="N3537">
        <v>0.83333333333333337</v>
      </c>
      <c r="O3537">
        <v>0</v>
      </c>
      <c r="P3537">
        <v>28</v>
      </c>
    </row>
    <row r="3538" spans="1:16" x14ac:dyDescent="0.2">
      <c r="A3538" t="s">
        <v>643</v>
      </c>
      <c r="C3538" t="s">
        <v>644</v>
      </c>
      <c r="D3538" t="s">
        <v>446</v>
      </c>
      <c r="E3538" t="s">
        <v>228</v>
      </c>
      <c r="F3538">
        <v>99.99</v>
      </c>
      <c r="G3538" t="s">
        <v>7029</v>
      </c>
      <c r="H3538">
        <v>0</v>
      </c>
      <c r="M3538">
        <v>0</v>
      </c>
      <c r="N3538">
        <v>0</v>
      </c>
      <c r="O3538">
        <v>0</v>
      </c>
      <c r="P3538">
        <v>0</v>
      </c>
    </row>
    <row r="3539" spans="1:16" x14ac:dyDescent="0.2">
      <c r="A3539" t="s">
        <v>4590</v>
      </c>
      <c r="C3539" t="s">
        <v>4591</v>
      </c>
      <c r="D3539" t="s">
        <v>4463</v>
      </c>
      <c r="E3539" t="s">
        <v>96</v>
      </c>
      <c r="F3539">
        <v>17.989999999999998</v>
      </c>
      <c r="G3539" t="s">
        <v>7029</v>
      </c>
      <c r="H3539">
        <v>7.2463768115942013E-3</v>
      </c>
      <c r="M3539">
        <v>138</v>
      </c>
      <c r="N3539">
        <v>0.33333333333333331</v>
      </c>
      <c r="O3539">
        <v>0</v>
      </c>
      <c r="P3539">
        <v>46</v>
      </c>
    </row>
    <row r="3540" spans="1:16" x14ac:dyDescent="0.2">
      <c r="A3540" t="s">
        <v>4645</v>
      </c>
      <c r="C3540" t="s">
        <v>4646</v>
      </c>
      <c r="D3540" t="s">
        <v>446</v>
      </c>
      <c r="E3540" t="s">
        <v>96</v>
      </c>
      <c r="F3540">
        <v>14.99</v>
      </c>
      <c r="G3540" t="s">
        <v>7029</v>
      </c>
      <c r="H3540">
        <v>0</v>
      </c>
      <c r="M3540">
        <v>0</v>
      </c>
      <c r="N3540">
        <v>0</v>
      </c>
      <c r="O3540">
        <v>0</v>
      </c>
      <c r="P3540">
        <v>0</v>
      </c>
    </row>
    <row r="3541" spans="1:16" x14ac:dyDescent="0.2">
      <c r="A3541" t="s">
        <v>4737</v>
      </c>
      <c r="C3541" t="s">
        <v>4738</v>
      </c>
      <c r="D3541" t="s">
        <v>446</v>
      </c>
      <c r="E3541" t="s">
        <v>96</v>
      </c>
      <c r="F3541">
        <v>69.989999999999995</v>
      </c>
      <c r="G3541" t="s">
        <v>7029</v>
      </c>
      <c r="H3541">
        <v>0</v>
      </c>
      <c r="M3541">
        <v>0</v>
      </c>
      <c r="N3541">
        <v>0</v>
      </c>
      <c r="O3541">
        <v>0</v>
      </c>
      <c r="P3541">
        <v>1</v>
      </c>
    </row>
    <row r="3542" spans="1:16" x14ac:dyDescent="0.2">
      <c r="A3542" t="s">
        <v>4731</v>
      </c>
      <c r="C3542" t="s">
        <v>4732</v>
      </c>
      <c r="D3542" t="s">
        <v>446</v>
      </c>
      <c r="E3542" t="s">
        <v>96</v>
      </c>
      <c r="F3542">
        <v>69.989999999999995</v>
      </c>
      <c r="G3542" t="s">
        <v>7029</v>
      </c>
      <c r="H3542">
        <v>0</v>
      </c>
      <c r="M3542">
        <v>0</v>
      </c>
      <c r="N3542">
        <v>0</v>
      </c>
      <c r="O3542">
        <v>0</v>
      </c>
      <c r="P3542">
        <v>1</v>
      </c>
    </row>
    <row r="3543" spans="1:16" x14ac:dyDescent="0.2">
      <c r="A3543" t="s">
        <v>7828</v>
      </c>
      <c r="C3543" t="s">
        <v>7829</v>
      </c>
      <c r="D3543" t="s">
        <v>446</v>
      </c>
      <c r="E3543" t="s">
        <v>96</v>
      </c>
      <c r="F3543">
        <v>24.99</v>
      </c>
      <c r="G3543" t="s">
        <v>7029</v>
      </c>
      <c r="H3543">
        <v>0</v>
      </c>
      <c r="M3543">
        <v>0</v>
      </c>
      <c r="N3543">
        <v>0</v>
      </c>
      <c r="O3543">
        <v>0</v>
      </c>
      <c r="P3543">
        <v>0</v>
      </c>
    </row>
    <row r="3544" spans="1:16" x14ac:dyDescent="0.2">
      <c r="A3544" t="s">
        <v>1010</v>
      </c>
      <c r="C3544" t="s">
        <v>1011</v>
      </c>
      <c r="D3544" t="s">
        <v>446</v>
      </c>
      <c r="E3544" t="s">
        <v>290</v>
      </c>
      <c r="F3544">
        <v>69.989999999999995</v>
      </c>
      <c r="G3544" t="s">
        <v>7029</v>
      </c>
      <c r="H3544">
        <v>2.3809523809523808E-2</v>
      </c>
      <c r="M3544">
        <v>41.999999999999993</v>
      </c>
      <c r="N3544">
        <v>0.66666666666666674</v>
      </c>
      <c r="O3544">
        <v>0</v>
      </c>
      <c r="P3544">
        <v>28</v>
      </c>
    </row>
    <row r="3545" spans="1:16" x14ac:dyDescent="0.2">
      <c r="A3545" t="s">
        <v>7832</v>
      </c>
      <c r="C3545" t="s">
        <v>7833</v>
      </c>
      <c r="D3545" t="s">
        <v>446</v>
      </c>
      <c r="E3545" t="s">
        <v>96</v>
      </c>
      <c r="F3545">
        <v>39.99</v>
      </c>
      <c r="G3545" t="s">
        <v>7029</v>
      </c>
      <c r="H3545">
        <v>0</v>
      </c>
      <c r="M3545">
        <v>0</v>
      </c>
      <c r="N3545">
        <v>0</v>
      </c>
      <c r="O3545">
        <v>0</v>
      </c>
      <c r="P3545">
        <v>0</v>
      </c>
    </row>
    <row r="3546" spans="1:16" x14ac:dyDescent="0.2">
      <c r="A3546" t="s">
        <v>966</v>
      </c>
      <c r="C3546" t="s">
        <v>967</v>
      </c>
      <c r="D3546" t="s">
        <v>446</v>
      </c>
      <c r="E3546" t="s">
        <v>290</v>
      </c>
      <c r="F3546">
        <v>59.99</v>
      </c>
      <c r="G3546" t="s">
        <v>7029</v>
      </c>
      <c r="H3546">
        <v>4.1666666666666671E-2</v>
      </c>
      <c r="M3546">
        <v>28</v>
      </c>
      <c r="N3546">
        <v>0.5</v>
      </c>
      <c r="O3546">
        <v>0</v>
      </c>
      <c r="P3546">
        <v>14</v>
      </c>
    </row>
    <row r="3547" spans="1:16" x14ac:dyDescent="0.2">
      <c r="A3547" t="s">
        <v>4593</v>
      </c>
      <c r="C3547" t="s">
        <v>4594</v>
      </c>
      <c r="D3547" t="s">
        <v>4463</v>
      </c>
      <c r="E3547" t="s">
        <v>96</v>
      </c>
      <c r="F3547">
        <v>14.99</v>
      </c>
      <c r="G3547" t="s">
        <v>7029</v>
      </c>
      <c r="H3547">
        <v>6.9444444444444441E-3</v>
      </c>
      <c r="M3547">
        <v>144</v>
      </c>
      <c r="N3547">
        <v>0.16666666666666666</v>
      </c>
      <c r="O3547">
        <v>0</v>
      </c>
      <c r="P3547">
        <v>24</v>
      </c>
    </row>
    <row r="3548" spans="1:16" x14ac:dyDescent="0.2">
      <c r="A3548" t="s">
        <v>4641</v>
      </c>
      <c r="C3548" t="s">
        <v>4642</v>
      </c>
      <c r="D3548" t="s">
        <v>446</v>
      </c>
      <c r="E3548" t="s">
        <v>96</v>
      </c>
      <c r="F3548">
        <v>14.99</v>
      </c>
      <c r="G3548" t="s">
        <v>7029</v>
      </c>
      <c r="H3548">
        <v>0</v>
      </c>
      <c r="M3548">
        <v>0</v>
      </c>
      <c r="N3548">
        <v>0</v>
      </c>
      <c r="O3548">
        <v>0</v>
      </c>
      <c r="P3548">
        <v>0</v>
      </c>
    </row>
    <row r="3549" spans="1:16" x14ac:dyDescent="0.2">
      <c r="A3549" t="s">
        <v>3279</v>
      </c>
      <c r="C3549" t="s">
        <v>3278</v>
      </c>
      <c r="D3549" t="s">
        <v>3268</v>
      </c>
      <c r="E3549" t="s">
        <v>228</v>
      </c>
      <c r="F3549">
        <v>99.99</v>
      </c>
      <c r="G3549" t="s">
        <v>13</v>
      </c>
      <c r="M3549">
        <v>0</v>
      </c>
      <c r="N3549">
        <v>0</v>
      </c>
      <c r="O3549">
        <v>0</v>
      </c>
      <c r="P3549">
        <v>52</v>
      </c>
    </row>
    <row r="3550" spans="1:16" x14ac:dyDescent="0.2">
      <c r="A3550" t="s">
        <v>6029</v>
      </c>
      <c r="B3550" t="s">
        <v>6031</v>
      </c>
      <c r="C3550" t="s">
        <v>6030</v>
      </c>
      <c r="D3550" t="s">
        <v>2502</v>
      </c>
      <c r="E3550" t="s">
        <v>228</v>
      </c>
      <c r="F3550">
        <v>29.99</v>
      </c>
      <c r="G3550" t="s">
        <v>7014</v>
      </c>
      <c r="H3550">
        <v>5.7692307692307696E-2</v>
      </c>
      <c r="I3550" t="s">
        <v>7015</v>
      </c>
      <c r="M3550">
        <v>24</v>
      </c>
      <c r="N3550">
        <v>2.1666666666666665</v>
      </c>
      <c r="O3550">
        <v>-30</v>
      </c>
      <c r="P3550">
        <v>52</v>
      </c>
    </row>
    <row r="3551" spans="1:16" x14ac:dyDescent="0.2">
      <c r="A3551" t="s">
        <v>1895</v>
      </c>
      <c r="B3551" t="s">
        <v>5300</v>
      </c>
      <c r="C3551" t="s">
        <v>1896</v>
      </c>
      <c r="D3551" t="s">
        <v>1888</v>
      </c>
      <c r="E3551" t="s">
        <v>228</v>
      </c>
      <c r="F3551">
        <v>119.99</v>
      </c>
      <c r="G3551" t="s">
        <v>7014</v>
      </c>
      <c r="H3551">
        <v>4.1666666666666666E-3</v>
      </c>
      <c r="I3551" t="s">
        <v>7015</v>
      </c>
      <c r="M3551">
        <v>120</v>
      </c>
      <c r="N3551">
        <v>0.16666666666666666</v>
      </c>
      <c r="O3551">
        <v>-120</v>
      </c>
      <c r="P3551">
        <v>20</v>
      </c>
    </row>
    <row r="3552" spans="1:16" x14ac:dyDescent="0.2">
      <c r="A3552" t="s">
        <v>3340</v>
      </c>
      <c r="B3552" t="s">
        <v>5217</v>
      </c>
      <c r="C3552" t="s">
        <v>3339</v>
      </c>
      <c r="D3552" t="s">
        <v>3268</v>
      </c>
      <c r="E3552" t="s">
        <v>290</v>
      </c>
      <c r="F3552">
        <v>499.99</v>
      </c>
      <c r="G3552" t="s">
        <v>7014</v>
      </c>
      <c r="H3552">
        <v>-1.3888888888888888E-2</v>
      </c>
      <c r="I3552" t="s">
        <v>7015</v>
      </c>
      <c r="M3552">
        <v>-144</v>
      </c>
      <c r="N3552">
        <v>-0.16666666666666666</v>
      </c>
      <c r="O3552">
        <v>-500</v>
      </c>
      <c r="P3552">
        <v>24</v>
      </c>
    </row>
    <row r="3553" spans="1:16" x14ac:dyDescent="0.2">
      <c r="A3553" t="s">
        <v>3343</v>
      </c>
      <c r="B3553" t="s">
        <v>5225</v>
      </c>
      <c r="C3553" t="s">
        <v>3342</v>
      </c>
      <c r="D3553" t="s">
        <v>3268</v>
      </c>
      <c r="E3553" t="s">
        <v>290</v>
      </c>
      <c r="F3553">
        <v>499.99</v>
      </c>
      <c r="G3553" t="s">
        <v>7014</v>
      </c>
      <c r="H3553">
        <v>-2.564102564102564E-2</v>
      </c>
      <c r="I3553" t="s">
        <v>7015</v>
      </c>
      <c r="M3553">
        <v>-39</v>
      </c>
      <c r="N3553">
        <v>-0.33333333333333331</v>
      </c>
      <c r="O3553">
        <v>-500</v>
      </c>
      <c r="P3553">
        <v>13</v>
      </c>
    </row>
    <row r="3554" spans="1:16" x14ac:dyDescent="0.2">
      <c r="A3554" t="s">
        <v>3335</v>
      </c>
      <c r="B3554" t="s">
        <v>5219</v>
      </c>
      <c r="C3554" t="s">
        <v>3336</v>
      </c>
      <c r="D3554" t="s">
        <v>3268</v>
      </c>
      <c r="E3554" t="s">
        <v>290</v>
      </c>
      <c r="F3554">
        <v>499.99</v>
      </c>
      <c r="G3554" t="s">
        <v>7014</v>
      </c>
      <c r="H3554">
        <v>-6.6666666666666666E-2</v>
      </c>
      <c r="I3554" t="s">
        <v>7015</v>
      </c>
      <c r="M3554">
        <v>-14.999999999999998</v>
      </c>
      <c r="N3554">
        <v>-0.33333333333333337</v>
      </c>
      <c r="O3554">
        <v>-500</v>
      </c>
      <c r="P3554">
        <v>5</v>
      </c>
    </row>
    <row r="3555" spans="1:16" x14ac:dyDescent="0.2">
      <c r="A3555" t="s">
        <v>2232</v>
      </c>
      <c r="B3555" t="s">
        <v>8105</v>
      </c>
      <c r="C3555" t="s">
        <v>2233</v>
      </c>
      <c r="D3555" t="s">
        <v>2146</v>
      </c>
      <c r="E3555" t="s">
        <v>228</v>
      </c>
      <c r="F3555">
        <v>39.99</v>
      </c>
      <c r="G3555" t="s">
        <v>74</v>
      </c>
      <c r="H3555">
        <v>2.0798668885191347E-3</v>
      </c>
      <c r="M3555">
        <v>1202</v>
      </c>
      <c r="N3555">
        <v>0.5</v>
      </c>
      <c r="O3555">
        <v>-80</v>
      </c>
      <c r="P3555">
        <v>601</v>
      </c>
    </row>
    <row r="3556" spans="1:16" x14ac:dyDescent="0.2">
      <c r="A3556" t="s">
        <v>3353</v>
      </c>
      <c r="B3556" t="s">
        <v>5229</v>
      </c>
      <c r="C3556" t="s">
        <v>3354</v>
      </c>
      <c r="D3556" t="s">
        <v>3268</v>
      </c>
      <c r="E3556" t="s">
        <v>290</v>
      </c>
      <c r="F3556">
        <v>699.99</v>
      </c>
      <c r="G3556" t="s">
        <v>7014</v>
      </c>
      <c r="H3556">
        <v>-1.9607843137254905E-2</v>
      </c>
      <c r="I3556" t="s">
        <v>7015</v>
      </c>
      <c r="M3556">
        <v>-34</v>
      </c>
      <c r="N3556">
        <v>-0.5</v>
      </c>
      <c r="O3556">
        <v>-1400</v>
      </c>
      <c r="P3556">
        <v>17</v>
      </c>
    </row>
    <row r="3557" spans="1:16" x14ac:dyDescent="0.2">
      <c r="A3557" t="s">
        <v>3344</v>
      </c>
      <c r="B3557" t="s">
        <v>5223</v>
      </c>
      <c r="C3557" t="s">
        <v>3345</v>
      </c>
      <c r="D3557" t="s">
        <v>3268</v>
      </c>
      <c r="E3557" t="s">
        <v>290</v>
      </c>
      <c r="F3557">
        <v>499.99</v>
      </c>
      <c r="G3557" t="s">
        <v>7014</v>
      </c>
      <c r="H3557">
        <v>-2.5862068965517241E-2</v>
      </c>
      <c r="I3557" t="s">
        <v>7015</v>
      </c>
      <c r="M3557">
        <v>-58</v>
      </c>
      <c r="N3557">
        <v>-0.5</v>
      </c>
      <c r="O3557">
        <v>-1000</v>
      </c>
      <c r="P3557">
        <v>29</v>
      </c>
    </row>
    <row r="3558" spans="1:16" x14ac:dyDescent="0.2">
      <c r="A3558" t="s">
        <v>3306</v>
      </c>
      <c r="C3558" t="s">
        <v>3305</v>
      </c>
      <c r="D3558" t="s">
        <v>3268</v>
      </c>
      <c r="E3558" t="s">
        <v>228</v>
      </c>
      <c r="F3558">
        <v>449.99</v>
      </c>
      <c r="G3558" t="s">
        <v>13</v>
      </c>
    </row>
    <row r="3559" spans="1:16" x14ac:dyDescent="0.2">
      <c r="A3559" t="s">
        <v>3385</v>
      </c>
      <c r="C3559" t="s">
        <v>3386</v>
      </c>
      <c r="D3559" t="s">
        <v>3268</v>
      </c>
      <c r="E3559" t="s">
        <v>228</v>
      </c>
      <c r="F3559">
        <v>179.99</v>
      </c>
      <c r="G3559" t="s">
        <v>13</v>
      </c>
    </row>
    <row r="3560" spans="1:16" x14ac:dyDescent="0.2">
      <c r="A3560" t="s">
        <v>6783</v>
      </c>
      <c r="C3560" t="s">
        <v>6784</v>
      </c>
      <c r="D3560" t="s">
        <v>2987</v>
      </c>
      <c r="E3560" t="s">
        <v>290</v>
      </c>
      <c r="F3560">
        <v>79.989999999999995</v>
      </c>
      <c r="G3560" t="s">
        <v>13</v>
      </c>
    </row>
    <row r="3561" spans="1:16" x14ac:dyDescent="0.2">
      <c r="A3561" t="s">
        <v>6117</v>
      </c>
      <c r="C3561" t="s">
        <v>6118</v>
      </c>
      <c r="D3561" t="s">
        <v>2502</v>
      </c>
      <c r="E3561" t="s">
        <v>290</v>
      </c>
      <c r="F3561">
        <v>149.99</v>
      </c>
      <c r="G3561" t="s">
        <v>13</v>
      </c>
    </row>
    <row r="3562" spans="1:16" x14ac:dyDescent="0.2">
      <c r="A3562" t="s">
        <v>2937</v>
      </c>
      <c r="C3562" t="s">
        <v>2938</v>
      </c>
      <c r="D3562" t="s">
        <v>2928</v>
      </c>
      <c r="E3562" t="s">
        <v>290</v>
      </c>
      <c r="F3562">
        <v>69.989999999999995</v>
      </c>
      <c r="G3562" t="s">
        <v>3494</v>
      </c>
    </row>
    <row r="3563" spans="1:16" x14ac:dyDescent="0.2">
      <c r="A3563" t="s">
        <v>2935</v>
      </c>
      <c r="C3563" t="s">
        <v>2936</v>
      </c>
      <c r="D3563" t="s">
        <v>2928</v>
      </c>
      <c r="E3563" t="s">
        <v>290</v>
      </c>
      <c r="F3563">
        <v>89.99</v>
      </c>
      <c r="G3563" t="s">
        <v>3494</v>
      </c>
      <c r="N3563">
        <v>1</v>
      </c>
    </row>
    <row r="3564" spans="1:16" x14ac:dyDescent="0.2">
      <c r="A3564" t="s">
        <v>2963</v>
      </c>
      <c r="C3564" t="s">
        <v>2964</v>
      </c>
      <c r="D3564" t="s">
        <v>2928</v>
      </c>
      <c r="E3564" t="s">
        <v>290</v>
      </c>
      <c r="F3564">
        <v>34.99</v>
      </c>
      <c r="G3564" t="s">
        <v>3494</v>
      </c>
    </row>
    <row r="3565" spans="1:16" x14ac:dyDescent="0.2">
      <c r="A3565" t="s">
        <v>2511</v>
      </c>
      <c r="C3565" t="s">
        <v>2512</v>
      </c>
      <c r="D3565" t="s">
        <v>2502</v>
      </c>
      <c r="E3565" t="s">
        <v>228</v>
      </c>
      <c r="F3565">
        <v>249.99</v>
      </c>
      <c r="G3565" t="s">
        <v>3494</v>
      </c>
    </row>
    <row r="3566" spans="1:16" x14ac:dyDescent="0.2">
      <c r="A3566" t="s">
        <v>2581</v>
      </c>
      <c r="C3566" t="s">
        <v>2582</v>
      </c>
      <c r="D3566" t="s">
        <v>2502</v>
      </c>
      <c r="E3566" t="s">
        <v>228</v>
      </c>
      <c r="F3566">
        <v>79.989999999999995</v>
      </c>
      <c r="G3566" t="s">
        <v>3494</v>
      </c>
    </row>
    <row r="3567" spans="1:16" x14ac:dyDescent="0.2">
      <c r="A3567" t="s">
        <v>2639</v>
      </c>
      <c r="C3567" t="s">
        <v>2640</v>
      </c>
      <c r="D3567" t="s">
        <v>2502</v>
      </c>
      <c r="E3567" t="s">
        <v>228</v>
      </c>
      <c r="F3567">
        <v>109.99</v>
      </c>
      <c r="G3567" t="s">
        <v>3494</v>
      </c>
    </row>
    <row r="3568" spans="1:16" x14ac:dyDescent="0.2">
      <c r="A3568" t="s">
        <v>2507</v>
      </c>
      <c r="C3568" t="s">
        <v>2508</v>
      </c>
      <c r="D3568" t="s">
        <v>2502</v>
      </c>
      <c r="E3568" t="s">
        <v>228</v>
      </c>
      <c r="F3568">
        <v>139.99</v>
      </c>
      <c r="G3568" t="s">
        <v>3494</v>
      </c>
    </row>
    <row r="3569" spans="1:14" x14ac:dyDescent="0.2">
      <c r="A3569" t="s">
        <v>2531</v>
      </c>
      <c r="C3569" t="s">
        <v>2532</v>
      </c>
      <c r="D3569" t="s">
        <v>2502</v>
      </c>
      <c r="E3569" t="s">
        <v>228</v>
      </c>
      <c r="F3569">
        <v>119.99</v>
      </c>
      <c r="G3569" t="s">
        <v>3494</v>
      </c>
    </row>
    <row r="3570" spans="1:14" x14ac:dyDescent="0.2">
      <c r="A3570" t="s">
        <v>2509</v>
      </c>
      <c r="C3570" t="s">
        <v>2510</v>
      </c>
      <c r="D3570" t="s">
        <v>2502</v>
      </c>
      <c r="E3570" t="s">
        <v>228</v>
      </c>
      <c r="F3570">
        <v>169.99</v>
      </c>
      <c r="G3570" t="s">
        <v>3494</v>
      </c>
      <c r="N3570">
        <v>1</v>
      </c>
    </row>
    <row r="3571" spans="1:14" x14ac:dyDescent="0.2">
      <c r="A3571" t="s">
        <v>2583</v>
      </c>
      <c r="C3571" t="s">
        <v>2584</v>
      </c>
      <c r="D3571" t="s">
        <v>2502</v>
      </c>
      <c r="E3571" t="s">
        <v>228</v>
      </c>
      <c r="F3571">
        <v>79.989999999999995</v>
      </c>
      <c r="G3571" t="s">
        <v>3494</v>
      </c>
    </row>
    <row r="3572" spans="1:14" x14ac:dyDescent="0.2">
      <c r="A3572" t="s">
        <v>2643</v>
      </c>
      <c r="C3572" t="s">
        <v>2644</v>
      </c>
      <c r="D3572" t="s">
        <v>2502</v>
      </c>
      <c r="E3572" t="s">
        <v>228</v>
      </c>
      <c r="F3572">
        <v>124.99</v>
      </c>
      <c r="G3572" t="s">
        <v>3494</v>
      </c>
    </row>
    <row r="3573" spans="1:14" x14ac:dyDescent="0.2">
      <c r="A3573" t="s">
        <v>2637</v>
      </c>
      <c r="C3573" t="s">
        <v>2638</v>
      </c>
      <c r="D3573" t="s">
        <v>2502</v>
      </c>
      <c r="E3573" t="s">
        <v>228</v>
      </c>
      <c r="F3573">
        <v>99.99</v>
      </c>
      <c r="G3573" t="s">
        <v>3494</v>
      </c>
      <c r="N3573">
        <v>1</v>
      </c>
    </row>
    <row r="3574" spans="1:14" x14ac:dyDescent="0.2">
      <c r="A3574" t="s">
        <v>6024</v>
      </c>
      <c r="C3574" t="s">
        <v>6025</v>
      </c>
      <c r="D3574" t="s">
        <v>2502</v>
      </c>
      <c r="E3574" t="s">
        <v>228</v>
      </c>
      <c r="F3574">
        <v>29.99</v>
      </c>
      <c r="G3574" t="s">
        <v>3494</v>
      </c>
    </row>
    <row r="3575" spans="1:14" x14ac:dyDescent="0.2">
      <c r="A3575" t="s">
        <v>2579</v>
      </c>
      <c r="C3575" t="s">
        <v>7627</v>
      </c>
      <c r="D3575" t="s">
        <v>2502</v>
      </c>
      <c r="E3575" t="s">
        <v>228</v>
      </c>
      <c r="F3575">
        <v>79.989999999999995</v>
      </c>
      <c r="G3575" t="s">
        <v>3494</v>
      </c>
    </row>
    <row r="3576" spans="1:14" x14ac:dyDescent="0.2">
      <c r="A3576" t="s">
        <v>2519</v>
      </c>
      <c r="C3576" t="s">
        <v>2520</v>
      </c>
      <c r="D3576" t="s">
        <v>2502</v>
      </c>
      <c r="E3576" t="s">
        <v>228</v>
      </c>
      <c r="F3576">
        <v>249.99</v>
      </c>
      <c r="G3576" t="s">
        <v>3494</v>
      </c>
    </row>
    <row r="3577" spans="1:14" x14ac:dyDescent="0.2">
      <c r="A3577" t="s">
        <v>6019</v>
      </c>
      <c r="C3577" t="s">
        <v>6020</v>
      </c>
      <c r="D3577" t="s">
        <v>2502</v>
      </c>
      <c r="E3577" t="s">
        <v>228</v>
      </c>
      <c r="F3577">
        <v>29.99</v>
      </c>
      <c r="G3577" t="s">
        <v>3494</v>
      </c>
    </row>
    <row r="3578" spans="1:14" x14ac:dyDescent="0.2">
      <c r="A3578" t="s">
        <v>3282</v>
      </c>
      <c r="C3578" t="s">
        <v>3281</v>
      </c>
      <c r="D3578" t="s">
        <v>3268</v>
      </c>
      <c r="E3578" t="s">
        <v>228</v>
      </c>
      <c r="F3578">
        <v>99.99</v>
      </c>
      <c r="G3578" t="s">
        <v>3494</v>
      </c>
    </row>
    <row r="3579" spans="1:14" x14ac:dyDescent="0.2">
      <c r="A3579" t="s">
        <v>2298</v>
      </c>
      <c r="C3579" t="s">
        <v>2299</v>
      </c>
      <c r="D3579" t="s">
        <v>2146</v>
      </c>
      <c r="E3579" t="s">
        <v>228</v>
      </c>
      <c r="F3579">
        <v>16.989999999999998</v>
      </c>
      <c r="G3579" t="s">
        <v>3494</v>
      </c>
    </row>
    <row r="3580" spans="1:14" x14ac:dyDescent="0.2">
      <c r="A3580" t="s">
        <v>6029</v>
      </c>
      <c r="C3580" t="s">
        <v>6030</v>
      </c>
      <c r="D3580" t="s">
        <v>2502</v>
      </c>
      <c r="E3580" t="s">
        <v>228</v>
      </c>
      <c r="F3580">
        <v>29.99</v>
      </c>
      <c r="G3580" t="s">
        <v>3494</v>
      </c>
    </row>
    <row r="3581" spans="1:14" x14ac:dyDescent="0.2">
      <c r="A3581" t="s">
        <v>1864</v>
      </c>
      <c r="C3581" t="s">
        <v>1865</v>
      </c>
      <c r="D3581" t="s">
        <v>1863</v>
      </c>
      <c r="E3581" t="s">
        <v>228</v>
      </c>
      <c r="F3581">
        <v>1499.99</v>
      </c>
      <c r="G3581" t="s">
        <v>3494</v>
      </c>
    </row>
    <row r="3582" spans="1:14" x14ac:dyDescent="0.2">
      <c r="A3582" t="s">
        <v>2320</v>
      </c>
      <c r="C3582" t="s">
        <v>2321</v>
      </c>
      <c r="D3582" t="s">
        <v>2146</v>
      </c>
      <c r="E3582" t="s">
        <v>228</v>
      </c>
      <c r="F3582">
        <v>69.989999999999995</v>
      </c>
      <c r="G3582" t="s">
        <v>3494</v>
      </c>
    </row>
    <row r="3583" spans="1:14" x14ac:dyDescent="0.2">
      <c r="A3583" t="s">
        <v>2330</v>
      </c>
      <c r="C3583" t="s">
        <v>2331</v>
      </c>
      <c r="D3583" t="s">
        <v>2146</v>
      </c>
      <c r="E3583" t="s">
        <v>228</v>
      </c>
      <c r="F3583">
        <v>16.989999999999998</v>
      </c>
      <c r="G3583" t="s">
        <v>3494</v>
      </c>
      <c r="N3583">
        <v>3</v>
      </c>
    </row>
    <row r="3584" spans="1:14" x14ac:dyDescent="0.2">
      <c r="A3584" t="s">
        <v>2609</v>
      </c>
      <c r="C3584" t="s">
        <v>2610</v>
      </c>
      <c r="D3584" t="s">
        <v>2502</v>
      </c>
      <c r="E3584" t="s">
        <v>290</v>
      </c>
      <c r="F3584">
        <v>179.99</v>
      </c>
      <c r="G3584" t="s">
        <v>3494</v>
      </c>
      <c r="N3584">
        <v>1</v>
      </c>
    </row>
    <row r="3585" spans="1:16" x14ac:dyDescent="0.2">
      <c r="A3585" t="s">
        <v>2342</v>
      </c>
      <c r="C3585" t="s">
        <v>2343</v>
      </c>
      <c r="D3585" t="s">
        <v>2146</v>
      </c>
      <c r="E3585" t="s">
        <v>228</v>
      </c>
      <c r="F3585">
        <v>16.989999999999998</v>
      </c>
      <c r="G3585" t="s">
        <v>3494</v>
      </c>
    </row>
    <row r="3586" spans="1:16" x14ac:dyDescent="0.2">
      <c r="A3586" t="s">
        <v>2332</v>
      </c>
      <c r="C3586" t="s">
        <v>2333</v>
      </c>
      <c r="D3586" t="s">
        <v>2146</v>
      </c>
      <c r="E3586" t="s">
        <v>228</v>
      </c>
      <c r="F3586">
        <v>17.989999999999998</v>
      </c>
      <c r="G3586" t="s">
        <v>3494</v>
      </c>
    </row>
    <row r="3587" spans="1:16" x14ac:dyDescent="0.2">
      <c r="A3587" t="s">
        <v>2332</v>
      </c>
      <c r="C3587" t="s">
        <v>2333</v>
      </c>
      <c r="D3587" t="s">
        <v>2146</v>
      </c>
      <c r="E3587" t="s">
        <v>228</v>
      </c>
      <c r="F3587">
        <v>17.989999999999998</v>
      </c>
      <c r="G3587" t="s">
        <v>3494</v>
      </c>
      <c r="N3587">
        <v>1</v>
      </c>
    </row>
    <row r="3588" spans="1:16" x14ac:dyDescent="0.2">
      <c r="A3588" t="s">
        <v>2298</v>
      </c>
      <c r="C3588" t="s">
        <v>2299</v>
      </c>
      <c r="D3588" t="s">
        <v>2146</v>
      </c>
      <c r="E3588" t="s">
        <v>228</v>
      </c>
      <c r="F3588">
        <v>16.989999999999998</v>
      </c>
      <c r="G3588" t="s">
        <v>3494</v>
      </c>
      <c r="N3588">
        <v>1</v>
      </c>
    </row>
    <row r="3589" spans="1:16" x14ac:dyDescent="0.2">
      <c r="A3589" t="s">
        <v>2246</v>
      </c>
      <c r="C3589" t="s">
        <v>2247</v>
      </c>
      <c r="D3589" t="s">
        <v>2146</v>
      </c>
      <c r="E3589" t="s">
        <v>228</v>
      </c>
      <c r="F3589">
        <v>99.99</v>
      </c>
      <c r="G3589" t="s">
        <v>3494</v>
      </c>
    </row>
    <row r="3590" spans="1:16" x14ac:dyDescent="0.2">
      <c r="A3590" t="s">
        <v>2360</v>
      </c>
      <c r="C3590" t="s">
        <v>2361</v>
      </c>
      <c r="D3590" t="s">
        <v>2146</v>
      </c>
      <c r="E3590" t="s">
        <v>228</v>
      </c>
      <c r="F3590">
        <v>349.99</v>
      </c>
      <c r="G3590" t="s">
        <v>3494</v>
      </c>
    </row>
    <row r="3591" spans="1:16" x14ac:dyDescent="0.2">
      <c r="A3591" t="s">
        <v>2569</v>
      </c>
      <c r="C3591" t="s">
        <v>2570</v>
      </c>
      <c r="D3591" t="s">
        <v>2502</v>
      </c>
      <c r="E3591" t="s">
        <v>228</v>
      </c>
      <c r="F3591">
        <v>39.99</v>
      </c>
      <c r="G3591" t="s">
        <v>3494</v>
      </c>
    </row>
    <row r="3592" spans="1:16" x14ac:dyDescent="0.2">
      <c r="A3592" t="s">
        <v>3025</v>
      </c>
      <c r="C3592" t="s">
        <v>3026</v>
      </c>
      <c r="D3592" t="s">
        <v>2987</v>
      </c>
      <c r="E3592" t="s">
        <v>228</v>
      </c>
      <c r="F3592">
        <v>89.99</v>
      </c>
      <c r="G3592" t="s">
        <v>3494</v>
      </c>
      <c r="N3592">
        <v>1</v>
      </c>
    </row>
    <row r="3593" spans="1:16" x14ac:dyDescent="0.2">
      <c r="A3593" t="s">
        <v>2905</v>
      </c>
      <c r="B3593" t="s">
        <v>2905</v>
      </c>
      <c r="C3593" t="s">
        <v>2906</v>
      </c>
      <c r="D3593" t="s">
        <v>2852</v>
      </c>
      <c r="E3593" t="s">
        <v>228</v>
      </c>
      <c r="F3593">
        <v>179.99</v>
      </c>
      <c r="G3593" t="s">
        <v>8106</v>
      </c>
      <c r="N3593">
        <v>0</v>
      </c>
    </row>
    <row r="3594" spans="1:16" x14ac:dyDescent="0.2">
      <c r="A3594" t="s">
        <v>1893</v>
      </c>
      <c r="B3594" t="s">
        <v>1893</v>
      </c>
      <c r="C3594" t="s">
        <v>1894</v>
      </c>
      <c r="D3594" t="s">
        <v>1888</v>
      </c>
      <c r="E3594" t="s">
        <v>228</v>
      </c>
      <c r="F3594">
        <v>149.99</v>
      </c>
      <c r="G3594" t="s">
        <v>8106</v>
      </c>
      <c r="M3594">
        <v>20.833333333333336</v>
      </c>
      <c r="N3594">
        <v>2.4</v>
      </c>
      <c r="P3594">
        <v>50</v>
      </c>
    </row>
    <row r="3595" spans="1:16" x14ac:dyDescent="0.2">
      <c r="A3595" t="s">
        <v>3303</v>
      </c>
      <c r="B3595" t="s">
        <v>3303</v>
      </c>
      <c r="C3595" t="s">
        <v>3302</v>
      </c>
      <c r="D3595" t="s">
        <v>3268</v>
      </c>
      <c r="E3595" t="s">
        <v>228</v>
      </c>
      <c r="F3595">
        <v>179.99</v>
      </c>
      <c r="G3595" t="s">
        <v>8106</v>
      </c>
      <c r="M3595">
        <v>53.428571428571431</v>
      </c>
      <c r="N3595">
        <v>7</v>
      </c>
      <c r="P3595">
        <v>374</v>
      </c>
    </row>
    <row r="3596" spans="1:16" x14ac:dyDescent="0.2">
      <c r="A3596" t="s">
        <v>3289</v>
      </c>
      <c r="B3596" t="s">
        <v>3289</v>
      </c>
      <c r="C3596" t="s">
        <v>3290</v>
      </c>
      <c r="D3596" t="s">
        <v>3268</v>
      </c>
      <c r="E3596" t="s">
        <v>228</v>
      </c>
      <c r="F3596">
        <v>359.99</v>
      </c>
      <c r="G3596" t="s">
        <v>8106</v>
      </c>
      <c r="M3596">
        <v>147.94117647058823</v>
      </c>
      <c r="N3596">
        <v>3.4</v>
      </c>
      <c r="P3596">
        <v>503</v>
      </c>
    </row>
    <row r="3597" spans="1:16" x14ac:dyDescent="0.2">
      <c r="A3597" t="s">
        <v>2308</v>
      </c>
      <c r="B3597" t="s">
        <v>2308</v>
      </c>
      <c r="C3597" t="s">
        <v>2309</v>
      </c>
      <c r="D3597" t="s">
        <v>2146</v>
      </c>
      <c r="E3597" t="s">
        <v>228</v>
      </c>
      <c r="F3597">
        <v>199.99</v>
      </c>
      <c r="G3597" t="s">
        <v>8106</v>
      </c>
      <c r="M3597">
        <v>6.5686274509803928</v>
      </c>
      <c r="N3597">
        <v>10.199999999999999</v>
      </c>
      <c r="P3597">
        <v>67</v>
      </c>
    </row>
    <row r="3598" spans="1:16" x14ac:dyDescent="0.2">
      <c r="A3598" t="s">
        <v>2571</v>
      </c>
      <c r="B3598" t="s">
        <v>2571</v>
      </c>
      <c r="C3598" t="s">
        <v>2572</v>
      </c>
      <c r="D3598" t="s">
        <v>2502</v>
      </c>
      <c r="E3598" t="s">
        <v>228</v>
      </c>
      <c r="F3598">
        <v>119.99</v>
      </c>
      <c r="G3598" t="s">
        <v>8106</v>
      </c>
      <c r="M3598">
        <v>8.9393939393939394</v>
      </c>
      <c r="N3598">
        <v>6.6</v>
      </c>
      <c r="P3598">
        <v>59</v>
      </c>
    </row>
    <row r="3599" spans="1:16" x14ac:dyDescent="0.2">
      <c r="A3599" t="s">
        <v>6690</v>
      </c>
      <c r="B3599" t="s">
        <v>8107</v>
      </c>
      <c r="C3599" t="s">
        <v>6691</v>
      </c>
      <c r="D3599" t="s">
        <v>2987</v>
      </c>
      <c r="E3599" t="s">
        <v>96</v>
      </c>
      <c r="F3599">
        <v>74.989999999999995</v>
      </c>
      <c r="G3599" t="s">
        <v>8106</v>
      </c>
      <c r="N3599">
        <v>0</v>
      </c>
    </row>
    <row r="3600" spans="1:16" x14ac:dyDescent="0.2">
      <c r="A3600" t="s">
        <v>2222</v>
      </c>
      <c r="B3600" t="s">
        <v>2222</v>
      </c>
      <c r="C3600" t="s">
        <v>2223</v>
      </c>
      <c r="D3600" t="s">
        <v>2146</v>
      </c>
      <c r="E3600" t="s">
        <v>228</v>
      </c>
      <c r="F3600">
        <v>99.99</v>
      </c>
      <c r="G3600" t="s">
        <v>8106</v>
      </c>
      <c r="M3600">
        <v>4.117647058823529</v>
      </c>
      <c r="N3600">
        <v>3.4000000000000004</v>
      </c>
      <c r="P3600">
        <v>14</v>
      </c>
    </row>
    <row r="3601" spans="1:16" x14ac:dyDescent="0.2">
      <c r="A3601" t="s">
        <v>2990</v>
      </c>
      <c r="B3601" t="s">
        <v>8108</v>
      </c>
      <c r="C3601" t="s">
        <v>2991</v>
      </c>
      <c r="D3601" t="s">
        <v>2987</v>
      </c>
      <c r="E3601" t="s">
        <v>228</v>
      </c>
      <c r="F3601">
        <v>89.99</v>
      </c>
      <c r="G3601" t="s">
        <v>8106</v>
      </c>
      <c r="N3601">
        <v>0</v>
      </c>
    </row>
    <row r="3602" spans="1:16" x14ac:dyDescent="0.2">
      <c r="A3602" t="s">
        <v>2224</v>
      </c>
      <c r="B3602" t="s">
        <v>2224</v>
      </c>
      <c r="C3602" t="s">
        <v>2225</v>
      </c>
      <c r="D3602" t="s">
        <v>2146</v>
      </c>
      <c r="E3602" t="s">
        <v>228</v>
      </c>
      <c r="F3602">
        <v>179.99</v>
      </c>
      <c r="G3602" t="s">
        <v>8106</v>
      </c>
      <c r="M3602">
        <v>2.75</v>
      </c>
      <c r="N3602">
        <v>4</v>
      </c>
      <c r="P3602">
        <v>11</v>
      </c>
    </row>
    <row r="3603" spans="1:16" x14ac:dyDescent="0.2">
      <c r="A3603" t="s">
        <v>2561</v>
      </c>
      <c r="B3603" t="s">
        <v>2561</v>
      </c>
      <c r="C3603" t="s">
        <v>2562</v>
      </c>
      <c r="D3603" t="s">
        <v>2502</v>
      </c>
      <c r="E3603" t="s">
        <v>228</v>
      </c>
      <c r="F3603">
        <v>17.989999999999998</v>
      </c>
      <c r="G3603" t="s">
        <v>8106</v>
      </c>
      <c r="M3603">
        <v>9.6850393700787407</v>
      </c>
      <c r="N3603">
        <v>25.4</v>
      </c>
      <c r="P3603">
        <v>246</v>
      </c>
    </row>
    <row r="3604" spans="1:16" x14ac:dyDescent="0.2">
      <c r="A3604" t="s">
        <v>643</v>
      </c>
      <c r="B3604" t="s">
        <v>643</v>
      </c>
      <c r="C3604" t="s">
        <v>644</v>
      </c>
      <c r="D3604" t="s">
        <v>446</v>
      </c>
      <c r="E3604" t="s">
        <v>228</v>
      </c>
      <c r="F3604">
        <v>99.99</v>
      </c>
      <c r="G3604" t="s">
        <v>8106</v>
      </c>
      <c r="M3604">
        <v>15.151515151515152</v>
      </c>
      <c r="N3604">
        <v>6.6</v>
      </c>
      <c r="P3604">
        <v>100</v>
      </c>
    </row>
    <row r="3605" spans="1:16" x14ac:dyDescent="0.2">
      <c r="A3605" t="s">
        <v>2310</v>
      </c>
      <c r="B3605" t="s">
        <v>2310</v>
      </c>
      <c r="C3605" t="s">
        <v>2311</v>
      </c>
      <c r="D3605" t="s">
        <v>2146</v>
      </c>
      <c r="E3605" t="s">
        <v>228</v>
      </c>
      <c r="F3605">
        <v>329.99</v>
      </c>
      <c r="G3605" t="s">
        <v>8106</v>
      </c>
      <c r="M3605">
        <v>2.6666666666666665</v>
      </c>
      <c r="N3605">
        <v>6</v>
      </c>
      <c r="P3605">
        <v>16</v>
      </c>
    </row>
    <row r="3606" spans="1:16" x14ac:dyDescent="0.2">
      <c r="A3606" t="s">
        <v>2286</v>
      </c>
      <c r="B3606" t="s">
        <v>97</v>
      </c>
      <c r="C3606" t="s">
        <v>2287</v>
      </c>
      <c r="D3606" t="s">
        <v>2146</v>
      </c>
      <c r="E3606" t="s">
        <v>228</v>
      </c>
      <c r="F3606">
        <v>99.99</v>
      </c>
      <c r="G3606" t="s">
        <v>8109</v>
      </c>
      <c r="H3606">
        <v>0</v>
      </c>
      <c r="M3606">
        <v>0</v>
      </c>
      <c r="N3606">
        <v>0</v>
      </c>
      <c r="P3606">
        <v>1</v>
      </c>
    </row>
    <row r="3607" spans="1:16" x14ac:dyDescent="0.2">
      <c r="A3607" t="s">
        <v>2338</v>
      </c>
      <c r="B3607" t="s">
        <v>97</v>
      </c>
      <c r="C3607" t="s">
        <v>2339</v>
      </c>
      <c r="D3607" t="s">
        <v>2146</v>
      </c>
      <c r="E3607" t="s">
        <v>228</v>
      </c>
      <c r="F3607">
        <v>349.99</v>
      </c>
      <c r="G3607" t="s">
        <v>8109</v>
      </c>
      <c r="H3607">
        <v>0</v>
      </c>
      <c r="M3607">
        <v>0</v>
      </c>
      <c r="N3607">
        <v>0</v>
      </c>
      <c r="P3607">
        <v>10</v>
      </c>
    </row>
    <row r="3608" spans="1:16" x14ac:dyDescent="0.2">
      <c r="A3608" t="s">
        <v>972</v>
      </c>
      <c r="B3608" t="s">
        <v>97</v>
      </c>
      <c r="C3608" t="s">
        <v>973</v>
      </c>
      <c r="D3608" t="s">
        <v>446</v>
      </c>
      <c r="E3608" t="s">
        <v>228</v>
      </c>
      <c r="F3608">
        <v>44.99</v>
      </c>
      <c r="G3608" t="s">
        <v>8109</v>
      </c>
      <c r="H3608">
        <v>0.13821138211382114</v>
      </c>
      <c r="M3608">
        <v>3.1844660194174756</v>
      </c>
      <c r="N3608">
        <v>25.75</v>
      </c>
      <c r="P3608">
        <v>82</v>
      </c>
    </row>
    <row r="3609" spans="1:16" x14ac:dyDescent="0.2">
      <c r="A3609" t="s">
        <v>5016</v>
      </c>
      <c r="B3609" t="s">
        <v>97</v>
      </c>
      <c r="C3609" t="s">
        <v>5017</v>
      </c>
      <c r="D3609" t="s">
        <v>446</v>
      </c>
      <c r="E3609" t="s">
        <v>96</v>
      </c>
      <c r="F3609">
        <v>49.99</v>
      </c>
      <c r="G3609" t="s">
        <v>8109</v>
      </c>
      <c r="H3609">
        <v>0</v>
      </c>
      <c r="M3609">
        <v>0</v>
      </c>
      <c r="N3609">
        <v>0</v>
      </c>
      <c r="P3609">
        <v>0</v>
      </c>
    </row>
    <row r="3610" spans="1:16" x14ac:dyDescent="0.2">
      <c r="A3610" t="s">
        <v>2988</v>
      </c>
      <c r="B3610" t="s">
        <v>97</v>
      </c>
      <c r="C3610" t="s">
        <v>2989</v>
      </c>
      <c r="D3610" t="s">
        <v>2987</v>
      </c>
      <c r="E3610" t="s">
        <v>228</v>
      </c>
      <c r="F3610">
        <v>89.99</v>
      </c>
      <c r="G3610" t="s">
        <v>8109</v>
      </c>
      <c r="H3610">
        <v>1.3641755634638198E-2</v>
      </c>
      <c r="M3610">
        <v>102.18181818181819</v>
      </c>
      <c r="N3610">
        <v>2.75</v>
      </c>
      <c r="P3610">
        <v>281</v>
      </c>
    </row>
    <row r="3611" spans="1:16" x14ac:dyDescent="0.2">
      <c r="A3611" t="s">
        <v>2990</v>
      </c>
      <c r="B3611" t="s">
        <v>97</v>
      </c>
      <c r="C3611" t="s">
        <v>2991</v>
      </c>
      <c r="D3611" t="s">
        <v>2987</v>
      </c>
      <c r="E3611" t="s">
        <v>228</v>
      </c>
      <c r="F3611">
        <v>89.99</v>
      </c>
      <c r="G3611" t="s">
        <v>8109</v>
      </c>
      <c r="H3611">
        <v>4.905437352245863E-2</v>
      </c>
      <c r="M3611">
        <v>16.114285714285714</v>
      </c>
      <c r="N3611">
        <v>8.75</v>
      </c>
      <c r="P3611">
        <v>141</v>
      </c>
    </row>
    <row r="3612" spans="1:16" x14ac:dyDescent="0.2">
      <c r="A3612" t="s">
        <v>2340</v>
      </c>
      <c r="B3612" t="s">
        <v>97</v>
      </c>
      <c r="C3612" t="s">
        <v>2341</v>
      </c>
      <c r="D3612" t="s">
        <v>2146</v>
      </c>
      <c r="E3612" t="s">
        <v>228</v>
      </c>
      <c r="F3612">
        <v>549.99</v>
      </c>
      <c r="G3612" t="s">
        <v>8109</v>
      </c>
      <c r="H3612">
        <v>0</v>
      </c>
      <c r="M3612">
        <v>0</v>
      </c>
      <c r="N3612">
        <v>0</v>
      </c>
      <c r="P3612">
        <v>1</v>
      </c>
    </row>
    <row r="3613" spans="1:16" x14ac:dyDescent="0.2">
      <c r="A3613" t="s">
        <v>950</v>
      </c>
      <c r="B3613" t="s">
        <v>97</v>
      </c>
      <c r="C3613" t="s">
        <v>951</v>
      </c>
      <c r="D3613" t="s">
        <v>446</v>
      </c>
      <c r="E3613" t="s">
        <v>228</v>
      </c>
      <c r="F3613">
        <v>49.99</v>
      </c>
      <c r="G3613" t="s">
        <v>8109</v>
      </c>
      <c r="H3613">
        <v>9.3824940047961644E-2</v>
      </c>
      <c r="M3613">
        <v>11.232323232323232</v>
      </c>
      <c r="N3613">
        <v>24.75</v>
      </c>
      <c r="P3613">
        <v>278</v>
      </c>
    </row>
    <row r="3614" spans="1:16" x14ac:dyDescent="0.2">
      <c r="A3614" t="s">
        <v>5014</v>
      </c>
      <c r="B3614" t="s">
        <v>97</v>
      </c>
      <c r="C3614" t="s">
        <v>5015</v>
      </c>
      <c r="D3614" t="s">
        <v>446</v>
      </c>
      <c r="E3614" t="s">
        <v>96</v>
      </c>
      <c r="F3614">
        <v>49.99</v>
      </c>
      <c r="G3614" t="s">
        <v>8109</v>
      </c>
      <c r="H3614">
        <v>0</v>
      </c>
      <c r="M3614">
        <v>0</v>
      </c>
      <c r="N3614">
        <v>0</v>
      </c>
      <c r="P3614">
        <v>4</v>
      </c>
    </row>
    <row r="3615" spans="1:16" x14ac:dyDescent="0.2">
      <c r="A3615" t="s">
        <v>6009</v>
      </c>
      <c r="B3615" t="s">
        <v>97</v>
      </c>
      <c r="C3615" t="s">
        <v>6010</v>
      </c>
      <c r="D3615" t="s">
        <v>2502</v>
      </c>
      <c r="E3615" t="s">
        <v>96</v>
      </c>
      <c r="F3615">
        <v>149.99</v>
      </c>
      <c r="G3615" t="s">
        <v>8109</v>
      </c>
      <c r="H3615">
        <v>0</v>
      </c>
      <c r="M3615">
        <v>0</v>
      </c>
      <c r="N3615">
        <v>0</v>
      </c>
      <c r="P3615">
        <v>0</v>
      </c>
    </row>
    <row r="3616" spans="1:16" x14ac:dyDescent="0.2">
      <c r="A3616" t="s">
        <v>2379</v>
      </c>
      <c r="B3616" t="s">
        <v>97</v>
      </c>
      <c r="C3616" t="s">
        <v>2380</v>
      </c>
      <c r="D3616" t="s">
        <v>2374</v>
      </c>
      <c r="E3616" t="s">
        <v>290</v>
      </c>
      <c r="F3616">
        <v>49.99</v>
      </c>
      <c r="G3616" t="s">
        <v>8109</v>
      </c>
      <c r="H3616">
        <v>0</v>
      </c>
      <c r="M3616">
        <v>0</v>
      </c>
      <c r="N3616">
        <v>0</v>
      </c>
      <c r="P3616">
        <v>2</v>
      </c>
    </row>
    <row r="3617" spans="1:16" x14ac:dyDescent="0.2">
      <c r="A3617" t="s">
        <v>789</v>
      </c>
      <c r="B3617" t="s">
        <v>97</v>
      </c>
      <c r="C3617" t="s">
        <v>790</v>
      </c>
      <c r="D3617" t="s">
        <v>446</v>
      </c>
      <c r="E3617" t="s">
        <v>228</v>
      </c>
      <c r="F3617">
        <v>44.99</v>
      </c>
      <c r="G3617" t="s">
        <v>8109</v>
      </c>
      <c r="H3617">
        <v>3.9658634538152611E-2</v>
      </c>
      <c r="M3617">
        <v>30.181818181818183</v>
      </c>
      <c r="N3617">
        <v>5.5</v>
      </c>
      <c r="P3617">
        <v>166</v>
      </c>
    </row>
    <row r="3618" spans="1:16" x14ac:dyDescent="0.2">
      <c r="A3618" t="s">
        <v>3343</v>
      </c>
      <c r="B3618" t="s">
        <v>97</v>
      </c>
      <c r="C3618" t="s">
        <v>3342</v>
      </c>
      <c r="D3618" t="s">
        <v>3268</v>
      </c>
      <c r="E3618" t="s">
        <v>290</v>
      </c>
      <c r="F3618">
        <v>499.99</v>
      </c>
      <c r="G3618" t="s">
        <v>8109</v>
      </c>
      <c r="H3618">
        <v>0</v>
      </c>
      <c r="M3618">
        <v>0</v>
      </c>
      <c r="N3618">
        <v>0</v>
      </c>
      <c r="P3618">
        <v>0</v>
      </c>
    </row>
    <row r="3619" spans="1:16" x14ac:dyDescent="0.2">
      <c r="A3619" t="s">
        <v>793</v>
      </c>
      <c r="B3619" t="s">
        <v>97</v>
      </c>
      <c r="C3619" t="s">
        <v>794</v>
      </c>
      <c r="D3619" t="s">
        <v>446</v>
      </c>
      <c r="E3619" t="s">
        <v>228</v>
      </c>
      <c r="F3619">
        <v>49.99</v>
      </c>
      <c r="G3619" t="s">
        <v>8109</v>
      </c>
      <c r="H3619">
        <v>2.3809523809523808E-2</v>
      </c>
      <c r="M3619">
        <v>0</v>
      </c>
      <c r="N3619">
        <v>0</v>
      </c>
      <c r="P3619">
        <v>7</v>
      </c>
    </row>
    <row r="3620" spans="1:16" x14ac:dyDescent="0.2">
      <c r="A3620" t="s">
        <v>2346</v>
      </c>
      <c r="B3620" t="s">
        <v>97</v>
      </c>
      <c r="C3620" t="s">
        <v>2347</v>
      </c>
      <c r="D3620" t="s">
        <v>2146</v>
      </c>
      <c r="E3620" t="s">
        <v>228</v>
      </c>
      <c r="F3620">
        <v>99.99</v>
      </c>
      <c r="G3620" t="s">
        <v>8109</v>
      </c>
      <c r="H3620">
        <v>0</v>
      </c>
      <c r="M3620">
        <v>0</v>
      </c>
      <c r="N3620">
        <v>0</v>
      </c>
      <c r="P3620">
        <v>12</v>
      </c>
    </row>
    <row r="3621" spans="1:16" x14ac:dyDescent="0.2">
      <c r="A3621" t="s">
        <v>3669</v>
      </c>
      <c r="B3621" t="s">
        <v>97</v>
      </c>
      <c r="C3621" t="s">
        <v>3670</v>
      </c>
      <c r="D3621" t="s">
        <v>2425</v>
      </c>
      <c r="E3621" t="s">
        <v>96</v>
      </c>
      <c r="F3621">
        <v>89.99</v>
      </c>
      <c r="G3621" t="s">
        <v>8109</v>
      </c>
      <c r="H3621">
        <v>0</v>
      </c>
      <c r="M3621">
        <v>0</v>
      </c>
      <c r="N3621">
        <v>0</v>
      </c>
      <c r="P3621">
        <v>0</v>
      </c>
    </row>
    <row r="3622" spans="1:16" x14ac:dyDescent="0.2">
      <c r="A3622" t="s">
        <v>2429</v>
      </c>
      <c r="B3622" t="s">
        <v>97</v>
      </c>
      <c r="C3622" t="s">
        <v>2430</v>
      </c>
      <c r="D3622" t="s">
        <v>2425</v>
      </c>
      <c r="E3622" t="s">
        <v>290</v>
      </c>
      <c r="F3622">
        <v>149.99</v>
      </c>
      <c r="G3622" t="s">
        <v>8109</v>
      </c>
      <c r="H3622">
        <v>0</v>
      </c>
      <c r="M3622">
        <v>0</v>
      </c>
      <c r="N3622">
        <v>0</v>
      </c>
      <c r="P3622">
        <v>0</v>
      </c>
    </row>
    <row r="3623" spans="1:16" x14ac:dyDescent="0.2">
      <c r="A3623" t="s">
        <v>2190</v>
      </c>
      <c r="B3623" t="s">
        <v>97</v>
      </c>
      <c r="C3623" t="s">
        <v>2191</v>
      </c>
      <c r="D3623" t="s">
        <v>2146</v>
      </c>
      <c r="E3623" t="s">
        <v>290</v>
      </c>
      <c r="F3623">
        <v>349.99</v>
      </c>
      <c r="G3623" t="s">
        <v>8109</v>
      </c>
      <c r="H3623">
        <v>0</v>
      </c>
      <c r="M3623">
        <v>0</v>
      </c>
      <c r="N3623">
        <v>0</v>
      </c>
      <c r="P3623">
        <v>0</v>
      </c>
    </row>
    <row r="3624" spans="1:16" x14ac:dyDescent="0.2">
      <c r="A3624" t="s">
        <v>787</v>
      </c>
      <c r="B3624" t="s">
        <v>97</v>
      </c>
      <c r="C3624" t="s">
        <v>788</v>
      </c>
      <c r="D3624" t="s">
        <v>446</v>
      </c>
      <c r="E3624" t="s">
        <v>228</v>
      </c>
      <c r="F3624">
        <v>44.99</v>
      </c>
      <c r="G3624" t="s">
        <v>8109</v>
      </c>
      <c r="H3624">
        <v>4.5454545454545456E-2</v>
      </c>
      <c r="M3624">
        <v>14.666666666666666</v>
      </c>
      <c r="N3624">
        <v>0.75</v>
      </c>
      <c r="P3624">
        <v>11</v>
      </c>
    </row>
    <row r="3625" spans="1:16" x14ac:dyDescent="0.2">
      <c r="A3625" t="s">
        <v>2426</v>
      </c>
      <c r="B3625" t="s">
        <v>97</v>
      </c>
      <c r="C3625" t="s">
        <v>2427</v>
      </c>
      <c r="D3625" t="s">
        <v>2425</v>
      </c>
      <c r="E3625" t="s">
        <v>290</v>
      </c>
      <c r="F3625">
        <v>179.99</v>
      </c>
      <c r="G3625" t="s">
        <v>8109</v>
      </c>
      <c r="H3625">
        <v>0</v>
      </c>
      <c r="M3625">
        <v>0</v>
      </c>
      <c r="N3625">
        <v>0</v>
      </c>
      <c r="P3625">
        <v>0</v>
      </c>
    </row>
    <row r="3626" spans="1:16" x14ac:dyDescent="0.2">
      <c r="A3626" t="s">
        <v>2208</v>
      </c>
      <c r="B3626" t="s">
        <v>97</v>
      </c>
      <c r="C3626" t="s">
        <v>2209</v>
      </c>
      <c r="D3626" t="s">
        <v>2146</v>
      </c>
      <c r="E3626" t="s">
        <v>228</v>
      </c>
      <c r="F3626">
        <v>149.99</v>
      </c>
      <c r="G3626" t="s">
        <v>8109</v>
      </c>
      <c r="H3626">
        <v>0</v>
      </c>
      <c r="M3626">
        <v>0</v>
      </c>
      <c r="N3626">
        <v>0</v>
      </c>
      <c r="P3626">
        <v>0</v>
      </c>
    </row>
    <row r="3627" spans="1:16" x14ac:dyDescent="0.2">
      <c r="A3627" t="s">
        <v>747</v>
      </c>
      <c r="B3627" t="s">
        <v>97</v>
      </c>
      <c r="C3627" t="s">
        <v>748</v>
      </c>
      <c r="D3627" t="s">
        <v>446</v>
      </c>
      <c r="E3627" t="s">
        <v>228</v>
      </c>
      <c r="F3627">
        <v>27.99</v>
      </c>
      <c r="G3627" t="s">
        <v>8109</v>
      </c>
      <c r="H3627">
        <v>4.2592592592592592E-2</v>
      </c>
      <c r="M3627">
        <v>30</v>
      </c>
      <c r="N3627">
        <v>6</v>
      </c>
      <c r="P3627">
        <v>180</v>
      </c>
    </row>
    <row r="3628" spans="1:16" x14ac:dyDescent="0.2">
      <c r="A3628" t="s">
        <v>4641</v>
      </c>
      <c r="B3628" t="s">
        <v>97</v>
      </c>
      <c r="C3628" t="s">
        <v>4642</v>
      </c>
      <c r="D3628" t="s">
        <v>446</v>
      </c>
      <c r="E3628" t="s">
        <v>96</v>
      </c>
      <c r="F3628">
        <v>14.99</v>
      </c>
      <c r="G3628" t="s">
        <v>8109</v>
      </c>
      <c r="H3628">
        <v>0</v>
      </c>
      <c r="M3628">
        <v>0</v>
      </c>
      <c r="N3628">
        <v>0</v>
      </c>
      <c r="P3628">
        <v>0</v>
      </c>
    </row>
    <row r="3629" spans="1:16" x14ac:dyDescent="0.2">
      <c r="A3629" t="s">
        <v>2252</v>
      </c>
      <c r="B3629" t="s">
        <v>97</v>
      </c>
      <c r="C3629" t="s">
        <v>2253</v>
      </c>
      <c r="D3629" t="s">
        <v>2146</v>
      </c>
      <c r="E3629" t="s">
        <v>290</v>
      </c>
      <c r="F3629">
        <v>99.99</v>
      </c>
      <c r="G3629" t="s">
        <v>8109</v>
      </c>
      <c r="H3629">
        <v>8.3333333333333329E-2</v>
      </c>
      <c r="M3629">
        <v>0</v>
      </c>
      <c r="N3629">
        <v>0</v>
      </c>
      <c r="P3629">
        <v>1</v>
      </c>
    </row>
    <row r="3630" spans="1:16" x14ac:dyDescent="0.2">
      <c r="A3630" t="s">
        <v>944</v>
      </c>
      <c r="B3630" t="s">
        <v>97</v>
      </c>
      <c r="C3630" t="s">
        <v>945</v>
      </c>
      <c r="D3630" t="s">
        <v>446</v>
      </c>
      <c r="E3630" t="s">
        <v>228</v>
      </c>
      <c r="F3630">
        <v>39.99</v>
      </c>
      <c r="G3630" t="s">
        <v>8109</v>
      </c>
      <c r="H3630">
        <v>6.70045045045045E-2</v>
      </c>
      <c r="M3630">
        <v>16.914285714285715</v>
      </c>
      <c r="N3630">
        <v>8.75</v>
      </c>
      <c r="P3630">
        <v>148</v>
      </c>
    </row>
    <row r="3631" spans="1:16" x14ac:dyDescent="0.2">
      <c r="A3631" t="s">
        <v>3295</v>
      </c>
      <c r="B3631" t="s">
        <v>97</v>
      </c>
      <c r="C3631" t="s">
        <v>3296</v>
      </c>
      <c r="D3631" t="s">
        <v>3268</v>
      </c>
      <c r="E3631" t="s">
        <v>228</v>
      </c>
      <c r="F3631">
        <v>199.99</v>
      </c>
      <c r="G3631" t="s">
        <v>8109</v>
      </c>
      <c r="H3631">
        <v>8.2465277777777776E-2</v>
      </c>
      <c r="M3631">
        <v>13.016949152542374</v>
      </c>
      <c r="N3631">
        <v>14.75</v>
      </c>
      <c r="P3631">
        <v>192</v>
      </c>
    </row>
    <row r="3632" spans="1:16" x14ac:dyDescent="0.2">
      <c r="A3632" t="s">
        <v>2264</v>
      </c>
      <c r="B3632" t="s">
        <v>97</v>
      </c>
      <c r="C3632" t="s">
        <v>2265</v>
      </c>
      <c r="D3632" t="s">
        <v>2146</v>
      </c>
      <c r="E3632" t="s">
        <v>290</v>
      </c>
      <c r="F3632">
        <v>99.99</v>
      </c>
      <c r="G3632" t="s">
        <v>8109</v>
      </c>
      <c r="H3632">
        <v>0</v>
      </c>
      <c r="M3632">
        <v>0</v>
      </c>
      <c r="N3632">
        <v>0</v>
      </c>
      <c r="P3632">
        <v>0</v>
      </c>
    </row>
    <row r="3633" spans="1:16" x14ac:dyDescent="0.2">
      <c r="A3633" t="s">
        <v>3279</v>
      </c>
      <c r="B3633" t="s">
        <v>97</v>
      </c>
      <c r="C3633" t="s">
        <v>3278</v>
      </c>
      <c r="D3633" t="s">
        <v>3268</v>
      </c>
      <c r="E3633" t="s">
        <v>228</v>
      </c>
      <c r="F3633">
        <v>99.99</v>
      </c>
      <c r="G3633" t="s">
        <v>8109</v>
      </c>
      <c r="H3633">
        <v>5.4583333333333331E-2</v>
      </c>
      <c r="M3633">
        <v>22.857142857142858</v>
      </c>
      <c r="N3633">
        <v>8.75</v>
      </c>
      <c r="P3633">
        <v>200</v>
      </c>
    </row>
    <row r="3634" spans="1:16" x14ac:dyDescent="0.2">
      <c r="A3634" t="s">
        <v>7316</v>
      </c>
      <c r="B3634" t="s">
        <v>97</v>
      </c>
      <c r="C3634" t="s">
        <v>7318</v>
      </c>
      <c r="D3634" t="s">
        <v>446</v>
      </c>
      <c r="E3634" t="s">
        <v>96</v>
      </c>
      <c r="F3634">
        <v>34.99</v>
      </c>
      <c r="G3634" t="s">
        <v>8109</v>
      </c>
      <c r="H3634">
        <v>0</v>
      </c>
      <c r="M3634">
        <v>0</v>
      </c>
      <c r="N3634">
        <v>0</v>
      </c>
      <c r="P3634">
        <v>0</v>
      </c>
    </row>
    <row r="3635" spans="1:16" x14ac:dyDescent="0.2">
      <c r="A3635" t="s">
        <v>2350</v>
      </c>
      <c r="B3635" t="s">
        <v>97</v>
      </c>
      <c r="C3635" t="s">
        <v>2351</v>
      </c>
      <c r="D3635" t="s">
        <v>2146</v>
      </c>
      <c r="E3635" t="s">
        <v>228</v>
      </c>
      <c r="F3635">
        <v>189.99</v>
      </c>
      <c r="G3635" t="s">
        <v>8109</v>
      </c>
      <c r="H3635">
        <v>0</v>
      </c>
      <c r="M3635">
        <v>0</v>
      </c>
      <c r="N3635">
        <v>0</v>
      </c>
      <c r="P3635">
        <v>11</v>
      </c>
    </row>
    <row r="3636" spans="1:16" x14ac:dyDescent="0.2">
      <c r="A3636" t="s">
        <v>4694</v>
      </c>
      <c r="B3636" t="s">
        <v>97</v>
      </c>
      <c r="C3636" t="s">
        <v>4695</v>
      </c>
      <c r="D3636" t="s">
        <v>446</v>
      </c>
      <c r="E3636" t="s">
        <v>290</v>
      </c>
      <c r="F3636">
        <v>59.99</v>
      </c>
      <c r="G3636" t="s">
        <v>8109</v>
      </c>
      <c r="H3636">
        <v>0</v>
      </c>
      <c r="M3636">
        <v>0</v>
      </c>
      <c r="N3636">
        <v>0</v>
      </c>
      <c r="P3636">
        <v>2</v>
      </c>
    </row>
    <row r="3637" spans="1:16" x14ac:dyDescent="0.2">
      <c r="A3637" t="s">
        <v>5012</v>
      </c>
      <c r="B3637" t="s">
        <v>97</v>
      </c>
      <c r="C3637" t="s">
        <v>5013</v>
      </c>
      <c r="D3637" t="s">
        <v>446</v>
      </c>
      <c r="E3637" t="s">
        <v>96</v>
      </c>
      <c r="F3637">
        <v>44.99</v>
      </c>
      <c r="G3637" t="s">
        <v>8109</v>
      </c>
      <c r="H3637">
        <v>0</v>
      </c>
      <c r="M3637">
        <v>0</v>
      </c>
      <c r="N3637">
        <v>0</v>
      </c>
      <c r="P3637">
        <v>1</v>
      </c>
    </row>
    <row r="3638" spans="1:16" x14ac:dyDescent="0.2">
      <c r="A3638" t="s">
        <v>970</v>
      </c>
      <c r="B3638" t="s">
        <v>97</v>
      </c>
      <c r="C3638" t="s">
        <v>971</v>
      </c>
      <c r="D3638" t="s">
        <v>446</v>
      </c>
      <c r="E3638" t="s">
        <v>290</v>
      </c>
      <c r="F3638">
        <v>69.989999999999995</v>
      </c>
      <c r="G3638" t="s">
        <v>8109</v>
      </c>
      <c r="H3638">
        <v>6.6666666666666666E-2</v>
      </c>
      <c r="M3638">
        <v>20</v>
      </c>
      <c r="N3638">
        <v>0.25</v>
      </c>
      <c r="P3638">
        <v>5</v>
      </c>
    </row>
    <row r="3639" spans="1:16" x14ac:dyDescent="0.2">
      <c r="A3639" t="s">
        <v>2294</v>
      </c>
      <c r="B3639" t="s">
        <v>97</v>
      </c>
      <c r="C3639" t="s">
        <v>2295</v>
      </c>
      <c r="D3639" t="s">
        <v>2146</v>
      </c>
      <c r="E3639" t="s">
        <v>290</v>
      </c>
      <c r="F3639">
        <v>99.99</v>
      </c>
      <c r="G3639" t="s">
        <v>8109</v>
      </c>
      <c r="H3639">
        <v>0</v>
      </c>
      <c r="M3639">
        <v>0</v>
      </c>
      <c r="N3639">
        <v>0</v>
      </c>
      <c r="P3639">
        <v>0</v>
      </c>
    </row>
    <row r="3640" spans="1:16" x14ac:dyDescent="0.2">
      <c r="A3640" t="s">
        <v>3300</v>
      </c>
      <c r="B3640" t="s">
        <v>97</v>
      </c>
      <c r="C3640" t="s">
        <v>3299</v>
      </c>
      <c r="D3640" t="s">
        <v>3268</v>
      </c>
      <c r="E3640" t="s">
        <v>228</v>
      </c>
      <c r="F3640">
        <v>199.99</v>
      </c>
      <c r="G3640" t="s">
        <v>8109</v>
      </c>
      <c r="H3640">
        <v>5.3875968992248065E-2</v>
      </c>
      <c r="M3640">
        <v>17.916666666666668</v>
      </c>
      <c r="N3640">
        <v>12</v>
      </c>
      <c r="P3640">
        <v>215</v>
      </c>
    </row>
    <row r="3641" spans="1:16" x14ac:dyDescent="0.2">
      <c r="A3641" t="s">
        <v>956</v>
      </c>
      <c r="B3641" t="s">
        <v>97</v>
      </c>
      <c r="C3641" t="s">
        <v>957</v>
      </c>
      <c r="D3641" t="s">
        <v>446</v>
      </c>
      <c r="E3641" t="s">
        <v>228</v>
      </c>
      <c r="F3641">
        <v>29.99</v>
      </c>
      <c r="G3641" t="s">
        <v>8109</v>
      </c>
      <c r="H3641">
        <v>8.2775919732441472E-2</v>
      </c>
      <c r="M3641">
        <v>13.28888888888889</v>
      </c>
      <c r="N3641">
        <v>22.5</v>
      </c>
      <c r="P3641">
        <v>299</v>
      </c>
    </row>
    <row r="3642" spans="1:16" x14ac:dyDescent="0.2">
      <c r="A3642" t="s">
        <v>2334</v>
      </c>
      <c r="B3642" t="s">
        <v>97</v>
      </c>
      <c r="C3642" t="s">
        <v>2335</v>
      </c>
      <c r="D3642" t="s">
        <v>2146</v>
      </c>
      <c r="E3642" t="s">
        <v>228</v>
      </c>
      <c r="F3642">
        <v>99.99</v>
      </c>
      <c r="G3642" t="s">
        <v>8109</v>
      </c>
      <c r="H3642">
        <v>0</v>
      </c>
      <c r="M3642">
        <v>0</v>
      </c>
      <c r="N3642">
        <v>0</v>
      </c>
      <c r="P3642">
        <v>6</v>
      </c>
    </row>
    <row r="3643" spans="1:16" x14ac:dyDescent="0.2">
      <c r="A3643" t="s">
        <v>968</v>
      </c>
      <c r="B3643" t="s">
        <v>97</v>
      </c>
      <c r="C3643" t="s">
        <v>969</v>
      </c>
      <c r="D3643" t="s">
        <v>446</v>
      </c>
      <c r="E3643" t="s">
        <v>96</v>
      </c>
      <c r="F3643">
        <v>59.99</v>
      </c>
      <c r="G3643" t="s">
        <v>8109</v>
      </c>
      <c r="H3643">
        <v>1.7156862745098041E-2</v>
      </c>
      <c r="M3643">
        <v>62.769230769230766</v>
      </c>
      <c r="N3643">
        <v>3.25</v>
      </c>
      <c r="P3643">
        <v>204</v>
      </c>
    </row>
    <row r="3644" spans="1:16" x14ac:dyDescent="0.2">
      <c r="A3644" t="s">
        <v>3292</v>
      </c>
      <c r="B3644" t="s">
        <v>97</v>
      </c>
      <c r="C3644" t="s">
        <v>3293</v>
      </c>
      <c r="D3644" t="s">
        <v>3268</v>
      </c>
      <c r="E3644" t="s">
        <v>228</v>
      </c>
      <c r="F3644">
        <v>799.99</v>
      </c>
      <c r="G3644" t="s">
        <v>8109</v>
      </c>
      <c r="H3644">
        <v>3.2608695652173912E-2</v>
      </c>
      <c r="M3644">
        <v>30.666666666666668</v>
      </c>
      <c r="N3644">
        <v>0.75</v>
      </c>
      <c r="P3644">
        <v>23</v>
      </c>
    </row>
    <row r="3645" spans="1:16" x14ac:dyDescent="0.2">
      <c r="A3645" t="s">
        <v>2296</v>
      </c>
      <c r="B3645" t="s">
        <v>97</v>
      </c>
      <c r="C3645" t="s">
        <v>2297</v>
      </c>
      <c r="D3645" t="s">
        <v>2146</v>
      </c>
      <c r="E3645" t="s">
        <v>290</v>
      </c>
      <c r="F3645">
        <v>229.99</v>
      </c>
      <c r="G3645" t="s">
        <v>8109</v>
      </c>
      <c r="H3645">
        <v>0</v>
      </c>
      <c r="M3645">
        <v>0</v>
      </c>
      <c r="N3645">
        <v>0</v>
      </c>
      <c r="P3645">
        <v>0</v>
      </c>
    </row>
    <row r="3646" spans="1:16" x14ac:dyDescent="0.2">
      <c r="A3646" t="s">
        <v>966</v>
      </c>
      <c r="B3646" t="s">
        <v>97</v>
      </c>
      <c r="C3646" t="s">
        <v>967</v>
      </c>
      <c r="D3646" t="s">
        <v>446</v>
      </c>
      <c r="E3646" t="s">
        <v>290</v>
      </c>
      <c r="F3646">
        <v>59.99</v>
      </c>
      <c r="G3646" t="s">
        <v>8109</v>
      </c>
      <c r="H3646">
        <v>2.7210884353741496E-2</v>
      </c>
      <c r="M3646">
        <v>34.588235294117645</v>
      </c>
      <c r="N3646">
        <v>4.25</v>
      </c>
      <c r="P3646">
        <v>147</v>
      </c>
    </row>
    <row r="3647" spans="1:16" x14ac:dyDescent="0.2">
      <c r="A3647" t="s">
        <v>2310</v>
      </c>
      <c r="B3647" t="s">
        <v>97</v>
      </c>
      <c r="C3647" t="s">
        <v>2311</v>
      </c>
      <c r="D3647" t="s">
        <v>2146</v>
      </c>
      <c r="E3647" t="s">
        <v>228</v>
      </c>
      <c r="F3647">
        <v>329.99</v>
      </c>
      <c r="G3647" t="s">
        <v>8109</v>
      </c>
      <c r="H3647">
        <v>0</v>
      </c>
      <c r="M3647">
        <v>0</v>
      </c>
      <c r="N3647">
        <v>0</v>
      </c>
      <c r="P3647">
        <v>0</v>
      </c>
    </row>
    <row r="3648" spans="1:16" x14ac:dyDescent="0.2">
      <c r="A3648" t="s">
        <v>962</v>
      </c>
      <c r="B3648" t="s">
        <v>97</v>
      </c>
      <c r="C3648" t="s">
        <v>963</v>
      </c>
      <c r="D3648" t="s">
        <v>446</v>
      </c>
      <c r="E3648" t="s">
        <v>228</v>
      </c>
      <c r="F3648">
        <v>14.99</v>
      </c>
      <c r="G3648" t="s">
        <v>8109</v>
      </c>
      <c r="H3648">
        <v>8.5470085470085472E-2</v>
      </c>
      <c r="M3648">
        <v>13</v>
      </c>
      <c r="N3648">
        <v>21</v>
      </c>
      <c r="P3648">
        <v>273</v>
      </c>
    </row>
    <row r="3649" spans="1:16" x14ac:dyDescent="0.2">
      <c r="A3649" t="s">
        <v>2308</v>
      </c>
      <c r="B3649" t="s">
        <v>97</v>
      </c>
      <c r="C3649" t="s">
        <v>2309</v>
      </c>
      <c r="D3649" t="s">
        <v>2146</v>
      </c>
      <c r="E3649" t="s">
        <v>228</v>
      </c>
      <c r="F3649">
        <v>199.99</v>
      </c>
      <c r="G3649" t="s">
        <v>8109</v>
      </c>
      <c r="H3649">
        <v>0</v>
      </c>
      <c r="M3649">
        <v>0</v>
      </c>
      <c r="N3649">
        <v>0</v>
      </c>
      <c r="P3649">
        <v>0</v>
      </c>
    </row>
    <row r="3650" spans="1:16" x14ac:dyDescent="0.2">
      <c r="A3650" t="s">
        <v>3303</v>
      </c>
      <c r="B3650" t="s">
        <v>97</v>
      </c>
      <c r="C3650" t="s">
        <v>3302</v>
      </c>
      <c r="D3650" t="s">
        <v>3268</v>
      </c>
      <c r="E3650" t="s">
        <v>228</v>
      </c>
      <c r="F3650">
        <v>179.99</v>
      </c>
      <c r="G3650" t="s">
        <v>8109</v>
      </c>
      <c r="H3650">
        <v>3.3854166666666664E-2</v>
      </c>
      <c r="M3650">
        <v>21.333333333333332</v>
      </c>
      <c r="N3650">
        <v>1.5</v>
      </c>
      <c r="P3650">
        <v>32</v>
      </c>
    </row>
    <row r="3651" spans="1:16" x14ac:dyDescent="0.2">
      <c r="A3651" t="s">
        <v>2292</v>
      </c>
      <c r="B3651" t="s">
        <v>97</v>
      </c>
      <c r="C3651" t="s">
        <v>2293</v>
      </c>
      <c r="D3651" t="s">
        <v>2146</v>
      </c>
      <c r="E3651" t="s">
        <v>228</v>
      </c>
      <c r="F3651">
        <v>349.99</v>
      </c>
      <c r="G3651" t="s">
        <v>8109</v>
      </c>
      <c r="H3651">
        <v>0</v>
      </c>
      <c r="M3651">
        <v>0</v>
      </c>
      <c r="N3651">
        <v>0</v>
      </c>
      <c r="P3651">
        <v>2</v>
      </c>
    </row>
    <row r="3652" spans="1:16" x14ac:dyDescent="0.2">
      <c r="A3652" t="s">
        <v>2290</v>
      </c>
      <c r="B3652" t="s">
        <v>97</v>
      </c>
      <c r="C3652" t="s">
        <v>2291</v>
      </c>
      <c r="D3652" t="s">
        <v>2146</v>
      </c>
      <c r="E3652" t="s">
        <v>228</v>
      </c>
      <c r="F3652">
        <v>539.99</v>
      </c>
      <c r="G3652" t="s">
        <v>8109</v>
      </c>
      <c r="H3652">
        <v>0</v>
      </c>
      <c r="M3652">
        <v>0</v>
      </c>
      <c r="N3652">
        <v>0</v>
      </c>
      <c r="P3652">
        <v>0</v>
      </c>
    </row>
    <row r="3653" spans="1:16" x14ac:dyDescent="0.2">
      <c r="A3653" t="s">
        <v>952</v>
      </c>
      <c r="B3653" t="s">
        <v>97</v>
      </c>
      <c r="C3653" t="s">
        <v>953</v>
      </c>
      <c r="D3653" t="s">
        <v>446</v>
      </c>
      <c r="E3653" t="s">
        <v>228</v>
      </c>
      <c r="F3653">
        <v>59.99</v>
      </c>
      <c r="G3653" t="s">
        <v>8109</v>
      </c>
      <c r="H3653">
        <v>5.4369918699186989E-2</v>
      </c>
      <c r="M3653">
        <v>24.296296296296298</v>
      </c>
      <c r="N3653">
        <v>6.75</v>
      </c>
      <c r="P3653">
        <v>164</v>
      </c>
    </row>
    <row r="3654" spans="1:16" x14ac:dyDescent="0.2">
      <c r="A3654" t="s">
        <v>2336</v>
      </c>
      <c r="B3654" t="s">
        <v>97</v>
      </c>
      <c r="C3654" t="s">
        <v>2337</v>
      </c>
      <c r="D3654" t="s">
        <v>2146</v>
      </c>
      <c r="E3654" t="s">
        <v>228</v>
      </c>
      <c r="F3654">
        <v>229.99</v>
      </c>
      <c r="G3654" t="s">
        <v>8109</v>
      </c>
      <c r="H3654">
        <v>0</v>
      </c>
      <c r="M3654">
        <v>0</v>
      </c>
      <c r="N3654">
        <v>0</v>
      </c>
      <c r="P3654">
        <v>2</v>
      </c>
    </row>
    <row r="3655" spans="1:16" x14ac:dyDescent="0.2">
      <c r="A3655" t="s">
        <v>2687</v>
      </c>
      <c r="B3655" t="s">
        <v>97</v>
      </c>
      <c r="C3655" t="s">
        <v>2688</v>
      </c>
      <c r="D3655" t="s">
        <v>2502</v>
      </c>
      <c r="E3655" t="s">
        <v>228</v>
      </c>
      <c r="F3655">
        <v>159.99</v>
      </c>
      <c r="G3655" t="s">
        <v>8109</v>
      </c>
      <c r="H3655">
        <v>0</v>
      </c>
      <c r="M3655">
        <v>0</v>
      </c>
      <c r="N3655">
        <v>0</v>
      </c>
      <c r="P3655">
        <v>0</v>
      </c>
    </row>
    <row r="3656" spans="1:16" x14ac:dyDescent="0.2">
      <c r="A3656" t="s">
        <v>791</v>
      </c>
      <c r="B3656" t="s">
        <v>97</v>
      </c>
      <c r="C3656" t="s">
        <v>792</v>
      </c>
      <c r="D3656" t="s">
        <v>446</v>
      </c>
      <c r="E3656" t="s">
        <v>228</v>
      </c>
      <c r="F3656">
        <v>59.99</v>
      </c>
      <c r="G3656" t="s">
        <v>8109</v>
      </c>
      <c r="H3656">
        <v>2.1043771043771045E-2</v>
      </c>
      <c r="M3656">
        <v>56.571428571428569</v>
      </c>
      <c r="N3656">
        <v>1.75</v>
      </c>
      <c r="P3656">
        <v>99</v>
      </c>
    </row>
    <row r="3657" spans="1:16" x14ac:dyDescent="0.2">
      <c r="A3657" t="s">
        <v>3306</v>
      </c>
      <c r="B3657" t="s">
        <v>97</v>
      </c>
      <c r="C3657" t="s">
        <v>3305</v>
      </c>
      <c r="D3657" t="s">
        <v>3268</v>
      </c>
      <c r="E3657" t="s">
        <v>228</v>
      </c>
      <c r="F3657">
        <v>449.99</v>
      </c>
      <c r="G3657" t="s">
        <v>8109</v>
      </c>
      <c r="H3657">
        <v>4.1666666666666664E-2</v>
      </c>
      <c r="M3657">
        <v>0</v>
      </c>
      <c r="N3657">
        <v>0</v>
      </c>
      <c r="P3657">
        <v>2</v>
      </c>
    </row>
    <row r="3658" spans="1:16" x14ac:dyDescent="0.2">
      <c r="A3658" t="s">
        <v>2210</v>
      </c>
      <c r="B3658" t="s">
        <v>97</v>
      </c>
      <c r="C3658" t="s">
        <v>2211</v>
      </c>
      <c r="D3658" t="s">
        <v>2146</v>
      </c>
      <c r="E3658" t="s">
        <v>228</v>
      </c>
      <c r="F3658">
        <v>429.99</v>
      </c>
      <c r="G3658" t="s">
        <v>8109</v>
      </c>
      <c r="H3658">
        <v>0</v>
      </c>
      <c r="M3658">
        <v>0</v>
      </c>
      <c r="N3658">
        <v>0</v>
      </c>
      <c r="P3658">
        <v>0</v>
      </c>
    </row>
    <row r="3659" spans="1:16" x14ac:dyDescent="0.2">
      <c r="A3659" t="s">
        <v>3690</v>
      </c>
      <c r="B3659" t="s">
        <v>97</v>
      </c>
      <c r="C3659" t="s">
        <v>3691</v>
      </c>
      <c r="D3659" t="s">
        <v>2425</v>
      </c>
      <c r="E3659" t="s">
        <v>96</v>
      </c>
      <c r="F3659">
        <v>69.989999999999995</v>
      </c>
      <c r="G3659" t="s">
        <v>8109</v>
      </c>
      <c r="H3659">
        <v>0</v>
      </c>
      <c r="M3659">
        <v>0</v>
      </c>
      <c r="N3659">
        <v>0</v>
      </c>
      <c r="P3659">
        <v>1</v>
      </c>
    </row>
    <row r="3660" spans="1:16" x14ac:dyDescent="0.2">
      <c r="A3660" t="s">
        <v>4643</v>
      </c>
      <c r="B3660" t="s">
        <v>97</v>
      </c>
      <c r="C3660" t="s">
        <v>4644</v>
      </c>
      <c r="D3660" t="s">
        <v>446</v>
      </c>
      <c r="E3660" t="s">
        <v>96</v>
      </c>
      <c r="F3660">
        <v>19.989999999999998</v>
      </c>
      <c r="G3660" t="s">
        <v>8109</v>
      </c>
      <c r="H3660">
        <v>1.0416666666666666E-2</v>
      </c>
      <c r="M3660">
        <v>0</v>
      </c>
      <c r="N3660">
        <v>0</v>
      </c>
      <c r="P3660">
        <v>8</v>
      </c>
    </row>
    <row r="3661" spans="1:16" x14ac:dyDescent="0.2">
      <c r="A3661" t="s">
        <v>2178</v>
      </c>
      <c r="B3661" t="s">
        <v>97</v>
      </c>
      <c r="C3661" t="s">
        <v>2179</v>
      </c>
      <c r="D3661" t="s">
        <v>2146</v>
      </c>
      <c r="E3661" t="s">
        <v>290</v>
      </c>
      <c r="F3661">
        <v>99.99</v>
      </c>
      <c r="G3661" t="s">
        <v>8109</v>
      </c>
      <c r="H3661">
        <v>0</v>
      </c>
      <c r="M3661">
        <v>0</v>
      </c>
      <c r="N3661">
        <v>0</v>
      </c>
      <c r="P3661">
        <v>0</v>
      </c>
    </row>
    <row r="3662" spans="1:16" x14ac:dyDescent="0.2">
      <c r="A3662" t="s">
        <v>763</v>
      </c>
      <c r="B3662" t="s">
        <v>97</v>
      </c>
      <c r="C3662" t="s">
        <v>7022</v>
      </c>
      <c r="D3662" t="s">
        <v>446</v>
      </c>
      <c r="E3662" t="s">
        <v>228</v>
      </c>
      <c r="F3662">
        <v>39.99</v>
      </c>
      <c r="G3662" t="s">
        <v>8109</v>
      </c>
      <c r="H3662">
        <v>0.20833333333333337</v>
      </c>
      <c r="M3662">
        <v>4</v>
      </c>
      <c r="N3662">
        <v>0.5</v>
      </c>
      <c r="P3662">
        <v>2</v>
      </c>
    </row>
    <row r="3663" spans="1:16" x14ac:dyDescent="0.2">
      <c r="A3663" t="s">
        <v>767</v>
      </c>
      <c r="B3663" t="s">
        <v>97</v>
      </c>
      <c r="C3663" t="s">
        <v>7024</v>
      </c>
      <c r="D3663" t="s">
        <v>446</v>
      </c>
      <c r="E3663" t="s">
        <v>228</v>
      </c>
      <c r="F3663">
        <v>39.99</v>
      </c>
      <c r="G3663" t="s">
        <v>8109</v>
      </c>
      <c r="H3663">
        <v>0</v>
      </c>
      <c r="M3663">
        <v>0</v>
      </c>
      <c r="N3663">
        <v>0</v>
      </c>
      <c r="P3663">
        <v>1</v>
      </c>
    </row>
    <row r="3664" spans="1:16" x14ac:dyDescent="0.2">
      <c r="A3664" t="s">
        <v>509</v>
      </c>
      <c r="B3664" t="s">
        <v>97</v>
      </c>
      <c r="C3664" t="s">
        <v>510</v>
      </c>
      <c r="D3664" t="s">
        <v>446</v>
      </c>
      <c r="E3664" t="s">
        <v>228</v>
      </c>
      <c r="F3664">
        <v>19.989999999999998</v>
      </c>
      <c r="G3664" t="s">
        <v>8109</v>
      </c>
      <c r="H3664">
        <v>6.097560975609756E-2</v>
      </c>
      <c r="M3664">
        <v>15.619047619047619</v>
      </c>
      <c r="N3664">
        <v>15.75</v>
      </c>
      <c r="P3664">
        <v>246</v>
      </c>
    </row>
    <row r="3665" spans="1:16" x14ac:dyDescent="0.2">
      <c r="A3665" t="s">
        <v>759</v>
      </c>
      <c r="B3665" t="s">
        <v>97</v>
      </c>
      <c r="C3665" t="s">
        <v>760</v>
      </c>
      <c r="D3665" t="s">
        <v>446</v>
      </c>
      <c r="E3665" t="s">
        <v>228</v>
      </c>
      <c r="F3665">
        <v>39.99</v>
      </c>
      <c r="G3665" t="s">
        <v>8109</v>
      </c>
      <c r="H3665">
        <v>3.9944903581267219E-2</v>
      </c>
      <c r="M3665">
        <v>60.5</v>
      </c>
      <c r="N3665">
        <v>2</v>
      </c>
      <c r="P3665">
        <v>121</v>
      </c>
    </row>
    <row r="3666" spans="1:16" x14ac:dyDescent="0.2">
      <c r="A3666" t="s">
        <v>511</v>
      </c>
      <c r="B3666" t="s">
        <v>97</v>
      </c>
      <c r="C3666" t="s">
        <v>512</v>
      </c>
      <c r="D3666" t="s">
        <v>446</v>
      </c>
      <c r="E3666" t="s">
        <v>228</v>
      </c>
      <c r="F3666">
        <v>29.99</v>
      </c>
      <c r="G3666" t="s">
        <v>8109</v>
      </c>
      <c r="H3666">
        <v>0.12727272727272726</v>
      </c>
      <c r="M3666">
        <v>15.714285714285714</v>
      </c>
      <c r="N3666">
        <v>3.5</v>
      </c>
      <c r="P3666">
        <v>55</v>
      </c>
    </row>
    <row r="3667" spans="1:16" x14ac:dyDescent="0.2">
      <c r="A3667" t="s">
        <v>765</v>
      </c>
      <c r="B3667" t="s">
        <v>97</v>
      </c>
      <c r="C3667" t="s">
        <v>766</v>
      </c>
      <c r="D3667" t="s">
        <v>446</v>
      </c>
      <c r="E3667" t="s">
        <v>228</v>
      </c>
      <c r="F3667">
        <v>39.99</v>
      </c>
      <c r="G3667" t="s">
        <v>8109</v>
      </c>
      <c r="H3667">
        <v>7.0707070707070718E-2</v>
      </c>
      <c r="M3667">
        <v>17.600000000000001</v>
      </c>
      <c r="N3667">
        <v>7.5</v>
      </c>
      <c r="P3667">
        <v>132</v>
      </c>
    </row>
    <row r="3668" spans="1:16" x14ac:dyDescent="0.2">
      <c r="A3668" t="s">
        <v>513</v>
      </c>
      <c r="B3668" t="s">
        <v>97</v>
      </c>
      <c r="C3668" t="s">
        <v>514</v>
      </c>
      <c r="D3668" t="s">
        <v>446</v>
      </c>
      <c r="E3668" t="s">
        <v>290</v>
      </c>
      <c r="F3668">
        <v>29.99</v>
      </c>
      <c r="G3668" t="s">
        <v>8109</v>
      </c>
      <c r="H3668">
        <v>3.3333333333333331E-3</v>
      </c>
      <c r="M3668">
        <v>0</v>
      </c>
      <c r="N3668">
        <v>0</v>
      </c>
      <c r="P3668">
        <v>25</v>
      </c>
    </row>
    <row r="3669" spans="1:16" x14ac:dyDescent="0.2">
      <c r="A3669" t="s">
        <v>2431</v>
      </c>
      <c r="B3669" t="s">
        <v>97</v>
      </c>
      <c r="C3669" t="s">
        <v>2432</v>
      </c>
      <c r="D3669" t="s">
        <v>2425</v>
      </c>
      <c r="E3669" t="s">
        <v>290</v>
      </c>
      <c r="F3669">
        <v>179.99</v>
      </c>
      <c r="G3669" t="s">
        <v>8109</v>
      </c>
      <c r="H3669">
        <v>0</v>
      </c>
      <c r="M3669">
        <v>0</v>
      </c>
      <c r="N3669">
        <v>0</v>
      </c>
      <c r="P3669">
        <v>0</v>
      </c>
    </row>
    <row r="3670" spans="1:16" x14ac:dyDescent="0.2">
      <c r="A3670" t="s">
        <v>2401</v>
      </c>
      <c r="B3670" t="s">
        <v>97</v>
      </c>
      <c r="C3670" t="s">
        <v>2402</v>
      </c>
      <c r="D3670" t="s">
        <v>2374</v>
      </c>
      <c r="E3670" t="s">
        <v>290</v>
      </c>
      <c r="F3670">
        <v>199.99</v>
      </c>
      <c r="G3670" t="s">
        <v>8109</v>
      </c>
      <c r="H3670">
        <v>0</v>
      </c>
      <c r="M3670">
        <v>0</v>
      </c>
      <c r="N3670">
        <v>0</v>
      </c>
      <c r="P3670">
        <v>1</v>
      </c>
    </row>
    <row r="3671" spans="1:16" x14ac:dyDescent="0.2">
      <c r="A3671" t="s">
        <v>731</v>
      </c>
      <c r="B3671" t="s">
        <v>97</v>
      </c>
      <c r="C3671" t="s">
        <v>732</v>
      </c>
      <c r="D3671" t="s">
        <v>446</v>
      </c>
      <c r="E3671" t="s">
        <v>228</v>
      </c>
      <c r="F3671">
        <v>22.99</v>
      </c>
      <c r="G3671" t="s">
        <v>8109</v>
      </c>
      <c r="H3671">
        <v>4.0414878397711011E-2</v>
      </c>
      <c r="M3671">
        <v>29.125</v>
      </c>
      <c r="N3671">
        <v>8</v>
      </c>
      <c r="P3671">
        <v>233</v>
      </c>
    </row>
    <row r="3672" spans="1:16" x14ac:dyDescent="0.2">
      <c r="A3672" t="s">
        <v>487</v>
      </c>
      <c r="B3672" t="s">
        <v>97</v>
      </c>
      <c r="C3672" t="s">
        <v>488</v>
      </c>
      <c r="D3672" t="s">
        <v>446</v>
      </c>
      <c r="E3672" t="s">
        <v>228</v>
      </c>
      <c r="F3672">
        <v>44.99</v>
      </c>
      <c r="G3672" t="s">
        <v>8109</v>
      </c>
      <c r="H3672">
        <v>0</v>
      </c>
      <c r="M3672">
        <v>0</v>
      </c>
      <c r="N3672">
        <v>0</v>
      </c>
      <c r="P3672">
        <v>0</v>
      </c>
    </row>
    <row r="3673" spans="1:16" x14ac:dyDescent="0.2">
      <c r="A3673" t="s">
        <v>4686</v>
      </c>
      <c r="B3673" t="s">
        <v>97</v>
      </c>
      <c r="C3673" t="s">
        <v>4687</v>
      </c>
      <c r="D3673" t="s">
        <v>446</v>
      </c>
      <c r="E3673" t="s">
        <v>96</v>
      </c>
      <c r="F3673">
        <v>27.99</v>
      </c>
      <c r="G3673" t="s">
        <v>8109</v>
      </c>
      <c r="H3673">
        <v>0</v>
      </c>
      <c r="M3673">
        <v>0</v>
      </c>
      <c r="N3673">
        <v>0</v>
      </c>
      <c r="P3673">
        <v>0</v>
      </c>
    </row>
    <row r="3674" spans="1:16" x14ac:dyDescent="0.2">
      <c r="A3674" t="s">
        <v>2240</v>
      </c>
      <c r="B3674" t="s">
        <v>97</v>
      </c>
      <c r="C3674" t="s">
        <v>2241</v>
      </c>
      <c r="D3674" t="s">
        <v>2146</v>
      </c>
      <c r="E3674" t="s">
        <v>290</v>
      </c>
      <c r="F3674">
        <v>99.99</v>
      </c>
      <c r="G3674" t="s">
        <v>8109</v>
      </c>
      <c r="H3674">
        <v>0</v>
      </c>
      <c r="M3674">
        <v>0</v>
      </c>
      <c r="N3674">
        <v>0</v>
      </c>
      <c r="P3674">
        <v>1</v>
      </c>
    </row>
    <row r="3675" spans="1:16" x14ac:dyDescent="0.2">
      <c r="A3675" t="s">
        <v>695</v>
      </c>
      <c r="B3675" t="s">
        <v>97</v>
      </c>
      <c r="C3675" t="s">
        <v>696</v>
      </c>
      <c r="D3675" t="s">
        <v>446</v>
      </c>
      <c r="E3675" t="s">
        <v>228</v>
      </c>
      <c r="F3675">
        <v>99.99</v>
      </c>
      <c r="G3675" t="s">
        <v>8109</v>
      </c>
      <c r="H3675">
        <v>9.3304843304843302E-2</v>
      </c>
      <c r="M3675">
        <v>12.315789473684211</v>
      </c>
      <c r="N3675">
        <v>9.5</v>
      </c>
      <c r="P3675">
        <v>117</v>
      </c>
    </row>
    <row r="3676" spans="1:16" x14ac:dyDescent="0.2">
      <c r="A3676" t="s">
        <v>34</v>
      </c>
      <c r="B3676" t="s">
        <v>97</v>
      </c>
      <c r="C3676" t="s">
        <v>3004</v>
      </c>
      <c r="D3676" t="s">
        <v>2987</v>
      </c>
      <c r="E3676" t="s">
        <v>228</v>
      </c>
      <c r="F3676">
        <v>59.99</v>
      </c>
      <c r="G3676" t="s">
        <v>8109</v>
      </c>
      <c r="H3676">
        <v>2.5793650793650792E-2</v>
      </c>
      <c r="M3676">
        <v>34.758620689655174</v>
      </c>
      <c r="N3676">
        <v>7.25</v>
      </c>
      <c r="P3676">
        <v>252</v>
      </c>
    </row>
    <row r="3677" spans="1:16" x14ac:dyDescent="0.2">
      <c r="A3677" t="s">
        <v>841</v>
      </c>
      <c r="B3677" t="s">
        <v>97</v>
      </c>
      <c r="C3677" t="s">
        <v>842</v>
      </c>
      <c r="D3677" t="s">
        <v>446</v>
      </c>
      <c r="E3677" t="s">
        <v>290</v>
      </c>
      <c r="F3677">
        <v>54.99</v>
      </c>
      <c r="G3677" t="s">
        <v>8109</v>
      </c>
      <c r="H3677">
        <v>3.472222222222222E-3</v>
      </c>
      <c r="M3677">
        <v>0</v>
      </c>
      <c r="N3677">
        <v>0</v>
      </c>
      <c r="P3677">
        <v>24</v>
      </c>
    </row>
    <row r="3678" spans="1:16" x14ac:dyDescent="0.2">
      <c r="A3678" t="s">
        <v>2383</v>
      </c>
      <c r="B3678" t="s">
        <v>97</v>
      </c>
      <c r="C3678" t="s">
        <v>2384</v>
      </c>
      <c r="D3678" t="s">
        <v>2374</v>
      </c>
      <c r="E3678" t="s">
        <v>290</v>
      </c>
      <c r="F3678">
        <v>139.99</v>
      </c>
      <c r="G3678" t="s">
        <v>8109</v>
      </c>
      <c r="H3678">
        <v>0</v>
      </c>
      <c r="M3678">
        <v>0</v>
      </c>
      <c r="N3678">
        <v>0.25</v>
      </c>
      <c r="P3678">
        <v>0</v>
      </c>
    </row>
    <row r="3679" spans="1:16" x14ac:dyDescent="0.2">
      <c r="A3679" t="s">
        <v>4689</v>
      </c>
      <c r="B3679" t="s">
        <v>97</v>
      </c>
      <c r="C3679" t="s">
        <v>4690</v>
      </c>
      <c r="D3679" t="s">
        <v>446</v>
      </c>
      <c r="E3679" t="s">
        <v>290</v>
      </c>
      <c r="F3679">
        <v>32.99</v>
      </c>
      <c r="G3679" t="s">
        <v>8109</v>
      </c>
      <c r="H3679">
        <v>0</v>
      </c>
      <c r="M3679">
        <v>0</v>
      </c>
      <c r="N3679">
        <v>0</v>
      </c>
      <c r="P3679">
        <v>0</v>
      </c>
    </row>
    <row r="3680" spans="1:16" x14ac:dyDescent="0.2">
      <c r="A3680" t="s">
        <v>2232</v>
      </c>
      <c r="B3680" t="s">
        <v>97</v>
      </c>
      <c r="C3680" t="s">
        <v>2233</v>
      </c>
      <c r="D3680" t="s">
        <v>2146</v>
      </c>
      <c r="E3680" t="s">
        <v>228</v>
      </c>
      <c r="F3680">
        <v>39.99</v>
      </c>
      <c r="G3680" t="s">
        <v>8109</v>
      </c>
      <c r="H3680">
        <v>0</v>
      </c>
      <c r="M3680">
        <v>0</v>
      </c>
      <c r="N3680">
        <v>0</v>
      </c>
      <c r="P3680">
        <v>0</v>
      </c>
    </row>
    <row r="3681" spans="1:16" x14ac:dyDescent="0.2">
      <c r="A3681" t="s">
        <v>2387</v>
      </c>
      <c r="B3681" t="s">
        <v>97</v>
      </c>
      <c r="C3681" t="s">
        <v>2388</v>
      </c>
      <c r="D3681" t="s">
        <v>2374</v>
      </c>
      <c r="E3681" t="s">
        <v>290</v>
      </c>
      <c r="F3681">
        <v>279.99</v>
      </c>
      <c r="G3681" t="s">
        <v>8109</v>
      </c>
      <c r="H3681">
        <v>0</v>
      </c>
      <c r="M3681">
        <v>0</v>
      </c>
      <c r="N3681">
        <v>0</v>
      </c>
      <c r="P3681">
        <v>4</v>
      </c>
    </row>
    <row r="3682" spans="1:16" x14ac:dyDescent="0.2">
      <c r="A3682" t="s">
        <v>3344</v>
      </c>
      <c r="B3682" t="s">
        <v>97</v>
      </c>
      <c r="C3682" t="s">
        <v>3345</v>
      </c>
      <c r="D3682" t="s">
        <v>3268</v>
      </c>
      <c r="E3682" t="s">
        <v>290</v>
      </c>
      <c r="F3682">
        <v>499.99</v>
      </c>
      <c r="G3682" t="s">
        <v>8109</v>
      </c>
      <c r="H3682">
        <v>0</v>
      </c>
      <c r="M3682">
        <v>0</v>
      </c>
      <c r="N3682">
        <v>0</v>
      </c>
      <c r="P3682">
        <v>0</v>
      </c>
    </row>
    <row r="3683" spans="1:16" x14ac:dyDescent="0.2">
      <c r="A3683" t="s">
        <v>2389</v>
      </c>
      <c r="B3683" t="s">
        <v>97</v>
      </c>
      <c r="C3683" t="s">
        <v>2390</v>
      </c>
      <c r="D3683" t="s">
        <v>2374</v>
      </c>
      <c r="E3683" t="s">
        <v>290</v>
      </c>
      <c r="F3683">
        <v>349.99</v>
      </c>
      <c r="G3683" t="s">
        <v>8109</v>
      </c>
      <c r="H3683">
        <v>0</v>
      </c>
      <c r="M3683">
        <v>0</v>
      </c>
      <c r="N3683">
        <v>0</v>
      </c>
      <c r="P3683">
        <v>4</v>
      </c>
    </row>
    <row r="3684" spans="1:16" x14ac:dyDescent="0.2">
      <c r="A3684" t="s">
        <v>2436</v>
      </c>
      <c r="B3684" t="s">
        <v>97</v>
      </c>
      <c r="C3684" t="s">
        <v>2437</v>
      </c>
      <c r="D3684" t="s">
        <v>2425</v>
      </c>
      <c r="E3684" t="s">
        <v>290</v>
      </c>
      <c r="F3684">
        <v>159.99</v>
      </c>
      <c r="G3684" t="s">
        <v>8109</v>
      </c>
      <c r="H3684">
        <v>0</v>
      </c>
      <c r="M3684">
        <v>0</v>
      </c>
      <c r="N3684">
        <v>0</v>
      </c>
      <c r="P3684">
        <v>1</v>
      </c>
    </row>
    <row r="3685" spans="1:16" x14ac:dyDescent="0.2">
      <c r="A3685" t="s">
        <v>761</v>
      </c>
      <c r="B3685" t="s">
        <v>97</v>
      </c>
      <c r="C3685" t="s">
        <v>7023</v>
      </c>
      <c r="D3685" t="s">
        <v>446</v>
      </c>
      <c r="E3685" t="s">
        <v>228</v>
      </c>
      <c r="F3685">
        <v>39.99</v>
      </c>
      <c r="G3685" t="s">
        <v>8109</v>
      </c>
      <c r="H3685">
        <v>0.16666666666666666</v>
      </c>
      <c r="M3685">
        <v>4</v>
      </c>
      <c r="N3685">
        <v>0.25</v>
      </c>
      <c r="P3685">
        <v>1</v>
      </c>
    </row>
    <row r="3686" spans="1:16" x14ac:dyDescent="0.2">
      <c r="A3686" t="s">
        <v>3684</v>
      </c>
      <c r="B3686" t="s">
        <v>97</v>
      </c>
      <c r="C3686" t="s">
        <v>3685</v>
      </c>
      <c r="D3686" t="s">
        <v>2425</v>
      </c>
      <c r="E3686" t="s">
        <v>290</v>
      </c>
      <c r="F3686">
        <v>99.99</v>
      </c>
      <c r="G3686" t="s">
        <v>8109</v>
      </c>
      <c r="H3686">
        <v>0</v>
      </c>
      <c r="M3686">
        <v>0</v>
      </c>
      <c r="N3686">
        <v>0</v>
      </c>
      <c r="P3686">
        <v>0</v>
      </c>
    </row>
    <row r="3687" spans="1:16" x14ac:dyDescent="0.2">
      <c r="A3687" t="s">
        <v>4630</v>
      </c>
      <c r="B3687" t="s">
        <v>97</v>
      </c>
      <c r="C3687" t="s">
        <v>4631</v>
      </c>
      <c r="D3687" t="s">
        <v>446</v>
      </c>
      <c r="E3687" t="s">
        <v>96</v>
      </c>
      <c r="F3687">
        <v>29.99</v>
      </c>
      <c r="G3687" t="s">
        <v>8109</v>
      </c>
      <c r="H3687">
        <v>4.1666666666666664E-2</v>
      </c>
      <c r="M3687">
        <v>0</v>
      </c>
      <c r="N3687">
        <v>0</v>
      </c>
      <c r="P3687">
        <v>4</v>
      </c>
    </row>
    <row r="3688" spans="1:16" x14ac:dyDescent="0.2">
      <c r="A3688" t="s">
        <v>4951</v>
      </c>
      <c r="B3688" t="s">
        <v>97</v>
      </c>
      <c r="C3688" t="s">
        <v>4952</v>
      </c>
      <c r="D3688" t="s">
        <v>446</v>
      </c>
      <c r="E3688" t="s">
        <v>96</v>
      </c>
      <c r="F3688">
        <v>24.99</v>
      </c>
      <c r="G3688" t="s">
        <v>8109</v>
      </c>
      <c r="H3688">
        <v>6.746031746031747E-2</v>
      </c>
      <c r="M3688">
        <v>14</v>
      </c>
      <c r="N3688">
        <v>1.5</v>
      </c>
      <c r="P3688">
        <v>21</v>
      </c>
    </row>
    <row r="3689" spans="1:16" x14ac:dyDescent="0.2">
      <c r="A3689" t="s">
        <v>7512</v>
      </c>
      <c r="B3689" t="s">
        <v>97</v>
      </c>
      <c r="C3689" t="s">
        <v>7513</v>
      </c>
      <c r="D3689" t="s">
        <v>446</v>
      </c>
      <c r="E3689" t="s">
        <v>96</v>
      </c>
      <c r="G3689" t="s">
        <v>8109</v>
      </c>
      <c r="H3689">
        <v>0</v>
      </c>
      <c r="M3689">
        <v>0</v>
      </c>
      <c r="N3689">
        <v>0</v>
      </c>
      <c r="P3689">
        <v>0</v>
      </c>
    </row>
    <row r="3690" spans="1:16" x14ac:dyDescent="0.2">
      <c r="A3690" t="s">
        <v>797</v>
      </c>
      <c r="B3690" t="s">
        <v>97</v>
      </c>
      <c r="C3690" t="s">
        <v>798</v>
      </c>
      <c r="D3690" t="s">
        <v>446</v>
      </c>
      <c r="E3690" t="s">
        <v>228</v>
      </c>
      <c r="F3690">
        <v>129.99</v>
      </c>
      <c r="G3690" t="s">
        <v>8109</v>
      </c>
      <c r="H3690">
        <v>3.8043478260869568E-2</v>
      </c>
      <c r="M3690">
        <v>61.333333333333336</v>
      </c>
      <c r="N3690">
        <v>0.75</v>
      </c>
      <c r="P3690">
        <v>46</v>
      </c>
    </row>
    <row r="3691" spans="1:16" x14ac:dyDescent="0.2">
      <c r="A3691" t="s">
        <v>729</v>
      </c>
      <c r="B3691" t="s">
        <v>97</v>
      </c>
      <c r="C3691" t="s">
        <v>730</v>
      </c>
      <c r="D3691" t="s">
        <v>446</v>
      </c>
      <c r="E3691" t="s">
        <v>228</v>
      </c>
      <c r="F3691">
        <v>17.989999999999998</v>
      </c>
      <c r="G3691" t="s">
        <v>8109</v>
      </c>
      <c r="H3691">
        <v>0.12139917695473253</v>
      </c>
      <c r="M3691">
        <v>11.571428571428571</v>
      </c>
      <c r="N3691">
        <v>7</v>
      </c>
      <c r="P3691">
        <v>81</v>
      </c>
    </row>
    <row r="3692" spans="1:16" x14ac:dyDescent="0.2">
      <c r="A3692" t="s">
        <v>727</v>
      </c>
      <c r="B3692" t="s">
        <v>97</v>
      </c>
      <c r="C3692" t="s">
        <v>728</v>
      </c>
      <c r="D3692" t="s">
        <v>446</v>
      </c>
      <c r="E3692" t="s">
        <v>228</v>
      </c>
      <c r="F3692">
        <v>17.989999999999998</v>
      </c>
      <c r="G3692" t="s">
        <v>8109</v>
      </c>
      <c r="H3692">
        <v>0.11635220125786164</v>
      </c>
      <c r="M3692">
        <v>12.72</v>
      </c>
      <c r="N3692">
        <v>12.5</v>
      </c>
      <c r="P3692">
        <v>159</v>
      </c>
    </row>
    <row r="3693" spans="1:16" x14ac:dyDescent="0.2">
      <c r="A3693" t="s">
        <v>723</v>
      </c>
      <c r="B3693" t="s">
        <v>97</v>
      </c>
      <c r="C3693" t="s">
        <v>724</v>
      </c>
      <c r="D3693" t="s">
        <v>446</v>
      </c>
      <c r="E3693" t="s">
        <v>228</v>
      </c>
      <c r="F3693">
        <v>34.99</v>
      </c>
      <c r="G3693" t="s">
        <v>8109</v>
      </c>
      <c r="H3693">
        <v>3.0991735537190084E-2</v>
      </c>
      <c r="M3693">
        <v>37.230769230769234</v>
      </c>
      <c r="N3693">
        <v>6.5</v>
      </c>
      <c r="P3693">
        <v>242</v>
      </c>
    </row>
    <row r="3694" spans="1:16" x14ac:dyDescent="0.2">
      <c r="A3694" t="s">
        <v>801</v>
      </c>
      <c r="B3694" t="s">
        <v>97</v>
      </c>
      <c r="C3694" t="s">
        <v>802</v>
      </c>
      <c r="D3694" t="s">
        <v>446</v>
      </c>
      <c r="E3694" t="s">
        <v>228</v>
      </c>
      <c r="F3694">
        <v>49.99</v>
      </c>
      <c r="G3694" t="s">
        <v>8109</v>
      </c>
      <c r="H3694">
        <v>4.0249433106575971E-2</v>
      </c>
      <c r="M3694">
        <v>28</v>
      </c>
      <c r="N3694">
        <v>5.25</v>
      </c>
      <c r="P3694">
        <v>147</v>
      </c>
    </row>
    <row r="3695" spans="1:16" x14ac:dyDescent="0.2">
      <c r="A3695" t="s">
        <v>721</v>
      </c>
      <c r="B3695" t="s">
        <v>97</v>
      </c>
      <c r="C3695" t="s">
        <v>722</v>
      </c>
      <c r="D3695" t="s">
        <v>446</v>
      </c>
      <c r="E3695" t="s">
        <v>228</v>
      </c>
      <c r="F3695">
        <v>29.99</v>
      </c>
      <c r="G3695" t="s">
        <v>8109</v>
      </c>
      <c r="H3695">
        <v>4.042553191489362E-2</v>
      </c>
      <c r="M3695">
        <v>31.333333333333332</v>
      </c>
      <c r="N3695">
        <v>7.5</v>
      </c>
      <c r="P3695">
        <v>235</v>
      </c>
    </row>
    <row r="3696" spans="1:16" x14ac:dyDescent="0.2">
      <c r="A3696" t="s">
        <v>719</v>
      </c>
      <c r="B3696" t="s">
        <v>97</v>
      </c>
      <c r="C3696" t="s">
        <v>720</v>
      </c>
      <c r="D3696" t="s">
        <v>446</v>
      </c>
      <c r="E3696" t="s">
        <v>228</v>
      </c>
      <c r="F3696">
        <v>29.99</v>
      </c>
      <c r="G3696" t="s">
        <v>8109</v>
      </c>
      <c r="H3696">
        <v>2.9616724738675961E-2</v>
      </c>
      <c r="M3696">
        <v>31.027027027027028</v>
      </c>
      <c r="N3696">
        <v>9.25</v>
      </c>
      <c r="P3696">
        <v>287</v>
      </c>
    </row>
    <row r="3697" spans="1:16" x14ac:dyDescent="0.2">
      <c r="A3697" t="s">
        <v>3347</v>
      </c>
      <c r="B3697" t="s">
        <v>97</v>
      </c>
      <c r="C3697" t="s">
        <v>3348</v>
      </c>
      <c r="D3697" t="s">
        <v>3268</v>
      </c>
      <c r="E3697" t="s">
        <v>290</v>
      </c>
      <c r="F3697">
        <v>499.99</v>
      </c>
      <c r="G3697" t="s">
        <v>8109</v>
      </c>
      <c r="H3697">
        <v>0</v>
      </c>
      <c r="M3697">
        <v>0</v>
      </c>
      <c r="N3697">
        <v>0</v>
      </c>
      <c r="P3697">
        <v>0</v>
      </c>
    </row>
    <row r="3698" spans="1:16" x14ac:dyDescent="0.2">
      <c r="A3698" t="s">
        <v>4774</v>
      </c>
      <c r="B3698" t="s">
        <v>97</v>
      </c>
      <c r="C3698" t="s">
        <v>4775</v>
      </c>
      <c r="D3698" t="s">
        <v>446</v>
      </c>
      <c r="E3698" t="s">
        <v>96</v>
      </c>
      <c r="F3698">
        <v>19.989999999999998</v>
      </c>
      <c r="G3698" t="s">
        <v>8109</v>
      </c>
      <c r="H3698">
        <v>0</v>
      </c>
      <c r="M3698">
        <v>0</v>
      </c>
      <c r="N3698">
        <v>0</v>
      </c>
      <c r="P3698">
        <v>28</v>
      </c>
    </row>
    <row r="3699" spans="1:16" x14ac:dyDescent="0.2">
      <c r="A3699" t="s">
        <v>739</v>
      </c>
      <c r="B3699" t="s">
        <v>97</v>
      </c>
      <c r="C3699" t="s">
        <v>740</v>
      </c>
      <c r="D3699" t="s">
        <v>446</v>
      </c>
      <c r="E3699" t="s">
        <v>228</v>
      </c>
      <c r="F3699">
        <v>19.989999999999998</v>
      </c>
      <c r="G3699" t="s">
        <v>8109</v>
      </c>
      <c r="H3699">
        <v>3.7037037037037035E-2</v>
      </c>
      <c r="M3699">
        <v>33.230769230769234</v>
      </c>
      <c r="N3699">
        <v>6.5</v>
      </c>
      <c r="P3699">
        <v>216</v>
      </c>
    </row>
    <row r="3700" spans="1:16" x14ac:dyDescent="0.2">
      <c r="A3700" t="s">
        <v>775</v>
      </c>
      <c r="B3700" t="s">
        <v>97</v>
      </c>
      <c r="C3700" t="s">
        <v>776</v>
      </c>
      <c r="D3700" t="s">
        <v>446</v>
      </c>
      <c r="E3700" t="s">
        <v>228</v>
      </c>
      <c r="F3700">
        <v>34.99</v>
      </c>
      <c r="G3700" t="s">
        <v>8109</v>
      </c>
      <c r="H3700">
        <v>5.1059730250481702E-2</v>
      </c>
      <c r="M3700">
        <v>26.615384615384617</v>
      </c>
      <c r="N3700">
        <v>6.5</v>
      </c>
      <c r="P3700">
        <v>173</v>
      </c>
    </row>
    <row r="3701" spans="1:16" x14ac:dyDescent="0.2">
      <c r="A3701" t="s">
        <v>773</v>
      </c>
      <c r="B3701" t="s">
        <v>97</v>
      </c>
      <c r="C3701" t="s">
        <v>774</v>
      </c>
      <c r="D3701" t="s">
        <v>446</v>
      </c>
      <c r="E3701" t="s">
        <v>228</v>
      </c>
      <c r="F3701">
        <v>149.99</v>
      </c>
      <c r="G3701" t="s">
        <v>8109</v>
      </c>
      <c r="H3701">
        <v>3.8011695906432746E-2</v>
      </c>
      <c r="M3701">
        <v>32.571428571428569</v>
      </c>
      <c r="N3701">
        <v>1.75</v>
      </c>
      <c r="P3701">
        <v>57</v>
      </c>
    </row>
    <row r="3702" spans="1:16" x14ac:dyDescent="0.2">
      <c r="A3702" t="s">
        <v>3654</v>
      </c>
      <c r="B3702" t="s">
        <v>97</v>
      </c>
      <c r="C3702" t="s">
        <v>3655</v>
      </c>
      <c r="D3702" t="s">
        <v>2425</v>
      </c>
      <c r="E3702" t="s">
        <v>96</v>
      </c>
      <c r="F3702">
        <v>89.99</v>
      </c>
      <c r="G3702" t="s">
        <v>8109</v>
      </c>
      <c r="H3702">
        <v>0</v>
      </c>
      <c r="M3702">
        <v>0</v>
      </c>
      <c r="N3702">
        <v>0</v>
      </c>
      <c r="P3702">
        <v>0</v>
      </c>
    </row>
    <row r="3703" spans="1:16" x14ac:dyDescent="0.2">
      <c r="A3703" t="s">
        <v>677</v>
      </c>
      <c r="B3703" t="s">
        <v>97</v>
      </c>
      <c r="C3703" t="s">
        <v>678</v>
      </c>
      <c r="D3703" t="s">
        <v>446</v>
      </c>
      <c r="E3703" t="s">
        <v>290</v>
      </c>
      <c r="F3703">
        <v>129.99</v>
      </c>
      <c r="G3703" t="s">
        <v>8109</v>
      </c>
      <c r="H3703">
        <v>0</v>
      </c>
      <c r="M3703">
        <v>0</v>
      </c>
      <c r="N3703">
        <v>0</v>
      </c>
      <c r="P3703">
        <v>6</v>
      </c>
    </row>
    <row r="3704" spans="1:16" x14ac:dyDescent="0.2">
      <c r="A3704" t="s">
        <v>4826</v>
      </c>
      <c r="B3704" t="s">
        <v>97</v>
      </c>
      <c r="C3704" t="s">
        <v>4827</v>
      </c>
      <c r="D3704" t="s">
        <v>446</v>
      </c>
      <c r="E3704" t="s">
        <v>96</v>
      </c>
      <c r="F3704">
        <v>79.989999999999995</v>
      </c>
      <c r="G3704" t="s">
        <v>8109</v>
      </c>
      <c r="H3704">
        <v>0</v>
      </c>
      <c r="M3704">
        <v>0</v>
      </c>
      <c r="N3704">
        <v>0</v>
      </c>
      <c r="P3704">
        <v>0</v>
      </c>
    </row>
    <row r="3705" spans="1:16" x14ac:dyDescent="0.2">
      <c r="A3705" t="s">
        <v>3672</v>
      </c>
      <c r="B3705" t="s">
        <v>97</v>
      </c>
      <c r="C3705" t="s">
        <v>3673</v>
      </c>
      <c r="D3705" t="s">
        <v>2425</v>
      </c>
      <c r="E3705" t="s">
        <v>96</v>
      </c>
      <c r="F3705">
        <v>99.99</v>
      </c>
      <c r="G3705" t="s">
        <v>8109</v>
      </c>
      <c r="H3705">
        <v>0</v>
      </c>
      <c r="M3705">
        <v>0</v>
      </c>
      <c r="N3705">
        <v>0</v>
      </c>
      <c r="P3705">
        <v>0</v>
      </c>
    </row>
    <row r="3706" spans="1:16" x14ac:dyDescent="0.2">
      <c r="A3706" t="s">
        <v>4645</v>
      </c>
      <c r="B3706" t="s">
        <v>97</v>
      </c>
      <c r="C3706" t="s">
        <v>4646</v>
      </c>
      <c r="D3706" t="s">
        <v>446</v>
      </c>
      <c r="E3706" t="s">
        <v>96</v>
      </c>
      <c r="F3706">
        <v>14.99</v>
      </c>
      <c r="G3706" t="s">
        <v>8109</v>
      </c>
      <c r="H3706">
        <v>0</v>
      </c>
      <c r="M3706">
        <v>0</v>
      </c>
      <c r="N3706">
        <v>0</v>
      </c>
      <c r="P3706">
        <v>0</v>
      </c>
    </row>
    <row r="3707" spans="1:16" x14ac:dyDescent="0.2">
      <c r="A3707" t="s">
        <v>3677</v>
      </c>
      <c r="B3707" t="s">
        <v>97</v>
      </c>
      <c r="C3707" t="s">
        <v>3678</v>
      </c>
      <c r="D3707" t="s">
        <v>2425</v>
      </c>
      <c r="E3707" t="s">
        <v>96</v>
      </c>
      <c r="F3707">
        <v>99.99</v>
      </c>
      <c r="G3707" t="s">
        <v>8109</v>
      </c>
      <c r="H3707">
        <v>0</v>
      </c>
      <c r="M3707">
        <v>0</v>
      </c>
      <c r="N3707">
        <v>0</v>
      </c>
      <c r="P3707">
        <v>0</v>
      </c>
    </row>
    <row r="3708" spans="1:16" x14ac:dyDescent="0.2">
      <c r="A3708" t="s">
        <v>749</v>
      </c>
      <c r="B3708" t="s">
        <v>97</v>
      </c>
      <c r="C3708" t="s">
        <v>750</v>
      </c>
      <c r="D3708" t="s">
        <v>446</v>
      </c>
      <c r="E3708" t="s">
        <v>228</v>
      </c>
      <c r="F3708">
        <v>32.99</v>
      </c>
      <c r="G3708" t="s">
        <v>8109</v>
      </c>
      <c r="H3708">
        <v>3.2329988851727977E-2</v>
      </c>
      <c r="M3708">
        <v>28.476190476190474</v>
      </c>
      <c r="N3708">
        <v>10.5</v>
      </c>
      <c r="P3708">
        <v>299</v>
      </c>
    </row>
    <row r="3709" spans="1:16" x14ac:dyDescent="0.2">
      <c r="A3709" t="s">
        <v>3382</v>
      </c>
      <c r="B3709" t="s">
        <v>97</v>
      </c>
      <c r="C3709" t="s">
        <v>3383</v>
      </c>
      <c r="D3709" t="s">
        <v>3268</v>
      </c>
      <c r="E3709" t="s">
        <v>228</v>
      </c>
      <c r="F3709">
        <v>199.99</v>
      </c>
      <c r="G3709" t="s">
        <v>8109</v>
      </c>
      <c r="H3709">
        <v>1.7241379310344827E-2</v>
      </c>
      <c r="M3709">
        <v>58</v>
      </c>
      <c r="N3709">
        <v>0.5</v>
      </c>
      <c r="P3709">
        <v>29</v>
      </c>
    </row>
    <row r="3710" spans="1:16" x14ac:dyDescent="0.2">
      <c r="A3710" t="s">
        <v>3681</v>
      </c>
      <c r="B3710" t="s">
        <v>97</v>
      </c>
      <c r="C3710" t="s">
        <v>3682</v>
      </c>
      <c r="D3710" t="s">
        <v>2425</v>
      </c>
      <c r="E3710" t="s">
        <v>96</v>
      </c>
      <c r="F3710">
        <v>99.99</v>
      </c>
      <c r="G3710" t="s">
        <v>8109</v>
      </c>
      <c r="H3710">
        <v>0</v>
      </c>
      <c r="M3710">
        <v>0</v>
      </c>
      <c r="N3710">
        <v>0</v>
      </c>
      <c r="P3710">
        <v>0</v>
      </c>
    </row>
    <row r="3711" spans="1:16" x14ac:dyDescent="0.2">
      <c r="A3711" t="s">
        <v>755</v>
      </c>
      <c r="B3711" t="s">
        <v>97</v>
      </c>
      <c r="C3711" t="s">
        <v>756</v>
      </c>
      <c r="D3711" t="s">
        <v>446</v>
      </c>
      <c r="E3711" t="s">
        <v>228</v>
      </c>
      <c r="F3711">
        <v>49.99</v>
      </c>
      <c r="G3711" t="s">
        <v>8109</v>
      </c>
      <c r="H3711">
        <v>3.6290322580645171E-2</v>
      </c>
      <c r="M3711">
        <v>26.105263157894736</v>
      </c>
      <c r="N3711">
        <v>4.75</v>
      </c>
      <c r="P3711">
        <v>124</v>
      </c>
    </row>
    <row r="3712" spans="1:16" x14ac:dyDescent="0.2">
      <c r="A3712" t="s">
        <v>924</v>
      </c>
      <c r="B3712" t="s">
        <v>97</v>
      </c>
      <c r="C3712" t="s">
        <v>925</v>
      </c>
      <c r="D3712" t="s">
        <v>446</v>
      </c>
      <c r="E3712" t="s">
        <v>96</v>
      </c>
      <c r="F3712">
        <v>29.99</v>
      </c>
      <c r="G3712" t="s">
        <v>8109</v>
      </c>
      <c r="H3712">
        <v>-1.0416666666666666E-2</v>
      </c>
      <c r="M3712">
        <v>0</v>
      </c>
      <c r="N3712">
        <v>0</v>
      </c>
      <c r="P3712">
        <v>8</v>
      </c>
    </row>
    <row r="3713" spans="1:16" x14ac:dyDescent="0.2">
      <c r="A3713" t="s">
        <v>4650</v>
      </c>
      <c r="B3713" t="s">
        <v>97</v>
      </c>
      <c r="C3713" t="s">
        <v>4651</v>
      </c>
      <c r="D3713" t="s">
        <v>446</v>
      </c>
      <c r="E3713" t="s">
        <v>96</v>
      </c>
      <c r="F3713">
        <v>24.99</v>
      </c>
      <c r="G3713" t="s">
        <v>8109</v>
      </c>
      <c r="H3713">
        <v>1.7857142857142856E-2</v>
      </c>
      <c r="M3713">
        <v>56</v>
      </c>
      <c r="N3713">
        <v>0.25</v>
      </c>
      <c r="P3713">
        <v>14</v>
      </c>
    </row>
    <row r="3714" spans="1:16" x14ac:dyDescent="0.2">
      <c r="A3714" t="s">
        <v>737</v>
      </c>
      <c r="B3714" t="s">
        <v>97</v>
      </c>
      <c r="C3714" t="s">
        <v>738</v>
      </c>
      <c r="D3714" t="s">
        <v>446</v>
      </c>
      <c r="E3714" t="s">
        <v>228</v>
      </c>
      <c r="F3714">
        <v>19.989999999999998</v>
      </c>
      <c r="G3714" t="s">
        <v>8109</v>
      </c>
      <c r="H3714">
        <v>4.0760869565217392E-2</v>
      </c>
      <c r="M3714">
        <v>26.285714285714285</v>
      </c>
      <c r="N3714">
        <v>10.5</v>
      </c>
      <c r="P3714">
        <v>276</v>
      </c>
    </row>
    <row r="3715" spans="1:16" x14ac:dyDescent="0.2">
      <c r="A3715" t="s">
        <v>4914</v>
      </c>
      <c r="B3715" t="s">
        <v>97</v>
      </c>
      <c r="C3715" t="s">
        <v>4915</v>
      </c>
      <c r="D3715" t="s">
        <v>446</v>
      </c>
      <c r="E3715" t="s">
        <v>96</v>
      </c>
      <c r="F3715">
        <v>39.99</v>
      </c>
      <c r="G3715" t="s">
        <v>8109</v>
      </c>
      <c r="H3715">
        <v>8.3333333333333329E-2</v>
      </c>
      <c r="M3715">
        <v>0</v>
      </c>
      <c r="N3715">
        <v>0</v>
      </c>
      <c r="P3715">
        <v>1</v>
      </c>
    </row>
    <row r="3716" spans="1:16" x14ac:dyDescent="0.2">
      <c r="A3716" t="s">
        <v>3687</v>
      </c>
      <c r="B3716" t="s">
        <v>97</v>
      </c>
      <c r="C3716" t="s">
        <v>3688</v>
      </c>
      <c r="D3716" t="s">
        <v>2425</v>
      </c>
      <c r="E3716" t="s">
        <v>96</v>
      </c>
      <c r="F3716">
        <v>99.99</v>
      </c>
      <c r="G3716" t="s">
        <v>8109</v>
      </c>
      <c r="H3716">
        <v>0</v>
      </c>
      <c r="M3716">
        <v>0</v>
      </c>
      <c r="N3716">
        <v>0</v>
      </c>
      <c r="P3716">
        <v>0</v>
      </c>
    </row>
    <row r="3717" spans="1:16" x14ac:dyDescent="0.2">
      <c r="A3717" t="s">
        <v>2441</v>
      </c>
      <c r="B3717" t="s">
        <v>97</v>
      </c>
      <c r="C3717" t="s">
        <v>2442</v>
      </c>
      <c r="D3717" t="s">
        <v>2425</v>
      </c>
      <c r="E3717" t="s">
        <v>290</v>
      </c>
      <c r="F3717">
        <v>69.989999999999995</v>
      </c>
      <c r="G3717" t="s">
        <v>8109</v>
      </c>
      <c r="H3717">
        <v>0</v>
      </c>
      <c r="M3717">
        <v>0</v>
      </c>
      <c r="N3717">
        <v>0</v>
      </c>
      <c r="P3717">
        <v>0</v>
      </c>
    </row>
    <row r="3718" spans="1:16" x14ac:dyDescent="0.2">
      <c r="A3718" t="s">
        <v>855</v>
      </c>
      <c r="B3718" t="s">
        <v>97</v>
      </c>
      <c r="C3718" t="s">
        <v>856</v>
      </c>
      <c r="D3718" t="s">
        <v>446</v>
      </c>
      <c r="E3718" t="s">
        <v>96</v>
      </c>
      <c r="F3718">
        <v>69.989999999999995</v>
      </c>
      <c r="G3718" t="s">
        <v>8109</v>
      </c>
      <c r="H3718">
        <v>2.8532608695652172E-2</v>
      </c>
      <c r="M3718">
        <v>61.333333333333336</v>
      </c>
      <c r="N3718">
        <v>3</v>
      </c>
      <c r="P3718">
        <v>184</v>
      </c>
    </row>
    <row r="3719" spans="1:16" x14ac:dyDescent="0.2">
      <c r="A3719" t="s">
        <v>4742</v>
      </c>
      <c r="B3719" t="s">
        <v>97</v>
      </c>
      <c r="C3719" t="s">
        <v>4743</v>
      </c>
      <c r="D3719" t="s">
        <v>446</v>
      </c>
      <c r="E3719" t="s">
        <v>290</v>
      </c>
      <c r="F3719">
        <v>49.99</v>
      </c>
      <c r="G3719" t="s">
        <v>8109</v>
      </c>
      <c r="H3719">
        <v>0.66666666666666663</v>
      </c>
      <c r="M3719">
        <v>2</v>
      </c>
      <c r="N3719">
        <v>0.5</v>
      </c>
      <c r="P3719">
        <v>1</v>
      </c>
    </row>
    <row r="3720" spans="1:16" x14ac:dyDescent="0.2">
      <c r="A3720" t="s">
        <v>857</v>
      </c>
      <c r="B3720" t="s">
        <v>97</v>
      </c>
      <c r="C3720" t="s">
        <v>858</v>
      </c>
      <c r="D3720" t="s">
        <v>446</v>
      </c>
      <c r="E3720" t="s">
        <v>96</v>
      </c>
      <c r="F3720">
        <v>139.99</v>
      </c>
      <c r="G3720" t="s">
        <v>8109</v>
      </c>
      <c r="H3720">
        <v>8.6021505376344079E-2</v>
      </c>
      <c r="M3720">
        <v>11.80952380952381</v>
      </c>
      <c r="N3720">
        <v>5.25</v>
      </c>
      <c r="P3720">
        <v>62</v>
      </c>
    </row>
    <row r="3721" spans="1:16" x14ac:dyDescent="0.2">
      <c r="A3721" t="s">
        <v>6265</v>
      </c>
      <c r="B3721" t="s">
        <v>97</v>
      </c>
      <c r="C3721" t="s">
        <v>6266</v>
      </c>
      <c r="D3721" t="s">
        <v>2502</v>
      </c>
      <c r="E3721" t="s">
        <v>290</v>
      </c>
      <c r="F3721">
        <v>59.99</v>
      </c>
      <c r="G3721" t="s">
        <v>8109</v>
      </c>
      <c r="H3721">
        <v>0</v>
      </c>
      <c r="M3721">
        <v>0</v>
      </c>
      <c r="N3721">
        <v>0</v>
      </c>
      <c r="P3721">
        <v>0</v>
      </c>
    </row>
    <row r="3722" spans="1:16" x14ac:dyDescent="0.2">
      <c r="A3722" t="s">
        <v>4947</v>
      </c>
      <c r="B3722" t="s">
        <v>97</v>
      </c>
      <c r="C3722" t="s">
        <v>4948</v>
      </c>
      <c r="D3722" t="s">
        <v>446</v>
      </c>
      <c r="E3722" t="s">
        <v>96</v>
      </c>
      <c r="F3722">
        <v>99.99</v>
      </c>
      <c r="G3722" t="s">
        <v>8109</v>
      </c>
      <c r="H3722">
        <v>0.1235632183908046</v>
      </c>
      <c r="M3722">
        <v>8.9230769230769234</v>
      </c>
      <c r="N3722">
        <v>3.25</v>
      </c>
      <c r="P3722">
        <v>29</v>
      </c>
    </row>
    <row r="3723" spans="1:16" x14ac:dyDescent="0.2">
      <c r="A3723" t="s">
        <v>7500</v>
      </c>
      <c r="B3723" t="s">
        <v>97</v>
      </c>
      <c r="C3723" t="s">
        <v>7501</v>
      </c>
      <c r="D3723" t="s">
        <v>446</v>
      </c>
      <c r="E3723" t="s">
        <v>96</v>
      </c>
      <c r="F3723">
        <v>59.99</v>
      </c>
      <c r="G3723" t="s">
        <v>8109</v>
      </c>
      <c r="H3723">
        <v>0</v>
      </c>
      <c r="M3723">
        <v>0</v>
      </c>
      <c r="N3723">
        <v>0</v>
      </c>
      <c r="P3723">
        <v>0</v>
      </c>
    </row>
    <row r="3724" spans="1:16" x14ac:dyDescent="0.2">
      <c r="A3724" t="s">
        <v>3986</v>
      </c>
      <c r="B3724" t="s">
        <v>97</v>
      </c>
      <c r="C3724" t="s">
        <v>3987</v>
      </c>
      <c r="D3724" t="s">
        <v>1897</v>
      </c>
      <c r="E3724" t="s">
        <v>96</v>
      </c>
      <c r="F3724">
        <v>64.989999999999995</v>
      </c>
      <c r="G3724" t="s">
        <v>8109</v>
      </c>
      <c r="H3724">
        <v>0</v>
      </c>
      <c r="M3724">
        <v>0</v>
      </c>
      <c r="N3724">
        <v>0</v>
      </c>
      <c r="P3724">
        <v>0</v>
      </c>
    </row>
    <row r="3725" spans="1:16" x14ac:dyDescent="0.2">
      <c r="A3725" t="s">
        <v>4911</v>
      </c>
      <c r="B3725" t="s">
        <v>97</v>
      </c>
      <c r="C3725" t="s">
        <v>4912</v>
      </c>
      <c r="D3725" t="s">
        <v>446</v>
      </c>
      <c r="E3725" t="s">
        <v>96</v>
      </c>
      <c r="F3725">
        <v>69.989999999999995</v>
      </c>
      <c r="G3725" t="s">
        <v>8109</v>
      </c>
      <c r="H3725">
        <v>7.3333333333333334E-2</v>
      </c>
      <c r="M3725">
        <v>25</v>
      </c>
      <c r="N3725">
        <v>1</v>
      </c>
      <c r="P3725">
        <v>25</v>
      </c>
    </row>
    <row r="3726" spans="1:16" x14ac:dyDescent="0.2">
      <c r="A3726" t="s">
        <v>2306</v>
      </c>
      <c r="B3726" t="s">
        <v>97</v>
      </c>
      <c r="C3726" t="s">
        <v>2307</v>
      </c>
      <c r="D3726" t="s">
        <v>2146</v>
      </c>
      <c r="E3726" t="s">
        <v>228</v>
      </c>
      <c r="F3726">
        <v>139.99</v>
      </c>
      <c r="G3726" t="s">
        <v>8109</v>
      </c>
      <c r="H3726">
        <v>0</v>
      </c>
      <c r="M3726">
        <v>0</v>
      </c>
      <c r="N3726">
        <v>0</v>
      </c>
      <c r="P3726">
        <v>0</v>
      </c>
    </row>
    <row r="3727" spans="1:16" x14ac:dyDescent="0.2">
      <c r="A3727" t="s">
        <v>4740</v>
      </c>
      <c r="B3727" t="s">
        <v>97</v>
      </c>
      <c r="C3727" t="s">
        <v>4741</v>
      </c>
      <c r="D3727" t="s">
        <v>446</v>
      </c>
      <c r="E3727" t="s">
        <v>96</v>
      </c>
      <c r="F3727">
        <v>49.99</v>
      </c>
      <c r="G3727" t="s">
        <v>8109</v>
      </c>
      <c r="H3727">
        <v>0</v>
      </c>
      <c r="M3727">
        <v>0</v>
      </c>
      <c r="N3727">
        <v>0</v>
      </c>
      <c r="P3727">
        <v>5</v>
      </c>
    </row>
    <row r="3728" spans="1:16" x14ac:dyDescent="0.2">
      <c r="A3728" t="s">
        <v>4962</v>
      </c>
      <c r="B3728" t="s">
        <v>97</v>
      </c>
      <c r="C3728" t="s">
        <v>4963</v>
      </c>
      <c r="D3728" t="s">
        <v>446</v>
      </c>
      <c r="E3728" t="s">
        <v>290</v>
      </c>
      <c r="F3728">
        <v>24.99</v>
      </c>
      <c r="G3728" t="s">
        <v>8109</v>
      </c>
      <c r="H3728">
        <v>0</v>
      </c>
      <c r="M3728">
        <v>0</v>
      </c>
      <c r="N3728">
        <v>0</v>
      </c>
      <c r="P3728">
        <v>0</v>
      </c>
    </row>
    <row r="3729" spans="1:16" x14ac:dyDescent="0.2">
      <c r="A3729" t="s">
        <v>7832</v>
      </c>
      <c r="B3729" t="s">
        <v>97</v>
      </c>
      <c r="C3729" t="s">
        <v>7833</v>
      </c>
      <c r="D3729" t="s">
        <v>446</v>
      </c>
      <c r="E3729" t="s">
        <v>96</v>
      </c>
      <c r="F3729">
        <v>39.99</v>
      </c>
      <c r="G3729" t="s">
        <v>8109</v>
      </c>
      <c r="H3729">
        <v>0</v>
      </c>
      <c r="M3729">
        <v>0</v>
      </c>
      <c r="N3729">
        <v>0</v>
      </c>
      <c r="P3729">
        <v>0</v>
      </c>
    </row>
    <row r="3730" spans="1:16" x14ac:dyDescent="0.2">
      <c r="A3730" t="s">
        <v>7510</v>
      </c>
      <c r="B3730" t="s">
        <v>97</v>
      </c>
      <c r="C3730" t="s">
        <v>7511</v>
      </c>
      <c r="D3730" t="s">
        <v>446</v>
      </c>
      <c r="E3730" t="s">
        <v>96</v>
      </c>
      <c r="F3730">
        <v>29.99</v>
      </c>
      <c r="G3730" t="s">
        <v>8109</v>
      </c>
      <c r="H3730">
        <v>0</v>
      </c>
      <c r="M3730">
        <v>0</v>
      </c>
      <c r="N3730">
        <v>0</v>
      </c>
      <c r="P3730">
        <v>0</v>
      </c>
    </row>
    <row r="3731" spans="1:16" x14ac:dyDescent="0.2">
      <c r="A3731" t="s">
        <v>5028</v>
      </c>
      <c r="B3731" t="s">
        <v>97</v>
      </c>
      <c r="C3731" t="s">
        <v>5029</v>
      </c>
      <c r="D3731" t="s">
        <v>446</v>
      </c>
      <c r="E3731" t="s">
        <v>96</v>
      </c>
      <c r="F3731">
        <v>99.99</v>
      </c>
      <c r="G3731" t="s">
        <v>8109</v>
      </c>
      <c r="H3731">
        <v>6.6666666666666666E-2</v>
      </c>
      <c r="M3731">
        <v>10</v>
      </c>
      <c r="N3731">
        <v>0.5</v>
      </c>
      <c r="P3731">
        <v>5</v>
      </c>
    </row>
    <row r="3732" spans="1:16" x14ac:dyDescent="0.2">
      <c r="A3732" t="s">
        <v>1930</v>
      </c>
      <c r="B3732" t="s">
        <v>97</v>
      </c>
      <c r="C3732" t="s">
        <v>1931</v>
      </c>
      <c r="D3732" t="s">
        <v>1897</v>
      </c>
      <c r="E3732" t="s">
        <v>290</v>
      </c>
      <c r="F3732">
        <v>59.99</v>
      </c>
      <c r="G3732" t="s">
        <v>8109</v>
      </c>
      <c r="H3732">
        <v>0</v>
      </c>
      <c r="M3732">
        <v>0</v>
      </c>
      <c r="N3732">
        <v>0</v>
      </c>
      <c r="P3732">
        <v>0</v>
      </c>
    </row>
    <row r="3733" spans="1:16" x14ac:dyDescent="0.2">
      <c r="A3733" t="s">
        <v>477</v>
      </c>
      <c r="B3733" t="s">
        <v>97</v>
      </c>
      <c r="C3733" t="s">
        <v>478</v>
      </c>
      <c r="D3733" t="s">
        <v>446</v>
      </c>
      <c r="E3733" t="s">
        <v>228</v>
      </c>
      <c r="F3733">
        <v>34.99</v>
      </c>
      <c r="G3733" t="s">
        <v>8109</v>
      </c>
      <c r="H3733">
        <v>0</v>
      </c>
      <c r="M3733">
        <v>0</v>
      </c>
      <c r="N3733">
        <v>0</v>
      </c>
      <c r="P3733">
        <v>0</v>
      </c>
    </row>
    <row r="3734" spans="1:16" x14ac:dyDescent="0.2">
      <c r="A3734" t="s">
        <v>7830</v>
      </c>
      <c r="B3734" t="s">
        <v>97</v>
      </c>
      <c r="C3734" t="s">
        <v>7831</v>
      </c>
      <c r="D3734" t="s">
        <v>446</v>
      </c>
      <c r="E3734" t="s">
        <v>96</v>
      </c>
      <c r="F3734">
        <v>99.99</v>
      </c>
      <c r="G3734" t="s">
        <v>8109</v>
      </c>
      <c r="H3734">
        <v>0</v>
      </c>
      <c r="M3734">
        <v>0</v>
      </c>
      <c r="N3734">
        <v>0</v>
      </c>
      <c r="P3734">
        <v>0</v>
      </c>
    </row>
    <row r="3735" spans="1:16" x14ac:dyDescent="0.2">
      <c r="A3735" t="s">
        <v>7504</v>
      </c>
      <c r="B3735" t="s">
        <v>97</v>
      </c>
      <c r="C3735" t="s">
        <v>7505</v>
      </c>
      <c r="D3735" t="s">
        <v>446</v>
      </c>
      <c r="E3735" t="s">
        <v>96</v>
      </c>
      <c r="F3735">
        <v>11.99</v>
      </c>
      <c r="G3735" t="s">
        <v>8109</v>
      </c>
      <c r="H3735">
        <v>0</v>
      </c>
      <c r="M3735">
        <v>0</v>
      </c>
      <c r="N3735">
        <v>0</v>
      </c>
      <c r="P3735">
        <v>0</v>
      </c>
    </row>
    <row r="3736" spans="1:16" x14ac:dyDescent="0.2">
      <c r="A3736" t="s">
        <v>4874</v>
      </c>
      <c r="B3736" t="s">
        <v>97</v>
      </c>
      <c r="C3736" t="s">
        <v>4875</v>
      </c>
      <c r="D3736" t="s">
        <v>446</v>
      </c>
      <c r="E3736" t="s">
        <v>96</v>
      </c>
      <c r="F3736">
        <v>24.99</v>
      </c>
      <c r="G3736" t="s">
        <v>8109</v>
      </c>
      <c r="H3736">
        <v>0</v>
      </c>
      <c r="M3736">
        <v>0</v>
      </c>
      <c r="N3736">
        <v>0</v>
      </c>
      <c r="P3736">
        <v>34</v>
      </c>
    </row>
    <row r="3737" spans="1:16" x14ac:dyDescent="0.2">
      <c r="A3737" t="s">
        <v>2272</v>
      </c>
      <c r="B3737" t="s">
        <v>97</v>
      </c>
      <c r="C3737" t="s">
        <v>2273</v>
      </c>
      <c r="D3737" t="s">
        <v>2146</v>
      </c>
      <c r="E3737" t="s">
        <v>96</v>
      </c>
      <c r="F3737">
        <v>119.99</v>
      </c>
      <c r="G3737" t="s">
        <v>8109</v>
      </c>
      <c r="H3737">
        <v>0</v>
      </c>
      <c r="M3737">
        <v>0</v>
      </c>
      <c r="N3737">
        <v>0</v>
      </c>
      <c r="P3737">
        <v>0</v>
      </c>
    </row>
    <row r="3738" spans="1:16" x14ac:dyDescent="0.2">
      <c r="A3738" t="s">
        <v>7514</v>
      </c>
      <c r="B3738" t="s">
        <v>97</v>
      </c>
      <c r="C3738" t="s">
        <v>7515</v>
      </c>
      <c r="D3738" t="s">
        <v>446</v>
      </c>
      <c r="E3738" t="s">
        <v>96</v>
      </c>
      <c r="F3738">
        <v>11.99</v>
      </c>
      <c r="G3738" t="s">
        <v>8109</v>
      </c>
      <c r="H3738">
        <v>0</v>
      </c>
      <c r="M3738">
        <v>0</v>
      </c>
      <c r="N3738">
        <v>0</v>
      </c>
      <c r="P3738">
        <v>0</v>
      </c>
    </row>
    <row r="3739" spans="1:16" x14ac:dyDescent="0.2">
      <c r="A3739" t="s">
        <v>4893</v>
      </c>
      <c r="B3739" t="s">
        <v>97</v>
      </c>
      <c r="C3739" t="s">
        <v>4894</v>
      </c>
      <c r="D3739" t="s">
        <v>446</v>
      </c>
      <c r="E3739" t="s">
        <v>96</v>
      </c>
      <c r="F3739">
        <v>79.989999999999995</v>
      </c>
      <c r="G3739" t="s">
        <v>8109</v>
      </c>
      <c r="H3739">
        <v>6.9444444444444434E-2</v>
      </c>
      <c r="M3739">
        <v>15.529411764705882</v>
      </c>
      <c r="N3739">
        <v>4.25</v>
      </c>
      <c r="P3739">
        <v>66</v>
      </c>
    </row>
    <row r="3740" spans="1:16" x14ac:dyDescent="0.2">
      <c r="A3740" t="s">
        <v>7828</v>
      </c>
      <c r="B3740" t="s">
        <v>97</v>
      </c>
      <c r="C3740" t="s">
        <v>7829</v>
      </c>
      <c r="D3740" t="s">
        <v>446</v>
      </c>
      <c r="E3740" t="s">
        <v>96</v>
      </c>
      <c r="F3740">
        <v>24.99</v>
      </c>
      <c r="G3740" t="s">
        <v>8109</v>
      </c>
      <c r="H3740">
        <v>0</v>
      </c>
      <c r="M3740">
        <v>0</v>
      </c>
      <c r="N3740">
        <v>0</v>
      </c>
      <c r="P3740">
        <v>0</v>
      </c>
    </row>
    <row r="3741" spans="1:16" x14ac:dyDescent="0.2">
      <c r="A3741" t="s">
        <v>7502</v>
      </c>
      <c r="B3741" t="s">
        <v>97</v>
      </c>
      <c r="C3741" t="s">
        <v>7503</v>
      </c>
      <c r="D3741" t="s">
        <v>446</v>
      </c>
      <c r="E3741" t="s">
        <v>96</v>
      </c>
      <c r="F3741">
        <v>39.99</v>
      </c>
      <c r="G3741" t="s">
        <v>8109</v>
      </c>
      <c r="H3741">
        <v>0</v>
      </c>
      <c r="M3741">
        <v>0</v>
      </c>
      <c r="N3741">
        <v>0</v>
      </c>
      <c r="P3741">
        <v>0</v>
      </c>
    </row>
    <row r="3742" spans="1:16" x14ac:dyDescent="0.2">
      <c r="A3742" t="s">
        <v>1968</v>
      </c>
      <c r="B3742" t="s">
        <v>97</v>
      </c>
      <c r="C3742" t="s">
        <v>1969</v>
      </c>
      <c r="D3742" t="s">
        <v>1897</v>
      </c>
      <c r="E3742" t="s">
        <v>96</v>
      </c>
      <c r="F3742">
        <v>79.989999999999995</v>
      </c>
      <c r="G3742" t="s">
        <v>8109</v>
      </c>
      <c r="H3742">
        <v>0</v>
      </c>
      <c r="M3742">
        <v>0</v>
      </c>
      <c r="N3742">
        <v>0</v>
      </c>
      <c r="P3742">
        <v>0</v>
      </c>
    </row>
    <row r="3743" spans="1:16" x14ac:dyDescent="0.2">
      <c r="A3743" t="s">
        <v>3276</v>
      </c>
      <c r="B3743" t="s">
        <v>97</v>
      </c>
      <c r="C3743" t="s">
        <v>3275</v>
      </c>
      <c r="D3743" t="s">
        <v>3268</v>
      </c>
      <c r="E3743" t="s">
        <v>290</v>
      </c>
      <c r="F3743">
        <v>179.99</v>
      </c>
      <c r="G3743" t="s">
        <v>8109</v>
      </c>
      <c r="H3743">
        <v>1.0416666666666666E-2</v>
      </c>
      <c r="M3743">
        <v>0</v>
      </c>
      <c r="N3743">
        <v>0</v>
      </c>
      <c r="P3743">
        <v>8</v>
      </c>
    </row>
    <row r="3744" spans="1:16" x14ac:dyDescent="0.2">
      <c r="A3744" t="s">
        <v>651</v>
      </c>
      <c r="B3744" t="s">
        <v>97</v>
      </c>
      <c r="C3744" t="s">
        <v>652</v>
      </c>
      <c r="D3744" t="s">
        <v>446</v>
      </c>
      <c r="E3744" t="s">
        <v>290</v>
      </c>
      <c r="F3744">
        <v>44.99</v>
      </c>
      <c r="G3744" t="s">
        <v>8109</v>
      </c>
      <c r="H3744">
        <v>0</v>
      </c>
      <c r="M3744">
        <v>0</v>
      </c>
      <c r="N3744">
        <v>0</v>
      </c>
      <c r="P3744">
        <v>0</v>
      </c>
    </row>
    <row r="3745" spans="1:16" x14ac:dyDescent="0.2">
      <c r="A3745" t="s">
        <v>777</v>
      </c>
      <c r="B3745" t="s">
        <v>97</v>
      </c>
      <c r="C3745" t="s">
        <v>778</v>
      </c>
      <c r="D3745" t="s">
        <v>446</v>
      </c>
      <c r="E3745" t="s">
        <v>228</v>
      </c>
      <c r="F3745">
        <v>14.99</v>
      </c>
      <c r="G3745" t="s">
        <v>8109</v>
      </c>
      <c r="H3745">
        <v>8.0720092915214869E-2</v>
      </c>
      <c r="M3745">
        <v>14.531645569620252</v>
      </c>
      <c r="N3745">
        <v>19.75</v>
      </c>
      <c r="P3745">
        <v>287</v>
      </c>
    </row>
    <row r="3746" spans="1:16" x14ac:dyDescent="0.2">
      <c r="A3746" t="s">
        <v>7166</v>
      </c>
      <c r="B3746" t="s">
        <v>97</v>
      </c>
      <c r="C3746" t="s">
        <v>7168</v>
      </c>
      <c r="D3746" t="s">
        <v>2425</v>
      </c>
      <c r="E3746" t="s">
        <v>96</v>
      </c>
      <c r="F3746">
        <v>69.989999999999995</v>
      </c>
      <c r="G3746" t="s">
        <v>8109</v>
      </c>
      <c r="H3746">
        <v>0</v>
      </c>
      <c r="M3746">
        <v>0</v>
      </c>
      <c r="N3746">
        <v>0</v>
      </c>
      <c r="P3746">
        <v>0</v>
      </c>
    </row>
    <row r="3747" spans="1:16" x14ac:dyDescent="0.2">
      <c r="A3747" t="s">
        <v>685</v>
      </c>
      <c r="B3747" t="s">
        <v>97</v>
      </c>
      <c r="C3747" t="s">
        <v>686</v>
      </c>
      <c r="D3747" t="s">
        <v>446</v>
      </c>
      <c r="E3747" t="s">
        <v>228</v>
      </c>
      <c r="F3747">
        <v>59.99</v>
      </c>
      <c r="G3747" t="s">
        <v>8109</v>
      </c>
      <c r="H3747">
        <v>0</v>
      </c>
      <c r="M3747">
        <v>0</v>
      </c>
      <c r="N3747">
        <v>0</v>
      </c>
      <c r="P3747">
        <v>0</v>
      </c>
    </row>
    <row r="3748" spans="1:16" x14ac:dyDescent="0.2">
      <c r="A3748" t="s">
        <v>7153</v>
      </c>
      <c r="B3748" t="s">
        <v>97</v>
      </c>
      <c r="C3748" t="s">
        <v>7155</v>
      </c>
      <c r="D3748" t="s">
        <v>2425</v>
      </c>
      <c r="E3748" t="s">
        <v>96</v>
      </c>
      <c r="F3748">
        <v>49.99</v>
      </c>
      <c r="G3748" t="s">
        <v>8109</v>
      </c>
      <c r="H3748">
        <v>0</v>
      </c>
      <c r="M3748">
        <v>0</v>
      </c>
      <c r="N3748">
        <v>0</v>
      </c>
      <c r="P3748">
        <v>0</v>
      </c>
    </row>
    <row r="3749" spans="1:16" x14ac:dyDescent="0.2">
      <c r="A3749" t="s">
        <v>4872</v>
      </c>
      <c r="B3749" t="s">
        <v>97</v>
      </c>
      <c r="C3749" t="s">
        <v>4873</v>
      </c>
      <c r="D3749" t="s">
        <v>446</v>
      </c>
      <c r="E3749" t="s">
        <v>96</v>
      </c>
      <c r="F3749">
        <v>29.99</v>
      </c>
      <c r="G3749" t="s">
        <v>8109</v>
      </c>
      <c r="H3749">
        <v>3.787878787878788E-2</v>
      </c>
      <c r="M3749">
        <v>44</v>
      </c>
      <c r="N3749">
        <v>0.25</v>
      </c>
      <c r="P3749">
        <v>11</v>
      </c>
    </row>
    <row r="3750" spans="1:16" x14ac:dyDescent="0.2">
      <c r="A3750" t="s">
        <v>2463</v>
      </c>
      <c r="B3750" t="s">
        <v>97</v>
      </c>
      <c r="C3750" t="s">
        <v>2464</v>
      </c>
      <c r="D3750" t="s">
        <v>2448</v>
      </c>
      <c r="E3750" t="s">
        <v>96</v>
      </c>
      <c r="F3750">
        <v>59.99</v>
      </c>
      <c r="G3750" t="s">
        <v>8109</v>
      </c>
      <c r="H3750">
        <v>0</v>
      </c>
      <c r="M3750">
        <v>0</v>
      </c>
      <c r="N3750">
        <v>0</v>
      </c>
      <c r="P3750">
        <v>0</v>
      </c>
    </row>
    <row r="3751" spans="1:16" x14ac:dyDescent="0.2">
      <c r="A3751" t="s">
        <v>3665</v>
      </c>
      <c r="B3751" t="s">
        <v>97</v>
      </c>
      <c r="C3751" t="s">
        <v>3666</v>
      </c>
      <c r="D3751" t="s">
        <v>2425</v>
      </c>
      <c r="E3751" t="s">
        <v>96</v>
      </c>
      <c r="F3751">
        <v>39.99</v>
      </c>
      <c r="G3751" t="s">
        <v>8109</v>
      </c>
      <c r="H3751">
        <v>0</v>
      </c>
      <c r="M3751">
        <v>0</v>
      </c>
      <c r="N3751">
        <v>0</v>
      </c>
      <c r="P3751">
        <v>0</v>
      </c>
    </row>
    <row r="3752" spans="1:16" x14ac:dyDescent="0.2">
      <c r="A3752" t="s">
        <v>645</v>
      </c>
      <c r="B3752" t="s">
        <v>97</v>
      </c>
      <c r="C3752" t="s">
        <v>646</v>
      </c>
      <c r="D3752" t="s">
        <v>446</v>
      </c>
      <c r="E3752" t="s">
        <v>228</v>
      </c>
      <c r="F3752">
        <v>59.99</v>
      </c>
      <c r="G3752" t="s">
        <v>8109</v>
      </c>
      <c r="H3752">
        <v>1.7560664112388248E-2</v>
      </c>
      <c r="M3752">
        <v>74.571428571428569</v>
      </c>
      <c r="N3752">
        <v>3.5</v>
      </c>
      <c r="P3752">
        <v>261</v>
      </c>
    </row>
    <row r="3753" spans="1:16" x14ac:dyDescent="0.2">
      <c r="A3753" t="s">
        <v>683</v>
      </c>
      <c r="B3753" t="s">
        <v>97</v>
      </c>
      <c r="C3753" t="s">
        <v>684</v>
      </c>
      <c r="D3753" t="s">
        <v>446</v>
      </c>
      <c r="E3753" t="s">
        <v>290</v>
      </c>
      <c r="F3753">
        <v>149.99</v>
      </c>
      <c r="G3753" t="s">
        <v>8109</v>
      </c>
      <c r="H3753">
        <v>0</v>
      </c>
      <c r="M3753">
        <v>0</v>
      </c>
      <c r="N3753">
        <v>0</v>
      </c>
      <c r="P3753">
        <v>2</v>
      </c>
    </row>
    <row r="3754" spans="1:16" x14ac:dyDescent="0.2">
      <c r="A3754" t="s">
        <v>1889</v>
      </c>
      <c r="B3754" t="s">
        <v>97</v>
      </c>
      <c r="C3754" t="s">
        <v>1890</v>
      </c>
      <c r="D3754" t="s">
        <v>1888</v>
      </c>
      <c r="E3754" t="s">
        <v>290</v>
      </c>
      <c r="F3754">
        <v>149.99</v>
      </c>
      <c r="G3754" t="s">
        <v>8109</v>
      </c>
      <c r="H3754">
        <v>0</v>
      </c>
      <c r="M3754">
        <v>0</v>
      </c>
      <c r="N3754">
        <v>0</v>
      </c>
      <c r="P3754">
        <v>3</v>
      </c>
    </row>
    <row r="3755" spans="1:16" x14ac:dyDescent="0.2">
      <c r="A3755" t="s">
        <v>2438</v>
      </c>
      <c r="B3755" t="s">
        <v>97</v>
      </c>
      <c r="C3755" t="s">
        <v>2439</v>
      </c>
      <c r="D3755" t="s">
        <v>2425</v>
      </c>
      <c r="E3755" t="s">
        <v>290</v>
      </c>
      <c r="F3755">
        <v>99.99</v>
      </c>
      <c r="G3755" t="s">
        <v>8109</v>
      </c>
      <c r="H3755">
        <v>0</v>
      </c>
      <c r="M3755">
        <v>0</v>
      </c>
      <c r="N3755">
        <v>0</v>
      </c>
      <c r="P3755">
        <v>0</v>
      </c>
    </row>
    <row r="3756" spans="1:16" x14ac:dyDescent="0.2">
      <c r="A3756" t="s">
        <v>2274</v>
      </c>
      <c r="B3756" t="s">
        <v>97</v>
      </c>
      <c r="C3756" t="s">
        <v>2275</v>
      </c>
      <c r="D3756" t="s">
        <v>2146</v>
      </c>
      <c r="E3756" t="s">
        <v>290</v>
      </c>
      <c r="F3756">
        <v>349.99</v>
      </c>
      <c r="G3756" t="s">
        <v>8109</v>
      </c>
      <c r="H3756">
        <v>0</v>
      </c>
      <c r="M3756">
        <v>0</v>
      </c>
      <c r="N3756">
        <v>0</v>
      </c>
      <c r="P3756">
        <v>0</v>
      </c>
    </row>
    <row r="3757" spans="1:16" x14ac:dyDescent="0.2">
      <c r="A3757" t="s">
        <v>3662</v>
      </c>
      <c r="B3757" t="s">
        <v>97</v>
      </c>
      <c r="C3757" t="s">
        <v>3663</v>
      </c>
      <c r="D3757" t="s">
        <v>2425</v>
      </c>
      <c r="E3757" t="s">
        <v>96</v>
      </c>
      <c r="F3757">
        <v>49.99</v>
      </c>
      <c r="G3757" t="s">
        <v>8109</v>
      </c>
      <c r="H3757">
        <v>0</v>
      </c>
      <c r="M3757">
        <v>0</v>
      </c>
      <c r="N3757">
        <v>0</v>
      </c>
      <c r="P3757">
        <v>0</v>
      </c>
    </row>
    <row r="3758" spans="1:16" x14ac:dyDescent="0.2">
      <c r="A3758" t="s">
        <v>7039</v>
      </c>
      <c r="B3758" t="s">
        <v>97</v>
      </c>
      <c r="C3758" t="s">
        <v>7040</v>
      </c>
      <c r="D3758" t="s">
        <v>2425</v>
      </c>
      <c r="E3758" t="s">
        <v>96</v>
      </c>
      <c r="F3758">
        <v>69.989999999999995</v>
      </c>
      <c r="G3758" t="s">
        <v>8109</v>
      </c>
      <c r="H3758">
        <v>0</v>
      </c>
      <c r="M3758">
        <v>0</v>
      </c>
      <c r="N3758">
        <v>0</v>
      </c>
      <c r="P3758">
        <v>0</v>
      </c>
    </row>
    <row r="3759" spans="1:16" x14ac:dyDescent="0.2">
      <c r="A3759" t="s">
        <v>647</v>
      </c>
      <c r="B3759" t="s">
        <v>97</v>
      </c>
      <c r="C3759" t="s">
        <v>648</v>
      </c>
      <c r="D3759" t="s">
        <v>446</v>
      </c>
      <c r="E3759" t="s">
        <v>228</v>
      </c>
      <c r="F3759">
        <v>59.99</v>
      </c>
      <c r="G3759" t="s">
        <v>8109</v>
      </c>
      <c r="H3759">
        <v>2.1221532091097308E-2</v>
      </c>
      <c r="M3759">
        <v>53.666666666666664</v>
      </c>
      <c r="N3759">
        <v>3</v>
      </c>
      <c r="P3759">
        <v>161</v>
      </c>
    </row>
    <row r="3760" spans="1:16" x14ac:dyDescent="0.2">
      <c r="A3760" t="s">
        <v>3385</v>
      </c>
      <c r="B3760" t="s">
        <v>97</v>
      </c>
      <c r="C3760" t="s">
        <v>3386</v>
      </c>
      <c r="D3760" t="s">
        <v>3268</v>
      </c>
      <c r="E3760" t="s">
        <v>228</v>
      </c>
      <c r="F3760">
        <v>179.99</v>
      </c>
      <c r="G3760" t="s">
        <v>8109</v>
      </c>
      <c r="H3760">
        <v>1.8518518518518517E-3</v>
      </c>
      <c r="M3760">
        <v>0</v>
      </c>
      <c r="N3760">
        <v>0</v>
      </c>
      <c r="P3760">
        <v>45</v>
      </c>
    </row>
    <row r="3761" spans="1:16" x14ac:dyDescent="0.2">
      <c r="A3761" t="s">
        <v>671</v>
      </c>
      <c r="B3761" t="s">
        <v>97</v>
      </c>
      <c r="C3761" t="s">
        <v>672</v>
      </c>
      <c r="D3761" t="s">
        <v>446</v>
      </c>
      <c r="E3761" t="s">
        <v>290</v>
      </c>
      <c r="F3761">
        <v>79.989999999999995</v>
      </c>
      <c r="G3761" t="s">
        <v>8109</v>
      </c>
      <c r="H3761">
        <v>2.222222222222222E-2</v>
      </c>
      <c r="M3761">
        <v>0</v>
      </c>
      <c r="N3761">
        <v>0</v>
      </c>
      <c r="P3761">
        <v>15</v>
      </c>
    </row>
    <row r="3762" spans="1:16" x14ac:dyDescent="0.2">
      <c r="A3762" t="s">
        <v>4655</v>
      </c>
      <c r="B3762" t="s">
        <v>97</v>
      </c>
      <c r="C3762" t="s">
        <v>4656</v>
      </c>
      <c r="D3762" t="s">
        <v>446</v>
      </c>
      <c r="E3762" t="s">
        <v>96</v>
      </c>
      <c r="F3762">
        <v>34.99</v>
      </c>
      <c r="G3762" t="s">
        <v>8109</v>
      </c>
      <c r="H3762">
        <v>1.0416666666666666E-2</v>
      </c>
      <c r="M3762">
        <v>0</v>
      </c>
      <c r="N3762">
        <v>0</v>
      </c>
      <c r="P3762">
        <v>16</v>
      </c>
    </row>
    <row r="3763" spans="1:16" x14ac:dyDescent="0.2">
      <c r="A3763" t="s">
        <v>7049</v>
      </c>
      <c r="B3763" t="s">
        <v>97</v>
      </c>
      <c r="C3763" t="s">
        <v>7051</v>
      </c>
      <c r="D3763" t="s">
        <v>93</v>
      </c>
      <c r="E3763" t="s">
        <v>96</v>
      </c>
      <c r="F3763">
        <v>299.99</v>
      </c>
      <c r="G3763" t="s">
        <v>8109</v>
      </c>
      <c r="H3763">
        <v>0</v>
      </c>
      <c r="M3763">
        <v>0</v>
      </c>
      <c r="N3763">
        <v>0</v>
      </c>
      <c r="P3763">
        <v>0</v>
      </c>
    </row>
    <row r="3764" spans="1:16" x14ac:dyDescent="0.2">
      <c r="A3764" t="s">
        <v>807</v>
      </c>
      <c r="B3764" t="s">
        <v>97</v>
      </c>
      <c r="C3764" t="s">
        <v>808</v>
      </c>
      <c r="D3764" t="s">
        <v>446</v>
      </c>
      <c r="E3764" t="s">
        <v>228</v>
      </c>
      <c r="F3764">
        <v>19.989999999999998</v>
      </c>
      <c r="G3764" t="s">
        <v>8109</v>
      </c>
      <c r="H3764">
        <v>2.2577996715927749E-3</v>
      </c>
      <c r="M3764">
        <v>147.63636363636363</v>
      </c>
      <c r="N3764">
        <v>2.75</v>
      </c>
      <c r="P3764">
        <v>406</v>
      </c>
    </row>
    <row r="3765" spans="1:16" x14ac:dyDescent="0.2">
      <c r="A3765" t="s">
        <v>643</v>
      </c>
      <c r="B3765" t="s">
        <v>97</v>
      </c>
      <c r="C3765" t="s">
        <v>644</v>
      </c>
      <c r="D3765" t="s">
        <v>446</v>
      </c>
      <c r="E3765" t="s">
        <v>228</v>
      </c>
      <c r="F3765">
        <v>99.99</v>
      </c>
      <c r="G3765" t="s">
        <v>8109</v>
      </c>
      <c r="H3765">
        <v>2.6902887139107611E-2</v>
      </c>
      <c r="M3765">
        <v>46.18181818181818</v>
      </c>
      <c r="N3765">
        <v>5.5</v>
      </c>
      <c r="P3765">
        <v>254</v>
      </c>
    </row>
    <row r="3766" spans="1:16" x14ac:dyDescent="0.2">
      <c r="A3766" t="s">
        <v>859</v>
      </c>
      <c r="B3766" t="s">
        <v>97</v>
      </c>
      <c r="C3766" t="s">
        <v>860</v>
      </c>
      <c r="D3766" t="s">
        <v>446</v>
      </c>
      <c r="E3766" t="s">
        <v>96</v>
      </c>
      <c r="F3766">
        <v>99.99</v>
      </c>
      <c r="G3766" t="s">
        <v>8109</v>
      </c>
      <c r="H3766">
        <v>3.8738738738738739E-2</v>
      </c>
      <c r="M3766">
        <v>28.46153846153846</v>
      </c>
      <c r="N3766">
        <v>6.5</v>
      </c>
      <c r="P3766">
        <v>185</v>
      </c>
    </row>
    <row r="3767" spans="1:16" x14ac:dyDescent="0.2">
      <c r="A3767" t="s">
        <v>691</v>
      </c>
      <c r="B3767" t="s">
        <v>97</v>
      </c>
      <c r="C3767" t="s">
        <v>7018</v>
      </c>
      <c r="D3767" t="s">
        <v>446</v>
      </c>
      <c r="E3767" t="s">
        <v>228</v>
      </c>
      <c r="F3767">
        <v>59.99</v>
      </c>
      <c r="G3767" t="s">
        <v>8109</v>
      </c>
      <c r="H3767">
        <v>6.6983122362869199E-2</v>
      </c>
      <c r="M3767">
        <v>21.066666666666666</v>
      </c>
      <c r="N3767">
        <v>7.5</v>
      </c>
      <c r="P3767">
        <v>158</v>
      </c>
    </row>
    <row r="3768" spans="1:16" x14ac:dyDescent="0.2">
      <c r="A3768" t="s">
        <v>2467</v>
      </c>
      <c r="B3768" t="s">
        <v>97</v>
      </c>
      <c r="C3768" t="s">
        <v>2468</v>
      </c>
      <c r="D3768" t="s">
        <v>2448</v>
      </c>
      <c r="E3768" t="s">
        <v>96</v>
      </c>
      <c r="F3768">
        <v>59.99</v>
      </c>
      <c r="G3768" t="s">
        <v>8109</v>
      </c>
      <c r="H3768">
        <v>0</v>
      </c>
      <c r="M3768">
        <v>0</v>
      </c>
      <c r="N3768">
        <v>0</v>
      </c>
      <c r="P3768">
        <v>0</v>
      </c>
    </row>
    <row r="3769" spans="1:16" x14ac:dyDescent="0.2">
      <c r="A3769" t="s">
        <v>2433</v>
      </c>
      <c r="B3769" t="s">
        <v>97</v>
      </c>
      <c r="C3769" t="s">
        <v>2434</v>
      </c>
      <c r="D3769" t="s">
        <v>2425</v>
      </c>
      <c r="E3769" t="s">
        <v>290</v>
      </c>
      <c r="F3769">
        <v>69.989999999999995</v>
      </c>
      <c r="G3769" t="s">
        <v>8109</v>
      </c>
      <c r="H3769">
        <v>0</v>
      </c>
      <c r="M3769">
        <v>0</v>
      </c>
      <c r="N3769">
        <v>0</v>
      </c>
      <c r="P3769">
        <v>0</v>
      </c>
    </row>
    <row r="3770" spans="1:16" x14ac:dyDescent="0.2">
      <c r="A3770" t="s">
        <v>4657</v>
      </c>
      <c r="B3770" t="s">
        <v>97</v>
      </c>
      <c r="C3770" t="s">
        <v>4658</v>
      </c>
      <c r="D3770" t="s">
        <v>446</v>
      </c>
      <c r="E3770" t="s">
        <v>96</v>
      </c>
      <c r="F3770">
        <v>34.99</v>
      </c>
      <c r="G3770" t="s">
        <v>8109</v>
      </c>
      <c r="H3770">
        <v>-1.7730496453900709E-3</v>
      </c>
      <c r="M3770">
        <v>0</v>
      </c>
      <c r="N3770">
        <v>0</v>
      </c>
      <c r="P3770">
        <v>47</v>
      </c>
    </row>
    <row r="3771" spans="1:16" x14ac:dyDescent="0.2">
      <c r="A3771" t="s">
        <v>7333</v>
      </c>
      <c r="B3771" t="s">
        <v>97</v>
      </c>
      <c r="C3771" t="s">
        <v>7335</v>
      </c>
      <c r="D3771" t="s">
        <v>446</v>
      </c>
      <c r="E3771" t="s">
        <v>96</v>
      </c>
      <c r="F3771">
        <v>39.99</v>
      </c>
      <c r="G3771" t="s">
        <v>8109</v>
      </c>
      <c r="H3771">
        <v>0</v>
      </c>
      <c r="M3771">
        <v>0</v>
      </c>
      <c r="N3771">
        <v>0</v>
      </c>
      <c r="P3771">
        <v>0</v>
      </c>
    </row>
    <row r="3772" spans="1:16" x14ac:dyDescent="0.2">
      <c r="A3772" t="s">
        <v>4949</v>
      </c>
      <c r="B3772" t="s">
        <v>97</v>
      </c>
      <c r="C3772" t="s">
        <v>4950</v>
      </c>
      <c r="D3772" t="s">
        <v>446</v>
      </c>
      <c r="E3772" t="s">
        <v>290</v>
      </c>
      <c r="F3772">
        <v>59.99</v>
      </c>
      <c r="G3772" t="s">
        <v>8109</v>
      </c>
      <c r="H3772">
        <v>8.3333333333333343E-2</v>
      </c>
      <c r="M3772">
        <v>16</v>
      </c>
      <c r="N3772">
        <v>3.5</v>
      </c>
      <c r="P3772">
        <v>56</v>
      </c>
    </row>
    <row r="3773" spans="1:16" x14ac:dyDescent="0.2">
      <c r="A3773" t="s">
        <v>2356</v>
      </c>
      <c r="B3773" t="s">
        <v>97</v>
      </c>
      <c r="C3773" t="s">
        <v>2357</v>
      </c>
      <c r="D3773" t="s">
        <v>2146</v>
      </c>
      <c r="E3773" t="s">
        <v>228</v>
      </c>
      <c r="F3773">
        <v>549.99</v>
      </c>
      <c r="G3773" t="s">
        <v>8109</v>
      </c>
      <c r="H3773">
        <v>0</v>
      </c>
      <c r="M3773">
        <v>0</v>
      </c>
      <c r="N3773">
        <v>0</v>
      </c>
      <c r="P3773">
        <v>1</v>
      </c>
    </row>
    <row r="3774" spans="1:16" x14ac:dyDescent="0.2">
      <c r="A3774" t="s">
        <v>940</v>
      </c>
      <c r="B3774" t="s">
        <v>97</v>
      </c>
      <c r="C3774" t="s">
        <v>941</v>
      </c>
      <c r="D3774" t="s">
        <v>446</v>
      </c>
      <c r="E3774" t="s">
        <v>228</v>
      </c>
      <c r="F3774">
        <v>15.99</v>
      </c>
      <c r="G3774" t="s">
        <v>8109</v>
      </c>
      <c r="H3774">
        <v>6.6458982346832812E-2</v>
      </c>
      <c r="M3774">
        <v>18.08450704225352</v>
      </c>
      <c r="N3774">
        <v>17.75</v>
      </c>
      <c r="P3774">
        <v>321</v>
      </c>
    </row>
    <row r="3775" spans="1:16" x14ac:dyDescent="0.2">
      <c r="A3775" t="s">
        <v>926</v>
      </c>
      <c r="B3775" t="s">
        <v>97</v>
      </c>
      <c r="C3775" t="s">
        <v>927</v>
      </c>
      <c r="D3775" t="s">
        <v>446</v>
      </c>
      <c r="E3775" t="s">
        <v>96</v>
      </c>
      <c r="F3775">
        <v>29.99</v>
      </c>
      <c r="G3775" t="s">
        <v>8109</v>
      </c>
      <c r="H3775">
        <v>3.875968992248062E-2</v>
      </c>
      <c r="M3775">
        <v>43</v>
      </c>
      <c r="N3775">
        <v>1</v>
      </c>
      <c r="P3775">
        <v>43</v>
      </c>
    </row>
    <row r="3776" spans="1:16" x14ac:dyDescent="0.2">
      <c r="A3776" t="s">
        <v>4920</v>
      </c>
      <c r="B3776" t="s">
        <v>97</v>
      </c>
      <c r="C3776" t="s">
        <v>4921</v>
      </c>
      <c r="D3776" t="s">
        <v>446</v>
      </c>
      <c r="E3776" t="s">
        <v>96</v>
      </c>
      <c r="F3776">
        <v>34.99</v>
      </c>
      <c r="G3776" t="s">
        <v>8109</v>
      </c>
      <c r="H3776">
        <v>0.1388888888888889</v>
      </c>
      <c r="M3776">
        <v>0</v>
      </c>
      <c r="N3776">
        <v>0</v>
      </c>
      <c r="P3776">
        <v>3</v>
      </c>
    </row>
    <row r="3777" spans="1:16" x14ac:dyDescent="0.2">
      <c r="A3777" t="s">
        <v>3283</v>
      </c>
      <c r="B3777" t="s">
        <v>97</v>
      </c>
      <c r="C3777" t="s">
        <v>3284</v>
      </c>
      <c r="D3777" t="s">
        <v>3268</v>
      </c>
      <c r="E3777" t="s">
        <v>290</v>
      </c>
      <c r="F3777">
        <v>249.99</v>
      </c>
      <c r="G3777" t="s">
        <v>8109</v>
      </c>
      <c r="H3777">
        <v>0</v>
      </c>
      <c r="M3777">
        <v>0</v>
      </c>
      <c r="N3777">
        <v>0</v>
      </c>
      <c r="P3777">
        <v>6</v>
      </c>
    </row>
    <row r="3778" spans="1:16" x14ac:dyDescent="0.2">
      <c r="A3778" t="s">
        <v>2254</v>
      </c>
      <c r="B3778" t="s">
        <v>97</v>
      </c>
      <c r="C3778" t="s">
        <v>2255</v>
      </c>
      <c r="D3778" t="s">
        <v>2146</v>
      </c>
      <c r="E3778" t="s">
        <v>290</v>
      </c>
      <c r="F3778">
        <v>39.99</v>
      </c>
      <c r="G3778" t="s">
        <v>8109</v>
      </c>
      <c r="H3778">
        <v>0</v>
      </c>
      <c r="M3778">
        <v>0</v>
      </c>
      <c r="N3778">
        <v>0</v>
      </c>
      <c r="P3778">
        <v>0</v>
      </c>
    </row>
    <row r="3779" spans="1:16" x14ac:dyDescent="0.2">
      <c r="A3779" t="s">
        <v>3289</v>
      </c>
      <c r="B3779" t="s">
        <v>97</v>
      </c>
      <c r="C3779" t="s">
        <v>3290</v>
      </c>
      <c r="D3779" t="s">
        <v>3268</v>
      </c>
      <c r="E3779" t="s">
        <v>228</v>
      </c>
      <c r="F3779">
        <v>359.99</v>
      </c>
      <c r="G3779" t="s">
        <v>8109</v>
      </c>
      <c r="H3779">
        <v>4.8148148148148141E-2</v>
      </c>
      <c r="M3779">
        <v>36</v>
      </c>
      <c r="N3779">
        <v>1.25</v>
      </c>
      <c r="P3779">
        <v>45</v>
      </c>
    </row>
    <row r="3780" spans="1:16" x14ac:dyDescent="0.2">
      <c r="A3780" t="s">
        <v>2352</v>
      </c>
      <c r="B3780" t="s">
        <v>97</v>
      </c>
      <c r="C3780" t="s">
        <v>2353</v>
      </c>
      <c r="D3780" t="s">
        <v>2146</v>
      </c>
      <c r="E3780" t="s">
        <v>290</v>
      </c>
      <c r="F3780">
        <v>189.99</v>
      </c>
      <c r="G3780" t="s">
        <v>8109</v>
      </c>
      <c r="H3780">
        <v>0</v>
      </c>
      <c r="M3780">
        <v>0</v>
      </c>
      <c r="N3780">
        <v>0</v>
      </c>
      <c r="P3780">
        <v>3</v>
      </c>
    </row>
    <row r="3781" spans="1:16" x14ac:dyDescent="0.2">
      <c r="A3781" t="s">
        <v>4978</v>
      </c>
      <c r="B3781" t="s">
        <v>97</v>
      </c>
      <c r="C3781" t="s">
        <v>7312</v>
      </c>
      <c r="D3781" t="s">
        <v>446</v>
      </c>
      <c r="E3781" t="s">
        <v>290</v>
      </c>
      <c r="F3781">
        <v>99.99</v>
      </c>
      <c r="G3781" t="s">
        <v>8109</v>
      </c>
      <c r="H3781">
        <v>0</v>
      </c>
      <c r="M3781">
        <v>0</v>
      </c>
      <c r="N3781">
        <v>0</v>
      </c>
      <c r="P3781">
        <v>7</v>
      </c>
    </row>
    <row r="3782" spans="1:16" x14ac:dyDescent="0.2">
      <c r="A3782" t="s">
        <v>3282</v>
      </c>
      <c r="B3782" t="s">
        <v>97</v>
      </c>
      <c r="C3782" t="s">
        <v>3281</v>
      </c>
      <c r="D3782" t="s">
        <v>3268</v>
      </c>
      <c r="E3782" t="s">
        <v>228</v>
      </c>
      <c r="F3782">
        <v>99.99</v>
      </c>
      <c r="G3782" t="s">
        <v>8109</v>
      </c>
      <c r="H3782">
        <v>3.9723661485319521E-2</v>
      </c>
      <c r="M3782">
        <v>18.829268292682926</v>
      </c>
      <c r="N3782">
        <v>10.25</v>
      </c>
      <c r="P3782">
        <v>193</v>
      </c>
    </row>
    <row r="3783" spans="1:16" x14ac:dyDescent="0.2">
      <c r="A3783" t="s">
        <v>689</v>
      </c>
      <c r="B3783" t="s">
        <v>97</v>
      </c>
      <c r="C3783" t="s">
        <v>690</v>
      </c>
      <c r="D3783" t="s">
        <v>446</v>
      </c>
      <c r="E3783" t="s">
        <v>228</v>
      </c>
      <c r="F3783">
        <v>59.99</v>
      </c>
      <c r="G3783" t="s">
        <v>8109</v>
      </c>
      <c r="H3783">
        <v>0</v>
      </c>
      <c r="M3783">
        <v>0</v>
      </c>
      <c r="N3783">
        <v>0</v>
      </c>
      <c r="P3783">
        <v>0</v>
      </c>
    </row>
    <row r="3784" spans="1:16" x14ac:dyDescent="0.2">
      <c r="A3784" t="s">
        <v>4633</v>
      </c>
      <c r="B3784" t="s">
        <v>97</v>
      </c>
      <c r="C3784" t="s">
        <v>4634</v>
      </c>
      <c r="D3784" t="s">
        <v>446</v>
      </c>
      <c r="E3784" t="s">
        <v>290</v>
      </c>
      <c r="F3784">
        <v>34.99</v>
      </c>
      <c r="G3784" t="s">
        <v>8109</v>
      </c>
      <c r="H3784">
        <v>5.208333333333333E-3</v>
      </c>
      <c r="M3784">
        <v>0</v>
      </c>
      <c r="N3784">
        <v>0</v>
      </c>
      <c r="P3784">
        <v>16</v>
      </c>
    </row>
    <row r="3785" spans="1:16" x14ac:dyDescent="0.2">
      <c r="A3785" t="s">
        <v>5476</v>
      </c>
      <c r="B3785" t="s">
        <v>97</v>
      </c>
      <c r="C3785" t="s">
        <v>5477</v>
      </c>
      <c r="D3785" t="s">
        <v>2374</v>
      </c>
      <c r="E3785" t="s">
        <v>96</v>
      </c>
      <c r="F3785">
        <v>169.99</v>
      </c>
      <c r="G3785" t="s">
        <v>8109</v>
      </c>
      <c r="H3785">
        <v>0</v>
      </c>
      <c r="M3785">
        <v>0</v>
      </c>
      <c r="N3785">
        <v>0</v>
      </c>
      <c r="P3785">
        <v>0</v>
      </c>
    </row>
    <row r="3786" spans="1:16" x14ac:dyDescent="0.2">
      <c r="A3786" t="s">
        <v>4972</v>
      </c>
      <c r="B3786" t="s">
        <v>97</v>
      </c>
      <c r="C3786" t="s">
        <v>4973</v>
      </c>
      <c r="D3786" t="s">
        <v>446</v>
      </c>
      <c r="E3786" t="s">
        <v>96</v>
      </c>
      <c r="F3786">
        <v>79.989999999999995</v>
      </c>
      <c r="G3786" t="s">
        <v>8109</v>
      </c>
      <c r="H3786">
        <v>7.7160493827160498E-3</v>
      </c>
      <c r="M3786">
        <v>72</v>
      </c>
      <c r="N3786">
        <v>0.75</v>
      </c>
      <c r="P3786">
        <v>54</v>
      </c>
    </row>
    <row r="3787" spans="1:16" x14ac:dyDescent="0.2">
      <c r="A3787" t="s">
        <v>3273</v>
      </c>
      <c r="B3787" t="s">
        <v>97</v>
      </c>
      <c r="C3787" t="s">
        <v>3272</v>
      </c>
      <c r="D3787" t="s">
        <v>3268</v>
      </c>
      <c r="E3787" t="s">
        <v>290</v>
      </c>
      <c r="F3787">
        <v>179.99</v>
      </c>
      <c r="G3787" t="s">
        <v>8109</v>
      </c>
      <c r="H3787">
        <v>0</v>
      </c>
      <c r="M3787">
        <v>0</v>
      </c>
      <c r="N3787">
        <v>0</v>
      </c>
      <c r="P3787">
        <v>7</v>
      </c>
    </row>
    <row r="3788" spans="1:16" x14ac:dyDescent="0.2">
      <c r="A3788" t="s">
        <v>2375</v>
      </c>
      <c r="B3788" t="s">
        <v>97</v>
      </c>
      <c r="C3788" t="s">
        <v>2376</v>
      </c>
      <c r="D3788" t="s">
        <v>2374</v>
      </c>
      <c r="E3788" t="s">
        <v>290</v>
      </c>
      <c r="F3788">
        <v>149.99</v>
      </c>
      <c r="G3788" t="s">
        <v>8109</v>
      </c>
      <c r="H3788">
        <v>0</v>
      </c>
      <c r="M3788">
        <v>0</v>
      </c>
      <c r="N3788">
        <v>0</v>
      </c>
      <c r="P3788">
        <v>1</v>
      </c>
    </row>
    <row r="3789" spans="1:16" x14ac:dyDescent="0.2">
      <c r="A3789" t="s">
        <v>3340</v>
      </c>
      <c r="B3789" t="s">
        <v>97</v>
      </c>
      <c r="C3789" t="s">
        <v>3339</v>
      </c>
      <c r="D3789" t="s">
        <v>3268</v>
      </c>
      <c r="E3789" t="s">
        <v>290</v>
      </c>
      <c r="F3789">
        <v>499.99</v>
      </c>
      <c r="G3789" t="s">
        <v>8109</v>
      </c>
      <c r="H3789">
        <v>0</v>
      </c>
      <c r="M3789">
        <v>0</v>
      </c>
      <c r="N3789">
        <v>0</v>
      </c>
      <c r="P3789">
        <v>0</v>
      </c>
    </row>
    <row r="3790" spans="1:16" x14ac:dyDescent="0.2">
      <c r="A3790" t="s">
        <v>2242</v>
      </c>
      <c r="B3790" t="s">
        <v>97</v>
      </c>
      <c r="C3790" t="s">
        <v>2243</v>
      </c>
      <c r="D3790" t="s">
        <v>2146</v>
      </c>
      <c r="E3790" t="s">
        <v>290</v>
      </c>
      <c r="F3790">
        <v>39.99</v>
      </c>
      <c r="G3790" t="s">
        <v>8109</v>
      </c>
      <c r="H3790">
        <v>0</v>
      </c>
      <c r="M3790">
        <v>0</v>
      </c>
      <c r="N3790">
        <v>0</v>
      </c>
      <c r="P3790">
        <v>3</v>
      </c>
    </row>
    <row r="3791" spans="1:16" x14ac:dyDescent="0.2">
      <c r="A3791" t="s">
        <v>4917</v>
      </c>
      <c r="B3791" t="s">
        <v>97</v>
      </c>
      <c r="C3791" t="s">
        <v>4918</v>
      </c>
      <c r="D3791" t="s">
        <v>446</v>
      </c>
      <c r="E3791" t="s">
        <v>96</v>
      </c>
      <c r="F3791">
        <v>44.99</v>
      </c>
      <c r="G3791" t="s">
        <v>8109</v>
      </c>
      <c r="H3791">
        <v>0.16666666666666666</v>
      </c>
      <c r="M3791">
        <v>0</v>
      </c>
      <c r="N3791">
        <v>0</v>
      </c>
      <c r="P3791">
        <v>2</v>
      </c>
    </row>
    <row r="3792" spans="1:16" x14ac:dyDescent="0.2">
      <c r="A3792" t="s">
        <v>2360</v>
      </c>
      <c r="B3792" t="s">
        <v>97</v>
      </c>
      <c r="C3792" t="s">
        <v>2361</v>
      </c>
      <c r="D3792" t="s">
        <v>2146</v>
      </c>
      <c r="E3792" t="s">
        <v>228</v>
      </c>
      <c r="F3792">
        <v>349.99</v>
      </c>
      <c r="G3792" t="s">
        <v>8109</v>
      </c>
      <c r="H3792">
        <v>0</v>
      </c>
      <c r="M3792">
        <v>0</v>
      </c>
      <c r="N3792">
        <v>0</v>
      </c>
      <c r="P3792">
        <v>9</v>
      </c>
    </row>
    <row r="3793" spans="1:16" x14ac:dyDescent="0.2">
      <c r="A3793" t="s">
        <v>1893</v>
      </c>
      <c r="B3793" t="s">
        <v>97</v>
      </c>
      <c r="C3793" t="s">
        <v>1894</v>
      </c>
      <c r="D3793" t="s">
        <v>1888</v>
      </c>
      <c r="E3793" t="s">
        <v>228</v>
      </c>
      <c r="F3793">
        <v>149.99</v>
      </c>
      <c r="G3793" t="s">
        <v>8109</v>
      </c>
      <c r="H3793">
        <v>0</v>
      </c>
      <c r="M3793">
        <v>0</v>
      </c>
      <c r="N3793">
        <v>0</v>
      </c>
      <c r="P3793">
        <v>4</v>
      </c>
    </row>
    <row r="3794" spans="1:16" x14ac:dyDescent="0.2">
      <c r="A3794" t="s">
        <v>4647</v>
      </c>
      <c r="B3794" t="s">
        <v>97</v>
      </c>
      <c r="C3794" t="s">
        <v>4648</v>
      </c>
      <c r="D3794" t="s">
        <v>446</v>
      </c>
      <c r="E3794" t="s">
        <v>96</v>
      </c>
      <c r="F3794">
        <v>24.99</v>
      </c>
      <c r="G3794" t="s">
        <v>8109</v>
      </c>
      <c r="H3794">
        <v>0</v>
      </c>
      <c r="M3794">
        <v>0</v>
      </c>
      <c r="N3794">
        <v>0</v>
      </c>
      <c r="P3794">
        <v>7</v>
      </c>
    </row>
    <row r="3795" spans="1:16" x14ac:dyDescent="0.2">
      <c r="A3795" t="s">
        <v>932</v>
      </c>
      <c r="B3795" t="s">
        <v>97</v>
      </c>
      <c r="C3795" t="s">
        <v>933</v>
      </c>
      <c r="D3795" t="s">
        <v>446</v>
      </c>
      <c r="E3795" t="s">
        <v>228</v>
      </c>
      <c r="F3795">
        <v>49.99</v>
      </c>
      <c r="G3795" t="s">
        <v>8109</v>
      </c>
      <c r="H3795">
        <v>4.1843971631205679E-2</v>
      </c>
      <c r="M3795">
        <v>20</v>
      </c>
      <c r="N3795">
        <v>11.75</v>
      </c>
      <c r="P3795">
        <v>235</v>
      </c>
    </row>
    <row r="3796" spans="1:16" x14ac:dyDescent="0.2">
      <c r="A3796" t="s">
        <v>2358</v>
      </c>
      <c r="B3796" t="s">
        <v>97</v>
      </c>
      <c r="C3796" t="s">
        <v>2359</v>
      </c>
      <c r="D3796" t="s">
        <v>2146</v>
      </c>
      <c r="E3796" t="s">
        <v>228</v>
      </c>
      <c r="F3796">
        <v>199.99</v>
      </c>
      <c r="G3796" t="s">
        <v>8109</v>
      </c>
      <c r="H3796">
        <v>0</v>
      </c>
      <c r="M3796">
        <v>0</v>
      </c>
      <c r="N3796">
        <v>0</v>
      </c>
      <c r="P3796">
        <v>0</v>
      </c>
    </row>
    <row r="3797" spans="1:16" x14ac:dyDescent="0.2">
      <c r="A3797" t="s">
        <v>3335</v>
      </c>
      <c r="B3797" t="s">
        <v>97</v>
      </c>
      <c r="C3797" t="s">
        <v>3336</v>
      </c>
      <c r="D3797" t="s">
        <v>3268</v>
      </c>
      <c r="E3797" t="s">
        <v>290</v>
      </c>
      <c r="F3797">
        <v>499.99</v>
      </c>
      <c r="G3797" t="s">
        <v>8109</v>
      </c>
      <c r="H3797">
        <v>0</v>
      </c>
      <c r="M3797">
        <v>0</v>
      </c>
      <c r="N3797">
        <v>0</v>
      </c>
      <c r="P3797">
        <v>0</v>
      </c>
    </row>
    <row r="3798" spans="1:16" x14ac:dyDescent="0.2">
      <c r="A3798" t="s">
        <v>669</v>
      </c>
      <c r="B3798" t="s">
        <v>97</v>
      </c>
      <c r="C3798" t="s">
        <v>670</v>
      </c>
      <c r="D3798" t="s">
        <v>446</v>
      </c>
      <c r="E3798" t="s">
        <v>96</v>
      </c>
      <c r="F3798">
        <v>59.99</v>
      </c>
      <c r="G3798" t="s">
        <v>8109</v>
      </c>
      <c r="H3798">
        <v>5.333333333333333E-2</v>
      </c>
      <c r="M3798">
        <v>50</v>
      </c>
      <c r="N3798">
        <v>0.5</v>
      </c>
      <c r="P3798">
        <v>25</v>
      </c>
    </row>
    <row r="3799" spans="1:16" x14ac:dyDescent="0.2">
      <c r="A3799" t="s">
        <v>2469</v>
      </c>
      <c r="B3799" t="s">
        <v>97</v>
      </c>
      <c r="C3799" t="s">
        <v>2470</v>
      </c>
      <c r="D3799" t="s">
        <v>2448</v>
      </c>
      <c r="E3799" t="s">
        <v>96</v>
      </c>
      <c r="F3799">
        <v>59.99</v>
      </c>
      <c r="G3799" t="s">
        <v>8109</v>
      </c>
      <c r="H3799">
        <v>0</v>
      </c>
      <c r="M3799">
        <v>0</v>
      </c>
      <c r="N3799">
        <v>0</v>
      </c>
      <c r="P3799">
        <v>0</v>
      </c>
    </row>
    <row r="3800" spans="1:16" x14ac:dyDescent="0.2">
      <c r="A3800" t="s">
        <v>4985</v>
      </c>
      <c r="B3800" t="s">
        <v>97</v>
      </c>
      <c r="C3800" t="s">
        <v>4986</v>
      </c>
      <c r="D3800" t="s">
        <v>446</v>
      </c>
      <c r="E3800" t="s">
        <v>96</v>
      </c>
      <c r="F3800">
        <v>119.99</v>
      </c>
      <c r="G3800" t="s">
        <v>8109</v>
      </c>
      <c r="H3800">
        <v>0</v>
      </c>
      <c r="M3800">
        <v>0</v>
      </c>
      <c r="N3800">
        <v>0</v>
      </c>
      <c r="P3800">
        <v>8</v>
      </c>
    </row>
    <row r="3801" spans="1:16" x14ac:dyDescent="0.2">
      <c r="A3801" t="s">
        <v>934</v>
      </c>
      <c r="B3801" t="s">
        <v>97</v>
      </c>
      <c r="C3801" t="s">
        <v>935</v>
      </c>
      <c r="D3801" t="s">
        <v>446</v>
      </c>
      <c r="E3801" t="s">
        <v>228</v>
      </c>
      <c r="F3801">
        <v>39.99</v>
      </c>
      <c r="G3801" t="s">
        <v>8109</v>
      </c>
      <c r="H3801">
        <v>0.05</v>
      </c>
      <c r="M3801">
        <v>0</v>
      </c>
      <c r="N3801">
        <v>0</v>
      </c>
      <c r="P3801">
        <v>10</v>
      </c>
    </row>
    <row r="3802" spans="1:16" x14ac:dyDescent="0.2">
      <c r="A3802" t="s">
        <v>4868</v>
      </c>
      <c r="B3802" t="s">
        <v>97</v>
      </c>
      <c r="C3802" t="s">
        <v>4869</v>
      </c>
      <c r="D3802" t="s">
        <v>446</v>
      </c>
      <c r="E3802" t="s">
        <v>290</v>
      </c>
      <c r="F3802">
        <v>29.99</v>
      </c>
      <c r="G3802" t="s">
        <v>8109</v>
      </c>
      <c r="H3802">
        <v>2.0833333333333332E-2</v>
      </c>
      <c r="M3802">
        <v>0</v>
      </c>
      <c r="N3802">
        <v>0</v>
      </c>
      <c r="P3802">
        <v>4</v>
      </c>
    </row>
    <row r="3803" spans="1:16" x14ac:dyDescent="0.2">
      <c r="A3803" t="s">
        <v>1895</v>
      </c>
      <c r="B3803" t="s">
        <v>97</v>
      </c>
      <c r="C3803" t="s">
        <v>1896</v>
      </c>
      <c r="D3803" t="s">
        <v>1888</v>
      </c>
      <c r="E3803" t="s">
        <v>228</v>
      </c>
      <c r="F3803">
        <v>119.99</v>
      </c>
      <c r="G3803" t="s">
        <v>8109</v>
      </c>
      <c r="H3803">
        <v>0</v>
      </c>
      <c r="M3803">
        <v>0</v>
      </c>
      <c r="N3803">
        <v>0</v>
      </c>
      <c r="P3803">
        <v>0</v>
      </c>
    </row>
    <row r="3804" spans="1:16" x14ac:dyDescent="0.2">
      <c r="A3804" t="s">
        <v>4876</v>
      </c>
      <c r="B3804" t="s">
        <v>97</v>
      </c>
      <c r="C3804" t="s">
        <v>4877</v>
      </c>
      <c r="D3804" t="s">
        <v>446</v>
      </c>
      <c r="E3804" t="s">
        <v>96</v>
      </c>
      <c r="F3804">
        <v>24.99</v>
      </c>
      <c r="G3804" t="s">
        <v>8109</v>
      </c>
      <c r="H3804">
        <v>0</v>
      </c>
      <c r="M3804">
        <v>0</v>
      </c>
      <c r="N3804">
        <v>0</v>
      </c>
      <c r="P3804">
        <v>12</v>
      </c>
    </row>
    <row r="3805" spans="1:16" x14ac:dyDescent="0.2">
      <c r="A3805" t="s">
        <v>639</v>
      </c>
      <c r="B3805" t="s">
        <v>97</v>
      </c>
      <c r="C3805" t="s">
        <v>640</v>
      </c>
      <c r="D3805" t="s">
        <v>446</v>
      </c>
      <c r="E3805" t="s">
        <v>228</v>
      </c>
      <c r="F3805">
        <v>119.99</v>
      </c>
      <c r="G3805" t="s">
        <v>8109</v>
      </c>
      <c r="H3805">
        <v>2.0676691729323307E-2</v>
      </c>
      <c r="M3805">
        <v>53.2</v>
      </c>
      <c r="N3805">
        <v>2.5</v>
      </c>
      <c r="P3805">
        <v>133</v>
      </c>
    </row>
    <row r="3806" spans="1:16" x14ac:dyDescent="0.2">
      <c r="A3806" t="s">
        <v>2385</v>
      </c>
      <c r="B3806" t="s">
        <v>97</v>
      </c>
      <c r="C3806" t="s">
        <v>2386</v>
      </c>
      <c r="D3806" t="s">
        <v>2374</v>
      </c>
      <c r="E3806" t="s">
        <v>290</v>
      </c>
      <c r="F3806">
        <v>169.99</v>
      </c>
      <c r="G3806" t="s">
        <v>8109</v>
      </c>
      <c r="H3806">
        <v>0</v>
      </c>
      <c r="M3806">
        <v>0</v>
      </c>
      <c r="N3806">
        <v>0</v>
      </c>
      <c r="P3806">
        <v>4</v>
      </c>
    </row>
    <row r="3807" spans="1:16" x14ac:dyDescent="0.2">
      <c r="A3807" t="s">
        <v>7498</v>
      </c>
      <c r="B3807" t="s">
        <v>97</v>
      </c>
      <c r="C3807" t="s">
        <v>7499</v>
      </c>
      <c r="D3807" t="s">
        <v>446</v>
      </c>
      <c r="E3807" t="s">
        <v>96</v>
      </c>
      <c r="F3807">
        <v>99.99</v>
      </c>
      <c r="G3807" t="s">
        <v>8109</v>
      </c>
      <c r="H3807">
        <v>0</v>
      </c>
      <c r="M3807">
        <v>0</v>
      </c>
      <c r="N3807">
        <v>0</v>
      </c>
      <c r="P3807">
        <v>0</v>
      </c>
    </row>
    <row r="3808" spans="1:16" x14ac:dyDescent="0.2">
      <c r="A3808" t="s">
        <v>4870</v>
      </c>
      <c r="B3808" t="s">
        <v>97</v>
      </c>
      <c r="C3808" t="s">
        <v>4871</v>
      </c>
      <c r="D3808" t="s">
        <v>446</v>
      </c>
      <c r="E3808" t="s">
        <v>96</v>
      </c>
      <c r="F3808">
        <v>29.99</v>
      </c>
      <c r="G3808" t="s">
        <v>8109</v>
      </c>
      <c r="H3808">
        <v>0</v>
      </c>
      <c r="M3808">
        <v>0</v>
      </c>
      <c r="N3808">
        <v>0</v>
      </c>
      <c r="P3808">
        <v>114</v>
      </c>
    </row>
    <row r="3809" spans="1:16" x14ac:dyDescent="0.2">
      <c r="A3809" t="s">
        <v>2391</v>
      </c>
      <c r="B3809" t="s">
        <v>97</v>
      </c>
      <c r="C3809" t="s">
        <v>2392</v>
      </c>
      <c r="D3809" t="s">
        <v>2374</v>
      </c>
      <c r="E3809" t="s">
        <v>290</v>
      </c>
      <c r="F3809">
        <v>149.99</v>
      </c>
      <c r="G3809" t="s">
        <v>8109</v>
      </c>
      <c r="H3809">
        <v>0</v>
      </c>
      <c r="M3809">
        <v>0</v>
      </c>
      <c r="N3809">
        <v>0</v>
      </c>
      <c r="P3809">
        <v>1</v>
      </c>
    </row>
    <row r="3810" spans="1:16" x14ac:dyDescent="0.2">
      <c r="A3810" t="s">
        <v>555</v>
      </c>
      <c r="B3810" t="s">
        <v>97</v>
      </c>
      <c r="C3810" t="s">
        <v>556</v>
      </c>
      <c r="D3810" t="s">
        <v>446</v>
      </c>
      <c r="E3810" t="s">
        <v>228</v>
      </c>
      <c r="F3810">
        <v>29.99</v>
      </c>
      <c r="G3810" t="s">
        <v>8109</v>
      </c>
      <c r="H3810">
        <v>0.5</v>
      </c>
      <c r="M3810">
        <v>0.8</v>
      </c>
      <c r="N3810">
        <v>1.25</v>
      </c>
      <c r="P3810">
        <v>1</v>
      </c>
    </row>
    <row r="3811" spans="1:16" x14ac:dyDescent="0.2">
      <c r="A3811" t="s">
        <v>6114</v>
      </c>
      <c r="B3811" t="s">
        <v>97</v>
      </c>
      <c r="C3811" t="s">
        <v>6115</v>
      </c>
      <c r="D3811" t="s">
        <v>2502</v>
      </c>
      <c r="E3811" t="s">
        <v>96</v>
      </c>
      <c r="F3811">
        <v>99.99</v>
      </c>
      <c r="G3811" t="s">
        <v>8109</v>
      </c>
      <c r="H3811">
        <v>0</v>
      </c>
      <c r="M3811">
        <v>0</v>
      </c>
      <c r="N3811">
        <v>0</v>
      </c>
      <c r="P3811">
        <v>0</v>
      </c>
    </row>
    <row r="3812" spans="1:16" x14ac:dyDescent="0.2">
      <c r="A3812" t="s">
        <v>2701</v>
      </c>
      <c r="B3812" t="s">
        <v>97</v>
      </c>
      <c r="C3812" t="s">
        <v>2702</v>
      </c>
      <c r="D3812" t="s">
        <v>2502</v>
      </c>
      <c r="E3812" t="s">
        <v>290</v>
      </c>
      <c r="F3812">
        <v>99.99</v>
      </c>
      <c r="G3812" t="s">
        <v>8109</v>
      </c>
      <c r="H3812">
        <v>0</v>
      </c>
      <c r="M3812">
        <v>0</v>
      </c>
      <c r="N3812">
        <v>0</v>
      </c>
      <c r="P3812">
        <v>0</v>
      </c>
    </row>
    <row r="3813" spans="1:16" x14ac:dyDescent="0.2">
      <c r="A3813" t="s">
        <v>553</v>
      </c>
      <c r="B3813" t="s">
        <v>97</v>
      </c>
      <c r="C3813" t="s">
        <v>554</v>
      </c>
      <c r="D3813" t="s">
        <v>446</v>
      </c>
      <c r="E3813" t="s">
        <v>228</v>
      </c>
      <c r="F3813">
        <v>24.99</v>
      </c>
      <c r="G3813" t="s">
        <v>8109</v>
      </c>
      <c r="H3813">
        <v>0.10833333333333332</v>
      </c>
      <c r="M3813">
        <v>10</v>
      </c>
      <c r="N3813">
        <v>1</v>
      </c>
      <c r="P3813">
        <v>10</v>
      </c>
    </row>
    <row r="3814" spans="1:16" x14ac:dyDescent="0.2">
      <c r="A3814" t="s">
        <v>4866</v>
      </c>
      <c r="B3814" t="s">
        <v>97</v>
      </c>
      <c r="C3814" t="s">
        <v>4867</v>
      </c>
      <c r="D3814" t="s">
        <v>446</v>
      </c>
      <c r="E3814" t="s">
        <v>96</v>
      </c>
      <c r="F3814">
        <v>29.99</v>
      </c>
      <c r="G3814" t="s">
        <v>8109</v>
      </c>
      <c r="H3814">
        <v>0</v>
      </c>
      <c r="M3814">
        <v>0</v>
      </c>
      <c r="N3814">
        <v>0</v>
      </c>
      <c r="P3814">
        <v>22</v>
      </c>
    </row>
    <row r="3815" spans="1:16" x14ac:dyDescent="0.2">
      <c r="A3815" t="s">
        <v>5019</v>
      </c>
      <c r="B3815" t="s">
        <v>97</v>
      </c>
      <c r="C3815" t="s">
        <v>5020</v>
      </c>
      <c r="D3815" t="s">
        <v>446</v>
      </c>
      <c r="E3815" t="s">
        <v>96</v>
      </c>
      <c r="F3815">
        <v>149.99</v>
      </c>
      <c r="G3815" t="s">
        <v>8109</v>
      </c>
      <c r="H3815">
        <v>0</v>
      </c>
      <c r="M3815">
        <v>0</v>
      </c>
      <c r="N3815">
        <v>0</v>
      </c>
      <c r="P3815">
        <v>1</v>
      </c>
    </row>
    <row r="3816" spans="1:16" x14ac:dyDescent="0.2">
      <c r="A3816" t="s">
        <v>2395</v>
      </c>
      <c r="B3816" t="s">
        <v>97</v>
      </c>
      <c r="C3816" t="s">
        <v>2396</v>
      </c>
      <c r="D3816" t="s">
        <v>2374</v>
      </c>
      <c r="E3816" t="s">
        <v>290</v>
      </c>
      <c r="F3816">
        <v>499.99</v>
      </c>
      <c r="G3816" t="s">
        <v>8109</v>
      </c>
      <c r="H3816">
        <v>0</v>
      </c>
      <c r="M3816">
        <v>0</v>
      </c>
      <c r="N3816">
        <v>0</v>
      </c>
      <c r="P3816">
        <v>2</v>
      </c>
    </row>
    <row r="3817" spans="1:16" x14ac:dyDescent="0.2">
      <c r="A3817" t="s">
        <v>7390</v>
      </c>
      <c r="B3817" t="s">
        <v>97</v>
      </c>
      <c r="C3817" t="s">
        <v>7392</v>
      </c>
      <c r="D3817" t="s">
        <v>446</v>
      </c>
      <c r="E3817" t="s">
        <v>96</v>
      </c>
      <c r="F3817">
        <v>139.99</v>
      </c>
      <c r="G3817" t="s">
        <v>8109</v>
      </c>
      <c r="H3817">
        <v>0</v>
      </c>
      <c r="M3817">
        <v>0</v>
      </c>
      <c r="N3817">
        <v>0</v>
      </c>
      <c r="P3817">
        <v>0</v>
      </c>
    </row>
    <row r="3818" spans="1:16" x14ac:dyDescent="0.2">
      <c r="A3818" t="s">
        <v>693</v>
      </c>
      <c r="B3818" t="s">
        <v>97</v>
      </c>
      <c r="C3818" t="s">
        <v>7020</v>
      </c>
      <c r="D3818" t="s">
        <v>446</v>
      </c>
      <c r="E3818" t="s">
        <v>228</v>
      </c>
      <c r="F3818">
        <v>59.99</v>
      </c>
      <c r="G3818" t="s">
        <v>8109</v>
      </c>
      <c r="H3818">
        <v>7.9218106995884774E-2</v>
      </c>
      <c r="M3818">
        <v>16.2</v>
      </c>
      <c r="N3818">
        <v>10</v>
      </c>
      <c r="P3818">
        <v>162</v>
      </c>
    </row>
    <row r="3819" spans="1:16" x14ac:dyDescent="0.2">
      <c r="A3819" t="s">
        <v>7080</v>
      </c>
      <c r="B3819" t="s">
        <v>97</v>
      </c>
      <c r="C3819" t="s">
        <v>7081</v>
      </c>
      <c r="D3819" t="s">
        <v>7082</v>
      </c>
      <c r="E3819" t="s">
        <v>96</v>
      </c>
      <c r="F3819">
        <v>59.99</v>
      </c>
      <c r="G3819" t="s">
        <v>8109</v>
      </c>
      <c r="H3819">
        <v>0</v>
      </c>
      <c r="M3819">
        <v>0</v>
      </c>
      <c r="N3819">
        <v>0</v>
      </c>
      <c r="P3819">
        <v>0</v>
      </c>
    </row>
    <row r="3820" spans="1:16" x14ac:dyDescent="0.2">
      <c r="A3820" t="s">
        <v>687</v>
      </c>
      <c r="B3820" t="s">
        <v>97</v>
      </c>
      <c r="C3820" t="s">
        <v>688</v>
      </c>
      <c r="D3820" t="s">
        <v>446</v>
      </c>
      <c r="E3820" t="s">
        <v>228</v>
      </c>
      <c r="F3820">
        <v>59.99</v>
      </c>
      <c r="G3820" t="s">
        <v>8109</v>
      </c>
      <c r="H3820">
        <v>0</v>
      </c>
      <c r="M3820">
        <v>0</v>
      </c>
      <c r="N3820">
        <v>0</v>
      </c>
      <c r="P3820">
        <v>0</v>
      </c>
    </row>
    <row r="3821" spans="1:16" x14ac:dyDescent="0.2">
      <c r="A3821" t="s">
        <v>3659</v>
      </c>
      <c r="B3821" t="s">
        <v>97</v>
      </c>
      <c r="C3821" t="s">
        <v>3660</v>
      </c>
      <c r="D3821" t="s">
        <v>2425</v>
      </c>
      <c r="E3821" t="s">
        <v>96</v>
      </c>
      <c r="F3821">
        <v>49.99</v>
      </c>
      <c r="G3821" t="s">
        <v>8109</v>
      </c>
      <c r="H3821">
        <v>0</v>
      </c>
      <c r="M3821">
        <v>0</v>
      </c>
      <c r="N3821">
        <v>0</v>
      </c>
      <c r="P3821">
        <v>0</v>
      </c>
    </row>
    <row r="3822" spans="1:16" x14ac:dyDescent="0.2">
      <c r="A3822" t="s">
        <v>4734</v>
      </c>
      <c r="B3822" t="s">
        <v>97</v>
      </c>
      <c r="C3822" t="s">
        <v>4735</v>
      </c>
      <c r="D3822" t="s">
        <v>446</v>
      </c>
      <c r="E3822" t="s">
        <v>96</v>
      </c>
      <c r="F3822">
        <v>69.989999999999995</v>
      </c>
      <c r="G3822" t="s">
        <v>8109</v>
      </c>
      <c r="H3822">
        <v>0</v>
      </c>
      <c r="M3822">
        <v>0</v>
      </c>
      <c r="N3822">
        <v>0</v>
      </c>
      <c r="P3822">
        <v>0</v>
      </c>
    </row>
    <row r="3823" spans="1:16" x14ac:dyDescent="0.2">
      <c r="A3823" t="s">
        <v>551</v>
      </c>
      <c r="B3823" t="s">
        <v>97</v>
      </c>
      <c r="C3823" t="s">
        <v>552</v>
      </c>
      <c r="D3823" t="s">
        <v>446</v>
      </c>
      <c r="E3823" t="s">
        <v>228</v>
      </c>
      <c r="F3823">
        <v>169.99</v>
      </c>
      <c r="G3823" t="s">
        <v>8109</v>
      </c>
      <c r="H3823">
        <v>0.1048951048951049</v>
      </c>
      <c r="M3823">
        <v>9.5333333333333332</v>
      </c>
      <c r="N3823">
        <v>15</v>
      </c>
      <c r="P3823">
        <v>143</v>
      </c>
    </row>
    <row r="3824" spans="1:16" x14ac:dyDescent="0.2">
      <c r="N3824">
        <v>13075.416666666639</v>
      </c>
      <c r="O3824">
        <v>797476</v>
      </c>
      <c r="P3824">
        <v>201640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EF8C-2D6E-A142-B615-959AA71D2221}">
  <dimension ref="A1:Y3637"/>
  <sheetViews>
    <sheetView zoomScale="70" zoomScaleNormal="70" workbookViewId="0">
      <selection activeCell="C29" sqref="C29"/>
    </sheetView>
  </sheetViews>
  <sheetFormatPr baseColWidth="10" defaultColWidth="11" defaultRowHeight="16" x14ac:dyDescent="0.2"/>
  <cols>
    <col min="2" max="2" width="14.6640625" customWidth="1"/>
    <col min="4" max="4" width="11.1640625" customWidth="1"/>
    <col min="5" max="5" width="12" customWidth="1"/>
    <col min="6" max="6" width="18.33203125" customWidth="1"/>
    <col min="7" max="7" width="17.83203125" customWidth="1"/>
    <col min="8" max="8" width="20" customWidth="1"/>
    <col min="9" max="9" width="18.1640625" customWidth="1"/>
    <col min="10" max="10" width="21.83203125" customWidth="1"/>
    <col min="11" max="11" width="18.1640625" customWidth="1"/>
    <col min="12" max="12" width="16.6640625" customWidth="1"/>
    <col min="13" max="13" width="16.1640625" customWidth="1"/>
    <col min="14" max="14" width="15.33203125" customWidth="1"/>
    <col min="15" max="15" width="11" customWidth="1"/>
    <col min="18" max="18" width="12.6640625" customWidth="1"/>
    <col min="20" max="20" width="17.1640625" customWidth="1"/>
    <col min="21" max="21" width="13.1640625" customWidth="1"/>
  </cols>
  <sheetData>
    <row r="1" spans="1:25" x14ac:dyDescent="0.2">
      <c r="A1" t="s">
        <v>7004</v>
      </c>
      <c r="B1" t="s">
        <v>7005</v>
      </c>
      <c r="C1" t="s">
        <v>3</v>
      </c>
      <c r="D1" t="s">
        <v>78</v>
      </c>
      <c r="E1" t="s">
        <v>7006</v>
      </c>
      <c r="F1" t="s">
        <v>8110</v>
      </c>
      <c r="G1" t="s">
        <v>8111</v>
      </c>
      <c r="H1" t="s">
        <v>8112</v>
      </c>
      <c r="I1" t="s">
        <v>8113</v>
      </c>
      <c r="J1" t="s">
        <v>8114</v>
      </c>
      <c r="K1" t="s">
        <v>8115</v>
      </c>
      <c r="L1" t="s">
        <v>3417</v>
      </c>
      <c r="M1" t="s">
        <v>17</v>
      </c>
      <c r="N1" t="s">
        <v>8116</v>
      </c>
      <c r="O1" t="s">
        <v>7007</v>
      </c>
      <c r="P1" t="s">
        <v>7008</v>
      </c>
      <c r="Q1" t="s">
        <v>7009</v>
      </c>
      <c r="R1" t="s">
        <v>7010</v>
      </c>
      <c r="S1" t="s">
        <v>7011</v>
      </c>
      <c r="T1" t="s">
        <v>8117</v>
      </c>
      <c r="U1" t="s">
        <v>7013</v>
      </c>
      <c r="V1" t="s">
        <v>3419</v>
      </c>
    </row>
    <row r="2" spans="1:25" x14ac:dyDescent="0.2">
      <c r="A2" t="s">
        <v>7043</v>
      </c>
      <c r="B2" t="s">
        <v>7045</v>
      </c>
      <c r="C2" t="s">
        <v>93</v>
      </c>
      <c r="D2" t="s">
        <v>96</v>
      </c>
      <c r="E2">
        <v>69.989999999999995</v>
      </c>
      <c r="F2" t="s">
        <v>8118</v>
      </c>
      <c r="L2" t="s">
        <v>11</v>
      </c>
      <c r="M2" t="s">
        <v>7044</v>
      </c>
      <c r="N2">
        <v>0</v>
      </c>
      <c r="O2">
        <v>0</v>
      </c>
      <c r="T2">
        <v>0</v>
      </c>
      <c r="U2">
        <v>0</v>
      </c>
      <c r="V2">
        <v>0</v>
      </c>
    </row>
    <row r="3" spans="1:25" x14ac:dyDescent="0.2">
      <c r="A3" t="s">
        <v>7049</v>
      </c>
      <c r="B3" t="s">
        <v>7051</v>
      </c>
      <c r="C3" t="s">
        <v>93</v>
      </c>
      <c r="D3" t="s">
        <v>96</v>
      </c>
      <c r="E3">
        <v>299.99</v>
      </c>
      <c r="F3" t="s">
        <v>8118</v>
      </c>
      <c r="L3" t="s">
        <v>11</v>
      </c>
      <c r="M3" t="s">
        <v>7050</v>
      </c>
      <c r="N3">
        <v>0</v>
      </c>
      <c r="O3">
        <v>0</v>
      </c>
      <c r="T3">
        <v>0</v>
      </c>
      <c r="U3">
        <v>0</v>
      </c>
      <c r="V3">
        <v>0</v>
      </c>
    </row>
    <row r="4" spans="1:25" x14ac:dyDescent="0.2">
      <c r="A4" t="s">
        <v>7049</v>
      </c>
      <c r="B4" t="s">
        <v>7051</v>
      </c>
      <c r="C4" t="s">
        <v>93</v>
      </c>
      <c r="D4" t="s">
        <v>96</v>
      </c>
      <c r="E4">
        <v>299.99</v>
      </c>
      <c r="F4" t="s">
        <v>8118</v>
      </c>
      <c r="L4" t="s">
        <v>14</v>
      </c>
      <c r="M4" t="s">
        <v>97</v>
      </c>
      <c r="N4">
        <v>0</v>
      </c>
      <c r="O4">
        <v>0</v>
      </c>
      <c r="U4">
        <v>0</v>
      </c>
      <c r="V4">
        <v>0</v>
      </c>
    </row>
    <row r="5" spans="1:25" x14ac:dyDescent="0.2">
      <c r="A5" t="s">
        <v>7049</v>
      </c>
      <c r="B5" t="s">
        <v>7051</v>
      </c>
      <c r="C5" t="s">
        <v>93</v>
      </c>
      <c r="D5" t="s">
        <v>96</v>
      </c>
      <c r="E5">
        <v>299.99</v>
      </c>
      <c r="F5" t="s">
        <v>8118</v>
      </c>
      <c r="L5" t="s">
        <v>10</v>
      </c>
      <c r="M5">
        <v>887779</v>
      </c>
      <c r="N5">
        <v>0</v>
      </c>
      <c r="O5">
        <v>0</v>
      </c>
      <c r="P5" t="s">
        <v>290</v>
      </c>
      <c r="T5">
        <v>0</v>
      </c>
      <c r="U5">
        <v>0</v>
      </c>
      <c r="V5">
        <v>0</v>
      </c>
    </row>
    <row r="6" spans="1:25" x14ac:dyDescent="0.2">
      <c r="A6" t="s">
        <v>7049</v>
      </c>
      <c r="B6" t="s">
        <v>7051</v>
      </c>
      <c r="C6" t="s">
        <v>93</v>
      </c>
      <c r="D6" t="s">
        <v>96</v>
      </c>
      <c r="E6">
        <v>299.99</v>
      </c>
      <c r="F6" t="s">
        <v>8118</v>
      </c>
      <c r="L6" t="s">
        <v>8</v>
      </c>
      <c r="M6" t="s">
        <v>7859</v>
      </c>
      <c r="N6">
        <v>0</v>
      </c>
      <c r="O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5" x14ac:dyDescent="0.2">
      <c r="A7" t="s">
        <v>7049</v>
      </c>
      <c r="B7" t="s">
        <v>7051</v>
      </c>
      <c r="C7" t="s">
        <v>93</v>
      </c>
      <c r="D7" t="s">
        <v>96</v>
      </c>
      <c r="E7">
        <v>299.99</v>
      </c>
      <c r="F7" t="s">
        <v>8118</v>
      </c>
      <c r="L7" t="s">
        <v>8109</v>
      </c>
      <c r="M7" t="s">
        <v>97</v>
      </c>
      <c r="N7">
        <v>0</v>
      </c>
      <c r="O7">
        <v>0</v>
      </c>
      <c r="U7">
        <v>0</v>
      </c>
      <c r="V7">
        <v>0</v>
      </c>
    </row>
    <row r="8" spans="1:25" x14ac:dyDescent="0.2">
      <c r="A8" t="s">
        <v>4242</v>
      </c>
      <c r="B8" t="s">
        <v>4243</v>
      </c>
      <c r="C8" t="s">
        <v>223</v>
      </c>
      <c r="D8" t="s">
        <v>96</v>
      </c>
      <c r="E8">
        <v>42.99</v>
      </c>
      <c r="F8" t="s">
        <v>8118</v>
      </c>
      <c r="L8" t="s">
        <v>11</v>
      </c>
      <c r="M8" t="s">
        <v>4244</v>
      </c>
      <c r="N8">
        <v>0</v>
      </c>
      <c r="O8">
        <v>0</v>
      </c>
      <c r="T8">
        <v>0</v>
      </c>
      <c r="U8">
        <v>0</v>
      </c>
      <c r="V8">
        <v>0</v>
      </c>
      <c r="Y8" t="s">
        <v>11</v>
      </c>
    </row>
    <row r="9" spans="1:25" x14ac:dyDescent="0.2">
      <c r="A9" t="s">
        <v>247</v>
      </c>
      <c r="B9" t="s">
        <v>248</v>
      </c>
      <c r="C9" t="s">
        <v>223</v>
      </c>
      <c r="D9" t="s">
        <v>228</v>
      </c>
      <c r="E9">
        <v>39.99</v>
      </c>
      <c r="F9" t="s">
        <v>8118</v>
      </c>
      <c r="G9">
        <v>298</v>
      </c>
      <c r="H9">
        <v>25</v>
      </c>
      <c r="I9">
        <v>273</v>
      </c>
      <c r="K9">
        <v>60</v>
      </c>
      <c r="L9" t="s">
        <v>11</v>
      </c>
      <c r="M9" t="s">
        <v>4249</v>
      </c>
      <c r="N9">
        <v>4</v>
      </c>
      <c r="O9">
        <v>0.25</v>
      </c>
      <c r="T9">
        <v>0.5</v>
      </c>
      <c r="U9">
        <v>79.98</v>
      </c>
      <c r="V9">
        <v>2</v>
      </c>
    </row>
    <row r="10" spans="1:25" x14ac:dyDescent="0.2">
      <c r="A10" t="s">
        <v>4354</v>
      </c>
      <c r="B10" t="s">
        <v>4355</v>
      </c>
      <c r="C10" t="s">
        <v>223</v>
      </c>
      <c r="D10" t="s">
        <v>96</v>
      </c>
      <c r="E10">
        <v>29.99</v>
      </c>
      <c r="F10" t="s">
        <v>8118</v>
      </c>
      <c r="L10" t="s">
        <v>11</v>
      </c>
      <c r="M10" t="s">
        <v>4356</v>
      </c>
      <c r="N10">
        <v>0</v>
      </c>
      <c r="O10">
        <v>0</v>
      </c>
      <c r="T10">
        <v>0</v>
      </c>
      <c r="U10">
        <v>0</v>
      </c>
      <c r="V10">
        <v>0</v>
      </c>
    </row>
    <row r="11" spans="1:25" x14ac:dyDescent="0.2">
      <c r="A11" t="s">
        <v>251</v>
      </c>
      <c r="B11" t="s">
        <v>252</v>
      </c>
      <c r="C11" t="s">
        <v>223</v>
      </c>
      <c r="D11" t="s">
        <v>228</v>
      </c>
      <c r="E11">
        <v>79.989999999999995</v>
      </c>
      <c r="F11" t="s">
        <v>8118</v>
      </c>
      <c r="J11">
        <v>20</v>
      </c>
      <c r="K11">
        <v>600</v>
      </c>
      <c r="L11" t="s">
        <v>11</v>
      </c>
      <c r="M11" t="s">
        <v>4267</v>
      </c>
      <c r="N11">
        <v>4.166666666666667</v>
      </c>
      <c r="O11">
        <v>0.24</v>
      </c>
      <c r="T11">
        <v>1.2</v>
      </c>
      <c r="U11">
        <v>319.95999999999998</v>
      </c>
      <c r="V11">
        <v>5</v>
      </c>
    </row>
    <row r="12" spans="1:25" x14ac:dyDescent="0.2">
      <c r="A12" t="s">
        <v>253</v>
      </c>
      <c r="B12" t="s">
        <v>254</v>
      </c>
      <c r="C12" t="s">
        <v>223</v>
      </c>
      <c r="D12" t="s">
        <v>228</v>
      </c>
      <c r="E12">
        <v>89.99</v>
      </c>
      <c r="F12" t="s">
        <v>8118</v>
      </c>
      <c r="G12">
        <v>158</v>
      </c>
      <c r="I12">
        <v>158</v>
      </c>
      <c r="L12" t="s">
        <v>11</v>
      </c>
      <c r="M12" t="s">
        <v>4271</v>
      </c>
      <c r="N12">
        <v>0</v>
      </c>
      <c r="O12">
        <v>0</v>
      </c>
      <c r="T12">
        <v>0.14285714285714285</v>
      </c>
      <c r="U12">
        <v>0</v>
      </c>
      <c r="V12">
        <v>0</v>
      </c>
    </row>
    <row r="13" spans="1:25" x14ac:dyDescent="0.2">
      <c r="A13" t="s">
        <v>255</v>
      </c>
      <c r="B13" t="s">
        <v>256</v>
      </c>
      <c r="C13" t="s">
        <v>223</v>
      </c>
      <c r="D13" t="s">
        <v>228</v>
      </c>
      <c r="E13">
        <v>59.99</v>
      </c>
      <c r="F13" t="s">
        <v>8118</v>
      </c>
      <c r="J13">
        <v>29</v>
      </c>
      <c r="K13">
        <v>40</v>
      </c>
      <c r="L13" t="s">
        <v>11</v>
      </c>
      <c r="M13" t="s">
        <v>4274</v>
      </c>
      <c r="N13">
        <v>4.5</v>
      </c>
      <c r="O13">
        <v>0.22222222222222221</v>
      </c>
      <c r="T13">
        <v>0.44444444444444442</v>
      </c>
      <c r="U13">
        <v>0</v>
      </c>
      <c r="V13">
        <v>2</v>
      </c>
    </row>
    <row r="14" spans="1:25" x14ac:dyDescent="0.2">
      <c r="A14" t="s">
        <v>259</v>
      </c>
      <c r="B14" t="s">
        <v>260</v>
      </c>
      <c r="C14" t="s">
        <v>223</v>
      </c>
      <c r="D14" t="s">
        <v>290</v>
      </c>
      <c r="E14">
        <v>99.99</v>
      </c>
      <c r="F14" t="s">
        <v>8118</v>
      </c>
      <c r="G14">
        <v>96</v>
      </c>
      <c r="H14">
        <v>1</v>
      </c>
      <c r="I14">
        <v>95</v>
      </c>
      <c r="L14" t="s">
        <v>11</v>
      </c>
      <c r="M14" t="s">
        <v>4280</v>
      </c>
      <c r="N14">
        <v>0</v>
      </c>
      <c r="O14">
        <v>0</v>
      </c>
      <c r="T14">
        <v>0.55555555555555558</v>
      </c>
      <c r="U14">
        <v>99.99</v>
      </c>
      <c r="V14">
        <v>0</v>
      </c>
    </row>
    <row r="15" spans="1:25" x14ac:dyDescent="0.2">
      <c r="A15" t="s">
        <v>261</v>
      </c>
      <c r="B15" t="s">
        <v>262</v>
      </c>
      <c r="C15" t="s">
        <v>223</v>
      </c>
      <c r="D15" t="s">
        <v>96</v>
      </c>
      <c r="E15">
        <v>79.989999999999995</v>
      </c>
      <c r="F15" t="s">
        <v>8118</v>
      </c>
      <c r="L15" t="s">
        <v>11</v>
      </c>
      <c r="M15" t="s">
        <v>4265</v>
      </c>
      <c r="N15">
        <v>0</v>
      </c>
      <c r="O15">
        <v>0</v>
      </c>
      <c r="T15">
        <v>0</v>
      </c>
      <c r="U15">
        <v>0</v>
      </c>
      <c r="V15">
        <v>0</v>
      </c>
    </row>
    <row r="16" spans="1:25" x14ac:dyDescent="0.2">
      <c r="A16" t="s">
        <v>233</v>
      </c>
      <c r="B16" t="s">
        <v>234</v>
      </c>
      <c r="C16" t="s">
        <v>223</v>
      </c>
      <c r="D16" t="s">
        <v>96</v>
      </c>
      <c r="E16">
        <v>59.99</v>
      </c>
      <c r="F16" t="s">
        <v>8118</v>
      </c>
      <c r="L16" t="s">
        <v>11</v>
      </c>
      <c r="M16" t="s">
        <v>4218</v>
      </c>
      <c r="N16">
        <v>0</v>
      </c>
      <c r="O16">
        <v>0</v>
      </c>
      <c r="T16">
        <v>0</v>
      </c>
      <c r="U16">
        <v>0</v>
      </c>
      <c r="V16">
        <v>0</v>
      </c>
    </row>
    <row r="17" spans="1:22" x14ac:dyDescent="0.2">
      <c r="A17" t="s">
        <v>243</v>
      </c>
      <c r="B17" t="s">
        <v>244</v>
      </c>
      <c r="C17" t="s">
        <v>223</v>
      </c>
      <c r="D17" t="s">
        <v>228</v>
      </c>
      <c r="E17">
        <v>29.99</v>
      </c>
      <c r="F17" t="s">
        <v>8118</v>
      </c>
      <c r="G17">
        <v>21</v>
      </c>
      <c r="H17">
        <v>21</v>
      </c>
      <c r="J17">
        <v>4</v>
      </c>
      <c r="K17">
        <v>640</v>
      </c>
      <c r="L17" t="s">
        <v>11</v>
      </c>
      <c r="M17" t="s">
        <v>4253</v>
      </c>
      <c r="N17">
        <v>4.7142857142857144</v>
      </c>
      <c r="O17">
        <v>0.21212121212121213</v>
      </c>
      <c r="T17">
        <v>1.2727272727272727</v>
      </c>
      <c r="U17">
        <v>29.99</v>
      </c>
      <c r="V17">
        <v>6</v>
      </c>
    </row>
    <row r="18" spans="1:22" x14ac:dyDescent="0.2">
      <c r="A18" t="s">
        <v>245</v>
      </c>
      <c r="B18" t="s">
        <v>246</v>
      </c>
      <c r="C18" t="s">
        <v>223</v>
      </c>
      <c r="D18" t="s">
        <v>228</v>
      </c>
      <c r="E18">
        <v>29.99</v>
      </c>
      <c r="F18" t="s">
        <v>8118</v>
      </c>
      <c r="G18">
        <v>102</v>
      </c>
      <c r="H18">
        <v>40</v>
      </c>
      <c r="I18">
        <v>62</v>
      </c>
      <c r="K18">
        <v>600</v>
      </c>
      <c r="L18" t="s">
        <v>11</v>
      </c>
      <c r="M18" t="s">
        <v>4261</v>
      </c>
      <c r="N18">
        <v>0</v>
      </c>
      <c r="O18">
        <v>0</v>
      </c>
      <c r="T18">
        <v>1.5</v>
      </c>
      <c r="U18">
        <v>29.99</v>
      </c>
      <c r="V18">
        <v>0</v>
      </c>
    </row>
    <row r="19" spans="1:22" x14ac:dyDescent="0.2">
      <c r="A19" t="s">
        <v>4235</v>
      </c>
      <c r="B19" t="s">
        <v>4236</v>
      </c>
      <c r="C19" t="s">
        <v>223</v>
      </c>
      <c r="D19" t="s">
        <v>96</v>
      </c>
      <c r="E19">
        <v>39.99</v>
      </c>
      <c r="F19" t="s">
        <v>8118</v>
      </c>
      <c r="L19" t="s">
        <v>11</v>
      </c>
      <c r="M19" t="s">
        <v>4237</v>
      </c>
      <c r="N19">
        <v>0</v>
      </c>
      <c r="O19">
        <v>0</v>
      </c>
      <c r="T19">
        <v>0</v>
      </c>
      <c r="U19">
        <v>0</v>
      </c>
      <c r="V19">
        <v>0</v>
      </c>
    </row>
    <row r="20" spans="1:22" x14ac:dyDescent="0.2">
      <c r="A20" t="s">
        <v>249</v>
      </c>
      <c r="B20" t="s">
        <v>250</v>
      </c>
      <c r="C20" t="s">
        <v>223</v>
      </c>
      <c r="D20" t="s">
        <v>228</v>
      </c>
      <c r="E20">
        <v>39.99</v>
      </c>
      <c r="F20" t="s">
        <v>8118</v>
      </c>
      <c r="G20">
        <v>149</v>
      </c>
      <c r="H20">
        <v>138</v>
      </c>
      <c r="I20">
        <v>11</v>
      </c>
      <c r="K20">
        <v>340</v>
      </c>
      <c r="L20" t="s">
        <v>11</v>
      </c>
      <c r="M20" t="s">
        <v>4238</v>
      </c>
      <c r="N20">
        <v>9</v>
      </c>
      <c r="O20">
        <v>0.1111111111111111</v>
      </c>
      <c r="T20">
        <v>0.1111111111111111</v>
      </c>
      <c r="U20">
        <v>0</v>
      </c>
      <c r="V20">
        <v>1</v>
      </c>
    </row>
    <row r="21" spans="1:22" x14ac:dyDescent="0.2">
      <c r="A21" t="s">
        <v>277</v>
      </c>
      <c r="B21" t="s">
        <v>278</v>
      </c>
      <c r="C21" t="s">
        <v>223</v>
      </c>
      <c r="D21" t="s">
        <v>228</v>
      </c>
      <c r="E21">
        <v>27.99</v>
      </c>
      <c r="F21" t="s">
        <v>8118</v>
      </c>
      <c r="L21" t="s">
        <v>11</v>
      </c>
      <c r="M21" t="s">
        <v>4317</v>
      </c>
      <c r="N21">
        <v>3.3333333333333335</v>
      </c>
      <c r="O21">
        <v>0.3</v>
      </c>
      <c r="T21">
        <v>0.3</v>
      </c>
      <c r="U21">
        <v>0</v>
      </c>
      <c r="V21">
        <v>1</v>
      </c>
    </row>
    <row r="22" spans="1:22" x14ac:dyDescent="0.2">
      <c r="A22" t="s">
        <v>279</v>
      </c>
      <c r="B22" t="s">
        <v>280</v>
      </c>
      <c r="C22" t="s">
        <v>223</v>
      </c>
      <c r="D22" t="s">
        <v>228</v>
      </c>
      <c r="E22">
        <v>24.99</v>
      </c>
      <c r="F22" t="s">
        <v>8118</v>
      </c>
      <c r="G22">
        <v>9</v>
      </c>
      <c r="I22">
        <v>9</v>
      </c>
      <c r="L22" t="s">
        <v>11</v>
      </c>
      <c r="M22" t="s">
        <v>4257</v>
      </c>
      <c r="N22">
        <v>0</v>
      </c>
      <c r="O22">
        <v>0</v>
      </c>
      <c r="T22">
        <v>0</v>
      </c>
      <c r="U22">
        <v>0</v>
      </c>
      <c r="V22">
        <v>0</v>
      </c>
    </row>
    <row r="23" spans="1:22" x14ac:dyDescent="0.2">
      <c r="A23" t="s">
        <v>4224</v>
      </c>
      <c r="B23" t="s">
        <v>4225</v>
      </c>
      <c r="C23" t="s">
        <v>223</v>
      </c>
      <c r="D23" t="s">
        <v>96</v>
      </c>
      <c r="E23">
        <v>109.99</v>
      </c>
      <c r="F23" t="s">
        <v>8118</v>
      </c>
      <c r="L23" t="s">
        <v>11</v>
      </c>
      <c r="M23" t="s">
        <v>4226</v>
      </c>
      <c r="N23">
        <v>0</v>
      </c>
      <c r="O23">
        <v>0</v>
      </c>
      <c r="T23">
        <v>0</v>
      </c>
      <c r="U23">
        <v>0</v>
      </c>
      <c r="V23">
        <v>0</v>
      </c>
    </row>
    <row r="24" spans="1:22" x14ac:dyDescent="0.2">
      <c r="A24" t="s">
        <v>239</v>
      </c>
      <c r="B24" t="s">
        <v>240</v>
      </c>
      <c r="C24" t="s">
        <v>223</v>
      </c>
      <c r="D24" t="s">
        <v>96</v>
      </c>
      <c r="E24">
        <v>109.99</v>
      </c>
      <c r="F24" t="s">
        <v>8118</v>
      </c>
      <c r="L24" t="s">
        <v>11</v>
      </c>
      <c r="M24" t="s">
        <v>4223</v>
      </c>
      <c r="N24">
        <v>0</v>
      </c>
      <c r="O24">
        <v>0</v>
      </c>
      <c r="T24">
        <v>0</v>
      </c>
      <c r="U24">
        <v>0</v>
      </c>
      <c r="V24">
        <v>0</v>
      </c>
    </row>
    <row r="25" spans="1:22" x14ac:dyDescent="0.2">
      <c r="A25" t="s">
        <v>4343</v>
      </c>
      <c r="B25" t="s">
        <v>4344</v>
      </c>
      <c r="C25" t="s">
        <v>223</v>
      </c>
      <c r="D25" t="s">
        <v>96</v>
      </c>
      <c r="E25">
        <v>22.99</v>
      </c>
      <c r="F25" t="s">
        <v>8118</v>
      </c>
      <c r="L25" t="s">
        <v>11</v>
      </c>
      <c r="M25" t="s">
        <v>4345</v>
      </c>
      <c r="N25">
        <v>0</v>
      </c>
      <c r="O25">
        <v>0</v>
      </c>
      <c r="T25">
        <v>0</v>
      </c>
      <c r="U25">
        <v>0</v>
      </c>
      <c r="V25">
        <v>0</v>
      </c>
    </row>
    <row r="26" spans="1:22" x14ac:dyDescent="0.2">
      <c r="A26" t="s">
        <v>4283</v>
      </c>
      <c r="B26" t="s">
        <v>4284</v>
      </c>
      <c r="C26" t="s">
        <v>223</v>
      </c>
      <c r="D26" t="s">
        <v>96</v>
      </c>
      <c r="E26">
        <v>79.989999999999995</v>
      </c>
      <c r="F26" t="s">
        <v>8118</v>
      </c>
      <c r="L26" t="s">
        <v>11</v>
      </c>
      <c r="M26" t="s">
        <v>4285</v>
      </c>
      <c r="N26">
        <v>0</v>
      </c>
      <c r="O26">
        <v>0</v>
      </c>
      <c r="T26">
        <v>0</v>
      </c>
      <c r="U26">
        <v>0</v>
      </c>
      <c r="V26">
        <v>0</v>
      </c>
    </row>
    <row r="27" spans="1:22" x14ac:dyDescent="0.2">
      <c r="A27" t="s">
        <v>263</v>
      </c>
      <c r="B27" t="s">
        <v>264</v>
      </c>
      <c r="C27" t="s">
        <v>223</v>
      </c>
      <c r="D27" t="s">
        <v>96</v>
      </c>
      <c r="E27">
        <v>119.99</v>
      </c>
      <c r="F27" t="s">
        <v>8118</v>
      </c>
      <c r="L27" t="s">
        <v>11</v>
      </c>
      <c r="M27" t="s">
        <v>4286</v>
      </c>
      <c r="N27">
        <v>0</v>
      </c>
      <c r="O27">
        <v>0</v>
      </c>
      <c r="T27">
        <v>0</v>
      </c>
      <c r="U27">
        <v>0</v>
      </c>
      <c r="V27">
        <v>0</v>
      </c>
    </row>
    <row r="28" spans="1:22" x14ac:dyDescent="0.2">
      <c r="A28" t="s">
        <v>265</v>
      </c>
      <c r="B28" t="s">
        <v>266</v>
      </c>
      <c r="C28" t="s">
        <v>223</v>
      </c>
      <c r="D28" t="s">
        <v>96</v>
      </c>
      <c r="E28">
        <v>22.99</v>
      </c>
      <c r="F28" t="s">
        <v>8118</v>
      </c>
      <c r="L28" t="s">
        <v>11</v>
      </c>
      <c r="M28" t="s">
        <v>4292</v>
      </c>
      <c r="N28">
        <v>0</v>
      </c>
      <c r="O28">
        <v>0</v>
      </c>
      <c r="T28">
        <v>0</v>
      </c>
      <c r="U28">
        <v>0</v>
      </c>
      <c r="V28">
        <v>0</v>
      </c>
    </row>
    <row r="29" spans="1:22" x14ac:dyDescent="0.2">
      <c r="A29" t="s">
        <v>4314</v>
      </c>
      <c r="B29" t="s">
        <v>4315</v>
      </c>
      <c r="C29" t="s">
        <v>223</v>
      </c>
      <c r="D29" t="s">
        <v>96</v>
      </c>
      <c r="E29">
        <v>149.99</v>
      </c>
      <c r="F29" t="s">
        <v>8118</v>
      </c>
      <c r="L29" t="s">
        <v>11</v>
      </c>
      <c r="M29" t="s">
        <v>4316</v>
      </c>
      <c r="N29">
        <v>0</v>
      </c>
      <c r="O29">
        <v>0</v>
      </c>
      <c r="T29">
        <v>0</v>
      </c>
      <c r="U29">
        <v>0</v>
      </c>
      <c r="V29">
        <v>0</v>
      </c>
    </row>
    <row r="30" spans="1:22" x14ac:dyDescent="0.2">
      <c r="A30" t="s">
        <v>4294</v>
      </c>
      <c r="B30" t="s">
        <v>4295</v>
      </c>
      <c r="C30" t="s">
        <v>223</v>
      </c>
      <c r="D30" t="s">
        <v>96</v>
      </c>
      <c r="E30">
        <v>54.99</v>
      </c>
      <c r="F30" t="s">
        <v>8118</v>
      </c>
      <c r="L30" t="s">
        <v>11</v>
      </c>
      <c r="M30" t="s">
        <v>4296</v>
      </c>
      <c r="N30">
        <v>0</v>
      </c>
      <c r="O30">
        <v>0</v>
      </c>
      <c r="T30">
        <v>0</v>
      </c>
      <c r="U30">
        <v>0</v>
      </c>
      <c r="V30">
        <v>0</v>
      </c>
    </row>
    <row r="31" spans="1:22" x14ac:dyDescent="0.2">
      <c r="A31" t="s">
        <v>4300</v>
      </c>
      <c r="B31" t="s">
        <v>4301</v>
      </c>
      <c r="C31" t="s">
        <v>223</v>
      </c>
      <c r="D31" t="s">
        <v>96</v>
      </c>
      <c r="E31">
        <v>54.99</v>
      </c>
      <c r="F31" t="s">
        <v>8118</v>
      </c>
      <c r="L31" t="s">
        <v>11</v>
      </c>
      <c r="M31" t="s">
        <v>4302</v>
      </c>
      <c r="N31">
        <v>0</v>
      </c>
      <c r="O31">
        <v>0</v>
      </c>
      <c r="T31">
        <v>0</v>
      </c>
      <c r="U31">
        <v>0</v>
      </c>
      <c r="V31">
        <v>0</v>
      </c>
    </row>
    <row r="32" spans="1:22" x14ac:dyDescent="0.2">
      <c r="A32" t="s">
        <v>273</v>
      </c>
      <c r="B32" t="s">
        <v>274</v>
      </c>
      <c r="C32" t="s">
        <v>223</v>
      </c>
      <c r="D32" t="s">
        <v>228</v>
      </c>
      <c r="E32">
        <v>59.99</v>
      </c>
      <c r="F32" t="s">
        <v>8118</v>
      </c>
      <c r="J32">
        <v>5</v>
      </c>
      <c r="K32">
        <v>160</v>
      </c>
      <c r="L32" t="s">
        <v>11</v>
      </c>
      <c r="M32" t="s">
        <v>4303</v>
      </c>
      <c r="N32">
        <v>1.4285714285714286</v>
      </c>
      <c r="O32">
        <v>0.7</v>
      </c>
      <c r="T32">
        <v>0.7</v>
      </c>
      <c r="U32">
        <v>59.99</v>
      </c>
      <c r="V32">
        <v>1</v>
      </c>
    </row>
    <row r="33" spans="1:22" x14ac:dyDescent="0.2">
      <c r="A33" t="s">
        <v>275</v>
      </c>
      <c r="B33" t="s">
        <v>276</v>
      </c>
      <c r="C33" t="s">
        <v>223</v>
      </c>
      <c r="D33" t="s">
        <v>228</v>
      </c>
      <c r="E33">
        <v>59.99</v>
      </c>
      <c r="F33" t="s">
        <v>8118</v>
      </c>
      <c r="J33">
        <v>25</v>
      </c>
      <c r="K33">
        <v>100</v>
      </c>
      <c r="L33" t="s">
        <v>11</v>
      </c>
      <c r="M33" t="s">
        <v>4310</v>
      </c>
      <c r="N33">
        <v>0</v>
      </c>
      <c r="O33">
        <v>0</v>
      </c>
      <c r="T33">
        <v>0.44444444444444442</v>
      </c>
      <c r="U33">
        <v>0</v>
      </c>
      <c r="V33">
        <v>0</v>
      </c>
    </row>
    <row r="34" spans="1:22" x14ac:dyDescent="0.2">
      <c r="A34" t="s">
        <v>237</v>
      </c>
      <c r="B34" t="s">
        <v>238</v>
      </c>
      <c r="C34" t="s">
        <v>223</v>
      </c>
      <c r="D34" t="s">
        <v>96</v>
      </c>
      <c r="E34">
        <v>109.99</v>
      </c>
      <c r="F34" t="s">
        <v>8118</v>
      </c>
      <c r="L34" t="s">
        <v>11</v>
      </c>
      <c r="M34" t="s">
        <v>4221</v>
      </c>
      <c r="N34">
        <v>0</v>
      </c>
      <c r="O34">
        <v>0</v>
      </c>
      <c r="T34">
        <v>0</v>
      </c>
      <c r="U34">
        <v>0</v>
      </c>
      <c r="V34">
        <v>0</v>
      </c>
    </row>
    <row r="35" spans="1:22" x14ac:dyDescent="0.2">
      <c r="A35" t="s">
        <v>4351</v>
      </c>
      <c r="B35" t="s">
        <v>4352</v>
      </c>
      <c r="C35" t="s">
        <v>223</v>
      </c>
      <c r="D35" t="s">
        <v>96</v>
      </c>
      <c r="E35">
        <v>24.99</v>
      </c>
      <c r="F35" t="s">
        <v>8118</v>
      </c>
      <c r="L35" t="s">
        <v>11</v>
      </c>
      <c r="M35" t="s">
        <v>4353</v>
      </c>
      <c r="N35">
        <v>0</v>
      </c>
      <c r="O35">
        <v>0</v>
      </c>
      <c r="T35">
        <v>0</v>
      </c>
      <c r="U35">
        <v>0</v>
      </c>
      <c r="V35">
        <v>0</v>
      </c>
    </row>
    <row r="36" spans="1:22" x14ac:dyDescent="0.2">
      <c r="A36" t="s">
        <v>257</v>
      </c>
      <c r="B36" t="s">
        <v>258</v>
      </c>
      <c r="C36" t="s">
        <v>223</v>
      </c>
      <c r="D36" t="s">
        <v>228</v>
      </c>
      <c r="E36">
        <v>59.99</v>
      </c>
      <c r="F36" t="s">
        <v>8118</v>
      </c>
      <c r="G36">
        <v>32</v>
      </c>
      <c r="H36">
        <v>2</v>
      </c>
      <c r="I36">
        <v>30</v>
      </c>
      <c r="L36" t="s">
        <v>11</v>
      </c>
      <c r="M36" t="s">
        <v>4277</v>
      </c>
      <c r="N36">
        <v>16</v>
      </c>
      <c r="O36">
        <v>6.25E-2</v>
      </c>
      <c r="T36">
        <v>0.125</v>
      </c>
      <c r="U36">
        <v>0</v>
      </c>
      <c r="V36">
        <v>2</v>
      </c>
    </row>
    <row r="37" spans="1:22" x14ac:dyDescent="0.2">
      <c r="A37" t="s">
        <v>4246</v>
      </c>
      <c r="B37" t="s">
        <v>4247</v>
      </c>
      <c r="C37" t="s">
        <v>223</v>
      </c>
      <c r="D37" t="s">
        <v>96</v>
      </c>
      <c r="E37">
        <v>42.99</v>
      </c>
      <c r="F37" t="s">
        <v>8118</v>
      </c>
      <c r="L37" t="s">
        <v>11</v>
      </c>
      <c r="M37" t="s">
        <v>4248</v>
      </c>
      <c r="N37">
        <v>0</v>
      </c>
      <c r="O37">
        <v>0</v>
      </c>
      <c r="T37">
        <v>0</v>
      </c>
      <c r="U37">
        <v>0</v>
      </c>
      <c r="V37">
        <v>0</v>
      </c>
    </row>
    <row r="38" spans="1:22" x14ac:dyDescent="0.2">
      <c r="A38" t="s">
        <v>226</v>
      </c>
      <c r="B38" t="s">
        <v>227</v>
      </c>
      <c r="C38" t="s">
        <v>223</v>
      </c>
      <c r="D38" t="s">
        <v>228</v>
      </c>
      <c r="E38">
        <v>119.99</v>
      </c>
      <c r="F38" t="s">
        <v>8118</v>
      </c>
      <c r="J38">
        <v>8</v>
      </c>
      <c r="K38">
        <v>100</v>
      </c>
      <c r="L38" t="s">
        <v>11</v>
      </c>
      <c r="M38" t="s">
        <v>4227</v>
      </c>
      <c r="N38">
        <v>4.4000000000000004</v>
      </c>
      <c r="O38">
        <v>0.22727272727272729</v>
      </c>
      <c r="T38">
        <v>0.45454545454545459</v>
      </c>
      <c r="U38">
        <v>0</v>
      </c>
      <c r="V38">
        <v>2</v>
      </c>
    </row>
    <row r="39" spans="1:22" x14ac:dyDescent="0.2">
      <c r="A39" t="s">
        <v>229</v>
      </c>
      <c r="B39" t="s">
        <v>230</v>
      </c>
      <c r="C39" t="s">
        <v>223</v>
      </c>
      <c r="D39" t="s">
        <v>228</v>
      </c>
      <c r="E39">
        <v>119.99</v>
      </c>
      <c r="F39" t="s">
        <v>8118</v>
      </c>
      <c r="G39">
        <v>286</v>
      </c>
      <c r="H39">
        <v>11</v>
      </c>
      <c r="I39">
        <v>275</v>
      </c>
      <c r="L39" t="s">
        <v>11</v>
      </c>
      <c r="M39" t="s">
        <v>4231</v>
      </c>
      <c r="N39">
        <v>0</v>
      </c>
      <c r="O39">
        <v>0</v>
      </c>
      <c r="T39">
        <v>0.33333333333333331</v>
      </c>
      <c r="U39">
        <v>0</v>
      </c>
      <c r="V39">
        <v>0</v>
      </c>
    </row>
    <row r="40" spans="1:22" x14ac:dyDescent="0.2">
      <c r="A40" t="s">
        <v>4325</v>
      </c>
      <c r="B40" t="s">
        <v>4326</v>
      </c>
      <c r="C40" t="s">
        <v>223</v>
      </c>
      <c r="D40" t="s">
        <v>96</v>
      </c>
      <c r="E40">
        <v>99.99</v>
      </c>
      <c r="F40" t="s">
        <v>8118</v>
      </c>
      <c r="L40" t="s">
        <v>11</v>
      </c>
      <c r="M40" t="s">
        <v>4327</v>
      </c>
      <c r="N40">
        <v>0</v>
      </c>
      <c r="O40">
        <v>0</v>
      </c>
      <c r="T40">
        <v>0</v>
      </c>
      <c r="U40">
        <v>0</v>
      </c>
      <c r="V40">
        <v>0</v>
      </c>
    </row>
    <row r="41" spans="1:22" x14ac:dyDescent="0.2">
      <c r="A41" t="s">
        <v>231</v>
      </c>
      <c r="B41" t="s">
        <v>232</v>
      </c>
      <c r="C41" t="s">
        <v>223</v>
      </c>
      <c r="D41" t="s">
        <v>96</v>
      </c>
      <c r="E41">
        <v>109.99</v>
      </c>
      <c r="F41" t="s">
        <v>8118</v>
      </c>
      <c r="L41" t="s">
        <v>11</v>
      </c>
      <c r="M41" t="s">
        <v>4219</v>
      </c>
      <c r="N41">
        <v>0</v>
      </c>
      <c r="O41">
        <v>0</v>
      </c>
      <c r="T41">
        <v>0</v>
      </c>
      <c r="U41">
        <v>0</v>
      </c>
      <c r="V41">
        <v>0</v>
      </c>
    </row>
    <row r="42" spans="1:22" x14ac:dyDescent="0.2">
      <c r="A42" t="s">
        <v>4322</v>
      </c>
      <c r="B42" t="s">
        <v>4323</v>
      </c>
      <c r="C42" t="s">
        <v>223</v>
      </c>
      <c r="D42" t="s">
        <v>96</v>
      </c>
      <c r="E42">
        <v>89.99</v>
      </c>
      <c r="F42" t="s">
        <v>8118</v>
      </c>
      <c r="L42" t="s">
        <v>11</v>
      </c>
      <c r="M42" t="s">
        <v>4324</v>
      </c>
      <c r="N42">
        <v>0</v>
      </c>
      <c r="O42">
        <v>0</v>
      </c>
      <c r="T42">
        <v>0</v>
      </c>
      <c r="U42">
        <v>0</v>
      </c>
      <c r="V42">
        <v>0</v>
      </c>
    </row>
    <row r="43" spans="1:22" x14ac:dyDescent="0.2">
      <c r="A43" t="s">
        <v>6428</v>
      </c>
      <c r="B43" t="s">
        <v>6429</v>
      </c>
      <c r="C43" t="s">
        <v>223</v>
      </c>
      <c r="D43" t="s">
        <v>96</v>
      </c>
      <c r="E43">
        <v>19.989999999999998</v>
      </c>
      <c r="F43" t="s">
        <v>8118</v>
      </c>
      <c r="L43" t="s">
        <v>11</v>
      </c>
      <c r="M43" t="s">
        <v>6430</v>
      </c>
      <c r="N43">
        <v>0</v>
      </c>
      <c r="O43">
        <v>0</v>
      </c>
      <c r="T43">
        <v>0</v>
      </c>
      <c r="U43">
        <v>0</v>
      </c>
      <c r="V43">
        <v>0</v>
      </c>
    </row>
    <row r="44" spans="1:22" x14ac:dyDescent="0.2">
      <c r="A44" t="s">
        <v>241</v>
      </c>
      <c r="B44" t="s">
        <v>242</v>
      </c>
      <c r="C44" t="s">
        <v>223</v>
      </c>
      <c r="D44" t="s">
        <v>96</v>
      </c>
      <c r="E44">
        <v>29.99</v>
      </c>
      <c r="F44" t="s">
        <v>8118</v>
      </c>
      <c r="L44" t="s">
        <v>11</v>
      </c>
      <c r="M44" t="s">
        <v>4350</v>
      </c>
      <c r="N44">
        <v>0</v>
      </c>
      <c r="O44">
        <v>0</v>
      </c>
      <c r="T44">
        <v>0</v>
      </c>
      <c r="U44">
        <v>0</v>
      </c>
      <c r="V44">
        <v>0</v>
      </c>
    </row>
    <row r="45" spans="1:22" x14ac:dyDescent="0.2">
      <c r="A45" t="s">
        <v>281</v>
      </c>
      <c r="B45" t="s">
        <v>282</v>
      </c>
      <c r="C45" t="s">
        <v>223</v>
      </c>
      <c r="D45" t="s">
        <v>228</v>
      </c>
      <c r="E45">
        <v>29.99</v>
      </c>
      <c r="F45" t="s">
        <v>8118</v>
      </c>
      <c r="J45">
        <v>1</v>
      </c>
      <c r="K45">
        <v>20</v>
      </c>
      <c r="L45" t="s">
        <v>11</v>
      </c>
      <c r="M45" t="s">
        <v>4346</v>
      </c>
      <c r="N45">
        <v>10</v>
      </c>
      <c r="O45">
        <v>0.1</v>
      </c>
      <c r="T45">
        <v>0.1</v>
      </c>
      <c r="U45">
        <v>0</v>
      </c>
      <c r="V45">
        <v>1</v>
      </c>
    </row>
    <row r="46" spans="1:22" x14ac:dyDescent="0.2">
      <c r="A46" t="s">
        <v>4289</v>
      </c>
      <c r="B46" t="s">
        <v>4290</v>
      </c>
      <c r="C46" t="s">
        <v>223</v>
      </c>
      <c r="D46" t="s">
        <v>96</v>
      </c>
      <c r="E46">
        <v>99.99</v>
      </c>
      <c r="F46" t="s">
        <v>8118</v>
      </c>
      <c r="L46" t="s">
        <v>11</v>
      </c>
      <c r="M46" t="s">
        <v>4291</v>
      </c>
      <c r="N46">
        <v>0</v>
      </c>
      <c r="O46">
        <v>0</v>
      </c>
      <c r="T46">
        <v>0</v>
      </c>
      <c r="U46">
        <v>0</v>
      </c>
      <c r="V46">
        <v>0</v>
      </c>
    </row>
    <row r="47" spans="1:22" x14ac:dyDescent="0.2">
      <c r="A47" t="s">
        <v>4297</v>
      </c>
      <c r="B47" t="s">
        <v>4298</v>
      </c>
      <c r="C47" t="s">
        <v>223</v>
      </c>
      <c r="D47" t="s">
        <v>96</v>
      </c>
      <c r="E47">
        <v>54.99</v>
      </c>
      <c r="F47" t="s">
        <v>8118</v>
      </c>
      <c r="L47" t="s">
        <v>11</v>
      </c>
      <c r="M47" t="s">
        <v>4299</v>
      </c>
      <c r="N47">
        <v>0</v>
      </c>
      <c r="O47">
        <v>0</v>
      </c>
      <c r="T47">
        <v>0</v>
      </c>
      <c r="U47">
        <v>0</v>
      </c>
      <c r="V47">
        <v>0</v>
      </c>
    </row>
    <row r="48" spans="1:22" x14ac:dyDescent="0.2">
      <c r="A48" t="s">
        <v>4307</v>
      </c>
      <c r="B48" t="s">
        <v>4308</v>
      </c>
      <c r="C48" t="s">
        <v>223</v>
      </c>
      <c r="D48" t="s">
        <v>96</v>
      </c>
      <c r="E48">
        <v>62.99</v>
      </c>
      <c r="F48" t="s">
        <v>8118</v>
      </c>
      <c r="L48" t="s">
        <v>11</v>
      </c>
      <c r="M48" t="s">
        <v>4309</v>
      </c>
      <c r="N48">
        <v>0</v>
      </c>
      <c r="O48">
        <v>0</v>
      </c>
      <c r="T48">
        <v>0</v>
      </c>
      <c r="U48">
        <v>0</v>
      </c>
      <c r="V48">
        <v>0</v>
      </c>
    </row>
    <row r="49" spans="1:22" x14ac:dyDescent="0.2">
      <c r="A49" t="s">
        <v>247</v>
      </c>
      <c r="B49" t="s">
        <v>248</v>
      </c>
      <c r="C49" t="s">
        <v>223</v>
      </c>
      <c r="D49" t="s">
        <v>228</v>
      </c>
      <c r="E49">
        <v>39.99</v>
      </c>
      <c r="F49" t="s">
        <v>8118</v>
      </c>
      <c r="G49">
        <v>298</v>
      </c>
      <c r="H49">
        <v>25</v>
      </c>
      <c r="I49">
        <v>273</v>
      </c>
      <c r="K49">
        <v>60</v>
      </c>
      <c r="L49" t="s">
        <v>14</v>
      </c>
      <c r="M49" t="s">
        <v>97</v>
      </c>
      <c r="N49">
        <v>120.00000000000001</v>
      </c>
      <c r="O49">
        <v>8.3333333333333332E-3</v>
      </c>
      <c r="T49">
        <v>1.0833333333333333</v>
      </c>
      <c r="U49">
        <v>39.99</v>
      </c>
      <c r="V49">
        <v>130</v>
      </c>
    </row>
    <row r="50" spans="1:22" x14ac:dyDescent="0.2">
      <c r="A50" t="s">
        <v>275</v>
      </c>
      <c r="B50" t="s">
        <v>276</v>
      </c>
      <c r="C50" t="s">
        <v>223</v>
      </c>
      <c r="D50" t="s">
        <v>228</v>
      </c>
      <c r="E50">
        <v>59.99</v>
      </c>
      <c r="F50" t="s">
        <v>8118</v>
      </c>
      <c r="J50">
        <v>25</v>
      </c>
      <c r="K50">
        <v>100</v>
      </c>
      <c r="L50" t="s">
        <v>14</v>
      </c>
      <c r="M50" t="s">
        <v>97</v>
      </c>
      <c r="N50">
        <v>84</v>
      </c>
      <c r="O50">
        <v>1.1904761904761906E-2</v>
      </c>
      <c r="T50">
        <v>1.4166666666666667</v>
      </c>
      <c r="U50">
        <v>59.99</v>
      </c>
      <c r="V50">
        <v>119</v>
      </c>
    </row>
    <row r="51" spans="1:22" x14ac:dyDescent="0.2">
      <c r="A51" t="s">
        <v>251</v>
      </c>
      <c r="B51" t="s">
        <v>252</v>
      </c>
      <c r="C51" t="s">
        <v>223</v>
      </c>
      <c r="D51" t="s">
        <v>228</v>
      </c>
      <c r="E51">
        <v>79.989999999999995</v>
      </c>
      <c r="F51" t="s">
        <v>8118</v>
      </c>
      <c r="J51">
        <v>20</v>
      </c>
      <c r="K51">
        <v>600</v>
      </c>
      <c r="L51" t="s">
        <v>14</v>
      </c>
      <c r="M51" t="s">
        <v>97</v>
      </c>
      <c r="N51">
        <v>89.142857142857139</v>
      </c>
      <c r="O51">
        <v>1.1217948717948718E-2</v>
      </c>
      <c r="T51">
        <v>1.75</v>
      </c>
      <c r="U51">
        <v>399.95</v>
      </c>
      <c r="V51">
        <v>156</v>
      </c>
    </row>
    <row r="52" spans="1:22" x14ac:dyDescent="0.2">
      <c r="A52" t="s">
        <v>273</v>
      </c>
      <c r="B52" t="s">
        <v>274</v>
      </c>
      <c r="C52" t="s">
        <v>223</v>
      </c>
      <c r="D52" t="s">
        <v>228</v>
      </c>
      <c r="E52">
        <v>59.99</v>
      </c>
      <c r="F52" t="s">
        <v>8118</v>
      </c>
      <c r="J52">
        <v>5</v>
      </c>
      <c r="K52">
        <v>160</v>
      </c>
      <c r="L52" t="s">
        <v>14</v>
      </c>
      <c r="M52" t="s">
        <v>97</v>
      </c>
      <c r="N52">
        <v>61.043478260869563</v>
      </c>
      <c r="O52">
        <v>1.6381766381766381E-2</v>
      </c>
      <c r="T52">
        <v>1.9166666666666667</v>
      </c>
      <c r="U52">
        <v>119.98</v>
      </c>
      <c r="V52">
        <v>117</v>
      </c>
    </row>
    <row r="53" spans="1:22" x14ac:dyDescent="0.2">
      <c r="A53" t="s">
        <v>4300</v>
      </c>
      <c r="B53" t="s">
        <v>4301</v>
      </c>
      <c r="C53" t="s">
        <v>223</v>
      </c>
      <c r="D53" t="s">
        <v>96</v>
      </c>
      <c r="E53">
        <v>54.99</v>
      </c>
      <c r="F53" t="s">
        <v>8118</v>
      </c>
      <c r="L53" t="s">
        <v>14</v>
      </c>
      <c r="M53" t="s">
        <v>97</v>
      </c>
      <c r="N53">
        <v>0</v>
      </c>
      <c r="O53">
        <v>0</v>
      </c>
      <c r="U53">
        <v>0</v>
      </c>
      <c r="V53">
        <v>0</v>
      </c>
    </row>
    <row r="54" spans="1:22" x14ac:dyDescent="0.2">
      <c r="A54" t="s">
        <v>4297</v>
      </c>
      <c r="B54" t="s">
        <v>4298</v>
      </c>
      <c r="C54" t="s">
        <v>223</v>
      </c>
      <c r="D54" t="s">
        <v>96</v>
      </c>
      <c r="E54">
        <v>54.99</v>
      </c>
      <c r="F54" t="s">
        <v>8118</v>
      </c>
      <c r="L54" t="s">
        <v>14</v>
      </c>
      <c r="M54" t="s">
        <v>97</v>
      </c>
      <c r="N54">
        <v>0</v>
      </c>
      <c r="O54">
        <v>0</v>
      </c>
      <c r="U54">
        <v>0</v>
      </c>
      <c r="V54">
        <v>0</v>
      </c>
    </row>
    <row r="55" spans="1:22" x14ac:dyDescent="0.2">
      <c r="A55" t="s">
        <v>261</v>
      </c>
      <c r="B55" t="s">
        <v>262</v>
      </c>
      <c r="C55" t="s">
        <v>223</v>
      </c>
      <c r="D55" t="s">
        <v>96</v>
      </c>
      <c r="E55">
        <v>79.989999999999995</v>
      </c>
      <c r="F55" t="s">
        <v>8118</v>
      </c>
      <c r="L55" t="s">
        <v>14</v>
      </c>
      <c r="M55" t="s">
        <v>97</v>
      </c>
      <c r="N55">
        <v>0</v>
      </c>
      <c r="O55">
        <v>0</v>
      </c>
      <c r="U55">
        <v>0</v>
      </c>
      <c r="V55">
        <v>0</v>
      </c>
    </row>
    <row r="56" spans="1:22" x14ac:dyDescent="0.2">
      <c r="A56" t="s">
        <v>4283</v>
      </c>
      <c r="B56" t="s">
        <v>4284</v>
      </c>
      <c r="C56" t="s">
        <v>223</v>
      </c>
      <c r="D56" t="s">
        <v>96</v>
      </c>
      <c r="E56">
        <v>79.989999999999995</v>
      </c>
      <c r="F56" t="s">
        <v>8118</v>
      </c>
      <c r="L56" t="s">
        <v>14</v>
      </c>
      <c r="M56" t="s">
        <v>97</v>
      </c>
      <c r="N56">
        <v>0</v>
      </c>
      <c r="O56">
        <v>0</v>
      </c>
      <c r="T56">
        <v>0</v>
      </c>
      <c r="U56">
        <v>0</v>
      </c>
      <c r="V56">
        <v>4</v>
      </c>
    </row>
    <row r="57" spans="1:22" x14ac:dyDescent="0.2">
      <c r="A57" t="s">
        <v>255</v>
      </c>
      <c r="B57" t="s">
        <v>256</v>
      </c>
      <c r="C57" t="s">
        <v>223</v>
      </c>
      <c r="D57" t="s">
        <v>228</v>
      </c>
      <c r="E57">
        <v>59.99</v>
      </c>
      <c r="F57" t="s">
        <v>8118</v>
      </c>
      <c r="J57">
        <v>29</v>
      </c>
      <c r="K57">
        <v>40</v>
      </c>
      <c r="L57" t="s">
        <v>14</v>
      </c>
      <c r="M57" t="s">
        <v>97</v>
      </c>
      <c r="N57">
        <v>123.42857142857142</v>
      </c>
      <c r="O57">
        <v>8.1018518518518531E-3</v>
      </c>
      <c r="T57">
        <v>1.1666666666666667</v>
      </c>
      <c r="U57">
        <v>119.98</v>
      </c>
      <c r="V57">
        <v>144</v>
      </c>
    </row>
    <row r="58" spans="1:22" x14ac:dyDescent="0.2">
      <c r="A58" t="s">
        <v>4307</v>
      </c>
      <c r="B58" t="s">
        <v>4308</v>
      </c>
      <c r="C58" t="s">
        <v>223</v>
      </c>
      <c r="D58" t="s">
        <v>96</v>
      </c>
      <c r="E58">
        <v>62.99</v>
      </c>
      <c r="F58" t="s">
        <v>8118</v>
      </c>
      <c r="L58" t="s">
        <v>14</v>
      </c>
      <c r="M58" t="s">
        <v>97</v>
      </c>
      <c r="N58">
        <v>0</v>
      </c>
      <c r="O58">
        <v>0</v>
      </c>
      <c r="U58">
        <v>0</v>
      </c>
      <c r="V58">
        <v>0</v>
      </c>
    </row>
    <row r="59" spans="1:22" x14ac:dyDescent="0.2">
      <c r="A59" t="s">
        <v>7100</v>
      </c>
      <c r="B59" t="s">
        <v>7101</v>
      </c>
      <c r="C59" t="s">
        <v>223</v>
      </c>
      <c r="D59" t="s">
        <v>96</v>
      </c>
      <c r="E59">
        <v>22.99</v>
      </c>
      <c r="F59" t="s">
        <v>8118</v>
      </c>
      <c r="L59" t="s">
        <v>14</v>
      </c>
      <c r="M59" t="s">
        <v>97</v>
      </c>
      <c r="N59">
        <v>0</v>
      </c>
      <c r="O59">
        <v>0</v>
      </c>
      <c r="U59">
        <v>0</v>
      </c>
      <c r="V59">
        <v>0</v>
      </c>
    </row>
    <row r="60" spans="1:22" x14ac:dyDescent="0.2">
      <c r="A60" t="s">
        <v>226</v>
      </c>
      <c r="B60" t="s">
        <v>227</v>
      </c>
      <c r="C60" t="s">
        <v>223</v>
      </c>
      <c r="D60" t="s">
        <v>228</v>
      </c>
      <c r="E60">
        <v>119.99</v>
      </c>
      <c r="F60" t="s">
        <v>8118</v>
      </c>
      <c r="J60">
        <v>8</v>
      </c>
      <c r="K60">
        <v>100</v>
      </c>
      <c r="L60" t="s">
        <v>14</v>
      </c>
      <c r="M60" t="s">
        <v>97</v>
      </c>
      <c r="N60">
        <v>53.2</v>
      </c>
      <c r="O60">
        <v>1.8796992481203006E-2</v>
      </c>
      <c r="T60">
        <v>2.5</v>
      </c>
      <c r="U60">
        <v>599.94999999999993</v>
      </c>
      <c r="V60">
        <v>133</v>
      </c>
    </row>
    <row r="61" spans="1:22" x14ac:dyDescent="0.2">
      <c r="A61" t="s">
        <v>4224</v>
      </c>
      <c r="B61" t="s">
        <v>4225</v>
      </c>
      <c r="C61" t="s">
        <v>223</v>
      </c>
      <c r="D61" t="s">
        <v>96</v>
      </c>
      <c r="E61">
        <v>109.99</v>
      </c>
      <c r="F61" t="s">
        <v>8118</v>
      </c>
      <c r="L61" t="s">
        <v>14</v>
      </c>
      <c r="M61" t="s">
        <v>97</v>
      </c>
      <c r="N61">
        <v>0</v>
      </c>
      <c r="O61">
        <v>0</v>
      </c>
      <c r="U61">
        <v>0</v>
      </c>
      <c r="V61">
        <v>0</v>
      </c>
    </row>
    <row r="62" spans="1:22" x14ac:dyDescent="0.2">
      <c r="A62" t="s">
        <v>231</v>
      </c>
      <c r="B62" t="s">
        <v>232</v>
      </c>
      <c r="C62" t="s">
        <v>223</v>
      </c>
      <c r="D62" t="s">
        <v>96</v>
      </c>
      <c r="E62">
        <v>109.99</v>
      </c>
      <c r="F62" t="s">
        <v>8118</v>
      </c>
      <c r="L62" t="s">
        <v>14</v>
      </c>
      <c r="M62" t="s">
        <v>97</v>
      </c>
      <c r="N62">
        <v>12</v>
      </c>
      <c r="O62">
        <v>8.3333333333333329E-2</v>
      </c>
      <c r="T62">
        <v>0.25</v>
      </c>
      <c r="U62">
        <v>0</v>
      </c>
      <c r="V62">
        <v>3</v>
      </c>
    </row>
    <row r="63" spans="1:22" x14ac:dyDescent="0.2">
      <c r="A63" t="s">
        <v>245</v>
      </c>
      <c r="B63" t="s">
        <v>246</v>
      </c>
      <c r="C63" t="s">
        <v>223</v>
      </c>
      <c r="D63" t="s">
        <v>228</v>
      </c>
      <c r="E63">
        <v>29.99</v>
      </c>
      <c r="F63" t="s">
        <v>8118</v>
      </c>
      <c r="G63">
        <v>102</v>
      </c>
      <c r="H63">
        <v>40</v>
      </c>
      <c r="I63">
        <v>62</v>
      </c>
      <c r="K63">
        <v>600</v>
      </c>
      <c r="L63" t="s">
        <v>14</v>
      </c>
      <c r="M63" t="s">
        <v>97</v>
      </c>
      <c r="N63">
        <v>83.25</v>
      </c>
      <c r="O63">
        <v>1.2012012012012012E-2</v>
      </c>
      <c r="T63">
        <v>1.3333333333333333</v>
      </c>
      <c r="U63">
        <v>59.98</v>
      </c>
      <c r="V63">
        <v>111</v>
      </c>
    </row>
    <row r="64" spans="1:22" x14ac:dyDescent="0.2">
      <c r="A64" t="s">
        <v>249</v>
      </c>
      <c r="B64" t="s">
        <v>250</v>
      </c>
      <c r="C64" t="s">
        <v>223</v>
      </c>
      <c r="D64" t="s">
        <v>228</v>
      </c>
      <c r="E64">
        <v>39.99</v>
      </c>
      <c r="F64" t="s">
        <v>8118</v>
      </c>
      <c r="G64">
        <v>149</v>
      </c>
      <c r="H64">
        <v>138</v>
      </c>
      <c r="I64">
        <v>11</v>
      </c>
      <c r="K64">
        <v>340</v>
      </c>
      <c r="L64" t="s">
        <v>14</v>
      </c>
      <c r="M64" t="s">
        <v>97</v>
      </c>
      <c r="N64">
        <v>54</v>
      </c>
      <c r="O64">
        <v>1.8518518518518517E-2</v>
      </c>
      <c r="T64">
        <v>0.16666666666666666</v>
      </c>
      <c r="U64">
        <v>0</v>
      </c>
      <c r="V64">
        <v>9</v>
      </c>
    </row>
    <row r="65" spans="1:22" x14ac:dyDescent="0.2">
      <c r="A65" t="s">
        <v>4294</v>
      </c>
      <c r="B65" t="s">
        <v>4295</v>
      </c>
      <c r="C65" t="s">
        <v>223</v>
      </c>
      <c r="D65" t="s">
        <v>96</v>
      </c>
      <c r="E65">
        <v>54.99</v>
      </c>
      <c r="F65" t="s">
        <v>8118</v>
      </c>
      <c r="L65" t="s">
        <v>14</v>
      </c>
      <c r="M65" t="s">
        <v>97</v>
      </c>
      <c r="N65">
        <v>0</v>
      </c>
      <c r="O65">
        <v>0</v>
      </c>
      <c r="U65">
        <v>0</v>
      </c>
      <c r="V65">
        <v>0</v>
      </c>
    </row>
    <row r="66" spans="1:22" x14ac:dyDescent="0.2">
      <c r="A66" t="s">
        <v>4314</v>
      </c>
      <c r="B66" t="s">
        <v>4315</v>
      </c>
      <c r="C66" t="s">
        <v>223</v>
      </c>
      <c r="D66" t="s">
        <v>96</v>
      </c>
      <c r="E66">
        <v>149.99</v>
      </c>
      <c r="F66" t="s">
        <v>8118</v>
      </c>
      <c r="L66" t="s">
        <v>14</v>
      </c>
      <c r="M66" t="s">
        <v>97</v>
      </c>
      <c r="N66">
        <v>0</v>
      </c>
      <c r="O66">
        <v>0</v>
      </c>
      <c r="U66">
        <v>0</v>
      </c>
      <c r="V66">
        <v>0</v>
      </c>
    </row>
    <row r="67" spans="1:22" x14ac:dyDescent="0.2">
      <c r="A67" t="s">
        <v>265</v>
      </c>
      <c r="B67" t="s">
        <v>266</v>
      </c>
      <c r="C67" t="s">
        <v>223</v>
      </c>
      <c r="D67" t="s">
        <v>96</v>
      </c>
      <c r="E67">
        <v>22.99</v>
      </c>
      <c r="F67" t="s">
        <v>8118</v>
      </c>
      <c r="L67" t="s">
        <v>14</v>
      </c>
      <c r="M67" t="s">
        <v>97</v>
      </c>
      <c r="N67">
        <v>0</v>
      </c>
      <c r="O67">
        <v>0</v>
      </c>
      <c r="T67">
        <v>0</v>
      </c>
      <c r="U67">
        <v>0</v>
      </c>
      <c r="V67">
        <v>2</v>
      </c>
    </row>
    <row r="68" spans="1:22" x14ac:dyDescent="0.2">
      <c r="A68" t="s">
        <v>237</v>
      </c>
      <c r="B68" t="s">
        <v>238</v>
      </c>
      <c r="C68" t="s">
        <v>223</v>
      </c>
      <c r="D68" t="s">
        <v>96</v>
      </c>
      <c r="E68">
        <v>109.99</v>
      </c>
      <c r="F68" t="s">
        <v>8118</v>
      </c>
      <c r="L68" t="s">
        <v>14</v>
      </c>
      <c r="M68" t="s">
        <v>97</v>
      </c>
      <c r="N68">
        <v>108</v>
      </c>
      <c r="O68">
        <v>9.2592592592592587E-3</v>
      </c>
      <c r="T68">
        <v>8.3333333333333329E-2</v>
      </c>
      <c r="U68">
        <v>0</v>
      </c>
      <c r="V68">
        <v>9</v>
      </c>
    </row>
    <row r="69" spans="1:22" x14ac:dyDescent="0.2">
      <c r="A69" t="s">
        <v>243</v>
      </c>
      <c r="B69" t="s">
        <v>244</v>
      </c>
      <c r="C69" t="s">
        <v>223</v>
      </c>
      <c r="D69" t="s">
        <v>228</v>
      </c>
      <c r="E69">
        <v>29.99</v>
      </c>
      <c r="F69" t="s">
        <v>8118</v>
      </c>
      <c r="G69">
        <v>21</v>
      </c>
      <c r="H69">
        <v>21</v>
      </c>
      <c r="J69">
        <v>4</v>
      </c>
      <c r="K69">
        <v>640</v>
      </c>
      <c r="L69" t="s">
        <v>14</v>
      </c>
      <c r="M69" t="s">
        <v>97</v>
      </c>
      <c r="N69">
        <v>59.5</v>
      </c>
      <c r="O69">
        <v>1.680672268907563E-2</v>
      </c>
      <c r="T69">
        <v>2</v>
      </c>
      <c r="U69">
        <v>119.96</v>
      </c>
      <c r="V69">
        <v>119</v>
      </c>
    </row>
    <row r="70" spans="1:22" x14ac:dyDescent="0.2">
      <c r="A70" t="s">
        <v>247</v>
      </c>
      <c r="B70" t="s">
        <v>248</v>
      </c>
      <c r="C70" t="s">
        <v>223</v>
      </c>
      <c r="D70" t="s">
        <v>228</v>
      </c>
      <c r="E70">
        <v>39.99</v>
      </c>
      <c r="F70" t="s">
        <v>8118</v>
      </c>
      <c r="G70">
        <v>298</v>
      </c>
      <c r="H70">
        <v>25</v>
      </c>
      <c r="I70">
        <v>273</v>
      </c>
      <c r="K70">
        <v>60</v>
      </c>
      <c r="L70" t="s">
        <v>10</v>
      </c>
      <c r="M70">
        <v>625045</v>
      </c>
      <c r="N70">
        <v>16</v>
      </c>
      <c r="O70">
        <v>6.2666666666666662E-2</v>
      </c>
      <c r="P70" t="s">
        <v>7015</v>
      </c>
      <c r="T70">
        <v>24</v>
      </c>
      <c r="U70">
        <v>1359.66</v>
      </c>
      <c r="V70">
        <v>375</v>
      </c>
    </row>
    <row r="71" spans="1:22" x14ac:dyDescent="0.2">
      <c r="A71" t="s">
        <v>251</v>
      </c>
      <c r="B71" t="s">
        <v>252</v>
      </c>
      <c r="C71" t="s">
        <v>223</v>
      </c>
      <c r="D71" t="s">
        <v>228</v>
      </c>
      <c r="E71">
        <v>79.989999999999995</v>
      </c>
      <c r="F71" t="s">
        <v>8118</v>
      </c>
      <c r="J71">
        <v>20</v>
      </c>
      <c r="K71">
        <v>600</v>
      </c>
      <c r="L71" t="s">
        <v>10</v>
      </c>
      <c r="M71">
        <v>609516</v>
      </c>
      <c r="N71">
        <v>10</v>
      </c>
      <c r="O71">
        <v>9.9056603773584911E-2</v>
      </c>
      <c r="P71" t="s">
        <v>7015</v>
      </c>
      <c r="T71">
        <v>32</v>
      </c>
      <c r="U71">
        <v>1999.7499999999998</v>
      </c>
      <c r="V71">
        <v>318</v>
      </c>
    </row>
    <row r="72" spans="1:22" x14ac:dyDescent="0.2">
      <c r="A72" t="s">
        <v>253</v>
      </c>
      <c r="B72" t="s">
        <v>254</v>
      </c>
      <c r="C72" t="s">
        <v>223</v>
      </c>
      <c r="D72" t="s">
        <v>228</v>
      </c>
      <c r="E72">
        <v>89.99</v>
      </c>
      <c r="F72" t="s">
        <v>8118</v>
      </c>
      <c r="G72">
        <v>158</v>
      </c>
      <c r="I72">
        <v>158</v>
      </c>
      <c r="L72" t="s">
        <v>10</v>
      </c>
      <c r="M72">
        <v>609512</v>
      </c>
      <c r="N72">
        <v>24</v>
      </c>
      <c r="O72">
        <v>4.1301169590643269E-2</v>
      </c>
      <c r="P72" t="s">
        <v>7015</v>
      </c>
      <c r="T72">
        <v>9</v>
      </c>
      <c r="U72">
        <v>359.96</v>
      </c>
      <c r="V72">
        <v>228</v>
      </c>
    </row>
    <row r="73" spans="1:22" x14ac:dyDescent="0.2">
      <c r="A73" t="s">
        <v>255</v>
      </c>
      <c r="B73" t="s">
        <v>256</v>
      </c>
      <c r="C73" t="s">
        <v>223</v>
      </c>
      <c r="D73" t="s">
        <v>228</v>
      </c>
      <c r="E73">
        <v>59.99</v>
      </c>
      <c r="F73" t="s">
        <v>8118</v>
      </c>
      <c r="J73">
        <v>29</v>
      </c>
      <c r="K73">
        <v>40</v>
      </c>
      <c r="L73" t="s">
        <v>10</v>
      </c>
      <c r="M73">
        <v>991122</v>
      </c>
      <c r="N73">
        <v>0</v>
      </c>
      <c r="O73">
        <v>0</v>
      </c>
      <c r="P73" t="s">
        <v>7015</v>
      </c>
      <c r="T73">
        <v>0</v>
      </c>
      <c r="U73">
        <v>0</v>
      </c>
      <c r="V73">
        <v>0</v>
      </c>
    </row>
    <row r="74" spans="1:22" x14ac:dyDescent="0.2">
      <c r="A74" t="s">
        <v>259</v>
      </c>
      <c r="B74" t="s">
        <v>260</v>
      </c>
      <c r="C74" t="s">
        <v>223</v>
      </c>
      <c r="D74" t="s">
        <v>290</v>
      </c>
      <c r="E74">
        <v>99.99</v>
      </c>
      <c r="F74" t="s">
        <v>8118</v>
      </c>
      <c r="G74">
        <v>96</v>
      </c>
      <c r="H74">
        <v>1</v>
      </c>
      <c r="I74">
        <v>95</v>
      </c>
      <c r="L74" t="s">
        <v>10</v>
      </c>
      <c r="M74">
        <v>609519</v>
      </c>
      <c r="N74">
        <v>40</v>
      </c>
      <c r="O74">
        <v>2.5219298245614034E-2</v>
      </c>
      <c r="P74" t="s">
        <v>7015</v>
      </c>
      <c r="T74">
        <v>6</v>
      </c>
      <c r="U74">
        <v>399.96</v>
      </c>
      <c r="V74">
        <v>228</v>
      </c>
    </row>
    <row r="75" spans="1:22" x14ac:dyDescent="0.2">
      <c r="A75" t="s">
        <v>4242</v>
      </c>
      <c r="B75" t="s">
        <v>4243</v>
      </c>
      <c r="C75" t="s">
        <v>223</v>
      </c>
      <c r="D75" t="s">
        <v>96</v>
      </c>
      <c r="E75">
        <v>42.99</v>
      </c>
      <c r="F75" t="s">
        <v>8118</v>
      </c>
      <c r="L75" t="s">
        <v>10</v>
      </c>
      <c r="M75">
        <v>625044</v>
      </c>
      <c r="N75">
        <v>0</v>
      </c>
      <c r="O75">
        <v>0</v>
      </c>
      <c r="P75" t="s">
        <v>7015</v>
      </c>
      <c r="T75">
        <v>0</v>
      </c>
      <c r="U75">
        <v>0</v>
      </c>
      <c r="V75">
        <v>1</v>
      </c>
    </row>
    <row r="76" spans="1:22" x14ac:dyDescent="0.2">
      <c r="A76" t="s">
        <v>4246</v>
      </c>
      <c r="B76" t="s">
        <v>4247</v>
      </c>
      <c r="C76" t="s">
        <v>223</v>
      </c>
      <c r="D76" t="s">
        <v>96</v>
      </c>
      <c r="E76">
        <v>42.99</v>
      </c>
      <c r="F76" t="s">
        <v>8118</v>
      </c>
      <c r="L76" t="s">
        <v>10</v>
      </c>
      <c r="M76">
        <v>625046</v>
      </c>
      <c r="N76">
        <v>0</v>
      </c>
      <c r="O76">
        <v>0</v>
      </c>
      <c r="P76" t="s">
        <v>7015</v>
      </c>
      <c r="T76">
        <v>0</v>
      </c>
      <c r="U76">
        <v>0</v>
      </c>
      <c r="V76">
        <v>0</v>
      </c>
    </row>
    <row r="77" spans="1:22" x14ac:dyDescent="0.2">
      <c r="A77" t="s">
        <v>4235</v>
      </c>
      <c r="B77" t="s">
        <v>4236</v>
      </c>
      <c r="C77" t="s">
        <v>223</v>
      </c>
      <c r="D77" t="s">
        <v>96</v>
      </c>
      <c r="E77">
        <v>39.99</v>
      </c>
      <c r="F77" t="s">
        <v>8118</v>
      </c>
      <c r="L77" t="s">
        <v>10</v>
      </c>
      <c r="M77">
        <v>453484</v>
      </c>
      <c r="N77">
        <v>0</v>
      </c>
      <c r="O77">
        <v>0</v>
      </c>
      <c r="P77" t="s">
        <v>290</v>
      </c>
      <c r="T77">
        <v>0</v>
      </c>
      <c r="U77">
        <v>0</v>
      </c>
      <c r="V77">
        <v>0</v>
      </c>
    </row>
    <row r="78" spans="1:22" x14ac:dyDescent="0.2">
      <c r="A78" t="s">
        <v>265</v>
      </c>
      <c r="B78" t="s">
        <v>266</v>
      </c>
      <c r="C78" t="s">
        <v>223</v>
      </c>
      <c r="D78" t="s">
        <v>96</v>
      </c>
      <c r="E78">
        <v>22.99</v>
      </c>
      <c r="F78" t="s">
        <v>8118</v>
      </c>
      <c r="L78" t="s">
        <v>10</v>
      </c>
      <c r="M78">
        <v>417773</v>
      </c>
      <c r="N78">
        <v>0</v>
      </c>
      <c r="O78">
        <v>0</v>
      </c>
      <c r="P78" t="s">
        <v>7015</v>
      </c>
      <c r="T78">
        <v>0</v>
      </c>
      <c r="U78">
        <v>0</v>
      </c>
      <c r="V78">
        <v>6</v>
      </c>
    </row>
    <row r="79" spans="1:22" x14ac:dyDescent="0.2">
      <c r="A79" t="s">
        <v>263</v>
      </c>
      <c r="B79" t="s">
        <v>264</v>
      </c>
      <c r="C79" t="s">
        <v>223</v>
      </c>
      <c r="D79" t="s">
        <v>96</v>
      </c>
      <c r="E79">
        <v>119.99</v>
      </c>
      <c r="F79" t="s">
        <v>8118</v>
      </c>
      <c r="L79" t="s">
        <v>10</v>
      </c>
      <c r="M79">
        <v>411281</v>
      </c>
      <c r="N79">
        <v>0</v>
      </c>
      <c r="O79">
        <v>0</v>
      </c>
      <c r="P79" t="s">
        <v>7015</v>
      </c>
      <c r="T79">
        <v>0</v>
      </c>
      <c r="U79">
        <v>0</v>
      </c>
      <c r="V79">
        <v>8</v>
      </c>
    </row>
    <row r="80" spans="1:22" x14ac:dyDescent="0.2">
      <c r="A80" t="s">
        <v>4283</v>
      </c>
      <c r="B80" t="s">
        <v>4284</v>
      </c>
      <c r="C80" t="s">
        <v>223</v>
      </c>
      <c r="D80" t="s">
        <v>96</v>
      </c>
      <c r="E80">
        <v>79.989999999999995</v>
      </c>
      <c r="F80" t="s">
        <v>8118</v>
      </c>
      <c r="L80" t="s">
        <v>10</v>
      </c>
      <c r="M80">
        <v>414369</v>
      </c>
      <c r="N80">
        <v>0</v>
      </c>
      <c r="O80">
        <v>0</v>
      </c>
      <c r="P80" t="s">
        <v>290</v>
      </c>
      <c r="T80">
        <v>0</v>
      </c>
      <c r="U80">
        <v>0</v>
      </c>
      <c r="V80">
        <v>0</v>
      </c>
    </row>
    <row r="81" spans="1:22" x14ac:dyDescent="0.2">
      <c r="A81" t="s">
        <v>261</v>
      </c>
      <c r="B81" t="s">
        <v>262</v>
      </c>
      <c r="C81" t="s">
        <v>223</v>
      </c>
      <c r="D81" t="s">
        <v>96</v>
      </c>
      <c r="E81">
        <v>79.989999999999995</v>
      </c>
      <c r="F81" t="s">
        <v>8118</v>
      </c>
      <c r="L81" t="s">
        <v>10</v>
      </c>
      <c r="M81">
        <v>396119</v>
      </c>
      <c r="N81">
        <v>0</v>
      </c>
      <c r="O81">
        <v>0</v>
      </c>
      <c r="P81" t="s">
        <v>7015</v>
      </c>
      <c r="T81">
        <v>0</v>
      </c>
      <c r="U81">
        <v>0</v>
      </c>
      <c r="V81">
        <v>6</v>
      </c>
    </row>
    <row r="82" spans="1:22" x14ac:dyDescent="0.2">
      <c r="A82" t="s">
        <v>229</v>
      </c>
      <c r="B82" t="s">
        <v>230</v>
      </c>
      <c r="C82" t="s">
        <v>223</v>
      </c>
      <c r="D82" t="s">
        <v>228</v>
      </c>
      <c r="E82">
        <v>119.99</v>
      </c>
      <c r="F82" t="s">
        <v>8118</v>
      </c>
      <c r="G82">
        <v>286</v>
      </c>
      <c r="H82">
        <v>11</v>
      </c>
      <c r="I82">
        <v>275</v>
      </c>
      <c r="L82" t="s">
        <v>10</v>
      </c>
      <c r="M82">
        <v>554936</v>
      </c>
      <c r="N82">
        <v>12</v>
      </c>
      <c r="O82">
        <v>8.3333333333333329E-2</v>
      </c>
      <c r="P82" t="s">
        <v>7015</v>
      </c>
      <c r="T82">
        <v>0</v>
      </c>
      <c r="U82">
        <v>0</v>
      </c>
      <c r="V82">
        <v>1</v>
      </c>
    </row>
    <row r="83" spans="1:22" x14ac:dyDescent="0.2">
      <c r="A83" t="s">
        <v>7100</v>
      </c>
      <c r="B83" t="s">
        <v>7101</v>
      </c>
      <c r="C83" t="s">
        <v>223</v>
      </c>
      <c r="D83" t="s">
        <v>96</v>
      </c>
      <c r="E83">
        <v>22.99</v>
      </c>
      <c r="F83" t="s">
        <v>8118</v>
      </c>
      <c r="L83" t="s">
        <v>10</v>
      </c>
      <c r="M83">
        <v>433119</v>
      </c>
      <c r="N83">
        <v>0</v>
      </c>
      <c r="O83">
        <v>0</v>
      </c>
      <c r="P83" t="s">
        <v>7015</v>
      </c>
      <c r="T83">
        <v>0</v>
      </c>
      <c r="U83">
        <v>0</v>
      </c>
      <c r="V83">
        <v>0</v>
      </c>
    </row>
    <row r="84" spans="1:22" x14ac:dyDescent="0.2">
      <c r="A84" t="s">
        <v>231</v>
      </c>
      <c r="B84" t="s">
        <v>232</v>
      </c>
      <c r="C84" t="s">
        <v>223</v>
      </c>
      <c r="D84" t="s">
        <v>96</v>
      </c>
      <c r="E84">
        <v>109.99</v>
      </c>
      <c r="F84" t="s">
        <v>8118</v>
      </c>
      <c r="L84" t="s">
        <v>10</v>
      </c>
      <c r="M84">
        <v>543221</v>
      </c>
      <c r="N84">
        <v>93</v>
      </c>
      <c r="O84">
        <v>1.075268817204301E-2</v>
      </c>
      <c r="P84" t="s">
        <v>7015</v>
      </c>
      <c r="T84">
        <v>0</v>
      </c>
      <c r="U84">
        <v>0</v>
      </c>
      <c r="V84">
        <v>31</v>
      </c>
    </row>
    <row r="85" spans="1:22" x14ac:dyDescent="0.2">
      <c r="A85" t="s">
        <v>237</v>
      </c>
      <c r="B85" t="s">
        <v>238</v>
      </c>
      <c r="C85" t="s">
        <v>223</v>
      </c>
      <c r="D85" t="s">
        <v>96</v>
      </c>
      <c r="E85">
        <v>109.99</v>
      </c>
      <c r="F85" t="s">
        <v>8118</v>
      </c>
      <c r="L85" t="s">
        <v>10</v>
      </c>
      <c r="M85">
        <v>469611</v>
      </c>
      <c r="N85">
        <v>0</v>
      </c>
      <c r="O85">
        <v>0</v>
      </c>
      <c r="P85" t="s">
        <v>290</v>
      </c>
      <c r="T85">
        <v>0</v>
      </c>
      <c r="U85">
        <v>0</v>
      </c>
      <c r="V85">
        <v>1</v>
      </c>
    </row>
    <row r="86" spans="1:22" x14ac:dyDescent="0.2">
      <c r="A86" t="s">
        <v>239</v>
      </c>
      <c r="B86" t="s">
        <v>240</v>
      </c>
      <c r="C86" t="s">
        <v>223</v>
      </c>
      <c r="D86" t="s">
        <v>96</v>
      </c>
      <c r="E86">
        <v>109.99</v>
      </c>
      <c r="F86" t="s">
        <v>8118</v>
      </c>
      <c r="L86" t="s">
        <v>10</v>
      </c>
      <c r="M86">
        <v>625041</v>
      </c>
      <c r="N86">
        <v>0</v>
      </c>
      <c r="O86">
        <v>0</v>
      </c>
      <c r="P86" t="s">
        <v>290</v>
      </c>
      <c r="T86">
        <v>0</v>
      </c>
      <c r="U86">
        <v>0</v>
      </c>
      <c r="V86">
        <v>0</v>
      </c>
    </row>
    <row r="87" spans="1:22" x14ac:dyDescent="0.2">
      <c r="A87" t="s">
        <v>4224</v>
      </c>
      <c r="B87" t="s">
        <v>4225</v>
      </c>
      <c r="C87" t="s">
        <v>223</v>
      </c>
      <c r="D87" t="s">
        <v>96</v>
      </c>
      <c r="E87">
        <v>109.99</v>
      </c>
      <c r="F87" t="s">
        <v>8118</v>
      </c>
      <c r="L87" t="s">
        <v>10</v>
      </c>
      <c r="M87">
        <v>625042</v>
      </c>
      <c r="N87">
        <v>0</v>
      </c>
      <c r="O87">
        <v>0</v>
      </c>
      <c r="P87" t="s">
        <v>290</v>
      </c>
      <c r="T87">
        <v>0</v>
      </c>
      <c r="U87">
        <v>0</v>
      </c>
      <c r="V87">
        <v>0</v>
      </c>
    </row>
    <row r="88" spans="1:22" x14ac:dyDescent="0.2">
      <c r="A88" t="s">
        <v>243</v>
      </c>
      <c r="B88" t="s">
        <v>244</v>
      </c>
      <c r="C88" t="s">
        <v>223</v>
      </c>
      <c r="D88" t="s">
        <v>228</v>
      </c>
      <c r="E88">
        <v>29.99</v>
      </c>
      <c r="F88" t="s">
        <v>8118</v>
      </c>
      <c r="G88">
        <v>21</v>
      </c>
      <c r="H88">
        <v>21</v>
      </c>
      <c r="J88">
        <v>4</v>
      </c>
      <c r="K88">
        <v>640</v>
      </c>
      <c r="L88" t="s">
        <v>10</v>
      </c>
      <c r="M88">
        <v>321803</v>
      </c>
      <c r="N88">
        <v>12</v>
      </c>
      <c r="O88">
        <v>8.0428954423592491E-2</v>
      </c>
      <c r="P88" t="s">
        <v>7015</v>
      </c>
      <c r="T88">
        <v>30</v>
      </c>
      <c r="U88">
        <v>1019.66</v>
      </c>
      <c r="V88">
        <v>373</v>
      </c>
    </row>
    <row r="89" spans="1:22" x14ac:dyDescent="0.2">
      <c r="A89" t="s">
        <v>245</v>
      </c>
      <c r="B89" t="s">
        <v>246</v>
      </c>
      <c r="C89" t="s">
        <v>223</v>
      </c>
      <c r="D89" t="s">
        <v>228</v>
      </c>
      <c r="E89">
        <v>29.99</v>
      </c>
      <c r="F89" t="s">
        <v>8118</v>
      </c>
      <c r="G89">
        <v>102</v>
      </c>
      <c r="H89">
        <v>40</v>
      </c>
      <c r="I89">
        <v>62</v>
      </c>
      <c r="K89">
        <v>600</v>
      </c>
      <c r="L89" t="s">
        <v>10</v>
      </c>
      <c r="M89">
        <v>321804</v>
      </c>
      <c r="N89">
        <v>13</v>
      </c>
      <c r="O89">
        <v>7.6793248945147677E-2</v>
      </c>
      <c r="P89" t="s">
        <v>7015</v>
      </c>
      <c r="T89">
        <v>30</v>
      </c>
      <c r="U89">
        <v>839.71999999999991</v>
      </c>
      <c r="V89">
        <v>395</v>
      </c>
    </row>
    <row r="90" spans="1:22" x14ac:dyDescent="0.2">
      <c r="A90" t="s">
        <v>249</v>
      </c>
      <c r="B90" t="s">
        <v>250</v>
      </c>
      <c r="C90" t="s">
        <v>223</v>
      </c>
      <c r="D90" t="s">
        <v>228</v>
      </c>
      <c r="E90">
        <v>39.99</v>
      </c>
      <c r="F90" t="s">
        <v>8118</v>
      </c>
      <c r="G90">
        <v>149</v>
      </c>
      <c r="H90">
        <v>138</v>
      </c>
      <c r="I90">
        <v>11</v>
      </c>
      <c r="K90">
        <v>340</v>
      </c>
      <c r="L90" t="s">
        <v>10</v>
      </c>
      <c r="M90">
        <v>625047</v>
      </c>
      <c r="N90">
        <v>12</v>
      </c>
      <c r="O90">
        <v>8.687440982058546E-2</v>
      </c>
      <c r="P90" t="s">
        <v>7015</v>
      </c>
      <c r="T90">
        <v>31</v>
      </c>
      <c r="U90">
        <v>1359.66</v>
      </c>
      <c r="V90">
        <v>353</v>
      </c>
    </row>
    <row r="91" spans="1:22" x14ac:dyDescent="0.2">
      <c r="A91" t="s">
        <v>4314</v>
      </c>
      <c r="B91" t="s">
        <v>4315</v>
      </c>
      <c r="C91" t="s">
        <v>223</v>
      </c>
      <c r="D91" t="s">
        <v>96</v>
      </c>
      <c r="E91">
        <v>149.99</v>
      </c>
      <c r="F91" t="s">
        <v>8118</v>
      </c>
      <c r="L91" t="s">
        <v>10</v>
      </c>
      <c r="M91">
        <v>961220</v>
      </c>
      <c r="N91">
        <v>0</v>
      </c>
      <c r="O91">
        <v>0</v>
      </c>
      <c r="P91" t="s">
        <v>290</v>
      </c>
      <c r="T91">
        <v>0</v>
      </c>
      <c r="U91">
        <v>0</v>
      </c>
      <c r="V91">
        <v>0</v>
      </c>
    </row>
    <row r="92" spans="1:22" x14ac:dyDescent="0.2">
      <c r="A92" t="s">
        <v>4294</v>
      </c>
      <c r="B92" t="s">
        <v>4295</v>
      </c>
      <c r="C92" t="s">
        <v>223</v>
      </c>
      <c r="D92" t="s">
        <v>96</v>
      </c>
      <c r="E92">
        <v>54.99</v>
      </c>
      <c r="F92" t="s">
        <v>8118</v>
      </c>
      <c r="L92" t="s">
        <v>10</v>
      </c>
      <c r="M92">
        <v>625001</v>
      </c>
      <c r="N92">
        <v>0</v>
      </c>
      <c r="O92">
        <v>0</v>
      </c>
      <c r="P92" t="s">
        <v>290</v>
      </c>
      <c r="T92">
        <v>0</v>
      </c>
      <c r="U92">
        <v>0</v>
      </c>
      <c r="V92">
        <v>0</v>
      </c>
    </row>
    <row r="93" spans="1:22" x14ac:dyDescent="0.2">
      <c r="A93" t="s">
        <v>4300</v>
      </c>
      <c r="B93" t="s">
        <v>4301</v>
      </c>
      <c r="C93" t="s">
        <v>223</v>
      </c>
      <c r="D93" t="s">
        <v>96</v>
      </c>
      <c r="E93">
        <v>54.99</v>
      </c>
      <c r="F93" t="s">
        <v>8118</v>
      </c>
      <c r="L93" t="s">
        <v>10</v>
      </c>
      <c r="M93">
        <v>625002</v>
      </c>
      <c r="N93">
        <v>0</v>
      </c>
      <c r="O93">
        <v>0</v>
      </c>
      <c r="P93" t="s">
        <v>290</v>
      </c>
      <c r="T93">
        <v>0</v>
      </c>
      <c r="U93">
        <v>0</v>
      </c>
      <c r="V93">
        <v>0</v>
      </c>
    </row>
    <row r="94" spans="1:22" x14ac:dyDescent="0.2">
      <c r="A94" t="s">
        <v>273</v>
      </c>
      <c r="B94" t="s">
        <v>274</v>
      </c>
      <c r="C94" t="s">
        <v>223</v>
      </c>
      <c r="D94" t="s">
        <v>228</v>
      </c>
      <c r="E94">
        <v>59.99</v>
      </c>
      <c r="F94" t="s">
        <v>8118</v>
      </c>
      <c r="J94">
        <v>5</v>
      </c>
      <c r="K94">
        <v>160</v>
      </c>
      <c r="L94" t="s">
        <v>10</v>
      </c>
      <c r="M94">
        <v>411273</v>
      </c>
      <c r="N94">
        <v>0</v>
      </c>
      <c r="O94">
        <v>0</v>
      </c>
      <c r="P94" t="s">
        <v>7015</v>
      </c>
      <c r="T94">
        <v>0</v>
      </c>
      <c r="U94">
        <v>0</v>
      </c>
      <c r="V94">
        <v>1</v>
      </c>
    </row>
    <row r="95" spans="1:22" x14ac:dyDescent="0.2">
      <c r="A95" t="s">
        <v>275</v>
      </c>
      <c r="B95" t="s">
        <v>276</v>
      </c>
      <c r="C95" t="s">
        <v>223</v>
      </c>
      <c r="D95" t="s">
        <v>228</v>
      </c>
      <c r="E95">
        <v>59.99</v>
      </c>
      <c r="F95" t="s">
        <v>8118</v>
      </c>
      <c r="J95">
        <v>25</v>
      </c>
      <c r="K95">
        <v>100</v>
      </c>
      <c r="L95" t="s">
        <v>10</v>
      </c>
      <c r="M95">
        <v>411274</v>
      </c>
      <c r="N95">
        <v>12</v>
      </c>
      <c r="O95">
        <v>8.3333333333333329E-2</v>
      </c>
      <c r="P95" t="s">
        <v>7015</v>
      </c>
      <c r="T95">
        <v>0</v>
      </c>
      <c r="U95">
        <v>0</v>
      </c>
      <c r="V95">
        <v>1</v>
      </c>
    </row>
    <row r="96" spans="1:22" x14ac:dyDescent="0.2">
      <c r="A96" t="s">
        <v>277</v>
      </c>
      <c r="B96" t="s">
        <v>278</v>
      </c>
      <c r="C96" t="s">
        <v>223</v>
      </c>
      <c r="D96" t="s">
        <v>228</v>
      </c>
      <c r="E96">
        <v>27.99</v>
      </c>
      <c r="F96" t="s">
        <v>8118</v>
      </c>
      <c r="L96" t="s">
        <v>10</v>
      </c>
      <c r="M96">
        <v>331225</v>
      </c>
      <c r="N96">
        <v>60</v>
      </c>
      <c r="O96">
        <v>1.6666666666666666E-2</v>
      </c>
      <c r="P96" t="s">
        <v>7015</v>
      </c>
      <c r="T96">
        <v>0</v>
      </c>
      <c r="U96">
        <v>0</v>
      </c>
      <c r="V96">
        <v>5</v>
      </c>
    </row>
    <row r="97" spans="1:22" x14ac:dyDescent="0.2">
      <c r="A97" t="s">
        <v>279</v>
      </c>
      <c r="B97" t="s">
        <v>280</v>
      </c>
      <c r="C97" t="s">
        <v>223</v>
      </c>
      <c r="D97" t="s">
        <v>228</v>
      </c>
      <c r="E97">
        <v>24.99</v>
      </c>
      <c r="F97" t="s">
        <v>8118</v>
      </c>
      <c r="G97">
        <v>9</v>
      </c>
      <c r="I97">
        <v>9</v>
      </c>
      <c r="L97" t="s">
        <v>10</v>
      </c>
      <c r="M97">
        <v>554943</v>
      </c>
      <c r="N97">
        <v>0</v>
      </c>
      <c r="O97">
        <v>0</v>
      </c>
      <c r="P97" t="s">
        <v>7015</v>
      </c>
      <c r="T97">
        <v>0</v>
      </c>
      <c r="U97">
        <v>0</v>
      </c>
      <c r="V97">
        <v>5</v>
      </c>
    </row>
    <row r="98" spans="1:22" x14ac:dyDescent="0.2">
      <c r="A98" t="s">
        <v>281</v>
      </c>
      <c r="B98" t="s">
        <v>282</v>
      </c>
      <c r="C98" t="s">
        <v>223</v>
      </c>
      <c r="D98" t="s">
        <v>228</v>
      </c>
      <c r="E98">
        <v>29.99</v>
      </c>
      <c r="F98" t="s">
        <v>8118</v>
      </c>
      <c r="J98">
        <v>1</v>
      </c>
      <c r="K98">
        <v>20</v>
      </c>
      <c r="L98" t="s">
        <v>10</v>
      </c>
      <c r="M98">
        <v>554939</v>
      </c>
      <c r="N98">
        <v>-6</v>
      </c>
      <c r="O98">
        <v>-0.16666666666666666</v>
      </c>
      <c r="P98" t="s">
        <v>7015</v>
      </c>
      <c r="T98">
        <v>0</v>
      </c>
      <c r="U98">
        <v>0</v>
      </c>
      <c r="V98">
        <v>-1</v>
      </c>
    </row>
    <row r="99" spans="1:22" x14ac:dyDescent="0.2">
      <c r="A99" t="s">
        <v>226</v>
      </c>
      <c r="B99" t="s">
        <v>227</v>
      </c>
      <c r="C99" t="s">
        <v>223</v>
      </c>
      <c r="D99" t="s">
        <v>228</v>
      </c>
      <c r="E99">
        <v>119.99</v>
      </c>
      <c r="F99" t="s">
        <v>8118</v>
      </c>
      <c r="J99">
        <v>8</v>
      </c>
      <c r="K99">
        <v>100</v>
      </c>
      <c r="L99" t="s">
        <v>10</v>
      </c>
      <c r="M99">
        <v>554932</v>
      </c>
      <c r="N99">
        <v>0</v>
      </c>
      <c r="O99">
        <v>0</v>
      </c>
      <c r="P99" t="s">
        <v>7015</v>
      </c>
      <c r="T99">
        <v>0</v>
      </c>
      <c r="U99">
        <v>119.99</v>
      </c>
      <c r="V99">
        <v>0</v>
      </c>
    </row>
    <row r="100" spans="1:22" x14ac:dyDescent="0.2">
      <c r="A100" t="s">
        <v>233</v>
      </c>
      <c r="B100" t="s">
        <v>234</v>
      </c>
      <c r="C100" t="s">
        <v>223</v>
      </c>
      <c r="D100" t="s">
        <v>96</v>
      </c>
      <c r="E100">
        <v>59.99</v>
      </c>
      <c r="F100" t="s">
        <v>8118</v>
      </c>
      <c r="L100" t="s">
        <v>7032</v>
      </c>
      <c r="M100" t="s">
        <v>97</v>
      </c>
      <c r="N100">
        <v>0</v>
      </c>
      <c r="O100">
        <v>0</v>
      </c>
      <c r="T100">
        <v>0</v>
      </c>
      <c r="U100">
        <v>0</v>
      </c>
      <c r="V100">
        <v>0</v>
      </c>
    </row>
    <row r="101" spans="1:22" x14ac:dyDescent="0.2">
      <c r="A101" t="s">
        <v>281</v>
      </c>
      <c r="B101" t="s">
        <v>282</v>
      </c>
      <c r="C101" t="s">
        <v>223</v>
      </c>
      <c r="D101" t="s">
        <v>228</v>
      </c>
      <c r="E101">
        <v>29.99</v>
      </c>
      <c r="F101" t="s">
        <v>8118</v>
      </c>
      <c r="J101">
        <v>1</v>
      </c>
      <c r="K101">
        <v>20</v>
      </c>
      <c r="L101" t="s">
        <v>7032</v>
      </c>
      <c r="M101" t="s">
        <v>97</v>
      </c>
      <c r="N101">
        <v>0</v>
      </c>
      <c r="O101">
        <v>0</v>
      </c>
      <c r="T101">
        <v>0</v>
      </c>
      <c r="U101">
        <v>0</v>
      </c>
      <c r="V101">
        <v>0</v>
      </c>
    </row>
    <row r="102" spans="1:22" x14ac:dyDescent="0.2">
      <c r="A102" t="s">
        <v>239</v>
      </c>
      <c r="B102" t="s">
        <v>240</v>
      </c>
      <c r="C102" t="s">
        <v>223</v>
      </c>
      <c r="D102" t="s">
        <v>96</v>
      </c>
      <c r="E102">
        <v>109.99</v>
      </c>
      <c r="F102" t="s">
        <v>8118</v>
      </c>
      <c r="L102" t="s">
        <v>7032</v>
      </c>
      <c r="M102" t="s">
        <v>97</v>
      </c>
      <c r="N102">
        <v>0</v>
      </c>
      <c r="O102">
        <v>0</v>
      </c>
      <c r="T102">
        <v>0</v>
      </c>
      <c r="U102">
        <v>0</v>
      </c>
      <c r="V102">
        <v>0</v>
      </c>
    </row>
    <row r="103" spans="1:22" x14ac:dyDescent="0.2">
      <c r="A103" t="s">
        <v>4289</v>
      </c>
      <c r="B103" t="s">
        <v>4290</v>
      </c>
      <c r="C103" t="s">
        <v>223</v>
      </c>
      <c r="D103" t="s">
        <v>96</v>
      </c>
      <c r="E103">
        <v>99.99</v>
      </c>
      <c r="F103" t="s">
        <v>8118</v>
      </c>
      <c r="L103" t="s">
        <v>7032</v>
      </c>
      <c r="M103" t="s">
        <v>97</v>
      </c>
      <c r="N103">
        <v>0</v>
      </c>
      <c r="O103">
        <v>0</v>
      </c>
      <c r="T103">
        <v>0</v>
      </c>
      <c r="U103">
        <v>0</v>
      </c>
      <c r="V103">
        <v>0</v>
      </c>
    </row>
    <row r="104" spans="1:22" x14ac:dyDescent="0.2">
      <c r="A104" t="s">
        <v>261</v>
      </c>
      <c r="B104" t="s">
        <v>262</v>
      </c>
      <c r="C104" t="s">
        <v>223</v>
      </c>
      <c r="D104" t="s">
        <v>96</v>
      </c>
      <c r="E104">
        <v>79.989999999999995</v>
      </c>
      <c r="F104" t="s">
        <v>8118</v>
      </c>
      <c r="L104" t="s">
        <v>7032</v>
      </c>
      <c r="M104" t="s">
        <v>97</v>
      </c>
      <c r="N104">
        <v>0</v>
      </c>
      <c r="O104">
        <v>0</v>
      </c>
      <c r="T104">
        <v>0</v>
      </c>
      <c r="U104">
        <v>0</v>
      </c>
      <c r="V104">
        <v>0</v>
      </c>
    </row>
    <row r="105" spans="1:22" x14ac:dyDescent="0.2">
      <c r="A105" t="s">
        <v>4354</v>
      </c>
      <c r="B105" t="s">
        <v>4355</v>
      </c>
      <c r="C105" t="s">
        <v>223</v>
      </c>
      <c r="D105" t="s">
        <v>96</v>
      </c>
      <c r="E105">
        <v>29.99</v>
      </c>
      <c r="F105" t="s">
        <v>8118</v>
      </c>
      <c r="L105" t="s">
        <v>7032</v>
      </c>
      <c r="M105" t="s">
        <v>97</v>
      </c>
      <c r="N105">
        <v>0</v>
      </c>
      <c r="O105">
        <v>0</v>
      </c>
      <c r="T105">
        <v>0</v>
      </c>
      <c r="U105">
        <v>0</v>
      </c>
      <c r="V105">
        <v>0</v>
      </c>
    </row>
    <row r="106" spans="1:22" x14ac:dyDescent="0.2">
      <c r="A106" t="s">
        <v>4351</v>
      </c>
      <c r="B106" t="s">
        <v>4352</v>
      </c>
      <c r="C106" t="s">
        <v>223</v>
      </c>
      <c r="D106" t="s">
        <v>96</v>
      </c>
      <c r="E106">
        <v>24.99</v>
      </c>
      <c r="F106" t="s">
        <v>8118</v>
      </c>
      <c r="L106" t="s">
        <v>7032</v>
      </c>
      <c r="M106" t="s">
        <v>97</v>
      </c>
      <c r="N106">
        <v>0</v>
      </c>
      <c r="O106">
        <v>0</v>
      </c>
      <c r="T106">
        <v>0</v>
      </c>
      <c r="U106">
        <v>0</v>
      </c>
      <c r="V106">
        <v>0</v>
      </c>
    </row>
    <row r="107" spans="1:22" x14ac:dyDescent="0.2">
      <c r="A107" t="s">
        <v>251</v>
      </c>
      <c r="B107" t="s">
        <v>252</v>
      </c>
      <c r="C107" t="s">
        <v>223</v>
      </c>
      <c r="D107" t="s">
        <v>228</v>
      </c>
      <c r="E107">
        <v>79.989999999999995</v>
      </c>
      <c r="F107" t="s">
        <v>8118</v>
      </c>
      <c r="J107">
        <v>20</v>
      </c>
      <c r="K107">
        <v>600</v>
      </c>
      <c r="L107" t="s">
        <v>7032</v>
      </c>
      <c r="M107" t="s">
        <v>97</v>
      </c>
      <c r="N107">
        <v>0</v>
      </c>
      <c r="O107">
        <v>0</v>
      </c>
      <c r="T107">
        <v>0</v>
      </c>
      <c r="U107">
        <v>0</v>
      </c>
      <c r="V107">
        <v>0</v>
      </c>
    </row>
    <row r="108" spans="1:22" x14ac:dyDescent="0.2">
      <c r="A108" t="s">
        <v>4242</v>
      </c>
      <c r="B108" t="s">
        <v>4243</v>
      </c>
      <c r="C108" t="s">
        <v>223</v>
      </c>
      <c r="D108" t="s">
        <v>96</v>
      </c>
      <c r="E108">
        <v>42.99</v>
      </c>
      <c r="F108" t="s">
        <v>8118</v>
      </c>
      <c r="L108" t="s">
        <v>7032</v>
      </c>
      <c r="M108" t="s">
        <v>97</v>
      </c>
      <c r="N108">
        <v>0</v>
      </c>
      <c r="O108">
        <v>0</v>
      </c>
      <c r="T108">
        <v>0</v>
      </c>
      <c r="U108">
        <v>0</v>
      </c>
      <c r="V108">
        <v>0</v>
      </c>
    </row>
    <row r="109" spans="1:22" x14ac:dyDescent="0.2">
      <c r="A109" t="s">
        <v>253</v>
      </c>
      <c r="B109" t="s">
        <v>254</v>
      </c>
      <c r="C109" t="s">
        <v>223</v>
      </c>
      <c r="D109" t="s">
        <v>228</v>
      </c>
      <c r="E109">
        <v>89.99</v>
      </c>
      <c r="F109" t="s">
        <v>8118</v>
      </c>
      <c r="G109">
        <v>158</v>
      </c>
      <c r="I109">
        <v>158</v>
      </c>
      <c r="L109" t="s">
        <v>7032</v>
      </c>
      <c r="M109" t="s">
        <v>97</v>
      </c>
      <c r="N109">
        <v>0</v>
      </c>
      <c r="O109">
        <v>0</v>
      </c>
      <c r="T109">
        <v>0</v>
      </c>
      <c r="U109">
        <v>0</v>
      </c>
      <c r="V109">
        <v>0</v>
      </c>
    </row>
    <row r="110" spans="1:22" x14ac:dyDescent="0.2">
      <c r="A110" t="s">
        <v>255</v>
      </c>
      <c r="B110" t="s">
        <v>256</v>
      </c>
      <c r="C110" t="s">
        <v>223</v>
      </c>
      <c r="D110" t="s">
        <v>228</v>
      </c>
      <c r="E110">
        <v>59.99</v>
      </c>
      <c r="F110" t="s">
        <v>8118</v>
      </c>
      <c r="J110">
        <v>29</v>
      </c>
      <c r="K110">
        <v>40</v>
      </c>
      <c r="L110" t="s">
        <v>7032</v>
      </c>
      <c r="M110" t="s">
        <v>97</v>
      </c>
      <c r="N110">
        <v>0</v>
      </c>
      <c r="O110">
        <v>0</v>
      </c>
      <c r="T110">
        <v>0</v>
      </c>
      <c r="U110">
        <v>0</v>
      </c>
      <c r="V110">
        <v>2</v>
      </c>
    </row>
    <row r="111" spans="1:22" x14ac:dyDescent="0.2">
      <c r="A111" t="s">
        <v>241</v>
      </c>
      <c r="B111" t="s">
        <v>242</v>
      </c>
      <c r="C111" t="s">
        <v>223</v>
      </c>
      <c r="D111" t="s">
        <v>96</v>
      </c>
      <c r="E111">
        <v>29.99</v>
      </c>
      <c r="F111" t="s">
        <v>8118</v>
      </c>
      <c r="L111" t="s">
        <v>7032</v>
      </c>
      <c r="M111" t="s">
        <v>97</v>
      </c>
      <c r="N111">
        <v>0</v>
      </c>
      <c r="O111">
        <v>0</v>
      </c>
      <c r="T111">
        <v>0</v>
      </c>
      <c r="U111">
        <v>0</v>
      </c>
      <c r="V111">
        <v>0</v>
      </c>
    </row>
    <row r="112" spans="1:22" x14ac:dyDescent="0.2">
      <c r="A112" t="s">
        <v>259</v>
      </c>
      <c r="B112" t="s">
        <v>260</v>
      </c>
      <c r="C112" t="s">
        <v>223</v>
      </c>
      <c r="D112" t="s">
        <v>290</v>
      </c>
      <c r="E112">
        <v>99.99</v>
      </c>
      <c r="F112" t="s">
        <v>8118</v>
      </c>
      <c r="G112">
        <v>96</v>
      </c>
      <c r="H112">
        <v>1</v>
      </c>
      <c r="I112">
        <v>95</v>
      </c>
      <c r="L112" t="s">
        <v>7032</v>
      </c>
      <c r="M112" t="s">
        <v>97</v>
      </c>
      <c r="N112">
        <v>-5</v>
      </c>
      <c r="O112">
        <v>-0.2</v>
      </c>
      <c r="T112">
        <v>0.2</v>
      </c>
      <c r="U112">
        <v>0</v>
      </c>
      <c r="V112">
        <v>-1</v>
      </c>
    </row>
    <row r="113" spans="1:22" x14ac:dyDescent="0.2">
      <c r="A113" t="s">
        <v>4246</v>
      </c>
      <c r="B113" t="s">
        <v>4247</v>
      </c>
      <c r="C113" t="s">
        <v>223</v>
      </c>
      <c r="D113" t="s">
        <v>96</v>
      </c>
      <c r="E113">
        <v>42.99</v>
      </c>
      <c r="F113" t="s">
        <v>8118</v>
      </c>
      <c r="L113" t="s">
        <v>7032</v>
      </c>
      <c r="M113" t="s">
        <v>97</v>
      </c>
      <c r="N113">
        <v>0</v>
      </c>
      <c r="O113">
        <v>0</v>
      </c>
      <c r="T113">
        <v>0</v>
      </c>
      <c r="U113">
        <v>0</v>
      </c>
      <c r="V113">
        <v>0</v>
      </c>
    </row>
    <row r="114" spans="1:22" x14ac:dyDescent="0.2">
      <c r="A114" t="s">
        <v>277</v>
      </c>
      <c r="B114" t="s">
        <v>278</v>
      </c>
      <c r="C114" t="s">
        <v>223</v>
      </c>
      <c r="D114" t="s">
        <v>228</v>
      </c>
      <c r="E114">
        <v>27.99</v>
      </c>
      <c r="F114" t="s">
        <v>8118</v>
      </c>
      <c r="L114" t="s">
        <v>7032</v>
      </c>
      <c r="M114" t="s">
        <v>97</v>
      </c>
      <c r="N114">
        <v>0</v>
      </c>
      <c r="O114">
        <v>0</v>
      </c>
      <c r="T114">
        <v>0</v>
      </c>
      <c r="U114">
        <v>0</v>
      </c>
      <c r="V114">
        <v>0</v>
      </c>
    </row>
    <row r="115" spans="1:22" x14ac:dyDescent="0.2">
      <c r="A115" t="s">
        <v>257</v>
      </c>
      <c r="B115" t="s">
        <v>258</v>
      </c>
      <c r="C115" t="s">
        <v>223</v>
      </c>
      <c r="D115" t="s">
        <v>228</v>
      </c>
      <c r="E115">
        <v>59.99</v>
      </c>
      <c r="F115" t="s">
        <v>8118</v>
      </c>
      <c r="G115">
        <v>32</v>
      </c>
      <c r="H115">
        <v>2</v>
      </c>
      <c r="I115">
        <v>30</v>
      </c>
      <c r="L115" t="s">
        <v>7032</v>
      </c>
      <c r="M115" t="s">
        <v>97</v>
      </c>
      <c r="N115">
        <v>0</v>
      </c>
      <c r="O115">
        <v>0</v>
      </c>
      <c r="T115">
        <v>0</v>
      </c>
      <c r="U115">
        <v>0</v>
      </c>
      <c r="V115">
        <v>2</v>
      </c>
    </row>
    <row r="116" spans="1:22" x14ac:dyDescent="0.2">
      <c r="A116" t="s">
        <v>4224</v>
      </c>
      <c r="B116" t="s">
        <v>4225</v>
      </c>
      <c r="C116" t="s">
        <v>223</v>
      </c>
      <c r="D116" t="s">
        <v>96</v>
      </c>
      <c r="E116">
        <v>109.99</v>
      </c>
      <c r="F116" t="s">
        <v>8118</v>
      </c>
      <c r="L116" t="s">
        <v>7032</v>
      </c>
      <c r="M116" t="s">
        <v>97</v>
      </c>
      <c r="N116">
        <v>0</v>
      </c>
      <c r="O116">
        <v>0</v>
      </c>
      <c r="T116">
        <v>0</v>
      </c>
      <c r="U116">
        <v>0</v>
      </c>
      <c r="V116">
        <v>0</v>
      </c>
    </row>
    <row r="117" spans="1:22" x14ac:dyDescent="0.2">
      <c r="A117" t="s">
        <v>7770</v>
      </c>
      <c r="B117" t="s">
        <v>7771</v>
      </c>
      <c r="C117" t="s">
        <v>223</v>
      </c>
      <c r="D117" t="s">
        <v>96</v>
      </c>
      <c r="E117">
        <v>59.99</v>
      </c>
      <c r="F117" t="s">
        <v>8118</v>
      </c>
      <c r="L117" t="s">
        <v>7032</v>
      </c>
      <c r="M117" t="s">
        <v>97</v>
      </c>
      <c r="N117">
        <v>0</v>
      </c>
      <c r="O117">
        <v>0</v>
      </c>
      <c r="T117">
        <v>0</v>
      </c>
      <c r="U117">
        <v>0</v>
      </c>
      <c r="V117">
        <v>0</v>
      </c>
    </row>
    <row r="118" spans="1:22" x14ac:dyDescent="0.2">
      <c r="A118" t="s">
        <v>273</v>
      </c>
      <c r="B118" t="s">
        <v>274</v>
      </c>
      <c r="C118" t="s">
        <v>223</v>
      </c>
      <c r="D118" t="s">
        <v>228</v>
      </c>
      <c r="E118">
        <v>59.99</v>
      </c>
      <c r="F118" t="s">
        <v>8118</v>
      </c>
      <c r="J118">
        <v>5</v>
      </c>
      <c r="K118">
        <v>160</v>
      </c>
      <c r="L118" t="s">
        <v>7032</v>
      </c>
      <c r="M118" t="s">
        <v>97</v>
      </c>
      <c r="N118">
        <v>0</v>
      </c>
      <c r="O118">
        <v>0</v>
      </c>
      <c r="T118">
        <v>0</v>
      </c>
      <c r="U118">
        <v>0</v>
      </c>
      <c r="V118">
        <v>0</v>
      </c>
    </row>
    <row r="119" spans="1:22" x14ac:dyDescent="0.2">
      <c r="A119" t="s">
        <v>279</v>
      </c>
      <c r="B119" t="s">
        <v>280</v>
      </c>
      <c r="C119" t="s">
        <v>223</v>
      </c>
      <c r="D119" t="s">
        <v>228</v>
      </c>
      <c r="E119">
        <v>24.99</v>
      </c>
      <c r="F119" t="s">
        <v>8118</v>
      </c>
      <c r="G119">
        <v>9</v>
      </c>
      <c r="I119">
        <v>9</v>
      </c>
      <c r="L119" t="s">
        <v>7032</v>
      </c>
      <c r="M119" t="s">
        <v>97</v>
      </c>
      <c r="N119">
        <v>0</v>
      </c>
      <c r="O119">
        <v>0</v>
      </c>
      <c r="T119">
        <v>0</v>
      </c>
      <c r="U119">
        <v>0</v>
      </c>
      <c r="V119">
        <v>0</v>
      </c>
    </row>
    <row r="120" spans="1:22" x14ac:dyDescent="0.2">
      <c r="A120" t="s">
        <v>275</v>
      </c>
      <c r="B120" t="s">
        <v>276</v>
      </c>
      <c r="C120" t="s">
        <v>223</v>
      </c>
      <c r="D120" t="s">
        <v>228</v>
      </c>
      <c r="E120">
        <v>59.99</v>
      </c>
      <c r="F120" t="s">
        <v>8118</v>
      </c>
      <c r="J120">
        <v>25</v>
      </c>
      <c r="K120">
        <v>100</v>
      </c>
      <c r="L120" t="s">
        <v>7032</v>
      </c>
      <c r="M120" t="s">
        <v>97</v>
      </c>
      <c r="N120">
        <v>0</v>
      </c>
      <c r="O120">
        <v>0</v>
      </c>
      <c r="T120">
        <v>0</v>
      </c>
      <c r="U120">
        <v>0</v>
      </c>
      <c r="V120">
        <v>1</v>
      </c>
    </row>
    <row r="121" spans="1:22" x14ac:dyDescent="0.2">
      <c r="A121" t="s">
        <v>229</v>
      </c>
      <c r="B121" t="s">
        <v>230</v>
      </c>
      <c r="C121" t="s">
        <v>223</v>
      </c>
      <c r="D121" t="s">
        <v>228</v>
      </c>
      <c r="E121">
        <v>119.99</v>
      </c>
      <c r="F121" t="s">
        <v>8118</v>
      </c>
      <c r="G121">
        <v>286</v>
      </c>
      <c r="H121">
        <v>11</v>
      </c>
      <c r="I121">
        <v>275</v>
      </c>
      <c r="L121" t="s">
        <v>7032</v>
      </c>
      <c r="M121" t="s">
        <v>97</v>
      </c>
      <c r="N121">
        <v>0</v>
      </c>
      <c r="O121">
        <v>0</v>
      </c>
      <c r="T121">
        <v>0</v>
      </c>
      <c r="U121">
        <v>0</v>
      </c>
      <c r="V121">
        <v>0</v>
      </c>
    </row>
    <row r="122" spans="1:22" x14ac:dyDescent="0.2">
      <c r="A122" t="s">
        <v>7772</v>
      </c>
      <c r="B122" t="s">
        <v>7773</v>
      </c>
      <c r="C122" t="s">
        <v>223</v>
      </c>
      <c r="D122" t="s">
        <v>96</v>
      </c>
      <c r="E122">
        <v>79.989999999999995</v>
      </c>
      <c r="F122" t="s">
        <v>8118</v>
      </c>
      <c r="L122" t="s">
        <v>7032</v>
      </c>
      <c r="M122" t="s">
        <v>97</v>
      </c>
      <c r="N122">
        <v>0</v>
      </c>
      <c r="O122">
        <v>0</v>
      </c>
      <c r="T122">
        <v>0</v>
      </c>
      <c r="U122">
        <v>0</v>
      </c>
      <c r="V122">
        <v>0</v>
      </c>
    </row>
    <row r="123" spans="1:22" x14ac:dyDescent="0.2">
      <c r="A123" t="s">
        <v>6428</v>
      </c>
      <c r="B123" t="s">
        <v>6429</v>
      </c>
      <c r="C123" t="s">
        <v>223</v>
      </c>
      <c r="D123" t="s">
        <v>96</v>
      </c>
      <c r="E123">
        <v>19.989999999999998</v>
      </c>
      <c r="F123" t="s">
        <v>8118</v>
      </c>
      <c r="L123" t="s">
        <v>7032</v>
      </c>
      <c r="M123" t="s">
        <v>97</v>
      </c>
      <c r="N123">
        <v>0</v>
      </c>
      <c r="O123">
        <v>0</v>
      </c>
      <c r="T123">
        <v>0</v>
      </c>
      <c r="U123">
        <v>0</v>
      </c>
      <c r="V123">
        <v>0</v>
      </c>
    </row>
    <row r="124" spans="1:22" x14ac:dyDescent="0.2">
      <c r="A124" t="s">
        <v>4343</v>
      </c>
      <c r="B124" t="s">
        <v>4344</v>
      </c>
      <c r="C124" t="s">
        <v>223</v>
      </c>
      <c r="D124" t="s">
        <v>96</v>
      </c>
      <c r="E124">
        <v>22.99</v>
      </c>
      <c r="F124" t="s">
        <v>8118</v>
      </c>
      <c r="L124" t="s">
        <v>7032</v>
      </c>
      <c r="M124" t="s">
        <v>97</v>
      </c>
      <c r="N124">
        <v>0</v>
      </c>
      <c r="O124">
        <v>0</v>
      </c>
      <c r="T124">
        <v>0</v>
      </c>
      <c r="U124">
        <v>0</v>
      </c>
      <c r="V124">
        <v>0</v>
      </c>
    </row>
    <row r="125" spans="1:22" x14ac:dyDescent="0.2">
      <c r="A125" t="s">
        <v>271</v>
      </c>
      <c r="B125" t="s">
        <v>272</v>
      </c>
      <c r="C125" t="s">
        <v>223</v>
      </c>
      <c r="D125" t="s">
        <v>96</v>
      </c>
      <c r="E125">
        <v>54.99</v>
      </c>
      <c r="F125" t="s">
        <v>8118</v>
      </c>
      <c r="L125" t="s">
        <v>7032</v>
      </c>
      <c r="M125" t="s">
        <v>97</v>
      </c>
      <c r="N125">
        <v>0</v>
      </c>
      <c r="O125">
        <v>0</v>
      </c>
      <c r="T125">
        <v>0</v>
      </c>
      <c r="U125">
        <v>0</v>
      </c>
      <c r="V125">
        <v>4</v>
      </c>
    </row>
    <row r="126" spans="1:22" x14ac:dyDescent="0.2">
      <c r="A126" t="s">
        <v>7768</v>
      </c>
      <c r="B126" t="s">
        <v>7769</v>
      </c>
      <c r="C126" t="s">
        <v>223</v>
      </c>
      <c r="D126" t="s">
        <v>96</v>
      </c>
      <c r="E126">
        <v>54.99</v>
      </c>
      <c r="F126" t="s">
        <v>8118</v>
      </c>
      <c r="L126" t="s">
        <v>7032</v>
      </c>
      <c r="M126" t="s">
        <v>97</v>
      </c>
      <c r="N126">
        <v>0</v>
      </c>
      <c r="O126">
        <v>0</v>
      </c>
      <c r="T126">
        <v>0</v>
      </c>
      <c r="U126">
        <v>0</v>
      </c>
      <c r="V126">
        <v>0</v>
      </c>
    </row>
    <row r="127" spans="1:22" x14ac:dyDescent="0.2">
      <c r="A127" t="s">
        <v>4283</v>
      </c>
      <c r="B127" t="s">
        <v>4284</v>
      </c>
      <c r="C127" t="s">
        <v>223</v>
      </c>
      <c r="D127" t="s">
        <v>96</v>
      </c>
      <c r="E127">
        <v>79.989999999999995</v>
      </c>
      <c r="F127" t="s">
        <v>8118</v>
      </c>
      <c r="L127" t="s">
        <v>7032</v>
      </c>
      <c r="M127" t="s">
        <v>97</v>
      </c>
      <c r="N127">
        <v>0</v>
      </c>
      <c r="O127">
        <v>0</v>
      </c>
      <c r="T127">
        <v>0</v>
      </c>
      <c r="U127">
        <v>0</v>
      </c>
      <c r="V127">
        <v>0</v>
      </c>
    </row>
    <row r="128" spans="1:22" x14ac:dyDescent="0.2">
      <c r="A128" t="s">
        <v>249</v>
      </c>
      <c r="B128" t="s">
        <v>250</v>
      </c>
      <c r="C128" t="s">
        <v>223</v>
      </c>
      <c r="D128" t="s">
        <v>228</v>
      </c>
      <c r="E128">
        <v>39.99</v>
      </c>
      <c r="F128" t="s">
        <v>8118</v>
      </c>
      <c r="G128">
        <v>149</v>
      </c>
      <c r="H128">
        <v>138</v>
      </c>
      <c r="I128">
        <v>11</v>
      </c>
      <c r="K128">
        <v>340</v>
      </c>
      <c r="L128" t="s">
        <v>7032</v>
      </c>
      <c r="M128" t="s">
        <v>97</v>
      </c>
      <c r="N128">
        <v>0</v>
      </c>
      <c r="O128">
        <v>0</v>
      </c>
      <c r="T128">
        <v>0</v>
      </c>
      <c r="U128">
        <v>0</v>
      </c>
      <c r="V128">
        <v>0</v>
      </c>
    </row>
    <row r="129" spans="1:22" x14ac:dyDescent="0.2">
      <c r="A129" t="s">
        <v>263</v>
      </c>
      <c r="B129" t="s">
        <v>264</v>
      </c>
      <c r="C129" t="s">
        <v>223</v>
      </c>
      <c r="D129" t="s">
        <v>96</v>
      </c>
      <c r="E129">
        <v>119.99</v>
      </c>
      <c r="F129" t="s">
        <v>8118</v>
      </c>
      <c r="L129" t="s">
        <v>7032</v>
      </c>
      <c r="M129" t="s">
        <v>97</v>
      </c>
      <c r="N129">
        <v>0</v>
      </c>
      <c r="O129">
        <v>0</v>
      </c>
      <c r="T129">
        <v>0</v>
      </c>
      <c r="U129">
        <v>0</v>
      </c>
      <c r="V129">
        <v>0</v>
      </c>
    </row>
    <row r="130" spans="1:22" x14ac:dyDescent="0.2">
      <c r="A130" t="s">
        <v>265</v>
      </c>
      <c r="B130" t="s">
        <v>266</v>
      </c>
      <c r="C130" t="s">
        <v>223</v>
      </c>
      <c r="D130" t="s">
        <v>96</v>
      </c>
      <c r="E130">
        <v>22.99</v>
      </c>
      <c r="F130" t="s">
        <v>8118</v>
      </c>
      <c r="L130" t="s">
        <v>7032</v>
      </c>
      <c r="M130" t="s">
        <v>97</v>
      </c>
      <c r="N130">
        <v>0</v>
      </c>
      <c r="O130">
        <v>0</v>
      </c>
      <c r="T130">
        <v>0</v>
      </c>
      <c r="U130">
        <v>0</v>
      </c>
      <c r="V130">
        <v>0</v>
      </c>
    </row>
    <row r="131" spans="1:22" x14ac:dyDescent="0.2">
      <c r="A131" t="s">
        <v>245</v>
      </c>
      <c r="B131" t="s">
        <v>246</v>
      </c>
      <c r="C131" t="s">
        <v>223</v>
      </c>
      <c r="D131" t="s">
        <v>228</v>
      </c>
      <c r="E131">
        <v>29.99</v>
      </c>
      <c r="F131" t="s">
        <v>8118</v>
      </c>
      <c r="G131">
        <v>102</v>
      </c>
      <c r="H131">
        <v>40</v>
      </c>
      <c r="I131">
        <v>62</v>
      </c>
      <c r="K131">
        <v>600</v>
      </c>
      <c r="L131" t="s">
        <v>7032</v>
      </c>
      <c r="M131" t="s">
        <v>97</v>
      </c>
      <c r="N131">
        <v>0</v>
      </c>
      <c r="O131">
        <v>0</v>
      </c>
      <c r="T131">
        <v>0</v>
      </c>
      <c r="U131">
        <v>0</v>
      </c>
      <c r="V131">
        <v>0</v>
      </c>
    </row>
    <row r="132" spans="1:22" x14ac:dyDescent="0.2">
      <c r="A132" t="s">
        <v>235</v>
      </c>
      <c r="B132" t="s">
        <v>236</v>
      </c>
      <c r="C132" t="s">
        <v>223</v>
      </c>
      <c r="D132" t="s">
        <v>96</v>
      </c>
      <c r="E132">
        <v>64.989999999999995</v>
      </c>
      <c r="F132" t="s">
        <v>8118</v>
      </c>
      <c r="L132" t="s">
        <v>7032</v>
      </c>
      <c r="M132" t="s">
        <v>97</v>
      </c>
      <c r="N132">
        <v>0</v>
      </c>
      <c r="O132">
        <v>0</v>
      </c>
      <c r="T132">
        <v>0</v>
      </c>
      <c r="U132">
        <v>0</v>
      </c>
      <c r="V132">
        <v>0</v>
      </c>
    </row>
    <row r="133" spans="1:22" x14ac:dyDescent="0.2">
      <c r="A133" t="s">
        <v>243</v>
      </c>
      <c r="B133" t="s">
        <v>244</v>
      </c>
      <c r="C133" t="s">
        <v>223</v>
      </c>
      <c r="D133" t="s">
        <v>228</v>
      </c>
      <c r="E133">
        <v>29.99</v>
      </c>
      <c r="F133" t="s">
        <v>8118</v>
      </c>
      <c r="G133">
        <v>21</v>
      </c>
      <c r="H133">
        <v>21</v>
      </c>
      <c r="J133">
        <v>4</v>
      </c>
      <c r="K133">
        <v>640</v>
      </c>
      <c r="L133" t="s">
        <v>7032</v>
      </c>
      <c r="M133" t="s">
        <v>97</v>
      </c>
      <c r="N133">
        <v>0</v>
      </c>
      <c r="O133">
        <v>0</v>
      </c>
      <c r="T133">
        <v>0</v>
      </c>
      <c r="U133">
        <v>0</v>
      </c>
      <c r="V133">
        <v>0</v>
      </c>
    </row>
    <row r="134" spans="1:22" x14ac:dyDescent="0.2">
      <c r="A134" t="s">
        <v>224</v>
      </c>
      <c r="B134" t="s">
        <v>225</v>
      </c>
      <c r="C134" t="s">
        <v>223</v>
      </c>
      <c r="D134" t="s">
        <v>96</v>
      </c>
      <c r="E134">
        <v>149.99</v>
      </c>
      <c r="F134" t="s">
        <v>8118</v>
      </c>
      <c r="L134" t="s">
        <v>7032</v>
      </c>
      <c r="M134" t="s">
        <v>97</v>
      </c>
      <c r="N134">
        <v>0</v>
      </c>
      <c r="O134">
        <v>0</v>
      </c>
      <c r="T134">
        <v>0</v>
      </c>
      <c r="U134">
        <v>0</v>
      </c>
      <c r="V134">
        <v>0</v>
      </c>
    </row>
    <row r="135" spans="1:22" x14ac:dyDescent="0.2">
      <c r="A135" t="s">
        <v>247</v>
      </c>
      <c r="B135" t="s">
        <v>248</v>
      </c>
      <c r="C135" t="s">
        <v>223</v>
      </c>
      <c r="D135" t="s">
        <v>228</v>
      </c>
      <c r="E135">
        <v>39.99</v>
      </c>
      <c r="F135" t="s">
        <v>8118</v>
      </c>
      <c r="G135">
        <v>298</v>
      </c>
      <c r="H135">
        <v>25</v>
      </c>
      <c r="I135">
        <v>273</v>
      </c>
      <c r="K135">
        <v>60</v>
      </c>
      <c r="L135" t="s">
        <v>7032</v>
      </c>
      <c r="M135" t="s">
        <v>97</v>
      </c>
      <c r="N135">
        <v>0</v>
      </c>
      <c r="O135">
        <v>0</v>
      </c>
      <c r="T135">
        <v>0</v>
      </c>
      <c r="U135">
        <v>0</v>
      </c>
      <c r="V135">
        <v>0</v>
      </c>
    </row>
    <row r="136" spans="1:22" x14ac:dyDescent="0.2">
      <c r="A136" t="s">
        <v>226</v>
      </c>
      <c r="B136" t="s">
        <v>227</v>
      </c>
      <c r="C136" t="s">
        <v>223</v>
      </c>
      <c r="D136" t="s">
        <v>228</v>
      </c>
      <c r="E136">
        <v>119.99</v>
      </c>
      <c r="F136" t="s">
        <v>8118</v>
      </c>
      <c r="J136">
        <v>8</v>
      </c>
      <c r="K136">
        <v>100</v>
      </c>
      <c r="L136" t="s">
        <v>7032</v>
      </c>
      <c r="M136" t="s">
        <v>97</v>
      </c>
      <c r="N136">
        <v>0</v>
      </c>
      <c r="O136">
        <v>0</v>
      </c>
      <c r="T136">
        <v>0</v>
      </c>
      <c r="U136">
        <v>0</v>
      </c>
      <c r="V136">
        <v>0</v>
      </c>
    </row>
    <row r="137" spans="1:22" x14ac:dyDescent="0.2">
      <c r="A137" t="s">
        <v>237</v>
      </c>
      <c r="B137" t="s">
        <v>238</v>
      </c>
      <c r="C137" t="s">
        <v>223</v>
      </c>
      <c r="D137" t="s">
        <v>96</v>
      </c>
      <c r="E137">
        <v>109.99</v>
      </c>
      <c r="F137" t="s">
        <v>8118</v>
      </c>
      <c r="L137" t="s">
        <v>7032</v>
      </c>
      <c r="M137" t="s">
        <v>97</v>
      </c>
      <c r="N137">
        <v>0</v>
      </c>
      <c r="O137">
        <v>0</v>
      </c>
      <c r="T137">
        <v>0</v>
      </c>
      <c r="U137">
        <v>0</v>
      </c>
      <c r="V137">
        <v>0</v>
      </c>
    </row>
    <row r="138" spans="1:22" x14ac:dyDescent="0.2">
      <c r="A138" t="s">
        <v>231</v>
      </c>
      <c r="B138" t="s">
        <v>232</v>
      </c>
      <c r="C138" t="s">
        <v>223</v>
      </c>
      <c r="D138" t="s">
        <v>96</v>
      </c>
      <c r="E138">
        <v>109.99</v>
      </c>
      <c r="F138" t="s">
        <v>8118</v>
      </c>
      <c r="L138" t="s">
        <v>7032</v>
      </c>
      <c r="M138" t="s">
        <v>97</v>
      </c>
      <c r="N138">
        <v>0</v>
      </c>
      <c r="O138">
        <v>0</v>
      </c>
      <c r="T138">
        <v>0</v>
      </c>
      <c r="U138">
        <v>0</v>
      </c>
      <c r="V138">
        <v>0</v>
      </c>
    </row>
    <row r="139" spans="1:22" x14ac:dyDescent="0.2">
      <c r="A139" t="s">
        <v>4322</v>
      </c>
      <c r="B139" t="s">
        <v>4323</v>
      </c>
      <c r="C139" t="s">
        <v>223</v>
      </c>
      <c r="D139" t="s">
        <v>96</v>
      </c>
      <c r="E139">
        <v>89.99</v>
      </c>
      <c r="F139" t="s">
        <v>8118</v>
      </c>
      <c r="L139" t="s">
        <v>7032</v>
      </c>
      <c r="M139" t="s">
        <v>97</v>
      </c>
      <c r="N139">
        <v>0</v>
      </c>
      <c r="O139">
        <v>0</v>
      </c>
      <c r="T139">
        <v>0</v>
      </c>
      <c r="U139">
        <v>0</v>
      </c>
      <c r="V139">
        <v>0</v>
      </c>
    </row>
    <row r="140" spans="1:22" x14ac:dyDescent="0.2">
      <c r="A140" t="s">
        <v>267</v>
      </c>
      <c r="B140" t="s">
        <v>268</v>
      </c>
      <c r="C140" t="s">
        <v>223</v>
      </c>
      <c r="D140" t="s">
        <v>96</v>
      </c>
      <c r="E140">
        <v>54.99</v>
      </c>
      <c r="F140" t="s">
        <v>8118</v>
      </c>
      <c r="L140" t="s">
        <v>7032</v>
      </c>
      <c r="M140" t="s">
        <v>97</v>
      </c>
      <c r="N140">
        <v>0</v>
      </c>
      <c r="O140">
        <v>0</v>
      </c>
      <c r="T140">
        <v>0</v>
      </c>
      <c r="U140">
        <v>0</v>
      </c>
      <c r="V140">
        <v>3</v>
      </c>
    </row>
    <row r="141" spans="1:22" x14ac:dyDescent="0.2">
      <c r="A141" t="s">
        <v>269</v>
      </c>
      <c r="B141" t="s">
        <v>270</v>
      </c>
      <c r="C141" t="s">
        <v>223</v>
      </c>
      <c r="D141" t="s">
        <v>96</v>
      </c>
      <c r="E141">
        <v>54.99</v>
      </c>
      <c r="F141" t="s">
        <v>8118</v>
      </c>
      <c r="L141" t="s">
        <v>7032</v>
      </c>
      <c r="M141" t="s">
        <v>97</v>
      </c>
      <c r="N141">
        <v>0</v>
      </c>
      <c r="O141">
        <v>0</v>
      </c>
      <c r="T141">
        <v>0</v>
      </c>
      <c r="U141">
        <v>0</v>
      </c>
      <c r="V141">
        <v>0</v>
      </c>
    </row>
    <row r="142" spans="1:22" x14ac:dyDescent="0.2">
      <c r="A142" t="s">
        <v>4307</v>
      </c>
      <c r="B142" t="s">
        <v>4308</v>
      </c>
      <c r="C142" t="s">
        <v>223</v>
      </c>
      <c r="D142" t="s">
        <v>96</v>
      </c>
      <c r="E142">
        <v>62.99</v>
      </c>
      <c r="F142" t="s">
        <v>8118</v>
      </c>
      <c r="L142" t="s">
        <v>7032</v>
      </c>
      <c r="M142" t="s">
        <v>97</v>
      </c>
      <c r="N142">
        <v>0</v>
      </c>
      <c r="O142">
        <v>0</v>
      </c>
      <c r="T142">
        <v>0</v>
      </c>
      <c r="U142">
        <v>0</v>
      </c>
      <c r="V142">
        <v>0</v>
      </c>
    </row>
    <row r="143" spans="1:22" x14ac:dyDescent="0.2">
      <c r="A143" t="s">
        <v>7100</v>
      </c>
      <c r="B143" t="s">
        <v>7101</v>
      </c>
      <c r="C143" t="s">
        <v>223</v>
      </c>
      <c r="D143" t="s">
        <v>96</v>
      </c>
      <c r="E143">
        <v>22.99</v>
      </c>
      <c r="F143" t="s">
        <v>8118</v>
      </c>
      <c r="L143" t="s">
        <v>7032</v>
      </c>
      <c r="M143" t="s">
        <v>97</v>
      </c>
      <c r="N143">
        <v>0</v>
      </c>
      <c r="O143">
        <v>0</v>
      </c>
      <c r="T143">
        <v>0</v>
      </c>
      <c r="U143">
        <v>0</v>
      </c>
      <c r="V143">
        <v>0</v>
      </c>
    </row>
    <row r="144" spans="1:22" x14ac:dyDescent="0.2">
      <c r="A144" t="s">
        <v>239</v>
      </c>
      <c r="B144" t="s">
        <v>240</v>
      </c>
      <c r="C144" t="s">
        <v>223</v>
      </c>
      <c r="D144" t="s">
        <v>96</v>
      </c>
      <c r="E144">
        <v>109.99</v>
      </c>
      <c r="F144" t="s">
        <v>8118</v>
      </c>
      <c r="L144" t="s">
        <v>8</v>
      </c>
      <c r="M144" t="s">
        <v>8036</v>
      </c>
      <c r="N144">
        <v>0</v>
      </c>
      <c r="O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">
      <c r="A145" t="s">
        <v>237</v>
      </c>
      <c r="B145" t="s">
        <v>238</v>
      </c>
      <c r="C145" t="s">
        <v>223</v>
      </c>
      <c r="D145" t="s">
        <v>96</v>
      </c>
      <c r="E145">
        <v>109.99</v>
      </c>
      <c r="F145" t="s">
        <v>8118</v>
      </c>
      <c r="L145" t="s">
        <v>8</v>
      </c>
      <c r="M145" t="s">
        <v>8065</v>
      </c>
      <c r="N145">
        <v>0</v>
      </c>
      <c r="O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">
      <c r="A146" t="s">
        <v>251</v>
      </c>
      <c r="B146" t="s">
        <v>252</v>
      </c>
      <c r="C146" t="s">
        <v>223</v>
      </c>
      <c r="D146" t="s">
        <v>228</v>
      </c>
      <c r="E146">
        <v>79.989999999999995</v>
      </c>
      <c r="F146" t="s">
        <v>8118</v>
      </c>
      <c r="J146">
        <v>20</v>
      </c>
      <c r="K146">
        <v>600</v>
      </c>
      <c r="L146" t="s">
        <v>8</v>
      </c>
      <c r="M146" t="s">
        <v>4270</v>
      </c>
      <c r="N146">
        <v>12.974169741697418</v>
      </c>
      <c r="O146">
        <v>7.7076222980659831E-2</v>
      </c>
      <c r="Q146">
        <v>3</v>
      </c>
      <c r="R146">
        <v>16</v>
      </c>
      <c r="S146">
        <v>274</v>
      </c>
      <c r="T146">
        <v>22.583333333333332</v>
      </c>
      <c r="U146">
        <v>1839.77</v>
      </c>
      <c r="V146">
        <v>293</v>
      </c>
    </row>
    <row r="147" spans="1:22" x14ac:dyDescent="0.2">
      <c r="A147" t="s">
        <v>245</v>
      </c>
      <c r="B147" t="s">
        <v>246</v>
      </c>
      <c r="C147" t="s">
        <v>223</v>
      </c>
      <c r="D147" t="s">
        <v>228</v>
      </c>
      <c r="E147">
        <v>29.99</v>
      </c>
      <c r="F147" t="s">
        <v>8118</v>
      </c>
      <c r="G147">
        <v>102</v>
      </c>
      <c r="H147">
        <v>40</v>
      </c>
      <c r="I147">
        <v>62</v>
      </c>
      <c r="K147">
        <v>600</v>
      </c>
      <c r="L147" t="s">
        <v>8</v>
      </c>
      <c r="M147" t="s">
        <v>4264</v>
      </c>
      <c r="N147">
        <v>9.6978417266187051</v>
      </c>
      <c r="O147">
        <v>0.10311572700296735</v>
      </c>
      <c r="Q147">
        <v>4</v>
      </c>
      <c r="R147">
        <v>34</v>
      </c>
      <c r="S147">
        <v>299</v>
      </c>
      <c r="T147">
        <v>34.75</v>
      </c>
      <c r="U147">
        <v>1139.6199999999999</v>
      </c>
      <c r="V147">
        <v>337</v>
      </c>
    </row>
    <row r="148" spans="1:22" x14ac:dyDescent="0.2">
      <c r="A148" t="s">
        <v>247</v>
      </c>
      <c r="B148" t="s">
        <v>248</v>
      </c>
      <c r="C148" t="s">
        <v>223</v>
      </c>
      <c r="D148" t="s">
        <v>228</v>
      </c>
      <c r="E148">
        <v>39.99</v>
      </c>
      <c r="F148" t="s">
        <v>8118</v>
      </c>
      <c r="G148">
        <v>298</v>
      </c>
      <c r="H148">
        <v>25</v>
      </c>
      <c r="I148">
        <v>273</v>
      </c>
      <c r="K148">
        <v>60</v>
      </c>
      <c r="L148" t="s">
        <v>8</v>
      </c>
      <c r="M148" t="s">
        <v>4252</v>
      </c>
      <c r="N148">
        <v>24.545454545454547</v>
      </c>
      <c r="O148">
        <v>4.0740740740740744E-2</v>
      </c>
      <c r="Q148">
        <v>1</v>
      </c>
      <c r="R148">
        <v>36</v>
      </c>
      <c r="S148">
        <v>98</v>
      </c>
      <c r="T148">
        <v>5.5</v>
      </c>
      <c r="U148">
        <v>159.96</v>
      </c>
      <c r="V148">
        <v>135</v>
      </c>
    </row>
    <row r="149" spans="1:22" x14ac:dyDescent="0.2">
      <c r="A149" t="s">
        <v>249</v>
      </c>
      <c r="B149" t="s">
        <v>250</v>
      </c>
      <c r="C149" t="s">
        <v>223</v>
      </c>
      <c r="D149" t="s">
        <v>228</v>
      </c>
      <c r="E149">
        <v>39.99</v>
      </c>
      <c r="F149" t="s">
        <v>8118</v>
      </c>
      <c r="G149">
        <v>149</v>
      </c>
      <c r="H149">
        <v>138</v>
      </c>
      <c r="I149">
        <v>11</v>
      </c>
      <c r="K149">
        <v>340</v>
      </c>
      <c r="L149" t="s">
        <v>8</v>
      </c>
      <c r="M149" t="s">
        <v>4241</v>
      </c>
      <c r="N149">
        <v>15.529411764705882</v>
      </c>
      <c r="O149">
        <v>6.4393939393939392E-2</v>
      </c>
      <c r="Q149">
        <v>4</v>
      </c>
      <c r="R149">
        <v>27</v>
      </c>
      <c r="S149">
        <v>299</v>
      </c>
      <c r="T149">
        <v>21.25</v>
      </c>
      <c r="U149">
        <v>799.80000000000007</v>
      </c>
      <c r="V149">
        <v>330</v>
      </c>
    </row>
    <row r="150" spans="1:22" x14ac:dyDescent="0.2">
      <c r="A150" t="s">
        <v>4242</v>
      </c>
      <c r="B150" t="s">
        <v>4243</v>
      </c>
      <c r="C150" t="s">
        <v>223</v>
      </c>
      <c r="D150" t="s">
        <v>96</v>
      </c>
      <c r="E150">
        <v>42.99</v>
      </c>
      <c r="F150" t="s">
        <v>8118</v>
      </c>
      <c r="L150" t="s">
        <v>8</v>
      </c>
      <c r="M150" t="s">
        <v>8077</v>
      </c>
      <c r="N150">
        <v>0</v>
      </c>
      <c r="O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">
      <c r="A151" t="s">
        <v>4246</v>
      </c>
      <c r="B151" t="s">
        <v>4247</v>
      </c>
      <c r="C151" t="s">
        <v>223</v>
      </c>
      <c r="D151" t="s">
        <v>96</v>
      </c>
      <c r="E151">
        <v>42.99</v>
      </c>
      <c r="F151" t="s">
        <v>8118</v>
      </c>
      <c r="L151" t="s">
        <v>8</v>
      </c>
      <c r="M151" t="s">
        <v>8096</v>
      </c>
      <c r="N151">
        <v>0</v>
      </c>
      <c r="O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">
      <c r="A152" t="s">
        <v>7100</v>
      </c>
      <c r="B152" t="s">
        <v>7101</v>
      </c>
      <c r="C152" t="s">
        <v>223</v>
      </c>
      <c r="D152" t="s">
        <v>96</v>
      </c>
      <c r="E152">
        <v>22.99</v>
      </c>
      <c r="F152" t="s">
        <v>8118</v>
      </c>
      <c r="L152" t="s">
        <v>8</v>
      </c>
      <c r="M152" t="s">
        <v>7893</v>
      </c>
      <c r="N152">
        <v>0</v>
      </c>
      <c r="O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">
      <c r="A153" t="s">
        <v>229</v>
      </c>
      <c r="B153" t="s">
        <v>230</v>
      </c>
      <c r="C153" t="s">
        <v>223</v>
      </c>
      <c r="D153" t="s">
        <v>228</v>
      </c>
      <c r="E153">
        <v>119.99</v>
      </c>
      <c r="F153" t="s">
        <v>8118</v>
      </c>
      <c r="G153">
        <v>286</v>
      </c>
      <c r="H153">
        <v>11</v>
      </c>
      <c r="I153">
        <v>275</v>
      </c>
      <c r="L153" t="s">
        <v>8</v>
      </c>
      <c r="M153" t="s">
        <v>4234</v>
      </c>
      <c r="N153">
        <v>37.354838709677416</v>
      </c>
      <c r="O153">
        <v>2.6770293609671848E-2</v>
      </c>
      <c r="Q153">
        <v>0</v>
      </c>
      <c r="R153">
        <v>12</v>
      </c>
      <c r="S153">
        <v>181</v>
      </c>
      <c r="T153">
        <v>5.166666666666667</v>
      </c>
      <c r="U153">
        <v>479.96</v>
      </c>
      <c r="V153">
        <v>193</v>
      </c>
    </row>
    <row r="154" spans="1:22" x14ac:dyDescent="0.2">
      <c r="A154" t="s">
        <v>257</v>
      </c>
      <c r="B154" t="s">
        <v>258</v>
      </c>
      <c r="C154" t="s">
        <v>223</v>
      </c>
      <c r="D154" t="s">
        <v>228</v>
      </c>
      <c r="E154">
        <v>59.99</v>
      </c>
      <c r="F154" t="s">
        <v>8118</v>
      </c>
      <c r="G154">
        <v>32</v>
      </c>
      <c r="H154">
        <v>2</v>
      </c>
      <c r="I154">
        <v>30</v>
      </c>
      <c r="L154" t="s">
        <v>8</v>
      </c>
      <c r="M154" t="s">
        <v>4279</v>
      </c>
      <c r="N154">
        <v>72</v>
      </c>
      <c r="O154">
        <v>1.3888888888888888E-2</v>
      </c>
      <c r="Q154">
        <v>0</v>
      </c>
      <c r="R154">
        <v>9</v>
      </c>
      <c r="S154">
        <v>117</v>
      </c>
      <c r="T154">
        <v>1.75</v>
      </c>
      <c r="U154">
        <v>179.97</v>
      </c>
      <c r="V154">
        <v>126</v>
      </c>
    </row>
    <row r="155" spans="1:22" x14ac:dyDescent="0.2">
      <c r="A155" t="s">
        <v>255</v>
      </c>
      <c r="B155" t="s">
        <v>256</v>
      </c>
      <c r="C155" t="s">
        <v>223</v>
      </c>
      <c r="D155" t="s">
        <v>228</v>
      </c>
      <c r="E155">
        <v>59.99</v>
      </c>
      <c r="F155" t="s">
        <v>8118</v>
      </c>
      <c r="J155">
        <v>29</v>
      </c>
      <c r="K155">
        <v>40</v>
      </c>
      <c r="L155" t="s">
        <v>8</v>
      </c>
      <c r="M155" t="s">
        <v>4276</v>
      </c>
      <c r="N155">
        <v>22.411764705882351</v>
      </c>
      <c r="O155">
        <v>4.4619422572178477E-2</v>
      </c>
      <c r="Q155">
        <v>1</v>
      </c>
      <c r="R155">
        <v>7</v>
      </c>
      <c r="S155">
        <v>119</v>
      </c>
      <c r="T155">
        <v>5.666666666666667</v>
      </c>
      <c r="U155">
        <v>119.98</v>
      </c>
      <c r="V155">
        <v>127</v>
      </c>
    </row>
    <row r="156" spans="1:22" x14ac:dyDescent="0.2">
      <c r="A156" t="s">
        <v>259</v>
      </c>
      <c r="B156" t="s">
        <v>260</v>
      </c>
      <c r="C156" t="s">
        <v>223</v>
      </c>
      <c r="D156" t="s">
        <v>290</v>
      </c>
      <c r="E156">
        <v>99.99</v>
      </c>
      <c r="F156" t="s">
        <v>8118</v>
      </c>
      <c r="G156">
        <v>96</v>
      </c>
      <c r="H156">
        <v>1</v>
      </c>
      <c r="I156">
        <v>95</v>
      </c>
      <c r="L156" t="s">
        <v>8</v>
      </c>
      <c r="M156" t="s">
        <v>259</v>
      </c>
      <c r="N156">
        <v>144</v>
      </c>
      <c r="O156">
        <v>6.9444444444444449E-3</v>
      </c>
      <c r="Q156">
        <v>0</v>
      </c>
      <c r="R156">
        <v>79</v>
      </c>
      <c r="S156">
        <v>5</v>
      </c>
      <c r="T156">
        <v>0.58333333333333337</v>
      </c>
      <c r="U156">
        <v>399.96</v>
      </c>
      <c r="V156">
        <v>84</v>
      </c>
    </row>
    <row r="157" spans="1:22" x14ac:dyDescent="0.2">
      <c r="A157" t="s">
        <v>4300</v>
      </c>
      <c r="B157" t="s">
        <v>4301</v>
      </c>
      <c r="C157" t="s">
        <v>223</v>
      </c>
      <c r="D157" t="s">
        <v>96</v>
      </c>
      <c r="E157">
        <v>54.99</v>
      </c>
      <c r="F157" t="s">
        <v>8118</v>
      </c>
      <c r="L157" t="s">
        <v>8</v>
      </c>
      <c r="M157" t="s">
        <v>8090</v>
      </c>
      <c r="N157">
        <v>0</v>
      </c>
      <c r="O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">
      <c r="A158" t="s">
        <v>243</v>
      </c>
      <c r="B158" t="s">
        <v>244</v>
      </c>
      <c r="C158" t="s">
        <v>223</v>
      </c>
      <c r="D158" t="s">
        <v>228</v>
      </c>
      <c r="E158">
        <v>29.99</v>
      </c>
      <c r="F158" t="s">
        <v>8118</v>
      </c>
      <c r="G158">
        <v>21</v>
      </c>
      <c r="H158">
        <v>21</v>
      </c>
      <c r="J158">
        <v>4</v>
      </c>
      <c r="K158">
        <v>640</v>
      </c>
      <c r="L158" t="s">
        <v>8</v>
      </c>
      <c r="M158" t="s">
        <v>4256</v>
      </c>
      <c r="N158">
        <v>10.538071065989847</v>
      </c>
      <c r="O158">
        <v>9.4894026974951834E-2</v>
      </c>
      <c r="Q158">
        <v>9</v>
      </c>
      <c r="R158">
        <v>40</v>
      </c>
      <c r="S158">
        <v>297</v>
      </c>
      <c r="T158">
        <v>32.833333333333336</v>
      </c>
      <c r="U158">
        <v>959.68</v>
      </c>
      <c r="V158">
        <v>346</v>
      </c>
    </row>
    <row r="159" spans="1:22" x14ac:dyDescent="0.2">
      <c r="A159" t="s">
        <v>226</v>
      </c>
      <c r="B159" t="s">
        <v>227</v>
      </c>
      <c r="C159" t="s">
        <v>223</v>
      </c>
      <c r="D159" t="s">
        <v>228</v>
      </c>
      <c r="E159">
        <v>119.99</v>
      </c>
      <c r="F159" t="s">
        <v>8118</v>
      </c>
      <c r="J159">
        <v>8</v>
      </c>
      <c r="K159">
        <v>100</v>
      </c>
      <c r="L159" t="s">
        <v>8</v>
      </c>
      <c r="M159" t="s">
        <v>4230</v>
      </c>
      <c r="N159">
        <v>36.875912408759127</v>
      </c>
      <c r="O159">
        <v>2.7117973079968327E-2</v>
      </c>
      <c r="Q159">
        <v>7</v>
      </c>
      <c r="R159">
        <v>25</v>
      </c>
      <c r="S159">
        <v>389</v>
      </c>
      <c r="T159">
        <v>11.416666666666666</v>
      </c>
      <c r="U159">
        <v>1319.8899999999999</v>
      </c>
      <c r="V159">
        <v>421</v>
      </c>
    </row>
    <row r="160" spans="1:22" x14ac:dyDescent="0.2">
      <c r="A160" t="s">
        <v>241</v>
      </c>
      <c r="B160" t="s">
        <v>242</v>
      </c>
      <c r="C160" t="s">
        <v>223</v>
      </c>
      <c r="D160" t="s">
        <v>96</v>
      </c>
      <c r="E160">
        <v>29.99</v>
      </c>
      <c r="F160" t="s">
        <v>8118</v>
      </c>
      <c r="L160" t="s">
        <v>8</v>
      </c>
      <c r="M160" t="s">
        <v>8078</v>
      </c>
      <c r="N160">
        <v>0</v>
      </c>
      <c r="O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">
      <c r="A161" t="s">
        <v>4294</v>
      </c>
      <c r="B161" t="s">
        <v>4295</v>
      </c>
      <c r="C161" t="s">
        <v>223</v>
      </c>
      <c r="D161" t="s">
        <v>96</v>
      </c>
      <c r="E161">
        <v>54.99</v>
      </c>
      <c r="F161" t="s">
        <v>8118</v>
      </c>
      <c r="L161" t="s">
        <v>8</v>
      </c>
      <c r="M161" t="s">
        <v>8084</v>
      </c>
      <c r="N161">
        <v>0</v>
      </c>
      <c r="O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">
      <c r="A162" t="s">
        <v>231</v>
      </c>
      <c r="B162" t="s">
        <v>232</v>
      </c>
      <c r="C162" t="s">
        <v>223</v>
      </c>
      <c r="D162" t="s">
        <v>96</v>
      </c>
      <c r="E162">
        <v>109.99</v>
      </c>
      <c r="F162" t="s">
        <v>8118</v>
      </c>
      <c r="L162" t="s">
        <v>8</v>
      </c>
      <c r="M162" t="s">
        <v>8080</v>
      </c>
      <c r="N162">
        <v>0</v>
      </c>
      <c r="O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">
      <c r="A163" t="s">
        <v>4224</v>
      </c>
      <c r="B163" t="s">
        <v>4225</v>
      </c>
      <c r="C163" t="s">
        <v>223</v>
      </c>
      <c r="D163" t="s">
        <v>96</v>
      </c>
      <c r="E163">
        <v>109.99</v>
      </c>
      <c r="F163" t="s">
        <v>8118</v>
      </c>
      <c r="L163" t="s">
        <v>8</v>
      </c>
      <c r="M163" t="s">
        <v>8091</v>
      </c>
      <c r="N163">
        <v>0</v>
      </c>
      <c r="O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">
      <c r="A164" t="s">
        <v>253</v>
      </c>
      <c r="B164" t="s">
        <v>254</v>
      </c>
      <c r="C164" t="s">
        <v>223</v>
      </c>
      <c r="D164" t="s">
        <v>228</v>
      </c>
      <c r="E164">
        <v>89.99</v>
      </c>
      <c r="F164" t="s">
        <v>8118</v>
      </c>
      <c r="G164">
        <v>158</v>
      </c>
      <c r="I164">
        <v>158</v>
      </c>
      <c r="L164" t="s">
        <v>8</v>
      </c>
      <c r="M164" t="s">
        <v>253</v>
      </c>
      <c r="N164">
        <v>93.818181818181827</v>
      </c>
      <c r="O164">
        <v>1.065891472868217E-2</v>
      </c>
      <c r="Q164">
        <v>0</v>
      </c>
      <c r="R164">
        <v>79</v>
      </c>
      <c r="S164">
        <v>7</v>
      </c>
      <c r="T164">
        <v>0.91666666666666663</v>
      </c>
      <c r="U164">
        <v>89.99</v>
      </c>
      <c r="V164">
        <v>86</v>
      </c>
    </row>
    <row r="165" spans="1:22" x14ac:dyDescent="0.2">
      <c r="A165" t="s">
        <v>4235</v>
      </c>
      <c r="B165" t="s">
        <v>4236</v>
      </c>
      <c r="C165" t="s">
        <v>223</v>
      </c>
      <c r="D165" t="s">
        <v>96</v>
      </c>
      <c r="E165">
        <v>39.99</v>
      </c>
      <c r="F165" t="s">
        <v>8118</v>
      </c>
      <c r="L165" t="s">
        <v>8</v>
      </c>
      <c r="M165" t="s">
        <v>8094</v>
      </c>
      <c r="N165">
        <v>0</v>
      </c>
      <c r="O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">
      <c r="A166" t="s">
        <v>4297</v>
      </c>
      <c r="B166" t="s">
        <v>4298</v>
      </c>
      <c r="C166" t="s">
        <v>223</v>
      </c>
      <c r="D166" t="s">
        <v>96</v>
      </c>
      <c r="E166">
        <v>54.99</v>
      </c>
      <c r="F166" t="s">
        <v>8118</v>
      </c>
      <c r="L166" t="s">
        <v>8</v>
      </c>
      <c r="M166" t="s">
        <v>8087</v>
      </c>
      <c r="N166">
        <v>0</v>
      </c>
      <c r="O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">
      <c r="A167" t="s">
        <v>4307</v>
      </c>
      <c r="B167" t="s">
        <v>4308</v>
      </c>
      <c r="C167" t="s">
        <v>223</v>
      </c>
      <c r="D167" t="s">
        <v>96</v>
      </c>
      <c r="E167">
        <v>62.99</v>
      </c>
      <c r="F167" t="s">
        <v>8118</v>
      </c>
      <c r="L167" t="s">
        <v>8</v>
      </c>
      <c r="M167" t="s">
        <v>8099</v>
      </c>
      <c r="N167">
        <v>0</v>
      </c>
      <c r="O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">
      <c r="A168" t="s">
        <v>273</v>
      </c>
      <c r="B168" t="s">
        <v>274</v>
      </c>
      <c r="C168" t="s">
        <v>223</v>
      </c>
      <c r="D168" t="s">
        <v>228</v>
      </c>
      <c r="E168">
        <v>59.99</v>
      </c>
      <c r="F168" t="s">
        <v>8118</v>
      </c>
      <c r="J168">
        <v>5</v>
      </c>
      <c r="K168">
        <v>160</v>
      </c>
      <c r="L168" t="s">
        <v>8</v>
      </c>
      <c r="M168" t="s">
        <v>4306</v>
      </c>
      <c r="N168">
        <v>26.433566433566433</v>
      </c>
      <c r="O168">
        <v>3.7830687830687826E-2</v>
      </c>
      <c r="Q168">
        <v>4</v>
      </c>
      <c r="R168">
        <v>15</v>
      </c>
      <c r="S168">
        <v>296</v>
      </c>
      <c r="T168">
        <v>11.916666666666666</v>
      </c>
      <c r="U168">
        <v>479.92</v>
      </c>
      <c r="V168">
        <v>315</v>
      </c>
    </row>
    <row r="169" spans="1:22" x14ac:dyDescent="0.2">
      <c r="A169" t="s">
        <v>261</v>
      </c>
      <c r="B169" t="s">
        <v>262</v>
      </c>
      <c r="C169" t="s">
        <v>223</v>
      </c>
      <c r="D169" t="s">
        <v>96</v>
      </c>
      <c r="E169">
        <v>79.989999999999995</v>
      </c>
      <c r="F169" t="s">
        <v>8118</v>
      </c>
      <c r="L169" t="s">
        <v>8</v>
      </c>
      <c r="M169" t="s">
        <v>8102</v>
      </c>
      <c r="N169">
        <v>0</v>
      </c>
      <c r="O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">
      <c r="A170" t="s">
        <v>4314</v>
      </c>
      <c r="B170" t="s">
        <v>4315</v>
      </c>
      <c r="C170" t="s">
        <v>223</v>
      </c>
      <c r="D170" t="s">
        <v>96</v>
      </c>
      <c r="E170">
        <v>149.99</v>
      </c>
      <c r="F170" t="s">
        <v>8118</v>
      </c>
      <c r="L170" t="s">
        <v>8</v>
      </c>
      <c r="M170" t="s">
        <v>8101</v>
      </c>
      <c r="N170">
        <v>0</v>
      </c>
      <c r="O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">
      <c r="A171" t="s">
        <v>263</v>
      </c>
      <c r="B171" t="s">
        <v>264</v>
      </c>
      <c r="C171" t="s">
        <v>223</v>
      </c>
      <c r="D171" t="s">
        <v>96</v>
      </c>
      <c r="E171">
        <v>119.99</v>
      </c>
      <c r="F171" t="s">
        <v>8118</v>
      </c>
      <c r="L171" t="s">
        <v>8</v>
      </c>
      <c r="M171" t="s">
        <v>4288</v>
      </c>
      <c r="N171">
        <v>6.666666666666667</v>
      </c>
      <c r="O171">
        <v>0.15</v>
      </c>
      <c r="Q171">
        <v>0</v>
      </c>
      <c r="R171">
        <v>0</v>
      </c>
      <c r="S171">
        <v>10</v>
      </c>
      <c r="T171">
        <v>1.5</v>
      </c>
      <c r="U171">
        <v>359.96999999999997</v>
      </c>
      <c r="V171">
        <v>10</v>
      </c>
    </row>
    <row r="172" spans="1:22" x14ac:dyDescent="0.2">
      <c r="A172" t="s">
        <v>4283</v>
      </c>
      <c r="B172" t="s">
        <v>4284</v>
      </c>
      <c r="C172" t="s">
        <v>223</v>
      </c>
      <c r="D172" t="s">
        <v>96</v>
      </c>
      <c r="E172">
        <v>79.989999999999995</v>
      </c>
      <c r="F172" t="s">
        <v>8118</v>
      </c>
      <c r="L172" t="s">
        <v>8</v>
      </c>
      <c r="M172" t="s">
        <v>8095</v>
      </c>
      <c r="N172">
        <v>0</v>
      </c>
      <c r="O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">
      <c r="A173" t="s">
        <v>279</v>
      </c>
      <c r="B173" t="s">
        <v>280</v>
      </c>
      <c r="C173" t="s">
        <v>223</v>
      </c>
      <c r="D173" t="s">
        <v>228</v>
      </c>
      <c r="E173">
        <v>24.99</v>
      </c>
      <c r="F173" t="s">
        <v>8118</v>
      </c>
      <c r="G173">
        <v>9</v>
      </c>
      <c r="I173">
        <v>9</v>
      </c>
      <c r="L173" t="s">
        <v>8</v>
      </c>
      <c r="M173" t="s">
        <v>4260</v>
      </c>
      <c r="N173">
        <v>108</v>
      </c>
      <c r="O173">
        <v>9.2592592592592587E-3</v>
      </c>
      <c r="Q173">
        <v>0</v>
      </c>
      <c r="R173">
        <v>16</v>
      </c>
      <c r="S173">
        <v>2</v>
      </c>
      <c r="T173">
        <v>0.16666666666666666</v>
      </c>
      <c r="U173">
        <v>24.99</v>
      </c>
      <c r="V173">
        <v>18</v>
      </c>
    </row>
    <row r="174" spans="1:22" x14ac:dyDescent="0.2">
      <c r="A174" t="s">
        <v>281</v>
      </c>
      <c r="B174" t="s">
        <v>282</v>
      </c>
      <c r="C174" t="s">
        <v>223</v>
      </c>
      <c r="D174" t="s">
        <v>228</v>
      </c>
      <c r="E174">
        <v>29.99</v>
      </c>
      <c r="F174" t="s">
        <v>8118</v>
      </c>
      <c r="J174">
        <v>1</v>
      </c>
      <c r="K174">
        <v>20</v>
      </c>
      <c r="L174" t="s">
        <v>8</v>
      </c>
      <c r="M174" t="s">
        <v>4349</v>
      </c>
      <c r="N174">
        <v>6</v>
      </c>
      <c r="O174">
        <v>0.16666666666666666</v>
      </c>
      <c r="Q174">
        <v>0</v>
      </c>
      <c r="R174">
        <v>1</v>
      </c>
      <c r="S174">
        <v>2</v>
      </c>
      <c r="T174">
        <v>0.5</v>
      </c>
      <c r="U174">
        <v>29.99</v>
      </c>
      <c r="V174">
        <v>3</v>
      </c>
    </row>
    <row r="175" spans="1:22" x14ac:dyDescent="0.2">
      <c r="A175" t="s">
        <v>275</v>
      </c>
      <c r="B175" t="s">
        <v>276</v>
      </c>
      <c r="C175" t="s">
        <v>223</v>
      </c>
      <c r="D175" t="s">
        <v>228</v>
      </c>
      <c r="E175">
        <v>59.99</v>
      </c>
      <c r="F175" t="s">
        <v>8118</v>
      </c>
      <c r="J175">
        <v>25</v>
      </c>
      <c r="K175">
        <v>100</v>
      </c>
      <c r="L175" t="s">
        <v>8</v>
      </c>
      <c r="M175" t="s">
        <v>4313</v>
      </c>
      <c r="N175">
        <v>33.931034482758619</v>
      </c>
      <c r="O175">
        <v>2.9471544715447155E-2</v>
      </c>
      <c r="Q175">
        <v>0</v>
      </c>
      <c r="R175">
        <v>48</v>
      </c>
      <c r="S175">
        <v>198</v>
      </c>
      <c r="T175">
        <v>7.25</v>
      </c>
      <c r="U175">
        <v>239.96</v>
      </c>
      <c r="V175">
        <v>246</v>
      </c>
    </row>
    <row r="176" spans="1:22" x14ac:dyDescent="0.2">
      <c r="A176" t="s">
        <v>249</v>
      </c>
      <c r="B176" t="s">
        <v>250</v>
      </c>
      <c r="C176" t="s">
        <v>223</v>
      </c>
      <c r="D176" t="s">
        <v>228</v>
      </c>
      <c r="E176">
        <v>39.99</v>
      </c>
      <c r="F176" t="s">
        <v>8118</v>
      </c>
      <c r="G176">
        <v>149</v>
      </c>
      <c r="H176">
        <v>138</v>
      </c>
      <c r="I176">
        <v>11</v>
      </c>
      <c r="K176">
        <v>340</v>
      </c>
      <c r="L176" t="s">
        <v>7029</v>
      </c>
      <c r="N176">
        <v>0</v>
      </c>
      <c r="O176">
        <v>0</v>
      </c>
      <c r="T176">
        <v>0</v>
      </c>
      <c r="U176">
        <v>0</v>
      </c>
      <c r="V176">
        <v>0</v>
      </c>
    </row>
    <row r="177" spans="1:22" x14ac:dyDescent="0.2">
      <c r="A177" t="s">
        <v>4314</v>
      </c>
      <c r="B177" t="s">
        <v>4315</v>
      </c>
      <c r="C177" t="s">
        <v>223</v>
      </c>
      <c r="D177" t="s">
        <v>96</v>
      </c>
      <c r="E177">
        <v>149.99</v>
      </c>
      <c r="F177" t="s">
        <v>8118</v>
      </c>
      <c r="L177" t="s">
        <v>7029</v>
      </c>
      <c r="N177">
        <v>0</v>
      </c>
      <c r="O177">
        <v>0</v>
      </c>
      <c r="T177">
        <v>0</v>
      </c>
      <c r="U177">
        <v>0</v>
      </c>
      <c r="V177">
        <v>0</v>
      </c>
    </row>
    <row r="178" spans="1:22" x14ac:dyDescent="0.2">
      <c r="A178" t="s">
        <v>288</v>
      </c>
      <c r="B178" t="s">
        <v>289</v>
      </c>
      <c r="C178" t="s">
        <v>287</v>
      </c>
      <c r="D178" t="s">
        <v>290</v>
      </c>
      <c r="E178">
        <v>399.99</v>
      </c>
      <c r="F178" t="s">
        <v>8118</v>
      </c>
      <c r="L178" t="s">
        <v>11</v>
      </c>
      <c r="M178" t="s">
        <v>4363</v>
      </c>
      <c r="N178">
        <v>0</v>
      </c>
      <c r="O178">
        <v>0</v>
      </c>
      <c r="T178">
        <v>0</v>
      </c>
      <c r="U178">
        <v>0</v>
      </c>
      <c r="V178">
        <v>0</v>
      </c>
    </row>
    <row r="179" spans="1:22" x14ac:dyDescent="0.2">
      <c r="A179" t="s">
        <v>291</v>
      </c>
      <c r="B179" t="s">
        <v>292</v>
      </c>
      <c r="C179" t="s">
        <v>287</v>
      </c>
      <c r="D179" t="s">
        <v>290</v>
      </c>
      <c r="E179">
        <v>329.99</v>
      </c>
      <c r="F179" t="s">
        <v>8118</v>
      </c>
      <c r="L179" t="s">
        <v>11</v>
      </c>
      <c r="M179" t="s">
        <v>4365</v>
      </c>
      <c r="N179">
        <v>0</v>
      </c>
      <c r="O179">
        <v>0</v>
      </c>
      <c r="T179">
        <v>0</v>
      </c>
      <c r="U179">
        <v>0</v>
      </c>
      <c r="V179">
        <v>0</v>
      </c>
    </row>
    <row r="180" spans="1:22" x14ac:dyDescent="0.2">
      <c r="A180" t="s">
        <v>295</v>
      </c>
      <c r="B180" t="s">
        <v>296</v>
      </c>
      <c r="C180" t="s">
        <v>287</v>
      </c>
      <c r="D180" t="s">
        <v>290</v>
      </c>
      <c r="E180">
        <v>329.99</v>
      </c>
      <c r="F180" t="s">
        <v>8118</v>
      </c>
      <c r="L180" t="s">
        <v>11</v>
      </c>
      <c r="M180" t="s">
        <v>4360</v>
      </c>
      <c r="N180">
        <v>0</v>
      </c>
      <c r="O180">
        <v>0</v>
      </c>
      <c r="T180">
        <v>0</v>
      </c>
      <c r="U180">
        <v>0</v>
      </c>
      <c r="V180">
        <v>0</v>
      </c>
    </row>
    <row r="181" spans="1:22" x14ac:dyDescent="0.2">
      <c r="A181" t="s">
        <v>293</v>
      </c>
      <c r="B181" t="s">
        <v>294</v>
      </c>
      <c r="C181" t="s">
        <v>287</v>
      </c>
      <c r="D181" t="s">
        <v>290</v>
      </c>
      <c r="E181">
        <v>129.99</v>
      </c>
      <c r="F181" t="s">
        <v>8118</v>
      </c>
      <c r="L181" t="s">
        <v>11</v>
      </c>
      <c r="M181" t="s">
        <v>4361</v>
      </c>
      <c r="N181">
        <v>0</v>
      </c>
      <c r="O181">
        <v>0</v>
      </c>
      <c r="T181">
        <v>0</v>
      </c>
      <c r="U181">
        <v>0</v>
      </c>
      <c r="V181">
        <v>0</v>
      </c>
    </row>
    <row r="182" spans="1:22" x14ac:dyDescent="0.2">
      <c r="A182" t="s">
        <v>293</v>
      </c>
      <c r="B182" t="s">
        <v>294</v>
      </c>
      <c r="C182" t="s">
        <v>287</v>
      </c>
      <c r="D182" t="s">
        <v>290</v>
      </c>
      <c r="E182">
        <v>129.99</v>
      </c>
      <c r="F182" t="s">
        <v>8118</v>
      </c>
      <c r="L182" t="s">
        <v>5339</v>
      </c>
      <c r="M182" t="s">
        <v>7068</v>
      </c>
      <c r="N182">
        <v>0</v>
      </c>
      <c r="O182">
        <v>0</v>
      </c>
      <c r="P182" t="s">
        <v>290</v>
      </c>
      <c r="T182">
        <v>0</v>
      </c>
      <c r="V182">
        <v>0</v>
      </c>
    </row>
    <row r="183" spans="1:22" x14ac:dyDescent="0.2">
      <c r="A183" t="s">
        <v>295</v>
      </c>
      <c r="B183" t="s">
        <v>296</v>
      </c>
      <c r="C183" t="s">
        <v>287</v>
      </c>
      <c r="D183" t="s">
        <v>290</v>
      </c>
      <c r="E183">
        <v>329.99</v>
      </c>
      <c r="F183" t="s">
        <v>8118</v>
      </c>
      <c r="L183" t="s">
        <v>10</v>
      </c>
      <c r="M183">
        <v>594308</v>
      </c>
      <c r="N183">
        <v>0</v>
      </c>
      <c r="O183">
        <v>0</v>
      </c>
      <c r="P183" t="s">
        <v>7015</v>
      </c>
      <c r="T183">
        <v>0</v>
      </c>
      <c r="U183">
        <v>0</v>
      </c>
      <c r="V183">
        <v>0</v>
      </c>
    </row>
    <row r="184" spans="1:22" x14ac:dyDescent="0.2">
      <c r="A184" t="s">
        <v>288</v>
      </c>
      <c r="B184" t="s">
        <v>289</v>
      </c>
      <c r="C184" t="s">
        <v>287</v>
      </c>
      <c r="D184" t="s">
        <v>290</v>
      </c>
      <c r="E184">
        <v>399.99</v>
      </c>
      <c r="F184" t="s">
        <v>8118</v>
      </c>
      <c r="L184" t="s">
        <v>10</v>
      </c>
      <c r="M184">
        <v>594306</v>
      </c>
      <c r="N184">
        <v>0</v>
      </c>
      <c r="O184">
        <v>0</v>
      </c>
      <c r="P184" t="s">
        <v>7015</v>
      </c>
      <c r="T184">
        <v>1</v>
      </c>
      <c r="U184">
        <v>0</v>
      </c>
      <c r="V184">
        <v>0</v>
      </c>
    </row>
    <row r="185" spans="1:22" x14ac:dyDescent="0.2">
      <c r="A185" t="s">
        <v>291</v>
      </c>
      <c r="B185" t="s">
        <v>292</v>
      </c>
      <c r="C185" t="s">
        <v>287</v>
      </c>
      <c r="D185" t="s">
        <v>290</v>
      </c>
      <c r="E185">
        <v>329.99</v>
      </c>
      <c r="F185" t="s">
        <v>8118</v>
      </c>
      <c r="L185" t="s">
        <v>10</v>
      </c>
      <c r="M185">
        <v>594305</v>
      </c>
      <c r="N185">
        <v>12</v>
      </c>
      <c r="O185">
        <v>8.3333333333333329E-2</v>
      </c>
      <c r="P185" t="s">
        <v>7015</v>
      </c>
      <c r="T185">
        <v>0</v>
      </c>
      <c r="U185">
        <v>0</v>
      </c>
      <c r="V185">
        <v>1</v>
      </c>
    </row>
    <row r="186" spans="1:22" x14ac:dyDescent="0.2">
      <c r="A186" t="s">
        <v>293</v>
      </c>
      <c r="B186" t="s">
        <v>294</v>
      </c>
      <c r="C186" t="s">
        <v>287</v>
      </c>
      <c r="D186" t="s">
        <v>290</v>
      </c>
      <c r="E186">
        <v>129.99</v>
      </c>
      <c r="F186" t="s">
        <v>8118</v>
      </c>
      <c r="L186" t="s">
        <v>10</v>
      </c>
      <c r="M186">
        <v>594307</v>
      </c>
      <c r="N186">
        <v>5</v>
      </c>
      <c r="O186">
        <v>0.20833333333333337</v>
      </c>
      <c r="P186" t="s">
        <v>7015</v>
      </c>
      <c r="T186">
        <v>1</v>
      </c>
      <c r="U186">
        <v>0</v>
      </c>
      <c r="V186">
        <v>6</v>
      </c>
    </row>
    <row r="187" spans="1:22" x14ac:dyDescent="0.2">
      <c r="A187" t="s">
        <v>288</v>
      </c>
      <c r="B187" t="s">
        <v>289</v>
      </c>
      <c r="C187" t="s">
        <v>287</v>
      </c>
      <c r="D187" t="s">
        <v>290</v>
      </c>
      <c r="E187">
        <v>399.99</v>
      </c>
      <c r="F187" t="s">
        <v>8118</v>
      </c>
      <c r="L187" t="s">
        <v>7032</v>
      </c>
      <c r="M187" t="s">
        <v>97</v>
      </c>
      <c r="N187">
        <v>0</v>
      </c>
      <c r="O187">
        <v>0</v>
      </c>
      <c r="T187">
        <v>0</v>
      </c>
      <c r="U187">
        <v>0</v>
      </c>
      <c r="V187">
        <v>0</v>
      </c>
    </row>
    <row r="188" spans="1:22" x14ac:dyDescent="0.2">
      <c r="A188" t="s">
        <v>291</v>
      </c>
      <c r="B188" t="s">
        <v>292</v>
      </c>
      <c r="C188" t="s">
        <v>287</v>
      </c>
      <c r="D188" t="s">
        <v>290</v>
      </c>
      <c r="E188">
        <v>329.99</v>
      </c>
      <c r="F188" t="s">
        <v>8118</v>
      </c>
      <c r="L188" t="s">
        <v>7032</v>
      </c>
      <c r="M188" t="s">
        <v>97</v>
      </c>
      <c r="N188">
        <v>0</v>
      </c>
      <c r="O188">
        <v>0</v>
      </c>
      <c r="T188">
        <v>0</v>
      </c>
      <c r="U188">
        <v>0</v>
      </c>
      <c r="V188">
        <v>0</v>
      </c>
    </row>
    <row r="189" spans="1:22" x14ac:dyDescent="0.2">
      <c r="A189" t="s">
        <v>293</v>
      </c>
      <c r="B189" t="s">
        <v>294</v>
      </c>
      <c r="C189" t="s">
        <v>287</v>
      </c>
      <c r="D189" t="s">
        <v>290</v>
      </c>
      <c r="E189">
        <v>129.99</v>
      </c>
      <c r="F189" t="s">
        <v>8118</v>
      </c>
      <c r="L189" t="s">
        <v>7032</v>
      </c>
      <c r="M189" t="s">
        <v>97</v>
      </c>
      <c r="N189">
        <v>0</v>
      </c>
      <c r="O189">
        <v>0</v>
      </c>
      <c r="T189">
        <v>0</v>
      </c>
      <c r="U189">
        <v>0</v>
      </c>
      <c r="V189">
        <v>0</v>
      </c>
    </row>
    <row r="190" spans="1:22" x14ac:dyDescent="0.2">
      <c r="A190" t="s">
        <v>295</v>
      </c>
      <c r="B190" t="s">
        <v>296</v>
      </c>
      <c r="C190" t="s">
        <v>287</v>
      </c>
      <c r="D190" t="s">
        <v>290</v>
      </c>
      <c r="E190">
        <v>329.99</v>
      </c>
      <c r="F190" t="s">
        <v>8118</v>
      </c>
      <c r="L190" t="s">
        <v>7032</v>
      </c>
      <c r="M190" t="s">
        <v>97</v>
      </c>
      <c r="N190">
        <v>0</v>
      </c>
      <c r="O190">
        <v>0</v>
      </c>
      <c r="T190">
        <v>0</v>
      </c>
      <c r="U190">
        <v>0</v>
      </c>
      <c r="V190">
        <v>0</v>
      </c>
    </row>
    <row r="191" spans="1:22" x14ac:dyDescent="0.2">
      <c r="A191" t="s">
        <v>288</v>
      </c>
      <c r="B191" t="s">
        <v>289</v>
      </c>
      <c r="C191" t="s">
        <v>287</v>
      </c>
      <c r="D191" t="s">
        <v>290</v>
      </c>
      <c r="E191">
        <v>399.99</v>
      </c>
      <c r="F191" t="s">
        <v>8118</v>
      </c>
      <c r="L191" t="s">
        <v>8</v>
      </c>
      <c r="M191" t="s">
        <v>8023</v>
      </c>
      <c r="N191">
        <v>0</v>
      </c>
      <c r="O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">
      <c r="A192" t="s">
        <v>291</v>
      </c>
      <c r="B192" t="s">
        <v>292</v>
      </c>
      <c r="C192" t="s">
        <v>287</v>
      </c>
      <c r="D192" t="s">
        <v>290</v>
      </c>
      <c r="E192">
        <v>329.99</v>
      </c>
      <c r="F192" t="s">
        <v>8118</v>
      </c>
      <c r="L192" t="s">
        <v>8</v>
      </c>
      <c r="M192" t="s">
        <v>8097</v>
      </c>
      <c r="N192">
        <v>0</v>
      </c>
      <c r="O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">
      <c r="A193" t="s">
        <v>293</v>
      </c>
      <c r="B193" t="s">
        <v>294</v>
      </c>
      <c r="C193" t="s">
        <v>287</v>
      </c>
      <c r="D193" t="s">
        <v>290</v>
      </c>
      <c r="E193">
        <v>129.99</v>
      </c>
      <c r="F193" t="s">
        <v>8118</v>
      </c>
      <c r="L193" t="s">
        <v>8</v>
      </c>
      <c r="M193" t="s">
        <v>8098</v>
      </c>
      <c r="N193">
        <v>0</v>
      </c>
      <c r="O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">
      <c r="A194" t="s">
        <v>295</v>
      </c>
      <c r="B194" t="s">
        <v>296</v>
      </c>
      <c r="C194" t="s">
        <v>287</v>
      </c>
      <c r="D194" t="s">
        <v>290</v>
      </c>
      <c r="E194">
        <v>329.99</v>
      </c>
      <c r="F194" t="s">
        <v>8118</v>
      </c>
      <c r="L194" t="s">
        <v>8</v>
      </c>
      <c r="M194" t="s">
        <v>8100</v>
      </c>
      <c r="N194">
        <v>0</v>
      </c>
      <c r="O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">
      <c r="A195" t="s">
        <v>3440</v>
      </c>
      <c r="B195" t="s">
        <v>3441</v>
      </c>
      <c r="C195" t="s">
        <v>297</v>
      </c>
      <c r="D195" t="s">
        <v>96</v>
      </c>
      <c r="E195">
        <v>449.99</v>
      </c>
      <c r="F195" t="s">
        <v>8118</v>
      </c>
      <c r="L195" t="s">
        <v>11</v>
      </c>
      <c r="M195" t="s">
        <v>3442</v>
      </c>
      <c r="N195">
        <v>0</v>
      </c>
      <c r="O195">
        <v>0</v>
      </c>
      <c r="T195">
        <v>0</v>
      </c>
      <c r="U195">
        <v>0</v>
      </c>
      <c r="V195">
        <v>0</v>
      </c>
    </row>
    <row r="196" spans="1:22" x14ac:dyDescent="0.2">
      <c r="A196" t="s">
        <v>3420</v>
      </c>
      <c r="B196" t="s">
        <v>3421</v>
      </c>
      <c r="C196" t="s">
        <v>297</v>
      </c>
      <c r="D196" t="s">
        <v>96</v>
      </c>
      <c r="E196">
        <v>89.99</v>
      </c>
      <c r="F196" t="s">
        <v>8118</v>
      </c>
      <c r="L196" t="s">
        <v>11</v>
      </c>
      <c r="M196" t="s">
        <v>3422</v>
      </c>
      <c r="N196">
        <v>0</v>
      </c>
      <c r="O196">
        <v>0</v>
      </c>
      <c r="T196">
        <v>0</v>
      </c>
      <c r="U196">
        <v>0</v>
      </c>
      <c r="V196">
        <v>0</v>
      </c>
    </row>
    <row r="197" spans="1:22" x14ac:dyDescent="0.2">
      <c r="A197" t="s">
        <v>3429</v>
      </c>
      <c r="B197" t="s">
        <v>3430</v>
      </c>
      <c r="C197" t="s">
        <v>297</v>
      </c>
      <c r="D197" t="s">
        <v>96</v>
      </c>
      <c r="E197">
        <v>99.99</v>
      </c>
      <c r="F197" t="s">
        <v>8118</v>
      </c>
      <c r="L197" t="s">
        <v>11</v>
      </c>
      <c r="M197" t="s">
        <v>3431</v>
      </c>
      <c r="N197">
        <v>0</v>
      </c>
      <c r="O197">
        <v>0</v>
      </c>
      <c r="T197">
        <v>0</v>
      </c>
      <c r="U197">
        <v>0</v>
      </c>
      <c r="V197">
        <v>0</v>
      </c>
    </row>
    <row r="198" spans="1:22" x14ac:dyDescent="0.2">
      <c r="A198" t="s">
        <v>300</v>
      </c>
      <c r="B198" t="s">
        <v>301</v>
      </c>
      <c r="C198" t="s">
        <v>297</v>
      </c>
      <c r="D198" t="s">
        <v>290</v>
      </c>
      <c r="E198">
        <v>54.99</v>
      </c>
      <c r="F198" t="s">
        <v>8118</v>
      </c>
      <c r="G198">
        <v>51</v>
      </c>
      <c r="I198">
        <v>51</v>
      </c>
      <c r="L198" t="s">
        <v>11</v>
      </c>
      <c r="M198" t="s">
        <v>3439</v>
      </c>
      <c r="N198">
        <v>0</v>
      </c>
      <c r="O198">
        <v>0</v>
      </c>
      <c r="T198">
        <v>0</v>
      </c>
      <c r="U198">
        <v>0</v>
      </c>
      <c r="V198">
        <v>0</v>
      </c>
    </row>
    <row r="199" spans="1:22" x14ac:dyDescent="0.2">
      <c r="A199" t="s">
        <v>3433</v>
      </c>
      <c r="B199" t="s">
        <v>3434</v>
      </c>
      <c r="C199" t="s">
        <v>297</v>
      </c>
      <c r="D199" t="s">
        <v>96</v>
      </c>
      <c r="E199">
        <v>319.99</v>
      </c>
      <c r="F199" t="s">
        <v>8118</v>
      </c>
      <c r="L199" t="s">
        <v>11</v>
      </c>
      <c r="M199" t="s">
        <v>3435</v>
      </c>
      <c r="N199">
        <v>0</v>
      </c>
      <c r="O199">
        <v>0</v>
      </c>
      <c r="T199">
        <v>0</v>
      </c>
      <c r="U199">
        <v>0</v>
      </c>
      <c r="V199">
        <v>0</v>
      </c>
    </row>
    <row r="200" spans="1:22" x14ac:dyDescent="0.2">
      <c r="A200" t="s">
        <v>298</v>
      </c>
      <c r="B200" t="s">
        <v>299</v>
      </c>
      <c r="C200" t="s">
        <v>297</v>
      </c>
      <c r="D200" t="s">
        <v>290</v>
      </c>
      <c r="E200">
        <v>54.99</v>
      </c>
      <c r="F200" t="s">
        <v>8118</v>
      </c>
      <c r="G200">
        <v>212</v>
      </c>
      <c r="I200">
        <v>212</v>
      </c>
      <c r="L200" t="s">
        <v>11</v>
      </c>
      <c r="M200" t="s">
        <v>3432</v>
      </c>
      <c r="N200">
        <v>7</v>
      </c>
      <c r="O200">
        <v>0.14285714285714285</v>
      </c>
      <c r="T200">
        <v>0.14285714285714285</v>
      </c>
      <c r="U200">
        <v>0</v>
      </c>
      <c r="V200">
        <v>1</v>
      </c>
    </row>
    <row r="201" spans="1:22" x14ac:dyDescent="0.2">
      <c r="A201" t="s">
        <v>3423</v>
      </c>
      <c r="B201" t="s">
        <v>3424</v>
      </c>
      <c r="C201" t="s">
        <v>297</v>
      </c>
      <c r="D201" t="s">
        <v>96</v>
      </c>
      <c r="E201">
        <v>59.99</v>
      </c>
      <c r="F201" t="s">
        <v>8118</v>
      </c>
      <c r="L201" t="s">
        <v>11</v>
      </c>
      <c r="M201" t="s">
        <v>3425</v>
      </c>
      <c r="N201">
        <v>0</v>
      </c>
      <c r="O201">
        <v>0</v>
      </c>
      <c r="T201">
        <v>0</v>
      </c>
      <c r="U201">
        <v>0</v>
      </c>
      <c r="V201">
        <v>0</v>
      </c>
    </row>
    <row r="202" spans="1:22" x14ac:dyDescent="0.2">
      <c r="A202" t="s">
        <v>3436</v>
      </c>
      <c r="B202" t="s">
        <v>3437</v>
      </c>
      <c r="C202" t="s">
        <v>297</v>
      </c>
      <c r="D202" t="s">
        <v>96</v>
      </c>
      <c r="E202">
        <v>299.99</v>
      </c>
      <c r="F202" t="s">
        <v>8118</v>
      </c>
      <c r="L202" t="s">
        <v>11</v>
      </c>
      <c r="M202" t="s">
        <v>3438</v>
      </c>
      <c r="N202">
        <v>0</v>
      </c>
      <c r="O202">
        <v>0</v>
      </c>
      <c r="T202">
        <v>0</v>
      </c>
      <c r="U202">
        <v>0</v>
      </c>
      <c r="V202">
        <v>0</v>
      </c>
    </row>
    <row r="203" spans="1:22" x14ac:dyDescent="0.2">
      <c r="A203" t="s">
        <v>3426</v>
      </c>
      <c r="B203" t="s">
        <v>3427</v>
      </c>
      <c r="C203" t="s">
        <v>297</v>
      </c>
      <c r="D203" t="s">
        <v>96</v>
      </c>
      <c r="E203">
        <v>269.99</v>
      </c>
      <c r="F203" t="s">
        <v>8118</v>
      </c>
      <c r="L203" t="s">
        <v>11</v>
      </c>
      <c r="M203" t="s">
        <v>3428</v>
      </c>
      <c r="N203">
        <v>0</v>
      </c>
      <c r="O203">
        <v>0</v>
      </c>
      <c r="T203">
        <v>0</v>
      </c>
      <c r="U203">
        <v>0</v>
      </c>
      <c r="V203">
        <v>0</v>
      </c>
    </row>
    <row r="204" spans="1:22" x14ac:dyDescent="0.2">
      <c r="A204" t="s">
        <v>3433</v>
      </c>
      <c r="B204" t="s">
        <v>3434</v>
      </c>
      <c r="C204" t="s">
        <v>297</v>
      </c>
      <c r="D204" t="s">
        <v>96</v>
      </c>
      <c r="E204">
        <v>319.99</v>
      </c>
      <c r="F204" t="s">
        <v>8118</v>
      </c>
      <c r="L204" t="s">
        <v>14</v>
      </c>
      <c r="M204" t="s">
        <v>97</v>
      </c>
      <c r="N204">
        <v>0</v>
      </c>
      <c r="O204">
        <v>0</v>
      </c>
      <c r="U204">
        <v>0</v>
      </c>
      <c r="V204">
        <v>0</v>
      </c>
    </row>
    <row r="205" spans="1:22" x14ac:dyDescent="0.2">
      <c r="A205" t="s">
        <v>298</v>
      </c>
      <c r="B205" t="s">
        <v>299</v>
      </c>
      <c r="C205" t="s">
        <v>297</v>
      </c>
      <c r="D205" t="s">
        <v>290</v>
      </c>
      <c r="E205">
        <v>54.99</v>
      </c>
      <c r="F205" t="s">
        <v>8118</v>
      </c>
      <c r="G205">
        <v>212</v>
      </c>
      <c r="I205">
        <v>212</v>
      </c>
      <c r="L205" t="s">
        <v>14</v>
      </c>
      <c r="M205" t="s">
        <v>97</v>
      </c>
      <c r="N205">
        <v>14.399999999999999</v>
      </c>
      <c r="O205">
        <v>6.9444444444444448E-2</v>
      </c>
      <c r="T205">
        <v>0.41666666666666669</v>
      </c>
      <c r="U205">
        <v>0</v>
      </c>
      <c r="V205">
        <v>6</v>
      </c>
    </row>
    <row r="206" spans="1:22" x14ac:dyDescent="0.2">
      <c r="A206" t="s">
        <v>3440</v>
      </c>
      <c r="B206" t="s">
        <v>3441</v>
      </c>
      <c r="C206" t="s">
        <v>297</v>
      </c>
      <c r="D206" t="s">
        <v>96</v>
      </c>
      <c r="E206">
        <v>449.99</v>
      </c>
      <c r="F206" t="s">
        <v>8118</v>
      </c>
      <c r="L206" t="s">
        <v>14</v>
      </c>
      <c r="M206" t="s">
        <v>97</v>
      </c>
      <c r="N206">
        <v>0</v>
      </c>
      <c r="O206">
        <v>0</v>
      </c>
      <c r="U206">
        <v>0</v>
      </c>
      <c r="V206">
        <v>0</v>
      </c>
    </row>
    <row r="207" spans="1:22" x14ac:dyDescent="0.2">
      <c r="A207" t="s">
        <v>300</v>
      </c>
      <c r="B207" t="s">
        <v>301</v>
      </c>
      <c r="C207" t="s">
        <v>297</v>
      </c>
      <c r="D207" t="s">
        <v>290</v>
      </c>
      <c r="E207">
        <v>54.99</v>
      </c>
      <c r="F207" t="s">
        <v>8118</v>
      </c>
      <c r="G207">
        <v>51</v>
      </c>
      <c r="I207">
        <v>51</v>
      </c>
      <c r="L207" t="s">
        <v>10</v>
      </c>
      <c r="M207">
        <v>347355</v>
      </c>
      <c r="N207">
        <v>0</v>
      </c>
      <c r="O207">
        <v>0</v>
      </c>
      <c r="P207" t="s">
        <v>290</v>
      </c>
      <c r="T207">
        <v>0</v>
      </c>
      <c r="U207">
        <v>0</v>
      </c>
      <c r="V207">
        <v>0</v>
      </c>
    </row>
    <row r="208" spans="1:22" x14ac:dyDescent="0.2">
      <c r="A208" t="s">
        <v>3440</v>
      </c>
      <c r="B208" t="s">
        <v>3441</v>
      </c>
      <c r="C208" t="s">
        <v>297</v>
      </c>
      <c r="D208" t="s">
        <v>96</v>
      </c>
      <c r="E208">
        <v>449.99</v>
      </c>
      <c r="F208" t="s">
        <v>8118</v>
      </c>
      <c r="L208" t="s">
        <v>10</v>
      </c>
      <c r="M208">
        <v>329719</v>
      </c>
      <c r="N208">
        <v>0</v>
      </c>
      <c r="O208">
        <v>0</v>
      </c>
      <c r="P208" t="s">
        <v>290</v>
      </c>
      <c r="T208">
        <v>0</v>
      </c>
      <c r="U208">
        <v>0</v>
      </c>
      <c r="V208">
        <v>0</v>
      </c>
    </row>
    <row r="209" spans="1:22" x14ac:dyDescent="0.2">
      <c r="A209" t="s">
        <v>3429</v>
      </c>
      <c r="B209" t="s">
        <v>3430</v>
      </c>
      <c r="C209" t="s">
        <v>297</v>
      </c>
      <c r="D209" t="s">
        <v>96</v>
      </c>
      <c r="E209">
        <v>99.99</v>
      </c>
      <c r="F209" t="s">
        <v>8118</v>
      </c>
      <c r="L209" t="s">
        <v>10</v>
      </c>
      <c r="M209">
        <v>476677</v>
      </c>
      <c r="N209">
        <v>0</v>
      </c>
      <c r="O209">
        <v>0</v>
      </c>
      <c r="P209" t="s">
        <v>290</v>
      </c>
      <c r="T209">
        <v>0</v>
      </c>
      <c r="U209">
        <v>0</v>
      </c>
      <c r="V209">
        <v>0</v>
      </c>
    </row>
    <row r="210" spans="1:22" x14ac:dyDescent="0.2">
      <c r="A210" t="s">
        <v>3436</v>
      </c>
      <c r="B210" t="s">
        <v>3437</v>
      </c>
      <c r="C210" t="s">
        <v>297</v>
      </c>
      <c r="D210" t="s">
        <v>96</v>
      </c>
      <c r="E210">
        <v>299.99</v>
      </c>
      <c r="F210" t="s">
        <v>8118</v>
      </c>
      <c r="L210" t="s">
        <v>10</v>
      </c>
      <c r="M210">
        <v>476520</v>
      </c>
      <c r="N210">
        <v>0</v>
      </c>
      <c r="O210">
        <v>0</v>
      </c>
      <c r="P210" t="s">
        <v>290</v>
      </c>
      <c r="T210">
        <v>0</v>
      </c>
      <c r="U210">
        <v>0</v>
      </c>
      <c r="V210">
        <v>0</v>
      </c>
    </row>
    <row r="211" spans="1:22" x14ac:dyDescent="0.2">
      <c r="A211" t="s">
        <v>7433</v>
      </c>
      <c r="B211" t="s">
        <v>7435</v>
      </c>
      <c r="C211" t="s">
        <v>297</v>
      </c>
      <c r="D211" t="s">
        <v>96</v>
      </c>
      <c r="E211">
        <v>89.99</v>
      </c>
      <c r="F211" t="s">
        <v>8118</v>
      </c>
      <c r="L211" t="s">
        <v>10</v>
      </c>
      <c r="M211">
        <v>476588</v>
      </c>
      <c r="N211">
        <v>0</v>
      </c>
      <c r="O211">
        <v>0</v>
      </c>
      <c r="P211" t="s">
        <v>290</v>
      </c>
      <c r="T211">
        <v>0</v>
      </c>
      <c r="U211">
        <v>0</v>
      </c>
      <c r="V211">
        <v>0</v>
      </c>
    </row>
    <row r="212" spans="1:22" x14ac:dyDescent="0.2">
      <c r="A212" t="s">
        <v>3426</v>
      </c>
      <c r="B212" t="s">
        <v>3427</v>
      </c>
      <c r="C212" t="s">
        <v>297</v>
      </c>
      <c r="D212" t="s">
        <v>96</v>
      </c>
      <c r="E212">
        <v>269.99</v>
      </c>
      <c r="F212" t="s">
        <v>8118</v>
      </c>
      <c r="L212" t="s">
        <v>10</v>
      </c>
      <c r="M212">
        <v>476500</v>
      </c>
      <c r="N212">
        <v>0</v>
      </c>
      <c r="O212">
        <v>0</v>
      </c>
      <c r="P212" t="s">
        <v>290</v>
      </c>
      <c r="T212">
        <v>0</v>
      </c>
      <c r="U212">
        <v>0</v>
      </c>
      <c r="V212">
        <v>0</v>
      </c>
    </row>
    <row r="213" spans="1:22" x14ac:dyDescent="0.2">
      <c r="A213" t="s">
        <v>3423</v>
      </c>
      <c r="B213" t="s">
        <v>3424</v>
      </c>
      <c r="C213" t="s">
        <v>297</v>
      </c>
      <c r="D213" t="s">
        <v>96</v>
      </c>
      <c r="E213">
        <v>59.99</v>
      </c>
      <c r="F213" t="s">
        <v>8118</v>
      </c>
      <c r="L213" t="s">
        <v>10</v>
      </c>
      <c r="M213">
        <v>477886</v>
      </c>
      <c r="N213">
        <v>0</v>
      </c>
      <c r="O213">
        <v>0</v>
      </c>
      <c r="P213" t="s">
        <v>290</v>
      </c>
      <c r="T213">
        <v>0</v>
      </c>
      <c r="U213">
        <v>0</v>
      </c>
      <c r="V213">
        <v>0</v>
      </c>
    </row>
    <row r="214" spans="1:22" x14ac:dyDescent="0.2">
      <c r="A214" t="s">
        <v>298</v>
      </c>
      <c r="B214" t="s">
        <v>299</v>
      </c>
      <c r="C214" t="s">
        <v>297</v>
      </c>
      <c r="D214" t="s">
        <v>290</v>
      </c>
      <c r="E214">
        <v>54.99</v>
      </c>
      <c r="F214" t="s">
        <v>8118</v>
      </c>
      <c r="G214">
        <v>212</v>
      </c>
      <c r="I214">
        <v>212</v>
      </c>
      <c r="L214" t="s">
        <v>10</v>
      </c>
      <c r="M214">
        <v>480999</v>
      </c>
      <c r="N214">
        <v>0</v>
      </c>
      <c r="O214">
        <v>0</v>
      </c>
      <c r="P214" t="s">
        <v>290</v>
      </c>
      <c r="T214">
        <v>0</v>
      </c>
      <c r="U214">
        <v>0</v>
      </c>
      <c r="V214">
        <v>0</v>
      </c>
    </row>
    <row r="215" spans="1:22" x14ac:dyDescent="0.2">
      <c r="A215" t="s">
        <v>3420</v>
      </c>
      <c r="B215" t="s">
        <v>3421</v>
      </c>
      <c r="C215" t="s">
        <v>297</v>
      </c>
      <c r="D215" t="s">
        <v>96</v>
      </c>
      <c r="E215">
        <v>89.99</v>
      </c>
      <c r="F215" t="s">
        <v>8118</v>
      </c>
      <c r="L215" t="s">
        <v>10</v>
      </c>
      <c r="M215">
        <v>476620</v>
      </c>
      <c r="N215">
        <v>0</v>
      </c>
      <c r="O215">
        <v>0</v>
      </c>
      <c r="P215" t="s">
        <v>290</v>
      </c>
      <c r="T215">
        <v>0</v>
      </c>
      <c r="U215">
        <v>0</v>
      </c>
      <c r="V215">
        <v>0</v>
      </c>
    </row>
    <row r="216" spans="1:22" x14ac:dyDescent="0.2">
      <c r="A216" t="s">
        <v>3433</v>
      </c>
      <c r="B216" t="s">
        <v>3434</v>
      </c>
      <c r="C216" t="s">
        <v>297</v>
      </c>
      <c r="D216" t="s">
        <v>96</v>
      </c>
      <c r="E216">
        <v>319.99</v>
      </c>
      <c r="F216" t="s">
        <v>8118</v>
      </c>
      <c r="L216" t="s">
        <v>10</v>
      </c>
      <c r="M216">
        <v>480086</v>
      </c>
      <c r="N216">
        <v>0</v>
      </c>
      <c r="O216">
        <v>0</v>
      </c>
      <c r="P216" t="s">
        <v>290</v>
      </c>
      <c r="T216">
        <v>0</v>
      </c>
      <c r="U216">
        <v>0</v>
      </c>
      <c r="V216">
        <v>0</v>
      </c>
    </row>
    <row r="217" spans="1:22" x14ac:dyDescent="0.2">
      <c r="A217" t="s">
        <v>300</v>
      </c>
      <c r="B217" t="s">
        <v>301</v>
      </c>
      <c r="C217" t="s">
        <v>297</v>
      </c>
      <c r="D217" t="s">
        <v>290</v>
      </c>
      <c r="E217">
        <v>54.99</v>
      </c>
      <c r="F217" t="s">
        <v>8118</v>
      </c>
      <c r="G217">
        <v>51</v>
      </c>
      <c r="I217">
        <v>51</v>
      </c>
      <c r="L217" t="s">
        <v>7032</v>
      </c>
      <c r="M217" t="s">
        <v>97</v>
      </c>
      <c r="N217">
        <v>0</v>
      </c>
      <c r="O217">
        <v>0</v>
      </c>
      <c r="T217">
        <v>0</v>
      </c>
      <c r="U217">
        <v>0</v>
      </c>
      <c r="V217">
        <v>0</v>
      </c>
    </row>
    <row r="218" spans="1:22" x14ac:dyDescent="0.2">
      <c r="A218" t="s">
        <v>3433</v>
      </c>
      <c r="B218" t="s">
        <v>3434</v>
      </c>
      <c r="C218" t="s">
        <v>297</v>
      </c>
      <c r="D218" t="s">
        <v>96</v>
      </c>
      <c r="E218">
        <v>319.99</v>
      </c>
      <c r="F218" t="s">
        <v>8118</v>
      </c>
      <c r="L218" t="s">
        <v>7032</v>
      </c>
      <c r="M218" t="s">
        <v>97</v>
      </c>
      <c r="N218">
        <v>0</v>
      </c>
      <c r="O218">
        <v>0</v>
      </c>
      <c r="T218">
        <v>0</v>
      </c>
      <c r="U218">
        <v>0</v>
      </c>
      <c r="V218">
        <v>0</v>
      </c>
    </row>
    <row r="219" spans="1:22" x14ac:dyDescent="0.2">
      <c r="A219" t="s">
        <v>298</v>
      </c>
      <c r="B219" t="s">
        <v>299</v>
      </c>
      <c r="C219" t="s">
        <v>297</v>
      </c>
      <c r="D219" t="s">
        <v>290</v>
      </c>
      <c r="E219">
        <v>54.99</v>
      </c>
      <c r="F219" t="s">
        <v>8118</v>
      </c>
      <c r="G219">
        <v>212</v>
      </c>
      <c r="I219">
        <v>212</v>
      </c>
      <c r="L219" t="s">
        <v>7032</v>
      </c>
      <c r="M219" t="s">
        <v>97</v>
      </c>
      <c r="N219">
        <v>0</v>
      </c>
      <c r="O219">
        <v>0</v>
      </c>
      <c r="T219">
        <v>0</v>
      </c>
      <c r="U219">
        <v>0</v>
      </c>
      <c r="V219">
        <v>0</v>
      </c>
    </row>
    <row r="220" spans="1:22" x14ac:dyDescent="0.2">
      <c r="A220" t="s">
        <v>3420</v>
      </c>
      <c r="B220" t="s">
        <v>3421</v>
      </c>
      <c r="C220" t="s">
        <v>297</v>
      </c>
      <c r="D220" t="s">
        <v>96</v>
      </c>
      <c r="E220">
        <v>89.99</v>
      </c>
      <c r="F220" t="s">
        <v>8118</v>
      </c>
      <c r="L220" t="s">
        <v>7032</v>
      </c>
      <c r="M220" t="s">
        <v>97</v>
      </c>
      <c r="N220">
        <v>0</v>
      </c>
      <c r="O220">
        <v>0</v>
      </c>
      <c r="T220">
        <v>0</v>
      </c>
      <c r="U220">
        <v>0</v>
      </c>
      <c r="V220">
        <v>0</v>
      </c>
    </row>
    <row r="221" spans="1:22" x14ac:dyDescent="0.2">
      <c r="A221" t="s">
        <v>3436</v>
      </c>
      <c r="B221" t="s">
        <v>3437</v>
      </c>
      <c r="C221" t="s">
        <v>297</v>
      </c>
      <c r="D221" t="s">
        <v>96</v>
      </c>
      <c r="E221">
        <v>299.99</v>
      </c>
      <c r="F221" t="s">
        <v>8118</v>
      </c>
      <c r="L221" t="s">
        <v>7032</v>
      </c>
      <c r="M221" t="s">
        <v>97</v>
      </c>
      <c r="N221">
        <v>0</v>
      </c>
      <c r="O221">
        <v>0</v>
      </c>
      <c r="T221">
        <v>0</v>
      </c>
      <c r="U221">
        <v>0</v>
      </c>
      <c r="V221">
        <v>0</v>
      </c>
    </row>
    <row r="222" spans="1:22" x14ac:dyDescent="0.2">
      <c r="A222" t="s">
        <v>3429</v>
      </c>
      <c r="B222" t="s">
        <v>3430</v>
      </c>
      <c r="C222" t="s">
        <v>297</v>
      </c>
      <c r="D222" t="s">
        <v>96</v>
      </c>
      <c r="E222">
        <v>99.99</v>
      </c>
      <c r="F222" t="s">
        <v>8118</v>
      </c>
      <c r="L222" t="s">
        <v>7032</v>
      </c>
      <c r="M222" t="s">
        <v>97</v>
      </c>
      <c r="N222">
        <v>0</v>
      </c>
      <c r="O222">
        <v>0</v>
      </c>
      <c r="T222">
        <v>0</v>
      </c>
      <c r="U222">
        <v>0</v>
      </c>
      <c r="V222">
        <v>0</v>
      </c>
    </row>
    <row r="223" spans="1:22" x14ac:dyDescent="0.2">
      <c r="A223" t="s">
        <v>7080</v>
      </c>
      <c r="B223" t="s">
        <v>7081</v>
      </c>
      <c r="C223" t="s">
        <v>7082</v>
      </c>
      <c r="D223" t="s">
        <v>96</v>
      </c>
      <c r="E223">
        <v>59.99</v>
      </c>
      <c r="F223" t="s">
        <v>8118</v>
      </c>
      <c r="L223" t="s">
        <v>14</v>
      </c>
      <c r="M223" t="s">
        <v>97</v>
      </c>
      <c r="N223">
        <v>0</v>
      </c>
      <c r="O223">
        <v>0</v>
      </c>
      <c r="U223">
        <v>0</v>
      </c>
      <c r="V223">
        <v>0</v>
      </c>
    </row>
    <row r="224" spans="1:22" x14ac:dyDescent="0.2">
      <c r="A224" t="s">
        <v>7080</v>
      </c>
      <c r="B224" t="s">
        <v>7081</v>
      </c>
      <c r="C224" t="s">
        <v>7082</v>
      </c>
      <c r="D224" t="s">
        <v>96</v>
      </c>
      <c r="E224">
        <v>59.99</v>
      </c>
      <c r="F224" t="s">
        <v>8118</v>
      </c>
      <c r="L224" t="s">
        <v>10</v>
      </c>
      <c r="M224">
        <v>648142</v>
      </c>
      <c r="N224">
        <v>0</v>
      </c>
      <c r="O224">
        <v>0</v>
      </c>
      <c r="P224" t="s">
        <v>290</v>
      </c>
      <c r="T224">
        <v>0</v>
      </c>
      <c r="U224">
        <v>0</v>
      </c>
      <c r="V224">
        <v>0</v>
      </c>
    </row>
    <row r="225" spans="1:22" x14ac:dyDescent="0.2">
      <c r="A225" t="s">
        <v>7080</v>
      </c>
      <c r="B225" t="s">
        <v>7081</v>
      </c>
      <c r="C225" t="s">
        <v>7082</v>
      </c>
      <c r="D225" t="s">
        <v>96</v>
      </c>
      <c r="E225">
        <v>59.99</v>
      </c>
      <c r="F225" t="s">
        <v>8118</v>
      </c>
      <c r="L225" t="s">
        <v>8109</v>
      </c>
      <c r="M225" t="s">
        <v>97</v>
      </c>
      <c r="N225">
        <v>0</v>
      </c>
      <c r="O225">
        <v>0</v>
      </c>
      <c r="U225">
        <v>0</v>
      </c>
      <c r="V225">
        <v>0</v>
      </c>
    </row>
    <row r="226" spans="1:22" x14ac:dyDescent="0.2">
      <c r="A226" t="s">
        <v>4386</v>
      </c>
      <c r="B226" t="s">
        <v>4387</v>
      </c>
      <c r="C226" t="s">
        <v>304</v>
      </c>
      <c r="D226" t="s">
        <v>96</v>
      </c>
      <c r="E226">
        <v>179.99</v>
      </c>
      <c r="F226" t="s">
        <v>8118</v>
      </c>
      <c r="L226" t="s">
        <v>8119</v>
      </c>
      <c r="U226">
        <v>0</v>
      </c>
      <c r="V226">
        <v>0</v>
      </c>
    </row>
    <row r="227" spans="1:22" x14ac:dyDescent="0.2">
      <c r="A227" t="s">
        <v>307</v>
      </c>
      <c r="B227" t="s">
        <v>8120</v>
      </c>
      <c r="C227" t="s">
        <v>304</v>
      </c>
      <c r="D227" t="s">
        <v>96</v>
      </c>
      <c r="E227">
        <v>179.99</v>
      </c>
      <c r="F227" t="s">
        <v>8118</v>
      </c>
      <c r="L227" t="s">
        <v>10</v>
      </c>
      <c r="M227">
        <v>595018</v>
      </c>
      <c r="N227">
        <v>0</v>
      </c>
      <c r="O227">
        <v>0</v>
      </c>
      <c r="P227" t="s">
        <v>7015</v>
      </c>
      <c r="T227">
        <v>0</v>
      </c>
      <c r="U227">
        <v>0</v>
      </c>
      <c r="V227">
        <v>0</v>
      </c>
    </row>
    <row r="228" spans="1:22" x14ac:dyDescent="0.2">
      <c r="A228" t="s">
        <v>7436</v>
      </c>
      <c r="B228" t="s">
        <v>7437</v>
      </c>
      <c r="C228" t="s">
        <v>304</v>
      </c>
      <c r="D228" t="s">
        <v>96</v>
      </c>
      <c r="E228">
        <v>179.99</v>
      </c>
      <c r="F228" t="s">
        <v>8118</v>
      </c>
      <c r="L228" t="s">
        <v>10</v>
      </c>
      <c r="M228">
        <v>531786</v>
      </c>
      <c r="N228">
        <v>0</v>
      </c>
      <c r="O228">
        <v>0</v>
      </c>
      <c r="P228" t="s">
        <v>7015</v>
      </c>
      <c r="T228">
        <v>0</v>
      </c>
      <c r="U228">
        <v>0</v>
      </c>
      <c r="V228">
        <v>0</v>
      </c>
    </row>
    <row r="229" spans="1:22" x14ac:dyDescent="0.2">
      <c r="A229" t="s">
        <v>305</v>
      </c>
      <c r="B229" t="s">
        <v>8121</v>
      </c>
      <c r="C229" t="s">
        <v>304</v>
      </c>
      <c r="D229" t="s">
        <v>96</v>
      </c>
      <c r="E229">
        <v>179.99</v>
      </c>
      <c r="F229" t="s">
        <v>8118</v>
      </c>
      <c r="L229" t="s">
        <v>10</v>
      </c>
      <c r="M229">
        <v>531786</v>
      </c>
      <c r="N229">
        <v>0</v>
      </c>
      <c r="O229">
        <v>0</v>
      </c>
      <c r="P229" t="s">
        <v>7015</v>
      </c>
      <c r="T229">
        <v>0</v>
      </c>
      <c r="U229">
        <v>0</v>
      </c>
      <c r="V229">
        <v>0</v>
      </c>
    </row>
    <row r="230" spans="1:22" x14ac:dyDescent="0.2">
      <c r="A230" t="s">
        <v>305</v>
      </c>
      <c r="B230" t="s">
        <v>8121</v>
      </c>
      <c r="C230" t="s">
        <v>304</v>
      </c>
      <c r="D230" t="s">
        <v>96</v>
      </c>
      <c r="E230">
        <v>179.99</v>
      </c>
      <c r="F230" t="s">
        <v>8118</v>
      </c>
      <c r="L230" t="s">
        <v>7032</v>
      </c>
      <c r="M230" t="s">
        <v>97</v>
      </c>
      <c r="N230">
        <v>0</v>
      </c>
      <c r="O230">
        <v>0</v>
      </c>
      <c r="T230">
        <v>0</v>
      </c>
      <c r="U230">
        <v>0</v>
      </c>
      <c r="V230">
        <v>3</v>
      </c>
    </row>
    <row r="231" spans="1:22" x14ac:dyDescent="0.2">
      <c r="A231" t="s">
        <v>4386</v>
      </c>
      <c r="B231" t="s">
        <v>4387</v>
      </c>
      <c r="C231" t="s">
        <v>304</v>
      </c>
      <c r="D231" t="s">
        <v>96</v>
      </c>
      <c r="E231">
        <v>179.99</v>
      </c>
      <c r="F231" t="s">
        <v>8118</v>
      </c>
      <c r="L231" t="s">
        <v>7032</v>
      </c>
      <c r="M231" t="s">
        <v>97</v>
      </c>
      <c r="N231">
        <v>0</v>
      </c>
      <c r="O231">
        <v>0</v>
      </c>
      <c r="T231">
        <v>0</v>
      </c>
      <c r="U231">
        <v>0</v>
      </c>
      <c r="V231">
        <v>0</v>
      </c>
    </row>
    <row r="232" spans="1:22" x14ac:dyDescent="0.2">
      <c r="A232" t="s">
        <v>4386</v>
      </c>
      <c r="B232" t="s">
        <v>4387</v>
      </c>
      <c r="C232" t="s">
        <v>304</v>
      </c>
      <c r="D232" t="s">
        <v>96</v>
      </c>
      <c r="E232">
        <v>179.99</v>
      </c>
      <c r="F232" t="s">
        <v>8118</v>
      </c>
      <c r="L232" t="s">
        <v>7029</v>
      </c>
      <c r="N232">
        <v>10</v>
      </c>
      <c r="O232">
        <v>0</v>
      </c>
      <c r="T232">
        <v>0</v>
      </c>
      <c r="U232">
        <v>0</v>
      </c>
      <c r="V232">
        <v>10</v>
      </c>
    </row>
    <row r="233" spans="1:22" x14ac:dyDescent="0.2">
      <c r="A233" t="s">
        <v>305</v>
      </c>
      <c r="B233" t="s">
        <v>8121</v>
      </c>
      <c r="C233" t="s">
        <v>304</v>
      </c>
      <c r="D233" t="s">
        <v>96</v>
      </c>
      <c r="E233">
        <v>179.99</v>
      </c>
      <c r="F233" t="s">
        <v>8118</v>
      </c>
      <c r="L233" t="s">
        <v>7029</v>
      </c>
      <c r="N233">
        <v>16</v>
      </c>
      <c r="O233">
        <v>6.25E-2</v>
      </c>
      <c r="T233">
        <v>0.25</v>
      </c>
      <c r="U233">
        <v>0</v>
      </c>
      <c r="V233">
        <v>4</v>
      </c>
    </row>
    <row r="234" spans="1:22" x14ac:dyDescent="0.2">
      <c r="A234" t="s">
        <v>4600</v>
      </c>
      <c r="B234" t="s">
        <v>4601</v>
      </c>
      <c r="C234" t="s">
        <v>4463</v>
      </c>
      <c r="D234" t="s">
        <v>96</v>
      </c>
      <c r="E234">
        <v>19.989999999999998</v>
      </c>
      <c r="F234" t="s">
        <v>8118</v>
      </c>
      <c r="L234" t="s">
        <v>11</v>
      </c>
      <c r="M234" t="s">
        <v>4602</v>
      </c>
      <c r="N234">
        <v>0</v>
      </c>
      <c r="O234">
        <v>0</v>
      </c>
      <c r="T234">
        <v>0</v>
      </c>
      <c r="U234">
        <v>0</v>
      </c>
      <c r="V234">
        <v>0</v>
      </c>
    </row>
    <row r="235" spans="1:22" x14ac:dyDescent="0.2">
      <c r="A235" t="s">
        <v>4524</v>
      </c>
      <c r="B235" t="s">
        <v>4525</v>
      </c>
      <c r="C235" t="s">
        <v>4463</v>
      </c>
      <c r="D235" t="s">
        <v>290</v>
      </c>
      <c r="E235">
        <v>17.989999999999998</v>
      </c>
      <c r="F235" t="s">
        <v>8118</v>
      </c>
      <c r="G235">
        <v>25</v>
      </c>
      <c r="H235">
        <v>2</v>
      </c>
      <c r="I235">
        <v>23</v>
      </c>
      <c r="L235" t="s">
        <v>11</v>
      </c>
      <c r="M235" t="s">
        <v>4526</v>
      </c>
      <c r="N235">
        <v>3.5</v>
      </c>
      <c r="O235">
        <v>0.2857142857142857</v>
      </c>
      <c r="T235">
        <v>0.2857142857142857</v>
      </c>
      <c r="U235">
        <v>0</v>
      </c>
      <c r="V235">
        <v>1</v>
      </c>
    </row>
    <row r="236" spans="1:22" x14ac:dyDescent="0.2">
      <c r="A236" t="s">
        <v>4520</v>
      </c>
      <c r="B236" t="s">
        <v>4521</v>
      </c>
      <c r="C236" t="s">
        <v>4463</v>
      </c>
      <c r="D236" t="s">
        <v>290</v>
      </c>
      <c r="E236">
        <v>17.989999999999998</v>
      </c>
      <c r="F236" t="s">
        <v>8118</v>
      </c>
      <c r="G236">
        <v>75</v>
      </c>
      <c r="I236">
        <v>75</v>
      </c>
      <c r="L236" t="s">
        <v>11</v>
      </c>
      <c r="M236" t="s">
        <v>4522</v>
      </c>
      <c r="N236">
        <v>0</v>
      </c>
      <c r="O236">
        <v>0</v>
      </c>
      <c r="T236">
        <v>0</v>
      </c>
      <c r="U236">
        <v>0</v>
      </c>
      <c r="V236">
        <v>0</v>
      </c>
    </row>
    <row r="237" spans="1:22" x14ac:dyDescent="0.2">
      <c r="A237" t="s">
        <v>4517</v>
      </c>
      <c r="B237" t="s">
        <v>4518</v>
      </c>
      <c r="C237" t="s">
        <v>4463</v>
      </c>
      <c r="D237" t="s">
        <v>96</v>
      </c>
      <c r="E237">
        <v>17.989999999999998</v>
      </c>
      <c r="F237" t="s">
        <v>8118</v>
      </c>
      <c r="L237" t="s">
        <v>11</v>
      </c>
      <c r="M237" t="s">
        <v>4519</v>
      </c>
      <c r="N237">
        <v>8</v>
      </c>
      <c r="O237">
        <v>0.125</v>
      </c>
      <c r="T237">
        <v>0.125</v>
      </c>
      <c r="U237">
        <v>0</v>
      </c>
      <c r="V237">
        <v>1</v>
      </c>
    </row>
    <row r="238" spans="1:22" x14ac:dyDescent="0.2">
      <c r="A238" t="s">
        <v>4461</v>
      </c>
      <c r="B238" t="s">
        <v>4462</v>
      </c>
      <c r="C238" t="s">
        <v>4463</v>
      </c>
      <c r="D238" t="s">
        <v>290</v>
      </c>
      <c r="E238">
        <v>59.99</v>
      </c>
      <c r="F238" t="s">
        <v>8118</v>
      </c>
      <c r="G238">
        <v>3</v>
      </c>
      <c r="H238">
        <v>3</v>
      </c>
      <c r="L238" t="s">
        <v>11</v>
      </c>
      <c r="M238" t="s">
        <v>4464</v>
      </c>
      <c r="N238">
        <v>0</v>
      </c>
      <c r="O238">
        <v>0</v>
      </c>
      <c r="T238">
        <v>0.63636363636363635</v>
      </c>
      <c r="U238">
        <v>0</v>
      </c>
      <c r="V238">
        <v>0</v>
      </c>
    </row>
    <row r="239" spans="1:22" x14ac:dyDescent="0.2">
      <c r="A239" t="s">
        <v>4476</v>
      </c>
      <c r="B239" t="s">
        <v>4477</v>
      </c>
      <c r="C239" t="s">
        <v>4463</v>
      </c>
      <c r="D239" t="s">
        <v>290</v>
      </c>
      <c r="E239">
        <v>39.99</v>
      </c>
      <c r="F239" t="s">
        <v>8118</v>
      </c>
      <c r="G239">
        <v>19</v>
      </c>
      <c r="I239">
        <v>19</v>
      </c>
      <c r="L239" t="s">
        <v>11</v>
      </c>
      <c r="M239" t="s">
        <v>4478</v>
      </c>
      <c r="N239">
        <v>8.8888888888888893</v>
      </c>
      <c r="O239">
        <v>0.1125</v>
      </c>
      <c r="T239">
        <v>1.125</v>
      </c>
      <c r="U239">
        <v>0</v>
      </c>
      <c r="V239">
        <v>10</v>
      </c>
    </row>
    <row r="240" spans="1:22" x14ac:dyDescent="0.2">
      <c r="A240" t="s">
        <v>4472</v>
      </c>
      <c r="B240" t="s">
        <v>4473</v>
      </c>
      <c r="C240" t="s">
        <v>4463</v>
      </c>
      <c r="D240" t="s">
        <v>290</v>
      </c>
      <c r="E240">
        <v>44.99</v>
      </c>
      <c r="F240" t="s">
        <v>8118</v>
      </c>
      <c r="G240">
        <v>2</v>
      </c>
      <c r="H240">
        <v>2</v>
      </c>
      <c r="L240" t="s">
        <v>11</v>
      </c>
      <c r="M240" t="s">
        <v>4474</v>
      </c>
      <c r="N240">
        <v>0</v>
      </c>
      <c r="O240">
        <v>0</v>
      </c>
      <c r="T240">
        <v>0</v>
      </c>
      <c r="U240">
        <v>0</v>
      </c>
      <c r="V240">
        <v>0</v>
      </c>
    </row>
    <row r="241" spans="1:22" x14ac:dyDescent="0.2">
      <c r="A241" t="s">
        <v>4480</v>
      </c>
      <c r="B241" t="s">
        <v>4481</v>
      </c>
      <c r="C241" t="s">
        <v>4463</v>
      </c>
      <c r="D241" t="s">
        <v>96</v>
      </c>
      <c r="E241">
        <v>44.99</v>
      </c>
      <c r="F241" t="s">
        <v>8118</v>
      </c>
      <c r="L241" t="s">
        <v>11</v>
      </c>
      <c r="M241" t="s">
        <v>4482</v>
      </c>
      <c r="N241">
        <v>0</v>
      </c>
      <c r="O241">
        <v>0</v>
      </c>
      <c r="T241">
        <v>0</v>
      </c>
      <c r="U241">
        <v>0</v>
      </c>
      <c r="V241">
        <v>0</v>
      </c>
    </row>
    <row r="242" spans="1:22" x14ac:dyDescent="0.2">
      <c r="A242" t="s">
        <v>4488</v>
      </c>
      <c r="B242" t="s">
        <v>4489</v>
      </c>
      <c r="C242" t="s">
        <v>4463</v>
      </c>
      <c r="D242" t="s">
        <v>96</v>
      </c>
      <c r="E242">
        <v>19.989999999999998</v>
      </c>
      <c r="F242" t="s">
        <v>8118</v>
      </c>
      <c r="L242" t="s">
        <v>11</v>
      </c>
      <c r="M242" t="s">
        <v>4490</v>
      </c>
      <c r="N242">
        <v>0</v>
      </c>
      <c r="O242">
        <v>0</v>
      </c>
      <c r="T242">
        <v>0</v>
      </c>
      <c r="U242">
        <v>0</v>
      </c>
      <c r="V242">
        <v>0</v>
      </c>
    </row>
    <row r="243" spans="1:22" x14ac:dyDescent="0.2">
      <c r="A243" t="s">
        <v>4491</v>
      </c>
      <c r="B243" t="s">
        <v>4492</v>
      </c>
      <c r="C243" t="s">
        <v>4463</v>
      </c>
      <c r="D243" t="s">
        <v>96</v>
      </c>
      <c r="E243">
        <v>19.989999999999998</v>
      </c>
      <c r="F243" t="s">
        <v>8118</v>
      </c>
      <c r="L243" t="s">
        <v>11</v>
      </c>
      <c r="M243" t="s">
        <v>4493</v>
      </c>
      <c r="N243">
        <v>0</v>
      </c>
      <c r="O243">
        <v>0</v>
      </c>
      <c r="T243">
        <v>0</v>
      </c>
      <c r="U243">
        <v>0</v>
      </c>
      <c r="V243">
        <v>0</v>
      </c>
    </row>
    <row r="244" spans="1:22" x14ac:dyDescent="0.2">
      <c r="A244" t="s">
        <v>4498</v>
      </c>
      <c r="B244" t="s">
        <v>4499</v>
      </c>
      <c r="C244" t="s">
        <v>4463</v>
      </c>
      <c r="D244" t="s">
        <v>290</v>
      </c>
      <c r="E244">
        <v>19.989999999999998</v>
      </c>
      <c r="F244" t="s">
        <v>8118</v>
      </c>
      <c r="G244">
        <v>5</v>
      </c>
      <c r="H244">
        <v>5</v>
      </c>
      <c r="L244" t="s">
        <v>11</v>
      </c>
      <c r="M244" t="s">
        <v>4500</v>
      </c>
      <c r="N244">
        <v>0</v>
      </c>
      <c r="O244">
        <v>0</v>
      </c>
      <c r="T244">
        <v>0</v>
      </c>
      <c r="U244">
        <v>0</v>
      </c>
      <c r="V244">
        <v>0</v>
      </c>
    </row>
    <row r="245" spans="1:22" x14ac:dyDescent="0.2">
      <c r="A245" t="s">
        <v>4494</v>
      </c>
      <c r="B245" t="s">
        <v>4495</v>
      </c>
      <c r="C245" t="s">
        <v>4463</v>
      </c>
      <c r="D245" t="s">
        <v>290</v>
      </c>
      <c r="E245">
        <v>19.989999999999998</v>
      </c>
      <c r="F245" t="s">
        <v>8118</v>
      </c>
      <c r="G245">
        <v>33</v>
      </c>
      <c r="I245">
        <v>33</v>
      </c>
      <c r="L245" t="s">
        <v>11</v>
      </c>
      <c r="M245" t="s">
        <v>4496</v>
      </c>
      <c r="N245">
        <v>0</v>
      </c>
      <c r="O245">
        <v>0</v>
      </c>
      <c r="T245">
        <v>0</v>
      </c>
      <c r="U245">
        <v>0</v>
      </c>
      <c r="V245">
        <v>0</v>
      </c>
    </row>
    <row r="246" spans="1:22" x14ac:dyDescent="0.2">
      <c r="A246" t="s">
        <v>4501</v>
      </c>
      <c r="B246" t="s">
        <v>4502</v>
      </c>
      <c r="C246" t="s">
        <v>4463</v>
      </c>
      <c r="D246" t="s">
        <v>96</v>
      </c>
      <c r="E246">
        <v>19.989999999999998</v>
      </c>
      <c r="F246" t="s">
        <v>8118</v>
      </c>
      <c r="L246" t="s">
        <v>11</v>
      </c>
      <c r="M246" t="s">
        <v>4503</v>
      </c>
      <c r="N246">
        <v>0</v>
      </c>
      <c r="O246">
        <v>0</v>
      </c>
      <c r="T246">
        <v>0.14285714285714285</v>
      </c>
      <c r="U246">
        <v>19.989999999999998</v>
      </c>
      <c r="V246">
        <v>0</v>
      </c>
    </row>
    <row r="247" spans="1:22" x14ac:dyDescent="0.2">
      <c r="A247" t="s">
        <v>4468</v>
      </c>
      <c r="B247" t="s">
        <v>4469</v>
      </c>
      <c r="C247" t="s">
        <v>4463</v>
      </c>
      <c r="D247" t="s">
        <v>290</v>
      </c>
      <c r="E247">
        <v>39.99</v>
      </c>
      <c r="F247" t="s">
        <v>8118</v>
      </c>
      <c r="G247">
        <v>11</v>
      </c>
      <c r="I247">
        <v>11</v>
      </c>
      <c r="L247" t="s">
        <v>11</v>
      </c>
      <c r="M247" t="s">
        <v>4470</v>
      </c>
      <c r="N247">
        <v>0</v>
      </c>
      <c r="O247">
        <v>0</v>
      </c>
      <c r="T247">
        <v>0</v>
      </c>
      <c r="U247">
        <v>0</v>
      </c>
      <c r="V247">
        <v>0</v>
      </c>
    </row>
    <row r="248" spans="1:22" x14ac:dyDescent="0.2">
      <c r="A248" t="s">
        <v>4504</v>
      </c>
      <c r="B248" t="s">
        <v>4505</v>
      </c>
      <c r="C248" t="s">
        <v>4463</v>
      </c>
      <c r="D248" t="s">
        <v>96</v>
      </c>
      <c r="E248">
        <v>19.989999999999998</v>
      </c>
      <c r="F248" t="s">
        <v>8118</v>
      </c>
      <c r="L248" t="s">
        <v>11</v>
      </c>
      <c r="M248" t="s">
        <v>4506</v>
      </c>
      <c r="N248">
        <v>0</v>
      </c>
      <c r="O248">
        <v>0</v>
      </c>
      <c r="T248">
        <v>0</v>
      </c>
      <c r="U248">
        <v>0</v>
      </c>
      <c r="V248">
        <v>0</v>
      </c>
    </row>
    <row r="249" spans="1:22" x14ac:dyDescent="0.2">
      <c r="A249" t="s">
        <v>5203</v>
      </c>
      <c r="B249" t="s">
        <v>5204</v>
      </c>
      <c r="C249" t="s">
        <v>4463</v>
      </c>
      <c r="D249" t="s">
        <v>96</v>
      </c>
      <c r="E249">
        <v>37.99</v>
      </c>
      <c r="F249" t="s">
        <v>8118</v>
      </c>
      <c r="L249" t="s">
        <v>11</v>
      </c>
      <c r="M249" t="s">
        <v>5205</v>
      </c>
      <c r="N249">
        <v>0</v>
      </c>
      <c r="O249">
        <v>0</v>
      </c>
      <c r="T249">
        <v>0</v>
      </c>
      <c r="U249">
        <v>0</v>
      </c>
      <c r="V249">
        <v>0</v>
      </c>
    </row>
    <row r="250" spans="1:22" x14ac:dyDescent="0.2">
      <c r="A250" t="s">
        <v>5207</v>
      </c>
      <c r="B250" t="s">
        <v>5208</v>
      </c>
      <c r="C250" t="s">
        <v>4463</v>
      </c>
      <c r="D250" t="s">
        <v>96</v>
      </c>
      <c r="E250">
        <v>9.99</v>
      </c>
      <c r="F250" t="s">
        <v>8118</v>
      </c>
      <c r="L250" t="s">
        <v>11</v>
      </c>
      <c r="M250" t="s">
        <v>5209</v>
      </c>
      <c r="N250">
        <v>0</v>
      </c>
      <c r="O250">
        <v>0</v>
      </c>
      <c r="T250">
        <v>0</v>
      </c>
      <c r="U250">
        <v>0</v>
      </c>
      <c r="V250">
        <v>0</v>
      </c>
    </row>
    <row r="251" spans="1:22" x14ac:dyDescent="0.2">
      <c r="A251" t="s">
        <v>5719</v>
      </c>
      <c r="B251" t="s">
        <v>5720</v>
      </c>
      <c r="C251" t="s">
        <v>4463</v>
      </c>
      <c r="D251" t="s">
        <v>96</v>
      </c>
      <c r="E251">
        <v>59.99</v>
      </c>
      <c r="F251" t="s">
        <v>8118</v>
      </c>
      <c r="L251" t="s">
        <v>11</v>
      </c>
      <c r="M251" t="s">
        <v>5721</v>
      </c>
      <c r="N251">
        <v>0</v>
      </c>
      <c r="O251">
        <v>0</v>
      </c>
      <c r="T251">
        <v>0</v>
      </c>
      <c r="U251">
        <v>0</v>
      </c>
      <c r="V251">
        <v>0</v>
      </c>
    </row>
    <row r="252" spans="1:22" x14ac:dyDescent="0.2">
      <c r="A252" t="s">
        <v>5777</v>
      </c>
      <c r="B252" t="s">
        <v>5778</v>
      </c>
      <c r="C252" t="s">
        <v>4463</v>
      </c>
      <c r="D252" t="s">
        <v>96</v>
      </c>
      <c r="E252">
        <v>19.989999999999998</v>
      </c>
      <c r="F252" t="s">
        <v>8118</v>
      </c>
      <c r="L252" t="s">
        <v>11</v>
      </c>
      <c r="M252" t="s">
        <v>5779</v>
      </c>
      <c r="N252">
        <v>0</v>
      </c>
      <c r="O252">
        <v>0</v>
      </c>
      <c r="T252">
        <v>0</v>
      </c>
      <c r="U252">
        <v>0</v>
      </c>
      <c r="V252">
        <v>0</v>
      </c>
    </row>
    <row r="253" spans="1:22" x14ac:dyDescent="0.2">
      <c r="A253" t="s">
        <v>5780</v>
      </c>
      <c r="B253" t="s">
        <v>5781</v>
      </c>
      <c r="C253" t="s">
        <v>4463</v>
      </c>
      <c r="D253" t="s">
        <v>96</v>
      </c>
      <c r="E253">
        <v>19.989999999999998</v>
      </c>
      <c r="F253" t="s">
        <v>8118</v>
      </c>
      <c r="L253" t="s">
        <v>11</v>
      </c>
      <c r="M253" t="s">
        <v>5782</v>
      </c>
      <c r="N253">
        <v>0</v>
      </c>
      <c r="O253">
        <v>0</v>
      </c>
      <c r="T253">
        <v>0</v>
      </c>
      <c r="U253">
        <v>0</v>
      </c>
      <c r="V253">
        <v>0</v>
      </c>
    </row>
    <row r="254" spans="1:22" x14ac:dyDescent="0.2">
      <c r="A254" t="s">
        <v>5769</v>
      </c>
      <c r="B254" t="s">
        <v>5770</v>
      </c>
      <c r="C254" t="s">
        <v>4463</v>
      </c>
      <c r="D254" t="s">
        <v>290</v>
      </c>
      <c r="E254">
        <v>34.99</v>
      </c>
      <c r="F254" t="s">
        <v>8118</v>
      </c>
      <c r="L254" t="s">
        <v>11</v>
      </c>
      <c r="M254" t="s">
        <v>5771</v>
      </c>
      <c r="N254">
        <v>0</v>
      </c>
      <c r="O254">
        <v>0</v>
      </c>
      <c r="T254">
        <v>0</v>
      </c>
      <c r="U254">
        <v>0</v>
      </c>
      <c r="V254">
        <v>0</v>
      </c>
    </row>
    <row r="255" spans="1:22" x14ac:dyDescent="0.2">
      <c r="A255" t="s">
        <v>5830</v>
      </c>
      <c r="B255" t="s">
        <v>5831</v>
      </c>
      <c r="C255" t="s">
        <v>4463</v>
      </c>
      <c r="D255" t="s">
        <v>96</v>
      </c>
      <c r="E255">
        <v>149.99</v>
      </c>
      <c r="F255" t="s">
        <v>8118</v>
      </c>
      <c r="L255" t="s">
        <v>11</v>
      </c>
      <c r="M255" t="s">
        <v>5832</v>
      </c>
      <c r="N255">
        <v>0</v>
      </c>
      <c r="O255">
        <v>0</v>
      </c>
      <c r="T255">
        <v>0</v>
      </c>
      <c r="U255">
        <v>0</v>
      </c>
      <c r="V255">
        <v>0</v>
      </c>
    </row>
    <row r="256" spans="1:22" x14ac:dyDescent="0.2">
      <c r="A256" t="s">
        <v>5833</v>
      </c>
      <c r="B256" t="s">
        <v>5834</v>
      </c>
      <c r="C256" t="s">
        <v>4463</v>
      </c>
      <c r="D256" t="s">
        <v>96</v>
      </c>
      <c r="E256">
        <v>149.99</v>
      </c>
      <c r="F256" t="s">
        <v>8118</v>
      </c>
      <c r="L256" t="s">
        <v>11</v>
      </c>
      <c r="M256" t="s">
        <v>5835</v>
      </c>
      <c r="N256">
        <v>0</v>
      </c>
      <c r="O256">
        <v>0</v>
      </c>
      <c r="T256">
        <v>0</v>
      </c>
      <c r="U256">
        <v>0</v>
      </c>
      <c r="V256">
        <v>0</v>
      </c>
    </row>
    <row r="257" spans="1:22" x14ac:dyDescent="0.2">
      <c r="A257" t="s">
        <v>5867</v>
      </c>
      <c r="B257" t="s">
        <v>5868</v>
      </c>
      <c r="C257" t="s">
        <v>4463</v>
      </c>
      <c r="D257" t="s">
        <v>290</v>
      </c>
      <c r="E257">
        <v>44.99</v>
      </c>
      <c r="F257" t="s">
        <v>8118</v>
      </c>
      <c r="G257">
        <v>12</v>
      </c>
      <c r="I257">
        <v>12</v>
      </c>
      <c r="L257" t="s">
        <v>11</v>
      </c>
      <c r="M257" t="s">
        <v>5869</v>
      </c>
      <c r="N257">
        <v>0</v>
      </c>
      <c r="O257">
        <v>0</v>
      </c>
      <c r="T257">
        <v>0</v>
      </c>
      <c r="U257">
        <v>0</v>
      </c>
      <c r="V257">
        <v>1</v>
      </c>
    </row>
    <row r="258" spans="1:22" x14ac:dyDescent="0.2">
      <c r="A258" t="s">
        <v>5918</v>
      </c>
      <c r="B258" t="s">
        <v>5919</v>
      </c>
      <c r="C258" t="s">
        <v>4463</v>
      </c>
      <c r="D258" t="s">
        <v>96</v>
      </c>
      <c r="E258">
        <v>16.989999999999998</v>
      </c>
      <c r="F258" t="s">
        <v>8118</v>
      </c>
      <c r="L258" t="s">
        <v>11</v>
      </c>
      <c r="M258" t="s">
        <v>5920</v>
      </c>
      <c r="N258">
        <v>0</v>
      </c>
      <c r="O258">
        <v>0</v>
      </c>
      <c r="T258">
        <v>0</v>
      </c>
      <c r="U258">
        <v>0</v>
      </c>
      <c r="V258">
        <v>0</v>
      </c>
    </row>
    <row r="259" spans="1:22" x14ac:dyDescent="0.2">
      <c r="A259" t="s">
        <v>5783</v>
      </c>
      <c r="B259" t="s">
        <v>5784</v>
      </c>
      <c r="C259" t="s">
        <v>4463</v>
      </c>
      <c r="D259" t="s">
        <v>96</v>
      </c>
      <c r="E259">
        <v>14.99</v>
      </c>
      <c r="F259" t="s">
        <v>8118</v>
      </c>
      <c r="L259" t="s">
        <v>11</v>
      </c>
      <c r="M259" t="s">
        <v>5785</v>
      </c>
      <c r="N259">
        <v>0</v>
      </c>
      <c r="O259">
        <v>0</v>
      </c>
      <c r="T259">
        <v>0</v>
      </c>
      <c r="U259">
        <v>0</v>
      </c>
      <c r="V259">
        <v>0</v>
      </c>
    </row>
    <row r="260" spans="1:22" x14ac:dyDescent="0.2">
      <c r="A260" t="s">
        <v>4514</v>
      </c>
      <c r="B260" t="s">
        <v>4515</v>
      </c>
      <c r="C260" t="s">
        <v>4463</v>
      </c>
      <c r="D260" t="s">
        <v>96</v>
      </c>
      <c r="E260">
        <v>19.989999999999998</v>
      </c>
      <c r="F260" t="s">
        <v>8118</v>
      </c>
      <c r="L260" t="s">
        <v>11</v>
      </c>
      <c r="M260" t="s">
        <v>4516</v>
      </c>
      <c r="N260">
        <v>0</v>
      </c>
      <c r="O260">
        <v>0</v>
      </c>
      <c r="T260">
        <v>0</v>
      </c>
      <c r="U260">
        <v>0</v>
      </c>
      <c r="V260">
        <v>0</v>
      </c>
    </row>
    <row r="261" spans="1:22" x14ac:dyDescent="0.2">
      <c r="A261" t="s">
        <v>4507</v>
      </c>
      <c r="B261" t="s">
        <v>4508</v>
      </c>
      <c r="C261" t="s">
        <v>4463</v>
      </c>
      <c r="D261" t="s">
        <v>96</v>
      </c>
      <c r="E261">
        <v>19.989999999999998</v>
      </c>
      <c r="F261" t="s">
        <v>8118</v>
      </c>
      <c r="L261" t="s">
        <v>11</v>
      </c>
      <c r="M261" t="s">
        <v>4509</v>
      </c>
      <c r="N261">
        <v>0</v>
      </c>
      <c r="O261">
        <v>0</v>
      </c>
      <c r="T261">
        <v>0</v>
      </c>
      <c r="U261">
        <v>0</v>
      </c>
      <c r="V261">
        <v>2</v>
      </c>
    </row>
    <row r="262" spans="1:22" x14ac:dyDescent="0.2">
      <c r="A262" t="s">
        <v>4532</v>
      </c>
      <c r="B262" t="s">
        <v>4533</v>
      </c>
      <c r="C262" t="s">
        <v>4463</v>
      </c>
      <c r="D262" t="s">
        <v>290</v>
      </c>
      <c r="E262">
        <v>19.989999999999998</v>
      </c>
      <c r="F262" t="s">
        <v>8118</v>
      </c>
      <c r="G262">
        <v>48</v>
      </c>
      <c r="I262">
        <v>48</v>
      </c>
      <c r="L262" t="s">
        <v>11</v>
      </c>
      <c r="M262" t="s">
        <v>4534</v>
      </c>
      <c r="N262">
        <v>4</v>
      </c>
      <c r="O262">
        <v>0.25</v>
      </c>
      <c r="T262">
        <v>0.25</v>
      </c>
      <c r="U262">
        <v>0</v>
      </c>
      <c r="V262">
        <v>1</v>
      </c>
    </row>
    <row r="263" spans="1:22" x14ac:dyDescent="0.2">
      <c r="A263" t="s">
        <v>4511</v>
      </c>
      <c r="B263" t="s">
        <v>4512</v>
      </c>
      <c r="C263" t="s">
        <v>4463</v>
      </c>
      <c r="D263" t="s">
        <v>96</v>
      </c>
      <c r="E263">
        <v>19.989999999999998</v>
      </c>
      <c r="F263" t="s">
        <v>8118</v>
      </c>
      <c r="L263" t="s">
        <v>11</v>
      </c>
      <c r="M263" t="s">
        <v>4513</v>
      </c>
      <c r="N263">
        <v>0</v>
      </c>
      <c r="O263">
        <v>0</v>
      </c>
      <c r="T263">
        <v>0</v>
      </c>
      <c r="U263">
        <v>0</v>
      </c>
      <c r="V263">
        <v>0</v>
      </c>
    </row>
    <row r="264" spans="1:22" x14ac:dyDescent="0.2">
      <c r="A264" t="s">
        <v>4528</v>
      </c>
      <c r="B264" t="s">
        <v>4529</v>
      </c>
      <c r="C264" t="s">
        <v>4463</v>
      </c>
      <c r="D264" t="s">
        <v>290</v>
      </c>
      <c r="E264">
        <v>19.989999999999998</v>
      </c>
      <c r="F264" t="s">
        <v>8118</v>
      </c>
      <c r="G264">
        <v>63</v>
      </c>
      <c r="H264">
        <v>4</v>
      </c>
      <c r="I264">
        <v>59</v>
      </c>
      <c r="L264" t="s">
        <v>11</v>
      </c>
      <c r="M264" t="s">
        <v>4530</v>
      </c>
      <c r="N264">
        <v>0</v>
      </c>
      <c r="O264">
        <v>0</v>
      </c>
      <c r="T264">
        <v>0</v>
      </c>
      <c r="U264">
        <v>0</v>
      </c>
      <c r="V264">
        <v>1</v>
      </c>
    </row>
    <row r="265" spans="1:22" x14ac:dyDescent="0.2">
      <c r="A265" t="s">
        <v>4465</v>
      </c>
      <c r="B265" t="s">
        <v>4466</v>
      </c>
      <c r="C265" t="s">
        <v>4463</v>
      </c>
      <c r="D265" t="s">
        <v>96</v>
      </c>
      <c r="E265">
        <v>59.99</v>
      </c>
      <c r="F265" t="s">
        <v>8118</v>
      </c>
      <c r="L265" t="s">
        <v>11</v>
      </c>
      <c r="M265" t="s">
        <v>4467</v>
      </c>
      <c r="N265">
        <v>4.8125</v>
      </c>
      <c r="O265">
        <v>0.20779220779220781</v>
      </c>
      <c r="T265">
        <v>1.4545454545454546</v>
      </c>
      <c r="U265">
        <v>239.96</v>
      </c>
      <c r="V265">
        <v>7</v>
      </c>
    </row>
    <row r="266" spans="1:22" x14ac:dyDescent="0.2">
      <c r="A266" t="s">
        <v>4593</v>
      </c>
      <c r="B266" t="s">
        <v>4594</v>
      </c>
      <c r="C266" t="s">
        <v>4463</v>
      </c>
      <c r="D266" t="s">
        <v>96</v>
      </c>
      <c r="E266">
        <v>14.99</v>
      </c>
      <c r="F266" t="s">
        <v>8118</v>
      </c>
      <c r="L266" t="s">
        <v>11</v>
      </c>
      <c r="M266" t="s">
        <v>4595</v>
      </c>
      <c r="N266">
        <v>0</v>
      </c>
      <c r="O266">
        <v>0</v>
      </c>
      <c r="T266">
        <v>0</v>
      </c>
      <c r="U266">
        <v>0</v>
      </c>
      <c r="V266">
        <v>0</v>
      </c>
    </row>
    <row r="267" spans="1:22" x14ac:dyDescent="0.2">
      <c r="A267" t="s">
        <v>4540</v>
      </c>
      <c r="B267" t="s">
        <v>4541</v>
      </c>
      <c r="C267" t="s">
        <v>4463</v>
      </c>
      <c r="D267" t="s">
        <v>290</v>
      </c>
      <c r="E267">
        <v>19.989999999999998</v>
      </c>
      <c r="F267" t="s">
        <v>8118</v>
      </c>
      <c r="G267">
        <v>15</v>
      </c>
      <c r="I267">
        <v>15</v>
      </c>
      <c r="L267" t="s">
        <v>14</v>
      </c>
      <c r="M267" t="s">
        <v>97</v>
      </c>
      <c r="N267">
        <v>96</v>
      </c>
      <c r="O267">
        <v>1.0416666666666666E-2</v>
      </c>
      <c r="T267">
        <v>0.33333333333333331</v>
      </c>
      <c r="U267">
        <v>0</v>
      </c>
      <c r="V267">
        <v>32</v>
      </c>
    </row>
    <row r="268" spans="1:22" x14ac:dyDescent="0.2">
      <c r="A268" t="s">
        <v>4480</v>
      </c>
      <c r="B268" t="s">
        <v>4481</v>
      </c>
      <c r="C268" t="s">
        <v>4463</v>
      </c>
      <c r="D268" t="s">
        <v>96</v>
      </c>
      <c r="E268">
        <v>44.99</v>
      </c>
      <c r="F268" t="s">
        <v>8118</v>
      </c>
      <c r="L268" t="s">
        <v>14</v>
      </c>
      <c r="M268" t="s">
        <v>97</v>
      </c>
      <c r="N268">
        <v>30</v>
      </c>
      <c r="O268">
        <v>3.3333333333333333E-2</v>
      </c>
      <c r="T268">
        <v>0.16666666666666666</v>
      </c>
      <c r="U268">
        <v>0</v>
      </c>
      <c r="V268">
        <v>5</v>
      </c>
    </row>
    <row r="269" spans="1:22" x14ac:dyDescent="0.2">
      <c r="A269" t="s">
        <v>4501</v>
      </c>
      <c r="B269" t="s">
        <v>4502</v>
      </c>
      <c r="C269" t="s">
        <v>4463</v>
      </c>
      <c r="D269" t="s">
        <v>96</v>
      </c>
      <c r="E269">
        <v>19.989999999999998</v>
      </c>
      <c r="F269" t="s">
        <v>8118</v>
      </c>
      <c r="L269" t="s">
        <v>14</v>
      </c>
      <c r="M269" t="s">
        <v>97</v>
      </c>
      <c r="N269">
        <v>37.199999999999996</v>
      </c>
      <c r="O269">
        <v>2.6881720430107527E-2</v>
      </c>
      <c r="T269">
        <v>4.166666666666667</v>
      </c>
      <c r="U269">
        <v>19.989999999999998</v>
      </c>
      <c r="V269">
        <v>155</v>
      </c>
    </row>
    <row r="270" spans="1:22" x14ac:dyDescent="0.2">
      <c r="A270" t="s">
        <v>4504</v>
      </c>
      <c r="B270" t="s">
        <v>4505</v>
      </c>
      <c r="C270" t="s">
        <v>4463</v>
      </c>
      <c r="D270" t="s">
        <v>96</v>
      </c>
      <c r="E270">
        <v>19.989999999999998</v>
      </c>
      <c r="F270" t="s">
        <v>8118</v>
      </c>
      <c r="L270" t="s">
        <v>14</v>
      </c>
      <c r="M270" t="s">
        <v>97</v>
      </c>
      <c r="N270">
        <v>41.333333333333336</v>
      </c>
      <c r="O270">
        <v>2.4193548387096774E-2</v>
      </c>
      <c r="T270">
        <v>1.5</v>
      </c>
      <c r="U270">
        <v>0</v>
      </c>
      <c r="V270">
        <v>62</v>
      </c>
    </row>
    <row r="271" spans="1:22" x14ac:dyDescent="0.2">
      <c r="A271" t="s">
        <v>4472</v>
      </c>
      <c r="B271" t="s">
        <v>4473</v>
      </c>
      <c r="C271" t="s">
        <v>4463</v>
      </c>
      <c r="D271" t="s">
        <v>290</v>
      </c>
      <c r="E271">
        <v>44.99</v>
      </c>
      <c r="F271" t="s">
        <v>8118</v>
      </c>
      <c r="G271">
        <v>2</v>
      </c>
      <c r="H271">
        <v>2</v>
      </c>
      <c r="L271" t="s">
        <v>14</v>
      </c>
      <c r="M271" t="s">
        <v>97</v>
      </c>
      <c r="N271">
        <v>6</v>
      </c>
      <c r="O271">
        <v>0.16666666666666666</v>
      </c>
      <c r="T271">
        <v>0.16666666666666666</v>
      </c>
      <c r="U271">
        <v>0</v>
      </c>
      <c r="V271">
        <v>1</v>
      </c>
    </row>
    <row r="272" spans="1:22" x14ac:dyDescent="0.2">
      <c r="A272" t="s">
        <v>4476</v>
      </c>
      <c r="B272" t="s">
        <v>4477</v>
      </c>
      <c r="C272" t="s">
        <v>4463</v>
      </c>
      <c r="D272" t="s">
        <v>290</v>
      </c>
      <c r="E272">
        <v>39.99</v>
      </c>
      <c r="F272" t="s">
        <v>8118</v>
      </c>
      <c r="G272">
        <v>19</v>
      </c>
      <c r="I272">
        <v>19</v>
      </c>
      <c r="L272" t="s">
        <v>14</v>
      </c>
      <c r="M272" t="s">
        <v>97</v>
      </c>
      <c r="N272">
        <v>0</v>
      </c>
      <c r="O272">
        <v>0</v>
      </c>
      <c r="U272">
        <v>0</v>
      </c>
      <c r="V272">
        <v>0</v>
      </c>
    </row>
    <row r="273" spans="1:22" x14ac:dyDescent="0.2">
      <c r="A273" t="s">
        <v>4468</v>
      </c>
      <c r="B273" t="s">
        <v>4469</v>
      </c>
      <c r="C273" t="s">
        <v>4463</v>
      </c>
      <c r="D273" t="s">
        <v>290</v>
      </c>
      <c r="E273">
        <v>39.99</v>
      </c>
      <c r="F273" t="s">
        <v>8118</v>
      </c>
      <c r="G273">
        <v>11</v>
      </c>
      <c r="I273">
        <v>11</v>
      </c>
      <c r="L273" t="s">
        <v>14</v>
      </c>
      <c r="M273" t="s">
        <v>97</v>
      </c>
      <c r="N273">
        <v>0</v>
      </c>
      <c r="O273">
        <v>0</v>
      </c>
      <c r="U273">
        <v>0</v>
      </c>
      <c r="V273">
        <v>0</v>
      </c>
    </row>
    <row r="274" spans="1:22" x14ac:dyDescent="0.2">
      <c r="A274" t="s">
        <v>4507</v>
      </c>
      <c r="B274" t="s">
        <v>4508</v>
      </c>
      <c r="C274" t="s">
        <v>4463</v>
      </c>
      <c r="D274" t="s">
        <v>96</v>
      </c>
      <c r="E274">
        <v>19.989999999999998</v>
      </c>
      <c r="F274" t="s">
        <v>8118</v>
      </c>
      <c r="L274" t="s">
        <v>14</v>
      </c>
      <c r="M274" t="s">
        <v>97</v>
      </c>
      <c r="N274">
        <v>30.545454545454547</v>
      </c>
      <c r="O274">
        <v>3.2738095238095233E-2</v>
      </c>
      <c r="T274">
        <v>4.583333333333333</v>
      </c>
      <c r="U274">
        <v>59.97</v>
      </c>
      <c r="V274">
        <v>140</v>
      </c>
    </row>
    <row r="275" spans="1:22" x14ac:dyDescent="0.2">
      <c r="A275" t="s">
        <v>4528</v>
      </c>
      <c r="B275" t="s">
        <v>4529</v>
      </c>
      <c r="C275" t="s">
        <v>4463</v>
      </c>
      <c r="D275" t="s">
        <v>290</v>
      </c>
      <c r="E275">
        <v>19.989999999999998</v>
      </c>
      <c r="F275" t="s">
        <v>8118</v>
      </c>
      <c r="G275">
        <v>63</v>
      </c>
      <c r="H275">
        <v>4</v>
      </c>
      <c r="I275">
        <v>59</v>
      </c>
      <c r="L275" t="s">
        <v>14</v>
      </c>
      <c r="M275" t="s">
        <v>97</v>
      </c>
      <c r="N275">
        <v>51.5</v>
      </c>
      <c r="O275">
        <v>1.9417475728155338E-2</v>
      </c>
      <c r="T275">
        <v>4</v>
      </c>
      <c r="U275">
        <v>59.97</v>
      </c>
      <c r="V275">
        <v>206</v>
      </c>
    </row>
    <row r="276" spans="1:22" x14ac:dyDescent="0.2">
      <c r="A276" t="s">
        <v>4517</v>
      </c>
      <c r="B276" t="s">
        <v>4518</v>
      </c>
      <c r="C276" t="s">
        <v>4463</v>
      </c>
      <c r="D276" t="s">
        <v>96</v>
      </c>
      <c r="E276">
        <v>17.989999999999998</v>
      </c>
      <c r="F276" t="s">
        <v>8118</v>
      </c>
      <c r="L276" t="s">
        <v>14</v>
      </c>
      <c r="M276" t="s">
        <v>97</v>
      </c>
      <c r="N276">
        <v>68.470588235294116</v>
      </c>
      <c r="O276">
        <v>1.4604810996563574E-2</v>
      </c>
      <c r="T276">
        <v>2.8333333333333335</v>
      </c>
      <c r="U276">
        <v>17.989999999999998</v>
      </c>
      <c r="V276">
        <v>194</v>
      </c>
    </row>
    <row r="277" spans="1:22" x14ac:dyDescent="0.2">
      <c r="A277" t="s">
        <v>4524</v>
      </c>
      <c r="B277" t="s">
        <v>4525</v>
      </c>
      <c r="C277" t="s">
        <v>4463</v>
      </c>
      <c r="D277" t="s">
        <v>290</v>
      </c>
      <c r="E277">
        <v>17.989999999999998</v>
      </c>
      <c r="F277" t="s">
        <v>8118</v>
      </c>
      <c r="G277">
        <v>25</v>
      </c>
      <c r="H277">
        <v>2</v>
      </c>
      <c r="I277">
        <v>23</v>
      </c>
      <c r="L277" t="s">
        <v>14</v>
      </c>
      <c r="M277" t="s">
        <v>97</v>
      </c>
      <c r="N277">
        <v>68.470588235294116</v>
      </c>
      <c r="O277">
        <v>1.4604810996563574E-2</v>
      </c>
      <c r="T277">
        <v>2.8333333333333335</v>
      </c>
      <c r="U277">
        <v>53.97</v>
      </c>
      <c r="V277">
        <v>194</v>
      </c>
    </row>
    <row r="278" spans="1:22" x14ac:dyDescent="0.2">
      <c r="A278" t="s">
        <v>4536</v>
      </c>
      <c r="B278" t="s">
        <v>4537</v>
      </c>
      <c r="C278" t="s">
        <v>4463</v>
      </c>
      <c r="D278" t="s">
        <v>290</v>
      </c>
      <c r="E278">
        <v>19.989999999999998</v>
      </c>
      <c r="F278" t="s">
        <v>8118</v>
      </c>
      <c r="G278">
        <v>19</v>
      </c>
      <c r="I278">
        <v>19</v>
      </c>
      <c r="L278" t="s">
        <v>14</v>
      </c>
      <c r="M278" t="s">
        <v>97</v>
      </c>
      <c r="N278">
        <v>140</v>
      </c>
      <c r="O278">
        <v>7.1428571428571426E-3</v>
      </c>
      <c r="T278">
        <v>0.25</v>
      </c>
      <c r="U278">
        <v>19.989999999999998</v>
      </c>
      <c r="V278">
        <v>35</v>
      </c>
    </row>
    <row r="279" spans="1:22" x14ac:dyDescent="0.2">
      <c r="A279" t="s">
        <v>4585</v>
      </c>
      <c r="B279" t="s">
        <v>4586</v>
      </c>
      <c r="C279" t="s">
        <v>4463</v>
      </c>
      <c r="D279" t="s">
        <v>290</v>
      </c>
      <c r="E279">
        <v>19.989999999999998</v>
      </c>
      <c r="F279" t="s">
        <v>8118</v>
      </c>
      <c r="G279">
        <v>45</v>
      </c>
      <c r="H279">
        <v>12</v>
      </c>
      <c r="I279">
        <v>33</v>
      </c>
      <c r="L279" t="s">
        <v>14</v>
      </c>
      <c r="M279" t="s">
        <v>97</v>
      </c>
      <c r="N279">
        <v>0</v>
      </c>
      <c r="O279">
        <v>0</v>
      </c>
      <c r="T279">
        <v>0</v>
      </c>
      <c r="U279">
        <v>0</v>
      </c>
      <c r="V279">
        <v>23</v>
      </c>
    </row>
    <row r="280" spans="1:22" x14ac:dyDescent="0.2">
      <c r="A280" t="s">
        <v>5331</v>
      </c>
      <c r="B280" t="s">
        <v>5332</v>
      </c>
      <c r="C280" t="s">
        <v>4463</v>
      </c>
      <c r="D280" t="s">
        <v>96</v>
      </c>
      <c r="E280">
        <v>19.989999999999998</v>
      </c>
      <c r="F280" t="s">
        <v>8118</v>
      </c>
      <c r="L280" t="s">
        <v>14</v>
      </c>
      <c r="M280" t="s">
        <v>97</v>
      </c>
      <c r="N280">
        <v>240</v>
      </c>
      <c r="O280">
        <v>4.1666666666666666E-3</v>
      </c>
      <c r="T280">
        <v>8.3333333333333329E-2</v>
      </c>
      <c r="U280">
        <v>0</v>
      </c>
      <c r="V280">
        <v>20</v>
      </c>
    </row>
    <row r="281" spans="1:22" x14ac:dyDescent="0.2">
      <c r="A281" t="s">
        <v>5327</v>
      </c>
      <c r="B281" t="s">
        <v>5328</v>
      </c>
      <c r="C281" t="s">
        <v>4463</v>
      </c>
      <c r="D281" t="s">
        <v>290</v>
      </c>
      <c r="E281">
        <v>19.989999999999998</v>
      </c>
      <c r="F281" t="s">
        <v>8118</v>
      </c>
      <c r="G281">
        <v>88</v>
      </c>
      <c r="I281">
        <v>88</v>
      </c>
      <c r="L281" t="s">
        <v>14</v>
      </c>
      <c r="M281" t="s">
        <v>97</v>
      </c>
      <c r="N281">
        <v>120</v>
      </c>
      <c r="O281">
        <v>8.3333333333333332E-3</v>
      </c>
      <c r="T281">
        <v>8.3333333333333329E-2</v>
      </c>
      <c r="U281">
        <v>0</v>
      </c>
      <c r="V281">
        <v>10</v>
      </c>
    </row>
    <row r="282" spans="1:22" x14ac:dyDescent="0.2">
      <c r="A282" t="s">
        <v>5766</v>
      </c>
      <c r="B282" t="s">
        <v>5767</v>
      </c>
      <c r="C282" t="s">
        <v>4463</v>
      </c>
      <c r="D282" t="s">
        <v>290</v>
      </c>
      <c r="E282">
        <v>34.99</v>
      </c>
      <c r="F282" t="s">
        <v>8118</v>
      </c>
      <c r="G282">
        <v>7</v>
      </c>
      <c r="I282">
        <v>7</v>
      </c>
      <c r="L282" t="s">
        <v>14</v>
      </c>
      <c r="M282" t="s">
        <v>97</v>
      </c>
      <c r="N282">
        <v>0</v>
      </c>
      <c r="O282">
        <v>0</v>
      </c>
      <c r="T282">
        <v>0</v>
      </c>
      <c r="U282">
        <v>0</v>
      </c>
      <c r="V282">
        <v>16</v>
      </c>
    </row>
    <row r="283" spans="1:22" x14ac:dyDescent="0.2">
      <c r="A283" t="s">
        <v>4532</v>
      </c>
      <c r="B283" t="s">
        <v>4533</v>
      </c>
      <c r="C283" t="s">
        <v>4463</v>
      </c>
      <c r="D283" t="s">
        <v>290</v>
      </c>
      <c r="E283">
        <v>19.989999999999998</v>
      </c>
      <c r="F283" t="s">
        <v>8118</v>
      </c>
      <c r="G283">
        <v>48</v>
      </c>
      <c r="I283">
        <v>48</v>
      </c>
      <c r="L283" t="s">
        <v>14</v>
      </c>
      <c r="M283" t="s">
        <v>97</v>
      </c>
      <c r="N283">
        <v>57.473684210526315</v>
      </c>
      <c r="O283">
        <v>1.73992673992674E-2</v>
      </c>
      <c r="T283">
        <v>3.1666666666666665</v>
      </c>
      <c r="U283">
        <v>79.959999999999994</v>
      </c>
      <c r="V283">
        <v>182</v>
      </c>
    </row>
    <row r="284" spans="1:22" x14ac:dyDescent="0.2">
      <c r="A284" t="s">
        <v>4585</v>
      </c>
      <c r="B284" t="s">
        <v>4586</v>
      </c>
      <c r="C284" t="s">
        <v>4463</v>
      </c>
      <c r="D284" t="s">
        <v>290</v>
      </c>
      <c r="E284">
        <v>19.989999999999998</v>
      </c>
      <c r="F284" t="s">
        <v>8118</v>
      </c>
      <c r="G284">
        <v>45</v>
      </c>
      <c r="H284">
        <v>12</v>
      </c>
      <c r="I284">
        <v>33</v>
      </c>
      <c r="L284" t="s">
        <v>7032</v>
      </c>
      <c r="M284" t="s">
        <v>97</v>
      </c>
      <c r="N284">
        <v>0</v>
      </c>
      <c r="O284">
        <v>0</v>
      </c>
      <c r="T284">
        <v>0</v>
      </c>
      <c r="U284">
        <v>0</v>
      </c>
      <c r="V284">
        <v>1</v>
      </c>
    </row>
    <row r="285" spans="1:22" x14ac:dyDescent="0.2">
      <c r="A285" t="s">
        <v>5207</v>
      </c>
      <c r="B285" t="s">
        <v>5208</v>
      </c>
      <c r="C285" t="s">
        <v>4463</v>
      </c>
      <c r="D285" t="s">
        <v>96</v>
      </c>
      <c r="E285">
        <v>9.99</v>
      </c>
      <c r="F285" t="s">
        <v>8118</v>
      </c>
      <c r="L285" t="s">
        <v>7032</v>
      </c>
      <c r="M285" t="s">
        <v>97</v>
      </c>
      <c r="N285">
        <v>0</v>
      </c>
      <c r="O285">
        <v>0</v>
      </c>
      <c r="T285">
        <v>0</v>
      </c>
      <c r="U285">
        <v>0</v>
      </c>
      <c r="V285">
        <v>0</v>
      </c>
    </row>
    <row r="286" spans="1:22" x14ac:dyDescent="0.2">
      <c r="A286" t="s">
        <v>5203</v>
      </c>
      <c r="B286" t="s">
        <v>5204</v>
      </c>
      <c r="C286" t="s">
        <v>4463</v>
      </c>
      <c r="D286" t="s">
        <v>96</v>
      </c>
      <c r="E286">
        <v>37.99</v>
      </c>
      <c r="F286" t="s">
        <v>8118</v>
      </c>
      <c r="L286" t="s">
        <v>7032</v>
      </c>
      <c r="M286" t="s">
        <v>97</v>
      </c>
      <c r="N286">
        <v>0</v>
      </c>
      <c r="O286">
        <v>0</v>
      </c>
      <c r="T286">
        <v>0</v>
      </c>
      <c r="U286">
        <v>0</v>
      </c>
      <c r="V286">
        <v>0</v>
      </c>
    </row>
    <row r="287" spans="1:22" x14ac:dyDescent="0.2">
      <c r="A287" t="s">
        <v>5783</v>
      </c>
      <c r="B287" t="s">
        <v>5784</v>
      </c>
      <c r="C287" t="s">
        <v>4463</v>
      </c>
      <c r="D287" t="s">
        <v>96</v>
      </c>
      <c r="E287">
        <v>14.99</v>
      </c>
      <c r="F287" t="s">
        <v>8118</v>
      </c>
      <c r="L287" t="s">
        <v>7032</v>
      </c>
      <c r="M287" t="s">
        <v>97</v>
      </c>
      <c r="N287">
        <v>0</v>
      </c>
      <c r="O287">
        <v>0</v>
      </c>
      <c r="T287">
        <v>0</v>
      </c>
      <c r="U287">
        <v>0</v>
      </c>
      <c r="V287">
        <v>0</v>
      </c>
    </row>
    <row r="288" spans="1:22" x14ac:dyDescent="0.2">
      <c r="A288" t="s">
        <v>5918</v>
      </c>
      <c r="B288" t="s">
        <v>5919</v>
      </c>
      <c r="C288" t="s">
        <v>4463</v>
      </c>
      <c r="D288" t="s">
        <v>96</v>
      </c>
      <c r="E288">
        <v>16.989999999999998</v>
      </c>
      <c r="F288" t="s">
        <v>8118</v>
      </c>
      <c r="L288" t="s">
        <v>7032</v>
      </c>
      <c r="M288" t="s">
        <v>97</v>
      </c>
      <c r="N288">
        <v>0</v>
      </c>
      <c r="O288">
        <v>0</v>
      </c>
      <c r="T288">
        <v>0</v>
      </c>
      <c r="U288">
        <v>0</v>
      </c>
      <c r="V288">
        <v>0</v>
      </c>
    </row>
    <row r="289" spans="1:22" x14ac:dyDescent="0.2">
      <c r="A289" t="s">
        <v>5867</v>
      </c>
      <c r="B289" t="s">
        <v>5868</v>
      </c>
      <c r="C289" t="s">
        <v>4463</v>
      </c>
      <c r="D289" t="s">
        <v>290</v>
      </c>
      <c r="E289">
        <v>44.99</v>
      </c>
      <c r="F289" t="s">
        <v>8118</v>
      </c>
      <c r="G289">
        <v>12</v>
      </c>
      <c r="I289">
        <v>12</v>
      </c>
      <c r="L289" t="s">
        <v>7032</v>
      </c>
      <c r="M289" t="s">
        <v>97</v>
      </c>
      <c r="N289">
        <v>0</v>
      </c>
      <c r="O289">
        <v>0</v>
      </c>
      <c r="T289">
        <v>0</v>
      </c>
      <c r="U289">
        <v>0</v>
      </c>
      <c r="V289">
        <v>4</v>
      </c>
    </row>
    <row r="290" spans="1:22" x14ac:dyDescent="0.2">
      <c r="A290" t="s">
        <v>5833</v>
      </c>
      <c r="B290" t="s">
        <v>5834</v>
      </c>
      <c r="C290" t="s">
        <v>4463</v>
      </c>
      <c r="D290" t="s">
        <v>96</v>
      </c>
      <c r="E290">
        <v>149.99</v>
      </c>
      <c r="F290" t="s">
        <v>8118</v>
      </c>
      <c r="L290" t="s">
        <v>7032</v>
      </c>
      <c r="M290" t="s">
        <v>97</v>
      </c>
      <c r="N290">
        <v>0</v>
      </c>
      <c r="O290">
        <v>0</v>
      </c>
      <c r="T290">
        <v>0</v>
      </c>
      <c r="U290">
        <v>0</v>
      </c>
      <c r="V290">
        <v>0</v>
      </c>
    </row>
    <row r="291" spans="1:22" x14ac:dyDescent="0.2">
      <c r="A291" t="s">
        <v>4600</v>
      </c>
      <c r="B291" t="s">
        <v>4601</v>
      </c>
      <c r="C291" t="s">
        <v>4463</v>
      </c>
      <c r="D291" t="s">
        <v>96</v>
      </c>
      <c r="E291">
        <v>19.989999999999998</v>
      </c>
      <c r="F291" t="s">
        <v>8118</v>
      </c>
      <c r="L291" t="s">
        <v>7032</v>
      </c>
      <c r="M291" t="s">
        <v>97</v>
      </c>
      <c r="N291">
        <v>0</v>
      </c>
      <c r="O291">
        <v>0</v>
      </c>
      <c r="T291">
        <v>0</v>
      </c>
      <c r="U291">
        <v>0</v>
      </c>
      <c r="V291">
        <v>0</v>
      </c>
    </row>
    <row r="292" spans="1:22" x14ac:dyDescent="0.2">
      <c r="A292" t="s">
        <v>4536</v>
      </c>
      <c r="B292" t="s">
        <v>4537</v>
      </c>
      <c r="C292" t="s">
        <v>4463</v>
      </c>
      <c r="D292" t="s">
        <v>290</v>
      </c>
      <c r="E292">
        <v>19.989999999999998</v>
      </c>
      <c r="F292" t="s">
        <v>8118</v>
      </c>
      <c r="G292">
        <v>19</v>
      </c>
      <c r="I292">
        <v>19</v>
      </c>
      <c r="L292" t="s">
        <v>7032</v>
      </c>
      <c r="M292" t="s">
        <v>97</v>
      </c>
      <c r="N292">
        <v>0</v>
      </c>
      <c r="O292">
        <v>0</v>
      </c>
      <c r="T292">
        <v>0</v>
      </c>
      <c r="U292">
        <v>0</v>
      </c>
      <c r="V292">
        <v>3</v>
      </c>
    </row>
    <row r="293" spans="1:22" x14ac:dyDescent="0.2">
      <c r="A293" t="s">
        <v>5331</v>
      </c>
      <c r="B293" t="s">
        <v>5332</v>
      </c>
      <c r="C293" t="s">
        <v>4463</v>
      </c>
      <c r="D293" t="s">
        <v>96</v>
      </c>
      <c r="E293">
        <v>19.989999999999998</v>
      </c>
      <c r="F293" t="s">
        <v>8118</v>
      </c>
      <c r="L293" t="s">
        <v>7032</v>
      </c>
      <c r="M293" t="s">
        <v>97</v>
      </c>
      <c r="N293">
        <v>0</v>
      </c>
      <c r="O293">
        <v>0</v>
      </c>
      <c r="T293">
        <v>0</v>
      </c>
      <c r="U293">
        <v>0</v>
      </c>
      <c r="V293">
        <v>0</v>
      </c>
    </row>
    <row r="294" spans="1:22" x14ac:dyDescent="0.2">
      <c r="A294" t="s">
        <v>5769</v>
      </c>
      <c r="B294" t="s">
        <v>5770</v>
      </c>
      <c r="C294" t="s">
        <v>4463</v>
      </c>
      <c r="D294" t="s">
        <v>290</v>
      </c>
      <c r="E294">
        <v>34.99</v>
      </c>
      <c r="F294" t="s">
        <v>8118</v>
      </c>
      <c r="L294" t="s">
        <v>7032</v>
      </c>
      <c r="M294" t="s">
        <v>97</v>
      </c>
      <c r="N294">
        <v>0</v>
      </c>
      <c r="O294">
        <v>0</v>
      </c>
      <c r="T294">
        <v>0</v>
      </c>
      <c r="U294">
        <v>0</v>
      </c>
      <c r="V294">
        <v>0</v>
      </c>
    </row>
    <row r="295" spans="1:22" x14ac:dyDescent="0.2">
      <c r="A295" t="s">
        <v>5766</v>
      </c>
      <c r="B295" t="s">
        <v>5767</v>
      </c>
      <c r="C295" t="s">
        <v>4463</v>
      </c>
      <c r="D295" t="s">
        <v>290</v>
      </c>
      <c r="E295">
        <v>34.99</v>
      </c>
      <c r="F295" t="s">
        <v>8118</v>
      </c>
      <c r="G295">
        <v>7</v>
      </c>
      <c r="I295">
        <v>7</v>
      </c>
      <c r="L295" t="s">
        <v>7032</v>
      </c>
      <c r="M295" t="s">
        <v>97</v>
      </c>
      <c r="N295">
        <v>0</v>
      </c>
      <c r="O295">
        <v>0</v>
      </c>
      <c r="T295">
        <v>0</v>
      </c>
      <c r="U295">
        <v>0</v>
      </c>
      <c r="V295">
        <v>0</v>
      </c>
    </row>
    <row r="296" spans="1:22" x14ac:dyDescent="0.2">
      <c r="A296" t="s">
        <v>5780</v>
      </c>
      <c r="B296" t="s">
        <v>5781</v>
      </c>
      <c r="C296" t="s">
        <v>4463</v>
      </c>
      <c r="D296" t="s">
        <v>96</v>
      </c>
      <c r="E296">
        <v>19.989999999999998</v>
      </c>
      <c r="F296" t="s">
        <v>8118</v>
      </c>
      <c r="L296" t="s">
        <v>7032</v>
      </c>
      <c r="M296" t="s">
        <v>97</v>
      </c>
      <c r="N296">
        <v>0</v>
      </c>
      <c r="O296">
        <v>0</v>
      </c>
      <c r="T296">
        <v>0</v>
      </c>
      <c r="U296">
        <v>0</v>
      </c>
      <c r="V296">
        <v>0</v>
      </c>
    </row>
    <row r="297" spans="1:22" x14ac:dyDescent="0.2">
      <c r="A297" t="s">
        <v>5327</v>
      </c>
      <c r="B297" t="s">
        <v>5328</v>
      </c>
      <c r="C297" t="s">
        <v>4463</v>
      </c>
      <c r="D297" t="s">
        <v>290</v>
      </c>
      <c r="E297">
        <v>19.989999999999998</v>
      </c>
      <c r="F297" t="s">
        <v>8118</v>
      </c>
      <c r="G297">
        <v>88</v>
      </c>
      <c r="I297">
        <v>88</v>
      </c>
      <c r="L297" t="s">
        <v>7032</v>
      </c>
      <c r="M297" t="s">
        <v>97</v>
      </c>
      <c r="N297">
        <v>0</v>
      </c>
      <c r="O297">
        <v>0</v>
      </c>
      <c r="T297">
        <v>0</v>
      </c>
      <c r="U297">
        <v>0</v>
      </c>
      <c r="V297">
        <v>0</v>
      </c>
    </row>
    <row r="298" spans="1:22" x14ac:dyDescent="0.2">
      <c r="A298" t="s">
        <v>5777</v>
      </c>
      <c r="B298" t="s">
        <v>5778</v>
      </c>
      <c r="C298" t="s">
        <v>4463</v>
      </c>
      <c r="D298" t="s">
        <v>96</v>
      </c>
      <c r="E298">
        <v>19.989999999999998</v>
      </c>
      <c r="F298" t="s">
        <v>8118</v>
      </c>
      <c r="L298" t="s">
        <v>7032</v>
      </c>
      <c r="M298" t="s">
        <v>97</v>
      </c>
      <c r="N298">
        <v>0</v>
      </c>
      <c r="O298">
        <v>0</v>
      </c>
      <c r="T298">
        <v>0</v>
      </c>
      <c r="U298">
        <v>0</v>
      </c>
      <c r="V298">
        <v>0</v>
      </c>
    </row>
    <row r="299" spans="1:22" x14ac:dyDescent="0.2">
      <c r="A299" t="s">
        <v>5719</v>
      </c>
      <c r="B299" t="s">
        <v>5720</v>
      </c>
      <c r="C299" t="s">
        <v>4463</v>
      </c>
      <c r="D299" t="s">
        <v>96</v>
      </c>
      <c r="E299">
        <v>59.99</v>
      </c>
      <c r="F299" t="s">
        <v>8118</v>
      </c>
      <c r="L299" t="s">
        <v>7032</v>
      </c>
      <c r="M299" t="s">
        <v>97</v>
      </c>
      <c r="N299">
        <v>0</v>
      </c>
      <c r="O299">
        <v>0</v>
      </c>
      <c r="T299">
        <v>0</v>
      </c>
      <c r="U299">
        <v>0</v>
      </c>
      <c r="V299">
        <v>0</v>
      </c>
    </row>
    <row r="300" spans="1:22" x14ac:dyDescent="0.2">
      <c r="A300" t="s">
        <v>4468</v>
      </c>
      <c r="B300" t="s">
        <v>4469</v>
      </c>
      <c r="C300" t="s">
        <v>4463</v>
      </c>
      <c r="D300" t="s">
        <v>290</v>
      </c>
      <c r="E300">
        <v>39.99</v>
      </c>
      <c r="F300" t="s">
        <v>8118</v>
      </c>
      <c r="G300">
        <v>11</v>
      </c>
      <c r="I300">
        <v>11</v>
      </c>
      <c r="L300" t="s">
        <v>7032</v>
      </c>
      <c r="M300" t="s">
        <v>97</v>
      </c>
      <c r="N300">
        <v>14</v>
      </c>
      <c r="O300">
        <v>7.1428571428571425E-2</v>
      </c>
      <c r="T300">
        <v>0.5</v>
      </c>
      <c r="U300">
        <v>0</v>
      </c>
      <c r="V300">
        <v>7</v>
      </c>
    </row>
    <row r="301" spans="1:22" x14ac:dyDescent="0.2">
      <c r="A301" t="s">
        <v>4501</v>
      </c>
      <c r="B301" t="s">
        <v>4502</v>
      </c>
      <c r="C301" t="s">
        <v>4463</v>
      </c>
      <c r="D301" t="s">
        <v>96</v>
      </c>
      <c r="E301">
        <v>19.989999999999998</v>
      </c>
      <c r="F301" t="s">
        <v>8118</v>
      </c>
      <c r="L301" t="s">
        <v>7032</v>
      </c>
      <c r="M301" t="s">
        <v>97</v>
      </c>
      <c r="N301">
        <v>0</v>
      </c>
      <c r="O301">
        <v>0</v>
      </c>
      <c r="T301">
        <v>0</v>
      </c>
      <c r="U301">
        <v>0</v>
      </c>
      <c r="V301">
        <v>2</v>
      </c>
    </row>
    <row r="302" spans="1:22" x14ac:dyDescent="0.2">
      <c r="A302" t="s">
        <v>4465</v>
      </c>
      <c r="B302" t="s">
        <v>4466</v>
      </c>
      <c r="C302" t="s">
        <v>4463</v>
      </c>
      <c r="D302" t="s">
        <v>96</v>
      </c>
      <c r="E302">
        <v>59.99</v>
      </c>
      <c r="F302" t="s">
        <v>8118</v>
      </c>
      <c r="L302" t="s">
        <v>7032</v>
      </c>
      <c r="M302" t="s">
        <v>97</v>
      </c>
      <c r="N302">
        <v>4.5</v>
      </c>
      <c r="O302">
        <v>0.22222222222222221</v>
      </c>
      <c r="T302">
        <v>0.66666666666666663</v>
      </c>
      <c r="U302">
        <v>0</v>
      </c>
      <c r="V302">
        <v>3</v>
      </c>
    </row>
    <row r="303" spans="1:22" x14ac:dyDescent="0.2">
      <c r="A303" t="s">
        <v>4461</v>
      </c>
      <c r="B303" t="s">
        <v>4462</v>
      </c>
      <c r="C303" t="s">
        <v>4463</v>
      </c>
      <c r="D303" t="s">
        <v>290</v>
      </c>
      <c r="E303">
        <v>59.99</v>
      </c>
      <c r="F303" t="s">
        <v>8118</v>
      </c>
      <c r="G303">
        <v>3</v>
      </c>
      <c r="H303">
        <v>3</v>
      </c>
      <c r="L303" t="s">
        <v>7032</v>
      </c>
      <c r="M303" t="s">
        <v>97</v>
      </c>
      <c r="N303">
        <v>0</v>
      </c>
      <c r="O303">
        <v>0</v>
      </c>
      <c r="T303">
        <v>0.2</v>
      </c>
      <c r="U303">
        <v>0</v>
      </c>
      <c r="V303">
        <v>0</v>
      </c>
    </row>
    <row r="304" spans="1:22" x14ac:dyDescent="0.2">
      <c r="A304" t="s">
        <v>4476</v>
      </c>
      <c r="B304" t="s">
        <v>4477</v>
      </c>
      <c r="C304" t="s">
        <v>4463</v>
      </c>
      <c r="D304" t="s">
        <v>290</v>
      </c>
      <c r="E304">
        <v>39.99</v>
      </c>
      <c r="F304" t="s">
        <v>8118</v>
      </c>
      <c r="G304">
        <v>19</v>
      </c>
      <c r="I304">
        <v>19</v>
      </c>
      <c r="L304" t="s">
        <v>7032</v>
      </c>
      <c r="M304" t="s">
        <v>97</v>
      </c>
      <c r="N304">
        <v>0</v>
      </c>
      <c r="O304">
        <v>0</v>
      </c>
      <c r="T304">
        <v>0</v>
      </c>
      <c r="U304">
        <v>0</v>
      </c>
      <c r="V304">
        <v>2</v>
      </c>
    </row>
    <row r="305" spans="1:22" x14ac:dyDescent="0.2">
      <c r="A305" t="s">
        <v>4494</v>
      </c>
      <c r="B305" t="s">
        <v>4495</v>
      </c>
      <c r="C305" t="s">
        <v>4463</v>
      </c>
      <c r="D305" t="s">
        <v>290</v>
      </c>
      <c r="E305">
        <v>19.989999999999998</v>
      </c>
      <c r="F305" t="s">
        <v>8118</v>
      </c>
      <c r="G305">
        <v>33</v>
      </c>
      <c r="I305">
        <v>33</v>
      </c>
      <c r="L305" t="s">
        <v>7032</v>
      </c>
      <c r="M305" t="s">
        <v>97</v>
      </c>
      <c r="N305">
        <v>0</v>
      </c>
      <c r="O305">
        <v>0</v>
      </c>
      <c r="T305">
        <v>0</v>
      </c>
      <c r="U305">
        <v>0</v>
      </c>
      <c r="V305">
        <v>5</v>
      </c>
    </row>
    <row r="306" spans="1:22" x14ac:dyDescent="0.2">
      <c r="A306" t="s">
        <v>4528</v>
      </c>
      <c r="B306" t="s">
        <v>4529</v>
      </c>
      <c r="C306" t="s">
        <v>4463</v>
      </c>
      <c r="D306" t="s">
        <v>290</v>
      </c>
      <c r="E306">
        <v>19.989999999999998</v>
      </c>
      <c r="F306" t="s">
        <v>8118</v>
      </c>
      <c r="G306">
        <v>63</v>
      </c>
      <c r="H306">
        <v>4</v>
      </c>
      <c r="I306">
        <v>59</v>
      </c>
      <c r="L306" t="s">
        <v>7032</v>
      </c>
      <c r="M306" t="s">
        <v>97</v>
      </c>
      <c r="N306">
        <v>0</v>
      </c>
      <c r="O306">
        <v>0</v>
      </c>
      <c r="T306">
        <v>0</v>
      </c>
      <c r="U306">
        <v>0</v>
      </c>
      <c r="V306">
        <v>3</v>
      </c>
    </row>
    <row r="307" spans="1:22" x14ac:dyDescent="0.2">
      <c r="A307" t="s">
        <v>4514</v>
      </c>
      <c r="B307" t="s">
        <v>4515</v>
      </c>
      <c r="C307" t="s">
        <v>4463</v>
      </c>
      <c r="D307" t="s">
        <v>96</v>
      </c>
      <c r="E307">
        <v>19.989999999999998</v>
      </c>
      <c r="F307" t="s">
        <v>8118</v>
      </c>
      <c r="L307" t="s">
        <v>7032</v>
      </c>
      <c r="M307" t="s">
        <v>97</v>
      </c>
      <c r="N307">
        <v>0</v>
      </c>
      <c r="O307">
        <v>0</v>
      </c>
      <c r="T307">
        <v>0</v>
      </c>
      <c r="U307">
        <v>0</v>
      </c>
      <c r="V307">
        <v>18</v>
      </c>
    </row>
    <row r="308" spans="1:22" x14ac:dyDescent="0.2">
      <c r="A308" t="s">
        <v>4504</v>
      </c>
      <c r="B308" t="s">
        <v>4505</v>
      </c>
      <c r="C308" t="s">
        <v>4463</v>
      </c>
      <c r="D308" t="s">
        <v>96</v>
      </c>
      <c r="E308">
        <v>19.989999999999998</v>
      </c>
      <c r="F308" t="s">
        <v>8118</v>
      </c>
      <c r="L308" t="s">
        <v>7032</v>
      </c>
      <c r="M308" t="s">
        <v>97</v>
      </c>
      <c r="N308">
        <v>0</v>
      </c>
      <c r="O308">
        <v>0</v>
      </c>
      <c r="T308">
        <v>0</v>
      </c>
      <c r="U308">
        <v>0</v>
      </c>
      <c r="V308">
        <v>10</v>
      </c>
    </row>
    <row r="309" spans="1:22" x14ac:dyDescent="0.2">
      <c r="A309" t="s">
        <v>4507</v>
      </c>
      <c r="B309" t="s">
        <v>4508</v>
      </c>
      <c r="C309" t="s">
        <v>4463</v>
      </c>
      <c r="D309" t="s">
        <v>96</v>
      </c>
      <c r="E309">
        <v>19.989999999999998</v>
      </c>
      <c r="F309" t="s">
        <v>8118</v>
      </c>
      <c r="L309" t="s">
        <v>7032</v>
      </c>
      <c r="M309" t="s">
        <v>97</v>
      </c>
      <c r="N309">
        <v>0</v>
      </c>
      <c r="O309">
        <v>0</v>
      </c>
      <c r="T309">
        <v>0</v>
      </c>
      <c r="U309">
        <v>0</v>
      </c>
      <c r="V309">
        <v>2</v>
      </c>
    </row>
    <row r="310" spans="1:22" x14ac:dyDescent="0.2">
      <c r="A310" t="s">
        <v>4511</v>
      </c>
      <c r="B310" t="s">
        <v>4512</v>
      </c>
      <c r="C310" t="s">
        <v>4463</v>
      </c>
      <c r="D310" t="s">
        <v>96</v>
      </c>
      <c r="E310">
        <v>19.989999999999998</v>
      </c>
      <c r="F310" t="s">
        <v>8118</v>
      </c>
      <c r="L310" t="s">
        <v>7032</v>
      </c>
      <c r="M310" t="s">
        <v>97</v>
      </c>
      <c r="N310">
        <v>0</v>
      </c>
      <c r="O310">
        <v>0</v>
      </c>
      <c r="T310">
        <v>0</v>
      </c>
      <c r="U310">
        <v>0</v>
      </c>
      <c r="V310">
        <v>7</v>
      </c>
    </row>
    <row r="311" spans="1:22" x14ac:dyDescent="0.2">
      <c r="A311" t="s">
        <v>4524</v>
      </c>
      <c r="B311" t="s">
        <v>4525</v>
      </c>
      <c r="C311" t="s">
        <v>4463</v>
      </c>
      <c r="D311" t="s">
        <v>290</v>
      </c>
      <c r="E311">
        <v>17.989999999999998</v>
      </c>
      <c r="F311" t="s">
        <v>8118</v>
      </c>
      <c r="G311">
        <v>25</v>
      </c>
      <c r="H311">
        <v>2</v>
      </c>
      <c r="I311">
        <v>23</v>
      </c>
      <c r="L311" t="s">
        <v>7032</v>
      </c>
      <c r="M311" t="s">
        <v>97</v>
      </c>
      <c r="N311">
        <v>0</v>
      </c>
      <c r="O311">
        <v>0</v>
      </c>
      <c r="T311">
        <v>0</v>
      </c>
      <c r="U311">
        <v>0</v>
      </c>
      <c r="V311">
        <v>18</v>
      </c>
    </row>
    <row r="312" spans="1:22" x14ac:dyDescent="0.2">
      <c r="A312" t="s">
        <v>4520</v>
      </c>
      <c r="B312" t="s">
        <v>4521</v>
      </c>
      <c r="C312" t="s">
        <v>4463</v>
      </c>
      <c r="D312" t="s">
        <v>290</v>
      </c>
      <c r="E312">
        <v>17.989999999999998</v>
      </c>
      <c r="F312" t="s">
        <v>8118</v>
      </c>
      <c r="G312">
        <v>75</v>
      </c>
      <c r="I312">
        <v>75</v>
      </c>
      <c r="L312" t="s">
        <v>7032</v>
      </c>
      <c r="M312" t="s">
        <v>97</v>
      </c>
      <c r="N312">
        <v>0</v>
      </c>
      <c r="O312">
        <v>0</v>
      </c>
      <c r="T312">
        <v>0</v>
      </c>
      <c r="U312">
        <v>0</v>
      </c>
      <c r="V312">
        <v>4</v>
      </c>
    </row>
    <row r="313" spans="1:22" x14ac:dyDescent="0.2">
      <c r="A313" t="s">
        <v>4517</v>
      </c>
      <c r="B313" t="s">
        <v>4518</v>
      </c>
      <c r="C313" t="s">
        <v>4463</v>
      </c>
      <c r="D313" t="s">
        <v>96</v>
      </c>
      <c r="E313">
        <v>17.989999999999998</v>
      </c>
      <c r="F313" t="s">
        <v>8118</v>
      </c>
      <c r="L313" t="s">
        <v>7032</v>
      </c>
      <c r="M313" t="s">
        <v>97</v>
      </c>
      <c r="N313">
        <v>0</v>
      </c>
      <c r="O313">
        <v>0</v>
      </c>
      <c r="T313">
        <v>0</v>
      </c>
      <c r="U313">
        <v>0</v>
      </c>
      <c r="V313">
        <v>4</v>
      </c>
    </row>
    <row r="314" spans="1:22" x14ac:dyDescent="0.2">
      <c r="A314" t="s">
        <v>4498</v>
      </c>
      <c r="B314" t="s">
        <v>4499</v>
      </c>
      <c r="C314" t="s">
        <v>4463</v>
      </c>
      <c r="D314" t="s">
        <v>290</v>
      </c>
      <c r="E314">
        <v>19.989999999999998</v>
      </c>
      <c r="F314" t="s">
        <v>8118</v>
      </c>
      <c r="G314">
        <v>5</v>
      </c>
      <c r="H314">
        <v>5</v>
      </c>
      <c r="L314" t="s">
        <v>7032</v>
      </c>
      <c r="M314" t="s">
        <v>97</v>
      </c>
      <c r="N314">
        <v>0</v>
      </c>
      <c r="O314">
        <v>0</v>
      </c>
      <c r="T314">
        <v>0</v>
      </c>
      <c r="U314">
        <v>0</v>
      </c>
      <c r="V314">
        <v>2</v>
      </c>
    </row>
    <row r="315" spans="1:22" x14ac:dyDescent="0.2">
      <c r="A315" t="s">
        <v>4488</v>
      </c>
      <c r="B315" t="s">
        <v>4489</v>
      </c>
      <c r="C315" t="s">
        <v>4463</v>
      </c>
      <c r="D315" t="s">
        <v>96</v>
      </c>
      <c r="E315">
        <v>19.989999999999998</v>
      </c>
      <c r="F315" t="s">
        <v>8118</v>
      </c>
      <c r="L315" t="s">
        <v>7032</v>
      </c>
      <c r="M315" t="s">
        <v>97</v>
      </c>
      <c r="N315">
        <v>0</v>
      </c>
      <c r="O315">
        <v>0</v>
      </c>
      <c r="T315">
        <v>0</v>
      </c>
      <c r="U315">
        <v>0</v>
      </c>
      <c r="V315">
        <v>0</v>
      </c>
    </row>
    <row r="316" spans="1:22" x14ac:dyDescent="0.2">
      <c r="A316" t="s">
        <v>4472</v>
      </c>
      <c r="B316" t="s">
        <v>4473</v>
      </c>
      <c r="C316" t="s">
        <v>4463</v>
      </c>
      <c r="D316" t="s">
        <v>290</v>
      </c>
      <c r="E316">
        <v>44.99</v>
      </c>
      <c r="F316" t="s">
        <v>8118</v>
      </c>
      <c r="G316">
        <v>2</v>
      </c>
      <c r="H316">
        <v>2</v>
      </c>
      <c r="L316" t="s">
        <v>7032</v>
      </c>
      <c r="M316" t="s">
        <v>97</v>
      </c>
      <c r="N316">
        <v>0</v>
      </c>
      <c r="O316">
        <v>0</v>
      </c>
      <c r="T316">
        <v>0</v>
      </c>
      <c r="U316">
        <v>0</v>
      </c>
      <c r="V316">
        <v>5</v>
      </c>
    </row>
    <row r="317" spans="1:22" x14ac:dyDescent="0.2">
      <c r="A317" t="s">
        <v>4480</v>
      </c>
      <c r="B317" t="s">
        <v>4481</v>
      </c>
      <c r="C317" t="s">
        <v>4463</v>
      </c>
      <c r="D317" t="s">
        <v>96</v>
      </c>
      <c r="E317">
        <v>44.99</v>
      </c>
      <c r="F317" t="s">
        <v>8118</v>
      </c>
      <c r="L317" t="s">
        <v>7032</v>
      </c>
      <c r="M317" t="s">
        <v>97</v>
      </c>
      <c r="N317">
        <v>0</v>
      </c>
      <c r="O317">
        <v>0</v>
      </c>
      <c r="T317">
        <v>0</v>
      </c>
      <c r="U317">
        <v>0</v>
      </c>
      <c r="V317">
        <v>1</v>
      </c>
    </row>
    <row r="318" spans="1:22" x14ac:dyDescent="0.2">
      <c r="A318" t="s">
        <v>4540</v>
      </c>
      <c r="B318" t="s">
        <v>4541</v>
      </c>
      <c r="C318" t="s">
        <v>4463</v>
      </c>
      <c r="D318" t="s">
        <v>290</v>
      </c>
      <c r="E318">
        <v>19.989999999999998</v>
      </c>
      <c r="F318" t="s">
        <v>8118</v>
      </c>
      <c r="G318">
        <v>15</v>
      </c>
      <c r="I318">
        <v>15</v>
      </c>
      <c r="L318" t="s">
        <v>7032</v>
      </c>
      <c r="M318" t="s">
        <v>97</v>
      </c>
      <c r="N318">
        <v>0</v>
      </c>
      <c r="O318">
        <v>0</v>
      </c>
      <c r="T318">
        <v>0</v>
      </c>
      <c r="U318">
        <v>0</v>
      </c>
      <c r="V318">
        <v>4</v>
      </c>
    </row>
    <row r="319" spans="1:22" x14ac:dyDescent="0.2">
      <c r="A319" t="s">
        <v>4532</v>
      </c>
      <c r="B319" t="s">
        <v>4533</v>
      </c>
      <c r="C319" t="s">
        <v>4463</v>
      </c>
      <c r="D319" t="s">
        <v>290</v>
      </c>
      <c r="E319">
        <v>19.989999999999998</v>
      </c>
      <c r="F319" t="s">
        <v>8118</v>
      </c>
      <c r="G319">
        <v>48</v>
      </c>
      <c r="I319">
        <v>48</v>
      </c>
      <c r="L319" t="s">
        <v>7032</v>
      </c>
      <c r="M319" t="s">
        <v>97</v>
      </c>
      <c r="N319">
        <v>0</v>
      </c>
      <c r="O319">
        <v>0</v>
      </c>
      <c r="T319">
        <v>0</v>
      </c>
      <c r="U319">
        <v>0</v>
      </c>
      <c r="V319">
        <v>5</v>
      </c>
    </row>
    <row r="320" spans="1:22" x14ac:dyDescent="0.2">
      <c r="A320" t="s">
        <v>4590</v>
      </c>
      <c r="B320" t="s">
        <v>4591</v>
      </c>
      <c r="C320" t="s">
        <v>4463</v>
      </c>
      <c r="D320" t="s">
        <v>96</v>
      </c>
      <c r="E320">
        <v>17.989999999999998</v>
      </c>
      <c r="F320" t="s">
        <v>8118</v>
      </c>
      <c r="L320" t="s">
        <v>7032</v>
      </c>
      <c r="M320" t="s">
        <v>97</v>
      </c>
      <c r="N320">
        <v>0</v>
      </c>
      <c r="O320">
        <v>0</v>
      </c>
      <c r="T320">
        <v>0</v>
      </c>
      <c r="U320">
        <v>0</v>
      </c>
      <c r="V320">
        <v>1</v>
      </c>
    </row>
    <row r="321" spans="1:22" x14ac:dyDescent="0.2">
      <c r="A321" t="s">
        <v>4593</v>
      </c>
      <c r="B321" t="s">
        <v>4594</v>
      </c>
      <c r="C321" t="s">
        <v>4463</v>
      </c>
      <c r="D321" t="s">
        <v>96</v>
      </c>
      <c r="E321">
        <v>14.99</v>
      </c>
      <c r="F321" t="s">
        <v>8118</v>
      </c>
      <c r="L321" t="s">
        <v>7032</v>
      </c>
      <c r="M321" t="s">
        <v>97</v>
      </c>
      <c r="N321">
        <v>0</v>
      </c>
      <c r="O321">
        <v>0</v>
      </c>
      <c r="T321">
        <v>0</v>
      </c>
      <c r="U321">
        <v>0</v>
      </c>
      <c r="V321">
        <v>6</v>
      </c>
    </row>
    <row r="322" spans="1:22" x14ac:dyDescent="0.2">
      <c r="A322" t="s">
        <v>4472</v>
      </c>
      <c r="B322" t="s">
        <v>4473</v>
      </c>
      <c r="C322" t="s">
        <v>4463</v>
      </c>
      <c r="D322" t="s">
        <v>290</v>
      </c>
      <c r="E322">
        <v>44.99</v>
      </c>
      <c r="F322" t="s">
        <v>8118</v>
      </c>
      <c r="G322">
        <v>2</v>
      </c>
      <c r="H322">
        <v>2</v>
      </c>
      <c r="L322" t="s">
        <v>8</v>
      </c>
      <c r="M322" t="s">
        <v>4475</v>
      </c>
      <c r="N322">
        <v>6</v>
      </c>
      <c r="O322">
        <v>0.16666666666666666</v>
      </c>
      <c r="Q322">
        <v>0</v>
      </c>
      <c r="R322">
        <v>3</v>
      </c>
      <c r="S322">
        <v>0</v>
      </c>
      <c r="T322">
        <v>0.5</v>
      </c>
      <c r="U322">
        <v>0</v>
      </c>
      <c r="V322">
        <v>3</v>
      </c>
    </row>
    <row r="323" spans="1:22" x14ac:dyDescent="0.2">
      <c r="A323" t="s">
        <v>4480</v>
      </c>
      <c r="B323" t="s">
        <v>4481</v>
      </c>
      <c r="C323" t="s">
        <v>4463</v>
      </c>
      <c r="D323" t="s">
        <v>96</v>
      </c>
      <c r="E323">
        <v>44.99</v>
      </c>
      <c r="F323" t="s">
        <v>8118</v>
      </c>
      <c r="L323" t="s">
        <v>8</v>
      </c>
      <c r="M323" t="s">
        <v>4483</v>
      </c>
      <c r="N323">
        <v>20</v>
      </c>
      <c r="O323">
        <v>0.05</v>
      </c>
      <c r="Q323">
        <v>0</v>
      </c>
      <c r="R323">
        <v>4</v>
      </c>
      <c r="S323">
        <v>1</v>
      </c>
      <c r="T323">
        <v>0.25</v>
      </c>
      <c r="U323">
        <v>44.99</v>
      </c>
      <c r="V323">
        <v>5</v>
      </c>
    </row>
    <row r="324" spans="1:22" x14ac:dyDescent="0.2">
      <c r="A324" t="s">
        <v>4540</v>
      </c>
      <c r="B324" t="s">
        <v>4541</v>
      </c>
      <c r="C324" t="s">
        <v>4463</v>
      </c>
      <c r="D324" t="s">
        <v>290</v>
      </c>
      <c r="E324">
        <v>19.989999999999998</v>
      </c>
      <c r="F324" t="s">
        <v>8118</v>
      </c>
      <c r="G324">
        <v>15</v>
      </c>
      <c r="I324">
        <v>15</v>
      </c>
      <c r="L324" t="s">
        <v>8</v>
      </c>
      <c r="M324" t="s">
        <v>4543</v>
      </c>
      <c r="N324">
        <v>4.5</v>
      </c>
      <c r="O324">
        <v>0.22222222222222221</v>
      </c>
      <c r="Q324">
        <v>0</v>
      </c>
      <c r="R324">
        <v>3</v>
      </c>
      <c r="S324">
        <v>0</v>
      </c>
      <c r="T324">
        <v>0.66666666666666663</v>
      </c>
      <c r="U324">
        <v>0</v>
      </c>
      <c r="V324">
        <v>3</v>
      </c>
    </row>
    <row r="325" spans="1:22" x14ac:dyDescent="0.2">
      <c r="A325" t="s">
        <v>4536</v>
      </c>
      <c r="B325" t="s">
        <v>4537</v>
      </c>
      <c r="C325" t="s">
        <v>4463</v>
      </c>
      <c r="D325" t="s">
        <v>290</v>
      </c>
      <c r="E325">
        <v>19.989999999999998</v>
      </c>
      <c r="F325" t="s">
        <v>8118</v>
      </c>
      <c r="G325">
        <v>19</v>
      </c>
      <c r="I325">
        <v>19</v>
      </c>
      <c r="L325" t="s">
        <v>8</v>
      </c>
      <c r="M325" t="s">
        <v>4539</v>
      </c>
      <c r="N325">
        <v>8</v>
      </c>
      <c r="O325">
        <v>0.125</v>
      </c>
      <c r="Q325">
        <v>0</v>
      </c>
      <c r="R325">
        <v>6</v>
      </c>
      <c r="S325">
        <v>0</v>
      </c>
      <c r="T325">
        <v>0.75</v>
      </c>
      <c r="U325">
        <v>0</v>
      </c>
      <c r="V325">
        <v>6</v>
      </c>
    </row>
    <row r="326" spans="1:22" x14ac:dyDescent="0.2">
      <c r="A326" t="s">
        <v>4593</v>
      </c>
      <c r="B326" t="s">
        <v>4594</v>
      </c>
      <c r="C326" t="s">
        <v>4463</v>
      </c>
      <c r="D326" t="s">
        <v>96</v>
      </c>
      <c r="E326">
        <v>14.99</v>
      </c>
      <c r="F326" t="s">
        <v>8118</v>
      </c>
      <c r="L326" t="s">
        <v>8</v>
      </c>
      <c r="M326" t="s">
        <v>4596</v>
      </c>
      <c r="N326">
        <v>2</v>
      </c>
      <c r="O326">
        <v>0.5</v>
      </c>
      <c r="Q326">
        <v>0</v>
      </c>
      <c r="R326">
        <v>8</v>
      </c>
      <c r="S326">
        <v>0</v>
      </c>
      <c r="T326">
        <v>4</v>
      </c>
      <c r="U326">
        <v>0</v>
      </c>
      <c r="V326">
        <v>8</v>
      </c>
    </row>
    <row r="327" spans="1:22" x14ac:dyDescent="0.2">
      <c r="A327" t="s">
        <v>4585</v>
      </c>
      <c r="B327" t="s">
        <v>4586</v>
      </c>
      <c r="C327" t="s">
        <v>4463</v>
      </c>
      <c r="D327" t="s">
        <v>290</v>
      </c>
      <c r="E327">
        <v>19.989999999999998</v>
      </c>
      <c r="F327" t="s">
        <v>8118</v>
      </c>
      <c r="G327">
        <v>45</v>
      </c>
      <c r="H327">
        <v>12</v>
      </c>
      <c r="I327">
        <v>33</v>
      </c>
      <c r="L327" t="s">
        <v>8</v>
      </c>
      <c r="M327" t="s">
        <v>4587</v>
      </c>
      <c r="N327">
        <v>7.4594594594594588</v>
      </c>
      <c r="O327">
        <v>0.13405797101449277</v>
      </c>
      <c r="Q327">
        <v>0</v>
      </c>
      <c r="R327">
        <v>23</v>
      </c>
      <c r="S327">
        <v>0</v>
      </c>
      <c r="T327">
        <v>3.0833333333333335</v>
      </c>
      <c r="U327">
        <v>159.91999999999999</v>
      </c>
      <c r="V327">
        <v>23</v>
      </c>
    </row>
    <row r="328" spans="1:22" x14ac:dyDescent="0.2">
      <c r="A328" t="s">
        <v>5331</v>
      </c>
      <c r="B328" t="s">
        <v>5332</v>
      </c>
      <c r="C328" t="s">
        <v>4463</v>
      </c>
      <c r="D328" t="s">
        <v>96</v>
      </c>
      <c r="E328">
        <v>19.989999999999998</v>
      </c>
      <c r="F328" t="s">
        <v>8118</v>
      </c>
      <c r="L328" t="s">
        <v>8</v>
      </c>
      <c r="M328" t="s">
        <v>5333</v>
      </c>
      <c r="N328">
        <v>0</v>
      </c>
      <c r="O328">
        <v>0</v>
      </c>
      <c r="Q328">
        <v>0</v>
      </c>
      <c r="R328">
        <v>0</v>
      </c>
      <c r="S328">
        <v>0</v>
      </c>
      <c r="T328">
        <v>8.3333333333333329E-2</v>
      </c>
      <c r="U328">
        <v>0</v>
      </c>
      <c r="V328">
        <v>0</v>
      </c>
    </row>
    <row r="329" spans="1:22" x14ac:dyDescent="0.2">
      <c r="A329" t="s">
        <v>5327</v>
      </c>
      <c r="B329" t="s">
        <v>5328</v>
      </c>
      <c r="C329" t="s">
        <v>4463</v>
      </c>
      <c r="D329" t="s">
        <v>290</v>
      </c>
      <c r="E329">
        <v>19.989999999999998</v>
      </c>
      <c r="F329" t="s">
        <v>8118</v>
      </c>
      <c r="G329">
        <v>88</v>
      </c>
      <c r="I329">
        <v>88</v>
      </c>
      <c r="L329" t="s">
        <v>8</v>
      </c>
      <c r="M329" t="s">
        <v>5330</v>
      </c>
      <c r="N329">
        <v>0</v>
      </c>
      <c r="O329">
        <v>0</v>
      </c>
      <c r="Q329">
        <v>0</v>
      </c>
      <c r="R329">
        <v>0</v>
      </c>
      <c r="S329">
        <v>0</v>
      </c>
      <c r="T329">
        <v>0.75</v>
      </c>
      <c r="U329">
        <v>0</v>
      </c>
      <c r="V329">
        <v>0</v>
      </c>
    </row>
    <row r="330" spans="1:22" x14ac:dyDescent="0.2">
      <c r="A330" t="s">
        <v>4590</v>
      </c>
      <c r="B330" t="s">
        <v>4591</v>
      </c>
      <c r="C330" t="s">
        <v>4463</v>
      </c>
      <c r="D330" t="s">
        <v>96</v>
      </c>
      <c r="E330">
        <v>17.989999999999998</v>
      </c>
      <c r="F330" t="s">
        <v>8118</v>
      </c>
      <c r="L330" t="s">
        <v>8</v>
      </c>
      <c r="M330" t="s">
        <v>4592</v>
      </c>
      <c r="N330">
        <v>16.153846153846153</v>
      </c>
      <c r="O330">
        <v>6.19047619047619E-2</v>
      </c>
      <c r="Q330">
        <v>0</v>
      </c>
      <c r="R330">
        <v>35</v>
      </c>
      <c r="S330">
        <v>0</v>
      </c>
      <c r="T330">
        <v>2.1666666666666665</v>
      </c>
      <c r="U330">
        <v>0</v>
      </c>
      <c r="V330">
        <v>35</v>
      </c>
    </row>
    <row r="331" spans="1:22" x14ac:dyDescent="0.2">
      <c r="A331" t="s">
        <v>4593</v>
      </c>
      <c r="B331" t="s">
        <v>4594</v>
      </c>
      <c r="C331" t="s">
        <v>4463</v>
      </c>
      <c r="D331" t="s">
        <v>96</v>
      </c>
      <c r="E331">
        <v>14.99</v>
      </c>
      <c r="F331" t="s">
        <v>8118</v>
      </c>
      <c r="L331" t="s">
        <v>7029</v>
      </c>
      <c r="N331">
        <v>14.470588235294118</v>
      </c>
      <c r="O331">
        <v>6.910569105691057E-2</v>
      </c>
      <c r="T331">
        <v>2.8333333333333335</v>
      </c>
      <c r="U331">
        <v>44.97</v>
      </c>
      <c r="V331">
        <v>41</v>
      </c>
    </row>
    <row r="332" spans="1:22" x14ac:dyDescent="0.2">
      <c r="A332" t="s">
        <v>4590</v>
      </c>
      <c r="B332" t="s">
        <v>4591</v>
      </c>
      <c r="C332" t="s">
        <v>4463</v>
      </c>
      <c r="D332" t="s">
        <v>96</v>
      </c>
      <c r="E332">
        <v>17.989999999999998</v>
      </c>
      <c r="F332" t="s">
        <v>8118</v>
      </c>
      <c r="L332" t="s">
        <v>7029</v>
      </c>
      <c r="N332">
        <v>120.4</v>
      </c>
      <c r="O332">
        <v>8.3056478405315621E-3</v>
      </c>
      <c r="T332">
        <v>0.7142857142857143</v>
      </c>
      <c r="U332">
        <v>17.989999999999998</v>
      </c>
      <c r="V332">
        <v>86</v>
      </c>
    </row>
    <row r="333" spans="1:22" x14ac:dyDescent="0.2">
      <c r="A333" t="s">
        <v>444</v>
      </c>
      <c r="B333" t="s">
        <v>445</v>
      </c>
      <c r="C333" t="s">
        <v>433</v>
      </c>
      <c r="D333" t="s">
        <v>290</v>
      </c>
      <c r="E333">
        <v>499.99</v>
      </c>
      <c r="F333" t="s">
        <v>8118</v>
      </c>
      <c r="L333" t="s">
        <v>11</v>
      </c>
      <c r="M333" t="s">
        <v>3463</v>
      </c>
      <c r="N333">
        <v>0</v>
      </c>
      <c r="O333">
        <v>0</v>
      </c>
      <c r="T333">
        <v>0</v>
      </c>
      <c r="U333">
        <v>0</v>
      </c>
      <c r="V333">
        <v>0</v>
      </c>
    </row>
    <row r="334" spans="1:22" x14ac:dyDescent="0.2">
      <c r="A334" t="s">
        <v>434</v>
      </c>
      <c r="B334" t="s">
        <v>435</v>
      </c>
      <c r="C334" t="s">
        <v>433</v>
      </c>
      <c r="D334" t="s">
        <v>290</v>
      </c>
      <c r="E334">
        <v>179.99</v>
      </c>
      <c r="F334" t="s">
        <v>8118</v>
      </c>
      <c r="L334" t="s">
        <v>11</v>
      </c>
      <c r="M334" t="s">
        <v>3459</v>
      </c>
      <c r="N334">
        <v>0</v>
      </c>
      <c r="O334">
        <v>0</v>
      </c>
      <c r="T334">
        <v>0</v>
      </c>
      <c r="U334">
        <v>0</v>
      </c>
      <c r="V334">
        <v>0</v>
      </c>
    </row>
    <row r="335" spans="1:22" x14ac:dyDescent="0.2">
      <c r="A335" t="s">
        <v>436</v>
      </c>
      <c r="B335" t="s">
        <v>437</v>
      </c>
      <c r="C335" t="s">
        <v>433</v>
      </c>
      <c r="D335" t="s">
        <v>290</v>
      </c>
      <c r="E335">
        <v>379.99</v>
      </c>
      <c r="F335" t="s">
        <v>8118</v>
      </c>
      <c r="G335">
        <v>8</v>
      </c>
      <c r="I335">
        <v>8</v>
      </c>
      <c r="L335" t="s">
        <v>11</v>
      </c>
      <c r="M335" t="s">
        <v>3462</v>
      </c>
      <c r="N335">
        <v>0</v>
      </c>
      <c r="O335">
        <v>0</v>
      </c>
      <c r="T335">
        <v>0</v>
      </c>
      <c r="U335">
        <v>0</v>
      </c>
      <c r="V335">
        <v>0</v>
      </c>
    </row>
    <row r="336" spans="1:22" x14ac:dyDescent="0.2">
      <c r="A336" t="s">
        <v>438</v>
      </c>
      <c r="B336" t="s">
        <v>439</v>
      </c>
      <c r="C336" t="s">
        <v>433</v>
      </c>
      <c r="D336" t="s">
        <v>290</v>
      </c>
      <c r="E336">
        <v>339.99</v>
      </c>
      <c r="F336" t="s">
        <v>8118</v>
      </c>
      <c r="G336">
        <v>17</v>
      </c>
      <c r="I336">
        <v>17</v>
      </c>
      <c r="L336" t="s">
        <v>11</v>
      </c>
      <c r="M336" t="s">
        <v>3458</v>
      </c>
      <c r="N336">
        <v>0</v>
      </c>
      <c r="O336">
        <v>0</v>
      </c>
      <c r="T336">
        <v>0</v>
      </c>
      <c r="U336">
        <v>0</v>
      </c>
      <c r="V336">
        <v>0</v>
      </c>
    </row>
    <row r="337" spans="1:22" x14ac:dyDescent="0.2">
      <c r="A337" t="s">
        <v>440</v>
      </c>
      <c r="B337" t="s">
        <v>441</v>
      </c>
      <c r="C337" t="s">
        <v>433</v>
      </c>
      <c r="D337" t="s">
        <v>290</v>
      </c>
      <c r="E337">
        <v>369.99</v>
      </c>
      <c r="F337" t="s">
        <v>8118</v>
      </c>
      <c r="G337">
        <v>8</v>
      </c>
      <c r="H337">
        <v>2</v>
      </c>
      <c r="I337">
        <v>6</v>
      </c>
      <c r="L337" t="s">
        <v>11</v>
      </c>
      <c r="M337" t="s">
        <v>3461</v>
      </c>
      <c r="N337">
        <v>0</v>
      </c>
      <c r="O337">
        <v>0</v>
      </c>
      <c r="T337">
        <v>0</v>
      </c>
      <c r="U337">
        <v>0</v>
      </c>
      <c r="V337">
        <v>0</v>
      </c>
    </row>
    <row r="338" spans="1:22" x14ac:dyDescent="0.2">
      <c r="A338" t="s">
        <v>442</v>
      </c>
      <c r="B338" t="s">
        <v>443</v>
      </c>
      <c r="C338" t="s">
        <v>433</v>
      </c>
      <c r="D338" t="s">
        <v>290</v>
      </c>
      <c r="E338">
        <v>349.99</v>
      </c>
      <c r="F338" t="s">
        <v>8118</v>
      </c>
      <c r="L338" t="s">
        <v>11</v>
      </c>
      <c r="M338" t="s">
        <v>3460</v>
      </c>
      <c r="N338">
        <v>0</v>
      </c>
      <c r="O338">
        <v>0</v>
      </c>
      <c r="T338">
        <v>0</v>
      </c>
      <c r="U338">
        <v>0</v>
      </c>
      <c r="V338">
        <v>0</v>
      </c>
    </row>
    <row r="339" spans="1:22" x14ac:dyDescent="0.2">
      <c r="A339" t="s">
        <v>434</v>
      </c>
      <c r="B339" t="s">
        <v>435</v>
      </c>
      <c r="C339" t="s">
        <v>433</v>
      </c>
      <c r="D339" t="s">
        <v>290</v>
      </c>
      <c r="E339">
        <v>179.99</v>
      </c>
      <c r="F339" t="s">
        <v>8118</v>
      </c>
      <c r="L339" t="s">
        <v>8</v>
      </c>
      <c r="M339" t="s">
        <v>8089</v>
      </c>
      <c r="N339">
        <v>0</v>
      </c>
      <c r="O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2">
      <c r="A340" t="s">
        <v>438</v>
      </c>
      <c r="B340" t="s">
        <v>439</v>
      </c>
      <c r="C340" t="s">
        <v>433</v>
      </c>
      <c r="D340" t="s">
        <v>290</v>
      </c>
      <c r="E340">
        <v>339.99</v>
      </c>
      <c r="F340" t="s">
        <v>8118</v>
      </c>
      <c r="G340">
        <v>17</v>
      </c>
      <c r="I340">
        <v>17</v>
      </c>
      <c r="L340" t="s">
        <v>8</v>
      </c>
      <c r="M340" t="s">
        <v>8093</v>
      </c>
      <c r="N340">
        <v>0</v>
      </c>
      <c r="O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2">
      <c r="A341" t="s">
        <v>444</v>
      </c>
      <c r="B341" t="s">
        <v>445</v>
      </c>
      <c r="C341" t="s">
        <v>433</v>
      </c>
      <c r="D341" t="s">
        <v>290</v>
      </c>
      <c r="E341">
        <v>499.99</v>
      </c>
      <c r="F341" t="s">
        <v>8118</v>
      </c>
      <c r="L341" t="s">
        <v>8</v>
      </c>
      <c r="M341" t="s">
        <v>8086</v>
      </c>
      <c r="N341">
        <v>0</v>
      </c>
      <c r="O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2">
      <c r="A342" t="s">
        <v>880</v>
      </c>
      <c r="B342" t="s">
        <v>881</v>
      </c>
      <c r="C342" t="s">
        <v>446</v>
      </c>
      <c r="D342" t="s">
        <v>96</v>
      </c>
      <c r="E342">
        <v>14.99</v>
      </c>
      <c r="F342" t="s">
        <v>8118</v>
      </c>
      <c r="L342" t="s">
        <v>11</v>
      </c>
      <c r="M342" t="s">
        <v>5671</v>
      </c>
      <c r="N342">
        <v>0</v>
      </c>
      <c r="O342">
        <v>0</v>
      </c>
      <c r="T342">
        <v>0</v>
      </c>
      <c r="U342">
        <v>0</v>
      </c>
      <c r="V342">
        <v>0</v>
      </c>
    </row>
    <row r="343" spans="1:22" x14ac:dyDescent="0.2">
      <c r="A343" t="s">
        <v>527</v>
      </c>
      <c r="B343" t="s">
        <v>528</v>
      </c>
      <c r="C343" t="s">
        <v>446</v>
      </c>
      <c r="D343" t="s">
        <v>290</v>
      </c>
      <c r="E343">
        <v>19.989999999999998</v>
      </c>
      <c r="F343" t="s">
        <v>8118</v>
      </c>
      <c r="L343" t="s">
        <v>11</v>
      </c>
      <c r="M343" t="s">
        <v>5675</v>
      </c>
      <c r="N343">
        <v>0</v>
      </c>
      <c r="O343">
        <v>0</v>
      </c>
      <c r="T343">
        <v>0</v>
      </c>
      <c r="U343">
        <v>0</v>
      </c>
      <c r="V343">
        <v>0</v>
      </c>
    </row>
    <row r="344" spans="1:22" x14ac:dyDescent="0.2">
      <c r="A344" t="s">
        <v>5686</v>
      </c>
      <c r="B344" t="s">
        <v>5687</v>
      </c>
      <c r="C344" t="s">
        <v>446</v>
      </c>
      <c r="D344" t="s">
        <v>96</v>
      </c>
      <c r="F344" t="s">
        <v>8118</v>
      </c>
      <c r="L344" t="s">
        <v>11</v>
      </c>
      <c r="M344" t="s">
        <v>5688</v>
      </c>
      <c r="N344">
        <v>0</v>
      </c>
      <c r="O344">
        <v>0</v>
      </c>
      <c r="T344">
        <v>0</v>
      </c>
      <c r="V344">
        <v>0</v>
      </c>
    </row>
    <row r="345" spans="1:22" x14ac:dyDescent="0.2">
      <c r="A345" t="s">
        <v>4874</v>
      </c>
      <c r="B345" t="s">
        <v>4875</v>
      </c>
      <c r="C345" t="s">
        <v>446</v>
      </c>
      <c r="D345" t="s">
        <v>96</v>
      </c>
      <c r="E345">
        <v>24.99</v>
      </c>
      <c r="F345" t="s">
        <v>8118</v>
      </c>
      <c r="L345" t="s">
        <v>8119</v>
      </c>
      <c r="U345">
        <v>0</v>
      </c>
      <c r="V345">
        <v>0</v>
      </c>
    </row>
    <row r="346" spans="1:22" x14ac:dyDescent="0.2">
      <c r="A346" t="s">
        <v>950</v>
      </c>
      <c r="B346" t="s">
        <v>951</v>
      </c>
      <c r="C346" t="s">
        <v>446</v>
      </c>
      <c r="D346" t="s">
        <v>228</v>
      </c>
      <c r="E346">
        <v>59.99</v>
      </c>
      <c r="F346" t="s">
        <v>8118</v>
      </c>
      <c r="G346">
        <v>1080</v>
      </c>
      <c r="H346">
        <v>89</v>
      </c>
      <c r="I346">
        <v>991</v>
      </c>
      <c r="K346">
        <v>3000</v>
      </c>
      <c r="L346" t="s">
        <v>8119</v>
      </c>
      <c r="U346">
        <v>0</v>
      </c>
      <c r="V346">
        <v>0</v>
      </c>
    </row>
    <row r="347" spans="1:22" x14ac:dyDescent="0.2">
      <c r="A347" t="s">
        <v>4962</v>
      </c>
      <c r="B347" t="s">
        <v>4963</v>
      </c>
      <c r="C347" t="s">
        <v>446</v>
      </c>
      <c r="D347" t="s">
        <v>290</v>
      </c>
      <c r="E347">
        <v>24.99</v>
      </c>
      <c r="F347" t="s">
        <v>8118</v>
      </c>
      <c r="G347">
        <v>557</v>
      </c>
      <c r="H347">
        <v>10</v>
      </c>
      <c r="I347">
        <v>547</v>
      </c>
      <c r="L347" t="s">
        <v>8119</v>
      </c>
      <c r="U347">
        <v>0</v>
      </c>
      <c r="V347">
        <v>0</v>
      </c>
    </row>
    <row r="348" spans="1:22" x14ac:dyDescent="0.2">
      <c r="A348" t="s">
        <v>7510</v>
      </c>
      <c r="B348" t="s">
        <v>7511</v>
      </c>
      <c r="C348" t="s">
        <v>446</v>
      </c>
      <c r="D348" t="s">
        <v>96</v>
      </c>
      <c r="E348">
        <v>29.99</v>
      </c>
      <c r="F348" t="s">
        <v>8118</v>
      </c>
      <c r="L348" t="s">
        <v>8119</v>
      </c>
      <c r="U348">
        <v>0</v>
      </c>
      <c r="V348">
        <v>0</v>
      </c>
    </row>
    <row r="349" spans="1:22" x14ac:dyDescent="0.2">
      <c r="A349" t="s">
        <v>1010</v>
      </c>
      <c r="B349" t="s">
        <v>1011</v>
      </c>
      <c r="C349" t="s">
        <v>446</v>
      </c>
      <c r="D349" t="s">
        <v>290</v>
      </c>
      <c r="E349">
        <v>69.989999999999995</v>
      </c>
      <c r="F349" t="s">
        <v>8118</v>
      </c>
      <c r="L349" t="s">
        <v>8119</v>
      </c>
      <c r="U349">
        <v>0</v>
      </c>
      <c r="V349">
        <v>0</v>
      </c>
    </row>
    <row r="350" spans="1:22" x14ac:dyDescent="0.2">
      <c r="A350" t="s">
        <v>643</v>
      </c>
      <c r="B350" t="s">
        <v>644</v>
      </c>
      <c r="C350" t="s">
        <v>446</v>
      </c>
      <c r="D350" t="s">
        <v>228</v>
      </c>
      <c r="E350">
        <v>99.99</v>
      </c>
      <c r="F350" t="s">
        <v>8118</v>
      </c>
      <c r="G350">
        <v>835</v>
      </c>
      <c r="H350">
        <v>382</v>
      </c>
      <c r="I350">
        <v>453</v>
      </c>
      <c r="K350">
        <v>4200</v>
      </c>
      <c r="L350" t="s">
        <v>8119</v>
      </c>
      <c r="U350">
        <v>0</v>
      </c>
      <c r="V350">
        <v>1</v>
      </c>
    </row>
    <row r="351" spans="1:22" x14ac:dyDescent="0.2">
      <c r="A351" t="s">
        <v>5012</v>
      </c>
      <c r="B351" t="s">
        <v>5013</v>
      </c>
      <c r="C351" t="s">
        <v>446</v>
      </c>
      <c r="D351" t="s">
        <v>96</v>
      </c>
      <c r="E351">
        <v>44.99</v>
      </c>
      <c r="F351" t="s">
        <v>8118</v>
      </c>
      <c r="L351" t="s">
        <v>8119</v>
      </c>
      <c r="U351">
        <v>0</v>
      </c>
      <c r="V351">
        <v>0</v>
      </c>
    </row>
    <row r="352" spans="1:22" x14ac:dyDescent="0.2">
      <c r="A352" t="s">
        <v>4650</v>
      </c>
      <c r="B352" t="s">
        <v>4651</v>
      </c>
      <c r="C352" t="s">
        <v>446</v>
      </c>
      <c r="D352" t="s">
        <v>96</v>
      </c>
      <c r="E352">
        <v>24.99</v>
      </c>
      <c r="F352" t="s">
        <v>8118</v>
      </c>
      <c r="L352" t="s">
        <v>8119</v>
      </c>
      <c r="U352">
        <v>0</v>
      </c>
      <c r="V352">
        <v>0</v>
      </c>
    </row>
    <row r="353" spans="1:22" x14ac:dyDescent="0.2">
      <c r="A353" t="s">
        <v>7421</v>
      </c>
      <c r="B353" t="s">
        <v>7423</v>
      </c>
      <c r="C353" t="s">
        <v>446</v>
      </c>
      <c r="D353" t="s">
        <v>96</v>
      </c>
      <c r="E353">
        <v>44.99</v>
      </c>
      <c r="F353" t="s">
        <v>8118</v>
      </c>
      <c r="L353" t="s">
        <v>8119</v>
      </c>
      <c r="U353">
        <v>0</v>
      </c>
      <c r="V353">
        <v>0</v>
      </c>
    </row>
    <row r="354" spans="1:22" x14ac:dyDescent="0.2">
      <c r="A354" t="s">
        <v>7316</v>
      </c>
      <c r="B354" t="s">
        <v>7318</v>
      </c>
      <c r="C354" t="s">
        <v>446</v>
      </c>
      <c r="D354" t="s">
        <v>96</v>
      </c>
      <c r="E354">
        <v>34.99</v>
      </c>
      <c r="F354" t="s">
        <v>8118</v>
      </c>
      <c r="L354" t="s">
        <v>8119</v>
      </c>
      <c r="U354">
        <v>0</v>
      </c>
      <c r="V354">
        <v>0</v>
      </c>
    </row>
    <row r="355" spans="1:22" x14ac:dyDescent="0.2">
      <c r="A355" t="s">
        <v>4876</v>
      </c>
      <c r="B355" t="s">
        <v>4877</v>
      </c>
      <c r="C355" t="s">
        <v>446</v>
      </c>
      <c r="D355" t="s">
        <v>96</v>
      </c>
      <c r="E355">
        <v>24.99</v>
      </c>
      <c r="F355" t="s">
        <v>8118</v>
      </c>
      <c r="L355" t="s">
        <v>8119</v>
      </c>
      <c r="U355">
        <v>0</v>
      </c>
      <c r="V355">
        <v>0</v>
      </c>
    </row>
    <row r="356" spans="1:22" x14ac:dyDescent="0.2">
      <c r="A356" t="s">
        <v>4872</v>
      </c>
      <c r="B356" t="s">
        <v>4873</v>
      </c>
      <c r="C356" t="s">
        <v>446</v>
      </c>
      <c r="D356" t="s">
        <v>96</v>
      </c>
      <c r="E356">
        <v>29.99</v>
      </c>
      <c r="F356" t="s">
        <v>8118</v>
      </c>
      <c r="L356" t="s">
        <v>8119</v>
      </c>
      <c r="U356">
        <v>0</v>
      </c>
      <c r="V356">
        <v>0</v>
      </c>
    </row>
    <row r="357" spans="1:22" x14ac:dyDescent="0.2">
      <c r="A357" t="s">
        <v>4870</v>
      </c>
      <c r="B357" t="s">
        <v>4871</v>
      </c>
      <c r="C357" t="s">
        <v>446</v>
      </c>
      <c r="D357" t="s">
        <v>96</v>
      </c>
      <c r="E357">
        <v>29.99</v>
      </c>
      <c r="F357" t="s">
        <v>8118</v>
      </c>
      <c r="L357" t="s">
        <v>8119</v>
      </c>
      <c r="U357">
        <v>0</v>
      </c>
      <c r="V357">
        <v>0</v>
      </c>
    </row>
    <row r="358" spans="1:22" x14ac:dyDescent="0.2">
      <c r="A358" t="s">
        <v>952</v>
      </c>
      <c r="B358" t="s">
        <v>953</v>
      </c>
      <c r="C358" t="s">
        <v>446</v>
      </c>
      <c r="D358" t="s">
        <v>228</v>
      </c>
      <c r="E358">
        <v>64.989999999999995</v>
      </c>
      <c r="F358" t="s">
        <v>8118</v>
      </c>
      <c r="G358">
        <v>378</v>
      </c>
      <c r="H358">
        <v>146</v>
      </c>
      <c r="I358">
        <v>232</v>
      </c>
      <c r="K358">
        <v>2000</v>
      </c>
      <c r="L358" t="s">
        <v>8119</v>
      </c>
      <c r="U358">
        <v>0</v>
      </c>
      <c r="V358">
        <v>0</v>
      </c>
    </row>
    <row r="359" spans="1:22" x14ac:dyDescent="0.2">
      <c r="A359" t="s">
        <v>643</v>
      </c>
      <c r="B359" t="s">
        <v>644</v>
      </c>
      <c r="C359" t="s">
        <v>446</v>
      </c>
      <c r="D359" t="s">
        <v>228</v>
      </c>
      <c r="E359">
        <v>99.99</v>
      </c>
      <c r="F359" t="s">
        <v>8118</v>
      </c>
      <c r="G359">
        <v>835</v>
      </c>
      <c r="H359">
        <v>382</v>
      </c>
      <c r="I359">
        <v>453</v>
      </c>
      <c r="K359">
        <v>4200</v>
      </c>
      <c r="L359" t="s">
        <v>14</v>
      </c>
      <c r="M359" t="s">
        <v>97</v>
      </c>
      <c r="N359">
        <v>15.673469387755103</v>
      </c>
      <c r="O359">
        <v>6.3802083333333329E-2</v>
      </c>
      <c r="T359">
        <v>8.1666666666666661</v>
      </c>
      <c r="U359">
        <v>999.9</v>
      </c>
      <c r="V359">
        <v>128</v>
      </c>
    </row>
    <row r="360" spans="1:22" x14ac:dyDescent="0.2">
      <c r="A360" t="s">
        <v>4893</v>
      </c>
      <c r="B360" t="s">
        <v>4894</v>
      </c>
      <c r="C360" t="s">
        <v>446</v>
      </c>
      <c r="D360" t="s">
        <v>96</v>
      </c>
      <c r="E360">
        <v>79.989999999999995</v>
      </c>
      <c r="F360" t="s">
        <v>8118</v>
      </c>
      <c r="L360" t="s">
        <v>14</v>
      </c>
      <c r="M360" t="s">
        <v>97</v>
      </c>
      <c r="N360">
        <v>0</v>
      </c>
      <c r="O360">
        <v>0</v>
      </c>
      <c r="U360">
        <v>0</v>
      </c>
      <c r="V360">
        <v>0</v>
      </c>
    </row>
    <row r="361" spans="1:22" x14ac:dyDescent="0.2">
      <c r="A361" t="s">
        <v>547</v>
      </c>
      <c r="B361" t="s">
        <v>7085</v>
      </c>
      <c r="C361" t="s">
        <v>446</v>
      </c>
      <c r="D361" t="s">
        <v>290</v>
      </c>
      <c r="E361">
        <v>199.99</v>
      </c>
      <c r="F361" t="s">
        <v>8118</v>
      </c>
      <c r="L361" t="s">
        <v>14</v>
      </c>
      <c r="M361" t="s">
        <v>97</v>
      </c>
      <c r="N361">
        <v>0</v>
      </c>
      <c r="O361">
        <v>0</v>
      </c>
      <c r="U361">
        <v>0</v>
      </c>
      <c r="V361">
        <v>0</v>
      </c>
    </row>
    <row r="362" spans="1:22" x14ac:dyDescent="0.2">
      <c r="A362" t="s">
        <v>553</v>
      </c>
      <c r="B362" t="s">
        <v>554</v>
      </c>
      <c r="C362" t="s">
        <v>446</v>
      </c>
      <c r="D362" t="s">
        <v>228</v>
      </c>
      <c r="E362">
        <v>29.99</v>
      </c>
      <c r="F362" t="s">
        <v>8118</v>
      </c>
      <c r="G362">
        <v>1000</v>
      </c>
      <c r="I362">
        <v>1000</v>
      </c>
      <c r="K362">
        <v>3000</v>
      </c>
      <c r="L362" t="s">
        <v>14</v>
      </c>
      <c r="M362" t="s">
        <v>97</v>
      </c>
      <c r="N362">
        <v>0</v>
      </c>
      <c r="O362">
        <v>0</v>
      </c>
      <c r="U362">
        <v>0</v>
      </c>
      <c r="V362">
        <v>0</v>
      </c>
    </row>
    <row r="363" spans="1:22" x14ac:dyDescent="0.2">
      <c r="A363" t="s">
        <v>878</v>
      </c>
      <c r="B363" t="s">
        <v>879</v>
      </c>
      <c r="C363" t="s">
        <v>446</v>
      </c>
      <c r="D363" t="s">
        <v>96</v>
      </c>
      <c r="F363" t="s">
        <v>8118</v>
      </c>
      <c r="L363" t="s">
        <v>14</v>
      </c>
      <c r="M363" t="s">
        <v>97</v>
      </c>
      <c r="N363">
        <v>0</v>
      </c>
      <c r="O363">
        <v>0</v>
      </c>
      <c r="U363">
        <v>0</v>
      </c>
      <c r="V363">
        <v>0</v>
      </c>
    </row>
    <row r="364" spans="1:22" x14ac:dyDescent="0.2">
      <c r="A364" t="s">
        <v>880</v>
      </c>
      <c r="B364" t="s">
        <v>881</v>
      </c>
      <c r="C364" t="s">
        <v>446</v>
      </c>
      <c r="D364" t="s">
        <v>96</v>
      </c>
      <c r="E364">
        <v>14.99</v>
      </c>
      <c r="F364" t="s">
        <v>8118</v>
      </c>
      <c r="L364" t="s">
        <v>14</v>
      </c>
      <c r="M364" t="s">
        <v>97</v>
      </c>
      <c r="N364">
        <v>0</v>
      </c>
      <c r="O364">
        <v>0</v>
      </c>
      <c r="T364">
        <v>0</v>
      </c>
      <c r="U364">
        <v>0</v>
      </c>
      <c r="V364">
        <v>1</v>
      </c>
    </row>
    <row r="365" spans="1:22" x14ac:dyDescent="0.2">
      <c r="A365" t="s">
        <v>4972</v>
      </c>
      <c r="B365" t="s">
        <v>4973</v>
      </c>
      <c r="C365" t="s">
        <v>446</v>
      </c>
      <c r="D365" t="s">
        <v>96</v>
      </c>
      <c r="E365">
        <v>79.989999999999995</v>
      </c>
      <c r="F365" t="s">
        <v>8118</v>
      </c>
      <c r="L365" t="s">
        <v>14</v>
      </c>
      <c r="M365" t="s">
        <v>97</v>
      </c>
      <c r="N365">
        <v>45.81818181818182</v>
      </c>
      <c r="O365">
        <v>2.1825396825396824E-2</v>
      </c>
      <c r="T365">
        <v>0.91666666666666663</v>
      </c>
      <c r="U365">
        <v>0</v>
      </c>
      <c r="V365">
        <v>42</v>
      </c>
    </row>
    <row r="366" spans="1:22" x14ac:dyDescent="0.2">
      <c r="A366" t="s">
        <v>4949</v>
      </c>
      <c r="B366" t="s">
        <v>4950</v>
      </c>
      <c r="C366" t="s">
        <v>446</v>
      </c>
      <c r="D366" t="s">
        <v>290</v>
      </c>
      <c r="E366">
        <v>59.99</v>
      </c>
      <c r="F366" t="s">
        <v>8118</v>
      </c>
      <c r="G366">
        <v>10</v>
      </c>
      <c r="H366">
        <v>10</v>
      </c>
      <c r="L366" t="s">
        <v>14</v>
      </c>
      <c r="M366" t="s">
        <v>97</v>
      </c>
      <c r="N366">
        <v>0</v>
      </c>
      <c r="O366">
        <v>0</v>
      </c>
      <c r="U366">
        <v>0</v>
      </c>
      <c r="V366">
        <v>0</v>
      </c>
    </row>
    <row r="367" spans="1:22" x14ac:dyDescent="0.2">
      <c r="A367" t="s">
        <v>1010</v>
      </c>
      <c r="B367" t="s">
        <v>1011</v>
      </c>
      <c r="C367" t="s">
        <v>446</v>
      </c>
      <c r="D367" t="s">
        <v>290</v>
      </c>
      <c r="E367">
        <v>69.989999999999995</v>
      </c>
      <c r="F367" t="s">
        <v>8118</v>
      </c>
      <c r="L367" t="s">
        <v>14</v>
      </c>
      <c r="M367" t="s">
        <v>97</v>
      </c>
      <c r="N367">
        <v>54.75</v>
      </c>
      <c r="O367">
        <v>1.8264840182648401E-2</v>
      </c>
      <c r="T367">
        <v>1.3333333333333333</v>
      </c>
      <c r="U367">
        <v>0</v>
      </c>
      <c r="V367">
        <v>73</v>
      </c>
    </row>
    <row r="368" spans="1:22" x14ac:dyDescent="0.2">
      <c r="A368" t="s">
        <v>4965</v>
      </c>
      <c r="B368" t="s">
        <v>4966</v>
      </c>
      <c r="C368" t="s">
        <v>446</v>
      </c>
      <c r="D368" t="s">
        <v>290</v>
      </c>
      <c r="E368">
        <v>69.989999999999995</v>
      </c>
      <c r="F368" t="s">
        <v>8118</v>
      </c>
      <c r="L368" t="s">
        <v>14</v>
      </c>
      <c r="M368" t="s">
        <v>97</v>
      </c>
      <c r="N368">
        <v>372</v>
      </c>
      <c r="O368">
        <v>2.6881720430107525E-3</v>
      </c>
      <c r="T368">
        <v>8.3333333333333329E-2</v>
      </c>
      <c r="U368">
        <v>0</v>
      </c>
      <c r="V368">
        <v>31</v>
      </c>
    </row>
    <row r="369" spans="1:22" x14ac:dyDescent="0.2">
      <c r="A369" t="s">
        <v>527</v>
      </c>
      <c r="B369" t="s">
        <v>528</v>
      </c>
      <c r="C369" t="s">
        <v>446</v>
      </c>
      <c r="D369" t="s">
        <v>290</v>
      </c>
      <c r="E369">
        <v>19.989999999999998</v>
      </c>
      <c r="F369" t="s">
        <v>8118</v>
      </c>
      <c r="L369" t="s">
        <v>14</v>
      </c>
      <c r="M369" t="s">
        <v>97</v>
      </c>
      <c r="N369">
        <v>0</v>
      </c>
      <c r="O369">
        <v>0</v>
      </c>
      <c r="U369">
        <v>0</v>
      </c>
      <c r="V369">
        <v>0</v>
      </c>
    </row>
    <row r="370" spans="1:22" x14ac:dyDescent="0.2">
      <c r="A370" t="s">
        <v>7096</v>
      </c>
      <c r="B370" t="s">
        <v>7097</v>
      </c>
      <c r="C370" t="s">
        <v>446</v>
      </c>
      <c r="D370" t="s">
        <v>96</v>
      </c>
      <c r="E370">
        <v>59.99</v>
      </c>
      <c r="F370" t="s">
        <v>8118</v>
      </c>
      <c r="L370" t="s">
        <v>14</v>
      </c>
      <c r="M370" t="s">
        <v>97</v>
      </c>
      <c r="N370">
        <v>0</v>
      </c>
      <c r="O370">
        <v>0</v>
      </c>
      <c r="U370">
        <v>0</v>
      </c>
      <c r="V370">
        <v>0</v>
      </c>
    </row>
    <row r="371" spans="1:22" x14ac:dyDescent="0.2">
      <c r="A371" t="s">
        <v>5708</v>
      </c>
      <c r="B371" t="s">
        <v>5709</v>
      </c>
      <c r="C371" t="s">
        <v>446</v>
      </c>
      <c r="D371" t="s">
        <v>96</v>
      </c>
      <c r="E371">
        <v>59.99</v>
      </c>
      <c r="F371" t="s">
        <v>8118</v>
      </c>
      <c r="L371" t="s">
        <v>14</v>
      </c>
      <c r="M371" t="s">
        <v>97</v>
      </c>
      <c r="N371">
        <v>0</v>
      </c>
      <c r="O371">
        <v>0</v>
      </c>
      <c r="T371">
        <v>0</v>
      </c>
      <c r="U371">
        <v>0</v>
      </c>
      <c r="V371">
        <v>6</v>
      </c>
    </row>
    <row r="372" spans="1:22" x14ac:dyDescent="0.2">
      <c r="A372" t="s">
        <v>5710</v>
      </c>
      <c r="B372" t="s">
        <v>5711</v>
      </c>
      <c r="C372" t="s">
        <v>446</v>
      </c>
      <c r="D372" t="s">
        <v>96</v>
      </c>
      <c r="E372">
        <v>59.99</v>
      </c>
      <c r="F372" t="s">
        <v>8118</v>
      </c>
      <c r="L372" t="s">
        <v>14</v>
      </c>
      <c r="M372" t="s">
        <v>97</v>
      </c>
      <c r="N372">
        <v>0</v>
      </c>
      <c r="O372">
        <v>0</v>
      </c>
      <c r="T372">
        <v>0</v>
      </c>
      <c r="U372">
        <v>0</v>
      </c>
      <c r="V372">
        <v>4</v>
      </c>
    </row>
    <row r="373" spans="1:22" x14ac:dyDescent="0.2">
      <c r="A373" t="s">
        <v>691</v>
      </c>
      <c r="B373" t="s">
        <v>7018</v>
      </c>
      <c r="C373" t="s">
        <v>446</v>
      </c>
      <c r="D373" t="s">
        <v>228</v>
      </c>
      <c r="E373">
        <v>59.99</v>
      </c>
      <c r="F373" t="s">
        <v>8118</v>
      </c>
      <c r="G373">
        <v>380</v>
      </c>
      <c r="H373">
        <v>104</v>
      </c>
      <c r="I373">
        <v>276</v>
      </c>
      <c r="K373">
        <v>3000</v>
      </c>
      <c r="L373" t="s">
        <v>10</v>
      </c>
      <c r="M373">
        <v>593243</v>
      </c>
      <c r="N373">
        <v>6</v>
      </c>
      <c r="O373">
        <v>0.17106188466947961</v>
      </c>
      <c r="P373" t="s">
        <v>7015</v>
      </c>
      <c r="T373">
        <v>81</v>
      </c>
      <c r="U373">
        <v>5579.0700000000006</v>
      </c>
      <c r="V373">
        <v>474</v>
      </c>
    </row>
    <row r="374" spans="1:22" x14ac:dyDescent="0.2">
      <c r="A374" t="s">
        <v>685</v>
      </c>
      <c r="B374" t="s">
        <v>686</v>
      </c>
      <c r="C374" t="s">
        <v>446</v>
      </c>
      <c r="D374" t="s">
        <v>228</v>
      </c>
      <c r="E374">
        <v>59.99</v>
      </c>
      <c r="F374" t="s">
        <v>8118</v>
      </c>
      <c r="G374">
        <v>808</v>
      </c>
      <c r="H374">
        <v>4</v>
      </c>
      <c r="I374">
        <v>804</v>
      </c>
      <c r="L374" t="s">
        <v>10</v>
      </c>
      <c r="M374">
        <v>593261</v>
      </c>
      <c r="N374">
        <v>13</v>
      </c>
      <c r="O374">
        <v>7.5562169312169317E-2</v>
      </c>
      <c r="P374" t="s">
        <v>7015</v>
      </c>
      <c r="T374">
        <v>38</v>
      </c>
      <c r="U374">
        <v>2279.62</v>
      </c>
      <c r="V374">
        <v>504</v>
      </c>
    </row>
    <row r="375" spans="1:22" x14ac:dyDescent="0.2">
      <c r="A375" t="s">
        <v>687</v>
      </c>
      <c r="B375" t="s">
        <v>688</v>
      </c>
      <c r="C375" t="s">
        <v>446</v>
      </c>
      <c r="D375" t="s">
        <v>228</v>
      </c>
      <c r="E375">
        <v>59.99</v>
      </c>
      <c r="F375" t="s">
        <v>8118</v>
      </c>
      <c r="G375">
        <v>820</v>
      </c>
      <c r="H375">
        <v>3</v>
      </c>
      <c r="I375">
        <v>817</v>
      </c>
      <c r="L375" t="s">
        <v>10</v>
      </c>
      <c r="M375">
        <v>593257</v>
      </c>
      <c r="N375">
        <v>14</v>
      </c>
      <c r="O375">
        <v>7.2628458498023712E-2</v>
      </c>
      <c r="P375" t="s">
        <v>7015</v>
      </c>
      <c r="T375">
        <v>37</v>
      </c>
      <c r="U375">
        <v>1919.68</v>
      </c>
      <c r="V375">
        <v>506</v>
      </c>
    </row>
    <row r="376" spans="1:22" x14ac:dyDescent="0.2">
      <c r="A376" t="s">
        <v>689</v>
      </c>
      <c r="B376" t="s">
        <v>690</v>
      </c>
      <c r="C376" t="s">
        <v>446</v>
      </c>
      <c r="D376" t="s">
        <v>228</v>
      </c>
      <c r="E376">
        <v>59.99</v>
      </c>
      <c r="F376" t="s">
        <v>8118</v>
      </c>
      <c r="G376">
        <v>1045</v>
      </c>
      <c r="H376">
        <v>67</v>
      </c>
      <c r="I376">
        <v>978</v>
      </c>
      <c r="L376" t="s">
        <v>10</v>
      </c>
      <c r="M376">
        <v>593253</v>
      </c>
      <c r="N376">
        <v>11</v>
      </c>
      <c r="O376">
        <v>9.0180360721442893E-2</v>
      </c>
      <c r="P376" t="s">
        <v>7015</v>
      </c>
      <c r="T376">
        <v>45</v>
      </c>
      <c r="U376">
        <v>4019.33</v>
      </c>
      <c r="V376">
        <v>499</v>
      </c>
    </row>
    <row r="377" spans="1:22" x14ac:dyDescent="0.2">
      <c r="A377" t="s">
        <v>4991</v>
      </c>
      <c r="B377" t="s">
        <v>7038</v>
      </c>
      <c r="C377" t="s">
        <v>446</v>
      </c>
      <c r="D377" t="s">
        <v>96</v>
      </c>
      <c r="E377">
        <v>29.99</v>
      </c>
      <c r="F377" t="s">
        <v>8118</v>
      </c>
      <c r="L377" t="s">
        <v>10</v>
      </c>
      <c r="M377">
        <v>626772</v>
      </c>
      <c r="N377">
        <v>25</v>
      </c>
      <c r="O377">
        <v>4.0346907993966813E-2</v>
      </c>
      <c r="P377" t="s">
        <v>7015</v>
      </c>
      <c r="T377">
        <v>18</v>
      </c>
      <c r="U377">
        <v>329.89</v>
      </c>
      <c r="V377">
        <v>442</v>
      </c>
    </row>
    <row r="378" spans="1:22" x14ac:dyDescent="0.2">
      <c r="A378" t="s">
        <v>677</v>
      </c>
      <c r="B378" t="s">
        <v>678</v>
      </c>
      <c r="C378" t="s">
        <v>446</v>
      </c>
      <c r="D378" t="s">
        <v>290</v>
      </c>
      <c r="E378">
        <v>129.99</v>
      </c>
      <c r="F378" t="s">
        <v>8118</v>
      </c>
      <c r="L378" t="s">
        <v>10</v>
      </c>
      <c r="M378">
        <v>514993</v>
      </c>
      <c r="N378">
        <v>33</v>
      </c>
      <c r="O378">
        <v>3.03030303030303E-2</v>
      </c>
      <c r="P378" t="s">
        <v>7015</v>
      </c>
      <c r="T378">
        <v>0</v>
      </c>
      <c r="U378">
        <v>0</v>
      </c>
      <c r="V378">
        <v>11</v>
      </c>
    </row>
    <row r="379" spans="1:22" x14ac:dyDescent="0.2">
      <c r="A379" t="s">
        <v>757</v>
      </c>
      <c r="B379" t="s">
        <v>758</v>
      </c>
      <c r="C379" t="s">
        <v>446</v>
      </c>
      <c r="D379" t="s">
        <v>228</v>
      </c>
      <c r="E379">
        <v>49.99</v>
      </c>
      <c r="F379" t="s">
        <v>8118</v>
      </c>
      <c r="G379">
        <v>875</v>
      </c>
      <c r="H379">
        <v>60</v>
      </c>
      <c r="I379">
        <v>815</v>
      </c>
      <c r="K379">
        <v>1000</v>
      </c>
      <c r="L379" t="s">
        <v>10</v>
      </c>
      <c r="M379">
        <v>586307</v>
      </c>
      <c r="N379">
        <v>10</v>
      </c>
      <c r="O379">
        <v>9.8086900129701685E-2</v>
      </c>
      <c r="P379" t="s">
        <v>7015</v>
      </c>
      <c r="T379">
        <v>50</v>
      </c>
      <c r="U379">
        <v>2599.48</v>
      </c>
      <c r="V379">
        <v>514</v>
      </c>
    </row>
    <row r="380" spans="1:22" x14ac:dyDescent="0.2">
      <c r="A380" t="s">
        <v>643</v>
      </c>
      <c r="B380" t="s">
        <v>644</v>
      </c>
      <c r="C380" t="s">
        <v>446</v>
      </c>
      <c r="D380" t="s">
        <v>228</v>
      </c>
      <c r="E380">
        <v>99.99</v>
      </c>
      <c r="F380" t="s">
        <v>8118</v>
      </c>
      <c r="G380">
        <v>835</v>
      </c>
      <c r="H380">
        <v>382</v>
      </c>
      <c r="I380">
        <v>453</v>
      </c>
      <c r="K380">
        <v>4200</v>
      </c>
      <c r="L380" t="s">
        <v>10</v>
      </c>
      <c r="M380">
        <v>483283</v>
      </c>
      <c r="N380">
        <v>3</v>
      </c>
      <c r="O380">
        <v>0.30813287514318444</v>
      </c>
      <c r="P380" t="s">
        <v>7015</v>
      </c>
      <c r="T380">
        <v>90</v>
      </c>
      <c r="U380">
        <v>3899.6099999999997</v>
      </c>
      <c r="V380">
        <v>291</v>
      </c>
    </row>
    <row r="381" spans="1:22" x14ac:dyDescent="0.2">
      <c r="A381" t="s">
        <v>641</v>
      </c>
      <c r="B381" t="s">
        <v>642</v>
      </c>
      <c r="C381" t="s">
        <v>446</v>
      </c>
      <c r="D381" t="s">
        <v>228</v>
      </c>
      <c r="E381">
        <v>69.989999999999995</v>
      </c>
      <c r="F381" t="s">
        <v>8118</v>
      </c>
      <c r="G381">
        <v>800</v>
      </c>
      <c r="H381">
        <v>101</v>
      </c>
      <c r="I381">
        <v>699</v>
      </c>
      <c r="K381">
        <v>1000</v>
      </c>
      <c r="L381" t="s">
        <v>10</v>
      </c>
      <c r="M381">
        <v>583332</v>
      </c>
      <c r="N381">
        <v>7</v>
      </c>
      <c r="O381">
        <v>0.14825046040515652</v>
      </c>
      <c r="P381" t="s">
        <v>7015</v>
      </c>
      <c r="T381">
        <v>54</v>
      </c>
      <c r="U381">
        <v>2799.6</v>
      </c>
      <c r="V381">
        <v>362</v>
      </c>
    </row>
    <row r="382" spans="1:22" x14ac:dyDescent="0.2">
      <c r="A382" t="s">
        <v>4995</v>
      </c>
      <c r="B382" t="s">
        <v>4996</v>
      </c>
      <c r="C382" t="s">
        <v>446</v>
      </c>
      <c r="D382" t="s">
        <v>290</v>
      </c>
      <c r="E382">
        <v>29.99</v>
      </c>
      <c r="F382" t="s">
        <v>8118</v>
      </c>
      <c r="G382">
        <v>1</v>
      </c>
      <c r="I382">
        <v>1</v>
      </c>
      <c r="L382" t="s">
        <v>10</v>
      </c>
      <c r="M382">
        <v>626767</v>
      </c>
      <c r="N382">
        <v>30</v>
      </c>
      <c r="O382">
        <v>3.3797216699801194E-2</v>
      </c>
      <c r="P382" t="s">
        <v>7015</v>
      </c>
      <c r="T382">
        <v>17</v>
      </c>
      <c r="U382">
        <v>359.88</v>
      </c>
      <c r="V382">
        <v>503</v>
      </c>
    </row>
    <row r="383" spans="1:22" x14ac:dyDescent="0.2">
      <c r="A383" t="s">
        <v>683</v>
      </c>
      <c r="B383" t="s">
        <v>684</v>
      </c>
      <c r="C383" t="s">
        <v>446</v>
      </c>
      <c r="D383" t="s">
        <v>290</v>
      </c>
      <c r="E383">
        <v>149.99</v>
      </c>
      <c r="F383" t="s">
        <v>8118</v>
      </c>
      <c r="L383" t="s">
        <v>10</v>
      </c>
      <c r="M383">
        <v>514997</v>
      </c>
      <c r="N383">
        <v>16</v>
      </c>
      <c r="O383">
        <v>6.25E-2</v>
      </c>
      <c r="P383" t="s">
        <v>7015</v>
      </c>
      <c r="T383">
        <v>0</v>
      </c>
      <c r="U383">
        <v>0</v>
      </c>
      <c r="V383">
        <v>8</v>
      </c>
    </row>
    <row r="384" spans="1:22" x14ac:dyDescent="0.2">
      <c r="A384" t="s">
        <v>755</v>
      </c>
      <c r="B384" t="s">
        <v>756</v>
      </c>
      <c r="C384" t="s">
        <v>446</v>
      </c>
      <c r="D384" t="s">
        <v>228</v>
      </c>
      <c r="E384">
        <v>49.99</v>
      </c>
      <c r="F384" t="s">
        <v>8118</v>
      </c>
      <c r="G384">
        <v>697</v>
      </c>
      <c r="H384">
        <v>113</v>
      </c>
      <c r="I384">
        <v>584</v>
      </c>
      <c r="K384">
        <v>2000</v>
      </c>
      <c r="L384" t="s">
        <v>10</v>
      </c>
      <c r="M384">
        <v>583323</v>
      </c>
      <c r="N384">
        <v>8</v>
      </c>
      <c r="O384">
        <v>0.12133072407045008</v>
      </c>
      <c r="P384" t="s">
        <v>7015</v>
      </c>
      <c r="T384">
        <v>62</v>
      </c>
      <c r="U384">
        <v>3049.3900000000003</v>
      </c>
      <c r="V384">
        <v>511</v>
      </c>
    </row>
    <row r="385" spans="1:22" x14ac:dyDescent="0.2">
      <c r="A385" t="s">
        <v>671</v>
      </c>
      <c r="B385" t="s">
        <v>672</v>
      </c>
      <c r="C385" t="s">
        <v>446</v>
      </c>
      <c r="D385" t="s">
        <v>290</v>
      </c>
      <c r="E385">
        <v>79.989999999999995</v>
      </c>
      <c r="F385" t="s">
        <v>8118</v>
      </c>
      <c r="G385">
        <v>128</v>
      </c>
      <c r="I385">
        <v>128</v>
      </c>
      <c r="L385" t="s">
        <v>10</v>
      </c>
      <c r="M385">
        <v>586319</v>
      </c>
      <c r="N385">
        <v>0</v>
      </c>
      <c r="O385">
        <v>0</v>
      </c>
      <c r="P385" t="s">
        <v>7015</v>
      </c>
      <c r="T385">
        <v>1</v>
      </c>
      <c r="U385">
        <v>0</v>
      </c>
      <c r="V385">
        <v>0</v>
      </c>
    </row>
    <row r="386" spans="1:22" x14ac:dyDescent="0.2">
      <c r="A386" t="s">
        <v>675</v>
      </c>
      <c r="B386" t="s">
        <v>676</v>
      </c>
      <c r="C386" t="s">
        <v>446</v>
      </c>
      <c r="D386" t="s">
        <v>228</v>
      </c>
      <c r="E386">
        <v>199.99</v>
      </c>
      <c r="F386" t="s">
        <v>8118</v>
      </c>
      <c r="G386">
        <v>828</v>
      </c>
      <c r="H386">
        <v>58</v>
      </c>
      <c r="I386">
        <v>770</v>
      </c>
      <c r="K386">
        <v>1001</v>
      </c>
      <c r="L386" t="s">
        <v>10</v>
      </c>
      <c r="M386">
        <v>667769</v>
      </c>
      <c r="N386">
        <v>6</v>
      </c>
      <c r="O386">
        <v>0.17265193370165746</v>
      </c>
      <c r="P386" t="s">
        <v>7015</v>
      </c>
      <c r="T386">
        <v>62</v>
      </c>
      <c r="U386">
        <v>7799.6100000000006</v>
      </c>
      <c r="V386">
        <v>362</v>
      </c>
    </row>
    <row r="387" spans="1:22" x14ac:dyDescent="0.2">
      <c r="A387" t="s">
        <v>771</v>
      </c>
      <c r="B387" t="s">
        <v>772</v>
      </c>
      <c r="C387" t="s">
        <v>446</v>
      </c>
      <c r="D387" t="s">
        <v>228</v>
      </c>
      <c r="E387">
        <v>49.99</v>
      </c>
      <c r="F387" t="s">
        <v>8118</v>
      </c>
      <c r="G387">
        <v>862</v>
      </c>
      <c r="H387">
        <v>113</v>
      </c>
      <c r="I387">
        <v>749</v>
      </c>
      <c r="K387">
        <v>2000</v>
      </c>
      <c r="L387" t="s">
        <v>10</v>
      </c>
      <c r="M387">
        <v>593236</v>
      </c>
      <c r="N387">
        <v>7</v>
      </c>
      <c r="O387">
        <v>0.15133209417596036</v>
      </c>
      <c r="P387" t="s">
        <v>7015</v>
      </c>
      <c r="T387">
        <v>81</v>
      </c>
      <c r="U387">
        <v>3899.2200000000003</v>
      </c>
      <c r="V387">
        <v>538</v>
      </c>
    </row>
    <row r="388" spans="1:22" x14ac:dyDescent="0.2">
      <c r="A388" t="s">
        <v>4978</v>
      </c>
      <c r="B388" t="s">
        <v>7312</v>
      </c>
      <c r="C388" t="s">
        <v>446</v>
      </c>
      <c r="D388" t="s">
        <v>290</v>
      </c>
      <c r="E388">
        <v>99.99</v>
      </c>
      <c r="F388" t="s">
        <v>8118</v>
      </c>
      <c r="L388" t="s">
        <v>10</v>
      </c>
      <c r="M388">
        <v>534612</v>
      </c>
      <c r="N388">
        <v>5</v>
      </c>
      <c r="O388">
        <v>0.21666666666666665</v>
      </c>
      <c r="P388" t="s">
        <v>7015</v>
      </c>
      <c r="T388">
        <v>4</v>
      </c>
      <c r="U388">
        <v>0</v>
      </c>
      <c r="V388">
        <v>20</v>
      </c>
    </row>
    <row r="389" spans="1:22" x14ac:dyDescent="0.2">
      <c r="A389" t="s">
        <v>645</v>
      </c>
      <c r="B389" t="s">
        <v>646</v>
      </c>
      <c r="C389" t="s">
        <v>446</v>
      </c>
      <c r="D389" t="s">
        <v>228</v>
      </c>
      <c r="E389">
        <v>59.99</v>
      </c>
      <c r="F389" t="s">
        <v>8118</v>
      </c>
      <c r="G389">
        <v>315</v>
      </c>
      <c r="H389">
        <v>28</v>
      </c>
      <c r="I389">
        <v>287</v>
      </c>
      <c r="K389">
        <v>1000</v>
      </c>
      <c r="L389" t="s">
        <v>10</v>
      </c>
      <c r="N389">
        <v>12</v>
      </c>
      <c r="O389">
        <v>8.1645569620253169E-2</v>
      </c>
      <c r="P389" t="s">
        <v>7015</v>
      </c>
      <c r="T389">
        <v>32</v>
      </c>
      <c r="U389">
        <v>1919.68</v>
      </c>
      <c r="V389">
        <v>395</v>
      </c>
    </row>
    <row r="390" spans="1:22" x14ac:dyDescent="0.2">
      <c r="A390" t="s">
        <v>647</v>
      </c>
      <c r="B390" t="s">
        <v>648</v>
      </c>
      <c r="C390" t="s">
        <v>446</v>
      </c>
      <c r="D390" t="s">
        <v>228</v>
      </c>
      <c r="E390">
        <v>59.99</v>
      </c>
      <c r="F390" t="s">
        <v>8118</v>
      </c>
      <c r="G390">
        <v>373</v>
      </c>
      <c r="I390">
        <v>373</v>
      </c>
      <c r="L390" t="s">
        <v>10</v>
      </c>
      <c r="N390">
        <v>0</v>
      </c>
      <c r="O390">
        <v>0</v>
      </c>
      <c r="P390" t="s">
        <v>7015</v>
      </c>
      <c r="T390">
        <v>0</v>
      </c>
      <c r="U390">
        <v>0</v>
      </c>
      <c r="V390">
        <v>5</v>
      </c>
    </row>
    <row r="391" spans="1:22" x14ac:dyDescent="0.2">
      <c r="A391" t="s">
        <v>651</v>
      </c>
      <c r="B391" t="s">
        <v>652</v>
      </c>
      <c r="C391" t="s">
        <v>446</v>
      </c>
      <c r="D391" t="s">
        <v>228</v>
      </c>
      <c r="E391">
        <v>59.99</v>
      </c>
      <c r="F391" t="s">
        <v>8118</v>
      </c>
      <c r="G391">
        <v>451</v>
      </c>
      <c r="H391">
        <v>31</v>
      </c>
      <c r="I391">
        <v>420</v>
      </c>
      <c r="K391">
        <v>1000</v>
      </c>
      <c r="L391" t="s">
        <v>10</v>
      </c>
      <c r="M391">
        <v>438376</v>
      </c>
      <c r="N391">
        <v>17</v>
      </c>
      <c r="O391">
        <v>6.0148731408573929E-2</v>
      </c>
      <c r="P391" t="s">
        <v>7015</v>
      </c>
      <c r="T391">
        <v>23</v>
      </c>
      <c r="U391">
        <v>1919.68</v>
      </c>
      <c r="V391">
        <v>381</v>
      </c>
    </row>
    <row r="392" spans="1:22" x14ac:dyDescent="0.2">
      <c r="A392" t="s">
        <v>7421</v>
      </c>
      <c r="B392" t="s">
        <v>7423</v>
      </c>
      <c r="C392" t="s">
        <v>446</v>
      </c>
      <c r="D392" t="s">
        <v>96</v>
      </c>
      <c r="E392">
        <v>44.99</v>
      </c>
      <c r="F392" t="s">
        <v>8118</v>
      </c>
      <c r="L392" t="s">
        <v>10</v>
      </c>
      <c r="M392">
        <v>420437</v>
      </c>
      <c r="N392">
        <v>0</v>
      </c>
      <c r="O392">
        <v>0</v>
      </c>
      <c r="P392" t="s">
        <v>290</v>
      </c>
      <c r="T392">
        <v>0</v>
      </c>
      <c r="U392">
        <v>0</v>
      </c>
      <c r="V392">
        <v>0</v>
      </c>
    </row>
    <row r="393" spans="1:22" x14ac:dyDescent="0.2">
      <c r="A393" t="s">
        <v>7418</v>
      </c>
      <c r="B393" t="s">
        <v>7420</v>
      </c>
      <c r="C393" t="s">
        <v>446</v>
      </c>
      <c r="D393" t="s">
        <v>96</v>
      </c>
      <c r="E393">
        <v>44.99</v>
      </c>
      <c r="F393" t="s">
        <v>8118</v>
      </c>
      <c r="L393" t="s">
        <v>10</v>
      </c>
      <c r="M393">
        <v>420614</v>
      </c>
      <c r="N393">
        <v>0</v>
      </c>
      <c r="O393">
        <v>0</v>
      </c>
      <c r="P393" t="s">
        <v>290</v>
      </c>
      <c r="T393">
        <v>0</v>
      </c>
      <c r="U393">
        <v>0</v>
      </c>
      <c r="V393">
        <v>0</v>
      </c>
    </row>
    <row r="394" spans="1:22" x14ac:dyDescent="0.2">
      <c r="A394" t="s">
        <v>7415</v>
      </c>
      <c r="B394" t="s">
        <v>7417</v>
      </c>
      <c r="C394" t="s">
        <v>446</v>
      </c>
      <c r="D394" t="s">
        <v>96</v>
      </c>
      <c r="E394">
        <v>44.99</v>
      </c>
      <c r="F394" t="s">
        <v>8118</v>
      </c>
      <c r="L394" t="s">
        <v>10</v>
      </c>
      <c r="M394">
        <v>420648</v>
      </c>
      <c r="N394">
        <v>0</v>
      </c>
      <c r="O394">
        <v>0</v>
      </c>
      <c r="P394" t="s">
        <v>290</v>
      </c>
      <c r="T394">
        <v>0</v>
      </c>
      <c r="U394">
        <v>0</v>
      </c>
      <c r="V394">
        <v>0</v>
      </c>
    </row>
    <row r="395" spans="1:22" x14ac:dyDescent="0.2">
      <c r="A395" t="s">
        <v>673</v>
      </c>
      <c r="B395" t="s">
        <v>674</v>
      </c>
      <c r="C395" t="s">
        <v>446</v>
      </c>
      <c r="D395" t="s">
        <v>228</v>
      </c>
      <c r="E395">
        <v>299.99</v>
      </c>
      <c r="F395" t="s">
        <v>8118</v>
      </c>
      <c r="G395">
        <v>1000</v>
      </c>
      <c r="H395">
        <v>2</v>
      </c>
      <c r="I395">
        <v>998</v>
      </c>
      <c r="L395" t="s">
        <v>10</v>
      </c>
      <c r="M395">
        <v>667770</v>
      </c>
      <c r="N395">
        <v>14</v>
      </c>
      <c r="O395">
        <v>7.1723426212590299E-2</v>
      </c>
      <c r="P395" t="s">
        <v>7015</v>
      </c>
      <c r="T395">
        <v>23</v>
      </c>
      <c r="U395">
        <v>4499.8500000000004</v>
      </c>
      <c r="V395">
        <v>323</v>
      </c>
    </row>
    <row r="396" spans="1:22" x14ac:dyDescent="0.2">
      <c r="A396" t="s">
        <v>7390</v>
      </c>
      <c r="B396" t="s">
        <v>7392</v>
      </c>
      <c r="C396" t="s">
        <v>446</v>
      </c>
      <c r="D396" t="s">
        <v>96</v>
      </c>
      <c r="E396">
        <v>139.99</v>
      </c>
      <c r="F396" t="s">
        <v>8118</v>
      </c>
      <c r="L396" t="s">
        <v>10</v>
      </c>
      <c r="M396">
        <v>414377</v>
      </c>
      <c r="N396">
        <v>0</v>
      </c>
      <c r="O396">
        <v>0</v>
      </c>
      <c r="P396" t="s">
        <v>7015</v>
      </c>
      <c r="T396">
        <v>0</v>
      </c>
      <c r="U396">
        <v>0</v>
      </c>
      <c r="V396">
        <v>0</v>
      </c>
    </row>
    <row r="397" spans="1:22" x14ac:dyDescent="0.2">
      <c r="A397" t="s">
        <v>693</v>
      </c>
      <c r="B397" t="s">
        <v>7020</v>
      </c>
      <c r="C397" t="s">
        <v>446</v>
      </c>
      <c r="D397" t="s">
        <v>228</v>
      </c>
      <c r="E397">
        <v>59.99</v>
      </c>
      <c r="F397" t="s">
        <v>8118</v>
      </c>
      <c r="G397">
        <v>270</v>
      </c>
      <c r="H397">
        <v>141</v>
      </c>
      <c r="I397">
        <v>129</v>
      </c>
      <c r="K397">
        <v>3000</v>
      </c>
      <c r="L397" t="s">
        <v>10</v>
      </c>
      <c r="M397">
        <v>495308</v>
      </c>
      <c r="N397">
        <v>4</v>
      </c>
      <c r="O397">
        <v>0.25514981273408238</v>
      </c>
      <c r="P397" t="s">
        <v>7015</v>
      </c>
      <c r="T397">
        <v>91</v>
      </c>
      <c r="U397">
        <v>4019.33</v>
      </c>
      <c r="V397">
        <v>356</v>
      </c>
    </row>
    <row r="398" spans="1:22" x14ac:dyDescent="0.2">
      <c r="A398" t="s">
        <v>5019</v>
      </c>
      <c r="B398" t="s">
        <v>5020</v>
      </c>
      <c r="C398" t="s">
        <v>446</v>
      </c>
      <c r="D398" t="s">
        <v>96</v>
      </c>
      <c r="E398">
        <v>149.99</v>
      </c>
      <c r="F398" t="s">
        <v>8118</v>
      </c>
      <c r="L398" t="s">
        <v>10</v>
      </c>
      <c r="M398">
        <v>414419</v>
      </c>
      <c r="N398">
        <v>0</v>
      </c>
      <c r="O398">
        <v>0</v>
      </c>
      <c r="P398" t="s">
        <v>7015</v>
      </c>
      <c r="T398">
        <v>0</v>
      </c>
      <c r="U398">
        <v>0</v>
      </c>
      <c r="V398">
        <v>2</v>
      </c>
    </row>
    <row r="399" spans="1:22" x14ac:dyDescent="0.2">
      <c r="A399" t="s">
        <v>547</v>
      </c>
      <c r="B399" t="s">
        <v>7085</v>
      </c>
      <c r="C399" t="s">
        <v>446</v>
      </c>
      <c r="D399" t="s">
        <v>290</v>
      </c>
      <c r="E399">
        <v>199.99</v>
      </c>
      <c r="F399" t="s">
        <v>8118</v>
      </c>
      <c r="L399" t="s">
        <v>10</v>
      </c>
      <c r="M399">
        <v>514987</v>
      </c>
      <c r="N399">
        <v>0</v>
      </c>
      <c r="O399">
        <v>0</v>
      </c>
      <c r="P399" t="s">
        <v>7015</v>
      </c>
      <c r="T399">
        <v>0</v>
      </c>
      <c r="U399">
        <v>-199.99</v>
      </c>
      <c r="V399">
        <v>11</v>
      </c>
    </row>
    <row r="400" spans="1:22" x14ac:dyDescent="0.2">
      <c r="A400" t="s">
        <v>549</v>
      </c>
      <c r="B400" t="s">
        <v>550</v>
      </c>
      <c r="C400" t="s">
        <v>446</v>
      </c>
      <c r="D400" t="s">
        <v>228</v>
      </c>
      <c r="E400">
        <v>169.99</v>
      </c>
      <c r="F400" t="s">
        <v>8118</v>
      </c>
      <c r="G400">
        <v>763</v>
      </c>
      <c r="H400">
        <v>18</v>
      </c>
      <c r="I400">
        <v>745</v>
      </c>
      <c r="L400" t="s">
        <v>10</v>
      </c>
      <c r="M400">
        <v>514991</v>
      </c>
      <c r="N400">
        <v>0</v>
      </c>
      <c r="O400">
        <v>0</v>
      </c>
      <c r="P400" t="s">
        <v>7015</v>
      </c>
      <c r="T400">
        <v>0</v>
      </c>
      <c r="U400">
        <v>0</v>
      </c>
      <c r="V400">
        <v>7</v>
      </c>
    </row>
    <row r="401" spans="1:22" x14ac:dyDescent="0.2">
      <c r="A401" t="s">
        <v>553</v>
      </c>
      <c r="B401" t="s">
        <v>554</v>
      </c>
      <c r="C401" t="s">
        <v>446</v>
      </c>
      <c r="D401" t="s">
        <v>228</v>
      </c>
      <c r="E401">
        <v>29.99</v>
      </c>
      <c r="F401" t="s">
        <v>8118</v>
      </c>
      <c r="G401">
        <v>1000</v>
      </c>
      <c r="I401">
        <v>1000</v>
      </c>
      <c r="K401">
        <v>3000</v>
      </c>
      <c r="L401" t="s">
        <v>10</v>
      </c>
      <c r="M401">
        <v>414356</v>
      </c>
      <c r="N401">
        <v>1</v>
      </c>
      <c r="O401">
        <v>0.73859649122807025</v>
      </c>
      <c r="P401" t="s">
        <v>7015</v>
      </c>
      <c r="T401">
        <v>140</v>
      </c>
      <c r="U401">
        <v>1769.4099999999999</v>
      </c>
      <c r="V401">
        <v>190</v>
      </c>
    </row>
    <row r="402" spans="1:22" x14ac:dyDescent="0.2">
      <c r="A402" t="s">
        <v>555</v>
      </c>
      <c r="B402" t="s">
        <v>556</v>
      </c>
      <c r="C402" t="s">
        <v>446</v>
      </c>
      <c r="D402" t="s">
        <v>228</v>
      </c>
      <c r="E402">
        <v>34.99</v>
      </c>
      <c r="F402" t="s">
        <v>8118</v>
      </c>
      <c r="G402">
        <v>241</v>
      </c>
      <c r="H402">
        <v>138</v>
      </c>
      <c r="I402">
        <v>103</v>
      </c>
      <c r="K402">
        <v>2000</v>
      </c>
      <c r="L402" t="s">
        <v>10</v>
      </c>
      <c r="M402">
        <v>414360</v>
      </c>
      <c r="N402">
        <v>6</v>
      </c>
      <c r="O402">
        <v>0.1633230452674897</v>
      </c>
      <c r="P402" t="s">
        <v>7015</v>
      </c>
      <c r="T402">
        <v>53</v>
      </c>
      <c r="U402">
        <v>2029.42</v>
      </c>
      <c r="V402">
        <v>324</v>
      </c>
    </row>
    <row r="403" spans="1:22" x14ac:dyDescent="0.2">
      <c r="A403" t="s">
        <v>7426</v>
      </c>
      <c r="B403" t="s">
        <v>7428</v>
      </c>
      <c r="C403" t="s">
        <v>446</v>
      </c>
      <c r="D403" t="s">
        <v>96</v>
      </c>
      <c r="E403">
        <v>39.99</v>
      </c>
      <c r="F403" t="s">
        <v>8118</v>
      </c>
      <c r="L403" t="s">
        <v>10</v>
      </c>
      <c r="M403">
        <v>420541</v>
      </c>
      <c r="N403">
        <v>0</v>
      </c>
      <c r="O403">
        <v>0</v>
      </c>
      <c r="P403" t="s">
        <v>290</v>
      </c>
      <c r="T403">
        <v>0</v>
      </c>
      <c r="U403">
        <v>0</v>
      </c>
      <c r="V403">
        <v>0</v>
      </c>
    </row>
    <row r="404" spans="1:22" x14ac:dyDescent="0.2">
      <c r="A404" t="s">
        <v>7449</v>
      </c>
      <c r="B404" t="s">
        <v>7451</v>
      </c>
      <c r="C404" t="s">
        <v>446</v>
      </c>
      <c r="D404" t="s">
        <v>290</v>
      </c>
      <c r="E404">
        <v>39.99</v>
      </c>
      <c r="F404" t="s">
        <v>8118</v>
      </c>
      <c r="L404" t="s">
        <v>10</v>
      </c>
      <c r="M404">
        <v>420652</v>
      </c>
      <c r="N404">
        <v>0</v>
      </c>
      <c r="O404">
        <v>0</v>
      </c>
      <c r="P404" t="s">
        <v>290</v>
      </c>
      <c r="T404">
        <v>0</v>
      </c>
      <c r="U404">
        <v>0</v>
      </c>
      <c r="V404">
        <v>0</v>
      </c>
    </row>
    <row r="405" spans="1:22" x14ac:dyDescent="0.2">
      <c r="A405" t="s">
        <v>7411</v>
      </c>
      <c r="B405" t="s">
        <v>7413</v>
      </c>
      <c r="C405" t="s">
        <v>446</v>
      </c>
      <c r="D405" t="s">
        <v>96</v>
      </c>
      <c r="E405">
        <v>39.99</v>
      </c>
      <c r="F405" t="s">
        <v>8118</v>
      </c>
      <c r="L405" t="s">
        <v>10</v>
      </c>
      <c r="M405">
        <v>420656</v>
      </c>
      <c r="N405">
        <v>0</v>
      </c>
      <c r="O405">
        <v>0</v>
      </c>
      <c r="P405" t="s">
        <v>290</v>
      </c>
      <c r="T405">
        <v>0</v>
      </c>
      <c r="U405">
        <v>0</v>
      </c>
      <c r="V405">
        <v>0</v>
      </c>
    </row>
    <row r="406" spans="1:22" x14ac:dyDescent="0.2">
      <c r="A406" t="s">
        <v>639</v>
      </c>
      <c r="B406" t="s">
        <v>640</v>
      </c>
      <c r="C406" t="s">
        <v>446</v>
      </c>
      <c r="D406" t="s">
        <v>228</v>
      </c>
      <c r="E406">
        <v>119.99</v>
      </c>
      <c r="F406" t="s">
        <v>8118</v>
      </c>
      <c r="G406">
        <v>172</v>
      </c>
      <c r="H406">
        <v>42</v>
      </c>
      <c r="I406">
        <v>130</v>
      </c>
      <c r="K406">
        <v>2000</v>
      </c>
      <c r="L406" t="s">
        <v>10</v>
      </c>
      <c r="M406">
        <v>667282</v>
      </c>
      <c r="N406">
        <v>8</v>
      </c>
      <c r="O406">
        <v>0.13023952095808383</v>
      </c>
      <c r="P406" t="s">
        <v>7015</v>
      </c>
      <c r="T406">
        <v>44</v>
      </c>
      <c r="U406">
        <v>4559.62</v>
      </c>
      <c r="V406">
        <v>334</v>
      </c>
    </row>
    <row r="407" spans="1:22" x14ac:dyDescent="0.2">
      <c r="A407" t="s">
        <v>649</v>
      </c>
      <c r="B407" t="s">
        <v>7026</v>
      </c>
      <c r="C407" t="s">
        <v>446</v>
      </c>
      <c r="D407" t="s">
        <v>228</v>
      </c>
      <c r="E407">
        <v>99.99</v>
      </c>
      <c r="F407" t="s">
        <v>8118</v>
      </c>
      <c r="G407">
        <v>402</v>
      </c>
      <c r="H407">
        <v>30</v>
      </c>
      <c r="I407">
        <v>372</v>
      </c>
      <c r="L407" t="s">
        <v>10</v>
      </c>
      <c r="M407">
        <v>626762</v>
      </c>
      <c r="N407">
        <v>12</v>
      </c>
      <c r="O407">
        <v>8.436532507739937E-2</v>
      </c>
      <c r="P407" t="s">
        <v>7015</v>
      </c>
      <c r="T407">
        <v>27</v>
      </c>
      <c r="U407">
        <v>3199.68</v>
      </c>
      <c r="V407">
        <v>323</v>
      </c>
    </row>
    <row r="408" spans="1:22" x14ac:dyDescent="0.2">
      <c r="A408" t="s">
        <v>4985</v>
      </c>
      <c r="B408" t="s">
        <v>4986</v>
      </c>
      <c r="C408" t="s">
        <v>446</v>
      </c>
      <c r="D408" t="s">
        <v>96</v>
      </c>
      <c r="E408">
        <v>119.99</v>
      </c>
      <c r="F408" t="s">
        <v>8118</v>
      </c>
      <c r="L408" t="s">
        <v>10</v>
      </c>
      <c r="M408">
        <v>583333</v>
      </c>
      <c r="N408">
        <v>29</v>
      </c>
      <c r="O408">
        <v>3.4313725490196081E-2</v>
      </c>
      <c r="P408" t="s">
        <v>7015</v>
      </c>
      <c r="T408">
        <v>1</v>
      </c>
      <c r="U408">
        <v>0</v>
      </c>
      <c r="V408">
        <v>17</v>
      </c>
    </row>
    <row r="409" spans="1:22" x14ac:dyDescent="0.2">
      <c r="A409" t="s">
        <v>4965</v>
      </c>
      <c r="B409" t="s">
        <v>4966</v>
      </c>
      <c r="C409" t="s">
        <v>446</v>
      </c>
      <c r="D409" t="s">
        <v>290</v>
      </c>
      <c r="E409">
        <v>69.989999999999995</v>
      </c>
      <c r="F409" t="s">
        <v>8118</v>
      </c>
      <c r="L409" t="s">
        <v>10</v>
      </c>
      <c r="M409">
        <v>483275</v>
      </c>
      <c r="N409">
        <v>0</v>
      </c>
      <c r="O409">
        <v>0</v>
      </c>
      <c r="P409" t="s">
        <v>7015</v>
      </c>
      <c r="T409">
        <v>0</v>
      </c>
      <c r="U409">
        <v>0</v>
      </c>
      <c r="V409">
        <v>2</v>
      </c>
    </row>
    <row r="410" spans="1:22" x14ac:dyDescent="0.2">
      <c r="A410" t="s">
        <v>767</v>
      </c>
      <c r="B410" t="s">
        <v>7024</v>
      </c>
      <c r="C410" t="s">
        <v>446</v>
      </c>
      <c r="D410" t="s">
        <v>228</v>
      </c>
      <c r="E410">
        <v>39.99</v>
      </c>
      <c r="F410" t="s">
        <v>8118</v>
      </c>
      <c r="G410">
        <v>565</v>
      </c>
      <c r="H410">
        <v>35</v>
      </c>
      <c r="I410">
        <v>530</v>
      </c>
      <c r="K410">
        <v>1000</v>
      </c>
      <c r="L410" t="s">
        <v>10</v>
      </c>
      <c r="M410">
        <v>593251</v>
      </c>
      <c r="N410">
        <v>9</v>
      </c>
      <c r="O410">
        <v>0.11139028475711892</v>
      </c>
      <c r="P410" t="s">
        <v>7015</v>
      </c>
      <c r="T410">
        <v>44</v>
      </c>
      <c r="U410">
        <v>1759.5600000000002</v>
      </c>
      <c r="V410">
        <v>398</v>
      </c>
    </row>
    <row r="411" spans="1:22" x14ac:dyDescent="0.2">
      <c r="A411" t="s">
        <v>763</v>
      </c>
      <c r="B411" t="s">
        <v>7022</v>
      </c>
      <c r="C411" t="s">
        <v>446</v>
      </c>
      <c r="D411" t="s">
        <v>228</v>
      </c>
      <c r="E411">
        <v>39.99</v>
      </c>
      <c r="F411" t="s">
        <v>8118</v>
      </c>
      <c r="G411">
        <v>730</v>
      </c>
      <c r="H411">
        <v>32</v>
      </c>
      <c r="I411">
        <v>698</v>
      </c>
      <c r="L411" t="s">
        <v>10</v>
      </c>
      <c r="M411">
        <v>593259</v>
      </c>
      <c r="N411">
        <v>9</v>
      </c>
      <c r="O411">
        <v>0.1146146146146146</v>
      </c>
      <c r="P411" t="s">
        <v>7015</v>
      </c>
      <c r="T411">
        <v>38</v>
      </c>
      <c r="U411">
        <v>1279.68</v>
      </c>
      <c r="V411">
        <v>333</v>
      </c>
    </row>
    <row r="412" spans="1:22" x14ac:dyDescent="0.2">
      <c r="A412" t="s">
        <v>761</v>
      </c>
      <c r="B412" t="s">
        <v>7023</v>
      </c>
      <c r="C412" t="s">
        <v>446</v>
      </c>
      <c r="D412" t="s">
        <v>228</v>
      </c>
      <c r="E412">
        <v>39.99</v>
      </c>
      <c r="F412" t="s">
        <v>8118</v>
      </c>
      <c r="G412">
        <v>492</v>
      </c>
      <c r="H412">
        <v>37</v>
      </c>
      <c r="I412">
        <v>455</v>
      </c>
      <c r="K412">
        <v>1000</v>
      </c>
      <c r="L412" t="s">
        <v>10</v>
      </c>
      <c r="M412">
        <v>593263</v>
      </c>
      <c r="N412">
        <v>9</v>
      </c>
      <c r="O412">
        <v>0.10682624113475175</v>
      </c>
      <c r="P412" t="s">
        <v>7015</v>
      </c>
      <c r="T412">
        <v>40</v>
      </c>
      <c r="U412">
        <v>1799.5500000000002</v>
      </c>
      <c r="V412">
        <v>376</v>
      </c>
    </row>
    <row r="413" spans="1:22" x14ac:dyDescent="0.2">
      <c r="A413" t="s">
        <v>972</v>
      </c>
      <c r="B413" t="s">
        <v>973</v>
      </c>
      <c r="C413" t="s">
        <v>446</v>
      </c>
      <c r="D413" t="s">
        <v>228</v>
      </c>
      <c r="E413">
        <v>44.99</v>
      </c>
      <c r="F413" t="s">
        <v>8118</v>
      </c>
      <c r="G413">
        <v>876</v>
      </c>
      <c r="H413">
        <v>20</v>
      </c>
      <c r="I413">
        <v>856</v>
      </c>
      <c r="K413">
        <v>1000</v>
      </c>
      <c r="L413" t="s">
        <v>10</v>
      </c>
      <c r="M413">
        <v>626754</v>
      </c>
      <c r="N413">
        <v>23</v>
      </c>
      <c r="O413">
        <v>4.2606516290726815E-2</v>
      </c>
      <c r="P413" t="s">
        <v>7015</v>
      </c>
      <c r="T413">
        <v>17</v>
      </c>
      <c r="U413">
        <v>809.82</v>
      </c>
      <c r="V413">
        <v>399</v>
      </c>
    </row>
    <row r="414" spans="1:22" x14ac:dyDescent="0.2">
      <c r="A414" t="s">
        <v>1010</v>
      </c>
      <c r="B414" t="s">
        <v>1011</v>
      </c>
      <c r="C414" t="s">
        <v>446</v>
      </c>
      <c r="D414" t="s">
        <v>290</v>
      </c>
      <c r="E414">
        <v>69.989999999999995</v>
      </c>
      <c r="F414" t="s">
        <v>8118</v>
      </c>
      <c r="L414" t="s">
        <v>10</v>
      </c>
      <c r="M414">
        <v>483279</v>
      </c>
      <c r="N414">
        <v>12</v>
      </c>
      <c r="O414">
        <v>8.6419753086419762E-2</v>
      </c>
      <c r="P414" t="s">
        <v>7015</v>
      </c>
      <c r="T414">
        <v>2</v>
      </c>
      <c r="U414">
        <v>69.989999999999995</v>
      </c>
      <c r="V414">
        <v>27</v>
      </c>
    </row>
    <row r="415" spans="1:22" x14ac:dyDescent="0.2">
      <c r="A415" t="s">
        <v>5014</v>
      </c>
      <c r="B415" t="s">
        <v>5015</v>
      </c>
      <c r="C415" t="s">
        <v>446</v>
      </c>
      <c r="D415" t="s">
        <v>96</v>
      </c>
      <c r="E415">
        <v>49.99</v>
      </c>
      <c r="F415" t="s">
        <v>8118</v>
      </c>
      <c r="L415" t="s">
        <v>10</v>
      </c>
      <c r="M415">
        <v>414336</v>
      </c>
      <c r="N415">
        <v>0</v>
      </c>
      <c r="O415">
        <v>0</v>
      </c>
      <c r="P415" t="s">
        <v>7015</v>
      </c>
      <c r="T415">
        <v>0</v>
      </c>
      <c r="U415">
        <v>0</v>
      </c>
      <c r="V415">
        <v>0</v>
      </c>
    </row>
    <row r="416" spans="1:22" x14ac:dyDescent="0.2">
      <c r="A416" t="s">
        <v>4650</v>
      </c>
      <c r="B416" t="s">
        <v>4651</v>
      </c>
      <c r="C416" t="s">
        <v>446</v>
      </c>
      <c r="D416" t="s">
        <v>96</v>
      </c>
      <c r="E416">
        <v>24.99</v>
      </c>
      <c r="F416" t="s">
        <v>8118</v>
      </c>
      <c r="L416" t="s">
        <v>10</v>
      </c>
      <c r="M416">
        <v>666208</v>
      </c>
      <c r="N416">
        <v>0</v>
      </c>
      <c r="O416">
        <v>0</v>
      </c>
      <c r="P416" t="s">
        <v>7015</v>
      </c>
      <c r="T416">
        <v>0</v>
      </c>
      <c r="U416">
        <v>0</v>
      </c>
      <c r="V416">
        <v>0</v>
      </c>
    </row>
    <row r="417" spans="1:22" x14ac:dyDescent="0.2">
      <c r="A417" t="s">
        <v>932</v>
      </c>
      <c r="B417" t="s">
        <v>933</v>
      </c>
      <c r="C417" t="s">
        <v>446</v>
      </c>
      <c r="D417" t="s">
        <v>228</v>
      </c>
      <c r="E417">
        <v>49.99</v>
      </c>
      <c r="F417" t="s">
        <v>8118</v>
      </c>
      <c r="G417">
        <v>699</v>
      </c>
      <c r="H417">
        <v>91</v>
      </c>
      <c r="I417">
        <v>608</v>
      </c>
      <c r="K417">
        <v>1000</v>
      </c>
      <c r="L417" t="s">
        <v>10</v>
      </c>
      <c r="M417">
        <v>581138</v>
      </c>
      <c r="N417">
        <v>0</v>
      </c>
      <c r="O417">
        <v>0</v>
      </c>
      <c r="P417" t="s">
        <v>7015</v>
      </c>
      <c r="T417">
        <v>0</v>
      </c>
      <c r="U417">
        <v>0</v>
      </c>
      <c r="V417">
        <v>0</v>
      </c>
    </row>
    <row r="418" spans="1:22" x14ac:dyDescent="0.2">
      <c r="A418" t="s">
        <v>934</v>
      </c>
      <c r="B418" t="s">
        <v>935</v>
      </c>
      <c r="C418" t="s">
        <v>446</v>
      </c>
      <c r="D418" t="s">
        <v>228</v>
      </c>
      <c r="E418">
        <v>39.99</v>
      </c>
      <c r="F418" t="s">
        <v>8118</v>
      </c>
      <c r="G418">
        <v>467</v>
      </c>
      <c r="H418">
        <v>120</v>
      </c>
      <c r="I418">
        <v>347</v>
      </c>
      <c r="K418">
        <v>1000</v>
      </c>
      <c r="L418" t="s">
        <v>10</v>
      </c>
      <c r="M418">
        <v>532540</v>
      </c>
      <c r="N418">
        <v>0</v>
      </c>
      <c r="O418">
        <v>0</v>
      </c>
      <c r="P418" t="s">
        <v>7015</v>
      </c>
      <c r="T418">
        <v>0</v>
      </c>
      <c r="U418">
        <v>0</v>
      </c>
      <c r="V418">
        <v>0</v>
      </c>
    </row>
    <row r="419" spans="1:22" x14ac:dyDescent="0.2">
      <c r="A419" t="s">
        <v>7333</v>
      </c>
      <c r="B419" t="s">
        <v>7335</v>
      </c>
      <c r="C419" t="s">
        <v>446</v>
      </c>
      <c r="D419" t="s">
        <v>96</v>
      </c>
      <c r="E419">
        <v>39.99</v>
      </c>
      <c r="F419" t="s">
        <v>8118</v>
      </c>
      <c r="L419" t="s">
        <v>10</v>
      </c>
      <c r="M419">
        <v>471616</v>
      </c>
      <c r="N419">
        <v>0</v>
      </c>
      <c r="O419">
        <v>0</v>
      </c>
      <c r="P419" t="s">
        <v>7015</v>
      </c>
      <c r="T419">
        <v>0</v>
      </c>
      <c r="U419">
        <v>0</v>
      </c>
      <c r="V419">
        <v>0</v>
      </c>
    </row>
    <row r="420" spans="1:22" x14ac:dyDescent="0.2">
      <c r="A420" t="s">
        <v>940</v>
      </c>
      <c r="B420" t="s">
        <v>941</v>
      </c>
      <c r="C420" t="s">
        <v>446</v>
      </c>
      <c r="D420" t="s">
        <v>228</v>
      </c>
      <c r="E420">
        <v>15.99</v>
      </c>
      <c r="F420" t="s">
        <v>8118</v>
      </c>
      <c r="G420">
        <v>3038</v>
      </c>
      <c r="H420">
        <v>44</v>
      </c>
      <c r="I420">
        <v>2994</v>
      </c>
      <c r="J420">
        <v>103</v>
      </c>
      <c r="K420">
        <v>12000</v>
      </c>
      <c r="L420" t="s">
        <v>10</v>
      </c>
      <c r="M420">
        <v>667276</v>
      </c>
      <c r="N420">
        <v>4</v>
      </c>
      <c r="O420">
        <v>0.28454301075268817</v>
      </c>
      <c r="P420" t="s">
        <v>7015</v>
      </c>
      <c r="T420">
        <v>353</v>
      </c>
      <c r="U420">
        <v>4317.3</v>
      </c>
      <c r="V420">
        <v>1240</v>
      </c>
    </row>
    <row r="421" spans="1:22" x14ac:dyDescent="0.2">
      <c r="A421" t="s">
        <v>7316</v>
      </c>
      <c r="B421" t="s">
        <v>7318</v>
      </c>
      <c r="C421" t="s">
        <v>446</v>
      </c>
      <c r="D421" t="s">
        <v>96</v>
      </c>
      <c r="E421">
        <v>34.99</v>
      </c>
      <c r="F421" t="s">
        <v>8118</v>
      </c>
      <c r="L421" t="s">
        <v>10</v>
      </c>
      <c r="M421">
        <v>414344</v>
      </c>
      <c r="N421">
        <v>0</v>
      </c>
      <c r="O421">
        <v>0</v>
      </c>
      <c r="P421" t="s">
        <v>7015</v>
      </c>
      <c r="T421">
        <v>0</v>
      </c>
      <c r="U421">
        <v>0</v>
      </c>
      <c r="V421">
        <v>0</v>
      </c>
    </row>
    <row r="422" spans="1:22" x14ac:dyDescent="0.2">
      <c r="A422" t="s">
        <v>944</v>
      </c>
      <c r="B422" t="s">
        <v>945</v>
      </c>
      <c r="C422" t="s">
        <v>446</v>
      </c>
      <c r="D422" t="s">
        <v>228</v>
      </c>
      <c r="E422">
        <v>39.99</v>
      </c>
      <c r="F422" t="s">
        <v>8118</v>
      </c>
      <c r="G422">
        <v>1003</v>
      </c>
      <c r="H422">
        <v>34</v>
      </c>
      <c r="I422">
        <v>969</v>
      </c>
      <c r="K422">
        <v>2500</v>
      </c>
      <c r="L422" t="s">
        <v>10</v>
      </c>
      <c r="M422">
        <v>667284</v>
      </c>
      <c r="N422">
        <v>6</v>
      </c>
      <c r="O422">
        <v>0.15528233151183973</v>
      </c>
      <c r="P422" t="s">
        <v>7015</v>
      </c>
      <c r="T422">
        <v>57</v>
      </c>
      <c r="U422">
        <v>2039.49</v>
      </c>
      <c r="V422">
        <v>366</v>
      </c>
    </row>
    <row r="423" spans="1:22" x14ac:dyDescent="0.2">
      <c r="A423" t="s">
        <v>789</v>
      </c>
      <c r="B423" t="s">
        <v>790</v>
      </c>
      <c r="C423" t="s">
        <v>446</v>
      </c>
      <c r="D423" t="s">
        <v>228</v>
      </c>
      <c r="E423">
        <v>44.99</v>
      </c>
      <c r="F423" t="s">
        <v>8118</v>
      </c>
      <c r="G423">
        <v>728</v>
      </c>
      <c r="H423">
        <v>36</v>
      </c>
      <c r="I423">
        <v>692</v>
      </c>
      <c r="K423">
        <v>2000</v>
      </c>
      <c r="L423" t="s">
        <v>10</v>
      </c>
      <c r="M423">
        <v>593247</v>
      </c>
      <c r="N423">
        <v>8</v>
      </c>
      <c r="O423">
        <v>0.11777456647398844</v>
      </c>
      <c r="P423" t="s">
        <v>7015</v>
      </c>
      <c r="T423">
        <v>41</v>
      </c>
      <c r="U423">
        <v>1619.64</v>
      </c>
      <c r="V423">
        <v>346</v>
      </c>
    </row>
    <row r="424" spans="1:22" x14ac:dyDescent="0.2">
      <c r="A424" t="s">
        <v>781</v>
      </c>
      <c r="B424" t="s">
        <v>782</v>
      </c>
      <c r="C424" t="s">
        <v>446</v>
      </c>
      <c r="D424" t="s">
        <v>228</v>
      </c>
      <c r="E424">
        <v>44.99</v>
      </c>
      <c r="F424" t="s">
        <v>8118</v>
      </c>
      <c r="G424">
        <v>1084</v>
      </c>
      <c r="H424">
        <v>2</v>
      </c>
      <c r="I424">
        <v>1082</v>
      </c>
      <c r="L424" t="s">
        <v>10</v>
      </c>
      <c r="M424">
        <v>609536</v>
      </c>
      <c r="N424">
        <v>14</v>
      </c>
      <c r="O424">
        <v>7.0238095238095238E-2</v>
      </c>
      <c r="P424" t="s">
        <v>7015</v>
      </c>
      <c r="T424">
        <v>25</v>
      </c>
      <c r="U424">
        <v>989.78000000000009</v>
      </c>
      <c r="V424">
        <v>350</v>
      </c>
    </row>
    <row r="425" spans="1:22" x14ac:dyDescent="0.2">
      <c r="A425" t="s">
        <v>783</v>
      </c>
      <c r="B425" t="s">
        <v>784</v>
      </c>
      <c r="C425" t="s">
        <v>446</v>
      </c>
      <c r="D425" t="s">
        <v>228</v>
      </c>
      <c r="E425">
        <v>44.99</v>
      </c>
      <c r="F425" t="s">
        <v>8118</v>
      </c>
      <c r="G425">
        <v>1068</v>
      </c>
      <c r="H425">
        <v>33</v>
      </c>
      <c r="I425">
        <v>1035</v>
      </c>
      <c r="L425" t="s">
        <v>10</v>
      </c>
      <c r="M425">
        <v>609535</v>
      </c>
      <c r="N425">
        <v>13</v>
      </c>
      <c r="O425">
        <v>7.7795358649789023E-2</v>
      </c>
      <c r="P425" t="s">
        <v>7015</v>
      </c>
      <c r="T425">
        <v>25</v>
      </c>
      <c r="U425">
        <v>1394.69</v>
      </c>
      <c r="V425">
        <v>316</v>
      </c>
    </row>
    <row r="426" spans="1:22" x14ac:dyDescent="0.2">
      <c r="A426" t="s">
        <v>785</v>
      </c>
      <c r="B426" t="s">
        <v>786</v>
      </c>
      <c r="C426" t="s">
        <v>446</v>
      </c>
      <c r="D426" t="s">
        <v>228</v>
      </c>
      <c r="E426">
        <v>44.99</v>
      </c>
      <c r="F426" t="s">
        <v>8118</v>
      </c>
      <c r="G426">
        <v>468</v>
      </c>
      <c r="H426">
        <v>48</v>
      </c>
      <c r="I426">
        <v>420</v>
      </c>
      <c r="K426">
        <v>1000</v>
      </c>
      <c r="L426" t="s">
        <v>10</v>
      </c>
      <c r="M426">
        <v>609534</v>
      </c>
      <c r="N426">
        <v>10</v>
      </c>
      <c r="O426">
        <v>0.1032719836400818</v>
      </c>
      <c r="P426" t="s">
        <v>7015</v>
      </c>
      <c r="T426">
        <v>34</v>
      </c>
      <c r="U426">
        <v>1619.64</v>
      </c>
      <c r="V426">
        <v>326</v>
      </c>
    </row>
    <row r="427" spans="1:22" x14ac:dyDescent="0.2">
      <c r="A427" t="s">
        <v>4694</v>
      </c>
      <c r="B427" t="s">
        <v>4695</v>
      </c>
      <c r="C427" t="s">
        <v>446</v>
      </c>
      <c r="D427" t="s">
        <v>290</v>
      </c>
      <c r="E427">
        <v>59.99</v>
      </c>
      <c r="F427" t="s">
        <v>8118</v>
      </c>
      <c r="G427">
        <v>83</v>
      </c>
      <c r="H427">
        <v>1</v>
      </c>
      <c r="I427">
        <v>82</v>
      </c>
      <c r="L427" t="s">
        <v>10</v>
      </c>
      <c r="M427">
        <v>414376</v>
      </c>
      <c r="N427">
        <v>9</v>
      </c>
      <c r="O427">
        <v>0.10574229691876752</v>
      </c>
      <c r="P427" t="s">
        <v>7015</v>
      </c>
      <c r="T427">
        <v>38</v>
      </c>
      <c r="U427">
        <v>2339.61</v>
      </c>
      <c r="V427">
        <v>357</v>
      </c>
    </row>
    <row r="428" spans="1:22" x14ac:dyDescent="0.2">
      <c r="A428" t="s">
        <v>791</v>
      </c>
      <c r="B428" t="s">
        <v>792</v>
      </c>
      <c r="C428" t="s">
        <v>446</v>
      </c>
      <c r="D428" t="s">
        <v>228</v>
      </c>
      <c r="E428">
        <v>59.99</v>
      </c>
      <c r="F428" t="s">
        <v>8118</v>
      </c>
      <c r="G428">
        <v>1364</v>
      </c>
      <c r="H428">
        <v>28</v>
      </c>
      <c r="I428">
        <v>1336</v>
      </c>
      <c r="L428" t="s">
        <v>10</v>
      </c>
      <c r="M428">
        <v>667268</v>
      </c>
      <c r="N428">
        <v>18</v>
      </c>
      <c r="O428">
        <v>5.6177446102819231E-2</v>
      </c>
      <c r="P428" t="s">
        <v>7015</v>
      </c>
      <c r="T428">
        <v>23</v>
      </c>
      <c r="U428">
        <v>1139.81</v>
      </c>
      <c r="V428">
        <v>402</v>
      </c>
    </row>
    <row r="429" spans="1:22" x14ac:dyDescent="0.2">
      <c r="A429" t="s">
        <v>793</v>
      </c>
      <c r="B429" t="s">
        <v>794</v>
      </c>
      <c r="C429" t="s">
        <v>446</v>
      </c>
      <c r="D429" t="s">
        <v>228</v>
      </c>
      <c r="E429">
        <v>49.99</v>
      </c>
      <c r="F429" t="s">
        <v>8118</v>
      </c>
      <c r="G429">
        <v>1040</v>
      </c>
      <c r="H429">
        <v>56</v>
      </c>
      <c r="I429">
        <v>984</v>
      </c>
      <c r="L429" t="s">
        <v>10</v>
      </c>
      <c r="M429">
        <v>514985</v>
      </c>
      <c r="N429">
        <v>6</v>
      </c>
      <c r="O429">
        <v>0.15740740740740741</v>
      </c>
      <c r="P429" t="s">
        <v>7015</v>
      </c>
      <c r="T429">
        <v>41</v>
      </c>
      <c r="U429">
        <v>1699.66</v>
      </c>
      <c r="V429">
        <v>261</v>
      </c>
    </row>
    <row r="430" spans="1:22" x14ac:dyDescent="0.2">
      <c r="A430" t="s">
        <v>795</v>
      </c>
      <c r="B430" t="s">
        <v>796</v>
      </c>
      <c r="C430" t="s">
        <v>446</v>
      </c>
      <c r="D430" t="s">
        <v>228</v>
      </c>
      <c r="E430">
        <v>129.99</v>
      </c>
      <c r="F430" t="s">
        <v>8118</v>
      </c>
      <c r="G430">
        <v>862</v>
      </c>
      <c r="H430">
        <v>2</v>
      </c>
      <c r="I430">
        <v>860</v>
      </c>
      <c r="K430">
        <v>1000</v>
      </c>
      <c r="L430" t="s">
        <v>10</v>
      </c>
      <c r="M430">
        <v>667768</v>
      </c>
      <c r="N430">
        <v>11</v>
      </c>
      <c r="O430">
        <v>9.0006510416666671E-2</v>
      </c>
      <c r="P430" t="s">
        <v>7015</v>
      </c>
      <c r="T430">
        <v>46</v>
      </c>
      <c r="U430">
        <v>5719.56</v>
      </c>
      <c r="V430">
        <v>512</v>
      </c>
    </row>
    <row r="431" spans="1:22" x14ac:dyDescent="0.2">
      <c r="A431" t="s">
        <v>797</v>
      </c>
      <c r="B431" t="s">
        <v>798</v>
      </c>
      <c r="C431" t="s">
        <v>446</v>
      </c>
      <c r="D431" t="s">
        <v>228</v>
      </c>
      <c r="E431">
        <v>129.99</v>
      </c>
      <c r="F431" t="s">
        <v>8118</v>
      </c>
      <c r="G431">
        <v>1050</v>
      </c>
      <c r="H431">
        <v>23</v>
      </c>
      <c r="I431">
        <v>1027</v>
      </c>
      <c r="K431">
        <v>1000</v>
      </c>
      <c r="L431" t="s">
        <v>10</v>
      </c>
      <c r="M431">
        <v>667767</v>
      </c>
      <c r="N431">
        <v>12</v>
      </c>
      <c r="O431">
        <v>8.1812652068126532E-2</v>
      </c>
      <c r="P431" t="s">
        <v>7015</v>
      </c>
      <c r="T431">
        <v>45</v>
      </c>
      <c r="U431">
        <v>5329.59</v>
      </c>
      <c r="V431">
        <v>548</v>
      </c>
    </row>
    <row r="432" spans="1:22" x14ac:dyDescent="0.2">
      <c r="A432" t="s">
        <v>801</v>
      </c>
      <c r="B432" t="s">
        <v>802</v>
      </c>
      <c r="C432" t="s">
        <v>446</v>
      </c>
      <c r="D432" t="s">
        <v>228</v>
      </c>
      <c r="E432">
        <v>49.99</v>
      </c>
      <c r="F432" t="s">
        <v>8118</v>
      </c>
      <c r="G432">
        <v>972</v>
      </c>
      <c r="H432">
        <v>155</v>
      </c>
      <c r="I432">
        <v>817</v>
      </c>
      <c r="L432" t="s">
        <v>10</v>
      </c>
      <c r="M432">
        <v>514989</v>
      </c>
      <c r="N432">
        <v>7</v>
      </c>
      <c r="O432">
        <v>0.1423611111111111</v>
      </c>
      <c r="P432" t="s">
        <v>7015</v>
      </c>
      <c r="T432">
        <v>27</v>
      </c>
      <c r="U432">
        <v>1649.67</v>
      </c>
      <c r="V432">
        <v>192</v>
      </c>
    </row>
    <row r="433" spans="1:22" x14ac:dyDescent="0.2">
      <c r="A433" t="s">
        <v>4686</v>
      </c>
      <c r="B433" t="s">
        <v>4687</v>
      </c>
      <c r="C433" t="s">
        <v>446</v>
      </c>
      <c r="D433" t="s">
        <v>96</v>
      </c>
      <c r="E433">
        <v>27.99</v>
      </c>
      <c r="F433" t="s">
        <v>8118</v>
      </c>
      <c r="L433" t="s">
        <v>10</v>
      </c>
      <c r="M433">
        <v>414364</v>
      </c>
      <c r="N433">
        <v>11</v>
      </c>
      <c r="O433">
        <v>9.1269841269841279E-2</v>
      </c>
      <c r="P433" t="s">
        <v>7015</v>
      </c>
      <c r="T433">
        <v>2</v>
      </c>
      <c r="U433">
        <v>0</v>
      </c>
      <c r="V433">
        <v>21</v>
      </c>
    </row>
    <row r="434" spans="1:22" x14ac:dyDescent="0.2">
      <c r="A434" t="s">
        <v>4689</v>
      </c>
      <c r="B434" t="s">
        <v>4690</v>
      </c>
      <c r="C434" t="s">
        <v>446</v>
      </c>
      <c r="D434" t="s">
        <v>290</v>
      </c>
      <c r="E434">
        <v>32.99</v>
      </c>
      <c r="F434" t="s">
        <v>8118</v>
      </c>
      <c r="L434" t="s">
        <v>10</v>
      </c>
      <c r="M434">
        <v>414368</v>
      </c>
      <c r="N434">
        <v>10</v>
      </c>
      <c r="O434">
        <v>9.6376811594202902E-2</v>
      </c>
      <c r="P434" t="s">
        <v>7015</v>
      </c>
      <c r="T434">
        <v>22</v>
      </c>
      <c r="U434">
        <v>494.85</v>
      </c>
      <c r="V434">
        <v>230</v>
      </c>
    </row>
    <row r="435" spans="1:22" x14ac:dyDescent="0.2">
      <c r="A435" t="s">
        <v>841</v>
      </c>
      <c r="B435" t="s">
        <v>842</v>
      </c>
      <c r="C435" t="s">
        <v>446</v>
      </c>
      <c r="D435" t="s">
        <v>228</v>
      </c>
      <c r="E435">
        <v>54.99</v>
      </c>
      <c r="F435" t="s">
        <v>8118</v>
      </c>
      <c r="G435">
        <v>525</v>
      </c>
      <c r="H435">
        <v>37</v>
      </c>
      <c r="I435">
        <v>488</v>
      </c>
      <c r="K435">
        <v>1000</v>
      </c>
      <c r="L435" t="s">
        <v>10</v>
      </c>
      <c r="M435">
        <v>414372</v>
      </c>
      <c r="N435">
        <v>11</v>
      </c>
      <c r="O435">
        <v>8.8308457711442787E-2</v>
      </c>
      <c r="P435" t="s">
        <v>7015</v>
      </c>
      <c r="T435">
        <v>36</v>
      </c>
      <c r="U435">
        <v>1759.68</v>
      </c>
      <c r="V435">
        <v>402</v>
      </c>
    </row>
    <row r="436" spans="1:22" x14ac:dyDescent="0.2">
      <c r="A436" t="s">
        <v>970</v>
      </c>
      <c r="B436" t="s">
        <v>971</v>
      </c>
      <c r="C436" t="s">
        <v>446</v>
      </c>
      <c r="D436" t="s">
        <v>228</v>
      </c>
      <c r="E436">
        <v>69.989999999999995</v>
      </c>
      <c r="F436" t="s">
        <v>8118</v>
      </c>
      <c r="G436">
        <v>1178</v>
      </c>
      <c r="H436">
        <v>42</v>
      </c>
      <c r="I436">
        <v>1136</v>
      </c>
      <c r="L436" t="s">
        <v>10</v>
      </c>
      <c r="M436">
        <v>609528</v>
      </c>
      <c r="N436">
        <v>20</v>
      </c>
      <c r="O436">
        <v>4.8816568047337278E-2</v>
      </c>
      <c r="P436" t="s">
        <v>7015</v>
      </c>
      <c r="T436">
        <v>16</v>
      </c>
      <c r="U436">
        <v>1259.82</v>
      </c>
      <c r="V436">
        <v>338</v>
      </c>
    </row>
    <row r="437" spans="1:22" x14ac:dyDescent="0.2">
      <c r="A437" t="s">
        <v>775</v>
      </c>
      <c r="B437" t="s">
        <v>776</v>
      </c>
      <c r="C437" t="s">
        <v>446</v>
      </c>
      <c r="D437" t="s">
        <v>228</v>
      </c>
      <c r="E437">
        <v>34.99</v>
      </c>
      <c r="F437" t="s">
        <v>8118</v>
      </c>
      <c r="G437">
        <v>995</v>
      </c>
      <c r="H437">
        <v>120</v>
      </c>
      <c r="I437">
        <v>875</v>
      </c>
      <c r="K437">
        <v>2000</v>
      </c>
      <c r="L437" t="s">
        <v>10</v>
      </c>
      <c r="M437">
        <v>514980</v>
      </c>
      <c r="N437">
        <v>7</v>
      </c>
      <c r="O437">
        <v>0.13464912280701757</v>
      </c>
      <c r="P437" t="s">
        <v>7015</v>
      </c>
      <c r="T437">
        <v>51</v>
      </c>
      <c r="U437">
        <v>1609.5400000000002</v>
      </c>
      <c r="V437">
        <v>380</v>
      </c>
    </row>
    <row r="438" spans="1:22" x14ac:dyDescent="0.2">
      <c r="A438" t="s">
        <v>5012</v>
      </c>
      <c r="B438" t="s">
        <v>5013</v>
      </c>
      <c r="C438" t="s">
        <v>446</v>
      </c>
      <c r="D438" t="s">
        <v>96</v>
      </c>
      <c r="E438">
        <v>44.99</v>
      </c>
      <c r="F438" t="s">
        <v>8118</v>
      </c>
      <c r="L438" t="s">
        <v>10</v>
      </c>
      <c r="M438">
        <v>414332</v>
      </c>
      <c r="N438">
        <v>0</v>
      </c>
      <c r="O438">
        <v>0</v>
      </c>
      <c r="P438" t="s">
        <v>7015</v>
      </c>
      <c r="T438">
        <v>0</v>
      </c>
      <c r="U438">
        <v>0</v>
      </c>
      <c r="V438">
        <v>0</v>
      </c>
    </row>
    <row r="439" spans="1:22" x14ac:dyDescent="0.2">
      <c r="A439" t="s">
        <v>773</v>
      </c>
      <c r="B439" t="s">
        <v>774</v>
      </c>
      <c r="C439" t="s">
        <v>446</v>
      </c>
      <c r="D439" t="s">
        <v>228</v>
      </c>
      <c r="E439">
        <v>149.99</v>
      </c>
      <c r="F439" t="s">
        <v>8118</v>
      </c>
      <c r="G439">
        <v>879</v>
      </c>
      <c r="H439">
        <v>46</v>
      </c>
      <c r="I439">
        <v>833</v>
      </c>
      <c r="K439">
        <v>1001</v>
      </c>
      <c r="L439" t="s">
        <v>10</v>
      </c>
      <c r="M439">
        <v>667766</v>
      </c>
      <c r="N439">
        <v>12</v>
      </c>
      <c r="O439">
        <v>8.3809523809523806E-2</v>
      </c>
      <c r="P439" t="s">
        <v>7015</v>
      </c>
      <c r="T439">
        <v>29</v>
      </c>
      <c r="U439">
        <v>3299.78</v>
      </c>
      <c r="V439">
        <v>350</v>
      </c>
    </row>
    <row r="440" spans="1:22" x14ac:dyDescent="0.2">
      <c r="A440" t="s">
        <v>765</v>
      </c>
      <c r="B440" t="s">
        <v>766</v>
      </c>
      <c r="C440" t="s">
        <v>446</v>
      </c>
      <c r="D440" t="s">
        <v>228</v>
      </c>
      <c r="E440">
        <v>39.99</v>
      </c>
      <c r="F440" t="s">
        <v>8118</v>
      </c>
      <c r="G440">
        <v>244</v>
      </c>
      <c r="H440">
        <v>170</v>
      </c>
      <c r="I440">
        <v>74</v>
      </c>
      <c r="K440">
        <v>4000</v>
      </c>
      <c r="L440" t="s">
        <v>10</v>
      </c>
      <c r="M440">
        <v>514859</v>
      </c>
      <c r="N440">
        <v>3</v>
      </c>
      <c r="O440">
        <v>0.2871024734982332</v>
      </c>
      <c r="P440" t="s">
        <v>7015</v>
      </c>
      <c r="T440">
        <v>81</v>
      </c>
      <c r="U440">
        <v>2279.4300000000003</v>
      </c>
      <c r="V440">
        <v>283</v>
      </c>
    </row>
    <row r="441" spans="1:22" x14ac:dyDescent="0.2">
      <c r="A441" t="s">
        <v>948</v>
      </c>
      <c r="B441" t="s">
        <v>8122</v>
      </c>
      <c r="C441" t="s">
        <v>446</v>
      </c>
      <c r="D441" t="s">
        <v>228</v>
      </c>
      <c r="E441">
        <v>34.99</v>
      </c>
      <c r="F441" t="s">
        <v>8118</v>
      </c>
      <c r="G441">
        <v>120</v>
      </c>
      <c r="H441">
        <v>120</v>
      </c>
      <c r="J441">
        <v>12</v>
      </c>
      <c r="K441">
        <v>3000</v>
      </c>
      <c r="L441" t="s">
        <v>10</v>
      </c>
      <c r="M441">
        <v>667274</v>
      </c>
      <c r="N441">
        <v>9</v>
      </c>
      <c r="O441">
        <v>0.11763211382113822</v>
      </c>
      <c r="P441" t="s">
        <v>7015</v>
      </c>
      <c r="T441">
        <v>39</v>
      </c>
      <c r="U441">
        <v>1154.67</v>
      </c>
      <c r="V441">
        <v>328</v>
      </c>
    </row>
    <row r="442" spans="1:22" x14ac:dyDescent="0.2">
      <c r="A442" t="s">
        <v>912</v>
      </c>
      <c r="B442" t="s">
        <v>913</v>
      </c>
      <c r="C442" t="s">
        <v>446</v>
      </c>
      <c r="D442" t="s">
        <v>228</v>
      </c>
      <c r="E442">
        <v>89.99</v>
      </c>
      <c r="F442" t="s">
        <v>8118</v>
      </c>
      <c r="G442">
        <v>1249</v>
      </c>
      <c r="H442">
        <v>28</v>
      </c>
      <c r="I442">
        <v>1221</v>
      </c>
      <c r="L442" t="s">
        <v>10</v>
      </c>
      <c r="M442">
        <v>525769</v>
      </c>
      <c r="N442">
        <v>0</v>
      </c>
      <c r="O442">
        <v>0</v>
      </c>
      <c r="P442" t="s">
        <v>7015</v>
      </c>
      <c r="T442">
        <v>0</v>
      </c>
      <c r="U442">
        <v>0</v>
      </c>
      <c r="V442">
        <v>0</v>
      </c>
    </row>
    <row r="443" spans="1:22" x14ac:dyDescent="0.2">
      <c r="A443" t="s">
        <v>5016</v>
      </c>
      <c r="B443" t="s">
        <v>5017</v>
      </c>
      <c r="C443" t="s">
        <v>446</v>
      </c>
      <c r="D443" t="s">
        <v>96</v>
      </c>
      <c r="E443">
        <v>49.99</v>
      </c>
      <c r="F443" t="s">
        <v>8118</v>
      </c>
      <c r="L443" t="s">
        <v>10</v>
      </c>
      <c r="M443">
        <v>414340</v>
      </c>
      <c r="N443">
        <v>0</v>
      </c>
      <c r="O443">
        <v>0</v>
      </c>
      <c r="P443" t="s">
        <v>7015</v>
      </c>
      <c r="T443">
        <v>0</v>
      </c>
      <c r="U443">
        <v>0</v>
      </c>
      <c r="V443">
        <v>0</v>
      </c>
    </row>
    <row r="444" spans="1:22" x14ac:dyDescent="0.2">
      <c r="A444" t="s">
        <v>950</v>
      </c>
      <c r="B444" t="s">
        <v>951</v>
      </c>
      <c r="C444" t="s">
        <v>446</v>
      </c>
      <c r="D444" t="s">
        <v>228</v>
      </c>
      <c r="E444">
        <v>59.99</v>
      </c>
      <c r="F444" t="s">
        <v>8118</v>
      </c>
      <c r="G444">
        <v>1080</v>
      </c>
      <c r="H444">
        <v>89</v>
      </c>
      <c r="I444">
        <v>991</v>
      </c>
      <c r="K444">
        <v>3000</v>
      </c>
      <c r="L444" t="s">
        <v>10</v>
      </c>
      <c r="M444">
        <v>414348</v>
      </c>
      <c r="N444">
        <v>3</v>
      </c>
      <c r="O444">
        <v>0.28628277153558052</v>
      </c>
      <c r="P444" t="s">
        <v>7015</v>
      </c>
      <c r="T444">
        <v>102</v>
      </c>
      <c r="U444">
        <v>6238.96</v>
      </c>
      <c r="V444">
        <v>356</v>
      </c>
    </row>
    <row r="445" spans="1:22" x14ac:dyDescent="0.2">
      <c r="A445" t="s">
        <v>952</v>
      </c>
      <c r="B445" t="s">
        <v>953</v>
      </c>
      <c r="C445" t="s">
        <v>446</v>
      </c>
      <c r="D445" t="s">
        <v>228</v>
      </c>
      <c r="E445">
        <v>64.989999999999995</v>
      </c>
      <c r="F445" t="s">
        <v>8118</v>
      </c>
      <c r="G445">
        <v>378</v>
      </c>
      <c r="H445">
        <v>146</v>
      </c>
      <c r="I445">
        <v>232</v>
      </c>
      <c r="K445">
        <v>2000</v>
      </c>
      <c r="L445" t="s">
        <v>10</v>
      </c>
      <c r="M445">
        <v>414352</v>
      </c>
      <c r="N445">
        <v>7</v>
      </c>
      <c r="O445">
        <v>0.14583333333333334</v>
      </c>
      <c r="P445" t="s">
        <v>7015</v>
      </c>
      <c r="T445">
        <v>49</v>
      </c>
      <c r="U445">
        <v>3379.4799999999996</v>
      </c>
      <c r="V445">
        <v>336</v>
      </c>
    </row>
    <row r="446" spans="1:22" x14ac:dyDescent="0.2">
      <c r="A446" t="s">
        <v>956</v>
      </c>
      <c r="B446" t="s">
        <v>957</v>
      </c>
      <c r="C446" t="s">
        <v>446</v>
      </c>
      <c r="D446" t="s">
        <v>228</v>
      </c>
      <c r="E446">
        <v>29.99</v>
      </c>
      <c r="F446" t="s">
        <v>8118</v>
      </c>
      <c r="G446">
        <v>1474</v>
      </c>
      <c r="H446">
        <v>345</v>
      </c>
      <c r="I446">
        <v>1129</v>
      </c>
      <c r="K446">
        <v>4000</v>
      </c>
      <c r="L446" t="s">
        <v>10</v>
      </c>
      <c r="M446">
        <v>667278</v>
      </c>
      <c r="N446">
        <v>4</v>
      </c>
      <c r="O446">
        <v>0.25710108604845444</v>
      </c>
      <c r="P446" t="s">
        <v>7015</v>
      </c>
      <c r="T446">
        <v>103</v>
      </c>
      <c r="U446">
        <v>2969.0099999999998</v>
      </c>
      <c r="V446">
        <v>399</v>
      </c>
    </row>
    <row r="447" spans="1:22" x14ac:dyDescent="0.2">
      <c r="A447" t="s">
        <v>962</v>
      </c>
      <c r="B447" t="s">
        <v>963</v>
      </c>
      <c r="C447" t="s">
        <v>446</v>
      </c>
      <c r="D447" t="s">
        <v>228</v>
      </c>
      <c r="E447">
        <v>14.99</v>
      </c>
      <c r="F447" t="s">
        <v>8118</v>
      </c>
      <c r="G447">
        <v>1026</v>
      </c>
      <c r="H447">
        <v>1026</v>
      </c>
      <c r="J447">
        <v>16</v>
      </c>
      <c r="K447">
        <v>7000</v>
      </c>
      <c r="L447" t="s">
        <v>10</v>
      </c>
      <c r="M447">
        <v>667280</v>
      </c>
      <c r="N447">
        <v>3</v>
      </c>
      <c r="O447">
        <v>0.3996881496881497</v>
      </c>
      <c r="P447" t="s">
        <v>7015</v>
      </c>
      <c r="T447">
        <v>192</v>
      </c>
      <c r="U447">
        <v>2923.05</v>
      </c>
      <c r="V447">
        <v>481</v>
      </c>
    </row>
    <row r="448" spans="1:22" x14ac:dyDescent="0.2">
      <c r="A448" t="s">
        <v>807</v>
      </c>
      <c r="B448" t="s">
        <v>808</v>
      </c>
      <c r="C448" t="s">
        <v>446</v>
      </c>
      <c r="D448" t="s">
        <v>228</v>
      </c>
      <c r="E448">
        <v>19.989999999999998</v>
      </c>
      <c r="F448" t="s">
        <v>8118</v>
      </c>
      <c r="G448">
        <v>1006</v>
      </c>
      <c r="H448">
        <v>111</v>
      </c>
      <c r="I448">
        <v>895</v>
      </c>
      <c r="K448">
        <v>2000</v>
      </c>
      <c r="L448" t="s">
        <v>10</v>
      </c>
      <c r="M448">
        <v>586311</v>
      </c>
      <c r="N448">
        <v>5</v>
      </c>
      <c r="O448">
        <v>0.19891774891774891</v>
      </c>
      <c r="P448" t="s">
        <v>7015</v>
      </c>
      <c r="T448">
        <v>77</v>
      </c>
      <c r="U448">
        <v>1879.06</v>
      </c>
      <c r="V448">
        <v>385</v>
      </c>
    </row>
    <row r="449" spans="1:22" x14ac:dyDescent="0.2">
      <c r="A449" t="s">
        <v>966</v>
      </c>
      <c r="B449" t="s">
        <v>967</v>
      </c>
      <c r="C449" t="s">
        <v>446</v>
      </c>
      <c r="D449" t="s">
        <v>228</v>
      </c>
      <c r="E449">
        <v>59.99</v>
      </c>
      <c r="F449" t="s">
        <v>8118</v>
      </c>
      <c r="G449">
        <v>1064</v>
      </c>
      <c r="H449">
        <v>1</v>
      </c>
      <c r="I449">
        <v>1063</v>
      </c>
      <c r="L449" t="s">
        <v>10</v>
      </c>
      <c r="M449">
        <v>609526</v>
      </c>
      <c r="N449">
        <v>16</v>
      </c>
      <c r="O449">
        <v>6.4420803782505906E-2</v>
      </c>
      <c r="P449" t="s">
        <v>7015</v>
      </c>
      <c r="T449">
        <v>27</v>
      </c>
      <c r="U449">
        <v>1499.75</v>
      </c>
      <c r="V449">
        <v>423</v>
      </c>
    </row>
    <row r="450" spans="1:22" x14ac:dyDescent="0.2">
      <c r="A450" t="s">
        <v>968</v>
      </c>
      <c r="B450" t="s">
        <v>969</v>
      </c>
      <c r="C450" t="s">
        <v>446</v>
      </c>
      <c r="D450" t="s">
        <v>228</v>
      </c>
      <c r="E450">
        <v>59.99</v>
      </c>
      <c r="F450" t="s">
        <v>8118</v>
      </c>
      <c r="G450">
        <v>261</v>
      </c>
      <c r="H450">
        <v>32</v>
      </c>
      <c r="I450">
        <v>229</v>
      </c>
      <c r="L450" t="s">
        <v>10</v>
      </c>
      <c r="M450">
        <v>609527</v>
      </c>
      <c r="N450">
        <v>21</v>
      </c>
      <c r="O450">
        <v>4.736371760500447E-2</v>
      </c>
      <c r="P450" t="s">
        <v>7015</v>
      </c>
      <c r="T450">
        <v>18</v>
      </c>
      <c r="U450">
        <v>1019.83</v>
      </c>
      <c r="V450">
        <v>373</v>
      </c>
    </row>
    <row r="451" spans="1:22" x14ac:dyDescent="0.2">
      <c r="A451" t="s">
        <v>4633</v>
      </c>
      <c r="B451" t="s">
        <v>4634</v>
      </c>
      <c r="C451" t="s">
        <v>446</v>
      </c>
      <c r="D451" t="s">
        <v>290</v>
      </c>
      <c r="E451">
        <v>34.99</v>
      </c>
      <c r="F451" t="s">
        <v>8118</v>
      </c>
      <c r="G451">
        <v>325</v>
      </c>
      <c r="H451">
        <v>2</v>
      </c>
      <c r="I451">
        <v>323</v>
      </c>
      <c r="L451" t="s">
        <v>10</v>
      </c>
      <c r="M451">
        <v>437272</v>
      </c>
      <c r="N451">
        <v>0</v>
      </c>
      <c r="O451">
        <v>0</v>
      </c>
      <c r="P451" t="s">
        <v>7015</v>
      </c>
      <c r="T451">
        <v>0</v>
      </c>
      <c r="U451">
        <v>0</v>
      </c>
      <c r="V451">
        <v>0</v>
      </c>
    </row>
    <row r="452" spans="1:22" x14ac:dyDescent="0.2">
      <c r="A452" t="s">
        <v>4972</v>
      </c>
      <c r="B452" t="s">
        <v>4973</v>
      </c>
      <c r="C452" t="s">
        <v>446</v>
      </c>
      <c r="D452" t="s">
        <v>96</v>
      </c>
      <c r="E452">
        <v>79.989999999999995</v>
      </c>
      <c r="F452" t="s">
        <v>8118</v>
      </c>
      <c r="L452" t="s">
        <v>10</v>
      </c>
      <c r="M452">
        <v>477720</v>
      </c>
      <c r="N452">
        <v>32</v>
      </c>
      <c r="O452">
        <v>3.140096618357488E-2</v>
      </c>
      <c r="P452" t="s">
        <v>7015</v>
      </c>
      <c r="T452">
        <v>2</v>
      </c>
      <c r="U452">
        <v>159.97999999999999</v>
      </c>
      <c r="V452">
        <v>69</v>
      </c>
    </row>
    <row r="453" spans="1:22" x14ac:dyDescent="0.2">
      <c r="A453" t="s">
        <v>787</v>
      </c>
      <c r="B453" t="s">
        <v>788</v>
      </c>
      <c r="C453" t="s">
        <v>446</v>
      </c>
      <c r="D453" t="s">
        <v>228</v>
      </c>
      <c r="E453">
        <v>44.99</v>
      </c>
      <c r="F453" t="s">
        <v>8118</v>
      </c>
      <c r="G453">
        <v>1525</v>
      </c>
      <c r="H453">
        <v>211</v>
      </c>
      <c r="I453">
        <v>1314</v>
      </c>
      <c r="K453">
        <v>2000</v>
      </c>
      <c r="L453" t="s">
        <v>10</v>
      </c>
      <c r="M453">
        <v>495344</v>
      </c>
      <c r="N453">
        <v>4</v>
      </c>
      <c r="O453">
        <v>0.23378995433789951</v>
      </c>
      <c r="P453" t="s">
        <v>7015</v>
      </c>
      <c r="T453">
        <v>85</v>
      </c>
      <c r="U453">
        <v>3149.3</v>
      </c>
      <c r="V453">
        <v>365</v>
      </c>
    </row>
    <row r="454" spans="1:22" x14ac:dyDescent="0.2">
      <c r="A454" t="s">
        <v>759</v>
      </c>
      <c r="B454" t="s">
        <v>760</v>
      </c>
      <c r="C454" t="s">
        <v>446</v>
      </c>
      <c r="D454" t="s">
        <v>228</v>
      </c>
      <c r="E454">
        <v>39.99</v>
      </c>
      <c r="F454" t="s">
        <v>8118</v>
      </c>
      <c r="G454">
        <v>42</v>
      </c>
      <c r="H454">
        <v>42</v>
      </c>
      <c r="K454">
        <v>4000</v>
      </c>
      <c r="L454" t="s">
        <v>10</v>
      </c>
      <c r="M454">
        <v>514935</v>
      </c>
      <c r="N454">
        <v>4</v>
      </c>
      <c r="O454">
        <v>0.25462962962962965</v>
      </c>
      <c r="P454" t="s">
        <v>7015</v>
      </c>
      <c r="T454">
        <v>96</v>
      </c>
      <c r="U454">
        <v>2959.26</v>
      </c>
      <c r="V454">
        <v>378</v>
      </c>
    </row>
    <row r="455" spans="1:22" x14ac:dyDescent="0.2">
      <c r="A455" t="s">
        <v>769</v>
      </c>
      <c r="B455" t="s">
        <v>770</v>
      </c>
      <c r="C455" t="s">
        <v>446</v>
      </c>
      <c r="D455" t="s">
        <v>228</v>
      </c>
      <c r="E455">
        <v>49.99</v>
      </c>
      <c r="F455" t="s">
        <v>8118</v>
      </c>
      <c r="G455">
        <v>893</v>
      </c>
      <c r="H455">
        <v>148</v>
      </c>
      <c r="I455">
        <v>745</v>
      </c>
      <c r="K455">
        <v>1000</v>
      </c>
      <c r="L455" t="s">
        <v>10</v>
      </c>
      <c r="M455">
        <v>667272</v>
      </c>
      <c r="N455">
        <v>8</v>
      </c>
      <c r="O455">
        <v>0.12524271844660195</v>
      </c>
      <c r="P455" t="s">
        <v>7015</v>
      </c>
      <c r="T455">
        <v>64</v>
      </c>
      <c r="U455">
        <v>3849.23</v>
      </c>
      <c r="V455">
        <v>515</v>
      </c>
    </row>
    <row r="456" spans="1:22" x14ac:dyDescent="0.2">
      <c r="A456" t="s">
        <v>643</v>
      </c>
      <c r="B456" t="s">
        <v>644</v>
      </c>
      <c r="C456" t="s">
        <v>446</v>
      </c>
      <c r="D456" t="s">
        <v>228</v>
      </c>
      <c r="E456">
        <v>99.99</v>
      </c>
      <c r="F456" t="s">
        <v>8118</v>
      </c>
      <c r="G456">
        <v>835</v>
      </c>
      <c r="H456">
        <v>382</v>
      </c>
      <c r="I456">
        <v>453</v>
      </c>
      <c r="K456">
        <v>4200</v>
      </c>
      <c r="L456" t="s">
        <v>7032</v>
      </c>
      <c r="M456" t="s">
        <v>97</v>
      </c>
      <c r="N456">
        <v>0</v>
      </c>
      <c r="O456">
        <v>0</v>
      </c>
      <c r="T456">
        <v>0.2</v>
      </c>
      <c r="U456">
        <v>0</v>
      </c>
      <c r="V456">
        <v>0</v>
      </c>
    </row>
    <row r="457" spans="1:22" x14ac:dyDescent="0.2">
      <c r="A457" t="s">
        <v>892</v>
      </c>
      <c r="B457" t="s">
        <v>893</v>
      </c>
      <c r="C457" t="s">
        <v>446</v>
      </c>
      <c r="D457" t="s">
        <v>228</v>
      </c>
      <c r="E457">
        <v>29.99</v>
      </c>
      <c r="F457" t="s">
        <v>8118</v>
      </c>
      <c r="G457">
        <v>567</v>
      </c>
      <c r="H457">
        <v>109</v>
      </c>
      <c r="I457">
        <v>458</v>
      </c>
      <c r="K457">
        <v>1000</v>
      </c>
      <c r="L457" t="s">
        <v>7032</v>
      </c>
      <c r="M457" t="s">
        <v>97</v>
      </c>
      <c r="N457">
        <v>0</v>
      </c>
      <c r="O457">
        <v>0</v>
      </c>
      <c r="T457">
        <v>0</v>
      </c>
      <c r="U457">
        <v>0</v>
      </c>
      <c r="V457">
        <v>2</v>
      </c>
    </row>
    <row r="458" spans="1:22" x14ac:dyDescent="0.2">
      <c r="A458" t="s">
        <v>888</v>
      </c>
      <c r="B458" t="s">
        <v>889</v>
      </c>
      <c r="C458" t="s">
        <v>446</v>
      </c>
      <c r="D458" t="s">
        <v>228</v>
      </c>
      <c r="E458">
        <v>39.99</v>
      </c>
      <c r="F458" t="s">
        <v>8118</v>
      </c>
      <c r="G458">
        <v>137</v>
      </c>
      <c r="H458">
        <v>16</v>
      </c>
      <c r="I458">
        <v>121</v>
      </c>
      <c r="L458" t="s">
        <v>7032</v>
      </c>
      <c r="M458" t="s">
        <v>97</v>
      </c>
      <c r="N458">
        <v>0</v>
      </c>
      <c r="O458">
        <v>0</v>
      </c>
      <c r="T458">
        <v>0</v>
      </c>
      <c r="U458">
        <v>0</v>
      </c>
      <c r="V458">
        <v>0</v>
      </c>
    </row>
    <row r="459" spans="1:22" x14ac:dyDescent="0.2">
      <c r="A459" t="s">
        <v>890</v>
      </c>
      <c r="B459" t="s">
        <v>891</v>
      </c>
      <c r="C459" t="s">
        <v>446</v>
      </c>
      <c r="D459" t="s">
        <v>228</v>
      </c>
      <c r="E459">
        <v>29.99</v>
      </c>
      <c r="F459" t="s">
        <v>8118</v>
      </c>
      <c r="G459">
        <v>866</v>
      </c>
      <c r="H459">
        <v>86</v>
      </c>
      <c r="I459">
        <v>780</v>
      </c>
      <c r="K459">
        <v>2000</v>
      </c>
      <c r="L459" t="s">
        <v>7032</v>
      </c>
      <c r="M459" t="s">
        <v>97</v>
      </c>
      <c r="N459">
        <v>0</v>
      </c>
      <c r="O459">
        <v>0</v>
      </c>
      <c r="T459">
        <v>0</v>
      </c>
      <c r="U459">
        <v>0</v>
      </c>
      <c r="V459">
        <v>0</v>
      </c>
    </row>
    <row r="460" spans="1:22" x14ac:dyDescent="0.2">
      <c r="A460" t="s">
        <v>886</v>
      </c>
      <c r="B460" t="s">
        <v>887</v>
      </c>
      <c r="C460" t="s">
        <v>446</v>
      </c>
      <c r="D460" t="s">
        <v>228</v>
      </c>
      <c r="E460">
        <v>39.99</v>
      </c>
      <c r="F460" t="s">
        <v>8118</v>
      </c>
      <c r="G460">
        <v>104</v>
      </c>
      <c r="H460">
        <v>2</v>
      </c>
      <c r="I460">
        <v>102</v>
      </c>
      <c r="L460" t="s">
        <v>7032</v>
      </c>
      <c r="M460" t="s">
        <v>97</v>
      </c>
      <c r="N460">
        <v>0</v>
      </c>
      <c r="O460">
        <v>0</v>
      </c>
      <c r="T460">
        <v>0</v>
      </c>
      <c r="U460">
        <v>0</v>
      </c>
      <c r="V460">
        <v>0</v>
      </c>
    </row>
    <row r="461" spans="1:22" x14ac:dyDescent="0.2">
      <c r="A461" t="s">
        <v>4947</v>
      </c>
      <c r="B461" t="s">
        <v>4948</v>
      </c>
      <c r="C461" t="s">
        <v>446</v>
      </c>
      <c r="D461" t="s">
        <v>96</v>
      </c>
      <c r="E461">
        <v>99.99</v>
      </c>
      <c r="F461" t="s">
        <v>8118</v>
      </c>
      <c r="L461" t="s">
        <v>7032</v>
      </c>
      <c r="M461" t="s">
        <v>97</v>
      </c>
      <c r="N461">
        <v>0</v>
      </c>
      <c r="O461">
        <v>0</v>
      </c>
      <c r="T461">
        <v>0.2</v>
      </c>
      <c r="U461">
        <v>0</v>
      </c>
      <c r="V461">
        <v>0</v>
      </c>
    </row>
    <row r="462" spans="1:22" x14ac:dyDescent="0.2">
      <c r="A462" t="s">
        <v>651</v>
      </c>
      <c r="B462" t="s">
        <v>652</v>
      </c>
      <c r="C462" t="s">
        <v>446</v>
      </c>
      <c r="D462" t="s">
        <v>228</v>
      </c>
      <c r="E462">
        <v>59.99</v>
      </c>
      <c r="F462" t="s">
        <v>8118</v>
      </c>
      <c r="G462">
        <v>451</v>
      </c>
      <c r="H462">
        <v>31</v>
      </c>
      <c r="I462">
        <v>420</v>
      </c>
      <c r="K462">
        <v>1000</v>
      </c>
      <c r="L462" t="s">
        <v>7032</v>
      </c>
      <c r="M462" t="s">
        <v>97</v>
      </c>
      <c r="N462">
        <v>0</v>
      </c>
      <c r="O462">
        <v>0</v>
      </c>
      <c r="T462">
        <v>0</v>
      </c>
      <c r="U462">
        <v>0</v>
      </c>
      <c r="V462">
        <v>1</v>
      </c>
    </row>
    <row r="463" spans="1:22" x14ac:dyDescent="0.2">
      <c r="A463" t="s">
        <v>7500</v>
      </c>
      <c r="B463" t="s">
        <v>7501</v>
      </c>
      <c r="C463" t="s">
        <v>446</v>
      </c>
      <c r="D463" t="s">
        <v>96</v>
      </c>
      <c r="E463">
        <v>59.99</v>
      </c>
      <c r="F463" t="s">
        <v>8118</v>
      </c>
      <c r="L463" t="s">
        <v>7032</v>
      </c>
      <c r="M463" t="s">
        <v>97</v>
      </c>
      <c r="N463">
        <v>0</v>
      </c>
      <c r="O463">
        <v>0</v>
      </c>
      <c r="T463">
        <v>0</v>
      </c>
      <c r="U463">
        <v>0</v>
      </c>
      <c r="V463">
        <v>0</v>
      </c>
    </row>
    <row r="464" spans="1:22" x14ac:dyDescent="0.2">
      <c r="A464" t="s">
        <v>7498</v>
      </c>
      <c r="B464" t="s">
        <v>7499</v>
      </c>
      <c r="C464" t="s">
        <v>446</v>
      </c>
      <c r="D464" t="s">
        <v>96</v>
      </c>
      <c r="E464">
        <v>99.99</v>
      </c>
      <c r="F464" t="s">
        <v>8118</v>
      </c>
      <c r="L464" t="s">
        <v>7032</v>
      </c>
      <c r="M464" t="s">
        <v>97</v>
      </c>
      <c r="N464">
        <v>0</v>
      </c>
      <c r="O464">
        <v>0</v>
      </c>
      <c r="T464">
        <v>0</v>
      </c>
      <c r="U464">
        <v>0</v>
      </c>
      <c r="V464">
        <v>0</v>
      </c>
    </row>
    <row r="465" spans="1:22" x14ac:dyDescent="0.2">
      <c r="A465" t="s">
        <v>1008</v>
      </c>
      <c r="B465" t="s">
        <v>1009</v>
      </c>
      <c r="C465" t="s">
        <v>446</v>
      </c>
      <c r="D465" t="s">
        <v>228</v>
      </c>
      <c r="E465">
        <v>29.99</v>
      </c>
      <c r="F465" t="s">
        <v>8118</v>
      </c>
      <c r="G465">
        <v>701</v>
      </c>
      <c r="H465">
        <v>12</v>
      </c>
      <c r="I465">
        <v>689</v>
      </c>
      <c r="K465">
        <v>1000</v>
      </c>
      <c r="L465" t="s">
        <v>7032</v>
      </c>
      <c r="M465" t="s">
        <v>97</v>
      </c>
      <c r="N465">
        <v>0</v>
      </c>
      <c r="O465">
        <v>0</v>
      </c>
      <c r="T465">
        <v>0</v>
      </c>
      <c r="U465">
        <v>0</v>
      </c>
      <c r="V465">
        <v>3</v>
      </c>
    </row>
    <row r="466" spans="1:22" x14ac:dyDescent="0.2">
      <c r="A466" t="s">
        <v>859</v>
      </c>
      <c r="B466" t="s">
        <v>860</v>
      </c>
      <c r="C466" t="s">
        <v>446</v>
      </c>
      <c r="D466" t="s">
        <v>290</v>
      </c>
      <c r="E466">
        <v>99.99</v>
      </c>
      <c r="F466" t="s">
        <v>8118</v>
      </c>
      <c r="G466">
        <v>2</v>
      </c>
      <c r="H466">
        <v>2</v>
      </c>
      <c r="L466" t="s">
        <v>7032</v>
      </c>
      <c r="M466" t="s">
        <v>97</v>
      </c>
      <c r="N466">
        <v>0</v>
      </c>
      <c r="O466">
        <v>0</v>
      </c>
      <c r="T466">
        <v>0</v>
      </c>
      <c r="U466">
        <v>0</v>
      </c>
      <c r="V466">
        <v>1</v>
      </c>
    </row>
    <row r="467" spans="1:22" x14ac:dyDescent="0.2">
      <c r="A467" t="s">
        <v>7449</v>
      </c>
      <c r="B467" t="s">
        <v>7451</v>
      </c>
      <c r="C467" t="s">
        <v>446</v>
      </c>
      <c r="D467" t="s">
        <v>290</v>
      </c>
      <c r="E467">
        <v>39.99</v>
      </c>
      <c r="F467" t="s">
        <v>8118</v>
      </c>
      <c r="L467" t="s">
        <v>7032</v>
      </c>
      <c r="M467" t="s">
        <v>97</v>
      </c>
      <c r="N467">
        <v>0</v>
      </c>
      <c r="O467">
        <v>0</v>
      </c>
      <c r="T467">
        <v>0</v>
      </c>
      <c r="U467">
        <v>0</v>
      </c>
      <c r="V467">
        <v>0</v>
      </c>
    </row>
    <row r="468" spans="1:22" x14ac:dyDescent="0.2">
      <c r="A468" t="s">
        <v>1002</v>
      </c>
      <c r="B468" t="s">
        <v>1003</v>
      </c>
      <c r="C468" t="s">
        <v>446</v>
      </c>
      <c r="D468" t="s">
        <v>228</v>
      </c>
      <c r="E468">
        <v>69.989999999999995</v>
      </c>
      <c r="F468" t="s">
        <v>8118</v>
      </c>
      <c r="G468">
        <v>275</v>
      </c>
      <c r="H468">
        <v>3</v>
      </c>
      <c r="I468">
        <v>272</v>
      </c>
      <c r="L468" t="s">
        <v>7032</v>
      </c>
      <c r="M468" t="s">
        <v>97</v>
      </c>
      <c r="N468">
        <v>0</v>
      </c>
      <c r="O468">
        <v>0</v>
      </c>
      <c r="T468">
        <v>0</v>
      </c>
      <c r="U468">
        <v>0</v>
      </c>
      <c r="V468">
        <v>0</v>
      </c>
    </row>
    <row r="469" spans="1:22" x14ac:dyDescent="0.2">
      <c r="A469" t="s">
        <v>4911</v>
      </c>
      <c r="B469" t="s">
        <v>4912</v>
      </c>
      <c r="C469" t="s">
        <v>446</v>
      </c>
      <c r="D469" t="s">
        <v>96</v>
      </c>
      <c r="E469">
        <v>69.989999999999995</v>
      </c>
      <c r="F469" t="s">
        <v>8118</v>
      </c>
      <c r="L469" t="s">
        <v>7032</v>
      </c>
      <c r="M469" t="s">
        <v>97</v>
      </c>
      <c r="N469">
        <v>0</v>
      </c>
      <c r="O469">
        <v>0</v>
      </c>
      <c r="T469">
        <v>0</v>
      </c>
      <c r="U469">
        <v>0</v>
      </c>
      <c r="V469">
        <v>2</v>
      </c>
    </row>
    <row r="470" spans="1:22" x14ac:dyDescent="0.2">
      <c r="A470" t="s">
        <v>884</v>
      </c>
      <c r="B470" t="s">
        <v>885</v>
      </c>
      <c r="C470" t="s">
        <v>446</v>
      </c>
      <c r="D470" t="s">
        <v>228</v>
      </c>
      <c r="E470">
        <v>99.99</v>
      </c>
      <c r="F470" t="s">
        <v>8118</v>
      </c>
      <c r="G470">
        <v>261</v>
      </c>
      <c r="H470">
        <v>31</v>
      </c>
      <c r="I470">
        <v>230</v>
      </c>
      <c r="K470">
        <v>1000</v>
      </c>
      <c r="L470" t="s">
        <v>7032</v>
      </c>
      <c r="M470" t="s">
        <v>97</v>
      </c>
      <c r="N470">
        <v>0</v>
      </c>
      <c r="O470">
        <v>0</v>
      </c>
      <c r="T470">
        <v>0</v>
      </c>
      <c r="U470">
        <v>0</v>
      </c>
      <c r="V470">
        <v>3</v>
      </c>
    </row>
    <row r="471" spans="1:22" x14ac:dyDescent="0.2">
      <c r="A471" t="s">
        <v>928</v>
      </c>
      <c r="B471" t="s">
        <v>929</v>
      </c>
      <c r="C471" t="s">
        <v>446</v>
      </c>
      <c r="D471" t="s">
        <v>228</v>
      </c>
      <c r="E471">
        <v>79.989999999999995</v>
      </c>
      <c r="F471" t="s">
        <v>8118</v>
      </c>
      <c r="G471">
        <v>797</v>
      </c>
      <c r="H471">
        <v>26</v>
      </c>
      <c r="I471">
        <v>771</v>
      </c>
      <c r="L471" t="s">
        <v>7032</v>
      </c>
      <c r="M471" t="s">
        <v>97</v>
      </c>
      <c r="N471">
        <v>0</v>
      </c>
      <c r="O471">
        <v>0</v>
      </c>
      <c r="T471">
        <v>0</v>
      </c>
      <c r="U471">
        <v>0</v>
      </c>
      <c r="V471">
        <v>0</v>
      </c>
    </row>
    <row r="472" spans="1:22" x14ac:dyDescent="0.2">
      <c r="A472" t="s">
        <v>4906</v>
      </c>
      <c r="B472" t="s">
        <v>4907</v>
      </c>
      <c r="C472" t="s">
        <v>446</v>
      </c>
      <c r="D472" t="s">
        <v>290</v>
      </c>
      <c r="E472">
        <v>69.989999999999995</v>
      </c>
      <c r="F472" t="s">
        <v>8118</v>
      </c>
      <c r="L472" t="s">
        <v>7032</v>
      </c>
      <c r="M472" t="s">
        <v>97</v>
      </c>
      <c r="N472">
        <v>0</v>
      </c>
      <c r="O472">
        <v>0</v>
      </c>
      <c r="T472">
        <v>0</v>
      </c>
      <c r="U472">
        <v>0</v>
      </c>
      <c r="V472">
        <v>4</v>
      </c>
    </row>
    <row r="473" spans="1:22" x14ac:dyDescent="0.2">
      <c r="A473" t="s">
        <v>855</v>
      </c>
      <c r="B473" t="s">
        <v>856</v>
      </c>
      <c r="C473" t="s">
        <v>446</v>
      </c>
      <c r="D473" t="s">
        <v>96</v>
      </c>
      <c r="E473">
        <v>69.989999999999995</v>
      </c>
      <c r="F473" t="s">
        <v>8118</v>
      </c>
      <c r="L473" t="s">
        <v>7032</v>
      </c>
      <c r="M473" t="s">
        <v>97</v>
      </c>
      <c r="N473">
        <v>0</v>
      </c>
      <c r="O473">
        <v>0</v>
      </c>
      <c r="T473">
        <v>0</v>
      </c>
      <c r="U473">
        <v>0</v>
      </c>
      <c r="V473">
        <v>4</v>
      </c>
    </row>
    <row r="474" spans="1:22" x14ac:dyDescent="0.2">
      <c r="A474" t="s">
        <v>641</v>
      </c>
      <c r="B474" t="s">
        <v>642</v>
      </c>
      <c r="C474" t="s">
        <v>446</v>
      </c>
      <c r="D474" t="s">
        <v>228</v>
      </c>
      <c r="E474">
        <v>69.989999999999995</v>
      </c>
      <c r="F474" t="s">
        <v>8118</v>
      </c>
      <c r="G474">
        <v>800</v>
      </c>
      <c r="H474">
        <v>101</v>
      </c>
      <c r="I474">
        <v>699</v>
      </c>
      <c r="K474">
        <v>1000</v>
      </c>
      <c r="L474" t="s">
        <v>7032</v>
      </c>
      <c r="M474" t="s">
        <v>97</v>
      </c>
      <c r="N474">
        <v>0</v>
      </c>
      <c r="O474">
        <v>0</v>
      </c>
      <c r="T474">
        <v>0.2</v>
      </c>
      <c r="U474">
        <v>0</v>
      </c>
      <c r="V474">
        <v>0</v>
      </c>
    </row>
    <row r="475" spans="1:22" x14ac:dyDescent="0.2">
      <c r="A475" t="s">
        <v>7510</v>
      </c>
      <c r="B475" t="s">
        <v>7511</v>
      </c>
      <c r="C475" t="s">
        <v>446</v>
      </c>
      <c r="D475" t="s">
        <v>96</v>
      </c>
      <c r="E475">
        <v>29.99</v>
      </c>
      <c r="F475" t="s">
        <v>8118</v>
      </c>
      <c r="L475" t="s">
        <v>7032</v>
      </c>
      <c r="M475" t="s">
        <v>97</v>
      </c>
      <c r="N475">
        <v>0</v>
      </c>
      <c r="O475">
        <v>0</v>
      </c>
      <c r="T475">
        <v>0</v>
      </c>
      <c r="U475">
        <v>0</v>
      </c>
      <c r="V475">
        <v>0</v>
      </c>
    </row>
    <row r="476" spans="1:22" x14ac:dyDescent="0.2">
      <c r="A476" t="s">
        <v>914</v>
      </c>
      <c r="B476" t="s">
        <v>915</v>
      </c>
      <c r="C476" t="s">
        <v>446</v>
      </c>
      <c r="D476" t="s">
        <v>228</v>
      </c>
      <c r="E476">
        <v>49.99</v>
      </c>
      <c r="F476" t="s">
        <v>8118</v>
      </c>
      <c r="G476">
        <v>1226</v>
      </c>
      <c r="H476">
        <v>57</v>
      </c>
      <c r="I476">
        <v>1169</v>
      </c>
      <c r="K476">
        <v>1000</v>
      </c>
      <c r="L476" t="s">
        <v>7032</v>
      </c>
      <c r="M476" t="s">
        <v>97</v>
      </c>
      <c r="N476">
        <v>0</v>
      </c>
      <c r="O476">
        <v>0</v>
      </c>
      <c r="T476">
        <v>0</v>
      </c>
      <c r="U476">
        <v>0</v>
      </c>
      <c r="V476">
        <v>0</v>
      </c>
    </row>
    <row r="477" spans="1:22" x14ac:dyDescent="0.2">
      <c r="A477" t="s">
        <v>7512</v>
      </c>
      <c r="B477" t="s">
        <v>7513</v>
      </c>
      <c r="C477" t="s">
        <v>446</v>
      </c>
      <c r="D477" t="s">
        <v>96</v>
      </c>
      <c r="F477" t="s">
        <v>8118</v>
      </c>
      <c r="L477" t="s">
        <v>7032</v>
      </c>
      <c r="M477" t="s">
        <v>97</v>
      </c>
      <c r="N477">
        <v>0</v>
      </c>
      <c r="O477">
        <v>0</v>
      </c>
      <c r="T477">
        <v>0</v>
      </c>
      <c r="V477">
        <v>0</v>
      </c>
    </row>
    <row r="478" spans="1:22" x14ac:dyDescent="0.2">
      <c r="A478" t="s">
        <v>4962</v>
      </c>
      <c r="B478" t="s">
        <v>4963</v>
      </c>
      <c r="C478" t="s">
        <v>446</v>
      </c>
      <c r="D478" t="s">
        <v>290</v>
      </c>
      <c r="E478">
        <v>24.99</v>
      </c>
      <c r="F478" t="s">
        <v>8118</v>
      </c>
      <c r="G478">
        <v>557</v>
      </c>
      <c r="H478">
        <v>10</v>
      </c>
      <c r="I478">
        <v>547</v>
      </c>
      <c r="L478" t="s">
        <v>7032</v>
      </c>
      <c r="M478" t="s">
        <v>97</v>
      </c>
      <c r="N478">
        <v>0</v>
      </c>
      <c r="O478">
        <v>0</v>
      </c>
      <c r="T478">
        <v>0</v>
      </c>
      <c r="U478">
        <v>0</v>
      </c>
      <c r="V478">
        <v>28</v>
      </c>
    </row>
    <row r="479" spans="1:22" x14ac:dyDescent="0.2">
      <c r="A479" t="s">
        <v>7504</v>
      </c>
      <c r="B479" t="s">
        <v>7505</v>
      </c>
      <c r="C479" t="s">
        <v>446</v>
      </c>
      <c r="D479" t="s">
        <v>96</v>
      </c>
      <c r="E479">
        <v>11.99</v>
      </c>
      <c r="F479" t="s">
        <v>8118</v>
      </c>
      <c r="L479" t="s">
        <v>7032</v>
      </c>
      <c r="M479" t="s">
        <v>97</v>
      </c>
      <c r="N479">
        <v>0</v>
      </c>
      <c r="O479">
        <v>0</v>
      </c>
      <c r="T479">
        <v>0</v>
      </c>
      <c r="U479">
        <v>0</v>
      </c>
      <c r="V479">
        <v>0</v>
      </c>
    </row>
    <row r="480" spans="1:22" x14ac:dyDescent="0.2">
      <c r="A480" t="s">
        <v>7514</v>
      </c>
      <c r="B480" t="s">
        <v>7515</v>
      </c>
      <c r="C480" t="s">
        <v>446</v>
      </c>
      <c r="D480" t="s">
        <v>96</v>
      </c>
      <c r="E480">
        <v>11.99</v>
      </c>
      <c r="F480" t="s">
        <v>8118</v>
      </c>
      <c r="L480" t="s">
        <v>7032</v>
      </c>
      <c r="M480" t="s">
        <v>97</v>
      </c>
      <c r="N480">
        <v>0</v>
      </c>
      <c r="O480">
        <v>0</v>
      </c>
      <c r="T480">
        <v>0</v>
      </c>
      <c r="U480">
        <v>0</v>
      </c>
      <c r="V480">
        <v>0</v>
      </c>
    </row>
    <row r="481" spans="1:22" x14ac:dyDescent="0.2">
      <c r="A481" t="s">
        <v>4995</v>
      </c>
      <c r="B481" t="s">
        <v>4996</v>
      </c>
      <c r="C481" t="s">
        <v>446</v>
      </c>
      <c r="D481" t="s">
        <v>290</v>
      </c>
      <c r="E481">
        <v>29.99</v>
      </c>
      <c r="F481" t="s">
        <v>8118</v>
      </c>
      <c r="G481">
        <v>1</v>
      </c>
      <c r="I481">
        <v>1</v>
      </c>
      <c r="L481" t="s">
        <v>7032</v>
      </c>
      <c r="M481" t="s">
        <v>97</v>
      </c>
      <c r="N481">
        <v>0</v>
      </c>
      <c r="O481">
        <v>0</v>
      </c>
      <c r="T481">
        <v>0</v>
      </c>
      <c r="U481">
        <v>0</v>
      </c>
      <c r="V481">
        <v>0</v>
      </c>
    </row>
    <row r="482" spans="1:22" x14ac:dyDescent="0.2">
      <c r="A482" t="s">
        <v>4978</v>
      </c>
      <c r="B482" t="s">
        <v>7312</v>
      </c>
      <c r="C482" t="s">
        <v>446</v>
      </c>
      <c r="D482" t="s">
        <v>290</v>
      </c>
      <c r="E482">
        <v>99.99</v>
      </c>
      <c r="F482" t="s">
        <v>8118</v>
      </c>
      <c r="L482" t="s">
        <v>7032</v>
      </c>
      <c r="M482" t="s">
        <v>97</v>
      </c>
      <c r="N482">
        <v>0</v>
      </c>
      <c r="O482">
        <v>0</v>
      </c>
      <c r="T482">
        <v>0</v>
      </c>
      <c r="U482">
        <v>0</v>
      </c>
      <c r="V482">
        <v>0</v>
      </c>
    </row>
    <row r="483" spans="1:22" x14ac:dyDescent="0.2">
      <c r="A483" t="s">
        <v>4643</v>
      </c>
      <c r="B483" t="s">
        <v>4644</v>
      </c>
      <c r="C483" t="s">
        <v>446</v>
      </c>
      <c r="D483" t="s">
        <v>96</v>
      </c>
      <c r="E483">
        <v>19.989999999999998</v>
      </c>
      <c r="F483" t="s">
        <v>8118</v>
      </c>
      <c r="L483" t="s">
        <v>7032</v>
      </c>
      <c r="M483" t="s">
        <v>97</v>
      </c>
      <c r="N483">
        <v>0</v>
      </c>
      <c r="O483">
        <v>0</v>
      </c>
      <c r="T483">
        <v>0</v>
      </c>
      <c r="U483">
        <v>0</v>
      </c>
      <c r="V483">
        <v>2</v>
      </c>
    </row>
    <row r="484" spans="1:22" x14ac:dyDescent="0.2">
      <c r="A484" t="s">
        <v>4630</v>
      </c>
      <c r="B484" t="s">
        <v>4631</v>
      </c>
      <c r="C484" t="s">
        <v>446</v>
      </c>
      <c r="D484" t="s">
        <v>96</v>
      </c>
      <c r="E484">
        <v>29.99</v>
      </c>
      <c r="F484" t="s">
        <v>8118</v>
      </c>
      <c r="L484" t="s">
        <v>7032</v>
      </c>
      <c r="M484" t="s">
        <v>97</v>
      </c>
      <c r="N484">
        <v>5</v>
      </c>
      <c r="O484">
        <v>0.2</v>
      </c>
      <c r="T484">
        <v>0.4</v>
      </c>
      <c r="U484">
        <v>0</v>
      </c>
      <c r="V484">
        <v>2</v>
      </c>
    </row>
    <row r="485" spans="1:22" x14ac:dyDescent="0.2">
      <c r="A485" t="s">
        <v>924</v>
      </c>
      <c r="B485" t="s">
        <v>925</v>
      </c>
      <c r="C485" t="s">
        <v>446</v>
      </c>
      <c r="D485" t="s">
        <v>96</v>
      </c>
      <c r="E485">
        <v>29.99</v>
      </c>
      <c r="F485" t="s">
        <v>8118</v>
      </c>
      <c r="L485" t="s">
        <v>7032</v>
      </c>
      <c r="M485" t="s">
        <v>97</v>
      </c>
      <c r="N485">
        <v>0</v>
      </c>
      <c r="O485">
        <v>0</v>
      </c>
      <c r="T485">
        <v>0.2</v>
      </c>
      <c r="U485">
        <v>0</v>
      </c>
      <c r="V485">
        <v>0</v>
      </c>
    </row>
    <row r="486" spans="1:22" x14ac:dyDescent="0.2">
      <c r="A486" t="s">
        <v>4991</v>
      </c>
      <c r="B486" t="s">
        <v>7038</v>
      </c>
      <c r="C486" t="s">
        <v>446</v>
      </c>
      <c r="D486" t="s">
        <v>96</v>
      </c>
      <c r="E486">
        <v>29.99</v>
      </c>
      <c r="F486" t="s">
        <v>8118</v>
      </c>
      <c r="L486" t="s">
        <v>7032</v>
      </c>
      <c r="M486" t="s">
        <v>97</v>
      </c>
      <c r="N486">
        <v>0</v>
      </c>
      <c r="O486">
        <v>0</v>
      </c>
      <c r="T486">
        <v>0</v>
      </c>
      <c r="U486">
        <v>0</v>
      </c>
      <c r="V486">
        <v>0</v>
      </c>
    </row>
    <row r="487" spans="1:22" x14ac:dyDescent="0.2">
      <c r="A487" t="s">
        <v>7502</v>
      </c>
      <c r="B487" t="s">
        <v>7503</v>
      </c>
      <c r="C487" t="s">
        <v>446</v>
      </c>
      <c r="D487" t="s">
        <v>96</v>
      </c>
      <c r="E487">
        <v>39.99</v>
      </c>
      <c r="F487" t="s">
        <v>8118</v>
      </c>
      <c r="L487" t="s">
        <v>7032</v>
      </c>
      <c r="M487" t="s">
        <v>97</v>
      </c>
      <c r="N487">
        <v>0</v>
      </c>
      <c r="O487">
        <v>0</v>
      </c>
      <c r="T487">
        <v>0</v>
      </c>
      <c r="U487">
        <v>0</v>
      </c>
      <c r="V487">
        <v>0</v>
      </c>
    </row>
    <row r="488" spans="1:22" x14ac:dyDescent="0.2">
      <c r="A488" t="s">
        <v>645</v>
      </c>
      <c r="B488" t="s">
        <v>646</v>
      </c>
      <c r="C488" t="s">
        <v>446</v>
      </c>
      <c r="D488" t="s">
        <v>228</v>
      </c>
      <c r="E488">
        <v>59.99</v>
      </c>
      <c r="F488" t="s">
        <v>8118</v>
      </c>
      <c r="G488">
        <v>315</v>
      </c>
      <c r="H488">
        <v>28</v>
      </c>
      <c r="I488">
        <v>287</v>
      </c>
      <c r="K488">
        <v>1000</v>
      </c>
      <c r="L488" t="s">
        <v>7032</v>
      </c>
      <c r="M488" t="s">
        <v>97</v>
      </c>
      <c r="N488">
        <v>0</v>
      </c>
      <c r="O488">
        <v>0</v>
      </c>
      <c r="T488">
        <v>0</v>
      </c>
      <c r="U488">
        <v>0</v>
      </c>
      <c r="V488">
        <v>0</v>
      </c>
    </row>
    <row r="489" spans="1:22" x14ac:dyDescent="0.2">
      <c r="A489" t="s">
        <v>4893</v>
      </c>
      <c r="B489" t="s">
        <v>4894</v>
      </c>
      <c r="C489" t="s">
        <v>446</v>
      </c>
      <c r="D489" t="s">
        <v>96</v>
      </c>
      <c r="E489">
        <v>79.989999999999995</v>
      </c>
      <c r="F489" t="s">
        <v>8118</v>
      </c>
      <c r="L489" t="s">
        <v>7032</v>
      </c>
      <c r="M489" t="s">
        <v>97</v>
      </c>
      <c r="N489">
        <v>0</v>
      </c>
      <c r="O489">
        <v>0</v>
      </c>
      <c r="T489">
        <v>0.2</v>
      </c>
      <c r="U489">
        <v>0</v>
      </c>
      <c r="V489">
        <v>0</v>
      </c>
    </row>
    <row r="490" spans="1:22" x14ac:dyDescent="0.2">
      <c r="A490" t="s">
        <v>647</v>
      </c>
      <c r="B490" t="s">
        <v>648</v>
      </c>
      <c r="C490" t="s">
        <v>446</v>
      </c>
      <c r="D490" t="s">
        <v>228</v>
      </c>
      <c r="E490">
        <v>59.99</v>
      </c>
      <c r="F490" t="s">
        <v>8118</v>
      </c>
      <c r="G490">
        <v>373</v>
      </c>
      <c r="I490">
        <v>373</v>
      </c>
      <c r="L490" t="s">
        <v>7032</v>
      </c>
      <c r="M490" t="s">
        <v>97</v>
      </c>
      <c r="N490">
        <v>0</v>
      </c>
      <c r="O490">
        <v>0</v>
      </c>
      <c r="T490">
        <v>0</v>
      </c>
      <c r="U490">
        <v>0</v>
      </c>
      <c r="V490">
        <v>1</v>
      </c>
    </row>
    <row r="491" spans="1:22" x14ac:dyDescent="0.2">
      <c r="A491" t="s">
        <v>649</v>
      </c>
      <c r="B491" t="s">
        <v>7026</v>
      </c>
      <c r="C491" t="s">
        <v>446</v>
      </c>
      <c r="D491" t="s">
        <v>228</v>
      </c>
      <c r="E491">
        <v>99.99</v>
      </c>
      <c r="F491" t="s">
        <v>8118</v>
      </c>
      <c r="G491">
        <v>402</v>
      </c>
      <c r="H491">
        <v>30</v>
      </c>
      <c r="I491">
        <v>372</v>
      </c>
      <c r="L491" t="s">
        <v>7032</v>
      </c>
      <c r="M491" t="s">
        <v>97</v>
      </c>
      <c r="N491">
        <v>0</v>
      </c>
      <c r="O491">
        <v>0</v>
      </c>
      <c r="T491">
        <v>0</v>
      </c>
      <c r="U491">
        <v>0</v>
      </c>
      <c r="V491">
        <v>1</v>
      </c>
    </row>
    <row r="492" spans="1:22" x14ac:dyDescent="0.2">
      <c r="A492" t="s">
        <v>4985</v>
      </c>
      <c r="B492" t="s">
        <v>4986</v>
      </c>
      <c r="C492" t="s">
        <v>446</v>
      </c>
      <c r="D492" t="s">
        <v>96</v>
      </c>
      <c r="E492">
        <v>119.99</v>
      </c>
      <c r="F492" t="s">
        <v>8118</v>
      </c>
      <c r="L492" t="s">
        <v>7032</v>
      </c>
      <c r="M492" t="s">
        <v>97</v>
      </c>
      <c r="N492">
        <v>0</v>
      </c>
      <c r="O492">
        <v>0</v>
      </c>
      <c r="T492">
        <v>0</v>
      </c>
      <c r="U492">
        <v>0</v>
      </c>
      <c r="V492">
        <v>0</v>
      </c>
    </row>
    <row r="493" spans="1:22" x14ac:dyDescent="0.2">
      <c r="A493" t="s">
        <v>4647</v>
      </c>
      <c r="B493" t="s">
        <v>4648</v>
      </c>
      <c r="C493" t="s">
        <v>446</v>
      </c>
      <c r="D493" t="s">
        <v>96</v>
      </c>
      <c r="E493">
        <v>24.99</v>
      </c>
      <c r="F493" t="s">
        <v>8118</v>
      </c>
      <c r="L493" t="s">
        <v>7032</v>
      </c>
      <c r="M493" t="s">
        <v>97</v>
      </c>
      <c r="N493">
        <v>0</v>
      </c>
      <c r="O493">
        <v>0</v>
      </c>
      <c r="T493">
        <v>0</v>
      </c>
      <c r="U493">
        <v>0</v>
      </c>
      <c r="V493">
        <v>11</v>
      </c>
    </row>
    <row r="494" spans="1:22" x14ac:dyDescent="0.2">
      <c r="A494" t="s">
        <v>639</v>
      </c>
      <c r="B494" t="s">
        <v>640</v>
      </c>
      <c r="C494" t="s">
        <v>446</v>
      </c>
      <c r="D494" t="s">
        <v>228</v>
      </c>
      <c r="E494">
        <v>119.99</v>
      </c>
      <c r="F494" t="s">
        <v>8118</v>
      </c>
      <c r="G494">
        <v>172</v>
      </c>
      <c r="H494">
        <v>42</v>
      </c>
      <c r="I494">
        <v>130</v>
      </c>
      <c r="K494">
        <v>2000</v>
      </c>
      <c r="L494" t="s">
        <v>7032</v>
      </c>
      <c r="M494" t="s">
        <v>97</v>
      </c>
      <c r="N494">
        <v>0</v>
      </c>
      <c r="O494">
        <v>0</v>
      </c>
      <c r="T494">
        <v>0</v>
      </c>
      <c r="U494">
        <v>0</v>
      </c>
      <c r="V494">
        <v>-1</v>
      </c>
    </row>
    <row r="495" spans="1:22" x14ac:dyDescent="0.2">
      <c r="A495" t="s">
        <v>926</v>
      </c>
      <c r="B495" t="s">
        <v>927</v>
      </c>
      <c r="C495" t="s">
        <v>446</v>
      </c>
      <c r="D495" t="s">
        <v>96</v>
      </c>
      <c r="E495">
        <v>29.99</v>
      </c>
      <c r="F495" t="s">
        <v>8118</v>
      </c>
      <c r="L495" t="s">
        <v>7032</v>
      </c>
      <c r="M495" t="s">
        <v>97</v>
      </c>
      <c r="N495">
        <v>0</v>
      </c>
      <c r="O495">
        <v>0</v>
      </c>
      <c r="T495">
        <v>0</v>
      </c>
      <c r="U495">
        <v>0</v>
      </c>
      <c r="V495">
        <v>0</v>
      </c>
    </row>
    <row r="496" spans="1:22" x14ac:dyDescent="0.2">
      <c r="A496" t="s">
        <v>4641</v>
      </c>
      <c r="B496" t="s">
        <v>4642</v>
      </c>
      <c r="C496" t="s">
        <v>446</v>
      </c>
      <c r="D496" t="s">
        <v>96</v>
      </c>
      <c r="E496">
        <v>14.99</v>
      </c>
      <c r="F496" t="s">
        <v>8118</v>
      </c>
      <c r="L496" t="s">
        <v>7032</v>
      </c>
      <c r="M496" t="s">
        <v>97</v>
      </c>
      <c r="N496">
        <v>0</v>
      </c>
      <c r="O496">
        <v>0</v>
      </c>
      <c r="T496">
        <v>0</v>
      </c>
      <c r="U496">
        <v>0</v>
      </c>
      <c r="V496">
        <v>0</v>
      </c>
    </row>
    <row r="497" spans="1:22" x14ac:dyDescent="0.2">
      <c r="A497" t="s">
        <v>916</v>
      </c>
      <c r="B497" t="s">
        <v>917</v>
      </c>
      <c r="C497" t="s">
        <v>446</v>
      </c>
      <c r="D497" t="s">
        <v>228</v>
      </c>
      <c r="E497">
        <v>34.99</v>
      </c>
      <c r="F497" t="s">
        <v>8118</v>
      </c>
      <c r="G497">
        <v>790</v>
      </c>
      <c r="H497">
        <v>10</v>
      </c>
      <c r="I497">
        <v>780</v>
      </c>
      <c r="L497" t="s">
        <v>7032</v>
      </c>
      <c r="M497" t="s">
        <v>97</v>
      </c>
      <c r="N497">
        <v>0</v>
      </c>
      <c r="O497">
        <v>0</v>
      </c>
      <c r="T497">
        <v>0</v>
      </c>
      <c r="U497">
        <v>0</v>
      </c>
      <c r="V497">
        <v>1</v>
      </c>
    </row>
    <row r="498" spans="1:22" x14ac:dyDescent="0.2">
      <c r="A498" t="s">
        <v>553</v>
      </c>
      <c r="B498" t="s">
        <v>554</v>
      </c>
      <c r="C498" t="s">
        <v>446</v>
      </c>
      <c r="D498" t="s">
        <v>228</v>
      </c>
      <c r="E498">
        <v>29.99</v>
      </c>
      <c r="F498" t="s">
        <v>8118</v>
      </c>
      <c r="G498">
        <v>1000</v>
      </c>
      <c r="I498">
        <v>1000</v>
      </c>
      <c r="K498">
        <v>3000</v>
      </c>
      <c r="L498" t="s">
        <v>7032</v>
      </c>
      <c r="M498" t="s">
        <v>97</v>
      </c>
      <c r="N498">
        <v>0</v>
      </c>
      <c r="O498">
        <v>0</v>
      </c>
      <c r="T498">
        <v>0</v>
      </c>
      <c r="U498">
        <v>0</v>
      </c>
      <c r="V498">
        <v>0</v>
      </c>
    </row>
    <row r="499" spans="1:22" x14ac:dyDescent="0.2">
      <c r="A499" t="s">
        <v>7390</v>
      </c>
      <c r="B499" t="s">
        <v>7392</v>
      </c>
      <c r="C499" t="s">
        <v>446</v>
      </c>
      <c r="D499" t="s">
        <v>96</v>
      </c>
      <c r="E499">
        <v>139.99</v>
      </c>
      <c r="F499" t="s">
        <v>8118</v>
      </c>
      <c r="L499" t="s">
        <v>7032</v>
      </c>
      <c r="M499" t="s">
        <v>97</v>
      </c>
      <c r="N499">
        <v>0</v>
      </c>
      <c r="O499">
        <v>0</v>
      </c>
      <c r="T499">
        <v>0</v>
      </c>
      <c r="U499">
        <v>0</v>
      </c>
      <c r="V499">
        <v>0</v>
      </c>
    </row>
    <row r="500" spans="1:22" x14ac:dyDescent="0.2">
      <c r="A500" t="s">
        <v>547</v>
      </c>
      <c r="B500" t="s">
        <v>7085</v>
      </c>
      <c r="C500" t="s">
        <v>446</v>
      </c>
      <c r="D500" t="s">
        <v>290</v>
      </c>
      <c r="E500">
        <v>199.99</v>
      </c>
      <c r="F500" t="s">
        <v>8118</v>
      </c>
      <c r="L500" t="s">
        <v>7032</v>
      </c>
      <c r="M500" t="s">
        <v>97</v>
      </c>
      <c r="N500">
        <v>0</v>
      </c>
      <c r="O500">
        <v>0</v>
      </c>
      <c r="T500">
        <v>0</v>
      </c>
      <c r="U500">
        <v>0</v>
      </c>
      <c r="V500">
        <v>0</v>
      </c>
    </row>
    <row r="501" spans="1:22" x14ac:dyDescent="0.2">
      <c r="A501" t="s">
        <v>5019</v>
      </c>
      <c r="B501" t="s">
        <v>5020</v>
      </c>
      <c r="C501" t="s">
        <v>446</v>
      </c>
      <c r="D501" t="s">
        <v>96</v>
      </c>
      <c r="E501">
        <v>149.99</v>
      </c>
      <c r="F501" t="s">
        <v>8118</v>
      </c>
      <c r="L501" t="s">
        <v>7032</v>
      </c>
      <c r="M501" t="s">
        <v>97</v>
      </c>
      <c r="N501">
        <v>0</v>
      </c>
      <c r="O501">
        <v>0</v>
      </c>
      <c r="T501">
        <v>0</v>
      </c>
      <c r="U501">
        <v>0</v>
      </c>
      <c r="V501">
        <v>0</v>
      </c>
    </row>
    <row r="502" spans="1:22" x14ac:dyDescent="0.2">
      <c r="A502" t="s">
        <v>693</v>
      </c>
      <c r="B502" t="s">
        <v>7020</v>
      </c>
      <c r="C502" t="s">
        <v>446</v>
      </c>
      <c r="D502" t="s">
        <v>228</v>
      </c>
      <c r="E502">
        <v>59.99</v>
      </c>
      <c r="F502" t="s">
        <v>8118</v>
      </c>
      <c r="G502">
        <v>270</v>
      </c>
      <c r="H502">
        <v>141</v>
      </c>
      <c r="I502">
        <v>129</v>
      </c>
      <c r="K502">
        <v>3000</v>
      </c>
      <c r="L502" t="s">
        <v>7032</v>
      </c>
      <c r="M502" t="s">
        <v>97</v>
      </c>
      <c r="N502">
        <v>5</v>
      </c>
      <c r="O502">
        <v>0.2</v>
      </c>
      <c r="T502">
        <v>0.2</v>
      </c>
      <c r="U502">
        <v>0</v>
      </c>
      <c r="V502">
        <v>1</v>
      </c>
    </row>
    <row r="503" spans="1:22" x14ac:dyDescent="0.2">
      <c r="A503" t="s">
        <v>549</v>
      </c>
      <c r="B503" t="s">
        <v>550</v>
      </c>
      <c r="C503" t="s">
        <v>446</v>
      </c>
      <c r="D503" t="s">
        <v>228</v>
      </c>
      <c r="E503">
        <v>169.99</v>
      </c>
      <c r="F503" t="s">
        <v>8118</v>
      </c>
      <c r="G503">
        <v>763</v>
      </c>
      <c r="H503">
        <v>18</v>
      </c>
      <c r="I503">
        <v>745</v>
      </c>
      <c r="L503" t="s">
        <v>7032</v>
      </c>
      <c r="M503" t="s">
        <v>97</v>
      </c>
      <c r="N503">
        <v>0</v>
      </c>
      <c r="O503">
        <v>0</v>
      </c>
      <c r="T503">
        <v>0</v>
      </c>
      <c r="U503">
        <v>0</v>
      </c>
      <c r="V503">
        <v>2</v>
      </c>
    </row>
    <row r="504" spans="1:22" x14ac:dyDescent="0.2">
      <c r="A504" t="s">
        <v>527</v>
      </c>
      <c r="B504" t="s">
        <v>528</v>
      </c>
      <c r="C504" t="s">
        <v>446</v>
      </c>
      <c r="D504" t="s">
        <v>290</v>
      </c>
      <c r="E504">
        <v>19.989999999999998</v>
      </c>
      <c r="F504" t="s">
        <v>8118</v>
      </c>
      <c r="L504" t="s">
        <v>7032</v>
      </c>
      <c r="M504" t="s">
        <v>97</v>
      </c>
      <c r="N504">
        <v>0</v>
      </c>
      <c r="O504">
        <v>0</v>
      </c>
      <c r="T504">
        <v>0</v>
      </c>
      <c r="U504">
        <v>0</v>
      </c>
      <c r="V504">
        <v>0</v>
      </c>
    </row>
    <row r="505" spans="1:22" x14ac:dyDescent="0.2">
      <c r="A505" t="s">
        <v>513</v>
      </c>
      <c r="B505" t="s">
        <v>514</v>
      </c>
      <c r="C505" t="s">
        <v>446</v>
      </c>
      <c r="D505" t="s">
        <v>290</v>
      </c>
      <c r="E505">
        <v>29.99</v>
      </c>
      <c r="F505" t="s">
        <v>8118</v>
      </c>
      <c r="G505">
        <v>23</v>
      </c>
      <c r="I505">
        <v>23</v>
      </c>
      <c r="L505" t="s">
        <v>7032</v>
      </c>
      <c r="M505" t="s">
        <v>97</v>
      </c>
      <c r="N505">
        <v>0</v>
      </c>
      <c r="O505">
        <v>0</v>
      </c>
      <c r="T505">
        <v>0</v>
      </c>
      <c r="U505">
        <v>0</v>
      </c>
      <c r="V505">
        <v>0</v>
      </c>
    </row>
    <row r="506" spans="1:22" x14ac:dyDescent="0.2">
      <c r="A506" t="s">
        <v>4820</v>
      </c>
      <c r="B506" t="s">
        <v>4821</v>
      </c>
      <c r="C506" t="s">
        <v>446</v>
      </c>
      <c r="D506" t="s">
        <v>96</v>
      </c>
      <c r="E506">
        <v>89.99</v>
      </c>
      <c r="F506" t="s">
        <v>8118</v>
      </c>
      <c r="L506" t="s">
        <v>7032</v>
      </c>
      <c r="M506" t="s">
        <v>97</v>
      </c>
      <c r="N506">
        <v>0</v>
      </c>
      <c r="O506">
        <v>0</v>
      </c>
      <c r="T506">
        <v>0</v>
      </c>
      <c r="U506">
        <v>0</v>
      </c>
      <c r="V506">
        <v>0</v>
      </c>
    </row>
    <row r="507" spans="1:22" x14ac:dyDescent="0.2">
      <c r="A507" t="s">
        <v>4965</v>
      </c>
      <c r="B507" t="s">
        <v>4966</v>
      </c>
      <c r="C507" t="s">
        <v>446</v>
      </c>
      <c r="D507" t="s">
        <v>290</v>
      </c>
      <c r="E507">
        <v>69.989999999999995</v>
      </c>
      <c r="F507" t="s">
        <v>8118</v>
      </c>
      <c r="L507" t="s">
        <v>7032</v>
      </c>
      <c r="M507" t="s">
        <v>97</v>
      </c>
      <c r="N507">
        <v>0</v>
      </c>
      <c r="O507">
        <v>0</v>
      </c>
      <c r="T507">
        <v>0</v>
      </c>
      <c r="U507">
        <v>0</v>
      </c>
      <c r="V507">
        <v>0</v>
      </c>
    </row>
    <row r="508" spans="1:22" x14ac:dyDescent="0.2">
      <c r="A508" t="s">
        <v>1010</v>
      </c>
      <c r="B508" t="s">
        <v>1011</v>
      </c>
      <c r="C508" t="s">
        <v>446</v>
      </c>
      <c r="D508" t="s">
        <v>290</v>
      </c>
      <c r="E508">
        <v>69.989999999999995</v>
      </c>
      <c r="F508" t="s">
        <v>8118</v>
      </c>
      <c r="L508" t="s">
        <v>7032</v>
      </c>
      <c r="M508" t="s">
        <v>97</v>
      </c>
      <c r="N508">
        <v>0</v>
      </c>
      <c r="O508">
        <v>0</v>
      </c>
      <c r="T508">
        <v>0</v>
      </c>
      <c r="U508">
        <v>0</v>
      </c>
      <c r="V508">
        <v>0</v>
      </c>
    </row>
    <row r="509" spans="1:22" x14ac:dyDescent="0.2">
      <c r="A509" t="s">
        <v>970</v>
      </c>
      <c r="B509" t="s">
        <v>971</v>
      </c>
      <c r="C509" t="s">
        <v>446</v>
      </c>
      <c r="D509" t="s">
        <v>228</v>
      </c>
      <c r="E509">
        <v>69.989999999999995</v>
      </c>
      <c r="F509" t="s">
        <v>8118</v>
      </c>
      <c r="G509">
        <v>1178</v>
      </c>
      <c r="H509">
        <v>42</v>
      </c>
      <c r="I509">
        <v>1136</v>
      </c>
      <c r="L509" t="s">
        <v>7032</v>
      </c>
      <c r="M509" t="s">
        <v>97</v>
      </c>
      <c r="N509">
        <v>0</v>
      </c>
      <c r="O509">
        <v>0</v>
      </c>
      <c r="T509">
        <v>0</v>
      </c>
      <c r="U509">
        <v>0</v>
      </c>
      <c r="V509">
        <v>2</v>
      </c>
    </row>
    <row r="510" spans="1:22" x14ac:dyDescent="0.2">
      <c r="A510" t="s">
        <v>4823</v>
      </c>
      <c r="B510" t="s">
        <v>4824</v>
      </c>
      <c r="C510" t="s">
        <v>446</v>
      </c>
      <c r="D510" t="s">
        <v>96</v>
      </c>
      <c r="E510">
        <v>89.99</v>
      </c>
      <c r="F510" t="s">
        <v>8118</v>
      </c>
      <c r="L510" t="s">
        <v>7032</v>
      </c>
      <c r="M510" t="s">
        <v>97</v>
      </c>
      <c r="N510">
        <v>0</v>
      </c>
      <c r="O510">
        <v>0</v>
      </c>
      <c r="T510">
        <v>0</v>
      </c>
      <c r="U510">
        <v>0</v>
      </c>
      <c r="V510">
        <v>2</v>
      </c>
    </row>
    <row r="511" spans="1:22" x14ac:dyDescent="0.2">
      <c r="A511" t="s">
        <v>4866</v>
      </c>
      <c r="B511" t="s">
        <v>4867</v>
      </c>
      <c r="C511" t="s">
        <v>446</v>
      </c>
      <c r="D511" t="s">
        <v>96</v>
      </c>
      <c r="E511">
        <v>29.99</v>
      </c>
      <c r="F511" t="s">
        <v>8118</v>
      </c>
      <c r="L511" t="s">
        <v>7032</v>
      </c>
      <c r="M511" t="s">
        <v>97</v>
      </c>
      <c r="N511">
        <v>2205</v>
      </c>
      <c r="O511">
        <v>4.5351473922902497E-4</v>
      </c>
      <c r="T511">
        <v>0.2</v>
      </c>
      <c r="U511">
        <v>0</v>
      </c>
      <c r="V511">
        <v>441</v>
      </c>
    </row>
    <row r="512" spans="1:22" x14ac:dyDescent="0.2">
      <c r="A512" t="s">
        <v>4870</v>
      </c>
      <c r="B512" t="s">
        <v>4871</v>
      </c>
      <c r="C512" t="s">
        <v>446</v>
      </c>
      <c r="D512" t="s">
        <v>96</v>
      </c>
      <c r="E512">
        <v>29.99</v>
      </c>
      <c r="F512" t="s">
        <v>8118</v>
      </c>
      <c r="L512" t="s">
        <v>7032</v>
      </c>
      <c r="M512" t="s">
        <v>97</v>
      </c>
      <c r="N512">
        <v>0</v>
      </c>
      <c r="O512">
        <v>0</v>
      </c>
      <c r="T512">
        <v>0</v>
      </c>
      <c r="U512">
        <v>0</v>
      </c>
      <c r="V512">
        <v>319</v>
      </c>
    </row>
    <row r="513" spans="1:22" x14ac:dyDescent="0.2">
      <c r="A513" t="s">
        <v>4876</v>
      </c>
      <c r="B513" t="s">
        <v>4877</v>
      </c>
      <c r="C513" t="s">
        <v>446</v>
      </c>
      <c r="D513" t="s">
        <v>96</v>
      </c>
      <c r="E513">
        <v>24.99</v>
      </c>
      <c r="F513" t="s">
        <v>8118</v>
      </c>
      <c r="L513" t="s">
        <v>7032</v>
      </c>
      <c r="M513" t="s">
        <v>97</v>
      </c>
      <c r="N513">
        <v>0</v>
      </c>
      <c r="O513">
        <v>0</v>
      </c>
      <c r="T513">
        <v>0</v>
      </c>
      <c r="U513">
        <v>0</v>
      </c>
      <c r="V513">
        <v>368</v>
      </c>
    </row>
    <row r="514" spans="1:22" x14ac:dyDescent="0.2">
      <c r="A514" t="s">
        <v>7832</v>
      </c>
      <c r="B514" t="s">
        <v>7833</v>
      </c>
      <c r="C514" t="s">
        <v>446</v>
      </c>
      <c r="D514" t="s">
        <v>96</v>
      </c>
      <c r="E514">
        <v>39.99</v>
      </c>
      <c r="F514" t="s">
        <v>8118</v>
      </c>
      <c r="L514" t="s">
        <v>7032</v>
      </c>
      <c r="M514" t="s">
        <v>97</v>
      </c>
      <c r="N514">
        <v>0</v>
      </c>
      <c r="O514">
        <v>0</v>
      </c>
      <c r="T514">
        <v>0</v>
      </c>
      <c r="U514">
        <v>0</v>
      </c>
      <c r="V514">
        <v>0</v>
      </c>
    </row>
    <row r="515" spans="1:22" x14ac:dyDescent="0.2">
      <c r="A515" t="s">
        <v>4829</v>
      </c>
      <c r="B515" t="s">
        <v>4830</v>
      </c>
      <c r="C515" t="s">
        <v>446</v>
      </c>
      <c r="D515" t="s">
        <v>96</v>
      </c>
      <c r="E515">
        <v>149.99</v>
      </c>
      <c r="F515" t="s">
        <v>8118</v>
      </c>
      <c r="L515" t="s">
        <v>7032</v>
      </c>
      <c r="M515" t="s">
        <v>97</v>
      </c>
      <c r="N515">
        <v>0</v>
      </c>
      <c r="O515">
        <v>0</v>
      </c>
      <c r="T515">
        <v>0</v>
      </c>
      <c r="U515">
        <v>0</v>
      </c>
      <c r="V515">
        <v>0</v>
      </c>
    </row>
    <row r="516" spans="1:22" x14ac:dyDescent="0.2">
      <c r="A516" t="s">
        <v>7830</v>
      </c>
      <c r="B516" t="s">
        <v>7831</v>
      </c>
      <c r="C516" t="s">
        <v>446</v>
      </c>
      <c r="D516" t="s">
        <v>96</v>
      </c>
      <c r="E516">
        <v>99.99</v>
      </c>
      <c r="F516" t="s">
        <v>8118</v>
      </c>
      <c r="L516" t="s">
        <v>7032</v>
      </c>
      <c r="M516" t="s">
        <v>97</v>
      </c>
      <c r="N516">
        <v>0</v>
      </c>
      <c r="O516">
        <v>0</v>
      </c>
      <c r="T516">
        <v>0</v>
      </c>
      <c r="U516">
        <v>0</v>
      </c>
      <c r="V516">
        <v>0</v>
      </c>
    </row>
    <row r="517" spans="1:22" x14ac:dyDescent="0.2">
      <c r="A517" t="s">
        <v>5028</v>
      </c>
      <c r="B517" t="s">
        <v>5029</v>
      </c>
      <c r="C517" t="s">
        <v>446</v>
      </c>
      <c r="D517" t="s">
        <v>96</v>
      </c>
      <c r="E517">
        <v>99.99</v>
      </c>
      <c r="F517" t="s">
        <v>8118</v>
      </c>
      <c r="L517" t="s">
        <v>7032</v>
      </c>
      <c r="M517" t="s">
        <v>97</v>
      </c>
      <c r="N517">
        <v>0</v>
      </c>
      <c r="O517">
        <v>0</v>
      </c>
      <c r="T517">
        <v>0</v>
      </c>
      <c r="U517">
        <v>0</v>
      </c>
      <c r="V517">
        <v>0</v>
      </c>
    </row>
    <row r="518" spans="1:22" x14ac:dyDescent="0.2">
      <c r="A518" t="s">
        <v>4874</v>
      </c>
      <c r="B518" t="s">
        <v>4875</v>
      </c>
      <c r="C518" t="s">
        <v>446</v>
      </c>
      <c r="D518" t="s">
        <v>96</v>
      </c>
      <c r="E518">
        <v>24.99</v>
      </c>
      <c r="F518" t="s">
        <v>8118</v>
      </c>
      <c r="L518" t="s">
        <v>7032</v>
      </c>
      <c r="M518" t="s">
        <v>97</v>
      </c>
      <c r="N518">
        <v>0</v>
      </c>
      <c r="O518">
        <v>0</v>
      </c>
      <c r="T518">
        <v>0</v>
      </c>
      <c r="U518">
        <v>0</v>
      </c>
      <c r="V518">
        <v>493</v>
      </c>
    </row>
    <row r="519" spans="1:22" x14ac:dyDescent="0.2">
      <c r="A519" t="s">
        <v>7828</v>
      </c>
      <c r="B519" t="s">
        <v>7829</v>
      </c>
      <c r="C519" t="s">
        <v>446</v>
      </c>
      <c r="D519" t="s">
        <v>96</v>
      </c>
      <c r="E519">
        <v>24.99</v>
      </c>
      <c r="F519" t="s">
        <v>8118</v>
      </c>
      <c r="L519" t="s">
        <v>7032</v>
      </c>
      <c r="M519" t="s">
        <v>97</v>
      </c>
      <c r="N519">
        <v>0</v>
      </c>
      <c r="O519">
        <v>0</v>
      </c>
      <c r="T519">
        <v>0</v>
      </c>
      <c r="U519">
        <v>0</v>
      </c>
      <c r="V519">
        <v>0</v>
      </c>
    </row>
    <row r="520" spans="1:22" x14ac:dyDescent="0.2">
      <c r="A520" t="s">
        <v>551</v>
      </c>
      <c r="B520" t="s">
        <v>552</v>
      </c>
      <c r="C520" t="s">
        <v>446</v>
      </c>
      <c r="D520" t="s">
        <v>228</v>
      </c>
      <c r="E520">
        <v>169.99</v>
      </c>
      <c r="F520" t="s">
        <v>8118</v>
      </c>
      <c r="G520">
        <v>545</v>
      </c>
      <c r="H520">
        <v>18</v>
      </c>
      <c r="I520">
        <v>527</v>
      </c>
      <c r="K520">
        <v>1000</v>
      </c>
      <c r="L520" t="s">
        <v>7032</v>
      </c>
      <c r="M520" t="s">
        <v>97</v>
      </c>
      <c r="N520">
        <v>0</v>
      </c>
      <c r="O520">
        <v>0</v>
      </c>
      <c r="T520">
        <v>0</v>
      </c>
      <c r="U520">
        <v>0</v>
      </c>
      <c r="V520">
        <v>1</v>
      </c>
    </row>
    <row r="521" spans="1:22" x14ac:dyDescent="0.2">
      <c r="A521" t="s">
        <v>4740</v>
      </c>
      <c r="B521" t="s">
        <v>4741</v>
      </c>
      <c r="C521" t="s">
        <v>446</v>
      </c>
      <c r="D521" t="s">
        <v>96</v>
      </c>
      <c r="E521">
        <v>49.99</v>
      </c>
      <c r="F521" t="s">
        <v>8118</v>
      </c>
      <c r="L521" t="s">
        <v>7032</v>
      </c>
      <c r="M521" t="s">
        <v>97</v>
      </c>
      <c r="N521">
        <v>0</v>
      </c>
      <c r="O521">
        <v>0</v>
      </c>
      <c r="T521">
        <v>0</v>
      </c>
      <c r="U521">
        <v>0</v>
      </c>
      <c r="V521">
        <v>0</v>
      </c>
    </row>
    <row r="522" spans="1:22" x14ac:dyDescent="0.2">
      <c r="A522" t="s">
        <v>4742</v>
      </c>
      <c r="B522" t="s">
        <v>4743</v>
      </c>
      <c r="C522" t="s">
        <v>446</v>
      </c>
      <c r="D522" t="s">
        <v>290</v>
      </c>
      <c r="E522">
        <v>49.99</v>
      </c>
      <c r="F522" t="s">
        <v>8118</v>
      </c>
      <c r="L522" t="s">
        <v>7032</v>
      </c>
      <c r="M522" t="s">
        <v>97</v>
      </c>
      <c r="N522">
        <v>0</v>
      </c>
      <c r="O522">
        <v>0</v>
      </c>
      <c r="T522">
        <v>0</v>
      </c>
      <c r="U522">
        <v>0</v>
      </c>
      <c r="V522">
        <v>2</v>
      </c>
    </row>
    <row r="523" spans="1:22" x14ac:dyDescent="0.2">
      <c r="A523" t="s">
        <v>7426</v>
      </c>
      <c r="B523" t="s">
        <v>7428</v>
      </c>
      <c r="C523" t="s">
        <v>446</v>
      </c>
      <c r="D523" t="s">
        <v>96</v>
      </c>
      <c r="E523">
        <v>39.99</v>
      </c>
      <c r="F523" t="s">
        <v>8118</v>
      </c>
      <c r="L523" t="s">
        <v>7032</v>
      </c>
      <c r="M523" t="s">
        <v>97</v>
      </c>
      <c r="N523">
        <v>0</v>
      </c>
      <c r="O523">
        <v>0</v>
      </c>
      <c r="T523">
        <v>0</v>
      </c>
      <c r="U523">
        <v>0</v>
      </c>
      <c r="V523">
        <v>0</v>
      </c>
    </row>
    <row r="524" spans="1:22" x14ac:dyDescent="0.2">
      <c r="A524" t="s">
        <v>555</v>
      </c>
      <c r="B524" t="s">
        <v>556</v>
      </c>
      <c r="C524" t="s">
        <v>446</v>
      </c>
      <c r="D524" t="s">
        <v>228</v>
      </c>
      <c r="E524">
        <v>34.99</v>
      </c>
      <c r="F524" t="s">
        <v>8118</v>
      </c>
      <c r="G524">
        <v>241</v>
      </c>
      <c r="H524">
        <v>138</v>
      </c>
      <c r="I524">
        <v>103</v>
      </c>
      <c r="K524">
        <v>2000</v>
      </c>
      <c r="L524" t="s">
        <v>7032</v>
      </c>
      <c r="M524" t="s">
        <v>97</v>
      </c>
      <c r="N524">
        <v>0</v>
      </c>
      <c r="O524">
        <v>0</v>
      </c>
      <c r="T524">
        <v>0</v>
      </c>
      <c r="U524">
        <v>0</v>
      </c>
      <c r="V524">
        <v>0</v>
      </c>
    </row>
    <row r="525" spans="1:22" x14ac:dyDescent="0.2">
      <c r="A525" t="s">
        <v>998</v>
      </c>
      <c r="B525" t="s">
        <v>999</v>
      </c>
      <c r="C525" t="s">
        <v>446</v>
      </c>
      <c r="D525" t="s">
        <v>228</v>
      </c>
      <c r="E525">
        <v>69.989999999999995</v>
      </c>
      <c r="F525" t="s">
        <v>8118</v>
      </c>
      <c r="G525">
        <v>1152</v>
      </c>
      <c r="H525">
        <v>13</v>
      </c>
      <c r="I525">
        <v>1139</v>
      </c>
      <c r="L525" t="s">
        <v>7032</v>
      </c>
      <c r="M525" t="s">
        <v>97</v>
      </c>
      <c r="N525">
        <v>0</v>
      </c>
      <c r="O525">
        <v>0</v>
      </c>
      <c r="T525">
        <v>0</v>
      </c>
      <c r="U525">
        <v>0</v>
      </c>
      <c r="V525">
        <v>2</v>
      </c>
    </row>
    <row r="526" spans="1:22" x14ac:dyDescent="0.2">
      <c r="A526" t="s">
        <v>7411</v>
      </c>
      <c r="B526" t="s">
        <v>7413</v>
      </c>
      <c r="C526" t="s">
        <v>446</v>
      </c>
      <c r="D526" t="s">
        <v>96</v>
      </c>
      <c r="E526">
        <v>39.99</v>
      </c>
      <c r="F526" t="s">
        <v>8118</v>
      </c>
      <c r="L526" t="s">
        <v>7032</v>
      </c>
      <c r="M526" t="s">
        <v>97</v>
      </c>
      <c r="N526">
        <v>0</v>
      </c>
      <c r="O526">
        <v>0</v>
      </c>
      <c r="T526">
        <v>0</v>
      </c>
      <c r="U526">
        <v>0</v>
      </c>
      <c r="V526">
        <v>0</v>
      </c>
    </row>
    <row r="527" spans="1:22" x14ac:dyDescent="0.2">
      <c r="A527" t="s">
        <v>4655</v>
      </c>
      <c r="B527" t="s">
        <v>4656</v>
      </c>
      <c r="C527" t="s">
        <v>446</v>
      </c>
      <c r="D527" t="s">
        <v>290</v>
      </c>
      <c r="E527">
        <v>34.99</v>
      </c>
      <c r="F527" t="s">
        <v>8118</v>
      </c>
      <c r="L527" t="s">
        <v>7032</v>
      </c>
      <c r="M527" t="s">
        <v>97</v>
      </c>
      <c r="N527">
        <v>0</v>
      </c>
      <c r="O527">
        <v>0</v>
      </c>
      <c r="T527">
        <v>0</v>
      </c>
      <c r="U527">
        <v>0</v>
      </c>
      <c r="V527">
        <v>4</v>
      </c>
    </row>
    <row r="528" spans="1:22" x14ac:dyDescent="0.2">
      <c r="A528" t="s">
        <v>4657</v>
      </c>
      <c r="B528" t="s">
        <v>4658</v>
      </c>
      <c r="C528" t="s">
        <v>446</v>
      </c>
      <c r="D528" t="s">
        <v>96</v>
      </c>
      <c r="E528">
        <v>34.99</v>
      </c>
      <c r="F528" t="s">
        <v>8118</v>
      </c>
      <c r="L528" t="s">
        <v>7032</v>
      </c>
      <c r="M528" t="s">
        <v>97</v>
      </c>
      <c r="N528">
        <v>0</v>
      </c>
      <c r="O528">
        <v>0</v>
      </c>
      <c r="T528">
        <v>0</v>
      </c>
      <c r="U528">
        <v>0</v>
      </c>
      <c r="V528">
        <v>2</v>
      </c>
    </row>
    <row r="529" spans="1:22" x14ac:dyDescent="0.2">
      <c r="A529" t="s">
        <v>930</v>
      </c>
      <c r="B529" t="s">
        <v>931</v>
      </c>
      <c r="C529" t="s">
        <v>446</v>
      </c>
      <c r="D529" t="s">
        <v>228</v>
      </c>
      <c r="E529">
        <v>69.989999999999995</v>
      </c>
      <c r="F529" t="s">
        <v>8118</v>
      </c>
      <c r="G529">
        <v>666</v>
      </c>
      <c r="H529">
        <v>17</v>
      </c>
      <c r="I529">
        <v>649</v>
      </c>
      <c r="K529">
        <v>1000</v>
      </c>
      <c r="L529" t="s">
        <v>7032</v>
      </c>
      <c r="M529" t="s">
        <v>97</v>
      </c>
      <c r="N529">
        <v>0</v>
      </c>
      <c r="O529">
        <v>0</v>
      </c>
      <c r="T529">
        <v>0</v>
      </c>
      <c r="U529">
        <v>0</v>
      </c>
      <c r="V529">
        <v>0</v>
      </c>
    </row>
    <row r="530" spans="1:22" x14ac:dyDescent="0.2">
      <c r="A530" t="s">
        <v>936</v>
      </c>
      <c r="B530" t="s">
        <v>937</v>
      </c>
      <c r="C530" t="s">
        <v>446</v>
      </c>
      <c r="D530" t="s">
        <v>228</v>
      </c>
      <c r="E530">
        <v>69.989999999999995</v>
      </c>
      <c r="F530" t="s">
        <v>8118</v>
      </c>
      <c r="G530">
        <v>1037</v>
      </c>
      <c r="I530">
        <v>1037</v>
      </c>
      <c r="L530" t="s">
        <v>7032</v>
      </c>
      <c r="M530" t="s">
        <v>97</v>
      </c>
      <c r="N530">
        <v>0</v>
      </c>
      <c r="O530">
        <v>0</v>
      </c>
      <c r="T530">
        <v>0</v>
      </c>
      <c r="U530">
        <v>0</v>
      </c>
      <c r="V530">
        <v>3</v>
      </c>
    </row>
    <row r="531" spans="1:22" x14ac:dyDescent="0.2">
      <c r="A531" t="s">
        <v>4868</v>
      </c>
      <c r="B531" t="s">
        <v>4869</v>
      </c>
      <c r="C531" t="s">
        <v>446</v>
      </c>
      <c r="D531" t="s">
        <v>290</v>
      </c>
      <c r="E531">
        <v>29.99</v>
      </c>
      <c r="F531" t="s">
        <v>8118</v>
      </c>
      <c r="L531" t="s">
        <v>7032</v>
      </c>
      <c r="M531" t="s">
        <v>97</v>
      </c>
      <c r="N531">
        <v>0</v>
      </c>
      <c r="O531">
        <v>0</v>
      </c>
      <c r="T531">
        <v>0</v>
      </c>
      <c r="U531">
        <v>0</v>
      </c>
      <c r="V531">
        <v>428</v>
      </c>
    </row>
    <row r="532" spans="1:22" x14ac:dyDescent="0.2">
      <c r="A532" t="s">
        <v>940</v>
      </c>
      <c r="B532" t="s">
        <v>941</v>
      </c>
      <c r="C532" t="s">
        <v>446</v>
      </c>
      <c r="D532" t="s">
        <v>228</v>
      </c>
      <c r="E532">
        <v>15.99</v>
      </c>
      <c r="F532" t="s">
        <v>8118</v>
      </c>
      <c r="G532">
        <v>3038</v>
      </c>
      <c r="H532">
        <v>44</v>
      </c>
      <c r="I532">
        <v>2994</v>
      </c>
      <c r="J532">
        <v>103</v>
      </c>
      <c r="K532">
        <v>12000</v>
      </c>
      <c r="L532" t="s">
        <v>7032</v>
      </c>
      <c r="M532" t="s">
        <v>97</v>
      </c>
      <c r="N532">
        <v>0</v>
      </c>
      <c r="O532">
        <v>0</v>
      </c>
      <c r="T532">
        <v>0.33333333333333331</v>
      </c>
      <c r="U532">
        <v>0</v>
      </c>
      <c r="V532">
        <v>0</v>
      </c>
    </row>
    <row r="533" spans="1:22" x14ac:dyDescent="0.2">
      <c r="A533" t="s">
        <v>4914</v>
      </c>
      <c r="B533" t="s">
        <v>4915</v>
      </c>
      <c r="C533" t="s">
        <v>446</v>
      </c>
      <c r="D533" t="s">
        <v>290</v>
      </c>
      <c r="E533">
        <v>39.99</v>
      </c>
      <c r="F533" t="s">
        <v>8118</v>
      </c>
      <c r="G533">
        <v>1</v>
      </c>
      <c r="H533">
        <v>1</v>
      </c>
      <c r="L533" t="s">
        <v>7032</v>
      </c>
      <c r="M533" t="s">
        <v>97</v>
      </c>
      <c r="N533">
        <v>0</v>
      </c>
      <c r="O533">
        <v>0</v>
      </c>
      <c r="T533">
        <v>0</v>
      </c>
      <c r="U533">
        <v>0</v>
      </c>
      <c r="V533">
        <v>8</v>
      </c>
    </row>
    <row r="534" spans="1:22" x14ac:dyDescent="0.2">
      <c r="A534" t="s">
        <v>4694</v>
      </c>
      <c r="B534" t="s">
        <v>4695</v>
      </c>
      <c r="C534" t="s">
        <v>446</v>
      </c>
      <c r="D534" t="s">
        <v>290</v>
      </c>
      <c r="E534">
        <v>59.99</v>
      </c>
      <c r="F534" t="s">
        <v>8118</v>
      </c>
      <c r="G534">
        <v>83</v>
      </c>
      <c r="H534">
        <v>1</v>
      </c>
      <c r="I534">
        <v>82</v>
      </c>
      <c r="L534" t="s">
        <v>7032</v>
      </c>
      <c r="M534" t="s">
        <v>97</v>
      </c>
      <c r="N534">
        <v>0</v>
      </c>
      <c r="O534">
        <v>0</v>
      </c>
      <c r="T534">
        <v>0</v>
      </c>
      <c r="U534">
        <v>0</v>
      </c>
      <c r="V534">
        <v>10</v>
      </c>
    </row>
    <row r="535" spans="1:22" x14ac:dyDescent="0.2">
      <c r="A535" t="s">
        <v>4972</v>
      </c>
      <c r="B535" t="s">
        <v>4973</v>
      </c>
      <c r="C535" t="s">
        <v>446</v>
      </c>
      <c r="D535" t="s">
        <v>96</v>
      </c>
      <c r="E535">
        <v>79.989999999999995</v>
      </c>
      <c r="F535" t="s">
        <v>8118</v>
      </c>
      <c r="L535" t="s">
        <v>7032</v>
      </c>
      <c r="M535" t="s">
        <v>97</v>
      </c>
      <c r="N535">
        <v>0</v>
      </c>
      <c r="O535">
        <v>0</v>
      </c>
      <c r="T535">
        <v>0.2</v>
      </c>
      <c r="U535">
        <v>0</v>
      </c>
      <c r="V535">
        <v>0</v>
      </c>
    </row>
    <row r="536" spans="1:22" x14ac:dyDescent="0.2">
      <c r="A536" t="s">
        <v>695</v>
      </c>
      <c r="B536" t="s">
        <v>696</v>
      </c>
      <c r="C536" t="s">
        <v>446</v>
      </c>
      <c r="D536" t="s">
        <v>228</v>
      </c>
      <c r="E536">
        <v>99.99</v>
      </c>
      <c r="F536" t="s">
        <v>8118</v>
      </c>
      <c r="G536">
        <v>615</v>
      </c>
      <c r="H536">
        <v>152</v>
      </c>
      <c r="I536">
        <v>463</v>
      </c>
      <c r="K536">
        <v>1000</v>
      </c>
      <c r="L536" t="s">
        <v>7032</v>
      </c>
      <c r="M536" t="s">
        <v>97</v>
      </c>
      <c r="N536">
        <v>0</v>
      </c>
      <c r="O536">
        <v>0</v>
      </c>
      <c r="T536">
        <v>0</v>
      </c>
      <c r="U536">
        <v>0</v>
      </c>
      <c r="V536">
        <v>3</v>
      </c>
    </row>
    <row r="537" spans="1:22" x14ac:dyDescent="0.2">
      <c r="A537" t="s">
        <v>912</v>
      </c>
      <c r="B537" t="s">
        <v>913</v>
      </c>
      <c r="C537" t="s">
        <v>446</v>
      </c>
      <c r="D537" t="s">
        <v>228</v>
      </c>
      <c r="E537">
        <v>89.99</v>
      </c>
      <c r="F537" t="s">
        <v>8118</v>
      </c>
      <c r="G537">
        <v>1249</v>
      </c>
      <c r="H537">
        <v>28</v>
      </c>
      <c r="I537">
        <v>1221</v>
      </c>
      <c r="L537" t="s">
        <v>7032</v>
      </c>
      <c r="M537" t="s">
        <v>97</v>
      </c>
      <c r="N537">
        <v>0</v>
      </c>
      <c r="O537">
        <v>0</v>
      </c>
      <c r="T537">
        <v>0</v>
      </c>
      <c r="U537">
        <v>0</v>
      </c>
      <c r="V537">
        <v>2</v>
      </c>
    </row>
    <row r="538" spans="1:22" x14ac:dyDescent="0.2">
      <c r="A538" t="s">
        <v>4917</v>
      </c>
      <c r="B538" t="s">
        <v>4918</v>
      </c>
      <c r="C538" t="s">
        <v>446</v>
      </c>
      <c r="D538" t="s">
        <v>96</v>
      </c>
      <c r="E538">
        <v>44.99</v>
      </c>
      <c r="F538" t="s">
        <v>8118</v>
      </c>
      <c r="L538" t="s">
        <v>7032</v>
      </c>
      <c r="M538" t="s">
        <v>97</v>
      </c>
      <c r="N538">
        <v>0</v>
      </c>
      <c r="O538">
        <v>0</v>
      </c>
      <c r="T538">
        <v>0</v>
      </c>
      <c r="U538">
        <v>0</v>
      </c>
      <c r="V538">
        <v>0</v>
      </c>
    </row>
    <row r="539" spans="1:22" x14ac:dyDescent="0.2">
      <c r="A539" t="s">
        <v>7333</v>
      </c>
      <c r="B539" t="s">
        <v>7335</v>
      </c>
      <c r="C539" t="s">
        <v>446</v>
      </c>
      <c r="D539" t="s">
        <v>96</v>
      </c>
      <c r="E539">
        <v>39.99</v>
      </c>
      <c r="F539" t="s">
        <v>8118</v>
      </c>
      <c r="L539" t="s">
        <v>7032</v>
      </c>
      <c r="M539" t="s">
        <v>97</v>
      </c>
      <c r="N539">
        <v>0</v>
      </c>
      <c r="O539">
        <v>0</v>
      </c>
      <c r="T539">
        <v>0</v>
      </c>
      <c r="U539">
        <v>0</v>
      </c>
      <c r="V539">
        <v>0</v>
      </c>
    </row>
    <row r="540" spans="1:22" x14ac:dyDescent="0.2">
      <c r="A540" t="s">
        <v>841</v>
      </c>
      <c r="B540" t="s">
        <v>842</v>
      </c>
      <c r="C540" t="s">
        <v>446</v>
      </c>
      <c r="D540" t="s">
        <v>228</v>
      </c>
      <c r="E540">
        <v>54.99</v>
      </c>
      <c r="F540" t="s">
        <v>8118</v>
      </c>
      <c r="G540">
        <v>525</v>
      </c>
      <c r="H540">
        <v>37</v>
      </c>
      <c r="I540">
        <v>488</v>
      </c>
      <c r="K540">
        <v>1000</v>
      </c>
      <c r="L540" t="s">
        <v>7032</v>
      </c>
      <c r="M540" t="s">
        <v>97</v>
      </c>
      <c r="N540">
        <v>0</v>
      </c>
      <c r="O540">
        <v>0</v>
      </c>
      <c r="T540">
        <v>0</v>
      </c>
      <c r="U540">
        <v>0</v>
      </c>
      <c r="V540">
        <v>1</v>
      </c>
    </row>
    <row r="541" spans="1:22" x14ac:dyDescent="0.2">
      <c r="A541" t="s">
        <v>5016</v>
      </c>
      <c r="B541" t="s">
        <v>5017</v>
      </c>
      <c r="C541" t="s">
        <v>446</v>
      </c>
      <c r="D541" t="s">
        <v>96</v>
      </c>
      <c r="E541">
        <v>49.99</v>
      </c>
      <c r="F541" t="s">
        <v>8118</v>
      </c>
      <c r="L541" t="s">
        <v>7032</v>
      </c>
      <c r="M541" t="s">
        <v>97</v>
      </c>
      <c r="N541">
        <v>0</v>
      </c>
      <c r="O541">
        <v>0</v>
      </c>
      <c r="T541">
        <v>0</v>
      </c>
      <c r="U541">
        <v>0</v>
      </c>
      <c r="V541">
        <v>0</v>
      </c>
    </row>
    <row r="542" spans="1:22" x14ac:dyDescent="0.2">
      <c r="A542" t="s">
        <v>667</v>
      </c>
      <c r="B542" t="s">
        <v>668</v>
      </c>
      <c r="C542" t="s">
        <v>446</v>
      </c>
      <c r="D542" t="s">
        <v>228</v>
      </c>
      <c r="E542">
        <v>139.99</v>
      </c>
      <c r="F542" t="s">
        <v>8118</v>
      </c>
      <c r="G542">
        <v>469</v>
      </c>
      <c r="H542">
        <v>38</v>
      </c>
      <c r="I542">
        <v>431</v>
      </c>
      <c r="K542">
        <v>1000</v>
      </c>
      <c r="L542" t="s">
        <v>7032</v>
      </c>
      <c r="M542" t="s">
        <v>97</v>
      </c>
      <c r="N542">
        <v>0</v>
      </c>
      <c r="O542">
        <v>0</v>
      </c>
      <c r="T542">
        <v>0</v>
      </c>
      <c r="U542">
        <v>0</v>
      </c>
      <c r="V542">
        <v>0</v>
      </c>
    </row>
    <row r="543" spans="1:22" x14ac:dyDescent="0.2">
      <c r="A543" t="s">
        <v>5012</v>
      </c>
      <c r="B543" t="s">
        <v>5013</v>
      </c>
      <c r="C543" t="s">
        <v>446</v>
      </c>
      <c r="D543" t="s">
        <v>96</v>
      </c>
      <c r="E543">
        <v>44.99</v>
      </c>
      <c r="F543" t="s">
        <v>8118</v>
      </c>
      <c r="L543" t="s">
        <v>7032</v>
      </c>
      <c r="M543" t="s">
        <v>97</v>
      </c>
      <c r="N543">
        <v>0</v>
      </c>
      <c r="O543">
        <v>0</v>
      </c>
      <c r="T543">
        <v>0</v>
      </c>
      <c r="U543">
        <v>0</v>
      </c>
      <c r="V543">
        <v>0</v>
      </c>
    </row>
    <row r="544" spans="1:22" x14ac:dyDescent="0.2">
      <c r="A544" t="s">
        <v>4920</v>
      </c>
      <c r="B544" t="s">
        <v>4921</v>
      </c>
      <c r="C544" t="s">
        <v>446</v>
      </c>
      <c r="D544" t="s">
        <v>96</v>
      </c>
      <c r="E544">
        <v>34.99</v>
      </c>
      <c r="F544" t="s">
        <v>8118</v>
      </c>
      <c r="L544" t="s">
        <v>7032</v>
      </c>
      <c r="M544" t="s">
        <v>97</v>
      </c>
      <c r="N544">
        <v>0</v>
      </c>
      <c r="O544">
        <v>0</v>
      </c>
      <c r="T544">
        <v>0</v>
      </c>
      <c r="U544">
        <v>0</v>
      </c>
      <c r="V544">
        <v>1</v>
      </c>
    </row>
    <row r="545" spans="1:22" x14ac:dyDescent="0.2">
      <c r="A545" t="s">
        <v>4949</v>
      </c>
      <c r="B545" t="s">
        <v>4950</v>
      </c>
      <c r="C545" t="s">
        <v>446</v>
      </c>
      <c r="D545" t="s">
        <v>290</v>
      </c>
      <c r="E545">
        <v>59.99</v>
      </c>
      <c r="F545" t="s">
        <v>8118</v>
      </c>
      <c r="G545">
        <v>10</v>
      </c>
      <c r="H545">
        <v>10</v>
      </c>
      <c r="L545" t="s">
        <v>7032</v>
      </c>
      <c r="M545" t="s">
        <v>97</v>
      </c>
      <c r="N545">
        <v>0</v>
      </c>
      <c r="O545">
        <v>0</v>
      </c>
      <c r="T545">
        <v>0</v>
      </c>
      <c r="U545">
        <v>0</v>
      </c>
      <c r="V545">
        <v>1</v>
      </c>
    </row>
    <row r="546" spans="1:22" x14ac:dyDescent="0.2">
      <c r="A546" t="s">
        <v>7316</v>
      </c>
      <c r="B546" t="s">
        <v>7318</v>
      </c>
      <c r="C546" t="s">
        <v>446</v>
      </c>
      <c r="D546" t="s">
        <v>96</v>
      </c>
      <c r="E546">
        <v>34.99</v>
      </c>
      <c r="F546" t="s">
        <v>8118</v>
      </c>
      <c r="L546" t="s">
        <v>7032</v>
      </c>
      <c r="M546" t="s">
        <v>97</v>
      </c>
      <c r="N546">
        <v>0</v>
      </c>
      <c r="O546">
        <v>0</v>
      </c>
      <c r="T546">
        <v>0</v>
      </c>
      <c r="U546">
        <v>0</v>
      </c>
      <c r="V546">
        <v>0</v>
      </c>
    </row>
    <row r="547" spans="1:22" x14ac:dyDescent="0.2">
      <c r="A547" t="s">
        <v>669</v>
      </c>
      <c r="B547" t="s">
        <v>670</v>
      </c>
      <c r="C547" t="s">
        <v>446</v>
      </c>
      <c r="D547" t="s">
        <v>290</v>
      </c>
      <c r="E547">
        <v>59.99</v>
      </c>
      <c r="F547" t="s">
        <v>8118</v>
      </c>
      <c r="L547" t="s">
        <v>7032</v>
      </c>
      <c r="M547" t="s">
        <v>97</v>
      </c>
      <c r="N547">
        <v>0</v>
      </c>
      <c r="O547">
        <v>0</v>
      </c>
      <c r="T547">
        <v>0</v>
      </c>
      <c r="U547">
        <v>0</v>
      </c>
      <c r="V547">
        <v>3</v>
      </c>
    </row>
    <row r="548" spans="1:22" x14ac:dyDescent="0.2">
      <c r="A548" t="s">
        <v>4951</v>
      </c>
      <c r="B548" t="s">
        <v>4952</v>
      </c>
      <c r="C548" t="s">
        <v>446</v>
      </c>
      <c r="D548" t="s">
        <v>96</v>
      </c>
      <c r="E548">
        <v>24.99</v>
      </c>
      <c r="F548" t="s">
        <v>8118</v>
      </c>
      <c r="L548" t="s">
        <v>7032</v>
      </c>
      <c r="M548" t="s">
        <v>97</v>
      </c>
      <c r="N548">
        <v>0</v>
      </c>
      <c r="O548">
        <v>0</v>
      </c>
      <c r="T548">
        <v>0</v>
      </c>
      <c r="U548">
        <v>0</v>
      </c>
      <c r="V548">
        <v>0</v>
      </c>
    </row>
    <row r="549" spans="1:22" x14ac:dyDescent="0.2">
      <c r="A549" t="s">
        <v>956</v>
      </c>
      <c r="B549" t="s">
        <v>957</v>
      </c>
      <c r="C549" t="s">
        <v>446</v>
      </c>
      <c r="D549" t="s">
        <v>228</v>
      </c>
      <c r="E549">
        <v>29.99</v>
      </c>
      <c r="F549" t="s">
        <v>8118</v>
      </c>
      <c r="G549">
        <v>1474</v>
      </c>
      <c r="H549">
        <v>345</v>
      </c>
      <c r="I549">
        <v>1129</v>
      </c>
      <c r="K549">
        <v>4000</v>
      </c>
      <c r="L549" t="s">
        <v>7032</v>
      </c>
      <c r="M549" t="s">
        <v>97</v>
      </c>
      <c r="N549">
        <v>-4</v>
      </c>
      <c r="O549">
        <v>-0.25</v>
      </c>
      <c r="T549">
        <v>0.5</v>
      </c>
      <c r="U549">
        <v>0</v>
      </c>
      <c r="V549">
        <v>-2</v>
      </c>
    </row>
    <row r="550" spans="1:22" x14ac:dyDescent="0.2">
      <c r="A550" t="s">
        <v>952</v>
      </c>
      <c r="B550" t="s">
        <v>953</v>
      </c>
      <c r="C550" t="s">
        <v>446</v>
      </c>
      <c r="D550" t="s">
        <v>228</v>
      </c>
      <c r="E550">
        <v>64.989999999999995</v>
      </c>
      <c r="F550" t="s">
        <v>8118</v>
      </c>
      <c r="G550">
        <v>378</v>
      </c>
      <c r="H550">
        <v>146</v>
      </c>
      <c r="I550">
        <v>232</v>
      </c>
      <c r="K550">
        <v>2000</v>
      </c>
      <c r="L550" t="s">
        <v>7032</v>
      </c>
      <c r="M550" t="s">
        <v>97</v>
      </c>
      <c r="N550">
        <v>0</v>
      </c>
      <c r="O550">
        <v>0</v>
      </c>
      <c r="T550">
        <v>0</v>
      </c>
      <c r="U550">
        <v>0</v>
      </c>
      <c r="V550">
        <v>0</v>
      </c>
    </row>
    <row r="551" spans="1:22" x14ac:dyDescent="0.2">
      <c r="A551" t="s">
        <v>950</v>
      </c>
      <c r="B551" t="s">
        <v>951</v>
      </c>
      <c r="C551" t="s">
        <v>446</v>
      </c>
      <c r="D551" t="s">
        <v>228</v>
      </c>
      <c r="E551">
        <v>59.99</v>
      </c>
      <c r="F551" t="s">
        <v>8118</v>
      </c>
      <c r="G551">
        <v>1080</v>
      </c>
      <c r="H551">
        <v>89</v>
      </c>
      <c r="I551">
        <v>991</v>
      </c>
      <c r="K551">
        <v>3000</v>
      </c>
      <c r="L551" t="s">
        <v>7032</v>
      </c>
      <c r="M551" t="s">
        <v>97</v>
      </c>
      <c r="N551">
        <v>0</v>
      </c>
      <c r="O551">
        <v>0</v>
      </c>
      <c r="T551">
        <v>0</v>
      </c>
      <c r="U551">
        <v>0</v>
      </c>
      <c r="V551">
        <v>0</v>
      </c>
    </row>
    <row r="552" spans="1:22" x14ac:dyDescent="0.2">
      <c r="A552" t="s">
        <v>934</v>
      </c>
      <c r="B552" t="s">
        <v>935</v>
      </c>
      <c r="C552" t="s">
        <v>446</v>
      </c>
      <c r="D552" t="s">
        <v>228</v>
      </c>
      <c r="E552">
        <v>39.99</v>
      </c>
      <c r="F552" t="s">
        <v>8118</v>
      </c>
      <c r="G552">
        <v>467</v>
      </c>
      <c r="H552">
        <v>120</v>
      </c>
      <c r="I552">
        <v>347</v>
      </c>
      <c r="K552">
        <v>1000</v>
      </c>
      <c r="L552" t="s">
        <v>7032</v>
      </c>
      <c r="M552" t="s">
        <v>97</v>
      </c>
      <c r="N552">
        <v>0</v>
      </c>
      <c r="O552">
        <v>0</v>
      </c>
      <c r="T552">
        <v>0</v>
      </c>
      <c r="U552">
        <v>0</v>
      </c>
      <c r="V552">
        <v>1</v>
      </c>
    </row>
    <row r="553" spans="1:22" x14ac:dyDescent="0.2">
      <c r="A553" t="s">
        <v>932</v>
      </c>
      <c r="B553" t="s">
        <v>933</v>
      </c>
      <c r="C553" t="s">
        <v>446</v>
      </c>
      <c r="D553" t="s">
        <v>228</v>
      </c>
      <c r="E553">
        <v>49.99</v>
      </c>
      <c r="F553" t="s">
        <v>8118</v>
      </c>
      <c r="G553">
        <v>699</v>
      </c>
      <c r="H553">
        <v>91</v>
      </c>
      <c r="I553">
        <v>608</v>
      </c>
      <c r="K553">
        <v>1000</v>
      </c>
      <c r="L553" t="s">
        <v>7032</v>
      </c>
      <c r="M553" t="s">
        <v>97</v>
      </c>
      <c r="N553">
        <v>0</v>
      </c>
      <c r="O553">
        <v>0</v>
      </c>
      <c r="T553">
        <v>0</v>
      </c>
      <c r="U553">
        <v>0</v>
      </c>
      <c r="V553">
        <v>0</v>
      </c>
    </row>
    <row r="554" spans="1:22" x14ac:dyDescent="0.2">
      <c r="A554" t="s">
        <v>511</v>
      </c>
      <c r="B554" t="s">
        <v>512</v>
      </c>
      <c r="C554" t="s">
        <v>446</v>
      </c>
      <c r="D554" t="s">
        <v>228</v>
      </c>
      <c r="E554">
        <v>29.99</v>
      </c>
      <c r="F554" t="s">
        <v>8118</v>
      </c>
      <c r="G554">
        <v>683</v>
      </c>
      <c r="H554">
        <v>9</v>
      </c>
      <c r="I554">
        <v>674</v>
      </c>
      <c r="L554" t="s">
        <v>7032</v>
      </c>
      <c r="M554" t="s">
        <v>97</v>
      </c>
      <c r="N554">
        <v>0</v>
      </c>
      <c r="O554">
        <v>0</v>
      </c>
      <c r="T554">
        <v>0</v>
      </c>
      <c r="U554">
        <v>0</v>
      </c>
      <c r="V554">
        <v>1</v>
      </c>
    </row>
    <row r="555" spans="1:22" x14ac:dyDescent="0.2">
      <c r="A555" t="s">
        <v>944</v>
      </c>
      <c r="B555" t="s">
        <v>945</v>
      </c>
      <c r="C555" t="s">
        <v>446</v>
      </c>
      <c r="D555" t="s">
        <v>228</v>
      </c>
      <c r="E555">
        <v>39.99</v>
      </c>
      <c r="F555" t="s">
        <v>8118</v>
      </c>
      <c r="G555">
        <v>1003</v>
      </c>
      <c r="H555">
        <v>34</v>
      </c>
      <c r="I555">
        <v>969</v>
      </c>
      <c r="K555">
        <v>2500</v>
      </c>
      <c r="L555" t="s">
        <v>7032</v>
      </c>
      <c r="M555" t="s">
        <v>97</v>
      </c>
      <c r="N555">
        <v>0</v>
      </c>
      <c r="O555">
        <v>0</v>
      </c>
      <c r="T555">
        <v>0</v>
      </c>
      <c r="U555">
        <v>0</v>
      </c>
      <c r="V555">
        <v>3</v>
      </c>
    </row>
    <row r="556" spans="1:22" x14ac:dyDescent="0.2">
      <c r="A556" t="s">
        <v>4650</v>
      </c>
      <c r="B556" t="s">
        <v>4651</v>
      </c>
      <c r="C556" t="s">
        <v>446</v>
      </c>
      <c r="D556" t="s">
        <v>96</v>
      </c>
      <c r="E556">
        <v>24.99</v>
      </c>
      <c r="F556" t="s">
        <v>8118</v>
      </c>
      <c r="L556" t="s">
        <v>7032</v>
      </c>
      <c r="M556" t="s">
        <v>97</v>
      </c>
      <c r="N556">
        <v>10</v>
      </c>
      <c r="O556">
        <v>0.1</v>
      </c>
      <c r="T556">
        <v>0.2</v>
      </c>
      <c r="U556">
        <v>0</v>
      </c>
      <c r="V556">
        <v>2</v>
      </c>
    </row>
    <row r="557" spans="1:22" x14ac:dyDescent="0.2">
      <c r="A557" t="s">
        <v>4633</v>
      </c>
      <c r="B557" t="s">
        <v>4634</v>
      </c>
      <c r="C557" t="s">
        <v>446</v>
      </c>
      <c r="D557" t="s">
        <v>290</v>
      </c>
      <c r="E557">
        <v>34.99</v>
      </c>
      <c r="F557" t="s">
        <v>8118</v>
      </c>
      <c r="G557">
        <v>325</v>
      </c>
      <c r="H557">
        <v>2</v>
      </c>
      <c r="I557">
        <v>323</v>
      </c>
      <c r="L557" t="s">
        <v>7032</v>
      </c>
      <c r="M557" t="s">
        <v>97</v>
      </c>
      <c r="N557">
        <v>0</v>
      </c>
      <c r="O557">
        <v>0</v>
      </c>
      <c r="T557">
        <v>0</v>
      </c>
      <c r="U557">
        <v>0</v>
      </c>
      <c r="V557">
        <v>0</v>
      </c>
    </row>
    <row r="558" spans="1:22" x14ac:dyDescent="0.2">
      <c r="A558" t="s">
        <v>5014</v>
      </c>
      <c r="B558" t="s">
        <v>5015</v>
      </c>
      <c r="C558" t="s">
        <v>446</v>
      </c>
      <c r="D558" t="s">
        <v>96</v>
      </c>
      <c r="E558">
        <v>49.99</v>
      </c>
      <c r="F558" t="s">
        <v>8118</v>
      </c>
      <c r="L558" t="s">
        <v>7032</v>
      </c>
      <c r="M558" t="s">
        <v>97</v>
      </c>
      <c r="N558">
        <v>0</v>
      </c>
      <c r="O558">
        <v>0</v>
      </c>
      <c r="T558">
        <v>0</v>
      </c>
      <c r="U558">
        <v>0</v>
      </c>
      <c r="V558">
        <v>2</v>
      </c>
    </row>
    <row r="559" spans="1:22" x14ac:dyDescent="0.2">
      <c r="A559" t="s">
        <v>807</v>
      </c>
      <c r="B559" t="s">
        <v>808</v>
      </c>
      <c r="C559" t="s">
        <v>446</v>
      </c>
      <c r="D559" t="s">
        <v>228</v>
      </c>
      <c r="E559">
        <v>19.989999999999998</v>
      </c>
      <c r="F559" t="s">
        <v>8118</v>
      </c>
      <c r="G559">
        <v>1006</v>
      </c>
      <c r="H559">
        <v>111</v>
      </c>
      <c r="I559">
        <v>895</v>
      </c>
      <c r="K559">
        <v>2000</v>
      </c>
      <c r="L559" t="s">
        <v>7032</v>
      </c>
      <c r="M559" t="s">
        <v>97</v>
      </c>
      <c r="N559">
        <v>0</v>
      </c>
      <c r="O559">
        <v>0</v>
      </c>
      <c r="T559">
        <v>0</v>
      </c>
      <c r="U559">
        <v>0</v>
      </c>
      <c r="V559">
        <v>3</v>
      </c>
    </row>
    <row r="560" spans="1:22" x14ac:dyDescent="0.2">
      <c r="A560" t="s">
        <v>691</v>
      </c>
      <c r="B560" t="s">
        <v>7018</v>
      </c>
      <c r="C560" t="s">
        <v>446</v>
      </c>
      <c r="D560" t="s">
        <v>228</v>
      </c>
      <c r="E560">
        <v>59.99</v>
      </c>
      <c r="F560" t="s">
        <v>8118</v>
      </c>
      <c r="G560">
        <v>380</v>
      </c>
      <c r="H560">
        <v>104</v>
      </c>
      <c r="I560">
        <v>276</v>
      </c>
      <c r="K560">
        <v>3000</v>
      </c>
      <c r="L560" t="s">
        <v>7032</v>
      </c>
      <c r="M560" t="s">
        <v>97</v>
      </c>
      <c r="N560">
        <v>0</v>
      </c>
      <c r="O560">
        <v>0</v>
      </c>
      <c r="T560">
        <v>0</v>
      </c>
      <c r="U560">
        <v>0</v>
      </c>
      <c r="V560">
        <v>3</v>
      </c>
    </row>
    <row r="561" spans="1:22" x14ac:dyDescent="0.2">
      <c r="A561" t="s">
        <v>765</v>
      </c>
      <c r="B561" t="s">
        <v>766</v>
      </c>
      <c r="C561" t="s">
        <v>446</v>
      </c>
      <c r="D561" t="s">
        <v>228</v>
      </c>
      <c r="E561">
        <v>39.99</v>
      </c>
      <c r="F561" t="s">
        <v>8118</v>
      </c>
      <c r="G561">
        <v>244</v>
      </c>
      <c r="H561">
        <v>170</v>
      </c>
      <c r="I561">
        <v>74</v>
      </c>
      <c r="K561">
        <v>4000</v>
      </c>
      <c r="L561" t="s">
        <v>7032</v>
      </c>
      <c r="M561" t="s">
        <v>97</v>
      </c>
      <c r="N561">
        <v>0</v>
      </c>
      <c r="O561">
        <v>0</v>
      </c>
      <c r="T561">
        <v>0</v>
      </c>
      <c r="U561">
        <v>0</v>
      </c>
      <c r="V561">
        <v>0</v>
      </c>
    </row>
    <row r="562" spans="1:22" x14ac:dyDescent="0.2">
      <c r="A562" t="s">
        <v>759</v>
      </c>
      <c r="B562" t="s">
        <v>760</v>
      </c>
      <c r="C562" t="s">
        <v>446</v>
      </c>
      <c r="D562" t="s">
        <v>228</v>
      </c>
      <c r="E562">
        <v>39.99</v>
      </c>
      <c r="F562" t="s">
        <v>8118</v>
      </c>
      <c r="G562">
        <v>42</v>
      </c>
      <c r="H562">
        <v>42</v>
      </c>
      <c r="K562">
        <v>4000</v>
      </c>
      <c r="L562" t="s">
        <v>7032</v>
      </c>
      <c r="M562" t="s">
        <v>97</v>
      </c>
      <c r="N562">
        <v>0</v>
      </c>
      <c r="O562">
        <v>0</v>
      </c>
      <c r="T562">
        <v>0</v>
      </c>
      <c r="U562">
        <v>0</v>
      </c>
      <c r="V562">
        <v>0</v>
      </c>
    </row>
    <row r="563" spans="1:22" x14ac:dyDescent="0.2">
      <c r="A563" t="s">
        <v>763</v>
      </c>
      <c r="B563" t="s">
        <v>7022</v>
      </c>
      <c r="C563" t="s">
        <v>446</v>
      </c>
      <c r="D563" t="s">
        <v>228</v>
      </c>
      <c r="E563">
        <v>39.99</v>
      </c>
      <c r="F563" t="s">
        <v>8118</v>
      </c>
      <c r="G563">
        <v>730</v>
      </c>
      <c r="H563">
        <v>32</v>
      </c>
      <c r="I563">
        <v>698</v>
      </c>
      <c r="L563" t="s">
        <v>7032</v>
      </c>
      <c r="M563" t="s">
        <v>97</v>
      </c>
      <c r="N563">
        <v>0</v>
      </c>
      <c r="O563">
        <v>0</v>
      </c>
      <c r="T563">
        <v>0</v>
      </c>
      <c r="U563">
        <v>0</v>
      </c>
      <c r="V563">
        <v>1</v>
      </c>
    </row>
    <row r="564" spans="1:22" x14ac:dyDescent="0.2">
      <c r="A564" t="s">
        <v>761</v>
      </c>
      <c r="B564" t="s">
        <v>7023</v>
      </c>
      <c r="C564" t="s">
        <v>446</v>
      </c>
      <c r="D564" t="s">
        <v>228</v>
      </c>
      <c r="E564">
        <v>39.99</v>
      </c>
      <c r="F564" t="s">
        <v>8118</v>
      </c>
      <c r="G564">
        <v>492</v>
      </c>
      <c r="H564">
        <v>37</v>
      </c>
      <c r="I564">
        <v>455</v>
      </c>
      <c r="K564">
        <v>1000</v>
      </c>
      <c r="L564" t="s">
        <v>7032</v>
      </c>
      <c r="M564" t="s">
        <v>97</v>
      </c>
      <c r="N564">
        <v>0</v>
      </c>
      <c r="O564">
        <v>0</v>
      </c>
      <c r="T564">
        <v>0</v>
      </c>
      <c r="U564">
        <v>0</v>
      </c>
      <c r="V564">
        <v>0</v>
      </c>
    </row>
    <row r="565" spans="1:22" x14ac:dyDescent="0.2">
      <c r="A565" t="s">
        <v>771</v>
      </c>
      <c r="B565" t="s">
        <v>772</v>
      </c>
      <c r="C565" t="s">
        <v>446</v>
      </c>
      <c r="D565" t="s">
        <v>228</v>
      </c>
      <c r="E565">
        <v>49.99</v>
      </c>
      <c r="F565" t="s">
        <v>8118</v>
      </c>
      <c r="G565">
        <v>862</v>
      </c>
      <c r="H565">
        <v>113</v>
      </c>
      <c r="I565">
        <v>749</v>
      </c>
      <c r="K565">
        <v>2000</v>
      </c>
      <c r="L565" t="s">
        <v>7032</v>
      </c>
      <c r="M565" t="s">
        <v>97</v>
      </c>
      <c r="N565">
        <v>0</v>
      </c>
      <c r="O565">
        <v>0</v>
      </c>
      <c r="T565">
        <v>0</v>
      </c>
      <c r="U565">
        <v>0</v>
      </c>
      <c r="V565">
        <v>1</v>
      </c>
    </row>
    <row r="566" spans="1:22" x14ac:dyDescent="0.2">
      <c r="A566" t="s">
        <v>757</v>
      </c>
      <c r="B566" t="s">
        <v>758</v>
      </c>
      <c r="C566" t="s">
        <v>446</v>
      </c>
      <c r="D566" t="s">
        <v>228</v>
      </c>
      <c r="E566">
        <v>49.99</v>
      </c>
      <c r="F566" t="s">
        <v>8118</v>
      </c>
      <c r="G566">
        <v>875</v>
      </c>
      <c r="H566">
        <v>60</v>
      </c>
      <c r="I566">
        <v>815</v>
      </c>
      <c r="K566">
        <v>1000</v>
      </c>
      <c r="L566" t="s">
        <v>7032</v>
      </c>
      <c r="M566" t="s">
        <v>97</v>
      </c>
      <c r="N566">
        <v>0</v>
      </c>
      <c r="O566">
        <v>0</v>
      </c>
      <c r="T566">
        <v>0</v>
      </c>
      <c r="U566">
        <v>0</v>
      </c>
      <c r="V566">
        <v>0</v>
      </c>
    </row>
    <row r="567" spans="1:22" x14ac:dyDescent="0.2">
      <c r="A567" t="s">
        <v>755</v>
      </c>
      <c r="B567" t="s">
        <v>756</v>
      </c>
      <c r="C567" t="s">
        <v>446</v>
      </c>
      <c r="D567" t="s">
        <v>228</v>
      </c>
      <c r="E567">
        <v>49.99</v>
      </c>
      <c r="F567" t="s">
        <v>8118</v>
      </c>
      <c r="G567">
        <v>697</v>
      </c>
      <c r="H567">
        <v>113</v>
      </c>
      <c r="I567">
        <v>584</v>
      </c>
      <c r="K567">
        <v>2000</v>
      </c>
      <c r="L567" t="s">
        <v>7032</v>
      </c>
      <c r="M567" t="s">
        <v>97</v>
      </c>
      <c r="N567">
        <v>0</v>
      </c>
      <c r="O567">
        <v>0</v>
      </c>
      <c r="T567">
        <v>0</v>
      </c>
      <c r="U567">
        <v>0</v>
      </c>
      <c r="V567">
        <v>1</v>
      </c>
    </row>
    <row r="568" spans="1:22" x14ac:dyDescent="0.2">
      <c r="A568" t="s">
        <v>677</v>
      </c>
      <c r="B568" t="s">
        <v>678</v>
      </c>
      <c r="C568" t="s">
        <v>446</v>
      </c>
      <c r="D568" t="s">
        <v>290</v>
      </c>
      <c r="E568">
        <v>129.99</v>
      </c>
      <c r="F568" t="s">
        <v>8118</v>
      </c>
      <c r="L568" t="s">
        <v>7032</v>
      </c>
      <c r="M568" t="s">
        <v>97</v>
      </c>
      <c r="N568">
        <v>0</v>
      </c>
      <c r="O568">
        <v>0</v>
      </c>
      <c r="T568">
        <v>0</v>
      </c>
      <c r="U568">
        <v>0</v>
      </c>
      <c r="V568">
        <v>0</v>
      </c>
    </row>
    <row r="569" spans="1:22" x14ac:dyDescent="0.2">
      <c r="A569" t="s">
        <v>687</v>
      </c>
      <c r="B569" t="s">
        <v>688</v>
      </c>
      <c r="C569" t="s">
        <v>446</v>
      </c>
      <c r="D569" t="s">
        <v>228</v>
      </c>
      <c r="E569">
        <v>59.99</v>
      </c>
      <c r="F569" t="s">
        <v>8118</v>
      </c>
      <c r="G569">
        <v>820</v>
      </c>
      <c r="H569">
        <v>3</v>
      </c>
      <c r="I569">
        <v>817</v>
      </c>
      <c r="L569" t="s">
        <v>7032</v>
      </c>
      <c r="M569" t="s">
        <v>97</v>
      </c>
      <c r="N569">
        <v>0</v>
      </c>
      <c r="O569">
        <v>0</v>
      </c>
      <c r="T569">
        <v>0</v>
      </c>
      <c r="U569">
        <v>0</v>
      </c>
      <c r="V569">
        <v>1</v>
      </c>
    </row>
    <row r="570" spans="1:22" x14ac:dyDescent="0.2">
      <c r="A570" t="s">
        <v>769</v>
      </c>
      <c r="B570" t="s">
        <v>770</v>
      </c>
      <c r="C570" t="s">
        <v>446</v>
      </c>
      <c r="D570" t="s">
        <v>228</v>
      </c>
      <c r="E570">
        <v>49.99</v>
      </c>
      <c r="F570" t="s">
        <v>8118</v>
      </c>
      <c r="G570">
        <v>893</v>
      </c>
      <c r="H570">
        <v>148</v>
      </c>
      <c r="I570">
        <v>745</v>
      </c>
      <c r="K570">
        <v>1000</v>
      </c>
      <c r="L570" t="s">
        <v>7032</v>
      </c>
      <c r="M570" t="s">
        <v>97</v>
      </c>
      <c r="N570">
        <v>0</v>
      </c>
      <c r="O570">
        <v>0</v>
      </c>
      <c r="T570">
        <v>0</v>
      </c>
      <c r="U570">
        <v>0</v>
      </c>
      <c r="V570">
        <v>0</v>
      </c>
    </row>
    <row r="571" spans="1:22" x14ac:dyDescent="0.2">
      <c r="A571" t="s">
        <v>5686</v>
      </c>
      <c r="B571" t="s">
        <v>5687</v>
      </c>
      <c r="C571" t="s">
        <v>446</v>
      </c>
      <c r="D571" t="s">
        <v>96</v>
      </c>
      <c r="F571" t="s">
        <v>8118</v>
      </c>
      <c r="L571" t="s">
        <v>7032</v>
      </c>
      <c r="M571" t="s">
        <v>97</v>
      </c>
      <c r="N571">
        <v>0</v>
      </c>
      <c r="O571">
        <v>0</v>
      </c>
      <c r="T571">
        <v>0</v>
      </c>
      <c r="V571">
        <v>0</v>
      </c>
    </row>
    <row r="572" spans="1:22" x14ac:dyDescent="0.2">
      <c r="A572" t="s">
        <v>775</v>
      </c>
      <c r="B572" t="s">
        <v>776</v>
      </c>
      <c r="C572" t="s">
        <v>446</v>
      </c>
      <c r="D572" t="s">
        <v>228</v>
      </c>
      <c r="E572">
        <v>34.99</v>
      </c>
      <c r="F572" t="s">
        <v>8118</v>
      </c>
      <c r="G572">
        <v>995</v>
      </c>
      <c r="H572">
        <v>120</v>
      </c>
      <c r="I572">
        <v>875</v>
      </c>
      <c r="K572">
        <v>2000</v>
      </c>
      <c r="L572" t="s">
        <v>7032</v>
      </c>
      <c r="M572" t="s">
        <v>97</v>
      </c>
      <c r="N572">
        <v>0</v>
      </c>
      <c r="O572">
        <v>0</v>
      </c>
      <c r="T572">
        <v>0.2</v>
      </c>
      <c r="U572">
        <v>0</v>
      </c>
      <c r="V572">
        <v>0</v>
      </c>
    </row>
    <row r="573" spans="1:22" x14ac:dyDescent="0.2">
      <c r="A573" t="s">
        <v>7096</v>
      </c>
      <c r="B573" t="s">
        <v>7097</v>
      </c>
      <c r="C573" t="s">
        <v>446</v>
      </c>
      <c r="D573" t="s">
        <v>96</v>
      </c>
      <c r="E573">
        <v>59.99</v>
      </c>
      <c r="F573" t="s">
        <v>8118</v>
      </c>
      <c r="L573" t="s">
        <v>7032</v>
      </c>
      <c r="M573" t="s">
        <v>97</v>
      </c>
      <c r="N573">
        <v>0</v>
      </c>
      <c r="O573">
        <v>0</v>
      </c>
      <c r="T573">
        <v>0</v>
      </c>
      <c r="U573">
        <v>0</v>
      </c>
      <c r="V573">
        <v>0</v>
      </c>
    </row>
    <row r="574" spans="1:22" x14ac:dyDescent="0.2">
      <c r="A574" t="s">
        <v>4645</v>
      </c>
      <c r="B574" t="s">
        <v>4646</v>
      </c>
      <c r="C574" t="s">
        <v>446</v>
      </c>
      <c r="D574" t="s">
        <v>96</v>
      </c>
      <c r="E574">
        <v>14.99</v>
      </c>
      <c r="F574" t="s">
        <v>8118</v>
      </c>
      <c r="L574" t="s">
        <v>7032</v>
      </c>
      <c r="M574" t="s">
        <v>97</v>
      </c>
      <c r="N574">
        <v>0</v>
      </c>
      <c r="O574">
        <v>0</v>
      </c>
      <c r="T574">
        <v>0</v>
      </c>
      <c r="U574">
        <v>0</v>
      </c>
      <c r="V574">
        <v>0</v>
      </c>
    </row>
    <row r="575" spans="1:22" x14ac:dyDescent="0.2">
      <c r="A575" t="s">
        <v>503</v>
      </c>
      <c r="B575" t="s">
        <v>504</v>
      </c>
      <c r="C575" t="s">
        <v>446</v>
      </c>
      <c r="D575" t="s">
        <v>228</v>
      </c>
      <c r="E575">
        <v>39.99</v>
      </c>
      <c r="F575" t="s">
        <v>8118</v>
      </c>
      <c r="G575">
        <v>1267</v>
      </c>
      <c r="H575">
        <v>43</v>
      </c>
      <c r="I575">
        <v>1224</v>
      </c>
      <c r="K575">
        <v>3000</v>
      </c>
      <c r="L575" t="s">
        <v>7032</v>
      </c>
      <c r="M575" t="s">
        <v>97</v>
      </c>
      <c r="N575">
        <v>0</v>
      </c>
      <c r="O575">
        <v>0</v>
      </c>
      <c r="T575">
        <v>0</v>
      </c>
      <c r="U575">
        <v>0</v>
      </c>
      <c r="V575">
        <v>3</v>
      </c>
    </row>
    <row r="576" spans="1:22" x14ac:dyDescent="0.2">
      <c r="A576" t="s">
        <v>505</v>
      </c>
      <c r="B576" t="s">
        <v>506</v>
      </c>
      <c r="C576" t="s">
        <v>446</v>
      </c>
      <c r="D576" t="s">
        <v>228</v>
      </c>
      <c r="E576">
        <v>39.99</v>
      </c>
      <c r="F576" t="s">
        <v>8118</v>
      </c>
      <c r="G576">
        <v>601</v>
      </c>
      <c r="H576">
        <v>6</v>
      </c>
      <c r="I576">
        <v>595</v>
      </c>
      <c r="K576">
        <v>3000</v>
      </c>
      <c r="L576" t="s">
        <v>7032</v>
      </c>
      <c r="M576" t="s">
        <v>97</v>
      </c>
      <c r="N576">
        <v>0</v>
      </c>
      <c r="O576">
        <v>0</v>
      </c>
      <c r="T576">
        <v>0</v>
      </c>
      <c r="U576">
        <v>0</v>
      </c>
      <c r="V576">
        <v>0</v>
      </c>
    </row>
    <row r="577" spans="1:22" x14ac:dyDescent="0.2">
      <c r="A577" t="s">
        <v>4926</v>
      </c>
      <c r="B577" t="s">
        <v>4927</v>
      </c>
      <c r="C577" t="s">
        <v>446</v>
      </c>
      <c r="D577" t="s">
        <v>290</v>
      </c>
      <c r="E577">
        <v>39.99</v>
      </c>
      <c r="F577" t="s">
        <v>8118</v>
      </c>
      <c r="G577">
        <v>3</v>
      </c>
      <c r="I577">
        <v>3</v>
      </c>
      <c r="L577" t="s">
        <v>7032</v>
      </c>
      <c r="M577" t="s">
        <v>97</v>
      </c>
      <c r="N577">
        <v>0</v>
      </c>
      <c r="O577">
        <v>0</v>
      </c>
      <c r="T577">
        <v>0</v>
      </c>
      <c r="U577">
        <v>0</v>
      </c>
      <c r="V577">
        <v>1</v>
      </c>
    </row>
    <row r="578" spans="1:22" x14ac:dyDescent="0.2">
      <c r="A578" t="s">
        <v>509</v>
      </c>
      <c r="B578" t="s">
        <v>510</v>
      </c>
      <c r="C578" t="s">
        <v>446</v>
      </c>
      <c r="D578" t="s">
        <v>228</v>
      </c>
      <c r="E578">
        <v>19.989999999999998</v>
      </c>
      <c r="F578" t="s">
        <v>8118</v>
      </c>
      <c r="G578">
        <v>590</v>
      </c>
      <c r="H578">
        <v>7</v>
      </c>
      <c r="I578">
        <v>583</v>
      </c>
      <c r="L578" t="s">
        <v>7032</v>
      </c>
      <c r="M578" t="s">
        <v>97</v>
      </c>
      <c r="N578">
        <v>0</v>
      </c>
      <c r="O578">
        <v>0</v>
      </c>
      <c r="T578">
        <v>0</v>
      </c>
      <c r="U578">
        <v>0</v>
      </c>
      <c r="V578">
        <v>18</v>
      </c>
    </row>
    <row r="579" spans="1:22" x14ac:dyDescent="0.2">
      <c r="A579" t="s">
        <v>4872</v>
      </c>
      <c r="B579" t="s">
        <v>4873</v>
      </c>
      <c r="C579" t="s">
        <v>446</v>
      </c>
      <c r="D579" t="s">
        <v>96</v>
      </c>
      <c r="E579">
        <v>29.99</v>
      </c>
      <c r="F579" t="s">
        <v>8118</v>
      </c>
      <c r="L579" t="s">
        <v>7032</v>
      </c>
      <c r="M579" t="s">
        <v>97</v>
      </c>
      <c r="N579">
        <v>0</v>
      </c>
      <c r="O579">
        <v>0</v>
      </c>
      <c r="T579">
        <v>0</v>
      </c>
      <c r="U579">
        <v>0</v>
      </c>
      <c r="V579">
        <v>421</v>
      </c>
    </row>
    <row r="580" spans="1:22" x14ac:dyDescent="0.2">
      <c r="A580" t="s">
        <v>785</v>
      </c>
      <c r="B580" t="s">
        <v>786</v>
      </c>
      <c r="C580" t="s">
        <v>446</v>
      </c>
      <c r="D580" t="s">
        <v>228</v>
      </c>
      <c r="E580">
        <v>44.99</v>
      </c>
      <c r="F580" t="s">
        <v>8118</v>
      </c>
      <c r="G580">
        <v>468</v>
      </c>
      <c r="H580">
        <v>48</v>
      </c>
      <c r="I580">
        <v>420</v>
      </c>
      <c r="K580">
        <v>1000</v>
      </c>
      <c r="L580" t="s">
        <v>7032</v>
      </c>
      <c r="M580" t="s">
        <v>97</v>
      </c>
      <c r="N580">
        <v>0</v>
      </c>
      <c r="O580">
        <v>0</v>
      </c>
      <c r="T580">
        <v>0</v>
      </c>
      <c r="U580">
        <v>0</v>
      </c>
      <c r="V580">
        <v>0</v>
      </c>
    </row>
    <row r="581" spans="1:22" x14ac:dyDescent="0.2">
      <c r="A581" t="s">
        <v>5710</v>
      </c>
      <c r="B581" t="s">
        <v>5711</v>
      </c>
      <c r="C581" t="s">
        <v>446</v>
      </c>
      <c r="D581" t="s">
        <v>96</v>
      </c>
      <c r="E581">
        <v>59.99</v>
      </c>
      <c r="F581" t="s">
        <v>8118</v>
      </c>
      <c r="L581" t="s">
        <v>7032</v>
      </c>
      <c r="M581" t="s">
        <v>97</v>
      </c>
      <c r="N581">
        <v>0</v>
      </c>
      <c r="O581">
        <v>0</v>
      </c>
      <c r="T581">
        <v>0</v>
      </c>
      <c r="U581">
        <v>0</v>
      </c>
      <c r="V581">
        <v>0</v>
      </c>
    </row>
    <row r="582" spans="1:22" x14ac:dyDescent="0.2">
      <c r="A582" t="s">
        <v>7418</v>
      </c>
      <c r="B582" t="s">
        <v>7420</v>
      </c>
      <c r="C582" t="s">
        <v>446</v>
      </c>
      <c r="D582" t="s">
        <v>96</v>
      </c>
      <c r="E582">
        <v>44.99</v>
      </c>
      <c r="F582" t="s">
        <v>8118</v>
      </c>
      <c r="L582" t="s">
        <v>7032</v>
      </c>
      <c r="M582" t="s">
        <v>97</v>
      </c>
      <c r="N582">
        <v>0</v>
      </c>
      <c r="O582">
        <v>0</v>
      </c>
      <c r="T582">
        <v>0</v>
      </c>
      <c r="U582">
        <v>0</v>
      </c>
      <c r="V582">
        <v>0</v>
      </c>
    </row>
    <row r="583" spans="1:22" x14ac:dyDescent="0.2">
      <c r="A583" t="s">
        <v>671</v>
      </c>
      <c r="B583" t="s">
        <v>672</v>
      </c>
      <c r="C583" t="s">
        <v>446</v>
      </c>
      <c r="D583" t="s">
        <v>290</v>
      </c>
      <c r="E583">
        <v>79.989999999999995</v>
      </c>
      <c r="F583" t="s">
        <v>8118</v>
      </c>
      <c r="G583">
        <v>128</v>
      </c>
      <c r="I583">
        <v>128</v>
      </c>
      <c r="L583" t="s">
        <v>7032</v>
      </c>
      <c r="M583" t="s">
        <v>97</v>
      </c>
      <c r="N583">
        <v>6</v>
      </c>
      <c r="O583">
        <v>0.16666666666666666</v>
      </c>
      <c r="T583">
        <v>0.5</v>
      </c>
      <c r="U583">
        <v>0</v>
      </c>
      <c r="V583">
        <v>3</v>
      </c>
    </row>
    <row r="584" spans="1:22" x14ac:dyDescent="0.2">
      <c r="A584" t="s">
        <v>675</v>
      </c>
      <c r="B584" t="s">
        <v>676</v>
      </c>
      <c r="C584" t="s">
        <v>446</v>
      </c>
      <c r="D584" t="s">
        <v>228</v>
      </c>
      <c r="E584">
        <v>199.99</v>
      </c>
      <c r="F584" t="s">
        <v>8118</v>
      </c>
      <c r="G584">
        <v>828</v>
      </c>
      <c r="H584">
        <v>58</v>
      </c>
      <c r="I584">
        <v>770</v>
      </c>
      <c r="K584">
        <v>1001</v>
      </c>
      <c r="L584" t="s">
        <v>7032</v>
      </c>
      <c r="M584" t="s">
        <v>97</v>
      </c>
      <c r="N584">
        <v>0</v>
      </c>
      <c r="O584">
        <v>0</v>
      </c>
      <c r="T584">
        <v>0</v>
      </c>
      <c r="U584">
        <v>0</v>
      </c>
      <c r="V584">
        <v>0</v>
      </c>
    </row>
    <row r="585" spans="1:22" x14ac:dyDescent="0.2">
      <c r="A585" t="s">
        <v>7415</v>
      </c>
      <c r="B585" t="s">
        <v>7417</v>
      </c>
      <c r="C585" t="s">
        <v>446</v>
      </c>
      <c r="D585" t="s">
        <v>96</v>
      </c>
      <c r="E585">
        <v>44.99</v>
      </c>
      <c r="F585" t="s">
        <v>8118</v>
      </c>
      <c r="L585" t="s">
        <v>7032</v>
      </c>
      <c r="M585" t="s">
        <v>97</v>
      </c>
      <c r="N585">
        <v>0</v>
      </c>
      <c r="O585">
        <v>0</v>
      </c>
      <c r="T585">
        <v>0</v>
      </c>
      <c r="U585">
        <v>0</v>
      </c>
      <c r="V585">
        <v>0</v>
      </c>
    </row>
    <row r="586" spans="1:22" x14ac:dyDescent="0.2">
      <c r="A586" t="s">
        <v>4686</v>
      </c>
      <c r="B586" t="s">
        <v>4687</v>
      </c>
      <c r="C586" t="s">
        <v>446</v>
      </c>
      <c r="D586" t="s">
        <v>96</v>
      </c>
      <c r="E586">
        <v>27.99</v>
      </c>
      <c r="F586" t="s">
        <v>8118</v>
      </c>
      <c r="L586" t="s">
        <v>7032</v>
      </c>
      <c r="M586" t="s">
        <v>97</v>
      </c>
      <c r="N586">
        <v>0</v>
      </c>
      <c r="O586">
        <v>0</v>
      </c>
      <c r="T586">
        <v>0</v>
      </c>
      <c r="U586">
        <v>0</v>
      </c>
      <c r="V586">
        <v>0</v>
      </c>
    </row>
    <row r="587" spans="1:22" x14ac:dyDescent="0.2">
      <c r="A587" t="s">
        <v>4689</v>
      </c>
      <c r="B587" t="s">
        <v>4690</v>
      </c>
      <c r="C587" t="s">
        <v>446</v>
      </c>
      <c r="D587" t="s">
        <v>290</v>
      </c>
      <c r="E587">
        <v>32.99</v>
      </c>
      <c r="F587" t="s">
        <v>8118</v>
      </c>
      <c r="L587" t="s">
        <v>7032</v>
      </c>
      <c r="M587" t="s">
        <v>97</v>
      </c>
      <c r="N587">
        <v>0</v>
      </c>
      <c r="O587">
        <v>0</v>
      </c>
      <c r="T587">
        <v>0</v>
      </c>
      <c r="U587">
        <v>0</v>
      </c>
      <c r="V587">
        <v>0</v>
      </c>
    </row>
    <row r="588" spans="1:22" x14ac:dyDescent="0.2">
      <c r="A588" t="s">
        <v>795</v>
      </c>
      <c r="B588" t="s">
        <v>796</v>
      </c>
      <c r="C588" t="s">
        <v>446</v>
      </c>
      <c r="D588" t="s">
        <v>228</v>
      </c>
      <c r="E588">
        <v>129.99</v>
      </c>
      <c r="F588" t="s">
        <v>8118</v>
      </c>
      <c r="G588">
        <v>862</v>
      </c>
      <c r="H588">
        <v>2</v>
      </c>
      <c r="I588">
        <v>860</v>
      </c>
      <c r="K588">
        <v>1000</v>
      </c>
      <c r="L588" t="s">
        <v>7032</v>
      </c>
      <c r="M588" t="s">
        <v>97</v>
      </c>
      <c r="N588">
        <v>0</v>
      </c>
      <c r="O588">
        <v>0</v>
      </c>
      <c r="T588">
        <v>0</v>
      </c>
      <c r="U588">
        <v>0</v>
      </c>
      <c r="V588">
        <v>1</v>
      </c>
    </row>
    <row r="589" spans="1:22" x14ac:dyDescent="0.2">
      <c r="A589" t="s">
        <v>801</v>
      </c>
      <c r="B589" t="s">
        <v>802</v>
      </c>
      <c r="C589" t="s">
        <v>446</v>
      </c>
      <c r="D589" t="s">
        <v>228</v>
      </c>
      <c r="E589">
        <v>49.99</v>
      </c>
      <c r="F589" t="s">
        <v>8118</v>
      </c>
      <c r="G589">
        <v>972</v>
      </c>
      <c r="H589">
        <v>155</v>
      </c>
      <c r="I589">
        <v>817</v>
      </c>
      <c r="L589" t="s">
        <v>7032</v>
      </c>
      <c r="M589" t="s">
        <v>97</v>
      </c>
      <c r="N589">
        <v>0</v>
      </c>
      <c r="O589">
        <v>0</v>
      </c>
      <c r="T589">
        <v>0.6</v>
      </c>
      <c r="U589">
        <v>0</v>
      </c>
      <c r="V589">
        <v>0</v>
      </c>
    </row>
    <row r="590" spans="1:22" x14ac:dyDescent="0.2">
      <c r="A590" t="s">
        <v>787</v>
      </c>
      <c r="B590" t="s">
        <v>788</v>
      </c>
      <c r="C590" t="s">
        <v>446</v>
      </c>
      <c r="D590" t="s">
        <v>228</v>
      </c>
      <c r="E590">
        <v>44.99</v>
      </c>
      <c r="F590" t="s">
        <v>8118</v>
      </c>
      <c r="G590">
        <v>1525</v>
      </c>
      <c r="H590">
        <v>211</v>
      </c>
      <c r="I590">
        <v>1314</v>
      </c>
      <c r="K590">
        <v>2000</v>
      </c>
      <c r="L590" t="s">
        <v>7032</v>
      </c>
      <c r="M590" t="s">
        <v>97</v>
      </c>
      <c r="N590">
        <v>0</v>
      </c>
      <c r="O590">
        <v>0</v>
      </c>
      <c r="T590">
        <v>0.4</v>
      </c>
      <c r="U590">
        <v>0</v>
      </c>
      <c r="V590">
        <v>0</v>
      </c>
    </row>
    <row r="591" spans="1:22" x14ac:dyDescent="0.2">
      <c r="A591" t="s">
        <v>783</v>
      </c>
      <c r="B591" t="s">
        <v>784</v>
      </c>
      <c r="C591" t="s">
        <v>446</v>
      </c>
      <c r="D591" t="s">
        <v>228</v>
      </c>
      <c r="E591">
        <v>44.99</v>
      </c>
      <c r="F591" t="s">
        <v>8118</v>
      </c>
      <c r="G591">
        <v>1068</v>
      </c>
      <c r="H591">
        <v>33</v>
      </c>
      <c r="I591">
        <v>1035</v>
      </c>
      <c r="L591" t="s">
        <v>7032</v>
      </c>
      <c r="M591" t="s">
        <v>97</v>
      </c>
      <c r="N591">
        <v>0</v>
      </c>
      <c r="O591">
        <v>0</v>
      </c>
      <c r="T591">
        <v>0</v>
      </c>
      <c r="U591">
        <v>0</v>
      </c>
      <c r="V591">
        <v>3</v>
      </c>
    </row>
    <row r="592" spans="1:22" x14ac:dyDescent="0.2">
      <c r="A592" t="s">
        <v>781</v>
      </c>
      <c r="B592" t="s">
        <v>782</v>
      </c>
      <c r="C592" t="s">
        <v>446</v>
      </c>
      <c r="D592" t="s">
        <v>228</v>
      </c>
      <c r="E592">
        <v>44.99</v>
      </c>
      <c r="F592" t="s">
        <v>8118</v>
      </c>
      <c r="G592">
        <v>1084</v>
      </c>
      <c r="H592">
        <v>2</v>
      </c>
      <c r="I592">
        <v>1082</v>
      </c>
      <c r="L592" t="s">
        <v>7032</v>
      </c>
      <c r="M592" t="s">
        <v>97</v>
      </c>
      <c r="N592">
        <v>0</v>
      </c>
      <c r="O592">
        <v>0</v>
      </c>
      <c r="T592">
        <v>0</v>
      </c>
      <c r="U592">
        <v>0</v>
      </c>
      <c r="V592">
        <v>1</v>
      </c>
    </row>
    <row r="593" spans="1:22" x14ac:dyDescent="0.2">
      <c r="A593" t="s">
        <v>789</v>
      </c>
      <c r="B593" t="s">
        <v>790</v>
      </c>
      <c r="C593" t="s">
        <v>446</v>
      </c>
      <c r="D593" t="s">
        <v>228</v>
      </c>
      <c r="E593">
        <v>44.99</v>
      </c>
      <c r="F593" t="s">
        <v>8118</v>
      </c>
      <c r="G593">
        <v>728</v>
      </c>
      <c r="H593">
        <v>36</v>
      </c>
      <c r="I593">
        <v>692</v>
      </c>
      <c r="K593">
        <v>2000</v>
      </c>
      <c r="L593" t="s">
        <v>7032</v>
      </c>
      <c r="M593" t="s">
        <v>97</v>
      </c>
      <c r="N593">
        <v>0</v>
      </c>
      <c r="O593">
        <v>0</v>
      </c>
      <c r="T593">
        <v>0</v>
      </c>
      <c r="U593">
        <v>0</v>
      </c>
      <c r="V593">
        <v>0</v>
      </c>
    </row>
    <row r="594" spans="1:22" x14ac:dyDescent="0.2">
      <c r="A594" t="s">
        <v>685</v>
      </c>
      <c r="B594" t="s">
        <v>686</v>
      </c>
      <c r="C594" t="s">
        <v>446</v>
      </c>
      <c r="D594" t="s">
        <v>228</v>
      </c>
      <c r="E594">
        <v>59.99</v>
      </c>
      <c r="F594" t="s">
        <v>8118</v>
      </c>
      <c r="G594">
        <v>808</v>
      </c>
      <c r="H594">
        <v>4</v>
      </c>
      <c r="I594">
        <v>804</v>
      </c>
      <c r="L594" t="s">
        <v>7032</v>
      </c>
      <c r="M594" t="s">
        <v>97</v>
      </c>
      <c r="N594">
        <v>0</v>
      </c>
      <c r="O594">
        <v>0</v>
      </c>
      <c r="T594">
        <v>0</v>
      </c>
      <c r="U594">
        <v>0</v>
      </c>
      <c r="V594">
        <v>3</v>
      </c>
    </row>
    <row r="595" spans="1:22" x14ac:dyDescent="0.2">
      <c r="A595" t="s">
        <v>7421</v>
      </c>
      <c r="B595" t="s">
        <v>7423</v>
      </c>
      <c r="C595" t="s">
        <v>446</v>
      </c>
      <c r="D595" t="s">
        <v>96</v>
      </c>
      <c r="E595">
        <v>44.99</v>
      </c>
      <c r="F595" t="s">
        <v>8118</v>
      </c>
      <c r="L595" t="s">
        <v>7032</v>
      </c>
      <c r="M595" t="s">
        <v>97</v>
      </c>
      <c r="N595">
        <v>0</v>
      </c>
      <c r="O595">
        <v>0</v>
      </c>
      <c r="T595">
        <v>0</v>
      </c>
      <c r="U595">
        <v>0</v>
      </c>
      <c r="V595">
        <v>0</v>
      </c>
    </row>
    <row r="596" spans="1:22" x14ac:dyDescent="0.2">
      <c r="A596" t="s">
        <v>683</v>
      </c>
      <c r="B596" t="s">
        <v>684</v>
      </c>
      <c r="C596" t="s">
        <v>446</v>
      </c>
      <c r="D596" t="s">
        <v>290</v>
      </c>
      <c r="E596">
        <v>149.99</v>
      </c>
      <c r="F596" t="s">
        <v>8118</v>
      </c>
      <c r="L596" t="s">
        <v>7032</v>
      </c>
      <c r="M596" t="s">
        <v>97</v>
      </c>
      <c r="N596">
        <v>0</v>
      </c>
      <c r="O596">
        <v>0</v>
      </c>
      <c r="T596">
        <v>0</v>
      </c>
      <c r="U596">
        <v>0</v>
      </c>
      <c r="V596">
        <v>0</v>
      </c>
    </row>
    <row r="597" spans="1:22" x14ac:dyDescent="0.2">
      <c r="A597" t="s">
        <v>962</v>
      </c>
      <c r="B597" t="s">
        <v>963</v>
      </c>
      <c r="C597" t="s">
        <v>446</v>
      </c>
      <c r="D597" t="s">
        <v>228</v>
      </c>
      <c r="E597">
        <v>14.99</v>
      </c>
      <c r="F597" t="s">
        <v>8118</v>
      </c>
      <c r="G597">
        <v>1026</v>
      </c>
      <c r="H597">
        <v>1026</v>
      </c>
      <c r="J597">
        <v>16</v>
      </c>
      <c r="K597">
        <v>7000</v>
      </c>
      <c r="L597" t="s">
        <v>7032</v>
      </c>
      <c r="M597" t="s">
        <v>97</v>
      </c>
      <c r="N597">
        <v>3</v>
      </c>
      <c r="O597">
        <v>0.33333333333333331</v>
      </c>
      <c r="T597">
        <v>0.33333333333333331</v>
      </c>
      <c r="U597">
        <v>0</v>
      </c>
      <c r="V597">
        <v>1</v>
      </c>
    </row>
    <row r="598" spans="1:22" x14ac:dyDescent="0.2">
      <c r="A598" t="s">
        <v>507</v>
      </c>
      <c r="B598" t="s">
        <v>508</v>
      </c>
      <c r="C598" t="s">
        <v>446</v>
      </c>
      <c r="D598" t="s">
        <v>228</v>
      </c>
      <c r="E598">
        <v>39.99</v>
      </c>
      <c r="F598" t="s">
        <v>8118</v>
      </c>
      <c r="G598">
        <v>754</v>
      </c>
      <c r="I598">
        <v>754</v>
      </c>
      <c r="L598" t="s">
        <v>8</v>
      </c>
      <c r="M598" t="s">
        <v>4930</v>
      </c>
      <c r="N598">
        <v>118.66666666666667</v>
      </c>
      <c r="O598">
        <v>8.4269662921348312E-3</v>
      </c>
      <c r="Q598">
        <v>0</v>
      </c>
      <c r="R598">
        <v>89</v>
      </c>
      <c r="S598">
        <v>0</v>
      </c>
      <c r="T598">
        <v>0.75</v>
      </c>
      <c r="U598">
        <v>199.95000000000002</v>
      </c>
      <c r="V598">
        <v>89</v>
      </c>
    </row>
    <row r="599" spans="1:22" x14ac:dyDescent="0.2">
      <c r="A599" t="s">
        <v>507</v>
      </c>
      <c r="B599" t="s">
        <v>508</v>
      </c>
      <c r="C599" t="s">
        <v>446</v>
      </c>
      <c r="D599" t="s">
        <v>228</v>
      </c>
      <c r="E599">
        <v>39.99</v>
      </c>
      <c r="F599" t="s">
        <v>8118</v>
      </c>
      <c r="G599">
        <v>754</v>
      </c>
      <c r="I599">
        <v>754</v>
      </c>
      <c r="L599" t="s">
        <v>8</v>
      </c>
      <c r="M599" t="s">
        <v>4930</v>
      </c>
      <c r="N599">
        <v>118.66666666666667</v>
      </c>
      <c r="O599">
        <v>8.4269662921348312E-3</v>
      </c>
      <c r="Q599">
        <v>0</v>
      </c>
      <c r="R599">
        <v>89</v>
      </c>
      <c r="S599">
        <v>0</v>
      </c>
      <c r="T599">
        <v>0.75</v>
      </c>
      <c r="U599">
        <v>199.95000000000002</v>
      </c>
      <c r="V599">
        <v>89</v>
      </c>
    </row>
    <row r="600" spans="1:22" x14ac:dyDescent="0.2">
      <c r="A600" t="s">
        <v>1000</v>
      </c>
      <c r="B600" t="s">
        <v>1001</v>
      </c>
      <c r="C600" t="s">
        <v>446</v>
      </c>
      <c r="D600" t="s">
        <v>228</v>
      </c>
      <c r="E600">
        <v>69.989999999999995</v>
      </c>
      <c r="F600" t="s">
        <v>8118</v>
      </c>
      <c r="G600">
        <v>536</v>
      </c>
      <c r="H600">
        <v>2</v>
      </c>
      <c r="I600">
        <v>534</v>
      </c>
      <c r="L600" t="s">
        <v>8</v>
      </c>
      <c r="M600" t="s">
        <v>4910</v>
      </c>
      <c r="N600">
        <v>202.85714285714286</v>
      </c>
      <c r="O600">
        <v>4.9295774647887328E-3</v>
      </c>
      <c r="Q600">
        <v>4</v>
      </c>
      <c r="R600">
        <v>108</v>
      </c>
      <c r="S600">
        <v>243</v>
      </c>
      <c r="T600">
        <v>1.75</v>
      </c>
      <c r="U600">
        <v>559.91999999999996</v>
      </c>
      <c r="V600">
        <v>355</v>
      </c>
    </row>
    <row r="601" spans="1:22" x14ac:dyDescent="0.2">
      <c r="A601" t="s">
        <v>1000</v>
      </c>
      <c r="B601" t="s">
        <v>1001</v>
      </c>
      <c r="C601" t="s">
        <v>446</v>
      </c>
      <c r="D601" t="s">
        <v>228</v>
      </c>
      <c r="E601">
        <v>69.989999999999995</v>
      </c>
      <c r="F601" t="s">
        <v>8118</v>
      </c>
      <c r="G601">
        <v>536</v>
      </c>
      <c r="H601">
        <v>2</v>
      </c>
      <c r="I601">
        <v>534</v>
      </c>
      <c r="L601" t="s">
        <v>8</v>
      </c>
      <c r="M601" t="s">
        <v>4910</v>
      </c>
      <c r="N601">
        <v>202.85714285714286</v>
      </c>
      <c r="O601">
        <v>4.9295774647887328E-3</v>
      </c>
      <c r="Q601">
        <v>4</v>
      </c>
      <c r="R601">
        <v>108</v>
      </c>
      <c r="S601">
        <v>243</v>
      </c>
      <c r="T601">
        <v>1.75</v>
      </c>
      <c r="U601">
        <v>559.91999999999996</v>
      </c>
      <c r="V601">
        <v>355</v>
      </c>
    </row>
    <row r="602" spans="1:22" x14ac:dyDescent="0.2">
      <c r="A602" t="s">
        <v>940</v>
      </c>
      <c r="B602" t="s">
        <v>941</v>
      </c>
      <c r="C602" t="s">
        <v>446</v>
      </c>
      <c r="D602" t="s">
        <v>228</v>
      </c>
      <c r="E602">
        <v>15.99</v>
      </c>
      <c r="F602" t="s">
        <v>8118</v>
      </c>
      <c r="G602">
        <v>3038</v>
      </c>
      <c r="H602">
        <v>44</v>
      </c>
      <c r="I602">
        <v>2994</v>
      </c>
      <c r="J602">
        <v>103</v>
      </c>
      <c r="K602">
        <v>12000</v>
      </c>
      <c r="L602" t="s">
        <v>8</v>
      </c>
      <c r="M602" t="s">
        <v>5124</v>
      </c>
      <c r="N602">
        <v>1.1713147410358566</v>
      </c>
      <c r="O602">
        <v>0.8537414965986394</v>
      </c>
      <c r="Q602">
        <v>3</v>
      </c>
      <c r="R602">
        <v>81</v>
      </c>
      <c r="S602">
        <v>161</v>
      </c>
      <c r="T602">
        <v>209.16666666666666</v>
      </c>
      <c r="U602">
        <v>3645.7200000000003</v>
      </c>
      <c r="V602">
        <v>245</v>
      </c>
    </row>
    <row r="603" spans="1:22" x14ac:dyDescent="0.2">
      <c r="A603" t="s">
        <v>773</v>
      </c>
      <c r="B603" t="s">
        <v>774</v>
      </c>
      <c r="C603" t="s">
        <v>446</v>
      </c>
      <c r="D603" t="s">
        <v>228</v>
      </c>
      <c r="E603">
        <v>149.99</v>
      </c>
      <c r="F603" t="s">
        <v>8118</v>
      </c>
      <c r="G603">
        <v>879</v>
      </c>
      <c r="H603">
        <v>46</v>
      </c>
      <c r="I603">
        <v>833</v>
      </c>
      <c r="K603">
        <v>1001</v>
      </c>
      <c r="L603" t="s">
        <v>8</v>
      </c>
      <c r="M603" t="s">
        <v>5106</v>
      </c>
      <c r="N603">
        <v>18.086956521739129</v>
      </c>
      <c r="O603">
        <v>5.5288461538461536E-2</v>
      </c>
      <c r="Q603">
        <v>5</v>
      </c>
      <c r="R603">
        <v>83</v>
      </c>
      <c r="S603">
        <v>224</v>
      </c>
      <c r="T603">
        <v>17.25</v>
      </c>
      <c r="U603">
        <v>1199.92</v>
      </c>
      <c r="V603">
        <v>312</v>
      </c>
    </row>
    <row r="604" spans="1:22" x14ac:dyDescent="0.2">
      <c r="A604" t="s">
        <v>914</v>
      </c>
      <c r="B604" t="s">
        <v>915</v>
      </c>
      <c r="C604" t="s">
        <v>446</v>
      </c>
      <c r="D604" t="s">
        <v>228</v>
      </c>
      <c r="E604">
        <v>49.99</v>
      </c>
      <c r="F604" t="s">
        <v>8118</v>
      </c>
      <c r="G604">
        <v>1226</v>
      </c>
      <c r="H604">
        <v>57</v>
      </c>
      <c r="I604">
        <v>1169</v>
      </c>
      <c r="K604">
        <v>1000</v>
      </c>
      <c r="L604" t="s">
        <v>8</v>
      </c>
      <c r="M604" t="s">
        <v>4879</v>
      </c>
      <c r="N604">
        <v>6.4584269662921345</v>
      </c>
      <c r="O604">
        <v>0.1548364648573417</v>
      </c>
      <c r="Q604">
        <v>49</v>
      </c>
      <c r="R604">
        <v>27</v>
      </c>
      <c r="S604">
        <v>403</v>
      </c>
      <c r="T604">
        <v>74.166666666666671</v>
      </c>
      <c r="U604">
        <v>2949.4100000000003</v>
      </c>
      <c r="V604">
        <v>479</v>
      </c>
    </row>
    <row r="605" spans="1:22" x14ac:dyDescent="0.2">
      <c r="A605" t="s">
        <v>775</v>
      </c>
      <c r="B605" t="s">
        <v>776</v>
      </c>
      <c r="C605" t="s">
        <v>446</v>
      </c>
      <c r="D605" t="s">
        <v>228</v>
      </c>
      <c r="E605">
        <v>34.99</v>
      </c>
      <c r="F605" t="s">
        <v>8118</v>
      </c>
      <c r="G605">
        <v>995</v>
      </c>
      <c r="H605">
        <v>120</v>
      </c>
      <c r="I605">
        <v>875</v>
      </c>
      <c r="K605">
        <v>2000</v>
      </c>
      <c r="L605" t="s">
        <v>8</v>
      </c>
      <c r="M605" t="s">
        <v>5035</v>
      </c>
      <c r="N605">
        <v>9.7834394904458595</v>
      </c>
      <c r="O605">
        <v>0.10221354166666667</v>
      </c>
      <c r="Q605">
        <v>15</v>
      </c>
      <c r="R605">
        <v>18</v>
      </c>
      <c r="S605">
        <v>479</v>
      </c>
      <c r="T605">
        <v>52.333333333333336</v>
      </c>
      <c r="U605">
        <v>1819.48</v>
      </c>
      <c r="V605">
        <v>512</v>
      </c>
    </row>
    <row r="606" spans="1:22" x14ac:dyDescent="0.2">
      <c r="A606" t="s">
        <v>781</v>
      </c>
      <c r="B606" t="s">
        <v>782</v>
      </c>
      <c r="C606" t="s">
        <v>446</v>
      </c>
      <c r="D606" t="s">
        <v>228</v>
      </c>
      <c r="E606">
        <v>44.99</v>
      </c>
      <c r="F606" t="s">
        <v>8118</v>
      </c>
      <c r="G606">
        <v>1084</v>
      </c>
      <c r="H606">
        <v>2</v>
      </c>
      <c r="I606">
        <v>1082</v>
      </c>
      <c r="L606" t="s">
        <v>8</v>
      </c>
      <c r="M606" t="s">
        <v>5100</v>
      </c>
      <c r="N606">
        <v>8.068965517241379</v>
      </c>
      <c r="O606">
        <v>0.12393162393162392</v>
      </c>
      <c r="Q606">
        <v>0</v>
      </c>
      <c r="R606">
        <v>9</v>
      </c>
      <c r="S606">
        <v>30</v>
      </c>
      <c r="T606">
        <v>4.833333333333333</v>
      </c>
      <c r="U606">
        <v>89.98</v>
      </c>
      <c r="V606">
        <v>39</v>
      </c>
    </row>
    <row r="607" spans="1:22" x14ac:dyDescent="0.2">
      <c r="A607" t="s">
        <v>783</v>
      </c>
      <c r="B607" t="s">
        <v>784</v>
      </c>
      <c r="C607" t="s">
        <v>446</v>
      </c>
      <c r="D607" t="s">
        <v>228</v>
      </c>
      <c r="E607">
        <v>44.99</v>
      </c>
      <c r="F607" t="s">
        <v>8118</v>
      </c>
      <c r="G607">
        <v>1068</v>
      </c>
      <c r="H607">
        <v>33</v>
      </c>
      <c r="I607">
        <v>1035</v>
      </c>
      <c r="L607" t="s">
        <v>8</v>
      </c>
      <c r="M607" t="s">
        <v>5097</v>
      </c>
      <c r="N607">
        <v>10.434782608695652</v>
      </c>
      <c r="O607">
        <v>9.583333333333334E-2</v>
      </c>
      <c r="Q607">
        <v>0</v>
      </c>
      <c r="R607">
        <v>32</v>
      </c>
      <c r="S607">
        <v>28</v>
      </c>
      <c r="T607">
        <v>5.75</v>
      </c>
      <c r="U607">
        <v>269.94</v>
      </c>
      <c r="V607">
        <v>60</v>
      </c>
    </row>
    <row r="608" spans="1:22" x14ac:dyDescent="0.2">
      <c r="A608" t="s">
        <v>900</v>
      </c>
      <c r="B608" t="s">
        <v>901</v>
      </c>
      <c r="C608" t="s">
        <v>446</v>
      </c>
      <c r="D608" t="s">
        <v>228</v>
      </c>
      <c r="E608">
        <v>39.99</v>
      </c>
      <c r="F608" t="s">
        <v>8118</v>
      </c>
      <c r="G608">
        <v>958</v>
      </c>
      <c r="H608">
        <v>29</v>
      </c>
      <c r="I608">
        <v>929</v>
      </c>
      <c r="K608">
        <v>1000</v>
      </c>
      <c r="L608" t="s">
        <v>8</v>
      </c>
      <c r="M608" t="s">
        <v>4889</v>
      </c>
      <c r="N608">
        <v>8.7586206896551726</v>
      </c>
      <c r="O608">
        <v>0.1141732283464567</v>
      </c>
      <c r="Q608">
        <v>30</v>
      </c>
      <c r="R608">
        <v>21</v>
      </c>
      <c r="S608">
        <v>330</v>
      </c>
      <c r="T608">
        <v>43.5</v>
      </c>
      <c r="U608">
        <v>1799.5500000000002</v>
      </c>
      <c r="V608">
        <v>381</v>
      </c>
    </row>
    <row r="609" spans="1:22" x14ac:dyDescent="0.2">
      <c r="A609" t="s">
        <v>898</v>
      </c>
      <c r="B609" t="s">
        <v>899</v>
      </c>
      <c r="C609" t="s">
        <v>446</v>
      </c>
      <c r="D609" t="s">
        <v>228</v>
      </c>
      <c r="E609">
        <v>39.99</v>
      </c>
      <c r="F609" t="s">
        <v>8118</v>
      </c>
      <c r="G609">
        <v>402</v>
      </c>
      <c r="H609">
        <v>43</v>
      </c>
      <c r="I609">
        <v>359</v>
      </c>
      <c r="K609">
        <v>2000</v>
      </c>
      <c r="L609" t="s">
        <v>8</v>
      </c>
      <c r="M609" t="s">
        <v>4890</v>
      </c>
      <c r="N609">
        <v>8.8479262672811068</v>
      </c>
      <c r="O609">
        <v>0.11302083333333332</v>
      </c>
      <c r="Q609">
        <v>49</v>
      </c>
      <c r="R609">
        <v>34</v>
      </c>
      <c r="S609">
        <v>557</v>
      </c>
      <c r="T609">
        <v>72.333333333333329</v>
      </c>
      <c r="U609">
        <v>2399.4</v>
      </c>
      <c r="V609">
        <v>640</v>
      </c>
    </row>
    <row r="610" spans="1:22" x14ac:dyDescent="0.2">
      <c r="A610" t="s">
        <v>787</v>
      </c>
      <c r="B610" t="s">
        <v>788</v>
      </c>
      <c r="C610" t="s">
        <v>446</v>
      </c>
      <c r="D610" t="s">
        <v>228</v>
      </c>
      <c r="E610">
        <v>44.99</v>
      </c>
      <c r="F610" t="s">
        <v>8118</v>
      </c>
      <c r="G610">
        <v>1525</v>
      </c>
      <c r="H610">
        <v>211</v>
      </c>
      <c r="I610">
        <v>1314</v>
      </c>
      <c r="K610">
        <v>2000</v>
      </c>
      <c r="L610" t="s">
        <v>8</v>
      </c>
      <c r="M610" t="s">
        <v>5032</v>
      </c>
      <c r="N610">
        <v>9.1999999999999993</v>
      </c>
      <c r="O610">
        <v>0.10869565217391304</v>
      </c>
      <c r="Q610">
        <v>53</v>
      </c>
      <c r="R610">
        <v>27</v>
      </c>
      <c r="S610">
        <v>587</v>
      </c>
      <c r="T610">
        <v>72.5</v>
      </c>
      <c r="U610">
        <v>3014.33</v>
      </c>
      <c r="V610">
        <v>667</v>
      </c>
    </row>
    <row r="611" spans="1:22" x14ac:dyDescent="0.2">
      <c r="A611" t="s">
        <v>785</v>
      </c>
      <c r="B611" t="s">
        <v>786</v>
      </c>
      <c r="C611" t="s">
        <v>446</v>
      </c>
      <c r="D611" t="s">
        <v>228</v>
      </c>
      <c r="E611">
        <v>44.99</v>
      </c>
      <c r="F611" t="s">
        <v>8118</v>
      </c>
      <c r="G611">
        <v>468</v>
      </c>
      <c r="H611">
        <v>48</v>
      </c>
      <c r="I611">
        <v>420</v>
      </c>
      <c r="K611">
        <v>1000</v>
      </c>
      <c r="L611" t="s">
        <v>8</v>
      </c>
      <c r="M611" t="s">
        <v>5094</v>
      </c>
      <c r="N611">
        <v>20.333333333333332</v>
      </c>
      <c r="O611">
        <v>4.9180327868852458E-2</v>
      </c>
      <c r="Q611">
        <v>4</v>
      </c>
      <c r="R611">
        <v>63</v>
      </c>
      <c r="S611">
        <v>55</v>
      </c>
      <c r="T611">
        <v>6</v>
      </c>
      <c r="U611">
        <v>224.95000000000002</v>
      </c>
      <c r="V611">
        <v>122</v>
      </c>
    </row>
    <row r="612" spans="1:22" x14ac:dyDescent="0.2">
      <c r="A612" t="s">
        <v>791</v>
      </c>
      <c r="B612" t="s">
        <v>792</v>
      </c>
      <c r="C612" t="s">
        <v>446</v>
      </c>
      <c r="D612" t="s">
        <v>228</v>
      </c>
      <c r="E612">
        <v>59.99</v>
      </c>
      <c r="F612" t="s">
        <v>8118</v>
      </c>
      <c r="G612">
        <v>1364</v>
      </c>
      <c r="H612">
        <v>28</v>
      </c>
      <c r="I612">
        <v>1336</v>
      </c>
      <c r="L612" t="s">
        <v>8</v>
      </c>
      <c r="M612" t="s">
        <v>5115</v>
      </c>
      <c r="N612">
        <v>32.674698795180724</v>
      </c>
      <c r="O612">
        <v>3.0604719764011801E-2</v>
      </c>
      <c r="Q612">
        <v>4</v>
      </c>
      <c r="R612">
        <v>38</v>
      </c>
      <c r="S612">
        <v>410</v>
      </c>
      <c r="T612">
        <v>13.833333333333334</v>
      </c>
      <c r="U612">
        <v>1079.82</v>
      </c>
      <c r="V612">
        <v>452</v>
      </c>
    </row>
    <row r="613" spans="1:22" x14ac:dyDescent="0.2">
      <c r="A613" t="s">
        <v>795</v>
      </c>
      <c r="B613" t="s">
        <v>796</v>
      </c>
      <c r="C613" t="s">
        <v>446</v>
      </c>
      <c r="D613" t="s">
        <v>228</v>
      </c>
      <c r="E613">
        <v>129.99</v>
      </c>
      <c r="F613" t="s">
        <v>8118</v>
      </c>
      <c r="G613">
        <v>862</v>
      </c>
      <c r="H613">
        <v>2</v>
      </c>
      <c r="I613">
        <v>860</v>
      </c>
      <c r="K613">
        <v>1000</v>
      </c>
      <c r="L613" t="s">
        <v>8</v>
      </c>
      <c r="M613" t="s">
        <v>5103</v>
      </c>
      <c r="N613">
        <v>27.622641509433961</v>
      </c>
      <c r="O613">
        <v>3.6202185792349732E-2</v>
      </c>
      <c r="Q613">
        <v>0</v>
      </c>
      <c r="R613">
        <v>92</v>
      </c>
      <c r="S613">
        <v>30</v>
      </c>
      <c r="T613">
        <v>4.416666666666667</v>
      </c>
      <c r="U613">
        <v>519.96</v>
      </c>
      <c r="V613">
        <v>122</v>
      </c>
    </row>
    <row r="614" spans="1:22" x14ac:dyDescent="0.2">
      <c r="A614" t="s">
        <v>503</v>
      </c>
      <c r="B614" t="s">
        <v>504</v>
      </c>
      <c r="C614" t="s">
        <v>446</v>
      </c>
      <c r="D614" t="s">
        <v>228</v>
      </c>
      <c r="E614">
        <v>39.99</v>
      </c>
      <c r="F614" t="s">
        <v>8118</v>
      </c>
      <c r="G614">
        <v>1267</v>
      </c>
      <c r="H614">
        <v>43</v>
      </c>
      <c r="I614">
        <v>1224</v>
      </c>
      <c r="K614">
        <v>3000</v>
      </c>
      <c r="L614" t="s">
        <v>8</v>
      </c>
      <c r="M614" t="s">
        <v>4923</v>
      </c>
      <c r="N614">
        <v>11.367545076282941</v>
      </c>
      <c r="O614">
        <v>8.7969741337237686E-2</v>
      </c>
      <c r="Q614">
        <v>26</v>
      </c>
      <c r="R614">
        <v>85</v>
      </c>
      <c r="S614">
        <v>572</v>
      </c>
      <c r="T614">
        <v>60.083333333333336</v>
      </c>
      <c r="U614">
        <v>2439.3900000000003</v>
      </c>
      <c r="V614">
        <v>683</v>
      </c>
    </row>
    <row r="615" spans="1:22" x14ac:dyDescent="0.2">
      <c r="A615" t="s">
        <v>793</v>
      </c>
      <c r="B615" t="s">
        <v>794</v>
      </c>
      <c r="C615" t="s">
        <v>446</v>
      </c>
      <c r="D615" t="s">
        <v>228</v>
      </c>
      <c r="E615">
        <v>49.99</v>
      </c>
      <c r="F615" t="s">
        <v>8118</v>
      </c>
      <c r="G615">
        <v>1040</v>
      </c>
      <c r="H615">
        <v>56</v>
      </c>
      <c r="I615">
        <v>984</v>
      </c>
      <c r="L615" t="s">
        <v>8</v>
      </c>
      <c r="M615" t="s">
        <v>7958</v>
      </c>
      <c r="N615">
        <v>0</v>
      </c>
      <c r="O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 x14ac:dyDescent="0.2">
      <c r="A616" t="s">
        <v>771</v>
      </c>
      <c r="B616" t="s">
        <v>772</v>
      </c>
      <c r="C616" t="s">
        <v>446</v>
      </c>
      <c r="D616" t="s">
        <v>228</v>
      </c>
      <c r="E616">
        <v>49.99</v>
      </c>
      <c r="F616" t="s">
        <v>8118</v>
      </c>
      <c r="G616">
        <v>862</v>
      </c>
      <c r="H616">
        <v>113</v>
      </c>
      <c r="I616">
        <v>749</v>
      </c>
      <c r="K616">
        <v>2000</v>
      </c>
      <c r="L616" t="s">
        <v>8</v>
      </c>
      <c r="M616" t="s">
        <v>5091</v>
      </c>
      <c r="N616">
        <v>7.3496332518337404</v>
      </c>
      <c r="O616">
        <v>0.13606121091151033</v>
      </c>
      <c r="Q616">
        <v>34</v>
      </c>
      <c r="R616">
        <v>43</v>
      </c>
      <c r="S616">
        <v>424</v>
      </c>
      <c r="T616">
        <v>68.166666666666671</v>
      </c>
      <c r="U616">
        <v>3699.26</v>
      </c>
      <c r="V616">
        <v>501</v>
      </c>
    </row>
    <row r="617" spans="1:22" x14ac:dyDescent="0.2">
      <c r="A617" t="s">
        <v>769</v>
      </c>
      <c r="B617" t="s">
        <v>770</v>
      </c>
      <c r="C617" t="s">
        <v>446</v>
      </c>
      <c r="D617" t="s">
        <v>228</v>
      </c>
      <c r="E617">
        <v>49.99</v>
      </c>
      <c r="F617" t="s">
        <v>8118</v>
      </c>
      <c r="G617">
        <v>893</v>
      </c>
      <c r="H617">
        <v>148</v>
      </c>
      <c r="I617">
        <v>745</v>
      </c>
      <c r="K617">
        <v>1000</v>
      </c>
      <c r="L617" t="s">
        <v>8</v>
      </c>
      <c r="M617" t="s">
        <v>5118</v>
      </c>
      <c r="N617">
        <v>12.618556701030929</v>
      </c>
      <c r="O617">
        <v>7.9248366013071891E-2</v>
      </c>
      <c r="Q617">
        <v>20</v>
      </c>
      <c r="R617">
        <v>31</v>
      </c>
      <c r="S617">
        <v>459</v>
      </c>
      <c r="T617">
        <v>40.416666666666664</v>
      </c>
      <c r="U617">
        <v>2699.46</v>
      </c>
      <c r="V617">
        <v>510</v>
      </c>
    </row>
    <row r="618" spans="1:22" x14ac:dyDescent="0.2">
      <c r="A618" t="s">
        <v>505</v>
      </c>
      <c r="B618" t="s">
        <v>506</v>
      </c>
      <c r="C618" t="s">
        <v>446</v>
      </c>
      <c r="D618" t="s">
        <v>228</v>
      </c>
      <c r="E618">
        <v>39.99</v>
      </c>
      <c r="F618" t="s">
        <v>8118</v>
      </c>
      <c r="G618">
        <v>601</v>
      </c>
      <c r="H618">
        <v>6</v>
      </c>
      <c r="I618">
        <v>595</v>
      </c>
      <c r="K618">
        <v>3000</v>
      </c>
      <c r="L618" t="s">
        <v>8</v>
      </c>
      <c r="M618" t="s">
        <v>4925</v>
      </c>
      <c r="N618">
        <v>12.56637168141593</v>
      </c>
      <c r="O618">
        <v>7.9577464788732399E-2</v>
      </c>
      <c r="Q618">
        <v>9</v>
      </c>
      <c r="R618">
        <v>74</v>
      </c>
      <c r="S618">
        <v>272</v>
      </c>
      <c r="T618">
        <v>28.25</v>
      </c>
      <c r="U618">
        <v>719.82</v>
      </c>
      <c r="V618">
        <v>355</v>
      </c>
    </row>
    <row r="619" spans="1:22" x14ac:dyDescent="0.2">
      <c r="A619" t="s">
        <v>765</v>
      </c>
      <c r="B619" t="s">
        <v>766</v>
      </c>
      <c r="C619" t="s">
        <v>446</v>
      </c>
      <c r="D619" t="s">
        <v>228</v>
      </c>
      <c r="E619">
        <v>39.99</v>
      </c>
      <c r="F619" t="s">
        <v>8118</v>
      </c>
      <c r="G619">
        <v>244</v>
      </c>
      <c r="H619">
        <v>170</v>
      </c>
      <c r="I619">
        <v>74</v>
      </c>
      <c r="K619">
        <v>4000</v>
      </c>
      <c r="L619" t="s">
        <v>8</v>
      </c>
      <c r="M619" t="s">
        <v>5038</v>
      </c>
      <c r="N619">
        <v>2.6547884187082404</v>
      </c>
      <c r="O619">
        <v>0.37667785234899331</v>
      </c>
      <c r="Q619">
        <v>2</v>
      </c>
      <c r="R619">
        <v>13</v>
      </c>
      <c r="S619">
        <v>283</v>
      </c>
      <c r="T619">
        <v>112.25</v>
      </c>
      <c r="U619">
        <v>3279.1800000000003</v>
      </c>
      <c r="V619">
        <v>298</v>
      </c>
    </row>
    <row r="620" spans="1:22" x14ac:dyDescent="0.2">
      <c r="A620" t="s">
        <v>4911</v>
      </c>
      <c r="B620" t="s">
        <v>4912</v>
      </c>
      <c r="C620" t="s">
        <v>446</v>
      </c>
      <c r="D620" t="s">
        <v>96</v>
      </c>
      <c r="E620">
        <v>69.989999999999995</v>
      </c>
      <c r="F620" t="s">
        <v>8118</v>
      </c>
      <c r="L620" t="s">
        <v>8</v>
      </c>
      <c r="M620" t="s">
        <v>4913</v>
      </c>
      <c r="N620">
        <v>40.5</v>
      </c>
      <c r="O620">
        <v>2.4691358024691357E-2</v>
      </c>
      <c r="Q620">
        <v>0</v>
      </c>
      <c r="R620">
        <v>27</v>
      </c>
      <c r="S620">
        <v>0</v>
      </c>
      <c r="T620">
        <v>0.66666666666666663</v>
      </c>
      <c r="U620">
        <v>0</v>
      </c>
      <c r="V620">
        <v>27</v>
      </c>
    </row>
    <row r="621" spans="1:22" x14ac:dyDescent="0.2">
      <c r="A621" t="s">
        <v>857</v>
      </c>
      <c r="B621" t="s">
        <v>858</v>
      </c>
      <c r="C621" t="s">
        <v>446</v>
      </c>
      <c r="D621" t="s">
        <v>96</v>
      </c>
      <c r="E621">
        <v>139.99</v>
      </c>
      <c r="F621" t="s">
        <v>8118</v>
      </c>
      <c r="L621" t="s">
        <v>8</v>
      </c>
      <c r="M621" t="s">
        <v>4892</v>
      </c>
      <c r="N621">
        <v>14</v>
      </c>
      <c r="O621">
        <v>7.1428571428571425E-2</v>
      </c>
      <c r="Q621">
        <v>0</v>
      </c>
      <c r="R621">
        <v>33</v>
      </c>
      <c r="S621">
        <v>37</v>
      </c>
      <c r="T621">
        <v>5</v>
      </c>
      <c r="U621">
        <v>559.96</v>
      </c>
      <c r="V621">
        <v>70</v>
      </c>
    </row>
    <row r="622" spans="1:22" x14ac:dyDescent="0.2">
      <c r="A622" t="s">
        <v>4893</v>
      </c>
      <c r="B622" t="s">
        <v>4894</v>
      </c>
      <c r="C622" t="s">
        <v>446</v>
      </c>
      <c r="D622" t="s">
        <v>96</v>
      </c>
      <c r="E622">
        <v>79.989999999999995</v>
      </c>
      <c r="F622" t="s">
        <v>8118</v>
      </c>
      <c r="L622" t="s">
        <v>8</v>
      </c>
      <c r="M622" t="s">
        <v>4895</v>
      </c>
      <c r="N622">
        <v>4</v>
      </c>
      <c r="O622">
        <v>0.25</v>
      </c>
      <c r="Q622">
        <v>0</v>
      </c>
      <c r="R622">
        <v>0</v>
      </c>
      <c r="S622">
        <v>1</v>
      </c>
      <c r="T622">
        <v>0.25</v>
      </c>
      <c r="U622">
        <v>0</v>
      </c>
      <c r="V622">
        <v>1</v>
      </c>
    </row>
    <row r="623" spans="1:22" x14ac:dyDescent="0.2">
      <c r="A623" t="s">
        <v>894</v>
      </c>
      <c r="B623" t="s">
        <v>895</v>
      </c>
      <c r="C623" t="s">
        <v>446</v>
      </c>
      <c r="D623" t="s">
        <v>228</v>
      </c>
      <c r="E623">
        <v>39.99</v>
      </c>
      <c r="F623" t="s">
        <v>8118</v>
      </c>
      <c r="G623">
        <v>583</v>
      </c>
      <c r="H623">
        <v>49</v>
      </c>
      <c r="I623">
        <v>534</v>
      </c>
      <c r="K623">
        <v>2000</v>
      </c>
      <c r="L623" t="s">
        <v>8</v>
      </c>
      <c r="M623" t="s">
        <v>4888</v>
      </c>
      <c r="N623">
        <v>9.4809688581314884</v>
      </c>
      <c r="O623">
        <v>0.10547445255474452</v>
      </c>
      <c r="Q623">
        <v>40</v>
      </c>
      <c r="R623">
        <v>30</v>
      </c>
      <c r="S623">
        <v>615</v>
      </c>
      <c r="T623">
        <v>72.25</v>
      </c>
      <c r="U623">
        <v>2839.29</v>
      </c>
      <c r="V623">
        <v>685</v>
      </c>
    </row>
    <row r="624" spans="1:22" x14ac:dyDescent="0.2">
      <c r="A624" t="s">
        <v>845</v>
      </c>
      <c r="B624" t="s">
        <v>846</v>
      </c>
      <c r="C624" t="s">
        <v>446</v>
      </c>
      <c r="D624" t="s">
        <v>228</v>
      </c>
      <c r="E624">
        <v>69.989999999999995</v>
      </c>
      <c r="F624" t="s">
        <v>8118</v>
      </c>
      <c r="G624">
        <v>661</v>
      </c>
      <c r="H624">
        <v>1</v>
      </c>
      <c r="I624">
        <v>660</v>
      </c>
      <c r="L624" t="s">
        <v>8</v>
      </c>
      <c r="M624" t="s">
        <v>4956</v>
      </c>
      <c r="N624">
        <v>158.08695652173913</v>
      </c>
      <c r="O624">
        <v>6.3256325632563256E-3</v>
      </c>
      <c r="Q624">
        <v>0</v>
      </c>
      <c r="R624">
        <v>31</v>
      </c>
      <c r="S624">
        <v>272</v>
      </c>
      <c r="T624">
        <v>1.9166666666666667</v>
      </c>
      <c r="U624">
        <v>69.989999999999995</v>
      </c>
      <c r="V624">
        <v>303</v>
      </c>
    </row>
    <row r="625" spans="1:22" x14ac:dyDescent="0.2">
      <c r="A625" t="s">
        <v>843</v>
      </c>
      <c r="B625" t="s">
        <v>844</v>
      </c>
      <c r="C625" t="s">
        <v>446</v>
      </c>
      <c r="D625" t="s">
        <v>228</v>
      </c>
      <c r="E625">
        <v>59.99</v>
      </c>
      <c r="F625" t="s">
        <v>8118</v>
      </c>
      <c r="G625">
        <v>689</v>
      </c>
      <c r="H625">
        <v>5</v>
      </c>
      <c r="I625">
        <v>684</v>
      </c>
      <c r="L625" t="s">
        <v>8</v>
      </c>
      <c r="M625" t="s">
        <v>4954</v>
      </c>
      <c r="N625">
        <v>162</v>
      </c>
      <c r="O625">
        <v>6.17283950617284E-3</v>
      </c>
      <c r="Q625">
        <v>0</v>
      </c>
      <c r="R625">
        <v>28</v>
      </c>
      <c r="S625">
        <v>242</v>
      </c>
      <c r="T625">
        <v>1.6666666666666667</v>
      </c>
      <c r="U625">
        <v>59.99</v>
      </c>
      <c r="V625">
        <v>270</v>
      </c>
    </row>
    <row r="626" spans="1:22" x14ac:dyDescent="0.2">
      <c r="A626" t="s">
        <v>884</v>
      </c>
      <c r="B626" t="s">
        <v>885</v>
      </c>
      <c r="C626" t="s">
        <v>446</v>
      </c>
      <c r="D626" t="s">
        <v>228</v>
      </c>
      <c r="E626">
        <v>99.99</v>
      </c>
      <c r="F626" t="s">
        <v>8118</v>
      </c>
      <c r="G626">
        <v>261</v>
      </c>
      <c r="H626">
        <v>31</v>
      </c>
      <c r="I626">
        <v>230</v>
      </c>
      <c r="K626">
        <v>1000</v>
      </c>
      <c r="L626" t="s">
        <v>8</v>
      </c>
      <c r="M626" t="s">
        <v>4901</v>
      </c>
      <c r="N626">
        <v>11.412026726057908</v>
      </c>
      <c r="O626">
        <v>8.7626854020296643E-2</v>
      </c>
      <c r="Q626">
        <v>28</v>
      </c>
      <c r="R626">
        <v>17</v>
      </c>
      <c r="S626">
        <v>382</v>
      </c>
      <c r="T626">
        <v>37.416666666666664</v>
      </c>
      <c r="U626">
        <v>2999.7</v>
      </c>
      <c r="V626">
        <v>427</v>
      </c>
    </row>
    <row r="627" spans="1:22" x14ac:dyDescent="0.2">
      <c r="A627" t="s">
        <v>767</v>
      </c>
      <c r="B627" t="s">
        <v>7024</v>
      </c>
      <c r="C627" t="s">
        <v>446</v>
      </c>
      <c r="D627" t="s">
        <v>228</v>
      </c>
      <c r="E627">
        <v>39.99</v>
      </c>
      <c r="F627" t="s">
        <v>8118</v>
      </c>
      <c r="G627">
        <v>565</v>
      </c>
      <c r="H627">
        <v>35</v>
      </c>
      <c r="I627">
        <v>530</v>
      </c>
      <c r="K627">
        <v>1000</v>
      </c>
      <c r="L627" t="s">
        <v>8</v>
      </c>
      <c r="M627" t="s">
        <v>5071</v>
      </c>
      <c r="N627">
        <v>6.1276595744680851</v>
      </c>
      <c r="O627">
        <v>0.16319444444444445</v>
      </c>
      <c r="Q627">
        <v>0</v>
      </c>
      <c r="R627">
        <v>24</v>
      </c>
      <c r="S627">
        <v>0</v>
      </c>
      <c r="T627">
        <v>3.9166666666666665</v>
      </c>
      <c r="U627">
        <v>279.93</v>
      </c>
      <c r="V627">
        <v>24</v>
      </c>
    </row>
    <row r="628" spans="1:22" x14ac:dyDescent="0.2">
      <c r="A628" t="s">
        <v>513</v>
      </c>
      <c r="B628" t="s">
        <v>514</v>
      </c>
      <c r="C628" t="s">
        <v>446</v>
      </c>
      <c r="D628" t="s">
        <v>290</v>
      </c>
      <c r="E628">
        <v>29.99</v>
      </c>
      <c r="F628" t="s">
        <v>8118</v>
      </c>
      <c r="G628">
        <v>23</v>
      </c>
      <c r="I628">
        <v>23</v>
      </c>
      <c r="L628" t="s">
        <v>8</v>
      </c>
      <c r="M628" t="s">
        <v>8055</v>
      </c>
      <c r="N628">
        <v>0</v>
      </c>
      <c r="O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 x14ac:dyDescent="0.2">
      <c r="A629" t="s">
        <v>649</v>
      </c>
      <c r="B629" t="s">
        <v>7026</v>
      </c>
      <c r="C629" t="s">
        <v>446</v>
      </c>
      <c r="D629" t="s">
        <v>228</v>
      </c>
      <c r="E629">
        <v>99.99</v>
      </c>
      <c r="F629" t="s">
        <v>8118</v>
      </c>
      <c r="G629">
        <v>402</v>
      </c>
      <c r="H629">
        <v>30</v>
      </c>
      <c r="I629">
        <v>372</v>
      </c>
      <c r="L629" t="s">
        <v>8</v>
      </c>
      <c r="M629" t="s">
        <v>4990</v>
      </c>
      <c r="N629">
        <v>2.9268292682926833</v>
      </c>
      <c r="O629">
        <v>0.34166666666666662</v>
      </c>
      <c r="Q629">
        <v>0</v>
      </c>
      <c r="R629">
        <v>0</v>
      </c>
      <c r="S629">
        <v>50</v>
      </c>
      <c r="T629">
        <v>17.083333333333332</v>
      </c>
      <c r="U629">
        <v>1299.8699999999999</v>
      </c>
      <c r="V629">
        <v>50</v>
      </c>
    </row>
    <row r="630" spans="1:22" x14ac:dyDescent="0.2">
      <c r="A630" t="s">
        <v>4985</v>
      </c>
      <c r="B630" t="s">
        <v>4986</v>
      </c>
      <c r="C630" t="s">
        <v>446</v>
      </c>
      <c r="D630" t="s">
        <v>96</v>
      </c>
      <c r="E630">
        <v>119.99</v>
      </c>
      <c r="F630" t="s">
        <v>8118</v>
      </c>
      <c r="L630" t="s">
        <v>8</v>
      </c>
      <c r="M630" t="s">
        <v>8025</v>
      </c>
      <c r="N630">
        <v>0</v>
      </c>
      <c r="O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 x14ac:dyDescent="0.2">
      <c r="A631" t="s">
        <v>4991</v>
      </c>
      <c r="B631" t="s">
        <v>7038</v>
      </c>
      <c r="C631" t="s">
        <v>446</v>
      </c>
      <c r="D631" t="s">
        <v>96</v>
      </c>
      <c r="E631">
        <v>29.99</v>
      </c>
      <c r="F631" t="s">
        <v>8118</v>
      </c>
      <c r="L631" t="s">
        <v>8</v>
      </c>
      <c r="M631" t="s">
        <v>4994</v>
      </c>
      <c r="N631">
        <v>3.4455445544554459</v>
      </c>
      <c r="O631">
        <v>0.29022988505747127</v>
      </c>
      <c r="Q631">
        <v>0</v>
      </c>
      <c r="R631">
        <v>16</v>
      </c>
      <c r="S631">
        <v>42</v>
      </c>
      <c r="T631">
        <v>16.833333333333332</v>
      </c>
      <c r="U631">
        <v>329.89</v>
      </c>
      <c r="V631">
        <v>58</v>
      </c>
    </row>
    <row r="632" spans="1:22" x14ac:dyDescent="0.2">
      <c r="A632" t="s">
        <v>4995</v>
      </c>
      <c r="B632" t="s">
        <v>4996</v>
      </c>
      <c r="C632" t="s">
        <v>446</v>
      </c>
      <c r="D632" t="s">
        <v>290</v>
      </c>
      <c r="E632">
        <v>29.99</v>
      </c>
      <c r="F632" t="s">
        <v>8118</v>
      </c>
      <c r="G632">
        <v>1</v>
      </c>
      <c r="I632">
        <v>1</v>
      </c>
      <c r="L632" t="s">
        <v>8</v>
      </c>
      <c r="M632" t="s">
        <v>4999</v>
      </c>
      <c r="N632">
        <v>6.5217391304347823</v>
      </c>
      <c r="O632">
        <v>0.15333333333333335</v>
      </c>
      <c r="Q632">
        <v>0</v>
      </c>
      <c r="R632">
        <v>78</v>
      </c>
      <c r="S632">
        <v>47</v>
      </c>
      <c r="T632">
        <v>19.166666666666668</v>
      </c>
      <c r="U632">
        <v>299.89999999999998</v>
      </c>
      <c r="V632">
        <v>125</v>
      </c>
    </row>
    <row r="633" spans="1:22" x14ac:dyDescent="0.2">
      <c r="A633" t="s">
        <v>683</v>
      </c>
      <c r="B633" t="s">
        <v>684</v>
      </c>
      <c r="C633" t="s">
        <v>446</v>
      </c>
      <c r="D633" t="s">
        <v>290</v>
      </c>
      <c r="E633">
        <v>149.99</v>
      </c>
      <c r="F633" t="s">
        <v>8118</v>
      </c>
      <c r="L633" t="s">
        <v>8</v>
      </c>
      <c r="M633" t="s">
        <v>7955</v>
      </c>
      <c r="N633">
        <v>0</v>
      </c>
      <c r="O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 x14ac:dyDescent="0.2">
      <c r="A634" t="s">
        <v>761</v>
      </c>
      <c r="B634" t="s">
        <v>7023</v>
      </c>
      <c r="C634" t="s">
        <v>446</v>
      </c>
      <c r="D634" t="s">
        <v>228</v>
      </c>
      <c r="E634">
        <v>39.99</v>
      </c>
      <c r="F634" t="s">
        <v>8118</v>
      </c>
      <c r="G634">
        <v>492</v>
      </c>
      <c r="H634">
        <v>37</v>
      </c>
      <c r="I634">
        <v>455</v>
      </c>
      <c r="K634">
        <v>1000</v>
      </c>
      <c r="L634" t="s">
        <v>8</v>
      </c>
      <c r="M634" t="s">
        <v>5077</v>
      </c>
      <c r="N634">
        <v>8.8888888888888893</v>
      </c>
      <c r="O634">
        <v>0.1125</v>
      </c>
      <c r="Q634">
        <v>0</v>
      </c>
      <c r="R634">
        <v>20</v>
      </c>
      <c r="S634">
        <v>0</v>
      </c>
      <c r="T634">
        <v>2.25</v>
      </c>
      <c r="U634">
        <v>159.96</v>
      </c>
      <c r="V634">
        <v>20</v>
      </c>
    </row>
    <row r="635" spans="1:22" x14ac:dyDescent="0.2">
      <c r="A635" t="s">
        <v>886</v>
      </c>
      <c r="B635" t="s">
        <v>887</v>
      </c>
      <c r="C635" t="s">
        <v>446</v>
      </c>
      <c r="D635" t="s">
        <v>228</v>
      </c>
      <c r="E635">
        <v>39.99</v>
      </c>
      <c r="F635" t="s">
        <v>8118</v>
      </c>
      <c r="G635">
        <v>104</v>
      </c>
      <c r="H635">
        <v>2</v>
      </c>
      <c r="I635">
        <v>102</v>
      </c>
      <c r="L635" t="s">
        <v>8</v>
      </c>
      <c r="M635" t="s">
        <v>4865</v>
      </c>
      <c r="N635">
        <v>15.321428571428571</v>
      </c>
      <c r="O635">
        <v>6.5268065268065278E-2</v>
      </c>
      <c r="Q635">
        <v>7</v>
      </c>
      <c r="R635">
        <v>46</v>
      </c>
      <c r="S635">
        <v>233</v>
      </c>
      <c r="T635">
        <v>18.666666666666668</v>
      </c>
      <c r="U635">
        <v>599.85</v>
      </c>
      <c r="V635">
        <v>286</v>
      </c>
    </row>
    <row r="636" spans="1:22" x14ac:dyDescent="0.2">
      <c r="A636" t="s">
        <v>888</v>
      </c>
      <c r="B636" t="s">
        <v>889</v>
      </c>
      <c r="C636" t="s">
        <v>446</v>
      </c>
      <c r="D636" t="s">
        <v>228</v>
      </c>
      <c r="E636">
        <v>39.99</v>
      </c>
      <c r="F636" t="s">
        <v>8118</v>
      </c>
      <c r="G636">
        <v>137</v>
      </c>
      <c r="H636">
        <v>16</v>
      </c>
      <c r="I636">
        <v>121</v>
      </c>
      <c r="L636" t="s">
        <v>8</v>
      </c>
      <c r="M636" t="s">
        <v>4864</v>
      </c>
      <c r="N636">
        <v>13.305439330543932</v>
      </c>
      <c r="O636">
        <v>7.5157232704402527E-2</v>
      </c>
      <c r="Q636">
        <v>2</v>
      </c>
      <c r="R636">
        <v>41</v>
      </c>
      <c r="S636">
        <v>222</v>
      </c>
      <c r="T636">
        <v>19.916666666666668</v>
      </c>
      <c r="U636">
        <v>639.84</v>
      </c>
      <c r="V636">
        <v>265</v>
      </c>
    </row>
    <row r="637" spans="1:22" x14ac:dyDescent="0.2">
      <c r="A637" t="s">
        <v>4926</v>
      </c>
      <c r="B637" t="s">
        <v>4927</v>
      </c>
      <c r="C637" t="s">
        <v>446</v>
      </c>
      <c r="D637" t="s">
        <v>290</v>
      </c>
      <c r="E637">
        <v>39.99</v>
      </c>
      <c r="F637" t="s">
        <v>8118</v>
      </c>
      <c r="G637">
        <v>3</v>
      </c>
      <c r="I637">
        <v>3</v>
      </c>
      <c r="L637" t="s">
        <v>8</v>
      </c>
      <c r="M637" t="s">
        <v>4928</v>
      </c>
      <c r="N637">
        <v>9.8507462686567173</v>
      </c>
      <c r="O637">
        <v>0.10151515151515152</v>
      </c>
      <c r="Q637">
        <v>1</v>
      </c>
      <c r="R637">
        <v>37</v>
      </c>
      <c r="S637">
        <v>17</v>
      </c>
      <c r="T637">
        <v>5.583333333333333</v>
      </c>
      <c r="U637">
        <v>119.97</v>
      </c>
      <c r="V637">
        <v>55</v>
      </c>
    </row>
    <row r="638" spans="1:22" x14ac:dyDescent="0.2">
      <c r="A638" t="s">
        <v>759</v>
      </c>
      <c r="B638" t="s">
        <v>760</v>
      </c>
      <c r="C638" t="s">
        <v>446</v>
      </c>
      <c r="D638" t="s">
        <v>228</v>
      </c>
      <c r="E638">
        <v>39.99</v>
      </c>
      <c r="F638" t="s">
        <v>8118</v>
      </c>
      <c r="G638">
        <v>42</v>
      </c>
      <c r="H638">
        <v>42</v>
      </c>
      <c r="K638">
        <v>4000</v>
      </c>
      <c r="L638" t="s">
        <v>8</v>
      </c>
      <c r="M638" t="s">
        <v>5059</v>
      </c>
      <c r="N638">
        <v>6.4171934260429833</v>
      </c>
      <c r="O638">
        <v>0.15583136327817179</v>
      </c>
      <c r="Q638">
        <v>80</v>
      </c>
      <c r="R638">
        <v>99</v>
      </c>
      <c r="S638">
        <v>667</v>
      </c>
      <c r="T638">
        <v>131.83333333333334</v>
      </c>
      <c r="U638">
        <v>6558.3600000000006</v>
      </c>
      <c r="V638">
        <v>846</v>
      </c>
    </row>
    <row r="639" spans="1:22" x14ac:dyDescent="0.2">
      <c r="A639" t="s">
        <v>511</v>
      </c>
      <c r="B639" t="s">
        <v>512</v>
      </c>
      <c r="C639" t="s">
        <v>446</v>
      </c>
      <c r="D639" t="s">
        <v>228</v>
      </c>
      <c r="E639">
        <v>29.99</v>
      </c>
      <c r="F639" t="s">
        <v>8118</v>
      </c>
      <c r="G639">
        <v>683</v>
      </c>
      <c r="H639">
        <v>9</v>
      </c>
      <c r="I639">
        <v>674</v>
      </c>
      <c r="L639" t="s">
        <v>8</v>
      </c>
      <c r="M639" t="s">
        <v>4773</v>
      </c>
      <c r="N639">
        <v>4.7441860465116275</v>
      </c>
      <c r="O639">
        <v>0.2107843137254902</v>
      </c>
      <c r="Q639">
        <v>0</v>
      </c>
      <c r="R639">
        <v>16</v>
      </c>
      <c r="S639">
        <v>1</v>
      </c>
      <c r="T639">
        <v>3.5833333333333335</v>
      </c>
      <c r="U639">
        <v>89.97</v>
      </c>
      <c r="V639">
        <v>17</v>
      </c>
    </row>
    <row r="640" spans="1:22" x14ac:dyDescent="0.2">
      <c r="A640" t="s">
        <v>797</v>
      </c>
      <c r="B640" t="s">
        <v>798</v>
      </c>
      <c r="C640" t="s">
        <v>446</v>
      </c>
      <c r="D640" t="s">
        <v>228</v>
      </c>
      <c r="E640">
        <v>129.99</v>
      </c>
      <c r="F640" t="s">
        <v>8118</v>
      </c>
      <c r="G640">
        <v>1050</v>
      </c>
      <c r="H640">
        <v>23</v>
      </c>
      <c r="I640">
        <v>1027</v>
      </c>
      <c r="K640">
        <v>1000</v>
      </c>
      <c r="L640" t="s">
        <v>8</v>
      </c>
      <c r="M640" t="s">
        <v>5112</v>
      </c>
      <c r="N640">
        <v>22.62857142857143</v>
      </c>
      <c r="O640">
        <v>4.4191919191919192E-2</v>
      </c>
      <c r="Q640">
        <v>0</v>
      </c>
      <c r="R640">
        <v>98</v>
      </c>
      <c r="S640">
        <v>166</v>
      </c>
      <c r="T640">
        <v>11.666666666666666</v>
      </c>
      <c r="U640">
        <v>1689.8700000000001</v>
      </c>
      <c r="V640">
        <v>264</v>
      </c>
    </row>
    <row r="641" spans="1:22" x14ac:dyDescent="0.2">
      <c r="A641" t="s">
        <v>801</v>
      </c>
      <c r="B641" t="s">
        <v>802</v>
      </c>
      <c r="C641" t="s">
        <v>446</v>
      </c>
      <c r="D641" t="s">
        <v>228</v>
      </c>
      <c r="E641">
        <v>49.99</v>
      </c>
      <c r="F641" t="s">
        <v>8118</v>
      </c>
      <c r="G641">
        <v>972</v>
      </c>
      <c r="H641">
        <v>155</v>
      </c>
      <c r="I641">
        <v>817</v>
      </c>
      <c r="L641" t="s">
        <v>8</v>
      </c>
      <c r="M641" t="s">
        <v>5044</v>
      </c>
      <c r="N641">
        <v>0</v>
      </c>
      <c r="O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 x14ac:dyDescent="0.2">
      <c r="A642" t="s">
        <v>545</v>
      </c>
      <c r="B642" t="s">
        <v>8123</v>
      </c>
      <c r="C642" t="s">
        <v>446</v>
      </c>
      <c r="D642" t="s">
        <v>228</v>
      </c>
      <c r="E642">
        <v>69.989999999999995</v>
      </c>
      <c r="F642" t="s">
        <v>8118</v>
      </c>
      <c r="G642">
        <v>516</v>
      </c>
      <c r="H642">
        <v>2</v>
      </c>
      <c r="I642">
        <v>514</v>
      </c>
      <c r="L642" t="s">
        <v>8</v>
      </c>
      <c r="M642" t="s">
        <v>4958</v>
      </c>
      <c r="N642">
        <v>28.195121951219512</v>
      </c>
      <c r="O642">
        <v>3.5467128027681663E-2</v>
      </c>
      <c r="Q642">
        <v>1</v>
      </c>
      <c r="R642">
        <v>23</v>
      </c>
      <c r="S642">
        <v>265</v>
      </c>
      <c r="T642">
        <v>10.25</v>
      </c>
      <c r="U642">
        <v>1259.82</v>
      </c>
      <c r="V642">
        <v>289</v>
      </c>
    </row>
    <row r="643" spans="1:22" x14ac:dyDescent="0.2">
      <c r="A643" t="s">
        <v>4829</v>
      </c>
      <c r="B643" t="s">
        <v>4830</v>
      </c>
      <c r="C643" t="s">
        <v>446</v>
      </c>
      <c r="D643" t="s">
        <v>96</v>
      </c>
      <c r="E643">
        <v>149.99</v>
      </c>
      <c r="F643" t="s">
        <v>8118</v>
      </c>
      <c r="L643" t="s">
        <v>8</v>
      </c>
      <c r="M643" t="s">
        <v>4831</v>
      </c>
      <c r="N643">
        <v>2.5142857142857142</v>
      </c>
      <c r="O643">
        <v>0.39772727272727271</v>
      </c>
      <c r="Q643">
        <v>2</v>
      </c>
      <c r="R643">
        <v>19</v>
      </c>
      <c r="S643">
        <v>1</v>
      </c>
      <c r="T643">
        <v>8.75</v>
      </c>
      <c r="U643">
        <v>1349.91</v>
      </c>
      <c r="V643">
        <v>22</v>
      </c>
    </row>
    <row r="644" spans="1:22" x14ac:dyDescent="0.2">
      <c r="A644" t="s">
        <v>896</v>
      </c>
      <c r="B644" t="s">
        <v>897</v>
      </c>
      <c r="C644" t="s">
        <v>446</v>
      </c>
      <c r="D644" t="s">
        <v>228</v>
      </c>
      <c r="E644">
        <v>39.99</v>
      </c>
      <c r="F644" t="s">
        <v>8118</v>
      </c>
      <c r="G644">
        <v>1196</v>
      </c>
      <c r="H644">
        <v>102</v>
      </c>
      <c r="I644">
        <v>1094</v>
      </c>
      <c r="K644">
        <v>2000</v>
      </c>
      <c r="L644" t="s">
        <v>8</v>
      </c>
      <c r="M644" t="s">
        <v>4891</v>
      </c>
      <c r="N644">
        <v>7.5789473684210522</v>
      </c>
      <c r="O644">
        <v>0.13194444444444445</v>
      </c>
      <c r="Q644">
        <v>66</v>
      </c>
      <c r="R644">
        <v>54</v>
      </c>
      <c r="S644">
        <v>804</v>
      </c>
      <c r="T644">
        <v>121.91666666666667</v>
      </c>
      <c r="U644">
        <v>4558.8600000000006</v>
      </c>
      <c r="V644">
        <v>924</v>
      </c>
    </row>
    <row r="645" spans="1:22" x14ac:dyDescent="0.2">
      <c r="A645" t="s">
        <v>4737</v>
      </c>
      <c r="B645" t="s">
        <v>4738</v>
      </c>
      <c r="C645" t="s">
        <v>446</v>
      </c>
      <c r="D645" t="s">
        <v>96</v>
      </c>
      <c r="E645">
        <v>69.989999999999995</v>
      </c>
      <c r="F645" t="s">
        <v>8118</v>
      </c>
      <c r="L645" t="s">
        <v>8</v>
      </c>
      <c r="M645" t="s">
        <v>4739</v>
      </c>
      <c r="N645">
        <v>6</v>
      </c>
      <c r="O645">
        <v>0.16666666666666669</v>
      </c>
      <c r="Q645">
        <v>0</v>
      </c>
      <c r="R645">
        <v>6</v>
      </c>
      <c r="S645">
        <v>1</v>
      </c>
      <c r="T645">
        <v>1.1666666666666667</v>
      </c>
      <c r="U645">
        <v>209.96999999999997</v>
      </c>
      <c r="V645">
        <v>7</v>
      </c>
    </row>
    <row r="646" spans="1:22" x14ac:dyDescent="0.2">
      <c r="A646" t="s">
        <v>4734</v>
      </c>
      <c r="B646" t="s">
        <v>4735</v>
      </c>
      <c r="C646" t="s">
        <v>446</v>
      </c>
      <c r="D646" t="s">
        <v>96</v>
      </c>
      <c r="E646">
        <v>69.989999999999995</v>
      </c>
      <c r="F646" t="s">
        <v>8118</v>
      </c>
      <c r="L646" t="s">
        <v>8</v>
      </c>
      <c r="M646" t="s">
        <v>4736</v>
      </c>
      <c r="N646">
        <v>8.0377358490566024</v>
      </c>
      <c r="O646">
        <v>0.12441314553990611</v>
      </c>
      <c r="Q646">
        <v>0</v>
      </c>
      <c r="R646">
        <v>71</v>
      </c>
      <c r="S646">
        <v>0</v>
      </c>
      <c r="T646">
        <v>8.8333333333333339</v>
      </c>
      <c r="U646">
        <v>629.91</v>
      </c>
      <c r="V646">
        <v>71</v>
      </c>
    </row>
    <row r="647" spans="1:22" x14ac:dyDescent="0.2">
      <c r="A647" t="s">
        <v>904</v>
      </c>
      <c r="B647" t="s">
        <v>905</v>
      </c>
      <c r="C647" t="s">
        <v>446</v>
      </c>
      <c r="D647" t="s">
        <v>228</v>
      </c>
      <c r="E647">
        <v>99.99</v>
      </c>
      <c r="F647" t="s">
        <v>8118</v>
      </c>
      <c r="G647">
        <v>79</v>
      </c>
      <c r="I647">
        <v>79</v>
      </c>
      <c r="K647">
        <v>600</v>
      </c>
      <c r="L647" t="s">
        <v>8</v>
      </c>
      <c r="M647" t="s">
        <v>5168</v>
      </c>
      <c r="N647">
        <v>88.5</v>
      </c>
      <c r="O647">
        <v>1.1299435028248588E-2</v>
      </c>
      <c r="Q647">
        <v>82</v>
      </c>
      <c r="R647">
        <v>12</v>
      </c>
      <c r="S647">
        <v>201</v>
      </c>
      <c r="T647">
        <v>3.3333333333333335</v>
      </c>
      <c r="U647">
        <v>299.96999999999997</v>
      </c>
      <c r="V647">
        <v>295</v>
      </c>
    </row>
    <row r="648" spans="1:22" x14ac:dyDescent="0.2">
      <c r="A648" t="s">
        <v>7514</v>
      </c>
      <c r="B648" t="s">
        <v>7515</v>
      </c>
      <c r="C648" t="s">
        <v>446</v>
      </c>
      <c r="D648" t="s">
        <v>96</v>
      </c>
      <c r="E648">
        <v>11.99</v>
      </c>
      <c r="F648" t="s">
        <v>8118</v>
      </c>
      <c r="L648" t="s">
        <v>8</v>
      </c>
      <c r="M648" t="s">
        <v>7898</v>
      </c>
      <c r="N648">
        <v>0</v>
      </c>
      <c r="O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2" x14ac:dyDescent="0.2">
      <c r="A649" t="s">
        <v>4826</v>
      </c>
      <c r="B649" t="s">
        <v>4827</v>
      </c>
      <c r="C649" t="s">
        <v>446</v>
      </c>
      <c r="D649" t="s">
        <v>96</v>
      </c>
      <c r="E649">
        <v>79.989999999999995</v>
      </c>
      <c r="F649" t="s">
        <v>8118</v>
      </c>
      <c r="L649" t="s">
        <v>8</v>
      </c>
      <c r="M649" t="s">
        <v>4828</v>
      </c>
      <c r="N649">
        <v>8.1869158878504678</v>
      </c>
      <c r="O649">
        <v>0.12214611872146118</v>
      </c>
      <c r="Q649">
        <v>0</v>
      </c>
      <c r="R649">
        <v>146</v>
      </c>
      <c r="S649">
        <v>0</v>
      </c>
      <c r="T649">
        <v>17.833333333333332</v>
      </c>
      <c r="U649">
        <v>959.87999999999988</v>
      </c>
      <c r="V649">
        <v>146</v>
      </c>
    </row>
    <row r="650" spans="1:22" x14ac:dyDescent="0.2">
      <c r="A650" t="s">
        <v>7504</v>
      </c>
      <c r="B650" t="s">
        <v>7505</v>
      </c>
      <c r="C650" t="s">
        <v>446</v>
      </c>
      <c r="D650" t="s">
        <v>96</v>
      </c>
      <c r="E650">
        <v>11.99</v>
      </c>
      <c r="F650" t="s">
        <v>8118</v>
      </c>
      <c r="L650" t="s">
        <v>8</v>
      </c>
      <c r="M650" t="s">
        <v>7922</v>
      </c>
      <c r="N650">
        <v>0</v>
      </c>
      <c r="O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 x14ac:dyDescent="0.2">
      <c r="A651" t="s">
        <v>4731</v>
      </c>
      <c r="B651" t="s">
        <v>4732</v>
      </c>
      <c r="C651" t="s">
        <v>446</v>
      </c>
      <c r="D651" t="s">
        <v>96</v>
      </c>
      <c r="E651">
        <v>69.989999999999995</v>
      </c>
      <c r="F651" t="s">
        <v>8118</v>
      </c>
      <c r="L651" t="s">
        <v>8</v>
      </c>
      <c r="M651" t="s">
        <v>4733</v>
      </c>
      <c r="N651">
        <v>0</v>
      </c>
      <c r="O651">
        <v>0</v>
      </c>
      <c r="Q651">
        <v>0</v>
      </c>
      <c r="R651">
        <v>0</v>
      </c>
      <c r="S651">
        <v>0</v>
      </c>
      <c r="T651">
        <v>0.25</v>
      </c>
      <c r="U651">
        <v>0</v>
      </c>
      <c r="V651">
        <v>0</v>
      </c>
    </row>
    <row r="652" spans="1:22" x14ac:dyDescent="0.2">
      <c r="A652" t="s">
        <v>675</v>
      </c>
      <c r="B652" t="s">
        <v>676</v>
      </c>
      <c r="C652" t="s">
        <v>446</v>
      </c>
      <c r="D652" t="s">
        <v>228</v>
      </c>
      <c r="E652">
        <v>199.99</v>
      </c>
      <c r="F652" t="s">
        <v>8118</v>
      </c>
      <c r="G652">
        <v>828</v>
      </c>
      <c r="H652">
        <v>58</v>
      </c>
      <c r="I652">
        <v>770</v>
      </c>
      <c r="K652">
        <v>1001</v>
      </c>
      <c r="L652" t="s">
        <v>8</v>
      </c>
      <c r="M652" t="s">
        <v>5109</v>
      </c>
      <c r="N652">
        <v>30.113207547169811</v>
      </c>
      <c r="O652">
        <v>3.3208020050125318E-2</v>
      </c>
      <c r="Q652">
        <v>2</v>
      </c>
      <c r="R652">
        <v>96</v>
      </c>
      <c r="S652">
        <v>35</v>
      </c>
      <c r="T652">
        <v>4.416666666666667</v>
      </c>
      <c r="U652">
        <v>999.95</v>
      </c>
      <c r="V652">
        <v>133</v>
      </c>
    </row>
    <row r="653" spans="1:22" x14ac:dyDescent="0.2">
      <c r="A653" t="s">
        <v>673</v>
      </c>
      <c r="B653" t="s">
        <v>674</v>
      </c>
      <c r="C653" t="s">
        <v>446</v>
      </c>
      <c r="D653" t="s">
        <v>228</v>
      </c>
      <c r="E653">
        <v>299.99</v>
      </c>
      <c r="F653" t="s">
        <v>8118</v>
      </c>
      <c r="G653">
        <v>1000</v>
      </c>
      <c r="H653">
        <v>2</v>
      </c>
      <c r="I653">
        <v>998</v>
      </c>
      <c r="L653" t="s">
        <v>8</v>
      </c>
      <c r="M653" t="s">
        <v>5121</v>
      </c>
      <c r="N653">
        <v>292</v>
      </c>
      <c r="O653">
        <v>3.4246575342465752E-3</v>
      </c>
      <c r="Q653">
        <v>1</v>
      </c>
      <c r="R653">
        <v>72</v>
      </c>
      <c r="S653">
        <v>0</v>
      </c>
      <c r="T653">
        <v>0.25</v>
      </c>
      <c r="U653">
        <v>0</v>
      </c>
      <c r="V653">
        <v>73</v>
      </c>
    </row>
    <row r="654" spans="1:22" x14ac:dyDescent="0.2">
      <c r="A654" t="s">
        <v>892</v>
      </c>
      <c r="B654" t="s">
        <v>893</v>
      </c>
      <c r="C654" t="s">
        <v>446</v>
      </c>
      <c r="D654" t="s">
        <v>228</v>
      </c>
      <c r="E654">
        <v>29.99</v>
      </c>
      <c r="F654" t="s">
        <v>8118</v>
      </c>
      <c r="G654">
        <v>567</v>
      </c>
      <c r="H654">
        <v>109</v>
      </c>
      <c r="I654">
        <v>458</v>
      </c>
      <c r="K654">
        <v>1000</v>
      </c>
      <c r="L654" t="s">
        <v>8</v>
      </c>
      <c r="M654" t="s">
        <v>4899</v>
      </c>
      <c r="N654">
        <v>7.7330677290836647</v>
      </c>
      <c r="O654">
        <v>0.12931478619268419</v>
      </c>
      <c r="Q654">
        <v>49</v>
      </c>
      <c r="R654">
        <v>60</v>
      </c>
      <c r="S654">
        <v>538</v>
      </c>
      <c r="T654">
        <v>83.666666666666671</v>
      </c>
      <c r="U654">
        <v>2999</v>
      </c>
      <c r="V654">
        <v>647</v>
      </c>
    </row>
    <row r="655" spans="1:22" x14ac:dyDescent="0.2">
      <c r="A655" t="s">
        <v>924</v>
      </c>
      <c r="B655" t="s">
        <v>925</v>
      </c>
      <c r="C655" t="s">
        <v>446</v>
      </c>
      <c r="D655" t="s">
        <v>96</v>
      </c>
      <c r="E655">
        <v>29.99</v>
      </c>
      <c r="F655" t="s">
        <v>8118</v>
      </c>
      <c r="L655" t="s">
        <v>8</v>
      </c>
      <c r="M655" t="s">
        <v>7965</v>
      </c>
      <c r="N655">
        <v>0</v>
      </c>
      <c r="O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 x14ac:dyDescent="0.2">
      <c r="A656" t="s">
        <v>4630</v>
      </c>
      <c r="B656" t="s">
        <v>4631</v>
      </c>
      <c r="C656" t="s">
        <v>446</v>
      </c>
      <c r="D656" t="s">
        <v>96</v>
      </c>
      <c r="E656">
        <v>29.99</v>
      </c>
      <c r="F656" t="s">
        <v>8118</v>
      </c>
      <c r="L656" t="s">
        <v>8</v>
      </c>
      <c r="M656" t="s">
        <v>4632</v>
      </c>
      <c r="N656">
        <v>3.4285714285714284</v>
      </c>
      <c r="O656">
        <v>0.29166666666666669</v>
      </c>
      <c r="Q656">
        <v>0</v>
      </c>
      <c r="R656">
        <v>2</v>
      </c>
      <c r="S656">
        <v>0</v>
      </c>
      <c r="T656">
        <v>0.58333333333333337</v>
      </c>
      <c r="U656">
        <v>0</v>
      </c>
      <c r="V656">
        <v>2</v>
      </c>
    </row>
    <row r="657" spans="1:22" x14ac:dyDescent="0.2">
      <c r="A657" t="s">
        <v>922</v>
      </c>
      <c r="B657" t="s">
        <v>923</v>
      </c>
      <c r="C657" t="s">
        <v>446</v>
      </c>
      <c r="D657" t="s">
        <v>228</v>
      </c>
      <c r="E657">
        <v>139.99</v>
      </c>
      <c r="F657" t="s">
        <v>8118</v>
      </c>
      <c r="G657">
        <v>146</v>
      </c>
      <c r="I657">
        <v>146</v>
      </c>
      <c r="L657" t="s">
        <v>8</v>
      </c>
      <c r="M657" t="s">
        <v>5166</v>
      </c>
      <c r="N657">
        <v>110.4</v>
      </c>
      <c r="O657">
        <v>9.057971014492754E-3</v>
      </c>
      <c r="Q657">
        <v>31</v>
      </c>
      <c r="R657">
        <v>17</v>
      </c>
      <c r="S657">
        <v>228</v>
      </c>
      <c r="T657">
        <v>2.5</v>
      </c>
      <c r="U657">
        <v>139.99</v>
      </c>
      <c r="V657">
        <v>276</v>
      </c>
    </row>
    <row r="658" spans="1:22" x14ac:dyDescent="0.2">
      <c r="A658" t="s">
        <v>918</v>
      </c>
      <c r="B658" t="s">
        <v>919</v>
      </c>
      <c r="C658" t="s">
        <v>446</v>
      </c>
      <c r="D658" t="s">
        <v>228</v>
      </c>
      <c r="E658">
        <v>149.99</v>
      </c>
      <c r="F658" t="s">
        <v>8118</v>
      </c>
      <c r="G658">
        <v>346</v>
      </c>
      <c r="I658">
        <v>346</v>
      </c>
      <c r="L658" t="s">
        <v>8</v>
      </c>
      <c r="M658" t="s">
        <v>5170</v>
      </c>
      <c r="N658">
        <v>351</v>
      </c>
      <c r="O658">
        <v>2.8490028490028487E-3</v>
      </c>
      <c r="Q658">
        <v>20</v>
      </c>
      <c r="R658">
        <v>20</v>
      </c>
      <c r="S658">
        <v>77</v>
      </c>
      <c r="T658">
        <v>0.33333333333333331</v>
      </c>
      <c r="U658">
        <v>299.98</v>
      </c>
      <c r="V658">
        <v>117</v>
      </c>
    </row>
    <row r="659" spans="1:22" x14ac:dyDescent="0.2">
      <c r="A659" t="s">
        <v>936</v>
      </c>
      <c r="B659" t="s">
        <v>937</v>
      </c>
      <c r="C659" t="s">
        <v>446</v>
      </c>
      <c r="D659" t="s">
        <v>228</v>
      </c>
      <c r="E659">
        <v>69.989999999999995</v>
      </c>
      <c r="F659" t="s">
        <v>8118</v>
      </c>
      <c r="G659">
        <v>1037</v>
      </c>
      <c r="I659">
        <v>1037</v>
      </c>
      <c r="L659" t="s">
        <v>8</v>
      </c>
      <c r="M659" t="s">
        <v>4942</v>
      </c>
      <c r="N659">
        <v>19.73076923076923</v>
      </c>
      <c r="O659">
        <v>5.0682261208576995E-2</v>
      </c>
      <c r="Q659">
        <v>3</v>
      </c>
      <c r="R659">
        <v>81</v>
      </c>
      <c r="S659">
        <v>429</v>
      </c>
      <c r="T659">
        <v>26</v>
      </c>
      <c r="U659">
        <v>2169.69</v>
      </c>
      <c r="V659">
        <v>513</v>
      </c>
    </row>
    <row r="660" spans="1:22" x14ac:dyDescent="0.2">
      <c r="A660" t="s">
        <v>4633</v>
      </c>
      <c r="B660" t="s">
        <v>4634</v>
      </c>
      <c r="C660" t="s">
        <v>446</v>
      </c>
      <c r="D660" t="s">
        <v>290</v>
      </c>
      <c r="E660">
        <v>34.99</v>
      </c>
      <c r="F660" t="s">
        <v>8118</v>
      </c>
      <c r="G660">
        <v>325</v>
      </c>
      <c r="H660">
        <v>2</v>
      </c>
      <c r="I660">
        <v>323</v>
      </c>
      <c r="L660" t="s">
        <v>8</v>
      </c>
      <c r="M660" t="s">
        <v>4637</v>
      </c>
      <c r="N660">
        <v>12</v>
      </c>
      <c r="O660">
        <v>8.3333333333333329E-2</v>
      </c>
      <c r="Q660">
        <v>0</v>
      </c>
      <c r="R660">
        <v>0</v>
      </c>
      <c r="S660">
        <v>1</v>
      </c>
      <c r="T660">
        <v>8.3333333333333329E-2</v>
      </c>
      <c r="U660">
        <v>0</v>
      </c>
      <c r="V660">
        <v>1</v>
      </c>
    </row>
    <row r="661" spans="1:22" x14ac:dyDescent="0.2">
      <c r="A661" t="s">
        <v>972</v>
      </c>
      <c r="B661" t="s">
        <v>973</v>
      </c>
      <c r="C661" t="s">
        <v>446</v>
      </c>
      <c r="D661" t="s">
        <v>228</v>
      </c>
      <c r="E661">
        <v>44.99</v>
      </c>
      <c r="F661" t="s">
        <v>8118</v>
      </c>
      <c r="G661">
        <v>876</v>
      </c>
      <c r="H661">
        <v>20</v>
      </c>
      <c r="I661">
        <v>856</v>
      </c>
      <c r="K661">
        <v>1000</v>
      </c>
      <c r="L661" t="s">
        <v>8</v>
      </c>
      <c r="M661" t="s">
        <v>4661</v>
      </c>
      <c r="N661">
        <v>8.720930232558139</v>
      </c>
      <c r="O661">
        <v>0.11466666666666667</v>
      </c>
      <c r="Q661">
        <v>0</v>
      </c>
      <c r="R661">
        <v>30</v>
      </c>
      <c r="S661">
        <v>95</v>
      </c>
      <c r="T661">
        <v>14.333333333333334</v>
      </c>
      <c r="U661">
        <v>404.91</v>
      </c>
      <c r="V661">
        <v>125</v>
      </c>
    </row>
    <row r="662" spans="1:22" x14ac:dyDescent="0.2">
      <c r="A662" t="s">
        <v>807</v>
      </c>
      <c r="B662" t="s">
        <v>808</v>
      </c>
      <c r="C662" t="s">
        <v>446</v>
      </c>
      <c r="D662" t="s">
        <v>228</v>
      </c>
      <c r="E662">
        <v>19.989999999999998</v>
      </c>
      <c r="F662" t="s">
        <v>8118</v>
      </c>
      <c r="G662">
        <v>1006</v>
      </c>
      <c r="H662">
        <v>111</v>
      </c>
      <c r="I662">
        <v>895</v>
      </c>
      <c r="K662">
        <v>2000</v>
      </c>
      <c r="L662" t="s">
        <v>8</v>
      </c>
      <c r="M662" t="s">
        <v>5024</v>
      </c>
      <c r="N662">
        <v>0</v>
      </c>
      <c r="O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 x14ac:dyDescent="0.2">
      <c r="A663" t="s">
        <v>962</v>
      </c>
      <c r="B663" t="s">
        <v>963</v>
      </c>
      <c r="C663" t="s">
        <v>446</v>
      </c>
      <c r="D663" t="s">
        <v>228</v>
      </c>
      <c r="E663">
        <v>14.99</v>
      </c>
      <c r="F663" t="s">
        <v>8118</v>
      </c>
      <c r="G663">
        <v>1026</v>
      </c>
      <c r="H663">
        <v>1026</v>
      </c>
      <c r="J663">
        <v>16</v>
      </c>
      <c r="K663">
        <v>7000</v>
      </c>
      <c r="L663" t="s">
        <v>8</v>
      </c>
      <c r="M663" t="s">
        <v>5127</v>
      </c>
      <c r="N663">
        <v>4.3218232044198892</v>
      </c>
      <c r="O663">
        <v>0.23138382869926494</v>
      </c>
      <c r="Q663">
        <v>35</v>
      </c>
      <c r="R663">
        <v>152</v>
      </c>
      <c r="S663">
        <v>856</v>
      </c>
      <c r="T663">
        <v>241.33333333333334</v>
      </c>
      <c r="U663">
        <v>5951.03</v>
      </c>
      <c r="V663">
        <v>1043</v>
      </c>
    </row>
    <row r="664" spans="1:22" x14ac:dyDescent="0.2">
      <c r="A664" t="s">
        <v>956</v>
      </c>
      <c r="B664" t="s">
        <v>957</v>
      </c>
      <c r="C664" t="s">
        <v>446</v>
      </c>
      <c r="D664" t="s">
        <v>228</v>
      </c>
      <c r="E664">
        <v>29.99</v>
      </c>
      <c r="F664" t="s">
        <v>8118</v>
      </c>
      <c r="G664">
        <v>1474</v>
      </c>
      <c r="H664">
        <v>345</v>
      </c>
      <c r="I664">
        <v>1129</v>
      </c>
      <c r="K664">
        <v>4000</v>
      </c>
      <c r="L664" t="s">
        <v>8</v>
      </c>
      <c r="M664" t="s">
        <v>5136</v>
      </c>
      <c r="N664">
        <v>9.8627968337730874</v>
      </c>
      <c r="O664">
        <v>0.10139111824505083</v>
      </c>
      <c r="Q664">
        <v>24</v>
      </c>
      <c r="R664">
        <v>81</v>
      </c>
      <c r="S664">
        <v>518</v>
      </c>
      <c r="T664">
        <v>63.166666666666664</v>
      </c>
      <c r="U664">
        <v>3178.94</v>
      </c>
      <c r="V664">
        <v>623</v>
      </c>
    </row>
    <row r="665" spans="1:22" x14ac:dyDescent="0.2">
      <c r="A665" t="s">
        <v>944</v>
      </c>
      <c r="B665" t="s">
        <v>945</v>
      </c>
      <c r="C665" t="s">
        <v>446</v>
      </c>
      <c r="D665" t="s">
        <v>228</v>
      </c>
      <c r="E665">
        <v>39.99</v>
      </c>
      <c r="F665" t="s">
        <v>8118</v>
      </c>
      <c r="G665">
        <v>1003</v>
      </c>
      <c r="H665">
        <v>34</v>
      </c>
      <c r="I665">
        <v>969</v>
      </c>
      <c r="K665">
        <v>2500</v>
      </c>
      <c r="L665" t="s">
        <v>8</v>
      </c>
      <c r="M665" t="s">
        <v>5130</v>
      </c>
      <c r="N665">
        <v>12</v>
      </c>
      <c r="O665">
        <v>8.3333333333333343E-2</v>
      </c>
      <c r="Q665">
        <v>3</v>
      </c>
      <c r="R665">
        <v>58</v>
      </c>
      <c r="S665">
        <v>627</v>
      </c>
      <c r="T665">
        <v>57.333333333333336</v>
      </c>
      <c r="U665">
        <v>2839.29</v>
      </c>
      <c r="V665">
        <v>688</v>
      </c>
    </row>
    <row r="666" spans="1:22" x14ac:dyDescent="0.2">
      <c r="A666" t="s">
        <v>4650</v>
      </c>
      <c r="B666" t="s">
        <v>4651</v>
      </c>
      <c r="C666" t="s">
        <v>446</v>
      </c>
      <c r="D666" t="s">
        <v>96</v>
      </c>
      <c r="E666">
        <v>24.99</v>
      </c>
      <c r="F666" t="s">
        <v>8118</v>
      </c>
      <c r="L666" t="s">
        <v>8</v>
      </c>
      <c r="M666" t="s">
        <v>4653</v>
      </c>
      <c r="N666">
        <v>0</v>
      </c>
      <c r="O666">
        <v>0</v>
      </c>
      <c r="Q666">
        <v>0</v>
      </c>
      <c r="R666">
        <v>0</v>
      </c>
      <c r="S666">
        <v>0</v>
      </c>
      <c r="T666">
        <v>0.58333333333333337</v>
      </c>
      <c r="U666">
        <v>0</v>
      </c>
      <c r="V666">
        <v>0</v>
      </c>
    </row>
    <row r="667" spans="1:22" x14ac:dyDescent="0.2">
      <c r="A667" t="s">
        <v>4647</v>
      </c>
      <c r="B667" t="s">
        <v>4648</v>
      </c>
      <c r="C667" t="s">
        <v>446</v>
      </c>
      <c r="D667" t="s">
        <v>96</v>
      </c>
      <c r="E667">
        <v>24.99</v>
      </c>
      <c r="F667" t="s">
        <v>8118</v>
      </c>
      <c r="L667" t="s">
        <v>8</v>
      </c>
      <c r="M667" t="s">
        <v>4649</v>
      </c>
      <c r="N667">
        <v>2.4</v>
      </c>
      <c r="O667">
        <v>0.41666666666666669</v>
      </c>
      <c r="Q667">
        <v>0</v>
      </c>
      <c r="R667">
        <v>1</v>
      </c>
      <c r="S667">
        <v>0</v>
      </c>
      <c r="T667">
        <v>0.41666666666666669</v>
      </c>
      <c r="U667">
        <v>24.99</v>
      </c>
      <c r="V667">
        <v>1</v>
      </c>
    </row>
    <row r="668" spans="1:22" x14ac:dyDescent="0.2">
      <c r="A668" t="s">
        <v>4817</v>
      </c>
      <c r="B668" t="s">
        <v>4818</v>
      </c>
      <c r="C668" t="s">
        <v>446</v>
      </c>
      <c r="D668" t="s">
        <v>96</v>
      </c>
      <c r="E668">
        <v>49.99</v>
      </c>
      <c r="F668" t="s">
        <v>8118</v>
      </c>
      <c r="L668" t="s">
        <v>8</v>
      </c>
      <c r="M668" t="s">
        <v>4819</v>
      </c>
      <c r="N668">
        <v>5.3513513513513509</v>
      </c>
      <c r="O668">
        <v>0.18686868686868688</v>
      </c>
      <c r="Q668">
        <v>1</v>
      </c>
      <c r="R668">
        <v>63</v>
      </c>
      <c r="S668">
        <v>2</v>
      </c>
      <c r="T668">
        <v>12.333333333333334</v>
      </c>
      <c r="U668">
        <v>49.99</v>
      </c>
      <c r="V668">
        <v>66</v>
      </c>
    </row>
    <row r="669" spans="1:22" x14ac:dyDescent="0.2">
      <c r="A669" t="s">
        <v>4814</v>
      </c>
      <c r="B669" t="s">
        <v>4815</v>
      </c>
      <c r="C669" t="s">
        <v>446</v>
      </c>
      <c r="D669" t="s">
        <v>96</v>
      </c>
      <c r="E669">
        <v>49.99</v>
      </c>
      <c r="F669" t="s">
        <v>8118</v>
      </c>
      <c r="L669" t="s">
        <v>8</v>
      </c>
      <c r="M669" t="s">
        <v>4816</v>
      </c>
      <c r="N669">
        <v>8.1818181818181817</v>
      </c>
      <c r="O669">
        <v>0.12222222222222222</v>
      </c>
      <c r="Q669">
        <v>0</v>
      </c>
      <c r="R669">
        <v>75</v>
      </c>
      <c r="S669">
        <v>0</v>
      </c>
      <c r="T669">
        <v>9.1666666666666661</v>
      </c>
      <c r="U669">
        <v>349.93</v>
      </c>
      <c r="V669">
        <v>75</v>
      </c>
    </row>
    <row r="670" spans="1:22" x14ac:dyDescent="0.2">
      <c r="A670" t="s">
        <v>7390</v>
      </c>
      <c r="B670" t="s">
        <v>7392</v>
      </c>
      <c r="C670" t="s">
        <v>446</v>
      </c>
      <c r="D670" t="s">
        <v>96</v>
      </c>
      <c r="E670">
        <v>139.99</v>
      </c>
      <c r="F670" t="s">
        <v>8118</v>
      </c>
      <c r="L670" t="s">
        <v>8</v>
      </c>
      <c r="M670" t="s">
        <v>8083</v>
      </c>
      <c r="N670">
        <v>0</v>
      </c>
      <c r="O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2" x14ac:dyDescent="0.2">
      <c r="A671" t="s">
        <v>932</v>
      </c>
      <c r="B671" t="s">
        <v>933</v>
      </c>
      <c r="C671" t="s">
        <v>446</v>
      </c>
      <c r="D671" t="s">
        <v>228</v>
      </c>
      <c r="E671">
        <v>49.99</v>
      </c>
      <c r="F671" t="s">
        <v>8118</v>
      </c>
      <c r="G671">
        <v>699</v>
      </c>
      <c r="H671">
        <v>91</v>
      </c>
      <c r="I671">
        <v>608</v>
      </c>
      <c r="K671">
        <v>1000</v>
      </c>
      <c r="L671" t="s">
        <v>8</v>
      </c>
      <c r="M671" t="s">
        <v>4940</v>
      </c>
      <c r="N671">
        <v>8.1220338983050855</v>
      </c>
      <c r="O671">
        <v>0.12312186978297161</v>
      </c>
      <c r="Q671">
        <v>32</v>
      </c>
      <c r="R671">
        <v>26</v>
      </c>
      <c r="S671">
        <v>541</v>
      </c>
      <c r="T671">
        <v>73.75</v>
      </c>
      <c r="U671">
        <v>3799.2400000000002</v>
      </c>
      <c r="V671">
        <v>599</v>
      </c>
    </row>
    <row r="672" spans="1:22" x14ac:dyDescent="0.2">
      <c r="A672" t="s">
        <v>693</v>
      </c>
      <c r="B672" t="s">
        <v>7020</v>
      </c>
      <c r="C672" t="s">
        <v>446</v>
      </c>
      <c r="D672" t="s">
        <v>228</v>
      </c>
      <c r="E672">
        <v>59.99</v>
      </c>
      <c r="F672" t="s">
        <v>8118</v>
      </c>
      <c r="G672">
        <v>270</v>
      </c>
      <c r="H672">
        <v>141</v>
      </c>
      <c r="I672">
        <v>129</v>
      </c>
      <c r="K672">
        <v>3000</v>
      </c>
      <c r="L672" t="s">
        <v>8</v>
      </c>
      <c r="M672" t="s">
        <v>5027</v>
      </c>
      <c r="N672">
        <v>4.7186858316221763</v>
      </c>
      <c r="O672">
        <v>0.21192341166231507</v>
      </c>
      <c r="Q672">
        <v>11</v>
      </c>
      <c r="R672">
        <v>18</v>
      </c>
      <c r="S672">
        <v>354</v>
      </c>
      <c r="T672">
        <v>81.166666666666671</v>
      </c>
      <c r="U672">
        <v>2819.53</v>
      </c>
      <c r="V672">
        <v>383</v>
      </c>
    </row>
    <row r="673" spans="1:22" x14ac:dyDescent="0.2">
      <c r="A673" t="s">
        <v>930</v>
      </c>
      <c r="B673" t="s">
        <v>931</v>
      </c>
      <c r="C673" t="s">
        <v>446</v>
      </c>
      <c r="D673" t="s">
        <v>228</v>
      </c>
      <c r="E673">
        <v>69.989999999999995</v>
      </c>
      <c r="F673" t="s">
        <v>8118</v>
      </c>
      <c r="G673">
        <v>666</v>
      </c>
      <c r="H673">
        <v>17</v>
      </c>
      <c r="I673">
        <v>649</v>
      </c>
      <c r="K673">
        <v>1000</v>
      </c>
      <c r="L673" t="s">
        <v>8</v>
      </c>
      <c r="M673" t="s">
        <v>4944</v>
      </c>
      <c r="N673">
        <v>14.068965517241379</v>
      </c>
      <c r="O673">
        <v>7.1078431372549017E-2</v>
      </c>
      <c r="Q673">
        <v>15</v>
      </c>
      <c r="R673">
        <v>79</v>
      </c>
      <c r="S673">
        <v>348</v>
      </c>
      <c r="T673">
        <v>31.416666666666668</v>
      </c>
      <c r="U673">
        <v>1889.7299999999998</v>
      </c>
      <c r="V673">
        <v>442</v>
      </c>
    </row>
    <row r="674" spans="1:22" x14ac:dyDescent="0.2">
      <c r="A674" t="s">
        <v>928</v>
      </c>
      <c r="B674" t="s">
        <v>929</v>
      </c>
      <c r="C674" t="s">
        <v>446</v>
      </c>
      <c r="D674" t="s">
        <v>228</v>
      </c>
      <c r="E674">
        <v>79.989999999999995</v>
      </c>
      <c r="F674" t="s">
        <v>8118</v>
      </c>
      <c r="G674">
        <v>797</v>
      </c>
      <c r="H674">
        <v>26</v>
      </c>
      <c r="I674">
        <v>771</v>
      </c>
      <c r="L674" t="s">
        <v>8</v>
      </c>
      <c r="M674" t="s">
        <v>4946</v>
      </c>
      <c r="N674">
        <v>11.945330296127562</v>
      </c>
      <c r="O674">
        <v>8.3714721586575142E-2</v>
      </c>
      <c r="Q674">
        <v>12</v>
      </c>
      <c r="R674">
        <v>78</v>
      </c>
      <c r="S674">
        <v>347</v>
      </c>
      <c r="T674">
        <v>36.583333333333336</v>
      </c>
      <c r="U674">
        <v>2719.66</v>
      </c>
      <c r="V674">
        <v>437</v>
      </c>
    </row>
    <row r="675" spans="1:22" x14ac:dyDescent="0.2">
      <c r="A675" t="s">
        <v>5028</v>
      </c>
      <c r="B675" t="s">
        <v>5029</v>
      </c>
      <c r="C675" t="s">
        <v>446</v>
      </c>
      <c r="D675" t="s">
        <v>96</v>
      </c>
      <c r="E675">
        <v>99.99</v>
      </c>
      <c r="F675" t="s">
        <v>8118</v>
      </c>
      <c r="L675" t="s">
        <v>8</v>
      </c>
      <c r="M675" t="s">
        <v>8085</v>
      </c>
      <c r="N675">
        <v>0</v>
      </c>
      <c r="O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 x14ac:dyDescent="0.2">
      <c r="A676" t="s">
        <v>926</v>
      </c>
      <c r="B676" t="s">
        <v>927</v>
      </c>
      <c r="C676" t="s">
        <v>446</v>
      </c>
      <c r="D676" t="s">
        <v>96</v>
      </c>
      <c r="E676">
        <v>29.99</v>
      </c>
      <c r="F676" t="s">
        <v>8118</v>
      </c>
      <c r="L676" t="s">
        <v>8</v>
      </c>
      <c r="M676" t="s">
        <v>4654</v>
      </c>
      <c r="N676">
        <v>9.8181818181818183</v>
      </c>
      <c r="O676">
        <v>0.10185185185185185</v>
      </c>
      <c r="Q676">
        <v>0</v>
      </c>
      <c r="R676">
        <v>17</v>
      </c>
      <c r="S676">
        <v>1</v>
      </c>
      <c r="T676">
        <v>1.8333333333333333</v>
      </c>
      <c r="U676">
        <v>0</v>
      </c>
      <c r="V676">
        <v>18</v>
      </c>
    </row>
    <row r="677" spans="1:22" x14ac:dyDescent="0.2">
      <c r="A677" t="s">
        <v>934</v>
      </c>
      <c r="B677" t="s">
        <v>935</v>
      </c>
      <c r="C677" t="s">
        <v>446</v>
      </c>
      <c r="D677" t="s">
        <v>228</v>
      </c>
      <c r="E677">
        <v>39.99</v>
      </c>
      <c r="F677" t="s">
        <v>8118</v>
      </c>
      <c r="G677">
        <v>467</v>
      </c>
      <c r="H677">
        <v>120</v>
      </c>
      <c r="I677">
        <v>347</v>
      </c>
      <c r="K677">
        <v>1000</v>
      </c>
      <c r="L677" t="s">
        <v>8</v>
      </c>
      <c r="M677" t="s">
        <v>4938</v>
      </c>
      <c r="N677">
        <v>13.6137339055794</v>
      </c>
      <c r="O677">
        <v>7.3455233291298869E-2</v>
      </c>
      <c r="Q677">
        <v>43</v>
      </c>
      <c r="R677">
        <v>86</v>
      </c>
      <c r="S677">
        <v>664</v>
      </c>
      <c r="T677">
        <v>58.25</v>
      </c>
      <c r="U677">
        <v>1879.5300000000002</v>
      </c>
      <c r="V677">
        <v>793</v>
      </c>
    </row>
    <row r="678" spans="1:22" x14ac:dyDescent="0.2">
      <c r="A678" t="s">
        <v>4655</v>
      </c>
      <c r="B678" t="s">
        <v>4656</v>
      </c>
      <c r="C678" t="s">
        <v>446</v>
      </c>
      <c r="D678" t="s">
        <v>290</v>
      </c>
      <c r="E678">
        <v>34.99</v>
      </c>
      <c r="F678" t="s">
        <v>8118</v>
      </c>
      <c r="L678" t="s">
        <v>8</v>
      </c>
      <c r="M678" t="s">
        <v>7875</v>
      </c>
      <c r="N678">
        <v>0</v>
      </c>
      <c r="O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 x14ac:dyDescent="0.2">
      <c r="A679" t="s">
        <v>4657</v>
      </c>
      <c r="B679" t="s">
        <v>4658</v>
      </c>
      <c r="C679" t="s">
        <v>446</v>
      </c>
      <c r="D679" t="s">
        <v>96</v>
      </c>
      <c r="E679">
        <v>34.99</v>
      </c>
      <c r="F679" t="s">
        <v>8118</v>
      </c>
      <c r="L679" t="s">
        <v>8</v>
      </c>
      <c r="M679" t="s">
        <v>7894</v>
      </c>
      <c r="N679">
        <v>0</v>
      </c>
      <c r="O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 x14ac:dyDescent="0.2">
      <c r="A680" t="s">
        <v>671</v>
      </c>
      <c r="B680" t="s">
        <v>672</v>
      </c>
      <c r="C680" t="s">
        <v>446</v>
      </c>
      <c r="D680" t="s">
        <v>290</v>
      </c>
      <c r="E680">
        <v>79.989999999999995</v>
      </c>
      <c r="F680" t="s">
        <v>8118</v>
      </c>
      <c r="G680">
        <v>128</v>
      </c>
      <c r="I680">
        <v>128</v>
      </c>
      <c r="L680" t="s">
        <v>8</v>
      </c>
      <c r="M680" t="s">
        <v>4961</v>
      </c>
      <c r="N680">
        <v>0.8</v>
      </c>
      <c r="O680">
        <v>1.25</v>
      </c>
      <c r="Q680">
        <v>0</v>
      </c>
      <c r="R680">
        <v>0</v>
      </c>
      <c r="S680">
        <v>1</v>
      </c>
      <c r="T680">
        <v>1.25</v>
      </c>
      <c r="U680">
        <v>0</v>
      </c>
      <c r="V680">
        <v>1</v>
      </c>
    </row>
    <row r="681" spans="1:22" x14ac:dyDescent="0.2">
      <c r="A681" t="s">
        <v>952</v>
      </c>
      <c r="B681" t="s">
        <v>953</v>
      </c>
      <c r="C681" t="s">
        <v>446</v>
      </c>
      <c r="D681" t="s">
        <v>228</v>
      </c>
      <c r="E681">
        <v>64.989999999999995</v>
      </c>
      <c r="F681" t="s">
        <v>8118</v>
      </c>
      <c r="G681">
        <v>378</v>
      </c>
      <c r="H681">
        <v>146</v>
      </c>
      <c r="I681">
        <v>232</v>
      </c>
      <c r="K681">
        <v>2000</v>
      </c>
      <c r="L681" t="s">
        <v>8</v>
      </c>
      <c r="M681" t="s">
        <v>4679</v>
      </c>
      <c r="N681">
        <v>13.603340292275576</v>
      </c>
      <c r="O681">
        <v>7.3511356660527924E-2</v>
      </c>
      <c r="Q681">
        <v>21</v>
      </c>
      <c r="R681">
        <v>57</v>
      </c>
      <c r="S681">
        <v>465</v>
      </c>
      <c r="T681">
        <v>39.916666666666664</v>
      </c>
      <c r="U681">
        <v>1169.82</v>
      </c>
      <c r="V681">
        <v>543</v>
      </c>
    </row>
    <row r="682" spans="1:22" x14ac:dyDescent="0.2">
      <c r="A682" t="s">
        <v>950</v>
      </c>
      <c r="B682" t="s">
        <v>951</v>
      </c>
      <c r="C682" t="s">
        <v>446</v>
      </c>
      <c r="D682" t="s">
        <v>228</v>
      </c>
      <c r="E682">
        <v>59.99</v>
      </c>
      <c r="F682" t="s">
        <v>8118</v>
      </c>
      <c r="G682">
        <v>1080</v>
      </c>
      <c r="H682">
        <v>89</v>
      </c>
      <c r="I682">
        <v>991</v>
      </c>
      <c r="K682">
        <v>3000</v>
      </c>
      <c r="L682" t="s">
        <v>8</v>
      </c>
      <c r="M682" t="s">
        <v>4676</v>
      </c>
      <c r="N682">
        <v>6.9718875502008029</v>
      </c>
      <c r="O682">
        <v>0.14343317972350231</v>
      </c>
      <c r="Q682">
        <v>73</v>
      </c>
      <c r="R682">
        <v>96</v>
      </c>
      <c r="S682">
        <v>699</v>
      </c>
      <c r="T682">
        <v>124.5</v>
      </c>
      <c r="U682">
        <v>6478.92</v>
      </c>
      <c r="V682">
        <v>868</v>
      </c>
    </row>
    <row r="683" spans="1:22" x14ac:dyDescent="0.2">
      <c r="A683" t="s">
        <v>5016</v>
      </c>
      <c r="B683" t="s">
        <v>5017</v>
      </c>
      <c r="C683" t="s">
        <v>446</v>
      </c>
      <c r="D683" t="s">
        <v>96</v>
      </c>
      <c r="E683">
        <v>49.99</v>
      </c>
      <c r="F683" t="s">
        <v>8118</v>
      </c>
      <c r="L683" t="s">
        <v>8</v>
      </c>
      <c r="M683" t="s">
        <v>7870</v>
      </c>
      <c r="N683">
        <v>0</v>
      </c>
      <c r="O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 x14ac:dyDescent="0.2">
      <c r="A684" t="s">
        <v>948</v>
      </c>
      <c r="B684" t="s">
        <v>8122</v>
      </c>
      <c r="C684" t="s">
        <v>446</v>
      </c>
      <c r="D684" t="s">
        <v>228</v>
      </c>
      <c r="E684">
        <v>34.99</v>
      </c>
      <c r="F684" t="s">
        <v>8118</v>
      </c>
      <c r="G684">
        <v>120</v>
      </c>
      <c r="H684">
        <v>120</v>
      </c>
      <c r="J684">
        <v>12</v>
      </c>
      <c r="K684">
        <v>3000</v>
      </c>
      <c r="L684" t="s">
        <v>8</v>
      </c>
      <c r="M684" t="s">
        <v>5133</v>
      </c>
      <c r="N684">
        <v>15.36094674556213</v>
      </c>
      <c r="O684">
        <v>6.5100154083204936E-2</v>
      </c>
      <c r="Q684">
        <v>6</v>
      </c>
      <c r="R684">
        <v>34</v>
      </c>
      <c r="S684">
        <v>609</v>
      </c>
      <c r="T684">
        <v>42.25</v>
      </c>
      <c r="U684">
        <v>1819.48</v>
      </c>
      <c r="V684">
        <v>649</v>
      </c>
    </row>
    <row r="685" spans="1:22" x14ac:dyDescent="0.2">
      <c r="A685" t="s">
        <v>5014</v>
      </c>
      <c r="B685" t="s">
        <v>5015</v>
      </c>
      <c r="C685" t="s">
        <v>446</v>
      </c>
      <c r="D685" t="s">
        <v>96</v>
      </c>
      <c r="E685">
        <v>49.99</v>
      </c>
      <c r="F685" t="s">
        <v>8118</v>
      </c>
      <c r="L685" t="s">
        <v>8</v>
      </c>
      <c r="M685" t="s">
        <v>7863</v>
      </c>
      <c r="N685">
        <v>0</v>
      </c>
      <c r="O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 x14ac:dyDescent="0.2">
      <c r="A686" t="s">
        <v>709</v>
      </c>
      <c r="B686" t="s">
        <v>710</v>
      </c>
      <c r="C686" t="s">
        <v>446</v>
      </c>
      <c r="D686" t="s">
        <v>228</v>
      </c>
      <c r="E686">
        <v>69.989999999999995</v>
      </c>
      <c r="F686" t="s">
        <v>8118</v>
      </c>
      <c r="K686">
        <v>2200</v>
      </c>
      <c r="L686" t="s">
        <v>8</v>
      </c>
      <c r="M686" t="s">
        <v>5175</v>
      </c>
      <c r="N686">
        <v>5.2613390928725696</v>
      </c>
      <c r="O686">
        <v>0.19006568144499181</v>
      </c>
      <c r="Q686">
        <v>1</v>
      </c>
      <c r="R686">
        <v>14</v>
      </c>
      <c r="S686">
        <v>188</v>
      </c>
      <c r="T686">
        <v>38.583333333333336</v>
      </c>
      <c r="U686">
        <v>1399.8</v>
      </c>
      <c r="V686">
        <v>203</v>
      </c>
    </row>
    <row r="687" spans="1:22" x14ac:dyDescent="0.2">
      <c r="A687" t="s">
        <v>707</v>
      </c>
      <c r="B687" t="s">
        <v>708</v>
      </c>
      <c r="C687" t="s">
        <v>446</v>
      </c>
      <c r="D687" t="s">
        <v>228</v>
      </c>
      <c r="E687">
        <v>69.989999999999995</v>
      </c>
      <c r="F687" t="s">
        <v>8118</v>
      </c>
      <c r="K687">
        <v>2200</v>
      </c>
      <c r="L687" t="s">
        <v>8</v>
      </c>
      <c r="M687" t="s">
        <v>5172</v>
      </c>
      <c r="N687">
        <v>3.9268292682926829</v>
      </c>
      <c r="O687">
        <v>0.25465838509316768</v>
      </c>
      <c r="Q687">
        <v>2</v>
      </c>
      <c r="R687">
        <v>22</v>
      </c>
      <c r="S687">
        <v>137</v>
      </c>
      <c r="T687">
        <v>41</v>
      </c>
      <c r="U687">
        <v>1679.7599999999998</v>
      </c>
      <c r="V687">
        <v>161</v>
      </c>
    </row>
    <row r="688" spans="1:22" x14ac:dyDescent="0.2">
      <c r="A688" t="s">
        <v>549</v>
      </c>
      <c r="B688" t="s">
        <v>550</v>
      </c>
      <c r="C688" t="s">
        <v>446</v>
      </c>
      <c r="D688" t="s">
        <v>228</v>
      </c>
      <c r="E688">
        <v>169.99</v>
      </c>
      <c r="F688" t="s">
        <v>8118</v>
      </c>
      <c r="G688">
        <v>763</v>
      </c>
      <c r="H688">
        <v>18</v>
      </c>
      <c r="I688">
        <v>745</v>
      </c>
      <c r="L688" t="s">
        <v>8</v>
      </c>
      <c r="M688" t="s">
        <v>5052</v>
      </c>
      <c r="N688">
        <v>18.339622641509433</v>
      </c>
      <c r="O688">
        <v>5.4526748971193417E-2</v>
      </c>
      <c r="Q688">
        <v>19</v>
      </c>
      <c r="R688">
        <v>26</v>
      </c>
      <c r="S688">
        <v>441</v>
      </c>
      <c r="T688">
        <v>26.5</v>
      </c>
      <c r="U688">
        <v>2379.86</v>
      </c>
      <c r="V688">
        <v>486</v>
      </c>
    </row>
    <row r="689" spans="1:22" x14ac:dyDescent="0.2">
      <c r="A689" t="s">
        <v>551</v>
      </c>
      <c r="B689" t="s">
        <v>552</v>
      </c>
      <c r="C689" t="s">
        <v>446</v>
      </c>
      <c r="D689" t="s">
        <v>228</v>
      </c>
      <c r="E689">
        <v>169.99</v>
      </c>
      <c r="F689" t="s">
        <v>8118</v>
      </c>
      <c r="G689">
        <v>545</v>
      </c>
      <c r="H689">
        <v>18</v>
      </c>
      <c r="I689">
        <v>527</v>
      </c>
      <c r="K689">
        <v>1000</v>
      </c>
      <c r="L689" t="s">
        <v>8</v>
      </c>
      <c r="M689" t="s">
        <v>5056</v>
      </c>
      <c r="N689">
        <v>11.804878048780488</v>
      </c>
      <c r="O689">
        <v>8.4710743801652888E-2</v>
      </c>
      <c r="Q689">
        <v>23</v>
      </c>
      <c r="R689">
        <v>13</v>
      </c>
      <c r="S689">
        <v>206</v>
      </c>
      <c r="T689">
        <v>20.5</v>
      </c>
      <c r="U689">
        <v>2719.84</v>
      </c>
      <c r="V689">
        <v>242</v>
      </c>
    </row>
    <row r="690" spans="1:22" x14ac:dyDescent="0.2">
      <c r="A690" t="s">
        <v>705</v>
      </c>
      <c r="B690" t="s">
        <v>706</v>
      </c>
      <c r="C690" t="s">
        <v>446</v>
      </c>
      <c r="D690" t="s">
        <v>228</v>
      </c>
      <c r="E690">
        <v>159.99</v>
      </c>
      <c r="F690" t="s">
        <v>8118</v>
      </c>
      <c r="G690">
        <v>62</v>
      </c>
      <c r="H690">
        <v>7</v>
      </c>
      <c r="I690">
        <v>55</v>
      </c>
      <c r="K690">
        <v>500</v>
      </c>
      <c r="L690" t="s">
        <v>8</v>
      </c>
      <c r="M690" t="s">
        <v>5181</v>
      </c>
      <c r="N690">
        <v>23.6</v>
      </c>
      <c r="O690">
        <v>4.2372881355932202E-2</v>
      </c>
      <c r="Q690">
        <v>37</v>
      </c>
      <c r="R690">
        <v>11</v>
      </c>
      <c r="S690">
        <v>188</v>
      </c>
      <c r="T690">
        <v>10</v>
      </c>
      <c r="U690">
        <v>799.95</v>
      </c>
      <c r="V690">
        <v>236</v>
      </c>
    </row>
    <row r="691" spans="1:22" x14ac:dyDescent="0.2">
      <c r="A691" t="s">
        <v>677</v>
      </c>
      <c r="B691" t="s">
        <v>678</v>
      </c>
      <c r="C691" t="s">
        <v>446</v>
      </c>
      <c r="D691" t="s">
        <v>290</v>
      </c>
      <c r="E691">
        <v>129.99</v>
      </c>
      <c r="F691" t="s">
        <v>8118</v>
      </c>
      <c r="L691" t="s">
        <v>8</v>
      </c>
      <c r="M691" t="s">
        <v>7957</v>
      </c>
      <c r="N691">
        <v>1.5</v>
      </c>
      <c r="O691">
        <v>0.66666666666666663</v>
      </c>
      <c r="Q691">
        <v>1</v>
      </c>
      <c r="R691">
        <v>0</v>
      </c>
      <c r="S691">
        <v>0</v>
      </c>
      <c r="T691">
        <v>0.66666666666666663</v>
      </c>
      <c r="U691">
        <v>0</v>
      </c>
      <c r="V691">
        <v>1</v>
      </c>
    </row>
    <row r="692" spans="1:22" x14ac:dyDescent="0.2">
      <c r="A692" t="s">
        <v>711</v>
      </c>
      <c r="B692" t="s">
        <v>712</v>
      </c>
      <c r="C692" t="s">
        <v>446</v>
      </c>
      <c r="D692" t="s">
        <v>228</v>
      </c>
      <c r="E692">
        <v>99.99</v>
      </c>
      <c r="F692" t="s">
        <v>8118</v>
      </c>
      <c r="G692">
        <v>34</v>
      </c>
      <c r="H692">
        <v>34</v>
      </c>
      <c r="K692">
        <v>1500</v>
      </c>
      <c r="L692" t="s">
        <v>8</v>
      </c>
      <c r="M692" t="s">
        <v>5177</v>
      </c>
      <c r="N692">
        <v>10.621118012422361</v>
      </c>
      <c r="O692">
        <v>9.4152046783625723E-2</v>
      </c>
      <c r="Q692">
        <v>6</v>
      </c>
      <c r="R692">
        <v>18</v>
      </c>
      <c r="S692">
        <v>261</v>
      </c>
      <c r="T692">
        <v>26.833333333333332</v>
      </c>
      <c r="U692">
        <v>3699.6299999999997</v>
      </c>
      <c r="V692">
        <v>285</v>
      </c>
    </row>
    <row r="693" spans="1:22" x14ac:dyDescent="0.2">
      <c r="A693" t="s">
        <v>695</v>
      </c>
      <c r="B693" t="s">
        <v>696</v>
      </c>
      <c r="C693" t="s">
        <v>446</v>
      </c>
      <c r="D693" t="s">
        <v>228</v>
      </c>
      <c r="E693">
        <v>99.99</v>
      </c>
      <c r="F693" t="s">
        <v>8118</v>
      </c>
      <c r="G693">
        <v>615</v>
      </c>
      <c r="H693">
        <v>152</v>
      </c>
      <c r="I693">
        <v>463</v>
      </c>
      <c r="K693">
        <v>1000</v>
      </c>
      <c r="L693" t="s">
        <v>8</v>
      </c>
      <c r="M693" t="s">
        <v>5049</v>
      </c>
      <c r="N693">
        <v>9.4177215189873422</v>
      </c>
      <c r="O693">
        <v>0.10618279569892472</v>
      </c>
      <c r="Q693">
        <v>18</v>
      </c>
      <c r="R693">
        <v>16</v>
      </c>
      <c r="S693">
        <v>276</v>
      </c>
      <c r="T693">
        <v>32.916666666666664</v>
      </c>
      <c r="U693">
        <v>2899.71</v>
      </c>
      <c r="V693">
        <v>310</v>
      </c>
    </row>
    <row r="694" spans="1:22" x14ac:dyDescent="0.2">
      <c r="A694" t="s">
        <v>689</v>
      </c>
      <c r="B694" t="s">
        <v>690</v>
      </c>
      <c r="C694" t="s">
        <v>446</v>
      </c>
      <c r="D694" t="s">
        <v>228</v>
      </c>
      <c r="E694">
        <v>59.99</v>
      </c>
      <c r="F694" t="s">
        <v>8118</v>
      </c>
      <c r="G694">
        <v>1045</v>
      </c>
      <c r="H694">
        <v>67</v>
      </c>
      <c r="I694">
        <v>978</v>
      </c>
      <c r="L694" t="s">
        <v>8</v>
      </c>
      <c r="M694" t="s">
        <v>5083</v>
      </c>
      <c r="N694">
        <v>8.3076923076923084</v>
      </c>
      <c r="O694">
        <v>0.12037037037037036</v>
      </c>
      <c r="Q694">
        <v>1</v>
      </c>
      <c r="R694">
        <v>17</v>
      </c>
      <c r="S694">
        <v>0</v>
      </c>
      <c r="T694">
        <v>2.1666666666666665</v>
      </c>
      <c r="U694">
        <v>119.98</v>
      </c>
      <c r="V694">
        <v>18</v>
      </c>
    </row>
    <row r="695" spans="1:22" x14ac:dyDescent="0.2">
      <c r="A695" t="s">
        <v>685</v>
      </c>
      <c r="B695" t="s">
        <v>686</v>
      </c>
      <c r="C695" t="s">
        <v>446</v>
      </c>
      <c r="D695" t="s">
        <v>228</v>
      </c>
      <c r="E695">
        <v>59.99</v>
      </c>
      <c r="F695" t="s">
        <v>8118</v>
      </c>
      <c r="G695">
        <v>808</v>
      </c>
      <c r="H695">
        <v>4</v>
      </c>
      <c r="I695">
        <v>804</v>
      </c>
      <c r="L695" t="s">
        <v>8</v>
      </c>
      <c r="M695" t="s">
        <v>5088</v>
      </c>
      <c r="N695">
        <v>16</v>
      </c>
      <c r="O695">
        <v>6.25E-2</v>
      </c>
      <c r="Q695">
        <v>0</v>
      </c>
      <c r="R695">
        <v>15</v>
      </c>
      <c r="S695">
        <v>1</v>
      </c>
      <c r="T695">
        <v>1</v>
      </c>
      <c r="U695">
        <v>0</v>
      </c>
      <c r="V695">
        <v>16</v>
      </c>
    </row>
    <row r="696" spans="1:22" x14ac:dyDescent="0.2">
      <c r="A696" t="s">
        <v>555</v>
      </c>
      <c r="B696" t="s">
        <v>556</v>
      </c>
      <c r="C696" t="s">
        <v>446</v>
      </c>
      <c r="D696" t="s">
        <v>228</v>
      </c>
      <c r="E696">
        <v>34.99</v>
      </c>
      <c r="F696" t="s">
        <v>8118</v>
      </c>
      <c r="G696">
        <v>241</v>
      </c>
      <c r="H696">
        <v>138</v>
      </c>
      <c r="I696">
        <v>103</v>
      </c>
      <c r="K696">
        <v>2000</v>
      </c>
      <c r="L696" t="s">
        <v>8</v>
      </c>
      <c r="M696" t="s">
        <v>4685</v>
      </c>
      <c r="N696">
        <v>7.6551724137931041</v>
      </c>
      <c r="O696">
        <v>0.13063063063063063</v>
      </c>
      <c r="Q696">
        <v>13</v>
      </c>
      <c r="R696">
        <v>44</v>
      </c>
      <c r="S696">
        <v>350</v>
      </c>
      <c r="T696">
        <v>53.166666666666664</v>
      </c>
      <c r="U696">
        <v>1959.44</v>
      </c>
      <c r="V696">
        <v>407</v>
      </c>
    </row>
    <row r="697" spans="1:22" x14ac:dyDescent="0.2">
      <c r="A697" t="s">
        <v>4823</v>
      </c>
      <c r="B697" t="s">
        <v>4824</v>
      </c>
      <c r="C697" t="s">
        <v>446</v>
      </c>
      <c r="D697" t="s">
        <v>96</v>
      </c>
      <c r="E697">
        <v>89.99</v>
      </c>
      <c r="F697" t="s">
        <v>8118</v>
      </c>
      <c r="L697" t="s">
        <v>8</v>
      </c>
      <c r="M697" t="s">
        <v>4825</v>
      </c>
      <c r="N697">
        <v>66</v>
      </c>
      <c r="O697">
        <v>1.5151515151515152E-2</v>
      </c>
      <c r="Q697">
        <v>1</v>
      </c>
      <c r="R697">
        <v>306</v>
      </c>
      <c r="S697">
        <v>1</v>
      </c>
      <c r="T697">
        <v>4.666666666666667</v>
      </c>
      <c r="U697">
        <v>539.93999999999994</v>
      </c>
      <c r="V697">
        <v>308</v>
      </c>
    </row>
    <row r="698" spans="1:22" x14ac:dyDescent="0.2">
      <c r="A698" t="s">
        <v>912</v>
      </c>
      <c r="B698" t="s">
        <v>913</v>
      </c>
      <c r="C698" t="s">
        <v>446</v>
      </c>
      <c r="D698" t="s">
        <v>228</v>
      </c>
      <c r="E698">
        <v>89.99</v>
      </c>
      <c r="F698" t="s">
        <v>8118</v>
      </c>
      <c r="G698">
        <v>1249</v>
      </c>
      <c r="H698">
        <v>28</v>
      </c>
      <c r="I698">
        <v>1221</v>
      </c>
      <c r="L698" t="s">
        <v>8</v>
      </c>
      <c r="M698" t="s">
        <v>4884</v>
      </c>
      <c r="N698">
        <v>8.056338028169014</v>
      </c>
      <c r="O698">
        <v>0.12412587412587413</v>
      </c>
      <c r="Q698">
        <v>23</v>
      </c>
      <c r="R698">
        <v>12</v>
      </c>
      <c r="S698">
        <v>251</v>
      </c>
      <c r="T698">
        <v>35.5</v>
      </c>
      <c r="U698">
        <v>2339.7399999999998</v>
      </c>
      <c r="V698">
        <v>286</v>
      </c>
    </row>
    <row r="699" spans="1:22" x14ac:dyDescent="0.2">
      <c r="A699" t="s">
        <v>5019</v>
      </c>
      <c r="B699" t="s">
        <v>5020</v>
      </c>
      <c r="C699" t="s">
        <v>446</v>
      </c>
      <c r="D699" t="s">
        <v>96</v>
      </c>
      <c r="E699">
        <v>149.99</v>
      </c>
      <c r="F699" t="s">
        <v>8118</v>
      </c>
      <c r="L699" t="s">
        <v>8</v>
      </c>
      <c r="M699" t="s">
        <v>8082</v>
      </c>
      <c r="N699">
        <v>0</v>
      </c>
      <c r="O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 x14ac:dyDescent="0.2">
      <c r="A700" t="s">
        <v>553</v>
      </c>
      <c r="B700" t="s">
        <v>554</v>
      </c>
      <c r="C700" t="s">
        <v>446</v>
      </c>
      <c r="D700" t="s">
        <v>228</v>
      </c>
      <c r="E700">
        <v>29.99</v>
      </c>
      <c r="F700" t="s">
        <v>8118</v>
      </c>
      <c r="G700">
        <v>1000</v>
      </c>
      <c r="I700">
        <v>1000</v>
      </c>
      <c r="K700">
        <v>3000</v>
      </c>
      <c r="L700" t="s">
        <v>8</v>
      </c>
      <c r="M700" t="s">
        <v>4682</v>
      </c>
      <c r="N700">
        <v>4.8138528138528143</v>
      </c>
      <c r="O700">
        <v>0.2077338129496403</v>
      </c>
      <c r="Q700">
        <v>1</v>
      </c>
      <c r="R700">
        <v>15</v>
      </c>
      <c r="S700">
        <v>262</v>
      </c>
      <c r="T700">
        <v>57.75</v>
      </c>
      <c r="U700">
        <v>2219.2599999999998</v>
      </c>
      <c r="V700">
        <v>278</v>
      </c>
    </row>
    <row r="701" spans="1:22" x14ac:dyDescent="0.2">
      <c r="A701" t="s">
        <v>713</v>
      </c>
      <c r="B701" t="s">
        <v>714</v>
      </c>
      <c r="C701" t="s">
        <v>446</v>
      </c>
      <c r="D701" t="s">
        <v>228</v>
      </c>
      <c r="E701">
        <v>99.99</v>
      </c>
      <c r="F701" t="s">
        <v>8118</v>
      </c>
      <c r="K701">
        <v>1500</v>
      </c>
      <c r="L701" t="s">
        <v>8</v>
      </c>
      <c r="M701" t="s">
        <v>5179</v>
      </c>
      <c r="N701">
        <v>5.1365313653136537</v>
      </c>
      <c r="O701">
        <v>0.19468390804597699</v>
      </c>
      <c r="Q701">
        <v>4</v>
      </c>
      <c r="R701">
        <v>12</v>
      </c>
      <c r="S701">
        <v>100</v>
      </c>
      <c r="T701">
        <v>22.583333333333332</v>
      </c>
      <c r="U701">
        <v>3899.6099999999997</v>
      </c>
      <c r="V701">
        <v>116</v>
      </c>
    </row>
    <row r="702" spans="1:22" x14ac:dyDescent="0.2">
      <c r="A702" t="s">
        <v>755</v>
      </c>
      <c r="B702" t="s">
        <v>756</v>
      </c>
      <c r="C702" t="s">
        <v>446</v>
      </c>
      <c r="D702" t="s">
        <v>228</v>
      </c>
      <c r="E702">
        <v>49.99</v>
      </c>
      <c r="F702" t="s">
        <v>8118</v>
      </c>
      <c r="G702">
        <v>697</v>
      </c>
      <c r="H702">
        <v>113</v>
      </c>
      <c r="I702">
        <v>584</v>
      </c>
      <c r="K702">
        <v>2000</v>
      </c>
      <c r="L702" t="s">
        <v>8</v>
      </c>
      <c r="M702" t="s">
        <v>5065</v>
      </c>
      <c r="N702">
        <v>7.7132616487455197</v>
      </c>
      <c r="O702">
        <v>0.12964684014869887</v>
      </c>
      <c r="Q702">
        <v>36</v>
      </c>
      <c r="R702">
        <v>13</v>
      </c>
      <c r="S702">
        <v>489</v>
      </c>
      <c r="T702">
        <v>69.75</v>
      </c>
      <c r="U702">
        <v>4099.18</v>
      </c>
      <c r="V702">
        <v>538</v>
      </c>
    </row>
    <row r="703" spans="1:22" x14ac:dyDescent="0.2">
      <c r="A703" t="s">
        <v>890</v>
      </c>
      <c r="B703" t="s">
        <v>891</v>
      </c>
      <c r="C703" t="s">
        <v>446</v>
      </c>
      <c r="D703" t="s">
        <v>228</v>
      </c>
      <c r="E703">
        <v>29.99</v>
      </c>
      <c r="F703" t="s">
        <v>8118</v>
      </c>
      <c r="G703">
        <v>866</v>
      </c>
      <c r="H703">
        <v>86</v>
      </c>
      <c r="I703">
        <v>780</v>
      </c>
      <c r="K703">
        <v>2000</v>
      </c>
      <c r="L703" t="s">
        <v>8</v>
      </c>
      <c r="M703" t="s">
        <v>4897</v>
      </c>
      <c r="N703">
        <v>7.4931297709923657</v>
      </c>
      <c r="O703">
        <v>0.13345558272208641</v>
      </c>
      <c r="Q703">
        <v>71</v>
      </c>
      <c r="R703">
        <v>83</v>
      </c>
      <c r="S703">
        <v>664</v>
      </c>
      <c r="T703">
        <v>109.16666666666667</v>
      </c>
      <c r="U703">
        <v>2759.08</v>
      </c>
      <c r="V703">
        <v>818</v>
      </c>
    </row>
    <row r="704" spans="1:22" x14ac:dyDescent="0.2">
      <c r="A704" t="s">
        <v>4917</v>
      </c>
      <c r="B704" t="s">
        <v>4918</v>
      </c>
      <c r="C704" t="s">
        <v>446</v>
      </c>
      <c r="D704" t="s">
        <v>96</v>
      </c>
      <c r="E704">
        <v>44.99</v>
      </c>
      <c r="F704" t="s">
        <v>8118</v>
      </c>
      <c r="L704" t="s">
        <v>8</v>
      </c>
      <c r="M704" t="s">
        <v>4919</v>
      </c>
      <c r="N704">
        <v>0</v>
      </c>
      <c r="O704">
        <v>0</v>
      </c>
      <c r="Q704">
        <v>0</v>
      </c>
      <c r="R704">
        <v>0</v>
      </c>
      <c r="S704">
        <v>0</v>
      </c>
      <c r="T704">
        <v>0.25</v>
      </c>
      <c r="U704">
        <v>0</v>
      </c>
      <c r="V704">
        <v>0</v>
      </c>
    </row>
    <row r="705" spans="1:22" x14ac:dyDescent="0.2">
      <c r="A705" t="s">
        <v>4914</v>
      </c>
      <c r="B705" t="s">
        <v>4915</v>
      </c>
      <c r="C705" t="s">
        <v>446</v>
      </c>
      <c r="D705" t="s">
        <v>290</v>
      </c>
      <c r="E705">
        <v>39.99</v>
      </c>
      <c r="F705" t="s">
        <v>8118</v>
      </c>
      <c r="G705">
        <v>1</v>
      </c>
      <c r="H705">
        <v>1</v>
      </c>
      <c r="L705" t="s">
        <v>8</v>
      </c>
      <c r="M705" t="s">
        <v>4916</v>
      </c>
      <c r="N705">
        <v>0</v>
      </c>
      <c r="O705">
        <v>0</v>
      </c>
      <c r="Q705">
        <v>0</v>
      </c>
      <c r="R705">
        <v>0</v>
      </c>
      <c r="S705">
        <v>0</v>
      </c>
      <c r="T705">
        <v>0.25</v>
      </c>
      <c r="U705">
        <v>0</v>
      </c>
      <c r="V705">
        <v>0</v>
      </c>
    </row>
    <row r="706" spans="1:22" x14ac:dyDescent="0.2">
      <c r="A706" t="s">
        <v>643</v>
      </c>
      <c r="B706" t="s">
        <v>644</v>
      </c>
      <c r="C706" t="s">
        <v>446</v>
      </c>
      <c r="D706" t="s">
        <v>228</v>
      </c>
      <c r="E706">
        <v>99.99</v>
      </c>
      <c r="F706" t="s">
        <v>8118</v>
      </c>
      <c r="G706">
        <v>835</v>
      </c>
      <c r="H706">
        <v>382</v>
      </c>
      <c r="I706">
        <v>453</v>
      </c>
      <c r="K706">
        <v>4200</v>
      </c>
      <c r="L706" t="s">
        <v>8</v>
      </c>
      <c r="M706" t="s">
        <v>4977</v>
      </c>
      <c r="N706">
        <v>4.7904430064708814</v>
      </c>
      <c r="O706">
        <v>0.20874896093100581</v>
      </c>
      <c r="Q706">
        <v>29</v>
      </c>
      <c r="R706">
        <v>99</v>
      </c>
      <c r="S706">
        <v>674</v>
      </c>
      <c r="T706">
        <v>167.41666666666666</v>
      </c>
      <c r="U706">
        <v>9799.0199999999986</v>
      </c>
      <c r="V706">
        <v>802</v>
      </c>
    </row>
    <row r="707" spans="1:22" x14ac:dyDescent="0.2">
      <c r="A707" t="s">
        <v>667</v>
      </c>
      <c r="B707" t="s">
        <v>668</v>
      </c>
      <c r="C707" t="s">
        <v>446</v>
      </c>
      <c r="D707" t="s">
        <v>228</v>
      </c>
      <c r="E707">
        <v>139.99</v>
      </c>
      <c r="F707" t="s">
        <v>8118</v>
      </c>
      <c r="G707">
        <v>469</v>
      </c>
      <c r="H707">
        <v>38</v>
      </c>
      <c r="I707">
        <v>431</v>
      </c>
      <c r="K707">
        <v>1000</v>
      </c>
      <c r="L707" t="s">
        <v>8</v>
      </c>
      <c r="M707" t="s">
        <v>4885</v>
      </c>
      <c r="N707">
        <v>13.582150101419877</v>
      </c>
      <c r="O707">
        <v>7.3626045400238954E-2</v>
      </c>
      <c r="Q707">
        <v>41</v>
      </c>
      <c r="R707">
        <v>36</v>
      </c>
      <c r="S707">
        <v>481</v>
      </c>
      <c r="T707">
        <v>41.083333333333336</v>
      </c>
      <c r="U707">
        <v>5039.6400000000003</v>
      </c>
      <c r="V707">
        <v>558</v>
      </c>
    </row>
    <row r="708" spans="1:22" x14ac:dyDescent="0.2">
      <c r="A708" t="s">
        <v>547</v>
      </c>
      <c r="B708" t="s">
        <v>7085</v>
      </c>
      <c r="C708" t="s">
        <v>446</v>
      </c>
      <c r="D708" t="s">
        <v>290</v>
      </c>
      <c r="E708">
        <v>199.99</v>
      </c>
      <c r="F708" t="s">
        <v>8118</v>
      </c>
      <c r="L708" t="s">
        <v>8</v>
      </c>
      <c r="M708" t="s">
        <v>5054</v>
      </c>
      <c r="N708">
        <v>12</v>
      </c>
      <c r="O708">
        <v>8.3333333333333329E-2</v>
      </c>
      <c r="Q708">
        <v>1</v>
      </c>
      <c r="R708">
        <v>0</v>
      </c>
      <c r="S708">
        <v>0</v>
      </c>
      <c r="T708">
        <v>8.3333333333333329E-2</v>
      </c>
      <c r="U708">
        <v>0</v>
      </c>
      <c r="V708">
        <v>1</v>
      </c>
    </row>
    <row r="709" spans="1:22" x14ac:dyDescent="0.2">
      <c r="A709" t="s">
        <v>665</v>
      </c>
      <c r="B709" t="s">
        <v>666</v>
      </c>
      <c r="C709" t="s">
        <v>446</v>
      </c>
      <c r="D709" t="s">
        <v>228</v>
      </c>
      <c r="E709">
        <v>139.99</v>
      </c>
      <c r="F709" t="s">
        <v>8118</v>
      </c>
      <c r="G709">
        <v>435</v>
      </c>
      <c r="H709">
        <v>35</v>
      </c>
      <c r="I709">
        <v>400</v>
      </c>
      <c r="K709">
        <v>1000</v>
      </c>
      <c r="L709" t="s">
        <v>8</v>
      </c>
      <c r="M709" t="s">
        <v>4886</v>
      </c>
      <c r="N709">
        <v>13.576271186440676</v>
      </c>
      <c r="O709">
        <v>7.365792759051186E-2</v>
      </c>
      <c r="Q709">
        <v>28</v>
      </c>
      <c r="R709">
        <v>15</v>
      </c>
      <c r="S709">
        <v>491</v>
      </c>
      <c r="T709">
        <v>39.333333333333336</v>
      </c>
      <c r="U709">
        <v>5319.6200000000008</v>
      </c>
      <c r="V709">
        <v>534</v>
      </c>
    </row>
    <row r="710" spans="1:22" x14ac:dyDescent="0.2">
      <c r="A710" t="s">
        <v>651</v>
      </c>
      <c r="B710" t="s">
        <v>652</v>
      </c>
      <c r="C710" t="s">
        <v>446</v>
      </c>
      <c r="D710" t="s">
        <v>228</v>
      </c>
      <c r="E710">
        <v>59.99</v>
      </c>
      <c r="F710" t="s">
        <v>8118</v>
      </c>
      <c r="G710">
        <v>451</v>
      </c>
      <c r="H710">
        <v>31</v>
      </c>
      <c r="I710">
        <v>420</v>
      </c>
      <c r="K710">
        <v>1000</v>
      </c>
      <c r="L710" t="s">
        <v>8</v>
      </c>
      <c r="M710" t="s">
        <v>4860</v>
      </c>
      <c r="N710">
        <v>12</v>
      </c>
      <c r="O710">
        <v>8.3333333333333343E-2</v>
      </c>
      <c r="Q710">
        <v>0</v>
      </c>
      <c r="R710">
        <v>5</v>
      </c>
      <c r="S710">
        <v>0</v>
      </c>
      <c r="T710">
        <v>0.41666666666666669</v>
      </c>
      <c r="U710">
        <v>0</v>
      </c>
      <c r="V710">
        <v>5</v>
      </c>
    </row>
    <row r="711" spans="1:22" x14ac:dyDescent="0.2">
      <c r="A711" t="s">
        <v>691</v>
      </c>
      <c r="B711" t="s">
        <v>7018</v>
      </c>
      <c r="C711" t="s">
        <v>446</v>
      </c>
      <c r="D711" t="s">
        <v>228</v>
      </c>
      <c r="E711">
        <v>59.99</v>
      </c>
      <c r="F711" t="s">
        <v>8118</v>
      </c>
      <c r="G711">
        <v>380</v>
      </c>
      <c r="H711">
        <v>104</v>
      </c>
      <c r="I711">
        <v>276</v>
      </c>
      <c r="K711">
        <v>3000</v>
      </c>
      <c r="L711" t="s">
        <v>8</v>
      </c>
      <c r="M711" t="s">
        <v>5080</v>
      </c>
      <c r="N711">
        <v>11.74390243902439</v>
      </c>
      <c r="O711">
        <v>8.5150571131879543E-2</v>
      </c>
      <c r="Q711">
        <v>48</v>
      </c>
      <c r="R711">
        <v>17</v>
      </c>
      <c r="S711">
        <v>577</v>
      </c>
      <c r="T711">
        <v>54.666666666666664</v>
      </c>
      <c r="U711">
        <v>3779.3700000000003</v>
      </c>
      <c r="V711">
        <v>642</v>
      </c>
    </row>
    <row r="712" spans="1:22" x14ac:dyDescent="0.2">
      <c r="A712" t="s">
        <v>639</v>
      </c>
      <c r="B712" t="s">
        <v>640</v>
      </c>
      <c r="C712" t="s">
        <v>446</v>
      </c>
      <c r="D712" t="s">
        <v>228</v>
      </c>
      <c r="E712">
        <v>119.99</v>
      </c>
      <c r="F712" t="s">
        <v>8118</v>
      </c>
      <c r="G712">
        <v>172</v>
      </c>
      <c r="H712">
        <v>42</v>
      </c>
      <c r="I712">
        <v>130</v>
      </c>
      <c r="K712">
        <v>2000</v>
      </c>
      <c r="L712" t="s">
        <v>8</v>
      </c>
      <c r="M712" t="s">
        <v>5002</v>
      </c>
      <c r="N712">
        <v>3.1282051282051282</v>
      </c>
      <c r="O712">
        <v>0.31967213114754101</v>
      </c>
      <c r="Q712">
        <v>0</v>
      </c>
      <c r="R712">
        <v>60</v>
      </c>
      <c r="S712">
        <v>1</v>
      </c>
      <c r="T712">
        <v>19.5</v>
      </c>
      <c r="U712">
        <v>1799.85</v>
      </c>
      <c r="V712">
        <v>61</v>
      </c>
    </row>
    <row r="713" spans="1:22" x14ac:dyDescent="0.2">
      <c r="A713" t="s">
        <v>757</v>
      </c>
      <c r="B713" t="s">
        <v>758</v>
      </c>
      <c r="C713" t="s">
        <v>446</v>
      </c>
      <c r="D713" t="s">
        <v>228</v>
      </c>
      <c r="E713">
        <v>49.99</v>
      </c>
      <c r="F713" t="s">
        <v>8118</v>
      </c>
      <c r="G713">
        <v>875</v>
      </c>
      <c r="H713">
        <v>60</v>
      </c>
      <c r="I713">
        <v>815</v>
      </c>
      <c r="K713">
        <v>1000</v>
      </c>
      <c r="L713" t="s">
        <v>8</v>
      </c>
      <c r="M713" t="s">
        <v>5062</v>
      </c>
      <c r="N713">
        <v>8.2880000000000003</v>
      </c>
      <c r="O713">
        <v>0.12065637065637065</v>
      </c>
      <c r="Q713">
        <v>5</v>
      </c>
      <c r="R713">
        <v>14</v>
      </c>
      <c r="S713">
        <v>240</v>
      </c>
      <c r="T713">
        <v>31.25</v>
      </c>
      <c r="U713">
        <v>1449.71</v>
      </c>
      <c r="V713">
        <v>259</v>
      </c>
    </row>
    <row r="714" spans="1:22" x14ac:dyDescent="0.2">
      <c r="A714" t="s">
        <v>4820</v>
      </c>
      <c r="B714" t="s">
        <v>4821</v>
      </c>
      <c r="C714" t="s">
        <v>446</v>
      </c>
      <c r="D714" t="s">
        <v>96</v>
      </c>
      <c r="E714">
        <v>89.99</v>
      </c>
      <c r="F714" t="s">
        <v>8118</v>
      </c>
      <c r="L714" t="s">
        <v>8</v>
      </c>
      <c r="M714" t="s">
        <v>4822</v>
      </c>
      <c r="N714">
        <v>15.206106870229009</v>
      </c>
      <c r="O714">
        <v>6.576305220883534E-2</v>
      </c>
      <c r="Q714">
        <v>6</v>
      </c>
      <c r="R714">
        <v>160</v>
      </c>
      <c r="S714">
        <v>0</v>
      </c>
      <c r="T714">
        <v>10.916666666666666</v>
      </c>
      <c r="U714">
        <v>899.9</v>
      </c>
      <c r="V714">
        <v>166</v>
      </c>
    </row>
    <row r="715" spans="1:22" x14ac:dyDescent="0.2">
      <c r="A715" t="s">
        <v>4774</v>
      </c>
      <c r="B715" t="s">
        <v>4775</v>
      </c>
      <c r="C715" t="s">
        <v>446</v>
      </c>
      <c r="D715" t="s">
        <v>96</v>
      </c>
      <c r="E715">
        <v>19.989999999999998</v>
      </c>
      <c r="F715" t="s">
        <v>8118</v>
      </c>
      <c r="L715" t="s">
        <v>8</v>
      </c>
      <c r="M715" t="s">
        <v>8043</v>
      </c>
      <c r="N715">
        <v>0</v>
      </c>
      <c r="O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 x14ac:dyDescent="0.2">
      <c r="A716" t="s">
        <v>882</v>
      </c>
      <c r="B716" t="s">
        <v>883</v>
      </c>
      <c r="C716" t="s">
        <v>446</v>
      </c>
      <c r="D716" t="s">
        <v>228</v>
      </c>
      <c r="E716">
        <v>99.99</v>
      </c>
      <c r="F716" t="s">
        <v>8118</v>
      </c>
      <c r="G716">
        <v>301</v>
      </c>
      <c r="H716">
        <v>45</v>
      </c>
      <c r="I716">
        <v>256</v>
      </c>
      <c r="K716">
        <v>1000</v>
      </c>
      <c r="L716" t="s">
        <v>8</v>
      </c>
      <c r="M716" t="s">
        <v>4887</v>
      </c>
      <c r="N716">
        <v>9.8995695839311324</v>
      </c>
      <c r="O716">
        <v>0.10101449275362319</v>
      </c>
      <c r="Q716">
        <v>32</v>
      </c>
      <c r="R716">
        <v>11</v>
      </c>
      <c r="S716">
        <v>532</v>
      </c>
      <c r="T716">
        <v>58.083333333333336</v>
      </c>
      <c r="U716">
        <v>5799.42</v>
      </c>
      <c r="V716">
        <v>575</v>
      </c>
    </row>
    <row r="717" spans="1:22" x14ac:dyDescent="0.2">
      <c r="A717" t="s">
        <v>1010</v>
      </c>
      <c r="B717" t="s">
        <v>1011</v>
      </c>
      <c r="C717" t="s">
        <v>446</v>
      </c>
      <c r="D717" t="s">
        <v>290</v>
      </c>
      <c r="E717">
        <v>69.989999999999995</v>
      </c>
      <c r="F717" t="s">
        <v>8118</v>
      </c>
      <c r="L717" t="s">
        <v>8</v>
      </c>
      <c r="M717" t="s">
        <v>4971</v>
      </c>
      <c r="N717">
        <v>1.5</v>
      </c>
      <c r="O717">
        <v>0.66666666666666663</v>
      </c>
      <c r="Q717">
        <v>0</v>
      </c>
      <c r="R717">
        <v>1</v>
      </c>
      <c r="S717">
        <v>1</v>
      </c>
      <c r="T717">
        <v>1.3333333333333333</v>
      </c>
      <c r="U717">
        <v>69.989999999999995</v>
      </c>
      <c r="V717">
        <v>2</v>
      </c>
    </row>
    <row r="718" spans="1:22" x14ac:dyDescent="0.2">
      <c r="A718" t="s">
        <v>4978</v>
      </c>
      <c r="B718" t="s">
        <v>7312</v>
      </c>
      <c r="C718" t="s">
        <v>446</v>
      </c>
      <c r="D718" t="s">
        <v>290</v>
      </c>
      <c r="E718">
        <v>99.99</v>
      </c>
      <c r="F718" t="s">
        <v>8118</v>
      </c>
      <c r="L718" t="s">
        <v>8</v>
      </c>
      <c r="M718" t="s">
        <v>4981</v>
      </c>
      <c r="N718">
        <v>0</v>
      </c>
      <c r="O718">
        <v>0</v>
      </c>
      <c r="Q718">
        <v>0</v>
      </c>
      <c r="R718">
        <v>0</v>
      </c>
      <c r="S718">
        <v>0</v>
      </c>
      <c r="T718">
        <v>0.58333333333333337</v>
      </c>
      <c r="U718">
        <v>0</v>
      </c>
      <c r="V718">
        <v>0</v>
      </c>
    </row>
    <row r="719" spans="1:22" x14ac:dyDescent="0.2">
      <c r="A719" t="s">
        <v>998</v>
      </c>
      <c r="B719" t="s">
        <v>999</v>
      </c>
      <c r="C719" t="s">
        <v>446</v>
      </c>
      <c r="D719" t="s">
        <v>228</v>
      </c>
      <c r="E719">
        <v>69.989999999999995</v>
      </c>
      <c r="F719" t="s">
        <v>8118</v>
      </c>
      <c r="G719">
        <v>1152</v>
      </c>
      <c r="H719">
        <v>13</v>
      </c>
      <c r="I719">
        <v>1139</v>
      </c>
      <c r="L719" t="s">
        <v>8</v>
      </c>
      <c r="M719" t="s">
        <v>4903</v>
      </c>
      <c r="N719">
        <v>22.481632653061222</v>
      </c>
      <c r="O719">
        <v>4.4480755265068991E-2</v>
      </c>
      <c r="Q719">
        <v>14</v>
      </c>
      <c r="R719">
        <v>25</v>
      </c>
      <c r="S719">
        <v>420</v>
      </c>
      <c r="T719">
        <v>20.416666666666668</v>
      </c>
      <c r="U719">
        <v>1329.81</v>
      </c>
      <c r="V719">
        <v>459</v>
      </c>
    </row>
    <row r="720" spans="1:22" x14ac:dyDescent="0.2">
      <c r="A720" t="s">
        <v>4965</v>
      </c>
      <c r="B720" t="s">
        <v>4966</v>
      </c>
      <c r="C720" t="s">
        <v>446</v>
      </c>
      <c r="D720" t="s">
        <v>290</v>
      </c>
      <c r="E720">
        <v>69.989999999999995</v>
      </c>
      <c r="F720" t="s">
        <v>8118</v>
      </c>
      <c r="L720" t="s">
        <v>8</v>
      </c>
      <c r="M720" t="s">
        <v>7864</v>
      </c>
      <c r="N720">
        <v>0</v>
      </c>
      <c r="O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 x14ac:dyDescent="0.2">
      <c r="A721" t="s">
        <v>1008</v>
      </c>
      <c r="B721" t="s">
        <v>1009</v>
      </c>
      <c r="C721" t="s">
        <v>446</v>
      </c>
      <c r="D721" t="s">
        <v>228</v>
      </c>
      <c r="E721">
        <v>29.99</v>
      </c>
      <c r="F721" t="s">
        <v>8118</v>
      </c>
      <c r="G721">
        <v>701</v>
      </c>
      <c r="H721">
        <v>12</v>
      </c>
      <c r="I721">
        <v>689</v>
      </c>
      <c r="K721">
        <v>1000</v>
      </c>
      <c r="L721" t="s">
        <v>8</v>
      </c>
      <c r="M721" t="s">
        <v>4934</v>
      </c>
      <c r="N721">
        <v>12.38268792710706</v>
      </c>
      <c r="O721">
        <v>8.0757910228108909E-2</v>
      </c>
      <c r="Q721">
        <v>15</v>
      </c>
      <c r="R721">
        <v>28</v>
      </c>
      <c r="S721">
        <v>410</v>
      </c>
      <c r="T721">
        <v>36.583333333333336</v>
      </c>
      <c r="U721">
        <v>929.68999999999994</v>
      </c>
      <c r="V721">
        <v>453</v>
      </c>
    </row>
    <row r="722" spans="1:22" x14ac:dyDescent="0.2">
      <c r="A722" t="s">
        <v>1006</v>
      </c>
      <c r="B722" t="s">
        <v>1007</v>
      </c>
      <c r="C722" t="s">
        <v>446</v>
      </c>
      <c r="D722" t="s">
        <v>228</v>
      </c>
      <c r="E722">
        <v>29.99</v>
      </c>
      <c r="F722" t="s">
        <v>8118</v>
      </c>
      <c r="G722">
        <v>512</v>
      </c>
      <c r="H722">
        <v>19</v>
      </c>
      <c r="I722">
        <v>493</v>
      </c>
      <c r="L722" t="s">
        <v>8</v>
      </c>
      <c r="M722" t="s">
        <v>4936</v>
      </c>
      <c r="N722">
        <v>14.698795180722891</v>
      </c>
      <c r="O722">
        <v>6.8032786885245902E-2</v>
      </c>
      <c r="Q722">
        <v>3</v>
      </c>
      <c r="R722">
        <v>19</v>
      </c>
      <c r="S722">
        <v>283</v>
      </c>
      <c r="T722">
        <v>20.75</v>
      </c>
      <c r="U722">
        <v>479.84</v>
      </c>
      <c r="V722">
        <v>305</v>
      </c>
    </row>
    <row r="723" spans="1:22" x14ac:dyDescent="0.2">
      <c r="A723" t="s">
        <v>1004</v>
      </c>
      <c r="B723" t="s">
        <v>1005</v>
      </c>
      <c r="C723" t="s">
        <v>446</v>
      </c>
      <c r="D723" t="s">
        <v>228</v>
      </c>
      <c r="E723">
        <v>29.99</v>
      </c>
      <c r="F723" t="s">
        <v>8118</v>
      </c>
      <c r="G723">
        <v>535</v>
      </c>
      <c r="H723">
        <v>16</v>
      </c>
      <c r="I723">
        <v>519</v>
      </c>
      <c r="L723" t="s">
        <v>8</v>
      </c>
      <c r="M723" t="s">
        <v>4932</v>
      </c>
      <c r="N723">
        <v>16.09937888198758</v>
      </c>
      <c r="O723">
        <v>6.2114197530864196E-2</v>
      </c>
      <c r="Q723">
        <v>11</v>
      </c>
      <c r="R723">
        <v>17</v>
      </c>
      <c r="S723">
        <v>404</v>
      </c>
      <c r="T723">
        <v>26.833333333333332</v>
      </c>
      <c r="U723">
        <v>1109.6299999999999</v>
      </c>
      <c r="V723">
        <v>432</v>
      </c>
    </row>
    <row r="724" spans="1:22" x14ac:dyDescent="0.2">
      <c r="A724" t="s">
        <v>1002</v>
      </c>
      <c r="B724" t="s">
        <v>1003</v>
      </c>
      <c r="C724" t="s">
        <v>446</v>
      </c>
      <c r="D724" t="s">
        <v>228</v>
      </c>
      <c r="E724">
        <v>69.989999999999995</v>
      </c>
      <c r="F724" t="s">
        <v>8118</v>
      </c>
      <c r="G724">
        <v>275</v>
      </c>
      <c r="H724">
        <v>3</v>
      </c>
      <c r="I724">
        <v>272</v>
      </c>
      <c r="L724" t="s">
        <v>8</v>
      </c>
      <c r="M724" t="s">
        <v>4905</v>
      </c>
      <c r="N724">
        <v>33.391304347826086</v>
      </c>
      <c r="O724">
        <v>2.9947916666666668E-2</v>
      </c>
      <c r="Q724">
        <v>2</v>
      </c>
      <c r="R724">
        <v>17</v>
      </c>
      <c r="S724">
        <v>173</v>
      </c>
      <c r="T724">
        <v>5.75</v>
      </c>
      <c r="U724">
        <v>349.95</v>
      </c>
      <c r="V724">
        <v>192</v>
      </c>
    </row>
    <row r="725" spans="1:22" x14ac:dyDescent="0.2">
      <c r="A725" t="s">
        <v>4906</v>
      </c>
      <c r="B725" t="s">
        <v>4907</v>
      </c>
      <c r="C725" t="s">
        <v>446</v>
      </c>
      <c r="D725" t="s">
        <v>290</v>
      </c>
      <c r="E725">
        <v>69.989999999999995</v>
      </c>
      <c r="F725" t="s">
        <v>8118</v>
      </c>
      <c r="L725" t="s">
        <v>8</v>
      </c>
      <c r="M725" t="s">
        <v>4908</v>
      </c>
      <c r="N725">
        <v>20.491228070175438</v>
      </c>
      <c r="O725">
        <v>4.8801369863013699E-2</v>
      </c>
      <c r="Q725">
        <v>3</v>
      </c>
      <c r="R725">
        <v>245</v>
      </c>
      <c r="S725">
        <v>44</v>
      </c>
      <c r="T725">
        <v>14.25</v>
      </c>
      <c r="U725">
        <v>209.96999999999997</v>
      </c>
      <c r="V725">
        <v>292</v>
      </c>
    </row>
    <row r="726" spans="1:22" x14ac:dyDescent="0.2">
      <c r="A726" t="s">
        <v>916</v>
      </c>
      <c r="B726" t="s">
        <v>917</v>
      </c>
      <c r="C726" t="s">
        <v>446</v>
      </c>
      <c r="D726" t="s">
        <v>228</v>
      </c>
      <c r="E726">
        <v>34.99</v>
      </c>
      <c r="F726" t="s">
        <v>8118</v>
      </c>
      <c r="G726">
        <v>790</v>
      </c>
      <c r="H726">
        <v>10</v>
      </c>
      <c r="I726">
        <v>780</v>
      </c>
      <c r="L726" t="s">
        <v>8</v>
      </c>
      <c r="M726" t="s">
        <v>4881</v>
      </c>
      <c r="N726">
        <v>13.75609756097561</v>
      </c>
      <c r="O726">
        <v>7.2695035460992902E-2</v>
      </c>
      <c r="Q726">
        <v>20</v>
      </c>
      <c r="R726">
        <v>134</v>
      </c>
      <c r="S726">
        <v>222</v>
      </c>
      <c r="T726">
        <v>27.333333333333332</v>
      </c>
      <c r="U726">
        <v>699.80000000000007</v>
      </c>
      <c r="V726">
        <v>376</v>
      </c>
    </row>
    <row r="727" spans="1:22" x14ac:dyDescent="0.2">
      <c r="A727" t="s">
        <v>643</v>
      </c>
      <c r="B727" t="s">
        <v>644</v>
      </c>
      <c r="C727" t="s">
        <v>446</v>
      </c>
      <c r="D727" t="s">
        <v>228</v>
      </c>
      <c r="E727">
        <v>99.99</v>
      </c>
      <c r="F727" t="s">
        <v>8118</v>
      </c>
      <c r="G727">
        <v>835</v>
      </c>
      <c r="H727">
        <v>382</v>
      </c>
      <c r="I727">
        <v>453</v>
      </c>
      <c r="K727">
        <v>4200</v>
      </c>
      <c r="L727" t="s">
        <v>8106</v>
      </c>
      <c r="M727" t="s">
        <v>8124</v>
      </c>
      <c r="V727">
        <v>127</v>
      </c>
    </row>
    <row r="728" spans="1:22" x14ac:dyDescent="0.2">
      <c r="A728" t="s">
        <v>952</v>
      </c>
      <c r="B728" t="s">
        <v>953</v>
      </c>
      <c r="C728" t="s">
        <v>446</v>
      </c>
      <c r="D728" t="s">
        <v>228</v>
      </c>
      <c r="E728">
        <v>64.989999999999995</v>
      </c>
      <c r="F728" t="s">
        <v>8118</v>
      </c>
      <c r="G728">
        <v>378</v>
      </c>
      <c r="H728">
        <v>146</v>
      </c>
      <c r="I728">
        <v>232</v>
      </c>
      <c r="K728">
        <v>2000</v>
      </c>
      <c r="L728" t="s">
        <v>8109</v>
      </c>
      <c r="M728" t="s">
        <v>97</v>
      </c>
      <c r="N728">
        <v>25.446808510638299</v>
      </c>
      <c r="O728">
        <v>3.9297658862876256E-2</v>
      </c>
      <c r="T728">
        <v>11.75</v>
      </c>
      <c r="U728">
        <v>1104.83</v>
      </c>
      <c r="V728">
        <v>299</v>
      </c>
    </row>
    <row r="729" spans="1:22" x14ac:dyDescent="0.2">
      <c r="A729" t="s">
        <v>807</v>
      </c>
      <c r="B729" t="s">
        <v>808</v>
      </c>
      <c r="C729" t="s">
        <v>446</v>
      </c>
      <c r="D729" t="s">
        <v>228</v>
      </c>
      <c r="E729">
        <v>19.989999999999998</v>
      </c>
      <c r="F729" t="s">
        <v>8118</v>
      </c>
      <c r="G729">
        <v>1006</v>
      </c>
      <c r="H729">
        <v>111</v>
      </c>
      <c r="I729">
        <v>895</v>
      </c>
      <c r="K729">
        <v>2000</v>
      </c>
      <c r="L729" t="s">
        <v>8109</v>
      </c>
      <c r="M729" t="s">
        <v>97</v>
      </c>
      <c r="N729">
        <v>13.444444444444443</v>
      </c>
      <c r="O729">
        <v>7.43801652892562E-2</v>
      </c>
      <c r="T729">
        <v>0.81818181818181823</v>
      </c>
      <c r="U729">
        <v>39.979999999999997</v>
      </c>
      <c r="V729">
        <v>11</v>
      </c>
    </row>
    <row r="730" spans="1:22" x14ac:dyDescent="0.2">
      <c r="A730" t="s">
        <v>950</v>
      </c>
      <c r="B730" t="s">
        <v>951</v>
      </c>
      <c r="C730" t="s">
        <v>446</v>
      </c>
      <c r="D730" t="s">
        <v>228</v>
      </c>
      <c r="E730">
        <v>59.99</v>
      </c>
      <c r="F730" t="s">
        <v>8118</v>
      </c>
      <c r="G730">
        <v>1080</v>
      </c>
      <c r="H730">
        <v>89</v>
      </c>
      <c r="I730">
        <v>991</v>
      </c>
      <c r="K730">
        <v>3000</v>
      </c>
      <c r="L730" t="s">
        <v>8109</v>
      </c>
      <c r="M730" t="s">
        <v>97</v>
      </c>
      <c r="N730">
        <v>10.988505747126437</v>
      </c>
      <c r="O730">
        <v>9.1004184100418412E-2</v>
      </c>
      <c r="T730">
        <v>21.75</v>
      </c>
      <c r="U730">
        <v>1139.81</v>
      </c>
      <c r="V730">
        <v>239</v>
      </c>
    </row>
    <row r="731" spans="1:22" x14ac:dyDescent="0.2">
      <c r="A731" t="s">
        <v>5016</v>
      </c>
      <c r="B731" t="s">
        <v>5017</v>
      </c>
      <c r="C731" t="s">
        <v>446</v>
      </c>
      <c r="D731" t="s">
        <v>96</v>
      </c>
      <c r="E731">
        <v>49.99</v>
      </c>
      <c r="F731" t="s">
        <v>8118</v>
      </c>
      <c r="L731" t="s">
        <v>8109</v>
      </c>
      <c r="M731" t="s">
        <v>97</v>
      </c>
      <c r="N731">
        <v>0</v>
      </c>
      <c r="O731">
        <v>0</v>
      </c>
      <c r="U731">
        <v>0</v>
      </c>
      <c r="V731">
        <v>0</v>
      </c>
    </row>
    <row r="732" spans="1:22" x14ac:dyDescent="0.2">
      <c r="A732" t="s">
        <v>4949</v>
      </c>
      <c r="B732" t="s">
        <v>4950</v>
      </c>
      <c r="C732" t="s">
        <v>446</v>
      </c>
      <c r="D732" t="s">
        <v>290</v>
      </c>
      <c r="E732">
        <v>59.99</v>
      </c>
      <c r="F732" t="s">
        <v>8118</v>
      </c>
      <c r="G732">
        <v>10</v>
      </c>
      <c r="H732">
        <v>10</v>
      </c>
      <c r="L732" t="s">
        <v>8109</v>
      </c>
      <c r="M732" t="s">
        <v>97</v>
      </c>
      <c r="N732">
        <v>31.295154185022025</v>
      </c>
      <c r="O732">
        <v>3.1953828828828829E-2</v>
      </c>
      <c r="T732">
        <v>18.916666666666668</v>
      </c>
      <c r="U732">
        <v>1559.74</v>
      </c>
      <c r="V732">
        <v>592</v>
      </c>
    </row>
    <row r="733" spans="1:22" x14ac:dyDescent="0.2">
      <c r="A733" t="s">
        <v>966</v>
      </c>
      <c r="B733" t="s">
        <v>967</v>
      </c>
      <c r="C733" t="s">
        <v>446</v>
      </c>
      <c r="D733" t="s">
        <v>228</v>
      </c>
      <c r="E733">
        <v>59.99</v>
      </c>
      <c r="F733" t="s">
        <v>8118</v>
      </c>
      <c r="G733">
        <v>1064</v>
      </c>
      <c r="H733">
        <v>1</v>
      </c>
      <c r="I733">
        <v>1063</v>
      </c>
      <c r="L733" t="s">
        <v>8109</v>
      </c>
      <c r="M733" t="s">
        <v>97</v>
      </c>
      <c r="N733">
        <v>57.762711864406775</v>
      </c>
      <c r="O733">
        <v>1.7312206572769953E-2</v>
      </c>
      <c r="T733">
        <v>4.916666666666667</v>
      </c>
      <c r="U733">
        <v>239.96</v>
      </c>
      <c r="V733">
        <v>284</v>
      </c>
    </row>
    <row r="734" spans="1:22" x14ac:dyDescent="0.2">
      <c r="A734" t="s">
        <v>972</v>
      </c>
      <c r="B734" t="s">
        <v>973</v>
      </c>
      <c r="C734" t="s">
        <v>446</v>
      </c>
      <c r="D734" t="s">
        <v>228</v>
      </c>
      <c r="E734">
        <v>44.99</v>
      </c>
      <c r="F734" t="s">
        <v>8118</v>
      </c>
      <c r="G734">
        <v>876</v>
      </c>
      <c r="H734">
        <v>20</v>
      </c>
      <c r="I734">
        <v>856</v>
      </c>
      <c r="K734">
        <v>1000</v>
      </c>
      <c r="L734" t="s">
        <v>8109</v>
      </c>
      <c r="M734" t="s">
        <v>97</v>
      </c>
      <c r="N734">
        <v>48.17647058823529</v>
      </c>
      <c r="O734">
        <v>2.075702075702076E-2</v>
      </c>
      <c r="T734">
        <v>5.666666666666667</v>
      </c>
      <c r="U734">
        <v>359.92</v>
      </c>
      <c r="V734">
        <v>273</v>
      </c>
    </row>
    <row r="735" spans="1:22" x14ac:dyDescent="0.2">
      <c r="A735" t="s">
        <v>5014</v>
      </c>
      <c r="B735" t="s">
        <v>5015</v>
      </c>
      <c r="C735" t="s">
        <v>446</v>
      </c>
      <c r="D735" t="s">
        <v>96</v>
      </c>
      <c r="E735">
        <v>49.99</v>
      </c>
      <c r="F735" t="s">
        <v>8118</v>
      </c>
      <c r="L735" t="s">
        <v>8109</v>
      </c>
      <c r="M735" t="s">
        <v>97</v>
      </c>
      <c r="N735">
        <v>42</v>
      </c>
      <c r="O735">
        <v>2.3809523809523808E-2</v>
      </c>
      <c r="T735">
        <v>0.16666666666666666</v>
      </c>
      <c r="U735">
        <v>0</v>
      </c>
      <c r="V735">
        <v>7</v>
      </c>
    </row>
    <row r="736" spans="1:22" x14ac:dyDescent="0.2">
      <c r="A736" t="s">
        <v>968</v>
      </c>
      <c r="B736" t="s">
        <v>969</v>
      </c>
      <c r="C736" t="s">
        <v>446</v>
      </c>
      <c r="D736" t="s">
        <v>228</v>
      </c>
      <c r="E736">
        <v>59.99</v>
      </c>
      <c r="F736" t="s">
        <v>8118</v>
      </c>
      <c r="G736">
        <v>261</v>
      </c>
      <c r="H736">
        <v>32</v>
      </c>
      <c r="I736">
        <v>229</v>
      </c>
      <c r="L736" t="s">
        <v>8109</v>
      </c>
      <c r="M736" t="s">
        <v>97</v>
      </c>
      <c r="N736">
        <v>114.75</v>
      </c>
      <c r="O736">
        <v>8.7145969498910666E-3</v>
      </c>
      <c r="T736">
        <v>2.6666666666666665</v>
      </c>
      <c r="U736">
        <v>0</v>
      </c>
      <c r="V736">
        <v>306</v>
      </c>
    </row>
    <row r="737" spans="1:22" x14ac:dyDescent="0.2">
      <c r="A737" t="s">
        <v>970</v>
      </c>
      <c r="B737" t="s">
        <v>971</v>
      </c>
      <c r="C737" t="s">
        <v>446</v>
      </c>
      <c r="D737" t="s">
        <v>228</v>
      </c>
      <c r="E737">
        <v>69.989999999999995</v>
      </c>
      <c r="F737" t="s">
        <v>8118</v>
      </c>
      <c r="G737">
        <v>1178</v>
      </c>
      <c r="H737">
        <v>42</v>
      </c>
      <c r="I737">
        <v>1136</v>
      </c>
      <c r="L737" t="s">
        <v>8109</v>
      </c>
      <c r="M737" t="s">
        <v>97</v>
      </c>
      <c r="N737">
        <v>9</v>
      </c>
      <c r="O737">
        <v>0</v>
      </c>
      <c r="T737">
        <v>0</v>
      </c>
      <c r="U737">
        <v>0</v>
      </c>
      <c r="V737">
        <v>9</v>
      </c>
    </row>
    <row r="738" spans="1:22" x14ac:dyDescent="0.2">
      <c r="A738" t="s">
        <v>944</v>
      </c>
      <c r="B738" t="s">
        <v>945</v>
      </c>
      <c r="C738" t="s">
        <v>446</v>
      </c>
      <c r="D738" t="s">
        <v>228</v>
      </c>
      <c r="E738">
        <v>39.99</v>
      </c>
      <c r="F738" t="s">
        <v>8118</v>
      </c>
      <c r="G738">
        <v>1003</v>
      </c>
      <c r="H738">
        <v>34</v>
      </c>
      <c r="I738">
        <v>969</v>
      </c>
      <c r="K738">
        <v>2500</v>
      </c>
      <c r="L738" t="s">
        <v>8109</v>
      </c>
      <c r="M738" t="s">
        <v>97</v>
      </c>
      <c r="N738">
        <v>20</v>
      </c>
      <c r="O738">
        <v>0.05</v>
      </c>
      <c r="T738">
        <v>8.25</v>
      </c>
      <c r="U738">
        <v>399.90000000000003</v>
      </c>
      <c r="V738">
        <v>165</v>
      </c>
    </row>
    <row r="739" spans="1:22" x14ac:dyDescent="0.2">
      <c r="A739" t="s">
        <v>4920</v>
      </c>
      <c r="B739" t="s">
        <v>4921</v>
      </c>
      <c r="C739" t="s">
        <v>446</v>
      </c>
      <c r="D739" t="s">
        <v>96</v>
      </c>
      <c r="E739">
        <v>34.99</v>
      </c>
      <c r="F739" t="s">
        <v>8118</v>
      </c>
      <c r="L739" t="s">
        <v>8109</v>
      </c>
      <c r="M739" t="s">
        <v>97</v>
      </c>
      <c r="N739">
        <v>20.285714285714285</v>
      </c>
      <c r="O739">
        <v>4.9295774647887321E-2</v>
      </c>
      <c r="T739">
        <v>3.5</v>
      </c>
      <c r="U739">
        <v>209.94</v>
      </c>
      <c r="V739">
        <v>71</v>
      </c>
    </row>
    <row r="740" spans="1:22" x14ac:dyDescent="0.2">
      <c r="A740" t="s">
        <v>5012</v>
      </c>
      <c r="B740" t="s">
        <v>5013</v>
      </c>
      <c r="C740" t="s">
        <v>446</v>
      </c>
      <c r="D740" t="s">
        <v>96</v>
      </c>
      <c r="E740">
        <v>44.99</v>
      </c>
      <c r="F740" t="s">
        <v>8118</v>
      </c>
      <c r="L740" t="s">
        <v>8109</v>
      </c>
      <c r="M740" t="s">
        <v>97</v>
      </c>
      <c r="N740">
        <v>12</v>
      </c>
      <c r="O740">
        <v>8.3333333333333329E-2</v>
      </c>
      <c r="T740">
        <v>0.16666666666666666</v>
      </c>
      <c r="U740">
        <v>44.99</v>
      </c>
      <c r="V740">
        <v>2</v>
      </c>
    </row>
    <row r="741" spans="1:22" x14ac:dyDescent="0.2">
      <c r="A741" t="s">
        <v>695</v>
      </c>
      <c r="B741" t="s">
        <v>696</v>
      </c>
      <c r="C741" t="s">
        <v>446</v>
      </c>
      <c r="D741" t="s">
        <v>228</v>
      </c>
      <c r="E741">
        <v>99.99</v>
      </c>
      <c r="F741" t="s">
        <v>8118</v>
      </c>
      <c r="G741">
        <v>615</v>
      </c>
      <c r="H741">
        <v>152</v>
      </c>
      <c r="I741">
        <v>463</v>
      </c>
      <c r="K741">
        <v>1000</v>
      </c>
      <c r="L741" t="s">
        <v>8109</v>
      </c>
      <c r="M741" t="s">
        <v>97</v>
      </c>
      <c r="N741">
        <v>17.944954128440365</v>
      </c>
      <c r="O741">
        <v>5.5725971370143151E-2</v>
      </c>
      <c r="T741">
        <v>9.0833333333333339</v>
      </c>
      <c r="U741">
        <v>799.92</v>
      </c>
      <c r="V741">
        <v>163</v>
      </c>
    </row>
    <row r="742" spans="1:22" x14ac:dyDescent="0.2">
      <c r="A742" t="s">
        <v>4917</v>
      </c>
      <c r="B742" t="s">
        <v>4918</v>
      </c>
      <c r="C742" t="s">
        <v>446</v>
      </c>
      <c r="D742" t="s">
        <v>96</v>
      </c>
      <c r="E742">
        <v>44.99</v>
      </c>
      <c r="F742" t="s">
        <v>8118</v>
      </c>
      <c r="L742" t="s">
        <v>8109</v>
      </c>
      <c r="M742" t="s">
        <v>97</v>
      </c>
      <c r="N742">
        <v>66</v>
      </c>
      <c r="O742">
        <v>1.515151515151515E-2</v>
      </c>
      <c r="T742">
        <v>0.16666666666666666</v>
      </c>
      <c r="U742">
        <v>0</v>
      </c>
      <c r="V742">
        <v>11</v>
      </c>
    </row>
    <row r="743" spans="1:22" x14ac:dyDescent="0.2">
      <c r="A743" t="s">
        <v>4893</v>
      </c>
      <c r="B743" t="s">
        <v>4894</v>
      </c>
      <c r="C743" t="s">
        <v>446</v>
      </c>
      <c r="D743" t="s">
        <v>96</v>
      </c>
      <c r="E743">
        <v>79.989999999999995</v>
      </c>
      <c r="F743" t="s">
        <v>8118</v>
      </c>
      <c r="L743" t="s">
        <v>8109</v>
      </c>
      <c r="M743" t="s">
        <v>97</v>
      </c>
      <c r="N743">
        <v>79.928571428571431</v>
      </c>
      <c r="O743">
        <v>1.2511170688114389E-2</v>
      </c>
      <c r="T743">
        <v>4.666666666666667</v>
      </c>
      <c r="U743">
        <v>959.87999999999988</v>
      </c>
      <c r="V743">
        <v>373</v>
      </c>
    </row>
    <row r="744" spans="1:22" x14ac:dyDescent="0.2">
      <c r="A744" t="s">
        <v>669</v>
      </c>
      <c r="B744" t="s">
        <v>670</v>
      </c>
      <c r="C744" t="s">
        <v>446</v>
      </c>
      <c r="D744" t="s">
        <v>290</v>
      </c>
      <c r="E744">
        <v>59.99</v>
      </c>
      <c r="F744" t="s">
        <v>8118</v>
      </c>
      <c r="L744" t="s">
        <v>8109</v>
      </c>
      <c r="M744" t="s">
        <v>97</v>
      </c>
      <c r="N744">
        <v>54.382978723404257</v>
      </c>
      <c r="O744">
        <v>1.8388106416275429E-2</v>
      </c>
      <c r="T744">
        <v>3.9166666666666665</v>
      </c>
      <c r="U744">
        <v>239.96</v>
      </c>
      <c r="V744">
        <v>213</v>
      </c>
    </row>
    <row r="745" spans="1:22" x14ac:dyDescent="0.2">
      <c r="A745" t="s">
        <v>4972</v>
      </c>
      <c r="B745" t="s">
        <v>4973</v>
      </c>
      <c r="C745" t="s">
        <v>446</v>
      </c>
      <c r="D745" t="s">
        <v>96</v>
      </c>
      <c r="E745">
        <v>79.989999999999995</v>
      </c>
      <c r="F745" t="s">
        <v>8118</v>
      </c>
      <c r="L745" t="s">
        <v>8109</v>
      </c>
      <c r="M745" t="s">
        <v>97</v>
      </c>
      <c r="N745">
        <v>208.79999999999998</v>
      </c>
      <c r="O745">
        <v>4.7892720306513415E-3</v>
      </c>
      <c r="T745">
        <v>0.41666666666666669</v>
      </c>
      <c r="U745">
        <v>0</v>
      </c>
      <c r="V745">
        <v>87</v>
      </c>
    </row>
    <row r="746" spans="1:22" x14ac:dyDescent="0.2">
      <c r="A746" t="s">
        <v>4694</v>
      </c>
      <c r="B746" t="s">
        <v>4695</v>
      </c>
      <c r="C746" t="s">
        <v>446</v>
      </c>
      <c r="D746" t="s">
        <v>290</v>
      </c>
      <c r="E746">
        <v>59.99</v>
      </c>
      <c r="F746" t="s">
        <v>8118</v>
      </c>
      <c r="G746">
        <v>83</v>
      </c>
      <c r="H746">
        <v>1</v>
      </c>
      <c r="I746">
        <v>82</v>
      </c>
      <c r="L746" t="s">
        <v>8109</v>
      </c>
      <c r="M746" t="s">
        <v>97</v>
      </c>
      <c r="N746">
        <v>0</v>
      </c>
      <c r="O746">
        <v>0</v>
      </c>
      <c r="U746">
        <v>0</v>
      </c>
      <c r="V746">
        <v>0</v>
      </c>
    </row>
    <row r="747" spans="1:22" x14ac:dyDescent="0.2">
      <c r="A747" t="s">
        <v>551</v>
      </c>
      <c r="B747" t="s">
        <v>552</v>
      </c>
      <c r="C747" t="s">
        <v>446</v>
      </c>
      <c r="D747" t="s">
        <v>228</v>
      </c>
      <c r="E747">
        <v>169.99</v>
      </c>
      <c r="F747" t="s">
        <v>8118</v>
      </c>
      <c r="G747">
        <v>545</v>
      </c>
      <c r="H747">
        <v>18</v>
      </c>
      <c r="I747">
        <v>527</v>
      </c>
      <c r="K747">
        <v>1000</v>
      </c>
      <c r="L747" t="s">
        <v>8109</v>
      </c>
      <c r="M747" t="s">
        <v>97</v>
      </c>
      <c r="N747">
        <v>6.4782608695652177</v>
      </c>
      <c r="O747">
        <v>0.15436241610738255</v>
      </c>
      <c r="T747">
        <v>23</v>
      </c>
      <c r="U747">
        <v>2549.8500000000004</v>
      </c>
      <c r="V747">
        <v>149</v>
      </c>
    </row>
    <row r="748" spans="1:22" x14ac:dyDescent="0.2">
      <c r="A748" t="s">
        <v>841</v>
      </c>
      <c r="B748" t="s">
        <v>842</v>
      </c>
      <c r="C748" t="s">
        <v>446</v>
      </c>
      <c r="D748" t="s">
        <v>228</v>
      </c>
      <c r="E748">
        <v>54.99</v>
      </c>
      <c r="F748" t="s">
        <v>8118</v>
      </c>
      <c r="G748">
        <v>525</v>
      </c>
      <c r="H748">
        <v>37</v>
      </c>
      <c r="I748">
        <v>488</v>
      </c>
      <c r="K748">
        <v>1000</v>
      </c>
      <c r="L748" t="s">
        <v>8109</v>
      </c>
      <c r="M748" t="s">
        <v>97</v>
      </c>
      <c r="N748">
        <v>43.5</v>
      </c>
      <c r="O748">
        <v>2.2988505747126436E-2</v>
      </c>
      <c r="T748">
        <v>0.66666666666666663</v>
      </c>
      <c r="U748">
        <v>54.99</v>
      </c>
      <c r="V748">
        <v>29</v>
      </c>
    </row>
    <row r="749" spans="1:22" x14ac:dyDescent="0.2">
      <c r="A749" t="s">
        <v>4689</v>
      </c>
      <c r="B749" t="s">
        <v>4690</v>
      </c>
      <c r="C749" t="s">
        <v>446</v>
      </c>
      <c r="D749" t="s">
        <v>290</v>
      </c>
      <c r="E749">
        <v>32.99</v>
      </c>
      <c r="F749" t="s">
        <v>8118</v>
      </c>
      <c r="L749" t="s">
        <v>8109</v>
      </c>
      <c r="M749" t="s">
        <v>97</v>
      </c>
      <c r="N749">
        <v>0</v>
      </c>
      <c r="O749">
        <v>0</v>
      </c>
      <c r="U749">
        <v>0</v>
      </c>
      <c r="V749">
        <v>0</v>
      </c>
    </row>
    <row r="750" spans="1:22" x14ac:dyDescent="0.2">
      <c r="A750" t="s">
        <v>4686</v>
      </c>
      <c r="B750" t="s">
        <v>4687</v>
      </c>
      <c r="C750" t="s">
        <v>446</v>
      </c>
      <c r="D750" t="s">
        <v>96</v>
      </c>
      <c r="E750">
        <v>27.99</v>
      </c>
      <c r="F750" t="s">
        <v>8118</v>
      </c>
      <c r="L750" t="s">
        <v>8109</v>
      </c>
      <c r="M750" t="s">
        <v>97</v>
      </c>
      <c r="N750">
        <v>0</v>
      </c>
      <c r="O750">
        <v>0</v>
      </c>
      <c r="T750">
        <v>0</v>
      </c>
      <c r="U750">
        <v>0</v>
      </c>
      <c r="V750">
        <v>0</v>
      </c>
    </row>
    <row r="751" spans="1:22" x14ac:dyDescent="0.2">
      <c r="A751" t="s">
        <v>801</v>
      </c>
      <c r="B751" t="s">
        <v>802</v>
      </c>
      <c r="C751" t="s">
        <v>446</v>
      </c>
      <c r="D751" t="s">
        <v>228</v>
      </c>
      <c r="E751">
        <v>49.99</v>
      </c>
      <c r="F751" t="s">
        <v>8118</v>
      </c>
      <c r="G751">
        <v>972</v>
      </c>
      <c r="H751">
        <v>155</v>
      </c>
      <c r="I751">
        <v>817</v>
      </c>
      <c r="L751" t="s">
        <v>8109</v>
      </c>
      <c r="M751" t="s">
        <v>97</v>
      </c>
      <c r="N751">
        <v>36.654545454545456</v>
      </c>
      <c r="O751">
        <v>2.7281746031746028E-2</v>
      </c>
      <c r="T751">
        <v>4.583333333333333</v>
      </c>
      <c r="U751">
        <v>49.99</v>
      </c>
      <c r="V751">
        <v>168</v>
      </c>
    </row>
    <row r="752" spans="1:22" x14ac:dyDescent="0.2">
      <c r="A752" t="s">
        <v>793</v>
      </c>
      <c r="B752" t="s">
        <v>794</v>
      </c>
      <c r="C752" t="s">
        <v>446</v>
      </c>
      <c r="D752" t="s">
        <v>228</v>
      </c>
      <c r="E752">
        <v>49.99</v>
      </c>
      <c r="F752" t="s">
        <v>8118</v>
      </c>
      <c r="G752">
        <v>1040</v>
      </c>
      <c r="H752">
        <v>56</v>
      </c>
      <c r="I752">
        <v>984</v>
      </c>
      <c r="L752" t="s">
        <v>8109</v>
      </c>
      <c r="M752" t="s">
        <v>97</v>
      </c>
      <c r="N752">
        <v>16.8</v>
      </c>
      <c r="O752">
        <v>5.9523809523809527E-2</v>
      </c>
      <c r="T752">
        <v>0.83333333333333337</v>
      </c>
      <c r="U752">
        <v>0</v>
      </c>
      <c r="V752">
        <v>14</v>
      </c>
    </row>
    <row r="753" spans="1:22" x14ac:dyDescent="0.2">
      <c r="A753" t="s">
        <v>962</v>
      </c>
      <c r="B753" t="s">
        <v>963</v>
      </c>
      <c r="C753" t="s">
        <v>446</v>
      </c>
      <c r="D753" t="s">
        <v>228</v>
      </c>
      <c r="E753">
        <v>14.99</v>
      </c>
      <c r="F753" t="s">
        <v>8118</v>
      </c>
      <c r="G753">
        <v>1026</v>
      </c>
      <c r="H753">
        <v>1026</v>
      </c>
      <c r="J753">
        <v>16</v>
      </c>
      <c r="K753">
        <v>7000</v>
      </c>
      <c r="L753" t="s">
        <v>8109</v>
      </c>
      <c r="M753" t="s">
        <v>97</v>
      </c>
      <c r="N753">
        <v>21.655172413793103</v>
      </c>
      <c r="O753">
        <v>4.6178343949044583E-2</v>
      </c>
      <c r="T753">
        <v>7.25</v>
      </c>
      <c r="U753">
        <v>134.91</v>
      </c>
      <c r="V753">
        <v>157</v>
      </c>
    </row>
    <row r="754" spans="1:22" x14ac:dyDescent="0.2">
      <c r="A754" t="s">
        <v>7316</v>
      </c>
      <c r="B754" t="s">
        <v>7318</v>
      </c>
      <c r="C754" t="s">
        <v>446</v>
      </c>
      <c r="D754" t="s">
        <v>96</v>
      </c>
      <c r="E754">
        <v>34.99</v>
      </c>
      <c r="F754" t="s">
        <v>8118</v>
      </c>
      <c r="L754" t="s">
        <v>8109</v>
      </c>
      <c r="M754" t="s">
        <v>97</v>
      </c>
      <c r="N754">
        <v>0</v>
      </c>
      <c r="O754">
        <v>0</v>
      </c>
      <c r="U754">
        <v>0</v>
      </c>
      <c r="V754">
        <v>0</v>
      </c>
    </row>
    <row r="755" spans="1:22" x14ac:dyDescent="0.2">
      <c r="A755" t="s">
        <v>4914</v>
      </c>
      <c r="B755" t="s">
        <v>4915</v>
      </c>
      <c r="C755" t="s">
        <v>446</v>
      </c>
      <c r="D755" t="s">
        <v>290</v>
      </c>
      <c r="E755">
        <v>39.99</v>
      </c>
      <c r="F755" t="s">
        <v>8118</v>
      </c>
      <c r="G755">
        <v>1</v>
      </c>
      <c r="H755">
        <v>1</v>
      </c>
      <c r="L755" t="s">
        <v>8109</v>
      </c>
      <c r="M755" t="s">
        <v>97</v>
      </c>
      <c r="N755">
        <v>50.4</v>
      </c>
      <c r="O755">
        <v>1.9841269841269844E-2</v>
      </c>
      <c r="T755">
        <v>0.41666666666666669</v>
      </c>
      <c r="U755">
        <v>0</v>
      </c>
      <c r="V755">
        <v>21</v>
      </c>
    </row>
    <row r="756" spans="1:22" x14ac:dyDescent="0.2">
      <c r="A756" t="s">
        <v>677</v>
      </c>
      <c r="B756" t="s">
        <v>678</v>
      </c>
      <c r="C756" t="s">
        <v>446</v>
      </c>
      <c r="D756" t="s">
        <v>290</v>
      </c>
      <c r="E756">
        <v>129.99</v>
      </c>
      <c r="F756" t="s">
        <v>8118</v>
      </c>
      <c r="L756" t="s">
        <v>8109</v>
      </c>
      <c r="M756" t="s">
        <v>97</v>
      </c>
      <c r="N756">
        <v>12</v>
      </c>
      <c r="O756">
        <v>8.3333333333333343E-2</v>
      </c>
      <c r="T756">
        <v>2.3333333333333335</v>
      </c>
      <c r="U756">
        <v>0</v>
      </c>
      <c r="V756">
        <v>28</v>
      </c>
    </row>
    <row r="757" spans="1:22" x14ac:dyDescent="0.2">
      <c r="A757" t="s">
        <v>691</v>
      </c>
      <c r="B757" t="s">
        <v>7018</v>
      </c>
      <c r="C757" t="s">
        <v>446</v>
      </c>
      <c r="D757" t="s">
        <v>228</v>
      </c>
      <c r="E757">
        <v>59.99</v>
      </c>
      <c r="F757" t="s">
        <v>8118</v>
      </c>
      <c r="G757">
        <v>380</v>
      </c>
      <c r="H757">
        <v>104</v>
      </c>
      <c r="I757">
        <v>276</v>
      </c>
      <c r="K757">
        <v>3000</v>
      </c>
      <c r="L757" t="s">
        <v>8109</v>
      </c>
      <c r="M757" t="s">
        <v>97</v>
      </c>
      <c r="N757">
        <v>27.515151515151516</v>
      </c>
      <c r="O757">
        <v>3.634361233480176E-2</v>
      </c>
      <c r="T757">
        <v>8.25</v>
      </c>
      <c r="U757">
        <v>539.91</v>
      </c>
      <c r="V757">
        <v>227</v>
      </c>
    </row>
    <row r="758" spans="1:22" x14ac:dyDescent="0.2">
      <c r="A758" t="s">
        <v>687</v>
      </c>
      <c r="B758" t="s">
        <v>688</v>
      </c>
      <c r="C758" t="s">
        <v>446</v>
      </c>
      <c r="D758" t="s">
        <v>228</v>
      </c>
      <c r="E758">
        <v>59.99</v>
      </c>
      <c r="F758" t="s">
        <v>8118</v>
      </c>
      <c r="G758">
        <v>820</v>
      </c>
      <c r="H758">
        <v>3</v>
      </c>
      <c r="I758">
        <v>817</v>
      </c>
      <c r="L758" t="s">
        <v>8109</v>
      </c>
      <c r="M758" t="s">
        <v>97</v>
      </c>
      <c r="N758">
        <v>12</v>
      </c>
      <c r="O758">
        <v>8.3333333333333329E-2</v>
      </c>
      <c r="T758">
        <v>0.16666666666666666</v>
      </c>
      <c r="U758">
        <v>59.99</v>
      </c>
      <c r="V758">
        <v>2</v>
      </c>
    </row>
    <row r="759" spans="1:22" x14ac:dyDescent="0.2">
      <c r="A759" t="s">
        <v>685</v>
      </c>
      <c r="B759" t="s">
        <v>686</v>
      </c>
      <c r="C759" t="s">
        <v>446</v>
      </c>
      <c r="D759" t="s">
        <v>228</v>
      </c>
      <c r="E759">
        <v>59.99</v>
      </c>
      <c r="F759" t="s">
        <v>8118</v>
      </c>
      <c r="G759">
        <v>808</v>
      </c>
      <c r="H759">
        <v>4</v>
      </c>
      <c r="I759">
        <v>804</v>
      </c>
      <c r="L759" t="s">
        <v>8109</v>
      </c>
      <c r="M759" t="s">
        <v>97</v>
      </c>
      <c r="N759">
        <v>0</v>
      </c>
      <c r="O759">
        <v>0</v>
      </c>
      <c r="T759">
        <v>8.3333333333333329E-2</v>
      </c>
      <c r="U759">
        <v>0</v>
      </c>
      <c r="V759">
        <v>0</v>
      </c>
    </row>
    <row r="760" spans="1:22" x14ac:dyDescent="0.2">
      <c r="A760" t="s">
        <v>787</v>
      </c>
      <c r="B760" t="s">
        <v>788</v>
      </c>
      <c r="C760" t="s">
        <v>446</v>
      </c>
      <c r="D760" t="s">
        <v>228</v>
      </c>
      <c r="E760">
        <v>44.99</v>
      </c>
      <c r="F760" t="s">
        <v>8118</v>
      </c>
      <c r="G760">
        <v>1525</v>
      </c>
      <c r="H760">
        <v>211</v>
      </c>
      <c r="I760">
        <v>1314</v>
      </c>
      <c r="K760">
        <v>2000</v>
      </c>
      <c r="L760" t="s">
        <v>8109</v>
      </c>
      <c r="M760" t="s">
        <v>97</v>
      </c>
      <c r="N760">
        <v>33.333333333333336</v>
      </c>
      <c r="O760">
        <v>0.03</v>
      </c>
      <c r="T760">
        <v>0.75</v>
      </c>
      <c r="U760">
        <v>89.98</v>
      </c>
      <c r="V760">
        <v>25</v>
      </c>
    </row>
    <row r="761" spans="1:22" x14ac:dyDescent="0.2">
      <c r="A761" t="s">
        <v>773</v>
      </c>
      <c r="B761" t="s">
        <v>774</v>
      </c>
      <c r="C761" t="s">
        <v>446</v>
      </c>
      <c r="D761" t="s">
        <v>228</v>
      </c>
      <c r="E761">
        <v>149.99</v>
      </c>
      <c r="F761" t="s">
        <v>8118</v>
      </c>
      <c r="G761">
        <v>879</v>
      </c>
      <c r="H761">
        <v>46</v>
      </c>
      <c r="I761">
        <v>833</v>
      </c>
      <c r="K761">
        <v>1001</v>
      </c>
      <c r="L761" t="s">
        <v>8109</v>
      </c>
      <c r="M761" t="s">
        <v>97</v>
      </c>
      <c r="N761">
        <v>22.421052631578949</v>
      </c>
      <c r="O761">
        <v>4.4600938967136149E-2</v>
      </c>
      <c r="T761">
        <v>6.333333333333333</v>
      </c>
      <c r="U761">
        <v>449.97</v>
      </c>
      <c r="V761">
        <v>142</v>
      </c>
    </row>
    <row r="762" spans="1:22" x14ac:dyDescent="0.2">
      <c r="A762" t="s">
        <v>7500</v>
      </c>
      <c r="B762" t="s">
        <v>7501</v>
      </c>
      <c r="C762" t="s">
        <v>446</v>
      </c>
      <c r="D762" t="s">
        <v>96</v>
      </c>
      <c r="E762">
        <v>59.99</v>
      </c>
      <c r="F762" t="s">
        <v>8118</v>
      </c>
      <c r="L762" t="s">
        <v>8109</v>
      </c>
      <c r="M762" t="s">
        <v>97</v>
      </c>
      <c r="N762">
        <v>0</v>
      </c>
      <c r="O762">
        <v>0</v>
      </c>
      <c r="T762">
        <v>0</v>
      </c>
      <c r="U762">
        <v>0</v>
      </c>
      <c r="V762">
        <v>0</v>
      </c>
    </row>
    <row r="763" spans="1:22" x14ac:dyDescent="0.2">
      <c r="A763" t="s">
        <v>7502</v>
      </c>
      <c r="B763" t="s">
        <v>7503</v>
      </c>
      <c r="C763" t="s">
        <v>446</v>
      </c>
      <c r="D763" t="s">
        <v>96</v>
      </c>
      <c r="E763">
        <v>39.99</v>
      </c>
      <c r="F763" t="s">
        <v>8118</v>
      </c>
      <c r="L763" t="s">
        <v>8109</v>
      </c>
      <c r="M763" t="s">
        <v>97</v>
      </c>
      <c r="N763">
        <v>0</v>
      </c>
      <c r="O763">
        <v>0</v>
      </c>
      <c r="U763">
        <v>0</v>
      </c>
      <c r="V763">
        <v>0</v>
      </c>
    </row>
    <row r="764" spans="1:22" x14ac:dyDescent="0.2">
      <c r="A764" t="s">
        <v>651</v>
      </c>
      <c r="B764" t="s">
        <v>652</v>
      </c>
      <c r="C764" t="s">
        <v>446</v>
      </c>
      <c r="D764" t="s">
        <v>228</v>
      </c>
      <c r="E764">
        <v>59.99</v>
      </c>
      <c r="F764" t="s">
        <v>8118</v>
      </c>
      <c r="G764">
        <v>451</v>
      </c>
      <c r="H764">
        <v>31</v>
      </c>
      <c r="I764">
        <v>420</v>
      </c>
      <c r="K764">
        <v>1000</v>
      </c>
      <c r="L764" t="s">
        <v>8109</v>
      </c>
      <c r="M764" t="s">
        <v>97</v>
      </c>
      <c r="N764">
        <v>0</v>
      </c>
      <c r="O764">
        <v>0</v>
      </c>
      <c r="T764">
        <v>0</v>
      </c>
      <c r="U764">
        <v>0</v>
      </c>
      <c r="V764">
        <v>0</v>
      </c>
    </row>
    <row r="765" spans="1:22" x14ac:dyDescent="0.2">
      <c r="A765" t="s">
        <v>775</v>
      </c>
      <c r="B765" t="s">
        <v>776</v>
      </c>
      <c r="C765" t="s">
        <v>446</v>
      </c>
      <c r="D765" t="s">
        <v>228</v>
      </c>
      <c r="E765">
        <v>34.99</v>
      </c>
      <c r="F765" t="s">
        <v>8118</v>
      </c>
      <c r="G765">
        <v>995</v>
      </c>
      <c r="H765">
        <v>120</v>
      </c>
      <c r="I765">
        <v>875</v>
      </c>
      <c r="K765">
        <v>2000</v>
      </c>
      <c r="L765" t="s">
        <v>8109</v>
      </c>
      <c r="M765" t="s">
        <v>97</v>
      </c>
      <c r="N765">
        <v>18.75</v>
      </c>
      <c r="O765">
        <v>5.3333333333333337E-2</v>
      </c>
      <c r="T765">
        <v>9.3333333333333339</v>
      </c>
      <c r="U765">
        <v>489.86</v>
      </c>
      <c r="V765">
        <v>175</v>
      </c>
    </row>
    <row r="766" spans="1:22" x14ac:dyDescent="0.2">
      <c r="A766" t="s">
        <v>789</v>
      </c>
      <c r="B766" t="s">
        <v>790</v>
      </c>
      <c r="C766" t="s">
        <v>446</v>
      </c>
      <c r="D766" t="s">
        <v>228</v>
      </c>
      <c r="E766">
        <v>44.99</v>
      </c>
      <c r="F766" t="s">
        <v>8118</v>
      </c>
      <c r="G766">
        <v>728</v>
      </c>
      <c r="H766">
        <v>36</v>
      </c>
      <c r="I766">
        <v>692</v>
      </c>
      <c r="K766">
        <v>2000</v>
      </c>
      <c r="L766" t="s">
        <v>8109</v>
      </c>
      <c r="M766" t="s">
        <v>97</v>
      </c>
      <c r="N766">
        <v>29.042016806722692</v>
      </c>
      <c r="O766">
        <v>3.4432870370370371E-2</v>
      </c>
      <c r="T766">
        <v>9.9166666666666661</v>
      </c>
      <c r="U766">
        <v>719.84</v>
      </c>
      <c r="V766">
        <v>288</v>
      </c>
    </row>
    <row r="767" spans="1:22" x14ac:dyDescent="0.2">
      <c r="A767" t="s">
        <v>7498</v>
      </c>
      <c r="B767" t="s">
        <v>7499</v>
      </c>
      <c r="C767" t="s">
        <v>446</v>
      </c>
      <c r="D767" t="s">
        <v>96</v>
      </c>
      <c r="E767">
        <v>99.99</v>
      </c>
      <c r="F767" t="s">
        <v>8118</v>
      </c>
      <c r="L767" t="s">
        <v>8109</v>
      </c>
      <c r="M767" t="s">
        <v>97</v>
      </c>
      <c r="N767">
        <v>0</v>
      </c>
      <c r="O767">
        <v>0</v>
      </c>
      <c r="U767">
        <v>0</v>
      </c>
      <c r="V767">
        <v>0</v>
      </c>
    </row>
    <row r="768" spans="1:22" x14ac:dyDescent="0.2">
      <c r="A768" t="s">
        <v>647</v>
      </c>
      <c r="B768" t="s">
        <v>648</v>
      </c>
      <c r="C768" t="s">
        <v>446</v>
      </c>
      <c r="D768" t="s">
        <v>228</v>
      </c>
      <c r="E768">
        <v>59.99</v>
      </c>
      <c r="F768" t="s">
        <v>8118</v>
      </c>
      <c r="G768">
        <v>373</v>
      </c>
      <c r="I768">
        <v>373</v>
      </c>
      <c r="L768" t="s">
        <v>8109</v>
      </c>
      <c r="M768" t="s">
        <v>97</v>
      </c>
      <c r="N768">
        <v>37.714285714285715</v>
      </c>
      <c r="O768">
        <v>2.6515151515151512E-2</v>
      </c>
      <c r="T768">
        <v>4.083333333333333</v>
      </c>
      <c r="U768">
        <v>59.99</v>
      </c>
      <c r="V768">
        <v>154</v>
      </c>
    </row>
    <row r="769" spans="1:22" x14ac:dyDescent="0.2">
      <c r="A769" t="s">
        <v>683</v>
      </c>
      <c r="B769" t="s">
        <v>684</v>
      </c>
      <c r="C769" t="s">
        <v>446</v>
      </c>
      <c r="D769" t="s">
        <v>290</v>
      </c>
      <c r="E769">
        <v>149.99</v>
      </c>
      <c r="F769" t="s">
        <v>8118</v>
      </c>
      <c r="L769" t="s">
        <v>8109</v>
      </c>
      <c r="M769" t="s">
        <v>97</v>
      </c>
      <c r="N769">
        <v>12</v>
      </c>
      <c r="O769">
        <v>8.3333333333333329E-2</v>
      </c>
      <c r="T769">
        <v>0.33333333333333331</v>
      </c>
      <c r="U769">
        <v>0</v>
      </c>
      <c r="V769">
        <v>4</v>
      </c>
    </row>
    <row r="770" spans="1:22" x14ac:dyDescent="0.2">
      <c r="A770" t="s">
        <v>4951</v>
      </c>
      <c r="B770" t="s">
        <v>4952</v>
      </c>
      <c r="C770" t="s">
        <v>446</v>
      </c>
      <c r="D770" t="s">
        <v>96</v>
      </c>
      <c r="E770">
        <v>24.99</v>
      </c>
      <c r="F770" t="s">
        <v>8118</v>
      </c>
      <c r="L770" t="s">
        <v>8109</v>
      </c>
      <c r="M770" t="s">
        <v>97</v>
      </c>
      <c r="N770">
        <v>27.352941176470587</v>
      </c>
      <c r="O770">
        <v>3.6559139784946237E-2</v>
      </c>
      <c r="T770">
        <v>5.666666666666667</v>
      </c>
      <c r="U770">
        <v>124.94999999999999</v>
      </c>
      <c r="V770">
        <v>155</v>
      </c>
    </row>
    <row r="771" spans="1:22" x14ac:dyDescent="0.2">
      <c r="A771" t="s">
        <v>940</v>
      </c>
      <c r="B771" t="s">
        <v>941</v>
      </c>
      <c r="C771" t="s">
        <v>446</v>
      </c>
      <c r="D771" t="s">
        <v>228</v>
      </c>
      <c r="E771">
        <v>15.99</v>
      </c>
      <c r="F771" t="s">
        <v>8118</v>
      </c>
      <c r="G771">
        <v>3038</v>
      </c>
      <c r="H771">
        <v>44</v>
      </c>
      <c r="I771">
        <v>2994</v>
      </c>
      <c r="J771">
        <v>103</v>
      </c>
      <c r="K771">
        <v>12000</v>
      </c>
      <c r="L771" t="s">
        <v>8109</v>
      </c>
      <c r="M771" t="s">
        <v>97</v>
      </c>
      <c r="N771">
        <v>4.2197802197802199</v>
      </c>
      <c r="O771">
        <v>0.23697916666666666</v>
      </c>
      <c r="T771">
        <v>7.583333333333333</v>
      </c>
      <c r="U771">
        <v>143.91</v>
      </c>
      <c r="V771">
        <v>32</v>
      </c>
    </row>
    <row r="772" spans="1:22" x14ac:dyDescent="0.2">
      <c r="A772" t="s">
        <v>791</v>
      </c>
      <c r="B772" t="s">
        <v>792</v>
      </c>
      <c r="C772" t="s">
        <v>446</v>
      </c>
      <c r="D772" t="s">
        <v>228</v>
      </c>
      <c r="E772">
        <v>59.99</v>
      </c>
      <c r="F772" t="s">
        <v>8118</v>
      </c>
      <c r="G772">
        <v>1364</v>
      </c>
      <c r="H772">
        <v>28</v>
      </c>
      <c r="I772">
        <v>1336</v>
      </c>
      <c r="L772" t="s">
        <v>8109</v>
      </c>
      <c r="M772" t="s">
        <v>97</v>
      </c>
      <c r="N772">
        <v>60.727272727272727</v>
      </c>
      <c r="O772">
        <v>1.6467065868263474E-2</v>
      </c>
      <c r="T772">
        <v>2.75</v>
      </c>
      <c r="U772">
        <v>359.94</v>
      </c>
      <c r="V772">
        <v>167</v>
      </c>
    </row>
    <row r="773" spans="1:22" x14ac:dyDescent="0.2">
      <c r="A773" t="s">
        <v>689</v>
      </c>
      <c r="B773" t="s">
        <v>690</v>
      </c>
      <c r="C773" t="s">
        <v>446</v>
      </c>
      <c r="D773" t="s">
        <v>228</v>
      </c>
      <c r="E773">
        <v>59.99</v>
      </c>
      <c r="F773" t="s">
        <v>8118</v>
      </c>
      <c r="G773">
        <v>1045</v>
      </c>
      <c r="H773">
        <v>67</v>
      </c>
      <c r="I773">
        <v>978</v>
      </c>
      <c r="L773" t="s">
        <v>8109</v>
      </c>
      <c r="M773" t="s">
        <v>97</v>
      </c>
      <c r="N773">
        <v>36</v>
      </c>
      <c r="O773">
        <v>2.7777777777777776E-2</v>
      </c>
      <c r="T773">
        <v>8.3333333333333329E-2</v>
      </c>
      <c r="U773">
        <v>59.99</v>
      </c>
      <c r="V773">
        <v>3</v>
      </c>
    </row>
    <row r="774" spans="1:22" x14ac:dyDescent="0.2">
      <c r="A774" t="s">
        <v>765</v>
      </c>
      <c r="B774" t="s">
        <v>766</v>
      </c>
      <c r="C774" t="s">
        <v>446</v>
      </c>
      <c r="D774" t="s">
        <v>228</v>
      </c>
      <c r="E774">
        <v>39.99</v>
      </c>
      <c r="F774" t="s">
        <v>8118</v>
      </c>
      <c r="G774">
        <v>244</v>
      </c>
      <c r="H774">
        <v>170</v>
      </c>
      <c r="I774">
        <v>74</v>
      </c>
      <c r="K774">
        <v>4000</v>
      </c>
      <c r="L774" t="s">
        <v>8109</v>
      </c>
      <c r="M774" t="s">
        <v>97</v>
      </c>
      <c r="N774">
        <v>22.105263157894736</v>
      </c>
      <c r="O774">
        <v>4.5238095238095237E-2</v>
      </c>
      <c r="T774">
        <v>12.666666666666666</v>
      </c>
      <c r="U774">
        <v>519.87</v>
      </c>
      <c r="V774">
        <v>280</v>
      </c>
    </row>
    <row r="775" spans="1:22" x14ac:dyDescent="0.2">
      <c r="A775" t="s">
        <v>759</v>
      </c>
      <c r="B775" t="s">
        <v>760</v>
      </c>
      <c r="C775" t="s">
        <v>446</v>
      </c>
      <c r="D775" t="s">
        <v>228</v>
      </c>
      <c r="E775">
        <v>39.99</v>
      </c>
      <c r="F775" t="s">
        <v>8118</v>
      </c>
      <c r="G775">
        <v>42</v>
      </c>
      <c r="H775">
        <v>42</v>
      </c>
      <c r="K775">
        <v>4000</v>
      </c>
      <c r="L775" t="s">
        <v>8109</v>
      </c>
      <c r="M775" t="s">
        <v>97</v>
      </c>
      <c r="N775">
        <v>27.223880597014926</v>
      </c>
      <c r="O775">
        <v>3.6732456140350873E-2</v>
      </c>
      <c r="T775">
        <v>5.583333333333333</v>
      </c>
      <c r="U775">
        <v>239.94</v>
      </c>
      <c r="V775">
        <v>152</v>
      </c>
    </row>
    <row r="776" spans="1:22" x14ac:dyDescent="0.2">
      <c r="A776" t="s">
        <v>767</v>
      </c>
      <c r="B776" t="s">
        <v>7024</v>
      </c>
      <c r="C776" t="s">
        <v>446</v>
      </c>
      <c r="D776" t="s">
        <v>228</v>
      </c>
      <c r="E776">
        <v>39.99</v>
      </c>
      <c r="F776" t="s">
        <v>8118</v>
      </c>
      <c r="G776">
        <v>565</v>
      </c>
      <c r="H776">
        <v>35</v>
      </c>
      <c r="I776">
        <v>530</v>
      </c>
      <c r="K776">
        <v>1000</v>
      </c>
      <c r="L776" t="s">
        <v>8109</v>
      </c>
      <c r="M776" t="s">
        <v>97</v>
      </c>
      <c r="N776">
        <v>0</v>
      </c>
      <c r="O776">
        <v>0</v>
      </c>
      <c r="T776">
        <v>0</v>
      </c>
      <c r="U776">
        <v>0</v>
      </c>
      <c r="V776">
        <v>0</v>
      </c>
    </row>
    <row r="777" spans="1:22" x14ac:dyDescent="0.2">
      <c r="A777" t="s">
        <v>763</v>
      </c>
      <c r="B777" t="s">
        <v>7022</v>
      </c>
      <c r="C777" t="s">
        <v>446</v>
      </c>
      <c r="D777" t="s">
        <v>228</v>
      </c>
      <c r="E777">
        <v>39.99</v>
      </c>
      <c r="F777" t="s">
        <v>8118</v>
      </c>
      <c r="G777">
        <v>730</v>
      </c>
      <c r="H777">
        <v>32</v>
      </c>
      <c r="I777">
        <v>698</v>
      </c>
      <c r="L777" t="s">
        <v>8109</v>
      </c>
      <c r="M777" t="s">
        <v>97</v>
      </c>
      <c r="N777">
        <v>6</v>
      </c>
      <c r="O777">
        <v>0.16666666666666666</v>
      </c>
      <c r="T777">
        <v>0.16666666666666666</v>
      </c>
      <c r="U777">
        <v>0</v>
      </c>
      <c r="V777">
        <v>1</v>
      </c>
    </row>
    <row r="778" spans="1:22" x14ac:dyDescent="0.2">
      <c r="A778" t="s">
        <v>761</v>
      </c>
      <c r="B778" t="s">
        <v>7023</v>
      </c>
      <c r="C778" t="s">
        <v>446</v>
      </c>
      <c r="D778" t="s">
        <v>228</v>
      </c>
      <c r="E778">
        <v>39.99</v>
      </c>
      <c r="F778" t="s">
        <v>8118</v>
      </c>
      <c r="G778">
        <v>492</v>
      </c>
      <c r="H778">
        <v>37</v>
      </c>
      <c r="I778">
        <v>455</v>
      </c>
      <c r="K778">
        <v>1000</v>
      </c>
      <c r="L778" t="s">
        <v>8109</v>
      </c>
      <c r="M778" t="s">
        <v>97</v>
      </c>
      <c r="N778">
        <v>3</v>
      </c>
      <c r="O778">
        <v>0</v>
      </c>
      <c r="T778">
        <v>0</v>
      </c>
      <c r="U778">
        <v>0</v>
      </c>
      <c r="V778">
        <v>3</v>
      </c>
    </row>
    <row r="779" spans="1:22" x14ac:dyDescent="0.2">
      <c r="A779" t="s">
        <v>671</v>
      </c>
      <c r="B779" t="s">
        <v>672</v>
      </c>
      <c r="C779" t="s">
        <v>446</v>
      </c>
      <c r="D779" t="s">
        <v>290</v>
      </c>
      <c r="E779">
        <v>79.989999999999995</v>
      </c>
      <c r="F779" t="s">
        <v>8118</v>
      </c>
      <c r="G779">
        <v>128</v>
      </c>
      <c r="I779">
        <v>128</v>
      </c>
      <c r="L779" t="s">
        <v>8109</v>
      </c>
      <c r="M779" t="s">
        <v>97</v>
      </c>
      <c r="N779">
        <v>34.4</v>
      </c>
      <c r="O779">
        <v>2.9069767441860465E-2</v>
      </c>
      <c r="T779">
        <v>1.25</v>
      </c>
      <c r="U779">
        <v>0</v>
      </c>
      <c r="V779">
        <v>43</v>
      </c>
    </row>
    <row r="780" spans="1:22" x14ac:dyDescent="0.2">
      <c r="A780" t="s">
        <v>755</v>
      </c>
      <c r="B780" t="s">
        <v>756</v>
      </c>
      <c r="C780" t="s">
        <v>446</v>
      </c>
      <c r="D780" t="s">
        <v>228</v>
      </c>
      <c r="E780">
        <v>49.99</v>
      </c>
      <c r="F780" t="s">
        <v>8118</v>
      </c>
      <c r="G780">
        <v>697</v>
      </c>
      <c r="H780">
        <v>113</v>
      </c>
      <c r="I780">
        <v>584</v>
      </c>
      <c r="K780">
        <v>2000</v>
      </c>
      <c r="L780" t="s">
        <v>8109</v>
      </c>
      <c r="M780" t="s">
        <v>97</v>
      </c>
      <c r="N780">
        <v>16.961538461538463</v>
      </c>
      <c r="O780">
        <v>5.8956916099773236E-2</v>
      </c>
      <c r="T780">
        <v>8.6666666666666661</v>
      </c>
      <c r="U780">
        <v>349.93</v>
      </c>
      <c r="V780">
        <v>147</v>
      </c>
    </row>
    <row r="781" spans="1:22" x14ac:dyDescent="0.2">
      <c r="A781" t="s">
        <v>4643</v>
      </c>
      <c r="B781" t="s">
        <v>4644</v>
      </c>
      <c r="C781" t="s">
        <v>446</v>
      </c>
      <c r="D781" t="s">
        <v>96</v>
      </c>
      <c r="E781">
        <v>19.989999999999998</v>
      </c>
      <c r="F781" t="s">
        <v>8118</v>
      </c>
      <c r="L781" t="s">
        <v>8109</v>
      </c>
      <c r="M781" t="s">
        <v>97</v>
      </c>
      <c r="N781">
        <v>8</v>
      </c>
      <c r="O781">
        <v>0.125</v>
      </c>
      <c r="T781">
        <v>2</v>
      </c>
      <c r="U781">
        <v>0</v>
      </c>
      <c r="V781">
        <v>16</v>
      </c>
    </row>
    <row r="782" spans="1:22" x14ac:dyDescent="0.2">
      <c r="A782" t="s">
        <v>4641</v>
      </c>
      <c r="B782" t="s">
        <v>4642</v>
      </c>
      <c r="C782" t="s">
        <v>446</v>
      </c>
      <c r="D782" t="s">
        <v>96</v>
      </c>
      <c r="E782">
        <v>14.99</v>
      </c>
      <c r="F782" t="s">
        <v>8118</v>
      </c>
      <c r="L782" t="s">
        <v>8109</v>
      </c>
      <c r="M782" t="s">
        <v>97</v>
      </c>
      <c r="N782">
        <v>1</v>
      </c>
      <c r="O782">
        <v>0</v>
      </c>
      <c r="T782">
        <v>0</v>
      </c>
      <c r="U782">
        <v>0</v>
      </c>
      <c r="V782">
        <v>1</v>
      </c>
    </row>
    <row r="783" spans="1:22" x14ac:dyDescent="0.2">
      <c r="A783" t="s">
        <v>5019</v>
      </c>
      <c r="B783" t="s">
        <v>5020</v>
      </c>
      <c r="C783" t="s">
        <v>446</v>
      </c>
      <c r="D783" t="s">
        <v>96</v>
      </c>
      <c r="E783">
        <v>149.99</v>
      </c>
      <c r="F783" t="s">
        <v>8118</v>
      </c>
      <c r="L783" t="s">
        <v>8109</v>
      </c>
      <c r="M783" t="s">
        <v>97</v>
      </c>
      <c r="N783">
        <v>12</v>
      </c>
      <c r="O783">
        <v>8.3333333333333329E-2</v>
      </c>
      <c r="T783">
        <v>8.3333333333333329E-2</v>
      </c>
      <c r="U783">
        <v>0</v>
      </c>
      <c r="V783">
        <v>1</v>
      </c>
    </row>
    <row r="784" spans="1:22" x14ac:dyDescent="0.2">
      <c r="A784" t="s">
        <v>924</v>
      </c>
      <c r="B784" t="s">
        <v>925</v>
      </c>
      <c r="C784" t="s">
        <v>446</v>
      </c>
      <c r="D784" t="s">
        <v>96</v>
      </c>
      <c r="E784">
        <v>29.99</v>
      </c>
      <c r="F784" t="s">
        <v>8118</v>
      </c>
      <c r="L784" t="s">
        <v>8109</v>
      </c>
      <c r="M784" t="s">
        <v>97</v>
      </c>
      <c r="N784">
        <v>15.125</v>
      </c>
      <c r="O784">
        <v>6.6115702479338845E-2</v>
      </c>
      <c r="T784">
        <v>0.72727272727272729</v>
      </c>
      <c r="U784">
        <v>0</v>
      </c>
      <c r="V784">
        <v>11</v>
      </c>
    </row>
    <row r="785" spans="1:22" x14ac:dyDescent="0.2">
      <c r="A785" t="s">
        <v>797</v>
      </c>
      <c r="B785" t="s">
        <v>798</v>
      </c>
      <c r="C785" t="s">
        <v>446</v>
      </c>
      <c r="D785" t="s">
        <v>228</v>
      </c>
      <c r="E785">
        <v>129.99</v>
      </c>
      <c r="F785" t="s">
        <v>8118</v>
      </c>
      <c r="G785">
        <v>1050</v>
      </c>
      <c r="H785">
        <v>23</v>
      </c>
      <c r="I785">
        <v>1027</v>
      </c>
      <c r="K785">
        <v>1000</v>
      </c>
      <c r="L785" t="s">
        <v>8109</v>
      </c>
      <c r="M785" t="s">
        <v>97</v>
      </c>
      <c r="N785">
        <v>40.465116279069768</v>
      </c>
      <c r="O785">
        <v>2.4712643678160919E-2</v>
      </c>
      <c r="T785">
        <v>3.5833333333333335</v>
      </c>
      <c r="U785">
        <v>1039.92</v>
      </c>
      <c r="V785">
        <v>145</v>
      </c>
    </row>
    <row r="786" spans="1:22" x14ac:dyDescent="0.2">
      <c r="A786" t="s">
        <v>4774</v>
      </c>
      <c r="B786" t="s">
        <v>4775</v>
      </c>
      <c r="C786" t="s">
        <v>446</v>
      </c>
      <c r="D786" t="s">
        <v>96</v>
      </c>
      <c r="E786">
        <v>19.989999999999998</v>
      </c>
      <c r="F786" t="s">
        <v>8118</v>
      </c>
      <c r="L786" t="s">
        <v>8109</v>
      </c>
      <c r="M786" t="s">
        <v>97</v>
      </c>
      <c r="N786">
        <v>22</v>
      </c>
      <c r="O786">
        <v>4.5454545454545456E-2</v>
      </c>
      <c r="T786">
        <v>1.7272727272727273</v>
      </c>
      <c r="U786">
        <v>19.989999999999998</v>
      </c>
      <c r="V786">
        <v>38</v>
      </c>
    </row>
    <row r="787" spans="1:22" x14ac:dyDescent="0.2">
      <c r="A787" t="s">
        <v>4876</v>
      </c>
      <c r="B787" t="s">
        <v>4877</v>
      </c>
      <c r="C787" t="s">
        <v>446</v>
      </c>
      <c r="D787" t="s">
        <v>96</v>
      </c>
      <c r="E787">
        <v>24.99</v>
      </c>
      <c r="F787" t="s">
        <v>8118</v>
      </c>
      <c r="L787" t="s">
        <v>8109</v>
      </c>
      <c r="M787" t="s">
        <v>97</v>
      </c>
      <c r="N787">
        <v>27.500000000000004</v>
      </c>
      <c r="O787">
        <v>3.6363636363636362E-2</v>
      </c>
      <c r="T787">
        <v>0.54545454545454541</v>
      </c>
      <c r="U787">
        <v>0</v>
      </c>
      <c r="V787">
        <v>15</v>
      </c>
    </row>
    <row r="788" spans="1:22" x14ac:dyDescent="0.2">
      <c r="A788" t="s">
        <v>4645</v>
      </c>
      <c r="B788" t="s">
        <v>4646</v>
      </c>
      <c r="C788" t="s">
        <v>446</v>
      </c>
      <c r="D788" t="s">
        <v>96</v>
      </c>
      <c r="E788">
        <v>14.99</v>
      </c>
      <c r="F788" t="s">
        <v>8118</v>
      </c>
      <c r="L788" t="s">
        <v>8109</v>
      </c>
      <c r="M788" t="s">
        <v>97</v>
      </c>
      <c r="N788">
        <v>0</v>
      </c>
      <c r="O788">
        <v>0</v>
      </c>
      <c r="U788">
        <v>0</v>
      </c>
      <c r="V788">
        <v>0</v>
      </c>
    </row>
    <row r="789" spans="1:22" x14ac:dyDescent="0.2">
      <c r="A789" t="s">
        <v>4826</v>
      </c>
      <c r="B789" t="s">
        <v>4827</v>
      </c>
      <c r="C789" t="s">
        <v>446</v>
      </c>
      <c r="D789" t="s">
        <v>96</v>
      </c>
      <c r="E789">
        <v>79.989999999999995</v>
      </c>
      <c r="F789" t="s">
        <v>8118</v>
      </c>
      <c r="L789" t="s">
        <v>8109</v>
      </c>
      <c r="M789" t="s">
        <v>97</v>
      </c>
      <c r="N789">
        <v>0</v>
      </c>
      <c r="O789">
        <v>0</v>
      </c>
      <c r="U789">
        <v>0</v>
      </c>
      <c r="V789">
        <v>0</v>
      </c>
    </row>
    <row r="790" spans="1:22" x14ac:dyDescent="0.2">
      <c r="A790" t="s">
        <v>4734</v>
      </c>
      <c r="B790" t="s">
        <v>4735</v>
      </c>
      <c r="C790" t="s">
        <v>446</v>
      </c>
      <c r="D790" t="s">
        <v>96</v>
      </c>
      <c r="E790">
        <v>69.989999999999995</v>
      </c>
      <c r="F790" t="s">
        <v>8118</v>
      </c>
      <c r="L790" t="s">
        <v>8109</v>
      </c>
      <c r="M790" t="s">
        <v>97</v>
      </c>
      <c r="N790">
        <v>0</v>
      </c>
      <c r="O790">
        <v>0</v>
      </c>
      <c r="U790">
        <v>0</v>
      </c>
      <c r="V790">
        <v>0</v>
      </c>
    </row>
    <row r="791" spans="1:22" x14ac:dyDescent="0.2">
      <c r="A791" t="s">
        <v>4872</v>
      </c>
      <c r="B791" t="s">
        <v>4873</v>
      </c>
      <c r="C791" t="s">
        <v>446</v>
      </c>
      <c r="D791" t="s">
        <v>96</v>
      </c>
      <c r="E791">
        <v>29.99</v>
      </c>
      <c r="F791" t="s">
        <v>8118</v>
      </c>
      <c r="L791" t="s">
        <v>8109</v>
      </c>
      <c r="M791" t="s">
        <v>97</v>
      </c>
      <c r="N791">
        <v>23.222222222222221</v>
      </c>
      <c r="O791">
        <v>4.3062200956937802E-2</v>
      </c>
      <c r="T791">
        <v>1.6363636363636365</v>
      </c>
      <c r="U791">
        <v>29.99</v>
      </c>
      <c r="V791">
        <v>38</v>
      </c>
    </row>
    <row r="792" spans="1:22" x14ac:dyDescent="0.2">
      <c r="A792" t="s">
        <v>4868</v>
      </c>
      <c r="B792" t="s">
        <v>4869</v>
      </c>
      <c r="C792" t="s">
        <v>446</v>
      </c>
      <c r="D792" t="s">
        <v>290</v>
      </c>
      <c r="E792">
        <v>29.99</v>
      </c>
      <c r="F792" t="s">
        <v>8118</v>
      </c>
      <c r="L792" t="s">
        <v>8109</v>
      </c>
      <c r="M792" t="s">
        <v>97</v>
      </c>
      <c r="N792">
        <v>17.600000000000001</v>
      </c>
      <c r="O792">
        <v>5.6818181818181816E-2</v>
      </c>
      <c r="T792">
        <v>0.45454545454545453</v>
      </c>
      <c r="U792">
        <v>29.99</v>
      </c>
      <c r="V792">
        <v>8</v>
      </c>
    </row>
    <row r="793" spans="1:22" x14ac:dyDescent="0.2">
      <c r="A793" t="s">
        <v>4870</v>
      </c>
      <c r="B793" t="s">
        <v>4871</v>
      </c>
      <c r="C793" t="s">
        <v>446</v>
      </c>
      <c r="D793" t="s">
        <v>96</v>
      </c>
      <c r="E793">
        <v>29.99</v>
      </c>
      <c r="F793" t="s">
        <v>8118</v>
      </c>
      <c r="L793" t="s">
        <v>8109</v>
      </c>
      <c r="M793" t="s">
        <v>97</v>
      </c>
      <c r="N793">
        <v>61.16</v>
      </c>
      <c r="O793">
        <v>1.6350555918901243E-2</v>
      </c>
      <c r="T793">
        <v>2.2727272727272729</v>
      </c>
      <c r="U793">
        <v>89.97</v>
      </c>
      <c r="V793">
        <v>139</v>
      </c>
    </row>
    <row r="794" spans="1:22" x14ac:dyDescent="0.2">
      <c r="A794" t="s">
        <v>859</v>
      </c>
      <c r="B794" t="s">
        <v>860</v>
      </c>
      <c r="C794" t="s">
        <v>446</v>
      </c>
      <c r="D794" t="s">
        <v>290</v>
      </c>
      <c r="E794">
        <v>99.99</v>
      </c>
      <c r="F794" t="s">
        <v>8118</v>
      </c>
      <c r="G794">
        <v>2</v>
      </c>
      <c r="H794">
        <v>2</v>
      </c>
      <c r="L794" t="s">
        <v>8109</v>
      </c>
      <c r="M794" t="s">
        <v>97</v>
      </c>
      <c r="N794">
        <v>113.88679245283018</v>
      </c>
      <c r="O794">
        <v>8.7806494367130561E-3</v>
      </c>
      <c r="T794">
        <v>4.416666666666667</v>
      </c>
      <c r="U794">
        <v>699.93</v>
      </c>
      <c r="V794">
        <v>503</v>
      </c>
    </row>
    <row r="795" spans="1:22" x14ac:dyDescent="0.2">
      <c r="A795" t="s">
        <v>4962</v>
      </c>
      <c r="B795" t="s">
        <v>4963</v>
      </c>
      <c r="C795" t="s">
        <v>446</v>
      </c>
      <c r="D795" t="s">
        <v>290</v>
      </c>
      <c r="E795">
        <v>24.99</v>
      </c>
      <c r="F795" t="s">
        <v>8118</v>
      </c>
      <c r="G795">
        <v>557</v>
      </c>
      <c r="H795">
        <v>10</v>
      </c>
      <c r="I795">
        <v>547</v>
      </c>
      <c r="L795" t="s">
        <v>8109</v>
      </c>
      <c r="M795" t="s">
        <v>97</v>
      </c>
      <c r="N795">
        <v>0</v>
      </c>
      <c r="O795">
        <v>0</v>
      </c>
      <c r="T795">
        <v>9.0909090909090912E-2</v>
      </c>
      <c r="U795">
        <v>0</v>
      </c>
      <c r="V795">
        <v>0</v>
      </c>
    </row>
    <row r="796" spans="1:22" x14ac:dyDescent="0.2">
      <c r="A796" t="s">
        <v>4947</v>
      </c>
      <c r="B796" t="s">
        <v>4948</v>
      </c>
      <c r="C796" t="s">
        <v>446</v>
      </c>
      <c r="D796" t="s">
        <v>96</v>
      </c>
      <c r="E796">
        <v>99.99</v>
      </c>
      <c r="F796" t="s">
        <v>8118</v>
      </c>
      <c r="L796" t="s">
        <v>8109</v>
      </c>
      <c r="M796" t="s">
        <v>97</v>
      </c>
      <c r="N796">
        <v>36.666666666666664</v>
      </c>
      <c r="O796">
        <v>2.7272727272727271E-2</v>
      </c>
      <c r="T796">
        <v>7.5</v>
      </c>
      <c r="U796">
        <v>1099.8899999999999</v>
      </c>
      <c r="V796">
        <v>275</v>
      </c>
    </row>
    <row r="797" spans="1:22" x14ac:dyDescent="0.2">
      <c r="A797" t="s">
        <v>4633</v>
      </c>
      <c r="B797" t="s">
        <v>4634</v>
      </c>
      <c r="C797" t="s">
        <v>446</v>
      </c>
      <c r="D797" t="s">
        <v>290</v>
      </c>
      <c r="E797">
        <v>34.99</v>
      </c>
      <c r="F797" t="s">
        <v>8118</v>
      </c>
      <c r="G797">
        <v>325</v>
      </c>
      <c r="H797">
        <v>2</v>
      </c>
      <c r="I797">
        <v>323</v>
      </c>
      <c r="L797" t="s">
        <v>8109</v>
      </c>
      <c r="M797" t="s">
        <v>97</v>
      </c>
      <c r="N797">
        <v>7.8867924528301883</v>
      </c>
      <c r="O797">
        <v>0.12679425837320574</v>
      </c>
      <c r="T797">
        <v>4.8181818181818183</v>
      </c>
      <c r="U797">
        <v>69.98</v>
      </c>
      <c r="V797">
        <v>38</v>
      </c>
    </row>
    <row r="798" spans="1:22" x14ac:dyDescent="0.2">
      <c r="A798" t="s">
        <v>555</v>
      </c>
      <c r="B798" t="s">
        <v>556</v>
      </c>
      <c r="C798" t="s">
        <v>446</v>
      </c>
      <c r="D798" t="s">
        <v>228</v>
      </c>
      <c r="E798">
        <v>34.99</v>
      </c>
      <c r="F798" t="s">
        <v>8118</v>
      </c>
      <c r="G798">
        <v>241</v>
      </c>
      <c r="H798">
        <v>138</v>
      </c>
      <c r="I798">
        <v>103</v>
      </c>
      <c r="K798">
        <v>2000</v>
      </c>
      <c r="L798" t="s">
        <v>8109</v>
      </c>
      <c r="M798" t="s">
        <v>97</v>
      </c>
      <c r="N798">
        <v>8.8000000000000007</v>
      </c>
      <c r="O798">
        <v>0.11363636363636363</v>
      </c>
      <c r="T798">
        <v>0.45454545454545453</v>
      </c>
      <c r="U798">
        <v>174.95000000000002</v>
      </c>
      <c r="V798">
        <v>4</v>
      </c>
    </row>
    <row r="799" spans="1:22" x14ac:dyDescent="0.2">
      <c r="A799" t="s">
        <v>693</v>
      </c>
      <c r="B799" t="s">
        <v>7020</v>
      </c>
      <c r="C799" t="s">
        <v>446</v>
      </c>
      <c r="D799" t="s">
        <v>228</v>
      </c>
      <c r="E799">
        <v>59.99</v>
      </c>
      <c r="F799" t="s">
        <v>8118</v>
      </c>
      <c r="G799">
        <v>270</v>
      </c>
      <c r="H799">
        <v>141</v>
      </c>
      <c r="I799">
        <v>129</v>
      </c>
      <c r="K799">
        <v>3000</v>
      </c>
      <c r="L799" t="s">
        <v>8109</v>
      </c>
      <c r="M799" t="s">
        <v>97</v>
      </c>
      <c r="N799">
        <v>16.693069306930695</v>
      </c>
      <c r="O799">
        <v>5.9905100830367729E-2</v>
      </c>
      <c r="T799">
        <v>16.833333333333332</v>
      </c>
      <c r="U799">
        <v>1079.82</v>
      </c>
      <c r="V799">
        <v>281</v>
      </c>
    </row>
    <row r="800" spans="1:22" x14ac:dyDescent="0.2">
      <c r="A800" t="s">
        <v>7514</v>
      </c>
      <c r="B800" t="s">
        <v>7515</v>
      </c>
      <c r="C800" t="s">
        <v>446</v>
      </c>
      <c r="D800" t="s">
        <v>96</v>
      </c>
      <c r="E800">
        <v>11.99</v>
      </c>
      <c r="F800" t="s">
        <v>8118</v>
      </c>
      <c r="L800" t="s">
        <v>8109</v>
      </c>
      <c r="M800" t="s">
        <v>97</v>
      </c>
      <c r="N800">
        <v>0</v>
      </c>
      <c r="O800">
        <v>0</v>
      </c>
      <c r="U800">
        <v>0</v>
      </c>
      <c r="V800">
        <v>0</v>
      </c>
    </row>
    <row r="801" spans="1:22" x14ac:dyDescent="0.2">
      <c r="A801" t="s">
        <v>7504</v>
      </c>
      <c r="B801" t="s">
        <v>7505</v>
      </c>
      <c r="C801" t="s">
        <v>446</v>
      </c>
      <c r="D801" t="s">
        <v>96</v>
      </c>
      <c r="E801">
        <v>11.99</v>
      </c>
      <c r="F801" t="s">
        <v>8118</v>
      </c>
      <c r="L801" t="s">
        <v>8109</v>
      </c>
      <c r="M801" t="s">
        <v>97</v>
      </c>
      <c r="N801">
        <v>0</v>
      </c>
      <c r="O801">
        <v>0</v>
      </c>
      <c r="U801">
        <v>0</v>
      </c>
      <c r="V801">
        <v>0</v>
      </c>
    </row>
    <row r="802" spans="1:22" x14ac:dyDescent="0.2">
      <c r="A802" t="s">
        <v>4630</v>
      </c>
      <c r="B802" t="s">
        <v>4631</v>
      </c>
      <c r="C802" t="s">
        <v>446</v>
      </c>
      <c r="D802" t="s">
        <v>96</v>
      </c>
      <c r="E802">
        <v>29.99</v>
      </c>
      <c r="F802" t="s">
        <v>8118</v>
      </c>
      <c r="L802" t="s">
        <v>8109</v>
      </c>
      <c r="M802" t="s">
        <v>97</v>
      </c>
      <c r="N802">
        <v>13.200000000000001</v>
      </c>
      <c r="O802">
        <v>7.575757575757576E-2</v>
      </c>
      <c r="T802">
        <v>0.90909090909090906</v>
      </c>
      <c r="U802">
        <v>29.99</v>
      </c>
      <c r="V802">
        <v>12</v>
      </c>
    </row>
    <row r="803" spans="1:22" x14ac:dyDescent="0.2">
      <c r="A803" t="s">
        <v>4647</v>
      </c>
      <c r="B803" t="s">
        <v>4648</v>
      </c>
      <c r="C803" t="s">
        <v>446</v>
      </c>
      <c r="D803" t="s">
        <v>96</v>
      </c>
      <c r="E803">
        <v>24.99</v>
      </c>
      <c r="F803" t="s">
        <v>8118</v>
      </c>
      <c r="L803" t="s">
        <v>8109</v>
      </c>
      <c r="M803" t="s">
        <v>97</v>
      </c>
      <c r="N803">
        <v>9.7777777777777768</v>
      </c>
      <c r="O803">
        <v>0.10227272727272728</v>
      </c>
      <c r="T803">
        <v>1.6363636363636365</v>
      </c>
      <c r="U803">
        <v>24.99</v>
      </c>
      <c r="V803">
        <v>16</v>
      </c>
    </row>
    <row r="804" spans="1:22" x14ac:dyDescent="0.2">
      <c r="A804" t="s">
        <v>7390</v>
      </c>
      <c r="B804" t="s">
        <v>7392</v>
      </c>
      <c r="C804" t="s">
        <v>446</v>
      </c>
      <c r="D804" t="s">
        <v>96</v>
      </c>
      <c r="E804">
        <v>139.99</v>
      </c>
      <c r="F804" t="s">
        <v>8118</v>
      </c>
      <c r="L804" t="s">
        <v>8109</v>
      </c>
      <c r="M804" t="s">
        <v>97</v>
      </c>
      <c r="N804">
        <v>0</v>
      </c>
      <c r="O804">
        <v>0</v>
      </c>
      <c r="U804">
        <v>0</v>
      </c>
      <c r="V804">
        <v>0</v>
      </c>
    </row>
    <row r="805" spans="1:22" x14ac:dyDescent="0.2">
      <c r="A805" t="s">
        <v>926</v>
      </c>
      <c r="B805" t="s">
        <v>927</v>
      </c>
      <c r="C805" t="s">
        <v>446</v>
      </c>
      <c r="D805" t="s">
        <v>96</v>
      </c>
      <c r="E805">
        <v>29.99</v>
      </c>
      <c r="F805" t="s">
        <v>8118</v>
      </c>
      <c r="L805" t="s">
        <v>8109</v>
      </c>
      <c r="M805" t="s">
        <v>97</v>
      </c>
      <c r="N805">
        <v>12.873626373626372</v>
      </c>
      <c r="O805">
        <v>7.7678190354246696E-2</v>
      </c>
      <c r="T805">
        <v>16.545454545454547</v>
      </c>
      <c r="U805">
        <v>449.84999999999997</v>
      </c>
      <c r="V805">
        <v>213</v>
      </c>
    </row>
    <row r="806" spans="1:22" x14ac:dyDescent="0.2">
      <c r="A806" t="s">
        <v>4978</v>
      </c>
      <c r="B806" t="s">
        <v>7312</v>
      </c>
      <c r="C806" t="s">
        <v>446</v>
      </c>
      <c r="D806" t="s">
        <v>290</v>
      </c>
      <c r="E806">
        <v>99.99</v>
      </c>
      <c r="F806" t="s">
        <v>8118</v>
      </c>
      <c r="L806" t="s">
        <v>8109</v>
      </c>
      <c r="M806" t="s">
        <v>97</v>
      </c>
      <c r="N806">
        <v>24</v>
      </c>
      <c r="O806">
        <v>4.1666666666666671E-2</v>
      </c>
      <c r="T806">
        <v>1.1666666666666667</v>
      </c>
      <c r="U806">
        <v>0</v>
      </c>
      <c r="V806">
        <v>28</v>
      </c>
    </row>
    <row r="807" spans="1:22" x14ac:dyDescent="0.2">
      <c r="A807" t="s">
        <v>4657</v>
      </c>
      <c r="B807" t="s">
        <v>4658</v>
      </c>
      <c r="C807" t="s">
        <v>446</v>
      </c>
      <c r="D807" t="s">
        <v>96</v>
      </c>
      <c r="E807">
        <v>34.99</v>
      </c>
      <c r="F807" t="s">
        <v>8118</v>
      </c>
      <c r="L807" t="s">
        <v>8109</v>
      </c>
      <c r="M807" t="s">
        <v>97</v>
      </c>
      <c r="N807">
        <v>28.809523809523807</v>
      </c>
      <c r="O807">
        <v>3.4710743801652892E-2</v>
      </c>
      <c r="T807">
        <v>1.9090909090909092</v>
      </c>
      <c r="U807">
        <v>34.99</v>
      </c>
      <c r="V807">
        <v>55</v>
      </c>
    </row>
    <row r="808" spans="1:22" x14ac:dyDescent="0.2">
      <c r="A808" t="s">
        <v>553</v>
      </c>
      <c r="B808" t="s">
        <v>554</v>
      </c>
      <c r="C808" t="s">
        <v>446</v>
      </c>
      <c r="D808" t="s">
        <v>228</v>
      </c>
      <c r="E808">
        <v>29.99</v>
      </c>
      <c r="F808" t="s">
        <v>8118</v>
      </c>
      <c r="G808">
        <v>1000</v>
      </c>
      <c r="I808">
        <v>1000</v>
      </c>
      <c r="K808">
        <v>3000</v>
      </c>
      <c r="L808" t="s">
        <v>8109</v>
      </c>
      <c r="M808" t="s">
        <v>97</v>
      </c>
      <c r="N808">
        <v>28.666666666666668</v>
      </c>
      <c r="O808">
        <v>3.4883720930232558E-2</v>
      </c>
      <c r="T808">
        <v>1.5</v>
      </c>
      <c r="U808">
        <v>0</v>
      </c>
      <c r="V808">
        <v>43</v>
      </c>
    </row>
    <row r="809" spans="1:22" x14ac:dyDescent="0.2">
      <c r="A809" t="s">
        <v>643</v>
      </c>
      <c r="B809" t="s">
        <v>644</v>
      </c>
      <c r="C809" t="s">
        <v>446</v>
      </c>
      <c r="D809" t="s">
        <v>228</v>
      </c>
      <c r="E809">
        <v>99.99</v>
      </c>
      <c r="F809" t="s">
        <v>8118</v>
      </c>
      <c r="G809">
        <v>835</v>
      </c>
      <c r="H809">
        <v>382</v>
      </c>
      <c r="I809">
        <v>453</v>
      </c>
      <c r="K809">
        <v>4200</v>
      </c>
      <c r="L809" t="s">
        <v>8109</v>
      </c>
      <c r="M809" t="s">
        <v>97</v>
      </c>
      <c r="N809">
        <v>23.260273972602739</v>
      </c>
      <c r="O809">
        <v>4.2991755005889282E-2</v>
      </c>
      <c r="T809">
        <v>12.166666666666666</v>
      </c>
      <c r="U809">
        <v>1199.8799999999999</v>
      </c>
      <c r="V809">
        <v>283</v>
      </c>
    </row>
    <row r="810" spans="1:22" x14ac:dyDescent="0.2">
      <c r="A810" t="s">
        <v>4911</v>
      </c>
      <c r="B810" t="s">
        <v>4912</v>
      </c>
      <c r="C810" t="s">
        <v>446</v>
      </c>
      <c r="D810" t="s">
        <v>96</v>
      </c>
      <c r="E810">
        <v>69.989999999999995</v>
      </c>
      <c r="F810" t="s">
        <v>8118</v>
      </c>
      <c r="L810" t="s">
        <v>8109</v>
      </c>
      <c r="M810" t="s">
        <v>97</v>
      </c>
      <c r="N810">
        <v>53.898305084745758</v>
      </c>
      <c r="O810">
        <v>1.8553459119496858E-2</v>
      </c>
      <c r="T810">
        <v>4.916666666666667</v>
      </c>
      <c r="U810">
        <v>769.89</v>
      </c>
      <c r="V810">
        <v>265</v>
      </c>
    </row>
    <row r="811" spans="1:22" x14ac:dyDescent="0.2">
      <c r="A811" t="s">
        <v>4655</v>
      </c>
      <c r="B811" t="s">
        <v>4656</v>
      </c>
      <c r="C811" t="s">
        <v>446</v>
      </c>
      <c r="D811" t="s">
        <v>290</v>
      </c>
      <c r="E811">
        <v>34.99</v>
      </c>
      <c r="F811" t="s">
        <v>8118</v>
      </c>
      <c r="L811" t="s">
        <v>8109</v>
      </c>
      <c r="M811" t="s">
        <v>97</v>
      </c>
      <c r="N811">
        <v>35.75</v>
      </c>
      <c r="O811">
        <v>2.7972027972027972E-2</v>
      </c>
      <c r="T811">
        <v>0.72727272727272729</v>
      </c>
      <c r="U811">
        <v>0</v>
      </c>
      <c r="V811">
        <v>26</v>
      </c>
    </row>
    <row r="812" spans="1:22" x14ac:dyDescent="0.2">
      <c r="A812" t="s">
        <v>7512</v>
      </c>
      <c r="B812" t="s">
        <v>7513</v>
      </c>
      <c r="C812" t="s">
        <v>446</v>
      </c>
      <c r="D812" t="s">
        <v>96</v>
      </c>
      <c r="F812" t="s">
        <v>8118</v>
      </c>
      <c r="L812" t="s">
        <v>8109</v>
      </c>
      <c r="M812" t="s">
        <v>97</v>
      </c>
      <c r="N812">
        <v>0</v>
      </c>
      <c r="O812">
        <v>0</v>
      </c>
      <c r="U812">
        <v>0</v>
      </c>
      <c r="V812">
        <v>0</v>
      </c>
    </row>
    <row r="813" spans="1:22" x14ac:dyDescent="0.2">
      <c r="A813" t="s">
        <v>4866</v>
      </c>
      <c r="B813" t="s">
        <v>4867</v>
      </c>
      <c r="C813" t="s">
        <v>446</v>
      </c>
      <c r="D813" t="s">
        <v>96</v>
      </c>
      <c r="E813">
        <v>29.99</v>
      </c>
      <c r="F813" t="s">
        <v>8118</v>
      </c>
      <c r="L813" t="s">
        <v>8109</v>
      </c>
      <c r="M813" t="s">
        <v>97</v>
      </c>
      <c r="N813">
        <v>36.666666666666664</v>
      </c>
      <c r="O813">
        <v>2.7272727272727275E-2</v>
      </c>
      <c r="T813">
        <v>0.81818181818181823</v>
      </c>
      <c r="U813">
        <v>0</v>
      </c>
      <c r="V813">
        <v>30</v>
      </c>
    </row>
    <row r="814" spans="1:22" x14ac:dyDescent="0.2">
      <c r="A814" t="s">
        <v>7510</v>
      </c>
      <c r="B814" t="s">
        <v>7511</v>
      </c>
      <c r="C814" t="s">
        <v>446</v>
      </c>
      <c r="D814" t="s">
        <v>96</v>
      </c>
      <c r="E814">
        <v>29.99</v>
      </c>
      <c r="F814" t="s">
        <v>8118</v>
      </c>
      <c r="L814" t="s">
        <v>8109</v>
      </c>
      <c r="M814" t="s">
        <v>97</v>
      </c>
      <c r="N814">
        <v>0</v>
      </c>
      <c r="O814">
        <v>0</v>
      </c>
      <c r="T814">
        <v>0</v>
      </c>
      <c r="U814">
        <v>0</v>
      </c>
      <c r="V814">
        <v>0</v>
      </c>
    </row>
    <row r="815" spans="1:22" x14ac:dyDescent="0.2">
      <c r="A815" t="s">
        <v>4874</v>
      </c>
      <c r="B815" t="s">
        <v>4875</v>
      </c>
      <c r="C815" t="s">
        <v>446</v>
      </c>
      <c r="D815" t="s">
        <v>96</v>
      </c>
      <c r="E815">
        <v>24.99</v>
      </c>
      <c r="F815" t="s">
        <v>8118</v>
      </c>
      <c r="L815" t="s">
        <v>8109</v>
      </c>
      <c r="M815" t="s">
        <v>97</v>
      </c>
      <c r="N815">
        <v>38</v>
      </c>
      <c r="O815">
        <v>2.6315789473684209E-2</v>
      </c>
      <c r="T815">
        <v>1</v>
      </c>
      <c r="U815">
        <v>24.99</v>
      </c>
      <c r="V815">
        <v>38</v>
      </c>
    </row>
    <row r="816" spans="1:22" x14ac:dyDescent="0.2">
      <c r="A816" t="s">
        <v>855</v>
      </c>
      <c r="B816" t="s">
        <v>856</v>
      </c>
      <c r="C816" t="s">
        <v>446</v>
      </c>
      <c r="D816" t="s">
        <v>96</v>
      </c>
      <c r="E816">
        <v>69.989999999999995</v>
      </c>
      <c r="F816" t="s">
        <v>8118</v>
      </c>
      <c r="L816" t="s">
        <v>8109</v>
      </c>
      <c r="M816" t="s">
        <v>97</v>
      </c>
      <c r="N816">
        <v>98.618181818181824</v>
      </c>
      <c r="O816">
        <v>1.0140117994100294E-2</v>
      </c>
      <c r="T816">
        <v>4.583333333333333</v>
      </c>
      <c r="U816">
        <v>489.92999999999995</v>
      </c>
      <c r="V816">
        <v>452</v>
      </c>
    </row>
    <row r="817" spans="1:22" x14ac:dyDescent="0.2">
      <c r="A817" t="s">
        <v>857</v>
      </c>
      <c r="B817" t="s">
        <v>858</v>
      </c>
      <c r="C817" t="s">
        <v>446</v>
      </c>
      <c r="D817" t="s">
        <v>96</v>
      </c>
      <c r="E817">
        <v>139.99</v>
      </c>
      <c r="F817" t="s">
        <v>8118</v>
      </c>
      <c r="L817" t="s">
        <v>8109</v>
      </c>
      <c r="M817" t="s">
        <v>97</v>
      </c>
      <c r="N817">
        <v>88.145454545454555</v>
      </c>
      <c r="O817">
        <v>1.1344884488448843E-2</v>
      </c>
      <c r="T817">
        <v>4.583333333333333</v>
      </c>
      <c r="U817">
        <v>419.97</v>
      </c>
      <c r="V817">
        <v>404</v>
      </c>
    </row>
    <row r="818" spans="1:22" x14ac:dyDescent="0.2">
      <c r="A818" t="s">
        <v>645</v>
      </c>
      <c r="B818" t="s">
        <v>646</v>
      </c>
      <c r="C818" t="s">
        <v>446</v>
      </c>
      <c r="D818" t="s">
        <v>228</v>
      </c>
      <c r="E818">
        <v>59.99</v>
      </c>
      <c r="F818" t="s">
        <v>8118</v>
      </c>
      <c r="G818">
        <v>315</v>
      </c>
      <c r="H818">
        <v>28</v>
      </c>
      <c r="I818">
        <v>287</v>
      </c>
      <c r="K818">
        <v>1000</v>
      </c>
      <c r="L818" t="s">
        <v>8109</v>
      </c>
      <c r="M818" t="s">
        <v>97</v>
      </c>
      <c r="N818">
        <v>32.15094339622641</v>
      </c>
      <c r="O818">
        <v>3.1103286384976527E-2</v>
      </c>
      <c r="T818">
        <v>4.416666666666667</v>
      </c>
      <c r="U818">
        <v>239.96</v>
      </c>
      <c r="V818">
        <v>142</v>
      </c>
    </row>
    <row r="819" spans="1:22" x14ac:dyDescent="0.2">
      <c r="A819" t="s">
        <v>7333</v>
      </c>
      <c r="B819" t="s">
        <v>7335</v>
      </c>
      <c r="C819" t="s">
        <v>446</v>
      </c>
      <c r="D819" t="s">
        <v>96</v>
      </c>
      <c r="E819">
        <v>39.99</v>
      </c>
      <c r="F819" t="s">
        <v>8118</v>
      </c>
      <c r="L819" t="s">
        <v>8109</v>
      </c>
      <c r="M819" t="s">
        <v>97</v>
      </c>
      <c r="N819">
        <v>0</v>
      </c>
      <c r="O819">
        <v>0</v>
      </c>
      <c r="U819">
        <v>0</v>
      </c>
      <c r="V819">
        <v>0</v>
      </c>
    </row>
    <row r="820" spans="1:22" x14ac:dyDescent="0.2">
      <c r="A820" t="s">
        <v>934</v>
      </c>
      <c r="B820" t="s">
        <v>935</v>
      </c>
      <c r="C820" t="s">
        <v>446</v>
      </c>
      <c r="D820" t="s">
        <v>228</v>
      </c>
      <c r="E820">
        <v>39.99</v>
      </c>
      <c r="F820" t="s">
        <v>8118</v>
      </c>
      <c r="G820">
        <v>467</v>
      </c>
      <c r="H820">
        <v>120</v>
      </c>
      <c r="I820">
        <v>347</v>
      </c>
      <c r="K820">
        <v>1000</v>
      </c>
      <c r="L820" t="s">
        <v>8109</v>
      </c>
      <c r="M820" t="s">
        <v>97</v>
      </c>
      <c r="N820">
        <v>23.07692307692308</v>
      </c>
      <c r="O820">
        <v>4.3333333333333328E-2</v>
      </c>
      <c r="T820">
        <v>1.0833333333333333</v>
      </c>
      <c r="U820">
        <v>0</v>
      </c>
      <c r="V820">
        <v>25</v>
      </c>
    </row>
    <row r="821" spans="1:22" x14ac:dyDescent="0.2">
      <c r="A821" t="s">
        <v>932</v>
      </c>
      <c r="B821" t="s">
        <v>933</v>
      </c>
      <c r="C821" t="s">
        <v>446</v>
      </c>
      <c r="D821" t="s">
        <v>228</v>
      </c>
      <c r="E821">
        <v>49.99</v>
      </c>
      <c r="F821" t="s">
        <v>8118</v>
      </c>
      <c r="G821">
        <v>699</v>
      </c>
      <c r="H821">
        <v>91</v>
      </c>
      <c r="I821">
        <v>608</v>
      </c>
      <c r="K821">
        <v>1000</v>
      </c>
      <c r="L821" t="s">
        <v>8109</v>
      </c>
      <c r="M821" t="s">
        <v>97</v>
      </c>
      <c r="N821">
        <v>13.776000000000002</v>
      </c>
      <c r="O821">
        <v>7.2590011614401859E-2</v>
      </c>
      <c r="T821">
        <v>20.833333333333332</v>
      </c>
      <c r="U821">
        <v>1249.75</v>
      </c>
      <c r="V821">
        <v>287</v>
      </c>
    </row>
    <row r="822" spans="1:22" x14ac:dyDescent="0.2">
      <c r="A822" t="s">
        <v>4650</v>
      </c>
      <c r="B822" t="s">
        <v>4651</v>
      </c>
      <c r="C822" t="s">
        <v>446</v>
      </c>
      <c r="D822" t="s">
        <v>96</v>
      </c>
      <c r="E822">
        <v>24.99</v>
      </c>
      <c r="F822" t="s">
        <v>8118</v>
      </c>
      <c r="L822" t="s">
        <v>8109</v>
      </c>
      <c r="M822" t="s">
        <v>97</v>
      </c>
      <c r="N822">
        <v>6.0439560439560438</v>
      </c>
      <c r="O822">
        <v>0.16545454545454547</v>
      </c>
      <c r="T822">
        <v>16.545454545454547</v>
      </c>
      <c r="U822">
        <v>274.89</v>
      </c>
      <c r="V822">
        <v>100</v>
      </c>
    </row>
    <row r="823" spans="1:22" x14ac:dyDescent="0.2">
      <c r="A823" t="s">
        <v>4985</v>
      </c>
      <c r="B823" t="s">
        <v>4986</v>
      </c>
      <c r="C823" t="s">
        <v>446</v>
      </c>
      <c r="D823" t="s">
        <v>96</v>
      </c>
      <c r="E823">
        <v>119.99</v>
      </c>
      <c r="F823" t="s">
        <v>8118</v>
      </c>
      <c r="L823" t="s">
        <v>8109</v>
      </c>
      <c r="M823" t="s">
        <v>97</v>
      </c>
      <c r="N823">
        <v>42</v>
      </c>
      <c r="O823">
        <v>2.3809523809523808E-2</v>
      </c>
      <c r="T823">
        <v>0.5</v>
      </c>
      <c r="U823">
        <v>119.99</v>
      </c>
      <c r="V823">
        <v>21</v>
      </c>
    </row>
    <row r="824" spans="1:22" x14ac:dyDescent="0.2">
      <c r="A824" t="s">
        <v>7828</v>
      </c>
      <c r="B824" t="s">
        <v>7829</v>
      </c>
      <c r="C824" t="s">
        <v>446</v>
      </c>
      <c r="D824" t="s">
        <v>96</v>
      </c>
      <c r="E824">
        <v>24.99</v>
      </c>
      <c r="F824" t="s">
        <v>8118</v>
      </c>
      <c r="L824" t="s">
        <v>8109</v>
      </c>
      <c r="M824" t="s">
        <v>97</v>
      </c>
      <c r="N824">
        <v>0</v>
      </c>
      <c r="O824">
        <v>0</v>
      </c>
      <c r="U824">
        <v>0</v>
      </c>
      <c r="V824">
        <v>0</v>
      </c>
    </row>
    <row r="825" spans="1:22" x14ac:dyDescent="0.2">
      <c r="A825" t="s">
        <v>4742</v>
      </c>
      <c r="B825" t="s">
        <v>4743</v>
      </c>
      <c r="C825" t="s">
        <v>446</v>
      </c>
      <c r="D825" t="s">
        <v>290</v>
      </c>
      <c r="E825">
        <v>49.99</v>
      </c>
      <c r="F825" t="s">
        <v>8118</v>
      </c>
      <c r="L825" t="s">
        <v>8109</v>
      </c>
      <c r="M825" t="s">
        <v>97</v>
      </c>
      <c r="N825">
        <v>30.8</v>
      </c>
      <c r="O825">
        <v>3.2467532467532464E-2</v>
      </c>
      <c r="T825">
        <v>0.45454545454545453</v>
      </c>
      <c r="U825">
        <v>0</v>
      </c>
      <c r="V825">
        <v>14</v>
      </c>
    </row>
    <row r="826" spans="1:22" x14ac:dyDescent="0.2">
      <c r="A826" t="s">
        <v>4740</v>
      </c>
      <c r="B826" t="s">
        <v>4741</v>
      </c>
      <c r="C826" t="s">
        <v>446</v>
      </c>
      <c r="D826" t="s">
        <v>96</v>
      </c>
      <c r="E826">
        <v>49.99</v>
      </c>
      <c r="F826" t="s">
        <v>8118</v>
      </c>
      <c r="L826" t="s">
        <v>8109</v>
      </c>
      <c r="M826" t="s">
        <v>97</v>
      </c>
      <c r="N826">
        <v>39.285714285714285</v>
      </c>
      <c r="O826">
        <v>2.5454545454545455E-2</v>
      </c>
      <c r="T826">
        <v>0.63636363636363635</v>
      </c>
      <c r="U826">
        <v>49.99</v>
      </c>
      <c r="V826">
        <v>25</v>
      </c>
    </row>
    <row r="827" spans="1:22" x14ac:dyDescent="0.2">
      <c r="A827" t="s">
        <v>7832</v>
      </c>
      <c r="B827" t="s">
        <v>7833</v>
      </c>
      <c r="C827" t="s">
        <v>446</v>
      </c>
      <c r="D827" t="s">
        <v>96</v>
      </c>
      <c r="E827">
        <v>39.99</v>
      </c>
      <c r="F827" t="s">
        <v>8118</v>
      </c>
      <c r="L827" t="s">
        <v>8109</v>
      </c>
      <c r="M827" t="s">
        <v>97</v>
      </c>
      <c r="N827">
        <v>0</v>
      </c>
      <c r="O827">
        <v>0</v>
      </c>
      <c r="U827">
        <v>0</v>
      </c>
      <c r="V827">
        <v>0</v>
      </c>
    </row>
    <row r="828" spans="1:22" x14ac:dyDescent="0.2">
      <c r="A828" t="s">
        <v>5028</v>
      </c>
      <c r="B828" t="s">
        <v>5029</v>
      </c>
      <c r="C828" t="s">
        <v>446</v>
      </c>
      <c r="D828" t="s">
        <v>96</v>
      </c>
      <c r="E828">
        <v>99.99</v>
      </c>
      <c r="F828" t="s">
        <v>8118</v>
      </c>
      <c r="L828" t="s">
        <v>8109</v>
      </c>
      <c r="M828" t="s">
        <v>97</v>
      </c>
      <c r="N828">
        <v>32.571428571428569</v>
      </c>
      <c r="O828">
        <v>3.0701754385964914E-2</v>
      </c>
      <c r="T828">
        <v>0.58333333333333337</v>
      </c>
      <c r="U828">
        <v>0</v>
      </c>
      <c r="V828">
        <v>19</v>
      </c>
    </row>
    <row r="829" spans="1:22" x14ac:dyDescent="0.2">
      <c r="A829" t="s">
        <v>7830</v>
      </c>
      <c r="B829" t="s">
        <v>7831</v>
      </c>
      <c r="C829" t="s">
        <v>446</v>
      </c>
      <c r="D829" t="s">
        <v>96</v>
      </c>
      <c r="E829">
        <v>99.99</v>
      </c>
      <c r="F829" t="s">
        <v>8118</v>
      </c>
      <c r="L829" t="s">
        <v>8109</v>
      </c>
      <c r="M829" t="s">
        <v>97</v>
      </c>
      <c r="N829">
        <v>0</v>
      </c>
      <c r="O829">
        <v>0</v>
      </c>
      <c r="U829">
        <v>0</v>
      </c>
      <c r="V829">
        <v>0</v>
      </c>
    </row>
    <row r="830" spans="1:22" x14ac:dyDescent="0.2">
      <c r="A830" t="s">
        <v>511</v>
      </c>
      <c r="B830" t="s">
        <v>512</v>
      </c>
      <c r="C830" t="s">
        <v>446</v>
      </c>
      <c r="D830" t="s">
        <v>228</v>
      </c>
      <c r="E830">
        <v>29.99</v>
      </c>
      <c r="F830" t="s">
        <v>8118</v>
      </c>
      <c r="G830">
        <v>683</v>
      </c>
      <c r="H830">
        <v>9</v>
      </c>
      <c r="I830">
        <v>674</v>
      </c>
      <c r="L830" t="s">
        <v>8109</v>
      </c>
      <c r="M830" t="s">
        <v>97</v>
      </c>
      <c r="N830">
        <v>9.0037037037037031</v>
      </c>
      <c r="O830">
        <v>0.11106540518305225</v>
      </c>
      <c r="T830">
        <v>24.545454545454547</v>
      </c>
      <c r="U830">
        <v>1019.66</v>
      </c>
      <c r="V830">
        <v>221</v>
      </c>
    </row>
    <row r="831" spans="1:22" x14ac:dyDescent="0.2">
      <c r="A831" t="s">
        <v>509</v>
      </c>
      <c r="B831" t="s">
        <v>510</v>
      </c>
      <c r="C831" t="s">
        <v>446</v>
      </c>
      <c r="D831" t="s">
        <v>228</v>
      </c>
      <c r="E831">
        <v>19.989999999999998</v>
      </c>
      <c r="F831" t="s">
        <v>8118</v>
      </c>
      <c r="G831">
        <v>590</v>
      </c>
      <c r="H831">
        <v>7</v>
      </c>
      <c r="I831">
        <v>583</v>
      </c>
      <c r="L831" t="s">
        <v>8109</v>
      </c>
      <c r="M831" t="s">
        <v>97</v>
      </c>
      <c r="N831">
        <v>14.452127659574469</v>
      </c>
      <c r="O831">
        <v>6.9193963930806027E-2</v>
      </c>
      <c r="T831">
        <v>17.09090909090909</v>
      </c>
      <c r="U831">
        <v>359.82</v>
      </c>
      <c r="V831">
        <v>247</v>
      </c>
    </row>
    <row r="832" spans="1:22" x14ac:dyDescent="0.2">
      <c r="A832" t="s">
        <v>513</v>
      </c>
      <c r="B832" t="s">
        <v>514</v>
      </c>
      <c r="C832" t="s">
        <v>446</v>
      </c>
      <c r="D832" t="s">
        <v>290</v>
      </c>
      <c r="E832">
        <v>29.99</v>
      </c>
      <c r="F832" t="s">
        <v>8118</v>
      </c>
      <c r="G832">
        <v>23</v>
      </c>
      <c r="I832">
        <v>23</v>
      </c>
      <c r="L832" t="s">
        <v>8109</v>
      </c>
      <c r="M832" t="s">
        <v>97</v>
      </c>
      <c r="N832">
        <v>38.076923076923073</v>
      </c>
      <c r="O832">
        <v>2.6262626262626265E-2</v>
      </c>
      <c r="T832">
        <v>1.1818181818181819</v>
      </c>
      <c r="U832">
        <v>89.97</v>
      </c>
      <c r="V832">
        <v>45</v>
      </c>
    </row>
    <row r="833" spans="1:22" x14ac:dyDescent="0.2">
      <c r="A833" t="s">
        <v>755</v>
      </c>
      <c r="B833" t="s">
        <v>756</v>
      </c>
      <c r="C833" t="s">
        <v>446</v>
      </c>
      <c r="D833" t="s">
        <v>228</v>
      </c>
      <c r="E833">
        <v>49.99</v>
      </c>
      <c r="F833" t="s">
        <v>8118</v>
      </c>
      <c r="G833">
        <v>697</v>
      </c>
      <c r="H833">
        <v>113</v>
      </c>
      <c r="I833">
        <v>584</v>
      </c>
      <c r="K833">
        <v>2000</v>
      </c>
      <c r="L833" t="s">
        <v>7029</v>
      </c>
      <c r="N833">
        <v>56.666666666666671</v>
      </c>
      <c r="O833">
        <v>1.7647058823529412E-2</v>
      </c>
      <c r="T833">
        <v>0.6</v>
      </c>
      <c r="U833">
        <v>0</v>
      </c>
      <c r="V833">
        <v>34</v>
      </c>
    </row>
    <row r="834" spans="1:22" x14ac:dyDescent="0.2">
      <c r="A834" t="s">
        <v>1010</v>
      </c>
      <c r="B834" t="s">
        <v>1011</v>
      </c>
      <c r="C834" t="s">
        <v>446</v>
      </c>
      <c r="D834" t="s">
        <v>290</v>
      </c>
      <c r="E834">
        <v>69.989999999999995</v>
      </c>
      <c r="F834" t="s">
        <v>8118</v>
      </c>
      <c r="L834" t="s">
        <v>7029</v>
      </c>
      <c r="N834">
        <v>92</v>
      </c>
      <c r="O834">
        <v>1.0869565217391304E-2</v>
      </c>
      <c r="T834">
        <v>0.5</v>
      </c>
      <c r="U834">
        <v>0</v>
      </c>
      <c r="V834">
        <v>46</v>
      </c>
    </row>
    <row r="835" spans="1:22" x14ac:dyDescent="0.2">
      <c r="A835" t="s">
        <v>4645</v>
      </c>
      <c r="B835" t="s">
        <v>4646</v>
      </c>
      <c r="C835" t="s">
        <v>446</v>
      </c>
      <c r="D835" t="s">
        <v>96</v>
      </c>
      <c r="E835">
        <v>14.99</v>
      </c>
      <c r="F835" t="s">
        <v>8118</v>
      </c>
      <c r="L835" t="s">
        <v>7029</v>
      </c>
      <c r="N835">
        <v>0</v>
      </c>
      <c r="O835">
        <v>0</v>
      </c>
      <c r="T835">
        <v>0.25</v>
      </c>
      <c r="U835">
        <v>0</v>
      </c>
      <c r="V835">
        <v>0</v>
      </c>
    </row>
    <row r="836" spans="1:22" x14ac:dyDescent="0.2">
      <c r="A836" t="s">
        <v>4920</v>
      </c>
      <c r="B836" t="s">
        <v>4921</v>
      </c>
      <c r="C836" t="s">
        <v>446</v>
      </c>
      <c r="D836" t="s">
        <v>96</v>
      </c>
      <c r="E836">
        <v>34.99</v>
      </c>
      <c r="F836" t="s">
        <v>8118</v>
      </c>
      <c r="L836" t="s">
        <v>7029</v>
      </c>
      <c r="N836">
        <v>8.25</v>
      </c>
      <c r="O836">
        <v>0.1212121212121212</v>
      </c>
      <c r="T836">
        <v>1.0909090909090908</v>
      </c>
      <c r="U836">
        <v>34.99</v>
      </c>
      <c r="V836">
        <v>9</v>
      </c>
    </row>
    <row r="837" spans="1:22" x14ac:dyDescent="0.2">
      <c r="A837" t="s">
        <v>4965</v>
      </c>
      <c r="B837" t="s">
        <v>4966</v>
      </c>
      <c r="C837" t="s">
        <v>446</v>
      </c>
      <c r="D837" t="s">
        <v>290</v>
      </c>
      <c r="E837">
        <v>69.989999999999995</v>
      </c>
      <c r="F837" t="s">
        <v>8118</v>
      </c>
      <c r="L837" t="s">
        <v>7029</v>
      </c>
      <c r="N837">
        <v>0</v>
      </c>
      <c r="O837">
        <v>0</v>
      </c>
      <c r="T837">
        <v>0</v>
      </c>
      <c r="U837">
        <v>0</v>
      </c>
      <c r="V837">
        <v>0</v>
      </c>
    </row>
    <row r="838" spans="1:22" x14ac:dyDescent="0.2">
      <c r="A838" t="s">
        <v>651</v>
      </c>
      <c r="B838" t="s">
        <v>652</v>
      </c>
      <c r="C838" t="s">
        <v>446</v>
      </c>
      <c r="D838" t="s">
        <v>228</v>
      </c>
      <c r="E838">
        <v>59.99</v>
      </c>
      <c r="F838" t="s">
        <v>8118</v>
      </c>
      <c r="G838">
        <v>451</v>
      </c>
      <c r="H838">
        <v>31</v>
      </c>
      <c r="I838">
        <v>420</v>
      </c>
      <c r="K838">
        <v>1000</v>
      </c>
      <c r="L838" t="s">
        <v>7029</v>
      </c>
      <c r="N838">
        <v>33.6875</v>
      </c>
      <c r="O838">
        <v>2.9684601113172546E-2</v>
      </c>
      <c r="T838">
        <v>1.4545454545454546</v>
      </c>
      <c r="U838">
        <v>0</v>
      </c>
      <c r="V838">
        <v>49</v>
      </c>
    </row>
    <row r="839" spans="1:22" x14ac:dyDescent="0.2">
      <c r="A839" t="s">
        <v>4737</v>
      </c>
      <c r="B839" t="s">
        <v>4738</v>
      </c>
      <c r="C839" t="s">
        <v>446</v>
      </c>
      <c r="D839" t="s">
        <v>96</v>
      </c>
      <c r="E839">
        <v>69.989999999999995</v>
      </c>
      <c r="F839" t="s">
        <v>8118</v>
      </c>
      <c r="L839" t="s">
        <v>7029</v>
      </c>
      <c r="N839">
        <v>4</v>
      </c>
      <c r="O839">
        <v>0.25</v>
      </c>
      <c r="T839">
        <v>0.5</v>
      </c>
      <c r="U839">
        <v>0</v>
      </c>
      <c r="V839">
        <v>2</v>
      </c>
    </row>
    <row r="840" spans="1:22" x14ac:dyDescent="0.2">
      <c r="A840" t="s">
        <v>950</v>
      </c>
      <c r="B840" t="s">
        <v>951</v>
      </c>
      <c r="C840" t="s">
        <v>446</v>
      </c>
      <c r="D840" t="s">
        <v>228</v>
      </c>
      <c r="E840">
        <v>59.99</v>
      </c>
      <c r="F840" t="s">
        <v>8118</v>
      </c>
      <c r="G840">
        <v>1080</v>
      </c>
      <c r="H840">
        <v>89</v>
      </c>
      <c r="I840">
        <v>991</v>
      </c>
      <c r="K840">
        <v>3000</v>
      </c>
      <c r="L840" t="s">
        <v>7029</v>
      </c>
      <c r="N840">
        <v>18.857142857142858</v>
      </c>
      <c r="O840">
        <v>5.3030303030303032E-2</v>
      </c>
      <c r="T840">
        <v>1.1666666666666667</v>
      </c>
      <c r="U840">
        <v>119.98</v>
      </c>
      <c r="V840">
        <v>22</v>
      </c>
    </row>
    <row r="841" spans="1:22" x14ac:dyDescent="0.2">
      <c r="A841" t="s">
        <v>7832</v>
      </c>
      <c r="B841" t="s">
        <v>7833</v>
      </c>
      <c r="C841" t="s">
        <v>446</v>
      </c>
      <c r="D841" t="s">
        <v>96</v>
      </c>
      <c r="E841">
        <v>39.99</v>
      </c>
      <c r="F841" t="s">
        <v>8118</v>
      </c>
      <c r="L841" t="s">
        <v>7029</v>
      </c>
      <c r="N841">
        <v>0</v>
      </c>
      <c r="O841">
        <v>0</v>
      </c>
      <c r="T841">
        <v>0</v>
      </c>
      <c r="U841">
        <v>0</v>
      </c>
      <c r="V841">
        <v>0</v>
      </c>
    </row>
    <row r="842" spans="1:22" x14ac:dyDescent="0.2">
      <c r="A842" t="s">
        <v>695</v>
      </c>
      <c r="B842" t="s">
        <v>696</v>
      </c>
      <c r="C842" t="s">
        <v>446</v>
      </c>
      <c r="D842" t="s">
        <v>228</v>
      </c>
      <c r="E842">
        <v>99.99</v>
      </c>
      <c r="F842" t="s">
        <v>8118</v>
      </c>
      <c r="G842">
        <v>615</v>
      </c>
      <c r="H842">
        <v>152</v>
      </c>
      <c r="I842">
        <v>463</v>
      </c>
      <c r="K842">
        <v>1000</v>
      </c>
      <c r="L842" t="s">
        <v>7029</v>
      </c>
      <c r="N842">
        <v>35</v>
      </c>
      <c r="O842">
        <v>2.8571428571428577E-2</v>
      </c>
      <c r="T842">
        <v>0.8</v>
      </c>
      <c r="U842">
        <v>0</v>
      </c>
      <c r="V842">
        <v>28</v>
      </c>
    </row>
    <row r="843" spans="1:22" x14ac:dyDescent="0.2">
      <c r="A843" t="s">
        <v>1004</v>
      </c>
      <c r="B843" t="s">
        <v>1005</v>
      </c>
      <c r="C843" t="s">
        <v>446</v>
      </c>
      <c r="D843" t="s">
        <v>228</v>
      </c>
      <c r="E843">
        <v>29.99</v>
      </c>
      <c r="F843" t="s">
        <v>8118</v>
      </c>
      <c r="G843">
        <v>535</v>
      </c>
      <c r="H843">
        <v>16</v>
      </c>
      <c r="I843">
        <v>519</v>
      </c>
      <c r="L843" t="s">
        <v>7029</v>
      </c>
      <c r="N843">
        <v>13.090909090909092</v>
      </c>
      <c r="O843">
        <v>7.6388888888888895E-2</v>
      </c>
      <c r="T843">
        <v>8.25</v>
      </c>
      <c r="U843">
        <v>329.89</v>
      </c>
      <c r="V843">
        <v>108</v>
      </c>
    </row>
    <row r="844" spans="1:22" x14ac:dyDescent="0.2">
      <c r="A844" t="s">
        <v>7828</v>
      </c>
      <c r="B844" t="s">
        <v>7829</v>
      </c>
      <c r="C844" t="s">
        <v>446</v>
      </c>
      <c r="D844" t="s">
        <v>96</v>
      </c>
      <c r="E844">
        <v>24.99</v>
      </c>
      <c r="F844" t="s">
        <v>8118</v>
      </c>
      <c r="L844" t="s">
        <v>7029</v>
      </c>
      <c r="N844">
        <v>0</v>
      </c>
      <c r="O844">
        <v>0</v>
      </c>
      <c r="T844">
        <v>0</v>
      </c>
      <c r="U844">
        <v>0</v>
      </c>
      <c r="V844">
        <v>0</v>
      </c>
    </row>
    <row r="845" spans="1:22" x14ac:dyDescent="0.2">
      <c r="A845" t="s">
        <v>4731</v>
      </c>
      <c r="B845" t="s">
        <v>4732</v>
      </c>
      <c r="C845" t="s">
        <v>446</v>
      </c>
      <c r="D845" t="s">
        <v>96</v>
      </c>
      <c r="E845">
        <v>69.989999999999995</v>
      </c>
      <c r="F845" t="s">
        <v>8118</v>
      </c>
      <c r="L845" t="s">
        <v>7029</v>
      </c>
      <c r="N845">
        <v>0</v>
      </c>
      <c r="O845">
        <v>0</v>
      </c>
      <c r="T845">
        <v>0</v>
      </c>
      <c r="U845">
        <v>0</v>
      </c>
      <c r="V845">
        <v>0</v>
      </c>
    </row>
    <row r="846" spans="1:22" x14ac:dyDescent="0.2">
      <c r="A846" t="s">
        <v>807</v>
      </c>
      <c r="B846" t="s">
        <v>808</v>
      </c>
      <c r="C846" t="s">
        <v>446</v>
      </c>
      <c r="D846" t="s">
        <v>228</v>
      </c>
      <c r="E846">
        <v>19.989999999999998</v>
      </c>
      <c r="F846" t="s">
        <v>8118</v>
      </c>
      <c r="G846">
        <v>1006</v>
      </c>
      <c r="H846">
        <v>111</v>
      </c>
      <c r="I846">
        <v>895</v>
      </c>
      <c r="K846">
        <v>2000</v>
      </c>
      <c r="L846" t="s">
        <v>7029</v>
      </c>
      <c r="N846">
        <v>27.857142857142858</v>
      </c>
      <c r="O846">
        <v>3.5897435897435895E-2</v>
      </c>
      <c r="T846">
        <v>1.4</v>
      </c>
      <c r="U846">
        <v>0</v>
      </c>
      <c r="V846">
        <v>39</v>
      </c>
    </row>
    <row r="847" spans="1:22" x14ac:dyDescent="0.2">
      <c r="A847" t="s">
        <v>966</v>
      </c>
      <c r="B847" t="s">
        <v>967</v>
      </c>
      <c r="C847" t="s">
        <v>446</v>
      </c>
      <c r="D847" t="s">
        <v>228</v>
      </c>
      <c r="E847">
        <v>59.99</v>
      </c>
      <c r="F847" t="s">
        <v>8118</v>
      </c>
      <c r="G847">
        <v>1064</v>
      </c>
      <c r="H847">
        <v>1</v>
      </c>
      <c r="I847">
        <v>1063</v>
      </c>
      <c r="L847" t="s">
        <v>7029</v>
      </c>
      <c r="N847">
        <v>19.714285714285712</v>
      </c>
      <c r="O847">
        <v>5.0724637681159424E-2</v>
      </c>
      <c r="T847">
        <v>1.1666666666666667</v>
      </c>
      <c r="U847">
        <v>179.97</v>
      </c>
      <c r="V847">
        <v>23</v>
      </c>
    </row>
    <row r="848" spans="1:22" x14ac:dyDescent="0.2">
      <c r="A848" t="s">
        <v>693</v>
      </c>
      <c r="B848" t="s">
        <v>7020</v>
      </c>
      <c r="C848" t="s">
        <v>446</v>
      </c>
      <c r="D848" t="s">
        <v>228</v>
      </c>
      <c r="E848">
        <v>59.99</v>
      </c>
      <c r="F848" t="s">
        <v>8118</v>
      </c>
      <c r="G848">
        <v>270</v>
      </c>
      <c r="H848">
        <v>141</v>
      </c>
      <c r="I848">
        <v>129</v>
      </c>
      <c r="K848">
        <v>3000</v>
      </c>
      <c r="L848" t="s">
        <v>7029</v>
      </c>
      <c r="N848">
        <v>46</v>
      </c>
      <c r="O848">
        <v>2.1739130434782608E-2</v>
      </c>
      <c r="T848">
        <v>1</v>
      </c>
      <c r="U848">
        <v>119.98</v>
      </c>
      <c r="V848">
        <v>46</v>
      </c>
    </row>
    <row r="849" spans="1:22" x14ac:dyDescent="0.2">
      <c r="A849" t="s">
        <v>643</v>
      </c>
      <c r="B849" t="s">
        <v>644</v>
      </c>
      <c r="C849" t="s">
        <v>446</v>
      </c>
      <c r="D849" t="s">
        <v>228</v>
      </c>
      <c r="E849">
        <v>99.99</v>
      </c>
      <c r="F849" t="s">
        <v>8118</v>
      </c>
      <c r="G849">
        <v>835</v>
      </c>
      <c r="H849">
        <v>382</v>
      </c>
      <c r="I849">
        <v>453</v>
      </c>
      <c r="K849">
        <v>4200</v>
      </c>
      <c r="L849" t="s">
        <v>7029</v>
      </c>
      <c r="N849">
        <v>0</v>
      </c>
      <c r="O849">
        <v>0</v>
      </c>
      <c r="T849">
        <v>0</v>
      </c>
      <c r="U849">
        <v>0</v>
      </c>
      <c r="V849">
        <v>0</v>
      </c>
    </row>
    <row r="850" spans="1:22" x14ac:dyDescent="0.2">
      <c r="A850" t="s">
        <v>934</v>
      </c>
      <c r="B850" t="s">
        <v>935</v>
      </c>
      <c r="C850" t="s">
        <v>446</v>
      </c>
      <c r="D850" t="s">
        <v>228</v>
      </c>
      <c r="E850">
        <v>39.99</v>
      </c>
      <c r="F850" t="s">
        <v>8118</v>
      </c>
      <c r="G850">
        <v>467</v>
      </c>
      <c r="H850">
        <v>120</v>
      </c>
      <c r="I850">
        <v>347</v>
      </c>
      <c r="K850">
        <v>1000</v>
      </c>
      <c r="L850" t="s">
        <v>7029</v>
      </c>
      <c r="N850">
        <v>124</v>
      </c>
      <c r="O850">
        <v>8.0645161290322578E-3</v>
      </c>
      <c r="T850">
        <v>0.25</v>
      </c>
      <c r="U850">
        <v>0</v>
      </c>
      <c r="V850">
        <v>31</v>
      </c>
    </row>
    <row r="851" spans="1:22" x14ac:dyDescent="0.2">
      <c r="A851" t="s">
        <v>1008</v>
      </c>
      <c r="B851" t="s">
        <v>1009</v>
      </c>
      <c r="C851" t="s">
        <v>446</v>
      </c>
      <c r="D851" t="s">
        <v>228</v>
      </c>
      <c r="E851">
        <v>29.99</v>
      </c>
      <c r="F851" t="s">
        <v>8118</v>
      </c>
      <c r="G851">
        <v>701</v>
      </c>
      <c r="H851">
        <v>12</v>
      </c>
      <c r="I851">
        <v>689</v>
      </c>
      <c r="K851">
        <v>1000</v>
      </c>
      <c r="L851" t="s">
        <v>7029</v>
      </c>
      <c r="N851">
        <v>0.41666666666666674</v>
      </c>
      <c r="O851">
        <v>2.4</v>
      </c>
      <c r="T851">
        <v>2.4</v>
      </c>
      <c r="U851">
        <v>0</v>
      </c>
      <c r="V851">
        <v>1</v>
      </c>
    </row>
    <row r="852" spans="1:22" x14ac:dyDescent="0.2">
      <c r="A852" t="s">
        <v>4641</v>
      </c>
      <c r="B852" t="s">
        <v>4642</v>
      </c>
      <c r="C852" t="s">
        <v>446</v>
      </c>
      <c r="D852" t="s">
        <v>96</v>
      </c>
      <c r="E852">
        <v>14.99</v>
      </c>
      <c r="F852" t="s">
        <v>8118</v>
      </c>
      <c r="L852" t="s">
        <v>7029</v>
      </c>
      <c r="N852">
        <v>0</v>
      </c>
      <c r="O852">
        <v>0</v>
      </c>
      <c r="T852">
        <v>0</v>
      </c>
      <c r="U852">
        <v>0</v>
      </c>
      <c r="V852">
        <v>0</v>
      </c>
    </row>
    <row r="853" spans="1:22" x14ac:dyDescent="0.2">
      <c r="A853" t="s">
        <v>787</v>
      </c>
      <c r="B853" t="s">
        <v>788</v>
      </c>
      <c r="C853" t="s">
        <v>446</v>
      </c>
      <c r="D853" t="s">
        <v>228</v>
      </c>
      <c r="E853">
        <v>44.99</v>
      </c>
      <c r="F853" t="s">
        <v>8118</v>
      </c>
      <c r="G853">
        <v>1525</v>
      </c>
      <c r="H853">
        <v>211</v>
      </c>
      <c r="I853">
        <v>1314</v>
      </c>
      <c r="K853">
        <v>2000</v>
      </c>
      <c r="L853" t="s">
        <v>7029</v>
      </c>
      <c r="N853">
        <v>57.166666666666671</v>
      </c>
      <c r="O853">
        <v>1.7492711370262391E-2</v>
      </c>
      <c r="T853">
        <v>0.8571428571428571</v>
      </c>
      <c r="U853">
        <v>44.99</v>
      </c>
      <c r="V853">
        <v>49</v>
      </c>
    </row>
    <row r="854" spans="1:22" x14ac:dyDescent="0.2">
      <c r="A854" t="s">
        <v>932</v>
      </c>
      <c r="B854" t="s">
        <v>933</v>
      </c>
      <c r="C854" t="s">
        <v>446</v>
      </c>
      <c r="D854" t="s">
        <v>228</v>
      </c>
      <c r="E854">
        <v>49.99</v>
      </c>
      <c r="F854" t="s">
        <v>8118</v>
      </c>
      <c r="G854">
        <v>699</v>
      </c>
      <c r="H854">
        <v>91</v>
      </c>
      <c r="I854">
        <v>608</v>
      </c>
      <c r="K854">
        <v>1000</v>
      </c>
      <c r="L854" t="s">
        <v>7029</v>
      </c>
      <c r="N854">
        <v>46.5</v>
      </c>
      <c r="O854">
        <v>2.150537634408602E-2</v>
      </c>
      <c r="T854">
        <v>0.66666666666666663</v>
      </c>
      <c r="U854">
        <v>0</v>
      </c>
      <c r="V854">
        <v>31</v>
      </c>
    </row>
    <row r="855" spans="1:22" x14ac:dyDescent="0.2">
      <c r="A855" t="s">
        <v>912</v>
      </c>
      <c r="B855" t="s">
        <v>913</v>
      </c>
      <c r="C855" t="s">
        <v>446</v>
      </c>
      <c r="D855" t="s">
        <v>228</v>
      </c>
      <c r="E855">
        <v>89.99</v>
      </c>
      <c r="F855" t="s">
        <v>8118</v>
      </c>
      <c r="G855">
        <v>1249</v>
      </c>
      <c r="H855">
        <v>28</v>
      </c>
      <c r="I855">
        <v>1221</v>
      </c>
      <c r="L855" t="s">
        <v>7029</v>
      </c>
      <c r="N855">
        <v>10.5</v>
      </c>
      <c r="O855">
        <v>9.5238095238095233E-2</v>
      </c>
      <c r="T855">
        <v>0.66666666666666663</v>
      </c>
      <c r="U855">
        <v>89.99</v>
      </c>
      <c r="V855">
        <v>7</v>
      </c>
    </row>
    <row r="856" spans="1:22" x14ac:dyDescent="0.2">
      <c r="A856" t="s">
        <v>914</v>
      </c>
      <c r="B856" t="s">
        <v>915</v>
      </c>
      <c r="C856" t="s">
        <v>446</v>
      </c>
      <c r="D856" t="s">
        <v>228</v>
      </c>
      <c r="E856">
        <v>49.99</v>
      </c>
      <c r="F856" t="s">
        <v>8118</v>
      </c>
      <c r="G856">
        <v>1226</v>
      </c>
      <c r="H856">
        <v>57</v>
      </c>
      <c r="I856">
        <v>1169</v>
      </c>
      <c r="K856">
        <v>1000</v>
      </c>
      <c r="L856" t="s">
        <v>7029</v>
      </c>
      <c r="N856">
        <v>9.625</v>
      </c>
      <c r="O856">
        <v>0.1038961038961039</v>
      </c>
      <c r="T856">
        <v>1.4545454545454546</v>
      </c>
      <c r="U856">
        <v>49.99</v>
      </c>
      <c r="V856">
        <v>14</v>
      </c>
    </row>
    <row r="857" spans="1:22" x14ac:dyDescent="0.2">
      <c r="A857" t="s">
        <v>884</v>
      </c>
      <c r="B857" t="s">
        <v>885</v>
      </c>
      <c r="C857" t="s">
        <v>446</v>
      </c>
      <c r="D857" t="s">
        <v>228</v>
      </c>
      <c r="E857">
        <v>99.99</v>
      </c>
      <c r="F857" t="s">
        <v>8118</v>
      </c>
      <c r="G857">
        <v>261</v>
      </c>
      <c r="H857">
        <v>31</v>
      </c>
      <c r="I857">
        <v>230</v>
      </c>
      <c r="K857">
        <v>1000</v>
      </c>
      <c r="L857" t="s">
        <v>7029</v>
      </c>
      <c r="N857">
        <v>34</v>
      </c>
      <c r="O857">
        <v>2.9411764705882353E-2</v>
      </c>
      <c r="T857">
        <v>0.5</v>
      </c>
      <c r="U857">
        <v>0</v>
      </c>
      <c r="V857">
        <v>17</v>
      </c>
    </row>
    <row r="858" spans="1:22" x14ac:dyDescent="0.2">
      <c r="A858" t="s">
        <v>4962</v>
      </c>
      <c r="B858" t="s">
        <v>4963</v>
      </c>
      <c r="C858" t="s">
        <v>446</v>
      </c>
      <c r="D858" t="s">
        <v>290</v>
      </c>
      <c r="E858">
        <v>24.99</v>
      </c>
      <c r="F858" t="s">
        <v>8118</v>
      </c>
      <c r="G858">
        <v>557</v>
      </c>
      <c r="H858">
        <v>10</v>
      </c>
      <c r="I858">
        <v>547</v>
      </c>
      <c r="L858" t="s">
        <v>7029</v>
      </c>
      <c r="N858">
        <v>22.4</v>
      </c>
      <c r="O858">
        <v>4.4642857142857144E-2</v>
      </c>
      <c r="T858">
        <v>0.7142857142857143</v>
      </c>
      <c r="U858">
        <v>0</v>
      </c>
      <c r="V858">
        <v>16</v>
      </c>
    </row>
    <row r="859" spans="1:22" x14ac:dyDescent="0.2">
      <c r="A859" t="s">
        <v>924</v>
      </c>
      <c r="B859" t="s">
        <v>925</v>
      </c>
      <c r="C859" t="s">
        <v>446</v>
      </c>
      <c r="D859" t="s">
        <v>96</v>
      </c>
      <c r="E859">
        <v>29.99</v>
      </c>
      <c r="F859" t="s">
        <v>8118</v>
      </c>
      <c r="L859" t="s">
        <v>7029</v>
      </c>
      <c r="N859">
        <v>0</v>
      </c>
      <c r="O859">
        <v>0</v>
      </c>
      <c r="T859">
        <v>0</v>
      </c>
      <c r="U859">
        <v>0</v>
      </c>
      <c r="V859">
        <v>0</v>
      </c>
    </row>
    <row r="860" spans="1:22" x14ac:dyDescent="0.2">
      <c r="A860" t="s">
        <v>7504</v>
      </c>
      <c r="B860" t="s">
        <v>7505</v>
      </c>
      <c r="C860" t="s">
        <v>446</v>
      </c>
      <c r="D860" t="s">
        <v>96</v>
      </c>
      <c r="E860">
        <v>11.99</v>
      </c>
      <c r="F860" t="s">
        <v>8118</v>
      </c>
      <c r="L860" t="s">
        <v>7029</v>
      </c>
      <c r="N860">
        <v>0</v>
      </c>
      <c r="O860">
        <v>0</v>
      </c>
      <c r="T860">
        <v>0</v>
      </c>
      <c r="U860">
        <v>0</v>
      </c>
      <c r="V860">
        <v>0</v>
      </c>
    </row>
    <row r="861" spans="1:22" x14ac:dyDescent="0.2">
      <c r="A861" t="s">
        <v>4630</v>
      </c>
      <c r="B861" t="s">
        <v>4631</v>
      </c>
      <c r="C861" t="s">
        <v>446</v>
      </c>
      <c r="D861" t="s">
        <v>96</v>
      </c>
      <c r="E861">
        <v>29.99</v>
      </c>
      <c r="F861" t="s">
        <v>8118</v>
      </c>
      <c r="L861" t="s">
        <v>7029</v>
      </c>
      <c r="N861">
        <v>0</v>
      </c>
      <c r="O861">
        <v>0</v>
      </c>
      <c r="T861">
        <v>0</v>
      </c>
      <c r="U861">
        <v>0</v>
      </c>
      <c r="V861">
        <v>0</v>
      </c>
    </row>
    <row r="862" spans="1:22" x14ac:dyDescent="0.2">
      <c r="A862" t="s">
        <v>7514</v>
      </c>
      <c r="B862" t="s">
        <v>7515</v>
      </c>
      <c r="C862" t="s">
        <v>446</v>
      </c>
      <c r="D862" t="s">
        <v>96</v>
      </c>
      <c r="E862">
        <v>11.99</v>
      </c>
      <c r="F862" t="s">
        <v>8118</v>
      </c>
      <c r="L862" t="s">
        <v>7029</v>
      </c>
      <c r="N862">
        <v>0</v>
      </c>
      <c r="O862">
        <v>0</v>
      </c>
      <c r="T862">
        <v>0</v>
      </c>
      <c r="U862">
        <v>0</v>
      </c>
      <c r="V862">
        <v>0</v>
      </c>
    </row>
    <row r="863" spans="1:22" x14ac:dyDescent="0.2">
      <c r="A863" t="s">
        <v>765</v>
      </c>
      <c r="B863" t="s">
        <v>766</v>
      </c>
      <c r="C863" t="s">
        <v>446</v>
      </c>
      <c r="D863" t="s">
        <v>228</v>
      </c>
      <c r="E863">
        <v>39.99</v>
      </c>
      <c r="F863" t="s">
        <v>8118</v>
      </c>
      <c r="G863">
        <v>244</v>
      </c>
      <c r="H863">
        <v>170</v>
      </c>
      <c r="I863">
        <v>74</v>
      </c>
      <c r="K863">
        <v>4000</v>
      </c>
      <c r="L863" t="s">
        <v>7029</v>
      </c>
      <c r="N863">
        <v>41.142857142857146</v>
      </c>
      <c r="O863">
        <v>2.4305555555555556E-2</v>
      </c>
      <c r="T863">
        <v>0.875</v>
      </c>
      <c r="U863">
        <v>0</v>
      </c>
      <c r="V863">
        <v>36</v>
      </c>
    </row>
    <row r="864" spans="1:22" x14ac:dyDescent="0.2">
      <c r="A864" t="s">
        <v>926</v>
      </c>
      <c r="B864" t="s">
        <v>927</v>
      </c>
      <c r="C864" t="s">
        <v>446</v>
      </c>
      <c r="D864" t="s">
        <v>96</v>
      </c>
      <c r="E864">
        <v>29.99</v>
      </c>
      <c r="F864" t="s">
        <v>8118</v>
      </c>
      <c r="L864" t="s">
        <v>7029</v>
      </c>
      <c r="N864">
        <v>0</v>
      </c>
      <c r="O864">
        <v>0</v>
      </c>
      <c r="T864">
        <v>0</v>
      </c>
      <c r="U864">
        <v>0</v>
      </c>
      <c r="V864">
        <v>0</v>
      </c>
    </row>
    <row r="865" spans="1:22" x14ac:dyDescent="0.2">
      <c r="A865" t="s">
        <v>759</v>
      </c>
      <c r="B865" t="s">
        <v>760</v>
      </c>
      <c r="C865" t="s">
        <v>446</v>
      </c>
      <c r="D865" t="s">
        <v>228</v>
      </c>
      <c r="E865">
        <v>39.99</v>
      </c>
      <c r="F865" t="s">
        <v>8118</v>
      </c>
      <c r="G865">
        <v>42</v>
      </c>
      <c r="H865">
        <v>42</v>
      </c>
      <c r="K865">
        <v>4000</v>
      </c>
      <c r="L865" t="s">
        <v>7029</v>
      </c>
      <c r="N865">
        <v>63</v>
      </c>
      <c r="O865">
        <v>1.5873015873015872E-2</v>
      </c>
      <c r="T865">
        <v>0.5714285714285714</v>
      </c>
      <c r="U865">
        <v>39.99</v>
      </c>
      <c r="V865">
        <v>36</v>
      </c>
    </row>
    <row r="866" spans="1:22" x14ac:dyDescent="0.2">
      <c r="A866" t="s">
        <v>4647</v>
      </c>
      <c r="B866" t="s">
        <v>4648</v>
      </c>
      <c r="C866" t="s">
        <v>446</v>
      </c>
      <c r="D866" t="s">
        <v>96</v>
      </c>
      <c r="E866">
        <v>24.99</v>
      </c>
      <c r="F866" t="s">
        <v>8118</v>
      </c>
      <c r="L866" t="s">
        <v>7029</v>
      </c>
      <c r="N866">
        <v>0</v>
      </c>
      <c r="O866">
        <v>0</v>
      </c>
      <c r="T866">
        <v>0</v>
      </c>
      <c r="U866">
        <v>0</v>
      </c>
      <c r="V866">
        <v>0</v>
      </c>
    </row>
    <row r="867" spans="1:22" x14ac:dyDescent="0.2">
      <c r="A867" t="s">
        <v>7500</v>
      </c>
      <c r="B867" t="s">
        <v>7501</v>
      </c>
      <c r="C867" t="s">
        <v>446</v>
      </c>
      <c r="D867" t="s">
        <v>96</v>
      </c>
      <c r="E867">
        <v>59.99</v>
      </c>
      <c r="F867" t="s">
        <v>8118</v>
      </c>
      <c r="L867" t="s">
        <v>7029</v>
      </c>
      <c r="N867">
        <v>0</v>
      </c>
      <c r="O867">
        <v>0</v>
      </c>
      <c r="T867">
        <v>0</v>
      </c>
      <c r="U867">
        <v>0</v>
      </c>
      <c r="V867">
        <v>0</v>
      </c>
    </row>
    <row r="868" spans="1:22" x14ac:dyDescent="0.2">
      <c r="A868" t="s">
        <v>7498</v>
      </c>
      <c r="B868" t="s">
        <v>7499</v>
      </c>
      <c r="C868" t="s">
        <v>446</v>
      </c>
      <c r="D868" t="s">
        <v>96</v>
      </c>
      <c r="E868">
        <v>99.99</v>
      </c>
      <c r="F868" t="s">
        <v>8118</v>
      </c>
      <c r="L868" t="s">
        <v>7029</v>
      </c>
      <c r="N868">
        <v>0</v>
      </c>
      <c r="O868">
        <v>0</v>
      </c>
      <c r="T868">
        <v>0</v>
      </c>
      <c r="U868">
        <v>0</v>
      </c>
      <c r="V868">
        <v>0</v>
      </c>
    </row>
    <row r="869" spans="1:22" x14ac:dyDescent="0.2">
      <c r="A869" t="s">
        <v>4650</v>
      </c>
      <c r="B869" t="s">
        <v>4651</v>
      </c>
      <c r="C869" t="s">
        <v>446</v>
      </c>
      <c r="D869" t="s">
        <v>96</v>
      </c>
      <c r="E869">
        <v>24.99</v>
      </c>
      <c r="F869" t="s">
        <v>8118</v>
      </c>
      <c r="L869" t="s">
        <v>7029</v>
      </c>
      <c r="N869">
        <v>1</v>
      </c>
      <c r="O869">
        <v>0</v>
      </c>
      <c r="T869">
        <v>0</v>
      </c>
      <c r="U869">
        <v>0</v>
      </c>
      <c r="V869">
        <v>1</v>
      </c>
    </row>
    <row r="870" spans="1:22" x14ac:dyDescent="0.2">
      <c r="A870" t="s">
        <v>4633</v>
      </c>
      <c r="B870" t="s">
        <v>4634</v>
      </c>
      <c r="C870" t="s">
        <v>446</v>
      </c>
      <c r="D870" t="s">
        <v>290</v>
      </c>
      <c r="E870">
        <v>34.99</v>
      </c>
      <c r="F870" t="s">
        <v>8118</v>
      </c>
      <c r="G870">
        <v>325</v>
      </c>
      <c r="H870">
        <v>2</v>
      </c>
      <c r="I870">
        <v>323</v>
      </c>
      <c r="L870" t="s">
        <v>7029</v>
      </c>
      <c r="N870">
        <v>0</v>
      </c>
      <c r="O870">
        <v>0</v>
      </c>
      <c r="T870">
        <v>0</v>
      </c>
      <c r="U870">
        <v>0</v>
      </c>
      <c r="V870">
        <v>0</v>
      </c>
    </row>
    <row r="871" spans="1:22" x14ac:dyDescent="0.2">
      <c r="A871" t="s">
        <v>4643</v>
      </c>
      <c r="B871" t="s">
        <v>4644</v>
      </c>
      <c r="C871" t="s">
        <v>446</v>
      </c>
      <c r="D871" t="s">
        <v>96</v>
      </c>
      <c r="E871">
        <v>19.989999999999998</v>
      </c>
      <c r="F871" t="s">
        <v>8118</v>
      </c>
      <c r="L871" t="s">
        <v>7029</v>
      </c>
      <c r="N871">
        <v>1</v>
      </c>
      <c r="O871">
        <v>0</v>
      </c>
      <c r="T871">
        <v>0</v>
      </c>
      <c r="U871">
        <v>0</v>
      </c>
      <c r="V871">
        <v>1</v>
      </c>
    </row>
    <row r="872" spans="1:22" x14ac:dyDescent="0.2">
      <c r="A872" t="s">
        <v>793</v>
      </c>
      <c r="B872" t="s">
        <v>794</v>
      </c>
      <c r="C872" t="s">
        <v>446</v>
      </c>
      <c r="D872" t="s">
        <v>228</v>
      </c>
      <c r="E872">
        <v>49.99</v>
      </c>
      <c r="F872" t="s">
        <v>8118</v>
      </c>
      <c r="G872">
        <v>1040</v>
      </c>
      <c r="H872">
        <v>56</v>
      </c>
      <c r="I872">
        <v>984</v>
      </c>
      <c r="L872" t="s">
        <v>7029</v>
      </c>
      <c r="N872">
        <v>25.375</v>
      </c>
      <c r="O872">
        <v>3.9408866995073885E-2</v>
      </c>
      <c r="T872">
        <v>1.1428571428571428</v>
      </c>
      <c r="U872">
        <v>149.97</v>
      </c>
      <c r="V872">
        <v>29</v>
      </c>
    </row>
    <row r="873" spans="1:22" x14ac:dyDescent="0.2">
      <c r="A873" t="s">
        <v>7512</v>
      </c>
      <c r="B873" t="s">
        <v>7513</v>
      </c>
      <c r="C873" t="s">
        <v>446</v>
      </c>
      <c r="D873" t="s">
        <v>96</v>
      </c>
      <c r="F873" t="s">
        <v>8118</v>
      </c>
      <c r="L873" t="s">
        <v>7029</v>
      </c>
      <c r="N873">
        <v>0</v>
      </c>
      <c r="O873">
        <v>0</v>
      </c>
      <c r="T873">
        <v>0</v>
      </c>
      <c r="V873">
        <v>0</v>
      </c>
    </row>
    <row r="874" spans="1:22" x14ac:dyDescent="0.2">
      <c r="A874" t="s">
        <v>3559</v>
      </c>
      <c r="B874" t="s">
        <v>3560</v>
      </c>
      <c r="C874" t="s">
        <v>3561</v>
      </c>
      <c r="D874" t="s">
        <v>96</v>
      </c>
      <c r="E874">
        <v>79.989999999999995</v>
      </c>
      <c r="F874" t="s">
        <v>8118</v>
      </c>
      <c r="L874" t="s">
        <v>11</v>
      </c>
      <c r="M874" t="s">
        <v>3562</v>
      </c>
      <c r="N874">
        <v>0</v>
      </c>
      <c r="O874">
        <v>0</v>
      </c>
      <c r="T874">
        <v>0</v>
      </c>
      <c r="U874">
        <v>0</v>
      </c>
      <c r="V874">
        <v>0</v>
      </c>
    </row>
    <row r="875" spans="1:22" x14ac:dyDescent="0.2">
      <c r="A875" t="s">
        <v>3584</v>
      </c>
      <c r="B875" t="s">
        <v>3585</v>
      </c>
      <c r="C875" t="s">
        <v>3561</v>
      </c>
      <c r="D875" t="s">
        <v>96</v>
      </c>
      <c r="F875" t="s">
        <v>8118</v>
      </c>
      <c r="L875" t="s">
        <v>11</v>
      </c>
      <c r="M875" t="s">
        <v>3586</v>
      </c>
      <c r="N875">
        <v>0</v>
      </c>
      <c r="O875">
        <v>0</v>
      </c>
      <c r="T875">
        <v>0</v>
      </c>
      <c r="V875">
        <v>0</v>
      </c>
    </row>
    <row r="876" spans="1:22" x14ac:dyDescent="0.2">
      <c r="A876" t="s">
        <v>3581</v>
      </c>
      <c r="B876" t="s">
        <v>3582</v>
      </c>
      <c r="C876" t="s">
        <v>3561</v>
      </c>
      <c r="D876" t="s">
        <v>96</v>
      </c>
      <c r="F876" t="s">
        <v>8118</v>
      </c>
      <c r="L876" t="s">
        <v>11</v>
      </c>
      <c r="M876" t="s">
        <v>3583</v>
      </c>
      <c r="N876">
        <v>0</v>
      </c>
      <c r="O876">
        <v>0</v>
      </c>
      <c r="T876">
        <v>0</v>
      </c>
      <c r="V876">
        <v>0</v>
      </c>
    </row>
    <row r="877" spans="1:22" x14ac:dyDescent="0.2">
      <c r="A877" t="s">
        <v>3608</v>
      </c>
      <c r="B877" t="s">
        <v>3609</v>
      </c>
      <c r="C877" t="s">
        <v>3561</v>
      </c>
      <c r="D877" t="s">
        <v>96</v>
      </c>
      <c r="E877">
        <v>89.99</v>
      </c>
      <c r="F877" t="s">
        <v>8118</v>
      </c>
      <c r="L877" t="s">
        <v>11</v>
      </c>
      <c r="M877" t="s">
        <v>3610</v>
      </c>
      <c r="N877">
        <v>0</v>
      </c>
      <c r="O877">
        <v>0</v>
      </c>
      <c r="T877">
        <v>0</v>
      </c>
      <c r="U877">
        <v>0</v>
      </c>
      <c r="V877">
        <v>0</v>
      </c>
    </row>
    <row r="878" spans="1:22" x14ac:dyDescent="0.2">
      <c r="A878" t="s">
        <v>3599</v>
      </c>
      <c r="B878" t="s">
        <v>3600</v>
      </c>
      <c r="C878" t="s">
        <v>3561</v>
      </c>
      <c r="D878" t="s">
        <v>96</v>
      </c>
      <c r="F878" t="s">
        <v>8118</v>
      </c>
      <c r="L878" t="s">
        <v>11</v>
      </c>
      <c r="M878" t="s">
        <v>3601</v>
      </c>
      <c r="N878">
        <v>0</v>
      </c>
      <c r="O878">
        <v>0</v>
      </c>
      <c r="T878">
        <v>0</v>
      </c>
      <c r="V878">
        <v>0</v>
      </c>
    </row>
    <row r="879" spans="1:22" x14ac:dyDescent="0.2">
      <c r="A879" t="s">
        <v>3596</v>
      </c>
      <c r="B879" t="s">
        <v>3597</v>
      </c>
      <c r="C879" t="s">
        <v>3561</v>
      </c>
      <c r="D879" t="s">
        <v>96</v>
      </c>
      <c r="F879" t="s">
        <v>8118</v>
      </c>
      <c r="L879" t="s">
        <v>11</v>
      </c>
      <c r="M879" t="s">
        <v>3598</v>
      </c>
      <c r="N879">
        <v>0</v>
      </c>
      <c r="O879">
        <v>0</v>
      </c>
      <c r="T879">
        <v>0</v>
      </c>
      <c r="V879">
        <v>0</v>
      </c>
    </row>
    <row r="880" spans="1:22" x14ac:dyDescent="0.2">
      <c r="A880" t="s">
        <v>3626</v>
      </c>
      <c r="B880" t="s">
        <v>3627</v>
      </c>
      <c r="C880" t="s">
        <v>3561</v>
      </c>
      <c r="D880" t="s">
        <v>96</v>
      </c>
      <c r="F880" t="s">
        <v>8118</v>
      </c>
      <c r="L880" t="s">
        <v>11</v>
      </c>
      <c r="M880" t="s">
        <v>3628</v>
      </c>
      <c r="N880">
        <v>0</v>
      </c>
      <c r="O880">
        <v>0</v>
      </c>
      <c r="T880">
        <v>0</v>
      </c>
      <c r="V880">
        <v>0</v>
      </c>
    </row>
    <row r="881" spans="1:22" x14ac:dyDescent="0.2">
      <c r="A881" t="s">
        <v>3596</v>
      </c>
      <c r="B881" t="s">
        <v>3597</v>
      </c>
      <c r="C881" t="s">
        <v>3561</v>
      </c>
      <c r="D881" t="s">
        <v>96</v>
      </c>
      <c r="F881" t="s">
        <v>8118</v>
      </c>
      <c r="L881" t="s">
        <v>10</v>
      </c>
      <c r="M881">
        <v>342160</v>
      </c>
      <c r="N881">
        <v>0</v>
      </c>
      <c r="O881">
        <v>0</v>
      </c>
      <c r="P881" t="s">
        <v>290</v>
      </c>
      <c r="T881">
        <v>0</v>
      </c>
      <c r="V881">
        <v>0</v>
      </c>
    </row>
    <row r="882" spans="1:22" x14ac:dyDescent="0.2">
      <c r="A882" t="s">
        <v>3626</v>
      </c>
      <c r="B882" t="s">
        <v>3627</v>
      </c>
      <c r="C882" t="s">
        <v>3561</v>
      </c>
      <c r="D882" t="s">
        <v>96</v>
      </c>
      <c r="F882" t="s">
        <v>8118</v>
      </c>
      <c r="L882" t="s">
        <v>10</v>
      </c>
      <c r="M882">
        <v>550927</v>
      </c>
      <c r="N882">
        <v>0</v>
      </c>
      <c r="O882">
        <v>0</v>
      </c>
      <c r="P882" t="s">
        <v>290</v>
      </c>
      <c r="T882">
        <v>0</v>
      </c>
      <c r="V882">
        <v>0</v>
      </c>
    </row>
    <row r="883" spans="1:22" x14ac:dyDescent="0.2">
      <c r="A883" t="s">
        <v>4452</v>
      </c>
      <c r="B883" t="s">
        <v>4453</v>
      </c>
      <c r="C883" t="s">
        <v>1012</v>
      </c>
      <c r="D883" t="s">
        <v>96</v>
      </c>
      <c r="E883">
        <v>249.99</v>
      </c>
      <c r="F883" t="s">
        <v>8118</v>
      </c>
      <c r="L883" t="s">
        <v>14</v>
      </c>
      <c r="M883" t="s">
        <v>97</v>
      </c>
      <c r="N883">
        <v>0</v>
      </c>
      <c r="O883">
        <v>0</v>
      </c>
      <c r="T883">
        <v>0</v>
      </c>
      <c r="U883">
        <v>0</v>
      </c>
      <c r="V883">
        <v>1</v>
      </c>
    </row>
    <row r="884" spans="1:22" x14ac:dyDescent="0.2">
      <c r="A884" t="s">
        <v>7104</v>
      </c>
      <c r="B884" t="s">
        <v>7105</v>
      </c>
      <c r="C884" t="s">
        <v>1012</v>
      </c>
      <c r="D884" t="s">
        <v>96</v>
      </c>
      <c r="E884">
        <v>169.99</v>
      </c>
      <c r="F884" t="s">
        <v>8118</v>
      </c>
      <c r="L884" t="s">
        <v>14</v>
      </c>
      <c r="M884" t="s">
        <v>97</v>
      </c>
      <c r="N884">
        <v>0</v>
      </c>
      <c r="O884">
        <v>0</v>
      </c>
      <c r="U884">
        <v>0</v>
      </c>
      <c r="V884">
        <v>0</v>
      </c>
    </row>
    <row r="885" spans="1:22" x14ac:dyDescent="0.2">
      <c r="A885" t="s">
        <v>7098</v>
      </c>
      <c r="B885" t="s">
        <v>7099</v>
      </c>
      <c r="C885" t="s">
        <v>1012</v>
      </c>
      <c r="D885" t="s">
        <v>96</v>
      </c>
      <c r="E885">
        <v>79.989999999999995</v>
      </c>
      <c r="F885" t="s">
        <v>8118</v>
      </c>
      <c r="L885" t="s">
        <v>14</v>
      </c>
      <c r="M885" t="s">
        <v>97</v>
      </c>
      <c r="N885">
        <v>0</v>
      </c>
      <c r="O885">
        <v>0</v>
      </c>
      <c r="U885">
        <v>0</v>
      </c>
      <c r="V885">
        <v>0</v>
      </c>
    </row>
    <row r="886" spans="1:22" x14ac:dyDescent="0.2">
      <c r="A886" t="s">
        <v>7094</v>
      </c>
      <c r="B886" t="s">
        <v>7095</v>
      </c>
      <c r="C886" t="s">
        <v>1012</v>
      </c>
      <c r="D886" t="s">
        <v>96</v>
      </c>
      <c r="E886">
        <v>114.99</v>
      </c>
      <c r="F886" t="s">
        <v>8118</v>
      </c>
      <c r="L886" t="s">
        <v>14</v>
      </c>
      <c r="M886" t="s">
        <v>97</v>
      </c>
      <c r="N886">
        <v>0</v>
      </c>
      <c r="O886">
        <v>0</v>
      </c>
      <c r="U886">
        <v>0</v>
      </c>
      <c r="V886">
        <v>0</v>
      </c>
    </row>
    <row r="887" spans="1:22" x14ac:dyDescent="0.2">
      <c r="A887" t="s">
        <v>7108</v>
      </c>
      <c r="B887" t="s">
        <v>7109</v>
      </c>
      <c r="C887" t="s">
        <v>1012</v>
      </c>
      <c r="D887" t="s">
        <v>96</v>
      </c>
      <c r="E887">
        <v>79.989999999999995</v>
      </c>
      <c r="F887" t="s">
        <v>8118</v>
      </c>
      <c r="L887" t="s">
        <v>14</v>
      </c>
      <c r="M887" t="s">
        <v>97</v>
      </c>
      <c r="N887">
        <v>0</v>
      </c>
      <c r="O887">
        <v>0</v>
      </c>
      <c r="U887">
        <v>0</v>
      </c>
      <c r="V887">
        <v>0</v>
      </c>
    </row>
    <row r="888" spans="1:22" x14ac:dyDescent="0.2">
      <c r="A888" t="s">
        <v>7106</v>
      </c>
      <c r="B888" t="s">
        <v>7107</v>
      </c>
      <c r="C888" t="s">
        <v>1012</v>
      </c>
      <c r="D888" t="s">
        <v>96</v>
      </c>
      <c r="E888">
        <v>59.99</v>
      </c>
      <c r="F888" t="s">
        <v>8118</v>
      </c>
      <c r="L888" t="s">
        <v>14</v>
      </c>
      <c r="M888" t="s">
        <v>97</v>
      </c>
      <c r="N888">
        <v>0</v>
      </c>
      <c r="O888">
        <v>0</v>
      </c>
      <c r="U888">
        <v>0</v>
      </c>
      <c r="V888">
        <v>0</v>
      </c>
    </row>
    <row r="889" spans="1:22" x14ac:dyDescent="0.2">
      <c r="A889" t="s">
        <v>4436</v>
      </c>
      <c r="B889" t="s">
        <v>4437</v>
      </c>
      <c r="C889" t="s">
        <v>1012</v>
      </c>
      <c r="D889" t="s">
        <v>96</v>
      </c>
      <c r="E889">
        <v>59.99</v>
      </c>
      <c r="F889" t="s">
        <v>8118</v>
      </c>
      <c r="L889" t="s">
        <v>14</v>
      </c>
      <c r="M889" t="s">
        <v>97</v>
      </c>
      <c r="N889">
        <v>0</v>
      </c>
      <c r="O889">
        <v>0</v>
      </c>
      <c r="U889">
        <v>0</v>
      </c>
      <c r="V889">
        <v>0</v>
      </c>
    </row>
    <row r="890" spans="1:22" x14ac:dyDescent="0.2">
      <c r="A890" t="s">
        <v>4444</v>
      </c>
      <c r="B890" t="s">
        <v>4445</v>
      </c>
      <c r="C890" t="s">
        <v>1012</v>
      </c>
      <c r="D890" t="s">
        <v>290</v>
      </c>
      <c r="E890">
        <v>199.99</v>
      </c>
      <c r="F890" t="s">
        <v>8118</v>
      </c>
      <c r="L890" t="s">
        <v>14</v>
      </c>
      <c r="M890" t="s">
        <v>97</v>
      </c>
      <c r="N890">
        <v>6</v>
      </c>
      <c r="O890">
        <v>0.16666666666666666</v>
      </c>
      <c r="T890">
        <v>0.16666666666666666</v>
      </c>
      <c r="U890">
        <v>0</v>
      </c>
      <c r="V890">
        <v>1</v>
      </c>
    </row>
    <row r="891" spans="1:22" x14ac:dyDescent="0.2">
      <c r="A891" t="s">
        <v>4438</v>
      </c>
      <c r="B891" t="s">
        <v>4439</v>
      </c>
      <c r="C891" t="s">
        <v>1012</v>
      </c>
      <c r="D891" t="s">
        <v>290</v>
      </c>
      <c r="E891">
        <v>49.99</v>
      </c>
      <c r="F891" t="s">
        <v>8118</v>
      </c>
      <c r="L891" t="s">
        <v>14</v>
      </c>
      <c r="M891" t="s">
        <v>97</v>
      </c>
      <c r="N891">
        <v>96</v>
      </c>
      <c r="O891">
        <v>1.0416666666666666E-2</v>
      </c>
      <c r="T891">
        <v>8.3333333333333329E-2</v>
      </c>
      <c r="U891">
        <v>0</v>
      </c>
      <c r="V891">
        <v>8</v>
      </c>
    </row>
    <row r="892" spans="1:22" x14ac:dyDescent="0.2">
      <c r="A892" t="s">
        <v>4432</v>
      </c>
      <c r="B892" t="s">
        <v>4433</v>
      </c>
      <c r="C892" t="s">
        <v>1012</v>
      </c>
      <c r="D892" t="s">
        <v>290</v>
      </c>
      <c r="E892">
        <v>49.99</v>
      </c>
      <c r="F892" t="s">
        <v>8118</v>
      </c>
      <c r="L892" t="s">
        <v>14</v>
      </c>
      <c r="M892" t="s">
        <v>97</v>
      </c>
      <c r="N892">
        <v>102</v>
      </c>
      <c r="O892">
        <v>9.8039215686274508E-3</v>
      </c>
      <c r="T892">
        <v>0.16666666666666666</v>
      </c>
      <c r="U892">
        <v>0</v>
      </c>
      <c r="V892">
        <v>17</v>
      </c>
    </row>
    <row r="893" spans="1:22" x14ac:dyDescent="0.2">
      <c r="A893" t="s">
        <v>4415</v>
      </c>
      <c r="B893" t="s">
        <v>4416</v>
      </c>
      <c r="C893" t="s">
        <v>1012</v>
      </c>
      <c r="D893" t="s">
        <v>96</v>
      </c>
      <c r="E893">
        <v>114.99</v>
      </c>
      <c r="F893" t="s">
        <v>8118</v>
      </c>
      <c r="L893" t="s">
        <v>14</v>
      </c>
      <c r="M893" t="s">
        <v>97</v>
      </c>
      <c r="N893">
        <v>0</v>
      </c>
      <c r="O893">
        <v>0</v>
      </c>
      <c r="U893">
        <v>0</v>
      </c>
      <c r="V893">
        <v>0</v>
      </c>
    </row>
    <row r="894" spans="1:22" x14ac:dyDescent="0.2">
      <c r="A894" t="s">
        <v>4455</v>
      </c>
      <c r="B894" t="s">
        <v>4456</v>
      </c>
      <c r="C894" t="s">
        <v>1012</v>
      </c>
      <c r="D894" t="s">
        <v>96</v>
      </c>
      <c r="E894">
        <v>279.99</v>
      </c>
      <c r="F894" t="s">
        <v>8118</v>
      </c>
      <c r="L894" t="s">
        <v>14</v>
      </c>
      <c r="M894" t="s">
        <v>97</v>
      </c>
      <c r="N894">
        <v>0</v>
      </c>
      <c r="O894">
        <v>0</v>
      </c>
      <c r="T894">
        <v>0</v>
      </c>
      <c r="U894">
        <v>0</v>
      </c>
      <c r="V894">
        <v>1</v>
      </c>
    </row>
    <row r="895" spans="1:22" x14ac:dyDescent="0.2">
      <c r="A895" t="s">
        <v>1015</v>
      </c>
      <c r="B895" t="s">
        <v>1016</v>
      </c>
      <c r="C895" t="s">
        <v>1012</v>
      </c>
      <c r="D895" t="s">
        <v>290</v>
      </c>
      <c r="E895">
        <v>49.99</v>
      </c>
      <c r="F895" t="s">
        <v>8118</v>
      </c>
      <c r="G895">
        <v>125</v>
      </c>
      <c r="I895">
        <v>125</v>
      </c>
      <c r="L895" t="s">
        <v>14</v>
      </c>
      <c r="M895" t="s">
        <v>97</v>
      </c>
      <c r="N895">
        <v>0</v>
      </c>
      <c r="O895">
        <v>0</v>
      </c>
      <c r="T895">
        <v>0.22222222222222221</v>
      </c>
      <c r="U895">
        <v>0</v>
      </c>
      <c r="V895">
        <v>0</v>
      </c>
    </row>
    <row r="896" spans="1:22" x14ac:dyDescent="0.2">
      <c r="A896" t="s">
        <v>4449</v>
      </c>
      <c r="B896" t="s">
        <v>4450</v>
      </c>
      <c r="C896" t="s">
        <v>1012</v>
      </c>
      <c r="D896" t="s">
        <v>96</v>
      </c>
      <c r="E896">
        <v>159.99</v>
      </c>
      <c r="F896" t="s">
        <v>8118</v>
      </c>
      <c r="L896" t="s">
        <v>14</v>
      </c>
      <c r="M896" t="s">
        <v>97</v>
      </c>
      <c r="N896">
        <v>0</v>
      </c>
      <c r="O896">
        <v>0</v>
      </c>
      <c r="T896">
        <v>0</v>
      </c>
      <c r="U896">
        <v>0</v>
      </c>
      <c r="V896">
        <v>1</v>
      </c>
    </row>
    <row r="897" spans="1:22" x14ac:dyDescent="0.2">
      <c r="A897" t="s">
        <v>4447</v>
      </c>
      <c r="B897" t="s">
        <v>4448</v>
      </c>
      <c r="C897" t="s">
        <v>1012</v>
      </c>
      <c r="D897" t="s">
        <v>96</v>
      </c>
      <c r="E897">
        <v>199.99</v>
      </c>
      <c r="F897" t="s">
        <v>8118</v>
      </c>
      <c r="L897" t="s">
        <v>14</v>
      </c>
      <c r="M897" t="s">
        <v>97</v>
      </c>
      <c r="N897">
        <v>0</v>
      </c>
      <c r="O897">
        <v>0</v>
      </c>
      <c r="T897">
        <v>0</v>
      </c>
      <c r="U897">
        <v>0</v>
      </c>
      <c r="V897">
        <v>17</v>
      </c>
    </row>
    <row r="898" spans="1:22" x14ac:dyDescent="0.2">
      <c r="A898" t="s">
        <v>4438</v>
      </c>
      <c r="B898" t="s">
        <v>4439</v>
      </c>
      <c r="C898" t="s">
        <v>1012</v>
      </c>
      <c r="D898" t="s">
        <v>290</v>
      </c>
      <c r="E898">
        <v>49.99</v>
      </c>
      <c r="F898" t="s">
        <v>8118</v>
      </c>
      <c r="L898" t="s">
        <v>10</v>
      </c>
      <c r="M898">
        <v>365241</v>
      </c>
      <c r="N898">
        <v>9</v>
      </c>
      <c r="O898">
        <v>0.11021505376344086</v>
      </c>
      <c r="P898" t="s">
        <v>7015</v>
      </c>
      <c r="T898">
        <v>10</v>
      </c>
      <c r="U898">
        <v>749.85</v>
      </c>
      <c r="V898">
        <v>93</v>
      </c>
    </row>
    <row r="899" spans="1:22" x14ac:dyDescent="0.2">
      <c r="A899" t="s">
        <v>4444</v>
      </c>
      <c r="B899" t="s">
        <v>4445</v>
      </c>
      <c r="C899" t="s">
        <v>1012</v>
      </c>
      <c r="D899" t="s">
        <v>290</v>
      </c>
      <c r="E899">
        <v>199.99</v>
      </c>
      <c r="F899" t="s">
        <v>8118</v>
      </c>
      <c r="L899" t="s">
        <v>10</v>
      </c>
      <c r="M899">
        <v>466217</v>
      </c>
      <c r="N899">
        <v>0</v>
      </c>
      <c r="O899">
        <v>0</v>
      </c>
      <c r="P899" t="s">
        <v>7015</v>
      </c>
      <c r="T899">
        <v>0</v>
      </c>
      <c r="U899">
        <v>0</v>
      </c>
      <c r="V899">
        <v>1</v>
      </c>
    </row>
    <row r="900" spans="1:22" x14ac:dyDescent="0.2">
      <c r="A900" t="s">
        <v>4405</v>
      </c>
      <c r="B900" t="s">
        <v>4406</v>
      </c>
      <c r="C900" t="s">
        <v>1012</v>
      </c>
      <c r="D900" t="s">
        <v>96</v>
      </c>
      <c r="E900">
        <v>89.99</v>
      </c>
      <c r="F900" t="s">
        <v>8118</v>
      </c>
      <c r="L900" t="s">
        <v>10</v>
      </c>
      <c r="M900">
        <v>588622</v>
      </c>
      <c r="N900">
        <v>0</v>
      </c>
      <c r="O900">
        <v>0</v>
      </c>
      <c r="P900" t="s">
        <v>7015</v>
      </c>
      <c r="T900">
        <v>0</v>
      </c>
      <c r="U900">
        <v>0</v>
      </c>
      <c r="V900">
        <v>0</v>
      </c>
    </row>
    <row r="901" spans="1:22" x14ac:dyDescent="0.2">
      <c r="A901" t="s">
        <v>4418</v>
      </c>
      <c r="B901" t="s">
        <v>4419</v>
      </c>
      <c r="C901" t="s">
        <v>1012</v>
      </c>
      <c r="D901" t="s">
        <v>290</v>
      </c>
      <c r="E901">
        <v>89.99</v>
      </c>
      <c r="F901" t="s">
        <v>8118</v>
      </c>
      <c r="G901">
        <v>13</v>
      </c>
      <c r="I901">
        <v>13</v>
      </c>
      <c r="L901" t="s">
        <v>10</v>
      </c>
      <c r="M901">
        <v>588623</v>
      </c>
      <c r="N901">
        <v>0</v>
      </c>
      <c r="O901">
        <v>0</v>
      </c>
      <c r="P901" t="s">
        <v>7015</v>
      </c>
      <c r="T901">
        <v>2</v>
      </c>
      <c r="U901">
        <v>0</v>
      </c>
      <c r="V901">
        <v>0</v>
      </c>
    </row>
    <row r="902" spans="1:22" x14ac:dyDescent="0.2">
      <c r="A902" t="s">
        <v>4432</v>
      </c>
      <c r="B902" t="s">
        <v>4433</v>
      </c>
      <c r="C902" t="s">
        <v>1012</v>
      </c>
      <c r="D902" t="s">
        <v>290</v>
      </c>
      <c r="E902">
        <v>49.99</v>
      </c>
      <c r="F902" t="s">
        <v>8118</v>
      </c>
      <c r="L902" t="s">
        <v>10</v>
      </c>
      <c r="M902">
        <v>365242</v>
      </c>
      <c r="N902">
        <v>36</v>
      </c>
      <c r="O902">
        <v>2.7777777777777776E-2</v>
      </c>
      <c r="P902" t="s">
        <v>7015</v>
      </c>
      <c r="T902">
        <v>0</v>
      </c>
      <c r="U902">
        <v>0</v>
      </c>
      <c r="V902">
        <v>6</v>
      </c>
    </row>
    <row r="903" spans="1:22" x14ac:dyDescent="0.2">
      <c r="A903" t="s">
        <v>7104</v>
      </c>
      <c r="B903" t="s">
        <v>7105</v>
      </c>
      <c r="C903" t="s">
        <v>1012</v>
      </c>
      <c r="D903" t="s">
        <v>96</v>
      </c>
      <c r="E903">
        <v>169.99</v>
      </c>
      <c r="F903" t="s">
        <v>8118</v>
      </c>
      <c r="L903" t="s">
        <v>10</v>
      </c>
      <c r="M903">
        <v>569744</v>
      </c>
      <c r="N903">
        <v>0</v>
      </c>
      <c r="O903">
        <v>0</v>
      </c>
      <c r="P903" t="s">
        <v>290</v>
      </c>
      <c r="T903">
        <v>0</v>
      </c>
      <c r="U903">
        <v>0</v>
      </c>
      <c r="V903">
        <v>0</v>
      </c>
    </row>
    <row r="904" spans="1:22" x14ac:dyDescent="0.2">
      <c r="A904" t="s">
        <v>7269</v>
      </c>
      <c r="B904" t="s">
        <v>7271</v>
      </c>
      <c r="C904" t="s">
        <v>1012</v>
      </c>
      <c r="D904" t="s">
        <v>96</v>
      </c>
      <c r="F904" t="s">
        <v>8118</v>
      </c>
      <c r="L904" t="s">
        <v>10</v>
      </c>
      <c r="M904">
        <v>631321</v>
      </c>
      <c r="N904">
        <v>0</v>
      </c>
      <c r="O904">
        <v>0</v>
      </c>
      <c r="P904" t="s">
        <v>290</v>
      </c>
      <c r="T904">
        <v>0</v>
      </c>
      <c r="V904">
        <v>0</v>
      </c>
    </row>
    <row r="905" spans="1:22" x14ac:dyDescent="0.2">
      <c r="A905" t="s">
        <v>4449</v>
      </c>
      <c r="B905" t="s">
        <v>4450</v>
      </c>
      <c r="C905" t="s">
        <v>1012</v>
      </c>
      <c r="D905" t="s">
        <v>96</v>
      </c>
      <c r="E905">
        <v>159.99</v>
      </c>
      <c r="F905" t="s">
        <v>8118</v>
      </c>
      <c r="L905" t="s">
        <v>10</v>
      </c>
      <c r="M905">
        <v>420342</v>
      </c>
      <c r="N905">
        <v>12</v>
      </c>
      <c r="O905">
        <v>8.3333333333333329E-2</v>
      </c>
      <c r="P905" t="s">
        <v>7015</v>
      </c>
      <c r="T905">
        <v>0</v>
      </c>
      <c r="U905">
        <v>0</v>
      </c>
      <c r="V905">
        <v>1</v>
      </c>
    </row>
    <row r="906" spans="1:22" x14ac:dyDescent="0.2">
      <c r="A906" t="s">
        <v>4455</v>
      </c>
      <c r="B906" t="s">
        <v>4456</v>
      </c>
      <c r="C906" t="s">
        <v>1012</v>
      </c>
      <c r="D906" t="s">
        <v>96</v>
      </c>
      <c r="E906">
        <v>279.99</v>
      </c>
      <c r="F906" t="s">
        <v>8118</v>
      </c>
      <c r="L906" t="s">
        <v>10</v>
      </c>
      <c r="M906">
        <v>393957</v>
      </c>
      <c r="N906">
        <v>0</v>
      </c>
      <c r="O906">
        <v>0</v>
      </c>
      <c r="P906" t="s">
        <v>7015</v>
      </c>
      <c r="T906">
        <v>0</v>
      </c>
      <c r="U906">
        <v>0</v>
      </c>
      <c r="V906">
        <v>3</v>
      </c>
    </row>
    <row r="907" spans="1:22" x14ac:dyDescent="0.2">
      <c r="A907" t="s">
        <v>4402</v>
      </c>
      <c r="B907" t="s">
        <v>4403</v>
      </c>
      <c r="C907" t="s">
        <v>1012</v>
      </c>
      <c r="D907" t="s">
        <v>96</v>
      </c>
      <c r="E907">
        <v>94.99</v>
      </c>
      <c r="F907" t="s">
        <v>8118</v>
      </c>
      <c r="L907" t="s">
        <v>10</v>
      </c>
      <c r="M907">
        <v>438312</v>
      </c>
      <c r="N907">
        <v>0</v>
      </c>
      <c r="O907">
        <v>0</v>
      </c>
      <c r="P907" t="s">
        <v>7015</v>
      </c>
      <c r="T907">
        <v>0</v>
      </c>
      <c r="U907">
        <v>0</v>
      </c>
      <c r="V907">
        <v>0</v>
      </c>
    </row>
    <row r="908" spans="1:22" x14ac:dyDescent="0.2">
      <c r="A908" t="s">
        <v>4411</v>
      </c>
      <c r="B908" t="s">
        <v>4412</v>
      </c>
      <c r="C908" t="s">
        <v>1012</v>
      </c>
      <c r="D908" t="s">
        <v>290</v>
      </c>
      <c r="E908">
        <v>94.99</v>
      </c>
      <c r="F908" t="s">
        <v>8118</v>
      </c>
      <c r="G908">
        <v>21</v>
      </c>
      <c r="I908">
        <v>21</v>
      </c>
      <c r="L908" t="s">
        <v>10</v>
      </c>
      <c r="M908">
        <v>437706</v>
      </c>
      <c r="N908">
        <v>1</v>
      </c>
      <c r="O908">
        <v>1.5</v>
      </c>
      <c r="P908" t="s">
        <v>7015</v>
      </c>
      <c r="T908">
        <v>2</v>
      </c>
      <c r="U908">
        <v>94.99</v>
      </c>
      <c r="V908">
        <v>1</v>
      </c>
    </row>
    <row r="909" spans="1:22" x14ac:dyDescent="0.2">
      <c r="A909" t="s">
        <v>7108</v>
      </c>
      <c r="B909" t="s">
        <v>7109</v>
      </c>
      <c r="C909" t="s">
        <v>1012</v>
      </c>
      <c r="D909" t="s">
        <v>96</v>
      </c>
      <c r="E909">
        <v>79.989999999999995</v>
      </c>
      <c r="F909" t="s">
        <v>8118</v>
      </c>
      <c r="L909" t="s">
        <v>10</v>
      </c>
      <c r="M909">
        <v>365313</v>
      </c>
      <c r="N909">
        <v>0</v>
      </c>
      <c r="O909">
        <v>0</v>
      </c>
      <c r="P909" t="s">
        <v>290</v>
      </c>
      <c r="T909">
        <v>0</v>
      </c>
      <c r="U909">
        <v>0</v>
      </c>
      <c r="V909">
        <v>0</v>
      </c>
    </row>
    <row r="910" spans="1:22" x14ac:dyDescent="0.2">
      <c r="A910" t="s">
        <v>4447</v>
      </c>
      <c r="B910" t="s">
        <v>4448</v>
      </c>
      <c r="C910" t="s">
        <v>1012</v>
      </c>
      <c r="D910" t="s">
        <v>96</v>
      </c>
      <c r="E910">
        <v>199.99</v>
      </c>
      <c r="F910" t="s">
        <v>8118</v>
      </c>
      <c r="L910" t="s">
        <v>10</v>
      </c>
      <c r="M910">
        <v>420338</v>
      </c>
      <c r="N910">
        <v>0</v>
      </c>
      <c r="O910">
        <v>0</v>
      </c>
      <c r="P910" t="s">
        <v>7015</v>
      </c>
      <c r="T910">
        <v>0</v>
      </c>
      <c r="U910">
        <v>0</v>
      </c>
      <c r="V910">
        <v>0</v>
      </c>
    </row>
    <row r="911" spans="1:22" x14ac:dyDescent="0.2">
      <c r="A911" t="s">
        <v>7298</v>
      </c>
      <c r="B911" t="s">
        <v>7300</v>
      </c>
      <c r="C911" t="s">
        <v>1012</v>
      </c>
      <c r="D911" t="s">
        <v>96</v>
      </c>
      <c r="E911">
        <v>49.99</v>
      </c>
      <c r="F911" t="s">
        <v>8118</v>
      </c>
      <c r="L911" t="s">
        <v>10</v>
      </c>
      <c r="M911">
        <v>579840</v>
      </c>
      <c r="N911">
        <v>0</v>
      </c>
      <c r="O911">
        <v>0</v>
      </c>
      <c r="P911" t="s">
        <v>7015</v>
      </c>
      <c r="T911">
        <v>0</v>
      </c>
      <c r="U911">
        <v>0</v>
      </c>
      <c r="V911">
        <v>0</v>
      </c>
    </row>
    <row r="912" spans="1:22" x14ac:dyDescent="0.2">
      <c r="A912" t="s">
        <v>1015</v>
      </c>
      <c r="B912" t="s">
        <v>1016</v>
      </c>
      <c r="C912" t="s">
        <v>1012</v>
      </c>
      <c r="D912" t="s">
        <v>290</v>
      </c>
      <c r="E912">
        <v>49.99</v>
      </c>
      <c r="F912" t="s">
        <v>8118</v>
      </c>
      <c r="G912">
        <v>125</v>
      </c>
      <c r="I912">
        <v>125</v>
      </c>
      <c r="L912" t="s">
        <v>10</v>
      </c>
      <c r="M912">
        <v>420653</v>
      </c>
      <c r="N912">
        <v>28</v>
      </c>
      <c r="O912">
        <v>3.620019436345967E-2</v>
      </c>
      <c r="P912" t="s">
        <v>7015</v>
      </c>
      <c r="T912">
        <v>12</v>
      </c>
      <c r="U912">
        <v>699.86</v>
      </c>
      <c r="V912">
        <v>343</v>
      </c>
    </row>
    <row r="913" spans="1:22" x14ac:dyDescent="0.2">
      <c r="A913" t="s">
        <v>7293</v>
      </c>
      <c r="B913" t="s">
        <v>7294</v>
      </c>
      <c r="C913" t="s">
        <v>1012</v>
      </c>
      <c r="D913" t="s">
        <v>96</v>
      </c>
      <c r="E913">
        <v>59.99</v>
      </c>
      <c r="F913" t="s">
        <v>8118</v>
      </c>
      <c r="L913" t="s">
        <v>10</v>
      </c>
      <c r="M913">
        <v>420653</v>
      </c>
      <c r="N913">
        <v>0</v>
      </c>
      <c r="O913">
        <v>0</v>
      </c>
      <c r="P913" t="s">
        <v>7015</v>
      </c>
      <c r="T913">
        <v>0</v>
      </c>
      <c r="U913">
        <v>0</v>
      </c>
      <c r="V913">
        <v>0</v>
      </c>
    </row>
    <row r="914" spans="1:22" x14ac:dyDescent="0.2">
      <c r="A914" t="s">
        <v>4408</v>
      </c>
      <c r="B914" t="s">
        <v>4409</v>
      </c>
      <c r="C914" t="s">
        <v>1012</v>
      </c>
      <c r="D914" t="s">
        <v>96</v>
      </c>
      <c r="E914">
        <v>114.99</v>
      </c>
      <c r="F914" t="s">
        <v>8118</v>
      </c>
      <c r="L914" t="s">
        <v>10</v>
      </c>
      <c r="M914">
        <v>484235</v>
      </c>
      <c r="N914">
        <v>0</v>
      </c>
      <c r="O914">
        <v>0</v>
      </c>
      <c r="P914" t="s">
        <v>7015</v>
      </c>
      <c r="T914">
        <v>0</v>
      </c>
      <c r="U914">
        <v>0</v>
      </c>
      <c r="V914">
        <v>1</v>
      </c>
    </row>
    <row r="915" spans="1:22" x14ac:dyDescent="0.2">
      <c r="A915" t="s">
        <v>7094</v>
      </c>
      <c r="B915" t="s">
        <v>7095</v>
      </c>
      <c r="C915" t="s">
        <v>1012</v>
      </c>
      <c r="D915" t="s">
        <v>96</v>
      </c>
      <c r="E915">
        <v>114.99</v>
      </c>
      <c r="F915" t="s">
        <v>8118</v>
      </c>
      <c r="L915" t="s">
        <v>10</v>
      </c>
      <c r="M915">
        <v>365321</v>
      </c>
      <c r="N915">
        <v>0</v>
      </c>
      <c r="O915">
        <v>0</v>
      </c>
      <c r="P915" t="s">
        <v>290</v>
      </c>
      <c r="T915">
        <v>0</v>
      </c>
      <c r="U915">
        <v>0</v>
      </c>
      <c r="V915">
        <v>0</v>
      </c>
    </row>
    <row r="916" spans="1:22" x14ac:dyDescent="0.2">
      <c r="A916" t="s">
        <v>4415</v>
      </c>
      <c r="B916" t="s">
        <v>4416</v>
      </c>
      <c r="C916" t="s">
        <v>1012</v>
      </c>
      <c r="D916" t="s">
        <v>96</v>
      </c>
      <c r="E916">
        <v>114.99</v>
      </c>
      <c r="F916" t="s">
        <v>8118</v>
      </c>
      <c r="L916" t="s">
        <v>10</v>
      </c>
      <c r="M916">
        <v>365325</v>
      </c>
      <c r="N916">
        <v>1</v>
      </c>
      <c r="O916">
        <v>0.69444444444444453</v>
      </c>
      <c r="P916" t="s">
        <v>7015</v>
      </c>
      <c r="T916">
        <v>2</v>
      </c>
      <c r="U916">
        <v>0</v>
      </c>
      <c r="V916">
        <v>3</v>
      </c>
    </row>
    <row r="917" spans="1:22" x14ac:dyDescent="0.2">
      <c r="A917" t="s">
        <v>7289</v>
      </c>
      <c r="B917" t="s">
        <v>7291</v>
      </c>
      <c r="C917" t="s">
        <v>1012</v>
      </c>
      <c r="D917" t="s">
        <v>96</v>
      </c>
      <c r="E917">
        <v>139.99</v>
      </c>
      <c r="F917" t="s">
        <v>8118</v>
      </c>
      <c r="L917" t="s">
        <v>10</v>
      </c>
      <c r="M917">
        <v>466346</v>
      </c>
      <c r="N917">
        <v>0</v>
      </c>
      <c r="O917">
        <v>0</v>
      </c>
      <c r="P917" t="s">
        <v>290</v>
      </c>
      <c r="T917">
        <v>0</v>
      </c>
      <c r="U917">
        <v>0</v>
      </c>
      <c r="V917">
        <v>0</v>
      </c>
    </row>
    <row r="918" spans="1:22" x14ac:dyDescent="0.2">
      <c r="A918" t="s">
        <v>4426</v>
      </c>
      <c r="B918" t="s">
        <v>4427</v>
      </c>
      <c r="C918" t="s">
        <v>1012</v>
      </c>
      <c r="D918" t="s">
        <v>96</v>
      </c>
      <c r="E918">
        <v>59.99</v>
      </c>
      <c r="F918" t="s">
        <v>8118</v>
      </c>
      <c r="L918" t="s">
        <v>10</v>
      </c>
      <c r="M918">
        <v>544712</v>
      </c>
      <c r="N918">
        <v>10</v>
      </c>
      <c r="O918">
        <v>0.10087719298245616</v>
      </c>
      <c r="P918" t="s">
        <v>7015</v>
      </c>
      <c r="T918">
        <v>2</v>
      </c>
      <c r="U918">
        <v>59.99</v>
      </c>
      <c r="V918">
        <v>19</v>
      </c>
    </row>
    <row r="919" spans="1:22" x14ac:dyDescent="0.2">
      <c r="A919" t="s">
        <v>7098</v>
      </c>
      <c r="B919" t="s">
        <v>7099</v>
      </c>
      <c r="C919" t="s">
        <v>1012</v>
      </c>
      <c r="D919" t="s">
        <v>96</v>
      </c>
      <c r="E919">
        <v>79.989999999999995</v>
      </c>
      <c r="F919" t="s">
        <v>8118</v>
      </c>
      <c r="L919" t="s">
        <v>10</v>
      </c>
      <c r="M919">
        <v>365317</v>
      </c>
      <c r="N919">
        <v>0</v>
      </c>
      <c r="O919">
        <v>0</v>
      </c>
      <c r="P919" t="s">
        <v>290</v>
      </c>
      <c r="T919">
        <v>0</v>
      </c>
      <c r="U919">
        <v>0</v>
      </c>
      <c r="V919">
        <v>0</v>
      </c>
    </row>
    <row r="920" spans="1:22" x14ac:dyDescent="0.2">
      <c r="A920" t="s">
        <v>1013</v>
      </c>
      <c r="B920" t="s">
        <v>1014</v>
      </c>
      <c r="C920" t="s">
        <v>1012</v>
      </c>
      <c r="D920" t="s">
        <v>290</v>
      </c>
      <c r="E920">
        <v>79.989999999999995</v>
      </c>
      <c r="F920" t="s">
        <v>8118</v>
      </c>
      <c r="G920">
        <v>36</v>
      </c>
      <c r="I920">
        <v>36</v>
      </c>
      <c r="L920" t="s">
        <v>10</v>
      </c>
      <c r="M920">
        <v>526080</v>
      </c>
      <c r="N920">
        <v>14</v>
      </c>
      <c r="O920">
        <v>7.2549019607843129E-2</v>
      </c>
      <c r="P920" t="s">
        <v>7015</v>
      </c>
      <c r="T920">
        <v>18</v>
      </c>
      <c r="U920">
        <v>879.89</v>
      </c>
      <c r="V920">
        <v>255</v>
      </c>
    </row>
    <row r="921" spans="1:22" x14ac:dyDescent="0.2">
      <c r="A921" t="s">
        <v>4398</v>
      </c>
      <c r="B921" t="s">
        <v>4399</v>
      </c>
      <c r="C921" t="s">
        <v>1012</v>
      </c>
      <c r="D921" t="s">
        <v>290</v>
      </c>
      <c r="E921">
        <v>79.989999999999995</v>
      </c>
      <c r="F921" t="s">
        <v>8118</v>
      </c>
      <c r="G921">
        <v>27</v>
      </c>
      <c r="I921">
        <v>27</v>
      </c>
      <c r="L921" t="s">
        <v>10</v>
      </c>
      <c r="M921">
        <v>526081</v>
      </c>
      <c r="N921">
        <v>3</v>
      </c>
      <c r="O921">
        <v>0.3611111111111111</v>
      </c>
      <c r="P921" t="s">
        <v>7015</v>
      </c>
      <c r="T921">
        <v>1</v>
      </c>
      <c r="U921">
        <v>0</v>
      </c>
      <c r="V921">
        <v>3</v>
      </c>
    </row>
    <row r="922" spans="1:22" x14ac:dyDescent="0.2">
      <c r="A922" t="s">
        <v>4422</v>
      </c>
      <c r="B922" t="s">
        <v>4423</v>
      </c>
      <c r="C922" t="s">
        <v>1012</v>
      </c>
      <c r="D922" t="s">
        <v>290</v>
      </c>
      <c r="E922">
        <v>119.99</v>
      </c>
      <c r="F922" t="s">
        <v>8118</v>
      </c>
      <c r="G922">
        <v>46</v>
      </c>
      <c r="I922">
        <v>46</v>
      </c>
      <c r="L922" t="s">
        <v>10</v>
      </c>
      <c r="M922">
        <v>639160</v>
      </c>
      <c r="N922">
        <v>2</v>
      </c>
      <c r="O922">
        <v>0.54166666666666663</v>
      </c>
      <c r="P922" t="s">
        <v>7015</v>
      </c>
      <c r="T922">
        <v>1</v>
      </c>
      <c r="U922">
        <v>0</v>
      </c>
      <c r="V922">
        <v>2</v>
      </c>
    </row>
    <row r="923" spans="1:22" x14ac:dyDescent="0.2">
      <c r="A923" t="s">
        <v>7295</v>
      </c>
      <c r="B923" t="s">
        <v>7297</v>
      </c>
      <c r="C923" t="s">
        <v>1012</v>
      </c>
      <c r="D923" t="s">
        <v>96</v>
      </c>
      <c r="E923">
        <v>49.99</v>
      </c>
      <c r="F923" t="s">
        <v>8118</v>
      </c>
      <c r="L923" t="s">
        <v>10</v>
      </c>
      <c r="M923">
        <v>579841</v>
      </c>
      <c r="N923">
        <v>0</v>
      </c>
      <c r="O923">
        <v>0</v>
      </c>
      <c r="P923" t="s">
        <v>7015</v>
      </c>
      <c r="T923">
        <v>0</v>
      </c>
      <c r="U923">
        <v>0</v>
      </c>
      <c r="V923">
        <v>0</v>
      </c>
    </row>
    <row r="924" spans="1:22" x14ac:dyDescent="0.2">
      <c r="A924" t="s">
        <v>4429</v>
      </c>
      <c r="B924" t="s">
        <v>4430</v>
      </c>
      <c r="C924" t="s">
        <v>1012</v>
      </c>
      <c r="D924" t="s">
        <v>96</v>
      </c>
      <c r="E924">
        <v>59.99</v>
      </c>
      <c r="F924" t="s">
        <v>8118</v>
      </c>
      <c r="L924" t="s">
        <v>10</v>
      </c>
      <c r="M924">
        <v>544711</v>
      </c>
      <c r="N924">
        <v>68</v>
      </c>
      <c r="O924">
        <v>1.4705882352941176E-2</v>
      </c>
      <c r="P924" t="s">
        <v>7015</v>
      </c>
      <c r="T924">
        <v>0</v>
      </c>
      <c r="U924">
        <v>0</v>
      </c>
      <c r="V924">
        <v>17</v>
      </c>
    </row>
    <row r="925" spans="1:22" x14ac:dyDescent="0.2">
      <c r="A925" t="s">
        <v>4452</v>
      </c>
      <c r="B925" t="s">
        <v>4453</v>
      </c>
      <c r="C925" t="s">
        <v>1012</v>
      </c>
      <c r="D925" t="s">
        <v>96</v>
      </c>
      <c r="E925">
        <v>249.99</v>
      </c>
      <c r="F925" t="s">
        <v>8118</v>
      </c>
      <c r="L925" t="s">
        <v>10</v>
      </c>
      <c r="M925">
        <v>393946</v>
      </c>
      <c r="N925">
        <v>0</v>
      </c>
      <c r="O925">
        <v>0</v>
      </c>
      <c r="P925" t="s">
        <v>7015</v>
      </c>
      <c r="T925">
        <v>0</v>
      </c>
      <c r="U925">
        <v>0</v>
      </c>
      <c r="V925">
        <v>5</v>
      </c>
    </row>
    <row r="926" spans="1:22" x14ac:dyDescent="0.2">
      <c r="A926" t="s">
        <v>7690</v>
      </c>
      <c r="B926" t="s">
        <v>7691</v>
      </c>
      <c r="C926" t="s">
        <v>1012</v>
      </c>
      <c r="D926" t="s">
        <v>96</v>
      </c>
      <c r="E926">
        <v>139.99</v>
      </c>
      <c r="F926" t="s">
        <v>8118</v>
      </c>
      <c r="L926" t="s">
        <v>7032</v>
      </c>
      <c r="M926" t="s">
        <v>97</v>
      </c>
      <c r="N926">
        <v>0</v>
      </c>
      <c r="O926">
        <v>0</v>
      </c>
      <c r="T926">
        <v>0</v>
      </c>
      <c r="U926">
        <v>0</v>
      </c>
      <c r="V926">
        <v>0</v>
      </c>
    </row>
    <row r="927" spans="1:22" x14ac:dyDescent="0.2">
      <c r="A927" t="s">
        <v>7506</v>
      </c>
      <c r="B927" t="s">
        <v>7507</v>
      </c>
      <c r="C927" t="s">
        <v>1012</v>
      </c>
      <c r="D927" t="s">
        <v>96</v>
      </c>
      <c r="E927">
        <v>139.99</v>
      </c>
      <c r="F927" t="s">
        <v>8118</v>
      </c>
      <c r="L927" t="s">
        <v>7032</v>
      </c>
      <c r="M927" t="s">
        <v>97</v>
      </c>
      <c r="N927">
        <v>0</v>
      </c>
      <c r="O927">
        <v>0</v>
      </c>
      <c r="T927">
        <v>0</v>
      </c>
      <c r="U927">
        <v>0</v>
      </c>
      <c r="V927">
        <v>0</v>
      </c>
    </row>
    <row r="928" spans="1:22" x14ac:dyDescent="0.2">
      <c r="A928" t="s">
        <v>7480</v>
      </c>
      <c r="B928" t="s">
        <v>7481</v>
      </c>
      <c r="C928" t="s">
        <v>1012</v>
      </c>
      <c r="D928" t="s">
        <v>96</v>
      </c>
      <c r="E928">
        <v>139.99</v>
      </c>
      <c r="F928" t="s">
        <v>8118</v>
      </c>
      <c r="L928" t="s">
        <v>7032</v>
      </c>
      <c r="M928" t="s">
        <v>97</v>
      </c>
      <c r="N928">
        <v>0</v>
      </c>
      <c r="O928">
        <v>0</v>
      </c>
      <c r="T928">
        <v>0</v>
      </c>
      <c r="U928">
        <v>0</v>
      </c>
      <c r="V928">
        <v>0</v>
      </c>
    </row>
    <row r="929" spans="1:22" x14ac:dyDescent="0.2">
      <c r="A929" t="s">
        <v>7478</v>
      </c>
      <c r="B929" t="s">
        <v>7479</v>
      </c>
      <c r="C929" t="s">
        <v>1012</v>
      </c>
      <c r="D929" t="s">
        <v>96</v>
      </c>
      <c r="E929">
        <v>139.99</v>
      </c>
      <c r="F929" t="s">
        <v>8118</v>
      </c>
      <c r="L929" t="s">
        <v>7032</v>
      </c>
      <c r="M929" t="s">
        <v>97</v>
      </c>
      <c r="N929">
        <v>0</v>
      </c>
      <c r="O929">
        <v>0</v>
      </c>
      <c r="T929">
        <v>0.2</v>
      </c>
      <c r="U929">
        <v>0</v>
      </c>
      <c r="V929">
        <v>0</v>
      </c>
    </row>
    <row r="930" spans="1:22" x14ac:dyDescent="0.2">
      <c r="A930" t="s">
        <v>4458</v>
      </c>
      <c r="B930" t="s">
        <v>4459</v>
      </c>
      <c r="C930" t="s">
        <v>1012</v>
      </c>
      <c r="D930" t="s">
        <v>290</v>
      </c>
      <c r="E930">
        <v>139.99</v>
      </c>
      <c r="F930" t="s">
        <v>8118</v>
      </c>
      <c r="G930">
        <v>14</v>
      </c>
      <c r="I930">
        <v>14</v>
      </c>
      <c r="L930" t="s">
        <v>7032</v>
      </c>
      <c r="M930" t="s">
        <v>97</v>
      </c>
      <c r="N930">
        <v>20</v>
      </c>
      <c r="O930">
        <v>0.05</v>
      </c>
      <c r="T930">
        <v>0.2</v>
      </c>
      <c r="U930">
        <v>0</v>
      </c>
      <c r="V930">
        <v>4</v>
      </c>
    </row>
    <row r="931" spans="1:22" x14ac:dyDescent="0.2">
      <c r="A931" t="s">
        <v>7470</v>
      </c>
      <c r="B931" t="s">
        <v>7471</v>
      </c>
      <c r="C931" t="s">
        <v>1012</v>
      </c>
      <c r="D931" t="s">
        <v>96</v>
      </c>
      <c r="E931">
        <v>139.99</v>
      </c>
      <c r="F931" t="s">
        <v>8118</v>
      </c>
      <c r="L931" t="s">
        <v>7032</v>
      </c>
      <c r="M931" t="s">
        <v>97</v>
      </c>
      <c r="N931">
        <v>0</v>
      </c>
      <c r="O931">
        <v>0</v>
      </c>
      <c r="T931">
        <v>0</v>
      </c>
      <c r="U931">
        <v>0</v>
      </c>
      <c r="V931">
        <v>0</v>
      </c>
    </row>
    <row r="932" spans="1:22" x14ac:dyDescent="0.2">
      <c r="A932" t="s">
        <v>7784</v>
      </c>
      <c r="B932" t="s">
        <v>7785</v>
      </c>
      <c r="C932" t="s">
        <v>1012</v>
      </c>
      <c r="D932" t="s">
        <v>96</v>
      </c>
      <c r="E932">
        <v>139.99</v>
      </c>
      <c r="F932" t="s">
        <v>8118</v>
      </c>
      <c r="L932" t="s">
        <v>7032</v>
      </c>
      <c r="M932" t="s">
        <v>97</v>
      </c>
      <c r="N932">
        <v>0</v>
      </c>
      <c r="O932">
        <v>0</v>
      </c>
      <c r="T932">
        <v>0</v>
      </c>
      <c r="U932">
        <v>0</v>
      </c>
      <c r="V932">
        <v>0</v>
      </c>
    </row>
    <row r="933" spans="1:22" x14ac:dyDescent="0.2">
      <c r="A933" t="s">
        <v>7786</v>
      </c>
      <c r="B933" t="s">
        <v>7787</v>
      </c>
      <c r="C933" t="s">
        <v>1012</v>
      </c>
      <c r="D933" t="s">
        <v>96</v>
      </c>
      <c r="E933">
        <v>139.99</v>
      </c>
      <c r="F933" t="s">
        <v>8118</v>
      </c>
      <c r="L933" t="s">
        <v>7032</v>
      </c>
      <c r="M933" t="s">
        <v>97</v>
      </c>
      <c r="N933">
        <v>0</v>
      </c>
      <c r="O933">
        <v>0</v>
      </c>
      <c r="T933">
        <v>0</v>
      </c>
      <c r="U933">
        <v>0</v>
      </c>
      <c r="V933">
        <v>0</v>
      </c>
    </row>
    <row r="934" spans="1:22" x14ac:dyDescent="0.2">
      <c r="A934" t="s">
        <v>7106</v>
      </c>
      <c r="B934" t="s">
        <v>7107</v>
      </c>
      <c r="C934" t="s">
        <v>1012</v>
      </c>
      <c r="D934" t="s">
        <v>96</v>
      </c>
      <c r="E934">
        <v>59.99</v>
      </c>
      <c r="F934" t="s">
        <v>8118</v>
      </c>
      <c r="L934" t="s">
        <v>7032</v>
      </c>
      <c r="M934" t="s">
        <v>97</v>
      </c>
      <c r="N934">
        <v>0</v>
      </c>
      <c r="O934">
        <v>0</v>
      </c>
      <c r="T934">
        <v>0</v>
      </c>
      <c r="U934">
        <v>0</v>
      </c>
      <c r="V934">
        <v>0</v>
      </c>
    </row>
    <row r="935" spans="1:22" x14ac:dyDescent="0.2">
      <c r="A935" t="s">
        <v>4436</v>
      </c>
      <c r="B935" t="s">
        <v>4437</v>
      </c>
      <c r="C935" t="s">
        <v>1012</v>
      </c>
      <c r="D935" t="s">
        <v>96</v>
      </c>
      <c r="E935">
        <v>59.99</v>
      </c>
      <c r="F935" t="s">
        <v>8118</v>
      </c>
      <c r="L935" t="s">
        <v>7032</v>
      </c>
      <c r="M935" t="s">
        <v>97</v>
      </c>
      <c r="N935">
        <v>0</v>
      </c>
      <c r="O935">
        <v>0</v>
      </c>
      <c r="T935">
        <v>0</v>
      </c>
      <c r="U935">
        <v>0</v>
      </c>
      <c r="V935">
        <v>0</v>
      </c>
    </row>
    <row r="936" spans="1:22" x14ac:dyDescent="0.2">
      <c r="A936" t="s">
        <v>7706</v>
      </c>
      <c r="B936" t="s">
        <v>7707</v>
      </c>
      <c r="C936" t="s">
        <v>1012</v>
      </c>
      <c r="D936" t="s">
        <v>96</v>
      </c>
      <c r="E936">
        <v>139.99</v>
      </c>
      <c r="F936" t="s">
        <v>8118</v>
      </c>
      <c r="L936" t="s">
        <v>7032</v>
      </c>
      <c r="M936" t="s">
        <v>97</v>
      </c>
      <c r="N936">
        <v>0</v>
      </c>
      <c r="O936">
        <v>0</v>
      </c>
      <c r="T936">
        <v>0</v>
      </c>
      <c r="U936">
        <v>0</v>
      </c>
      <c r="V936">
        <v>0</v>
      </c>
    </row>
    <row r="937" spans="1:22" x14ac:dyDescent="0.2">
      <c r="A937" t="s">
        <v>7686</v>
      </c>
      <c r="B937" t="s">
        <v>7687</v>
      </c>
      <c r="C937" t="s">
        <v>1012</v>
      </c>
      <c r="D937" t="s">
        <v>290</v>
      </c>
      <c r="E937">
        <v>139.99</v>
      </c>
      <c r="F937" t="s">
        <v>8118</v>
      </c>
      <c r="L937" t="s">
        <v>7032</v>
      </c>
      <c r="M937" t="s">
        <v>97</v>
      </c>
      <c r="N937">
        <v>0</v>
      </c>
      <c r="O937">
        <v>0</v>
      </c>
      <c r="T937">
        <v>0</v>
      </c>
      <c r="U937">
        <v>0</v>
      </c>
      <c r="V937">
        <v>0</v>
      </c>
    </row>
    <row r="938" spans="1:22" x14ac:dyDescent="0.2">
      <c r="A938" t="s">
        <v>7700</v>
      </c>
      <c r="B938" t="s">
        <v>7701</v>
      </c>
      <c r="C938" t="s">
        <v>1012</v>
      </c>
      <c r="D938" t="s">
        <v>96</v>
      </c>
      <c r="E938">
        <v>139.99</v>
      </c>
      <c r="F938" t="s">
        <v>8118</v>
      </c>
      <c r="L938" t="s">
        <v>7032</v>
      </c>
      <c r="M938" t="s">
        <v>97</v>
      </c>
      <c r="N938">
        <v>0</v>
      </c>
      <c r="O938">
        <v>0</v>
      </c>
      <c r="T938">
        <v>0</v>
      </c>
      <c r="U938">
        <v>0</v>
      </c>
      <c r="V938">
        <v>0</v>
      </c>
    </row>
    <row r="939" spans="1:22" x14ac:dyDescent="0.2">
      <c r="A939" t="s">
        <v>7680</v>
      </c>
      <c r="B939" t="s">
        <v>7681</v>
      </c>
      <c r="C939" t="s">
        <v>1012</v>
      </c>
      <c r="D939" t="s">
        <v>96</v>
      </c>
      <c r="E939">
        <v>139.99</v>
      </c>
      <c r="F939" t="s">
        <v>8118</v>
      </c>
      <c r="L939" t="s">
        <v>7032</v>
      </c>
      <c r="M939" t="s">
        <v>97</v>
      </c>
      <c r="N939">
        <v>0</v>
      </c>
      <c r="O939">
        <v>0</v>
      </c>
      <c r="T939">
        <v>0</v>
      </c>
      <c r="U939">
        <v>0</v>
      </c>
      <c r="V939">
        <v>0</v>
      </c>
    </row>
    <row r="940" spans="1:22" x14ac:dyDescent="0.2">
      <c r="A940" t="s">
        <v>7688</v>
      </c>
      <c r="B940" t="s">
        <v>7689</v>
      </c>
      <c r="C940" t="s">
        <v>1012</v>
      </c>
      <c r="D940" t="s">
        <v>290</v>
      </c>
      <c r="E940">
        <v>139.99</v>
      </c>
      <c r="F940" t="s">
        <v>8118</v>
      </c>
      <c r="L940" t="s">
        <v>7032</v>
      </c>
      <c r="M940" t="s">
        <v>97</v>
      </c>
      <c r="N940">
        <v>0</v>
      </c>
      <c r="O940">
        <v>0</v>
      </c>
      <c r="T940">
        <v>0</v>
      </c>
      <c r="U940">
        <v>0</v>
      </c>
      <c r="V940">
        <v>0</v>
      </c>
    </row>
    <row r="941" spans="1:22" x14ac:dyDescent="0.2">
      <c r="A941" t="s">
        <v>7794</v>
      </c>
      <c r="B941" t="s">
        <v>7795</v>
      </c>
      <c r="C941" t="s">
        <v>1012</v>
      </c>
      <c r="D941" t="s">
        <v>96</v>
      </c>
      <c r="E941">
        <v>69.989999999999995</v>
      </c>
      <c r="F941" t="s">
        <v>8118</v>
      </c>
      <c r="L941" t="s">
        <v>7032</v>
      </c>
      <c r="M941" t="s">
        <v>97</v>
      </c>
      <c r="N941">
        <v>0</v>
      </c>
      <c r="O941">
        <v>0</v>
      </c>
      <c r="T941">
        <v>0</v>
      </c>
      <c r="U941">
        <v>0</v>
      </c>
      <c r="V941">
        <v>0</v>
      </c>
    </row>
    <row r="942" spans="1:22" x14ac:dyDescent="0.2">
      <c r="A942" t="s">
        <v>7774</v>
      </c>
      <c r="B942" t="s">
        <v>7775</v>
      </c>
      <c r="C942" t="s">
        <v>1012</v>
      </c>
      <c r="D942" t="s">
        <v>96</v>
      </c>
      <c r="E942">
        <v>69.989999999999995</v>
      </c>
      <c r="F942" t="s">
        <v>8118</v>
      </c>
      <c r="L942" t="s">
        <v>7032</v>
      </c>
      <c r="M942" t="s">
        <v>97</v>
      </c>
      <c r="N942">
        <v>0</v>
      </c>
      <c r="O942">
        <v>0</v>
      </c>
      <c r="T942">
        <v>0</v>
      </c>
      <c r="U942">
        <v>0</v>
      </c>
      <c r="V942">
        <v>0</v>
      </c>
    </row>
    <row r="943" spans="1:22" x14ac:dyDescent="0.2">
      <c r="A943" t="s">
        <v>7468</v>
      </c>
      <c r="B943" t="s">
        <v>7469</v>
      </c>
      <c r="C943" t="s">
        <v>1012</v>
      </c>
      <c r="D943" t="s">
        <v>96</v>
      </c>
      <c r="E943">
        <v>69.989999999999995</v>
      </c>
      <c r="F943" t="s">
        <v>8118</v>
      </c>
      <c r="L943" t="s">
        <v>7032</v>
      </c>
      <c r="M943" t="s">
        <v>97</v>
      </c>
      <c r="N943">
        <v>0</v>
      </c>
      <c r="O943">
        <v>0</v>
      </c>
      <c r="T943">
        <v>0</v>
      </c>
      <c r="U943">
        <v>0</v>
      </c>
      <c r="V943">
        <v>0</v>
      </c>
    </row>
    <row r="944" spans="1:22" x14ac:dyDescent="0.2">
      <c r="A944" t="s">
        <v>7474</v>
      </c>
      <c r="B944" t="s">
        <v>7475</v>
      </c>
      <c r="C944" t="s">
        <v>1012</v>
      </c>
      <c r="D944" t="s">
        <v>96</v>
      </c>
      <c r="E944">
        <v>69.989999999999995</v>
      </c>
      <c r="F944" t="s">
        <v>8118</v>
      </c>
      <c r="L944" t="s">
        <v>7032</v>
      </c>
      <c r="M944" t="s">
        <v>97</v>
      </c>
      <c r="N944">
        <v>0</v>
      </c>
      <c r="O944">
        <v>0</v>
      </c>
      <c r="T944">
        <v>0</v>
      </c>
      <c r="U944">
        <v>0</v>
      </c>
      <c r="V944">
        <v>0</v>
      </c>
    </row>
    <row r="945" spans="1:22" x14ac:dyDescent="0.2">
      <c r="A945" t="s">
        <v>7476</v>
      </c>
      <c r="B945" t="s">
        <v>7477</v>
      </c>
      <c r="C945" t="s">
        <v>1012</v>
      </c>
      <c r="D945" t="s">
        <v>96</v>
      </c>
      <c r="E945">
        <v>69.989999999999995</v>
      </c>
      <c r="F945" t="s">
        <v>8118</v>
      </c>
      <c r="L945" t="s">
        <v>7032</v>
      </c>
      <c r="M945" t="s">
        <v>97</v>
      </c>
      <c r="N945">
        <v>0</v>
      </c>
      <c r="O945">
        <v>0</v>
      </c>
      <c r="T945">
        <v>0</v>
      </c>
      <c r="U945">
        <v>0</v>
      </c>
      <c r="V945">
        <v>0</v>
      </c>
    </row>
    <row r="946" spans="1:22" x14ac:dyDescent="0.2">
      <c r="A946" t="s">
        <v>7472</v>
      </c>
      <c r="B946" t="s">
        <v>7473</v>
      </c>
      <c r="C946" t="s">
        <v>1012</v>
      </c>
      <c r="D946" t="s">
        <v>96</v>
      </c>
      <c r="E946">
        <v>139.99</v>
      </c>
      <c r="F946" t="s">
        <v>8118</v>
      </c>
      <c r="L946" t="s">
        <v>7032</v>
      </c>
      <c r="M946" t="s">
        <v>97</v>
      </c>
      <c r="N946">
        <v>0</v>
      </c>
      <c r="O946">
        <v>0</v>
      </c>
      <c r="T946">
        <v>0</v>
      </c>
      <c r="U946">
        <v>0</v>
      </c>
      <c r="V946">
        <v>0</v>
      </c>
    </row>
    <row r="947" spans="1:22" x14ac:dyDescent="0.2">
      <c r="A947" t="s">
        <v>7460</v>
      </c>
      <c r="B947" t="s">
        <v>7461</v>
      </c>
      <c r="C947" t="s">
        <v>1012</v>
      </c>
      <c r="D947" t="s">
        <v>96</v>
      </c>
      <c r="E947">
        <v>29.99</v>
      </c>
      <c r="F947" t="s">
        <v>8118</v>
      </c>
      <c r="L947" t="s">
        <v>7032</v>
      </c>
      <c r="M947" t="s">
        <v>97</v>
      </c>
      <c r="N947">
        <v>0</v>
      </c>
      <c r="O947">
        <v>0</v>
      </c>
      <c r="T947">
        <v>0</v>
      </c>
      <c r="U947">
        <v>0</v>
      </c>
      <c r="V947">
        <v>0</v>
      </c>
    </row>
    <row r="948" spans="1:22" x14ac:dyDescent="0.2">
      <c r="A948" t="s">
        <v>7780</v>
      </c>
      <c r="B948" t="s">
        <v>7781</v>
      </c>
      <c r="C948" t="s">
        <v>1012</v>
      </c>
      <c r="D948" t="s">
        <v>96</v>
      </c>
      <c r="E948">
        <v>69.989999999999995</v>
      </c>
      <c r="F948" t="s">
        <v>8118</v>
      </c>
      <c r="L948" t="s">
        <v>7032</v>
      </c>
      <c r="M948" t="s">
        <v>97</v>
      </c>
      <c r="N948">
        <v>0</v>
      </c>
      <c r="O948">
        <v>0</v>
      </c>
      <c r="T948">
        <v>0</v>
      </c>
      <c r="U948">
        <v>0</v>
      </c>
      <c r="V948">
        <v>0</v>
      </c>
    </row>
    <row r="949" spans="1:22" x14ac:dyDescent="0.2">
      <c r="A949" t="s">
        <v>7788</v>
      </c>
      <c r="B949" t="s">
        <v>7789</v>
      </c>
      <c r="C949" t="s">
        <v>1012</v>
      </c>
      <c r="D949" t="s">
        <v>96</v>
      </c>
      <c r="E949">
        <v>139.99</v>
      </c>
      <c r="F949" t="s">
        <v>8118</v>
      </c>
      <c r="L949" t="s">
        <v>7032</v>
      </c>
      <c r="M949" t="s">
        <v>97</v>
      </c>
      <c r="N949">
        <v>0</v>
      </c>
      <c r="O949">
        <v>0</v>
      </c>
      <c r="T949">
        <v>0</v>
      </c>
      <c r="U949">
        <v>0</v>
      </c>
      <c r="V949">
        <v>0</v>
      </c>
    </row>
    <row r="950" spans="1:22" x14ac:dyDescent="0.2">
      <c r="A950" t="s">
        <v>7482</v>
      </c>
      <c r="B950" t="s">
        <v>7483</v>
      </c>
      <c r="C950" t="s">
        <v>1012</v>
      </c>
      <c r="D950" t="s">
        <v>96</v>
      </c>
      <c r="E950">
        <v>139.99</v>
      </c>
      <c r="F950" t="s">
        <v>8118</v>
      </c>
      <c r="L950" t="s">
        <v>7032</v>
      </c>
      <c r="M950" t="s">
        <v>97</v>
      </c>
      <c r="N950">
        <v>0</v>
      </c>
      <c r="O950">
        <v>0</v>
      </c>
      <c r="T950">
        <v>0</v>
      </c>
      <c r="U950">
        <v>0</v>
      </c>
      <c r="V950">
        <v>0</v>
      </c>
    </row>
    <row r="951" spans="1:22" x14ac:dyDescent="0.2">
      <c r="A951" t="s">
        <v>7484</v>
      </c>
      <c r="B951" t="s">
        <v>7485</v>
      </c>
      <c r="C951" t="s">
        <v>1012</v>
      </c>
      <c r="D951" t="s">
        <v>96</v>
      </c>
      <c r="E951">
        <v>139.99</v>
      </c>
      <c r="F951" t="s">
        <v>8118</v>
      </c>
      <c r="L951" t="s">
        <v>7032</v>
      </c>
      <c r="M951" t="s">
        <v>97</v>
      </c>
      <c r="N951">
        <v>0</v>
      </c>
      <c r="O951">
        <v>0</v>
      </c>
      <c r="T951">
        <v>0</v>
      </c>
      <c r="U951">
        <v>0</v>
      </c>
      <c r="V951">
        <v>0</v>
      </c>
    </row>
    <row r="952" spans="1:22" x14ac:dyDescent="0.2">
      <c r="A952" t="s">
        <v>4393</v>
      </c>
      <c r="B952" t="s">
        <v>4394</v>
      </c>
      <c r="C952" t="s">
        <v>1012</v>
      </c>
      <c r="D952" t="s">
        <v>290</v>
      </c>
      <c r="E952">
        <v>89.99</v>
      </c>
      <c r="F952" t="s">
        <v>8118</v>
      </c>
      <c r="G952">
        <v>13</v>
      </c>
      <c r="I952">
        <v>13</v>
      </c>
      <c r="L952" t="s">
        <v>7032</v>
      </c>
      <c r="M952" t="s">
        <v>97</v>
      </c>
      <c r="N952">
        <v>0</v>
      </c>
      <c r="O952">
        <v>0</v>
      </c>
      <c r="T952">
        <v>0</v>
      </c>
      <c r="U952">
        <v>0</v>
      </c>
      <c r="V952">
        <v>0</v>
      </c>
    </row>
    <row r="953" spans="1:22" x14ac:dyDescent="0.2">
      <c r="A953" t="s">
        <v>7464</v>
      </c>
      <c r="B953" t="s">
        <v>7465</v>
      </c>
      <c r="C953" t="s">
        <v>1012</v>
      </c>
      <c r="D953" t="s">
        <v>96</v>
      </c>
      <c r="E953">
        <v>69.989999999999995</v>
      </c>
      <c r="F953" t="s">
        <v>8118</v>
      </c>
      <c r="L953" t="s">
        <v>7032</v>
      </c>
      <c r="M953" t="s">
        <v>97</v>
      </c>
      <c r="N953">
        <v>0</v>
      </c>
      <c r="O953">
        <v>0</v>
      </c>
      <c r="T953">
        <v>0</v>
      </c>
      <c r="U953">
        <v>0</v>
      </c>
      <c r="V953">
        <v>0</v>
      </c>
    </row>
    <row r="954" spans="1:22" x14ac:dyDescent="0.2">
      <c r="A954" t="s">
        <v>7462</v>
      </c>
      <c r="B954" t="s">
        <v>7463</v>
      </c>
      <c r="C954" t="s">
        <v>1012</v>
      </c>
      <c r="D954" t="s">
        <v>96</v>
      </c>
      <c r="E954">
        <v>69.989999999999995</v>
      </c>
      <c r="F954" t="s">
        <v>8118</v>
      </c>
      <c r="L954" t="s">
        <v>7032</v>
      </c>
      <c r="M954" t="s">
        <v>97</v>
      </c>
      <c r="N954">
        <v>0</v>
      </c>
      <c r="O954">
        <v>0</v>
      </c>
      <c r="T954">
        <v>0</v>
      </c>
      <c r="U954">
        <v>0</v>
      </c>
      <c r="V954">
        <v>0</v>
      </c>
    </row>
    <row r="955" spans="1:22" x14ac:dyDescent="0.2">
      <c r="A955" t="s">
        <v>7466</v>
      </c>
      <c r="B955" t="s">
        <v>7467</v>
      </c>
      <c r="C955" t="s">
        <v>1012</v>
      </c>
      <c r="D955" t="s">
        <v>96</v>
      </c>
      <c r="E955">
        <v>69.989999999999995</v>
      </c>
      <c r="F955" t="s">
        <v>8118</v>
      </c>
      <c r="L955" t="s">
        <v>7032</v>
      </c>
      <c r="M955" t="s">
        <v>97</v>
      </c>
      <c r="N955">
        <v>0</v>
      </c>
      <c r="O955">
        <v>0</v>
      </c>
      <c r="T955">
        <v>0</v>
      </c>
      <c r="U955">
        <v>0</v>
      </c>
      <c r="V955">
        <v>0</v>
      </c>
    </row>
    <row r="956" spans="1:22" x14ac:dyDescent="0.2">
      <c r="A956" t="s">
        <v>7490</v>
      </c>
      <c r="B956" t="s">
        <v>7491</v>
      </c>
      <c r="C956" t="s">
        <v>1012</v>
      </c>
      <c r="D956" t="s">
        <v>96</v>
      </c>
      <c r="E956">
        <v>69.989999999999995</v>
      </c>
      <c r="F956" t="s">
        <v>8118</v>
      </c>
      <c r="L956" t="s">
        <v>7032</v>
      </c>
      <c r="M956" t="s">
        <v>97</v>
      </c>
      <c r="N956">
        <v>0</v>
      </c>
      <c r="O956">
        <v>0</v>
      </c>
      <c r="T956">
        <v>0</v>
      </c>
      <c r="U956">
        <v>0</v>
      </c>
      <c r="V956">
        <v>0</v>
      </c>
    </row>
    <row r="957" spans="1:22" x14ac:dyDescent="0.2">
      <c r="A957" t="s">
        <v>7494</v>
      </c>
      <c r="B957" t="s">
        <v>7495</v>
      </c>
      <c r="C957" t="s">
        <v>1012</v>
      </c>
      <c r="D957" t="s">
        <v>96</v>
      </c>
      <c r="E957">
        <v>69.989999999999995</v>
      </c>
      <c r="F957" t="s">
        <v>8118</v>
      </c>
      <c r="L957" t="s">
        <v>7032</v>
      </c>
      <c r="M957" t="s">
        <v>97</v>
      </c>
      <c r="N957">
        <v>0</v>
      </c>
      <c r="O957">
        <v>0</v>
      </c>
      <c r="T957">
        <v>0</v>
      </c>
      <c r="U957">
        <v>0</v>
      </c>
      <c r="V957">
        <v>0</v>
      </c>
    </row>
    <row r="958" spans="1:22" x14ac:dyDescent="0.2">
      <c r="A958" t="s">
        <v>7488</v>
      </c>
      <c r="B958" t="s">
        <v>7489</v>
      </c>
      <c r="C958" t="s">
        <v>1012</v>
      </c>
      <c r="D958" t="s">
        <v>96</v>
      </c>
      <c r="E958">
        <v>69.989999999999995</v>
      </c>
      <c r="F958" t="s">
        <v>8118</v>
      </c>
      <c r="L958" t="s">
        <v>7032</v>
      </c>
      <c r="M958" t="s">
        <v>97</v>
      </c>
      <c r="N958">
        <v>0</v>
      </c>
      <c r="O958">
        <v>0</v>
      </c>
      <c r="T958">
        <v>0</v>
      </c>
      <c r="U958">
        <v>0</v>
      </c>
      <c r="V958">
        <v>0</v>
      </c>
    </row>
    <row r="959" spans="1:22" x14ac:dyDescent="0.2">
      <c r="A959" t="s">
        <v>7486</v>
      </c>
      <c r="B959" t="s">
        <v>7487</v>
      </c>
      <c r="C959" t="s">
        <v>1012</v>
      </c>
      <c r="D959" t="s">
        <v>96</v>
      </c>
      <c r="E959">
        <v>69.989999999999995</v>
      </c>
      <c r="F959" t="s">
        <v>8118</v>
      </c>
      <c r="L959" t="s">
        <v>7032</v>
      </c>
      <c r="M959" t="s">
        <v>97</v>
      </c>
      <c r="N959">
        <v>0</v>
      </c>
      <c r="O959">
        <v>0</v>
      </c>
      <c r="T959">
        <v>0</v>
      </c>
      <c r="U959">
        <v>0</v>
      </c>
      <c r="V959">
        <v>0</v>
      </c>
    </row>
    <row r="960" spans="1:22" x14ac:dyDescent="0.2">
      <c r="A960" t="s">
        <v>7496</v>
      </c>
      <c r="B960" t="s">
        <v>7497</v>
      </c>
      <c r="C960" t="s">
        <v>1012</v>
      </c>
      <c r="D960" t="s">
        <v>290</v>
      </c>
      <c r="E960">
        <v>69.989999999999995</v>
      </c>
      <c r="F960" t="s">
        <v>8118</v>
      </c>
      <c r="G960">
        <v>24</v>
      </c>
      <c r="I960">
        <v>24</v>
      </c>
      <c r="L960" t="s">
        <v>7032</v>
      </c>
      <c r="M960" t="s">
        <v>97</v>
      </c>
      <c r="N960">
        <v>0</v>
      </c>
      <c r="O960">
        <v>0</v>
      </c>
      <c r="T960">
        <v>0</v>
      </c>
      <c r="U960">
        <v>0</v>
      </c>
      <c r="V960">
        <v>3</v>
      </c>
    </row>
    <row r="961" spans="1:22" x14ac:dyDescent="0.2">
      <c r="A961" t="s">
        <v>7790</v>
      </c>
      <c r="B961" t="s">
        <v>7791</v>
      </c>
      <c r="C961" t="s">
        <v>1012</v>
      </c>
      <c r="D961" t="s">
        <v>96</v>
      </c>
      <c r="E961">
        <v>79.989999999999995</v>
      </c>
      <c r="F961" t="s">
        <v>8118</v>
      </c>
      <c r="L961" t="s">
        <v>7032</v>
      </c>
      <c r="M961" t="s">
        <v>97</v>
      </c>
      <c r="N961">
        <v>0</v>
      </c>
      <c r="O961">
        <v>0</v>
      </c>
      <c r="T961">
        <v>0</v>
      </c>
      <c r="U961">
        <v>0</v>
      </c>
      <c r="V961">
        <v>0</v>
      </c>
    </row>
    <row r="962" spans="1:22" x14ac:dyDescent="0.2">
      <c r="A962" t="s">
        <v>7492</v>
      </c>
      <c r="B962" t="s">
        <v>7493</v>
      </c>
      <c r="C962" t="s">
        <v>1012</v>
      </c>
      <c r="D962" t="s">
        <v>96</v>
      </c>
      <c r="E962">
        <v>69.989999999999995</v>
      </c>
      <c r="F962" t="s">
        <v>8118</v>
      </c>
      <c r="L962" t="s">
        <v>7032</v>
      </c>
      <c r="M962" t="s">
        <v>97</v>
      </c>
      <c r="N962">
        <v>0</v>
      </c>
      <c r="O962">
        <v>0</v>
      </c>
      <c r="T962">
        <v>0</v>
      </c>
      <c r="U962">
        <v>0</v>
      </c>
      <c r="V962">
        <v>0</v>
      </c>
    </row>
    <row r="963" spans="1:22" x14ac:dyDescent="0.2">
      <c r="A963" t="s">
        <v>4441</v>
      </c>
      <c r="B963" t="s">
        <v>4442</v>
      </c>
      <c r="C963" t="s">
        <v>1012</v>
      </c>
      <c r="D963" t="s">
        <v>96</v>
      </c>
      <c r="E963">
        <v>69.989999999999995</v>
      </c>
      <c r="F963" t="s">
        <v>8118</v>
      </c>
      <c r="L963" t="s">
        <v>7032</v>
      </c>
      <c r="M963" t="s">
        <v>97</v>
      </c>
      <c r="N963">
        <v>0</v>
      </c>
      <c r="O963">
        <v>0</v>
      </c>
      <c r="T963">
        <v>0</v>
      </c>
      <c r="U963">
        <v>0</v>
      </c>
      <c r="V963">
        <v>0</v>
      </c>
    </row>
    <row r="964" spans="1:22" x14ac:dyDescent="0.2">
      <c r="A964" t="s">
        <v>7776</v>
      </c>
      <c r="B964" t="s">
        <v>7777</v>
      </c>
      <c r="C964" t="s">
        <v>1012</v>
      </c>
      <c r="D964" t="s">
        <v>96</v>
      </c>
      <c r="E964">
        <v>69.989999999999995</v>
      </c>
      <c r="F964" t="s">
        <v>8118</v>
      </c>
      <c r="L964" t="s">
        <v>7032</v>
      </c>
      <c r="M964" t="s">
        <v>97</v>
      </c>
      <c r="N964">
        <v>0</v>
      </c>
      <c r="O964">
        <v>0</v>
      </c>
      <c r="T964">
        <v>0</v>
      </c>
      <c r="U964">
        <v>0</v>
      </c>
      <c r="V964">
        <v>0</v>
      </c>
    </row>
    <row r="965" spans="1:22" x14ac:dyDescent="0.2">
      <c r="A965" t="s">
        <v>7782</v>
      </c>
      <c r="B965" t="s">
        <v>7783</v>
      </c>
      <c r="C965" t="s">
        <v>1012</v>
      </c>
      <c r="D965" t="s">
        <v>290</v>
      </c>
      <c r="E965">
        <v>89.99</v>
      </c>
      <c r="F965" t="s">
        <v>8118</v>
      </c>
      <c r="L965" t="s">
        <v>7032</v>
      </c>
      <c r="M965" t="s">
        <v>97</v>
      </c>
      <c r="N965">
        <v>0</v>
      </c>
      <c r="O965">
        <v>0</v>
      </c>
      <c r="T965">
        <v>0</v>
      </c>
      <c r="U965">
        <v>0</v>
      </c>
      <c r="V965">
        <v>0</v>
      </c>
    </row>
    <row r="966" spans="1:22" x14ac:dyDescent="0.2">
      <c r="A966" t="s">
        <v>7778</v>
      </c>
      <c r="B966" t="s">
        <v>7779</v>
      </c>
      <c r="C966" t="s">
        <v>1012</v>
      </c>
      <c r="D966" t="s">
        <v>96</v>
      </c>
      <c r="E966">
        <v>69.989999999999995</v>
      </c>
      <c r="F966" t="s">
        <v>8118</v>
      </c>
      <c r="L966" t="s">
        <v>7032</v>
      </c>
      <c r="M966" t="s">
        <v>97</v>
      </c>
      <c r="N966">
        <v>0</v>
      </c>
      <c r="O966">
        <v>0</v>
      </c>
      <c r="T966">
        <v>0</v>
      </c>
      <c r="U966">
        <v>0</v>
      </c>
      <c r="V966">
        <v>0</v>
      </c>
    </row>
    <row r="967" spans="1:22" x14ac:dyDescent="0.2">
      <c r="A967" t="s">
        <v>7796</v>
      </c>
      <c r="B967" t="s">
        <v>7797</v>
      </c>
      <c r="C967" t="s">
        <v>1012</v>
      </c>
      <c r="D967" t="s">
        <v>96</v>
      </c>
      <c r="E967">
        <v>94.99</v>
      </c>
      <c r="F967" t="s">
        <v>8118</v>
      </c>
      <c r="L967" t="s">
        <v>7032</v>
      </c>
      <c r="M967" t="s">
        <v>97</v>
      </c>
      <c r="N967">
        <v>0</v>
      </c>
      <c r="O967">
        <v>0</v>
      </c>
      <c r="T967">
        <v>0</v>
      </c>
      <c r="U967">
        <v>0</v>
      </c>
      <c r="V967">
        <v>2</v>
      </c>
    </row>
    <row r="968" spans="1:22" x14ac:dyDescent="0.2">
      <c r="A968" t="s">
        <v>7798</v>
      </c>
      <c r="B968" t="s">
        <v>7799</v>
      </c>
      <c r="C968" t="s">
        <v>1012</v>
      </c>
      <c r="D968" t="s">
        <v>96</v>
      </c>
      <c r="E968">
        <v>94.99</v>
      </c>
      <c r="F968" t="s">
        <v>8118</v>
      </c>
      <c r="L968" t="s">
        <v>7032</v>
      </c>
      <c r="M968" t="s">
        <v>97</v>
      </c>
      <c r="N968">
        <v>0</v>
      </c>
      <c r="O968">
        <v>0</v>
      </c>
      <c r="T968">
        <v>0</v>
      </c>
      <c r="U968">
        <v>0</v>
      </c>
      <c r="V968">
        <v>0</v>
      </c>
    </row>
    <row r="969" spans="1:22" x14ac:dyDescent="0.2">
      <c r="A969" t="s">
        <v>7792</v>
      </c>
      <c r="B969" t="s">
        <v>7793</v>
      </c>
      <c r="C969" t="s">
        <v>1012</v>
      </c>
      <c r="D969" t="s">
        <v>96</v>
      </c>
      <c r="E969">
        <v>69.989999999999995</v>
      </c>
      <c r="F969" t="s">
        <v>8118</v>
      </c>
      <c r="L969" t="s">
        <v>7032</v>
      </c>
      <c r="M969" t="s">
        <v>97</v>
      </c>
      <c r="N969">
        <v>0</v>
      </c>
      <c r="O969">
        <v>0</v>
      </c>
      <c r="T969">
        <v>0</v>
      </c>
      <c r="U969">
        <v>0</v>
      </c>
      <c r="V969">
        <v>0</v>
      </c>
    </row>
    <row r="970" spans="1:22" x14ac:dyDescent="0.2">
      <c r="A970" t="s">
        <v>1013</v>
      </c>
      <c r="B970" t="s">
        <v>1014</v>
      </c>
      <c r="C970" t="s">
        <v>1012</v>
      </c>
      <c r="D970" t="s">
        <v>290</v>
      </c>
      <c r="E970">
        <v>79.989999999999995</v>
      </c>
      <c r="F970" t="s">
        <v>8118</v>
      </c>
      <c r="G970">
        <v>36</v>
      </c>
      <c r="I970">
        <v>36</v>
      </c>
      <c r="L970" t="s">
        <v>7032</v>
      </c>
      <c r="M970" t="s">
        <v>97</v>
      </c>
      <c r="N970">
        <v>1.4</v>
      </c>
      <c r="O970">
        <v>0.7142857142857143</v>
      </c>
      <c r="T970">
        <v>0.7142857142857143</v>
      </c>
      <c r="U970">
        <v>0</v>
      </c>
      <c r="V970">
        <v>1</v>
      </c>
    </row>
    <row r="971" spans="1:22" x14ac:dyDescent="0.2">
      <c r="A971" t="s">
        <v>7108</v>
      </c>
      <c r="B971" t="s">
        <v>7109</v>
      </c>
      <c r="C971" t="s">
        <v>1012</v>
      </c>
      <c r="D971" t="s">
        <v>96</v>
      </c>
      <c r="E971">
        <v>79.989999999999995</v>
      </c>
      <c r="F971" t="s">
        <v>8118</v>
      </c>
      <c r="L971" t="s">
        <v>7032</v>
      </c>
      <c r="M971" t="s">
        <v>97</v>
      </c>
      <c r="N971">
        <v>0</v>
      </c>
      <c r="O971">
        <v>0</v>
      </c>
      <c r="T971">
        <v>0</v>
      </c>
      <c r="U971">
        <v>0</v>
      </c>
      <c r="V971">
        <v>0</v>
      </c>
    </row>
    <row r="972" spans="1:22" x14ac:dyDescent="0.2">
      <c r="A972" t="s">
        <v>4422</v>
      </c>
      <c r="B972" t="s">
        <v>4423</v>
      </c>
      <c r="C972" t="s">
        <v>1012</v>
      </c>
      <c r="D972" t="s">
        <v>290</v>
      </c>
      <c r="E972">
        <v>119.99</v>
      </c>
      <c r="F972" t="s">
        <v>8118</v>
      </c>
      <c r="G972">
        <v>46</v>
      </c>
      <c r="I972">
        <v>46</v>
      </c>
      <c r="L972" t="s">
        <v>7032</v>
      </c>
      <c r="M972" t="s">
        <v>97</v>
      </c>
      <c r="N972">
        <v>0</v>
      </c>
      <c r="O972">
        <v>0</v>
      </c>
      <c r="T972">
        <v>0</v>
      </c>
      <c r="U972">
        <v>0</v>
      </c>
      <c r="V972">
        <v>0</v>
      </c>
    </row>
    <row r="973" spans="1:22" x14ac:dyDescent="0.2">
      <c r="A973" t="s">
        <v>4444</v>
      </c>
      <c r="B973" t="s">
        <v>4445</v>
      </c>
      <c r="C973" t="s">
        <v>1012</v>
      </c>
      <c r="D973" t="s">
        <v>290</v>
      </c>
      <c r="E973">
        <v>199.99</v>
      </c>
      <c r="F973" t="s">
        <v>8118</v>
      </c>
      <c r="L973" t="s">
        <v>7032</v>
      </c>
      <c r="M973" t="s">
        <v>97</v>
      </c>
      <c r="N973">
        <v>0</v>
      </c>
      <c r="O973">
        <v>0</v>
      </c>
      <c r="T973">
        <v>0</v>
      </c>
      <c r="U973">
        <v>0</v>
      </c>
      <c r="V973">
        <v>0</v>
      </c>
    </row>
    <row r="974" spans="1:22" x14ac:dyDescent="0.2">
      <c r="A974" t="s">
        <v>4402</v>
      </c>
      <c r="B974" t="s">
        <v>4403</v>
      </c>
      <c r="C974" t="s">
        <v>1012</v>
      </c>
      <c r="D974" t="s">
        <v>96</v>
      </c>
      <c r="E974">
        <v>94.99</v>
      </c>
      <c r="F974" t="s">
        <v>8118</v>
      </c>
      <c r="L974" t="s">
        <v>7032</v>
      </c>
      <c r="M974" t="s">
        <v>97</v>
      </c>
      <c r="N974">
        <v>0</v>
      </c>
      <c r="O974">
        <v>0</v>
      </c>
      <c r="T974">
        <v>0</v>
      </c>
      <c r="U974">
        <v>0</v>
      </c>
      <c r="V974">
        <v>0</v>
      </c>
    </row>
    <row r="975" spans="1:22" x14ac:dyDescent="0.2">
      <c r="A975" t="s">
        <v>4455</v>
      </c>
      <c r="B975" t="s">
        <v>4456</v>
      </c>
      <c r="C975" t="s">
        <v>1012</v>
      </c>
      <c r="D975" t="s">
        <v>96</v>
      </c>
      <c r="E975">
        <v>279.99</v>
      </c>
      <c r="F975" t="s">
        <v>8118</v>
      </c>
      <c r="L975" t="s">
        <v>7032</v>
      </c>
      <c r="M975" t="s">
        <v>97</v>
      </c>
      <c r="N975">
        <v>0</v>
      </c>
      <c r="O975">
        <v>0</v>
      </c>
      <c r="T975">
        <v>0</v>
      </c>
      <c r="U975">
        <v>0</v>
      </c>
      <c r="V975">
        <v>0</v>
      </c>
    </row>
    <row r="976" spans="1:22" x14ac:dyDescent="0.2">
      <c r="A976" t="s">
        <v>4452</v>
      </c>
      <c r="B976" t="s">
        <v>4453</v>
      </c>
      <c r="C976" t="s">
        <v>1012</v>
      </c>
      <c r="D976" t="s">
        <v>96</v>
      </c>
      <c r="E976">
        <v>249.99</v>
      </c>
      <c r="F976" t="s">
        <v>8118</v>
      </c>
      <c r="L976" t="s">
        <v>7032</v>
      </c>
      <c r="M976" t="s">
        <v>97</v>
      </c>
      <c r="N976">
        <v>0</v>
      </c>
      <c r="O976">
        <v>0</v>
      </c>
      <c r="T976">
        <v>0</v>
      </c>
      <c r="U976">
        <v>0</v>
      </c>
      <c r="V976">
        <v>0</v>
      </c>
    </row>
    <row r="977" spans="1:22" x14ac:dyDescent="0.2">
      <c r="A977" t="s">
        <v>4449</v>
      </c>
      <c r="B977" t="s">
        <v>4450</v>
      </c>
      <c r="C977" t="s">
        <v>1012</v>
      </c>
      <c r="D977" t="s">
        <v>96</v>
      </c>
      <c r="E977">
        <v>159.99</v>
      </c>
      <c r="F977" t="s">
        <v>8118</v>
      </c>
      <c r="L977" t="s">
        <v>7032</v>
      </c>
      <c r="M977" t="s">
        <v>97</v>
      </c>
      <c r="N977">
        <v>0</v>
      </c>
      <c r="O977">
        <v>0</v>
      </c>
      <c r="T977">
        <v>0</v>
      </c>
      <c r="U977">
        <v>0</v>
      </c>
      <c r="V977">
        <v>0</v>
      </c>
    </row>
    <row r="978" spans="1:22" x14ac:dyDescent="0.2">
      <c r="A978" t="s">
        <v>7269</v>
      </c>
      <c r="B978" t="s">
        <v>7271</v>
      </c>
      <c r="C978" t="s">
        <v>1012</v>
      </c>
      <c r="D978" t="s">
        <v>96</v>
      </c>
      <c r="F978" t="s">
        <v>8118</v>
      </c>
      <c r="L978" t="s">
        <v>7032</v>
      </c>
      <c r="M978" t="s">
        <v>97</v>
      </c>
      <c r="N978">
        <v>0</v>
      </c>
      <c r="O978">
        <v>0</v>
      </c>
      <c r="T978">
        <v>0</v>
      </c>
      <c r="V978">
        <v>0</v>
      </c>
    </row>
    <row r="979" spans="1:22" x14ac:dyDescent="0.2">
      <c r="A979" t="s">
        <v>4447</v>
      </c>
      <c r="B979" t="s">
        <v>4448</v>
      </c>
      <c r="C979" t="s">
        <v>1012</v>
      </c>
      <c r="D979" t="s">
        <v>96</v>
      </c>
      <c r="E979">
        <v>199.99</v>
      </c>
      <c r="F979" t="s">
        <v>8118</v>
      </c>
      <c r="L979" t="s">
        <v>7032</v>
      </c>
      <c r="M979" t="s">
        <v>97</v>
      </c>
      <c r="N979">
        <v>0</v>
      </c>
      <c r="O979">
        <v>0</v>
      </c>
      <c r="T979">
        <v>0</v>
      </c>
      <c r="U979">
        <v>0</v>
      </c>
      <c r="V979">
        <v>0</v>
      </c>
    </row>
    <row r="980" spans="1:22" x14ac:dyDescent="0.2">
      <c r="A980" t="s">
        <v>4411</v>
      </c>
      <c r="B980" t="s">
        <v>4412</v>
      </c>
      <c r="C980" t="s">
        <v>1012</v>
      </c>
      <c r="D980" t="s">
        <v>290</v>
      </c>
      <c r="E980">
        <v>94.99</v>
      </c>
      <c r="F980" t="s">
        <v>8118</v>
      </c>
      <c r="G980">
        <v>21</v>
      </c>
      <c r="I980">
        <v>21</v>
      </c>
      <c r="L980" t="s">
        <v>7032</v>
      </c>
      <c r="M980" t="s">
        <v>97</v>
      </c>
      <c r="N980">
        <v>0</v>
      </c>
      <c r="O980">
        <v>0</v>
      </c>
      <c r="T980">
        <v>0</v>
      </c>
      <c r="U980">
        <v>0</v>
      </c>
      <c r="V980">
        <v>0</v>
      </c>
    </row>
    <row r="981" spans="1:22" x14ac:dyDescent="0.2">
      <c r="A981" t="s">
        <v>4398</v>
      </c>
      <c r="B981" t="s">
        <v>4399</v>
      </c>
      <c r="C981" t="s">
        <v>1012</v>
      </c>
      <c r="D981" t="s">
        <v>290</v>
      </c>
      <c r="E981">
        <v>79.989999999999995</v>
      </c>
      <c r="F981" t="s">
        <v>8118</v>
      </c>
      <c r="G981">
        <v>27</v>
      </c>
      <c r="I981">
        <v>27</v>
      </c>
      <c r="L981" t="s">
        <v>7032</v>
      </c>
      <c r="M981" t="s">
        <v>97</v>
      </c>
      <c r="N981">
        <v>3</v>
      </c>
      <c r="O981">
        <v>0.33333333333333331</v>
      </c>
      <c r="T981">
        <v>0.33333333333333331</v>
      </c>
      <c r="U981">
        <v>0</v>
      </c>
      <c r="V981">
        <v>1</v>
      </c>
    </row>
    <row r="982" spans="1:22" x14ac:dyDescent="0.2">
      <c r="A982" t="s">
        <v>4438</v>
      </c>
      <c r="B982" t="s">
        <v>4439</v>
      </c>
      <c r="C982" t="s">
        <v>1012</v>
      </c>
      <c r="D982" t="s">
        <v>290</v>
      </c>
      <c r="E982">
        <v>49.99</v>
      </c>
      <c r="F982" t="s">
        <v>8118</v>
      </c>
      <c r="L982" t="s">
        <v>7032</v>
      </c>
      <c r="M982" t="s">
        <v>97</v>
      </c>
      <c r="N982">
        <v>0</v>
      </c>
      <c r="O982">
        <v>0</v>
      </c>
      <c r="T982">
        <v>0</v>
      </c>
      <c r="U982">
        <v>0</v>
      </c>
      <c r="V982">
        <v>0</v>
      </c>
    </row>
    <row r="983" spans="1:22" x14ac:dyDescent="0.2">
      <c r="A983" t="s">
        <v>4418</v>
      </c>
      <c r="B983" t="s">
        <v>4419</v>
      </c>
      <c r="C983" t="s">
        <v>1012</v>
      </c>
      <c r="D983" t="s">
        <v>290</v>
      </c>
      <c r="E983">
        <v>89.99</v>
      </c>
      <c r="F983" t="s">
        <v>8118</v>
      </c>
      <c r="G983">
        <v>13</v>
      </c>
      <c r="I983">
        <v>13</v>
      </c>
      <c r="L983" t="s">
        <v>7032</v>
      </c>
      <c r="M983" t="s">
        <v>97</v>
      </c>
      <c r="N983">
        <v>0</v>
      </c>
      <c r="O983">
        <v>0</v>
      </c>
      <c r="T983">
        <v>0</v>
      </c>
      <c r="U983">
        <v>0</v>
      </c>
      <c r="V983">
        <v>0</v>
      </c>
    </row>
    <row r="984" spans="1:22" x14ac:dyDescent="0.2">
      <c r="A984" t="s">
        <v>4405</v>
      </c>
      <c r="B984" t="s">
        <v>4406</v>
      </c>
      <c r="C984" t="s">
        <v>1012</v>
      </c>
      <c r="D984" t="s">
        <v>96</v>
      </c>
      <c r="E984">
        <v>89.99</v>
      </c>
      <c r="F984" t="s">
        <v>8118</v>
      </c>
      <c r="L984" t="s">
        <v>7032</v>
      </c>
      <c r="M984" t="s">
        <v>97</v>
      </c>
      <c r="N984">
        <v>0</v>
      </c>
      <c r="O984">
        <v>0</v>
      </c>
      <c r="T984">
        <v>0</v>
      </c>
      <c r="U984">
        <v>0</v>
      </c>
      <c r="V984">
        <v>0</v>
      </c>
    </row>
    <row r="985" spans="1:22" x14ac:dyDescent="0.2">
      <c r="A985" t="s">
        <v>4432</v>
      </c>
      <c r="B985" t="s">
        <v>4433</v>
      </c>
      <c r="C985" t="s">
        <v>1012</v>
      </c>
      <c r="D985" t="s">
        <v>290</v>
      </c>
      <c r="E985">
        <v>49.99</v>
      </c>
      <c r="F985" t="s">
        <v>8118</v>
      </c>
      <c r="L985" t="s">
        <v>7032</v>
      </c>
      <c r="M985" t="s">
        <v>97</v>
      </c>
      <c r="N985">
        <v>17.5</v>
      </c>
      <c r="O985">
        <v>5.7142857142857148E-2</v>
      </c>
      <c r="T985">
        <v>0.4</v>
      </c>
      <c r="U985">
        <v>0</v>
      </c>
      <c r="V985">
        <v>7</v>
      </c>
    </row>
    <row r="986" spans="1:22" x14ac:dyDescent="0.2">
      <c r="A986" t="s">
        <v>4415</v>
      </c>
      <c r="B986" t="s">
        <v>4416</v>
      </c>
      <c r="C986" t="s">
        <v>1012</v>
      </c>
      <c r="D986" t="s">
        <v>96</v>
      </c>
      <c r="E986">
        <v>114.99</v>
      </c>
      <c r="F986" t="s">
        <v>8118</v>
      </c>
      <c r="L986" t="s">
        <v>7032</v>
      </c>
      <c r="M986" t="s">
        <v>97</v>
      </c>
      <c r="N986">
        <v>0</v>
      </c>
      <c r="O986">
        <v>0</v>
      </c>
      <c r="T986">
        <v>0</v>
      </c>
      <c r="U986">
        <v>0</v>
      </c>
      <c r="V986">
        <v>0</v>
      </c>
    </row>
    <row r="987" spans="1:22" x14ac:dyDescent="0.2">
      <c r="A987" t="s">
        <v>7094</v>
      </c>
      <c r="B987" t="s">
        <v>7095</v>
      </c>
      <c r="C987" t="s">
        <v>1012</v>
      </c>
      <c r="D987" t="s">
        <v>96</v>
      </c>
      <c r="E987">
        <v>114.99</v>
      </c>
      <c r="F987" t="s">
        <v>8118</v>
      </c>
      <c r="L987" t="s">
        <v>7032</v>
      </c>
      <c r="M987" t="s">
        <v>97</v>
      </c>
      <c r="N987">
        <v>0</v>
      </c>
      <c r="O987">
        <v>0</v>
      </c>
      <c r="T987">
        <v>0</v>
      </c>
      <c r="U987">
        <v>0</v>
      </c>
      <c r="V987">
        <v>0</v>
      </c>
    </row>
    <row r="988" spans="1:22" x14ac:dyDescent="0.2">
      <c r="A988" t="s">
        <v>4408</v>
      </c>
      <c r="B988" t="s">
        <v>4409</v>
      </c>
      <c r="C988" t="s">
        <v>1012</v>
      </c>
      <c r="D988" t="s">
        <v>96</v>
      </c>
      <c r="E988">
        <v>114.99</v>
      </c>
      <c r="F988" t="s">
        <v>8118</v>
      </c>
      <c r="L988" t="s">
        <v>7032</v>
      </c>
      <c r="M988" t="s">
        <v>97</v>
      </c>
      <c r="N988">
        <v>0</v>
      </c>
      <c r="O988">
        <v>0</v>
      </c>
      <c r="T988">
        <v>0</v>
      </c>
      <c r="U988">
        <v>0</v>
      </c>
      <c r="V988">
        <v>0</v>
      </c>
    </row>
    <row r="989" spans="1:22" x14ac:dyDescent="0.2">
      <c r="A989" t="s">
        <v>7293</v>
      </c>
      <c r="B989" t="s">
        <v>7294</v>
      </c>
      <c r="C989" t="s">
        <v>1012</v>
      </c>
      <c r="D989" t="s">
        <v>96</v>
      </c>
      <c r="E989">
        <v>59.99</v>
      </c>
      <c r="F989" t="s">
        <v>8118</v>
      </c>
      <c r="L989" t="s">
        <v>7032</v>
      </c>
      <c r="M989" t="s">
        <v>97</v>
      </c>
      <c r="N989">
        <v>0</v>
      </c>
      <c r="O989">
        <v>0</v>
      </c>
      <c r="T989">
        <v>0</v>
      </c>
      <c r="U989">
        <v>0</v>
      </c>
      <c r="V989">
        <v>0</v>
      </c>
    </row>
    <row r="990" spans="1:22" x14ac:dyDescent="0.2">
      <c r="A990" t="s">
        <v>1015</v>
      </c>
      <c r="B990" t="s">
        <v>1016</v>
      </c>
      <c r="C990" t="s">
        <v>1012</v>
      </c>
      <c r="D990" t="s">
        <v>290</v>
      </c>
      <c r="E990">
        <v>49.99</v>
      </c>
      <c r="F990" t="s">
        <v>8118</v>
      </c>
      <c r="G990">
        <v>125</v>
      </c>
      <c r="I990">
        <v>125</v>
      </c>
      <c r="L990" t="s">
        <v>7032</v>
      </c>
      <c r="M990" t="s">
        <v>97</v>
      </c>
      <c r="N990">
        <v>5</v>
      </c>
      <c r="O990">
        <v>0.2</v>
      </c>
      <c r="T990">
        <v>0.2</v>
      </c>
      <c r="U990">
        <v>0</v>
      </c>
      <c r="V990">
        <v>1</v>
      </c>
    </row>
    <row r="991" spans="1:22" x14ac:dyDescent="0.2">
      <c r="A991" t="s">
        <v>7295</v>
      </c>
      <c r="B991" t="s">
        <v>7297</v>
      </c>
      <c r="C991" t="s">
        <v>1012</v>
      </c>
      <c r="D991" t="s">
        <v>96</v>
      </c>
      <c r="E991">
        <v>49.99</v>
      </c>
      <c r="F991" t="s">
        <v>8118</v>
      </c>
      <c r="L991" t="s">
        <v>7032</v>
      </c>
      <c r="M991" t="s">
        <v>97</v>
      </c>
      <c r="N991">
        <v>0</v>
      </c>
      <c r="O991">
        <v>0</v>
      </c>
      <c r="T991">
        <v>0</v>
      </c>
      <c r="U991">
        <v>0</v>
      </c>
      <c r="V991">
        <v>0</v>
      </c>
    </row>
    <row r="992" spans="1:22" x14ac:dyDescent="0.2">
      <c r="A992" t="s">
        <v>7298</v>
      </c>
      <c r="B992" t="s">
        <v>7300</v>
      </c>
      <c r="C992" t="s">
        <v>1012</v>
      </c>
      <c r="D992" t="s">
        <v>96</v>
      </c>
      <c r="E992">
        <v>49.99</v>
      </c>
      <c r="F992" t="s">
        <v>8118</v>
      </c>
      <c r="L992" t="s">
        <v>7032</v>
      </c>
      <c r="M992" t="s">
        <v>97</v>
      </c>
      <c r="N992">
        <v>0</v>
      </c>
      <c r="O992">
        <v>0</v>
      </c>
      <c r="T992">
        <v>0</v>
      </c>
      <c r="U992">
        <v>0</v>
      </c>
      <c r="V992">
        <v>2</v>
      </c>
    </row>
    <row r="993" spans="1:22" x14ac:dyDescent="0.2">
      <c r="A993" t="s">
        <v>7289</v>
      </c>
      <c r="B993" t="s">
        <v>7291</v>
      </c>
      <c r="C993" t="s">
        <v>1012</v>
      </c>
      <c r="D993" t="s">
        <v>96</v>
      </c>
      <c r="E993">
        <v>139.99</v>
      </c>
      <c r="F993" t="s">
        <v>8118</v>
      </c>
      <c r="L993" t="s">
        <v>7032</v>
      </c>
      <c r="M993" t="s">
        <v>97</v>
      </c>
      <c r="N993">
        <v>0</v>
      </c>
      <c r="O993">
        <v>0</v>
      </c>
      <c r="T993">
        <v>0</v>
      </c>
      <c r="U993">
        <v>0</v>
      </c>
      <c r="V993">
        <v>0</v>
      </c>
    </row>
    <row r="994" spans="1:22" x14ac:dyDescent="0.2">
      <c r="A994" t="s">
        <v>4426</v>
      </c>
      <c r="B994" t="s">
        <v>4427</v>
      </c>
      <c r="C994" t="s">
        <v>1012</v>
      </c>
      <c r="D994" t="s">
        <v>96</v>
      </c>
      <c r="E994">
        <v>59.99</v>
      </c>
      <c r="F994" t="s">
        <v>8118</v>
      </c>
      <c r="L994" t="s">
        <v>7032</v>
      </c>
      <c r="M994" t="s">
        <v>97</v>
      </c>
      <c r="N994">
        <v>0</v>
      </c>
      <c r="O994">
        <v>0</v>
      </c>
      <c r="T994">
        <v>0</v>
      </c>
      <c r="U994">
        <v>0</v>
      </c>
      <c r="V994">
        <v>0</v>
      </c>
    </row>
    <row r="995" spans="1:22" x14ac:dyDescent="0.2">
      <c r="A995" t="s">
        <v>4429</v>
      </c>
      <c r="B995" t="s">
        <v>4430</v>
      </c>
      <c r="C995" t="s">
        <v>1012</v>
      </c>
      <c r="D995" t="s">
        <v>96</v>
      </c>
      <c r="E995">
        <v>59.99</v>
      </c>
      <c r="F995" t="s">
        <v>8118</v>
      </c>
      <c r="L995" t="s">
        <v>7032</v>
      </c>
      <c r="M995" t="s">
        <v>97</v>
      </c>
      <c r="N995">
        <v>0</v>
      </c>
      <c r="O995">
        <v>0</v>
      </c>
      <c r="T995">
        <v>0</v>
      </c>
      <c r="U995">
        <v>0</v>
      </c>
      <c r="V995">
        <v>0</v>
      </c>
    </row>
    <row r="996" spans="1:22" x14ac:dyDescent="0.2">
      <c r="A996" t="s">
        <v>4438</v>
      </c>
      <c r="B996" t="s">
        <v>4439</v>
      </c>
      <c r="C996" t="s">
        <v>1012</v>
      </c>
      <c r="D996" t="s">
        <v>290</v>
      </c>
      <c r="E996">
        <v>49.99</v>
      </c>
      <c r="F996" t="s">
        <v>8118</v>
      </c>
      <c r="L996" t="s">
        <v>7029</v>
      </c>
      <c r="N996">
        <v>6</v>
      </c>
      <c r="O996">
        <v>0</v>
      </c>
      <c r="T996">
        <v>0</v>
      </c>
      <c r="U996">
        <v>0</v>
      </c>
      <c r="V996">
        <v>6</v>
      </c>
    </row>
    <row r="997" spans="1:22" x14ac:dyDescent="0.2">
      <c r="A997" t="s">
        <v>4436</v>
      </c>
      <c r="B997" t="s">
        <v>4437</v>
      </c>
      <c r="C997" t="s">
        <v>1012</v>
      </c>
      <c r="D997" t="s">
        <v>96</v>
      </c>
      <c r="E997">
        <v>59.99</v>
      </c>
      <c r="F997" t="s">
        <v>8118</v>
      </c>
      <c r="L997" t="s">
        <v>7029</v>
      </c>
      <c r="N997">
        <v>3</v>
      </c>
      <c r="O997">
        <v>0</v>
      </c>
      <c r="T997">
        <v>0</v>
      </c>
      <c r="U997">
        <v>0</v>
      </c>
      <c r="V997">
        <v>3</v>
      </c>
    </row>
    <row r="998" spans="1:22" x14ac:dyDescent="0.2">
      <c r="A998" t="s">
        <v>4432</v>
      </c>
      <c r="B998" t="s">
        <v>4433</v>
      </c>
      <c r="C998" t="s">
        <v>1012</v>
      </c>
      <c r="D998" t="s">
        <v>290</v>
      </c>
      <c r="E998">
        <v>49.99</v>
      </c>
      <c r="F998" t="s">
        <v>8118</v>
      </c>
      <c r="L998" t="s">
        <v>7029</v>
      </c>
      <c r="N998">
        <v>16</v>
      </c>
      <c r="O998">
        <v>6.25E-2</v>
      </c>
      <c r="T998">
        <v>0.25</v>
      </c>
      <c r="U998">
        <v>49.99</v>
      </c>
      <c r="V998">
        <v>4</v>
      </c>
    </row>
    <row r="999" spans="1:22" x14ac:dyDescent="0.2">
      <c r="A999" t="s">
        <v>1015</v>
      </c>
      <c r="B999" t="s">
        <v>1016</v>
      </c>
      <c r="C999" t="s">
        <v>1012</v>
      </c>
      <c r="D999" t="s">
        <v>290</v>
      </c>
      <c r="E999">
        <v>49.99</v>
      </c>
      <c r="F999" t="s">
        <v>8118</v>
      </c>
      <c r="G999">
        <v>125</v>
      </c>
      <c r="I999">
        <v>125</v>
      </c>
      <c r="L999" t="s">
        <v>7029</v>
      </c>
      <c r="N999">
        <v>11</v>
      </c>
      <c r="O999">
        <v>0</v>
      </c>
      <c r="T999">
        <v>0</v>
      </c>
      <c r="U999">
        <v>0</v>
      </c>
      <c r="V999">
        <v>11</v>
      </c>
    </row>
    <row r="1000" spans="1:22" x14ac:dyDescent="0.2">
      <c r="A1000" t="s">
        <v>7106</v>
      </c>
      <c r="B1000" t="s">
        <v>7107</v>
      </c>
      <c r="C1000" t="s">
        <v>1012</v>
      </c>
      <c r="D1000" t="s">
        <v>96</v>
      </c>
      <c r="E1000">
        <v>59.99</v>
      </c>
      <c r="F1000" t="s">
        <v>8118</v>
      </c>
      <c r="L1000" t="s">
        <v>7029</v>
      </c>
      <c r="N1000">
        <v>4</v>
      </c>
      <c r="O1000">
        <v>0</v>
      </c>
      <c r="T1000">
        <v>0</v>
      </c>
      <c r="U1000">
        <v>0</v>
      </c>
      <c r="V1000">
        <v>4</v>
      </c>
    </row>
    <row r="1001" spans="1:22" x14ac:dyDescent="0.2">
      <c r="A1001" t="s">
        <v>1021</v>
      </c>
      <c r="B1001" t="s">
        <v>1022</v>
      </c>
      <c r="C1001" t="s">
        <v>1020</v>
      </c>
      <c r="D1001" t="s">
        <v>96</v>
      </c>
      <c r="E1001">
        <v>47.99</v>
      </c>
      <c r="F1001" t="s">
        <v>8118</v>
      </c>
      <c r="L1001" t="s">
        <v>10</v>
      </c>
      <c r="M1001">
        <v>603596</v>
      </c>
      <c r="N1001">
        <v>20</v>
      </c>
      <c r="O1001">
        <v>4.924242424242424E-2</v>
      </c>
      <c r="P1001" t="s">
        <v>7015</v>
      </c>
      <c r="T1001">
        <v>1</v>
      </c>
      <c r="U1001">
        <v>47.99</v>
      </c>
      <c r="V1001">
        <v>22</v>
      </c>
    </row>
    <row r="1002" spans="1:22" x14ac:dyDescent="0.2">
      <c r="A1002" t="s">
        <v>1023</v>
      </c>
      <c r="B1002" t="s">
        <v>1024</v>
      </c>
      <c r="C1002" t="s">
        <v>1020</v>
      </c>
      <c r="D1002" t="s">
        <v>96</v>
      </c>
      <c r="E1002">
        <v>54.99</v>
      </c>
      <c r="F1002" t="s">
        <v>8118</v>
      </c>
      <c r="L1002" t="s">
        <v>10</v>
      </c>
      <c r="M1002">
        <v>603595</v>
      </c>
      <c r="N1002">
        <v>-28</v>
      </c>
      <c r="O1002">
        <v>-3.5714285714285712E-2</v>
      </c>
      <c r="P1002" t="s">
        <v>7015</v>
      </c>
      <c r="T1002">
        <v>0</v>
      </c>
      <c r="U1002">
        <v>0</v>
      </c>
      <c r="V1002">
        <v>7</v>
      </c>
    </row>
    <row r="1003" spans="1:22" x14ac:dyDescent="0.2">
      <c r="A1003" t="s">
        <v>1023</v>
      </c>
      <c r="B1003" t="s">
        <v>1024</v>
      </c>
      <c r="C1003" t="s">
        <v>1020</v>
      </c>
      <c r="D1003" t="s">
        <v>96</v>
      </c>
      <c r="E1003">
        <v>54.99</v>
      </c>
      <c r="F1003" t="s">
        <v>8118</v>
      </c>
      <c r="L1003" t="s">
        <v>7032</v>
      </c>
      <c r="M1003" t="s">
        <v>97</v>
      </c>
      <c r="N1003">
        <v>0</v>
      </c>
      <c r="O1003">
        <v>0</v>
      </c>
      <c r="T1003">
        <v>0</v>
      </c>
      <c r="U1003">
        <v>0</v>
      </c>
      <c r="V1003">
        <v>0</v>
      </c>
    </row>
    <row r="1004" spans="1:22" x14ac:dyDescent="0.2">
      <c r="A1004" t="s">
        <v>1021</v>
      </c>
      <c r="B1004" t="s">
        <v>1022</v>
      </c>
      <c r="C1004" t="s">
        <v>1020</v>
      </c>
      <c r="D1004" t="s">
        <v>96</v>
      </c>
      <c r="E1004">
        <v>47.99</v>
      </c>
      <c r="F1004" t="s">
        <v>8118</v>
      </c>
      <c r="L1004" t="s">
        <v>7032</v>
      </c>
      <c r="M1004" t="s">
        <v>97</v>
      </c>
      <c r="N1004">
        <v>0</v>
      </c>
      <c r="O1004">
        <v>0</v>
      </c>
      <c r="T1004">
        <v>0</v>
      </c>
      <c r="U1004">
        <v>0</v>
      </c>
      <c r="V1004">
        <v>0</v>
      </c>
    </row>
    <row r="1005" spans="1:22" x14ac:dyDescent="0.2">
      <c r="A1005" t="s">
        <v>1023</v>
      </c>
      <c r="B1005" t="s">
        <v>1024</v>
      </c>
      <c r="C1005" t="s">
        <v>1020</v>
      </c>
      <c r="D1005" t="s">
        <v>96</v>
      </c>
      <c r="E1005">
        <v>54.99</v>
      </c>
      <c r="F1005" t="s">
        <v>8118</v>
      </c>
      <c r="L1005" t="s">
        <v>8</v>
      </c>
      <c r="M1005" t="s">
        <v>7874</v>
      </c>
      <c r="N1005">
        <v>0</v>
      </c>
      <c r="O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 x14ac:dyDescent="0.2">
      <c r="A1006" t="s">
        <v>1021</v>
      </c>
      <c r="B1006" t="s">
        <v>1022</v>
      </c>
      <c r="C1006" t="s">
        <v>1020</v>
      </c>
      <c r="D1006" t="s">
        <v>96</v>
      </c>
      <c r="E1006">
        <v>47.99</v>
      </c>
      <c r="F1006" t="s">
        <v>8118</v>
      </c>
      <c r="L1006" t="s">
        <v>8</v>
      </c>
      <c r="M1006" t="s">
        <v>7861</v>
      </c>
      <c r="N1006">
        <v>0</v>
      </c>
      <c r="O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 x14ac:dyDescent="0.2">
      <c r="A1007" t="s">
        <v>1030</v>
      </c>
      <c r="B1007" t="s">
        <v>1031</v>
      </c>
      <c r="C1007" t="s">
        <v>1029</v>
      </c>
      <c r="D1007" t="s">
        <v>228</v>
      </c>
      <c r="E1007">
        <v>249.99</v>
      </c>
      <c r="F1007" t="s">
        <v>8118</v>
      </c>
      <c r="L1007" t="s">
        <v>11</v>
      </c>
      <c r="M1007" t="s">
        <v>4392</v>
      </c>
      <c r="N1007">
        <v>0</v>
      </c>
      <c r="O1007">
        <v>0</v>
      </c>
      <c r="T1007">
        <v>0</v>
      </c>
      <c r="U1007">
        <v>0</v>
      </c>
      <c r="V1007">
        <v>0</v>
      </c>
    </row>
    <row r="1008" spans="1:22" x14ac:dyDescent="0.2">
      <c r="A1008" t="s">
        <v>1030</v>
      </c>
      <c r="B1008" t="s">
        <v>1031</v>
      </c>
      <c r="C1008" t="s">
        <v>1029</v>
      </c>
      <c r="D1008" t="s">
        <v>228</v>
      </c>
      <c r="E1008">
        <v>249.99</v>
      </c>
      <c r="F1008" t="s">
        <v>8118</v>
      </c>
      <c r="L1008" t="s">
        <v>10</v>
      </c>
      <c r="M1008">
        <v>401385</v>
      </c>
      <c r="N1008">
        <v>0</v>
      </c>
      <c r="O1008">
        <v>0</v>
      </c>
      <c r="P1008" t="s">
        <v>7015</v>
      </c>
      <c r="T1008">
        <v>0</v>
      </c>
      <c r="U1008">
        <v>0</v>
      </c>
      <c r="V1008">
        <v>0</v>
      </c>
    </row>
    <row r="1009" spans="1:22" x14ac:dyDescent="0.2">
      <c r="A1009" t="s">
        <v>1032</v>
      </c>
      <c r="B1009" t="s">
        <v>1033</v>
      </c>
      <c r="C1009" t="s">
        <v>1029</v>
      </c>
      <c r="D1009" t="s">
        <v>228</v>
      </c>
      <c r="E1009">
        <v>249.99</v>
      </c>
      <c r="F1009" t="s">
        <v>8118</v>
      </c>
      <c r="L1009" t="s">
        <v>10</v>
      </c>
      <c r="M1009">
        <v>401386</v>
      </c>
      <c r="N1009">
        <v>0</v>
      </c>
      <c r="O1009">
        <v>0</v>
      </c>
      <c r="P1009" t="s">
        <v>7015</v>
      </c>
      <c r="T1009">
        <v>0</v>
      </c>
      <c r="U1009">
        <v>0</v>
      </c>
      <c r="V1009">
        <v>0</v>
      </c>
    </row>
    <row r="1010" spans="1:22" x14ac:dyDescent="0.2">
      <c r="A1010" t="s">
        <v>1034</v>
      </c>
      <c r="B1010" t="s">
        <v>1035</v>
      </c>
      <c r="C1010" t="s">
        <v>1029</v>
      </c>
      <c r="D1010" t="s">
        <v>228</v>
      </c>
      <c r="E1010">
        <v>249.99</v>
      </c>
      <c r="F1010" t="s">
        <v>8118</v>
      </c>
      <c r="L1010" t="s">
        <v>10</v>
      </c>
      <c r="M1010">
        <v>401387</v>
      </c>
      <c r="N1010">
        <v>0</v>
      </c>
      <c r="O1010">
        <v>0</v>
      </c>
      <c r="P1010" t="s">
        <v>7015</v>
      </c>
      <c r="T1010">
        <v>0</v>
      </c>
      <c r="U1010">
        <v>0</v>
      </c>
      <c r="V1010">
        <v>0</v>
      </c>
    </row>
    <row r="1011" spans="1:22" x14ac:dyDescent="0.2">
      <c r="A1011" t="s">
        <v>7204</v>
      </c>
      <c r="B1011" t="s">
        <v>7206</v>
      </c>
      <c r="C1011" t="s">
        <v>7207</v>
      </c>
      <c r="D1011" t="s">
        <v>96</v>
      </c>
      <c r="F1011" t="s">
        <v>8118</v>
      </c>
      <c r="L1011" t="s">
        <v>10</v>
      </c>
      <c r="M1011">
        <v>343807</v>
      </c>
      <c r="N1011">
        <v>0</v>
      </c>
      <c r="O1011">
        <v>0</v>
      </c>
      <c r="P1011" t="s">
        <v>290</v>
      </c>
      <c r="T1011">
        <v>0</v>
      </c>
      <c r="V1011">
        <v>0</v>
      </c>
    </row>
    <row r="1012" spans="1:22" x14ac:dyDescent="0.2">
      <c r="A1012" t="s">
        <v>1094</v>
      </c>
      <c r="B1012" t="s">
        <v>1095</v>
      </c>
      <c r="C1012" t="s">
        <v>1089</v>
      </c>
      <c r="D1012" t="s">
        <v>96</v>
      </c>
      <c r="E1012">
        <v>99.99</v>
      </c>
      <c r="F1012" t="s">
        <v>8118</v>
      </c>
      <c r="L1012" t="s">
        <v>7032</v>
      </c>
      <c r="M1012" t="s">
        <v>97</v>
      </c>
      <c r="N1012">
        <v>0</v>
      </c>
      <c r="O1012">
        <v>0</v>
      </c>
      <c r="T1012">
        <v>0</v>
      </c>
      <c r="U1012">
        <v>0</v>
      </c>
      <c r="V1012">
        <v>0</v>
      </c>
    </row>
    <row r="1013" spans="1:22" x14ac:dyDescent="0.2">
      <c r="A1013" t="s">
        <v>1092</v>
      </c>
      <c r="B1013" t="s">
        <v>1093</v>
      </c>
      <c r="C1013" t="s">
        <v>1089</v>
      </c>
      <c r="D1013" t="s">
        <v>96</v>
      </c>
      <c r="E1013">
        <v>69.989999999999995</v>
      </c>
      <c r="F1013" t="s">
        <v>8118</v>
      </c>
      <c r="L1013" t="s">
        <v>7032</v>
      </c>
      <c r="M1013" t="s">
        <v>97</v>
      </c>
      <c r="N1013">
        <v>0</v>
      </c>
      <c r="O1013">
        <v>0</v>
      </c>
      <c r="T1013">
        <v>0</v>
      </c>
      <c r="U1013">
        <v>0</v>
      </c>
      <c r="V1013">
        <v>0</v>
      </c>
    </row>
    <row r="1014" spans="1:22" x14ac:dyDescent="0.2">
      <c r="A1014" t="s">
        <v>7824</v>
      </c>
      <c r="B1014" t="s">
        <v>7825</v>
      </c>
      <c r="C1014" t="s">
        <v>1089</v>
      </c>
      <c r="D1014" t="s">
        <v>96</v>
      </c>
      <c r="E1014">
        <v>69.989999999999995</v>
      </c>
      <c r="F1014" t="s">
        <v>8118</v>
      </c>
      <c r="L1014" t="s">
        <v>7032</v>
      </c>
      <c r="M1014" t="s">
        <v>97</v>
      </c>
      <c r="N1014">
        <v>0</v>
      </c>
      <c r="O1014">
        <v>0</v>
      </c>
      <c r="T1014">
        <v>0</v>
      </c>
      <c r="U1014">
        <v>0</v>
      </c>
      <c r="V1014">
        <v>0</v>
      </c>
    </row>
    <row r="1015" spans="1:22" x14ac:dyDescent="0.2">
      <c r="A1015" t="s">
        <v>7822</v>
      </c>
      <c r="B1015" t="s">
        <v>7823</v>
      </c>
      <c r="C1015" t="s">
        <v>1089</v>
      </c>
      <c r="D1015" t="s">
        <v>96</v>
      </c>
      <c r="E1015">
        <v>499.99</v>
      </c>
      <c r="F1015" t="s">
        <v>8118</v>
      </c>
      <c r="L1015" t="s">
        <v>7032</v>
      </c>
      <c r="M1015" t="s">
        <v>97</v>
      </c>
      <c r="N1015">
        <v>0</v>
      </c>
      <c r="O1015">
        <v>0</v>
      </c>
      <c r="T1015">
        <v>0</v>
      </c>
      <c r="U1015">
        <v>0</v>
      </c>
      <c r="V1015">
        <v>0</v>
      </c>
    </row>
    <row r="1016" spans="1:22" x14ac:dyDescent="0.2">
      <c r="A1016" t="s">
        <v>1090</v>
      </c>
      <c r="B1016" t="s">
        <v>1091</v>
      </c>
      <c r="C1016" t="s">
        <v>1089</v>
      </c>
      <c r="D1016" t="s">
        <v>290</v>
      </c>
      <c r="E1016">
        <v>529.99</v>
      </c>
      <c r="F1016" t="s">
        <v>8118</v>
      </c>
      <c r="L1016" t="s">
        <v>7032</v>
      </c>
      <c r="M1016" t="s">
        <v>97</v>
      </c>
      <c r="N1016">
        <v>0</v>
      </c>
      <c r="O1016">
        <v>0</v>
      </c>
      <c r="T1016">
        <v>0</v>
      </c>
      <c r="U1016">
        <v>0</v>
      </c>
      <c r="V1016">
        <v>0</v>
      </c>
    </row>
    <row r="1017" spans="1:22" x14ac:dyDescent="0.2">
      <c r="A1017" t="s">
        <v>7844</v>
      </c>
      <c r="B1017" t="s">
        <v>7846</v>
      </c>
      <c r="C1017" t="s">
        <v>1089</v>
      </c>
      <c r="D1017" t="s">
        <v>96</v>
      </c>
      <c r="E1017">
        <v>69.989999999999995</v>
      </c>
      <c r="F1017" t="s">
        <v>8118</v>
      </c>
      <c r="L1017" t="s">
        <v>8</v>
      </c>
      <c r="M1017" t="s">
        <v>7845</v>
      </c>
      <c r="N1017">
        <v>0</v>
      </c>
      <c r="O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 x14ac:dyDescent="0.2">
      <c r="A1018" t="s">
        <v>1090</v>
      </c>
      <c r="B1018" t="s">
        <v>1091</v>
      </c>
      <c r="C1018" t="s">
        <v>1089</v>
      </c>
      <c r="D1018" t="s">
        <v>290</v>
      </c>
      <c r="E1018">
        <v>529.99</v>
      </c>
      <c r="F1018" t="s">
        <v>8118</v>
      </c>
      <c r="L1018" t="s">
        <v>8</v>
      </c>
      <c r="M1018" t="s">
        <v>7873</v>
      </c>
      <c r="N1018">
        <v>0</v>
      </c>
      <c r="O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 x14ac:dyDescent="0.2">
      <c r="A1019" t="s">
        <v>7824</v>
      </c>
      <c r="B1019" t="s">
        <v>7825</v>
      </c>
      <c r="C1019" t="s">
        <v>1089</v>
      </c>
      <c r="D1019" t="s">
        <v>96</v>
      </c>
      <c r="E1019">
        <v>69.989999999999995</v>
      </c>
      <c r="F1019" t="s">
        <v>8118</v>
      </c>
      <c r="L1019" t="s">
        <v>8</v>
      </c>
      <c r="M1019" t="s">
        <v>7842</v>
      </c>
      <c r="N1019">
        <v>0</v>
      </c>
      <c r="O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 x14ac:dyDescent="0.2">
      <c r="A1020" t="s">
        <v>1094</v>
      </c>
      <c r="B1020" t="s">
        <v>1095</v>
      </c>
      <c r="C1020" t="s">
        <v>1089</v>
      </c>
      <c r="D1020" t="s">
        <v>96</v>
      </c>
      <c r="E1020">
        <v>99.99</v>
      </c>
      <c r="F1020" t="s">
        <v>8118</v>
      </c>
      <c r="L1020" t="s">
        <v>8</v>
      </c>
      <c r="M1020" t="s">
        <v>7843</v>
      </c>
      <c r="N1020">
        <v>0</v>
      </c>
      <c r="O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 x14ac:dyDescent="0.2">
      <c r="A1021" t="s">
        <v>1092</v>
      </c>
      <c r="B1021" t="s">
        <v>1093</v>
      </c>
      <c r="C1021" t="s">
        <v>1089</v>
      </c>
      <c r="D1021" t="s">
        <v>96</v>
      </c>
      <c r="E1021">
        <v>69.989999999999995</v>
      </c>
      <c r="F1021" t="s">
        <v>8118</v>
      </c>
      <c r="L1021" t="s">
        <v>8</v>
      </c>
      <c r="M1021" t="s">
        <v>7841</v>
      </c>
      <c r="N1021">
        <v>0</v>
      </c>
      <c r="O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 x14ac:dyDescent="0.2">
      <c r="A1022" t="s">
        <v>7822</v>
      </c>
      <c r="B1022" t="s">
        <v>7823</v>
      </c>
      <c r="C1022" t="s">
        <v>1089</v>
      </c>
      <c r="D1022" t="s">
        <v>96</v>
      </c>
      <c r="E1022">
        <v>499.99</v>
      </c>
      <c r="F1022" t="s">
        <v>8118</v>
      </c>
      <c r="L1022" t="s">
        <v>8</v>
      </c>
      <c r="M1022" t="s">
        <v>7876</v>
      </c>
      <c r="N1022">
        <v>0</v>
      </c>
      <c r="O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 x14ac:dyDescent="0.2">
      <c r="A1023" t="s">
        <v>5836</v>
      </c>
      <c r="B1023" t="s">
        <v>5837</v>
      </c>
      <c r="C1023" t="s">
        <v>1692</v>
      </c>
      <c r="D1023" t="s">
        <v>96</v>
      </c>
      <c r="E1023">
        <v>79.989999999999995</v>
      </c>
      <c r="F1023" t="s">
        <v>8118</v>
      </c>
      <c r="L1023" t="s">
        <v>11</v>
      </c>
      <c r="M1023" t="s">
        <v>5838</v>
      </c>
      <c r="N1023">
        <v>0</v>
      </c>
      <c r="O1023">
        <v>0</v>
      </c>
      <c r="T1023">
        <v>0</v>
      </c>
      <c r="U1023">
        <v>0</v>
      </c>
      <c r="V1023">
        <v>0</v>
      </c>
    </row>
    <row r="1024" spans="1:22" x14ac:dyDescent="0.2">
      <c r="A1024" t="s">
        <v>5839</v>
      </c>
      <c r="B1024" t="s">
        <v>5840</v>
      </c>
      <c r="C1024" t="s">
        <v>1692</v>
      </c>
      <c r="D1024" t="s">
        <v>96</v>
      </c>
      <c r="E1024">
        <v>49.99</v>
      </c>
      <c r="F1024" t="s">
        <v>8118</v>
      </c>
      <c r="L1024" t="s">
        <v>11</v>
      </c>
      <c r="M1024" t="s">
        <v>5841</v>
      </c>
      <c r="N1024">
        <v>0</v>
      </c>
      <c r="O1024">
        <v>0</v>
      </c>
      <c r="T1024">
        <v>0</v>
      </c>
      <c r="U1024">
        <v>0</v>
      </c>
      <c r="V1024">
        <v>0</v>
      </c>
    </row>
    <row r="1025" spans="1:22" x14ac:dyDescent="0.2">
      <c r="A1025" t="s">
        <v>5849</v>
      </c>
      <c r="B1025" t="s">
        <v>5850</v>
      </c>
      <c r="C1025" t="s">
        <v>1692</v>
      </c>
      <c r="D1025" t="s">
        <v>96</v>
      </c>
      <c r="E1025">
        <v>69.989999999999995</v>
      </c>
      <c r="F1025" t="s">
        <v>8118</v>
      </c>
      <c r="L1025" t="s">
        <v>11</v>
      </c>
      <c r="M1025" t="s">
        <v>5851</v>
      </c>
      <c r="N1025">
        <v>0</v>
      </c>
      <c r="O1025">
        <v>0</v>
      </c>
      <c r="T1025">
        <v>0</v>
      </c>
      <c r="U1025">
        <v>0</v>
      </c>
      <c r="V1025">
        <v>0</v>
      </c>
    </row>
    <row r="1026" spans="1:22" x14ac:dyDescent="0.2">
      <c r="A1026" t="s">
        <v>5852</v>
      </c>
      <c r="B1026" t="s">
        <v>5853</v>
      </c>
      <c r="C1026" t="s">
        <v>1692</v>
      </c>
      <c r="D1026" t="s">
        <v>96</v>
      </c>
      <c r="E1026">
        <v>24.99</v>
      </c>
      <c r="F1026" t="s">
        <v>8118</v>
      </c>
      <c r="L1026" t="s">
        <v>11</v>
      </c>
      <c r="M1026" t="s">
        <v>5854</v>
      </c>
      <c r="N1026">
        <v>0</v>
      </c>
      <c r="O1026">
        <v>0</v>
      </c>
      <c r="T1026">
        <v>0</v>
      </c>
      <c r="U1026">
        <v>0</v>
      </c>
      <c r="V1026">
        <v>2</v>
      </c>
    </row>
    <row r="1027" spans="1:22" x14ac:dyDescent="0.2">
      <c r="A1027" t="s">
        <v>5861</v>
      </c>
      <c r="B1027" t="s">
        <v>5862</v>
      </c>
      <c r="C1027" t="s">
        <v>1692</v>
      </c>
      <c r="D1027" t="s">
        <v>96</v>
      </c>
      <c r="E1027">
        <v>34.99</v>
      </c>
      <c r="F1027" t="s">
        <v>8118</v>
      </c>
      <c r="L1027" t="s">
        <v>11</v>
      </c>
      <c r="M1027" t="s">
        <v>5863</v>
      </c>
      <c r="N1027">
        <v>0</v>
      </c>
      <c r="O1027">
        <v>0</v>
      </c>
      <c r="T1027">
        <v>0</v>
      </c>
      <c r="U1027">
        <v>0</v>
      </c>
      <c r="V1027">
        <v>0</v>
      </c>
    </row>
    <row r="1028" spans="1:22" x14ac:dyDescent="0.2">
      <c r="A1028" t="s">
        <v>5858</v>
      </c>
      <c r="B1028" t="s">
        <v>5859</v>
      </c>
      <c r="C1028" t="s">
        <v>1692</v>
      </c>
      <c r="D1028" t="s">
        <v>96</v>
      </c>
      <c r="E1028">
        <v>34.99</v>
      </c>
      <c r="F1028" t="s">
        <v>8118</v>
      </c>
      <c r="L1028" t="s">
        <v>11</v>
      </c>
      <c r="M1028" t="s">
        <v>5860</v>
      </c>
      <c r="N1028">
        <v>0</v>
      </c>
      <c r="O1028">
        <v>0</v>
      </c>
      <c r="T1028">
        <v>0</v>
      </c>
      <c r="U1028">
        <v>0</v>
      </c>
      <c r="V1028">
        <v>0</v>
      </c>
    </row>
    <row r="1029" spans="1:22" x14ac:dyDescent="0.2">
      <c r="A1029" t="s">
        <v>5855</v>
      </c>
      <c r="B1029" t="s">
        <v>5856</v>
      </c>
      <c r="C1029" t="s">
        <v>1692</v>
      </c>
      <c r="D1029" t="s">
        <v>96</v>
      </c>
      <c r="E1029">
        <v>34.99</v>
      </c>
      <c r="F1029" t="s">
        <v>8118</v>
      </c>
      <c r="L1029" t="s">
        <v>11</v>
      </c>
      <c r="M1029" t="s">
        <v>5857</v>
      </c>
      <c r="N1029">
        <v>0</v>
      </c>
      <c r="O1029">
        <v>0</v>
      </c>
      <c r="T1029">
        <v>0</v>
      </c>
      <c r="U1029">
        <v>0</v>
      </c>
      <c r="V1029">
        <v>0</v>
      </c>
    </row>
    <row r="1030" spans="1:22" x14ac:dyDescent="0.2">
      <c r="A1030" t="s">
        <v>5899</v>
      </c>
      <c r="B1030" t="s">
        <v>5900</v>
      </c>
      <c r="C1030" t="s">
        <v>1692</v>
      </c>
      <c r="D1030" t="s">
        <v>96</v>
      </c>
      <c r="E1030">
        <v>14.99</v>
      </c>
      <c r="F1030" t="s">
        <v>8118</v>
      </c>
      <c r="L1030" t="s">
        <v>11</v>
      </c>
      <c r="M1030" t="s">
        <v>5901</v>
      </c>
      <c r="N1030">
        <v>0</v>
      </c>
      <c r="O1030">
        <v>0</v>
      </c>
      <c r="T1030">
        <v>0</v>
      </c>
      <c r="U1030">
        <v>0</v>
      </c>
      <c r="V1030">
        <v>0</v>
      </c>
    </row>
    <row r="1031" spans="1:22" x14ac:dyDescent="0.2">
      <c r="A1031" t="s">
        <v>5864</v>
      </c>
      <c r="B1031" t="s">
        <v>5865</v>
      </c>
      <c r="C1031" t="s">
        <v>1692</v>
      </c>
      <c r="D1031" t="s">
        <v>96</v>
      </c>
      <c r="E1031">
        <v>42.99</v>
      </c>
      <c r="F1031" t="s">
        <v>8118</v>
      </c>
      <c r="L1031" t="s">
        <v>11</v>
      </c>
      <c r="M1031" t="s">
        <v>5866</v>
      </c>
      <c r="N1031">
        <v>0</v>
      </c>
      <c r="O1031">
        <v>0</v>
      </c>
      <c r="T1031">
        <v>0</v>
      </c>
      <c r="U1031">
        <v>0</v>
      </c>
      <c r="V1031">
        <v>0</v>
      </c>
    </row>
    <row r="1032" spans="1:22" x14ac:dyDescent="0.2">
      <c r="A1032" t="s">
        <v>5872</v>
      </c>
      <c r="B1032" t="s">
        <v>5873</v>
      </c>
      <c r="C1032" t="s">
        <v>1692</v>
      </c>
      <c r="D1032" t="s">
        <v>96</v>
      </c>
      <c r="E1032">
        <v>39.99</v>
      </c>
      <c r="F1032" t="s">
        <v>8118</v>
      </c>
      <c r="L1032" t="s">
        <v>11</v>
      </c>
      <c r="M1032" t="s">
        <v>5874</v>
      </c>
      <c r="N1032">
        <v>0</v>
      </c>
      <c r="O1032">
        <v>0</v>
      </c>
      <c r="T1032">
        <v>0</v>
      </c>
      <c r="U1032">
        <v>0</v>
      </c>
      <c r="V1032">
        <v>2</v>
      </c>
    </row>
    <row r="1033" spans="1:22" x14ac:dyDescent="0.2">
      <c r="A1033" t="s">
        <v>5875</v>
      </c>
      <c r="B1033" t="s">
        <v>5876</v>
      </c>
      <c r="C1033" t="s">
        <v>1692</v>
      </c>
      <c r="D1033" t="s">
        <v>96</v>
      </c>
      <c r="F1033" t="s">
        <v>8118</v>
      </c>
      <c r="L1033" t="s">
        <v>11</v>
      </c>
      <c r="M1033" t="s">
        <v>5877</v>
      </c>
      <c r="N1033">
        <v>0</v>
      </c>
      <c r="O1033">
        <v>0</v>
      </c>
      <c r="T1033">
        <v>0</v>
      </c>
      <c r="V1033">
        <v>0</v>
      </c>
    </row>
    <row r="1034" spans="1:22" x14ac:dyDescent="0.2">
      <c r="A1034" t="s">
        <v>5878</v>
      </c>
      <c r="B1034" t="s">
        <v>5879</v>
      </c>
      <c r="C1034" t="s">
        <v>1692</v>
      </c>
      <c r="D1034" t="s">
        <v>96</v>
      </c>
      <c r="E1034">
        <v>39.99</v>
      </c>
      <c r="F1034" t="s">
        <v>8118</v>
      </c>
      <c r="L1034" t="s">
        <v>11</v>
      </c>
      <c r="M1034" t="s">
        <v>5880</v>
      </c>
      <c r="N1034">
        <v>0</v>
      </c>
      <c r="O1034">
        <v>0</v>
      </c>
      <c r="T1034">
        <v>0</v>
      </c>
      <c r="U1034">
        <v>0</v>
      </c>
      <c r="V1034">
        <v>0</v>
      </c>
    </row>
    <row r="1035" spans="1:22" x14ac:dyDescent="0.2">
      <c r="A1035" t="s">
        <v>5881</v>
      </c>
      <c r="B1035" t="s">
        <v>5882</v>
      </c>
      <c r="C1035" t="s">
        <v>1692</v>
      </c>
      <c r="D1035" t="s">
        <v>290</v>
      </c>
      <c r="E1035">
        <v>29.99</v>
      </c>
      <c r="F1035" t="s">
        <v>8118</v>
      </c>
      <c r="L1035" t="s">
        <v>11</v>
      </c>
      <c r="M1035" t="s">
        <v>5883</v>
      </c>
      <c r="N1035">
        <v>0</v>
      </c>
      <c r="O1035">
        <v>0</v>
      </c>
      <c r="T1035">
        <v>0</v>
      </c>
      <c r="U1035">
        <v>0</v>
      </c>
      <c r="V1035">
        <v>0</v>
      </c>
    </row>
    <row r="1036" spans="1:22" x14ac:dyDescent="0.2">
      <c r="A1036" t="s">
        <v>5887</v>
      </c>
      <c r="B1036" t="s">
        <v>5888</v>
      </c>
      <c r="C1036" t="s">
        <v>1692</v>
      </c>
      <c r="D1036" t="s">
        <v>290</v>
      </c>
      <c r="E1036">
        <v>29.99</v>
      </c>
      <c r="F1036" t="s">
        <v>8118</v>
      </c>
      <c r="L1036" t="s">
        <v>11</v>
      </c>
      <c r="M1036" t="s">
        <v>5889</v>
      </c>
      <c r="N1036">
        <v>0</v>
      </c>
      <c r="O1036">
        <v>0</v>
      </c>
      <c r="T1036">
        <v>0</v>
      </c>
      <c r="U1036">
        <v>0</v>
      </c>
      <c r="V1036">
        <v>0</v>
      </c>
    </row>
    <row r="1037" spans="1:22" x14ac:dyDescent="0.2">
      <c r="A1037" t="s">
        <v>5890</v>
      </c>
      <c r="B1037" t="s">
        <v>5891</v>
      </c>
      <c r="C1037" t="s">
        <v>1692</v>
      </c>
      <c r="D1037" t="s">
        <v>96</v>
      </c>
      <c r="E1037">
        <v>34.99</v>
      </c>
      <c r="F1037" t="s">
        <v>8118</v>
      </c>
      <c r="L1037" t="s">
        <v>11</v>
      </c>
      <c r="M1037" t="s">
        <v>5892</v>
      </c>
      <c r="N1037">
        <v>0</v>
      </c>
      <c r="O1037">
        <v>0</v>
      </c>
      <c r="T1037">
        <v>0</v>
      </c>
      <c r="U1037">
        <v>0</v>
      </c>
      <c r="V1037">
        <v>0</v>
      </c>
    </row>
    <row r="1038" spans="1:22" x14ac:dyDescent="0.2">
      <c r="A1038" t="s">
        <v>5893</v>
      </c>
      <c r="B1038" t="s">
        <v>5894</v>
      </c>
      <c r="C1038" t="s">
        <v>1692</v>
      </c>
      <c r="D1038" t="s">
        <v>96</v>
      </c>
      <c r="E1038">
        <v>19.989999999999998</v>
      </c>
      <c r="F1038" t="s">
        <v>8118</v>
      </c>
      <c r="L1038" t="s">
        <v>11</v>
      </c>
      <c r="M1038" t="s">
        <v>5895</v>
      </c>
      <c r="N1038">
        <v>0</v>
      </c>
      <c r="O1038">
        <v>0</v>
      </c>
      <c r="T1038">
        <v>0</v>
      </c>
      <c r="U1038">
        <v>0</v>
      </c>
      <c r="V1038">
        <v>0</v>
      </c>
    </row>
    <row r="1039" spans="1:22" x14ac:dyDescent="0.2">
      <c r="A1039" t="s">
        <v>5896</v>
      </c>
      <c r="B1039" t="s">
        <v>5897</v>
      </c>
      <c r="C1039" t="s">
        <v>1692</v>
      </c>
      <c r="D1039" t="s">
        <v>96</v>
      </c>
      <c r="E1039">
        <v>19.989999999999998</v>
      </c>
      <c r="F1039" t="s">
        <v>8118</v>
      </c>
      <c r="L1039" t="s">
        <v>11</v>
      </c>
      <c r="M1039" t="s">
        <v>5898</v>
      </c>
      <c r="N1039">
        <v>0</v>
      </c>
      <c r="O1039">
        <v>0</v>
      </c>
      <c r="T1039">
        <v>0</v>
      </c>
      <c r="U1039">
        <v>0</v>
      </c>
      <c r="V1039">
        <v>0</v>
      </c>
    </row>
    <row r="1040" spans="1:22" x14ac:dyDescent="0.2">
      <c r="A1040" t="s">
        <v>1693</v>
      </c>
      <c r="B1040" t="s">
        <v>1694</v>
      </c>
      <c r="C1040" t="s">
        <v>1692</v>
      </c>
      <c r="D1040" t="s">
        <v>96</v>
      </c>
      <c r="E1040">
        <v>29.99</v>
      </c>
      <c r="F1040" t="s">
        <v>8118</v>
      </c>
      <c r="L1040" t="s">
        <v>11</v>
      </c>
      <c r="M1040" t="s">
        <v>5871</v>
      </c>
      <c r="N1040">
        <v>0</v>
      </c>
      <c r="O1040">
        <v>0</v>
      </c>
      <c r="T1040">
        <v>0</v>
      </c>
      <c r="U1040">
        <v>0</v>
      </c>
      <c r="V1040">
        <v>2</v>
      </c>
    </row>
    <row r="1041" spans="1:22" x14ac:dyDescent="0.2">
      <c r="A1041" t="s">
        <v>5852</v>
      </c>
      <c r="B1041" t="s">
        <v>5853</v>
      </c>
      <c r="C1041" t="s">
        <v>1692</v>
      </c>
      <c r="D1041" t="s">
        <v>96</v>
      </c>
      <c r="E1041">
        <v>24.99</v>
      </c>
      <c r="F1041" t="s">
        <v>8118</v>
      </c>
      <c r="L1041" t="s">
        <v>7032</v>
      </c>
      <c r="M1041" t="s">
        <v>97</v>
      </c>
      <c r="N1041">
        <v>0</v>
      </c>
      <c r="O1041">
        <v>0</v>
      </c>
      <c r="T1041">
        <v>0</v>
      </c>
      <c r="U1041">
        <v>0</v>
      </c>
      <c r="V1041">
        <v>0</v>
      </c>
    </row>
    <row r="1042" spans="1:22" x14ac:dyDescent="0.2">
      <c r="A1042" t="s">
        <v>7532</v>
      </c>
      <c r="B1042" t="s">
        <v>7533</v>
      </c>
      <c r="C1042" t="s">
        <v>1692</v>
      </c>
      <c r="D1042" t="s">
        <v>96</v>
      </c>
      <c r="E1042">
        <v>79.989999999999995</v>
      </c>
      <c r="F1042" t="s">
        <v>8118</v>
      </c>
      <c r="L1042" t="s">
        <v>7032</v>
      </c>
      <c r="M1042" t="s">
        <v>97</v>
      </c>
      <c r="N1042">
        <v>0</v>
      </c>
      <c r="O1042">
        <v>0</v>
      </c>
      <c r="T1042">
        <v>0</v>
      </c>
      <c r="U1042">
        <v>0</v>
      </c>
      <c r="V1042">
        <v>0</v>
      </c>
    </row>
    <row r="1043" spans="1:22" x14ac:dyDescent="0.2">
      <c r="A1043" t="s">
        <v>5849</v>
      </c>
      <c r="B1043" t="s">
        <v>5850</v>
      </c>
      <c r="C1043" t="s">
        <v>1692</v>
      </c>
      <c r="D1043" t="s">
        <v>96</v>
      </c>
      <c r="E1043">
        <v>69.989999999999995</v>
      </c>
      <c r="F1043" t="s">
        <v>8118</v>
      </c>
      <c r="L1043" t="s">
        <v>7032</v>
      </c>
      <c r="M1043" t="s">
        <v>97</v>
      </c>
      <c r="N1043">
        <v>0</v>
      </c>
      <c r="O1043">
        <v>0</v>
      </c>
      <c r="T1043">
        <v>0</v>
      </c>
      <c r="U1043">
        <v>0</v>
      </c>
      <c r="V1043">
        <v>0</v>
      </c>
    </row>
    <row r="1044" spans="1:22" x14ac:dyDescent="0.2">
      <c r="A1044" t="s">
        <v>5861</v>
      </c>
      <c r="B1044" t="s">
        <v>5862</v>
      </c>
      <c r="C1044" t="s">
        <v>1692</v>
      </c>
      <c r="D1044" t="s">
        <v>96</v>
      </c>
      <c r="E1044">
        <v>34.99</v>
      </c>
      <c r="F1044" t="s">
        <v>8118</v>
      </c>
      <c r="L1044" t="s">
        <v>7032</v>
      </c>
      <c r="M1044" t="s">
        <v>97</v>
      </c>
      <c r="N1044">
        <v>0</v>
      </c>
      <c r="O1044">
        <v>0</v>
      </c>
      <c r="T1044">
        <v>0</v>
      </c>
      <c r="U1044">
        <v>0</v>
      </c>
      <c r="V1044">
        <v>0</v>
      </c>
    </row>
    <row r="1045" spans="1:22" x14ac:dyDescent="0.2">
      <c r="A1045" t="s">
        <v>5836</v>
      </c>
      <c r="B1045" t="s">
        <v>5837</v>
      </c>
      <c r="C1045" t="s">
        <v>1692</v>
      </c>
      <c r="D1045" t="s">
        <v>96</v>
      </c>
      <c r="E1045">
        <v>79.989999999999995</v>
      </c>
      <c r="F1045" t="s">
        <v>8118</v>
      </c>
      <c r="L1045" t="s">
        <v>7032</v>
      </c>
      <c r="M1045" t="s">
        <v>97</v>
      </c>
      <c r="N1045">
        <v>0</v>
      </c>
      <c r="O1045">
        <v>0</v>
      </c>
      <c r="T1045">
        <v>0</v>
      </c>
      <c r="U1045">
        <v>0</v>
      </c>
      <c r="V1045">
        <v>0</v>
      </c>
    </row>
    <row r="1046" spans="1:22" x14ac:dyDescent="0.2">
      <c r="A1046" t="s">
        <v>5855</v>
      </c>
      <c r="B1046" t="s">
        <v>5856</v>
      </c>
      <c r="C1046" t="s">
        <v>1692</v>
      </c>
      <c r="D1046" t="s">
        <v>96</v>
      </c>
      <c r="E1046">
        <v>34.99</v>
      </c>
      <c r="F1046" t="s">
        <v>8118</v>
      </c>
      <c r="L1046" t="s">
        <v>7032</v>
      </c>
      <c r="M1046" t="s">
        <v>97</v>
      </c>
      <c r="N1046">
        <v>0</v>
      </c>
      <c r="O1046">
        <v>0</v>
      </c>
      <c r="T1046">
        <v>0</v>
      </c>
      <c r="U1046">
        <v>0</v>
      </c>
      <c r="V1046">
        <v>0</v>
      </c>
    </row>
    <row r="1047" spans="1:22" x14ac:dyDescent="0.2">
      <c r="A1047" t="s">
        <v>7532</v>
      </c>
      <c r="B1047" t="s">
        <v>7533</v>
      </c>
      <c r="C1047" t="s">
        <v>1692</v>
      </c>
      <c r="D1047" t="s">
        <v>96</v>
      </c>
      <c r="E1047">
        <v>79.989999999999995</v>
      </c>
      <c r="F1047" t="s">
        <v>8118</v>
      </c>
      <c r="L1047" t="s">
        <v>7029</v>
      </c>
      <c r="N1047">
        <v>0</v>
      </c>
      <c r="O1047">
        <v>0</v>
      </c>
      <c r="T1047">
        <v>0</v>
      </c>
      <c r="U1047">
        <v>0</v>
      </c>
      <c r="V1047">
        <v>0</v>
      </c>
    </row>
    <row r="1048" spans="1:22" x14ac:dyDescent="0.2">
      <c r="A1048" t="s">
        <v>5875</v>
      </c>
      <c r="B1048" t="s">
        <v>5876</v>
      </c>
      <c r="C1048" t="s">
        <v>1692</v>
      </c>
      <c r="D1048" t="s">
        <v>96</v>
      </c>
      <c r="F1048" t="s">
        <v>8118</v>
      </c>
      <c r="L1048" t="s">
        <v>7029</v>
      </c>
      <c r="N1048">
        <v>0</v>
      </c>
      <c r="O1048">
        <v>0</v>
      </c>
      <c r="T1048">
        <v>0</v>
      </c>
      <c r="V1048">
        <v>0</v>
      </c>
    </row>
    <row r="1049" spans="1:22" x14ac:dyDescent="0.2">
      <c r="A1049" t="s">
        <v>5872</v>
      </c>
      <c r="B1049" t="s">
        <v>5873</v>
      </c>
      <c r="C1049" t="s">
        <v>1692</v>
      </c>
      <c r="D1049" t="s">
        <v>96</v>
      </c>
      <c r="E1049">
        <v>39.99</v>
      </c>
      <c r="F1049" t="s">
        <v>8118</v>
      </c>
      <c r="L1049" t="s">
        <v>7029</v>
      </c>
      <c r="N1049">
        <v>0</v>
      </c>
      <c r="O1049">
        <v>0</v>
      </c>
      <c r="T1049">
        <v>0</v>
      </c>
      <c r="U1049">
        <v>0</v>
      </c>
      <c r="V1049">
        <v>0</v>
      </c>
    </row>
    <row r="1050" spans="1:22" x14ac:dyDescent="0.2">
      <c r="A1050" t="s">
        <v>5878</v>
      </c>
      <c r="B1050" t="s">
        <v>5879</v>
      </c>
      <c r="C1050" t="s">
        <v>1692</v>
      </c>
      <c r="D1050" t="s">
        <v>96</v>
      </c>
      <c r="E1050">
        <v>39.99</v>
      </c>
      <c r="F1050" t="s">
        <v>8118</v>
      </c>
      <c r="L1050" t="s">
        <v>7029</v>
      </c>
      <c r="N1050">
        <v>0</v>
      </c>
      <c r="O1050">
        <v>0</v>
      </c>
      <c r="T1050">
        <v>0</v>
      </c>
      <c r="U1050">
        <v>0</v>
      </c>
      <c r="V1050">
        <v>0</v>
      </c>
    </row>
    <row r="1051" spans="1:22" x14ac:dyDescent="0.2">
      <c r="A1051" t="s">
        <v>5861</v>
      </c>
      <c r="B1051" t="s">
        <v>5862</v>
      </c>
      <c r="C1051" t="s">
        <v>1692</v>
      </c>
      <c r="D1051" t="s">
        <v>96</v>
      </c>
      <c r="E1051">
        <v>34.99</v>
      </c>
      <c r="F1051" t="s">
        <v>8118</v>
      </c>
      <c r="L1051" t="s">
        <v>7029</v>
      </c>
      <c r="N1051">
        <v>0</v>
      </c>
      <c r="O1051">
        <v>0</v>
      </c>
      <c r="T1051">
        <v>0</v>
      </c>
      <c r="U1051">
        <v>0</v>
      </c>
      <c r="V1051">
        <v>0</v>
      </c>
    </row>
    <row r="1052" spans="1:22" x14ac:dyDescent="0.2">
      <c r="A1052" t="s">
        <v>5896</v>
      </c>
      <c r="B1052" t="s">
        <v>5897</v>
      </c>
      <c r="C1052" t="s">
        <v>1692</v>
      </c>
      <c r="D1052" t="s">
        <v>96</v>
      </c>
      <c r="E1052">
        <v>19.989999999999998</v>
      </c>
      <c r="F1052" t="s">
        <v>8118</v>
      </c>
      <c r="L1052" t="s">
        <v>7029</v>
      </c>
      <c r="N1052">
        <v>0</v>
      </c>
      <c r="O1052">
        <v>0</v>
      </c>
      <c r="T1052">
        <v>0</v>
      </c>
      <c r="U1052">
        <v>0</v>
      </c>
      <c r="V1052">
        <v>0</v>
      </c>
    </row>
    <row r="1053" spans="1:22" x14ac:dyDescent="0.2">
      <c r="A1053" t="s">
        <v>5839</v>
      </c>
      <c r="B1053" t="s">
        <v>5840</v>
      </c>
      <c r="C1053" t="s">
        <v>1692</v>
      </c>
      <c r="D1053" t="s">
        <v>96</v>
      </c>
      <c r="E1053">
        <v>49.99</v>
      </c>
      <c r="F1053" t="s">
        <v>8118</v>
      </c>
      <c r="L1053" t="s">
        <v>7029</v>
      </c>
      <c r="N1053">
        <v>7</v>
      </c>
      <c r="O1053">
        <v>0</v>
      </c>
      <c r="T1053">
        <v>0</v>
      </c>
      <c r="U1053">
        <v>0</v>
      </c>
      <c r="V1053">
        <v>7</v>
      </c>
    </row>
    <row r="1054" spans="1:22" x14ac:dyDescent="0.2">
      <c r="A1054" t="s">
        <v>5858</v>
      </c>
      <c r="B1054" t="s">
        <v>5859</v>
      </c>
      <c r="C1054" t="s">
        <v>1692</v>
      </c>
      <c r="D1054" t="s">
        <v>96</v>
      </c>
      <c r="E1054">
        <v>34.99</v>
      </c>
      <c r="F1054" t="s">
        <v>8118</v>
      </c>
      <c r="L1054" t="s">
        <v>7029</v>
      </c>
      <c r="N1054">
        <v>0</v>
      </c>
      <c r="O1054">
        <v>0</v>
      </c>
      <c r="T1054">
        <v>0</v>
      </c>
      <c r="U1054">
        <v>0</v>
      </c>
      <c r="V1054">
        <v>0</v>
      </c>
    </row>
    <row r="1055" spans="1:22" x14ac:dyDescent="0.2">
      <c r="A1055" t="s">
        <v>5855</v>
      </c>
      <c r="B1055" t="s">
        <v>5856</v>
      </c>
      <c r="C1055" t="s">
        <v>1692</v>
      </c>
      <c r="D1055" t="s">
        <v>96</v>
      </c>
      <c r="E1055">
        <v>34.99</v>
      </c>
      <c r="F1055" t="s">
        <v>8118</v>
      </c>
      <c r="L1055" t="s">
        <v>7029</v>
      </c>
      <c r="N1055">
        <v>0</v>
      </c>
      <c r="O1055">
        <v>0</v>
      </c>
      <c r="T1055">
        <v>0</v>
      </c>
      <c r="U1055">
        <v>0</v>
      </c>
      <c r="V1055">
        <v>0</v>
      </c>
    </row>
    <row r="1056" spans="1:22" x14ac:dyDescent="0.2">
      <c r="A1056" t="s">
        <v>5887</v>
      </c>
      <c r="B1056" t="s">
        <v>5888</v>
      </c>
      <c r="C1056" t="s">
        <v>1692</v>
      </c>
      <c r="D1056" t="s">
        <v>290</v>
      </c>
      <c r="E1056">
        <v>29.99</v>
      </c>
      <c r="F1056" t="s">
        <v>8118</v>
      </c>
      <c r="L1056" t="s">
        <v>7029</v>
      </c>
      <c r="N1056">
        <v>0</v>
      </c>
      <c r="O1056">
        <v>0</v>
      </c>
      <c r="T1056">
        <v>0</v>
      </c>
      <c r="U1056">
        <v>0</v>
      </c>
      <c r="V1056">
        <v>0</v>
      </c>
    </row>
    <row r="1057" spans="1:22" x14ac:dyDescent="0.2">
      <c r="A1057" t="s">
        <v>1693</v>
      </c>
      <c r="B1057" t="s">
        <v>1694</v>
      </c>
      <c r="C1057" t="s">
        <v>1692</v>
      </c>
      <c r="D1057" t="s">
        <v>96</v>
      </c>
      <c r="E1057">
        <v>29.99</v>
      </c>
      <c r="F1057" t="s">
        <v>8118</v>
      </c>
      <c r="L1057" t="s">
        <v>7029</v>
      </c>
      <c r="N1057">
        <v>0</v>
      </c>
      <c r="O1057">
        <v>0</v>
      </c>
      <c r="T1057">
        <v>0</v>
      </c>
      <c r="U1057">
        <v>0</v>
      </c>
      <c r="V1057">
        <v>0</v>
      </c>
    </row>
    <row r="1058" spans="1:22" x14ac:dyDescent="0.2">
      <c r="A1058" t="s">
        <v>8103</v>
      </c>
      <c r="B1058" t="s">
        <v>8104</v>
      </c>
      <c r="C1058" t="s">
        <v>1692</v>
      </c>
      <c r="D1058" t="s">
        <v>96</v>
      </c>
      <c r="E1058">
        <v>29.99</v>
      </c>
      <c r="F1058" t="s">
        <v>8118</v>
      </c>
      <c r="L1058" t="s">
        <v>7029</v>
      </c>
      <c r="N1058">
        <v>1</v>
      </c>
      <c r="O1058">
        <v>0</v>
      </c>
      <c r="T1058">
        <v>0</v>
      </c>
      <c r="U1058">
        <v>0</v>
      </c>
      <c r="V1058">
        <v>1</v>
      </c>
    </row>
    <row r="1059" spans="1:22" x14ac:dyDescent="0.2">
      <c r="A1059" t="s">
        <v>5849</v>
      </c>
      <c r="B1059" t="s">
        <v>5850</v>
      </c>
      <c r="C1059" t="s">
        <v>1692</v>
      </c>
      <c r="D1059" t="s">
        <v>96</v>
      </c>
      <c r="E1059">
        <v>69.989999999999995</v>
      </c>
      <c r="F1059" t="s">
        <v>8118</v>
      </c>
      <c r="L1059" t="s">
        <v>7029</v>
      </c>
      <c r="N1059">
        <v>0</v>
      </c>
      <c r="O1059">
        <v>0</v>
      </c>
      <c r="T1059">
        <v>0</v>
      </c>
      <c r="U1059">
        <v>0</v>
      </c>
      <c r="V1059">
        <v>0</v>
      </c>
    </row>
    <row r="1060" spans="1:22" x14ac:dyDescent="0.2">
      <c r="A1060" t="s">
        <v>5893</v>
      </c>
      <c r="B1060" t="s">
        <v>5894</v>
      </c>
      <c r="C1060" t="s">
        <v>1692</v>
      </c>
      <c r="D1060" t="s">
        <v>96</v>
      </c>
      <c r="E1060">
        <v>19.989999999999998</v>
      </c>
      <c r="F1060" t="s">
        <v>8118</v>
      </c>
      <c r="L1060" t="s">
        <v>7029</v>
      </c>
      <c r="N1060">
        <v>0</v>
      </c>
      <c r="O1060">
        <v>0</v>
      </c>
      <c r="T1060">
        <v>0</v>
      </c>
      <c r="U1060">
        <v>0</v>
      </c>
      <c r="V1060">
        <v>0</v>
      </c>
    </row>
    <row r="1061" spans="1:22" x14ac:dyDescent="0.2">
      <c r="A1061" t="s">
        <v>5890</v>
      </c>
      <c r="B1061" t="s">
        <v>5891</v>
      </c>
      <c r="C1061" t="s">
        <v>1692</v>
      </c>
      <c r="D1061" t="s">
        <v>96</v>
      </c>
      <c r="E1061">
        <v>34.99</v>
      </c>
      <c r="F1061" t="s">
        <v>8118</v>
      </c>
      <c r="L1061" t="s">
        <v>7029</v>
      </c>
      <c r="N1061">
        <v>0</v>
      </c>
      <c r="O1061">
        <v>0</v>
      </c>
      <c r="T1061">
        <v>0</v>
      </c>
      <c r="U1061">
        <v>0</v>
      </c>
      <c r="V1061">
        <v>0</v>
      </c>
    </row>
    <row r="1062" spans="1:22" x14ac:dyDescent="0.2">
      <c r="A1062" t="s">
        <v>5852</v>
      </c>
      <c r="B1062" t="s">
        <v>5853</v>
      </c>
      <c r="C1062" t="s">
        <v>1692</v>
      </c>
      <c r="D1062" t="s">
        <v>96</v>
      </c>
      <c r="E1062">
        <v>24.99</v>
      </c>
      <c r="F1062" t="s">
        <v>8118</v>
      </c>
      <c r="L1062" t="s">
        <v>7029</v>
      </c>
      <c r="N1062">
        <v>0</v>
      </c>
      <c r="O1062">
        <v>0</v>
      </c>
      <c r="T1062">
        <v>0</v>
      </c>
      <c r="U1062">
        <v>0</v>
      </c>
      <c r="V1062">
        <v>0</v>
      </c>
    </row>
    <row r="1063" spans="1:22" x14ac:dyDescent="0.2">
      <c r="A1063" t="s">
        <v>5864</v>
      </c>
      <c r="B1063" t="s">
        <v>5865</v>
      </c>
      <c r="C1063" t="s">
        <v>1692</v>
      </c>
      <c r="D1063" t="s">
        <v>96</v>
      </c>
      <c r="E1063">
        <v>42.99</v>
      </c>
      <c r="F1063" t="s">
        <v>8118</v>
      </c>
      <c r="L1063" t="s">
        <v>7029</v>
      </c>
      <c r="N1063">
        <v>0</v>
      </c>
      <c r="O1063">
        <v>0</v>
      </c>
      <c r="T1063">
        <v>0</v>
      </c>
      <c r="U1063">
        <v>0</v>
      </c>
      <c r="V1063">
        <v>0</v>
      </c>
    </row>
    <row r="1064" spans="1:22" x14ac:dyDescent="0.2">
      <c r="A1064" t="s">
        <v>5836</v>
      </c>
      <c r="B1064" t="s">
        <v>5837</v>
      </c>
      <c r="C1064" t="s">
        <v>1692</v>
      </c>
      <c r="D1064" t="s">
        <v>96</v>
      </c>
      <c r="E1064">
        <v>79.989999999999995</v>
      </c>
      <c r="F1064" t="s">
        <v>8118</v>
      </c>
      <c r="L1064" t="s">
        <v>7029</v>
      </c>
      <c r="N1064">
        <v>0</v>
      </c>
      <c r="O1064">
        <v>0</v>
      </c>
      <c r="T1064">
        <v>0</v>
      </c>
      <c r="U1064">
        <v>0</v>
      </c>
      <c r="V1064">
        <v>0</v>
      </c>
    </row>
    <row r="1065" spans="1:22" x14ac:dyDescent="0.2">
      <c r="A1065" t="s">
        <v>1697</v>
      </c>
      <c r="B1065" t="s">
        <v>1698</v>
      </c>
      <c r="C1065" t="s">
        <v>1696</v>
      </c>
      <c r="D1065" t="s">
        <v>290</v>
      </c>
      <c r="E1065">
        <v>39.99</v>
      </c>
      <c r="F1065" t="s">
        <v>8118</v>
      </c>
      <c r="L1065" t="s">
        <v>11</v>
      </c>
      <c r="M1065" t="s">
        <v>5828</v>
      </c>
      <c r="N1065">
        <v>0</v>
      </c>
      <c r="O1065">
        <v>0</v>
      </c>
      <c r="T1065">
        <v>0</v>
      </c>
      <c r="U1065">
        <v>0</v>
      </c>
      <c r="V1065">
        <v>0</v>
      </c>
    </row>
    <row r="1066" spans="1:22" x14ac:dyDescent="0.2">
      <c r="A1066" t="s">
        <v>1702</v>
      </c>
      <c r="B1066" t="s">
        <v>1703</v>
      </c>
      <c r="C1066" t="s">
        <v>1696</v>
      </c>
      <c r="D1066" t="s">
        <v>290</v>
      </c>
      <c r="E1066">
        <v>39.99</v>
      </c>
      <c r="F1066" t="s">
        <v>8118</v>
      </c>
      <c r="L1066" t="s">
        <v>11</v>
      </c>
      <c r="M1066" t="s">
        <v>5829</v>
      </c>
      <c r="N1066">
        <v>0</v>
      </c>
      <c r="O1066">
        <v>0</v>
      </c>
      <c r="T1066">
        <v>0</v>
      </c>
      <c r="U1066">
        <v>0</v>
      </c>
      <c r="V1066">
        <v>0</v>
      </c>
    </row>
    <row r="1067" spans="1:22" x14ac:dyDescent="0.2">
      <c r="A1067" t="s">
        <v>1702</v>
      </c>
      <c r="B1067" t="s">
        <v>1703</v>
      </c>
      <c r="C1067" t="s">
        <v>1696</v>
      </c>
      <c r="D1067" t="s">
        <v>290</v>
      </c>
      <c r="E1067">
        <v>39.99</v>
      </c>
      <c r="F1067" t="s">
        <v>8118</v>
      </c>
      <c r="L1067" t="s">
        <v>8125</v>
      </c>
      <c r="M1067" t="s">
        <v>97</v>
      </c>
      <c r="N1067">
        <v>0</v>
      </c>
      <c r="O1067">
        <v>0</v>
      </c>
      <c r="T1067">
        <v>0.16666666666666666</v>
      </c>
      <c r="V1067">
        <v>0</v>
      </c>
    </row>
    <row r="1068" spans="1:22" x14ac:dyDescent="0.2">
      <c r="A1068" t="s">
        <v>1697</v>
      </c>
      <c r="B1068" t="s">
        <v>1698</v>
      </c>
      <c r="C1068" t="s">
        <v>1696</v>
      </c>
      <c r="D1068" t="s">
        <v>290</v>
      </c>
      <c r="E1068">
        <v>39.99</v>
      </c>
      <c r="F1068" t="s">
        <v>8118</v>
      </c>
      <c r="L1068" t="s">
        <v>8125</v>
      </c>
      <c r="M1068" t="s">
        <v>97</v>
      </c>
      <c r="N1068">
        <v>-12</v>
      </c>
      <c r="O1068">
        <v>-8.3333333333333329E-2</v>
      </c>
      <c r="T1068">
        <v>8.3333333333333329E-2</v>
      </c>
      <c r="V1068">
        <v>-1</v>
      </c>
    </row>
    <row r="1069" spans="1:22" x14ac:dyDescent="0.2">
      <c r="A1069" t="s">
        <v>1700</v>
      </c>
      <c r="B1069" t="s">
        <v>1701</v>
      </c>
      <c r="C1069" t="s">
        <v>1696</v>
      </c>
      <c r="D1069" t="s">
        <v>290</v>
      </c>
      <c r="E1069">
        <v>39.99</v>
      </c>
      <c r="F1069" t="s">
        <v>8118</v>
      </c>
      <c r="L1069" t="s">
        <v>8125</v>
      </c>
      <c r="M1069" t="s">
        <v>97</v>
      </c>
      <c r="N1069">
        <v>0</v>
      </c>
      <c r="O1069">
        <v>0</v>
      </c>
      <c r="T1069">
        <v>0</v>
      </c>
      <c r="V1069">
        <v>0</v>
      </c>
    </row>
    <row r="1070" spans="1:22" x14ac:dyDescent="0.2">
      <c r="A1070" t="s">
        <v>1704</v>
      </c>
      <c r="B1070" t="s">
        <v>1705</v>
      </c>
      <c r="C1070" t="s">
        <v>1696</v>
      </c>
      <c r="D1070" t="s">
        <v>290</v>
      </c>
      <c r="E1070">
        <v>39.99</v>
      </c>
      <c r="F1070" t="s">
        <v>8118</v>
      </c>
      <c r="L1070" t="s">
        <v>8125</v>
      </c>
      <c r="M1070" t="s">
        <v>97</v>
      </c>
      <c r="N1070">
        <v>0</v>
      </c>
      <c r="O1070">
        <v>0</v>
      </c>
      <c r="T1070">
        <v>0</v>
      </c>
      <c r="V1070">
        <v>1</v>
      </c>
    </row>
    <row r="1071" spans="1:22" x14ac:dyDescent="0.2">
      <c r="A1071" t="s">
        <v>1704</v>
      </c>
      <c r="B1071" t="s">
        <v>1705</v>
      </c>
      <c r="C1071" t="s">
        <v>1696</v>
      </c>
      <c r="D1071" t="s">
        <v>290</v>
      </c>
      <c r="E1071">
        <v>39.99</v>
      </c>
      <c r="F1071" t="s">
        <v>8118</v>
      </c>
      <c r="L1071" t="s">
        <v>7032</v>
      </c>
      <c r="M1071" t="s">
        <v>97</v>
      </c>
      <c r="N1071">
        <v>0</v>
      </c>
      <c r="O1071">
        <v>0</v>
      </c>
      <c r="T1071">
        <v>0</v>
      </c>
      <c r="U1071">
        <v>0</v>
      </c>
      <c r="V1071">
        <v>0</v>
      </c>
    </row>
    <row r="1072" spans="1:22" x14ac:dyDescent="0.2">
      <c r="A1072" t="s">
        <v>1702</v>
      </c>
      <c r="B1072" t="s">
        <v>1703</v>
      </c>
      <c r="C1072" t="s">
        <v>1696</v>
      </c>
      <c r="D1072" t="s">
        <v>290</v>
      </c>
      <c r="E1072">
        <v>39.99</v>
      </c>
      <c r="F1072" t="s">
        <v>8118</v>
      </c>
      <c r="L1072" t="s">
        <v>7032</v>
      </c>
      <c r="M1072" t="s">
        <v>97</v>
      </c>
      <c r="N1072">
        <v>0</v>
      </c>
      <c r="O1072">
        <v>0</v>
      </c>
      <c r="T1072">
        <v>0</v>
      </c>
      <c r="U1072">
        <v>0</v>
      </c>
      <c r="V1072">
        <v>0</v>
      </c>
    </row>
    <row r="1073" spans="1:22" x14ac:dyDescent="0.2">
      <c r="A1073" t="s">
        <v>1700</v>
      </c>
      <c r="B1073" t="s">
        <v>1701</v>
      </c>
      <c r="C1073" t="s">
        <v>1696</v>
      </c>
      <c r="D1073" t="s">
        <v>290</v>
      </c>
      <c r="E1073">
        <v>39.99</v>
      </c>
      <c r="F1073" t="s">
        <v>8118</v>
      </c>
      <c r="L1073" t="s">
        <v>7032</v>
      </c>
      <c r="M1073" t="s">
        <v>97</v>
      </c>
      <c r="N1073">
        <v>0</v>
      </c>
      <c r="O1073">
        <v>0</v>
      </c>
      <c r="T1073">
        <v>0</v>
      </c>
      <c r="U1073">
        <v>0</v>
      </c>
      <c r="V1073">
        <v>0</v>
      </c>
    </row>
    <row r="1074" spans="1:22" x14ac:dyDescent="0.2">
      <c r="A1074" t="s">
        <v>1697</v>
      </c>
      <c r="B1074" t="s">
        <v>1698</v>
      </c>
      <c r="C1074" t="s">
        <v>1696</v>
      </c>
      <c r="D1074" t="s">
        <v>290</v>
      </c>
      <c r="E1074">
        <v>39.99</v>
      </c>
      <c r="F1074" t="s">
        <v>8118</v>
      </c>
      <c r="L1074" t="s">
        <v>7032</v>
      </c>
      <c r="M1074" t="s">
        <v>97</v>
      </c>
      <c r="N1074">
        <v>0</v>
      </c>
      <c r="O1074">
        <v>0</v>
      </c>
      <c r="T1074">
        <v>0</v>
      </c>
      <c r="U1074">
        <v>0</v>
      </c>
      <c r="V1074">
        <v>0</v>
      </c>
    </row>
    <row r="1075" spans="1:22" x14ac:dyDescent="0.2">
      <c r="A1075" t="s">
        <v>5256</v>
      </c>
      <c r="B1075" t="s">
        <v>5257</v>
      </c>
      <c r="C1075" t="s">
        <v>5254</v>
      </c>
      <c r="D1075" t="s">
        <v>96</v>
      </c>
      <c r="E1075">
        <v>379.99</v>
      </c>
      <c r="F1075" t="s">
        <v>8118</v>
      </c>
      <c r="L1075" t="s">
        <v>11</v>
      </c>
      <c r="M1075" t="s">
        <v>5258</v>
      </c>
      <c r="N1075">
        <v>0</v>
      </c>
      <c r="O1075">
        <v>0</v>
      </c>
      <c r="T1075">
        <v>0</v>
      </c>
      <c r="U1075">
        <v>0</v>
      </c>
      <c r="V1075">
        <v>0</v>
      </c>
    </row>
    <row r="1076" spans="1:22" x14ac:dyDescent="0.2">
      <c r="A1076" t="s">
        <v>5259</v>
      </c>
      <c r="B1076" t="s">
        <v>5260</v>
      </c>
      <c r="C1076" t="s">
        <v>5254</v>
      </c>
      <c r="D1076" t="s">
        <v>290</v>
      </c>
      <c r="E1076">
        <v>429.99</v>
      </c>
      <c r="F1076" t="s">
        <v>8118</v>
      </c>
      <c r="L1076" t="s">
        <v>11</v>
      </c>
      <c r="M1076" t="s">
        <v>5261</v>
      </c>
      <c r="N1076">
        <v>0</v>
      </c>
      <c r="O1076">
        <v>0</v>
      </c>
      <c r="T1076">
        <v>0</v>
      </c>
      <c r="U1076">
        <v>0</v>
      </c>
      <c r="V1076">
        <v>0</v>
      </c>
    </row>
    <row r="1077" spans="1:22" x14ac:dyDescent="0.2">
      <c r="A1077" t="s">
        <v>5262</v>
      </c>
      <c r="B1077" t="s">
        <v>5263</v>
      </c>
      <c r="C1077" t="s">
        <v>5254</v>
      </c>
      <c r="D1077" t="s">
        <v>96</v>
      </c>
      <c r="E1077">
        <v>379.99</v>
      </c>
      <c r="F1077" t="s">
        <v>8118</v>
      </c>
      <c r="L1077" t="s">
        <v>11</v>
      </c>
      <c r="M1077" t="s">
        <v>5264</v>
      </c>
      <c r="N1077">
        <v>0</v>
      </c>
      <c r="O1077">
        <v>0</v>
      </c>
      <c r="T1077">
        <v>0</v>
      </c>
      <c r="U1077">
        <v>0</v>
      </c>
      <c r="V1077">
        <v>0</v>
      </c>
    </row>
    <row r="1078" spans="1:22" x14ac:dyDescent="0.2">
      <c r="A1078" t="s">
        <v>5252</v>
      </c>
      <c r="B1078" t="s">
        <v>5253</v>
      </c>
      <c r="C1078" t="s">
        <v>5254</v>
      </c>
      <c r="D1078" t="s">
        <v>96</v>
      </c>
      <c r="E1078">
        <v>79.989999999999995</v>
      </c>
      <c r="F1078" t="s">
        <v>8118</v>
      </c>
      <c r="L1078" t="s">
        <v>11</v>
      </c>
      <c r="M1078" t="s">
        <v>5255</v>
      </c>
      <c r="N1078">
        <v>0</v>
      </c>
      <c r="O1078">
        <v>0</v>
      </c>
      <c r="T1078">
        <v>0</v>
      </c>
      <c r="U1078">
        <v>0</v>
      </c>
      <c r="V1078">
        <v>0</v>
      </c>
    </row>
    <row r="1079" spans="1:22" x14ac:dyDescent="0.2">
      <c r="A1079" t="s">
        <v>5259</v>
      </c>
      <c r="B1079" t="s">
        <v>5260</v>
      </c>
      <c r="C1079" t="s">
        <v>5254</v>
      </c>
      <c r="D1079" t="s">
        <v>290</v>
      </c>
      <c r="E1079">
        <v>429.99</v>
      </c>
      <c r="F1079" t="s">
        <v>8118</v>
      </c>
      <c r="L1079" t="s">
        <v>7032</v>
      </c>
      <c r="M1079" t="s">
        <v>97</v>
      </c>
      <c r="N1079">
        <v>0</v>
      </c>
      <c r="O1079">
        <v>0</v>
      </c>
      <c r="T1079">
        <v>0</v>
      </c>
      <c r="U1079">
        <v>0</v>
      </c>
      <c r="V1079">
        <v>0</v>
      </c>
    </row>
    <row r="1080" spans="1:22" x14ac:dyDescent="0.2">
      <c r="A1080" t="s">
        <v>5256</v>
      </c>
      <c r="B1080" t="s">
        <v>5257</v>
      </c>
      <c r="C1080" t="s">
        <v>5254</v>
      </c>
      <c r="D1080" t="s">
        <v>96</v>
      </c>
      <c r="E1080">
        <v>379.99</v>
      </c>
      <c r="F1080" t="s">
        <v>8118</v>
      </c>
      <c r="L1080" t="s">
        <v>7032</v>
      </c>
      <c r="M1080" t="s">
        <v>97</v>
      </c>
      <c r="N1080">
        <v>0</v>
      </c>
      <c r="O1080">
        <v>0</v>
      </c>
      <c r="T1080">
        <v>0</v>
      </c>
      <c r="U1080">
        <v>0</v>
      </c>
      <c r="V1080">
        <v>0</v>
      </c>
    </row>
    <row r="1081" spans="1:22" x14ac:dyDescent="0.2">
      <c r="A1081" t="s">
        <v>5252</v>
      </c>
      <c r="B1081" t="s">
        <v>5253</v>
      </c>
      <c r="C1081" t="s">
        <v>5254</v>
      </c>
      <c r="D1081" t="s">
        <v>96</v>
      </c>
      <c r="E1081">
        <v>79.989999999999995</v>
      </c>
      <c r="F1081" t="s">
        <v>8118</v>
      </c>
      <c r="L1081" t="s">
        <v>7032</v>
      </c>
      <c r="M1081" t="s">
        <v>97</v>
      </c>
      <c r="N1081">
        <v>0</v>
      </c>
      <c r="O1081">
        <v>0</v>
      </c>
      <c r="T1081">
        <v>0</v>
      </c>
      <c r="U1081">
        <v>0</v>
      </c>
      <c r="V1081">
        <v>0</v>
      </c>
    </row>
    <row r="1082" spans="1:22" x14ac:dyDescent="0.2">
      <c r="A1082" t="s">
        <v>7808</v>
      </c>
      <c r="B1082" t="s">
        <v>7809</v>
      </c>
      <c r="C1082" t="s">
        <v>5254</v>
      </c>
      <c r="D1082" t="s">
        <v>96</v>
      </c>
      <c r="E1082">
        <v>429.99</v>
      </c>
      <c r="F1082" t="s">
        <v>8118</v>
      </c>
      <c r="L1082" t="s">
        <v>7032</v>
      </c>
      <c r="M1082" t="s">
        <v>97</v>
      </c>
      <c r="N1082">
        <v>0</v>
      </c>
      <c r="O1082">
        <v>0</v>
      </c>
      <c r="T1082">
        <v>0</v>
      </c>
      <c r="U1082">
        <v>0</v>
      </c>
      <c r="V1082">
        <v>0</v>
      </c>
    </row>
    <row r="1083" spans="1:22" x14ac:dyDescent="0.2">
      <c r="A1083" t="s">
        <v>5262</v>
      </c>
      <c r="B1083" t="s">
        <v>5263</v>
      </c>
      <c r="C1083" t="s">
        <v>5254</v>
      </c>
      <c r="D1083" t="s">
        <v>96</v>
      </c>
      <c r="E1083">
        <v>379.99</v>
      </c>
      <c r="F1083" t="s">
        <v>8118</v>
      </c>
      <c r="L1083" t="s">
        <v>7032</v>
      </c>
      <c r="M1083" t="s">
        <v>97</v>
      </c>
      <c r="N1083">
        <v>0</v>
      </c>
      <c r="O1083">
        <v>0</v>
      </c>
      <c r="T1083">
        <v>0</v>
      </c>
      <c r="U1083">
        <v>0</v>
      </c>
      <c r="V1083">
        <v>0</v>
      </c>
    </row>
    <row r="1084" spans="1:22" x14ac:dyDescent="0.2">
      <c r="A1084" t="s">
        <v>4340</v>
      </c>
      <c r="B1084" t="s">
        <v>4341</v>
      </c>
      <c r="C1084" t="s">
        <v>4330</v>
      </c>
      <c r="D1084" t="s">
        <v>96</v>
      </c>
      <c r="E1084">
        <v>21.99</v>
      </c>
      <c r="F1084" t="s">
        <v>8118</v>
      </c>
      <c r="L1084" t="s">
        <v>11</v>
      </c>
      <c r="M1084" t="s">
        <v>4342</v>
      </c>
      <c r="N1084">
        <v>0</v>
      </c>
      <c r="O1084">
        <v>0</v>
      </c>
      <c r="T1084">
        <v>0</v>
      </c>
      <c r="U1084">
        <v>0</v>
      </c>
      <c r="V1084">
        <v>0</v>
      </c>
    </row>
    <row r="1085" spans="1:22" x14ac:dyDescent="0.2">
      <c r="A1085" t="s">
        <v>4328</v>
      </c>
      <c r="B1085" t="s">
        <v>4329</v>
      </c>
      <c r="C1085" t="s">
        <v>4330</v>
      </c>
      <c r="D1085" t="s">
        <v>96</v>
      </c>
      <c r="E1085">
        <v>49.99</v>
      </c>
      <c r="F1085" t="s">
        <v>8118</v>
      </c>
      <c r="L1085" t="s">
        <v>11</v>
      </c>
      <c r="M1085" t="s">
        <v>4331</v>
      </c>
      <c r="N1085">
        <v>0</v>
      </c>
      <c r="O1085">
        <v>0</v>
      </c>
      <c r="T1085">
        <v>0</v>
      </c>
      <c r="U1085">
        <v>0</v>
      </c>
      <c r="V1085">
        <v>0</v>
      </c>
    </row>
    <row r="1086" spans="1:22" x14ac:dyDescent="0.2">
      <c r="A1086" t="s">
        <v>4328</v>
      </c>
      <c r="B1086" t="s">
        <v>4329</v>
      </c>
      <c r="C1086" t="s">
        <v>4330</v>
      </c>
      <c r="D1086" t="s">
        <v>96</v>
      </c>
      <c r="E1086">
        <v>49.99</v>
      </c>
      <c r="F1086" t="s">
        <v>8118</v>
      </c>
      <c r="L1086" t="s">
        <v>7032</v>
      </c>
      <c r="M1086" t="s">
        <v>97</v>
      </c>
      <c r="N1086">
        <v>0</v>
      </c>
      <c r="O1086">
        <v>0</v>
      </c>
      <c r="T1086">
        <v>0</v>
      </c>
      <c r="U1086">
        <v>0</v>
      </c>
      <c r="V1086">
        <v>0</v>
      </c>
    </row>
    <row r="1087" spans="1:22" x14ac:dyDescent="0.2">
      <c r="A1087" t="s">
        <v>7814</v>
      </c>
      <c r="B1087" t="s">
        <v>7815</v>
      </c>
      <c r="C1087" t="s">
        <v>4330</v>
      </c>
      <c r="D1087" t="s">
        <v>96</v>
      </c>
      <c r="E1087">
        <v>169.99</v>
      </c>
      <c r="F1087" t="s">
        <v>8118</v>
      </c>
      <c r="L1087" t="s">
        <v>7032</v>
      </c>
      <c r="M1087" t="s">
        <v>97</v>
      </c>
      <c r="N1087">
        <v>0</v>
      </c>
      <c r="O1087">
        <v>0</v>
      </c>
      <c r="T1087">
        <v>0</v>
      </c>
      <c r="U1087">
        <v>0</v>
      </c>
      <c r="V1087">
        <v>0</v>
      </c>
    </row>
    <row r="1088" spans="1:22" x14ac:dyDescent="0.2">
      <c r="A1088" t="s">
        <v>4340</v>
      </c>
      <c r="B1088" t="s">
        <v>4341</v>
      </c>
      <c r="C1088" t="s">
        <v>4330</v>
      </c>
      <c r="D1088" t="s">
        <v>96</v>
      </c>
      <c r="E1088">
        <v>21.99</v>
      </c>
      <c r="F1088" t="s">
        <v>8118</v>
      </c>
      <c r="L1088" t="s">
        <v>7032</v>
      </c>
      <c r="M1088" t="s">
        <v>97</v>
      </c>
      <c r="N1088">
        <v>0</v>
      </c>
      <c r="O1088">
        <v>0</v>
      </c>
      <c r="T1088">
        <v>0</v>
      </c>
      <c r="U1088">
        <v>0</v>
      </c>
      <c r="V1088">
        <v>0</v>
      </c>
    </row>
    <row r="1089" spans="1:22" x14ac:dyDescent="0.2">
      <c r="A1089" t="s">
        <v>4340</v>
      </c>
      <c r="B1089" t="s">
        <v>4341</v>
      </c>
      <c r="C1089" t="s">
        <v>4330</v>
      </c>
      <c r="D1089" t="s">
        <v>96</v>
      </c>
      <c r="E1089">
        <v>21.99</v>
      </c>
      <c r="F1089" t="s">
        <v>8118</v>
      </c>
      <c r="L1089" t="s">
        <v>8</v>
      </c>
      <c r="M1089" t="s">
        <v>7847</v>
      </c>
      <c r="N1089">
        <v>0</v>
      </c>
      <c r="O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 spans="1:22" x14ac:dyDescent="0.2">
      <c r="A1090" t="s">
        <v>4328</v>
      </c>
      <c r="B1090" t="s">
        <v>4329</v>
      </c>
      <c r="C1090" t="s">
        <v>4330</v>
      </c>
      <c r="D1090" t="s">
        <v>96</v>
      </c>
      <c r="E1090">
        <v>49.99</v>
      </c>
      <c r="F1090" t="s">
        <v>8118</v>
      </c>
      <c r="L1090" t="s">
        <v>8</v>
      </c>
      <c r="M1090" t="s">
        <v>7872</v>
      </c>
      <c r="N1090">
        <v>0</v>
      </c>
      <c r="O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 x14ac:dyDescent="0.2">
      <c r="A1091" t="s">
        <v>7852</v>
      </c>
      <c r="B1091" t="s">
        <v>7854</v>
      </c>
      <c r="C1091" t="s">
        <v>4330</v>
      </c>
      <c r="D1091" t="s">
        <v>96</v>
      </c>
      <c r="E1091">
        <v>349.99</v>
      </c>
      <c r="F1091" t="s">
        <v>8118</v>
      </c>
      <c r="L1091" t="s">
        <v>8</v>
      </c>
      <c r="M1091" t="s">
        <v>7853</v>
      </c>
      <c r="N1091">
        <v>0</v>
      </c>
      <c r="O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2" x14ac:dyDescent="0.2">
      <c r="A1092" t="s">
        <v>1830</v>
      </c>
      <c r="B1092" t="s">
        <v>7865</v>
      </c>
      <c r="C1092" t="s">
        <v>1811</v>
      </c>
      <c r="D1092" t="s">
        <v>228</v>
      </c>
      <c r="E1092">
        <v>199.99</v>
      </c>
      <c r="F1092" t="s">
        <v>8118</v>
      </c>
      <c r="G1092">
        <v>500</v>
      </c>
      <c r="H1092">
        <v>4</v>
      </c>
      <c r="I1092">
        <v>496</v>
      </c>
      <c r="L1092" t="s">
        <v>8</v>
      </c>
      <c r="M1092" t="s">
        <v>4625</v>
      </c>
      <c r="N1092">
        <v>308.47058823529409</v>
      </c>
      <c r="O1092">
        <v>3.2418001525553013E-3</v>
      </c>
      <c r="Q1092">
        <v>0</v>
      </c>
      <c r="R1092">
        <v>9</v>
      </c>
      <c r="S1092">
        <v>428</v>
      </c>
      <c r="T1092">
        <v>1.4166666666666667</v>
      </c>
      <c r="U1092">
        <v>-199.99</v>
      </c>
      <c r="V1092">
        <v>437</v>
      </c>
    </row>
    <row r="1093" spans="1:22" x14ac:dyDescent="0.2">
      <c r="A1093" t="s">
        <v>1834</v>
      </c>
      <c r="B1093" t="s">
        <v>1835</v>
      </c>
      <c r="C1093" t="s">
        <v>1811</v>
      </c>
      <c r="D1093" t="s">
        <v>228</v>
      </c>
      <c r="E1093">
        <v>179.99</v>
      </c>
      <c r="F1093" t="s">
        <v>8118</v>
      </c>
      <c r="G1093">
        <v>500</v>
      </c>
      <c r="H1093">
        <v>4</v>
      </c>
      <c r="I1093">
        <v>496</v>
      </c>
      <c r="L1093" t="s">
        <v>8</v>
      </c>
      <c r="M1093" t="s">
        <v>4623</v>
      </c>
      <c r="N1093">
        <v>268.17391304347825</v>
      </c>
      <c r="O1093">
        <v>3.7289234760051883E-3</v>
      </c>
      <c r="Q1093">
        <v>0</v>
      </c>
      <c r="R1093">
        <v>6</v>
      </c>
      <c r="S1093">
        <v>508</v>
      </c>
      <c r="T1093">
        <v>1.9166666666666667</v>
      </c>
      <c r="U1093">
        <v>0</v>
      </c>
      <c r="V1093">
        <v>514</v>
      </c>
    </row>
    <row r="1094" spans="1:22" x14ac:dyDescent="0.2">
      <c r="A1094" t="s">
        <v>1856</v>
      </c>
      <c r="B1094" t="s">
        <v>1857</v>
      </c>
      <c r="C1094" t="s">
        <v>1811</v>
      </c>
      <c r="D1094" t="s">
        <v>228</v>
      </c>
      <c r="E1094">
        <v>79.989999999999995</v>
      </c>
      <c r="F1094" t="s">
        <v>8118</v>
      </c>
      <c r="G1094">
        <v>91</v>
      </c>
      <c r="H1094">
        <v>32</v>
      </c>
      <c r="I1094">
        <v>59</v>
      </c>
      <c r="L1094" t="s">
        <v>8</v>
      </c>
      <c r="M1094" t="s">
        <v>4212</v>
      </c>
      <c r="N1094">
        <v>528</v>
      </c>
      <c r="O1094">
        <v>1.8939393939393938E-3</v>
      </c>
      <c r="Q1094">
        <v>0</v>
      </c>
      <c r="R1094">
        <v>26</v>
      </c>
      <c r="S1094">
        <v>326</v>
      </c>
      <c r="T1094">
        <v>0.66666666666666663</v>
      </c>
      <c r="U1094">
        <v>159.97999999999999</v>
      </c>
      <c r="V1094">
        <v>352</v>
      </c>
    </row>
    <row r="1095" spans="1:22" x14ac:dyDescent="0.2">
      <c r="A1095" t="s">
        <v>1854</v>
      </c>
      <c r="B1095" t="s">
        <v>1855</v>
      </c>
      <c r="C1095" t="s">
        <v>1811</v>
      </c>
      <c r="D1095" t="s">
        <v>228</v>
      </c>
      <c r="E1095">
        <v>599.99</v>
      </c>
      <c r="F1095" t="s">
        <v>8118</v>
      </c>
      <c r="G1095">
        <v>204</v>
      </c>
      <c r="H1095">
        <v>2</v>
      </c>
      <c r="I1095">
        <v>202</v>
      </c>
      <c r="L1095" t="s">
        <v>8</v>
      </c>
      <c r="M1095" t="s">
        <v>5374</v>
      </c>
      <c r="N1095">
        <v>502.5</v>
      </c>
      <c r="O1095">
        <v>1.990049751243781E-3</v>
      </c>
      <c r="Q1095">
        <v>1</v>
      </c>
      <c r="R1095">
        <v>28</v>
      </c>
      <c r="S1095">
        <v>306</v>
      </c>
      <c r="T1095">
        <v>0.66666666666666663</v>
      </c>
      <c r="U1095">
        <v>0</v>
      </c>
      <c r="V1095">
        <v>335</v>
      </c>
    </row>
    <row r="1096" spans="1:22" x14ac:dyDescent="0.2">
      <c r="A1096" t="s">
        <v>1832</v>
      </c>
      <c r="B1096" t="s">
        <v>7866</v>
      </c>
      <c r="C1096" t="s">
        <v>1811</v>
      </c>
      <c r="D1096" t="s">
        <v>228</v>
      </c>
      <c r="E1096">
        <v>249.99</v>
      </c>
      <c r="F1096" t="s">
        <v>8118</v>
      </c>
      <c r="G1096">
        <v>500</v>
      </c>
      <c r="I1096">
        <v>500</v>
      </c>
      <c r="L1096" t="s">
        <v>8</v>
      </c>
      <c r="M1096" t="s">
        <v>4626</v>
      </c>
      <c r="N1096">
        <v>370.15384615384619</v>
      </c>
      <c r="O1096">
        <v>2.7015793848711553E-3</v>
      </c>
      <c r="Q1096">
        <v>1</v>
      </c>
      <c r="R1096">
        <v>2</v>
      </c>
      <c r="S1096">
        <v>398</v>
      </c>
      <c r="T1096">
        <v>1.0833333333333333</v>
      </c>
      <c r="U1096">
        <v>0</v>
      </c>
      <c r="V1096">
        <v>401</v>
      </c>
    </row>
    <row r="1097" spans="1:22" x14ac:dyDescent="0.2">
      <c r="A1097" t="s">
        <v>1836</v>
      </c>
      <c r="B1097" t="s">
        <v>1837</v>
      </c>
      <c r="C1097" t="s">
        <v>1811</v>
      </c>
      <c r="D1097" t="s">
        <v>228</v>
      </c>
      <c r="E1097">
        <v>179.99</v>
      </c>
      <c r="F1097" t="s">
        <v>8118</v>
      </c>
      <c r="G1097">
        <v>9</v>
      </c>
      <c r="I1097">
        <v>9</v>
      </c>
      <c r="L1097" t="s">
        <v>8</v>
      </c>
      <c r="M1097" t="s">
        <v>4624</v>
      </c>
      <c r="N1097">
        <v>268</v>
      </c>
      <c r="O1097">
        <v>3.7313432835820895E-3</v>
      </c>
      <c r="Q1097">
        <v>0</v>
      </c>
      <c r="R1097">
        <v>21</v>
      </c>
      <c r="S1097">
        <v>46</v>
      </c>
      <c r="T1097">
        <v>0.25</v>
      </c>
      <c r="U1097">
        <v>0</v>
      </c>
      <c r="V1097">
        <v>67</v>
      </c>
    </row>
    <row r="1098" spans="1:22" x14ac:dyDescent="0.2">
      <c r="A1098" t="s">
        <v>1816</v>
      </c>
      <c r="B1098" t="s">
        <v>1817</v>
      </c>
      <c r="C1098" t="s">
        <v>1811</v>
      </c>
      <c r="D1098" t="s">
        <v>228</v>
      </c>
      <c r="E1098">
        <v>99.99</v>
      </c>
      <c r="F1098" t="s">
        <v>8118</v>
      </c>
      <c r="G1098">
        <v>200</v>
      </c>
      <c r="H1098">
        <v>50</v>
      </c>
      <c r="I1098">
        <v>150</v>
      </c>
      <c r="L1098" t="s">
        <v>8</v>
      </c>
      <c r="M1098" t="s">
        <v>6964</v>
      </c>
      <c r="N1098">
        <v>121.5</v>
      </c>
      <c r="O1098">
        <v>8.2304526748971183E-3</v>
      </c>
      <c r="Q1098">
        <v>0</v>
      </c>
      <c r="R1098">
        <v>0</v>
      </c>
      <c r="S1098">
        <v>81</v>
      </c>
      <c r="T1098">
        <v>0.66666666666666663</v>
      </c>
      <c r="U1098">
        <v>399.96</v>
      </c>
      <c r="V1098">
        <v>81</v>
      </c>
    </row>
    <row r="1099" spans="1:22" x14ac:dyDescent="0.2">
      <c r="A1099" t="s">
        <v>1818</v>
      </c>
      <c r="B1099" t="s">
        <v>1819</v>
      </c>
      <c r="C1099" t="s">
        <v>1811</v>
      </c>
      <c r="D1099" t="s">
        <v>228</v>
      </c>
      <c r="E1099">
        <v>119.99</v>
      </c>
      <c r="F1099" t="s">
        <v>8118</v>
      </c>
      <c r="J1099">
        <v>140</v>
      </c>
      <c r="L1099" t="s">
        <v>8</v>
      </c>
      <c r="M1099" t="s">
        <v>6965</v>
      </c>
      <c r="N1099">
        <v>55.363636363636367</v>
      </c>
      <c r="O1099">
        <v>1.8062397372742199E-2</v>
      </c>
      <c r="Q1099">
        <v>1</v>
      </c>
      <c r="R1099">
        <v>19</v>
      </c>
      <c r="S1099">
        <v>183</v>
      </c>
      <c r="T1099">
        <v>3.6666666666666665</v>
      </c>
      <c r="U1099">
        <v>359.96999999999997</v>
      </c>
      <c r="V1099">
        <v>203</v>
      </c>
    </row>
    <row r="1100" spans="1:22" x14ac:dyDescent="0.2">
      <c r="A1100" t="s">
        <v>1820</v>
      </c>
      <c r="B1100" t="s">
        <v>1821</v>
      </c>
      <c r="C1100" t="s">
        <v>1811</v>
      </c>
      <c r="D1100" t="s">
        <v>228</v>
      </c>
      <c r="E1100">
        <v>229.99</v>
      </c>
      <c r="F1100" t="s">
        <v>8118</v>
      </c>
      <c r="G1100">
        <v>183</v>
      </c>
      <c r="I1100">
        <v>183</v>
      </c>
      <c r="L1100" t="s">
        <v>8</v>
      </c>
      <c r="M1100" t="s">
        <v>5210</v>
      </c>
      <c r="N1100">
        <v>56</v>
      </c>
      <c r="O1100">
        <v>1.7857142857142856E-2</v>
      </c>
      <c r="Q1100">
        <v>6</v>
      </c>
      <c r="R1100">
        <v>19</v>
      </c>
      <c r="S1100">
        <v>213</v>
      </c>
      <c r="T1100">
        <v>4.25</v>
      </c>
      <c r="U1100">
        <v>459.98</v>
      </c>
      <c r="V1100">
        <v>238</v>
      </c>
    </row>
    <row r="1101" spans="1:22" x14ac:dyDescent="0.2">
      <c r="A1101" t="s">
        <v>1814</v>
      </c>
      <c r="B1101" t="s">
        <v>7862</v>
      </c>
      <c r="C1101" t="s">
        <v>1811</v>
      </c>
      <c r="D1101" t="s">
        <v>228</v>
      </c>
      <c r="E1101">
        <v>349.99</v>
      </c>
      <c r="F1101" t="s">
        <v>8118</v>
      </c>
      <c r="G1101">
        <v>231</v>
      </c>
      <c r="H1101">
        <v>11</v>
      </c>
      <c r="I1101">
        <v>220</v>
      </c>
      <c r="L1101" t="s">
        <v>8</v>
      </c>
      <c r="M1101" t="s">
        <v>4385</v>
      </c>
      <c r="N1101">
        <v>303</v>
      </c>
      <c r="O1101">
        <v>3.3003300330033004E-3</v>
      </c>
      <c r="Q1101">
        <v>1</v>
      </c>
      <c r="R1101">
        <v>24</v>
      </c>
      <c r="S1101">
        <v>278</v>
      </c>
      <c r="T1101">
        <v>1</v>
      </c>
      <c r="U1101">
        <v>-349.99</v>
      </c>
      <c r="V1101">
        <v>303</v>
      </c>
    </row>
    <row r="1102" spans="1:22" x14ac:dyDescent="0.2">
      <c r="A1102" t="s">
        <v>1822</v>
      </c>
      <c r="B1102" t="s">
        <v>1823</v>
      </c>
      <c r="C1102" t="s">
        <v>1811</v>
      </c>
      <c r="D1102" t="s">
        <v>228</v>
      </c>
      <c r="E1102">
        <v>249.99</v>
      </c>
      <c r="F1102" t="s">
        <v>8118</v>
      </c>
      <c r="G1102">
        <v>199</v>
      </c>
      <c r="I1102">
        <v>199</v>
      </c>
      <c r="L1102" t="s">
        <v>8</v>
      </c>
      <c r="M1102" t="s">
        <v>6966</v>
      </c>
      <c r="N1102">
        <v>140.80000000000001</v>
      </c>
      <c r="O1102">
        <v>7.102272727272727E-3</v>
      </c>
      <c r="Q1102">
        <v>0</v>
      </c>
      <c r="R1102">
        <v>34</v>
      </c>
      <c r="S1102">
        <v>142</v>
      </c>
      <c r="T1102">
        <v>1.25</v>
      </c>
      <c r="U1102">
        <v>-249.99</v>
      </c>
      <c r="V1102">
        <v>176</v>
      </c>
    </row>
    <row r="1103" spans="1:22" x14ac:dyDescent="0.2">
      <c r="A1103" t="s">
        <v>1826</v>
      </c>
      <c r="B1103" t="s">
        <v>7871</v>
      </c>
      <c r="C1103" t="s">
        <v>1811</v>
      </c>
      <c r="D1103" t="s">
        <v>228</v>
      </c>
      <c r="E1103">
        <v>399.99</v>
      </c>
      <c r="F1103" t="s">
        <v>8118</v>
      </c>
      <c r="L1103" t="s">
        <v>8</v>
      </c>
      <c r="M1103" t="s">
        <v>6962</v>
      </c>
      <c r="N1103">
        <v>528</v>
      </c>
      <c r="O1103">
        <v>1.8939393939393938E-3</v>
      </c>
      <c r="Q1103">
        <v>0</v>
      </c>
      <c r="R1103">
        <v>27</v>
      </c>
      <c r="S1103">
        <v>61</v>
      </c>
      <c r="T1103">
        <v>0.16666666666666666</v>
      </c>
      <c r="U1103">
        <v>399.99</v>
      </c>
      <c r="V1103">
        <v>88</v>
      </c>
    </row>
    <row r="1104" spans="1:22" x14ac:dyDescent="0.2">
      <c r="A1104" t="s">
        <v>1828</v>
      </c>
      <c r="B1104" t="s">
        <v>1829</v>
      </c>
      <c r="C1104" t="s">
        <v>1811</v>
      </c>
      <c r="D1104" t="s">
        <v>228</v>
      </c>
      <c r="E1104">
        <v>349.99</v>
      </c>
      <c r="F1104" t="s">
        <v>8118</v>
      </c>
      <c r="G1104">
        <v>231</v>
      </c>
      <c r="I1104">
        <v>231</v>
      </c>
      <c r="L1104" t="s">
        <v>8</v>
      </c>
      <c r="M1104" t="s">
        <v>6967</v>
      </c>
      <c r="N1104">
        <v>97.5</v>
      </c>
      <c r="O1104">
        <v>1.0256410256410256E-2</v>
      </c>
      <c r="Q1104">
        <v>0</v>
      </c>
      <c r="R1104">
        <v>28</v>
      </c>
      <c r="S1104">
        <v>102</v>
      </c>
      <c r="T1104">
        <v>1.3333333333333333</v>
      </c>
      <c r="U1104">
        <v>349.99</v>
      </c>
      <c r="V1104">
        <v>130</v>
      </c>
    </row>
    <row r="1105" spans="1:22" x14ac:dyDescent="0.2">
      <c r="A1105" t="s">
        <v>1859</v>
      </c>
      <c r="B1105" t="s">
        <v>1860</v>
      </c>
      <c r="C1105" t="s">
        <v>1858</v>
      </c>
      <c r="D1105" t="s">
        <v>96</v>
      </c>
      <c r="E1105">
        <v>99.99</v>
      </c>
      <c r="F1105" t="s">
        <v>8118</v>
      </c>
      <c r="L1105" t="s">
        <v>11</v>
      </c>
      <c r="M1105" t="s">
        <v>5917</v>
      </c>
      <c r="N1105">
        <v>0</v>
      </c>
      <c r="O1105">
        <v>0</v>
      </c>
      <c r="T1105">
        <v>0</v>
      </c>
      <c r="U1105">
        <v>0</v>
      </c>
      <c r="V1105">
        <v>0</v>
      </c>
    </row>
    <row r="1106" spans="1:22" x14ac:dyDescent="0.2">
      <c r="A1106" t="s">
        <v>5842</v>
      </c>
      <c r="B1106" t="s">
        <v>5843</v>
      </c>
      <c r="C1106" t="s">
        <v>1858</v>
      </c>
      <c r="D1106" t="s">
        <v>96</v>
      </c>
      <c r="E1106">
        <v>149.99</v>
      </c>
      <c r="F1106" t="s">
        <v>8118</v>
      </c>
      <c r="L1106" t="s">
        <v>11</v>
      </c>
      <c r="M1106" t="s">
        <v>5844</v>
      </c>
      <c r="N1106">
        <v>0</v>
      </c>
      <c r="O1106">
        <v>0</v>
      </c>
      <c r="T1106">
        <v>0</v>
      </c>
      <c r="U1106">
        <v>0</v>
      </c>
      <c r="V1106">
        <v>0</v>
      </c>
    </row>
    <row r="1107" spans="1:22" x14ac:dyDescent="0.2">
      <c r="A1107" t="s">
        <v>1859</v>
      </c>
      <c r="B1107" t="s">
        <v>1860</v>
      </c>
      <c r="C1107" t="s">
        <v>1858</v>
      </c>
      <c r="D1107" t="s">
        <v>96</v>
      </c>
      <c r="E1107">
        <v>99.99</v>
      </c>
      <c r="F1107" t="s">
        <v>8118</v>
      </c>
      <c r="L1107" t="s">
        <v>11</v>
      </c>
      <c r="M1107" t="s">
        <v>5916</v>
      </c>
      <c r="N1107">
        <v>0</v>
      </c>
      <c r="O1107">
        <v>0</v>
      </c>
      <c r="T1107">
        <v>0</v>
      </c>
      <c r="U1107">
        <v>0</v>
      </c>
      <c r="V1107">
        <v>0</v>
      </c>
    </row>
    <row r="1108" spans="1:22" x14ac:dyDescent="0.2">
      <c r="A1108" t="s">
        <v>1861</v>
      </c>
      <c r="B1108" t="s">
        <v>1862</v>
      </c>
      <c r="C1108" t="s">
        <v>1858</v>
      </c>
      <c r="D1108" t="s">
        <v>96</v>
      </c>
      <c r="E1108">
        <v>69.989999999999995</v>
      </c>
      <c r="F1108" t="s">
        <v>8118</v>
      </c>
      <c r="L1108" t="s">
        <v>10</v>
      </c>
      <c r="M1108">
        <v>350698</v>
      </c>
      <c r="N1108">
        <v>0</v>
      </c>
      <c r="O1108">
        <v>0</v>
      </c>
      <c r="P1108" t="s">
        <v>290</v>
      </c>
      <c r="T1108">
        <v>0</v>
      </c>
      <c r="U1108">
        <v>0</v>
      </c>
      <c r="V1108">
        <v>0</v>
      </c>
    </row>
    <row r="1109" spans="1:22" x14ac:dyDescent="0.2">
      <c r="A1109" t="s">
        <v>7265</v>
      </c>
      <c r="B1109" t="s">
        <v>7267</v>
      </c>
      <c r="C1109" t="s">
        <v>1858</v>
      </c>
      <c r="D1109" t="s">
        <v>96</v>
      </c>
      <c r="E1109">
        <v>99.99</v>
      </c>
      <c r="F1109" t="s">
        <v>8118</v>
      </c>
      <c r="L1109" t="s">
        <v>10</v>
      </c>
      <c r="M1109">
        <v>440780</v>
      </c>
      <c r="N1109">
        <v>0</v>
      </c>
      <c r="O1109">
        <v>0</v>
      </c>
      <c r="P1109" t="s">
        <v>290</v>
      </c>
      <c r="T1109">
        <v>0</v>
      </c>
      <c r="U1109">
        <v>0</v>
      </c>
      <c r="V1109">
        <v>0</v>
      </c>
    </row>
    <row r="1110" spans="1:22" x14ac:dyDescent="0.2">
      <c r="A1110" t="s">
        <v>5842</v>
      </c>
      <c r="B1110" t="s">
        <v>5843</v>
      </c>
      <c r="C1110" t="s">
        <v>1858</v>
      </c>
      <c r="D1110" t="s">
        <v>96</v>
      </c>
      <c r="E1110">
        <v>149.99</v>
      </c>
      <c r="F1110" t="s">
        <v>8118</v>
      </c>
      <c r="L1110" t="s">
        <v>10</v>
      </c>
      <c r="M1110">
        <v>350694</v>
      </c>
      <c r="N1110">
        <v>0</v>
      </c>
      <c r="O1110">
        <v>0</v>
      </c>
      <c r="P1110" t="s">
        <v>290</v>
      </c>
      <c r="T1110">
        <v>0</v>
      </c>
      <c r="U1110">
        <v>0</v>
      </c>
      <c r="V1110">
        <v>0</v>
      </c>
    </row>
    <row r="1111" spans="1:22" x14ac:dyDescent="0.2">
      <c r="A1111" t="s">
        <v>1859</v>
      </c>
      <c r="B1111" t="s">
        <v>1860</v>
      </c>
      <c r="C1111" t="s">
        <v>1858</v>
      </c>
      <c r="D1111" t="s">
        <v>96</v>
      </c>
      <c r="E1111">
        <v>99.99</v>
      </c>
      <c r="F1111" t="s">
        <v>8118</v>
      </c>
      <c r="L1111" t="s">
        <v>10</v>
      </c>
      <c r="M1111">
        <v>350690</v>
      </c>
      <c r="N1111">
        <v>0</v>
      </c>
      <c r="O1111">
        <v>0</v>
      </c>
      <c r="P1111" t="s">
        <v>290</v>
      </c>
      <c r="T1111">
        <v>0</v>
      </c>
      <c r="U1111">
        <v>0</v>
      </c>
      <c r="V1111">
        <v>0</v>
      </c>
    </row>
    <row r="1112" spans="1:22" x14ac:dyDescent="0.2">
      <c r="A1112" t="s">
        <v>7806</v>
      </c>
      <c r="B1112" t="s">
        <v>7807</v>
      </c>
      <c r="C1112" t="s">
        <v>1858</v>
      </c>
      <c r="D1112" t="s">
        <v>96</v>
      </c>
      <c r="E1112">
        <v>59.99</v>
      </c>
      <c r="F1112" t="s">
        <v>8118</v>
      </c>
      <c r="L1112" t="s">
        <v>7032</v>
      </c>
      <c r="M1112" t="s">
        <v>97</v>
      </c>
      <c r="N1112">
        <v>0</v>
      </c>
      <c r="O1112">
        <v>0</v>
      </c>
      <c r="T1112">
        <v>0</v>
      </c>
      <c r="U1112">
        <v>0</v>
      </c>
      <c r="V1112">
        <v>0</v>
      </c>
    </row>
    <row r="1113" spans="1:22" x14ac:dyDescent="0.2">
      <c r="A1113" t="s">
        <v>1859</v>
      </c>
      <c r="B1113" t="s">
        <v>1860</v>
      </c>
      <c r="C1113" t="s">
        <v>1858</v>
      </c>
      <c r="D1113" t="s">
        <v>96</v>
      </c>
      <c r="E1113">
        <v>99.99</v>
      </c>
      <c r="F1113" t="s">
        <v>8118</v>
      </c>
      <c r="L1113" t="s">
        <v>7032</v>
      </c>
      <c r="M1113" t="s">
        <v>97</v>
      </c>
      <c r="N1113">
        <v>0</v>
      </c>
      <c r="O1113">
        <v>0</v>
      </c>
      <c r="T1113">
        <v>0</v>
      </c>
      <c r="U1113">
        <v>0</v>
      </c>
      <c r="V1113">
        <v>0</v>
      </c>
    </row>
    <row r="1114" spans="1:22" x14ac:dyDescent="0.2">
      <c r="A1114" t="s">
        <v>1861</v>
      </c>
      <c r="B1114" t="s">
        <v>1862</v>
      </c>
      <c r="C1114" t="s">
        <v>1858</v>
      </c>
      <c r="D1114" t="s">
        <v>96</v>
      </c>
      <c r="E1114">
        <v>69.989999999999995</v>
      </c>
      <c r="F1114" t="s">
        <v>8118</v>
      </c>
      <c r="L1114" t="s">
        <v>7032</v>
      </c>
      <c r="M1114" t="s">
        <v>97</v>
      </c>
      <c r="N1114">
        <v>0</v>
      </c>
      <c r="O1114">
        <v>0</v>
      </c>
      <c r="T1114">
        <v>0</v>
      </c>
      <c r="U1114">
        <v>0</v>
      </c>
      <c r="V1114">
        <v>0</v>
      </c>
    </row>
    <row r="1115" spans="1:22" x14ac:dyDescent="0.2">
      <c r="A1115" t="s">
        <v>7265</v>
      </c>
      <c r="B1115" t="s">
        <v>7267</v>
      </c>
      <c r="C1115" t="s">
        <v>1858</v>
      </c>
      <c r="D1115" t="s">
        <v>96</v>
      </c>
      <c r="E1115">
        <v>99.99</v>
      </c>
      <c r="F1115" t="s">
        <v>8118</v>
      </c>
      <c r="L1115" t="s">
        <v>7032</v>
      </c>
      <c r="M1115" t="s">
        <v>97</v>
      </c>
      <c r="N1115">
        <v>0</v>
      </c>
      <c r="O1115">
        <v>0</v>
      </c>
      <c r="T1115">
        <v>0</v>
      </c>
      <c r="U1115">
        <v>0</v>
      </c>
      <c r="V1115">
        <v>0</v>
      </c>
    </row>
    <row r="1116" spans="1:22" x14ac:dyDescent="0.2">
      <c r="A1116" t="s">
        <v>1872</v>
      </c>
      <c r="B1116" t="s">
        <v>1873</v>
      </c>
      <c r="C1116" t="s">
        <v>1863</v>
      </c>
      <c r="D1116" t="s">
        <v>290</v>
      </c>
      <c r="E1116">
        <v>599.99</v>
      </c>
      <c r="F1116" t="s">
        <v>8118</v>
      </c>
      <c r="G1116">
        <v>69</v>
      </c>
      <c r="I1116">
        <v>69</v>
      </c>
      <c r="L1116" t="s">
        <v>8119</v>
      </c>
      <c r="U1116">
        <v>0</v>
      </c>
      <c r="V1116">
        <v>15</v>
      </c>
    </row>
    <row r="1117" spans="1:22" x14ac:dyDescent="0.2">
      <c r="A1117" t="s">
        <v>1876</v>
      </c>
      <c r="B1117" t="s">
        <v>1877</v>
      </c>
      <c r="C1117" t="s">
        <v>1863</v>
      </c>
      <c r="D1117" t="s">
        <v>290</v>
      </c>
      <c r="E1117">
        <v>549.99</v>
      </c>
      <c r="F1117" t="s">
        <v>8118</v>
      </c>
      <c r="L1117" t="s">
        <v>8119</v>
      </c>
      <c r="U1117">
        <v>0</v>
      </c>
      <c r="V1117">
        <v>0</v>
      </c>
    </row>
    <row r="1118" spans="1:22" x14ac:dyDescent="0.2">
      <c r="A1118" t="s">
        <v>1868</v>
      </c>
      <c r="B1118" t="s">
        <v>1869</v>
      </c>
      <c r="C1118" t="s">
        <v>1863</v>
      </c>
      <c r="D1118" t="s">
        <v>290</v>
      </c>
      <c r="E1118">
        <v>499.99</v>
      </c>
      <c r="F1118" t="s">
        <v>8118</v>
      </c>
      <c r="L1118" t="s">
        <v>8119</v>
      </c>
      <c r="U1118">
        <v>0</v>
      </c>
      <c r="V1118">
        <v>8</v>
      </c>
    </row>
    <row r="1119" spans="1:22" x14ac:dyDescent="0.2">
      <c r="A1119" t="s">
        <v>1882</v>
      </c>
      <c r="B1119" t="s">
        <v>1883</v>
      </c>
      <c r="C1119" t="s">
        <v>1863</v>
      </c>
      <c r="D1119" t="s">
        <v>228</v>
      </c>
      <c r="E1119">
        <v>849.99</v>
      </c>
      <c r="F1119" t="s">
        <v>8118</v>
      </c>
      <c r="G1119">
        <v>16</v>
      </c>
      <c r="I1119">
        <v>16</v>
      </c>
      <c r="L1119" t="s">
        <v>8119</v>
      </c>
      <c r="U1119">
        <v>0</v>
      </c>
      <c r="V1119">
        <v>1</v>
      </c>
    </row>
    <row r="1120" spans="1:22" x14ac:dyDescent="0.2">
      <c r="A1120" t="s">
        <v>1874</v>
      </c>
      <c r="B1120" t="s">
        <v>1875</v>
      </c>
      <c r="C1120" t="s">
        <v>1863</v>
      </c>
      <c r="D1120" t="s">
        <v>290</v>
      </c>
      <c r="E1120">
        <v>599.99</v>
      </c>
      <c r="F1120" t="s">
        <v>8118</v>
      </c>
      <c r="L1120" t="s">
        <v>8119</v>
      </c>
      <c r="U1120">
        <v>0</v>
      </c>
      <c r="V1120">
        <v>0</v>
      </c>
    </row>
    <row r="1121" spans="1:22" x14ac:dyDescent="0.2">
      <c r="A1121" t="s">
        <v>1870</v>
      </c>
      <c r="B1121" t="s">
        <v>1871</v>
      </c>
      <c r="C1121" t="s">
        <v>1863</v>
      </c>
      <c r="D1121" t="s">
        <v>290</v>
      </c>
      <c r="E1121">
        <v>499.99</v>
      </c>
      <c r="F1121" t="s">
        <v>8118</v>
      </c>
      <c r="G1121">
        <v>3</v>
      </c>
      <c r="I1121">
        <v>3</v>
      </c>
      <c r="L1121" t="s">
        <v>8119</v>
      </c>
      <c r="U1121">
        <v>0</v>
      </c>
      <c r="V1121">
        <v>5</v>
      </c>
    </row>
    <row r="1122" spans="1:22" x14ac:dyDescent="0.2">
      <c r="A1122" t="s">
        <v>1868</v>
      </c>
      <c r="B1122" t="s">
        <v>1869</v>
      </c>
      <c r="C1122" t="s">
        <v>1863</v>
      </c>
      <c r="D1122" t="s">
        <v>290</v>
      </c>
      <c r="E1122">
        <v>499.99</v>
      </c>
      <c r="F1122" t="s">
        <v>8118</v>
      </c>
      <c r="L1122" t="s">
        <v>10</v>
      </c>
      <c r="M1122">
        <v>626749</v>
      </c>
      <c r="N1122">
        <v>0</v>
      </c>
      <c r="O1122">
        <v>0</v>
      </c>
      <c r="P1122" t="s">
        <v>7015</v>
      </c>
      <c r="T1122">
        <v>0</v>
      </c>
      <c r="U1122">
        <v>0</v>
      </c>
      <c r="V1122">
        <v>0</v>
      </c>
    </row>
    <row r="1123" spans="1:22" x14ac:dyDescent="0.2">
      <c r="A1123" t="s">
        <v>1872</v>
      </c>
      <c r="B1123" t="s">
        <v>1873</v>
      </c>
      <c r="C1123" t="s">
        <v>1863</v>
      </c>
      <c r="D1123" t="s">
        <v>290</v>
      </c>
      <c r="E1123">
        <v>599.99</v>
      </c>
      <c r="F1123" t="s">
        <v>8118</v>
      </c>
      <c r="G1123">
        <v>69</v>
      </c>
      <c r="I1123">
        <v>69</v>
      </c>
      <c r="L1123" t="s">
        <v>10</v>
      </c>
      <c r="M1123">
        <v>626765</v>
      </c>
      <c r="N1123">
        <v>0</v>
      </c>
      <c r="O1123">
        <v>0</v>
      </c>
      <c r="P1123" t="s">
        <v>7015</v>
      </c>
      <c r="T1123">
        <v>0</v>
      </c>
      <c r="U1123">
        <v>0</v>
      </c>
      <c r="V1123">
        <v>0</v>
      </c>
    </row>
    <row r="1124" spans="1:22" x14ac:dyDescent="0.2">
      <c r="A1124" t="s">
        <v>1874</v>
      </c>
      <c r="B1124" t="s">
        <v>1875</v>
      </c>
      <c r="C1124" t="s">
        <v>1863</v>
      </c>
      <c r="D1124" t="s">
        <v>290</v>
      </c>
      <c r="E1124">
        <v>599.99</v>
      </c>
      <c r="F1124" t="s">
        <v>8118</v>
      </c>
      <c r="L1124" t="s">
        <v>10</v>
      </c>
      <c r="M1124">
        <v>626761</v>
      </c>
      <c r="N1124">
        <v>0</v>
      </c>
      <c r="O1124">
        <v>0</v>
      </c>
      <c r="P1124" t="s">
        <v>7015</v>
      </c>
      <c r="T1124">
        <v>0</v>
      </c>
      <c r="U1124">
        <v>0</v>
      </c>
      <c r="V1124">
        <v>0</v>
      </c>
    </row>
    <row r="1125" spans="1:22" x14ac:dyDescent="0.2">
      <c r="A1125" t="s">
        <v>1876</v>
      </c>
      <c r="B1125" t="s">
        <v>1877</v>
      </c>
      <c r="C1125" t="s">
        <v>1863</v>
      </c>
      <c r="D1125" t="s">
        <v>290</v>
      </c>
      <c r="E1125">
        <v>549.99</v>
      </c>
      <c r="F1125" t="s">
        <v>8118</v>
      </c>
      <c r="L1125" t="s">
        <v>10</v>
      </c>
      <c r="M1125">
        <v>626757</v>
      </c>
      <c r="N1125">
        <v>0</v>
      </c>
      <c r="O1125">
        <v>0</v>
      </c>
      <c r="P1125" t="s">
        <v>7015</v>
      </c>
      <c r="T1125">
        <v>0</v>
      </c>
      <c r="U1125">
        <v>0</v>
      </c>
      <c r="V1125">
        <v>0</v>
      </c>
    </row>
    <row r="1126" spans="1:22" x14ac:dyDescent="0.2">
      <c r="A1126" t="s">
        <v>1882</v>
      </c>
      <c r="B1126" t="s">
        <v>1883</v>
      </c>
      <c r="C1126" t="s">
        <v>1863</v>
      </c>
      <c r="D1126" t="s">
        <v>228</v>
      </c>
      <c r="E1126">
        <v>849.99</v>
      </c>
      <c r="F1126" t="s">
        <v>8118</v>
      </c>
      <c r="G1126">
        <v>16</v>
      </c>
      <c r="I1126">
        <v>16</v>
      </c>
      <c r="L1126" t="s">
        <v>10</v>
      </c>
      <c r="M1126">
        <v>626769</v>
      </c>
      <c r="N1126">
        <v>12</v>
      </c>
      <c r="O1126">
        <v>8.3333333333333329E-2</v>
      </c>
      <c r="P1126" t="s">
        <v>7015</v>
      </c>
      <c r="T1126">
        <v>0</v>
      </c>
      <c r="U1126">
        <v>0</v>
      </c>
      <c r="V1126">
        <v>1</v>
      </c>
    </row>
    <row r="1127" spans="1:22" x14ac:dyDescent="0.2">
      <c r="A1127" t="s">
        <v>1886</v>
      </c>
      <c r="B1127" t="s">
        <v>1887</v>
      </c>
      <c r="C1127" t="s">
        <v>1863</v>
      </c>
      <c r="D1127" t="s">
        <v>228</v>
      </c>
      <c r="E1127">
        <v>39.99</v>
      </c>
      <c r="F1127" t="s">
        <v>8118</v>
      </c>
      <c r="G1127">
        <v>1</v>
      </c>
      <c r="I1127">
        <v>1</v>
      </c>
      <c r="L1127" t="s">
        <v>10</v>
      </c>
      <c r="N1127">
        <v>0</v>
      </c>
      <c r="O1127">
        <v>0</v>
      </c>
      <c r="P1127" t="s">
        <v>7015</v>
      </c>
      <c r="T1127">
        <v>0</v>
      </c>
      <c r="U1127">
        <v>0</v>
      </c>
      <c r="V1127">
        <v>0</v>
      </c>
    </row>
    <row r="1128" spans="1:22" x14ac:dyDescent="0.2">
      <c r="A1128" t="s">
        <v>1870</v>
      </c>
      <c r="B1128" t="s">
        <v>1871</v>
      </c>
      <c r="C1128" t="s">
        <v>1863</v>
      </c>
      <c r="D1128" t="s">
        <v>290</v>
      </c>
      <c r="E1128">
        <v>499.99</v>
      </c>
      <c r="F1128" t="s">
        <v>8118</v>
      </c>
      <c r="G1128">
        <v>3</v>
      </c>
      <c r="I1128">
        <v>3</v>
      </c>
      <c r="L1128" t="s">
        <v>10</v>
      </c>
      <c r="M1128">
        <v>626753</v>
      </c>
      <c r="N1128">
        <v>0</v>
      </c>
      <c r="O1128">
        <v>0</v>
      </c>
      <c r="P1128" t="s">
        <v>7015</v>
      </c>
      <c r="T1128">
        <v>0</v>
      </c>
      <c r="U1128">
        <v>0</v>
      </c>
      <c r="V1128">
        <v>0</v>
      </c>
    </row>
    <row r="1129" spans="1:22" x14ac:dyDescent="0.2">
      <c r="A1129" t="s">
        <v>1878</v>
      </c>
      <c r="B1129" t="s">
        <v>1879</v>
      </c>
      <c r="C1129" t="s">
        <v>1863</v>
      </c>
      <c r="D1129" t="s">
        <v>228</v>
      </c>
      <c r="E1129">
        <v>349</v>
      </c>
      <c r="F1129" t="s">
        <v>8118</v>
      </c>
      <c r="G1129">
        <v>1</v>
      </c>
      <c r="H1129">
        <v>1</v>
      </c>
      <c r="J1129">
        <v>3</v>
      </c>
      <c r="K1129">
        <v>20</v>
      </c>
      <c r="L1129" t="s">
        <v>7032</v>
      </c>
      <c r="M1129" t="s">
        <v>97</v>
      </c>
      <c r="N1129">
        <v>0</v>
      </c>
      <c r="O1129">
        <v>0</v>
      </c>
      <c r="T1129">
        <v>0</v>
      </c>
      <c r="U1129">
        <v>0</v>
      </c>
      <c r="V1129">
        <v>0</v>
      </c>
    </row>
    <row r="1130" spans="1:22" x14ac:dyDescent="0.2">
      <c r="A1130" t="s">
        <v>1876</v>
      </c>
      <c r="B1130" t="s">
        <v>1877</v>
      </c>
      <c r="C1130" t="s">
        <v>1863</v>
      </c>
      <c r="D1130" t="s">
        <v>290</v>
      </c>
      <c r="E1130">
        <v>549.99</v>
      </c>
      <c r="F1130" t="s">
        <v>8118</v>
      </c>
      <c r="L1130" t="s">
        <v>7032</v>
      </c>
      <c r="M1130" t="s">
        <v>97</v>
      </c>
      <c r="N1130">
        <v>0</v>
      </c>
      <c r="O1130">
        <v>0</v>
      </c>
      <c r="T1130">
        <v>0</v>
      </c>
      <c r="U1130">
        <v>0</v>
      </c>
      <c r="V1130">
        <v>0</v>
      </c>
    </row>
    <row r="1131" spans="1:22" x14ac:dyDescent="0.2">
      <c r="A1131" t="s">
        <v>1872</v>
      </c>
      <c r="B1131" t="s">
        <v>1873</v>
      </c>
      <c r="C1131" t="s">
        <v>1863</v>
      </c>
      <c r="D1131" t="s">
        <v>290</v>
      </c>
      <c r="E1131">
        <v>599.99</v>
      </c>
      <c r="F1131" t="s">
        <v>8118</v>
      </c>
      <c r="G1131">
        <v>69</v>
      </c>
      <c r="I1131">
        <v>69</v>
      </c>
      <c r="L1131" t="s">
        <v>7032</v>
      </c>
      <c r="M1131" t="s">
        <v>97</v>
      </c>
      <c r="N1131">
        <v>0</v>
      </c>
      <c r="O1131">
        <v>0</v>
      </c>
      <c r="T1131">
        <v>0</v>
      </c>
      <c r="U1131">
        <v>0</v>
      </c>
      <c r="V1131">
        <v>-1</v>
      </c>
    </row>
    <row r="1132" spans="1:22" x14ac:dyDescent="0.2">
      <c r="A1132" t="s">
        <v>1886</v>
      </c>
      <c r="B1132" t="s">
        <v>1887</v>
      </c>
      <c r="C1132" t="s">
        <v>1863</v>
      </c>
      <c r="D1132" t="s">
        <v>228</v>
      </c>
      <c r="E1132">
        <v>39.99</v>
      </c>
      <c r="F1132" t="s">
        <v>8118</v>
      </c>
      <c r="G1132">
        <v>1</v>
      </c>
      <c r="I1132">
        <v>1</v>
      </c>
      <c r="L1132" t="s">
        <v>8</v>
      </c>
      <c r="M1132" t="s">
        <v>3493</v>
      </c>
      <c r="N1132">
        <v>0</v>
      </c>
      <c r="O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 x14ac:dyDescent="0.2">
      <c r="A1133" t="s">
        <v>1882</v>
      </c>
      <c r="B1133" t="s">
        <v>1883</v>
      </c>
      <c r="C1133" t="s">
        <v>1863</v>
      </c>
      <c r="D1133" t="s">
        <v>228</v>
      </c>
      <c r="E1133">
        <v>849.99</v>
      </c>
      <c r="F1133" t="s">
        <v>8118</v>
      </c>
      <c r="G1133">
        <v>16</v>
      </c>
      <c r="I1133">
        <v>16</v>
      </c>
      <c r="L1133" t="s">
        <v>8</v>
      </c>
      <c r="M1133" t="s">
        <v>7964</v>
      </c>
      <c r="N1133">
        <v>102</v>
      </c>
      <c r="O1133">
        <v>9.8039215686274508E-3</v>
      </c>
      <c r="Q1133">
        <v>0</v>
      </c>
      <c r="R1133">
        <v>17</v>
      </c>
      <c r="S1133">
        <v>0</v>
      </c>
      <c r="T1133">
        <v>0.16666666666666666</v>
      </c>
      <c r="U1133">
        <v>0</v>
      </c>
      <c r="V1133">
        <v>17</v>
      </c>
    </row>
    <row r="1134" spans="1:22" x14ac:dyDescent="0.2">
      <c r="A1134" t="s">
        <v>1876</v>
      </c>
      <c r="B1134" t="s">
        <v>1877</v>
      </c>
      <c r="C1134" t="s">
        <v>1863</v>
      </c>
      <c r="D1134" t="s">
        <v>290</v>
      </c>
      <c r="E1134">
        <v>549.99</v>
      </c>
      <c r="F1134" t="s">
        <v>8118</v>
      </c>
      <c r="L1134" t="s">
        <v>8</v>
      </c>
      <c r="M1134" t="s">
        <v>7963</v>
      </c>
      <c r="N1134">
        <v>18.206896551724139</v>
      </c>
      <c r="O1134">
        <v>5.4924242424242424E-2</v>
      </c>
      <c r="Q1134">
        <v>1</v>
      </c>
      <c r="R1134">
        <v>0</v>
      </c>
      <c r="S1134">
        <v>43</v>
      </c>
      <c r="T1134">
        <v>2.4166666666666665</v>
      </c>
      <c r="U1134">
        <v>3299.94</v>
      </c>
      <c r="V1134">
        <v>44</v>
      </c>
    </row>
    <row r="1135" spans="1:22" x14ac:dyDescent="0.2">
      <c r="A1135" t="s">
        <v>1864</v>
      </c>
      <c r="B1135" t="s">
        <v>1865</v>
      </c>
      <c r="C1135" t="s">
        <v>1863</v>
      </c>
      <c r="D1135" t="s">
        <v>228</v>
      </c>
      <c r="E1135">
        <v>1499.99</v>
      </c>
      <c r="F1135" t="s">
        <v>8118</v>
      </c>
      <c r="G1135">
        <v>28</v>
      </c>
      <c r="H1135">
        <v>3</v>
      </c>
      <c r="I1135">
        <v>25</v>
      </c>
      <c r="L1135" t="s">
        <v>8</v>
      </c>
      <c r="M1135" t="s">
        <v>3496</v>
      </c>
      <c r="N1135">
        <v>6</v>
      </c>
      <c r="O1135">
        <v>0.16666666666666666</v>
      </c>
      <c r="Q1135">
        <v>1</v>
      </c>
      <c r="R1135">
        <v>2</v>
      </c>
      <c r="S1135">
        <v>0</v>
      </c>
      <c r="T1135">
        <v>0.5</v>
      </c>
      <c r="U1135">
        <v>0</v>
      </c>
      <c r="V1135">
        <v>3</v>
      </c>
    </row>
    <row r="1136" spans="1:22" x14ac:dyDescent="0.2">
      <c r="A1136" t="s">
        <v>1868</v>
      </c>
      <c r="B1136" t="s">
        <v>1869</v>
      </c>
      <c r="C1136" t="s">
        <v>1863</v>
      </c>
      <c r="D1136" t="s">
        <v>290</v>
      </c>
      <c r="E1136">
        <v>499.99</v>
      </c>
      <c r="F1136" t="s">
        <v>8118</v>
      </c>
      <c r="L1136" t="s">
        <v>8</v>
      </c>
      <c r="M1136" t="s">
        <v>7959</v>
      </c>
      <c r="N1136">
        <v>84</v>
      </c>
      <c r="O1136">
        <v>1.1904761904761904E-2</v>
      </c>
      <c r="Q1136">
        <v>1</v>
      </c>
      <c r="R1136">
        <v>106</v>
      </c>
      <c r="S1136">
        <v>5</v>
      </c>
      <c r="T1136">
        <v>1.3333333333333333</v>
      </c>
      <c r="U1136">
        <v>499.99</v>
      </c>
      <c r="V1136">
        <v>112</v>
      </c>
    </row>
    <row r="1137" spans="1:22" x14ac:dyDescent="0.2">
      <c r="A1137" t="s">
        <v>1872</v>
      </c>
      <c r="B1137" t="s">
        <v>1873</v>
      </c>
      <c r="C1137" t="s">
        <v>1863</v>
      </c>
      <c r="D1137" t="s">
        <v>290</v>
      </c>
      <c r="E1137">
        <v>599.99</v>
      </c>
      <c r="F1137" t="s">
        <v>8118</v>
      </c>
      <c r="G1137">
        <v>69</v>
      </c>
      <c r="I1137">
        <v>69</v>
      </c>
      <c r="L1137" t="s">
        <v>8</v>
      </c>
      <c r="M1137" t="s">
        <v>7961</v>
      </c>
      <c r="N1137">
        <v>14.307692307692308</v>
      </c>
      <c r="O1137">
        <v>6.9892473118279563E-2</v>
      </c>
      <c r="Q1137">
        <v>0</v>
      </c>
      <c r="R1137">
        <v>31</v>
      </c>
      <c r="S1137">
        <v>0</v>
      </c>
      <c r="T1137">
        <v>2.1666666666666665</v>
      </c>
      <c r="U1137">
        <v>599.99</v>
      </c>
      <c r="V1137">
        <v>31</v>
      </c>
    </row>
    <row r="1138" spans="1:22" x14ac:dyDescent="0.2">
      <c r="A1138" t="s">
        <v>1870</v>
      </c>
      <c r="B1138" t="s">
        <v>1871</v>
      </c>
      <c r="C1138" t="s">
        <v>1863</v>
      </c>
      <c r="D1138" t="s">
        <v>290</v>
      </c>
      <c r="E1138">
        <v>499.99</v>
      </c>
      <c r="F1138" t="s">
        <v>8118</v>
      </c>
      <c r="G1138">
        <v>3</v>
      </c>
      <c r="I1138">
        <v>3</v>
      </c>
      <c r="L1138" t="s">
        <v>8</v>
      </c>
      <c r="M1138" t="s">
        <v>7960</v>
      </c>
      <c r="N1138">
        <v>24</v>
      </c>
      <c r="O1138">
        <v>4.1666666666666664E-2</v>
      </c>
      <c r="Q1138">
        <v>0</v>
      </c>
      <c r="R1138">
        <v>9</v>
      </c>
      <c r="S1138">
        <v>3</v>
      </c>
      <c r="T1138">
        <v>0.5</v>
      </c>
      <c r="U1138">
        <v>-1499.97</v>
      </c>
      <c r="V1138">
        <v>12</v>
      </c>
    </row>
    <row r="1139" spans="1:22" x14ac:dyDescent="0.2">
      <c r="A1139" t="s">
        <v>1866</v>
      </c>
      <c r="B1139" t="s">
        <v>1867</v>
      </c>
      <c r="C1139" t="s">
        <v>1863</v>
      </c>
      <c r="D1139" t="s">
        <v>228</v>
      </c>
      <c r="E1139">
        <v>39.99</v>
      </c>
      <c r="F1139" t="s">
        <v>8118</v>
      </c>
      <c r="L1139" t="s">
        <v>8</v>
      </c>
      <c r="M1139" t="s">
        <v>3492</v>
      </c>
      <c r="N1139">
        <v>0</v>
      </c>
      <c r="O1139">
        <v>0</v>
      </c>
      <c r="Q1139">
        <v>0</v>
      </c>
      <c r="R1139">
        <v>0</v>
      </c>
      <c r="S1139">
        <v>0</v>
      </c>
      <c r="T1139">
        <v>0.75</v>
      </c>
      <c r="U1139">
        <v>0</v>
      </c>
      <c r="V1139">
        <v>0</v>
      </c>
    </row>
    <row r="1140" spans="1:22" x14ac:dyDescent="0.2">
      <c r="A1140" t="s">
        <v>1880</v>
      </c>
      <c r="B1140" t="s">
        <v>1881</v>
      </c>
      <c r="C1140" t="s">
        <v>1863</v>
      </c>
      <c r="D1140" t="s">
        <v>228</v>
      </c>
      <c r="E1140">
        <v>649.99</v>
      </c>
      <c r="F1140" t="s">
        <v>8118</v>
      </c>
      <c r="G1140">
        <v>12</v>
      </c>
      <c r="I1140">
        <v>12</v>
      </c>
      <c r="L1140" t="s">
        <v>8</v>
      </c>
      <c r="M1140" t="s">
        <v>1880</v>
      </c>
      <c r="N1140">
        <v>144</v>
      </c>
      <c r="O1140">
        <v>6.9444444444444441E-3</v>
      </c>
      <c r="Q1140">
        <v>0</v>
      </c>
      <c r="R1140">
        <v>12</v>
      </c>
      <c r="S1140">
        <v>0</v>
      </c>
      <c r="T1140">
        <v>8.3333333333333329E-2</v>
      </c>
      <c r="U1140">
        <v>0</v>
      </c>
      <c r="V1140">
        <v>12</v>
      </c>
    </row>
    <row r="1141" spans="1:22" x14ac:dyDescent="0.2">
      <c r="A1141" t="s">
        <v>1874</v>
      </c>
      <c r="B1141" t="s">
        <v>1875</v>
      </c>
      <c r="C1141" t="s">
        <v>1863</v>
      </c>
      <c r="D1141" t="s">
        <v>290</v>
      </c>
      <c r="E1141">
        <v>599.99</v>
      </c>
      <c r="F1141" t="s">
        <v>8118</v>
      </c>
      <c r="L1141" t="s">
        <v>8</v>
      </c>
      <c r="M1141" t="s">
        <v>7962</v>
      </c>
      <c r="N1141">
        <v>2.6666666666666665</v>
      </c>
      <c r="O1141">
        <v>0.375</v>
      </c>
      <c r="Q1141">
        <v>0</v>
      </c>
      <c r="R1141">
        <v>1</v>
      </c>
      <c r="S1141">
        <v>1</v>
      </c>
      <c r="T1141">
        <v>0.75</v>
      </c>
      <c r="U1141">
        <v>2999.95</v>
      </c>
      <c r="V1141">
        <v>2</v>
      </c>
    </row>
    <row r="1142" spans="1:22" x14ac:dyDescent="0.2">
      <c r="A1142" t="s">
        <v>1878</v>
      </c>
      <c r="B1142" t="s">
        <v>1879</v>
      </c>
      <c r="C1142" t="s">
        <v>1863</v>
      </c>
      <c r="D1142" t="s">
        <v>228</v>
      </c>
      <c r="E1142">
        <v>349</v>
      </c>
      <c r="F1142" t="s">
        <v>8118</v>
      </c>
      <c r="G1142">
        <v>1</v>
      </c>
      <c r="H1142">
        <v>1</v>
      </c>
      <c r="J1142">
        <v>3</v>
      </c>
      <c r="K1142">
        <v>20</v>
      </c>
      <c r="L1142" t="s">
        <v>8</v>
      </c>
      <c r="M1142" t="s">
        <v>1878</v>
      </c>
      <c r="N1142">
        <v>30</v>
      </c>
      <c r="O1142">
        <v>3.3333333333333333E-2</v>
      </c>
      <c r="Q1142">
        <v>0</v>
      </c>
      <c r="R1142">
        <v>20</v>
      </c>
      <c r="S1142">
        <v>0</v>
      </c>
      <c r="T1142">
        <v>0.66666666666666663</v>
      </c>
      <c r="U1142">
        <v>0</v>
      </c>
      <c r="V1142">
        <v>20</v>
      </c>
    </row>
    <row r="1143" spans="1:22" x14ac:dyDescent="0.2">
      <c r="A1143" t="s">
        <v>1882</v>
      </c>
      <c r="B1143" t="s">
        <v>1883</v>
      </c>
      <c r="C1143" t="s">
        <v>1863</v>
      </c>
      <c r="D1143" t="s">
        <v>228</v>
      </c>
      <c r="E1143">
        <v>849.99</v>
      </c>
      <c r="F1143" t="s">
        <v>8118</v>
      </c>
      <c r="G1143">
        <v>16</v>
      </c>
      <c r="I1143">
        <v>16</v>
      </c>
      <c r="L1143" t="s">
        <v>7029</v>
      </c>
      <c r="N1143">
        <v>20</v>
      </c>
      <c r="O1143">
        <v>0.05</v>
      </c>
      <c r="T1143">
        <v>0.25</v>
      </c>
      <c r="U1143">
        <v>0</v>
      </c>
      <c r="V1143">
        <v>5</v>
      </c>
    </row>
    <row r="1144" spans="1:22" x14ac:dyDescent="0.2">
      <c r="A1144" t="s">
        <v>1893</v>
      </c>
      <c r="B1144" t="s">
        <v>1894</v>
      </c>
      <c r="C1144" t="s">
        <v>1888</v>
      </c>
      <c r="D1144" t="s">
        <v>228</v>
      </c>
      <c r="E1144">
        <v>149.99</v>
      </c>
      <c r="F1144" t="s">
        <v>8118</v>
      </c>
      <c r="G1144">
        <v>338</v>
      </c>
      <c r="H1144">
        <v>225</v>
      </c>
      <c r="I1144">
        <v>113</v>
      </c>
      <c r="J1144">
        <v>45</v>
      </c>
      <c r="K1144">
        <v>368</v>
      </c>
      <c r="L1144" t="s">
        <v>8119</v>
      </c>
      <c r="U1144">
        <v>0</v>
      </c>
      <c r="V1144">
        <v>2</v>
      </c>
    </row>
    <row r="1145" spans="1:22" x14ac:dyDescent="0.2">
      <c r="A1145" t="s">
        <v>1895</v>
      </c>
      <c r="B1145" t="s">
        <v>1896</v>
      </c>
      <c r="C1145" t="s">
        <v>1888</v>
      </c>
      <c r="D1145" t="s">
        <v>228</v>
      </c>
      <c r="E1145">
        <v>119.99</v>
      </c>
      <c r="F1145" t="s">
        <v>8118</v>
      </c>
      <c r="J1145">
        <v>95</v>
      </c>
      <c r="K1145">
        <v>158</v>
      </c>
      <c r="L1145" t="s">
        <v>10</v>
      </c>
      <c r="M1145">
        <v>626502</v>
      </c>
      <c r="N1145">
        <v>68</v>
      </c>
      <c r="O1145">
        <v>1.4814814814814814E-2</v>
      </c>
      <c r="P1145" t="s">
        <v>7015</v>
      </c>
      <c r="T1145">
        <v>1</v>
      </c>
      <c r="U1145">
        <v>0</v>
      </c>
      <c r="V1145">
        <v>45</v>
      </c>
    </row>
    <row r="1146" spans="1:22" x14ac:dyDescent="0.2">
      <c r="A1146" t="s">
        <v>1889</v>
      </c>
      <c r="B1146" t="s">
        <v>1890</v>
      </c>
      <c r="C1146" t="s">
        <v>1888</v>
      </c>
      <c r="D1146" t="s">
        <v>290</v>
      </c>
      <c r="E1146">
        <v>149.99</v>
      </c>
      <c r="F1146" t="s">
        <v>8118</v>
      </c>
      <c r="J1146">
        <v>65</v>
      </c>
      <c r="L1146" t="s">
        <v>10</v>
      </c>
      <c r="M1146">
        <v>555151</v>
      </c>
      <c r="N1146">
        <v>26</v>
      </c>
      <c r="O1146">
        <v>3.787878787878788E-2</v>
      </c>
      <c r="P1146" t="s">
        <v>7015</v>
      </c>
      <c r="T1146">
        <v>1</v>
      </c>
      <c r="U1146">
        <v>449.97</v>
      </c>
      <c r="V1146">
        <v>33</v>
      </c>
    </row>
    <row r="1147" spans="1:22" x14ac:dyDescent="0.2">
      <c r="A1147" t="s">
        <v>1893</v>
      </c>
      <c r="B1147" t="s">
        <v>1894</v>
      </c>
      <c r="C1147" t="s">
        <v>1888</v>
      </c>
      <c r="D1147" t="s">
        <v>228</v>
      </c>
      <c r="E1147">
        <v>149.99</v>
      </c>
      <c r="F1147" t="s">
        <v>8118</v>
      </c>
      <c r="G1147">
        <v>338</v>
      </c>
      <c r="H1147">
        <v>225</v>
      </c>
      <c r="I1147">
        <v>113</v>
      </c>
      <c r="J1147">
        <v>45</v>
      </c>
      <c r="K1147">
        <v>368</v>
      </c>
      <c r="L1147" t="s">
        <v>10</v>
      </c>
      <c r="M1147">
        <v>555150</v>
      </c>
      <c r="N1147">
        <v>42</v>
      </c>
      <c r="O1147">
        <v>2.3809523809523808E-2</v>
      </c>
      <c r="P1147" t="s">
        <v>7015</v>
      </c>
      <c r="T1147">
        <v>1</v>
      </c>
      <c r="U1147">
        <v>0</v>
      </c>
      <c r="V1147">
        <v>28</v>
      </c>
    </row>
    <row r="1148" spans="1:22" x14ac:dyDescent="0.2">
      <c r="A1148" t="s">
        <v>1889</v>
      </c>
      <c r="B1148" t="s">
        <v>1890</v>
      </c>
      <c r="C1148" t="s">
        <v>1888</v>
      </c>
      <c r="D1148" t="s">
        <v>290</v>
      </c>
      <c r="E1148">
        <v>149.99</v>
      </c>
      <c r="F1148" t="s">
        <v>8118</v>
      </c>
      <c r="J1148">
        <v>65</v>
      </c>
      <c r="L1148" t="s">
        <v>7032</v>
      </c>
      <c r="M1148" t="s">
        <v>97</v>
      </c>
      <c r="N1148">
        <v>0</v>
      </c>
      <c r="O1148">
        <v>0</v>
      </c>
      <c r="T1148">
        <v>0.33333333333333331</v>
      </c>
      <c r="U1148">
        <v>0</v>
      </c>
      <c r="V1148">
        <v>0</v>
      </c>
    </row>
    <row r="1149" spans="1:22" x14ac:dyDescent="0.2">
      <c r="A1149" t="s">
        <v>1893</v>
      </c>
      <c r="B1149" t="s">
        <v>1894</v>
      </c>
      <c r="C1149" t="s">
        <v>1888</v>
      </c>
      <c r="D1149" t="s">
        <v>228</v>
      </c>
      <c r="E1149">
        <v>149.99</v>
      </c>
      <c r="F1149" t="s">
        <v>8118</v>
      </c>
      <c r="G1149">
        <v>338</v>
      </c>
      <c r="H1149">
        <v>225</v>
      </c>
      <c r="I1149">
        <v>113</v>
      </c>
      <c r="J1149">
        <v>45</v>
      </c>
      <c r="K1149">
        <v>368</v>
      </c>
      <c r="L1149" t="s">
        <v>7032</v>
      </c>
      <c r="M1149" t="s">
        <v>97</v>
      </c>
      <c r="N1149">
        <v>0</v>
      </c>
      <c r="O1149">
        <v>0</v>
      </c>
      <c r="T1149">
        <v>0</v>
      </c>
      <c r="U1149">
        <v>0</v>
      </c>
      <c r="V1149">
        <v>-1</v>
      </c>
    </row>
    <row r="1150" spans="1:22" x14ac:dyDescent="0.2">
      <c r="A1150" t="s">
        <v>1893</v>
      </c>
      <c r="B1150" t="s">
        <v>1894</v>
      </c>
      <c r="C1150" t="s">
        <v>1888</v>
      </c>
      <c r="D1150" t="s">
        <v>228</v>
      </c>
      <c r="E1150">
        <v>149.99</v>
      </c>
      <c r="F1150" t="s">
        <v>8118</v>
      </c>
      <c r="G1150">
        <v>338</v>
      </c>
      <c r="H1150">
        <v>225</v>
      </c>
      <c r="I1150">
        <v>113</v>
      </c>
      <c r="J1150">
        <v>45</v>
      </c>
      <c r="K1150">
        <v>368</v>
      </c>
      <c r="L1150" t="s">
        <v>8</v>
      </c>
      <c r="M1150" t="s">
        <v>5305</v>
      </c>
      <c r="N1150">
        <v>40.799999999999997</v>
      </c>
      <c r="O1150">
        <v>2.4509803921568627E-2</v>
      </c>
      <c r="Q1150">
        <v>0</v>
      </c>
      <c r="R1150">
        <v>0</v>
      </c>
      <c r="S1150">
        <v>17</v>
      </c>
      <c r="T1150">
        <v>0.41666666666666669</v>
      </c>
      <c r="U1150">
        <v>149.99</v>
      </c>
      <c r="V1150">
        <v>17</v>
      </c>
    </row>
    <row r="1151" spans="1:22" x14ac:dyDescent="0.2">
      <c r="A1151" t="s">
        <v>1889</v>
      </c>
      <c r="B1151" t="s">
        <v>1890</v>
      </c>
      <c r="C1151" t="s">
        <v>1888</v>
      </c>
      <c r="D1151" t="s">
        <v>290</v>
      </c>
      <c r="E1151">
        <v>149.99</v>
      </c>
      <c r="F1151" t="s">
        <v>8118</v>
      </c>
      <c r="J1151">
        <v>65</v>
      </c>
      <c r="L1151" t="s">
        <v>8</v>
      </c>
      <c r="M1151" t="s">
        <v>5307</v>
      </c>
      <c r="N1151">
        <v>58</v>
      </c>
      <c r="O1151">
        <v>1.7241379310344827E-2</v>
      </c>
      <c r="Q1151">
        <v>0</v>
      </c>
      <c r="R1151">
        <v>0</v>
      </c>
      <c r="S1151">
        <v>58</v>
      </c>
      <c r="T1151">
        <v>1</v>
      </c>
      <c r="U1151">
        <v>599.96</v>
      </c>
      <c r="V1151">
        <v>58</v>
      </c>
    </row>
    <row r="1152" spans="1:22" x14ac:dyDescent="0.2">
      <c r="A1152" t="s">
        <v>1895</v>
      </c>
      <c r="B1152" t="s">
        <v>1896</v>
      </c>
      <c r="C1152" t="s">
        <v>1888</v>
      </c>
      <c r="D1152" t="s">
        <v>228</v>
      </c>
      <c r="E1152">
        <v>119.99</v>
      </c>
      <c r="F1152" t="s">
        <v>8118</v>
      </c>
      <c r="J1152">
        <v>95</v>
      </c>
      <c r="K1152">
        <v>158</v>
      </c>
      <c r="L1152" t="s">
        <v>8</v>
      </c>
      <c r="M1152" t="s">
        <v>5302</v>
      </c>
      <c r="N1152">
        <v>150</v>
      </c>
      <c r="O1152">
        <v>6.6666666666666662E-3</v>
      </c>
      <c r="Q1152">
        <v>0</v>
      </c>
      <c r="R1152">
        <v>5</v>
      </c>
      <c r="S1152">
        <v>95</v>
      </c>
      <c r="T1152">
        <v>0.66666666666666663</v>
      </c>
      <c r="U1152">
        <v>119.99</v>
      </c>
      <c r="V1152">
        <v>100</v>
      </c>
    </row>
    <row r="1153" spans="1:22" x14ac:dyDescent="0.2">
      <c r="A1153" t="s">
        <v>1895</v>
      </c>
      <c r="B1153" t="s">
        <v>1896</v>
      </c>
      <c r="C1153" t="s">
        <v>1888</v>
      </c>
      <c r="D1153" t="s">
        <v>228</v>
      </c>
      <c r="E1153">
        <v>119.99</v>
      </c>
      <c r="F1153" t="s">
        <v>8118</v>
      </c>
      <c r="J1153">
        <v>95</v>
      </c>
      <c r="K1153">
        <v>158</v>
      </c>
      <c r="L1153" t="s">
        <v>8106</v>
      </c>
      <c r="M1153" t="s">
        <v>1893</v>
      </c>
      <c r="V1153">
        <v>45</v>
      </c>
    </row>
    <row r="1154" spans="1:22" x14ac:dyDescent="0.2">
      <c r="A1154" t="s">
        <v>1889</v>
      </c>
      <c r="B1154" t="s">
        <v>1890</v>
      </c>
      <c r="C1154" t="s">
        <v>1888</v>
      </c>
      <c r="D1154" t="s">
        <v>290</v>
      </c>
      <c r="E1154">
        <v>149.99</v>
      </c>
      <c r="F1154" t="s">
        <v>8118</v>
      </c>
      <c r="J1154">
        <v>65</v>
      </c>
      <c r="L1154" t="s">
        <v>8109</v>
      </c>
      <c r="M1154" t="s">
        <v>97</v>
      </c>
      <c r="N1154">
        <v>6</v>
      </c>
      <c r="O1154">
        <v>0</v>
      </c>
      <c r="T1154">
        <v>0</v>
      </c>
      <c r="U1154">
        <v>0</v>
      </c>
      <c r="V1154">
        <v>6</v>
      </c>
    </row>
    <row r="1155" spans="1:22" x14ac:dyDescent="0.2">
      <c r="A1155" t="s">
        <v>1893</v>
      </c>
      <c r="B1155" t="s">
        <v>1894</v>
      </c>
      <c r="C1155" t="s">
        <v>1888</v>
      </c>
      <c r="D1155" t="s">
        <v>228</v>
      </c>
      <c r="E1155">
        <v>149.99</v>
      </c>
      <c r="F1155" t="s">
        <v>8118</v>
      </c>
      <c r="G1155">
        <v>338</v>
      </c>
      <c r="H1155">
        <v>225</v>
      </c>
      <c r="I1155">
        <v>113</v>
      </c>
      <c r="J1155">
        <v>45</v>
      </c>
      <c r="K1155">
        <v>368</v>
      </c>
      <c r="L1155" t="s">
        <v>8109</v>
      </c>
      <c r="M1155" t="s">
        <v>97</v>
      </c>
      <c r="N1155">
        <v>0</v>
      </c>
      <c r="O1155">
        <v>0</v>
      </c>
      <c r="T1155">
        <v>0</v>
      </c>
      <c r="U1155">
        <v>0</v>
      </c>
      <c r="V1155">
        <v>0</v>
      </c>
    </row>
    <row r="1156" spans="1:22" x14ac:dyDescent="0.2">
      <c r="A1156" t="s">
        <v>1895</v>
      </c>
      <c r="B1156" t="s">
        <v>1896</v>
      </c>
      <c r="C1156" t="s">
        <v>1888</v>
      </c>
      <c r="D1156" t="s">
        <v>228</v>
      </c>
      <c r="E1156">
        <v>119.99</v>
      </c>
      <c r="F1156" t="s">
        <v>8118</v>
      </c>
      <c r="J1156">
        <v>95</v>
      </c>
      <c r="K1156">
        <v>158</v>
      </c>
      <c r="L1156" t="s">
        <v>8109</v>
      </c>
      <c r="M1156" t="s">
        <v>97</v>
      </c>
      <c r="N1156">
        <v>0</v>
      </c>
      <c r="O1156">
        <v>0</v>
      </c>
      <c r="U1156">
        <v>0</v>
      </c>
      <c r="V1156">
        <v>0</v>
      </c>
    </row>
    <row r="1157" spans="1:22" x14ac:dyDescent="0.2">
      <c r="A1157" t="s">
        <v>3850</v>
      </c>
      <c r="B1157" t="s">
        <v>3851</v>
      </c>
      <c r="C1157" t="s">
        <v>1897</v>
      </c>
      <c r="D1157" t="s">
        <v>96</v>
      </c>
      <c r="F1157" t="s">
        <v>8118</v>
      </c>
      <c r="L1157" t="s">
        <v>11</v>
      </c>
      <c r="M1157" t="s">
        <v>3852</v>
      </c>
      <c r="N1157">
        <v>0</v>
      </c>
      <c r="O1157">
        <v>0</v>
      </c>
      <c r="T1157">
        <v>0</v>
      </c>
      <c r="V1157">
        <v>0</v>
      </c>
    </row>
    <row r="1158" spans="1:22" x14ac:dyDescent="0.2">
      <c r="A1158" t="s">
        <v>3729</v>
      </c>
      <c r="B1158" t="s">
        <v>3730</v>
      </c>
      <c r="C1158" t="s">
        <v>1897</v>
      </c>
      <c r="D1158" t="s">
        <v>96</v>
      </c>
      <c r="E1158">
        <v>49.99</v>
      </c>
      <c r="F1158" t="s">
        <v>8118</v>
      </c>
      <c r="L1158" t="s">
        <v>11</v>
      </c>
      <c r="M1158" t="s">
        <v>3731</v>
      </c>
      <c r="N1158">
        <v>0</v>
      </c>
      <c r="O1158">
        <v>0</v>
      </c>
      <c r="T1158">
        <v>0</v>
      </c>
      <c r="U1158">
        <v>0</v>
      </c>
      <c r="V1158">
        <v>0</v>
      </c>
    </row>
    <row r="1159" spans="1:22" x14ac:dyDescent="0.2">
      <c r="A1159" t="s">
        <v>3954</v>
      </c>
      <c r="B1159" t="s">
        <v>3955</v>
      </c>
      <c r="C1159" t="s">
        <v>1897</v>
      </c>
      <c r="D1159" t="s">
        <v>96</v>
      </c>
      <c r="E1159">
        <v>239.99</v>
      </c>
      <c r="F1159" t="s">
        <v>8118</v>
      </c>
      <c r="L1159" t="s">
        <v>11</v>
      </c>
      <c r="M1159" t="s">
        <v>3956</v>
      </c>
      <c r="N1159">
        <v>0</v>
      </c>
      <c r="O1159">
        <v>0</v>
      </c>
      <c r="T1159">
        <v>0</v>
      </c>
      <c r="U1159">
        <v>0</v>
      </c>
      <c r="V1159">
        <v>0</v>
      </c>
    </row>
    <row r="1160" spans="1:22" x14ac:dyDescent="0.2">
      <c r="A1160" t="s">
        <v>3936</v>
      </c>
      <c r="B1160" t="s">
        <v>3937</v>
      </c>
      <c r="C1160" t="s">
        <v>1897</v>
      </c>
      <c r="D1160" t="s">
        <v>96</v>
      </c>
      <c r="E1160">
        <v>39.99</v>
      </c>
      <c r="F1160" t="s">
        <v>8118</v>
      </c>
      <c r="L1160" t="s">
        <v>11</v>
      </c>
      <c r="M1160" t="s">
        <v>3938</v>
      </c>
      <c r="N1160">
        <v>0</v>
      </c>
      <c r="O1160">
        <v>0</v>
      </c>
      <c r="T1160">
        <v>0</v>
      </c>
      <c r="U1160">
        <v>0</v>
      </c>
      <c r="V1160">
        <v>0</v>
      </c>
    </row>
    <row r="1161" spans="1:22" x14ac:dyDescent="0.2">
      <c r="A1161" t="s">
        <v>4126</v>
      </c>
      <c r="B1161" t="s">
        <v>4127</v>
      </c>
      <c r="C1161" t="s">
        <v>1897</v>
      </c>
      <c r="D1161" t="s">
        <v>96</v>
      </c>
      <c r="F1161" t="s">
        <v>8118</v>
      </c>
      <c r="L1161" t="s">
        <v>11</v>
      </c>
      <c r="M1161" t="s">
        <v>4128</v>
      </c>
      <c r="N1161">
        <v>0</v>
      </c>
      <c r="O1161">
        <v>0</v>
      </c>
      <c r="T1161">
        <v>0</v>
      </c>
      <c r="V1161">
        <v>0</v>
      </c>
    </row>
    <row r="1162" spans="1:22" x14ac:dyDescent="0.2">
      <c r="A1162" t="s">
        <v>4144</v>
      </c>
      <c r="B1162" t="s">
        <v>4145</v>
      </c>
      <c r="C1162" t="s">
        <v>1897</v>
      </c>
      <c r="D1162" t="s">
        <v>96</v>
      </c>
      <c r="F1162" t="s">
        <v>8118</v>
      </c>
      <c r="L1162" t="s">
        <v>11</v>
      </c>
      <c r="M1162" t="s">
        <v>4146</v>
      </c>
      <c r="N1162">
        <v>0</v>
      </c>
      <c r="O1162">
        <v>0</v>
      </c>
      <c r="T1162">
        <v>0</v>
      </c>
      <c r="V1162">
        <v>0</v>
      </c>
    </row>
    <row r="1163" spans="1:22" x14ac:dyDescent="0.2">
      <c r="A1163" t="s">
        <v>4138</v>
      </c>
      <c r="B1163" t="s">
        <v>4139</v>
      </c>
      <c r="C1163" t="s">
        <v>1897</v>
      </c>
      <c r="D1163" t="s">
        <v>96</v>
      </c>
      <c r="E1163">
        <v>79.989999999999995</v>
      </c>
      <c r="F1163" t="s">
        <v>8118</v>
      </c>
      <c r="L1163" t="s">
        <v>11</v>
      </c>
      <c r="M1163" t="s">
        <v>4140</v>
      </c>
      <c r="N1163">
        <v>0</v>
      </c>
      <c r="O1163">
        <v>0</v>
      </c>
      <c r="T1163">
        <v>0</v>
      </c>
      <c r="U1163">
        <v>0</v>
      </c>
      <c r="V1163">
        <v>0</v>
      </c>
    </row>
    <row r="1164" spans="1:22" x14ac:dyDescent="0.2">
      <c r="A1164" t="s">
        <v>4135</v>
      </c>
      <c r="B1164" t="s">
        <v>4136</v>
      </c>
      <c r="C1164" t="s">
        <v>1897</v>
      </c>
      <c r="D1164" t="s">
        <v>96</v>
      </c>
      <c r="E1164">
        <v>79.989999999999995</v>
      </c>
      <c r="F1164" t="s">
        <v>8118</v>
      </c>
      <c r="L1164" t="s">
        <v>11</v>
      </c>
      <c r="M1164" t="s">
        <v>4137</v>
      </c>
      <c r="N1164">
        <v>0</v>
      </c>
      <c r="O1164">
        <v>0</v>
      </c>
      <c r="T1164">
        <v>0</v>
      </c>
      <c r="U1164">
        <v>0</v>
      </c>
      <c r="V1164">
        <v>0</v>
      </c>
    </row>
    <row r="1165" spans="1:22" x14ac:dyDescent="0.2">
      <c r="A1165" t="s">
        <v>4141</v>
      </c>
      <c r="B1165" t="s">
        <v>4142</v>
      </c>
      <c r="C1165" t="s">
        <v>1897</v>
      </c>
      <c r="D1165" t="s">
        <v>96</v>
      </c>
      <c r="E1165">
        <v>79.989999999999995</v>
      </c>
      <c r="F1165" t="s">
        <v>8118</v>
      </c>
      <c r="L1165" t="s">
        <v>11</v>
      </c>
      <c r="M1165" t="s">
        <v>4143</v>
      </c>
      <c r="N1165">
        <v>0</v>
      </c>
      <c r="O1165">
        <v>0</v>
      </c>
      <c r="T1165">
        <v>0</v>
      </c>
      <c r="U1165">
        <v>0</v>
      </c>
      <c r="V1165">
        <v>0</v>
      </c>
    </row>
    <row r="1166" spans="1:22" x14ac:dyDescent="0.2">
      <c r="A1166" t="s">
        <v>4129</v>
      </c>
      <c r="B1166" t="s">
        <v>4130</v>
      </c>
      <c r="C1166" t="s">
        <v>1897</v>
      </c>
      <c r="D1166" t="s">
        <v>96</v>
      </c>
      <c r="E1166">
        <v>79.989999999999995</v>
      </c>
      <c r="F1166" t="s">
        <v>8118</v>
      </c>
      <c r="L1166" t="s">
        <v>11</v>
      </c>
      <c r="M1166" t="s">
        <v>4131</v>
      </c>
      <c r="N1166">
        <v>0</v>
      </c>
      <c r="O1166">
        <v>0</v>
      </c>
      <c r="T1166">
        <v>0</v>
      </c>
      <c r="U1166">
        <v>0</v>
      </c>
      <c r="V1166">
        <v>0</v>
      </c>
    </row>
    <row r="1167" spans="1:22" x14ac:dyDescent="0.2">
      <c r="A1167" t="s">
        <v>4174</v>
      </c>
      <c r="B1167" t="s">
        <v>4175</v>
      </c>
      <c r="C1167" t="s">
        <v>1897</v>
      </c>
      <c r="D1167" t="s">
        <v>96</v>
      </c>
      <c r="E1167">
        <v>27.99</v>
      </c>
      <c r="F1167" t="s">
        <v>8118</v>
      </c>
      <c r="L1167" t="s">
        <v>11</v>
      </c>
      <c r="M1167" t="s">
        <v>4176</v>
      </c>
      <c r="N1167">
        <v>0</v>
      </c>
      <c r="O1167">
        <v>0</v>
      </c>
      <c r="T1167">
        <v>0</v>
      </c>
      <c r="U1167">
        <v>0</v>
      </c>
      <c r="V1167">
        <v>0</v>
      </c>
    </row>
    <row r="1168" spans="1:22" x14ac:dyDescent="0.2">
      <c r="A1168" t="s">
        <v>4033</v>
      </c>
      <c r="B1168" t="s">
        <v>4034</v>
      </c>
      <c r="C1168" t="s">
        <v>1897</v>
      </c>
      <c r="D1168" t="s">
        <v>96</v>
      </c>
      <c r="E1168">
        <v>349.99</v>
      </c>
      <c r="F1168" t="s">
        <v>8118</v>
      </c>
      <c r="L1168" t="s">
        <v>11</v>
      </c>
      <c r="M1168" t="s">
        <v>4035</v>
      </c>
      <c r="N1168">
        <v>0</v>
      </c>
      <c r="O1168">
        <v>0</v>
      </c>
      <c r="T1168">
        <v>0</v>
      </c>
      <c r="U1168">
        <v>0</v>
      </c>
      <c r="V1168">
        <v>0</v>
      </c>
    </row>
    <row r="1169" spans="1:22" x14ac:dyDescent="0.2">
      <c r="A1169" t="s">
        <v>4060</v>
      </c>
      <c r="B1169" t="s">
        <v>4061</v>
      </c>
      <c r="C1169" t="s">
        <v>1897</v>
      </c>
      <c r="D1169" t="s">
        <v>96</v>
      </c>
      <c r="E1169">
        <v>49.99</v>
      </c>
      <c r="F1169" t="s">
        <v>8118</v>
      </c>
      <c r="L1169" t="s">
        <v>11</v>
      </c>
      <c r="M1169" t="s">
        <v>4062</v>
      </c>
      <c r="N1169">
        <v>0</v>
      </c>
      <c r="O1169">
        <v>0</v>
      </c>
      <c r="T1169">
        <v>0</v>
      </c>
      <c r="U1169">
        <v>0</v>
      </c>
      <c r="V1169">
        <v>0</v>
      </c>
    </row>
    <row r="1170" spans="1:22" x14ac:dyDescent="0.2">
      <c r="A1170" t="s">
        <v>4048</v>
      </c>
      <c r="B1170" t="s">
        <v>4049</v>
      </c>
      <c r="C1170" t="s">
        <v>1897</v>
      </c>
      <c r="D1170" t="s">
        <v>96</v>
      </c>
      <c r="E1170">
        <v>49.99</v>
      </c>
      <c r="F1170" t="s">
        <v>8118</v>
      </c>
      <c r="L1170" t="s">
        <v>11</v>
      </c>
      <c r="M1170" t="s">
        <v>4050</v>
      </c>
      <c r="N1170">
        <v>0</v>
      </c>
      <c r="O1170">
        <v>0</v>
      </c>
      <c r="T1170">
        <v>0</v>
      </c>
      <c r="U1170">
        <v>0</v>
      </c>
      <c r="V1170">
        <v>0</v>
      </c>
    </row>
    <row r="1171" spans="1:22" x14ac:dyDescent="0.2">
      <c r="A1171" t="s">
        <v>3957</v>
      </c>
      <c r="B1171" t="s">
        <v>3958</v>
      </c>
      <c r="C1171" t="s">
        <v>1897</v>
      </c>
      <c r="D1171" t="s">
        <v>96</v>
      </c>
      <c r="E1171">
        <v>129.99</v>
      </c>
      <c r="F1171" t="s">
        <v>8118</v>
      </c>
      <c r="L1171" t="s">
        <v>11</v>
      </c>
      <c r="M1171" t="s">
        <v>3959</v>
      </c>
      <c r="N1171">
        <v>0</v>
      </c>
      <c r="O1171">
        <v>0</v>
      </c>
      <c r="T1171">
        <v>0</v>
      </c>
      <c r="U1171">
        <v>0</v>
      </c>
      <c r="V1171">
        <v>0</v>
      </c>
    </row>
    <row r="1172" spans="1:22" x14ac:dyDescent="0.2">
      <c r="A1172" t="s">
        <v>3792</v>
      </c>
      <c r="B1172" t="s">
        <v>3793</v>
      </c>
      <c r="C1172" t="s">
        <v>1897</v>
      </c>
      <c r="D1172" t="s">
        <v>96</v>
      </c>
      <c r="E1172">
        <v>37.99</v>
      </c>
      <c r="F1172" t="s">
        <v>8118</v>
      </c>
      <c r="L1172" t="s">
        <v>11</v>
      </c>
      <c r="M1172" t="s">
        <v>3794</v>
      </c>
      <c r="N1172">
        <v>0</v>
      </c>
      <c r="O1172">
        <v>0</v>
      </c>
      <c r="T1172">
        <v>0</v>
      </c>
      <c r="U1172">
        <v>0</v>
      </c>
      <c r="V1172">
        <v>0</v>
      </c>
    </row>
    <row r="1173" spans="1:22" x14ac:dyDescent="0.2">
      <c r="A1173" t="s">
        <v>3986</v>
      </c>
      <c r="B1173" t="s">
        <v>3987</v>
      </c>
      <c r="C1173" t="s">
        <v>1897</v>
      </c>
      <c r="D1173" t="s">
        <v>96</v>
      </c>
      <c r="E1173">
        <v>64.989999999999995</v>
      </c>
      <c r="F1173" t="s">
        <v>8118</v>
      </c>
      <c r="L1173" t="s">
        <v>11</v>
      </c>
      <c r="M1173" t="s">
        <v>3988</v>
      </c>
      <c r="N1173">
        <v>0</v>
      </c>
      <c r="O1173">
        <v>0</v>
      </c>
      <c r="T1173">
        <v>0</v>
      </c>
      <c r="U1173">
        <v>0</v>
      </c>
      <c r="V1173">
        <v>0</v>
      </c>
    </row>
    <row r="1174" spans="1:22" x14ac:dyDescent="0.2">
      <c r="A1174" t="s">
        <v>3813</v>
      </c>
      <c r="B1174" t="s">
        <v>3814</v>
      </c>
      <c r="C1174" t="s">
        <v>1897</v>
      </c>
      <c r="D1174" t="s">
        <v>96</v>
      </c>
      <c r="E1174">
        <v>54.99</v>
      </c>
      <c r="F1174" t="s">
        <v>8118</v>
      </c>
      <c r="L1174" t="s">
        <v>11</v>
      </c>
      <c r="M1174" t="s">
        <v>3815</v>
      </c>
      <c r="N1174">
        <v>0</v>
      </c>
      <c r="O1174">
        <v>0</v>
      </c>
      <c r="T1174">
        <v>0</v>
      </c>
      <c r="U1174">
        <v>0</v>
      </c>
      <c r="V1174">
        <v>0</v>
      </c>
    </row>
    <row r="1175" spans="1:22" x14ac:dyDescent="0.2">
      <c r="A1175" t="s">
        <v>1970</v>
      </c>
      <c r="B1175" t="s">
        <v>1971</v>
      </c>
      <c r="C1175" t="s">
        <v>1897</v>
      </c>
      <c r="D1175" t="s">
        <v>290</v>
      </c>
      <c r="E1175">
        <v>29.99</v>
      </c>
      <c r="F1175" t="s">
        <v>8118</v>
      </c>
      <c r="L1175" t="s">
        <v>11</v>
      </c>
      <c r="M1175" t="s">
        <v>3982</v>
      </c>
      <c r="N1175">
        <v>0</v>
      </c>
      <c r="O1175">
        <v>0</v>
      </c>
      <c r="T1175">
        <v>0</v>
      </c>
      <c r="U1175">
        <v>0</v>
      </c>
      <c r="V1175">
        <v>0</v>
      </c>
    </row>
    <row r="1176" spans="1:22" x14ac:dyDescent="0.2">
      <c r="A1176" t="s">
        <v>4036</v>
      </c>
      <c r="B1176" t="s">
        <v>4037</v>
      </c>
      <c r="C1176" t="s">
        <v>1897</v>
      </c>
      <c r="D1176" t="s">
        <v>96</v>
      </c>
      <c r="E1176">
        <v>99.99</v>
      </c>
      <c r="F1176" t="s">
        <v>8118</v>
      </c>
      <c r="L1176" t="s">
        <v>11</v>
      </c>
      <c r="M1176" t="s">
        <v>4038</v>
      </c>
      <c r="N1176">
        <v>0</v>
      </c>
      <c r="O1176">
        <v>0</v>
      </c>
      <c r="T1176">
        <v>0</v>
      </c>
      <c r="U1176">
        <v>0</v>
      </c>
      <c r="V1176">
        <v>0</v>
      </c>
    </row>
    <row r="1177" spans="1:22" x14ac:dyDescent="0.2">
      <c r="A1177" t="s">
        <v>3948</v>
      </c>
      <c r="B1177" t="s">
        <v>3949</v>
      </c>
      <c r="C1177" t="s">
        <v>1897</v>
      </c>
      <c r="D1177" t="s">
        <v>96</v>
      </c>
      <c r="E1177">
        <v>239.99</v>
      </c>
      <c r="F1177" t="s">
        <v>8118</v>
      </c>
      <c r="L1177" t="s">
        <v>11</v>
      </c>
      <c r="M1177" t="s">
        <v>3950</v>
      </c>
      <c r="N1177">
        <v>0</v>
      </c>
      <c r="O1177">
        <v>0</v>
      </c>
      <c r="T1177">
        <v>0</v>
      </c>
      <c r="U1177">
        <v>0</v>
      </c>
      <c r="V1177">
        <v>0</v>
      </c>
    </row>
    <row r="1178" spans="1:22" x14ac:dyDescent="0.2">
      <c r="A1178" t="s">
        <v>3951</v>
      </c>
      <c r="B1178" t="s">
        <v>3952</v>
      </c>
      <c r="C1178" t="s">
        <v>1897</v>
      </c>
      <c r="D1178" t="s">
        <v>96</v>
      </c>
      <c r="E1178">
        <v>129.99</v>
      </c>
      <c r="F1178" t="s">
        <v>8118</v>
      </c>
      <c r="L1178" t="s">
        <v>11</v>
      </c>
      <c r="M1178" t="s">
        <v>3953</v>
      </c>
      <c r="N1178">
        <v>0</v>
      </c>
      <c r="O1178">
        <v>0</v>
      </c>
      <c r="T1178">
        <v>0</v>
      </c>
      <c r="U1178">
        <v>0</v>
      </c>
      <c r="V1178">
        <v>0</v>
      </c>
    </row>
    <row r="1179" spans="1:22" x14ac:dyDescent="0.2">
      <c r="A1179" t="s">
        <v>3781</v>
      </c>
      <c r="B1179" t="s">
        <v>3782</v>
      </c>
      <c r="C1179" t="s">
        <v>1897</v>
      </c>
      <c r="D1179" t="s">
        <v>96</v>
      </c>
      <c r="E1179">
        <v>149.99</v>
      </c>
      <c r="F1179" t="s">
        <v>8118</v>
      </c>
      <c r="L1179" t="s">
        <v>11</v>
      </c>
      <c r="M1179" t="s">
        <v>3783</v>
      </c>
      <c r="N1179">
        <v>0</v>
      </c>
      <c r="O1179">
        <v>0</v>
      </c>
      <c r="T1179">
        <v>0</v>
      </c>
      <c r="U1179">
        <v>0</v>
      </c>
      <c r="V1179">
        <v>0</v>
      </c>
    </row>
    <row r="1180" spans="1:22" x14ac:dyDescent="0.2">
      <c r="A1180" t="s">
        <v>3831</v>
      </c>
      <c r="B1180" t="s">
        <v>3832</v>
      </c>
      <c r="C1180" t="s">
        <v>1897</v>
      </c>
      <c r="D1180" t="s">
        <v>96</v>
      </c>
      <c r="E1180">
        <v>49.99</v>
      </c>
      <c r="F1180" t="s">
        <v>8118</v>
      </c>
      <c r="L1180" t="s">
        <v>11</v>
      </c>
      <c r="M1180" t="s">
        <v>3833</v>
      </c>
      <c r="N1180">
        <v>0</v>
      </c>
      <c r="O1180">
        <v>0</v>
      </c>
      <c r="T1180">
        <v>0</v>
      </c>
      <c r="U1180">
        <v>0</v>
      </c>
      <c r="V1180">
        <v>0</v>
      </c>
    </row>
    <row r="1181" spans="1:22" x14ac:dyDescent="0.2">
      <c r="A1181" t="s">
        <v>4081</v>
      </c>
      <c r="B1181" t="s">
        <v>4082</v>
      </c>
      <c r="C1181" t="s">
        <v>1897</v>
      </c>
      <c r="D1181" t="s">
        <v>96</v>
      </c>
      <c r="E1181">
        <v>69.989999999999995</v>
      </c>
      <c r="F1181" t="s">
        <v>8118</v>
      </c>
      <c r="L1181" t="s">
        <v>11</v>
      </c>
      <c r="M1181" t="s">
        <v>4083</v>
      </c>
      <c r="N1181">
        <v>0</v>
      </c>
      <c r="O1181">
        <v>0</v>
      </c>
      <c r="T1181">
        <v>0</v>
      </c>
      <c r="U1181">
        <v>0</v>
      </c>
      <c r="V1181">
        <v>0</v>
      </c>
    </row>
    <row r="1182" spans="1:22" x14ac:dyDescent="0.2">
      <c r="A1182" t="s">
        <v>4093</v>
      </c>
      <c r="B1182" t="s">
        <v>4094</v>
      </c>
      <c r="C1182" t="s">
        <v>1897</v>
      </c>
      <c r="D1182" t="s">
        <v>96</v>
      </c>
      <c r="E1182">
        <v>69.989999999999995</v>
      </c>
      <c r="F1182" t="s">
        <v>8118</v>
      </c>
      <c r="L1182" t="s">
        <v>11</v>
      </c>
      <c r="M1182" t="s">
        <v>4095</v>
      </c>
      <c r="N1182">
        <v>0</v>
      </c>
      <c r="O1182">
        <v>0</v>
      </c>
      <c r="T1182">
        <v>0</v>
      </c>
      <c r="U1182">
        <v>0</v>
      </c>
      <c r="V1182">
        <v>0</v>
      </c>
    </row>
    <row r="1183" spans="1:22" x14ac:dyDescent="0.2">
      <c r="A1183" t="s">
        <v>3822</v>
      </c>
      <c r="B1183" t="s">
        <v>3823</v>
      </c>
      <c r="C1183" t="s">
        <v>1897</v>
      </c>
      <c r="D1183" t="s">
        <v>96</v>
      </c>
      <c r="E1183">
        <v>34.99</v>
      </c>
      <c r="F1183" t="s">
        <v>8118</v>
      </c>
      <c r="L1183" t="s">
        <v>11</v>
      </c>
      <c r="M1183" t="s">
        <v>3824</v>
      </c>
      <c r="N1183">
        <v>0</v>
      </c>
      <c r="O1183">
        <v>0</v>
      </c>
      <c r="T1183">
        <v>0</v>
      </c>
      <c r="U1183">
        <v>0</v>
      </c>
      <c r="V1183">
        <v>0</v>
      </c>
    </row>
    <row r="1184" spans="1:22" x14ac:dyDescent="0.2">
      <c r="A1184" t="s">
        <v>1904</v>
      </c>
      <c r="B1184" t="s">
        <v>1905</v>
      </c>
      <c r="C1184" t="s">
        <v>1897</v>
      </c>
      <c r="D1184" t="s">
        <v>290</v>
      </c>
      <c r="E1184">
        <v>44.99</v>
      </c>
      <c r="F1184" t="s">
        <v>8118</v>
      </c>
      <c r="L1184" t="s">
        <v>11</v>
      </c>
      <c r="M1184" t="s">
        <v>3755</v>
      </c>
      <c r="N1184">
        <v>0</v>
      </c>
      <c r="O1184">
        <v>0</v>
      </c>
      <c r="T1184">
        <v>0</v>
      </c>
      <c r="U1184">
        <v>0</v>
      </c>
      <c r="V1184">
        <v>1</v>
      </c>
    </row>
    <row r="1185" spans="1:22" x14ac:dyDescent="0.2">
      <c r="A1185" t="s">
        <v>3735</v>
      </c>
      <c r="B1185" t="s">
        <v>3736</v>
      </c>
      <c r="C1185" t="s">
        <v>1897</v>
      </c>
      <c r="D1185" t="s">
        <v>96</v>
      </c>
      <c r="E1185">
        <v>59.99</v>
      </c>
      <c r="F1185" t="s">
        <v>8118</v>
      </c>
      <c r="L1185" t="s">
        <v>11</v>
      </c>
      <c r="M1185" t="s">
        <v>3737</v>
      </c>
      <c r="N1185">
        <v>0</v>
      </c>
      <c r="O1185">
        <v>0</v>
      </c>
      <c r="T1185">
        <v>0</v>
      </c>
      <c r="U1185">
        <v>0</v>
      </c>
      <c r="V1185">
        <v>0</v>
      </c>
    </row>
    <row r="1186" spans="1:22" x14ac:dyDescent="0.2">
      <c r="A1186" t="s">
        <v>3752</v>
      </c>
      <c r="B1186" t="s">
        <v>3753</v>
      </c>
      <c r="C1186" t="s">
        <v>1897</v>
      </c>
      <c r="D1186" t="s">
        <v>96</v>
      </c>
      <c r="E1186">
        <v>44.99</v>
      </c>
      <c r="F1186" t="s">
        <v>8118</v>
      </c>
      <c r="L1186" t="s">
        <v>11</v>
      </c>
      <c r="M1186" t="s">
        <v>3754</v>
      </c>
      <c r="N1186">
        <v>0</v>
      </c>
      <c r="O1186">
        <v>0</v>
      </c>
      <c r="T1186">
        <v>0</v>
      </c>
      <c r="U1186">
        <v>0</v>
      </c>
      <c r="V1186">
        <v>0</v>
      </c>
    </row>
    <row r="1187" spans="1:22" x14ac:dyDescent="0.2">
      <c r="A1187" t="s">
        <v>4078</v>
      </c>
      <c r="B1187" t="s">
        <v>4079</v>
      </c>
      <c r="C1187" t="s">
        <v>1897</v>
      </c>
      <c r="D1187" t="s">
        <v>96</v>
      </c>
      <c r="E1187">
        <v>54.99</v>
      </c>
      <c r="F1187" t="s">
        <v>8118</v>
      </c>
      <c r="L1187" t="s">
        <v>11</v>
      </c>
      <c r="M1187" t="s">
        <v>4080</v>
      </c>
      <c r="N1187">
        <v>0</v>
      </c>
      <c r="O1187">
        <v>0</v>
      </c>
      <c r="T1187">
        <v>0</v>
      </c>
      <c r="U1187">
        <v>0</v>
      </c>
      <c r="V1187">
        <v>0</v>
      </c>
    </row>
    <row r="1188" spans="1:22" x14ac:dyDescent="0.2">
      <c r="A1188" t="s">
        <v>4087</v>
      </c>
      <c r="B1188" t="s">
        <v>4088</v>
      </c>
      <c r="C1188" t="s">
        <v>1897</v>
      </c>
      <c r="D1188" t="s">
        <v>96</v>
      </c>
      <c r="E1188">
        <v>54.99</v>
      </c>
      <c r="F1188" t="s">
        <v>8118</v>
      </c>
      <c r="L1188" t="s">
        <v>11</v>
      </c>
      <c r="M1188" t="s">
        <v>4089</v>
      </c>
      <c r="N1188">
        <v>0</v>
      </c>
      <c r="O1188">
        <v>0</v>
      </c>
      <c r="T1188">
        <v>0</v>
      </c>
      <c r="U1188">
        <v>0</v>
      </c>
      <c r="V1188">
        <v>0</v>
      </c>
    </row>
    <row r="1189" spans="1:22" x14ac:dyDescent="0.2">
      <c r="A1189" t="s">
        <v>4090</v>
      </c>
      <c r="B1189" t="s">
        <v>4091</v>
      </c>
      <c r="C1189" t="s">
        <v>1897</v>
      </c>
      <c r="D1189" t="s">
        <v>96</v>
      </c>
      <c r="E1189">
        <v>54.99</v>
      </c>
      <c r="F1189" t="s">
        <v>8118</v>
      </c>
      <c r="L1189" t="s">
        <v>11</v>
      </c>
      <c r="M1189" t="s">
        <v>4092</v>
      </c>
      <c r="N1189">
        <v>0</v>
      </c>
      <c r="O1189">
        <v>0</v>
      </c>
      <c r="T1189">
        <v>0</v>
      </c>
      <c r="U1189">
        <v>0</v>
      </c>
      <c r="V1189">
        <v>0</v>
      </c>
    </row>
    <row r="1190" spans="1:22" x14ac:dyDescent="0.2">
      <c r="A1190" t="s">
        <v>3914</v>
      </c>
      <c r="B1190" t="s">
        <v>3915</v>
      </c>
      <c r="C1190" t="s">
        <v>1897</v>
      </c>
      <c r="D1190" t="s">
        <v>96</v>
      </c>
      <c r="E1190">
        <v>99.99</v>
      </c>
      <c r="F1190" t="s">
        <v>8118</v>
      </c>
      <c r="L1190" t="s">
        <v>11</v>
      </c>
      <c r="M1190" t="s">
        <v>3916</v>
      </c>
      <c r="N1190">
        <v>0</v>
      </c>
      <c r="O1190">
        <v>0</v>
      </c>
      <c r="T1190">
        <v>0</v>
      </c>
      <c r="U1190">
        <v>0</v>
      </c>
      <c r="V1190">
        <v>1</v>
      </c>
    </row>
    <row r="1191" spans="1:22" x14ac:dyDescent="0.2">
      <c r="A1191" t="s">
        <v>3759</v>
      </c>
      <c r="B1191" t="s">
        <v>3760</v>
      </c>
      <c r="C1191" t="s">
        <v>1897</v>
      </c>
      <c r="D1191" t="s">
        <v>96</v>
      </c>
      <c r="E1191">
        <v>44.99</v>
      </c>
      <c r="F1191" t="s">
        <v>8118</v>
      </c>
      <c r="L1191" t="s">
        <v>11</v>
      </c>
      <c r="M1191" t="s">
        <v>3761</v>
      </c>
      <c r="N1191">
        <v>0</v>
      </c>
      <c r="O1191">
        <v>0</v>
      </c>
      <c r="T1191">
        <v>0</v>
      </c>
      <c r="U1191">
        <v>0</v>
      </c>
      <c r="V1191">
        <v>0</v>
      </c>
    </row>
    <row r="1192" spans="1:22" x14ac:dyDescent="0.2">
      <c r="A1192" t="s">
        <v>4184</v>
      </c>
      <c r="B1192" t="s">
        <v>4185</v>
      </c>
      <c r="C1192" t="s">
        <v>1897</v>
      </c>
      <c r="D1192" t="s">
        <v>96</v>
      </c>
      <c r="E1192">
        <v>99.99</v>
      </c>
      <c r="F1192" t="s">
        <v>8118</v>
      </c>
      <c r="L1192" t="s">
        <v>11</v>
      </c>
      <c r="M1192" t="s">
        <v>4186</v>
      </c>
      <c r="N1192">
        <v>0</v>
      </c>
      <c r="O1192">
        <v>0</v>
      </c>
      <c r="T1192">
        <v>0</v>
      </c>
      <c r="U1192">
        <v>0</v>
      </c>
      <c r="V1192">
        <v>0</v>
      </c>
    </row>
    <row r="1193" spans="1:22" x14ac:dyDescent="0.2">
      <c r="A1193" t="s">
        <v>1930</v>
      </c>
      <c r="B1193" t="s">
        <v>1931</v>
      </c>
      <c r="C1193" t="s">
        <v>1897</v>
      </c>
      <c r="D1193" t="s">
        <v>290</v>
      </c>
      <c r="E1193">
        <v>59.99</v>
      </c>
      <c r="F1193" t="s">
        <v>8118</v>
      </c>
      <c r="L1193" t="s">
        <v>11</v>
      </c>
      <c r="M1193" t="s">
        <v>3842</v>
      </c>
      <c r="N1193">
        <v>0</v>
      </c>
      <c r="O1193">
        <v>0</v>
      </c>
      <c r="T1193">
        <v>0</v>
      </c>
      <c r="U1193">
        <v>0</v>
      </c>
      <c r="V1193">
        <v>0</v>
      </c>
    </row>
    <row r="1194" spans="1:22" x14ac:dyDescent="0.2">
      <c r="A1194" t="s">
        <v>4165</v>
      </c>
      <c r="B1194" t="s">
        <v>4166</v>
      </c>
      <c r="C1194" t="s">
        <v>1897</v>
      </c>
      <c r="D1194" t="s">
        <v>96</v>
      </c>
      <c r="E1194">
        <v>299.99</v>
      </c>
      <c r="F1194" t="s">
        <v>8118</v>
      </c>
      <c r="L1194" t="s">
        <v>11</v>
      </c>
      <c r="M1194" t="s">
        <v>4167</v>
      </c>
      <c r="N1194">
        <v>0</v>
      </c>
      <c r="O1194">
        <v>0</v>
      </c>
      <c r="T1194">
        <v>0</v>
      </c>
      <c r="U1194">
        <v>0</v>
      </c>
      <c r="V1194">
        <v>0</v>
      </c>
    </row>
    <row r="1195" spans="1:22" x14ac:dyDescent="0.2">
      <c r="A1195" t="s">
        <v>1932</v>
      </c>
      <c r="B1195" t="s">
        <v>1933</v>
      </c>
      <c r="C1195" t="s">
        <v>1897</v>
      </c>
      <c r="D1195" t="s">
        <v>290</v>
      </c>
      <c r="E1195">
        <v>49.99</v>
      </c>
      <c r="F1195" t="s">
        <v>8118</v>
      </c>
      <c r="L1195" t="s">
        <v>11</v>
      </c>
      <c r="M1195" t="s">
        <v>3840</v>
      </c>
      <c r="N1195">
        <v>0</v>
      </c>
      <c r="O1195">
        <v>0</v>
      </c>
      <c r="T1195">
        <v>0</v>
      </c>
      <c r="U1195">
        <v>0</v>
      </c>
      <c r="V1195">
        <v>0</v>
      </c>
    </row>
    <row r="1196" spans="1:22" x14ac:dyDescent="0.2">
      <c r="A1196" t="s">
        <v>3740</v>
      </c>
      <c r="B1196" t="s">
        <v>3741</v>
      </c>
      <c r="C1196" t="s">
        <v>1897</v>
      </c>
      <c r="D1196" t="s">
        <v>96</v>
      </c>
      <c r="E1196">
        <v>49.99</v>
      </c>
      <c r="F1196" t="s">
        <v>8118</v>
      </c>
      <c r="L1196" t="s">
        <v>11</v>
      </c>
      <c r="M1196" t="s">
        <v>3742</v>
      </c>
      <c r="N1196">
        <v>0</v>
      </c>
      <c r="O1196">
        <v>0</v>
      </c>
      <c r="T1196">
        <v>0</v>
      </c>
      <c r="U1196">
        <v>0</v>
      </c>
      <c r="V1196">
        <v>0</v>
      </c>
    </row>
    <row r="1197" spans="1:22" x14ac:dyDescent="0.2">
      <c r="A1197" t="s">
        <v>1906</v>
      </c>
      <c r="B1197" t="s">
        <v>1907</v>
      </c>
      <c r="C1197" t="s">
        <v>1897</v>
      </c>
      <c r="D1197" t="s">
        <v>290</v>
      </c>
      <c r="E1197">
        <v>44.99</v>
      </c>
      <c r="F1197" t="s">
        <v>8118</v>
      </c>
      <c r="L1197" t="s">
        <v>11</v>
      </c>
      <c r="M1197" t="s">
        <v>3768</v>
      </c>
      <c r="N1197">
        <v>0</v>
      </c>
      <c r="O1197">
        <v>0</v>
      </c>
      <c r="T1197">
        <v>0</v>
      </c>
      <c r="U1197">
        <v>0</v>
      </c>
      <c r="V1197">
        <v>0</v>
      </c>
    </row>
    <row r="1198" spans="1:22" x14ac:dyDescent="0.2">
      <c r="A1198" t="s">
        <v>3762</v>
      </c>
      <c r="B1198" t="s">
        <v>3763</v>
      </c>
      <c r="C1198" t="s">
        <v>1897</v>
      </c>
      <c r="D1198" t="s">
        <v>96</v>
      </c>
      <c r="E1198">
        <v>44.99</v>
      </c>
      <c r="F1198" t="s">
        <v>8118</v>
      </c>
      <c r="L1198" t="s">
        <v>11</v>
      </c>
      <c r="M1198" t="s">
        <v>3764</v>
      </c>
      <c r="N1198">
        <v>0</v>
      </c>
      <c r="O1198">
        <v>0</v>
      </c>
      <c r="T1198">
        <v>0</v>
      </c>
      <c r="U1198">
        <v>0</v>
      </c>
      <c r="V1198">
        <v>0</v>
      </c>
    </row>
    <row r="1199" spans="1:22" x14ac:dyDescent="0.2">
      <c r="A1199" t="s">
        <v>3756</v>
      </c>
      <c r="B1199" t="s">
        <v>3757</v>
      </c>
      <c r="C1199" t="s">
        <v>1897</v>
      </c>
      <c r="D1199" t="s">
        <v>96</v>
      </c>
      <c r="E1199">
        <v>44.99</v>
      </c>
      <c r="F1199" t="s">
        <v>8118</v>
      </c>
      <c r="L1199" t="s">
        <v>11</v>
      </c>
      <c r="M1199" t="s">
        <v>3758</v>
      </c>
      <c r="N1199">
        <v>0</v>
      </c>
      <c r="O1199">
        <v>0</v>
      </c>
      <c r="T1199">
        <v>0</v>
      </c>
      <c r="U1199">
        <v>0</v>
      </c>
      <c r="V1199">
        <v>0</v>
      </c>
    </row>
    <row r="1200" spans="1:22" x14ac:dyDescent="0.2">
      <c r="A1200" t="s">
        <v>4072</v>
      </c>
      <c r="B1200" t="s">
        <v>4073</v>
      </c>
      <c r="C1200" t="s">
        <v>1897</v>
      </c>
      <c r="D1200" t="s">
        <v>96</v>
      </c>
      <c r="E1200">
        <v>299.99</v>
      </c>
      <c r="F1200" t="s">
        <v>8118</v>
      </c>
      <c r="L1200" t="s">
        <v>11</v>
      </c>
      <c r="M1200" t="s">
        <v>4074</v>
      </c>
      <c r="N1200">
        <v>0</v>
      </c>
      <c r="O1200">
        <v>0</v>
      </c>
      <c r="T1200">
        <v>0</v>
      </c>
      <c r="U1200">
        <v>0</v>
      </c>
      <c r="V1200">
        <v>0</v>
      </c>
    </row>
    <row r="1201" spans="1:22" x14ac:dyDescent="0.2">
      <c r="A1201" t="s">
        <v>4075</v>
      </c>
      <c r="B1201" t="s">
        <v>4076</v>
      </c>
      <c r="C1201" t="s">
        <v>1897</v>
      </c>
      <c r="D1201" t="s">
        <v>96</v>
      </c>
      <c r="E1201">
        <v>299.99</v>
      </c>
      <c r="F1201" t="s">
        <v>8118</v>
      </c>
      <c r="L1201" t="s">
        <v>11</v>
      </c>
      <c r="M1201" t="s">
        <v>4077</v>
      </c>
      <c r="N1201">
        <v>0</v>
      </c>
      <c r="O1201">
        <v>0</v>
      </c>
      <c r="T1201">
        <v>0</v>
      </c>
      <c r="U1201">
        <v>0</v>
      </c>
      <c r="V1201">
        <v>0</v>
      </c>
    </row>
    <row r="1202" spans="1:22" x14ac:dyDescent="0.2">
      <c r="A1202" t="s">
        <v>4191</v>
      </c>
      <c r="B1202" t="s">
        <v>4192</v>
      </c>
      <c r="C1202" t="s">
        <v>1897</v>
      </c>
      <c r="D1202" t="s">
        <v>96</v>
      </c>
      <c r="E1202">
        <v>249.99</v>
      </c>
      <c r="F1202" t="s">
        <v>8118</v>
      </c>
      <c r="L1202" t="s">
        <v>11</v>
      </c>
      <c r="M1202" t="s">
        <v>4193</v>
      </c>
      <c r="N1202">
        <v>0</v>
      </c>
      <c r="O1202">
        <v>0</v>
      </c>
      <c r="T1202">
        <v>0</v>
      </c>
      <c r="U1202">
        <v>0</v>
      </c>
      <c r="V1202">
        <v>0</v>
      </c>
    </row>
    <row r="1203" spans="1:22" x14ac:dyDescent="0.2">
      <c r="A1203" t="s">
        <v>3966</v>
      </c>
      <c r="B1203" t="s">
        <v>3967</v>
      </c>
      <c r="C1203" t="s">
        <v>1897</v>
      </c>
      <c r="D1203" t="s">
        <v>96</v>
      </c>
      <c r="E1203">
        <v>42.99</v>
      </c>
      <c r="F1203" t="s">
        <v>8118</v>
      </c>
      <c r="L1203" t="s">
        <v>11</v>
      </c>
      <c r="M1203" t="s">
        <v>3968</v>
      </c>
      <c r="N1203">
        <v>0</v>
      </c>
      <c r="O1203">
        <v>0</v>
      </c>
      <c r="T1203">
        <v>0</v>
      </c>
      <c r="U1203">
        <v>0</v>
      </c>
      <c r="V1203">
        <v>0</v>
      </c>
    </row>
    <row r="1204" spans="1:22" x14ac:dyDescent="0.2">
      <c r="A1204" t="s">
        <v>4114</v>
      </c>
      <c r="B1204" t="s">
        <v>4115</v>
      </c>
      <c r="C1204" t="s">
        <v>1897</v>
      </c>
      <c r="D1204" t="s">
        <v>290</v>
      </c>
      <c r="E1204">
        <v>79.989999999999995</v>
      </c>
      <c r="F1204" t="s">
        <v>8118</v>
      </c>
      <c r="L1204" t="s">
        <v>11</v>
      </c>
      <c r="M1204" t="s">
        <v>4116</v>
      </c>
      <c r="N1204">
        <v>0</v>
      </c>
      <c r="O1204">
        <v>0</v>
      </c>
      <c r="T1204">
        <v>0</v>
      </c>
      <c r="U1204">
        <v>0</v>
      </c>
      <c r="V1204">
        <v>0</v>
      </c>
    </row>
    <row r="1205" spans="1:22" x14ac:dyDescent="0.2">
      <c r="A1205" t="s">
        <v>3905</v>
      </c>
      <c r="B1205" t="s">
        <v>3906</v>
      </c>
      <c r="C1205" t="s">
        <v>1897</v>
      </c>
      <c r="D1205" t="s">
        <v>96</v>
      </c>
      <c r="E1205">
        <v>49.99</v>
      </c>
      <c r="F1205" t="s">
        <v>8118</v>
      </c>
      <c r="L1205" t="s">
        <v>11</v>
      </c>
      <c r="M1205" t="s">
        <v>3907</v>
      </c>
      <c r="N1205">
        <v>0</v>
      </c>
      <c r="O1205">
        <v>0</v>
      </c>
      <c r="T1205">
        <v>0</v>
      </c>
      <c r="U1205">
        <v>0</v>
      </c>
      <c r="V1205">
        <v>0</v>
      </c>
    </row>
    <row r="1206" spans="1:22" x14ac:dyDescent="0.2">
      <c r="A1206" t="s">
        <v>3902</v>
      </c>
      <c r="B1206" t="s">
        <v>3903</v>
      </c>
      <c r="C1206" t="s">
        <v>1897</v>
      </c>
      <c r="D1206" t="s">
        <v>96</v>
      </c>
      <c r="E1206">
        <v>49.99</v>
      </c>
      <c r="F1206" t="s">
        <v>8118</v>
      </c>
      <c r="L1206" t="s">
        <v>11</v>
      </c>
      <c r="M1206" t="s">
        <v>3904</v>
      </c>
      <c r="N1206">
        <v>0</v>
      </c>
      <c r="O1206">
        <v>0</v>
      </c>
      <c r="T1206">
        <v>0</v>
      </c>
      <c r="U1206">
        <v>0</v>
      </c>
      <c r="V1206">
        <v>0</v>
      </c>
    </row>
    <row r="1207" spans="1:22" x14ac:dyDescent="0.2">
      <c r="A1207" t="s">
        <v>3899</v>
      </c>
      <c r="B1207" t="s">
        <v>3900</v>
      </c>
      <c r="C1207" t="s">
        <v>1897</v>
      </c>
      <c r="D1207" t="s">
        <v>96</v>
      </c>
      <c r="E1207">
        <v>49.99</v>
      </c>
      <c r="F1207" t="s">
        <v>8118</v>
      </c>
      <c r="L1207" t="s">
        <v>11</v>
      </c>
      <c r="M1207" t="s">
        <v>3901</v>
      </c>
      <c r="N1207">
        <v>0</v>
      </c>
      <c r="O1207">
        <v>0</v>
      </c>
      <c r="T1207">
        <v>0</v>
      </c>
      <c r="U1207">
        <v>0</v>
      </c>
      <c r="V1207">
        <v>0</v>
      </c>
    </row>
    <row r="1208" spans="1:22" x14ac:dyDescent="0.2">
      <c r="A1208" t="s">
        <v>4000</v>
      </c>
      <c r="B1208" t="s">
        <v>4001</v>
      </c>
      <c r="C1208" t="s">
        <v>1897</v>
      </c>
      <c r="D1208" t="s">
        <v>96</v>
      </c>
      <c r="E1208">
        <v>59.99</v>
      </c>
      <c r="F1208" t="s">
        <v>8118</v>
      </c>
      <c r="L1208" t="s">
        <v>11</v>
      </c>
      <c r="M1208" t="s">
        <v>4002</v>
      </c>
      <c r="N1208">
        <v>0</v>
      </c>
      <c r="O1208">
        <v>0</v>
      </c>
      <c r="T1208">
        <v>0</v>
      </c>
      <c r="U1208">
        <v>0</v>
      </c>
      <c r="V1208">
        <v>0</v>
      </c>
    </row>
    <row r="1209" spans="1:22" x14ac:dyDescent="0.2">
      <c r="A1209" t="s">
        <v>3807</v>
      </c>
      <c r="B1209" t="s">
        <v>3808</v>
      </c>
      <c r="C1209" t="s">
        <v>1897</v>
      </c>
      <c r="D1209" t="s">
        <v>96</v>
      </c>
      <c r="E1209">
        <v>34.99</v>
      </c>
      <c r="F1209" t="s">
        <v>8118</v>
      </c>
      <c r="L1209" t="s">
        <v>11</v>
      </c>
      <c r="M1209" t="s">
        <v>3809</v>
      </c>
      <c r="N1209">
        <v>0</v>
      </c>
      <c r="O1209">
        <v>0</v>
      </c>
      <c r="T1209">
        <v>0</v>
      </c>
      <c r="U1209">
        <v>0</v>
      </c>
      <c r="V1209">
        <v>0</v>
      </c>
    </row>
    <row r="1210" spans="1:22" x14ac:dyDescent="0.2">
      <c r="A1210" t="s">
        <v>3819</v>
      </c>
      <c r="B1210" t="s">
        <v>3820</v>
      </c>
      <c r="C1210" t="s">
        <v>1897</v>
      </c>
      <c r="D1210" t="s">
        <v>96</v>
      </c>
      <c r="E1210">
        <v>39.99</v>
      </c>
      <c r="F1210" t="s">
        <v>8118</v>
      </c>
      <c r="L1210" t="s">
        <v>11</v>
      </c>
      <c r="M1210" t="s">
        <v>3821</v>
      </c>
      <c r="N1210">
        <v>0</v>
      </c>
      <c r="O1210">
        <v>0</v>
      </c>
      <c r="T1210">
        <v>0</v>
      </c>
      <c r="U1210">
        <v>0</v>
      </c>
      <c r="V1210">
        <v>0</v>
      </c>
    </row>
    <row r="1211" spans="1:22" x14ac:dyDescent="0.2">
      <c r="A1211" t="s">
        <v>3804</v>
      </c>
      <c r="B1211" t="s">
        <v>3805</v>
      </c>
      <c r="C1211" t="s">
        <v>1897</v>
      </c>
      <c r="D1211" t="s">
        <v>96</v>
      </c>
      <c r="F1211" t="s">
        <v>8118</v>
      </c>
      <c r="L1211" t="s">
        <v>11</v>
      </c>
      <c r="M1211" t="s">
        <v>3806</v>
      </c>
      <c r="N1211">
        <v>0</v>
      </c>
      <c r="O1211">
        <v>0</v>
      </c>
      <c r="T1211">
        <v>0</v>
      </c>
      <c r="V1211">
        <v>0</v>
      </c>
    </row>
    <row r="1212" spans="1:22" x14ac:dyDescent="0.2">
      <c r="A1212" t="s">
        <v>3917</v>
      </c>
      <c r="B1212" t="s">
        <v>3918</v>
      </c>
      <c r="C1212" t="s">
        <v>1897</v>
      </c>
      <c r="D1212" t="s">
        <v>96</v>
      </c>
      <c r="E1212">
        <v>99.99</v>
      </c>
      <c r="F1212" t="s">
        <v>8118</v>
      </c>
      <c r="L1212" t="s">
        <v>11</v>
      </c>
      <c r="M1212" t="s">
        <v>3919</v>
      </c>
      <c r="N1212">
        <v>0</v>
      </c>
      <c r="O1212">
        <v>0</v>
      </c>
      <c r="T1212">
        <v>0</v>
      </c>
      <c r="U1212">
        <v>0</v>
      </c>
      <c r="V1212">
        <v>0</v>
      </c>
    </row>
    <row r="1213" spans="1:22" x14ac:dyDescent="0.2">
      <c r="A1213" t="s">
        <v>4181</v>
      </c>
      <c r="B1213" t="s">
        <v>4182</v>
      </c>
      <c r="C1213" t="s">
        <v>1897</v>
      </c>
      <c r="D1213" t="s">
        <v>96</v>
      </c>
      <c r="E1213">
        <v>99.99</v>
      </c>
      <c r="F1213" t="s">
        <v>8118</v>
      </c>
      <c r="L1213" t="s">
        <v>11</v>
      </c>
      <c r="M1213" t="s">
        <v>4183</v>
      </c>
      <c r="N1213">
        <v>0</v>
      </c>
      <c r="O1213">
        <v>0</v>
      </c>
      <c r="T1213">
        <v>0</v>
      </c>
      <c r="U1213">
        <v>0</v>
      </c>
      <c r="V1213">
        <v>0</v>
      </c>
    </row>
    <row r="1214" spans="1:22" x14ac:dyDescent="0.2">
      <c r="A1214" t="s">
        <v>3963</v>
      </c>
      <c r="B1214" t="s">
        <v>3964</v>
      </c>
      <c r="C1214" t="s">
        <v>1897</v>
      </c>
      <c r="D1214" t="s">
        <v>96</v>
      </c>
      <c r="E1214">
        <v>49.99</v>
      </c>
      <c r="F1214" t="s">
        <v>8118</v>
      </c>
      <c r="L1214" t="s">
        <v>11</v>
      </c>
      <c r="M1214" t="s">
        <v>3965</v>
      </c>
      <c r="N1214">
        <v>0</v>
      </c>
      <c r="O1214">
        <v>0</v>
      </c>
      <c r="T1214">
        <v>0</v>
      </c>
      <c r="U1214">
        <v>0</v>
      </c>
      <c r="V1214">
        <v>0</v>
      </c>
    </row>
    <row r="1215" spans="1:22" x14ac:dyDescent="0.2">
      <c r="A1215" t="s">
        <v>4123</v>
      </c>
      <c r="B1215" t="s">
        <v>4124</v>
      </c>
      <c r="C1215" t="s">
        <v>1897</v>
      </c>
      <c r="D1215" t="s">
        <v>96</v>
      </c>
      <c r="E1215">
        <v>199.99</v>
      </c>
      <c r="F1215" t="s">
        <v>8118</v>
      </c>
      <c r="L1215" t="s">
        <v>11</v>
      </c>
      <c r="M1215" t="s">
        <v>4125</v>
      </c>
      <c r="N1215">
        <v>0</v>
      </c>
      <c r="O1215">
        <v>0</v>
      </c>
      <c r="T1215">
        <v>0</v>
      </c>
      <c r="U1215">
        <v>0</v>
      </c>
      <c r="V1215">
        <v>0</v>
      </c>
    </row>
    <row r="1216" spans="1:22" x14ac:dyDescent="0.2">
      <c r="A1216" t="s">
        <v>3933</v>
      </c>
      <c r="B1216" t="s">
        <v>3934</v>
      </c>
      <c r="C1216" t="s">
        <v>1897</v>
      </c>
      <c r="D1216" t="s">
        <v>96</v>
      </c>
      <c r="E1216">
        <v>69.989999999999995</v>
      </c>
      <c r="F1216" t="s">
        <v>8118</v>
      </c>
      <c r="L1216" t="s">
        <v>11</v>
      </c>
      <c r="M1216" t="s">
        <v>3935</v>
      </c>
      <c r="N1216">
        <v>0</v>
      </c>
      <c r="O1216">
        <v>0</v>
      </c>
      <c r="T1216">
        <v>0</v>
      </c>
      <c r="U1216">
        <v>0</v>
      </c>
      <c r="V1216">
        <v>0</v>
      </c>
    </row>
    <row r="1217" spans="1:22" x14ac:dyDescent="0.2">
      <c r="A1217" t="s">
        <v>3788</v>
      </c>
      <c r="B1217" t="s">
        <v>3789</v>
      </c>
      <c r="C1217" t="s">
        <v>1897</v>
      </c>
      <c r="D1217" t="s">
        <v>96</v>
      </c>
      <c r="E1217">
        <v>159.99</v>
      </c>
      <c r="F1217" t="s">
        <v>8118</v>
      </c>
      <c r="L1217" t="s">
        <v>11</v>
      </c>
      <c r="M1217" t="s">
        <v>3790</v>
      </c>
      <c r="N1217">
        <v>0</v>
      </c>
      <c r="O1217">
        <v>0</v>
      </c>
      <c r="T1217">
        <v>0</v>
      </c>
      <c r="U1217">
        <v>0</v>
      </c>
      <c r="V1217">
        <v>0</v>
      </c>
    </row>
    <row r="1218" spans="1:22" x14ac:dyDescent="0.2">
      <c r="A1218" t="s">
        <v>3871</v>
      </c>
      <c r="B1218" t="s">
        <v>3872</v>
      </c>
      <c r="C1218" t="s">
        <v>1897</v>
      </c>
      <c r="D1218" t="s">
        <v>96</v>
      </c>
      <c r="E1218">
        <v>89.99</v>
      </c>
      <c r="F1218" t="s">
        <v>8118</v>
      </c>
      <c r="L1218" t="s">
        <v>11</v>
      </c>
      <c r="M1218" t="s">
        <v>3873</v>
      </c>
      <c r="N1218">
        <v>0</v>
      </c>
      <c r="O1218">
        <v>0</v>
      </c>
      <c r="T1218">
        <v>0</v>
      </c>
      <c r="U1218">
        <v>0</v>
      </c>
      <c r="V1218">
        <v>0</v>
      </c>
    </row>
    <row r="1219" spans="1:22" x14ac:dyDescent="0.2">
      <c r="A1219" t="s">
        <v>3883</v>
      </c>
      <c r="B1219" t="s">
        <v>3884</v>
      </c>
      <c r="C1219" t="s">
        <v>1897</v>
      </c>
      <c r="D1219" t="s">
        <v>96</v>
      </c>
      <c r="E1219">
        <v>89.99</v>
      </c>
      <c r="F1219" t="s">
        <v>8118</v>
      </c>
      <c r="L1219" t="s">
        <v>11</v>
      </c>
      <c r="M1219" t="s">
        <v>3885</v>
      </c>
      <c r="N1219">
        <v>0</v>
      </c>
      <c r="O1219">
        <v>0</v>
      </c>
      <c r="T1219">
        <v>0</v>
      </c>
      <c r="U1219">
        <v>0</v>
      </c>
      <c r="V1219">
        <v>0</v>
      </c>
    </row>
    <row r="1220" spans="1:22" x14ac:dyDescent="0.2">
      <c r="A1220" t="s">
        <v>3889</v>
      </c>
      <c r="B1220" t="s">
        <v>3890</v>
      </c>
      <c r="C1220" t="s">
        <v>1897</v>
      </c>
      <c r="D1220" t="s">
        <v>96</v>
      </c>
      <c r="E1220">
        <v>89.99</v>
      </c>
      <c r="F1220" t="s">
        <v>8118</v>
      </c>
      <c r="L1220" t="s">
        <v>11</v>
      </c>
      <c r="M1220" t="s">
        <v>3891</v>
      </c>
      <c r="N1220">
        <v>0</v>
      </c>
      <c r="O1220">
        <v>0</v>
      </c>
      <c r="T1220">
        <v>0</v>
      </c>
      <c r="U1220">
        <v>0</v>
      </c>
      <c r="V1220">
        <v>0</v>
      </c>
    </row>
    <row r="1221" spans="1:22" x14ac:dyDescent="0.2">
      <c r="A1221" t="s">
        <v>3877</v>
      </c>
      <c r="B1221" t="s">
        <v>7046</v>
      </c>
      <c r="C1221" t="s">
        <v>1897</v>
      </c>
      <c r="D1221" t="s">
        <v>96</v>
      </c>
      <c r="E1221">
        <v>89.99</v>
      </c>
      <c r="F1221" t="s">
        <v>8118</v>
      </c>
      <c r="L1221" t="s">
        <v>11</v>
      </c>
      <c r="M1221" t="s">
        <v>3879</v>
      </c>
      <c r="N1221">
        <v>0</v>
      </c>
      <c r="O1221">
        <v>0</v>
      </c>
      <c r="T1221">
        <v>0</v>
      </c>
      <c r="U1221">
        <v>0</v>
      </c>
      <c r="V1221">
        <v>0</v>
      </c>
    </row>
    <row r="1222" spans="1:22" x14ac:dyDescent="0.2">
      <c r="A1222" t="s">
        <v>3892</v>
      </c>
      <c r="B1222" t="s">
        <v>7047</v>
      </c>
      <c r="C1222" t="s">
        <v>1897</v>
      </c>
      <c r="D1222" t="s">
        <v>96</v>
      </c>
      <c r="E1222">
        <v>89.99</v>
      </c>
      <c r="F1222" t="s">
        <v>8118</v>
      </c>
      <c r="L1222" t="s">
        <v>11</v>
      </c>
      <c r="M1222" t="s">
        <v>3895</v>
      </c>
      <c r="N1222">
        <v>0</v>
      </c>
      <c r="O1222">
        <v>0</v>
      </c>
      <c r="T1222">
        <v>0</v>
      </c>
      <c r="U1222">
        <v>0</v>
      </c>
      <c r="V1222">
        <v>0</v>
      </c>
    </row>
    <row r="1223" spans="1:22" x14ac:dyDescent="0.2">
      <c r="A1223" t="s">
        <v>3892</v>
      </c>
      <c r="B1223" t="s">
        <v>7047</v>
      </c>
      <c r="C1223" t="s">
        <v>1897</v>
      </c>
      <c r="D1223" t="s">
        <v>96</v>
      </c>
      <c r="E1223">
        <v>89.99</v>
      </c>
      <c r="F1223" t="s">
        <v>8118</v>
      </c>
      <c r="L1223" t="s">
        <v>11</v>
      </c>
      <c r="M1223" t="s">
        <v>3894</v>
      </c>
      <c r="N1223">
        <v>0</v>
      </c>
      <c r="O1223">
        <v>0</v>
      </c>
      <c r="T1223">
        <v>0</v>
      </c>
      <c r="U1223">
        <v>0</v>
      </c>
      <c r="V1223">
        <v>0</v>
      </c>
    </row>
    <row r="1224" spans="1:22" x14ac:dyDescent="0.2">
      <c r="A1224" t="s">
        <v>3896</v>
      </c>
      <c r="B1224" t="s">
        <v>3897</v>
      </c>
      <c r="C1224" t="s">
        <v>1897</v>
      </c>
      <c r="D1224" t="s">
        <v>96</v>
      </c>
      <c r="E1224">
        <v>79.989999999999995</v>
      </c>
      <c r="F1224" t="s">
        <v>8118</v>
      </c>
      <c r="L1224" t="s">
        <v>11</v>
      </c>
      <c r="M1224" t="s">
        <v>3898</v>
      </c>
      <c r="N1224">
        <v>0</v>
      </c>
      <c r="O1224">
        <v>0</v>
      </c>
      <c r="T1224">
        <v>0</v>
      </c>
      <c r="U1224">
        <v>0</v>
      </c>
      <c r="V1224">
        <v>0</v>
      </c>
    </row>
    <row r="1225" spans="1:22" x14ac:dyDescent="0.2">
      <c r="A1225" t="s">
        <v>1908</v>
      </c>
      <c r="B1225" t="s">
        <v>1909</v>
      </c>
      <c r="C1225" t="s">
        <v>1897</v>
      </c>
      <c r="D1225" t="s">
        <v>290</v>
      </c>
      <c r="E1225">
        <v>89.99</v>
      </c>
      <c r="F1225" t="s">
        <v>8118</v>
      </c>
      <c r="L1225" t="s">
        <v>11</v>
      </c>
      <c r="M1225" t="s">
        <v>3784</v>
      </c>
      <c r="N1225">
        <v>0</v>
      </c>
      <c r="O1225">
        <v>0</v>
      </c>
      <c r="T1225">
        <v>0</v>
      </c>
      <c r="U1225">
        <v>0</v>
      </c>
      <c r="V1225">
        <v>0</v>
      </c>
    </row>
    <row r="1226" spans="1:22" x14ac:dyDescent="0.2">
      <c r="A1226" t="s">
        <v>3868</v>
      </c>
      <c r="B1226" t="s">
        <v>3869</v>
      </c>
      <c r="C1226" t="s">
        <v>1897</v>
      </c>
      <c r="D1226" t="s">
        <v>96</v>
      </c>
      <c r="E1226">
        <v>89.99</v>
      </c>
      <c r="F1226" t="s">
        <v>8118</v>
      </c>
      <c r="L1226" t="s">
        <v>11</v>
      </c>
      <c r="M1226" t="s">
        <v>3870</v>
      </c>
      <c r="N1226">
        <v>0</v>
      </c>
      <c r="O1226">
        <v>0</v>
      </c>
      <c r="T1226">
        <v>0</v>
      </c>
      <c r="U1226">
        <v>0</v>
      </c>
      <c r="V1226">
        <v>0</v>
      </c>
    </row>
    <row r="1227" spans="1:22" x14ac:dyDescent="0.2">
      <c r="A1227" t="s">
        <v>3880</v>
      </c>
      <c r="B1227" t="s">
        <v>3881</v>
      </c>
      <c r="C1227" t="s">
        <v>1897</v>
      </c>
      <c r="D1227" t="s">
        <v>96</v>
      </c>
      <c r="E1227">
        <v>139.99</v>
      </c>
      <c r="F1227" t="s">
        <v>8118</v>
      </c>
      <c r="L1227" t="s">
        <v>11</v>
      </c>
      <c r="M1227" t="s">
        <v>3882</v>
      </c>
      <c r="N1227">
        <v>0</v>
      </c>
      <c r="O1227">
        <v>0</v>
      </c>
      <c r="T1227">
        <v>0</v>
      </c>
      <c r="U1227">
        <v>0</v>
      </c>
      <c r="V1227">
        <v>0</v>
      </c>
    </row>
    <row r="1228" spans="1:22" x14ac:dyDescent="0.2">
      <c r="A1228" t="s">
        <v>4096</v>
      </c>
      <c r="B1228" t="s">
        <v>4097</v>
      </c>
      <c r="C1228" t="s">
        <v>1897</v>
      </c>
      <c r="D1228" t="s">
        <v>96</v>
      </c>
      <c r="E1228">
        <v>59.99</v>
      </c>
      <c r="F1228" t="s">
        <v>8118</v>
      </c>
      <c r="L1228" t="s">
        <v>11</v>
      </c>
      <c r="M1228" t="s">
        <v>4098</v>
      </c>
      <c r="N1228">
        <v>0</v>
      </c>
      <c r="O1228">
        <v>0</v>
      </c>
      <c r="T1228">
        <v>0</v>
      </c>
      <c r="U1228">
        <v>0</v>
      </c>
      <c r="V1228">
        <v>0</v>
      </c>
    </row>
    <row r="1229" spans="1:22" x14ac:dyDescent="0.2">
      <c r="A1229" t="s">
        <v>4084</v>
      </c>
      <c r="B1229" t="s">
        <v>4085</v>
      </c>
      <c r="C1229" t="s">
        <v>1897</v>
      </c>
      <c r="D1229" t="s">
        <v>96</v>
      </c>
      <c r="F1229" t="s">
        <v>8118</v>
      </c>
      <c r="L1229" t="s">
        <v>11</v>
      </c>
      <c r="M1229" t="s">
        <v>4086</v>
      </c>
      <c r="N1229">
        <v>0</v>
      </c>
      <c r="O1229">
        <v>0</v>
      </c>
      <c r="T1229">
        <v>0</v>
      </c>
      <c r="V1229">
        <v>0</v>
      </c>
    </row>
    <row r="1230" spans="1:22" x14ac:dyDescent="0.2">
      <c r="A1230" t="s">
        <v>4108</v>
      </c>
      <c r="B1230" t="s">
        <v>4109</v>
      </c>
      <c r="C1230" t="s">
        <v>1897</v>
      </c>
      <c r="D1230" t="s">
        <v>96</v>
      </c>
      <c r="E1230">
        <v>39.99</v>
      </c>
      <c r="F1230" t="s">
        <v>8118</v>
      </c>
      <c r="L1230" t="s">
        <v>11</v>
      </c>
      <c r="M1230" t="s">
        <v>4110</v>
      </c>
      <c r="N1230">
        <v>0</v>
      </c>
      <c r="O1230">
        <v>0</v>
      </c>
      <c r="T1230">
        <v>0</v>
      </c>
      <c r="U1230">
        <v>0</v>
      </c>
      <c r="V1230">
        <v>0</v>
      </c>
    </row>
    <row r="1231" spans="1:22" x14ac:dyDescent="0.2">
      <c r="A1231" t="s">
        <v>3874</v>
      </c>
      <c r="B1231" t="s">
        <v>3875</v>
      </c>
      <c r="C1231" t="s">
        <v>1897</v>
      </c>
      <c r="D1231" t="s">
        <v>96</v>
      </c>
      <c r="E1231">
        <v>99.99</v>
      </c>
      <c r="F1231" t="s">
        <v>8118</v>
      </c>
      <c r="L1231" t="s">
        <v>11</v>
      </c>
      <c r="M1231" t="s">
        <v>3876</v>
      </c>
      <c r="N1231">
        <v>0</v>
      </c>
      <c r="O1231">
        <v>0</v>
      </c>
      <c r="T1231">
        <v>0</v>
      </c>
      <c r="U1231">
        <v>0</v>
      </c>
      <c r="V1231">
        <v>0</v>
      </c>
    </row>
    <row r="1232" spans="1:22" x14ac:dyDescent="0.2">
      <c r="A1232" t="s">
        <v>4018</v>
      </c>
      <c r="B1232" t="s">
        <v>4019</v>
      </c>
      <c r="C1232" t="s">
        <v>1897</v>
      </c>
      <c r="D1232" t="s">
        <v>96</v>
      </c>
      <c r="E1232">
        <v>229.99</v>
      </c>
      <c r="F1232" t="s">
        <v>8118</v>
      </c>
      <c r="L1232" t="s">
        <v>11</v>
      </c>
      <c r="M1232" t="s">
        <v>4020</v>
      </c>
      <c r="N1232">
        <v>0</v>
      </c>
      <c r="O1232">
        <v>0</v>
      </c>
      <c r="T1232">
        <v>0</v>
      </c>
      <c r="U1232">
        <v>0</v>
      </c>
      <c r="V1232">
        <v>0</v>
      </c>
    </row>
    <row r="1233" spans="1:22" x14ac:dyDescent="0.2">
      <c r="A1233" t="s">
        <v>1918</v>
      </c>
      <c r="B1233" t="s">
        <v>1919</v>
      </c>
      <c r="C1233" t="s">
        <v>1897</v>
      </c>
      <c r="D1233" t="s">
        <v>290</v>
      </c>
      <c r="E1233">
        <v>99.99</v>
      </c>
      <c r="F1233" t="s">
        <v>8118</v>
      </c>
      <c r="L1233" t="s">
        <v>11</v>
      </c>
      <c r="M1233" t="s">
        <v>4177</v>
      </c>
      <c r="N1233">
        <v>0</v>
      </c>
      <c r="O1233">
        <v>0</v>
      </c>
      <c r="T1233">
        <v>0</v>
      </c>
      <c r="U1233">
        <v>0</v>
      </c>
      <c r="V1233">
        <v>0</v>
      </c>
    </row>
    <row r="1234" spans="1:22" x14ac:dyDescent="0.2">
      <c r="A1234" t="s">
        <v>3923</v>
      </c>
      <c r="B1234" t="s">
        <v>3924</v>
      </c>
      <c r="C1234" t="s">
        <v>1897</v>
      </c>
      <c r="D1234" t="s">
        <v>96</v>
      </c>
      <c r="E1234">
        <v>99.99</v>
      </c>
      <c r="F1234" t="s">
        <v>8118</v>
      </c>
      <c r="L1234" t="s">
        <v>11</v>
      </c>
      <c r="M1234" t="s">
        <v>3925</v>
      </c>
      <c r="N1234">
        <v>0</v>
      </c>
      <c r="O1234">
        <v>0</v>
      </c>
      <c r="T1234">
        <v>0</v>
      </c>
      <c r="U1234">
        <v>0</v>
      </c>
      <c r="V1234">
        <v>0</v>
      </c>
    </row>
    <row r="1235" spans="1:22" x14ac:dyDescent="0.2">
      <c r="A1235" t="s">
        <v>3765</v>
      </c>
      <c r="B1235" t="s">
        <v>3766</v>
      </c>
      <c r="C1235" t="s">
        <v>1897</v>
      </c>
      <c r="D1235" t="s">
        <v>96</v>
      </c>
      <c r="E1235">
        <v>44.99</v>
      </c>
      <c r="F1235" t="s">
        <v>8118</v>
      </c>
      <c r="L1235" t="s">
        <v>11</v>
      </c>
      <c r="M1235" t="s">
        <v>3767</v>
      </c>
      <c r="N1235">
        <v>0</v>
      </c>
      <c r="O1235">
        <v>0</v>
      </c>
      <c r="T1235">
        <v>0</v>
      </c>
      <c r="U1235">
        <v>0</v>
      </c>
      <c r="V1235">
        <v>0</v>
      </c>
    </row>
    <row r="1236" spans="1:22" x14ac:dyDescent="0.2">
      <c r="A1236" t="s">
        <v>3969</v>
      </c>
      <c r="B1236" t="s">
        <v>3970</v>
      </c>
      <c r="C1236" t="s">
        <v>1897</v>
      </c>
      <c r="D1236" t="s">
        <v>96</v>
      </c>
      <c r="E1236">
        <v>29.99</v>
      </c>
      <c r="F1236" t="s">
        <v>8118</v>
      </c>
      <c r="L1236" t="s">
        <v>11</v>
      </c>
      <c r="M1236" t="s">
        <v>3971</v>
      </c>
      <c r="N1236">
        <v>0</v>
      </c>
      <c r="O1236">
        <v>0</v>
      </c>
      <c r="T1236">
        <v>0</v>
      </c>
      <c r="U1236">
        <v>0</v>
      </c>
      <c r="V1236">
        <v>0</v>
      </c>
    </row>
    <row r="1237" spans="1:22" x14ac:dyDescent="0.2">
      <c r="A1237" t="s">
        <v>3862</v>
      </c>
      <c r="B1237" t="s">
        <v>3863</v>
      </c>
      <c r="C1237" t="s">
        <v>1897</v>
      </c>
      <c r="D1237" t="s">
        <v>96</v>
      </c>
      <c r="E1237">
        <v>59.99</v>
      </c>
      <c r="F1237" t="s">
        <v>8118</v>
      </c>
      <c r="L1237" t="s">
        <v>11</v>
      </c>
      <c r="M1237" t="s">
        <v>3864</v>
      </c>
      <c r="N1237">
        <v>0</v>
      </c>
      <c r="O1237">
        <v>0</v>
      </c>
      <c r="T1237">
        <v>0</v>
      </c>
      <c r="U1237">
        <v>0</v>
      </c>
      <c r="V1237">
        <v>0</v>
      </c>
    </row>
    <row r="1238" spans="1:22" x14ac:dyDescent="0.2">
      <c r="A1238" t="s">
        <v>3743</v>
      </c>
      <c r="B1238" t="s">
        <v>3744</v>
      </c>
      <c r="C1238" t="s">
        <v>1897</v>
      </c>
      <c r="D1238" t="s">
        <v>96</v>
      </c>
      <c r="E1238">
        <v>69.989999999999995</v>
      </c>
      <c r="F1238" t="s">
        <v>8118</v>
      </c>
      <c r="L1238" t="s">
        <v>11</v>
      </c>
      <c r="M1238" t="s">
        <v>3745</v>
      </c>
      <c r="N1238">
        <v>0</v>
      </c>
      <c r="O1238">
        <v>0</v>
      </c>
      <c r="T1238">
        <v>0</v>
      </c>
      <c r="U1238">
        <v>0</v>
      </c>
      <c r="V1238">
        <v>0</v>
      </c>
    </row>
    <row r="1239" spans="1:22" x14ac:dyDescent="0.2">
      <c r="A1239" t="s">
        <v>3859</v>
      </c>
      <c r="B1239" t="s">
        <v>3860</v>
      </c>
      <c r="C1239" t="s">
        <v>1897</v>
      </c>
      <c r="D1239" t="s">
        <v>96</v>
      </c>
      <c r="E1239">
        <v>79.989999999999995</v>
      </c>
      <c r="F1239" t="s">
        <v>8118</v>
      </c>
      <c r="L1239" t="s">
        <v>11</v>
      </c>
      <c r="M1239" t="s">
        <v>3861</v>
      </c>
      <c r="N1239">
        <v>0</v>
      </c>
      <c r="O1239">
        <v>0</v>
      </c>
      <c r="T1239">
        <v>0</v>
      </c>
      <c r="U1239">
        <v>0</v>
      </c>
      <c r="V1239">
        <v>0</v>
      </c>
    </row>
    <row r="1240" spans="1:22" x14ac:dyDescent="0.2">
      <c r="A1240" t="s">
        <v>3856</v>
      </c>
      <c r="B1240" t="s">
        <v>3857</v>
      </c>
      <c r="C1240" t="s">
        <v>1897</v>
      </c>
      <c r="D1240" t="s">
        <v>96</v>
      </c>
      <c r="E1240">
        <v>69.989999999999995</v>
      </c>
      <c r="F1240" t="s">
        <v>8118</v>
      </c>
      <c r="L1240" t="s">
        <v>11</v>
      </c>
      <c r="M1240" t="s">
        <v>3858</v>
      </c>
      <c r="N1240">
        <v>0</v>
      </c>
      <c r="O1240">
        <v>0</v>
      </c>
      <c r="T1240">
        <v>0</v>
      </c>
      <c r="U1240">
        <v>0</v>
      </c>
      <c r="V1240">
        <v>0</v>
      </c>
    </row>
    <row r="1241" spans="1:22" x14ac:dyDescent="0.2">
      <c r="A1241" t="s">
        <v>3853</v>
      </c>
      <c r="B1241" t="s">
        <v>3854</v>
      </c>
      <c r="C1241" t="s">
        <v>1897</v>
      </c>
      <c r="D1241" t="s">
        <v>290</v>
      </c>
      <c r="E1241">
        <v>69.989999999999995</v>
      </c>
      <c r="F1241" t="s">
        <v>8118</v>
      </c>
      <c r="L1241" t="s">
        <v>11</v>
      </c>
      <c r="M1241" t="s">
        <v>3855</v>
      </c>
      <c r="N1241">
        <v>0</v>
      </c>
      <c r="O1241">
        <v>0</v>
      </c>
      <c r="T1241">
        <v>0</v>
      </c>
      <c r="U1241">
        <v>0</v>
      </c>
      <c r="V1241">
        <v>0</v>
      </c>
    </row>
    <row r="1242" spans="1:22" x14ac:dyDescent="0.2">
      <c r="A1242" t="s">
        <v>4159</v>
      </c>
      <c r="B1242" t="s">
        <v>4160</v>
      </c>
      <c r="C1242" t="s">
        <v>1897</v>
      </c>
      <c r="D1242" t="s">
        <v>96</v>
      </c>
      <c r="E1242">
        <v>229.99</v>
      </c>
      <c r="F1242" t="s">
        <v>8118</v>
      </c>
      <c r="L1242" t="s">
        <v>11</v>
      </c>
      <c r="M1242" t="s">
        <v>4161</v>
      </c>
      <c r="N1242">
        <v>0</v>
      </c>
      <c r="O1242">
        <v>0</v>
      </c>
      <c r="T1242">
        <v>0</v>
      </c>
      <c r="U1242">
        <v>0</v>
      </c>
      <c r="V1242">
        <v>0</v>
      </c>
    </row>
    <row r="1243" spans="1:22" x14ac:dyDescent="0.2">
      <c r="A1243" t="s">
        <v>3726</v>
      </c>
      <c r="B1243" t="s">
        <v>3727</v>
      </c>
      <c r="C1243" t="s">
        <v>1897</v>
      </c>
      <c r="D1243" t="s">
        <v>96</v>
      </c>
      <c r="E1243">
        <v>54.99</v>
      </c>
      <c r="F1243" t="s">
        <v>8118</v>
      </c>
      <c r="L1243" t="s">
        <v>11</v>
      </c>
      <c r="M1243" t="s">
        <v>3728</v>
      </c>
      <c r="N1243">
        <v>0</v>
      </c>
      <c r="O1243">
        <v>0</v>
      </c>
      <c r="T1243">
        <v>0</v>
      </c>
      <c r="U1243">
        <v>0</v>
      </c>
      <c r="V1243">
        <v>0</v>
      </c>
    </row>
    <row r="1244" spans="1:22" x14ac:dyDescent="0.2">
      <c r="A1244" t="s">
        <v>1924</v>
      </c>
      <c r="B1244" t="s">
        <v>1925</v>
      </c>
      <c r="C1244" t="s">
        <v>1897</v>
      </c>
      <c r="D1244" t="s">
        <v>290</v>
      </c>
      <c r="E1244">
        <v>49.99</v>
      </c>
      <c r="F1244" t="s">
        <v>8118</v>
      </c>
      <c r="L1244" t="s">
        <v>11</v>
      </c>
      <c r="M1244" t="s">
        <v>3739</v>
      </c>
      <c r="N1244">
        <v>0</v>
      </c>
      <c r="O1244">
        <v>0</v>
      </c>
      <c r="T1244">
        <v>0</v>
      </c>
      <c r="U1244">
        <v>0</v>
      </c>
      <c r="V1244">
        <v>0</v>
      </c>
    </row>
    <row r="1245" spans="1:22" x14ac:dyDescent="0.2">
      <c r="A1245" t="s">
        <v>1922</v>
      </c>
      <c r="B1245" t="s">
        <v>1923</v>
      </c>
      <c r="C1245" t="s">
        <v>1897</v>
      </c>
      <c r="D1245" t="s">
        <v>290</v>
      </c>
      <c r="E1245">
        <v>49.99</v>
      </c>
      <c r="F1245" t="s">
        <v>8118</v>
      </c>
      <c r="L1245" t="s">
        <v>11</v>
      </c>
      <c r="M1245" t="s">
        <v>3738</v>
      </c>
      <c r="N1245">
        <v>0</v>
      </c>
      <c r="O1245">
        <v>0</v>
      </c>
      <c r="T1245">
        <v>0</v>
      </c>
      <c r="U1245">
        <v>0</v>
      </c>
      <c r="V1245">
        <v>0</v>
      </c>
    </row>
    <row r="1246" spans="1:22" x14ac:dyDescent="0.2">
      <c r="A1246" t="s">
        <v>3746</v>
      </c>
      <c r="B1246" t="s">
        <v>7048</v>
      </c>
      <c r="C1246" t="s">
        <v>1897</v>
      </c>
      <c r="D1246" t="s">
        <v>96</v>
      </c>
      <c r="E1246">
        <v>49.99</v>
      </c>
      <c r="F1246" t="s">
        <v>8118</v>
      </c>
      <c r="L1246" t="s">
        <v>11</v>
      </c>
      <c r="M1246" t="s">
        <v>3748</v>
      </c>
      <c r="N1246">
        <v>0</v>
      </c>
      <c r="O1246">
        <v>0</v>
      </c>
      <c r="T1246">
        <v>0</v>
      </c>
      <c r="U1246">
        <v>0</v>
      </c>
      <c r="V1246">
        <v>0</v>
      </c>
    </row>
    <row r="1247" spans="1:22" x14ac:dyDescent="0.2">
      <c r="A1247" t="s">
        <v>3732</v>
      </c>
      <c r="B1247" t="s">
        <v>3733</v>
      </c>
      <c r="C1247" t="s">
        <v>1897</v>
      </c>
      <c r="D1247" t="s">
        <v>96</v>
      </c>
      <c r="E1247">
        <v>49.99</v>
      </c>
      <c r="F1247" t="s">
        <v>8118</v>
      </c>
      <c r="L1247" t="s">
        <v>11</v>
      </c>
      <c r="M1247" t="s">
        <v>3734</v>
      </c>
      <c r="N1247">
        <v>0</v>
      </c>
      <c r="O1247">
        <v>0</v>
      </c>
      <c r="T1247">
        <v>0</v>
      </c>
      <c r="U1247">
        <v>0</v>
      </c>
      <c r="V1247">
        <v>0</v>
      </c>
    </row>
    <row r="1248" spans="1:22" x14ac:dyDescent="0.2">
      <c r="A1248" t="s">
        <v>3816</v>
      </c>
      <c r="B1248" t="s">
        <v>3817</v>
      </c>
      <c r="C1248" t="s">
        <v>1897</v>
      </c>
      <c r="D1248" t="s">
        <v>96</v>
      </c>
      <c r="E1248">
        <v>19.989999999999998</v>
      </c>
      <c r="F1248" t="s">
        <v>8118</v>
      </c>
      <c r="L1248" t="s">
        <v>11</v>
      </c>
      <c r="M1248" t="s">
        <v>3818</v>
      </c>
      <c r="N1248">
        <v>0</v>
      </c>
      <c r="O1248">
        <v>0</v>
      </c>
      <c r="T1248">
        <v>0</v>
      </c>
      <c r="U1248">
        <v>0</v>
      </c>
      <c r="V1248">
        <v>0</v>
      </c>
    </row>
    <row r="1249" spans="1:22" x14ac:dyDescent="0.2">
      <c r="A1249" t="s">
        <v>4063</v>
      </c>
      <c r="B1249" t="s">
        <v>4064</v>
      </c>
      <c r="C1249" t="s">
        <v>1897</v>
      </c>
      <c r="D1249" t="s">
        <v>96</v>
      </c>
      <c r="E1249">
        <v>59.99</v>
      </c>
      <c r="F1249" t="s">
        <v>8118</v>
      </c>
      <c r="L1249" t="s">
        <v>11</v>
      </c>
      <c r="M1249" t="s">
        <v>4065</v>
      </c>
      <c r="N1249">
        <v>0</v>
      </c>
      <c r="O1249">
        <v>0</v>
      </c>
      <c r="T1249">
        <v>0</v>
      </c>
      <c r="U1249">
        <v>0</v>
      </c>
      <c r="V1249">
        <v>0</v>
      </c>
    </row>
    <row r="1250" spans="1:22" x14ac:dyDescent="0.2">
      <c r="A1250" t="s">
        <v>4066</v>
      </c>
      <c r="B1250" t="s">
        <v>4067</v>
      </c>
      <c r="C1250" t="s">
        <v>1897</v>
      </c>
      <c r="D1250" t="s">
        <v>96</v>
      </c>
      <c r="E1250">
        <v>69.989999999999995</v>
      </c>
      <c r="F1250" t="s">
        <v>8118</v>
      </c>
      <c r="L1250" t="s">
        <v>11</v>
      </c>
      <c r="M1250" t="s">
        <v>4068</v>
      </c>
      <c r="N1250">
        <v>0</v>
      </c>
      <c r="O1250">
        <v>0</v>
      </c>
      <c r="T1250">
        <v>0</v>
      </c>
      <c r="U1250">
        <v>0</v>
      </c>
      <c r="V1250">
        <v>0</v>
      </c>
    </row>
    <row r="1251" spans="1:22" x14ac:dyDescent="0.2">
      <c r="A1251" t="s">
        <v>4039</v>
      </c>
      <c r="B1251" t="s">
        <v>4040</v>
      </c>
      <c r="C1251" t="s">
        <v>1897</v>
      </c>
      <c r="D1251" t="s">
        <v>96</v>
      </c>
      <c r="E1251">
        <v>49.99</v>
      </c>
      <c r="F1251" t="s">
        <v>8118</v>
      </c>
      <c r="L1251" t="s">
        <v>11</v>
      </c>
      <c r="M1251" t="s">
        <v>4041</v>
      </c>
      <c r="N1251">
        <v>0</v>
      </c>
      <c r="O1251">
        <v>0</v>
      </c>
      <c r="T1251">
        <v>0</v>
      </c>
      <c r="U1251">
        <v>0</v>
      </c>
      <c r="V1251">
        <v>0</v>
      </c>
    </row>
    <row r="1252" spans="1:22" x14ac:dyDescent="0.2">
      <c r="A1252" t="s">
        <v>3749</v>
      </c>
      <c r="B1252" t="s">
        <v>3750</v>
      </c>
      <c r="C1252" t="s">
        <v>1897</v>
      </c>
      <c r="D1252" t="s">
        <v>96</v>
      </c>
      <c r="E1252">
        <v>54.99</v>
      </c>
      <c r="F1252" t="s">
        <v>8118</v>
      </c>
      <c r="L1252" t="s">
        <v>11</v>
      </c>
      <c r="M1252" t="s">
        <v>3751</v>
      </c>
      <c r="N1252">
        <v>0</v>
      </c>
      <c r="O1252">
        <v>0</v>
      </c>
      <c r="T1252">
        <v>0</v>
      </c>
      <c r="U1252">
        <v>0</v>
      </c>
      <c r="V1252">
        <v>0</v>
      </c>
    </row>
    <row r="1253" spans="1:22" x14ac:dyDescent="0.2">
      <c r="A1253" t="s">
        <v>3886</v>
      </c>
      <c r="B1253" t="s">
        <v>3887</v>
      </c>
      <c r="C1253" t="s">
        <v>1897</v>
      </c>
      <c r="D1253" t="s">
        <v>96</v>
      </c>
      <c r="E1253">
        <v>74.989999999999995</v>
      </c>
      <c r="F1253" t="s">
        <v>8118</v>
      </c>
      <c r="L1253" t="s">
        <v>11</v>
      </c>
      <c r="M1253" t="s">
        <v>3888</v>
      </c>
      <c r="N1253">
        <v>0</v>
      </c>
      <c r="O1253">
        <v>0</v>
      </c>
      <c r="T1253">
        <v>0</v>
      </c>
      <c r="U1253">
        <v>0</v>
      </c>
      <c r="V1253">
        <v>0</v>
      </c>
    </row>
    <row r="1254" spans="1:22" x14ac:dyDescent="0.2">
      <c r="A1254" t="s">
        <v>4057</v>
      </c>
      <c r="B1254" t="s">
        <v>4058</v>
      </c>
      <c r="C1254" t="s">
        <v>1897</v>
      </c>
      <c r="D1254" t="s">
        <v>96</v>
      </c>
      <c r="E1254">
        <v>49.99</v>
      </c>
      <c r="F1254" t="s">
        <v>8118</v>
      </c>
      <c r="L1254" t="s">
        <v>11</v>
      </c>
      <c r="M1254" t="s">
        <v>4059</v>
      </c>
      <c r="N1254">
        <v>0</v>
      </c>
      <c r="O1254">
        <v>0</v>
      </c>
      <c r="T1254">
        <v>0</v>
      </c>
      <c r="U1254">
        <v>0</v>
      </c>
      <c r="V1254">
        <v>0</v>
      </c>
    </row>
    <row r="1255" spans="1:22" x14ac:dyDescent="0.2">
      <c r="A1255" t="s">
        <v>3837</v>
      </c>
      <c r="B1255" t="s">
        <v>3838</v>
      </c>
      <c r="C1255" t="s">
        <v>1897</v>
      </c>
      <c r="D1255" t="s">
        <v>96</v>
      </c>
      <c r="F1255" t="s">
        <v>8118</v>
      </c>
      <c r="L1255" t="s">
        <v>11</v>
      </c>
      <c r="M1255" t="s">
        <v>3839</v>
      </c>
      <c r="N1255">
        <v>0</v>
      </c>
      <c r="O1255">
        <v>0</v>
      </c>
      <c r="T1255">
        <v>0</v>
      </c>
      <c r="V1255">
        <v>0</v>
      </c>
    </row>
    <row r="1256" spans="1:22" x14ac:dyDescent="0.2">
      <c r="A1256" t="s">
        <v>4024</v>
      </c>
      <c r="B1256" t="s">
        <v>4025</v>
      </c>
      <c r="C1256" t="s">
        <v>1897</v>
      </c>
      <c r="D1256" t="s">
        <v>96</v>
      </c>
      <c r="E1256">
        <v>189.99</v>
      </c>
      <c r="F1256" t="s">
        <v>8118</v>
      </c>
      <c r="L1256" t="s">
        <v>11</v>
      </c>
      <c r="M1256" t="s">
        <v>4026</v>
      </c>
      <c r="N1256">
        <v>0</v>
      </c>
      <c r="O1256">
        <v>0</v>
      </c>
      <c r="T1256">
        <v>0</v>
      </c>
      <c r="U1256">
        <v>0</v>
      </c>
      <c r="V1256">
        <v>0</v>
      </c>
    </row>
    <row r="1257" spans="1:22" x14ac:dyDescent="0.2">
      <c r="A1257" t="s">
        <v>4021</v>
      </c>
      <c r="B1257" t="s">
        <v>4022</v>
      </c>
      <c r="C1257" t="s">
        <v>1897</v>
      </c>
      <c r="D1257" t="s">
        <v>96</v>
      </c>
      <c r="E1257">
        <v>189.99</v>
      </c>
      <c r="F1257" t="s">
        <v>8118</v>
      </c>
      <c r="L1257" t="s">
        <v>11</v>
      </c>
      <c r="M1257" t="s">
        <v>4023</v>
      </c>
      <c r="N1257">
        <v>0</v>
      </c>
      <c r="O1257">
        <v>0</v>
      </c>
      <c r="T1257">
        <v>0</v>
      </c>
      <c r="U1257">
        <v>0</v>
      </c>
      <c r="V1257">
        <v>0</v>
      </c>
    </row>
    <row r="1258" spans="1:22" x14ac:dyDescent="0.2">
      <c r="A1258" t="s">
        <v>4027</v>
      </c>
      <c r="B1258" t="s">
        <v>4028</v>
      </c>
      <c r="C1258" t="s">
        <v>1897</v>
      </c>
      <c r="D1258" t="s">
        <v>96</v>
      </c>
      <c r="E1258">
        <v>189.99</v>
      </c>
      <c r="F1258" t="s">
        <v>8118</v>
      </c>
      <c r="L1258" t="s">
        <v>11</v>
      </c>
      <c r="M1258" t="s">
        <v>4029</v>
      </c>
      <c r="N1258">
        <v>0</v>
      </c>
      <c r="O1258">
        <v>0</v>
      </c>
      <c r="T1258">
        <v>0</v>
      </c>
      <c r="U1258">
        <v>0</v>
      </c>
      <c r="V1258">
        <v>0</v>
      </c>
    </row>
    <row r="1259" spans="1:22" x14ac:dyDescent="0.2">
      <c r="A1259" t="s">
        <v>4120</v>
      </c>
      <c r="B1259" t="s">
        <v>4121</v>
      </c>
      <c r="C1259" t="s">
        <v>1897</v>
      </c>
      <c r="D1259" t="s">
        <v>96</v>
      </c>
      <c r="E1259">
        <v>199.99</v>
      </c>
      <c r="F1259" t="s">
        <v>8118</v>
      </c>
      <c r="L1259" t="s">
        <v>11</v>
      </c>
      <c r="M1259" t="s">
        <v>4122</v>
      </c>
      <c r="N1259">
        <v>0</v>
      </c>
      <c r="O1259">
        <v>0</v>
      </c>
      <c r="T1259">
        <v>0</v>
      </c>
      <c r="U1259">
        <v>0</v>
      </c>
      <c r="V1259">
        <v>0</v>
      </c>
    </row>
    <row r="1260" spans="1:22" x14ac:dyDescent="0.2">
      <c r="A1260" t="s">
        <v>3908</v>
      </c>
      <c r="B1260" t="s">
        <v>3909</v>
      </c>
      <c r="C1260" t="s">
        <v>1897</v>
      </c>
      <c r="D1260" t="s">
        <v>96</v>
      </c>
      <c r="E1260">
        <v>99.99</v>
      </c>
      <c r="F1260" t="s">
        <v>8118</v>
      </c>
      <c r="L1260" t="s">
        <v>11</v>
      </c>
      <c r="M1260" t="s">
        <v>3910</v>
      </c>
      <c r="N1260">
        <v>0</v>
      </c>
      <c r="O1260">
        <v>0</v>
      </c>
      <c r="T1260">
        <v>0</v>
      </c>
      <c r="U1260">
        <v>0</v>
      </c>
      <c r="V1260">
        <v>0</v>
      </c>
    </row>
    <row r="1261" spans="1:22" x14ac:dyDescent="0.2">
      <c r="A1261" t="s">
        <v>4178</v>
      </c>
      <c r="B1261" t="s">
        <v>4179</v>
      </c>
      <c r="C1261" t="s">
        <v>1897</v>
      </c>
      <c r="D1261" t="s">
        <v>96</v>
      </c>
      <c r="E1261">
        <v>99.99</v>
      </c>
      <c r="F1261" t="s">
        <v>8118</v>
      </c>
      <c r="L1261" t="s">
        <v>11</v>
      </c>
      <c r="M1261" t="s">
        <v>4180</v>
      </c>
      <c r="N1261">
        <v>0</v>
      </c>
      <c r="O1261">
        <v>0</v>
      </c>
      <c r="T1261">
        <v>0</v>
      </c>
      <c r="U1261">
        <v>0</v>
      </c>
      <c r="V1261">
        <v>0</v>
      </c>
    </row>
    <row r="1262" spans="1:22" x14ac:dyDescent="0.2">
      <c r="A1262" t="s">
        <v>1916</v>
      </c>
      <c r="B1262" t="s">
        <v>1917</v>
      </c>
      <c r="C1262" t="s">
        <v>1897</v>
      </c>
      <c r="D1262" t="s">
        <v>290</v>
      </c>
      <c r="E1262">
        <v>99.99</v>
      </c>
      <c r="F1262" t="s">
        <v>8118</v>
      </c>
      <c r="L1262" t="s">
        <v>11</v>
      </c>
      <c r="M1262" t="s">
        <v>3929</v>
      </c>
      <c r="N1262">
        <v>0</v>
      </c>
      <c r="O1262">
        <v>0</v>
      </c>
      <c r="T1262">
        <v>0</v>
      </c>
      <c r="U1262">
        <v>0</v>
      </c>
      <c r="V1262">
        <v>0</v>
      </c>
    </row>
    <row r="1263" spans="1:22" x14ac:dyDescent="0.2">
      <c r="A1263" t="s">
        <v>4117</v>
      </c>
      <c r="B1263" t="s">
        <v>4118</v>
      </c>
      <c r="C1263" t="s">
        <v>1897</v>
      </c>
      <c r="D1263" t="s">
        <v>96</v>
      </c>
      <c r="E1263">
        <v>199.99</v>
      </c>
      <c r="F1263" t="s">
        <v>8118</v>
      </c>
      <c r="L1263" t="s">
        <v>11</v>
      </c>
      <c r="M1263" t="s">
        <v>4119</v>
      </c>
      <c r="N1263">
        <v>0</v>
      </c>
      <c r="O1263">
        <v>0</v>
      </c>
      <c r="T1263">
        <v>0</v>
      </c>
      <c r="U1263">
        <v>0</v>
      </c>
      <c r="V1263">
        <v>0</v>
      </c>
    </row>
    <row r="1264" spans="1:22" x14ac:dyDescent="0.2">
      <c r="A1264" t="s">
        <v>4045</v>
      </c>
      <c r="B1264" t="s">
        <v>4046</v>
      </c>
      <c r="C1264" t="s">
        <v>1897</v>
      </c>
      <c r="D1264" t="s">
        <v>96</v>
      </c>
      <c r="E1264">
        <v>49.99</v>
      </c>
      <c r="F1264" t="s">
        <v>8118</v>
      </c>
      <c r="L1264" t="s">
        <v>11</v>
      </c>
      <c r="M1264" t="s">
        <v>4047</v>
      </c>
      <c r="N1264">
        <v>0</v>
      </c>
      <c r="O1264">
        <v>0</v>
      </c>
      <c r="T1264">
        <v>0</v>
      </c>
      <c r="U1264">
        <v>0</v>
      </c>
      <c r="V1264">
        <v>0</v>
      </c>
    </row>
    <row r="1265" spans="1:22" x14ac:dyDescent="0.2">
      <c r="A1265" t="s">
        <v>3769</v>
      </c>
      <c r="B1265" t="s">
        <v>3770</v>
      </c>
      <c r="C1265" t="s">
        <v>1897</v>
      </c>
      <c r="D1265" t="s">
        <v>96</v>
      </c>
      <c r="E1265">
        <v>44.99</v>
      </c>
      <c r="F1265" t="s">
        <v>8118</v>
      </c>
      <c r="L1265" t="s">
        <v>11</v>
      </c>
      <c r="M1265" t="s">
        <v>3771</v>
      </c>
      <c r="N1265">
        <v>0</v>
      </c>
      <c r="O1265">
        <v>0</v>
      </c>
      <c r="T1265">
        <v>0</v>
      </c>
      <c r="U1265">
        <v>0</v>
      </c>
      <c r="V1265">
        <v>0</v>
      </c>
    </row>
    <row r="1266" spans="1:22" x14ac:dyDescent="0.2">
      <c r="A1266" t="s">
        <v>4099</v>
      </c>
      <c r="B1266" t="s">
        <v>4100</v>
      </c>
      <c r="C1266" t="s">
        <v>1897</v>
      </c>
      <c r="D1266" t="s">
        <v>96</v>
      </c>
      <c r="F1266" t="s">
        <v>8118</v>
      </c>
      <c r="L1266" t="s">
        <v>11</v>
      </c>
      <c r="M1266" t="s">
        <v>4101</v>
      </c>
      <c r="N1266">
        <v>0</v>
      </c>
      <c r="O1266">
        <v>0</v>
      </c>
      <c r="T1266">
        <v>0</v>
      </c>
      <c r="V1266">
        <v>0</v>
      </c>
    </row>
    <row r="1267" spans="1:22" x14ac:dyDescent="0.2">
      <c r="A1267" t="s">
        <v>4111</v>
      </c>
      <c r="B1267" t="s">
        <v>4112</v>
      </c>
      <c r="C1267" t="s">
        <v>1897</v>
      </c>
      <c r="D1267" t="s">
        <v>96</v>
      </c>
      <c r="E1267">
        <v>79.989999999999995</v>
      </c>
      <c r="F1267" t="s">
        <v>8118</v>
      </c>
      <c r="L1267" t="s">
        <v>11</v>
      </c>
      <c r="M1267" t="s">
        <v>4113</v>
      </c>
      <c r="N1267">
        <v>0</v>
      </c>
      <c r="O1267">
        <v>0</v>
      </c>
      <c r="T1267">
        <v>0</v>
      </c>
      <c r="U1267">
        <v>0</v>
      </c>
      <c r="V1267">
        <v>0</v>
      </c>
    </row>
    <row r="1268" spans="1:22" x14ac:dyDescent="0.2">
      <c r="A1268" t="s">
        <v>4051</v>
      </c>
      <c r="B1268" t="s">
        <v>4052</v>
      </c>
      <c r="C1268" t="s">
        <v>1897</v>
      </c>
      <c r="D1268" t="s">
        <v>96</v>
      </c>
      <c r="E1268">
        <v>49.99</v>
      </c>
      <c r="F1268" t="s">
        <v>8118</v>
      </c>
      <c r="L1268" t="s">
        <v>11</v>
      </c>
      <c r="M1268" t="s">
        <v>4053</v>
      </c>
      <c r="N1268">
        <v>0</v>
      </c>
      <c r="O1268">
        <v>0</v>
      </c>
      <c r="T1268">
        <v>0</v>
      </c>
      <c r="U1268">
        <v>0</v>
      </c>
      <c r="V1268">
        <v>0</v>
      </c>
    </row>
    <row r="1269" spans="1:22" x14ac:dyDescent="0.2">
      <c r="A1269" t="s">
        <v>1950</v>
      </c>
      <c r="B1269" t="s">
        <v>1951</v>
      </c>
      <c r="C1269" t="s">
        <v>1897</v>
      </c>
      <c r="D1269" t="s">
        <v>290</v>
      </c>
      <c r="E1269">
        <v>79.989999999999995</v>
      </c>
      <c r="F1269" t="s">
        <v>8118</v>
      </c>
      <c r="L1269" t="s">
        <v>11</v>
      </c>
      <c r="M1269" t="s">
        <v>4188</v>
      </c>
      <c r="N1269">
        <v>0</v>
      </c>
      <c r="O1269">
        <v>0</v>
      </c>
      <c r="T1269">
        <v>0</v>
      </c>
      <c r="U1269">
        <v>0</v>
      </c>
      <c r="V1269">
        <v>0</v>
      </c>
    </row>
    <row r="1270" spans="1:22" x14ac:dyDescent="0.2">
      <c r="A1270" t="s">
        <v>1948</v>
      </c>
      <c r="B1270" t="s">
        <v>1949</v>
      </c>
      <c r="C1270" t="s">
        <v>1897</v>
      </c>
      <c r="D1270" t="s">
        <v>290</v>
      </c>
      <c r="E1270">
        <v>79.989999999999995</v>
      </c>
      <c r="F1270" t="s">
        <v>8118</v>
      </c>
      <c r="L1270" t="s">
        <v>11</v>
      </c>
      <c r="M1270" t="s">
        <v>4187</v>
      </c>
      <c r="N1270">
        <v>0</v>
      </c>
      <c r="O1270">
        <v>0</v>
      </c>
      <c r="T1270">
        <v>0</v>
      </c>
      <c r="U1270">
        <v>0</v>
      </c>
      <c r="V1270">
        <v>0</v>
      </c>
    </row>
    <row r="1271" spans="1:22" x14ac:dyDescent="0.2">
      <c r="A1271" t="s">
        <v>1938</v>
      </c>
      <c r="B1271" t="s">
        <v>1939</v>
      </c>
      <c r="C1271" t="s">
        <v>1897</v>
      </c>
      <c r="D1271" t="s">
        <v>290</v>
      </c>
      <c r="E1271">
        <v>29.99</v>
      </c>
      <c r="F1271" t="s">
        <v>8118</v>
      </c>
      <c r="L1271" t="s">
        <v>11</v>
      </c>
      <c r="M1271" t="s">
        <v>4190</v>
      </c>
      <c r="N1271">
        <v>0</v>
      </c>
      <c r="O1271">
        <v>0</v>
      </c>
      <c r="T1271">
        <v>0</v>
      </c>
      <c r="U1271">
        <v>0</v>
      </c>
      <c r="V1271">
        <v>0</v>
      </c>
    </row>
    <row r="1272" spans="1:22" x14ac:dyDescent="0.2">
      <c r="A1272" t="s">
        <v>1936</v>
      </c>
      <c r="B1272" t="s">
        <v>1937</v>
      </c>
      <c r="C1272" t="s">
        <v>1897</v>
      </c>
      <c r="D1272" t="s">
        <v>290</v>
      </c>
      <c r="E1272">
        <v>29.99</v>
      </c>
      <c r="F1272" t="s">
        <v>8118</v>
      </c>
      <c r="L1272" t="s">
        <v>11</v>
      </c>
      <c r="M1272" t="s">
        <v>4189</v>
      </c>
      <c r="N1272">
        <v>0</v>
      </c>
      <c r="O1272">
        <v>0</v>
      </c>
      <c r="T1272">
        <v>0</v>
      </c>
      <c r="U1272">
        <v>0</v>
      </c>
      <c r="V1272">
        <v>0</v>
      </c>
    </row>
    <row r="1273" spans="1:22" x14ac:dyDescent="0.2">
      <c r="A1273" t="s">
        <v>1934</v>
      </c>
      <c r="B1273" t="s">
        <v>1935</v>
      </c>
      <c r="C1273" t="s">
        <v>1897</v>
      </c>
      <c r="D1273" t="s">
        <v>96</v>
      </c>
      <c r="E1273">
        <v>29.99</v>
      </c>
      <c r="F1273" t="s">
        <v>8118</v>
      </c>
      <c r="L1273" t="s">
        <v>11</v>
      </c>
      <c r="M1273" t="s">
        <v>3791</v>
      </c>
      <c r="N1273">
        <v>0</v>
      </c>
      <c r="O1273">
        <v>0</v>
      </c>
      <c r="T1273">
        <v>0</v>
      </c>
      <c r="U1273">
        <v>0</v>
      </c>
      <c r="V1273">
        <v>0</v>
      </c>
    </row>
    <row r="1274" spans="1:22" x14ac:dyDescent="0.2">
      <c r="A1274" t="s">
        <v>3979</v>
      </c>
      <c r="B1274" t="s">
        <v>3980</v>
      </c>
      <c r="C1274" t="s">
        <v>1897</v>
      </c>
      <c r="D1274" t="s">
        <v>96</v>
      </c>
      <c r="E1274">
        <v>49.99</v>
      </c>
      <c r="F1274" t="s">
        <v>8118</v>
      </c>
      <c r="L1274" t="s">
        <v>11</v>
      </c>
      <c r="M1274" t="s">
        <v>3981</v>
      </c>
      <c r="N1274">
        <v>0</v>
      </c>
      <c r="O1274">
        <v>0</v>
      </c>
      <c r="T1274">
        <v>0</v>
      </c>
      <c r="U1274">
        <v>0</v>
      </c>
      <c r="V1274">
        <v>0</v>
      </c>
    </row>
    <row r="1275" spans="1:22" x14ac:dyDescent="0.2">
      <c r="A1275" t="s">
        <v>3772</v>
      </c>
      <c r="B1275" t="s">
        <v>3773</v>
      </c>
      <c r="C1275" t="s">
        <v>1897</v>
      </c>
      <c r="D1275" t="s">
        <v>290</v>
      </c>
      <c r="E1275">
        <v>39.99</v>
      </c>
      <c r="F1275" t="s">
        <v>8118</v>
      </c>
      <c r="L1275" t="s">
        <v>11</v>
      </c>
      <c r="M1275" t="s">
        <v>3774</v>
      </c>
      <c r="N1275">
        <v>0</v>
      </c>
      <c r="O1275">
        <v>0</v>
      </c>
      <c r="T1275">
        <v>0</v>
      </c>
      <c r="U1275">
        <v>0</v>
      </c>
      <c r="V1275">
        <v>4</v>
      </c>
    </row>
    <row r="1276" spans="1:22" x14ac:dyDescent="0.2">
      <c r="A1276" t="s">
        <v>4102</v>
      </c>
      <c r="B1276" t="s">
        <v>4103</v>
      </c>
      <c r="C1276" t="s">
        <v>1897</v>
      </c>
      <c r="D1276" t="s">
        <v>96</v>
      </c>
      <c r="E1276">
        <v>69.989999999999995</v>
      </c>
      <c r="F1276" t="s">
        <v>8118</v>
      </c>
      <c r="L1276" t="s">
        <v>11</v>
      </c>
      <c r="M1276" t="s">
        <v>4104</v>
      </c>
      <c r="N1276">
        <v>0</v>
      </c>
      <c r="O1276">
        <v>0</v>
      </c>
      <c r="T1276">
        <v>0</v>
      </c>
      <c r="U1276">
        <v>0</v>
      </c>
      <c r="V1276">
        <v>0</v>
      </c>
    </row>
    <row r="1277" spans="1:22" x14ac:dyDescent="0.2">
      <c r="A1277" t="s">
        <v>3926</v>
      </c>
      <c r="B1277" t="s">
        <v>3927</v>
      </c>
      <c r="C1277" t="s">
        <v>1897</v>
      </c>
      <c r="D1277" t="s">
        <v>96</v>
      </c>
      <c r="E1277">
        <v>109.99</v>
      </c>
      <c r="F1277" t="s">
        <v>8118</v>
      </c>
      <c r="L1277" t="s">
        <v>11</v>
      </c>
      <c r="M1277" t="s">
        <v>3928</v>
      </c>
      <c r="N1277">
        <v>0</v>
      </c>
      <c r="O1277">
        <v>0</v>
      </c>
      <c r="T1277">
        <v>0</v>
      </c>
      <c r="U1277">
        <v>0</v>
      </c>
      <c r="V1277">
        <v>0</v>
      </c>
    </row>
    <row r="1278" spans="1:22" x14ac:dyDescent="0.2">
      <c r="A1278" t="s">
        <v>3920</v>
      </c>
      <c r="B1278" t="s">
        <v>3921</v>
      </c>
      <c r="C1278" t="s">
        <v>1897</v>
      </c>
      <c r="D1278" t="s">
        <v>96</v>
      </c>
      <c r="E1278">
        <v>89.99</v>
      </c>
      <c r="F1278" t="s">
        <v>8118</v>
      </c>
      <c r="L1278" t="s">
        <v>11</v>
      </c>
      <c r="M1278" t="s">
        <v>3922</v>
      </c>
      <c r="N1278">
        <v>0</v>
      </c>
      <c r="O1278">
        <v>0</v>
      </c>
      <c r="T1278">
        <v>0</v>
      </c>
      <c r="U1278">
        <v>0</v>
      </c>
      <c r="V1278">
        <v>0</v>
      </c>
    </row>
    <row r="1279" spans="1:22" x14ac:dyDescent="0.2">
      <c r="A1279" t="s">
        <v>4006</v>
      </c>
      <c r="B1279" t="s">
        <v>4007</v>
      </c>
      <c r="C1279" t="s">
        <v>1897</v>
      </c>
      <c r="D1279" t="s">
        <v>96</v>
      </c>
      <c r="E1279">
        <v>119.99</v>
      </c>
      <c r="F1279" t="s">
        <v>8118</v>
      </c>
      <c r="L1279" t="s">
        <v>11</v>
      </c>
      <c r="M1279" t="s">
        <v>4008</v>
      </c>
      <c r="N1279">
        <v>0</v>
      </c>
      <c r="O1279">
        <v>0</v>
      </c>
      <c r="T1279">
        <v>0</v>
      </c>
      <c r="U1279">
        <v>0</v>
      </c>
      <c r="V1279">
        <v>0</v>
      </c>
    </row>
    <row r="1280" spans="1:22" x14ac:dyDescent="0.2">
      <c r="A1280" t="s">
        <v>4009</v>
      </c>
      <c r="B1280" t="s">
        <v>4010</v>
      </c>
      <c r="C1280" t="s">
        <v>1897</v>
      </c>
      <c r="D1280" t="s">
        <v>96</v>
      </c>
      <c r="E1280">
        <v>149.99</v>
      </c>
      <c r="F1280" t="s">
        <v>8118</v>
      </c>
      <c r="L1280" t="s">
        <v>11</v>
      </c>
      <c r="M1280" t="s">
        <v>4011</v>
      </c>
      <c r="N1280">
        <v>0</v>
      </c>
      <c r="O1280">
        <v>0</v>
      </c>
      <c r="T1280">
        <v>0</v>
      </c>
      <c r="U1280">
        <v>0</v>
      </c>
      <c r="V1280">
        <v>0</v>
      </c>
    </row>
    <row r="1281" spans="1:22" x14ac:dyDescent="0.2">
      <c r="A1281" t="s">
        <v>3942</v>
      </c>
      <c r="B1281" t="s">
        <v>3943</v>
      </c>
      <c r="C1281" t="s">
        <v>1897</v>
      </c>
      <c r="D1281" t="s">
        <v>96</v>
      </c>
      <c r="E1281">
        <v>189.99</v>
      </c>
      <c r="F1281" t="s">
        <v>8118</v>
      </c>
      <c r="L1281" t="s">
        <v>11</v>
      </c>
      <c r="M1281" t="s">
        <v>3944</v>
      </c>
      <c r="N1281">
        <v>0</v>
      </c>
      <c r="O1281">
        <v>0</v>
      </c>
      <c r="T1281">
        <v>0</v>
      </c>
      <c r="U1281">
        <v>0</v>
      </c>
      <c r="V1281">
        <v>0</v>
      </c>
    </row>
    <row r="1282" spans="1:22" x14ac:dyDescent="0.2">
      <c r="A1282" t="s">
        <v>3939</v>
      </c>
      <c r="B1282" t="s">
        <v>3940</v>
      </c>
      <c r="C1282" t="s">
        <v>1897</v>
      </c>
      <c r="D1282" t="s">
        <v>96</v>
      </c>
      <c r="E1282">
        <v>139.99</v>
      </c>
      <c r="F1282" t="s">
        <v>8118</v>
      </c>
      <c r="L1282" t="s">
        <v>11</v>
      </c>
      <c r="M1282" t="s">
        <v>3941</v>
      </c>
      <c r="N1282">
        <v>0</v>
      </c>
      <c r="O1282">
        <v>0</v>
      </c>
      <c r="T1282">
        <v>0</v>
      </c>
      <c r="U1282">
        <v>0</v>
      </c>
      <c r="V1282">
        <v>0</v>
      </c>
    </row>
    <row r="1283" spans="1:22" x14ac:dyDescent="0.2">
      <c r="A1283" t="s">
        <v>3945</v>
      </c>
      <c r="B1283" t="s">
        <v>3946</v>
      </c>
      <c r="C1283" t="s">
        <v>1897</v>
      </c>
      <c r="D1283" t="s">
        <v>290</v>
      </c>
      <c r="E1283">
        <v>139.99</v>
      </c>
      <c r="F1283" t="s">
        <v>8118</v>
      </c>
      <c r="L1283" t="s">
        <v>11</v>
      </c>
      <c r="M1283" t="s">
        <v>3947</v>
      </c>
      <c r="N1283">
        <v>0</v>
      </c>
      <c r="O1283">
        <v>0</v>
      </c>
      <c r="T1283">
        <v>0</v>
      </c>
      <c r="U1283">
        <v>0</v>
      </c>
      <c r="V1283">
        <v>0</v>
      </c>
    </row>
    <row r="1284" spans="1:22" x14ac:dyDescent="0.2">
      <c r="A1284" t="s">
        <v>3798</v>
      </c>
      <c r="B1284" t="s">
        <v>3799</v>
      </c>
      <c r="C1284" t="s">
        <v>1897</v>
      </c>
      <c r="D1284" t="s">
        <v>96</v>
      </c>
      <c r="E1284">
        <v>34.99</v>
      </c>
      <c r="F1284" t="s">
        <v>8118</v>
      </c>
      <c r="L1284" t="s">
        <v>11</v>
      </c>
      <c r="M1284" t="s">
        <v>3800</v>
      </c>
      <c r="N1284">
        <v>0</v>
      </c>
      <c r="O1284">
        <v>0</v>
      </c>
      <c r="T1284">
        <v>0</v>
      </c>
      <c r="U1284">
        <v>0</v>
      </c>
      <c r="V1284">
        <v>0</v>
      </c>
    </row>
    <row r="1285" spans="1:22" x14ac:dyDescent="0.2">
      <c r="A1285" t="s">
        <v>3997</v>
      </c>
      <c r="B1285" t="s">
        <v>3998</v>
      </c>
      <c r="C1285" t="s">
        <v>1897</v>
      </c>
      <c r="D1285" t="s">
        <v>96</v>
      </c>
      <c r="E1285">
        <v>44.99</v>
      </c>
      <c r="F1285" t="s">
        <v>8118</v>
      </c>
      <c r="L1285" t="s">
        <v>11</v>
      </c>
      <c r="M1285" t="s">
        <v>3999</v>
      </c>
      <c r="N1285">
        <v>0</v>
      </c>
      <c r="O1285">
        <v>0</v>
      </c>
      <c r="T1285">
        <v>0</v>
      </c>
      <c r="U1285">
        <v>0</v>
      </c>
      <c r="V1285">
        <v>0</v>
      </c>
    </row>
    <row r="1286" spans="1:22" x14ac:dyDescent="0.2">
      <c r="A1286" t="s">
        <v>4003</v>
      </c>
      <c r="B1286" t="s">
        <v>4004</v>
      </c>
      <c r="C1286" t="s">
        <v>1897</v>
      </c>
      <c r="D1286" t="s">
        <v>96</v>
      </c>
      <c r="E1286">
        <v>69.989999999999995</v>
      </c>
      <c r="F1286" t="s">
        <v>8118</v>
      </c>
      <c r="L1286" t="s">
        <v>11</v>
      </c>
      <c r="M1286" t="s">
        <v>4005</v>
      </c>
      <c r="N1286">
        <v>0</v>
      </c>
      <c r="O1286">
        <v>0</v>
      </c>
      <c r="T1286">
        <v>0</v>
      </c>
      <c r="U1286">
        <v>0</v>
      </c>
      <c r="V1286">
        <v>0</v>
      </c>
    </row>
    <row r="1287" spans="1:22" x14ac:dyDescent="0.2">
      <c r="A1287" t="s">
        <v>3960</v>
      </c>
      <c r="B1287" t="s">
        <v>3961</v>
      </c>
      <c r="C1287" t="s">
        <v>1897</v>
      </c>
      <c r="D1287" t="s">
        <v>96</v>
      </c>
      <c r="E1287">
        <v>79.989999999999995</v>
      </c>
      <c r="F1287" t="s">
        <v>8118</v>
      </c>
      <c r="L1287" t="s">
        <v>11</v>
      </c>
      <c r="M1287" t="s">
        <v>3962</v>
      </c>
      <c r="N1287">
        <v>0</v>
      </c>
      <c r="O1287">
        <v>0</v>
      </c>
      <c r="T1287">
        <v>0</v>
      </c>
      <c r="U1287">
        <v>0</v>
      </c>
      <c r="V1287">
        <v>0</v>
      </c>
    </row>
    <row r="1288" spans="1:22" x14ac:dyDescent="0.2">
      <c r="A1288" t="s">
        <v>3990</v>
      </c>
      <c r="B1288" t="s">
        <v>3991</v>
      </c>
      <c r="C1288" t="s">
        <v>1897</v>
      </c>
      <c r="D1288" t="s">
        <v>96</v>
      </c>
      <c r="E1288">
        <v>109.99</v>
      </c>
      <c r="F1288" t="s">
        <v>8118</v>
      </c>
      <c r="L1288" t="s">
        <v>11</v>
      </c>
      <c r="M1288" t="s">
        <v>3992</v>
      </c>
      <c r="N1288">
        <v>0</v>
      </c>
      <c r="O1288">
        <v>0</v>
      </c>
      <c r="T1288">
        <v>0</v>
      </c>
      <c r="U1288">
        <v>0</v>
      </c>
      <c r="V1288">
        <v>0</v>
      </c>
    </row>
    <row r="1289" spans="1:22" x14ac:dyDescent="0.2">
      <c r="A1289" t="s">
        <v>1966</v>
      </c>
      <c r="B1289" t="s">
        <v>1967</v>
      </c>
      <c r="C1289" t="s">
        <v>1897</v>
      </c>
      <c r="D1289" t="s">
        <v>96</v>
      </c>
      <c r="E1289">
        <v>139.99</v>
      </c>
      <c r="F1289" t="s">
        <v>8118</v>
      </c>
      <c r="L1289" t="s">
        <v>11</v>
      </c>
      <c r="M1289" t="s">
        <v>3989</v>
      </c>
      <c r="N1289">
        <v>0</v>
      </c>
      <c r="O1289">
        <v>0</v>
      </c>
      <c r="T1289">
        <v>0</v>
      </c>
      <c r="U1289">
        <v>0</v>
      </c>
      <c r="V1289">
        <v>0</v>
      </c>
    </row>
    <row r="1290" spans="1:22" x14ac:dyDescent="0.2">
      <c r="A1290" t="s">
        <v>3973</v>
      </c>
      <c r="B1290" t="s">
        <v>3974</v>
      </c>
      <c r="C1290" t="s">
        <v>1897</v>
      </c>
      <c r="D1290" t="s">
        <v>96</v>
      </c>
      <c r="E1290">
        <v>109.99</v>
      </c>
      <c r="F1290" t="s">
        <v>8118</v>
      </c>
      <c r="L1290" t="s">
        <v>11</v>
      </c>
      <c r="M1290" t="s">
        <v>3975</v>
      </c>
      <c r="N1290">
        <v>0</v>
      </c>
      <c r="O1290">
        <v>0</v>
      </c>
      <c r="T1290">
        <v>0</v>
      </c>
      <c r="U1290">
        <v>0</v>
      </c>
      <c r="V1290">
        <v>0</v>
      </c>
    </row>
    <row r="1291" spans="1:22" x14ac:dyDescent="0.2">
      <c r="A1291" t="s">
        <v>4162</v>
      </c>
      <c r="B1291" t="s">
        <v>4163</v>
      </c>
      <c r="C1291" t="s">
        <v>1897</v>
      </c>
      <c r="D1291" t="s">
        <v>96</v>
      </c>
      <c r="E1291">
        <v>299.99</v>
      </c>
      <c r="F1291" t="s">
        <v>8118</v>
      </c>
      <c r="L1291" t="s">
        <v>11</v>
      </c>
      <c r="M1291" t="s">
        <v>4164</v>
      </c>
      <c r="N1291">
        <v>0</v>
      </c>
      <c r="O1291">
        <v>0</v>
      </c>
      <c r="T1291">
        <v>0</v>
      </c>
      <c r="U1291">
        <v>0</v>
      </c>
      <c r="V1291">
        <v>0</v>
      </c>
    </row>
    <row r="1292" spans="1:22" x14ac:dyDescent="0.2">
      <c r="A1292" t="s">
        <v>3993</v>
      </c>
      <c r="B1292" t="s">
        <v>3994</v>
      </c>
      <c r="C1292" t="s">
        <v>1897</v>
      </c>
      <c r="D1292" t="s">
        <v>96</v>
      </c>
      <c r="E1292">
        <v>44.99</v>
      </c>
      <c r="F1292" t="s">
        <v>8118</v>
      </c>
      <c r="L1292" t="s">
        <v>11</v>
      </c>
      <c r="M1292" t="s">
        <v>3995</v>
      </c>
      <c r="N1292">
        <v>0</v>
      </c>
      <c r="O1292">
        <v>0</v>
      </c>
      <c r="T1292">
        <v>0</v>
      </c>
      <c r="U1292">
        <v>0</v>
      </c>
      <c r="V1292">
        <v>0</v>
      </c>
    </row>
    <row r="1293" spans="1:22" x14ac:dyDescent="0.2">
      <c r="A1293" t="s">
        <v>3976</v>
      </c>
      <c r="B1293" t="s">
        <v>3977</v>
      </c>
      <c r="C1293" t="s">
        <v>1897</v>
      </c>
      <c r="D1293" t="s">
        <v>96</v>
      </c>
      <c r="E1293">
        <v>89.99</v>
      </c>
      <c r="F1293" t="s">
        <v>8118</v>
      </c>
      <c r="L1293" t="s">
        <v>11</v>
      </c>
      <c r="M1293" t="s">
        <v>3978</v>
      </c>
      <c r="N1293">
        <v>0</v>
      </c>
      <c r="O1293">
        <v>0</v>
      </c>
      <c r="T1293">
        <v>0</v>
      </c>
      <c r="U1293">
        <v>0</v>
      </c>
      <c r="V1293">
        <v>0</v>
      </c>
    </row>
    <row r="1294" spans="1:22" x14ac:dyDescent="0.2">
      <c r="A1294" t="s">
        <v>1968</v>
      </c>
      <c r="B1294" t="s">
        <v>1969</v>
      </c>
      <c r="C1294" t="s">
        <v>1897</v>
      </c>
      <c r="D1294" t="s">
        <v>96</v>
      </c>
      <c r="E1294">
        <v>79.989999999999995</v>
      </c>
      <c r="F1294" t="s">
        <v>8118</v>
      </c>
      <c r="L1294" t="s">
        <v>11</v>
      </c>
      <c r="M1294" t="s">
        <v>3984</v>
      </c>
      <c r="N1294">
        <v>0</v>
      </c>
      <c r="O1294">
        <v>0</v>
      </c>
      <c r="T1294">
        <v>0</v>
      </c>
      <c r="U1294">
        <v>0</v>
      </c>
      <c r="V1294">
        <v>0</v>
      </c>
    </row>
    <row r="1295" spans="1:22" x14ac:dyDescent="0.2">
      <c r="A1295" t="s">
        <v>3911</v>
      </c>
      <c r="B1295" t="s">
        <v>3912</v>
      </c>
      <c r="C1295" t="s">
        <v>1897</v>
      </c>
      <c r="D1295" t="s">
        <v>96</v>
      </c>
      <c r="E1295">
        <v>109.99</v>
      </c>
      <c r="F1295" t="s">
        <v>8118</v>
      </c>
      <c r="L1295" t="s">
        <v>11</v>
      </c>
      <c r="M1295" t="s">
        <v>3913</v>
      </c>
      <c r="N1295">
        <v>0</v>
      </c>
      <c r="O1295">
        <v>0</v>
      </c>
      <c r="T1295">
        <v>0</v>
      </c>
      <c r="U1295">
        <v>0</v>
      </c>
      <c r="V1295">
        <v>0</v>
      </c>
    </row>
    <row r="1296" spans="1:22" x14ac:dyDescent="0.2">
      <c r="A1296" t="s">
        <v>3930</v>
      </c>
      <c r="B1296" t="s">
        <v>3931</v>
      </c>
      <c r="C1296" t="s">
        <v>1897</v>
      </c>
      <c r="D1296" t="s">
        <v>96</v>
      </c>
      <c r="E1296">
        <v>59.99</v>
      </c>
      <c r="F1296" t="s">
        <v>8118</v>
      </c>
      <c r="L1296" t="s">
        <v>11</v>
      </c>
      <c r="M1296" t="s">
        <v>3932</v>
      </c>
      <c r="N1296">
        <v>0</v>
      </c>
      <c r="O1296">
        <v>0</v>
      </c>
      <c r="T1296">
        <v>0</v>
      </c>
      <c r="U1296">
        <v>0</v>
      </c>
      <c r="V1296">
        <v>0</v>
      </c>
    </row>
    <row r="1297" spans="1:22" x14ac:dyDescent="0.2">
      <c r="A1297" t="s">
        <v>4069</v>
      </c>
      <c r="B1297" t="s">
        <v>4070</v>
      </c>
      <c r="C1297" t="s">
        <v>1897</v>
      </c>
      <c r="D1297" t="s">
        <v>96</v>
      </c>
      <c r="E1297">
        <v>379.99</v>
      </c>
      <c r="F1297" t="s">
        <v>8118</v>
      </c>
      <c r="L1297" t="s">
        <v>11</v>
      </c>
      <c r="M1297" t="s">
        <v>4071</v>
      </c>
      <c r="N1297">
        <v>0</v>
      </c>
      <c r="O1297">
        <v>0</v>
      </c>
      <c r="T1297">
        <v>0</v>
      </c>
      <c r="U1297">
        <v>0</v>
      </c>
      <c r="V1297">
        <v>0</v>
      </c>
    </row>
    <row r="1298" spans="1:22" x14ac:dyDescent="0.2">
      <c r="A1298" t="s">
        <v>1972</v>
      </c>
      <c r="B1298" t="s">
        <v>1973</v>
      </c>
      <c r="C1298" t="s">
        <v>1897</v>
      </c>
      <c r="D1298" t="s">
        <v>290</v>
      </c>
      <c r="E1298">
        <v>39.99</v>
      </c>
      <c r="F1298" t="s">
        <v>8118</v>
      </c>
      <c r="L1298" t="s">
        <v>11</v>
      </c>
      <c r="M1298" t="s">
        <v>3972</v>
      </c>
      <c r="N1298">
        <v>0</v>
      </c>
      <c r="O1298">
        <v>0</v>
      </c>
      <c r="T1298">
        <v>0</v>
      </c>
      <c r="U1298">
        <v>0</v>
      </c>
      <c r="V1298">
        <v>0</v>
      </c>
    </row>
    <row r="1299" spans="1:22" x14ac:dyDescent="0.2">
      <c r="A1299" t="s">
        <v>3865</v>
      </c>
      <c r="B1299" t="s">
        <v>3866</v>
      </c>
      <c r="C1299" t="s">
        <v>1897</v>
      </c>
      <c r="D1299" t="s">
        <v>96</v>
      </c>
      <c r="E1299">
        <v>59.99</v>
      </c>
      <c r="F1299" t="s">
        <v>8118</v>
      </c>
      <c r="L1299" t="s">
        <v>11</v>
      </c>
      <c r="M1299" t="s">
        <v>3867</v>
      </c>
      <c r="N1299">
        <v>0</v>
      </c>
      <c r="O1299">
        <v>0</v>
      </c>
      <c r="T1299">
        <v>0</v>
      </c>
      <c r="U1299">
        <v>0</v>
      </c>
      <c r="V1299">
        <v>0</v>
      </c>
    </row>
    <row r="1300" spans="1:22" x14ac:dyDescent="0.2">
      <c r="A1300" t="s">
        <v>4150</v>
      </c>
      <c r="B1300" t="s">
        <v>4151</v>
      </c>
      <c r="C1300" t="s">
        <v>1897</v>
      </c>
      <c r="D1300" t="s">
        <v>96</v>
      </c>
      <c r="E1300">
        <v>299.99</v>
      </c>
      <c r="F1300" t="s">
        <v>8118</v>
      </c>
      <c r="L1300" t="s">
        <v>11</v>
      </c>
      <c r="M1300" t="s">
        <v>4152</v>
      </c>
      <c r="N1300">
        <v>0</v>
      </c>
      <c r="O1300">
        <v>0</v>
      </c>
      <c r="T1300">
        <v>0</v>
      </c>
      <c r="U1300">
        <v>0</v>
      </c>
      <c r="V1300">
        <v>0</v>
      </c>
    </row>
    <row r="1301" spans="1:22" x14ac:dyDescent="0.2">
      <c r="A1301" t="s">
        <v>1974</v>
      </c>
      <c r="B1301" t="s">
        <v>1975</v>
      </c>
      <c r="C1301" t="s">
        <v>1897</v>
      </c>
      <c r="D1301" t="s">
        <v>96</v>
      </c>
      <c r="E1301">
        <v>64.989999999999995</v>
      </c>
      <c r="F1301" t="s">
        <v>8118</v>
      </c>
      <c r="L1301" t="s">
        <v>11</v>
      </c>
      <c r="M1301" t="s">
        <v>3983</v>
      </c>
      <c r="N1301">
        <v>0</v>
      </c>
      <c r="O1301">
        <v>0</v>
      </c>
      <c r="T1301">
        <v>0</v>
      </c>
      <c r="U1301">
        <v>0</v>
      </c>
      <c r="V1301">
        <v>0</v>
      </c>
    </row>
    <row r="1302" spans="1:22" x14ac:dyDescent="0.2">
      <c r="A1302" t="s">
        <v>4153</v>
      </c>
      <c r="B1302" t="s">
        <v>4154</v>
      </c>
      <c r="C1302" t="s">
        <v>1897</v>
      </c>
      <c r="D1302" t="s">
        <v>96</v>
      </c>
      <c r="E1302">
        <v>299.99</v>
      </c>
      <c r="F1302" t="s">
        <v>8118</v>
      </c>
      <c r="L1302" t="s">
        <v>11</v>
      </c>
      <c r="M1302" t="s">
        <v>4155</v>
      </c>
      <c r="N1302">
        <v>0</v>
      </c>
      <c r="O1302">
        <v>0</v>
      </c>
      <c r="T1302">
        <v>0</v>
      </c>
      <c r="U1302">
        <v>0</v>
      </c>
      <c r="V1302">
        <v>0</v>
      </c>
    </row>
    <row r="1303" spans="1:22" x14ac:dyDescent="0.2">
      <c r="A1303" t="s">
        <v>4054</v>
      </c>
      <c r="B1303" t="s">
        <v>4055</v>
      </c>
      <c r="C1303" t="s">
        <v>1897</v>
      </c>
      <c r="D1303" t="s">
        <v>96</v>
      </c>
      <c r="E1303">
        <v>49.99</v>
      </c>
      <c r="F1303" t="s">
        <v>8118</v>
      </c>
      <c r="L1303" t="s">
        <v>11</v>
      </c>
      <c r="M1303" t="s">
        <v>4056</v>
      </c>
      <c r="N1303">
        <v>0</v>
      </c>
      <c r="O1303">
        <v>0</v>
      </c>
      <c r="T1303">
        <v>0</v>
      </c>
      <c r="U1303">
        <v>0</v>
      </c>
      <c r="V1303">
        <v>0</v>
      </c>
    </row>
    <row r="1304" spans="1:22" x14ac:dyDescent="0.2">
      <c r="A1304" t="s">
        <v>4042</v>
      </c>
      <c r="B1304" t="s">
        <v>4043</v>
      </c>
      <c r="C1304" t="s">
        <v>1897</v>
      </c>
      <c r="D1304" t="s">
        <v>96</v>
      </c>
      <c r="E1304">
        <v>49.99</v>
      </c>
      <c r="F1304" t="s">
        <v>8118</v>
      </c>
      <c r="L1304" t="s">
        <v>11</v>
      </c>
      <c r="M1304" t="s">
        <v>4044</v>
      </c>
      <c r="N1304">
        <v>0</v>
      </c>
      <c r="O1304">
        <v>0</v>
      </c>
      <c r="T1304">
        <v>0</v>
      </c>
      <c r="U1304">
        <v>0</v>
      </c>
      <c r="V1304">
        <v>0</v>
      </c>
    </row>
    <row r="1305" spans="1:22" x14ac:dyDescent="0.2">
      <c r="A1305" t="s">
        <v>4171</v>
      </c>
      <c r="B1305" t="s">
        <v>4172</v>
      </c>
      <c r="C1305" t="s">
        <v>1897</v>
      </c>
      <c r="D1305" t="s">
        <v>96</v>
      </c>
      <c r="E1305">
        <v>69.989999999999995</v>
      </c>
      <c r="F1305" t="s">
        <v>8118</v>
      </c>
      <c r="L1305" t="s">
        <v>11</v>
      </c>
      <c r="M1305" t="s">
        <v>4173</v>
      </c>
      <c r="N1305">
        <v>0</v>
      </c>
      <c r="O1305">
        <v>0</v>
      </c>
      <c r="T1305">
        <v>0</v>
      </c>
      <c r="U1305">
        <v>0</v>
      </c>
      <c r="V1305">
        <v>0</v>
      </c>
    </row>
    <row r="1306" spans="1:22" x14ac:dyDescent="0.2">
      <c r="A1306" t="s">
        <v>3795</v>
      </c>
      <c r="B1306" t="s">
        <v>3796</v>
      </c>
      <c r="C1306" t="s">
        <v>1897</v>
      </c>
      <c r="D1306" t="s">
        <v>96</v>
      </c>
      <c r="E1306">
        <v>34.99</v>
      </c>
      <c r="F1306" t="s">
        <v>8118</v>
      </c>
      <c r="L1306" t="s">
        <v>11</v>
      </c>
      <c r="M1306" t="s">
        <v>3797</v>
      </c>
      <c r="N1306">
        <v>0</v>
      </c>
      <c r="O1306">
        <v>0</v>
      </c>
      <c r="T1306">
        <v>0</v>
      </c>
      <c r="U1306">
        <v>0</v>
      </c>
      <c r="V1306">
        <v>0</v>
      </c>
    </row>
    <row r="1307" spans="1:22" x14ac:dyDescent="0.2">
      <c r="A1307" t="s">
        <v>3847</v>
      </c>
      <c r="B1307" t="s">
        <v>3848</v>
      </c>
      <c r="C1307" t="s">
        <v>1897</v>
      </c>
      <c r="D1307" t="s">
        <v>96</v>
      </c>
      <c r="E1307">
        <v>34.99</v>
      </c>
      <c r="F1307" t="s">
        <v>8118</v>
      </c>
      <c r="L1307" t="s">
        <v>11</v>
      </c>
      <c r="M1307" t="s">
        <v>3849</v>
      </c>
      <c r="N1307">
        <v>0</v>
      </c>
      <c r="O1307">
        <v>0</v>
      </c>
      <c r="T1307">
        <v>0</v>
      </c>
      <c r="U1307">
        <v>0</v>
      </c>
      <c r="V1307">
        <v>0</v>
      </c>
    </row>
    <row r="1308" spans="1:22" x14ac:dyDescent="0.2">
      <c r="A1308" t="s">
        <v>4147</v>
      </c>
      <c r="B1308" t="s">
        <v>4148</v>
      </c>
      <c r="C1308" t="s">
        <v>1897</v>
      </c>
      <c r="D1308" t="s">
        <v>290</v>
      </c>
      <c r="E1308">
        <v>349.99</v>
      </c>
      <c r="F1308" t="s">
        <v>8118</v>
      </c>
      <c r="L1308" t="s">
        <v>11</v>
      </c>
      <c r="M1308" t="s">
        <v>4149</v>
      </c>
      <c r="N1308">
        <v>0</v>
      </c>
      <c r="O1308">
        <v>0</v>
      </c>
      <c r="T1308">
        <v>0</v>
      </c>
      <c r="U1308">
        <v>0</v>
      </c>
      <c r="V1308">
        <v>0</v>
      </c>
    </row>
    <row r="1309" spans="1:22" x14ac:dyDescent="0.2">
      <c r="A1309" t="s">
        <v>3844</v>
      </c>
      <c r="B1309" t="s">
        <v>3845</v>
      </c>
      <c r="C1309" t="s">
        <v>1897</v>
      </c>
      <c r="D1309" t="s">
        <v>96</v>
      </c>
      <c r="E1309">
        <v>31.99</v>
      </c>
      <c r="F1309" t="s">
        <v>8118</v>
      </c>
      <c r="L1309" t="s">
        <v>11</v>
      </c>
      <c r="M1309" t="s">
        <v>3846</v>
      </c>
      <c r="N1309">
        <v>0</v>
      </c>
      <c r="O1309">
        <v>0</v>
      </c>
      <c r="T1309">
        <v>0</v>
      </c>
      <c r="U1309">
        <v>0</v>
      </c>
      <c r="V1309">
        <v>0</v>
      </c>
    </row>
    <row r="1310" spans="1:22" x14ac:dyDescent="0.2">
      <c r="A1310" t="s">
        <v>3810</v>
      </c>
      <c r="B1310" t="s">
        <v>3811</v>
      </c>
      <c r="C1310" t="s">
        <v>1897</v>
      </c>
      <c r="D1310" t="s">
        <v>96</v>
      </c>
      <c r="E1310">
        <v>59.99</v>
      </c>
      <c r="F1310" t="s">
        <v>8118</v>
      </c>
      <c r="L1310" t="s">
        <v>11</v>
      </c>
      <c r="M1310" t="s">
        <v>3812</v>
      </c>
      <c r="N1310">
        <v>0</v>
      </c>
      <c r="O1310">
        <v>0</v>
      </c>
      <c r="T1310">
        <v>0</v>
      </c>
      <c r="U1310">
        <v>0</v>
      </c>
      <c r="V1310">
        <v>0</v>
      </c>
    </row>
    <row r="1311" spans="1:22" x14ac:dyDescent="0.2">
      <c r="A1311" t="s">
        <v>3825</v>
      </c>
      <c r="B1311" t="s">
        <v>3826</v>
      </c>
      <c r="C1311" t="s">
        <v>1897</v>
      </c>
      <c r="D1311" t="s">
        <v>96</v>
      </c>
      <c r="E1311">
        <v>59.99</v>
      </c>
      <c r="F1311" t="s">
        <v>8118</v>
      </c>
      <c r="L1311" t="s">
        <v>11</v>
      </c>
      <c r="M1311" t="s">
        <v>3827</v>
      </c>
      <c r="N1311">
        <v>0</v>
      </c>
      <c r="O1311">
        <v>0</v>
      </c>
      <c r="T1311">
        <v>0</v>
      </c>
      <c r="U1311">
        <v>0</v>
      </c>
      <c r="V1311">
        <v>0</v>
      </c>
    </row>
    <row r="1312" spans="1:22" x14ac:dyDescent="0.2">
      <c r="A1312" t="s">
        <v>3801</v>
      </c>
      <c r="B1312" t="s">
        <v>3802</v>
      </c>
      <c r="C1312" t="s">
        <v>1897</v>
      </c>
      <c r="D1312" t="s">
        <v>96</v>
      </c>
      <c r="E1312">
        <v>44.99</v>
      </c>
      <c r="F1312" t="s">
        <v>8118</v>
      </c>
      <c r="L1312" t="s">
        <v>11</v>
      </c>
      <c r="M1312" t="s">
        <v>3803</v>
      </c>
      <c r="N1312">
        <v>0</v>
      </c>
      <c r="O1312">
        <v>0</v>
      </c>
      <c r="T1312">
        <v>0</v>
      </c>
      <c r="U1312">
        <v>0</v>
      </c>
      <c r="V1312">
        <v>0</v>
      </c>
    </row>
    <row r="1313" spans="1:22" x14ac:dyDescent="0.2">
      <c r="A1313" t="s">
        <v>4156</v>
      </c>
      <c r="B1313" t="s">
        <v>4157</v>
      </c>
      <c r="C1313" t="s">
        <v>1897</v>
      </c>
      <c r="D1313" t="s">
        <v>96</v>
      </c>
      <c r="E1313">
        <v>229.99</v>
      </c>
      <c r="F1313" t="s">
        <v>8118</v>
      </c>
      <c r="L1313" t="s">
        <v>11</v>
      </c>
      <c r="M1313" t="s">
        <v>4158</v>
      </c>
      <c r="N1313">
        <v>0</v>
      </c>
      <c r="O1313">
        <v>0</v>
      </c>
      <c r="T1313">
        <v>0</v>
      </c>
      <c r="U1313">
        <v>0</v>
      </c>
      <c r="V1313">
        <v>0</v>
      </c>
    </row>
    <row r="1314" spans="1:22" x14ac:dyDescent="0.2">
      <c r="A1314" t="s">
        <v>4168</v>
      </c>
      <c r="B1314" t="s">
        <v>4169</v>
      </c>
      <c r="C1314" t="s">
        <v>1897</v>
      </c>
      <c r="D1314" t="s">
        <v>96</v>
      </c>
      <c r="E1314">
        <v>34.99</v>
      </c>
      <c r="F1314" t="s">
        <v>8118</v>
      </c>
      <c r="L1314" t="s">
        <v>11</v>
      </c>
      <c r="M1314" t="s">
        <v>4170</v>
      </c>
      <c r="N1314">
        <v>0</v>
      </c>
      <c r="O1314">
        <v>0</v>
      </c>
      <c r="T1314">
        <v>0</v>
      </c>
      <c r="U1314">
        <v>0</v>
      </c>
      <c r="V1314">
        <v>0</v>
      </c>
    </row>
    <row r="1315" spans="1:22" x14ac:dyDescent="0.2">
      <c r="A1315" t="s">
        <v>1962</v>
      </c>
      <c r="B1315" t="s">
        <v>1963</v>
      </c>
      <c r="C1315" t="s">
        <v>1897</v>
      </c>
      <c r="D1315" t="s">
        <v>290</v>
      </c>
      <c r="E1315">
        <v>219.99</v>
      </c>
      <c r="F1315" t="s">
        <v>8118</v>
      </c>
      <c r="L1315" t="s">
        <v>11</v>
      </c>
      <c r="M1315" t="s">
        <v>3996</v>
      </c>
      <c r="N1315">
        <v>0</v>
      </c>
      <c r="O1315">
        <v>0</v>
      </c>
      <c r="T1315">
        <v>0</v>
      </c>
      <c r="U1315">
        <v>0</v>
      </c>
      <c r="V1315">
        <v>0</v>
      </c>
    </row>
    <row r="1316" spans="1:22" x14ac:dyDescent="0.2">
      <c r="A1316" t="s">
        <v>4012</v>
      </c>
      <c r="B1316" t="s">
        <v>4013</v>
      </c>
      <c r="C1316" t="s">
        <v>1897</v>
      </c>
      <c r="D1316" t="s">
        <v>96</v>
      </c>
      <c r="E1316">
        <v>89.99</v>
      </c>
      <c r="F1316" t="s">
        <v>8118</v>
      </c>
      <c r="L1316" t="s">
        <v>11</v>
      </c>
      <c r="M1316" t="s">
        <v>4014</v>
      </c>
      <c r="N1316">
        <v>0</v>
      </c>
      <c r="O1316">
        <v>0</v>
      </c>
      <c r="T1316">
        <v>0</v>
      </c>
      <c r="U1316">
        <v>0</v>
      </c>
      <c r="V1316">
        <v>0</v>
      </c>
    </row>
    <row r="1317" spans="1:22" x14ac:dyDescent="0.2">
      <c r="A1317" t="s">
        <v>4015</v>
      </c>
      <c r="B1317" t="s">
        <v>4016</v>
      </c>
      <c r="C1317" t="s">
        <v>1897</v>
      </c>
      <c r="D1317" t="s">
        <v>96</v>
      </c>
      <c r="E1317">
        <v>89.99</v>
      </c>
      <c r="F1317" t="s">
        <v>8118</v>
      </c>
      <c r="L1317" t="s">
        <v>11</v>
      </c>
      <c r="M1317" t="s">
        <v>4017</v>
      </c>
      <c r="N1317">
        <v>0</v>
      </c>
      <c r="O1317">
        <v>0</v>
      </c>
      <c r="T1317">
        <v>0</v>
      </c>
      <c r="U1317">
        <v>0</v>
      </c>
      <c r="V1317">
        <v>0</v>
      </c>
    </row>
    <row r="1318" spans="1:22" x14ac:dyDescent="0.2">
      <c r="A1318" t="s">
        <v>3828</v>
      </c>
      <c r="B1318" t="s">
        <v>3829</v>
      </c>
      <c r="C1318" t="s">
        <v>1897</v>
      </c>
      <c r="D1318" t="s">
        <v>96</v>
      </c>
      <c r="E1318">
        <v>34.99</v>
      </c>
      <c r="F1318" t="s">
        <v>8118</v>
      </c>
      <c r="L1318" t="s">
        <v>11</v>
      </c>
      <c r="M1318" t="s">
        <v>3830</v>
      </c>
      <c r="N1318">
        <v>0</v>
      </c>
      <c r="O1318">
        <v>0</v>
      </c>
      <c r="T1318">
        <v>0</v>
      </c>
      <c r="U1318">
        <v>0</v>
      </c>
      <c r="V1318">
        <v>0</v>
      </c>
    </row>
    <row r="1319" spans="1:22" x14ac:dyDescent="0.2">
      <c r="A1319" t="s">
        <v>4030</v>
      </c>
      <c r="B1319" t="s">
        <v>4031</v>
      </c>
      <c r="C1319" t="s">
        <v>1897</v>
      </c>
      <c r="D1319" t="s">
        <v>96</v>
      </c>
      <c r="E1319">
        <v>219.99</v>
      </c>
      <c r="F1319" t="s">
        <v>8118</v>
      </c>
      <c r="L1319" t="s">
        <v>11</v>
      </c>
      <c r="M1319" t="s">
        <v>4032</v>
      </c>
      <c r="N1319">
        <v>0</v>
      </c>
      <c r="O1319">
        <v>0</v>
      </c>
      <c r="T1319">
        <v>0</v>
      </c>
      <c r="U1319">
        <v>0</v>
      </c>
      <c r="V1319">
        <v>0</v>
      </c>
    </row>
    <row r="1320" spans="1:22" x14ac:dyDescent="0.2">
      <c r="A1320" t="s">
        <v>1930</v>
      </c>
      <c r="B1320" t="s">
        <v>1931</v>
      </c>
      <c r="C1320" t="s">
        <v>1897</v>
      </c>
      <c r="D1320" t="s">
        <v>290</v>
      </c>
      <c r="E1320">
        <v>59.99</v>
      </c>
      <c r="F1320" t="s">
        <v>8118</v>
      </c>
      <c r="L1320" t="s">
        <v>14</v>
      </c>
      <c r="M1320" t="s">
        <v>97</v>
      </c>
      <c r="N1320">
        <v>0</v>
      </c>
      <c r="O1320">
        <v>0</v>
      </c>
      <c r="U1320">
        <v>0</v>
      </c>
      <c r="V1320">
        <v>0</v>
      </c>
    </row>
    <row r="1321" spans="1:22" x14ac:dyDescent="0.2">
      <c r="A1321" t="s">
        <v>1932</v>
      </c>
      <c r="B1321" t="s">
        <v>1933</v>
      </c>
      <c r="C1321" t="s">
        <v>1897</v>
      </c>
      <c r="D1321" t="s">
        <v>290</v>
      </c>
      <c r="E1321">
        <v>49.99</v>
      </c>
      <c r="F1321" t="s">
        <v>8118</v>
      </c>
      <c r="L1321" t="s">
        <v>14</v>
      </c>
      <c r="M1321" t="s">
        <v>97</v>
      </c>
      <c r="N1321">
        <v>0</v>
      </c>
      <c r="O1321">
        <v>0</v>
      </c>
      <c r="U1321">
        <v>0</v>
      </c>
      <c r="V1321">
        <v>0</v>
      </c>
    </row>
    <row r="1322" spans="1:22" x14ac:dyDescent="0.2">
      <c r="A1322" t="s">
        <v>3973</v>
      </c>
      <c r="B1322" t="s">
        <v>3974</v>
      </c>
      <c r="C1322" t="s">
        <v>1897</v>
      </c>
      <c r="D1322" t="s">
        <v>96</v>
      </c>
      <c r="E1322">
        <v>109.99</v>
      </c>
      <c r="F1322" t="s">
        <v>8118</v>
      </c>
      <c r="L1322" t="s">
        <v>14</v>
      </c>
      <c r="M1322" t="s">
        <v>97</v>
      </c>
      <c r="N1322">
        <v>0</v>
      </c>
      <c r="O1322">
        <v>0</v>
      </c>
      <c r="U1322">
        <v>0</v>
      </c>
      <c r="V1322">
        <v>0</v>
      </c>
    </row>
    <row r="1323" spans="1:22" x14ac:dyDescent="0.2">
      <c r="A1323" t="s">
        <v>3752</v>
      </c>
      <c r="B1323" t="s">
        <v>3753</v>
      </c>
      <c r="C1323" t="s">
        <v>1897</v>
      </c>
      <c r="D1323" t="s">
        <v>96</v>
      </c>
      <c r="E1323">
        <v>44.99</v>
      </c>
      <c r="F1323" t="s">
        <v>8118</v>
      </c>
      <c r="L1323" t="s">
        <v>14</v>
      </c>
      <c r="M1323" t="s">
        <v>97</v>
      </c>
      <c r="N1323">
        <v>0</v>
      </c>
      <c r="O1323">
        <v>0</v>
      </c>
      <c r="U1323">
        <v>0</v>
      </c>
      <c r="V1323">
        <v>0</v>
      </c>
    </row>
    <row r="1324" spans="1:22" x14ac:dyDescent="0.2">
      <c r="A1324" t="s">
        <v>3831</v>
      </c>
      <c r="B1324" t="s">
        <v>3832</v>
      </c>
      <c r="C1324" t="s">
        <v>1897</v>
      </c>
      <c r="D1324" t="s">
        <v>96</v>
      </c>
      <c r="E1324">
        <v>49.99</v>
      </c>
      <c r="F1324" t="s">
        <v>8118</v>
      </c>
      <c r="L1324" t="s">
        <v>14</v>
      </c>
      <c r="M1324" t="s">
        <v>97</v>
      </c>
      <c r="N1324">
        <v>0</v>
      </c>
      <c r="O1324">
        <v>0</v>
      </c>
      <c r="U1324">
        <v>0</v>
      </c>
      <c r="V1324">
        <v>0</v>
      </c>
    </row>
    <row r="1325" spans="1:22" x14ac:dyDescent="0.2">
      <c r="A1325" t="s">
        <v>3986</v>
      </c>
      <c r="B1325" t="s">
        <v>3987</v>
      </c>
      <c r="C1325" t="s">
        <v>1897</v>
      </c>
      <c r="D1325" t="s">
        <v>96</v>
      </c>
      <c r="E1325">
        <v>64.989999999999995</v>
      </c>
      <c r="F1325" t="s">
        <v>8118</v>
      </c>
      <c r="L1325" t="s">
        <v>14</v>
      </c>
      <c r="M1325" t="s">
        <v>97</v>
      </c>
      <c r="N1325">
        <v>0</v>
      </c>
      <c r="O1325">
        <v>0</v>
      </c>
      <c r="U1325">
        <v>0</v>
      </c>
      <c r="V1325">
        <v>0</v>
      </c>
    </row>
    <row r="1326" spans="1:22" x14ac:dyDescent="0.2">
      <c r="A1326" t="s">
        <v>1968</v>
      </c>
      <c r="B1326" t="s">
        <v>1969</v>
      </c>
      <c r="C1326" t="s">
        <v>1897</v>
      </c>
      <c r="D1326" t="s">
        <v>96</v>
      </c>
      <c r="E1326">
        <v>79.989999999999995</v>
      </c>
      <c r="F1326" t="s">
        <v>8118</v>
      </c>
      <c r="L1326" t="s">
        <v>14</v>
      </c>
      <c r="M1326" t="s">
        <v>97</v>
      </c>
      <c r="N1326">
        <v>0</v>
      </c>
      <c r="O1326">
        <v>0</v>
      </c>
      <c r="U1326">
        <v>0</v>
      </c>
      <c r="V1326">
        <v>0</v>
      </c>
    </row>
    <row r="1327" spans="1:22" x14ac:dyDescent="0.2">
      <c r="A1327" t="s">
        <v>1970</v>
      </c>
      <c r="B1327" t="s">
        <v>1971</v>
      </c>
      <c r="C1327" t="s">
        <v>1897</v>
      </c>
      <c r="D1327" t="s">
        <v>290</v>
      </c>
      <c r="E1327">
        <v>29.99</v>
      </c>
      <c r="F1327" t="s">
        <v>8118</v>
      </c>
      <c r="L1327" t="s">
        <v>14</v>
      </c>
      <c r="M1327" t="s">
        <v>97</v>
      </c>
      <c r="N1327">
        <v>0</v>
      </c>
      <c r="O1327">
        <v>0</v>
      </c>
      <c r="U1327">
        <v>0</v>
      </c>
      <c r="V1327">
        <v>0</v>
      </c>
    </row>
    <row r="1328" spans="1:22" x14ac:dyDescent="0.2">
      <c r="A1328" t="s">
        <v>3752</v>
      </c>
      <c r="B1328" t="s">
        <v>3753</v>
      </c>
      <c r="C1328" t="s">
        <v>1897</v>
      </c>
      <c r="D1328" t="s">
        <v>96</v>
      </c>
      <c r="E1328">
        <v>44.99</v>
      </c>
      <c r="F1328" t="s">
        <v>8118</v>
      </c>
      <c r="L1328" t="s">
        <v>10</v>
      </c>
      <c r="M1328">
        <v>648241</v>
      </c>
      <c r="N1328">
        <v>0</v>
      </c>
      <c r="O1328">
        <v>0</v>
      </c>
      <c r="P1328" t="s">
        <v>290</v>
      </c>
      <c r="T1328">
        <v>0</v>
      </c>
      <c r="U1328">
        <v>0</v>
      </c>
      <c r="V1328">
        <v>0</v>
      </c>
    </row>
    <row r="1329" spans="1:22" x14ac:dyDescent="0.2">
      <c r="A1329" t="s">
        <v>4078</v>
      </c>
      <c r="B1329" t="s">
        <v>4079</v>
      </c>
      <c r="C1329" t="s">
        <v>1897</v>
      </c>
      <c r="D1329" t="s">
        <v>96</v>
      </c>
      <c r="E1329">
        <v>54.99</v>
      </c>
      <c r="F1329" t="s">
        <v>8118</v>
      </c>
      <c r="L1329" t="s">
        <v>10</v>
      </c>
      <c r="M1329">
        <v>502562</v>
      </c>
      <c r="N1329">
        <v>0</v>
      </c>
      <c r="O1329">
        <v>0</v>
      </c>
      <c r="P1329" t="s">
        <v>290</v>
      </c>
      <c r="T1329">
        <v>0</v>
      </c>
      <c r="U1329">
        <v>0</v>
      </c>
      <c r="V1329">
        <v>0</v>
      </c>
    </row>
    <row r="1330" spans="1:22" x14ac:dyDescent="0.2">
      <c r="A1330" t="s">
        <v>4087</v>
      </c>
      <c r="B1330" t="s">
        <v>4088</v>
      </c>
      <c r="C1330" t="s">
        <v>1897</v>
      </c>
      <c r="D1330" t="s">
        <v>96</v>
      </c>
      <c r="E1330">
        <v>54.99</v>
      </c>
      <c r="F1330" t="s">
        <v>8118</v>
      </c>
      <c r="L1330" t="s">
        <v>10</v>
      </c>
      <c r="M1330">
        <v>502563</v>
      </c>
      <c r="N1330">
        <v>0</v>
      </c>
      <c r="O1330">
        <v>0</v>
      </c>
      <c r="P1330" t="s">
        <v>290</v>
      </c>
      <c r="T1330">
        <v>0</v>
      </c>
      <c r="U1330">
        <v>0</v>
      </c>
      <c r="V1330">
        <v>0</v>
      </c>
    </row>
    <row r="1331" spans="1:22" x14ac:dyDescent="0.2">
      <c r="A1331" t="s">
        <v>4090</v>
      </c>
      <c r="B1331" t="s">
        <v>4091</v>
      </c>
      <c r="C1331" t="s">
        <v>1897</v>
      </c>
      <c r="D1331" t="s">
        <v>96</v>
      </c>
      <c r="E1331">
        <v>54.99</v>
      </c>
      <c r="F1331" t="s">
        <v>8118</v>
      </c>
      <c r="L1331" t="s">
        <v>10</v>
      </c>
      <c r="M1331">
        <v>502564</v>
      </c>
      <c r="N1331">
        <v>0</v>
      </c>
      <c r="O1331">
        <v>0</v>
      </c>
      <c r="P1331" t="s">
        <v>290</v>
      </c>
      <c r="T1331">
        <v>0</v>
      </c>
      <c r="U1331">
        <v>0</v>
      </c>
      <c r="V1331">
        <v>0</v>
      </c>
    </row>
    <row r="1332" spans="1:22" x14ac:dyDescent="0.2">
      <c r="A1332" t="s">
        <v>3914</v>
      </c>
      <c r="B1332" t="s">
        <v>3915</v>
      </c>
      <c r="C1332" t="s">
        <v>1897</v>
      </c>
      <c r="D1332" t="s">
        <v>96</v>
      </c>
      <c r="E1332">
        <v>99.99</v>
      </c>
      <c r="F1332" t="s">
        <v>8118</v>
      </c>
      <c r="L1332" t="s">
        <v>10</v>
      </c>
      <c r="M1332">
        <v>475100</v>
      </c>
      <c r="N1332">
        <v>0</v>
      </c>
      <c r="O1332">
        <v>0</v>
      </c>
      <c r="P1332" t="s">
        <v>290</v>
      </c>
      <c r="T1332">
        <v>0</v>
      </c>
      <c r="U1332">
        <v>0</v>
      </c>
      <c r="V1332">
        <v>0</v>
      </c>
    </row>
    <row r="1333" spans="1:22" x14ac:dyDescent="0.2">
      <c r="A1333" t="s">
        <v>4184</v>
      </c>
      <c r="B1333" t="s">
        <v>4185</v>
      </c>
      <c r="C1333" t="s">
        <v>1897</v>
      </c>
      <c r="D1333" t="s">
        <v>96</v>
      </c>
      <c r="E1333">
        <v>99.99</v>
      </c>
      <c r="F1333" t="s">
        <v>8118</v>
      </c>
      <c r="L1333" t="s">
        <v>10</v>
      </c>
      <c r="M1333">
        <v>476213</v>
      </c>
      <c r="N1333">
        <v>0</v>
      </c>
      <c r="O1333">
        <v>0</v>
      </c>
      <c r="P1333" t="s">
        <v>290</v>
      </c>
      <c r="T1333">
        <v>0</v>
      </c>
      <c r="U1333">
        <v>0</v>
      </c>
      <c r="V1333">
        <v>0</v>
      </c>
    </row>
    <row r="1334" spans="1:22" x14ac:dyDescent="0.2">
      <c r="A1334" t="s">
        <v>7277</v>
      </c>
      <c r="B1334" t="s">
        <v>7279</v>
      </c>
      <c r="C1334" t="s">
        <v>1897</v>
      </c>
      <c r="D1334" t="s">
        <v>96</v>
      </c>
      <c r="E1334">
        <v>39.99</v>
      </c>
      <c r="F1334" t="s">
        <v>8118</v>
      </c>
      <c r="L1334" t="s">
        <v>10</v>
      </c>
      <c r="M1334">
        <v>90666</v>
      </c>
      <c r="N1334">
        <v>0</v>
      </c>
      <c r="O1334">
        <v>0</v>
      </c>
      <c r="P1334" t="s">
        <v>290</v>
      </c>
      <c r="T1334">
        <v>0</v>
      </c>
      <c r="U1334">
        <v>0</v>
      </c>
      <c r="V1334">
        <v>0</v>
      </c>
    </row>
    <row r="1335" spans="1:22" x14ac:dyDescent="0.2">
      <c r="A1335" t="s">
        <v>7280</v>
      </c>
      <c r="B1335" t="s">
        <v>7282</v>
      </c>
      <c r="C1335" t="s">
        <v>1897</v>
      </c>
      <c r="D1335" t="s">
        <v>96</v>
      </c>
      <c r="E1335">
        <v>69.989999999999995</v>
      </c>
      <c r="F1335" t="s">
        <v>8118</v>
      </c>
      <c r="L1335" t="s">
        <v>10</v>
      </c>
      <c r="M1335">
        <v>648238</v>
      </c>
      <c r="N1335">
        <v>0</v>
      </c>
      <c r="O1335">
        <v>0</v>
      </c>
      <c r="P1335" t="s">
        <v>290</v>
      </c>
      <c r="T1335">
        <v>0</v>
      </c>
      <c r="U1335">
        <v>0</v>
      </c>
      <c r="V1335">
        <v>0</v>
      </c>
    </row>
    <row r="1336" spans="1:22" x14ac:dyDescent="0.2">
      <c r="A1336" t="s">
        <v>1970</v>
      </c>
      <c r="B1336" t="s">
        <v>1971</v>
      </c>
      <c r="C1336" t="s">
        <v>1897</v>
      </c>
      <c r="D1336" t="s">
        <v>290</v>
      </c>
      <c r="E1336">
        <v>29.99</v>
      </c>
      <c r="F1336" t="s">
        <v>8118</v>
      </c>
      <c r="L1336" t="s">
        <v>10</v>
      </c>
      <c r="M1336">
        <v>718622</v>
      </c>
      <c r="N1336">
        <v>0</v>
      </c>
      <c r="O1336">
        <v>0</v>
      </c>
      <c r="P1336" t="s">
        <v>290</v>
      </c>
      <c r="T1336">
        <v>0</v>
      </c>
      <c r="U1336">
        <v>0</v>
      </c>
      <c r="V1336">
        <v>0</v>
      </c>
    </row>
    <row r="1337" spans="1:22" x14ac:dyDescent="0.2">
      <c r="A1337" t="s">
        <v>3759</v>
      </c>
      <c r="B1337" t="s">
        <v>3760</v>
      </c>
      <c r="C1337" t="s">
        <v>1897</v>
      </c>
      <c r="D1337" t="s">
        <v>96</v>
      </c>
      <c r="E1337">
        <v>44.99</v>
      </c>
      <c r="F1337" t="s">
        <v>8118</v>
      </c>
      <c r="L1337" t="s">
        <v>10</v>
      </c>
      <c r="M1337">
        <v>495784</v>
      </c>
      <c r="N1337">
        <v>0</v>
      </c>
      <c r="O1337">
        <v>0</v>
      </c>
      <c r="P1337" t="s">
        <v>290</v>
      </c>
      <c r="T1337">
        <v>0</v>
      </c>
      <c r="U1337">
        <v>0</v>
      </c>
      <c r="V1337">
        <v>0</v>
      </c>
    </row>
    <row r="1338" spans="1:22" x14ac:dyDescent="0.2">
      <c r="A1338" t="s">
        <v>1904</v>
      </c>
      <c r="B1338" t="s">
        <v>1905</v>
      </c>
      <c r="C1338" t="s">
        <v>1897</v>
      </c>
      <c r="D1338" t="s">
        <v>290</v>
      </c>
      <c r="E1338">
        <v>44.99</v>
      </c>
      <c r="F1338" t="s">
        <v>8118</v>
      </c>
      <c r="L1338" t="s">
        <v>10</v>
      </c>
      <c r="M1338">
        <v>718576</v>
      </c>
      <c r="N1338">
        <v>0</v>
      </c>
      <c r="O1338">
        <v>0</v>
      </c>
      <c r="P1338" t="s">
        <v>290</v>
      </c>
      <c r="T1338">
        <v>0</v>
      </c>
      <c r="U1338">
        <v>0</v>
      </c>
      <c r="V1338">
        <v>0</v>
      </c>
    </row>
    <row r="1339" spans="1:22" x14ac:dyDescent="0.2">
      <c r="A1339" t="s">
        <v>1966</v>
      </c>
      <c r="B1339" t="s">
        <v>1967</v>
      </c>
      <c r="C1339" t="s">
        <v>1897</v>
      </c>
      <c r="D1339" t="s">
        <v>96</v>
      </c>
      <c r="E1339">
        <v>139.99</v>
      </c>
      <c r="F1339" t="s">
        <v>8118</v>
      </c>
      <c r="L1339" t="s">
        <v>10</v>
      </c>
      <c r="M1339">
        <v>993074</v>
      </c>
      <c r="N1339">
        <v>0</v>
      </c>
      <c r="O1339">
        <v>0</v>
      </c>
      <c r="P1339" t="s">
        <v>290</v>
      </c>
      <c r="T1339">
        <v>0</v>
      </c>
      <c r="U1339">
        <v>0</v>
      </c>
      <c r="V1339">
        <v>0</v>
      </c>
    </row>
    <row r="1340" spans="1:22" x14ac:dyDescent="0.2">
      <c r="A1340" t="s">
        <v>3973</v>
      </c>
      <c r="B1340" t="s">
        <v>3974</v>
      </c>
      <c r="C1340" t="s">
        <v>1897</v>
      </c>
      <c r="D1340" t="s">
        <v>96</v>
      </c>
      <c r="E1340">
        <v>109.99</v>
      </c>
      <c r="F1340" t="s">
        <v>8118</v>
      </c>
      <c r="L1340" t="s">
        <v>10</v>
      </c>
      <c r="M1340">
        <v>331205</v>
      </c>
      <c r="N1340">
        <v>0</v>
      </c>
      <c r="O1340">
        <v>0</v>
      </c>
      <c r="P1340" t="s">
        <v>290</v>
      </c>
      <c r="T1340">
        <v>0</v>
      </c>
      <c r="U1340">
        <v>0</v>
      </c>
      <c r="V1340">
        <v>0</v>
      </c>
    </row>
    <row r="1341" spans="1:22" x14ac:dyDescent="0.2">
      <c r="A1341" t="s">
        <v>3993</v>
      </c>
      <c r="B1341" t="s">
        <v>3994</v>
      </c>
      <c r="C1341" t="s">
        <v>1897</v>
      </c>
      <c r="D1341" t="s">
        <v>96</v>
      </c>
      <c r="E1341">
        <v>44.99</v>
      </c>
      <c r="F1341" t="s">
        <v>8118</v>
      </c>
      <c r="L1341" t="s">
        <v>10</v>
      </c>
      <c r="M1341">
        <v>624990</v>
      </c>
      <c r="N1341">
        <v>0</v>
      </c>
      <c r="O1341">
        <v>0</v>
      </c>
      <c r="P1341" t="s">
        <v>290</v>
      </c>
      <c r="T1341">
        <v>0</v>
      </c>
      <c r="U1341">
        <v>0</v>
      </c>
      <c r="V1341">
        <v>0</v>
      </c>
    </row>
    <row r="1342" spans="1:22" x14ac:dyDescent="0.2">
      <c r="A1342" t="s">
        <v>3986</v>
      </c>
      <c r="B1342" t="s">
        <v>3987</v>
      </c>
      <c r="C1342" t="s">
        <v>1897</v>
      </c>
      <c r="D1342" t="s">
        <v>96</v>
      </c>
      <c r="E1342">
        <v>64.989999999999995</v>
      </c>
      <c r="F1342" t="s">
        <v>8118</v>
      </c>
      <c r="L1342" t="s">
        <v>10</v>
      </c>
      <c r="M1342">
        <v>399468</v>
      </c>
      <c r="N1342">
        <v>0</v>
      </c>
      <c r="O1342">
        <v>0</v>
      </c>
      <c r="P1342" t="s">
        <v>290</v>
      </c>
      <c r="T1342">
        <v>0</v>
      </c>
      <c r="U1342">
        <v>0</v>
      </c>
      <c r="V1342">
        <v>0</v>
      </c>
    </row>
    <row r="1343" spans="1:22" x14ac:dyDescent="0.2">
      <c r="A1343" t="s">
        <v>3976</v>
      </c>
      <c r="B1343" t="s">
        <v>3977</v>
      </c>
      <c r="C1343" t="s">
        <v>1897</v>
      </c>
      <c r="D1343" t="s">
        <v>96</v>
      </c>
      <c r="E1343">
        <v>89.99</v>
      </c>
      <c r="F1343" t="s">
        <v>8118</v>
      </c>
      <c r="L1343" t="s">
        <v>10</v>
      </c>
      <c r="M1343">
        <v>363059</v>
      </c>
      <c r="N1343">
        <v>0</v>
      </c>
      <c r="O1343">
        <v>0</v>
      </c>
      <c r="P1343" t="s">
        <v>290</v>
      </c>
      <c r="T1343">
        <v>0</v>
      </c>
      <c r="U1343">
        <v>0</v>
      </c>
      <c r="V1343">
        <v>0</v>
      </c>
    </row>
    <row r="1344" spans="1:22" x14ac:dyDescent="0.2">
      <c r="A1344" t="s">
        <v>1968</v>
      </c>
      <c r="B1344" t="s">
        <v>1969</v>
      </c>
      <c r="C1344" t="s">
        <v>1897</v>
      </c>
      <c r="D1344" t="s">
        <v>96</v>
      </c>
      <c r="E1344">
        <v>79.989999999999995</v>
      </c>
      <c r="F1344" t="s">
        <v>8118</v>
      </c>
      <c r="L1344" t="s">
        <v>10</v>
      </c>
      <c r="M1344">
        <v>961109</v>
      </c>
      <c r="N1344">
        <v>0</v>
      </c>
      <c r="O1344">
        <v>0</v>
      </c>
      <c r="P1344" t="s">
        <v>290</v>
      </c>
      <c r="T1344">
        <v>0</v>
      </c>
      <c r="U1344">
        <v>0</v>
      </c>
      <c r="V1344">
        <v>1</v>
      </c>
    </row>
    <row r="1345" spans="1:22" x14ac:dyDescent="0.2">
      <c r="A1345" t="s">
        <v>1930</v>
      </c>
      <c r="B1345" t="s">
        <v>1931</v>
      </c>
      <c r="C1345" t="s">
        <v>1897</v>
      </c>
      <c r="D1345" t="s">
        <v>290</v>
      </c>
      <c r="E1345">
        <v>59.99</v>
      </c>
      <c r="F1345" t="s">
        <v>8118</v>
      </c>
      <c r="L1345" t="s">
        <v>10</v>
      </c>
      <c r="M1345">
        <v>65078</v>
      </c>
      <c r="N1345">
        <v>0</v>
      </c>
      <c r="O1345">
        <v>0</v>
      </c>
      <c r="P1345" t="s">
        <v>290</v>
      </c>
      <c r="T1345">
        <v>0</v>
      </c>
      <c r="U1345">
        <v>0</v>
      </c>
      <c r="V1345">
        <v>0</v>
      </c>
    </row>
    <row r="1346" spans="1:22" x14ac:dyDescent="0.2">
      <c r="A1346" t="s">
        <v>3735</v>
      </c>
      <c r="B1346" t="s">
        <v>3736</v>
      </c>
      <c r="C1346" t="s">
        <v>1897</v>
      </c>
      <c r="D1346" t="s">
        <v>96</v>
      </c>
      <c r="E1346">
        <v>59.99</v>
      </c>
      <c r="F1346" t="s">
        <v>8118</v>
      </c>
      <c r="L1346" t="s">
        <v>10</v>
      </c>
      <c r="M1346">
        <v>411591</v>
      </c>
      <c r="N1346">
        <v>0</v>
      </c>
      <c r="O1346">
        <v>0</v>
      </c>
      <c r="P1346" t="s">
        <v>290</v>
      </c>
      <c r="T1346">
        <v>0</v>
      </c>
      <c r="U1346">
        <v>0</v>
      </c>
      <c r="V1346">
        <v>0</v>
      </c>
    </row>
    <row r="1347" spans="1:22" x14ac:dyDescent="0.2">
      <c r="A1347" t="s">
        <v>1920</v>
      </c>
      <c r="B1347" t="s">
        <v>1921</v>
      </c>
      <c r="C1347" t="s">
        <v>1897</v>
      </c>
      <c r="D1347" t="s">
        <v>290</v>
      </c>
      <c r="E1347">
        <v>49.99</v>
      </c>
      <c r="F1347" t="s">
        <v>8118</v>
      </c>
      <c r="L1347" t="s">
        <v>10</v>
      </c>
      <c r="M1347">
        <v>525768</v>
      </c>
      <c r="N1347">
        <v>0</v>
      </c>
      <c r="O1347">
        <v>0</v>
      </c>
      <c r="P1347" t="s">
        <v>290</v>
      </c>
      <c r="T1347">
        <v>0</v>
      </c>
      <c r="U1347">
        <v>0</v>
      </c>
      <c r="V1347">
        <v>0</v>
      </c>
    </row>
    <row r="1348" spans="1:22" x14ac:dyDescent="0.2">
      <c r="A1348" t="s">
        <v>3740</v>
      </c>
      <c r="B1348" t="s">
        <v>3741</v>
      </c>
      <c r="C1348" t="s">
        <v>1897</v>
      </c>
      <c r="D1348" t="s">
        <v>96</v>
      </c>
      <c r="E1348">
        <v>49.99</v>
      </c>
      <c r="F1348" t="s">
        <v>8118</v>
      </c>
      <c r="L1348" t="s">
        <v>10</v>
      </c>
      <c r="M1348">
        <v>411587</v>
      </c>
      <c r="N1348">
        <v>0</v>
      </c>
      <c r="O1348">
        <v>0</v>
      </c>
      <c r="P1348" t="s">
        <v>290</v>
      </c>
      <c r="T1348">
        <v>0</v>
      </c>
      <c r="U1348">
        <v>0</v>
      </c>
      <c r="V1348">
        <v>0</v>
      </c>
    </row>
    <row r="1349" spans="1:22" x14ac:dyDescent="0.2">
      <c r="A1349" t="s">
        <v>3831</v>
      </c>
      <c r="B1349" t="s">
        <v>3832</v>
      </c>
      <c r="C1349" t="s">
        <v>1897</v>
      </c>
      <c r="D1349" t="s">
        <v>96</v>
      </c>
      <c r="E1349">
        <v>49.99</v>
      </c>
      <c r="F1349" t="s">
        <v>8118</v>
      </c>
      <c r="L1349" t="s">
        <v>10</v>
      </c>
      <c r="M1349">
        <v>945882</v>
      </c>
      <c r="N1349">
        <v>0</v>
      </c>
      <c r="O1349">
        <v>0</v>
      </c>
      <c r="P1349" t="s">
        <v>290</v>
      </c>
      <c r="T1349">
        <v>0</v>
      </c>
      <c r="U1349">
        <v>0</v>
      </c>
      <c r="V1349">
        <v>0</v>
      </c>
    </row>
    <row r="1350" spans="1:22" x14ac:dyDescent="0.2">
      <c r="A1350" t="s">
        <v>3990</v>
      </c>
      <c r="B1350" t="s">
        <v>3991</v>
      </c>
      <c r="C1350" t="s">
        <v>1897</v>
      </c>
      <c r="D1350" t="s">
        <v>96</v>
      </c>
      <c r="E1350">
        <v>109.99</v>
      </c>
      <c r="F1350" t="s">
        <v>8118</v>
      </c>
      <c r="L1350" t="s">
        <v>10</v>
      </c>
      <c r="M1350">
        <v>380048</v>
      </c>
      <c r="N1350">
        <v>0</v>
      </c>
      <c r="O1350">
        <v>0</v>
      </c>
      <c r="P1350" t="s">
        <v>290</v>
      </c>
      <c r="T1350">
        <v>0</v>
      </c>
      <c r="U1350">
        <v>0</v>
      </c>
      <c r="V1350">
        <v>0</v>
      </c>
    </row>
    <row r="1351" spans="1:22" x14ac:dyDescent="0.2">
      <c r="A1351" t="s">
        <v>3960</v>
      </c>
      <c r="B1351" t="s">
        <v>3961</v>
      </c>
      <c r="C1351" t="s">
        <v>1897</v>
      </c>
      <c r="D1351" t="s">
        <v>96</v>
      </c>
      <c r="E1351">
        <v>79.989999999999995</v>
      </c>
      <c r="F1351" t="s">
        <v>8118</v>
      </c>
      <c r="L1351" t="s">
        <v>10</v>
      </c>
      <c r="M1351">
        <v>363079</v>
      </c>
      <c r="N1351">
        <v>0</v>
      </c>
      <c r="O1351">
        <v>0</v>
      </c>
      <c r="P1351" t="s">
        <v>290</v>
      </c>
      <c r="T1351">
        <v>0</v>
      </c>
      <c r="U1351">
        <v>0</v>
      </c>
      <c r="V1351">
        <v>0</v>
      </c>
    </row>
    <row r="1352" spans="1:22" x14ac:dyDescent="0.2">
      <c r="A1352" t="s">
        <v>1964</v>
      </c>
      <c r="B1352" t="s">
        <v>1965</v>
      </c>
      <c r="C1352" t="s">
        <v>1897</v>
      </c>
      <c r="D1352" t="s">
        <v>96</v>
      </c>
      <c r="E1352">
        <v>54.99</v>
      </c>
      <c r="F1352" t="s">
        <v>8118</v>
      </c>
      <c r="L1352" t="s">
        <v>10</v>
      </c>
      <c r="M1352">
        <v>648239</v>
      </c>
      <c r="N1352">
        <v>0</v>
      </c>
      <c r="O1352">
        <v>0</v>
      </c>
      <c r="P1352" t="s">
        <v>290</v>
      </c>
      <c r="T1352">
        <v>0</v>
      </c>
      <c r="U1352">
        <v>0</v>
      </c>
      <c r="V1352">
        <v>0</v>
      </c>
    </row>
    <row r="1353" spans="1:22" x14ac:dyDescent="0.2">
      <c r="A1353" t="s">
        <v>3942</v>
      </c>
      <c r="B1353" t="s">
        <v>3943</v>
      </c>
      <c r="C1353" t="s">
        <v>1897</v>
      </c>
      <c r="D1353" t="s">
        <v>96</v>
      </c>
      <c r="E1353">
        <v>189.99</v>
      </c>
      <c r="F1353" t="s">
        <v>8118</v>
      </c>
      <c r="L1353" t="s">
        <v>10</v>
      </c>
      <c r="M1353">
        <v>839406</v>
      </c>
      <c r="N1353">
        <v>0</v>
      </c>
      <c r="O1353">
        <v>0</v>
      </c>
      <c r="P1353" t="s">
        <v>290</v>
      </c>
      <c r="T1353">
        <v>0</v>
      </c>
      <c r="U1353">
        <v>0</v>
      </c>
      <c r="V1353">
        <v>0</v>
      </c>
    </row>
    <row r="1354" spans="1:22" x14ac:dyDescent="0.2">
      <c r="A1354" t="s">
        <v>1932</v>
      </c>
      <c r="B1354" t="s">
        <v>1933</v>
      </c>
      <c r="C1354" t="s">
        <v>1897</v>
      </c>
      <c r="D1354" t="s">
        <v>290</v>
      </c>
      <c r="E1354">
        <v>49.99</v>
      </c>
      <c r="F1354" t="s">
        <v>8118</v>
      </c>
      <c r="L1354" t="s">
        <v>10</v>
      </c>
      <c r="M1354">
        <v>65081</v>
      </c>
      <c r="N1354">
        <v>0</v>
      </c>
      <c r="O1354">
        <v>0</v>
      </c>
      <c r="P1354" t="s">
        <v>290</v>
      </c>
      <c r="T1354">
        <v>0</v>
      </c>
      <c r="U1354">
        <v>0</v>
      </c>
      <c r="V1354">
        <v>1</v>
      </c>
    </row>
    <row r="1355" spans="1:22" x14ac:dyDescent="0.2">
      <c r="A1355" t="s">
        <v>7260</v>
      </c>
      <c r="B1355" t="s">
        <v>7262</v>
      </c>
      <c r="C1355" t="s">
        <v>1897</v>
      </c>
      <c r="D1355" t="s">
        <v>96</v>
      </c>
      <c r="E1355">
        <v>59.99</v>
      </c>
      <c r="F1355" t="s">
        <v>8118</v>
      </c>
      <c r="L1355" t="s">
        <v>10</v>
      </c>
      <c r="M1355">
        <v>995172</v>
      </c>
      <c r="N1355">
        <v>0</v>
      </c>
      <c r="O1355">
        <v>0</v>
      </c>
      <c r="P1355" t="s">
        <v>290</v>
      </c>
      <c r="T1355">
        <v>0</v>
      </c>
      <c r="U1355">
        <v>0</v>
      </c>
      <c r="V1355">
        <v>0</v>
      </c>
    </row>
    <row r="1356" spans="1:22" x14ac:dyDescent="0.2">
      <c r="A1356" t="s">
        <v>4081</v>
      </c>
      <c r="B1356" t="s">
        <v>4082</v>
      </c>
      <c r="C1356" t="s">
        <v>1897</v>
      </c>
      <c r="D1356" t="s">
        <v>96</v>
      </c>
      <c r="E1356">
        <v>69.989999999999995</v>
      </c>
      <c r="F1356" t="s">
        <v>8118</v>
      </c>
      <c r="L1356" t="s">
        <v>10</v>
      </c>
      <c r="M1356">
        <v>502565</v>
      </c>
      <c r="N1356">
        <v>0</v>
      </c>
      <c r="O1356">
        <v>0</v>
      </c>
      <c r="P1356" t="s">
        <v>290</v>
      </c>
      <c r="T1356">
        <v>0</v>
      </c>
      <c r="U1356">
        <v>0</v>
      </c>
      <c r="V1356">
        <v>0</v>
      </c>
    </row>
    <row r="1357" spans="1:22" x14ac:dyDescent="0.2">
      <c r="A1357" t="s">
        <v>4093</v>
      </c>
      <c r="B1357" t="s">
        <v>4094</v>
      </c>
      <c r="C1357" t="s">
        <v>1897</v>
      </c>
      <c r="D1357" t="s">
        <v>96</v>
      </c>
      <c r="E1357">
        <v>69.989999999999995</v>
      </c>
      <c r="F1357" t="s">
        <v>8118</v>
      </c>
      <c r="L1357" t="s">
        <v>10</v>
      </c>
      <c r="M1357">
        <v>502567</v>
      </c>
      <c r="N1357">
        <v>0</v>
      </c>
      <c r="O1357">
        <v>0</v>
      </c>
      <c r="P1357" t="s">
        <v>290</v>
      </c>
      <c r="T1357">
        <v>0</v>
      </c>
      <c r="U1357">
        <v>0</v>
      </c>
      <c r="V1357">
        <v>0</v>
      </c>
    </row>
    <row r="1358" spans="1:22" x14ac:dyDescent="0.2">
      <c r="A1358" t="s">
        <v>7255</v>
      </c>
      <c r="B1358" t="s">
        <v>7257</v>
      </c>
      <c r="C1358" t="s">
        <v>1897</v>
      </c>
      <c r="D1358" t="s">
        <v>96</v>
      </c>
      <c r="E1358">
        <v>69.989999999999995</v>
      </c>
      <c r="F1358" t="s">
        <v>8118</v>
      </c>
      <c r="L1358" t="s">
        <v>10</v>
      </c>
      <c r="M1358">
        <v>809015</v>
      </c>
      <c r="N1358">
        <v>0</v>
      </c>
      <c r="O1358">
        <v>0</v>
      </c>
      <c r="P1358" t="s">
        <v>290</v>
      </c>
      <c r="T1358">
        <v>0</v>
      </c>
      <c r="U1358">
        <v>0</v>
      </c>
      <c r="V1358">
        <v>0</v>
      </c>
    </row>
    <row r="1359" spans="1:22" x14ac:dyDescent="0.2">
      <c r="A1359" t="s">
        <v>7252</v>
      </c>
      <c r="B1359" t="s">
        <v>7254</v>
      </c>
      <c r="C1359" t="s">
        <v>1897</v>
      </c>
      <c r="D1359" t="s">
        <v>96</v>
      </c>
      <c r="E1359">
        <v>64.989999999999995</v>
      </c>
      <c r="F1359" t="s">
        <v>8118</v>
      </c>
      <c r="L1359" t="s">
        <v>10</v>
      </c>
      <c r="M1359">
        <v>695432</v>
      </c>
      <c r="N1359">
        <v>0</v>
      </c>
      <c r="O1359">
        <v>0</v>
      </c>
      <c r="P1359" t="s">
        <v>290</v>
      </c>
      <c r="T1359">
        <v>0</v>
      </c>
      <c r="U1359">
        <v>0</v>
      </c>
      <c r="V1359">
        <v>0</v>
      </c>
    </row>
    <row r="1360" spans="1:22" x14ac:dyDescent="0.2">
      <c r="A1360" t="s">
        <v>3781</v>
      </c>
      <c r="B1360" t="s">
        <v>3782</v>
      </c>
      <c r="C1360" t="s">
        <v>1897</v>
      </c>
      <c r="D1360" t="s">
        <v>96</v>
      </c>
      <c r="E1360">
        <v>149.99</v>
      </c>
      <c r="F1360" t="s">
        <v>8118</v>
      </c>
      <c r="L1360" t="s">
        <v>10</v>
      </c>
      <c r="M1360">
        <v>331206</v>
      </c>
      <c r="N1360">
        <v>0</v>
      </c>
      <c r="O1360">
        <v>0</v>
      </c>
      <c r="P1360" t="s">
        <v>290</v>
      </c>
      <c r="T1360">
        <v>0</v>
      </c>
      <c r="U1360">
        <v>0</v>
      </c>
      <c r="V1360">
        <v>0</v>
      </c>
    </row>
    <row r="1361" spans="1:22" x14ac:dyDescent="0.2">
      <c r="A1361" t="s">
        <v>7248</v>
      </c>
      <c r="B1361" t="s">
        <v>7250</v>
      </c>
      <c r="C1361" t="s">
        <v>1897</v>
      </c>
      <c r="D1361" t="s">
        <v>96</v>
      </c>
      <c r="E1361">
        <v>299.99</v>
      </c>
      <c r="F1361" t="s">
        <v>8118</v>
      </c>
      <c r="L1361" t="s">
        <v>10</v>
      </c>
      <c r="M1361">
        <v>389164</v>
      </c>
      <c r="N1361">
        <v>0</v>
      </c>
      <c r="O1361">
        <v>0</v>
      </c>
      <c r="P1361" t="s">
        <v>290</v>
      </c>
      <c r="T1361">
        <v>0</v>
      </c>
      <c r="U1361">
        <v>0</v>
      </c>
      <c r="V1361">
        <v>0</v>
      </c>
    </row>
    <row r="1362" spans="1:22" x14ac:dyDescent="0.2">
      <c r="A1362" t="s">
        <v>3856</v>
      </c>
      <c r="B1362" t="s">
        <v>3857</v>
      </c>
      <c r="C1362" t="s">
        <v>1897</v>
      </c>
      <c r="D1362" t="s">
        <v>96</v>
      </c>
      <c r="E1362">
        <v>69.989999999999995</v>
      </c>
      <c r="F1362" t="s">
        <v>8118</v>
      </c>
      <c r="L1362" t="s">
        <v>7032</v>
      </c>
      <c r="M1362" t="s">
        <v>97</v>
      </c>
      <c r="N1362">
        <v>0</v>
      </c>
      <c r="O1362">
        <v>0</v>
      </c>
      <c r="T1362">
        <v>0</v>
      </c>
      <c r="U1362">
        <v>0</v>
      </c>
      <c r="V1362">
        <v>0</v>
      </c>
    </row>
    <row r="1363" spans="1:22" x14ac:dyDescent="0.2">
      <c r="A1363" t="s">
        <v>7712</v>
      </c>
      <c r="B1363" t="s">
        <v>7713</v>
      </c>
      <c r="C1363" t="s">
        <v>1897</v>
      </c>
      <c r="D1363" t="s">
        <v>96</v>
      </c>
      <c r="E1363">
        <v>49.99</v>
      </c>
      <c r="F1363" t="s">
        <v>8118</v>
      </c>
      <c r="L1363" t="s">
        <v>7032</v>
      </c>
      <c r="M1363" t="s">
        <v>97</v>
      </c>
      <c r="N1363">
        <v>0</v>
      </c>
      <c r="O1363">
        <v>0</v>
      </c>
      <c r="T1363">
        <v>0</v>
      </c>
      <c r="U1363">
        <v>0</v>
      </c>
      <c r="V1363">
        <v>0</v>
      </c>
    </row>
    <row r="1364" spans="1:22" x14ac:dyDescent="0.2">
      <c r="A1364" t="s">
        <v>3911</v>
      </c>
      <c r="B1364" t="s">
        <v>3912</v>
      </c>
      <c r="C1364" t="s">
        <v>1897</v>
      </c>
      <c r="D1364" t="s">
        <v>96</v>
      </c>
      <c r="E1364">
        <v>109.99</v>
      </c>
      <c r="F1364" t="s">
        <v>8118</v>
      </c>
      <c r="L1364" t="s">
        <v>7032</v>
      </c>
      <c r="M1364" t="s">
        <v>97</v>
      </c>
      <c r="N1364">
        <v>0</v>
      </c>
      <c r="O1364">
        <v>0</v>
      </c>
      <c r="T1364">
        <v>0</v>
      </c>
      <c r="U1364">
        <v>0</v>
      </c>
      <c r="V1364">
        <v>0</v>
      </c>
    </row>
    <row r="1365" spans="1:22" x14ac:dyDescent="0.2">
      <c r="A1365" t="s">
        <v>3926</v>
      </c>
      <c r="B1365" t="s">
        <v>3927</v>
      </c>
      <c r="C1365" t="s">
        <v>1897</v>
      </c>
      <c r="D1365" t="s">
        <v>96</v>
      </c>
      <c r="E1365">
        <v>109.99</v>
      </c>
      <c r="F1365" t="s">
        <v>8118</v>
      </c>
      <c r="L1365" t="s">
        <v>7032</v>
      </c>
      <c r="M1365" t="s">
        <v>97</v>
      </c>
      <c r="N1365">
        <v>0</v>
      </c>
      <c r="O1365">
        <v>0</v>
      </c>
      <c r="T1365">
        <v>0</v>
      </c>
      <c r="U1365">
        <v>0</v>
      </c>
      <c r="V1365">
        <v>0</v>
      </c>
    </row>
    <row r="1366" spans="1:22" x14ac:dyDescent="0.2">
      <c r="A1366" t="s">
        <v>1918</v>
      </c>
      <c r="B1366" t="s">
        <v>1919</v>
      </c>
      <c r="C1366" t="s">
        <v>1897</v>
      </c>
      <c r="D1366" t="s">
        <v>290</v>
      </c>
      <c r="E1366">
        <v>99.99</v>
      </c>
      <c r="F1366" t="s">
        <v>8118</v>
      </c>
      <c r="L1366" t="s">
        <v>7032</v>
      </c>
      <c r="M1366" t="s">
        <v>97</v>
      </c>
      <c r="N1366">
        <v>0</v>
      </c>
      <c r="O1366">
        <v>0</v>
      </c>
      <c r="T1366">
        <v>0</v>
      </c>
      <c r="U1366">
        <v>0</v>
      </c>
      <c r="V1366">
        <v>2</v>
      </c>
    </row>
    <row r="1367" spans="1:22" x14ac:dyDescent="0.2">
      <c r="A1367" t="s">
        <v>3859</v>
      </c>
      <c r="B1367" t="s">
        <v>3860</v>
      </c>
      <c r="C1367" t="s">
        <v>1897</v>
      </c>
      <c r="D1367" t="s">
        <v>96</v>
      </c>
      <c r="E1367">
        <v>79.989999999999995</v>
      </c>
      <c r="F1367" t="s">
        <v>8118</v>
      </c>
      <c r="L1367" t="s">
        <v>7032</v>
      </c>
      <c r="M1367" t="s">
        <v>97</v>
      </c>
      <c r="N1367">
        <v>0</v>
      </c>
      <c r="O1367">
        <v>0</v>
      </c>
      <c r="T1367">
        <v>0.2</v>
      </c>
      <c r="U1367">
        <v>0</v>
      </c>
      <c r="V1367">
        <v>0</v>
      </c>
    </row>
    <row r="1368" spans="1:22" x14ac:dyDescent="0.2">
      <c r="A1368" t="s">
        <v>3923</v>
      </c>
      <c r="B1368" t="s">
        <v>3924</v>
      </c>
      <c r="C1368" t="s">
        <v>1897</v>
      </c>
      <c r="D1368" t="s">
        <v>96</v>
      </c>
      <c r="E1368">
        <v>99.99</v>
      </c>
      <c r="F1368" t="s">
        <v>8118</v>
      </c>
      <c r="L1368" t="s">
        <v>7032</v>
      </c>
      <c r="M1368" t="s">
        <v>97</v>
      </c>
      <c r="N1368">
        <v>0</v>
      </c>
      <c r="O1368">
        <v>0</v>
      </c>
      <c r="T1368">
        <v>0</v>
      </c>
      <c r="U1368">
        <v>0</v>
      </c>
      <c r="V1368">
        <v>0</v>
      </c>
    </row>
    <row r="1369" spans="1:22" x14ac:dyDescent="0.2">
      <c r="A1369" t="s">
        <v>4181</v>
      </c>
      <c r="B1369" t="s">
        <v>4182</v>
      </c>
      <c r="C1369" t="s">
        <v>1897</v>
      </c>
      <c r="D1369" t="s">
        <v>96</v>
      </c>
      <c r="E1369">
        <v>99.99</v>
      </c>
      <c r="F1369" t="s">
        <v>8118</v>
      </c>
      <c r="L1369" t="s">
        <v>7032</v>
      </c>
      <c r="M1369" t="s">
        <v>97</v>
      </c>
      <c r="N1369">
        <v>0</v>
      </c>
      <c r="O1369">
        <v>0</v>
      </c>
      <c r="T1369">
        <v>0</v>
      </c>
      <c r="U1369">
        <v>0</v>
      </c>
      <c r="V1369">
        <v>0</v>
      </c>
    </row>
    <row r="1370" spans="1:22" x14ac:dyDescent="0.2">
      <c r="A1370" t="s">
        <v>3743</v>
      </c>
      <c r="B1370" t="s">
        <v>3744</v>
      </c>
      <c r="C1370" t="s">
        <v>1897</v>
      </c>
      <c r="D1370" t="s">
        <v>96</v>
      </c>
      <c r="E1370">
        <v>69.989999999999995</v>
      </c>
      <c r="F1370" t="s">
        <v>8118</v>
      </c>
      <c r="L1370" t="s">
        <v>7032</v>
      </c>
      <c r="M1370" t="s">
        <v>97</v>
      </c>
      <c r="N1370">
        <v>0</v>
      </c>
      <c r="O1370">
        <v>0</v>
      </c>
      <c r="T1370">
        <v>0</v>
      </c>
      <c r="U1370">
        <v>0</v>
      </c>
      <c r="V1370">
        <v>0</v>
      </c>
    </row>
    <row r="1371" spans="1:22" x14ac:dyDescent="0.2">
      <c r="A1371" t="s">
        <v>7636</v>
      </c>
      <c r="B1371" t="s">
        <v>7637</v>
      </c>
      <c r="C1371" t="s">
        <v>1897</v>
      </c>
      <c r="D1371" t="s">
        <v>96</v>
      </c>
      <c r="E1371">
        <v>79.989999999999995</v>
      </c>
      <c r="F1371" t="s">
        <v>8118</v>
      </c>
      <c r="L1371" t="s">
        <v>7032</v>
      </c>
      <c r="M1371" t="s">
        <v>97</v>
      </c>
      <c r="N1371">
        <v>0</v>
      </c>
      <c r="O1371">
        <v>0</v>
      </c>
      <c r="T1371">
        <v>0</v>
      </c>
      <c r="U1371">
        <v>0</v>
      </c>
      <c r="V1371">
        <v>0</v>
      </c>
    </row>
    <row r="1372" spans="1:22" x14ac:dyDescent="0.2">
      <c r="A1372" t="s">
        <v>4075</v>
      </c>
      <c r="B1372" t="s">
        <v>4076</v>
      </c>
      <c r="C1372" t="s">
        <v>1897</v>
      </c>
      <c r="D1372" t="s">
        <v>96</v>
      </c>
      <c r="E1372">
        <v>299.99</v>
      </c>
      <c r="F1372" t="s">
        <v>8118</v>
      </c>
      <c r="L1372" t="s">
        <v>7032</v>
      </c>
      <c r="M1372" t="s">
        <v>97</v>
      </c>
      <c r="N1372">
        <v>0</v>
      </c>
      <c r="O1372">
        <v>0</v>
      </c>
      <c r="T1372">
        <v>0</v>
      </c>
      <c r="U1372">
        <v>0</v>
      </c>
      <c r="V1372">
        <v>0</v>
      </c>
    </row>
    <row r="1373" spans="1:22" x14ac:dyDescent="0.2">
      <c r="A1373" t="s">
        <v>7576</v>
      </c>
      <c r="B1373" t="s">
        <v>7577</v>
      </c>
      <c r="C1373" t="s">
        <v>1897</v>
      </c>
      <c r="D1373" t="s">
        <v>96</v>
      </c>
      <c r="E1373">
        <v>39.99</v>
      </c>
      <c r="F1373" t="s">
        <v>8118</v>
      </c>
      <c r="L1373" t="s">
        <v>7032</v>
      </c>
      <c r="M1373" t="s">
        <v>97</v>
      </c>
      <c r="N1373">
        <v>0</v>
      </c>
      <c r="O1373">
        <v>0</v>
      </c>
      <c r="T1373">
        <v>0</v>
      </c>
      <c r="U1373">
        <v>0</v>
      </c>
      <c r="V1373">
        <v>0</v>
      </c>
    </row>
    <row r="1374" spans="1:22" x14ac:dyDescent="0.2">
      <c r="A1374" t="s">
        <v>3772</v>
      </c>
      <c r="B1374" t="s">
        <v>3773</v>
      </c>
      <c r="C1374" t="s">
        <v>1897</v>
      </c>
      <c r="D1374" t="s">
        <v>290</v>
      </c>
      <c r="E1374">
        <v>39.99</v>
      </c>
      <c r="F1374" t="s">
        <v>8118</v>
      </c>
      <c r="L1374" t="s">
        <v>7032</v>
      </c>
      <c r="M1374" t="s">
        <v>97</v>
      </c>
      <c r="N1374">
        <v>0</v>
      </c>
      <c r="O1374">
        <v>0</v>
      </c>
      <c r="T1374">
        <v>0</v>
      </c>
      <c r="U1374">
        <v>0</v>
      </c>
      <c r="V1374">
        <v>2</v>
      </c>
    </row>
    <row r="1375" spans="1:22" x14ac:dyDescent="0.2">
      <c r="A1375" t="s">
        <v>3769</v>
      </c>
      <c r="B1375" t="s">
        <v>3770</v>
      </c>
      <c r="C1375" t="s">
        <v>1897</v>
      </c>
      <c r="D1375" t="s">
        <v>96</v>
      </c>
      <c r="E1375">
        <v>44.99</v>
      </c>
      <c r="F1375" t="s">
        <v>8118</v>
      </c>
      <c r="L1375" t="s">
        <v>7032</v>
      </c>
      <c r="M1375" t="s">
        <v>97</v>
      </c>
      <c r="N1375">
        <v>0</v>
      </c>
      <c r="O1375">
        <v>0</v>
      </c>
      <c r="T1375">
        <v>0</v>
      </c>
      <c r="U1375">
        <v>0</v>
      </c>
      <c r="V1375">
        <v>0</v>
      </c>
    </row>
    <row r="1376" spans="1:22" x14ac:dyDescent="0.2">
      <c r="A1376" t="s">
        <v>1906</v>
      </c>
      <c r="B1376" t="s">
        <v>1907</v>
      </c>
      <c r="C1376" t="s">
        <v>1897</v>
      </c>
      <c r="D1376" t="s">
        <v>290</v>
      </c>
      <c r="E1376">
        <v>44.99</v>
      </c>
      <c r="F1376" t="s">
        <v>8118</v>
      </c>
      <c r="L1376" t="s">
        <v>7032</v>
      </c>
      <c r="M1376" t="s">
        <v>97</v>
      </c>
      <c r="N1376">
        <v>0</v>
      </c>
      <c r="O1376">
        <v>0</v>
      </c>
      <c r="T1376">
        <v>0</v>
      </c>
      <c r="U1376">
        <v>0</v>
      </c>
      <c r="V1376">
        <v>9</v>
      </c>
    </row>
    <row r="1377" spans="1:22" x14ac:dyDescent="0.2">
      <c r="A1377" t="s">
        <v>4048</v>
      </c>
      <c r="B1377" t="s">
        <v>4049</v>
      </c>
      <c r="C1377" t="s">
        <v>1897</v>
      </c>
      <c r="D1377" t="s">
        <v>96</v>
      </c>
      <c r="E1377">
        <v>49.99</v>
      </c>
      <c r="F1377" t="s">
        <v>8118</v>
      </c>
      <c r="L1377" t="s">
        <v>7032</v>
      </c>
      <c r="M1377" t="s">
        <v>97</v>
      </c>
      <c r="N1377">
        <v>0</v>
      </c>
      <c r="O1377">
        <v>0</v>
      </c>
      <c r="T1377">
        <v>0</v>
      </c>
      <c r="U1377">
        <v>0</v>
      </c>
      <c r="V1377">
        <v>0</v>
      </c>
    </row>
    <row r="1378" spans="1:22" x14ac:dyDescent="0.2">
      <c r="A1378" t="s">
        <v>7618</v>
      </c>
      <c r="B1378" t="s">
        <v>7619</v>
      </c>
      <c r="C1378" t="s">
        <v>1897</v>
      </c>
      <c r="D1378" t="s">
        <v>96</v>
      </c>
      <c r="E1378">
        <v>44.99</v>
      </c>
      <c r="F1378" t="s">
        <v>8118</v>
      </c>
      <c r="L1378" t="s">
        <v>7032</v>
      </c>
      <c r="M1378" t="s">
        <v>97</v>
      </c>
      <c r="N1378">
        <v>0</v>
      </c>
      <c r="O1378">
        <v>0</v>
      </c>
      <c r="T1378">
        <v>0</v>
      </c>
      <c r="U1378">
        <v>0</v>
      </c>
      <c r="V1378">
        <v>0</v>
      </c>
    </row>
    <row r="1379" spans="1:22" x14ac:dyDescent="0.2">
      <c r="A1379" t="s">
        <v>4060</v>
      </c>
      <c r="B1379" t="s">
        <v>4061</v>
      </c>
      <c r="C1379" t="s">
        <v>1897</v>
      </c>
      <c r="D1379" t="s">
        <v>96</v>
      </c>
      <c r="E1379">
        <v>49.99</v>
      </c>
      <c r="F1379" t="s">
        <v>8118</v>
      </c>
      <c r="L1379" t="s">
        <v>7032</v>
      </c>
      <c r="M1379" t="s">
        <v>97</v>
      </c>
      <c r="N1379">
        <v>0</v>
      </c>
      <c r="O1379">
        <v>0</v>
      </c>
      <c r="T1379">
        <v>0</v>
      </c>
      <c r="U1379">
        <v>0</v>
      </c>
      <c r="V1379">
        <v>1</v>
      </c>
    </row>
    <row r="1380" spans="1:22" x14ac:dyDescent="0.2">
      <c r="A1380" t="s">
        <v>3762</v>
      </c>
      <c r="B1380" t="s">
        <v>3763</v>
      </c>
      <c r="C1380" t="s">
        <v>1897</v>
      </c>
      <c r="D1380" t="s">
        <v>96</v>
      </c>
      <c r="E1380">
        <v>44.99</v>
      </c>
      <c r="F1380" t="s">
        <v>8118</v>
      </c>
      <c r="L1380" t="s">
        <v>7032</v>
      </c>
      <c r="M1380" t="s">
        <v>97</v>
      </c>
      <c r="N1380">
        <v>0</v>
      </c>
      <c r="O1380">
        <v>0</v>
      </c>
      <c r="T1380">
        <v>0</v>
      </c>
      <c r="U1380">
        <v>0</v>
      </c>
      <c r="V1380">
        <v>0</v>
      </c>
    </row>
    <row r="1381" spans="1:22" x14ac:dyDescent="0.2">
      <c r="A1381" t="s">
        <v>7634</v>
      </c>
      <c r="B1381" t="s">
        <v>7635</v>
      </c>
      <c r="C1381" t="s">
        <v>1897</v>
      </c>
      <c r="D1381" t="s">
        <v>96</v>
      </c>
      <c r="E1381">
        <v>79.989999999999995</v>
      </c>
      <c r="F1381" t="s">
        <v>8118</v>
      </c>
      <c r="L1381" t="s">
        <v>7032</v>
      </c>
      <c r="M1381" t="s">
        <v>97</v>
      </c>
      <c r="N1381">
        <v>0</v>
      </c>
      <c r="O1381">
        <v>0</v>
      </c>
      <c r="T1381">
        <v>0</v>
      </c>
      <c r="U1381">
        <v>0</v>
      </c>
      <c r="V1381">
        <v>0</v>
      </c>
    </row>
    <row r="1382" spans="1:22" x14ac:dyDescent="0.2">
      <c r="A1382" t="s">
        <v>4174</v>
      </c>
      <c r="B1382" t="s">
        <v>4175</v>
      </c>
      <c r="C1382" t="s">
        <v>1897</v>
      </c>
      <c r="D1382" t="s">
        <v>96</v>
      </c>
      <c r="E1382">
        <v>27.99</v>
      </c>
      <c r="F1382" t="s">
        <v>8118</v>
      </c>
      <c r="L1382" t="s">
        <v>7032</v>
      </c>
      <c r="M1382" t="s">
        <v>97</v>
      </c>
      <c r="N1382">
        <v>0</v>
      </c>
      <c r="O1382">
        <v>0</v>
      </c>
      <c r="T1382">
        <v>0</v>
      </c>
      <c r="U1382">
        <v>0</v>
      </c>
      <c r="V1382">
        <v>0</v>
      </c>
    </row>
    <row r="1383" spans="1:22" x14ac:dyDescent="0.2">
      <c r="A1383" t="s">
        <v>3756</v>
      </c>
      <c r="B1383" t="s">
        <v>3757</v>
      </c>
      <c r="C1383" t="s">
        <v>1897</v>
      </c>
      <c r="D1383" t="s">
        <v>96</v>
      </c>
      <c r="E1383">
        <v>44.99</v>
      </c>
      <c r="F1383" t="s">
        <v>8118</v>
      </c>
      <c r="L1383" t="s">
        <v>7032</v>
      </c>
      <c r="M1383" t="s">
        <v>97</v>
      </c>
      <c r="N1383">
        <v>0</v>
      </c>
      <c r="O1383">
        <v>0</v>
      </c>
      <c r="T1383">
        <v>0</v>
      </c>
      <c r="U1383">
        <v>0</v>
      </c>
      <c r="V1383">
        <v>0</v>
      </c>
    </row>
    <row r="1384" spans="1:22" x14ac:dyDescent="0.2">
      <c r="A1384" t="s">
        <v>4072</v>
      </c>
      <c r="B1384" t="s">
        <v>4073</v>
      </c>
      <c r="C1384" t="s">
        <v>1897</v>
      </c>
      <c r="D1384" t="s">
        <v>96</v>
      </c>
      <c r="E1384">
        <v>299.99</v>
      </c>
      <c r="F1384" t="s">
        <v>8118</v>
      </c>
      <c r="L1384" t="s">
        <v>7032</v>
      </c>
      <c r="M1384" t="s">
        <v>97</v>
      </c>
      <c r="N1384">
        <v>0</v>
      </c>
      <c r="O1384">
        <v>0</v>
      </c>
      <c r="T1384">
        <v>0</v>
      </c>
      <c r="U1384">
        <v>0</v>
      </c>
      <c r="V1384">
        <v>0</v>
      </c>
    </row>
    <row r="1385" spans="1:22" x14ac:dyDescent="0.2">
      <c r="A1385" t="s">
        <v>7590</v>
      </c>
      <c r="B1385" t="s">
        <v>7591</v>
      </c>
      <c r="C1385" t="s">
        <v>1897</v>
      </c>
      <c r="D1385" t="s">
        <v>96</v>
      </c>
      <c r="E1385">
        <v>89.99</v>
      </c>
      <c r="F1385" t="s">
        <v>8118</v>
      </c>
      <c r="L1385" t="s">
        <v>7032</v>
      </c>
      <c r="M1385" t="s">
        <v>97</v>
      </c>
      <c r="N1385">
        <v>0</v>
      </c>
      <c r="O1385">
        <v>0</v>
      </c>
      <c r="T1385">
        <v>0</v>
      </c>
      <c r="U1385">
        <v>0</v>
      </c>
      <c r="V1385">
        <v>0</v>
      </c>
    </row>
    <row r="1386" spans="1:22" x14ac:dyDescent="0.2">
      <c r="A1386" t="s">
        <v>7588</v>
      </c>
      <c r="B1386" t="s">
        <v>7589</v>
      </c>
      <c r="C1386" t="s">
        <v>1897</v>
      </c>
      <c r="D1386" t="s">
        <v>96</v>
      </c>
      <c r="E1386">
        <v>89.99</v>
      </c>
      <c r="F1386" t="s">
        <v>8118</v>
      </c>
      <c r="L1386" t="s">
        <v>7032</v>
      </c>
      <c r="M1386" t="s">
        <v>97</v>
      </c>
      <c r="N1386">
        <v>0</v>
      </c>
      <c r="O1386">
        <v>0</v>
      </c>
      <c r="T1386">
        <v>0</v>
      </c>
      <c r="U1386">
        <v>0</v>
      </c>
      <c r="V1386">
        <v>0</v>
      </c>
    </row>
    <row r="1387" spans="1:22" x14ac:dyDescent="0.2">
      <c r="A1387" t="s">
        <v>7586</v>
      </c>
      <c r="B1387" t="s">
        <v>7587</v>
      </c>
      <c r="C1387" t="s">
        <v>1897</v>
      </c>
      <c r="D1387" t="s">
        <v>96</v>
      </c>
      <c r="E1387">
        <v>79.989999999999995</v>
      </c>
      <c r="F1387" t="s">
        <v>8118</v>
      </c>
      <c r="L1387" t="s">
        <v>7032</v>
      </c>
      <c r="M1387" t="s">
        <v>97</v>
      </c>
      <c r="N1387">
        <v>0</v>
      </c>
      <c r="O1387">
        <v>0</v>
      </c>
      <c r="T1387">
        <v>0</v>
      </c>
      <c r="U1387">
        <v>0</v>
      </c>
      <c r="V1387">
        <v>0</v>
      </c>
    </row>
    <row r="1388" spans="1:22" x14ac:dyDescent="0.2">
      <c r="A1388" t="s">
        <v>7584</v>
      </c>
      <c r="B1388" t="s">
        <v>7585</v>
      </c>
      <c r="C1388" t="s">
        <v>1897</v>
      </c>
      <c r="D1388" t="s">
        <v>96</v>
      </c>
      <c r="E1388">
        <v>79.989999999999995</v>
      </c>
      <c r="F1388" t="s">
        <v>8118</v>
      </c>
      <c r="L1388" t="s">
        <v>7032</v>
      </c>
      <c r="M1388" t="s">
        <v>97</v>
      </c>
      <c r="N1388">
        <v>0</v>
      </c>
      <c r="O1388">
        <v>0</v>
      </c>
      <c r="T1388">
        <v>0</v>
      </c>
      <c r="U1388">
        <v>0</v>
      </c>
      <c r="V1388">
        <v>0</v>
      </c>
    </row>
    <row r="1389" spans="1:22" x14ac:dyDescent="0.2">
      <c r="A1389" t="s">
        <v>1928</v>
      </c>
      <c r="B1389" t="s">
        <v>1929</v>
      </c>
      <c r="C1389" t="s">
        <v>1897</v>
      </c>
      <c r="D1389" t="s">
        <v>290</v>
      </c>
      <c r="E1389">
        <v>69.989999999999995</v>
      </c>
      <c r="F1389" t="s">
        <v>8118</v>
      </c>
      <c r="L1389" t="s">
        <v>7032</v>
      </c>
      <c r="M1389" t="s">
        <v>97</v>
      </c>
      <c r="N1389">
        <v>20</v>
      </c>
      <c r="O1389">
        <v>0.05</v>
      </c>
      <c r="T1389">
        <v>0.2</v>
      </c>
      <c r="U1389">
        <v>0</v>
      </c>
      <c r="V1389">
        <v>4</v>
      </c>
    </row>
    <row r="1390" spans="1:22" x14ac:dyDescent="0.2">
      <c r="A1390" t="s">
        <v>7632</v>
      </c>
      <c r="B1390" t="s">
        <v>7633</v>
      </c>
      <c r="C1390" t="s">
        <v>1897</v>
      </c>
      <c r="D1390" t="s">
        <v>96</v>
      </c>
      <c r="E1390">
        <v>34.99</v>
      </c>
      <c r="F1390" t="s">
        <v>8118</v>
      </c>
      <c r="L1390" t="s">
        <v>7032</v>
      </c>
      <c r="M1390" t="s">
        <v>97</v>
      </c>
      <c r="N1390">
        <v>0</v>
      </c>
      <c r="O1390">
        <v>0</v>
      </c>
      <c r="T1390">
        <v>0</v>
      </c>
      <c r="U1390">
        <v>0</v>
      </c>
      <c r="V1390">
        <v>0</v>
      </c>
    </row>
    <row r="1391" spans="1:22" x14ac:dyDescent="0.2">
      <c r="A1391" t="s">
        <v>3917</v>
      </c>
      <c r="B1391" t="s">
        <v>3918</v>
      </c>
      <c r="C1391" t="s">
        <v>1897</v>
      </c>
      <c r="D1391" t="s">
        <v>96</v>
      </c>
      <c r="E1391">
        <v>99.99</v>
      </c>
      <c r="F1391" t="s">
        <v>8118</v>
      </c>
      <c r="L1391" t="s">
        <v>7032</v>
      </c>
      <c r="M1391" t="s">
        <v>97</v>
      </c>
      <c r="N1391">
        <v>0</v>
      </c>
      <c r="O1391">
        <v>0</v>
      </c>
      <c r="T1391">
        <v>0</v>
      </c>
      <c r="U1391">
        <v>0</v>
      </c>
      <c r="V1391">
        <v>0</v>
      </c>
    </row>
    <row r="1392" spans="1:22" x14ac:dyDescent="0.2">
      <c r="A1392" t="s">
        <v>3850</v>
      </c>
      <c r="B1392" t="s">
        <v>3851</v>
      </c>
      <c r="C1392" t="s">
        <v>1897</v>
      </c>
      <c r="D1392" t="s">
        <v>96</v>
      </c>
      <c r="F1392" t="s">
        <v>8118</v>
      </c>
      <c r="L1392" t="s">
        <v>7032</v>
      </c>
      <c r="M1392" t="s">
        <v>97</v>
      </c>
      <c r="N1392">
        <v>0</v>
      </c>
      <c r="O1392">
        <v>0</v>
      </c>
      <c r="T1392">
        <v>0</v>
      </c>
      <c r="V1392">
        <v>0</v>
      </c>
    </row>
    <row r="1393" spans="1:22" x14ac:dyDescent="0.2">
      <c r="A1393" t="s">
        <v>3908</v>
      </c>
      <c r="B1393" t="s">
        <v>3909</v>
      </c>
      <c r="C1393" t="s">
        <v>1897</v>
      </c>
      <c r="D1393" t="s">
        <v>96</v>
      </c>
      <c r="E1393">
        <v>99.99</v>
      </c>
      <c r="F1393" t="s">
        <v>8118</v>
      </c>
      <c r="L1393" t="s">
        <v>7032</v>
      </c>
      <c r="M1393" t="s">
        <v>97</v>
      </c>
      <c r="N1393">
        <v>0</v>
      </c>
      <c r="O1393">
        <v>0</v>
      </c>
      <c r="T1393">
        <v>0</v>
      </c>
      <c r="U1393">
        <v>0</v>
      </c>
      <c r="V1393">
        <v>0</v>
      </c>
    </row>
    <row r="1394" spans="1:22" x14ac:dyDescent="0.2">
      <c r="A1394" t="s">
        <v>7558</v>
      </c>
      <c r="B1394" t="s">
        <v>7559</v>
      </c>
      <c r="C1394" t="s">
        <v>1897</v>
      </c>
      <c r="D1394" t="s">
        <v>96</v>
      </c>
      <c r="E1394">
        <v>69.989999999999995</v>
      </c>
      <c r="F1394" t="s">
        <v>8118</v>
      </c>
      <c r="L1394" t="s">
        <v>7032</v>
      </c>
      <c r="M1394" t="s">
        <v>97</v>
      </c>
      <c r="N1394">
        <v>0</v>
      </c>
      <c r="O1394">
        <v>0</v>
      </c>
      <c r="T1394">
        <v>0</v>
      </c>
      <c r="U1394">
        <v>0</v>
      </c>
      <c r="V1394">
        <v>0</v>
      </c>
    </row>
    <row r="1395" spans="1:22" x14ac:dyDescent="0.2">
      <c r="A1395" t="s">
        <v>7538</v>
      </c>
      <c r="B1395" t="s">
        <v>7539</v>
      </c>
      <c r="C1395" t="s">
        <v>1897</v>
      </c>
      <c r="D1395" t="s">
        <v>96</v>
      </c>
      <c r="E1395">
        <v>44.99</v>
      </c>
      <c r="F1395" t="s">
        <v>8118</v>
      </c>
      <c r="L1395" t="s">
        <v>7032</v>
      </c>
      <c r="M1395" t="s">
        <v>97</v>
      </c>
      <c r="N1395">
        <v>0</v>
      </c>
      <c r="O1395">
        <v>0</v>
      </c>
      <c r="T1395">
        <v>0</v>
      </c>
      <c r="U1395">
        <v>0</v>
      </c>
      <c r="V1395">
        <v>7</v>
      </c>
    </row>
    <row r="1396" spans="1:22" x14ac:dyDescent="0.2">
      <c r="A1396" t="s">
        <v>3788</v>
      </c>
      <c r="B1396" t="s">
        <v>3789</v>
      </c>
      <c r="C1396" t="s">
        <v>1897</v>
      </c>
      <c r="D1396" t="s">
        <v>96</v>
      </c>
      <c r="E1396">
        <v>159.99</v>
      </c>
      <c r="F1396" t="s">
        <v>8118</v>
      </c>
      <c r="L1396" t="s">
        <v>7032</v>
      </c>
      <c r="M1396" t="s">
        <v>97</v>
      </c>
      <c r="N1396">
        <v>0</v>
      </c>
      <c r="O1396">
        <v>0</v>
      </c>
      <c r="T1396">
        <v>0</v>
      </c>
      <c r="U1396">
        <v>0</v>
      </c>
      <c r="V1396">
        <v>0</v>
      </c>
    </row>
    <row r="1397" spans="1:22" x14ac:dyDescent="0.2">
      <c r="A1397" t="s">
        <v>3729</v>
      </c>
      <c r="B1397" t="s">
        <v>3730</v>
      </c>
      <c r="C1397" t="s">
        <v>1897</v>
      </c>
      <c r="D1397" t="s">
        <v>96</v>
      </c>
      <c r="E1397">
        <v>49.99</v>
      </c>
      <c r="F1397" t="s">
        <v>8118</v>
      </c>
      <c r="L1397" t="s">
        <v>7032</v>
      </c>
      <c r="M1397" t="s">
        <v>97</v>
      </c>
      <c r="N1397">
        <v>0</v>
      </c>
      <c r="O1397">
        <v>0</v>
      </c>
      <c r="T1397">
        <v>0</v>
      </c>
      <c r="U1397">
        <v>0</v>
      </c>
      <c r="V1397">
        <v>0</v>
      </c>
    </row>
    <row r="1398" spans="1:22" x14ac:dyDescent="0.2">
      <c r="A1398" t="s">
        <v>4036</v>
      </c>
      <c r="B1398" t="s">
        <v>4037</v>
      </c>
      <c r="C1398" t="s">
        <v>1897</v>
      </c>
      <c r="D1398" t="s">
        <v>96</v>
      </c>
      <c r="E1398">
        <v>99.99</v>
      </c>
      <c r="F1398" t="s">
        <v>8118</v>
      </c>
      <c r="L1398" t="s">
        <v>7032</v>
      </c>
      <c r="M1398" t="s">
        <v>97</v>
      </c>
      <c r="N1398">
        <v>0</v>
      </c>
      <c r="O1398">
        <v>0</v>
      </c>
      <c r="T1398">
        <v>0</v>
      </c>
      <c r="U1398">
        <v>0</v>
      </c>
      <c r="V1398">
        <v>0</v>
      </c>
    </row>
    <row r="1399" spans="1:22" x14ac:dyDescent="0.2">
      <c r="A1399" t="s">
        <v>4178</v>
      </c>
      <c r="B1399" t="s">
        <v>4179</v>
      </c>
      <c r="C1399" t="s">
        <v>1897</v>
      </c>
      <c r="D1399" t="s">
        <v>96</v>
      </c>
      <c r="E1399">
        <v>99.99</v>
      </c>
      <c r="F1399" t="s">
        <v>8118</v>
      </c>
      <c r="L1399" t="s">
        <v>7032</v>
      </c>
      <c r="M1399" t="s">
        <v>97</v>
      </c>
      <c r="N1399">
        <v>0</v>
      </c>
      <c r="O1399">
        <v>0</v>
      </c>
      <c r="T1399">
        <v>0</v>
      </c>
      <c r="U1399">
        <v>0</v>
      </c>
      <c r="V1399">
        <v>0</v>
      </c>
    </row>
    <row r="1400" spans="1:22" x14ac:dyDescent="0.2">
      <c r="A1400" t="s">
        <v>4057</v>
      </c>
      <c r="B1400" t="s">
        <v>4058</v>
      </c>
      <c r="C1400" t="s">
        <v>1897</v>
      </c>
      <c r="D1400" t="s">
        <v>96</v>
      </c>
      <c r="E1400">
        <v>49.99</v>
      </c>
      <c r="F1400" t="s">
        <v>8118</v>
      </c>
      <c r="L1400" t="s">
        <v>7032</v>
      </c>
      <c r="M1400" t="s">
        <v>97</v>
      </c>
      <c r="N1400">
        <v>0</v>
      </c>
      <c r="O1400">
        <v>0</v>
      </c>
      <c r="T1400">
        <v>0</v>
      </c>
      <c r="U1400">
        <v>0</v>
      </c>
      <c r="V1400">
        <v>0</v>
      </c>
    </row>
    <row r="1401" spans="1:22" x14ac:dyDescent="0.2">
      <c r="A1401" t="s">
        <v>1914</v>
      </c>
      <c r="B1401" t="s">
        <v>1915</v>
      </c>
      <c r="C1401" t="s">
        <v>1897</v>
      </c>
      <c r="D1401" t="s">
        <v>290</v>
      </c>
      <c r="E1401">
        <v>64.989999999999995</v>
      </c>
      <c r="F1401" t="s">
        <v>8118</v>
      </c>
      <c r="L1401" t="s">
        <v>7032</v>
      </c>
      <c r="M1401" t="s">
        <v>97</v>
      </c>
      <c r="N1401">
        <v>0</v>
      </c>
      <c r="O1401">
        <v>0</v>
      </c>
      <c r="T1401">
        <v>0</v>
      </c>
      <c r="U1401">
        <v>0</v>
      </c>
      <c r="V1401">
        <v>2</v>
      </c>
    </row>
    <row r="1402" spans="1:22" x14ac:dyDescent="0.2">
      <c r="A1402" t="s">
        <v>7714</v>
      </c>
      <c r="B1402" t="s">
        <v>7715</v>
      </c>
      <c r="C1402" t="s">
        <v>1897</v>
      </c>
      <c r="D1402" t="s">
        <v>96</v>
      </c>
      <c r="E1402">
        <v>54.99</v>
      </c>
      <c r="F1402" t="s">
        <v>8118</v>
      </c>
      <c r="L1402" t="s">
        <v>7032</v>
      </c>
      <c r="M1402" t="s">
        <v>97</v>
      </c>
      <c r="N1402">
        <v>0</v>
      </c>
      <c r="O1402">
        <v>0</v>
      </c>
      <c r="T1402">
        <v>0</v>
      </c>
      <c r="U1402">
        <v>0</v>
      </c>
      <c r="V1402">
        <v>0</v>
      </c>
    </row>
    <row r="1403" spans="1:22" x14ac:dyDescent="0.2">
      <c r="A1403" t="s">
        <v>7716</v>
      </c>
      <c r="B1403" t="s">
        <v>7717</v>
      </c>
      <c r="C1403" t="s">
        <v>1897</v>
      </c>
      <c r="D1403" t="s">
        <v>96</v>
      </c>
      <c r="E1403">
        <v>54.99</v>
      </c>
      <c r="F1403" t="s">
        <v>8118</v>
      </c>
      <c r="L1403" t="s">
        <v>7032</v>
      </c>
      <c r="M1403" t="s">
        <v>97</v>
      </c>
      <c r="N1403">
        <v>0</v>
      </c>
      <c r="O1403">
        <v>0</v>
      </c>
      <c r="T1403">
        <v>0</v>
      </c>
      <c r="U1403">
        <v>0</v>
      </c>
      <c r="V1403">
        <v>0</v>
      </c>
    </row>
    <row r="1404" spans="1:22" x14ac:dyDescent="0.2">
      <c r="A1404" t="s">
        <v>1912</v>
      </c>
      <c r="B1404" t="s">
        <v>1913</v>
      </c>
      <c r="C1404" t="s">
        <v>1897</v>
      </c>
      <c r="D1404" t="s">
        <v>290</v>
      </c>
      <c r="E1404">
        <v>54.99</v>
      </c>
      <c r="F1404" t="s">
        <v>8118</v>
      </c>
      <c r="L1404" t="s">
        <v>7032</v>
      </c>
      <c r="M1404" t="s">
        <v>97</v>
      </c>
      <c r="N1404">
        <v>0</v>
      </c>
      <c r="O1404">
        <v>0</v>
      </c>
      <c r="T1404">
        <v>0</v>
      </c>
      <c r="U1404">
        <v>0</v>
      </c>
      <c r="V1404">
        <v>0</v>
      </c>
    </row>
    <row r="1405" spans="1:22" x14ac:dyDescent="0.2">
      <c r="A1405" t="s">
        <v>1916</v>
      </c>
      <c r="B1405" t="s">
        <v>1917</v>
      </c>
      <c r="C1405" t="s">
        <v>1897</v>
      </c>
      <c r="D1405" t="s">
        <v>290</v>
      </c>
      <c r="E1405">
        <v>99.99</v>
      </c>
      <c r="F1405" t="s">
        <v>8118</v>
      </c>
      <c r="L1405" t="s">
        <v>7032</v>
      </c>
      <c r="M1405" t="s">
        <v>97</v>
      </c>
      <c r="N1405">
        <v>0</v>
      </c>
      <c r="O1405">
        <v>0</v>
      </c>
      <c r="T1405">
        <v>0</v>
      </c>
      <c r="U1405">
        <v>0</v>
      </c>
      <c r="V1405">
        <v>0</v>
      </c>
    </row>
    <row r="1406" spans="1:22" x14ac:dyDescent="0.2">
      <c r="A1406" t="s">
        <v>7812</v>
      </c>
      <c r="B1406" t="s">
        <v>7813</v>
      </c>
      <c r="C1406" t="s">
        <v>1897</v>
      </c>
      <c r="D1406" t="s">
        <v>96</v>
      </c>
      <c r="E1406">
        <v>99.99</v>
      </c>
      <c r="F1406" t="s">
        <v>8118</v>
      </c>
      <c r="L1406" t="s">
        <v>7032</v>
      </c>
      <c r="M1406" t="s">
        <v>97</v>
      </c>
      <c r="N1406">
        <v>0</v>
      </c>
      <c r="O1406">
        <v>0</v>
      </c>
      <c r="T1406">
        <v>0</v>
      </c>
      <c r="U1406">
        <v>0</v>
      </c>
      <c r="V1406">
        <v>0</v>
      </c>
    </row>
    <row r="1407" spans="1:22" x14ac:dyDescent="0.2">
      <c r="A1407" t="s">
        <v>1900</v>
      </c>
      <c r="B1407" t="s">
        <v>1901</v>
      </c>
      <c r="C1407" t="s">
        <v>1897</v>
      </c>
      <c r="D1407" t="s">
        <v>290</v>
      </c>
      <c r="E1407">
        <v>69.989999999999995</v>
      </c>
      <c r="F1407" t="s">
        <v>8118</v>
      </c>
      <c r="L1407" t="s">
        <v>7032</v>
      </c>
      <c r="M1407" t="s">
        <v>97</v>
      </c>
      <c r="N1407">
        <v>0</v>
      </c>
      <c r="O1407">
        <v>0</v>
      </c>
      <c r="T1407">
        <v>0</v>
      </c>
      <c r="U1407">
        <v>0</v>
      </c>
      <c r="V1407">
        <v>0</v>
      </c>
    </row>
    <row r="1408" spans="1:22" x14ac:dyDescent="0.2">
      <c r="A1408" t="s">
        <v>7804</v>
      </c>
      <c r="B1408" t="s">
        <v>7805</v>
      </c>
      <c r="C1408" t="s">
        <v>1897</v>
      </c>
      <c r="D1408" t="s">
        <v>96</v>
      </c>
      <c r="E1408">
        <v>69.989999999999995</v>
      </c>
      <c r="F1408" t="s">
        <v>8118</v>
      </c>
      <c r="L1408" t="s">
        <v>7032</v>
      </c>
      <c r="M1408" t="s">
        <v>97</v>
      </c>
      <c r="N1408">
        <v>0</v>
      </c>
      <c r="O1408">
        <v>0</v>
      </c>
      <c r="T1408">
        <v>0</v>
      </c>
      <c r="U1408">
        <v>0</v>
      </c>
      <c r="V1408">
        <v>0</v>
      </c>
    </row>
    <row r="1409" spans="1:22" x14ac:dyDescent="0.2">
      <c r="A1409" t="s">
        <v>4191</v>
      </c>
      <c r="B1409" t="s">
        <v>4192</v>
      </c>
      <c r="C1409" t="s">
        <v>1897</v>
      </c>
      <c r="D1409" t="s">
        <v>96</v>
      </c>
      <c r="E1409">
        <v>249.99</v>
      </c>
      <c r="F1409" t="s">
        <v>8118</v>
      </c>
      <c r="L1409" t="s">
        <v>7032</v>
      </c>
      <c r="M1409" t="s">
        <v>97</v>
      </c>
      <c r="N1409">
        <v>0</v>
      </c>
      <c r="O1409">
        <v>0</v>
      </c>
      <c r="T1409">
        <v>0</v>
      </c>
      <c r="U1409">
        <v>0</v>
      </c>
      <c r="V1409">
        <v>1</v>
      </c>
    </row>
    <row r="1410" spans="1:22" x14ac:dyDescent="0.2">
      <c r="A1410" t="s">
        <v>4114</v>
      </c>
      <c r="B1410" t="s">
        <v>4115</v>
      </c>
      <c r="C1410" t="s">
        <v>1897</v>
      </c>
      <c r="D1410" t="s">
        <v>290</v>
      </c>
      <c r="E1410">
        <v>79.989999999999995</v>
      </c>
      <c r="F1410" t="s">
        <v>8118</v>
      </c>
      <c r="L1410" t="s">
        <v>7032</v>
      </c>
      <c r="M1410" t="s">
        <v>97</v>
      </c>
      <c r="N1410">
        <v>0</v>
      </c>
      <c r="O1410">
        <v>0</v>
      </c>
      <c r="T1410">
        <v>0</v>
      </c>
      <c r="U1410">
        <v>0</v>
      </c>
      <c r="V1410">
        <v>2</v>
      </c>
    </row>
    <row r="1411" spans="1:22" x14ac:dyDescent="0.2">
      <c r="A1411" t="s">
        <v>1922</v>
      </c>
      <c r="B1411" t="s">
        <v>1923</v>
      </c>
      <c r="C1411" t="s">
        <v>1897</v>
      </c>
      <c r="D1411" t="s">
        <v>290</v>
      </c>
      <c r="E1411">
        <v>49.99</v>
      </c>
      <c r="F1411" t="s">
        <v>8118</v>
      </c>
      <c r="L1411" t="s">
        <v>7032</v>
      </c>
      <c r="M1411" t="s">
        <v>97</v>
      </c>
      <c r="N1411">
        <v>0</v>
      </c>
      <c r="O1411">
        <v>0</v>
      </c>
      <c r="T1411">
        <v>0</v>
      </c>
      <c r="U1411">
        <v>0</v>
      </c>
      <c r="V1411">
        <v>1</v>
      </c>
    </row>
    <row r="1412" spans="1:22" x14ac:dyDescent="0.2">
      <c r="A1412" t="s">
        <v>1958</v>
      </c>
      <c r="B1412" t="s">
        <v>1959</v>
      </c>
      <c r="C1412" t="s">
        <v>1897</v>
      </c>
      <c r="D1412" t="s">
        <v>290</v>
      </c>
      <c r="E1412">
        <v>99.99</v>
      </c>
      <c r="F1412" t="s">
        <v>8118</v>
      </c>
      <c r="L1412" t="s">
        <v>7032</v>
      </c>
      <c r="M1412" t="s">
        <v>97</v>
      </c>
      <c r="N1412">
        <v>0</v>
      </c>
      <c r="O1412">
        <v>0</v>
      </c>
      <c r="T1412">
        <v>0</v>
      </c>
      <c r="U1412">
        <v>0</v>
      </c>
      <c r="V1412">
        <v>4</v>
      </c>
    </row>
    <row r="1413" spans="1:22" x14ac:dyDescent="0.2">
      <c r="A1413" t="s">
        <v>7572</v>
      </c>
      <c r="B1413" t="s">
        <v>7573</v>
      </c>
      <c r="C1413" t="s">
        <v>1897</v>
      </c>
      <c r="D1413" t="s">
        <v>96</v>
      </c>
      <c r="E1413">
        <v>32.99</v>
      </c>
      <c r="F1413" t="s">
        <v>8118</v>
      </c>
      <c r="L1413" t="s">
        <v>7032</v>
      </c>
      <c r="M1413" t="s">
        <v>97</v>
      </c>
      <c r="N1413">
        <v>0</v>
      </c>
      <c r="O1413">
        <v>0</v>
      </c>
      <c r="T1413">
        <v>0</v>
      </c>
      <c r="U1413">
        <v>0</v>
      </c>
      <c r="V1413">
        <v>0</v>
      </c>
    </row>
    <row r="1414" spans="1:22" x14ac:dyDescent="0.2">
      <c r="A1414" t="s">
        <v>1960</v>
      </c>
      <c r="B1414" t="s">
        <v>1961</v>
      </c>
      <c r="C1414" t="s">
        <v>1897</v>
      </c>
      <c r="D1414" t="s">
        <v>290</v>
      </c>
      <c r="E1414">
        <v>64.989999999999995</v>
      </c>
      <c r="F1414" t="s">
        <v>8118</v>
      </c>
      <c r="L1414" t="s">
        <v>7032</v>
      </c>
      <c r="M1414" t="s">
        <v>97</v>
      </c>
      <c r="N1414">
        <v>0</v>
      </c>
      <c r="O1414">
        <v>0</v>
      </c>
      <c r="T1414">
        <v>0</v>
      </c>
      <c r="U1414">
        <v>0</v>
      </c>
      <c r="V1414">
        <v>7</v>
      </c>
    </row>
    <row r="1415" spans="1:22" x14ac:dyDescent="0.2">
      <c r="A1415" t="s">
        <v>3930</v>
      </c>
      <c r="B1415" t="s">
        <v>3931</v>
      </c>
      <c r="C1415" t="s">
        <v>1897</v>
      </c>
      <c r="D1415" t="s">
        <v>96</v>
      </c>
      <c r="E1415">
        <v>59.99</v>
      </c>
      <c r="F1415" t="s">
        <v>8118</v>
      </c>
      <c r="L1415" t="s">
        <v>7032</v>
      </c>
      <c r="M1415" t="s">
        <v>97</v>
      </c>
      <c r="N1415">
        <v>0</v>
      </c>
      <c r="O1415">
        <v>0</v>
      </c>
      <c r="T1415">
        <v>0</v>
      </c>
      <c r="U1415">
        <v>0</v>
      </c>
      <c r="V1415">
        <v>0</v>
      </c>
    </row>
    <row r="1416" spans="1:22" x14ac:dyDescent="0.2">
      <c r="A1416" t="s">
        <v>7562</v>
      </c>
      <c r="B1416" t="s">
        <v>7563</v>
      </c>
      <c r="C1416" t="s">
        <v>1897</v>
      </c>
      <c r="D1416" t="s">
        <v>96</v>
      </c>
      <c r="E1416">
        <v>59.99</v>
      </c>
      <c r="F1416" t="s">
        <v>8118</v>
      </c>
      <c r="L1416" t="s">
        <v>7032</v>
      </c>
      <c r="M1416" t="s">
        <v>97</v>
      </c>
      <c r="N1416">
        <v>0</v>
      </c>
      <c r="O1416">
        <v>0</v>
      </c>
      <c r="T1416">
        <v>0</v>
      </c>
      <c r="U1416">
        <v>0</v>
      </c>
      <c r="V1416">
        <v>0</v>
      </c>
    </row>
    <row r="1417" spans="1:22" x14ac:dyDescent="0.2">
      <c r="A1417" t="s">
        <v>7508</v>
      </c>
      <c r="B1417" t="s">
        <v>7509</v>
      </c>
      <c r="C1417" t="s">
        <v>1897</v>
      </c>
      <c r="D1417" t="s">
        <v>96</v>
      </c>
      <c r="E1417">
        <v>39.99</v>
      </c>
      <c r="F1417" t="s">
        <v>8118</v>
      </c>
      <c r="L1417" t="s">
        <v>7032</v>
      </c>
      <c r="M1417" t="s">
        <v>97</v>
      </c>
      <c r="N1417">
        <v>0</v>
      </c>
      <c r="O1417">
        <v>0</v>
      </c>
      <c r="T1417">
        <v>0</v>
      </c>
      <c r="U1417">
        <v>0</v>
      </c>
      <c r="V1417">
        <v>0</v>
      </c>
    </row>
    <row r="1418" spans="1:22" x14ac:dyDescent="0.2">
      <c r="A1418" t="s">
        <v>3816</v>
      </c>
      <c r="B1418" t="s">
        <v>3817</v>
      </c>
      <c r="C1418" t="s">
        <v>1897</v>
      </c>
      <c r="D1418" t="s">
        <v>96</v>
      </c>
      <c r="E1418">
        <v>19.989999999999998</v>
      </c>
      <c r="F1418" t="s">
        <v>8118</v>
      </c>
      <c r="L1418" t="s">
        <v>7032</v>
      </c>
      <c r="M1418" t="s">
        <v>97</v>
      </c>
      <c r="N1418">
        <v>0</v>
      </c>
      <c r="O1418">
        <v>0</v>
      </c>
      <c r="T1418">
        <v>0</v>
      </c>
      <c r="U1418">
        <v>0</v>
      </c>
      <c r="V1418">
        <v>0</v>
      </c>
    </row>
    <row r="1419" spans="1:22" x14ac:dyDescent="0.2">
      <c r="A1419" t="s">
        <v>4102</v>
      </c>
      <c r="B1419" t="s">
        <v>4103</v>
      </c>
      <c r="C1419" t="s">
        <v>1897</v>
      </c>
      <c r="D1419" t="s">
        <v>96</v>
      </c>
      <c r="E1419">
        <v>69.989999999999995</v>
      </c>
      <c r="F1419" t="s">
        <v>8118</v>
      </c>
      <c r="L1419" t="s">
        <v>7032</v>
      </c>
      <c r="M1419" t="s">
        <v>97</v>
      </c>
      <c r="N1419">
        <v>0</v>
      </c>
      <c r="O1419">
        <v>0</v>
      </c>
      <c r="T1419">
        <v>0</v>
      </c>
      <c r="U1419">
        <v>0</v>
      </c>
      <c r="V1419">
        <v>0</v>
      </c>
    </row>
    <row r="1420" spans="1:22" x14ac:dyDescent="0.2">
      <c r="A1420" t="s">
        <v>4111</v>
      </c>
      <c r="B1420" t="s">
        <v>4112</v>
      </c>
      <c r="C1420" t="s">
        <v>1897</v>
      </c>
      <c r="D1420" t="s">
        <v>96</v>
      </c>
      <c r="E1420">
        <v>79.989999999999995</v>
      </c>
      <c r="F1420" t="s">
        <v>8118</v>
      </c>
      <c r="L1420" t="s">
        <v>7032</v>
      </c>
      <c r="M1420" t="s">
        <v>97</v>
      </c>
      <c r="N1420">
        <v>0</v>
      </c>
      <c r="O1420">
        <v>0</v>
      </c>
      <c r="T1420">
        <v>0</v>
      </c>
      <c r="U1420">
        <v>0</v>
      </c>
      <c r="V1420">
        <v>4</v>
      </c>
    </row>
    <row r="1421" spans="1:22" x14ac:dyDescent="0.2">
      <c r="A1421" t="s">
        <v>3807</v>
      </c>
      <c r="B1421" t="s">
        <v>3808</v>
      </c>
      <c r="C1421" t="s">
        <v>1897</v>
      </c>
      <c r="D1421" t="s">
        <v>96</v>
      </c>
      <c r="E1421">
        <v>34.99</v>
      </c>
      <c r="F1421" t="s">
        <v>8118</v>
      </c>
      <c r="L1421" t="s">
        <v>7032</v>
      </c>
      <c r="M1421" t="s">
        <v>97</v>
      </c>
      <c r="N1421">
        <v>0</v>
      </c>
      <c r="O1421">
        <v>0</v>
      </c>
      <c r="T1421">
        <v>0</v>
      </c>
      <c r="U1421">
        <v>0</v>
      </c>
      <c r="V1421">
        <v>2</v>
      </c>
    </row>
    <row r="1422" spans="1:22" x14ac:dyDescent="0.2">
      <c r="A1422" t="s">
        <v>7766</v>
      </c>
      <c r="B1422" t="s">
        <v>7767</v>
      </c>
      <c r="C1422" t="s">
        <v>1897</v>
      </c>
      <c r="D1422" t="s">
        <v>96</v>
      </c>
      <c r="E1422">
        <v>99.99</v>
      </c>
      <c r="F1422" t="s">
        <v>8118</v>
      </c>
      <c r="L1422" t="s">
        <v>7032</v>
      </c>
      <c r="M1422" t="s">
        <v>97</v>
      </c>
      <c r="N1422">
        <v>0</v>
      </c>
      <c r="O1422">
        <v>0</v>
      </c>
      <c r="T1422">
        <v>0</v>
      </c>
      <c r="U1422">
        <v>0</v>
      </c>
      <c r="V1422">
        <v>0</v>
      </c>
    </row>
    <row r="1423" spans="1:22" x14ac:dyDescent="0.2">
      <c r="A1423" t="s">
        <v>7610</v>
      </c>
      <c r="B1423" t="s">
        <v>7611</v>
      </c>
      <c r="C1423" t="s">
        <v>1897</v>
      </c>
      <c r="D1423" t="s">
        <v>96</v>
      </c>
      <c r="E1423">
        <v>39.99</v>
      </c>
      <c r="F1423" t="s">
        <v>8118</v>
      </c>
      <c r="L1423" t="s">
        <v>7032</v>
      </c>
      <c r="M1423" t="s">
        <v>97</v>
      </c>
      <c r="N1423">
        <v>0</v>
      </c>
      <c r="O1423">
        <v>0</v>
      </c>
      <c r="T1423">
        <v>0</v>
      </c>
      <c r="U1423">
        <v>0</v>
      </c>
      <c r="V1423">
        <v>1</v>
      </c>
    </row>
    <row r="1424" spans="1:22" x14ac:dyDescent="0.2">
      <c r="A1424" t="s">
        <v>7552</v>
      </c>
      <c r="B1424" t="s">
        <v>7553</v>
      </c>
      <c r="C1424" t="s">
        <v>1897</v>
      </c>
      <c r="D1424" t="s">
        <v>96</v>
      </c>
      <c r="E1424">
        <v>59.99</v>
      </c>
      <c r="F1424" t="s">
        <v>8118</v>
      </c>
      <c r="L1424" t="s">
        <v>7032</v>
      </c>
      <c r="M1424" t="s">
        <v>97</v>
      </c>
      <c r="N1424">
        <v>0</v>
      </c>
      <c r="O1424">
        <v>0</v>
      </c>
      <c r="T1424">
        <v>0</v>
      </c>
      <c r="U1424">
        <v>0</v>
      </c>
      <c r="V1424">
        <v>1</v>
      </c>
    </row>
    <row r="1425" spans="1:22" x14ac:dyDescent="0.2">
      <c r="A1425" t="s">
        <v>4000</v>
      </c>
      <c r="B1425" t="s">
        <v>4001</v>
      </c>
      <c r="C1425" t="s">
        <v>1897</v>
      </c>
      <c r="D1425" t="s">
        <v>96</v>
      </c>
      <c r="E1425">
        <v>59.99</v>
      </c>
      <c r="F1425" t="s">
        <v>8118</v>
      </c>
      <c r="L1425" t="s">
        <v>7032</v>
      </c>
      <c r="M1425" t="s">
        <v>97</v>
      </c>
      <c r="N1425">
        <v>0</v>
      </c>
      <c r="O1425">
        <v>0</v>
      </c>
      <c r="T1425">
        <v>0</v>
      </c>
      <c r="U1425">
        <v>0</v>
      </c>
      <c r="V1425">
        <v>3</v>
      </c>
    </row>
    <row r="1426" spans="1:22" x14ac:dyDescent="0.2">
      <c r="A1426" t="s">
        <v>1936</v>
      </c>
      <c r="B1426" t="s">
        <v>1937</v>
      </c>
      <c r="C1426" t="s">
        <v>1897</v>
      </c>
      <c r="D1426" t="s">
        <v>290</v>
      </c>
      <c r="E1426">
        <v>29.99</v>
      </c>
      <c r="F1426" t="s">
        <v>8118</v>
      </c>
      <c r="L1426" t="s">
        <v>7032</v>
      </c>
      <c r="M1426" t="s">
        <v>97</v>
      </c>
      <c r="N1426">
        <v>0</v>
      </c>
      <c r="O1426">
        <v>0</v>
      </c>
      <c r="T1426">
        <v>0</v>
      </c>
      <c r="U1426">
        <v>0</v>
      </c>
      <c r="V1426">
        <v>9</v>
      </c>
    </row>
    <row r="1427" spans="1:22" x14ac:dyDescent="0.2">
      <c r="A1427" t="s">
        <v>7540</v>
      </c>
      <c r="B1427" t="s">
        <v>7541</v>
      </c>
      <c r="C1427" t="s">
        <v>1897</v>
      </c>
      <c r="D1427" t="s">
        <v>96</v>
      </c>
      <c r="E1427">
        <v>89.99</v>
      </c>
      <c r="F1427" t="s">
        <v>8118</v>
      </c>
      <c r="L1427" t="s">
        <v>7032</v>
      </c>
      <c r="M1427" t="s">
        <v>97</v>
      </c>
      <c r="N1427">
        <v>0</v>
      </c>
      <c r="O1427">
        <v>0</v>
      </c>
      <c r="T1427">
        <v>0</v>
      </c>
      <c r="U1427">
        <v>0</v>
      </c>
      <c r="V1427">
        <v>0</v>
      </c>
    </row>
    <row r="1428" spans="1:22" x14ac:dyDescent="0.2">
      <c r="A1428" t="s">
        <v>3746</v>
      </c>
      <c r="B1428" t="s">
        <v>7048</v>
      </c>
      <c r="C1428" t="s">
        <v>1897</v>
      </c>
      <c r="D1428" t="s">
        <v>96</v>
      </c>
      <c r="E1428">
        <v>49.99</v>
      </c>
      <c r="F1428" t="s">
        <v>8118</v>
      </c>
      <c r="L1428" t="s">
        <v>7032</v>
      </c>
      <c r="M1428" t="s">
        <v>97</v>
      </c>
      <c r="N1428">
        <v>0</v>
      </c>
      <c r="O1428">
        <v>0</v>
      </c>
      <c r="T1428">
        <v>0</v>
      </c>
      <c r="U1428">
        <v>0</v>
      </c>
      <c r="V1428">
        <v>0</v>
      </c>
    </row>
    <row r="1429" spans="1:22" x14ac:dyDescent="0.2">
      <c r="A1429" t="s">
        <v>7650</v>
      </c>
      <c r="B1429" t="s">
        <v>7651</v>
      </c>
      <c r="C1429" t="s">
        <v>1897</v>
      </c>
      <c r="D1429" t="s">
        <v>96</v>
      </c>
      <c r="E1429">
        <v>39.99</v>
      </c>
      <c r="F1429" t="s">
        <v>8118</v>
      </c>
      <c r="L1429" t="s">
        <v>7032</v>
      </c>
      <c r="M1429" t="s">
        <v>97</v>
      </c>
      <c r="N1429">
        <v>0</v>
      </c>
      <c r="O1429">
        <v>0</v>
      </c>
      <c r="T1429">
        <v>0</v>
      </c>
      <c r="U1429">
        <v>0</v>
      </c>
      <c r="V1429">
        <v>2</v>
      </c>
    </row>
    <row r="1430" spans="1:22" x14ac:dyDescent="0.2">
      <c r="A1430" t="s">
        <v>7648</v>
      </c>
      <c r="B1430" t="s">
        <v>7649</v>
      </c>
      <c r="C1430" t="s">
        <v>1897</v>
      </c>
      <c r="D1430" t="s">
        <v>96</v>
      </c>
      <c r="E1430">
        <v>69.989999999999995</v>
      </c>
      <c r="F1430" t="s">
        <v>8118</v>
      </c>
      <c r="L1430" t="s">
        <v>7032</v>
      </c>
      <c r="M1430" t="s">
        <v>97</v>
      </c>
      <c r="N1430">
        <v>0</v>
      </c>
      <c r="O1430">
        <v>0</v>
      </c>
      <c r="T1430">
        <v>0</v>
      </c>
      <c r="U1430">
        <v>0</v>
      </c>
      <c r="V1430">
        <v>0</v>
      </c>
    </row>
    <row r="1431" spans="1:22" x14ac:dyDescent="0.2">
      <c r="A1431" t="s">
        <v>7640</v>
      </c>
      <c r="B1431" t="s">
        <v>7641</v>
      </c>
      <c r="C1431" t="s">
        <v>1897</v>
      </c>
      <c r="D1431" t="s">
        <v>96</v>
      </c>
      <c r="E1431">
        <v>69.989999999999995</v>
      </c>
      <c r="F1431" t="s">
        <v>8118</v>
      </c>
      <c r="L1431" t="s">
        <v>7032</v>
      </c>
      <c r="M1431" t="s">
        <v>97</v>
      </c>
      <c r="N1431">
        <v>0</v>
      </c>
      <c r="O1431">
        <v>0</v>
      </c>
      <c r="T1431">
        <v>0</v>
      </c>
      <c r="U1431">
        <v>0</v>
      </c>
      <c r="V1431">
        <v>1</v>
      </c>
    </row>
    <row r="1432" spans="1:22" x14ac:dyDescent="0.2">
      <c r="A1432" t="s">
        <v>7564</v>
      </c>
      <c r="B1432" t="s">
        <v>7565</v>
      </c>
      <c r="C1432" t="s">
        <v>1897</v>
      </c>
      <c r="D1432" t="s">
        <v>96</v>
      </c>
      <c r="E1432">
        <v>79.989999999999995</v>
      </c>
      <c r="F1432" t="s">
        <v>8118</v>
      </c>
      <c r="L1432" t="s">
        <v>7032</v>
      </c>
      <c r="M1432" t="s">
        <v>97</v>
      </c>
      <c r="N1432">
        <v>0</v>
      </c>
      <c r="O1432">
        <v>0</v>
      </c>
      <c r="T1432">
        <v>0</v>
      </c>
      <c r="U1432">
        <v>0</v>
      </c>
      <c r="V1432">
        <v>0</v>
      </c>
    </row>
    <row r="1433" spans="1:22" x14ac:dyDescent="0.2">
      <c r="A1433" t="s">
        <v>1898</v>
      </c>
      <c r="B1433" t="s">
        <v>1899</v>
      </c>
      <c r="C1433" t="s">
        <v>1897</v>
      </c>
      <c r="D1433" t="s">
        <v>290</v>
      </c>
      <c r="E1433">
        <v>44.99</v>
      </c>
      <c r="F1433" t="s">
        <v>8118</v>
      </c>
      <c r="L1433" t="s">
        <v>7032</v>
      </c>
      <c r="M1433" t="s">
        <v>97</v>
      </c>
      <c r="N1433">
        <v>0</v>
      </c>
      <c r="O1433">
        <v>0</v>
      </c>
      <c r="T1433">
        <v>0</v>
      </c>
      <c r="U1433">
        <v>0</v>
      </c>
      <c r="V1433">
        <v>1</v>
      </c>
    </row>
    <row r="1434" spans="1:22" x14ac:dyDescent="0.2">
      <c r="A1434" t="s">
        <v>7820</v>
      </c>
      <c r="B1434" t="s">
        <v>7821</v>
      </c>
      <c r="C1434" t="s">
        <v>1897</v>
      </c>
      <c r="D1434" t="s">
        <v>96</v>
      </c>
      <c r="E1434">
        <v>44.99</v>
      </c>
      <c r="F1434" t="s">
        <v>8118</v>
      </c>
      <c r="L1434" t="s">
        <v>7032</v>
      </c>
      <c r="M1434" t="s">
        <v>97</v>
      </c>
      <c r="N1434">
        <v>0</v>
      </c>
      <c r="O1434">
        <v>0</v>
      </c>
      <c r="T1434">
        <v>0</v>
      </c>
      <c r="U1434">
        <v>0</v>
      </c>
      <c r="V1434">
        <v>0</v>
      </c>
    </row>
    <row r="1435" spans="1:22" x14ac:dyDescent="0.2">
      <c r="A1435" t="s">
        <v>3905</v>
      </c>
      <c r="B1435" t="s">
        <v>3906</v>
      </c>
      <c r="C1435" t="s">
        <v>1897</v>
      </c>
      <c r="D1435" t="s">
        <v>96</v>
      </c>
      <c r="E1435">
        <v>49.99</v>
      </c>
      <c r="F1435" t="s">
        <v>8118</v>
      </c>
      <c r="L1435" t="s">
        <v>7032</v>
      </c>
      <c r="M1435" t="s">
        <v>97</v>
      </c>
      <c r="N1435">
        <v>0</v>
      </c>
      <c r="O1435">
        <v>0</v>
      </c>
      <c r="T1435">
        <v>0</v>
      </c>
      <c r="U1435">
        <v>0</v>
      </c>
      <c r="V1435">
        <v>0</v>
      </c>
    </row>
    <row r="1436" spans="1:22" x14ac:dyDescent="0.2">
      <c r="A1436" t="s">
        <v>3948</v>
      </c>
      <c r="B1436" t="s">
        <v>3949</v>
      </c>
      <c r="C1436" t="s">
        <v>1897</v>
      </c>
      <c r="D1436" t="s">
        <v>96</v>
      </c>
      <c r="E1436">
        <v>239.99</v>
      </c>
      <c r="F1436" t="s">
        <v>8118</v>
      </c>
      <c r="L1436" t="s">
        <v>7032</v>
      </c>
      <c r="M1436" t="s">
        <v>97</v>
      </c>
      <c r="N1436">
        <v>0</v>
      </c>
      <c r="O1436">
        <v>0</v>
      </c>
      <c r="T1436">
        <v>0</v>
      </c>
      <c r="U1436">
        <v>0</v>
      </c>
      <c r="V1436">
        <v>0</v>
      </c>
    </row>
    <row r="1437" spans="1:22" x14ac:dyDescent="0.2">
      <c r="A1437" t="s">
        <v>3902</v>
      </c>
      <c r="B1437" t="s">
        <v>3903</v>
      </c>
      <c r="C1437" t="s">
        <v>1897</v>
      </c>
      <c r="D1437" t="s">
        <v>96</v>
      </c>
      <c r="E1437">
        <v>49.99</v>
      </c>
      <c r="F1437" t="s">
        <v>8118</v>
      </c>
      <c r="L1437" t="s">
        <v>7032</v>
      </c>
      <c r="M1437" t="s">
        <v>97</v>
      </c>
      <c r="N1437">
        <v>0</v>
      </c>
      <c r="O1437">
        <v>0</v>
      </c>
      <c r="T1437">
        <v>0</v>
      </c>
      <c r="U1437">
        <v>0</v>
      </c>
      <c r="V1437">
        <v>0</v>
      </c>
    </row>
    <row r="1438" spans="1:22" x14ac:dyDescent="0.2">
      <c r="A1438" t="s">
        <v>3899</v>
      </c>
      <c r="B1438" t="s">
        <v>3900</v>
      </c>
      <c r="C1438" t="s">
        <v>1897</v>
      </c>
      <c r="D1438" t="s">
        <v>96</v>
      </c>
      <c r="E1438">
        <v>49.99</v>
      </c>
      <c r="F1438" t="s">
        <v>8118</v>
      </c>
      <c r="L1438" t="s">
        <v>7032</v>
      </c>
      <c r="M1438" t="s">
        <v>97</v>
      </c>
      <c r="N1438">
        <v>0</v>
      </c>
      <c r="O1438">
        <v>0</v>
      </c>
      <c r="T1438">
        <v>0</v>
      </c>
      <c r="U1438">
        <v>0</v>
      </c>
      <c r="V1438">
        <v>0</v>
      </c>
    </row>
    <row r="1439" spans="1:22" x14ac:dyDescent="0.2">
      <c r="A1439" t="s">
        <v>3792</v>
      </c>
      <c r="B1439" t="s">
        <v>3793</v>
      </c>
      <c r="C1439" t="s">
        <v>1897</v>
      </c>
      <c r="D1439" t="s">
        <v>96</v>
      </c>
      <c r="E1439">
        <v>37.99</v>
      </c>
      <c r="F1439" t="s">
        <v>8118</v>
      </c>
      <c r="L1439" t="s">
        <v>7032</v>
      </c>
      <c r="M1439" t="s">
        <v>97</v>
      </c>
      <c r="N1439">
        <v>0</v>
      </c>
      <c r="O1439">
        <v>0</v>
      </c>
      <c r="T1439">
        <v>0</v>
      </c>
      <c r="U1439">
        <v>0</v>
      </c>
      <c r="V1439">
        <v>0</v>
      </c>
    </row>
    <row r="1440" spans="1:22" x14ac:dyDescent="0.2">
      <c r="A1440" t="s">
        <v>1908</v>
      </c>
      <c r="B1440" t="s">
        <v>1909</v>
      </c>
      <c r="C1440" t="s">
        <v>1897</v>
      </c>
      <c r="D1440" t="s">
        <v>290</v>
      </c>
      <c r="E1440">
        <v>89.99</v>
      </c>
      <c r="F1440" t="s">
        <v>8118</v>
      </c>
      <c r="L1440" t="s">
        <v>7032</v>
      </c>
      <c r="M1440" t="s">
        <v>97</v>
      </c>
      <c r="N1440">
        <v>0</v>
      </c>
      <c r="O1440">
        <v>0</v>
      </c>
      <c r="T1440">
        <v>0</v>
      </c>
      <c r="U1440">
        <v>0</v>
      </c>
      <c r="V1440">
        <v>7</v>
      </c>
    </row>
    <row r="1441" spans="1:22" x14ac:dyDescent="0.2">
      <c r="A1441" t="s">
        <v>3813</v>
      </c>
      <c r="B1441" t="s">
        <v>3814</v>
      </c>
      <c r="C1441" t="s">
        <v>1897</v>
      </c>
      <c r="D1441" t="s">
        <v>96</v>
      </c>
      <c r="E1441">
        <v>54.99</v>
      </c>
      <c r="F1441" t="s">
        <v>8118</v>
      </c>
      <c r="L1441" t="s">
        <v>7032</v>
      </c>
      <c r="M1441" t="s">
        <v>97</v>
      </c>
      <c r="N1441">
        <v>0</v>
      </c>
      <c r="O1441">
        <v>0</v>
      </c>
      <c r="T1441">
        <v>0</v>
      </c>
      <c r="U1441">
        <v>0</v>
      </c>
      <c r="V1441">
        <v>0</v>
      </c>
    </row>
    <row r="1442" spans="1:22" x14ac:dyDescent="0.2">
      <c r="A1442" t="s">
        <v>4027</v>
      </c>
      <c r="B1442" t="s">
        <v>4028</v>
      </c>
      <c r="C1442" t="s">
        <v>1897</v>
      </c>
      <c r="D1442" t="s">
        <v>96</v>
      </c>
      <c r="E1442">
        <v>189.99</v>
      </c>
      <c r="F1442" t="s">
        <v>8118</v>
      </c>
      <c r="L1442" t="s">
        <v>7032</v>
      </c>
      <c r="M1442" t="s">
        <v>97</v>
      </c>
      <c r="N1442">
        <v>0</v>
      </c>
      <c r="O1442">
        <v>0</v>
      </c>
      <c r="T1442">
        <v>0</v>
      </c>
      <c r="U1442">
        <v>0</v>
      </c>
      <c r="V1442">
        <v>0</v>
      </c>
    </row>
    <row r="1443" spans="1:22" x14ac:dyDescent="0.2">
      <c r="A1443" t="s">
        <v>7818</v>
      </c>
      <c r="B1443" t="s">
        <v>7819</v>
      </c>
      <c r="C1443" t="s">
        <v>1897</v>
      </c>
      <c r="D1443" t="s">
        <v>96</v>
      </c>
      <c r="E1443">
        <v>49.99</v>
      </c>
      <c r="F1443" t="s">
        <v>8118</v>
      </c>
      <c r="L1443" t="s">
        <v>7032</v>
      </c>
      <c r="M1443" t="s">
        <v>97</v>
      </c>
      <c r="N1443">
        <v>0</v>
      </c>
      <c r="O1443">
        <v>0</v>
      </c>
      <c r="T1443">
        <v>0</v>
      </c>
      <c r="U1443">
        <v>0</v>
      </c>
      <c r="V1443">
        <v>0</v>
      </c>
    </row>
    <row r="1444" spans="1:22" x14ac:dyDescent="0.2">
      <c r="A1444" t="s">
        <v>7554</v>
      </c>
      <c r="B1444" t="s">
        <v>7555</v>
      </c>
      <c r="C1444" t="s">
        <v>1897</v>
      </c>
      <c r="D1444" t="s">
        <v>96</v>
      </c>
      <c r="E1444">
        <v>79.989999999999995</v>
      </c>
      <c r="F1444" t="s">
        <v>8118</v>
      </c>
      <c r="L1444" t="s">
        <v>7032</v>
      </c>
      <c r="M1444" t="s">
        <v>97</v>
      </c>
      <c r="N1444">
        <v>0</v>
      </c>
      <c r="O1444">
        <v>0</v>
      </c>
      <c r="T1444">
        <v>0</v>
      </c>
      <c r="U1444">
        <v>0</v>
      </c>
      <c r="V1444">
        <v>0</v>
      </c>
    </row>
    <row r="1445" spans="1:22" x14ac:dyDescent="0.2">
      <c r="A1445" t="s">
        <v>7810</v>
      </c>
      <c r="B1445" t="s">
        <v>7811</v>
      </c>
      <c r="C1445" t="s">
        <v>1897</v>
      </c>
      <c r="D1445" t="s">
        <v>96</v>
      </c>
      <c r="E1445">
        <v>49.99</v>
      </c>
      <c r="F1445" t="s">
        <v>8118</v>
      </c>
      <c r="L1445" t="s">
        <v>7032</v>
      </c>
      <c r="M1445" t="s">
        <v>97</v>
      </c>
      <c r="N1445">
        <v>0</v>
      </c>
      <c r="O1445">
        <v>0</v>
      </c>
      <c r="T1445">
        <v>0</v>
      </c>
      <c r="U1445">
        <v>0</v>
      </c>
      <c r="V1445">
        <v>0</v>
      </c>
    </row>
    <row r="1446" spans="1:22" x14ac:dyDescent="0.2">
      <c r="A1446" t="s">
        <v>7802</v>
      </c>
      <c r="B1446" t="s">
        <v>7803</v>
      </c>
      <c r="C1446" t="s">
        <v>1897</v>
      </c>
      <c r="D1446" t="s">
        <v>96</v>
      </c>
      <c r="E1446">
        <v>69.989999999999995</v>
      </c>
      <c r="F1446" t="s">
        <v>8118</v>
      </c>
      <c r="L1446" t="s">
        <v>7032</v>
      </c>
      <c r="M1446" t="s">
        <v>97</v>
      </c>
      <c r="N1446">
        <v>0</v>
      </c>
      <c r="O1446">
        <v>0</v>
      </c>
      <c r="T1446">
        <v>0</v>
      </c>
      <c r="U1446">
        <v>0</v>
      </c>
      <c r="V1446">
        <v>0</v>
      </c>
    </row>
    <row r="1447" spans="1:22" x14ac:dyDescent="0.2">
      <c r="A1447" t="s">
        <v>7534</v>
      </c>
      <c r="B1447" t="s">
        <v>7535</v>
      </c>
      <c r="C1447" t="s">
        <v>1897</v>
      </c>
      <c r="D1447" t="s">
        <v>96</v>
      </c>
      <c r="E1447">
        <v>79.989999999999995</v>
      </c>
      <c r="F1447" t="s">
        <v>8118</v>
      </c>
      <c r="L1447" t="s">
        <v>7032</v>
      </c>
      <c r="M1447" t="s">
        <v>97</v>
      </c>
      <c r="N1447">
        <v>0</v>
      </c>
      <c r="O1447">
        <v>0</v>
      </c>
      <c r="T1447">
        <v>0</v>
      </c>
      <c r="U1447">
        <v>0</v>
      </c>
      <c r="V1447">
        <v>0</v>
      </c>
    </row>
    <row r="1448" spans="1:22" x14ac:dyDescent="0.2">
      <c r="A1448" t="s">
        <v>7516</v>
      </c>
      <c r="B1448" t="s">
        <v>7517</v>
      </c>
      <c r="C1448" t="s">
        <v>1897</v>
      </c>
      <c r="D1448" t="s">
        <v>96</v>
      </c>
      <c r="E1448">
        <v>79.989999999999995</v>
      </c>
      <c r="F1448" t="s">
        <v>8118</v>
      </c>
      <c r="L1448" t="s">
        <v>7032</v>
      </c>
      <c r="M1448" t="s">
        <v>97</v>
      </c>
      <c r="N1448">
        <v>0</v>
      </c>
      <c r="O1448">
        <v>0</v>
      </c>
      <c r="T1448">
        <v>0</v>
      </c>
      <c r="U1448">
        <v>0</v>
      </c>
      <c r="V1448">
        <v>0</v>
      </c>
    </row>
    <row r="1449" spans="1:22" x14ac:dyDescent="0.2">
      <c r="A1449" t="s">
        <v>7518</v>
      </c>
      <c r="B1449" t="s">
        <v>7519</v>
      </c>
      <c r="C1449" t="s">
        <v>1897</v>
      </c>
      <c r="D1449" t="s">
        <v>96</v>
      </c>
      <c r="E1449">
        <v>79.989999999999995</v>
      </c>
      <c r="F1449" t="s">
        <v>8118</v>
      </c>
      <c r="L1449" t="s">
        <v>7032</v>
      </c>
      <c r="M1449" t="s">
        <v>97</v>
      </c>
      <c r="N1449">
        <v>0</v>
      </c>
      <c r="O1449">
        <v>0</v>
      </c>
      <c r="T1449">
        <v>0</v>
      </c>
      <c r="U1449">
        <v>0</v>
      </c>
      <c r="V1449">
        <v>0</v>
      </c>
    </row>
    <row r="1450" spans="1:22" x14ac:dyDescent="0.2">
      <c r="A1450" t="s">
        <v>7520</v>
      </c>
      <c r="B1450" t="s">
        <v>7521</v>
      </c>
      <c r="C1450" t="s">
        <v>1897</v>
      </c>
      <c r="D1450" t="s">
        <v>96</v>
      </c>
      <c r="E1450">
        <v>89.99</v>
      </c>
      <c r="F1450" t="s">
        <v>8118</v>
      </c>
      <c r="L1450" t="s">
        <v>7032</v>
      </c>
      <c r="M1450" t="s">
        <v>97</v>
      </c>
      <c r="N1450">
        <v>0</v>
      </c>
      <c r="O1450">
        <v>0</v>
      </c>
      <c r="T1450">
        <v>0</v>
      </c>
      <c r="U1450">
        <v>0</v>
      </c>
      <c r="V1450">
        <v>0</v>
      </c>
    </row>
    <row r="1451" spans="1:22" x14ac:dyDescent="0.2">
      <c r="A1451" t="s">
        <v>7522</v>
      </c>
      <c r="B1451" t="s">
        <v>7523</v>
      </c>
      <c r="C1451" t="s">
        <v>1897</v>
      </c>
      <c r="D1451" t="s">
        <v>96</v>
      </c>
      <c r="E1451">
        <v>89.99</v>
      </c>
      <c r="F1451" t="s">
        <v>8118</v>
      </c>
      <c r="L1451" t="s">
        <v>7032</v>
      </c>
      <c r="M1451" t="s">
        <v>97</v>
      </c>
      <c r="N1451">
        <v>0</v>
      </c>
      <c r="O1451">
        <v>0</v>
      </c>
      <c r="T1451">
        <v>0</v>
      </c>
      <c r="U1451">
        <v>0</v>
      </c>
      <c r="V1451">
        <v>0</v>
      </c>
    </row>
    <row r="1452" spans="1:22" x14ac:dyDescent="0.2">
      <c r="A1452" t="s">
        <v>3765</v>
      </c>
      <c r="B1452" t="s">
        <v>3766</v>
      </c>
      <c r="C1452" t="s">
        <v>1897</v>
      </c>
      <c r="D1452" t="s">
        <v>96</v>
      </c>
      <c r="E1452">
        <v>44.99</v>
      </c>
      <c r="F1452" t="s">
        <v>8118</v>
      </c>
      <c r="L1452" t="s">
        <v>7032</v>
      </c>
      <c r="M1452" t="s">
        <v>97</v>
      </c>
      <c r="N1452">
        <v>20</v>
      </c>
      <c r="O1452">
        <v>0.05</v>
      </c>
      <c r="T1452">
        <v>0.2</v>
      </c>
      <c r="U1452">
        <v>0</v>
      </c>
      <c r="V1452">
        <v>4</v>
      </c>
    </row>
    <row r="1453" spans="1:22" x14ac:dyDescent="0.2">
      <c r="A1453" t="s">
        <v>4039</v>
      </c>
      <c r="B1453" t="s">
        <v>4040</v>
      </c>
      <c r="C1453" t="s">
        <v>1897</v>
      </c>
      <c r="D1453" t="s">
        <v>96</v>
      </c>
      <c r="E1453">
        <v>49.99</v>
      </c>
      <c r="F1453" t="s">
        <v>8118</v>
      </c>
      <c r="L1453" t="s">
        <v>7032</v>
      </c>
      <c r="M1453" t="s">
        <v>97</v>
      </c>
      <c r="N1453">
        <v>0</v>
      </c>
      <c r="O1453">
        <v>0</v>
      </c>
      <c r="T1453">
        <v>0.2</v>
      </c>
      <c r="U1453">
        <v>0</v>
      </c>
      <c r="V1453">
        <v>0</v>
      </c>
    </row>
    <row r="1454" spans="1:22" x14ac:dyDescent="0.2">
      <c r="A1454" t="s">
        <v>7524</v>
      </c>
      <c r="B1454" t="s">
        <v>7525</v>
      </c>
      <c r="C1454" t="s">
        <v>1897</v>
      </c>
      <c r="D1454" t="s">
        <v>96</v>
      </c>
      <c r="E1454">
        <v>44.99</v>
      </c>
      <c r="F1454" t="s">
        <v>8118</v>
      </c>
      <c r="L1454" t="s">
        <v>7032</v>
      </c>
      <c r="M1454" t="s">
        <v>97</v>
      </c>
      <c r="N1454">
        <v>0</v>
      </c>
      <c r="O1454">
        <v>0</v>
      </c>
      <c r="T1454">
        <v>0</v>
      </c>
      <c r="U1454">
        <v>0</v>
      </c>
      <c r="V1454">
        <v>2</v>
      </c>
    </row>
    <row r="1455" spans="1:22" x14ac:dyDescent="0.2">
      <c r="A1455" t="s">
        <v>7528</v>
      </c>
      <c r="B1455" t="s">
        <v>7529</v>
      </c>
      <c r="C1455" t="s">
        <v>1897</v>
      </c>
      <c r="D1455" t="s">
        <v>96</v>
      </c>
      <c r="E1455">
        <v>44.99</v>
      </c>
      <c r="F1455" t="s">
        <v>8118</v>
      </c>
      <c r="L1455" t="s">
        <v>7032</v>
      </c>
      <c r="M1455" t="s">
        <v>97</v>
      </c>
      <c r="N1455">
        <v>10</v>
      </c>
      <c r="O1455">
        <v>0.1</v>
      </c>
      <c r="T1455">
        <v>0.2</v>
      </c>
      <c r="U1455">
        <v>0</v>
      </c>
      <c r="V1455">
        <v>2</v>
      </c>
    </row>
    <row r="1456" spans="1:22" x14ac:dyDescent="0.2">
      <c r="A1456" t="s">
        <v>7041</v>
      </c>
      <c r="B1456" t="s">
        <v>7042</v>
      </c>
      <c r="C1456" t="s">
        <v>1897</v>
      </c>
      <c r="D1456" t="s">
        <v>96</v>
      </c>
      <c r="E1456">
        <v>44.99</v>
      </c>
      <c r="F1456" t="s">
        <v>8118</v>
      </c>
      <c r="L1456" t="s">
        <v>7032</v>
      </c>
      <c r="M1456" t="s">
        <v>97</v>
      </c>
      <c r="N1456">
        <v>0</v>
      </c>
      <c r="O1456">
        <v>0</v>
      </c>
      <c r="T1456">
        <v>0</v>
      </c>
      <c r="U1456">
        <v>0</v>
      </c>
      <c r="V1456">
        <v>7</v>
      </c>
    </row>
    <row r="1457" spans="1:22" x14ac:dyDescent="0.2">
      <c r="A1457" t="s">
        <v>7530</v>
      </c>
      <c r="B1457" t="s">
        <v>7531</v>
      </c>
      <c r="C1457" t="s">
        <v>1897</v>
      </c>
      <c r="D1457" t="s">
        <v>96</v>
      </c>
      <c r="E1457">
        <v>44.99</v>
      </c>
      <c r="F1457" t="s">
        <v>8118</v>
      </c>
      <c r="L1457" t="s">
        <v>7032</v>
      </c>
      <c r="M1457" t="s">
        <v>97</v>
      </c>
      <c r="N1457">
        <v>0</v>
      </c>
      <c r="O1457">
        <v>0</v>
      </c>
      <c r="T1457">
        <v>0.2</v>
      </c>
      <c r="U1457">
        <v>0</v>
      </c>
      <c r="V1457">
        <v>0</v>
      </c>
    </row>
    <row r="1458" spans="1:22" x14ac:dyDescent="0.2">
      <c r="A1458" t="s">
        <v>7536</v>
      </c>
      <c r="B1458" t="s">
        <v>7537</v>
      </c>
      <c r="C1458" t="s">
        <v>1897</v>
      </c>
      <c r="D1458" t="s">
        <v>96</v>
      </c>
      <c r="E1458">
        <v>44.99</v>
      </c>
      <c r="F1458" t="s">
        <v>8118</v>
      </c>
      <c r="L1458" t="s">
        <v>7032</v>
      </c>
      <c r="M1458" t="s">
        <v>97</v>
      </c>
      <c r="N1458">
        <v>0</v>
      </c>
      <c r="O1458">
        <v>0</v>
      </c>
      <c r="T1458">
        <v>0</v>
      </c>
      <c r="U1458">
        <v>0</v>
      </c>
      <c r="V1458">
        <v>0</v>
      </c>
    </row>
    <row r="1459" spans="1:22" x14ac:dyDescent="0.2">
      <c r="A1459" t="s">
        <v>7574</v>
      </c>
      <c r="B1459" t="s">
        <v>7575</v>
      </c>
      <c r="C1459" t="s">
        <v>1897</v>
      </c>
      <c r="D1459" t="s">
        <v>96</v>
      </c>
      <c r="E1459">
        <v>129.99</v>
      </c>
      <c r="F1459" t="s">
        <v>8118</v>
      </c>
      <c r="L1459" t="s">
        <v>7032</v>
      </c>
      <c r="M1459" t="s">
        <v>97</v>
      </c>
      <c r="N1459">
        <v>0</v>
      </c>
      <c r="O1459">
        <v>0</v>
      </c>
      <c r="T1459">
        <v>0</v>
      </c>
      <c r="U1459">
        <v>0</v>
      </c>
      <c r="V1459">
        <v>0</v>
      </c>
    </row>
    <row r="1460" spans="1:22" x14ac:dyDescent="0.2">
      <c r="A1460" t="s">
        <v>7732</v>
      </c>
      <c r="B1460" t="s">
        <v>7733</v>
      </c>
      <c r="C1460" t="s">
        <v>1897</v>
      </c>
      <c r="D1460" t="s">
        <v>96</v>
      </c>
      <c r="E1460">
        <v>59.99</v>
      </c>
      <c r="F1460" t="s">
        <v>8118</v>
      </c>
      <c r="L1460" t="s">
        <v>7032</v>
      </c>
      <c r="M1460" t="s">
        <v>97</v>
      </c>
      <c r="N1460">
        <v>0</v>
      </c>
      <c r="O1460">
        <v>0</v>
      </c>
      <c r="T1460">
        <v>0</v>
      </c>
      <c r="U1460">
        <v>0</v>
      </c>
      <c r="V1460">
        <v>0</v>
      </c>
    </row>
    <row r="1461" spans="1:22" x14ac:dyDescent="0.2">
      <c r="A1461" t="s">
        <v>4045</v>
      </c>
      <c r="B1461" t="s">
        <v>4046</v>
      </c>
      <c r="C1461" t="s">
        <v>1897</v>
      </c>
      <c r="D1461" t="s">
        <v>96</v>
      </c>
      <c r="E1461">
        <v>49.99</v>
      </c>
      <c r="F1461" t="s">
        <v>8118</v>
      </c>
      <c r="L1461" t="s">
        <v>7032</v>
      </c>
      <c r="M1461" t="s">
        <v>97</v>
      </c>
      <c r="N1461">
        <v>0</v>
      </c>
      <c r="O1461">
        <v>0</v>
      </c>
      <c r="T1461">
        <v>0</v>
      </c>
      <c r="U1461">
        <v>0</v>
      </c>
      <c r="V1461">
        <v>0</v>
      </c>
    </row>
    <row r="1462" spans="1:22" x14ac:dyDescent="0.2">
      <c r="A1462" t="s">
        <v>7800</v>
      </c>
      <c r="B1462" t="s">
        <v>7801</v>
      </c>
      <c r="C1462" t="s">
        <v>1897</v>
      </c>
      <c r="D1462" t="s">
        <v>96</v>
      </c>
      <c r="E1462">
        <v>29.99</v>
      </c>
      <c r="F1462" t="s">
        <v>8118</v>
      </c>
      <c r="L1462" t="s">
        <v>7032</v>
      </c>
      <c r="M1462" t="s">
        <v>97</v>
      </c>
      <c r="N1462">
        <v>0</v>
      </c>
      <c r="O1462">
        <v>0</v>
      </c>
      <c r="T1462">
        <v>0</v>
      </c>
      <c r="U1462">
        <v>0</v>
      </c>
      <c r="V1462">
        <v>0</v>
      </c>
    </row>
    <row r="1463" spans="1:22" x14ac:dyDescent="0.2">
      <c r="A1463" t="s">
        <v>7550</v>
      </c>
      <c r="B1463" t="s">
        <v>7551</v>
      </c>
      <c r="C1463" t="s">
        <v>1897</v>
      </c>
      <c r="D1463" t="s">
        <v>96</v>
      </c>
      <c r="E1463">
        <v>99.99</v>
      </c>
      <c r="F1463" t="s">
        <v>8118</v>
      </c>
      <c r="L1463" t="s">
        <v>7032</v>
      </c>
      <c r="M1463" t="s">
        <v>97</v>
      </c>
      <c r="N1463">
        <v>0</v>
      </c>
      <c r="O1463">
        <v>0</v>
      </c>
      <c r="T1463">
        <v>0</v>
      </c>
      <c r="U1463">
        <v>0</v>
      </c>
      <c r="V1463">
        <v>0</v>
      </c>
    </row>
    <row r="1464" spans="1:22" x14ac:dyDescent="0.2">
      <c r="A1464" t="s">
        <v>3886</v>
      </c>
      <c r="B1464" t="s">
        <v>3887</v>
      </c>
      <c r="C1464" t="s">
        <v>1897</v>
      </c>
      <c r="D1464" t="s">
        <v>96</v>
      </c>
      <c r="E1464">
        <v>74.989999999999995</v>
      </c>
      <c r="F1464" t="s">
        <v>8118</v>
      </c>
      <c r="L1464" t="s">
        <v>7032</v>
      </c>
      <c r="M1464" t="s">
        <v>97</v>
      </c>
      <c r="N1464">
        <v>0</v>
      </c>
      <c r="O1464">
        <v>0</v>
      </c>
      <c r="T1464">
        <v>0</v>
      </c>
      <c r="U1464">
        <v>0</v>
      </c>
      <c r="V1464">
        <v>0</v>
      </c>
    </row>
    <row r="1465" spans="1:22" x14ac:dyDescent="0.2">
      <c r="A1465" t="s">
        <v>7620</v>
      </c>
      <c r="B1465" t="s">
        <v>7621</v>
      </c>
      <c r="C1465" t="s">
        <v>1897</v>
      </c>
      <c r="D1465" t="s">
        <v>96</v>
      </c>
      <c r="E1465">
        <v>74.989999999999995</v>
      </c>
      <c r="F1465" t="s">
        <v>8118</v>
      </c>
      <c r="L1465" t="s">
        <v>7032</v>
      </c>
      <c r="M1465" t="s">
        <v>97</v>
      </c>
      <c r="N1465">
        <v>0</v>
      </c>
      <c r="O1465">
        <v>0</v>
      </c>
      <c r="T1465">
        <v>0</v>
      </c>
      <c r="U1465">
        <v>0</v>
      </c>
      <c r="V1465">
        <v>0</v>
      </c>
    </row>
    <row r="1466" spans="1:22" x14ac:dyDescent="0.2">
      <c r="A1466" t="s">
        <v>3889</v>
      </c>
      <c r="B1466" t="s">
        <v>3890</v>
      </c>
      <c r="C1466" t="s">
        <v>1897</v>
      </c>
      <c r="D1466" t="s">
        <v>96</v>
      </c>
      <c r="E1466">
        <v>89.99</v>
      </c>
      <c r="F1466" t="s">
        <v>8118</v>
      </c>
      <c r="L1466" t="s">
        <v>7032</v>
      </c>
      <c r="M1466" t="s">
        <v>97</v>
      </c>
      <c r="N1466">
        <v>0</v>
      </c>
      <c r="O1466">
        <v>0</v>
      </c>
      <c r="T1466">
        <v>0</v>
      </c>
      <c r="U1466">
        <v>0</v>
      </c>
      <c r="V1466">
        <v>0</v>
      </c>
    </row>
    <row r="1467" spans="1:22" x14ac:dyDescent="0.2">
      <c r="A1467" t="s">
        <v>3883</v>
      </c>
      <c r="B1467" t="s">
        <v>3884</v>
      </c>
      <c r="C1467" t="s">
        <v>1897</v>
      </c>
      <c r="D1467" t="s">
        <v>96</v>
      </c>
      <c r="E1467">
        <v>89.99</v>
      </c>
      <c r="F1467" t="s">
        <v>8118</v>
      </c>
      <c r="L1467" t="s">
        <v>7032</v>
      </c>
      <c r="M1467" t="s">
        <v>97</v>
      </c>
      <c r="N1467">
        <v>0</v>
      </c>
      <c r="O1467">
        <v>0</v>
      </c>
      <c r="T1467">
        <v>0</v>
      </c>
      <c r="U1467">
        <v>0</v>
      </c>
      <c r="V1467">
        <v>3</v>
      </c>
    </row>
    <row r="1468" spans="1:22" x14ac:dyDescent="0.2">
      <c r="A1468" t="s">
        <v>3871</v>
      </c>
      <c r="B1468" t="s">
        <v>3872</v>
      </c>
      <c r="C1468" t="s">
        <v>1897</v>
      </c>
      <c r="D1468" t="s">
        <v>96</v>
      </c>
      <c r="E1468">
        <v>89.99</v>
      </c>
      <c r="F1468" t="s">
        <v>8118</v>
      </c>
      <c r="L1468" t="s">
        <v>7032</v>
      </c>
      <c r="M1468" t="s">
        <v>97</v>
      </c>
      <c r="N1468">
        <v>0</v>
      </c>
      <c r="O1468">
        <v>0</v>
      </c>
      <c r="T1468">
        <v>0</v>
      </c>
      <c r="U1468">
        <v>0</v>
      </c>
      <c r="V1468">
        <v>2</v>
      </c>
    </row>
    <row r="1469" spans="1:22" x14ac:dyDescent="0.2">
      <c r="A1469" t="s">
        <v>7616</v>
      </c>
      <c r="B1469" t="s">
        <v>7617</v>
      </c>
      <c r="C1469" t="s">
        <v>1897</v>
      </c>
      <c r="D1469" t="s">
        <v>96</v>
      </c>
      <c r="E1469">
        <v>89.99</v>
      </c>
      <c r="F1469" t="s">
        <v>8118</v>
      </c>
      <c r="L1469" t="s">
        <v>7032</v>
      </c>
      <c r="M1469" t="s">
        <v>97</v>
      </c>
      <c r="N1469">
        <v>0</v>
      </c>
      <c r="O1469">
        <v>0</v>
      </c>
      <c r="T1469">
        <v>0</v>
      </c>
      <c r="U1469">
        <v>0</v>
      </c>
      <c r="V1469">
        <v>0</v>
      </c>
    </row>
    <row r="1470" spans="1:22" x14ac:dyDescent="0.2">
      <c r="A1470" t="s">
        <v>7644</v>
      </c>
      <c r="B1470" t="s">
        <v>7645</v>
      </c>
      <c r="C1470" t="s">
        <v>1897</v>
      </c>
      <c r="D1470" t="s">
        <v>96</v>
      </c>
      <c r="E1470">
        <v>49.99</v>
      </c>
      <c r="F1470" t="s">
        <v>8118</v>
      </c>
      <c r="L1470" t="s">
        <v>7032</v>
      </c>
      <c r="M1470" t="s">
        <v>97</v>
      </c>
      <c r="N1470">
        <v>0</v>
      </c>
      <c r="O1470">
        <v>0</v>
      </c>
      <c r="T1470">
        <v>0</v>
      </c>
      <c r="U1470">
        <v>0</v>
      </c>
      <c r="V1470">
        <v>0</v>
      </c>
    </row>
    <row r="1471" spans="1:22" x14ac:dyDescent="0.2">
      <c r="A1471" t="s">
        <v>7730</v>
      </c>
      <c r="B1471" t="s">
        <v>7731</v>
      </c>
      <c r="C1471" t="s">
        <v>1897</v>
      </c>
      <c r="D1471" t="s">
        <v>96</v>
      </c>
      <c r="E1471">
        <v>109.99</v>
      </c>
      <c r="F1471" t="s">
        <v>8118</v>
      </c>
      <c r="L1471" t="s">
        <v>7032</v>
      </c>
      <c r="M1471" t="s">
        <v>97</v>
      </c>
      <c r="N1471">
        <v>0</v>
      </c>
      <c r="O1471">
        <v>0</v>
      </c>
      <c r="T1471">
        <v>0</v>
      </c>
      <c r="U1471">
        <v>0</v>
      </c>
      <c r="V1471">
        <v>0</v>
      </c>
    </row>
    <row r="1472" spans="1:22" x14ac:dyDescent="0.2">
      <c r="A1472" t="s">
        <v>4168</v>
      </c>
      <c r="B1472" t="s">
        <v>4169</v>
      </c>
      <c r="C1472" t="s">
        <v>1897</v>
      </c>
      <c r="D1472" t="s">
        <v>96</v>
      </c>
      <c r="E1472">
        <v>34.99</v>
      </c>
      <c r="F1472" t="s">
        <v>8118</v>
      </c>
      <c r="L1472" t="s">
        <v>7032</v>
      </c>
      <c r="M1472" t="s">
        <v>97</v>
      </c>
      <c r="N1472">
        <v>0</v>
      </c>
      <c r="O1472">
        <v>0</v>
      </c>
      <c r="T1472">
        <v>0</v>
      </c>
      <c r="U1472">
        <v>0</v>
      </c>
      <c r="V1472">
        <v>0</v>
      </c>
    </row>
    <row r="1473" spans="1:22" x14ac:dyDescent="0.2">
      <c r="A1473" t="s">
        <v>7612</v>
      </c>
      <c r="B1473" t="s">
        <v>7613</v>
      </c>
      <c r="C1473" t="s">
        <v>1897</v>
      </c>
      <c r="D1473" t="s">
        <v>96</v>
      </c>
      <c r="E1473">
        <v>89.99</v>
      </c>
      <c r="F1473" t="s">
        <v>8118</v>
      </c>
      <c r="L1473" t="s">
        <v>7032</v>
      </c>
      <c r="M1473" t="s">
        <v>97</v>
      </c>
      <c r="N1473">
        <v>0</v>
      </c>
      <c r="O1473">
        <v>0</v>
      </c>
      <c r="T1473">
        <v>0</v>
      </c>
      <c r="U1473">
        <v>0</v>
      </c>
      <c r="V1473">
        <v>2</v>
      </c>
    </row>
    <row r="1474" spans="1:22" x14ac:dyDescent="0.2">
      <c r="A1474" t="s">
        <v>7638</v>
      </c>
      <c r="B1474" t="s">
        <v>7639</v>
      </c>
      <c r="C1474" t="s">
        <v>1897</v>
      </c>
      <c r="D1474" t="s">
        <v>96</v>
      </c>
      <c r="E1474">
        <v>139.99</v>
      </c>
      <c r="F1474" t="s">
        <v>8118</v>
      </c>
      <c r="L1474" t="s">
        <v>7032</v>
      </c>
      <c r="M1474" t="s">
        <v>97</v>
      </c>
      <c r="N1474">
        <v>0</v>
      </c>
      <c r="O1474">
        <v>0</v>
      </c>
      <c r="T1474">
        <v>0</v>
      </c>
      <c r="U1474">
        <v>0</v>
      </c>
      <c r="V1474">
        <v>0</v>
      </c>
    </row>
    <row r="1475" spans="1:22" x14ac:dyDescent="0.2">
      <c r="A1475" t="s">
        <v>4171</v>
      </c>
      <c r="B1475" t="s">
        <v>4172</v>
      </c>
      <c r="C1475" t="s">
        <v>1897</v>
      </c>
      <c r="D1475" t="s">
        <v>96</v>
      </c>
      <c r="E1475">
        <v>69.989999999999995</v>
      </c>
      <c r="F1475" t="s">
        <v>8118</v>
      </c>
      <c r="L1475" t="s">
        <v>7032</v>
      </c>
      <c r="M1475" t="s">
        <v>97</v>
      </c>
      <c r="N1475">
        <v>0</v>
      </c>
      <c r="O1475">
        <v>0</v>
      </c>
      <c r="T1475">
        <v>0</v>
      </c>
      <c r="U1475">
        <v>0</v>
      </c>
      <c r="V1475">
        <v>0</v>
      </c>
    </row>
    <row r="1476" spans="1:22" x14ac:dyDescent="0.2">
      <c r="A1476" t="s">
        <v>3865</v>
      </c>
      <c r="B1476" t="s">
        <v>3866</v>
      </c>
      <c r="C1476" t="s">
        <v>1897</v>
      </c>
      <c r="D1476" t="s">
        <v>96</v>
      </c>
      <c r="E1476">
        <v>59.99</v>
      </c>
      <c r="F1476" t="s">
        <v>8118</v>
      </c>
      <c r="L1476" t="s">
        <v>7032</v>
      </c>
      <c r="M1476" t="s">
        <v>97</v>
      </c>
      <c r="N1476">
        <v>0</v>
      </c>
      <c r="O1476">
        <v>0</v>
      </c>
      <c r="T1476">
        <v>0</v>
      </c>
      <c r="U1476">
        <v>0</v>
      </c>
      <c r="V1476">
        <v>0</v>
      </c>
    </row>
    <row r="1477" spans="1:22" x14ac:dyDescent="0.2">
      <c r="A1477" t="s">
        <v>4042</v>
      </c>
      <c r="B1477" t="s">
        <v>4043</v>
      </c>
      <c r="C1477" t="s">
        <v>1897</v>
      </c>
      <c r="D1477" t="s">
        <v>96</v>
      </c>
      <c r="E1477">
        <v>49.99</v>
      </c>
      <c r="F1477" t="s">
        <v>8118</v>
      </c>
      <c r="L1477" t="s">
        <v>7032</v>
      </c>
      <c r="M1477" t="s">
        <v>97</v>
      </c>
      <c r="N1477">
        <v>0</v>
      </c>
      <c r="O1477">
        <v>0</v>
      </c>
      <c r="T1477">
        <v>0</v>
      </c>
      <c r="U1477">
        <v>0</v>
      </c>
      <c r="V1477">
        <v>0</v>
      </c>
    </row>
    <row r="1478" spans="1:22" x14ac:dyDescent="0.2">
      <c r="A1478" t="s">
        <v>7672</v>
      </c>
      <c r="B1478" t="s">
        <v>7673</v>
      </c>
      <c r="C1478" t="s">
        <v>1897</v>
      </c>
      <c r="D1478" t="s">
        <v>96</v>
      </c>
      <c r="E1478">
        <v>59.99</v>
      </c>
      <c r="F1478" t="s">
        <v>8118</v>
      </c>
      <c r="L1478" t="s">
        <v>7032</v>
      </c>
      <c r="M1478" t="s">
        <v>97</v>
      </c>
      <c r="N1478">
        <v>0</v>
      </c>
      <c r="O1478">
        <v>0</v>
      </c>
      <c r="T1478">
        <v>0</v>
      </c>
      <c r="U1478">
        <v>0</v>
      </c>
      <c r="V1478">
        <v>0</v>
      </c>
    </row>
    <row r="1479" spans="1:22" x14ac:dyDescent="0.2">
      <c r="A1479" t="s">
        <v>3877</v>
      </c>
      <c r="B1479" t="s">
        <v>7046</v>
      </c>
      <c r="C1479" t="s">
        <v>1897</v>
      </c>
      <c r="D1479" t="s">
        <v>96</v>
      </c>
      <c r="E1479">
        <v>89.99</v>
      </c>
      <c r="F1479" t="s">
        <v>8118</v>
      </c>
      <c r="L1479" t="s">
        <v>7032</v>
      </c>
      <c r="M1479" t="s">
        <v>97</v>
      </c>
      <c r="N1479">
        <v>0</v>
      </c>
      <c r="O1479">
        <v>0</v>
      </c>
      <c r="T1479">
        <v>0</v>
      </c>
      <c r="U1479">
        <v>0</v>
      </c>
      <c r="V1479">
        <v>0</v>
      </c>
    </row>
    <row r="1480" spans="1:22" x14ac:dyDescent="0.2">
      <c r="A1480" t="s">
        <v>3892</v>
      </c>
      <c r="B1480" t="s">
        <v>7047</v>
      </c>
      <c r="C1480" t="s">
        <v>1897</v>
      </c>
      <c r="D1480" t="s">
        <v>96</v>
      </c>
      <c r="E1480">
        <v>89.99</v>
      </c>
      <c r="F1480" t="s">
        <v>8118</v>
      </c>
      <c r="L1480" t="s">
        <v>7032</v>
      </c>
      <c r="M1480" t="s">
        <v>97</v>
      </c>
      <c r="N1480">
        <v>0</v>
      </c>
      <c r="O1480">
        <v>0</v>
      </c>
      <c r="T1480">
        <v>0</v>
      </c>
      <c r="U1480">
        <v>0</v>
      </c>
      <c r="V1480">
        <v>0</v>
      </c>
    </row>
    <row r="1481" spans="1:22" x14ac:dyDescent="0.2">
      <c r="A1481" t="s">
        <v>7614</v>
      </c>
      <c r="B1481" t="s">
        <v>7615</v>
      </c>
      <c r="C1481" t="s">
        <v>1897</v>
      </c>
      <c r="D1481" t="s">
        <v>96</v>
      </c>
      <c r="E1481">
        <v>79.989999999999995</v>
      </c>
      <c r="F1481" t="s">
        <v>8118</v>
      </c>
      <c r="L1481" t="s">
        <v>7032</v>
      </c>
      <c r="M1481" t="s">
        <v>97</v>
      </c>
      <c r="N1481">
        <v>0</v>
      </c>
      <c r="O1481">
        <v>0</v>
      </c>
      <c r="T1481">
        <v>0</v>
      </c>
      <c r="U1481">
        <v>0</v>
      </c>
      <c r="V1481">
        <v>0</v>
      </c>
    </row>
    <row r="1482" spans="1:22" x14ac:dyDescent="0.2">
      <c r="A1482" t="s">
        <v>4003</v>
      </c>
      <c r="B1482" t="s">
        <v>4004</v>
      </c>
      <c r="C1482" t="s">
        <v>1897</v>
      </c>
      <c r="D1482" t="s">
        <v>96</v>
      </c>
      <c r="E1482">
        <v>69.989999999999995</v>
      </c>
      <c r="F1482" t="s">
        <v>8118</v>
      </c>
      <c r="L1482" t="s">
        <v>7032</v>
      </c>
      <c r="M1482" t="s">
        <v>97</v>
      </c>
      <c r="N1482">
        <v>0</v>
      </c>
      <c r="O1482">
        <v>0</v>
      </c>
      <c r="T1482">
        <v>0</v>
      </c>
      <c r="U1482">
        <v>0</v>
      </c>
      <c r="V1482">
        <v>0</v>
      </c>
    </row>
    <row r="1483" spans="1:22" x14ac:dyDescent="0.2">
      <c r="A1483" t="s">
        <v>3997</v>
      </c>
      <c r="B1483" t="s">
        <v>3998</v>
      </c>
      <c r="C1483" t="s">
        <v>1897</v>
      </c>
      <c r="D1483" t="s">
        <v>96</v>
      </c>
      <c r="E1483">
        <v>44.99</v>
      </c>
      <c r="F1483" t="s">
        <v>8118</v>
      </c>
      <c r="L1483" t="s">
        <v>7032</v>
      </c>
      <c r="M1483" t="s">
        <v>97</v>
      </c>
      <c r="N1483">
        <v>0</v>
      </c>
      <c r="O1483">
        <v>0</v>
      </c>
      <c r="T1483">
        <v>0</v>
      </c>
      <c r="U1483">
        <v>0</v>
      </c>
      <c r="V1483">
        <v>0</v>
      </c>
    </row>
    <row r="1484" spans="1:22" x14ac:dyDescent="0.2">
      <c r="A1484" t="s">
        <v>7726</v>
      </c>
      <c r="B1484" t="s">
        <v>7727</v>
      </c>
      <c r="C1484" t="s">
        <v>1897</v>
      </c>
      <c r="D1484" t="s">
        <v>96</v>
      </c>
      <c r="E1484">
        <v>64.989999999999995</v>
      </c>
      <c r="F1484" t="s">
        <v>8118</v>
      </c>
      <c r="L1484" t="s">
        <v>7032</v>
      </c>
      <c r="M1484" t="s">
        <v>97</v>
      </c>
      <c r="N1484">
        <v>0</v>
      </c>
      <c r="O1484">
        <v>0</v>
      </c>
      <c r="T1484">
        <v>0</v>
      </c>
      <c r="U1484">
        <v>0</v>
      </c>
      <c r="V1484">
        <v>0</v>
      </c>
    </row>
    <row r="1485" spans="1:22" x14ac:dyDescent="0.2">
      <c r="A1485" t="s">
        <v>3801</v>
      </c>
      <c r="B1485" t="s">
        <v>3802</v>
      </c>
      <c r="C1485" t="s">
        <v>1897</v>
      </c>
      <c r="D1485" t="s">
        <v>96</v>
      </c>
      <c r="E1485">
        <v>44.99</v>
      </c>
      <c r="F1485" t="s">
        <v>8118</v>
      </c>
      <c r="L1485" t="s">
        <v>7032</v>
      </c>
      <c r="M1485" t="s">
        <v>97</v>
      </c>
      <c r="N1485">
        <v>0</v>
      </c>
      <c r="O1485">
        <v>0</v>
      </c>
      <c r="T1485">
        <v>0</v>
      </c>
      <c r="U1485">
        <v>0</v>
      </c>
      <c r="V1485">
        <v>0</v>
      </c>
    </row>
    <row r="1486" spans="1:22" x14ac:dyDescent="0.2">
      <c r="A1486" t="s">
        <v>3749</v>
      </c>
      <c r="B1486" t="s">
        <v>3750</v>
      </c>
      <c r="C1486" t="s">
        <v>1897</v>
      </c>
      <c r="D1486" t="s">
        <v>96</v>
      </c>
      <c r="E1486">
        <v>54.99</v>
      </c>
      <c r="F1486" t="s">
        <v>8118</v>
      </c>
      <c r="L1486" t="s">
        <v>7032</v>
      </c>
      <c r="M1486" t="s">
        <v>97</v>
      </c>
      <c r="N1486">
        <v>0</v>
      </c>
      <c r="O1486">
        <v>0</v>
      </c>
      <c r="T1486">
        <v>0</v>
      </c>
      <c r="U1486">
        <v>0</v>
      </c>
      <c r="V1486">
        <v>0</v>
      </c>
    </row>
    <row r="1487" spans="1:22" x14ac:dyDescent="0.2">
      <c r="A1487" t="s">
        <v>7656</v>
      </c>
      <c r="B1487" t="s">
        <v>7657</v>
      </c>
      <c r="C1487" t="s">
        <v>1897</v>
      </c>
      <c r="D1487" t="s">
        <v>96</v>
      </c>
      <c r="E1487">
        <v>49.99</v>
      </c>
      <c r="F1487" t="s">
        <v>8118</v>
      </c>
      <c r="L1487" t="s">
        <v>7032</v>
      </c>
      <c r="M1487" t="s">
        <v>97</v>
      </c>
      <c r="N1487">
        <v>0</v>
      </c>
      <c r="O1487">
        <v>0</v>
      </c>
      <c r="T1487">
        <v>0</v>
      </c>
      <c r="U1487">
        <v>0</v>
      </c>
      <c r="V1487">
        <v>0</v>
      </c>
    </row>
    <row r="1488" spans="1:22" x14ac:dyDescent="0.2">
      <c r="A1488" t="s">
        <v>3810</v>
      </c>
      <c r="B1488" t="s">
        <v>3811</v>
      </c>
      <c r="C1488" t="s">
        <v>1897</v>
      </c>
      <c r="D1488" t="s">
        <v>96</v>
      </c>
      <c r="E1488">
        <v>59.99</v>
      </c>
      <c r="F1488" t="s">
        <v>8118</v>
      </c>
      <c r="L1488" t="s">
        <v>7032</v>
      </c>
      <c r="M1488" t="s">
        <v>97</v>
      </c>
      <c r="N1488">
        <v>0</v>
      </c>
      <c r="O1488">
        <v>0</v>
      </c>
      <c r="T1488">
        <v>0</v>
      </c>
      <c r="U1488">
        <v>0</v>
      </c>
      <c r="V1488">
        <v>6</v>
      </c>
    </row>
    <row r="1489" spans="1:22" x14ac:dyDescent="0.2">
      <c r="A1489" t="s">
        <v>7742</v>
      </c>
      <c r="B1489" t="s">
        <v>7743</v>
      </c>
      <c r="C1489" t="s">
        <v>1897</v>
      </c>
      <c r="D1489" t="s">
        <v>96</v>
      </c>
      <c r="E1489">
        <v>69.989999999999995</v>
      </c>
      <c r="F1489" t="s">
        <v>8118</v>
      </c>
      <c r="L1489" t="s">
        <v>7032</v>
      </c>
      <c r="M1489" t="s">
        <v>97</v>
      </c>
      <c r="N1489">
        <v>0</v>
      </c>
      <c r="O1489">
        <v>0</v>
      </c>
      <c r="T1489">
        <v>0</v>
      </c>
      <c r="U1489">
        <v>0</v>
      </c>
      <c r="V1489">
        <v>0</v>
      </c>
    </row>
    <row r="1490" spans="1:22" x14ac:dyDescent="0.2">
      <c r="A1490" t="s">
        <v>3896</v>
      </c>
      <c r="B1490" t="s">
        <v>3897</v>
      </c>
      <c r="C1490" t="s">
        <v>1897</v>
      </c>
      <c r="D1490" t="s">
        <v>96</v>
      </c>
      <c r="E1490">
        <v>79.989999999999995</v>
      </c>
      <c r="F1490" t="s">
        <v>8118</v>
      </c>
      <c r="L1490" t="s">
        <v>7032</v>
      </c>
      <c r="M1490" t="s">
        <v>97</v>
      </c>
      <c r="N1490">
        <v>0</v>
      </c>
      <c r="O1490">
        <v>0</v>
      </c>
      <c r="T1490">
        <v>0</v>
      </c>
      <c r="U1490">
        <v>0</v>
      </c>
      <c r="V1490">
        <v>0</v>
      </c>
    </row>
    <row r="1491" spans="1:22" x14ac:dyDescent="0.2">
      <c r="A1491" t="s">
        <v>7642</v>
      </c>
      <c r="B1491" t="s">
        <v>7643</v>
      </c>
      <c r="C1491" t="s">
        <v>1897</v>
      </c>
      <c r="D1491" t="s">
        <v>96</v>
      </c>
      <c r="E1491">
        <v>44.99</v>
      </c>
      <c r="F1491" t="s">
        <v>8118</v>
      </c>
      <c r="L1491" t="s">
        <v>7032</v>
      </c>
      <c r="M1491" t="s">
        <v>97</v>
      </c>
      <c r="N1491">
        <v>0</v>
      </c>
      <c r="O1491">
        <v>0</v>
      </c>
      <c r="T1491">
        <v>0</v>
      </c>
      <c r="U1491">
        <v>0</v>
      </c>
      <c r="V1491">
        <v>0</v>
      </c>
    </row>
    <row r="1492" spans="1:22" x14ac:dyDescent="0.2">
      <c r="A1492" t="s">
        <v>7826</v>
      </c>
      <c r="B1492" t="s">
        <v>7827</v>
      </c>
      <c r="C1492" t="s">
        <v>1897</v>
      </c>
      <c r="D1492" t="s">
        <v>96</v>
      </c>
      <c r="E1492">
        <v>44.99</v>
      </c>
      <c r="F1492" t="s">
        <v>8118</v>
      </c>
      <c r="L1492" t="s">
        <v>7032</v>
      </c>
      <c r="M1492" t="s">
        <v>97</v>
      </c>
      <c r="N1492">
        <v>0</v>
      </c>
      <c r="O1492">
        <v>0</v>
      </c>
      <c r="T1492">
        <v>0</v>
      </c>
      <c r="U1492">
        <v>0</v>
      </c>
      <c r="V1492">
        <v>0</v>
      </c>
    </row>
    <row r="1493" spans="1:22" x14ac:dyDescent="0.2">
      <c r="A1493" t="s">
        <v>7592</v>
      </c>
      <c r="B1493" t="s">
        <v>7593</v>
      </c>
      <c r="C1493" t="s">
        <v>1897</v>
      </c>
      <c r="D1493" t="s">
        <v>96</v>
      </c>
      <c r="E1493">
        <v>44.99</v>
      </c>
      <c r="F1493" t="s">
        <v>8118</v>
      </c>
      <c r="L1493" t="s">
        <v>7032</v>
      </c>
      <c r="M1493" t="s">
        <v>97</v>
      </c>
      <c r="N1493">
        <v>0</v>
      </c>
      <c r="O1493">
        <v>0</v>
      </c>
      <c r="T1493">
        <v>0</v>
      </c>
      <c r="U1493">
        <v>0</v>
      </c>
      <c r="V1493">
        <v>0</v>
      </c>
    </row>
    <row r="1494" spans="1:22" x14ac:dyDescent="0.2">
      <c r="A1494" t="s">
        <v>1978</v>
      </c>
      <c r="B1494" t="s">
        <v>1979</v>
      </c>
      <c r="C1494" t="s">
        <v>1897</v>
      </c>
      <c r="D1494" t="s">
        <v>290</v>
      </c>
      <c r="E1494">
        <v>44.99</v>
      </c>
      <c r="F1494" t="s">
        <v>8118</v>
      </c>
      <c r="L1494" t="s">
        <v>7032</v>
      </c>
      <c r="M1494" t="s">
        <v>97</v>
      </c>
      <c r="N1494">
        <v>0</v>
      </c>
      <c r="O1494">
        <v>0</v>
      </c>
      <c r="T1494">
        <v>0</v>
      </c>
      <c r="U1494">
        <v>0</v>
      </c>
      <c r="V1494">
        <v>2</v>
      </c>
    </row>
    <row r="1495" spans="1:22" x14ac:dyDescent="0.2">
      <c r="A1495" t="s">
        <v>7602</v>
      </c>
      <c r="B1495" t="s">
        <v>7603</v>
      </c>
      <c r="C1495" t="s">
        <v>1897</v>
      </c>
      <c r="D1495" t="s">
        <v>96</v>
      </c>
      <c r="E1495">
        <v>44.99</v>
      </c>
      <c r="F1495" t="s">
        <v>8118</v>
      </c>
      <c r="L1495" t="s">
        <v>7032</v>
      </c>
      <c r="M1495" t="s">
        <v>97</v>
      </c>
      <c r="N1495">
        <v>0</v>
      </c>
      <c r="O1495">
        <v>0</v>
      </c>
      <c r="T1495">
        <v>0</v>
      </c>
      <c r="U1495">
        <v>0</v>
      </c>
      <c r="V1495">
        <v>0</v>
      </c>
    </row>
    <row r="1496" spans="1:22" x14ac:dyDescent="0.2">
      <c r="A1496" t="s">
        <v>1976</v>
      </c>
      <c r="B1496" t="s">
        <v>1977</v>
      </c>
      <c r="C1496" t="s">
        <v>1897</v>
      </c>
      <c r="D1496" t="s">
        <v>290</v>
      </c>
      <c r="E1496">
        <v>39.99</v>
      </c>
      <c r="F1496" t="s">
        <v>8118</v>
      </c>
      <c r="L1496" t="s">
        <v>7032</v>
      </c>
      <c r="M1496" t="s">
        <v>97</v>
      </c>
      <c r="N1496">
        <v>0</v>
      </c>
      <c r="O1496">
        <v>0</v>
      </c>
      <c r="T1496">
        <v>0</v>
      </c>
      <c r="U1496">
        <v>0</v>
      </c>
      <c r="V1496">
        <v>0</v>
      </c>
    </row>
    <row r="1497" spans="1:22" x14ac:dyDescent="0.2">
      <c r="A1497" t="s">
        <v>7582</v>
      </c>
      <c r="B1497" t="s">
        <v>7583</v>
      </c>
      <c r="C1497" t="s">
        <v>1897</v>
      </c>
      <c r="D1497" t="s">
        <v>96</v>
      </c>
      <c r="E1497">
        <v>54.99</v>
      </c>
      <c r="F1497" t="s">
        <v>8118</v>
      </c>
      <c r="L1497" t="s">
        <v>7032</v>
      </c>
      <c r="M1497" t="s">
        <v>97</v>
      </c>
      <c r="N1497">
        <v>0</v>
      </c>
      <c r="O1497">
        <v>0</v>
      </c>
      <c r="T1497">
        <v>0</v>
      </c>
      <c r="U1497">
        <v>0</v>
      </c>
      <c r="V1497">
        <v>0</v>
      </c>
    </row>
    <row r="1498" spans="1:22" x14ac:dyDescent="0.2">
      <c r="A1498" t="s">
        <v>3874</v>
      </c>
      <c r="B1498" t="s">
        <v>3875</v>
      </c>
      <c r="C1498" t="s">
        <v>1897</v>
      </c>
      <c r="D1498" t="s">
        <v>96</v>
      </c>
      <c r="E1498">
        <v>99.99</v>
      </c>
      <c r="F1498" t="s">
        <v>8118</v>
      </c>
      <c r="L1498" t="s">
        <v>7032</v>
      </c>
      <c r="M1498" t="s">
        <v>97</v>
      </c>
      <c r="N1498">
        <v>0</v>
      </c>
      <c r="O1498">
        <v>0</v>
      </c>
      <c r="T1498">
        <v>0</v>
      </c>
      <c r="U1498">
        <v>0</v>
      </c>
      <c r="V1498">
        <v>0</v>
      </c>
    </row>
    <row r="1499" spans="1:22" x14ac:dyDescent="0.2">
      <c r="A1499" t="s">
        <v>3868</v>
      </c>
      <c r="B1499" t="s">
        <v>3869</v>
      </c>
      <c r="C1499" t="s">
        <v>1897</v>
      </c>
      <c r="D1499" t="s">
        <v>96</v>
      </c>
      <c r="E1499">
        <v>89.99</v>
      </c>
      <c r="F1499" t="s">
        <v>8118</v>
      </c>
      <c r="L1499" t="s">
        <v>7032</v>
      </c>
      <c r="M1499" t="s">
        <v>97</v>
      </c>
      <c r="N1499">
        <v>0</v>
      </c>
      <c r="O1499">
        <v>0</v>
      </c>
      <c r="T1499">
        <v>0</v>
      </c>
      <c r="U1499">
        <v>0</v>
      </c>
      <c r="V1499">
        <v>0</v>
      </c>
    </row>
    <row r="1500" spans="1:22" x14ac:dyDescent="0.2">
      <c r="A1500" t="s">
        <v>7594</v>
      </c>
      <c r="B1500" t="s">
        <v>7595</v>
      </c>
      <c r="C1500" t="s">
        <v>1897</v>
      </c>
      <c r="D1500" t="s">
        <v>96</v>
      </c>
      <c r="E1500">
        <v>99.99</v>
      </c>
      <c r="F1500" t="s">
        <v>8118</v>
      </c>
      <c r="L1500" t="s">
        <v>7032</v>
      </c>
      <c r="M1500" t="s">
        <v>97</v>
      </c>
      <c r="N1500">
        <v>0</v>
      </c>
      <c r="O1500">
        <v>0</v>
      </c>
      <c r="T1500">
        <v>0</v>
      </c>
      <c r="U1500">
        <v>0</v>
      </c>
      <c r="V1500">
        <v>0</v>
      </c>
    </row>
    <row r="1501" spans="1:22" x14ac:dyDescent="0.2">
      <c r="A1501" t="s">
        <v>7596</v>
      </c>
      <c r="B1501" t="s">
        <v>7597</v>
      </c>
      <c r="C1501" t="s">
        <v>1897</v>
      </c>
      <c r="D1501" t="s">
        <v>96</v>
      </c>
      <c r="E1501">
        <v>44.99</v>
      </c>
      <c r="F1501" t="s">
        <v>8118</v>
      </c>
      <c r="L1501" t="s">
        <v>7032</v>
      </c>
      <c r="M1501" t="s">
        <v>97</v>
      </c>
      <c r="N1501">
        <v>0</v>
      </c>
      <c r="O1501">
        <v>0</v>
      </c>
      <c r="T1501">
        <v>0</v>
      </c>
      <c r="U1501">
        <v>0</v>
      </c>
      <c r="V1501">
        <v>0</v>
      </c>
    </row>
    <row r="1502" spans="1:22" x14ac:dyDescent="0.2">
      <c r="A1502" t="s">
        <v>7646</v>
      </c>
      <c r="B1502" t="s">
        <v>7647</v>
      </c>
      <c r="C1502" t="s">
        <v>1897</v>
      </c>
      <c r="D1502" t="s">
        <v>96</v>
      </c>
      <c r="E1502">
        <v>49.99</v>
      </c>
      <c r="F1502" t="s">
        <v>8118</v>
      </c>
      <c r="L1502" t="s">
        <v>7032</v>
      </c>
      <c r="M1502" t="s">
        <v>97</v>
      </c>
      <c r="N1502">
        <v>0</v>
      </c>
      <c r="O1502">
        <v>0</v>
      </c>
      <c r="T1502">
        <v>0</v>
      </c>
      <c r="U1502">
        <v>0</v>
      </c>
      <c r="V1502">
        <v>0</v>
      </c>
    </row>
    <row r="1503" spans="1:22" x14ac:dyDescent="0.2">
      <c r="A1503" t="s">
        <v>3795</v>
      </c>
      <c r="B1503" t="s">
        <v>3796</v>
      </c>
      <c r="C1503" t="s">
        <v>1897</v>
      </c>
      <c r="D1503" t="s">
        <v>96</v>
      </c>
      <c r="E1503">
        <v>34.99</v>
      </c>
      <c r="F1503" t="s">
        <v>8118</v>
      </c>
      <c r="L1503" t="s">
        <v>7032</v>
      </c>
      <c r="M1503" t="s">
        <v>97</v>
      </c>
      <c r="N1503">
        <v>0</v>
      </c>
      <c r="O1503">
        <v>0</v>
      </c>
      <c r="T1503">
        <v>0</v>
      </c>
      <c r="U1503">
        <v>0</v>
      </c>
      <c r="V1503">
        <v>3</v>
      </c>
    </row>
    <row r="1504" spans="1:22" x14ac:dyDescent="0.2">
      <c r="A1504" t="s">
        <v>3945</v>
      </c>
      <c r="B1504" t="s">
        <v>3946</v>
      </c>
      <c r="C1504" t="s">
        <v>1897</v>
      </c>
      <c r="D1504" t="s">
        <v>290</v>
      </c>
      <c r="E1504">
        <v>139.99</v>
      </c>
      <c r="F1504" t="s">
        <v>8118</v>
      </c>
      <c r="L1504" t="s">
        <v>7032</v>
      </c>
      <c r="M1504" t="s">
        <v>97</v>
      </c>
      <c r="N1504">
        <v>0</v>
      </c>
      <c r="O1504">
        <v>0</v>
      </c>
      <c r="T1504">
        <v>0</v>
      </c>
      <c r="U1504">
        <v>0</v>
      </c>
      <c r="V1504">
        <v>0</v>
      </c>
    </row>
    <row r="1505" spans="1:22" x14ac:dyDescent="0.2">
      <c r="A1505" t="s">
        <v>3939</v>
      </c>
      <c r="B1505" t="s">
        <v>3940</v>
      </c>
      <c r="C1505" t="s">
        <v>1897</v>
      </c>
      <c r="D1505" t="s">
        <v>96</v>
      </c>
      <c r="E1505">
        <v>139.99</v>
      </c>
      <c r="F1505" t="s">
        <v>8118</v>
      </c>
      <c r="L1505" t="s">
        <v>7032</v>
      </c>
      <c r="M1505" t="s">
        <v>97</v>
      </c>
      <c r="N1505">
        <v>0</v>
      </c>
      <c r="O1505">
        <v>0</v>
      </c>
      <c r="T1505">
        <v>0</v>
      </c>
      <c r="U1505">
        <v>0</v>
      </c>
      <c r="V1505">
        <v>0</v>
      </c>
    </row>
    <row r="1506" spans="1:22" x14ac:dyDescent="0.2">
      <c r="A1506" t="s">
        <v>4150</v>
      </c>
      <c r="B1506" t="s">
        <v>4151</v>
      </c>
      <c r="C1506" t="s">
        <v>1897</v>
      </c>
      <c r="D1506" t="s">
        <v>96</v>
      </c>
      <c r="E1506">
        <v>299.99</v>
      </c>
      <c r="F1506" t="s">
        <v>8118</v>
      </c>
      <c r="L1506" t="s">
        <v>7032</v>
      </c>
      <c r="M1506" t="s">
        <v>97</v>
      </c>
      <c r="N1506">
        <v>0</v>
      </c>
      <c r="O1506">
        <v>0</v>
      </c>
      <c r="T1506">
        <v>0</v>
      </c>
      <c r="U1506">
        <v>0</v>
      </c>
      <c r="V1506">
        <v>0</v>
      </c>
    </row>
    <row r="1507" spans="1:22" x14ac:dyDescent="0.2">
      <c r="A1507" t="s">
        <v>7710</v>
      </c>
      <c r="B1507" t="s">
        <v>7711</v>
      </c>
      <c r="C1507" t="s">
        <v>1897</v>
      </c>
      <c r="D1507" t="s">
        <v>96</v>
      </c>
      <c r="E1507">
        <v>124.99</v>
      </c>
      <c r="F1507" t="s">
        <v>8118</v>
      </c>
      <c r="L1507" t="s">
        <v>7032</v>
      </c>
      <c r="M1507" t="s">
        <v>97</v>
      </c>
      <c r="N1507">
        <v>0</v>
      </c>
      <c r="O1507">
        <v>0</v>
      </c>
      <c r="T1507">
        <v>0</v>
      </c>
      <c r="U1507">
        <v>0</v>
      </c>
      <c r="V1507">
        <v>0</v>
      </c>
    </row>
    <row r="1508" spans="1:22" x14ac:dyDescent="0.2">
      <c r="A1508" t="s">
        <v>4009</v>
      </c>
      <c r="B1508" t="s">
        <v>4010</v>
      </c>
      <c r="C1508" t="s">
        <v>1897</v>
      </c>
      <c r="D1508" t="s">
        <v>96</v>
      </c>
      <c r="E1508">
        <v>149.99</v>
      </c>
      <c r="F1508" t="s">
        <v>8118</v>
      </c>
      <c r="L1508" t="s">
        <v>7032</v>
      </c>
      <c r="M1508" t="s">
        <v>97</v>
      </c>
      <c r="N1508">
        <v>0</v>
      </c>
      <c r="O1508">
        <v>0</v>
      </c>
      <c r="T1508">
        <v>0</v>
      </c>
      <c r="U1508">
        <v>0</v>
      </c>
      <c r="V1508">
        <v>1</v>
      </c>
    </row>
    <row r="1509" spans="1:22" x14ac:dyDescent="0.2">
      <c r="A1509" t="s">
        <v>4006</v>
      </c>
      <c r="B1509" t="s">
        <v>4007</v>
      </c>
      <c r="C1509" t="s">
        <v>1897</v>
      </c>
      <c r="D1509" t="s">
        <v>96</v>
      </c>
      <c r="E1509">
        <v>119.99</v>
      </c>
      <c r="F1509" t="s">
        <v>8118</v>
      </c>
      <c r="L1509" t="s">
        <v>7032</v>
      </c>
      <c r="M1509" t="s">
        <v>97</v>
      </c>
      <c r="N1509">
        <v>0</v>
      </c>
      <c r="O1509">
        <v>0</v>
      </c>
      <c r="T1509">
        <v>0</v>
      </c>
      <c r="U1509">
        <v>0</v>
      </c>
      <c r="V1509">
        <v>0</v>
      </c>
    </row>
    <row r="1510" spans="1:22" x14ac:dyDescent="0.2">
      <c r="A1510" t="s">
        <v>7728</v>
      </c>
      <c r="B1510" t="s">
        <v>7729</v>
      </c>
      <c r="C1510" t="s">
        <v>1897</v>
      </c>
      <c r="D1510" t="s">
        <v>96</v>
      </c>
      <c r="E1510">
        <v>159.99</v>
      </c>
      <c r="F1510" t="s">
        <v>8118</v>
      </c>
      <c r="L1510" t="s">
        <v>7032</v>
      </c>
      <c r="M1510" t="s">
        <v>97</v>
      </c>
      <c r="N1510">
        <v>0</v>
      </c>
      <c r="O1510">
        <v>0</v>
      </c>
      <c r="T1510">
        <v>0</v>
      </c>
      <c r="U1510">
        <v>0</v>
      </c>
      <c r="V1510">
        <v>1</v>
      </c>
    </row>
    <row r="1511" spans="1:22" x14ac:dyDescent="0.2">
      <c r="A1511" t="s">
        <v>7670</v>
      </c>
      <c r="B1511" t="s">
        <v>7671</v>
      </c>
      <c r="C1511" t="s">
        <v>1897</v>
      </c>
      <c r="D1511" t="s">
        <v>96</v>
      </c>
      <c r="E1511">
        <v>59.99</v>
      </c>
      <c r="F1511" t="s">
        <v>8118</v>
      </c>
      <c r="L1511" t="s">
        <v>7032</v>
      </c>
      <c r="M1511" t="s">
        <v>97</v>
      </c>
      <c r="N1511">
        <v>0</v>
      </c>
      <c r="O1511">
        <v>0</v>
      </c>
      <c r="T1511">
        <v>0</v>
      </c>
      <c r="U1511">
        <v>0</v>
      </c>
      <c r="V1511">
        <v>0</v>
      </c>
    </row>
    <row r="1512" spans="1:22" x14ac:dyDescent="0.2">
      <c r="A1512" t="s">
        <v>7580</v>
      </c>
      <c r="B1512" t="s">
        <v>7581</v>
      </c>
      <c r="C1512" t="s">
        <v>1897</v>
      </c>
      <c r="D1512" t="s">
        <v>96</v>
      </c>
      <c r="E1512">
        <v>54.99</v>
      </c>
      <c r="F1512" t="s">
        <v>8118</v>
      </c>
      <c r="L1512" t="s">
        <v>7032</v>
      </c>
      <c r="M1512" t="s">
        <v>97</v>
      </c>
      <c r="N1512">
        <v>0</v>
      </c>
      <c r="O1512">
        <v>0</v>
      </c>
      <c r="T1512">
        <v>0</v>
      </c>
      <c r="U1512">
        <v>0</v>
      </c>
      <c r="V1512">
        <v>0</v>
      </c>
    </row>
    <row r="1513" spans="1:22" x14ac:dyDescent="0.2">
      <c r="A1513" t="s">
        <v>7578</v>
      </c>
      <c r="B1513" t="s">
        <v>7579</v>
      </c>
      <c r="C1513" t="s">
        <v>1897</v>
      </c>
      <c r="D1513" t="s">
        <v>96</v>
      </c>
      <c r="E1513">
        <v>44.99</v>
      </c>
      <c r="F1513" t="s">
        <v>8118</v>
      </c>
      <c r="L1513" t="s">
        <v>7032</v>
      </c>
      <c r="M1513" t="s">
        <v>97</v>
      </c>
      <c r="N1513">
        <v>0</v>
      </c>
      <c r="O1513">
        <v>0</v>
      </c>
      <c r="T1513">
        <v>0</v>
      </c>
      <c r="U1513">
        <v>0</v>
      </c>
      <c r="V1513">
        <v>0</v>
      </c>
    </row>
    <row r="1514" spans="1:22" x14ac:dyDescent="0.2">
      <c r="A1514" t="s">
        <v>7600</v>
      </c>
      <c r="B1514" t="s">
        <v>7601</v>
      </c>
      <c r="C1514" t="s">
        <v>1897</v>
      </c>
      <c r="D1514" t="s">
        <v>290</v>
      </c>
      <c r="E1514">
        <v>99.99</v>
      </c>
      <c r="F1514" t="s">
        <v>8118</v>
      </c>
      <c r="L1514" t="s">
        <v>7032</v>
      </c>
      <c r="M1514" t="s">
        <v>97</v>
      </c>
      <c r="N1514">
        <v>0</v>
      </c>
      <c r="O1514">
        <v>0</v>
      </c>
      <c r="T1514">
        <v>0</v>
      </c>
      <c r="U1514">
        <v>0</v>
      </c>
      <c r="V1514">
        <v>0</v>
      </c>
    </row>
    <row r="1515" spans="1:22" x14ac:dyDescent="0.2">
      <c r="A1515" t="s">
        <v>3726</v>
      </c>
      <c r="B1515" t="s">
        <v>3727</v>
      </c>
      <c r="C1515" t="s">
        <v>1897</v>
      </c>
      <c r="D1515" t="s">
        <v>96</v>
      </c>
      <c r="E1515">
        <v>54.99</v>
      </c>
      <c r="F1515" t="s">
        <v>8118</v>
      </c>
      <c r="L1515" t="s">
        <v>7032</v>
      </c>
      <c r="M1515" t="s">
        <v>97</v>
      </c>
      <c r="N1515">
        <v>0</v>
      </c>
      <c r="O1515">
        <v>0</v>
      </c>
      <c r="T1515">
        <v>0</v>
      </c>
      <c r="U1515">
        <v>0</v>
      </c>
      <c r="V1515">
        <v>0</v>
      </c>
    </row>
    <row r="1516" spans="1:22" x14ac:dyDescent="0.2">
      <c r="A1516" t="s">
        <v>7598</v>
      </c>
      <c r="B1516" t="s">
        <v>7599</v>
      </c>
      <c r="C1516" t="s">
        <v>1897</v>
      </c>
      <c r="D1516" t="s">
        <v>96</v>
      </c>
      <c r="E1516">
        <v>119.99</v>
      </c>
      <c r="F1516" t="s">
        <v>8118</v>
      </c>
      <c r="L1516" t="s">
        <v>7032</v>
      </c>
      <c r="M1516" t="s">
        <v>97</v>
      </c>
      <c r="N1516">
        <v>0</v>
      </c>
      <c r="O1516">
        <v>0</v>
      </c>
      <c r="T1516">
        <v>0</v>
      </c>
      <c r="U1516">
        <v>0</v>
      </c>
      <c r="V1516">
        <v>0</v>
      </c>
    </row>
    <row r="1517" spans="1:22" x14ac:dyDescent="0.2">
      <c r="A1517" t="s">
        <v>7654</v>
      </c>
      <c r="B1517" t="s">
        <v>7655</v>
      </c>
      <c r="C1517" t="s">
        <v>1897</v>
      </c>
      <c r="D1517" t="s">
        <v>96</v>
      </c>
      <c r="E1517">
        <v>44.99</v>
      </c>
      <c r="F1517" t="s">
        <v>8118</v>
      </c>
      <c r="L1517" t="s">
        <v>7032</v>
      </c>
      <c r="M1517" t="s">
        <v>97</v>
      </c>
      <c r="N1517">
        <v>0</v>
      </c>
      <c r="O1517">
        <v>0</v>
      </c>
      <c r="T1517">
        <v>0</v>
      </c>
      <c r="U1517">
        <v>0</v>
      </c>
      <c r="V1517">
        <v>0</v>
      </c>
    </row>
    <row r="1518" spans="1:22" x14ac:dyDescent="0.2">
      <c r="A1518" t="s">
        <v>7652</v>
      </c>
      <c r="B1518" t="s">
        <v>7653</v>
      </c>
      <c r="C1518" t="s">
        <v>1897</v>
      </c>
      <c r="D1518" t="s">
        <v>96</v>
      </c>
      <c r="E1518">
        <v>39.99</v>
      </c>
      <c r="F1518" t="s">
        <v>8118</v>
      </c>
      <c r="L1518" t="s">
        <v>7032</v>
      </c>
      <c r="M1518" t="s">
        <v>97</v>
      </c>
      <c r="N1518">
        <v>0</v>
      </c>
      <c r="O1518">
        <v>0</v>
      </c>
      <c r="T1518">
        <v>0</v>
      </c>
      <c r="U1518">
        <v>0</v>
      </c>
      <c r="V1518">
        <v>0</v>
      </c>
    </row>
    <row r="1519" spans="1:22" x14ac:dyDescent="0.2">
      <c r="A1519" t="s">
        <v>1926</v>
      </c>
      <c r="B1519" t="s">
        <v>1927</v>
      </c>
      <c r="C1519" t="s">
        <v>1897</v>
      </c>
      <c r="D1519" t="s">
        <v>290</v>
      </c>
      <c r="E1519">
        <v>39.99</v>
      </c>
      <c r="F1519" t="s">
        <v>8118</v>
      </c>
      <c r="L1519" t="s">
        <v>7032</v>
      </c>
      <c r="M1519" t="s">
        <v>97</v>
      </c>
      <c r="N1519">
        <v>0</v>
      </c>
      <c r="O1519">
        <v>0</v>
      </c>
      <c r="T1519">
        <v>0</v>
      </c>
      <c r="U1519">
        <v>0</v>
      </c>
      <c r="V1519">
        <v>4</v>
      </c>
    </row>
    <row r="1520" spans="1:22" x14ac:dyDescent="0.2">
      <c r="A1520" t="s">
        <v>3853</v>
      </c>
      <c r="B1520" t="s">
        <v>3854</v>
      </c>
      <c r="C1520" t="s">
        <v>1897</v>
      </c>
      <c r="D1520" t="s">
        <v>290</v>
      </c>
      <c r="E1520">
        <v>69.989999999999995</v>
      </c>
      <c r="F1520" t="s">
        <v>8118</v>
      </c>
      <c r="L1520" t="s">
        <v>7032</v>
      </c>
      <c r="M1520" t="s">
        <v>97</v>
      </c>
      <c r="N1520">
        <v>0</v>
      </c>
      <c r="O1520">
        <v>0</v>
      </c>
      <c r="T1520">
        <v>0</v>
      </c>
      <c r="U1520">
        <v>0</v>
      </c>
      <c r="V1520">
        <v>0</v>
      </c>
    </row>
    <row r="1521" spans="1:22" x14ac:dyDescent="0.2">
      <c r="A1521" t="s">
        <v>3880</v>
      </c>
      <c r="B1521" t="s">
        <v>3881</v>
      </c>
      <c r="C1521" t="s">
        <v>1897</v>
      </c>
      <c r="D1521" t="s">
        <v>96</v>
      </c>
      <c r="E1521">
        <v>139.99</v>
      </c>
      <c r="F1521" t="s">
        <v>8118</v>
      </c>
      <c r="L1521" t="s">
        <v>7032</v>
      </c>
      <c r="M1521" t="s">
        <v>97</v>
      </c>
      <c r="N1521">
        <v>0</v>
      </c>
      <c r="O1521">
        <v>0</v>
      </c>
      <c r="T1521">
        <v>0</v>
      </c>
      <c r="U1521">
        <v>0</v>
      </c>
      <c r="V1521">
        <v>0</v>
      </c>
    </row>
    <row r="1522" spans="1:22" x14ac:dyDescent="0.2">
      <c r="A1522" t="s">
        <v>3960</v>
      </c>
      <c r="B1522" t="s">
        <v>3961</v>
      </c>
      <c r="C1522" t="s">
        <v>1897</v>
      </c>
      <c r="D1522" t="s">
        <v>96</v>
      </c>
      <c r="E1522">
        <v>79.989999999999995</v>
      </c>
      <c r="F1522" t="s">
        <v>8118</v>
      </c>
      <c r="L1522" t="s">
        <v>7032</v>
      </c>
      <c r="M1522" t="s">
        <v>97</v>
      </c>
      <c r="N1522">
        <v>0</v>
      </c>
      <c r="O1522">
        <v>0</v>
      </c>
      <c r="T1522">
        <v>0</v>
      </c>
      <c r="U1522">
        <v>0</v>
      </c>
      <c r="V1522">
        <v>0</v>
      </c>
    </row>
    <row r="1523" spans="1:22" x14ac:dyDescent="0.2">
      <c r="A1523" t="s">
        <v>3990</v>
      </c>
      <c r="B1523" t="s">
        <v>3991</v>
      </c>
      <c r="C1523" t="s">
        <v>1897</v>
      </c>
      <c r="D1523" t="s">
        <v>96</v>
      </c>
      <c r="E1523">
        <v>109.99</v>
      </c>
      <c r="F1523" t="s">
        <v>8118</v>
      </c>
      <c r="L1523" t="s">
        <v>7032</v>
      </c>
      <c r="M1523" t="s">
        <v>97</v>
      </c>
      <c r="N1523">
        <v>0</v>
      </c>
      <c r="O1523">
        <v>0</v>
      </c>
      <c r="T1523">
        <v>0</v>
      </c>
      <c r="U1523">
        <v>0</v>
      </c>
      <c r="V1523">
        <v>2</v>
      </c>
    </row>
    <row r="1524" spans="1:22" x14ac:dyDescent="0.2">
      <c r="A1524" t="s">
        <v>1966</v>
      </c>
      <c r="B1524" t="s">
        <v>1967</v>
      </c>
      <c r="C1524" t="s">
        <v>1897</v>
      </c>
      <c r="D1524" t="s">
        <v>96</v>
      </c>
      <c r="E1524">
        <v>139.99</v>
      </c>
      <c r="F1524" t="s">
        <v>8118</v>
      </c>
      <c r="L1524" t="s">
        <v>7032</v>
      </c>
      <c r="M1524" t="s">
        <v>97</v>
      </c>
      <c r="N1524">
        <v>0</v>
      </c>
      <c r="O1524">
        <v>0</v>
      </c>
      <c r="T1524">
        <v>0</v>
      </c>
      <c r="U1524">
        <v>0</v>
      </c>
      <c r="V1524">
        <v>1</v>
      </c>
    </row>
    <row r="1525" spans="1:22" x14ac:dyDescent="0.2">
      <c r="A1525" t="s">
        <v>3759</v>
      </c>
      <c r="B1525" t="s">
        <v>3760</v>
      </c>
      <c r="C1525" t="s">
        <v>1897</v>
      </c>
      <c r="D1525" t="s">
        <v>96</v>
      </c>
      <c r="E1525">
        <v>44.99</v>
      </c>
      <c r="F1525" t="s">
        <v>8118</v>
      </c>
      <c r="L1525" t="s">
        <v>7032</v>
      </c>
      <c r="M1525" t="s">
        <v>97</v>
      </c>
      <c r="N1525">
        <v>0</v>
      </c>
      <c r="O1525">
        <v>0</v>
      </c>
      <c r="T1525">
        <v>0</v>
      </c>
      <c r="U1525">
        <v>0</v>
      </c>
      <c r="V1525">
        <v>0</v>
      </c>
    </row>
    <row r="1526" spans="1:22" x14ac:dyDescent="0.2">
      <c r="A1526" t="s">
        <v>3781</v>
      </c>
      <c r="B1526" t="s">
        <v>3782</v>
      </c>
      <c r="C1526" t="s">
        <v>1897</v>
      </c>
      <c r="D1526" t="s">
        <v>96</v>
      </c>
      <c r="E1526">
        <v>149.99</v>
      </c>
      <c r="F1526" t="s">
        <v>8118</v>
      </c>
      <c r="L1526" t="s">
        <v>7032</v>
      </c>
      <c r="M1526" t="s">
        <v>97</v>
      </c>
      <c r="N1526">
        <v>0</v>
      </c>
      <c r="O1526">
        <v>0</v>
      </c>
      <c r="T1526">
        <v>0</v>
      </c>
      <c r="U1526">
        <v>0</v>
      </c>
      <c r="V1526">
        <v>0</v>
      </c>
    </row>
    <row r="1527" spans="1:22" x14ac:dyDescent="0.2">
      <c r="A1527" t="s">
        <v>3735</v>
      </c>
      <c r="B1527" t="s">
        <v>3736</v>
      </c>
      <c r="C1527" t="s">
        <v>1897</v>
      </c>
      <c r="D1527" t="s">
        <v>96</v>
      </c>
      <c r="E1527">
        <v>59.99</v>
      </c>
      <c r="F1527" t="s">
        <v>8118</v>
      </c>
      <c r="L1527" t="s">
        <v>7032</v>
      </c>
      <c r="M1527" t="s">
        <v>97</v>
      </c>
      <c r="N1527">
        <v>0</v>
      </c>
      <c r="O1527">
        <v>0</v>
      </c>
      <c r="T1527">
        <v>0</v>
      </c>
      <c r="U1527">
        <v>0</v>
      </c>
      <c r="V1527">
        <v>0</v>
      </c>
    </row>
    <row r="1528" spans="1:22" x14ac:dyDescent="0.2">
      <c r="A1528" t="s">
        <v>1920</v>
      </c>
      <c r="B1528" t="s">
        <v>1921</v>
      </c>
      <c r="C1528" t="s">
        <v>1897</v>
      </c>
      <c r="D1528" t="s">
        <v>290</v>
      </c>
      <c r="E1528">
        <v>49.99</v>
      </c>
      <c r="F1528" t="s">
        <v>8118</v>
      </c>
      <c r="L1528" t="s">
        <v>7032</v>
      </c>
      <c r="M1528" t="s">
        <v>97</v>
      </c>
      <c r="N1528">
        <v>0</v>
      </c>
      <c r="O1528">
        <v>0</v>
      </c>
      <c r="T1528">
        <v>0</v>
      </c>
      <c r="U1528">
        <v>0</v>
      </c>
      <c r="V1528">
        <v>4</v>
      </c>
    </row>
    <row r="1529" spans="1:22" x14ac:dyDescent="0.2">
      <c r="A1529" t="s">
        <v>3740</v>
      </c>
      <c r="B1529" t="s">
        <v>3741</v>
      </c>
      <c r="C1529" t="s">
        <v>1897</v>
      </c>
      <c r="D1529" t="s">
        <v>96</v>
      </c>
      <c r="E1529">
        <v>49.99</v>
      </c>
      <c r="F1529" t="s">
        <v>8118</v>
      </c>
      <c r="L1529" t="s">
        <v>7032</v>
      </c>
      <c r="M1529" t="s">
        <v>97</v>
      </c>
      <c r="N1529">
        <v>0</v>
      </c>
      <c r="O1529">
        <v>0</v>
      </c>
      <c r="T1529">
        <v>0</v>
      </c>
      <c r="U1529">
        <v>0</v>
      </c>
      <c r="V1529">
        <v>1</v>
      </c>
    </row>
    <row r="1530" spans="1:22" x14ac:dyDescent="0.2">
      <c r="A1530" t="s">
        <v>7277</v>
      </c>
      <c r="B1530" t="s">
        <v>7279</v>
      </c>
      <c r="C1530" t="s">
        <v>1897</v>
      </c>
      <c r="D1530" t="s">
        <v>96</v>
      </c>
      <c r="E1530">
        <v>39.99</v>
      </c>
      <c r="F1530" t="s">
        <v>8118</v>
      </c>
      <c r="L1530" t="s">
        <v>7032</v>
      </c>
      <c r="M1530" t="s">
        <v>97</v>
      </c>
      <c r="N1530">
        <v>0</v>
      </c>
      <c r="O1530">
        <v>0</v>
      </c>
      <c r="T1530">
        <v>0</v>
      </c>
      <c r="U1530">
        <v>0</v>
      </c>
      <c r="V1530">
        <v>0</v>
      </c>
    </row>
    <row r="1531" spans="1:22" x14ac:dyDescent="0.2">
      <c r="A1531" t="s">
        <v>7260</v>
      </c>
      <c r="B1531" t="s">
        <v>7262</v>
      </c>
      <c r="C1531" t="s">
        <v>1897</v>
      </c>
      <c r="D1531" t="s">
        <v>96</v>
      </c>
      <c r="E1531">
        <v>59.99</v>
      </c>
      <c r="F1531" t="s">
        <v>8118</v>
      </c>
      <c r="L1531" t="s">
        <v>7032</v>
      </c>
      <c r="M1531" t="s">
        <v>97</v>
      </c>
      <c r="N1531">
        <v>0</v>
      </c>
      <c r="O1531">
        <v>0</v>
      </c>
      <c r="T1531">
        <v>0</v>
      </c>
      <c r="U1531">
        <v>0</v>
      </c>
      <c r="V1531">
        <v>0</v>
      </c>
    </row>
    <row r="1532" spans="1:22" x14ac:dyDescent="0.2">
      <c r="A1532" t="s">
        <v>4184</v>
      </c>
      <c r="B1532" t="s">
        <v>4185</v>
      </c>
      <c r="C1532" t="s">
        <v>1897</v>
      </c>
      <c r="D1532" t="s">
        <v>96</v>
      </c>
      <c r="E1532">
        <v>99.99</v>
      </c>
      <c r="F1532" t="s">
        <v>8118</v>
      </c>
      <c r="L1532" t="s">
        <v>7032</v>
      </c>
      <c r="M1532" t="s">
        <v>97</v>
      </c>
      <c r="N1532">
        <v>0</v>
      </c>
      <c r="O1532">
        <v>0</v>
      </c>
      <c r="T1532">
        <v>0</v>
      </c>
      <c r="U1532">
        <v>0</v>
      </c>
      <c r="V1532">
        <v>0</v>
      </c>
    </row>
    <row r="1533" spans="1:22" x14ac:dyDescent="0.2">
      <c r="A1533" t="s">
        <v>4081</v>
      </c>
      <c r="B1533" t="s">
        <v>4082</v>
      </c>
      <c r="C1533" t="s">
        <v>1897</v>
      </c>
      <c r="D1533" t="s">
        <v>96</v>
      </c>
      <c r="E1533">
        <v>69.989999999999995</v>
      </c>
      <c r="F1533" t="s">
        <v>8118</v>
      </c>
      <c r="L1533" t="s">
        <v>7032</v>
      </c>
      <c r="M1533" t="s">
        <v>97</v>
      </c>
      <c r="N1533">
        <v>0</v>
      </c>
      <c r="O1533">
        <v>0</v>
      </c>
      <c r="T1533">
        <v>0</v>
      </c>
      <c r="U1533">
        <v>0</v>
      </c>
      <c r="V1533">
        <v>0</v>
      </c>
    </row>
    <row r="1534" spans="1:22" x14ac:dyDescent="0.2">
      <c r="A1534" t="s">
        <v>3752</v>
      </c>
      <c r="B1534" t="s">
        <v>3753</v>
      </c>
      <c r="C1534" t="s">
        <v>1897</v>
      </c>
      <c r="D1534" t="s">
        <v>96</v>
      </c>
      <c r="E1534">
        <v>44.99</v>
      </c>
      <c r="F1534" t="s">
        <v>8118</v>
      </c>
      <c r="L1534" t="s">
        <v>7032</v>
      </c>
      <c r="M1534" t="s">
        <v>97</v>
      </c>
      <c r="N1534">
        <v>0</v>
      </c>
      <c r="O1534">
        <v>0</v>
      </c>
      <c r="T1534">
        <v>0</v>
      </c>
      <c r="U1534">
        <v>0</v>
      </c>
      <c r="V1534">
        <v>0</v>
      </c>
    </row>
    <row r="1535" spans="1:22" x14ac:dyDescent="0.2">
      <c r="A1535" t="s">
        <v>3914</v>
      </c>
      <c r="B1535" t="s">
        <v>3915</v>
      </c>
      <c r="C1535" t="s">
        <v>1897</v>
      </c>
      <c r="D1535" t="s">
        <v>96</v>
      </c>
      <c r="E1535">
        <v>99.99</v>
      </c>
      <c r="F1535" t="s">
        <v>8118</v>
      </c>
      <c r="L1535" t="s">
        <v>7032</v>
      </c>
      <c r="M1535" t="s">
        <v>97</v>
      </c>
      <c r="N1535">
        <v>0</v>
      </c>
      <c r="O1535">
        <v>0</v>
      </c>
      <c r="T1535">
        <v>0</v>
      </c>
      <c r="U1535">
        <v>0</v>
      </c>
      <c r="V1535">
        <v>2</v>
      </c>
    </row>
    <row r="1536" spans="1:22" x14ac:dyDescent="0.2">
      <c r="A1536" t="s">
        <v>4093</v>
      </c>
      <c r="B1536" t="s">
        <v>4094</v>
      </c>
      <c r="C1536" t="s">
        <v>1897</v>
      </c>
      <c r="D1536" t="s">
        <v>96</v>
      </c>
      <c r="E1536">
        <v>69.989999999999995</v>
      </c>
      <c r="F1536" t="s">
        <v>8118</v>
      </c>
      <c r="L1536" t="s">
        <v>7032</v>
      </c>
      <c r="M1536" t="s">
        <v>97</v>
      </c>
      <c r="N1536">
        <v>0</v>
      </c>
      <c r="O1536">
        <v>0</v>
      </c>
      <c r="T1536">
        <v>0</v>
      </c>
      <c r="U1536">
        <v>0</v>
      </c>
      <c r="V1536">
        <v>0</v>
      </c>
    </row>
    <row r="1537" spans="1:22" x14ac:dyDescent="0.2">
      <c r="A1537" t="s">
        <v>4078</v>
      </c>
      <c r="B1537" t="s">
        <v>4079</v>
      </c>
      <c r="C1537" t="s">
        <v>1897</v>
      </c>
      <c r="D1537" t="s">
        <v>96</v>
      </c>
      <c r="E1537">
        <v>54.99</v>
      </c>
      <c r="F1537" t="s">
        <v>8118</v>
      </c>
      <c r="L1537" t="s">
        <v>7032</v>
      </c>
      <c r="M1537" t="s">
        <v>97</v>
      </c>
      <c r="N1537">
        <v>0</v>
      </c>
      <c r="O1537">
        <v>0</v>
      </c>
      <c r="T1537">
        <v>0</v>
      </c>
      <c r="U1537">
        <v>0</v>
      </c>
      <c r="V1537">
        <v>0</v>
      </c>
    </row>
    <row r="1538" spans="1:22" x14ac:dyDescent="0.2">
      <c r="A1538" t="s">
        <v>7252</v>
      </c>
      <c r="B1538" t="s">
        <v>7254</v>
      </c>
      <c r="C1538" t="s">
        <v>1897</v>
      </c>
      <c r="D1538" t="s">
        <v>96</v>
      </c>
      <c r="E1538">
        <v>64.989999999999995</v>
      </c>
      <c r="F1538" t="s">
        <v>8118</v>
      </c>
      <c r="L1538" t="s">
        <v>7032</v>
      </c>
      <c r="M1538" t="s">
        <v>97</v>
      </c>
      <c r="N1538">
        <v>0</v>
      </c>
      <c r="O1538">
        <v>0</v>
      </c>
      <c r="T1538">
        <v>0</v>
      </c>
      <c r="U1538">
        <v>0</v>
      </c>
      <c r="V1538">
        <v>0</v>
      </c>
    </row>
    <row r="1539" spans="1:22" x14ac:dyDescent="0.2">
      <c r="A1539" t="s">
        <v>3973</v>
      </c>
      <c r="B1539" t="s">
        <v>3974</v>
      </c>
      <c r="C1539" t="s">
        <v>1897</v>
      </c>
      <c r="D1539" t="s">
        <v>96</v>
      </c>
      <c r="E1539">
        <v>109.99</v>
      </c>
      <c r="F1539" t="s">
        <v>8118</v>
      </c>
      <c r="L1539" t="s">
        <v>7032</v>
      </c>
      <c r="M1539" t="s">
        <v>97</v>
      </c>
      <c r="N1539">
        <v>0</v>
      </c>
      <c r="O1539">
        <v>0</v>
      </c>
      <c r="T1539">
        <v>0</v>
      </c>
      <c r="U1539">
        <v>0</v>
      </c>
      <c r="V1539">
        <v>0</v>
      </c>
    </row>
    <row r="1540" spans="1:22" x14ac:dyDescent="0.2">
      <c r="A1540" t="s">
        <v>1904</v>
      </c>
      <c r="B1540" t="s">
        <v>1905</v>
      </c>
      <c r="C1540" t="s">
        <v>1897</v>
      </c>
      <c r="D1540" t="s">
        <v>290</v>
      </c>
      <c r="E1540">
        <v>44.99</v>
      </c>
      <c r="F1540" t="s">
        <v>8118</v>
      </c>
      <c r="L1540" t="s">
        <v>7032</v>
      </c>
      <c r="M1540" t="s">
        <v>97</v>
      </c>
      <c r="N1540">
        <v>0</v>
      </c>
      <c r="O1540">
        <v>0</v>
      </c>
      <c r="T1540">
        <v>0</v>
      </c>
      <c r="U1540">
        <v>0</v>
      </c>
      <c r="V1540">
        <v>6</v>
      </c>
    </row>
    <row r="1541" spans="1:22" x14ac:dyDescent="0.2">
      <c r="A1541" t="s">
        <v>3831</v>
      </c>
      <c r="B1541" t="s">
        <v>3832</v>
      </c>
      <c r="C1541" t="s">
        <v>1897</v>
      </c>
      <c r="D1541" t="s">
        <v>96</v>
      </c>
      <c r="E1541">
        <v>49.99</v>
      </c>
      <c r="F1541" t="s">
        <v>8118</v>
      </c>
      <c r="L1541" t="s">
        <v>7032</v>
      </c>
      <c r="M1541" t="s">
        <v>97</v>
      </c>
      <c r="N1541">
        <v>0</v>
      </c>
      <c r="O1541">
        <v>0</v>
      </c>
      <c r="T1541">
        <v>0</v>
      </c>
      <c r="U1541">
        <v>0</v>
      </c>
      <c r="V1541">
        <v>1</v>
      </c>
    </row>
    <row r="1542" spans="1:22" x14ac:dyDescent="0.2">
      <c r="A1542" t="s">
        <v>1964</v>
      </c>
      <c r="B1542" t="s">
        <v>1965</v>
      </c>
      <c r="C1542" t="s">
        <v>1897</v>
      </c>
      <c r="D1542" t="s">
        <v>96</v>
      </c>
      <c r="E1542">
        <v>54.99</v>
      </c>
      <c r="F1542" t="s">
        <v>8118</v>
      </c>
      <c r="L1542" t="s">
        <v>7032</v>
      </c>
      <c r="M1542" t="s">
        <v>97</v>
      </c>
      <c r="N1542">
        <v>0</v>
      </c>
      <c r="O1542">
        <v>0</v>
      </c>
      <c r="T1542">
        <v>0</v>
      </c>
      <c r="U1542">
        <v>0</v>
      </c>
      <c r="V1542">
        <v>0</v>
      </c>
    </row>
    <row r="1543" spans="1:22" x14ac:dyDescent="0.2">
      <c r="A1543" t="s">
        <v>7546</v>
      </c>
      <c r="B1543" t="s">
        <v>7547</v>
      </c>
      <c r="C1543" t="s">
        <v>1897</v>
      </c>
      <c r="D1543" t="s">
        <v>96</v>
      </c>
      <c r="E1543">
        <v>99.99</v>
      </c>
      <c r="F1543" t="s">
        <v>8118</v>
      </c>
      <c r="L1543" t="s">
        <v>7032</v>
      </c>
      <c r="M1543" t="s">
        <v>97</v>
      </c>
      <c r="N1543">
        <v>0</v>
      </c>
      <c r="O1543">
        <v>0</v>
      </c>
      <c r="T1543">
        <v>0</v>
      </c>
      <c r="U1543">
        <v>0</v>
      </c>
      <c r="V1543">
        <v>0</v>
      </c>
    </row>
    <row r="1544" spans="1:22" x14ac:dyDescent="0.2">
      <c r="A1544" t="s">
        <v>1930</v>
      </c>
      <c r="B1544" t="s">
        <v>1931</v>
      </c>
      <c r="C1544" t="s">
        <v>1897</v>
      </c>
      <c r="D1544" t="s">
        <v>290</v>
      </c>
      <c r="E1544">
        <v>59.99</v>
      </c>
      <c r="F1544" t="s">
        <v>8118</v>
      </c>
      <c r="L1544" t="s">
        <v>7032</v>
      </c>
      <c r="M1544" t="s">
        <v>97</v>
      </c>
      <c r="N1544">
        <v>0</v>
      </c>
      <c r="O1544">
        <v>0</v>
      </c>
      <c r="T1544">
        <v>0</v>
      </c>
      <c r="U1544">
        <v>0</v>
      </c>
      <c r="V1544">
        <v>1</v>
      </c>
    </row>
    <row r="1545" spans="1:22" x14ac:dyDescent="0.2">
      <c r="A1545" t="s">
        <v>7604</v>
      </c>
      <c r="B1545" t="s">
        <v>7605</v>
      </c>
      <c r="C1545" t="s">
        <v>1897</v>
      </c>
      <c r="D1545" t="s">
        <v>96</v>
      </c>
      <c r="E1545">
        <v>99.99</v>
      </c>
      <c r="F1545" t="s">
        <v>8118</v>
      </c>
      <c r="L1545" t="s">
        <v>7032</v>
      </c>
      <c r="M1545" t="s">
        <v>97</v>
      </c>
      <c r="N1545">
        <v>0</v>
      </c>
      <c r="O1545">
        <v>0</v>
      </c>
      <c r="T1545">
        <v>0</v>
      </c>
      <c r="U1545">
        <v>0</v>
      </c>
      <c r="V1545">
        <v>0</v>
      </c>
    </row>
    <row r="1546" spans="1:22" x14ac:dyDescent="0.2">
      <c r="A1546" t="s">
        <v>7570</v>
      </c>
      <c r="B1546" t="s">
        <v>7571</v>
      </c>
      <c r="C1546" t="s">
        <v>1897</v>
      </c>
      <c r="D1546" t="s">
        <v>96</v>
      </c>
      <c r="E1546">
        <v>49.99</v>
      </c>
      <c r="F1546" t="s">
        <v>8118</v>
      </c>
      <c r="L1546" t="s">
        <v>7032</v>
      </c>
      <c r="M1546" t="s">
        <v>97</v>
      </c>
      <c r="N1546">
        <v>0</v>
      </c>
      <c r="O1546">
        <v>0</v>
      </c>
      <c r="T1546">
        <v>0</v>
      </c>
      <c r="U1546">
        <v>0</v>
      </c>
      <c r="V1546">
        <v>0</v>
      </c>
    </row>
    <row r="1547" spans="1:22" x14ac:dyDescent="0.2">
      <c r="A1547" t="s">
        <v>7606</v>
      </c>
      <c r="B1547" t="s">
        <v>7607</v>
      </c>
      <c r="C1547" t="s">
        <v>1897</v>
      </c>
      <c r="D1547" t="s">
        <v>96</v>
      </c>
      <c r="E1547">
        <v>79.989999999999995</v>
      </c>
      <c r="F1547" t="s">
        <v>8118</v>
      </c>
      <c r="L1547" t="s">
        <v>7032</v>
      </c>
      <c r="M1547" t="s">
        <v>97</v>
      </c>
      <c r="N1547">
        <v>0</v>
      </c>
      <c r="O1547">
        <v>0</v>
      </c>
      <c r="T1547">
        <v>0</v>
      </c>
      <c r="U1547">
        <v>0</v>
      </c>
      <c r="V1547">
        <v>0</v>
      </c>
    </row>
    <row r="1548" spans="1:22" x14ac:dyDescent="0.2">
      <c r="A1548" t="s">
        <v>7608</v>
      </c>
      <c r="B1548" t="s">
        <v>7609</v>
      </c>
      <c r="C1548" t="s">
        <v>1897</v>
      </c>
      <c r="D1548" t="s">
        <v>96</v>
      </c>
      <c r="E1548">
        <v>79.989999999999995</v>
      </c>
      <c r="F1548" t="s">
        <v>8118</v>
      </c>
      <c r="L1548" t="s">
        <v>7032</v>
      </c>
      <c r="M1548" t="s">
        <v>97</v>
      </c>
      <c r="N1548">
        <v>0</v>
      </c>
      <c r="O1548">
        <v>0</v>
      </c>
      <c r="T1548">
        <v>0</v>
      </c>
      <c r="U1548">
        <v>0</v>
      </c>
      <c r="V1548">
        <v>0</v>
      </c>
    </row>
    <row r="1549" spans="1:22" x14ac:dyDescent="0.2">
      <c r="A1549" t="s">
        <v>1954</v>
      </c>
      <c r="B1549" t="s">
        <v>1955</v>
      </c>
      <c r="C1549" t="s">
        <v>1897</v>
      </c>
      <c r="D1549" t="s">
        <v>290</v>
      </c>
      <c r="E1549">
        <v>79.989999999999995</v>
      </c>
      <c r="F1549" t="s">
        <v>8118</v>
      </c>
      <c r="L1549" t="s">
        <v>7032</v>
      </c>
      <c r="M1549" t="s">
        <v>97</v>
      </c>
      <c r="N1549">
        <v>0</v>
      </c>
      <c r="O1549">
        <v>0</v>
      </c>
      <c r="T1549">
        <v>0</v>
      </c>
      <c r="U1549">
        <v>0</v>
      </c>
      <c r="V1549">
        <v>0</v>
      </c>
    </row>
    <row r="1550" spans="1:22" x14ac:dyDescent="0.2">
      <c r="A1550" t="s">
        <v>1956</v>
      </c>
      <c r="B1550" t="s">
        <v>1957</v>
      </c>
      <c r="C1550" t="s">
        <v>1897</v>
      </c>
      <c r="D1550" t="s">
        <v>290</v>
      </c>
      <c r="E1550">
        <v>79.989999999999995</v>
      </c>
      <c r="F1550" t="s">
        <v>8118</v>
      </c>
      <c r="L1550" t="s">
        <v>7032</v>
      </c>
      <c r="M1550" t="s">
        <v>97</v>
      </c>
      <c r="N1550">
        <v>0</v>
      </c>
      <c r="O1550">
        <v>0</v>
      </c>
      <c r="T1550">
        <v>0</v>
      </c>
      <c r="U1550">
        <v>0</v>
      </c>
      <c r="V1550">
        <v>0</v>
      </c>
    </row>
    <row r="1551" spans="1:22" x14ac:dyDescent="0.2">
      <c r="A1551" t="s">
        <v>7548</v>
      </c>
      <c r="B1551" t="s">
        <v>7549</v>
      </c>
      <c r="C1551" t="s">
        <v>1897</v>
      </c>
      <c r="D1551" t="s">
        <v>96</v>
      </c>
      <c r="E1551">
        <v>69.989999999999995</v>
      </c>
      <c r="F1551" t="s">
        <v>8118</v>
      </c>
      <c r="L1551" t="s">
        <v>7032</v>
      </c>
      <c r="M1551" t="s">
        <v>97</v>
      </c>
      <c r="N1551">
        <v>0</v>
      </c>
      <c r="O1551">
        <v>0</v>
      </c>
      <c r="T1551">
        <v>0</v>
      </c>
      <c r="U1551">
        <v>0</v>
      </c>
      <c r="V1551">
        <v>0</v>
      </c>
    </row>
    <row r="1552" spans="1:22" x14ac:dyDescent="0.2">
      <c r="A1552" t="s">
        <v>1934</v>
      </c>
      <c r="B1552" t="s">
        <v>1935</v>
      </c>
      <c r="C1552" t="s">
        <v>1897</v>
      </c>
      <c r="D1552" t="s">
        <v>96</v>
      </c>
      <c r="E1552">
        <v>29.99</v>
      </c>
      <c r="F1552" t="s">
        <v>8118</v>
      </c>
      <c r="L1552" t="s">
        <v>7032</v>
      </c>
      <c r="M1552" t="s">
        <v>97</v>
      </c>
      <c r="N1552">
        <v>0</v>
      </c>
      <c r="O1552">
        <v>0</v>
      </c>
      <c r="T1552">
        <v>0</v>
      </c>
      <c r="U1552">
        <v>0</v>
      </c>
      <c r="V1552">
        <v>0</v>
      </c>
    </row>
    <row r="1553" spans="1:22" x14ac:dyDescent="0.2">
      <c r="A1553" t="s">
        <v>7744</v>
      </c>
      <c r="B1553" t="s">
        <v>7745</v>
      </c>
      <c r="C1553" t="s">
        <v>1897</v>
      </c>
      <c r="D1553" t="s">
        <v>96</v>
      </c>
      <c r="E1553">
        <v>59.99</v>
      </c>
      <c r="F1553" t="s">
        <v>8118</v>
      </c>
      <c r="L1553" t="s">
        <v>7032</v>
      </c>
      <c r="M1553" t="s">
        <v>97</v>
      </c>
      <c r="N1553">
        <v>0</v>
      </c>
      <c r="O1553">
        <v>0</v>
      </c>
      <c r="T1553">
        <v>0</v>
      </c>
      <c r="U1553">
        <v>0</v>
      </c>
      <c r="V1553">
        <v>0</v>
      </c>
    </row>
    <row r="1554" spans="1:22" x14ac:dyDescent="0.2">
      <c r="A1554" t="s">
        <v>7734</v>
      </c>
      <c r="B1554" t="s">
        <v>7735</v>
      </c>
      <c r="C1554" t="s">
        <v>1897</v>
      </c>
      <c r="D1554" t="s">
        <v>96</v>
      </c>
      <c r="E1554">
        <v>69.989999999999995</v>
      </c>
      <c r="F1554" t="s">
        <v>8118</v>
      </c>
      <c r="L1554" t="s">
        <v>7032</v>
      </c>
      <c r="M1554" t="s">
        <v>97</v>
      </c>
      <c r="N1554">
        <v>0</v>
      </c>
      <c r="O1554">
        <v>0</v>
      </c>
      <c r="T1554">
        <v>0</v>
      </c>
      <c r="U1554">
        <v>0</v>
      </c>
      <c r="V1554">
        <v>0</v>
      </c>
    </row>
    <row r="1555" spans="1:22" x14ac:dyDescent="0.2">
      <c r="A1555" t="s">
        <v>7736</v>
      </c>
      <c r="B1555" t="s">
        <v>7737</v>
      </c>
      <c r="C1555" t="s">
        <v>1897</v>
      </c>
      <c r="D1555" t="s">
        <v>96</v>
      </c>
      <c r="E1555">
        <v>59.99</v>
      </c>
      <c r="F1555" t="s">
        <v>8118</v>
      </c>
      <c r="L1555" t="s">
        <v>7032</v>
      </c>
      <c r="M1555" t="s">
        <v>97</v>
      </c>
      <c r="N1555">
        <v>0</v>
      </c>
      <c r="O1555">
        <v>0</v>
      </c>
      <c r="T1555">
        <v>0</v>
      </c>
      <c r="U1555">
        <v>0</v>
      </c>
      <c r="V1555">
        <v>0</v>
      </c>
    </row>
    <row r="1556" spans="1:22" x14ac:dyDescent="0.2">
      <c r="A1556" t="s">
        <v>7738</v>
      </c>
      <c r="B1556" t="s">
        <v>7739</v>
      </c>
      <c r="C1556" t="s">
        <v>1897</v>
      </c>
      <c r="D1556" t="s">
        <v>96</v>
      </c>
      <c r="E1556">
        <v>59.99</v>
      </c>
      <c r="F1556" t="s">
        <v>8118</v>
      </c>
      <c r="L1556" t="s">
        <v>7032</v>
      </c>
      <c r="M1556" t="s">
        <v>97</v>
      </c>
      <c r="N1556">
        <v>0</v>
      </c>
      <c r="O1556">
        <v>0</v>
      </c>
      <c r="T1556">
        <v>0</v>
      </c>
      <c r="U1556">
        <v>0</v>
      </c>
      <c r="V1556">
        <v>0</v>
      </c>
    </row>
    <row r="1557" spans="1:22" x14ac:dyDescent="0.2">
      <c r="A1557" t="s">
        <v>7542</v>
      </c>
      <c r="B1557" t="s">
        <v>7543</v>
      </c>
      <c r="C1557" t="s">
        <v>1897</v>
      </c>
      <c r="D1557" t="s">
        <v>96</v>
      </c>
      <c r="E1557">
        <v>69.989999999999995</v>
      </c>
      <c r="F1557" t="s">
        <v>8118</v>
      </c>
      <c r="L1557" t="s">
        <v>7032</v>
      </c>
      <c r="M1557" t="s">
        <v>97</v>
      </c>
      <c r="N1557">
        <v>0</v>
      </c>
      <c r="O1557">
        <v>0</v>
      </c>
      <c r="T1557">
        <v>0</v>
      </c>
      <c r="U1557">
        <v>0</v>
      </c>
      <c r="V1557">
        <v>0</v>
      </c>
    </row>
    <row r="1558" spans="1:22" x14ac:dyDescent="0.2">
      <c r="A1558" t="s">
        <v>7740</v>
      </c>
      <c r="B1558" t="s">
        <v>7741</v>
      </c>
      <c r="C1558" t="s">
        <v>1897</v>
      </c>
      <c r="D1558" t="s">
        <v>96</v>
      </c>
      <c r="E1558">
        <v>59.99</v>
      </c>
      <c r="F1558" t="s">
        <v>8118</v>
      </c>
      <c r="L1558" t="s">
        <v>7032</v>
      </c>
      <c r="M1558" t="s">
        <v>97</v>
      </c>
      <c r="N1558">
        <v>0</v>
      </c>
      <c r="O1558">
        <v>0</v>
      </c>
      <c r="T1558">
        <v>0</v>
      </c>
      <c r="U1558">
        <v>0</v>
      </c>
      <c r="V1558">
        <v>0</v>
      </c>
    </row>
    <row r="1559" spans="1:22" x14ac:dyDescent="0.2">
      <c r="A1559" t="s">
        <v>7544</v>
      </c>
      <c r="B1559" t="s">
        <v>7545</v>
      </c>
      <c r="C1559" t="s">
        <v>1897</v>
      </c>
      <c r="D1559" t="s">
        <v>96</v>
      </c>
      <c r="E1559">
        <v>99.99</v>
      </c>
      <c r="F1559" t="s">
        <v>8118</v>
      </c>
      <c r="L1559" t="s">
        <v>7032</v>
      </c>
      <c r="M1559" t="s">
        <v>97</v>
      </c>
      <c r="N1559">
        <v>0</v>
      </c>
      <c r="O1559">
        <v>0</v>
      </c>
      <c r="T1559">
        <v>0</v>
      </c>
      <c r="U1559">
        <v>0</v>
      </c>
      <c r="V1559">
        <v>0</v>
      </c>
    </row>
    <row r="1560" spans="1:22" x14ac:dyDescent="0.2">
      <c r="A1560" t="s">
        <v>1952</v>
      </c>
      <c r="B1560" t="s">
        <v>1953</v>
      </c>
      <c r="C1560" t="s">
        <v>1897</v>
      </c>
      <c r="D1560" t="s">
        <v>290</v>
      </c>
      <c r="E1560">
        <v>89.99</v>
      </c>
      <c r="F1560" t="s">
        <v>8118</v>
      </c>
      <c r="L1560" t="s">
        <v>7032</v>
      </c>
      <c r="M1560" t="s">
        <v>97</v>
      </c>
      <c r="N1560">
        <v>0</v>
      </c>
      <c r="O1560">
        <v>0</v>
      </c>
      <c r="T1560">
        <v>0</v>
      </c>
      <c r="U1560">
        <v>0</v>
      </c>
      <c r="V1560">
        <v>3</v>
      </c>
    </row>
    <row r="1561" spans="1:22" x14ac:dyDescent="0.2">
      <c r="A1561" t="s">
        <v>7566</v>
      </c>
      <c r="B1561" t="s">
        <v>7567</v>
      </c>
      <c r="C1561" t="s">
        <v>1897</v>
      </c>
      <c r="D1561" t="s">
        <v>96</v>
      </c>
      <c r="E1561">
        <v>54.99</v>
      </c>
      <c r="F1561" t="s">
        <v>8118</v>
      </c>
      <c r="L1561" t="s">
        <v>7032</v>
      </c>
      <c r="M1561" t="s">
        <v>97</v>
      </c>
      <c r="N1561">
        <v>0</v>
      </c>
      <c r="O1561">
        <v>0</v>
      </c>
      <c r="T1561">
        <v>0</v>
      </c>
      <c r="U1561">
        <v>0</v>
      </c>
      <c r="V1561">
        <v>3</v>
      </c>
    </row>
    <row r="1562" spans="1:22" x14ac:dyDescent="0.2">
      <c r="A1562" t="s">
        <v>7526</v>
      </c>
      <c r="B1562" t="s">
        <v>7527</v>
      </c>
      <c r="C1562" t="s">
        <v>1897</v>
      </c>
      <c r="D1562" t="s">
        <v>96</v>
      </c>
      <c r="E1562">
        <v>89.99</v>
      </c>
      <c r="F1562" t="s">
        <v>8118</v>
      </c>
      <c r="L1562" t="s">
        <v>7032</v>
      </c>
      <c r="M1562" t="s">
        <v>97</v>
      </c>
      <c r="N1562">
        <v>0</v>
      </c>
      <c r="O1562">
        <v>0</v>
      </c>
      <c r="T1562">
        <v>0</v>
      </c>
      <c r="U1562">
        <v>0</v>
      </c>
      <c r="V1562">
        <v>0</v>
      </c>
    </row>
    <row r="1563" spans="1:22" x14ac:dyDescent="0.2">
      <c r="A1563" t="s">
        <v>1938</v>
      </c>
      <c r="B1563" t="s">
        <v>1939</v>
      </c>
      <c r="C1563" t="s">
        <v>1897</v>
      </c>
      <c r="D1563" t="s">
        <v>290</v>
      </c>
      <c r="E1563">
        <v>29.99</v>
      </c>
      <c r="F1563" t="s">
        <v>8118</v>
      </c>
      <c r="L1563" t="s">
        <v>7032</v>
      </c>
      <c r="M1563" t="s">
        <v>97</v>
      </c>
      <c r="N1563">
        <v>0</v>
      </c>
      <c r="O1563">
        <v>0</v>
      </c>
      <c r="T1563">
        <v>0</v>
      </c>
      <c r="U1563">
        <v>0</v>
      </c>
      <c r="V1563">
        <v>1</v>
      </c>
    </row>
    <row r="1564" spans="1:22" x14ac:dyDescent="0.2">
      <c r="A1564" t="s">
        <v>7560</v>
      </c>
      <c r="B1564" t="s">
        <v>7561</v>
      </c>
      <c r="C1564" t="s">
        <v>1897</v>
      </c>
      <c r="D1564" t="s">
        <v>96</v>
      </c>
      <c r="E1564">
        <v>49.99</v>
      </c>
      <c r="F1564" t="s">
        <v>8118</v>
      </c>
      <c r="L1564" t="s">
        <v>7032</v>
      </c>
      <c r="M1564" t="s">
        <v>97</v>
      </c>
      <c r="N1564">
        <v>0</v>
      </c>
      <c r="O1564">
        <v>0</v>
      </c>
      <c r="T1564">
        <v>0</v>
      </c>
      <c r="U1564">
        <v>0</v>
      </c>
      <c r="V1564">
        <v>0</v>
      </c>
    </row>
    <row r="1565" spans="1:22" x14ac:dyDescent="0.2">
      <c r="A1565" t="s">
        <v>1940</v>
      </c>
      <c r="B1565" t="s">
        <v>1941</v>
      </c>
      <c r="C1565" t="s">
        <v>1897</v>
      </c>
      <c r="D1565" t="s">
        <v>290</v>
      </c>
      <c r="E1565">
        <v>29.99</v>
      </c>
      <c r="F1565" t="s">
        <v>8118</v>
      </c>
      <c r="L1565" t="s">
        <v>7032</v>
      </c>
      <c r="M1565" t="s">
        <v>97</v>
      </c>
      <c r="N1565">
        <v>0</v>
      </c>
      <c r="O1565">
        <v>0</v>
      </c>
      <c r="T1565">
        <v>0</v>
      </c>
      <c r="U1565">
        <v>0</v>
      </c>
      <c r="V1565">
        <v>2</v>
      </c>
    </row>
    <row r="1566" spans="1:22" x14ac:dyDescent="0.2">
      <c r="A1566" t="s">
        <v>3969</v>
      </c>
      <c r="B1566" t="s">
        <v>3970</v>
      </c>
      <c r="C1566" t="s">
        <v>1897</v>
      </c>
      <c r="D1566" t="s">
        <v>96</v>
      </c>
      <c r="E1566">
        <v>29.99</v>
      </c>
      <c r="F1566" t="s">
        <v>8118</v>
      </c>
      <c r="L1566" t="s">
        <v>7032</v>
      </c>
      <c r="M1566" t="s">
        <v>97</v>
      </c>
      <c r="N1566">
        <v>0</v>
      </c>
      <c r="O1566">
        <v>0</v>
      </c>
      <c r="T1566">
        <v>0</v>
      </c>
      <c r="U1566">
        <v>0</v>
      </c>
      <c r="V1566">
        <v>1</v>
      </c>
    </row>
    <row r="1567" spans="1:22" x14ac:dyDescent="0.2">
      <c r="A1567" t="s">
        <v>7556</v>
      </c>
      <c r="B1567" t="s">
        <v>7557</v>
      </c>
      <c r="C1567" t="s">
        <v>1897</v>
      </c>
      <c r="D1567" t="s">
        <v>96</v>
      </c>
      <c r="E1567">
        <v>32.99</v>
      </c>
      <c r="F1567" t="s">
        <v>8118</v>
      </c>
      <c r="L1567" t="s">
        <v>7032</v>
      </c>
      <c r="M1567" t="s">
        <v>97</v>
      </c>
      <c r="N1567">
        <v>0</v>
      </c>
      <c r="O1567">
        <v>0</v>
      </c>
      <c r="T1567">
        <v>0</v>
      </c>
      <c r="U1567">
        <v>0</v>
      </c>
      <c r="V1567">
        <v>0</v>
      </c>
    </row>
    <row r="1568" spans="1:22" x14ac:dyDescent="0.2">
      <c r="A1568" t="s">
        <v>1942</v>
      </c>
      <c r="B1568" t="s">
        <v>1943</v>
      </c>
      <c r="C1568" t="s">
        <v>1897</v>
      </c>
      <c r="D1568" t="s">
        <v>290</v>
      </c>
      <c r="E1568">
        <v>79.989999999999995</v>
      </c>
      <c r="F1568" t="s">
        <v>8118</v>
      </c>
      <c r="L1568" t="s">
        <v>7032</v>
      </c>
      <c r="M1568" t="s">
        <v>97</v>
      </c>
      <c r="N1568">
        <v>0</v>
      </c>
      <c r="O1568">
        <v>0</v>
      </c>
      <c r="T1568">
        <v>0</v>
      </c>
      <c r="U1568">
        <v>0</v>
      </c>
      <c r="V1568">
        <v>2</v>
      </c>
    </row>
    <row r="1569" spans="1:22" x14ac:dyDescent="0.2">
      <c r="A1569" t="s">
        <v>4066</v>
      </c>
      <c r="B1569" t="s">
        <v>4067</v>
      </c>
      <c r="C1569" t="s">
        <v>1897</v>
      </c>
      <c r="D1569" t="s">
        <v>96</v>
      </c>
      <c r="E1569">
        <v>69.989999999999995</v>
      </c>
      <c r="F1569" t="s">
        <v>8118</v>
      </c>
      <c r="L1569" t="s">
        <v>7032</v>
      </c>
      <c r="M1569" t="s">
        <v>97</v>
      </c>
      <c r="N1569">
        <v>0</v>
      </c>
      <c r="O1569">
        <v>0</v>
      </c>
      <c r="T1569">
        <v>0</v>
      </c>
      <c r="U1569">
        <v>0</v>
      </c>
      <c r="V1569">
        <v>0</v>
      </c>
    </row>
    <row r="1570" spans="1:22" x14ac:dyDescent="0.2">
      <c r="A1570" t="s">
        <v>1946</v>
      </c>
      <c r="B1570" t="s">
        <v>1947</v>
      </c>
      <c r="C1570" t="s">
        <v>1897</v>
      </c>
      <c r="D1570" t="s">
        <v>290</v>
      </c>
      <c r="E1570">
        <v>79.989999999999995</v>
      </c>
      <c r="F1570" t="s">
        <v>8118</v>
      </c>
      <c r="L1570" t="s">
        <v>7032</v>
      </c>
      <c r="M1570" t="s">
        <v>97</v>
      </c>
      <c r="N1570">
        <v>0</v>
      </c>
      <c r="O1570">
        <v>0</v>
      </c>
      <c r="T1570">
        <v>0</v>
      </c>
      <c r="U1570">
        <v>0</v>
      </c>
      <c r="V1570">
        <v>3</v>
      </c>
    </row>
    <row r="1571" spans="1:22" x14ac:dyDescent="0.2">
      <c r="A1571" t="s">
        <v>4063</v>
      </c>
      <c r="B1571" t="s">
        <v>4064</v>
      </c>
      <c r="C1571" t="s">
        <v>1897</v>
      </c>
      <c r="D1571" t="s">
        <v>96</v>
      </c>
      <c r="E1571">
        <v>59.99</v>
      </c>
      <c r="F1571" t="s">
        <v>8118</v>
      </c>
      <c r="L1571" t="s">
        <v>7032</v>
      </c>
      <c r="M1571" t="s">
        <v>97</v>
      </c>
      <c r="N1571">
        <v>0</v>
      </c>
      <c r="O1571">
        <v>0</v>
      </c>
      <c r="T1571">
        <v>0</v>
      </c>
      <c r="U1571">
        <v>0</v>
      </c>
      <c r="V1571">
        <v>0</v>
      </c>
    </row>
    <row r="1572" spans="1:22" x14ac:dyDescent="0.2">
      <c r="A1572" t="s">
        <v>1948</v>
      </c>
      <c r="B1572" t="s">
        <v>1949</v>
      </c>
      <c r="C1572" t="s">
        <v>1897</v>
      </c>
      <c r="D1572" t="s">
        <v>290</v>
      </c>
      <c r="E1572">
        <v>79.989999999999995</v>
      </c>
      <c r="F1572" t="s">
        <v>8118</v>
      </c>
      <c r="L1572" t="s">
        <v>7032</v>
      </c>
      <c r="M1572" t="s">
        <v>97</v>
      </c>
      <c r="N1572">
        <v>0</v>
      </c>
      <c r="O1572">
        <v>0</v>
      </c>
      <c r="T1572">
        <v>0</v>
      </c>
      <c r="U1572">
        <v>0</v>
      </c>
      <c r="V1572">
        <v>2</v>
      </c>
    </row>
    <row r="1573" spans="1:22" x14ac:dyDescent="0.2">
      <c r="A1573" t="s">
        <v>1950</v>
      </c>
      <c r="B1573" t="s">
        <v>1951</v>
      </c>
      <c r="C1573" t="s">
        <v>1897</v>
      </c>
      <c r="D1573" t="s">
        <v>290</v>
      </c>
      <c r="E1573">
        <v>79.989999999999995</v>
      </c>
      <c r="F1573" t="s">
        <v>8118</v>
      </c>
      <c r="L1573" t="s">
        <v>7032</v>
      </c>
      <c r="M1573" t="s">
        <v>97</v>
      </c>
      <c r="N1573">
        <v>0</v>
      </c>
      <c r="O1573">
        <v>0</v>
      </c>
      <c r="T1573">
        <v>0</v>
      </c>
      <c r="U1573">
        <v>0</v>
      </c>
      <c r="V1573">
        <v>3</v>
      </c>
    </row>
    <row r="1574" spans="1:22" x14ac:dyDescent="0.2">
      <c r="A1574" t="s">
        <v>7568</v>
      </c>
      <c r="B1574" t="s">
        <v>7569</v>
      </c>
      <c r="C1574" t="s">
        <v>1897</v>
      </c>
      <c r="D1574" t="s">
        <v>96</v>
      </c>
      <c r="E1574">
        <v>54.99</v>
      </c>
      <c r="F1574" t="s">
        <v>8118</v>
      </c>
      <c r="L1574" t="s">
        <v>7032</v>
      </c>
      <c r="M1574" t="s">
        <v>97</v>
      </c>
      <c r="N1574">
        <v>0</v>
      </c>
      <c r="O1574">
        <v>0</v>
      </c>
      <c r="T1574">
        <v>0</v>
      </c>
      <c r="U1574">
        <v>0</v>
      </c>
      <c r="V1574">
        <v>0</v>
      </c>
    </row>
    <row r="1575" spans="1:22" x14ac:dyDescent="0.2">
      <c r="A1575" t="s">
        <v>1970</v>
      </c>
      <c r="B1575" t="s">
        <v>1971</v>
      </c>
      <c r="C1575" t="s">
        <v>1897</v>
      </c>
      <c r="D1575" t="s">
        <v>290</v>
      </c>
      <c r="E1575">
        <v>29.99</v>
      </c>
      <c r="F1575" t="s">
        <v>8118</v>
      </c>
      <c r="L1575" t="s">
        <v>7032</v>
      </c>
      <c r="M1575" t="s">
        <v>97</v>
      </c>
      <c r="N1575">
        <v>0</v>
      </c>
      <c r="O1575">
        <v>0</v>
      </c>
      <c r="T1575">
        <v>0</v>
      </c>
      <c r="U1575">
        <v>0</v>
      </c>
      <c r="V1575">
        <v>0</v>
      </c>
    </row>
    <row r="1576" spans="1:22" x14ac:dyDescent="0.2">
      <c r="A1576" t="s">
        <v>1968</v>
      </c>
      <c r="B1576" t="s">
        <v>1969</v>
      </c>
      <c r="C1576" t="s">
        <v>1897</v>
      </c>
      <c r="D1576" t="s">
        <v>96</v>
      </c>
      <c r="E1576">
        <v>79.989999999999995</v>
      </c>
      <c r="F1576" t="s">
        <v>8118</v>
      </c>
      <c r="L1576" t="s">
        <v>7032</v>
      </c>
      <c r="M1576" t="s">
        <v>97</v>
      </c>
      <c r="N1576">
        <v>0</v>
      </c>
      <c r="O1576">
        <v>0</v>
      </c>
      <c r="T1576">
        <v>0</v>
      </c>
      <c r="U1576">
        <v>0</v>
      </c>
      <c r="V1576">
        <v>0</v>
      </c>
    </row>
    <row r="1577" spans="1:22" x14ac:dyDescent="0.2">
      <c r="A1577" t="s">
        <v>3976</v>
      </c>
      <c r="B1577" t="s">
        <v>3977</v>
      </c>
      <c r="C1577" t="s">
        <v>1897</v>
      </c>
      <c r="D1577" t="s">
        <v>96</v>
      </c>
      <c r="E1577">
        <v>89.99</v>
      </c>
      <c r="F1577" t="s">
        <v>8118</v>
      </c>
      <c r="L1577" t="s">
        <v>7032</v>
      </c>
      <c r="M1577" t="s">
        <v>97</v>
      </c>
      <c r="N1577">
        <v>0</v>
      </c>
      <c r="O1577">
        <v>0</v>
      </c>
      <c r="T1577">
        <v>0</v>
      </c>
      <c r="U1577">
        <v>0</v>
      </c>
      <c r="V1577">
        <v>2</v>
      </c>
    </row>
    <row r="1578" spans="1:22" x14ac:dyDescent="0.2">
      <c r="A1578" t="s">
        <v>3993</v>
      </c>
      <c r="B1578" t="s">
        <v>3994</v>
      </c>
      <c r="C1578" t="s">
        <v>1897</v>
      </c>
      <c r="D1578" t="s">
        <v>96</v>
      </c>
      <c r="E1578">
        <v>44.99</v>
      </c>
      <c r="F1578" t="s">
        <v>8118</v>
      </c>
      <c r="L1578" t="s">
        <v>7032</v>
      </c>
      <c r="M1578" t="s">
        <v>97</v>
      </c>
      <c r="N1578">
        <v>0</v>
      </c>
      <c r="O1578">
        <v>0</v>
      </c>
      <c r="T1578">
        <v>0</v>
      </c>
      <c r="U1578">
        <v>0</v>
      </c>
      <c r="V1578">
        <v>0</v>
      </c>
    </row>
    <row r="1579" spans="1:22" x14ac:dyDescent="0.2">
      <c r="A1579" t="s">
        <v>3986</v>
      </c>
      <c r="B1579" t="s">
        <v>3987</v>
      </c>
      <c r="C1579" t="s">
        <v>1897</v>
      </c>
      <c r="D1579" t="s">
        <v>96</v>
      </c>
      <c r="E1579">
        <v>64.989999999999995</v>
      </c>
      <c r="F1579" t="s">
        <v>8118</v>
      </c>
      <c r="L1579" t="s">
        <v>7032</v>
      </c>
      <c r="M1579" t="s">
        <v>97</v>
      </c>
      <c r="N1579">
        <v>0</v>
      </c>
      <c r="O1579">
        <v>0</v>
      </c>
      <c r="T1579">
        <v>0</v>
      </c>
      <c r="U1579">
        <v>0</v>
      </c>
      <c r="V1579">
        <v>0</v>
      </c>
    </row>
    <row r="1580" spans="1:22" x14ac:dyDescent="0.2">
      <c r="A1580" t="s">
        <v>1930</v>
      </c>
      <c r="B1580" t="s">
        <v>1931</v>
      </c>
      <c r="C1580" t="s">
        <v>1897</v>
      </c>
      <c r="D1580" t="s">
        <v>290</v>
      </c>
      <c r="E1580">
        <v>59.99</v>
      </c>
      <c r="F1580" t="s">
        <v>8118</v>
      </c>
      <c r="L1580" t="s">
        <v>8</v>
      </c>
      <c r="M1580" t="s">
        <v>7972</v>
      </c>
      <c r="N1580">
        <v>0</v>
      </c>
      <c r="O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2" x14ac:dyDescent="0.2">
      <c r="A1581" t="s">
        <v>7672</v>
      </c>
      <c r="B1581" t="s">
        <v>7673</v>
      </c>
      <c r="C1581" t="s">
        <v>1897</v>
      </c>
      <c r="D1581" t="s">
        <v>96</v>
      </c>
      <c r="E1581">
        <v>59.99</v>
      </c>
      <c r="F1581" t="s">
        <v>8118</v>
      </c>
      <c r="L1581" t="s">
        <v>8</v>
      </c>
      <c r="M1581" t="s">
        <v>7914</v>
      </c>
      <c r="N1581">
        <v>0</v>
      </c>
      <c r="O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 x14ac:dyDescent="0.2">
      <c r="A1582" t="s">
        <v>7562</v>
      </c>
      <c r="B1582" t="s">
        <v>7563</v>
      </c>
      <c r="C1582" t="s">
        <v>1897</v>
      </c>
      <c r="D1582" t="s">
        <v>96</v>
      </c>
      <c r="E1582">
        <v>59.99</v>
      </c>
      <c r="F1582" t="s">
        <v>8118</v>
      </c>
      <c r="L1582" t="s">
        <v>8</v>
      </c>
      <c r="M1582" t="s">
        <v>7912</v>
      </c>
      <c r="N1582">
        <v>0</v>
      </c>
      <c r="O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 x14ac:dyDescent="0.2">
      <c r="A1583" t="s">
        <v>1968</v>
      </c>
      <c r="B1583" t="s">
        <v>1969</v>
      </c>
      <c r="C1583" t="s">
        <v>1897</v>
      </c>
      <c r="D1583" t="s">
        <v>96</v>
      </c>
      <c r="E1583">
        <v>79.989999999999995</v>
      </c>
      <c r="F1583" t="s">
        <v>8118</v>
      </c>
      <c r="L1583" t="s">
        <v>8</v>
      </c>
      <c r="M1583" t="s">
        <v>7889</v>
      </c>
      <c r="N1583">
        <v>0</v>
      </c>
      <c r="O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spans="1:22" x14ac:dyDescent="0.2">
      <c r="A1584" t="s">
        <v>1932</v>
      </c>
      <c r="B1584" t="s">
        <v>1933</v>
      </c>
      <c r="C1584" t="s">
        <v>1897</v>
      </c>
      <c r="D1584" t="s">
        <v>290</v>
      </c>
      <c r="E1584">
        <v>49.99</v>
      </c>
      <c r="F1584" t="s">
        <v>8118</v>
      </c>
      <c r="L1584" t="s">
        <v>8</v>
      </c>
      <c r="M1584" t="s">
        <v>7973</v>
      </c>
      <c r="N1584">
        <v>0</v>
      </c>
      <c r="O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2" x14ac:dyDescent="0.2">
      <c r="A1585" t="s">
        <v>7558</v>
      </c>
      <c r="B1585" t="s">
        <v>7559</v>
      </c>
      <c r="C1585" t="s">
        <v>1897</v>
      </c>
      <c r="D1585" t="s">
        <v>96</v>
      </c>
      <c r="E1585">
        <v>69.989999999999995</v>
      </c>
      <c r="F1585" t="s">
        <v>8118</v>
      </c>
      <c r="L1585" t="s">
        <v>8</v>
      </c>
      <c r="M1585" t="s">
        <v>7913</v>
      </c>
      <c r="N1585">
        <v>0</v>
      </c>
      <c r="O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spans="1:22" x14ac:dyDescent="0.2">
      <c r="A1586" t="s">
        <v>3828</v>
      </c>
      <c r="B1586" t="s">
        <v>3829</v>
      </c>
      <c r="C1586" t="s">
        <v>1897</v>
      </c>
      <c r="D1586" t="s">
        <v>96</v>
      </c>
      <c r="E1586">
        <v>34.99</v>
      </c>
      <c r="F1586" t="s">
        <v>8118</v>
      </c>
      <c r="L1586" t="s">
        <v>8</v>
      </c>
      <c r="M1586" t="s">
        <v>7924</v>
      </c>
      <c r="N1586">
        <v>0</v>
      </c>
      <c r="O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spans="1:22" x14ac:dyDescent="0.2">
      <c r="A1587" t="s">
        <v>1934</v>
      </c>
      <c r="B1587" t="s">
        <v>1935</v>
      </c>
      <c r="C1587" t="s">
        <v>1897</v>
      </c>
      <c r="D1587" t="s">
        <v>96</v>
      </c>
      <c r="E1587">
        <v>29.99</v>
      </c>
      <c r="F1587" t="s">
        <v>8118</v>
      </c>
      <c r="L1587" t="s">
        <v>8</v>
      </c>
      <c r="M1587" t="s">
        <v>7974</v>
      </c>
      <c r="N1587">
        <v>0</v>
      </c>
      <c r="O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 x14ac:dyDescent="0.2">
      <c r="A1588" t="s">
        <v>7902</v>
      </c>
      <c r="B1588" t="s">
        <v>7904</v>
      </c>
      <c r="C1588" t="s">
        <v>1897</v>
      </c>
      <c r="D1588" t="s">
        <v>96</v>
      </c>
      <c r="F1588" t="s">
        <v>8118</v>
      </c>
      <c r="L1588" t="s">
        <v>8</v>
      </c>
      <c r="M1588" t="s">
        <v>7903</v>
      </c>
      <c r="N1588">
        <v>0</v>
      </c>
      <c r="O1588">
        <v>0</v>
      </c>
      <c r="Q1588">
        <v>0</v>
      </c>
      <c r="R1588">
        <v>0</v>
      </c>
      <c r="S1588">
        <v>0</v>
      </c>
      <c r="T1588">
        <v>0</v>
      </c>
      <c r="V1588">
        <v>0</v>
      </c>
    </row>
    <row r="1589" spans="1:22" x14ac:dyDescent="0.2">
      <c r="A1589" t="s">
        <v>7927</v>
      </c>
      <c r="B1589" t="s">
        <v>7929</v>
      </c>
      <c r="C1589" t="s">
        <v>1897</v>
      </c>
      <c r="D1589" t="s">
        <v>96</v>
      </c>
      <c r="F1589" t="s">
        <v>8118</v>
      </c>
      <c r="L1589" t="s">
        <v>8</v>
      </c>
      <c r="M1589" t="s">
        <v>7928</v>
      </c>
      <c r="N1589">
        <v>0</v>
      </c>
      <c r="O1589">
        <v>0</v>
      </c>
      <c r="Q1589">
        <v>0</v>
      </c>
      <c r="R1589">
        <v>0</v>
      </c>
      <c r="S1589">
        <v>0</v>
      </c>
      <c r="T1589">
        <v>0</v>
      </c>
      <c r="V1589">
        <v>0</v>
      </c>
    </row>
    <row r="1590" spans="1:22" x14ac:dyDescent="0.2">
      <c r="A1590" t="s">
        <v>7534</v>
      </c>
      <c r="B1590" t="s">
        <v>7535</v>
      </c>
      <c r="C1590" t="s">
        <v>1897</v>
      </c>
      <c r="D1590" t="s">
        <v>96</v>
      </c>
      <c r="E1590">
        <v>79.989999999999995</v>
      </c>
      <c r="F1590" t="s">
        <v>8118</v>
      </c>
      <c r="L1590" t="s">
        <v>8</v>
      </c>
      <c r="M1590" t="s">
        <v>7839</v>
      </c>
      <c r="N1590">
        <v>0</v>
      </c>
      <c r="O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22" x14ac:dyDescent="0.2">
      <c r="A1591" t="s">
        <v>3930</v>
      </c>
      <c r="B1591" t="s">
        <v>3931</v>
      </c>
      <c r="C1591" t="s">
        <v>1897</v>
      </c>
      <c r="D1591" t="s">
        <v>96</v>
      </c>
      <c r="E1591">
        <v>59.99</v>
      </c>
      <c r="F1591" t="s">
        <v>8118</v>
      </c>
      <c r="L1591" t="s">
        <v>8</v>
      </c>
      <c r="M1591" t="s">
        <v>7911</v>
      </c>
      <c r="N1591">
        <v>0</v>
      </c>
      <c r="O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 x14ac:dyDescent="0.2">
      <c r="A1592" t="s">
        <v>7260</v>
      </c>
      <c r="B1592" t="s">
        <v>7262</v>
      </c>
      <c r="C1592" t="s">
        <v>1897</v>
      </c>
      <c r="D1592" t="s">
        <v>96</v>
      </c>
      <c r="E1592">
        <v>59.99</v>
      </c>
      <c r="F1592" t="s">
        <v>8118</v>
      </c>
      <c r="L1592" t="s">
        <v>8</v>
      </c>
      <c r="M1592" t="s">
        <v>7905</v>
      </c>
      <c r="N1592">
        <v>0</v>
      </c>
      <c r="O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 x14ac:dyDescent="0.2">
      <c r="A1593" t="s">
        <v>7564</v>
      </c>
      <c r="B1593" t="s">
        <v>7565</v>
      </c>
      <c r="C1593" t="s">
        <v>1897</v>
      </c>
      <c r="D1593" t="s">
        <v>96</v>
      </c>
      <c r="E1593">
        <v>79.989999999999995</v>
      </c>
      <c r="F1593" t="s">
        <v>8118</v>
      </c>
      <c r="L1593" t="s">
        <v>8</v>
      </c>
      <c r="M1593" t="s">
        <v>7895</v>
      </c>
      <c r="N1593">
        <v>0</v>
      </c>
      <c r="O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 x14ac:dyDescent="0.2">
      <c r="A1594" t="s">
        <v>7899</v>
      </c>
      <c r="B1594" t="s">
        <v>7901</v>
      </c>
      <c r="C1594" t="s">
        <v>1897</v>
      </c>
      <c r="D1594" t="s">
        <v>96</v>
      </c>
      <c r="F1594" t="s">
        <v>8118</v>
      </c>
      <c r="L1594" t="s">
        <v>8</v>
      </c>
      <c r="M1594" t="s">
        <v>7900</v>
      </c>
      <c r="N1594">
        <v>0</v>
      </c>
      <c r="O1594">
        <v>0</v>
      </c>
      <c r="Q1594">
        <v>0</v>
      </c>
      <c r="R1594">
        <v>0</v>
      </c>
      <c r="S1594">
        <v>0</v>
      </c>
      <c r="T1594">
        <v>0</v>
      </c>
      <c r="V1594">
        <v>0</v>
      </c>
    </row>
    <row r="1595" spans="1:22" x14ac:dyDescent="0.2">
      <c r="A1595" t="s">
        <v>1966</v>
      </c>
      <c r="B1595" t="s">
        <v>1967</v>
      </c>
      <c r="C1595" t="s">
        <v>1897</v>
      </c>
      <c r="D1595" t="s">
        <v>96</v>
      </c>
      <c r="E1595">
        <v>139.99</v>
      </c>
      <c r="F1595" t="s">
        <v>8118</v>
      </c>
      <c r="L1595" t="s">
        <v>8</v>
      </c>
      <c r="M1595" t="s">
        <v>7918</v>
      </c>
      <c r="N1595">
        <v>0</v>
      </c>
      <c r="O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2" x14ac:dyDescent="0.2">
      <c r="A1596" t="s">
        <v>3825</v>
      </c>
      <c r="B1596" t="s">
        <v>3826</v>
      </c>
      <c r="C1596" t="s">
        <v>1897</v>
      </c>
      <c r="D1596" t="s">
        <v>96</v>
      </c>
      <c r="E1596">
        <v>59.99</v>
      </c>
      <c r="F1596" t="s">
        <v>8118</v>
      </c>
      <c r="L1596" t="s">
        <v>8</v>
      </c>
      <c r="M1596" t="s">
        <v>7925</v>
      </c>
      <c r="N1596">
        <v>0</v>
      </c>
      <c r="O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2" x14ac:dyDescent="0.2">
      <c r="A1597" t="s">
        <v>4102</v>
      </c>
      <c r="B1597" t="s">
        <v>4103</v>
      </c>
      <c r="C1597" t="s">
        <v>1897</v>
      </c>
      <c r="D1597" t="s">
        <v>96</v>
      </c>
      <c r="E1597">
        <v>69.989999999999995</v>
      </c>
      <c r="F1597" t="s">
        <v>8118</v>
      </c>
      <c r="L1597" t="s">
        <v>8</v>
      </c>
      <c r="M1597" t="s">
        <v>7975</v>
      </c>
      <c r="N1597">
        <v>0</v>
      </c>
      <c r="O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 x14ac:dyDescent="0.2">
      <c r="A1598" t="s">
        <v>7836</v>
      </c>
      <c r="B1598" t="s">
        <v>7838</v>
      </c>
      <c r="C1598" t="s">
        <v>1897</v>
      </c>
      <c r="D1598" t="s">
        <v>96</v>
      </c>
      <c r="F1598" t="s">
        <v>8118</v>
      </c>
      <c r="L1598" t="s">
        <v>8</v>
      </c>
      <c r="M1598" t="s">
        <v>7837</v>
      </c>
      <c r="N1598">
        <v>0</v>
      </c>
      <c r="O1598">
        <v>0</v>
      </c>
      <c r="Q1598">
        <v>0</v>
      </c>
      <c r="R1598">
        <v>0</v>
      </c>
      <c r="S1598">
        <v>0</v>
      </c>
      <c r="T1598">
        <v>0</v>
      </c>
      <c r="V1598">
        <v>0</v>
      </c>
    </row>
    <row r="1599" spans="1:22" x14ac:dyDescent="0.2">
      <c r="A1599" t="s">
        <v>4093</v>
      </c>
      <c r="B1599" t="s">
        <v>4094</v>
      </c>
      <c r="C1599" t="s">
        <v>1897</v>
      </c>
      <c r="D1599" t="s">
        <v>96</v>
      </c>
      <c r="E1599">
        <v>69.989999999999995</v>
      </c>
      <c r="F1599" t="s">
        <v>8118</v>
      </c>
      <c r="L1599" t="s">
        <v>8</v>
      </c>
      <c r="M1599" t="s">
        <v>7977</v>
      </c>
      <c r="N1599">
        <v>0</v>
      </c>
      <c r="O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spans="1:22" x14ac:dyDescent="0.2">
      <c r="A1600" t="s">
        <v>7554</v>
      </c>
      <c r="B1600" t="s">
        <v>7555</v>
      </c>
      <c r="C1600" t="s">
        <v>1897</v>
      </c>
      <c r="D1600" t="s">
        <v>96</v>
      </c>
      <c r="E1600">
        <v>79.989999999999995</v>
      </c>
      <c r="F1600" t="s">
        <v>8118</v>
      </c>
      <c r="L1600" t="s">
        <v>8</v>
      </c>
      <c r="M1600" t="s">
        <v>7840</v>
      </c>
      <c r="N1600">
        <v>0</v>
      </c>
      <c r="O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 x14ac:dyDescent="0.2">
      <c r="A1601" t="s">
        <v>3986</v>
      </c>
      <c r="B1601" t="s">
        <v>3987</v>
      </c>
      <c r="C1601" t="s">
        <v>1897</v>
      </c>
      <c r="D1601" t="s">
        <v>96</v>
      </c>
      <c r="E1601">
        <v>64.989999999999995</v>
      </c>
      <c r="F1601" t="s">
        <v>8118</v>
      </c>
      <c r="L1601" t="s">
        <v>8</v>
      </c>
      <c r="M1601" t="s">
        <v>7890</v>
      </c>
      <c r="N1601">
        <v>0</v>
      </c>
      <c r="O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 x14ac:dyDescent="0.2">
      <c r="A1602" t="s">
        <v>3822</v>
      </c>
      <c r="B1602" t="s">
        <v>3823</v>
      </c>
      <c r="C1602" t="s">
        <v>1897</v>
      </c>
      <c r="D1602" t="s">
        <v>96</v>
      </c>
      <c r="E1602">
        <v>34.99</v>
      </c>
      <c r="F1602" t="s">
        <v>8118</v>
      </c>
      <c r="L1602" t="s">
        <v>8</v>
      </c>
      <c r="M1602" t="s">
        <v>7910</v>
      </c>
      <c r="N1602">
        <v>0</v>
      </c>
      <c r="O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 x14ac:dyDescent="0.2">
      <c r="A1603" t="s">
        <v>4081</v>
      </c>
      <c r="B1603" t="s">
        <v>4082</v>
      </c>
      <c r="C1603" t="s">
        <v>1897</v>
      </c>
      <c r="D1603" t="s">
        <v>96</v>
      </c>
      <c r="E1603">
        <v>69.989999999999995</v>
      </c>
      <c r="F1603" t="s">
        <v>8118</v>
      </c>
      <c r="L1603" t="s">
        <v>8</v>
      </c>
      <c r="M1603" t="s">
        <v>7976</v>
      </c>
      <c r="N1603">
        <v>0</v>
      </c>
      <c r="O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 x14ac:dyDescent="0.2">
      <c r="A1604" t="s">
        <v>4078</v>
      </c>
      <c r="B1604" t="s">
        <v>4079</v>
      </c>
      <c r="C1604" t="s">
        <v>1897</v>
      </c>
      <c r="D1604" t="s">
        <v>96</v>
      </c>
      <c r="E1604">
        <v>54.99</v>
      </c>
      <c r="F1604" t="s">
        <v>8118</v>
      </c>
      <c r="L1604" t="s">
        <v>8</v>
      </c>
      <c r="M1604" t="s">
        <v>7869</v>
      </c>
      <c r="N1604">
        <v>0</v>
      </c>
      <c r="O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 x14ac:dyDescent="0.2">
      <c r="A1605" t="s">
        <v>1964</v>
      </c>
      <c r="B1605" t="s">
        <v>1965</v>
      </c>
      <c r="C1605" t="s">
        <v>1897</v>
      </c>
      <c r="D1605" t="s">
        <v>96</v>
      </c>
      <c r="E1605">
        <v>54.99</v>
      </c>
      <c r="F1605" t="s">
        <v>8118</v>
      </c>
      <c r="L1605" t="s">
        <v>8</v>
      </c>
      <c r="M1605" t="s">
        <v>7919</v>
      </c>
      <c r="N1605">
        <v>0</v>
      </c>
      <c r="O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 x14ac:dyDescent="0.2">
      <c r="A1606" t="s">
        <v>7738</v>
      </c>
      <c r="B1606" t="s">
        <v>7739</v>
      </c>
      <c r="C1606" t="s">
        <v>1897</v>
      </c>
      <c r="D1606" t="s">
        <v>96</v>
      </c>
      <c r="E1606">
        <v>59.99</v>
      </c>
      <c r="F1606" t="s">
        <v>8118</v>
      </c>
      <c r="L1606" t="s">
        <v>8</v>
      </c>
      <c r="M1606" t="s">
        <v>7968</v>
      </c>
      <c r="N1606">
        <v>0</v>
      </c>
      <c r="O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 x14ac:dyDescent="0.2">
      <c r="A1607" t="s">
        <v>3847</v>
      </c>
      <c r="B1607" t="s">
        <v>3848</v>
      </c>
      <c r="C1607" t="s">
        <v>1897</v>
      </c>
      <c r="D1607" t="s">
        <v>96</v>
      </c>
      <c r="E1607">
        <v>34.99</v>
      </c>
      <c r="F1607" t="s">
        <v>8118</v>
      </c>
      <c r="L1607" t="s">
        <v>8</v>
      </c>
      <c r="M1607" t="s">
        <v>7923</v>
      </c>
      <c r="N1607">
        <v>0</v>
      </c>
      <c r="O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 x14ac:dyDescent="0.2">
      <c r="A1608" t="s">
        <v>3798</v>
      </c>
      <c r="B1608" t="s">
        <v>3799</v>
      </c>
      <c r="C1608" t="s">
        <v>1897</v>
      </c>
      <c r="D1608" t="s">
        <v>96</v>
      </c>
      <c r="E1608">
        <v>34.99</v>
      </c>
      <c r="F1608" t="s">
        <v>8118</v>
      </c>
      <c r="L1608" t="s">
        <v>8</v>
      </c>
      <c r="M1608" t="s">
        <v>7920</v>
      </c>
      <c r="N1608">
        <v>0</v>
      </c>
      <c r="O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 x14ac:dyDescent="0.2">
      <c r="A1609" t="s">
        <v>4087</v>
      </c>
      <c r="B1609" t="s">
        <v>4088</v>
      </c>
      <c r="C1609" t="s">
        <v>1897</v>
      </c>
      <c r="D1609" t="s">
        <v>96</v>
      </c>
      <c r="E1609">
        <v>54.99</v>
      </c>
      <c r="F1609" t="s">
        <v>8118</v>
      </c>
      <c r="L1609" t="s">
        <v>8</v>
      </c>
      <c r="M1609" t="s">
        <v>7930</v>
      </c>
      <c r="N1609">
        <v>0</v>
      </c>
      <c r="O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 x14ac:dyDescent="0.2">
      <c r="A1610" t="s">
        <v>7736</v>
      </c>
      <c r="B1610" t="s">
        <v>7737</v>
      </c>
      <c r="C1610" t="s">
        <v>1897</v>
      </c>
      <c r="D1610" t="s">
        <v>96</v>
      </c>
      <c r="E1610">
        <v>59.99</v>
      </c>
      <c r="F1610" t="s">
        <v>8118</v>
      </c>
      <c r="L1610" t="s">
        <v>8</v>
      </c>
      <c r="M1610" t="s">
        <v>7967</v>
      </c>
      <c r="N1610">
        <v>0</v>
      </c>
      <c r="O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spans="1:22" x14ac:dyDescent="0.2">
      <c r="A1611" t="s">
        <v>1974</v>
      </c>
      <c r="B1611" t="s">
        <v>1975</v>
      </c>
      <c r="C1611" t="s">
        <v>1897</v>
      </c>
      <c r="D1611" t="s">
        <v>96</v>
      </c>
      <c r="E1611">
        <v>64.989999999999995</v>
      </c>
      <c r="F1611" t="s">
        <v>8118</v>
      </c>
      <c r="L1611" t="s">
        <v>8</v>
      </c>
      <c r="M1611" t="s">
        <v>7897</v>
      </c>
      <c r="N1611">
        <v>0</v>
      </c>
      <c r="O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spans="1:22" x14ac:dyDescent="0.2">
      <c r="A1612" t="s">
        <v>7980</v>
      </c>
      <c r="B1612" t="s">
        <v>7982</v>
      </c>
      <c r="C1612" t="s">
        <v>1897</v>
      </c>
      <c r="D1612" t="s">
        <v>96</v>
      </c>
      <c r="E1612">
        <v>59.99</v>
      </c>
      <c r="F1612" t="s">
        <v>8118</v>
      </c>
      <c r="L1612" t="s">
        <v>8</v>
      </c>
      <c r="M1612" t="s">
        <v>7981</v>
      </c>
      <c r="N1612">
        <v>0</v>
      </c>
      <c r="O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 x14ac:dyDescent="0.2">
      <c r="A1613" t="s">
        <v>1972</v>
      </c>
      <c r="B1613" t="s">
        <v>1973</v>
      </c>
      <c r="C1613" t="s">
        <v>1897</v>
      </c>
      <c r="D1613" t="s">
        <v>290</v>
      </c>
      <c r="E1613">
        <v>39.99</v>
      </c>
      <c r="F1613" t="s">
        <v>8118</v>
      </c>
      <c r="L1613" t="s">
        <v>8</v>
      </c>
      <c r="M1613" t="s">
        <v>7926</v>
      </c>
      <c r="N1613">
        <v>0</v>
      </c>
      <c r="O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22" x14ac:dyDescent="0.2">
      <c r="A1614" t="s">
        <v>3844</v>
      </c>
      <c r="B1614" t="s">
        <v>3845</v>
      </c>
      <c r="C1614" t="s">
        <v>1897</v>
      </c>
      <c r="D1614" t="s">
        <v>96</v>
      </c>
      <c r="E1614">
        <v>31.99</v>
      </c>
      <c r="F1614" t="s">
        <v>8118</v>
      </c>
      <c r="L1614" t="s">
        <v>8</v>
      </c>
      <c r="M1614" t="s">
        <v>7921</v>
      </c>
      <c r="N1614">
        <v>0</v>
      </c>
      <c r="O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 x14ac:dyDescent="0.2">
      <c r="A1615" t="s">
        <v>3792</v>
      </c>
      <c r="B1615" t="s">
        <v>3793</v>
      </c>
      <c r="C1615" t="s">
        <v>1897</v>
      </c>
      <c r="D1615" t="s">
        <v>96</v>
      </c>
      <c r="E1615">
        <v>37.99</v>
      </c>
      <c r="F1615" t="s">
        <v>8118</v>
      </c>
      <c r="L1615" t="s">
        <v>8</v>
      </c>
      <c r="M1615" t="s">
        <v>7978</v>
      </c>
      <c r="N1615">
        <v>0</v>
      </c>
      <c r="O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spans="1:22" x14ac:dyDescent="0.2">
      <c r="A1616" t="s">
        <v>3831</v>
      </c>
      <c r="B1616" t="s">
        <v>3832</v>
      </c>
      <c r="C1616" t="s">
        <v>1897</v>
      </c>
      <c r="D1616" t="s">
        <v>96</v>
      </c>
      <c r="E1616">
        <v>49.99</v>
      </c>
      <c r="F1616" t="s">
        <v>8118</v>
      </c>
      <c r="L1616" t="s">
        <v>8</v>
      </c>
      <c r="M1616" t="s">
        <v>7868</v>
      </c>
      <c r="N1616">
        <v>0</v>
      </c>
      <c r="O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 x14ac:dyDescent="0.2">
      <c r="A1617" t="s">
        <v>3816</v>
      </c>
      <c r="B1617" t="s">
        <v>3817</v>
      </c>
      <c r="C1617" t="s">
        <v>1897</v>
      </c>
      <c r="D1617" t="s">
        <v>96</v>
      </c>
      <c r="E1617">
        <v>19.989999999999998</v>
      </c>
      <c r="F1617" t="s">
        <v>8118</v>
      </c>
      <c r="L1617" t="s">
        <v>8</v>
      </c>
      <c r="M1617" t="s">
        <v>7979</v>
      </c>
      <c r="N1617">
        <v>0</v>
      </c>
      <c r="O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spans="1:22" x14ac:dyDescent="0.2">
      <c r="A1618" t="s">
        <v>7826</v>
      </c>
      <c r="B1618" t="s">
        <v>7827</v>
      </c>
      <c r="C1618" t="s">
        <v>1897</v>
      </c>
      <c r="D1618" t="s">
        <v>96</v>
      </c>
      <c r="E1618">
        <v>44.99</v>
      </c>
      <c r="F1618" t="s">
        <v>8118</v>
      </c>
      <c r="L1618" t="s">
        <v>8</v>
      </c>
      <c r="M1618" t="s">
        <v>7966</v>
      </c>
      <c r="N1618">
        <v>0</v>
      </c>
      <c r="O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 x14ac:dyDescent="0.2">
      <c r="A1619" t="s">
        <v>7915</v>
      </c>
      <c r="B1619" t="s">
        <v>7917</v>
      </c>
      <c r="C1619" t="s">
        <v>1897</v>
      </c>
      <c r="D1619" t="s">
        <v>96</v>
      </c>
      <c r="F1619" t="s">
        <v>8118</v>
      </c>
      <c r="L1619" t="s">
        <v>8</v>
      </c>
      <c r="M1619" t="s">
        <v>7916</v>
      </c>
      <c r="N1619">
        <v>0</v>
      </c>
      <c r="O1619">
        <v>0</v>
      </c>
      <c r="Q1619">
        <v>0</v>
      </c>
      <c r="R1619">
        <v>0</v>
      </c>
      <c r="S1619">
        <v>0</v>
      </c>
      <c r="T1619">
        <v>0</v>
      </c>
      <c r="V1619">
        <v>0</v>
      </c>
    </row>
    <row r="1620" spans="1:22" x14ac:dyDescent="0.2">
      <c r="A1620" t="s">
        <v>3801</v>
      </c>
      <c r="B1620" t="s">
        <v>3802</v>
      </c>
      <c r="C1620" t="s">
        <v>1897</v>
      </c>
      <c r="D1620" t="s">
        <v>96</v>
      </c>
      <c r="E1620">
        <v>44.99</v>
      </c>
      <c r="F1620" t="s">
        <v>8118</v>
      </c>
      <c r="L1620" t="s">
        <v>8</v>
      </c>
      <c r="M1620" t="s">
        <v>7970</v>
      </c>
      <c r="N1620">
        <v>0</v>
      </c>
      <c r="O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spans="1:22" x14ac:dyDescent="0.2">
      <c r="A1621" t="s">
        <v>3795</v>
      </c>
      <c r="B1621" t="s">
        <v>3796</v>
      </c>
      <c r="C1621" t="s">
        <v>1897</v>
      </c>
      <c r="D1621" t="s">
        <v>96</v>
      </c>
      <c r="E1621">
        <v>34.99</v>
      </c>
      <c r="F1621" t="s">
        <v>8118</v>
      </c>
      <c r="L1621" t="s">
        <v>8</v>
      </c>
      <c r="M1621" t="s">
        <v>7969</v>
      </c>
      <c r="N1621">
        <v>0</v>
      </c>
      <c r="O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 x14ac:dyDescent="0.2">
      <c r="A1622" t="s">
        <v>7740</v>
      </c>
      <c r="B1622" t="s">
        <v>7741</v>
      </c>
      <c r="C1622" t="s">
        <v>1897</v>
      </c>
      <c r="D1622" t="s">
        <v>96</v>
      </c>
      <c r="E1622">
        <v>59.99</v>
      </c>
      <c r="F1622" t="s">
        <v>8118</v>
      </c>
      <c r="L1622" t="s">
        <v>8</v>
      </c>
      <c r="M1622" t="s">
        <v>7867</v>
      </c>
      <c r="N1622">
        <v>0</v>
      </c>
      <c r="O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spans="1:22" x14ac:dyDescent="0.2">
      <c r="A1623" t="s">
        <v>1970</v>
      </c>
      <c r="B1623" t="s">
        <v>1971</v>
      </c>
      <c r="C1623" t="s">
        <v>1897</v>
      </c>
      <c r="D1623" t="s">
        <v>290</v>
      </c>
      <c r="E1623">
        <v>29.99</v>
      </c>
      <c r="F1623" t="s">
        <v>8118</v>
      </c>
      <c r="L1623" t="s">
        <v>8</v>
      </c>
      <c r="M1623" t="s">
        <v>7896</v>
      </c>
      <c r="N1623">
        <v>0</v>
      </c>
      <c r="O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spans="1:22" x14ac:dyDescent="0.2">
      <c r="A1624" t="s">
        <v>3837</v>
      </c>
      <c r="B1624" t="s">
        <v>3838</v>
      </c>
      <c r="C1624" t="s">
        <v>1897</v>
      </c>
      <c r="D1624" t="s">
        <v>96</v>
      </c>
      <c r="F1624" t="s">
        <v>8118</v>
      </c>
      <c r="L1624" t="s">
        <v>8</v>
      </c>
      <c r="M1624" t="s">
        <v>7971</v>
      </c>
      <c r="N1624">
        <v>0</v>
      </c>
      <c r="O1624">
        <v>0</v>
      </c>
      <c r="Q1624">
        <v>0</v>
      </c>
      <c r="R1624">
        <v>0</v>
      </c>
      <c r="S1624">
        <v>0</v>
      </c>
      <c r="T1624">
        <v>0</v>
      </c>
      <c r="V1624">
        <v>0</v>
      </c>
    </row>
    <row r="1625" spans="1:22" x14ac:dyDescent="0.2">
      <c r="A1625" t="s">
        <v>1930</v>
      </c>
      <c r="B1625" t="s">
        <v>1931</v>
      </c>
      <c r="C1625" t="s">
        <v>1897</v>
      </c>
      <c r="D1625" t="s">
        <v>290</v>
      </c>
      <c r="E1625">
        <v>59.99</v>
      </c>
      <c r="F1625" t="s">
        <v>8118</v>
      </c>
      <c r="L1625" t="s">
        <v>8109</v>
      </c>
      <c r="M1625" t="s">
        <v>97</v>
      </c>
      <c r="N1625">
        <v>0</v>
      </c>
      <c r="O1625">
        <v>0</v>
      </c>
      <c r="U1625">
        <v>0</v>
      </c>
      <c r="V1625">
        <v>0</v>
      </c>
    </row>
    <row r="1626" spans="1:22" x14ac:dyDescent="0.2">
      <c r="A1626" t="s">
        <v>1968</v>
      </c>
      <c r="B1626" t="s">
        <v>1969</v>
      </c>
      <c r="C1626" t="s">
        <v>1897</v>
      </c>
      <c r="D1626" t="s">
        <v>96</v>
      </c>
      <c r="E1626">
        <v>79.989999999999995</v>
      </c>
      <c r="F1626" t="s">
        <v>8118</v>
      </c>
      <c r="L1626" t="s">
        <v>8109</v>
      </c>
      <c r="M1626" t="s">
        <v>97</v>
      </c>
      <c r="N1626">
        <v>0</v>
      </c>
      <c r="O1626">
        <v>0</v>
      </c>
      <c r="U1626">
        <v>0</v>
      </c>
      <c r="V1626">
        <v>0</v>
      </c>
    </row>
    <row r="1627" spans="1:22" x14ac:dyDescent="0.2">
      <c r="A1627" t="s">
        <v>3986</v>
      </c>
      <c r="B1627" t="s">
        <v>3987</v>
      </c>
      <c r="C1627" t="s">
        <v>1897</v>
      </c>
      <c r="D1627" t="s">
        <v>96</v>
      </c>
      <c r="E1627">
        <v>64.989999999999995</v>
      </c>
      <c r="F1627" t="s">
        <v>8118</v>
      </c>
      <c r="L1627" t="s">
        <v>8109</v>
      </c>
      <c r="M1627" t="s">
        <v>97</v>
      </c>
      <c r="N1627">
        <v>0</v>
      </c>
      <c r="O1627">
        <v>0</v>
      </c>
      <c r="U1627">
        <v>0</v>
      </c>
      <c r="V1627">
        <v>0</v>
      </c>
    </row>
    <row r="1628" spans="1:22" x14ac:dyDescent="0.2">
      <c r="A1628" t="s">
        <v>2123</v>
      </c>
      <c r="B1628" t="s">
        <v>2124</v>
      </c>
      <c r="C1628" t="s">
        <v>2088</v>
      </c>
      <c r="D1628" t="s">
        <v>96</v>
      </c>
      <c r="E1628">
        <v>59.99</v>
      </c>
      <c r="F1628" t="s">
        <v>8118</v>
      </c>
      <c r="L1628" t="s">
        <v>7032</v>
      </c>
      <c r="M1628" t="s">
        <v>97</v>
      </c>
      <c r="N1628">
        <v>0</v>
      </c>
      <c r="O1628">
        <v>0</v>
      </c>
      <c r="T1628">
        <v>0</v>
      </c>
      <c r="U1628">
        <v>0</v>
      </c>
      <c r="V1628">
        <v>0</v>
      </c>
    </row>
    <row r="1629" spans="1:22" x14ac:dyDescent="0.2">
      <c r="A1629" t="s">
        <v>2121</v>
      </c>
      <c r="B1629" t="s">
        <v>2122</v>
      </c>
      <c r="C1629" t="s">
        <v>2088</v>
      </c>
      <c r="D1629" t="s">
        <v>96</v>
      </c>
      <c r="E1629">
        <v>59.99</v>
      </c>
      <c r="F1629" t="s">
        <v>8118</v>
      </c>
      <c r="L1629" t="s">
        <v>7032</v>
      </c>
      <c r="M1629" t="s">
        <v>97</v>
      </c>
      <c r="N1629">
        <v>0</v>
      </c>
      <c r="O1629">
        <v>0</v>
      </c>
      <c r="T1629">
        <v>0</v>
      </c>
      <c r="U1629">
        <v>0</v>
      </c>
      <c r="V1629">
        <v>0</v>
      </c>
    </row>
    <row r="1630" spans="1:22" x14ac:dyDescent="0.2">
      <c r="A1630" t="s">
        <v>2117</v>
      </c>
      <c r="B1630" t="s">
        <v>2118</v>
      </c>
      <c r="C1630" t="s">
        <v>2088</v>
      </c>
      <c r="D1630" t="s">
        <v>290</v>
      </c>
      <c r="E1630">
        <v>59.99</v>
      </c>
      <c r="F1630" t="s">
        <v>8118</v>
      </c>
      <c r="G1630">
        <v>2</v>
      </c>
      <c r="I1630">
        <v>2</v>
      </c>
      <c r="L1630" t="s">
        <v>7032</v>
      </c>
      <c r="M1630" t="s">
        <v>97</v>
      </c>
      <c r="N1630">
        <v>0</v>
      </c>
      <c r="O1630">
        <v>0</v>
      </c>
      <c r="T1630">
        <v>0</v>
      </c>
      <c r="U1630">
        <v>0</v>
      </c>
      <c r="V1630">
        <v>0</v>
      </c>
    </row>
    <row r="1631" spans="1:22" x14ac:dyDescent="0.2">
      <c r="A1631" t="s">
        <v>2119</v>
      </c>
      <c r="B1631" t="s">
        <v>2120</v>
      </c>
      <c r="C1631" t="s">
        <v>2088</v>
      </c>
      <c r="D1631" t="s">
        <v>290</v>
      </c>
      <c r="E1631">
        <v>59.99</v>
      </c>
      <c r="F1631" t="s">
        <v>8118</v>
      </c>
      <c r="G1631">
        <v>1</v>
      </c>
      <c r="I1631">
        <v>1</v>
      </c>
      <c r="L1631" t="s">
        <v>7032</v>
      </c>
      <c r="M1631" t="s">
        <v>97</v>
      </c>
      <c r="N1631">
        <v>0</v>
      </c>
      <c r="O1631">
        <v>0</v>
      </c>
      <c r="T1631">
        <v>0</v>
      </c>
      <c r="U1631">
        <v>0</v>
      </c>
      <c r="V1631">
        <v>0</v>
      </c>
    </row>
    <row r="1632" spans="1:22" x14ac:dyDescent="0.2">
      <c r="A1632" t="s">
        <v>2109</v>
      </c>
      <c r="B1632" t="s">
        <v>2110</v>
      </c>
      <c r="C1632" t="s">
        <v>2088</v>
      </c>
      <c r="D1632" t="s">
        <v>96</v>
      </c>
      <c r="E1632">
        <v>59.99</v>
      </c>
      <c r="F1632" t="s">
        <v>8118</v>
      </c>
      <c r="L1632" t="s">
        <v>7032</v>
      </c>
      <c r="M1632" t="s">
        <v>97</v>
      </c>
      <c r="N1632">
        <v>0</v>
      </c>
      <c r="O1632">
        <v>0</v>
      </c>
      <c r="T1632">
        <v>0</v>
      </c>
      <c r="U1632">
        <v>0</v>
      </c>
      <c r="V1632">
        <v>0</v>
      </c>
    </row>
    <row r="1633" spans="1:22" x14ac:dyDescent="0.2">
      <c r="A1633" t="s">
        <v>2115</v>
      </c>
      <c r="B1633" t="s">
        <v>2116</v>
      </c>
      <c r="C1633" t="s">
        <v>2088</v>
      </c>
      <c r="D1633" t="s">
        <v>290</v>
      </c>
      <c r="E1633">
        <v>69.989999999999995</v>
      </c>
      <c r="F1633" t="s">
        <v>8118</v>
      </c>
      <c r="G1633">
        <v>2</v>
      </c>
      <c r="I1633">
        <v>2</v>
      </c>
      <c r="L1633" t="s">
        <v>7032</v>
      </c>
      <c r="M1633" t="s">
        <v>97</v>
      </c>
      <c r="N1633">
        <v>0</v>
      </c>
      <c r="O1633">
        <v>0</v>
      </c>
      <c r="T1633">
        <v>0</v>
      </c>
      <c r="U1633">
        <v>0</v>
      </c>
      <c r="V1633">
        <v>0</v>
      </c>
    </row>
    <row r="1634" spans="1:22" x14ac:dyDescent="0.2">
      <c r="A1634" t="s">
        <v>2113</v>
      </c>
      <c r="B1634" t="s">
        <v>2114</v>
      </c>
      <c r="C1634" t="s">
        <v>2088</v>
      </c>
      <c r="D1634" t="s">
        <v>96</v>
      </c>
      <c r="E1634">
        <v>69.989999999999995</v>
      </c>
      <c r="F1634" t="s">
        <v>8118</v>
      </c>
      <c r="L1634" t="s">
        <v>7032</v>
      </c>
      <c r="M1634" t="s">
        <v>97</v>
      </c>
      <c r="N1634">
        <v>0</v>
      </c>
      <c r="O1634">
        <v>0</v>
      </c>
      <c r="T1634">
        <v>0</v>
      </c>
      <c r="U1634">
        <v>0</v>
      </c>
      <c r="V1634">
        <v>0</v>
      </c>
    </row>
    <row r="1635" spans="1:22" x14ac:dyDescent="0.2">
      <c r="A1635" t="s">
        <v>2107</v>
      </c>
      <c r="B1635" t="s">
        <v>2108</v>
      </c>
      <c r="C1635" t="s">
        <v>2088</v>
      </c>
      <c r="D1635" t="s">
        <v>96</v>
      </c>
      <c r="E1635">
        <v>59.99</v>
      </c>
      <c r="F1635" t="s">
        <v>8118</v>
      </c>
      <c r="L1635" t="s">
        <v>7032</v>
      </c>
      <c r="M1635" t="s">
        <v>97</v>
      </c>
      <c r="N1635">
        <v>0</v>
      </c>
      <c r="O1635">
        <v>0</v>
      </c>
      <c r="T1635">
        <v>0</v>
      </c>
      <c r="U1635">
        <v>0</v>
      </c>
      <c r="V1635">
        <v>0</v>
      </c>
    </row>
    <row r="1636" spans="1:22" x14ac:dyDescent="0.2">
      <c r="A1636" t="s">
        <v>2129</v>
      </c>
      <c r="B1636" t="s">
        <v>2130</v>
      </c>
      <c r="C1636" t="s">
        <v>2088</v>
      </c>
      <c r="D1636" t="s">
        <v>96</v>
      </c>
      <c r="E1636">
        <v>59.99</v>
      </c>
      <c r="F1636" t="s">
        <v>8118</v>
      </c>
      <c r="L1636" t="s">
        <v>7032</v>
      </c>
      <c r="M1636" t="s">
        <v>97</v>
      </c>
      <c r="N1636">
        <v>0</v>
      </c>
      <c r="O1636">
        <v>0</v>
      </c>
      <c r="T1636">
        <v>0</v>
      </c>
      <c r="U1636">
        <v>0</v>
      </c>
      <c r="V1636">
        <v>0</v>
      </c>
    </row>
    <row r="1637" spans="1:22" x14ac:dyDescent="0.2">
      <c r="A1637" t="s">
        <v>2125</v>
      </c>
      <c r="B1637" t="s">
        <v>2126</v>
      </c>
      <c r="C1637" t="s">
        <v>2088</v>
      </c>
      <c r="D1637" t="s">
        <v>290</v>
      </c>
      <c r="E1637">
        <v>59.99</v>
      </c>
      <c r="F1637" t="s">
        <v>8118</v>
      </c>
      <c r="G1637">
        <v>34</v>
      </c>
      <c r="I1637">
        <v>34</v>
      </c>
      <c r="L1637" t="s">
        <v>7032</v>
      </c>
      <c r="M1637" t="s">
        <v>97</v>
      </c>
      <c r="N1637">
        <v>0</v>
      </c>
      <c r="O1637">
        <v>0</v>
      </c>
      <c r="T1637">
        <v>0</v>
      </c>
      <c r="U1637">
        <v>0</v>
      </c>
      <c r="V1637">
        <v>0</v>
      </c>
    </row>
    <row r="1638" spans="1:22" x14ac:dyDescent="0.2">
      <c r="A1638" t="s">
        <v>2107</v>
      </c>
      <c r="B1638" t="s">
        <v>2108</v>
      </c>
      <c r="C1638" t="s">
        <v>2088</v>
      </c>
      <c r="D1638" t="s">
        <v>96</v>
      </c>
      <c r="E1638">
        <v>59.99</v>
      </c>
      <c r="F1638" t="s">
        <v>8118</v>
      </c>
      <c r="L1638" t="s">
        <v>8</v>
      </c>
      <c r="M1638" t="s">
        <v>7886</v>
      </c>
      <c r="N1638">
        <v>0</v>
      </c>
      <c r="O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spans="1:22" x14ac:dyDescent="0.2">
      <c r="A1639" t="s">
        <v>2121</v>
      </c>
      <c r="B1639" t="s">
        <v>2122</v>
      </c>
      <c r="C1639" t="s">
        <v>2088</v>
      </c>
      <c r="D1639" t="s">
        <v>96</v>
      </c>
      <c r="E1639">
        <v>59.99</v>
      </c>
      <c r="F1639" t="s">
        <v>8118</v>
      </c>
      <c r="L1639" t="s">
        <v>8</v>
      </c>
      <c r="M1639" t="s">
        <v>5314</v>
      </c>
      <c r="N1639">
        <v>0</v>
      </c>
      <c r="O1639">
        <v>0</v>
      </c>
      <c r="Q1639">
        <v>0</v>
      </c>
      <c r="R1639">
        <v>0</v>
      </c>
      <c r="S1639">
        <v>0</v>
      </c>
      <c r="T1639">
        <v>3.0833333333333335</v>
      </c>
      <c r="U1639">
        <v>119.98</v>
      </c>
      <c r="V1639">
        <v>0</v>
      </c>
    </row>
    <row r="1640" spans="1:22" x14ac:dyDescent="0.2">
      <c r="A1640" t="s">
        <v>2123</v>
      </c>
      <c r="B1640" t="s">
        <v>2124</v>
      </c>
      <c r="C1640" t="s">
        <v>2088</v>
      </c>
      <c r="D1640" t="s">
        <v>96</v>
      </c>
      <c r="E1640">
        <v>59.99</v>
      </c>
      <c r="F1640" t="s">
        <v>8118</v>
      </c>
      <c r="L1640" t="s">
        <v>8</v>
      </c>
      <c r="M1640" t="s">
        <v>5313</v>
      </c>
      <c r="N1640">
        <v>0</v>
      </c>
      <c r="O1640">
        <v>0</v>
      </c>
      <c r="Q1640">
        <v>0</v>
      </c>
      <c r="R1640">
        <v>0</v>
      </c>
      <c r="S1640">
        <v>0</v>
      </c>
      <c r="T1640">
        <v>0.83333333333333337</v>
      </c>
      <c r="U1640">
        <v>0</v>
      </c>
      <c r="V1640">
        <v>0</v>
      </c>
    </row>
    <row r="1641" spans="1:22" x14ac:dyDescent="0.2">
      <c r="A1641" t="s">
        <v>2109</v>
      </c>
      <c r="B1641" t="s">
        <v>2110</v>
      </c>
      <c r="C1641" t="s">
        <v>2088</v>
      </c>
      <c r="D1641" t="s">
        <v>96</v>
      </c>
      <c r="E1641">
        <v>59.99</v>
      </c>
      <c r="F1641" t="s">
        <v>8118</v>
      </c>
      <c r="L1641" t="s">
        <v>8</v>
      </c>
      <c r="M1641" t="s">
        <v>7877</v>
      </c>
      <c r="N1641">
        <v>0</v>
      </c>
      <c r="O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spans="1:22" x14ac:dyDescent="0.2">
      <c r="A1642" t="s">
        <v>2119</v>
      </c>
      <c r="B1642" t="s">
        <v>2120</v>
      </c>
      <c r="C1642" t="s">
        <v>2088</v>
      </c>
      <c r="D1642" t="s">
        <v>290</v>
      </c>
      <c r="E1642">
        <v>59.99</v>
      </c>
      <c r="F1642" t="s">
        <v>8118</v>
      </c>
      <c r="G1642">
        <v>1</v>
      </c>
      <c r="I1642">
        <v>1</v>
      </c>
      <c r="L1642" t="s">
        <v>8</v>
      </c>
      <c r="M1642" t="s">
        <v>7909</v>
      </c>
      <c r="N1642">
        <v>0</v>
      </c>
      <c r="O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spans="1:22" x14ac:dyDescent="0.2">
      <c r="A1643" t="s">
        <v>2127</v>
      </c>
      <c r="B1643" t="s">
        <v>2128</v>
      </c>
      <c r="C1643" t="s">
        <v>2088</v>
      </c>
      <c r="D1643" t="s">
        <v>290</v>
      </c>
      <c r="E1643">
        <v>59.99</v>
      </c>
      <c r="F1643" t="s">
        <v>8118</v>
      </c>
      <c r="G1643">
        <v>1</v>
      </c>
      <c r="I1643">
        <v>1</v>
      </c>
      <c r="L1643" t="s">
        <v>8</v>
      </c>
      <c r="M1643" t="s">
        <v>5311</v>
      </c>
      <c r="N1643">
        <v>0</v>
      </c>
      <c r="O1643">
        <v>0</v>
      </c>
      <c r="Q1643">
        <v>0</v>
      </c>
      <c r="R1643">
        <v>0</v>
      </c>
      <c r="S1643">
        <v>0</v>
      </c>
      <c r="T1643">
        <v>2.0833333333333335</v>
      </c>
      <c r="U1643">
        <v>0</v>
      </c>
      <c r="V1643">
        <v>0</v>
      </c>
    </row>
    <row r="1644" spans="1:22" x14ac:dyDescent="0.2">
      <c r="A1644" t="s">
        <v>2129</v>
      </c>
      <c r="B1644" t="s">
        <v>2130</v>
      </c>
      <c r="C1644" t="s">
        <v>2088</v>
      </c>
      <c r="D1644" t="s">
        <v>96</v>
      </c>
      <c r="E1644">
        <v>59.99</v>
      </c>
      <c r="F1644" t="s">
        <v>8118</v>
      </c>
      <c r="L1644" t="s">
        <v>8</v>
      </c>
      <c r="M1644" t="s">
        <v>5310</v>
      </c>
      <c r="N1644">
        <v>3.3333333333333335</v>
      </c>
      <c r="O1644">
        <v>0.3</v>
      </c>
      <c r="Q1644">
        <v>0</v>
      </c>
      <c r="R1644">
        <v>0</v>
      </c>
      <c r="S1644">
        <v>5</v>
      </c>
      <c r="T1644">
        <v>1.5</v>
      </c>
      <c r="U1644">
        <v>0</v>
      </c>
      <c r="V1644">
        <v>5</v>
      </c>
    </row>
    <row r="1645" spans="1:22" x14ac:dyDescent="0.2">
      <c r="A1645" t="s">
        <v>2117</v>
      </c>
      <c r="B1645" t="s">
        <v>2118</v>
      </c>
      <c r="C1645" t="s">
        <v>2088</v>
      </c>
      <c r="D1645" t="s">
        <v>290</v>
      </c>
      <c r="E1645">
        <v>59.99</v>
      </c>
      <c r="F1645" t="s">
        <v>8118</v>
      </c>
      <c r="G1645">
        <v>2</v>
      </c>
      <c r="I1645">
        <v>2</v>
      </c>
      <c r="L1645" t="s">
        <v>8</v>
      </c>
      <c r="M1645" t="s">
        <v>5317</v>
      </c>
      <c r="N1645">
        <v>2.6666666666666665</v>
      </c>
      <c r="O1645">
        <v>0.375</v>
      </c>
      <c r="Q1645">
        <v>0</v>
      </c>
      <c r="R1645">
        <v>0</v>
      </c>
      <c r="S1645">
        <v>2</v>
      </c>
      <c r="T1645">
        <v>0.75</v>
      </c>
      <c r="U1645">
        <v>0</v>
      </c>
      <c r="V1645">
        <v>2</v>
      </c>
    </row>
    <row r="1646" spans="1:22" x14ac:dyDescent="0.2">
      <c r="A1646" t="s">
        <v>2099</v>
      </c>
      <c r="B1646" t="s">
        <v>7881</v>
      </c>
      <c r="C1646" t="s">
        <v>2088</v>
      </c>
      <c r="D1646" t="s">
        <v>96</v>
      </c>
      <c r="E1646">
        <v>59.99</v>
      </c>
      <c r="F1646" t="s">
        <v>8118</v>
      </c>
      <c r="L1646" t="s">
        <v>8</v>
      </c>
      <c r="M1646" t="s">
        <v>5323</v>
      </c>
      <c r="N1646">
        <v>0</v>
      </c>
      <c r="O1646">
        <v>0</v>
      </c>
      <c r="Q1646">
        <v>0</v>
      </c>
      <c r="R1646">
        <v>0</v>
      </c>
      <c r="S1646">
        <v>0</v>
      </c>
      <c r="T1646">
        <v>0.83333333333333337</v>
      </c>
      <c r="U1646">
        <v>0</v>
      </c>
      <c r="V1646">
        <v>0</v>
      </c>
    </row>
    <row r="1647" spans="1:22" x14ac:dyDescent="0.2">
      <c r="A1647" t="s">
        <v>2115</v>
      </c>
      <c r="B1647" t="s">
        <v>2116</v>
      </c>
      <c r="C1647" t="s">
        <v>2088</v>
      </c>
      <c r="D1647" t="s">
        <v>290</v>
      </c>
      <c r="E1647">
        <v>69.989999999999995</v>
      </c>
      <c r="F1647" t="s">
        <v>8118</v>
      </c>
      <c r="G1647">
        <v>2</v>
      </c>
      <c r="I1647">
        <v>2</v>
      </c>
      <c r="L1647" t="s">
        <v>8</v>
      </c>
      <c r="M1647" t="s">
        <v>7888</v>
      </c>
      <c r="N1647">
        <v>0</v>
      </c>
      <c r="O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 x14ac:dyDescent="0.2">
      <c r="A1648" t="s">
        <v>2113</v>
      </c>
      <c r="B1648" t="s">
        <v>2114</v>
      </c>
      <c r="C1648" t="s">
        <v>2088</v>
      </c>
      <c r="D1648" t="s">
        <v>96</v>
      </c>
      <c r="E1648">
        <v>69.989999999999995</v>
      </c>
      <c r="F1648" t="s">
        <v>8118</v>
      </c>
      <c r="L1648" t="s">
        <v>8</v>
      </c>
      <c r="M1648" t="s">
        <v>7887</v>
      </c>
      <c r="N1648">
        <v>0</v>
      </c>
      <c r="O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 x14ac:dyDescent="0.2">
      <c r="A1649" t="s">
        <v>2111</v>
      </c>
      <c r="B1649" t="s">
        <v>2112</v>
      </c>
      <c r="C1649" t="s">
        <v>2088</v>
      </c>
      <c r="D1649" t="s">
        <v>96</v>
      </c>
      <c r="E1649">
        <v>69.989999999999995</v>
      </c>
      <c r="F1649" t="s">
        <v>8118</v>
      </c>
      <c r="L1649" t="s">
        <v>8</v>
      </c>
      <c r="M1649" t="s">
        <v>5308</v>
      </c>
      <c r="N1649">
        <v>0.63157894736842113</v>
      </c>
      <c r="O1649">
        <v>1.5833333333333333</v>
      </c>
      <c r="Q1649">
        <v>0</v>
      </c>
      <c r="R1649">
        <v>0</v>
      </c>
      <c r="S1649">
        <v>1</v>
      </c>
      <c r="T1649">
        <v>1.5833333333333333</v>
      </c>
      <c r="U1649">
        <v>0</v>
      </c>
      <c r="V1649">
        <v>1</v>
      </c>
    </row>
    <row r="1650" spans="1:22" x14ac:dyDescent="0.2">
      <c r="A1650" t="s">
        <v>2125</v>
      </c>
      <c r="B1650" t="s">
        <v>2126</v>
      </c>
      <c r="C1650" t="s">
        <v>2088</v>
      </c>
      <c r="D1650" t="s">
        <v>290</v>
      </c>
      <c r="E1650">
        <v>59.99</v>
      </c>
      <c r="F1650" t="s">
        <v>8118</v>
      </c>
      <c r="G1650">
        <v>34</v>
      </c>
      <c r="I1650">
        <v>34</v>
      </c>
      <c r="L1650" t="s">
        <v>8</v>
      </c>
      <c r="M1650" t="s">
        <v>7850</v>
      </c>
      <c r="N1650">
        <v>0</v>
      </c>
      <c r="O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 x14ac:dyDescent="0.2">
      <c r="A1651" t="s">
        <v>2105</v>
      </c>
      <c r="B1651" t="s">
        <v>2106</v>
      </c>
      <c r="C1651" t="s">
        <v>2088</v>
      </c>
      <c r="D1651" t="s">
        <v>96</v>
      </c>
      <c r="E1651">
        <v>59.99</v>
      </c>
      <c r="F1651" t="s">
        <v>8118</v>
      </c>
      <c r="L1651" t="s">
        <v>8</v>
      </c>
      <c r="M1651" t="s">
        <v>7884</v>
      </c>
      <c r="N1651">
        <v>0</v>
      </c>
      <c r="O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spans="1:22" x14ac:dyDescent="0.2">
      <c r="A1652" t="s">
        <v>2103</v>
      </c>
      <c r="B1652" t="s">
        <v>7883</v>
      </c>
      <c r="C1652" t="s">
        <v>2088</v>
      </c>
      <c r="D1652" t="s">
        <v>96</v>
      </c>
      <c r="E1652">
        <v>59.99</v>
      </c>
      <c r="F1652" t="s">
        <v>8118</v>
      </c>
      <c r="L1652" t="s">
        <v>8</v>
      </c>
      <c r="M1652" t="s">
        <v>5324</v>
      </c>
      <c r="N1652">
        <v>12.666666666666666</v>
      </c>
      <c r="O1652">
        <v>7.8947368421052627E-2</v>
      </c>
      <c r="Q1652">
        <v>0</v>
      </c>
      <c r="R1652">
        <v>4</v>
      </c>
      <c r="S1652">
        <v>15</v>
      </c>
      <c r="T1652">
        <v>1.5</v>
      </c>
      <c r="U1652">
        <v>0</v>
      </c>
      <c r="V1652">
        <v>19</v>
      </c>
    </row>
    <row r="1653" spans="1:22" x14ac:dyDescent="0.2">
      <c r="A1653" t="s">
        <v>2101</v>
      </c>
      <c r="B1653" t="s">
        <v>7882</v>
      </c>
      <c r="C1653" t="s">
        <v>2088</v>
      </c>
      <c r="D1653" t="s">
        <v>96</v>
      </c>
      <c r="E1653">
        <v>59.99</v>
      </c>
      <c r="F1653" t="s">
        <v>8118</v>
      </c>
      <c r="L1653" t="s">
        <v>8</v>
      </c>
      <c r="M1653" t="s">
        <v>5322</v>
      </c>
      <c r="N1653">
        <v>0.92307692307692313</v>
      </c>
      <c r="O1653">
        <v>1.0833333333333333</v>
      </c>
      <c r="Q1653">
        <v>0</v>
      </c>
      <c r="R1653">
        <v>0</v>
      </c>
      <c r="S1653">
        <v>1</v>
      </c>
      <c r="T1653">
        <v>1.0833333333333333</v>
      </c>
      <c r="U1653">
        <v>119.98</v>
      </c>
      <c r="V1653">
        <v>1</v>
      </c>
    </row>
    <row r="1654" spans="1:22" x14ac:dyDescent="0.2">
      <c r="A1654" t="s">
        <v>2093</v>
      </c>
      <c r="B1654" t="s">
        <v>7885</v>
      </c>
      <c r="C1654" t="s">
        <v>2088</v>
      </c>
      <c r="D1654" t="s">
        <v>290</v>
      </c>
      <c r="E1654">
        <v>59.99</v>
      </c>
      <c r="F1654" t="s">
        <v>8118</v>
      </c>
      <c r="G1654">
        <v>1</v>
      </c>
      <c r="I1654">
        <v>1</v>
      </c>
      <c r="L1654" t="s">
        <v>8</v>
      </c>
      <c r="M1654" t="s">
        <v>5319</v>
      </c>
      <c r="N1654">
        <v>0</v>
      </c>
      <c r="O1654">
        <v>0</v>
      </c>
      <c r="Q1654">
        <v>0</v>
      </c>
      <c r="R1654">
        <v>0</v>
      </c>
      <c r="S1654">
        <v>0</v>
      </c>
      <c r="T1654">
        <v>1.25</v>
      </c>
      <c r="U1654">
        <v>0</v>
      </c>
      <c r="V1654">
        <v>0</v>
      </c>
    </row>
    <row r="1655" spans="1:22" x14ac:dyDescent="0.2">
      <c r="A1655" t="s">
        <v>2089</v>
      </c>
      <c r="B1655" t="s">
        <v>7892</v>
      </c>
      <c r="C1655" t="s">
        <v>2088</v>
      </c>
      <c r="D1655" t="s">
        <v>96</v>
      </c>
      <c r="E1655">
        <v>59.99</v>
      </c>
      <c r="F1655" t="s">
        <v>8118</v>
      </c>
      <c r="L1655" t="s">
        <v>8</v>
      </c>
      <c r="M1655" t="s">
        <v>5325</v>
      </c>
      <c r="N1655">
        <v>0.27586206896551724</v>
      </c>
      <c r="O1655">
        <v>3.625</v>
      </c>
      <c r="Q1655">
        <v>0</v>
      </c>
      <c r="R1655">
        <v>0</v>
      </c>
      <c r="S1655">
        <v>4</v>
      </c>
      <c r="T1655">
        <v>14.5</v>
      </c>
      <c r="U1655">
        <v>0</v>
      </c>
      <c r="V1655">
        <v>4</v>
      </c>
    </row>
    <row r="1656" spans="1:22" x14ac:dyDescent="0.2">
      <c r="A1656" t="s">
        <v>2091</v>
      </c>
      <c r="B1656" t="s">
        <v>7891</v>
      </c>
      <c r="C1656" t="s">
        <v>2088</v>
      </c>
      <c r="D1656" t="s">
        <v>96</v>
      </c>
      <c r="E1656">
        <v>59.99</v>
      </c>
      <c r="F1656" t="s">
        <v>8118</v>
      </c>
      <c r="L1656" t="s">
        <v>8</v>
      </c>
      <c r="M1656" t="s">
        <v>5326</v>
      </c>
      <c r="N1656">
        <v>0.27906976744186046</v>
      </c>
      <c r="O1656">
        <v>3.5833333333333335</v>
      </c>
      <c r="Q1656">
        <v>0</v>
      </c>
      <c r="R1656">
        <v>0</v>
      </c>
      <c r="S1656">
        <v>2</v>
      </c>
      <c r="T1656">
        <v>7.166666666666667</v>
      </c>
      <c r="U1656">
        <v>0</v>
      </c>
      <c r="V1656">
        <v>2</v>
      </c>
    </row>
    <row r="1657" spans="1:22" x14ac:dyDescent="0.2">
      <c r="A1657" t="s">
        <v>2097</v>
      </c>
      <c r="B1657" t="s">
        <v>7880</v>
      </c>
      <c r="C1657" t="s">
        <v>2088</v>
      </c>
      <c r="D1657" t="s">
        <v>96</v>
      </c>
      <c r="E1657">
        <v>59.99</v>
      </c>
      <c r="F1657" t="s">
        <v>8118</v>
      </c>
      <c r="L1657" t="s">
        <v>8</v>
      </c>
      <c r="M1657" t="s">
        <v>5321</v>
      </c>
      <c r="N1657">
        <v>1.3333333333333333</v>
      </c>
      <c r="O1657">
        <v>0.75</v>
      </c>
      <c r="Q1657">
        <v>0</v>
      </c>
      <c r="R1657">
        <v>2</v>
      </c>
      <c r="S1657">
        <v>0</v>
      </c>
      <c r="T1657">
        <v>1.5</v>
      </c>
      <c r="U1657">
        <v>59.99</v>
      </c>
      <c r="V1657">
        <v>2</v>
      </c>
    </row>
    <row r="1658" spans="1:22" x14ac:dyDescent="0.2">
      <c r="A1658" t="s">
        <v>2095</v>
      </c>
      <c r="B1658" t="s">
        <v>7879</v>
      </c>
      <c r="C1658" t="s">
        <v>2088</v>
      </c>
      <c r="D1658" t="s">
        <v>290</v>
      </c>
      <c r="E1658">
        <v>59.99</v>
      </c>
      <c r="F1658" t="s">
        <v>8118</v>
      </c>
      <c r="G1658">
        <v>2</v>
      </c>
      <c r="I1658">
        <v>2</v>
      </c>
      <c r="L1658" t="s">
        <v>8</v>
      </c>
      <c r="M1658" t="s">
        <v>5320</v>
      </c>
      <c r="N1658">
        <v>7.1999999999999993</v>
      </c>
      <c r="O1658">
        <v>0.1388888888888889</v>
      </c>
      <c r="Q1658">
        <v>0</v>
      </c>
      <c r="R1658">
        <v>0</v>
      </c>
      <c r="S1658">
        <v>6</v>
      </c>
      <c r="T1658">
        <v>0.83333333333333337</v>
      </c>
      <c r="U1658">
        <v>0</v>
      </c>
      <c r="V1658">
        <v>6</v>
      </c>
    </row>
    <row r="1659" spans="1:22" x14ac:dyDescent="0.2">
      <c r="A1659" t="s">
        <v>2105</v>
      </c>
      <c r="B1659" t="s">
        <v>2106</v>
      </c>
      <c r="C1659" t="s">
        <v>2088</v>
      </c>
      <c r="D1659" t="s">
        <v>96</v>
      </c>
      <c r="E1659">
        <v>59.99</v>
      </c>
      <c r="F1659" t="s">
        <v>8118</v>
      </c>
      <c r="L1659" t="s">
        <v>7029</v>
      </c>
      <c r="N1659">
        <v>20</v>
      </c>
      <c r="O1659">
        <v>0.05</v>
      </c>
      <c r="T1659">
        <v>0.25</v>
      </c>
      <c r="U1659">
        <v>0</v>
      </c>
      <c r="V1659">
        <v>5</v>
      </c>
    </row>
    <row r="1660" spans="1:22" x14ac:dyDescent="0.2">
      <c r="A1660" t="s">
        <v>2117</v>
      </c>
      <c r="B1660" t="s">
        <v>2118</v>
      </c>
      <c r="C1660" t="s">
        <v>2088</v>
      </c>
      <c r="D1660" t="s">
        <v>290</v>
      </c>
      <c r="E1660">
        <v>59.99</v>
      </c>
      <c r="F1660" t="s">
        <v>8118</v>
      </c>
      <c r="G1660">
        <v>2</v>
      </c>
      <c r="I1660">
        <v>2</v>
      </c>
      <c r="L1660" t="s">
        <v>7029</v>
      </c>
      <c r="N1660">
        <v>34.666666666666664</v>
      </c>
      <c r="O1660">
        <v>2.8846153846153848E-2</v>
      </c>
      <c r="T1660">
        <v>0.375</v>
      </c>
      <c r="U1660">
        <v>0</v>
      </c>
      <c r="V1660">
        <v>13</v>
      </c>
    </row>
    <row r="1661" spans="1:22" x14ac:dyDescent="0.2">
      <c r="A1661" t="s">
        <v>2129</v>
      </c>
      <c r="B1661" t="s">
        <v>2130</v>
      </c>
      <c r="C1661" t="s">
        <v>2088</v>
      </c>
      <c r="D1661" t="s">
        <v>96</v>
      </c>
      <c r="E1661">
        <v>59.99</v>
      </c>
      <c r="F1661" t="s">
        <v>8118</v>
      </c>
      <c r="L1661" t="s">
        <v>7029</v>
      </c>
      <c r="N1661">
        <v>32</v>
      </c>
      <c r="O1661">
        <v>3.125E-2</v>
      </c>
      <c r="T1661">
        <v>0.75</v>
      </c>
      <c r="U1661">
        <v>0</v>
      </c>
      <c r="V1661">
        <v>24</v>
      </c>
    </row>
    <row r="1662" spans="1:22" x14ac:dyDescent="0.2">
      <c r="A1662" t="s">
        <v>2127</v>
      </c>
      <c r="B1662" t="s">
        <v>2128</v>
      </c>
      <c r="C1662" t="s">
        <v>2088</v>
      </c>
      <c r="D1662" t="s">
        <v>290</v>
      </c>
      <c r="E1662">
        <v>59.99</v>
      </c>
      <c r="F1662" t="s">
        <v>8118</v>
      </c>
      <c r="G1662">
        <v>1</v>
      </c>
      <c r="I1662">
        <v>1</v>
      </c>
      <c r="L1662" t="s">
        <v>7029</v>
      </c>
      <c r="N1662">
        <v>7.5</v>
      </c>
      <c r="O1662">
        <v>0.13333333333333333</v>
      </c>
      <c r="T1662">
        <v>0.8</v>
      </c>
      <c r="U1662">
        <v>0</v>
      </c>
      <c r="V1662">
        <v>6</v>
      </c>
    </row>
    <row r="1663" spans="1:22" x14ac:dyDescent="0.2">
      <c r="A1663" t="s">
        <v>2109</v>
      </c>
      <c r="B1663" t="s">
        <v>2110</v>
      </c>
      <c r="C1663" t="s">
        <v>2088</v>
      </c>
      <c r="D1663" t="s">
        <v>96</v>
      </c>
      <c r="E1663">
        <v>59.99</v>
      </c>
      <c r="F1663" t="s">
        <v>8118</v>
      </c>
      <c r="L1663" t="s">
        <v>7029</v>
      </c>
      <c r="N1663">
        <v>2</v>
      </c>
      <c r="O1663">
        <v>0.5</v>
      </c>
      <c r="T1663">
        <v>0.5</v>
      </c>
      <c r="U1663">
        <v>59.99</v>
      </c>
      <c r="V1663">
        <v>1</v>
      </c>
    </row>
    <row r="1664" spans="1:22" x14ac:dyDescent="0.2">
      <c r="A1664" t="s">
        <v>2107</v>
      </c>
      <c r="B1664" t="s">
        <v>2108</v>
      </c>
      <c r="C1664" t="s">
        <v>2088</v>
      </c>
      <c r="D1664" t="s">
        <v>96</v>
      </c>
      <c r="E1664">
        <v>59.99</v>
      </c>
      <c r="F1664" t="s">
        <v>8118</v>
      </c>
      <c r="L1664" t="s">
        <v>7029</v>
      </c>
      <c r="N1664">
        <v>0</v>
      </c>
      <c r="O1664">
        <v>0</v>
      </c>
      <c r="T1664">
        <v>0</v>
      </c>
      <c r="U1664">
        <v>0</v>
      </c>
      <c r="V1664">
        <v>0</v>
      </c>
    </row>
    <row r="1665" spans="1:22" x14ac:dyDescent="0.2">
      <c r="A1665" t="s">
        <v>2115</v>
      </c>
      <c r="B1665" t="s">
        <v>2116</v>
      </c>
      <c r="C1665" t="s">
        <v>2088</v>
      </c>
      <c r="D1665" t="s">
        <v>290</v>
      </c>
      <c r="E1665">
        <v>69.989999999999995</v>
      </c>
      <c r="F1665" t="s">
        <v>8118</v>
      </c>
      <c r="G1665">
        <v>2</v>
      </c>
      <c r="I1665">
        <v>2</v>
      </c>
      <c r="L1665" t="s">
        <v>7029</v>
      </c>
      <c r="N1665">
        <v>4</v>
      </c>
      <c r="O1665">
        <v>0.25</v>
      </c>
      <c r="T1665">
        <v>0.25</v>
      </c>
      <c r="U1665">
        <v>0</v>
      </c>
      <c r="V1665">
        <v>1</v>
      </c>
    </row>
    <row r="1666" spans="1:22" x14ac:dyDescent="0.2">
      <c r="A1666" t="s">
        <v>2140</v>
      </c>
      <c r="B1666" t="s">
        <v>2141</v>
      </c>
      <c r="C1666" t="s">
        <v>2131</v>
      </c>
      <c r="D1666" t="s">
        <v>290</v>
      </c>
      <c r="E1666">
        <v>39.99</v>
      </c>
      <c r="F1666" t="s">
        <v>8118</v>
      </c>
      <c r="L1666" t="s">
        <v>11</v>
      </c>
      <c r="M1666" t="s">
        <v>5793</v>
      </c>
      <c r="N1666">
        <v>0</v>
      </c>
      <c r="O1666">
        <v>0</v>
      </c>
      <c r="T1666">
        <v>0</v>
      </c>
      <c r="U1666">
        <v>0</v>
      </c>
      <c r="V1666">
        <v>0</v>
      </c>
    </row>
    <row r="1667" spans="1:22" x14ac:dyDescent="0.2">
      <c r="A1667" t="s">
        <v>2132</v>
      </c>
      <c r="B1667" t="s">
        <v>2133</v>
      </c>
      <c r="C1667" t="s">
        <v>2131</v>
      </c>
      <c r="D1667" t="s">
        <v>96</v>
      </c>
      <c r="E1667">
        <v>29.99</v>
      </c>
      <c r="F1667" t="s">
        <v>8118</v>
      </c>
      <c r="L1667" t="s">
        <v>11</v>
      </c>
      <c r="M1667" t="s">
        <v>5789</v>
      </c>
      <c r="N1667">
        <v>0</v>
      </c>
      <c r="O1667">
        <v>0</v>
      </c>
      <c r="T1667">
        <v>0</v>
      </c>
      <c r="U1667">
        <v>0</v>
      </c>
      <c r="V1667">
        <v>0</v>
      </c>
    </row>
    <row r="1668" spans="1:22" x14ac:dyDescent="0.2">
      <c r="A1668" t="s">
        <v>2134</v>
      </c>
      <c r="B1668" t="s">
        <v>2135</v>
      </c>
      <c r="C1668" t="s">
        <v>2131</v>
      </c>
      <c r="D1668" t="s">
        <v>96</v>
      </c>
      <c r="E1668">
        <v>39.99</v>
      </c>
      <c r="F1668" t="s">
        <v>8118</v>
      </c>
      <c r="L1668" t="s">
        <v>11</v>
      </c>
      <c r="M1668" t="s">
        <v>5794</v>
      </c>
      <c r="N1668">
        <v>0</v>
      </c>
      <c r="O1668">
        <v>0</v>
      </c>
      <c r="T1668">
        <v>0</v>
      </c>
      <c r="U1668">
        <v>0</v>
      </c>
      <c r="V1668">
        <v>0</v>
      </c>
    </row>
    <row r="1669" spans="1:22" x14ac:dyDescent="0.2">
      <c r="A1669" t="s">
        <v>2136</v>
      </c>
      <c r="B1669" t="s">
        <v>2137</v>
      </c>
      <c r="C1669" t="s">
        <v>2131</v>
      </c>
      <c r="D1669" t="s">
        <v>96</v>
      </c>
      <c r="E1669">
        <v>39.99</v>
      </c>
      <c r="F1669" t="s">
        <v>8118</v>
      </c>
      <c r="L1669" t="s">
        <v>11</v>
      </c>
      <c r="M1669" t="s">
        <v>5796</v>
      </c>
      <c r="N1669">
        <v>0</v>
      </c>
      <c r="O1669">
        <v>0</v>
      </c>
      <c r="T1669">
        <v>0</v>
      </c>
      <c r="U1669">
        <v>0</v>
      </c>
      <c r="V1669">
        <v>0</v>
      </c>
    </row>
    <row r="1670" spans="1:22" x14ac:dyDescent="0.2">
      <c r="A1670" t="s">
        <v>2138</v>
      </c>
      <c r="B1670" t="s">
        <v>2139</v>
      </c>
      <c r="C1670" t="s">
        <v>2131</v>
      </c>
      <c r="D1670" t="s">
        <v>96</v>
      </c>
      <c r="E1670">
        <v>39.99</v>
      </c>
      <c r="F1670" t="s">
        <v>8118</v>
      </c>
      <c r="L1670" t="s">
        <v>11</v>
      </c>
      <c r="M1670" t="s">
        <v>5792</v>
      </c>
      <c r="N1670">
        <v>0</v>
      </c>
      <c r="O1670">
        <v>0</v>
      </c>
      <c r="T1670">
        <v>0</v>
      </c>
      <c r="U1670">
        <v>0</v>
      </c>
      <c r="V1670">
        <v>0</v>
      </c>
    </row>
    <row r="1671" spans="1:22" x14ac:dyDescent="0.2">
      <c r="A1671" t="s">
        <v>2142</v>
      </c>
      <c r="B1671" t="s">
        <v>2143</v>
      </c>
      <c r="C1671" t="s">
        <v>2131</v>
      </c>
      <c r="D1671" t="s">
        <v>96</v>
      </c>
      <c r="E1671">
        <v>49.99</v>
      </c>
      <c r="F1671" t="s">
        <v>8118</v>
      </c>
      <c r="L1671" t="s">
        <v>11</v>
      </c>
      <c r="M1671" t="s">
        <v>5797</v>
      </c>
      <c r="N1671">
        <v>0</v>
      </c>
      <c r="O1671">
        <v>0</v>
      </c>
      <c r="T1671">
        <v>0</v>
      </c>
      <c r="U1671">
        <v>0</v>
      </c>
      <c r="V1671">
        <v>1</v>
      </c>
    </row>
    <row r="1672" spans="1:22" x14ac:dyDescent="0.2">
      <c r="A1672" t="s">
        <v>2136</v>
      </c>
      <c r="B1672" t="s">
        <v>2137</v>
      </c>
      <c r="C1672" t="s">
        <v>2131</v>
      </c>
      <c r="D1672" t="s">
        <v>96</v>
      </c>
      <c r="E1672">
        <v>39.99</v>
      </c>
      <c r="F1672" t="s">
        <v>8118</v>
      </c>
      <c r="L1672" t="s">
        <v>14</v>
      </c>
      <c r="M1672" t="s">
        <v>97</v>
      </c>
      <c r="N1672">
        <v>108</v>
      </c>
      <c r="O1672">
        <v>9.2592592592592587E-3</v>
      </c>
      <c r="T1672">
        <v>8.3333333333333329E-2</v>
      </c>
      <c r="U1672">
        <v>0</v>
      </c>
      <c r="V1672">
        <v>9</v>
      </c>
    </row>
    <row r="1673" spans="1:22" x14ac:dyDescent="0.2">
      <c r="A1673" t="s">
        <v>2142</v>
      </c>
      <c r="B1673" t="s">
        <v>2143</v>
      </c>
      <c r="C1673" t="s">
        <v>2131</v>
      </c>
      <c r="D1673" t="s">
        <v>96</v>
      </c>
      <c r="E1673">
        <v>49.99</v>
      </c>
      <c r="F1673" t="s">
        <v>8118</v>
      </c>
      <c r="L1673" t="s">
        <v>14</v>
      </c>
      <c r="M1673" t="s">
        <v>97</v>
      </c>
      <c r="N1673">
        <v>36</v>
      </c>
      <c r="O1673">
        <v>2.7777777777777776E-2</v>
      </c>
      <c r="T1673">
        <v>0.16666666666666666</v>
      </c>
      <c r="U1673">
        <v>0</v>
      </c>
      <c r="V1673">
        <v>6</v>
      </c>
    </row>
    <row r="1674" spans="1:22" x14ac:dyDescent="0.2">
      <c r="A1674" t="s">
        <v>2138</v>
      </c>
      <c r="B1674" t="s">
        <v>2139</v>
      </c>
      <c r="C1674" t="s">
        <v>2131</v>
      </c>
      <c r="D1674" t="s">
        <v>96</v>
      </c>
      <c r="E1674">
        <v>39.99</v>
      </c>
      <c r="F1674" t="s">
        <v>8118</v>
      </c>
      <c r="L1674" t="s">
        <v>14</v>
      </c>
      <c r="M1674" t="s">
        <v>97</v>
      </c>
      <c r="N1674">
        <v>180</v>
      </c>
      <c r="O1674">
        <v>5.5555555555555549E-3</v>
      </c>
      <c r="T1674">
        <v>8.3333333333333329E-2</v>
      </c>
      <c r="U1674">
        <v>-39.99</v>
      </c>
      <c r="V1674">
        <v>15</v>
      </c>
    </row>
    <row r="1675" spans="1:22" x14ac:dyDescent="0.2">
      <c r="A1675" t="s">
        <v>2132</v>
      </c>
      <c r="B1675" t="s">
        <v>2133</v>
      </c>
      <c r="C1675" t="s">
        <v>2131</v>
      </c>
      <c r="D1675" t="s">
        <v>96</v>
      </c>
      <c r="E1675">
        <v>29.99</v>
      </c>
      <c r="F1675" t="s">
        <v>8118</v>
      </c>
      <c r="L1675" t="s">
        <v>14</v>
      </c>
      <c r="M1675" t="s">
        <v>97</v>
      </c>
      <c r="N1675">
        <v>96</v>
      </c>
      <c r="O1675">
        <v>1.0416666666666666E-2</v>
      </c>
      <c r="T1675">
        <v>8.3333333333333329E-2</v>
      </c>
      <c r="U1675">
        <v>0</v>
      </c>
      <c r="V1675">
        <v>8</v>
      </c>
    </row>
    <row r="1676" spans="1:22" x14ac:dyDescent="0.2">
      <c r="A1676" t="s">
        <v>2134</v>
      </c>
      <c r="B1676" t="s">
        <v>2135</v>
      </c>
      <c r="C1676" t="s">
        <v>2131</v>
      </c>
      <c r="D1676" t="s">
        <v>96</v>
      </c>
      <c r="E1676">
        <v>39.99</v>
      </c>
      <c r="F1676" t="s">
        <v>8118</v>
      </c>
      <c r="L1676" t="s">
        <v>14</v>
      </c>
      <c r="M1676" t="s">
        <v>97</v>
      </c>
      <c r="N1676">
        <v>28</v>
      </c>
      <c r="O1676">
        <v>3.5714285714285712E-2</v>
      </c>
      <c r="T1676">
        <v>0.25</v>
      </c>
      <c r="U1676">
        <v>0</v>
      </c>
      <c r="V1676">
        <v>7</v>
      </c>
    </row>
    <row r="1677" spans="1:22" x14ac:dyDescent="0.2">
      <c r="A1677" t="s">
        <v>2140</v>
      </c>
      <c r="B1677" t="s">
        <v>2141</v>
      </c>
      <c r="C1677" t="s">
        <v>2131</v>
      </c>
      <c r="D1677" t="s">
        <v>290</v>
      </c>
      <c r="E1677">
        <v>39.99</v>
      </c>
      <c r="F1677" t="s">
        <v>8118</v>
      </c>
      <c r="L1677" t="s">
        <v>14</v>
      </c>
      <c r="M1677" t="s">
        <v>97</v>
      </c>
      <c r="N1677">
        <v>0</v>
      </c>
      <c r="O1677">
        <v>0</v>
      </c>
      <c r="T1677">
        <v>0</v>
      </c>
      <c r="U1677">
        <v>-39.99</v>
      </c>
      <c r="V1677">
        <v>16</v>
      </c>
    </row>
    <row r="1678" spans="1:22" x14ac:dyDescent="0.2">
      <c r="A1678" t="s">
        <v>2144</v>
      </c>
      <c r="B1678" t="s">
        <v>2145</v>
      </c>
      <c r="C1678" t="s">
        <v>2131</v>
      </c>
      <c r="D1678" t="s">
        <v>290</v>
      </c>
      <c r="E1678">
        <v>49.99</v>
      </c>
      <c r="F1678" t="s">
        <v>8118</v>
      </c>
      <c r="L1678" t="s">
        <v>14</v>
      </c>
      <c r="M1678" t="s">
        <v>97</v>
      </c>
      <c r="N1678">
        <v>132</v>
      </c>
      <c r="O1678">
        <v>7.5757575757575751E-3</v>
      </c>
      <c r="T1678">
        <v>8.3333333333333329E-2</v>
      </c>
      <c r="U1678">
        <v>0</v>
      </c>
      <c r="V1678">
        <v>11</v>
      </c>
    </row>
    <row r="1679" spans="1:22" x14ac:dyDescent="0.2">
      <c r="A1679" t="s">
        <v>5790</v>
      </c>
      <c r="B1679" t="s">
        <v>5791</v>
      </c>
      <c r="C1679" t="s">
        <v>2131</v>
      </c>
      <c r="D1679" t="s">
        <v>96</v>
      </c>
      <c r="E1679">
        <v>29.99</v>
      </c>
      <c r="F1679" t="s">
        <v>8118</v>
      </c>
      <c r="L1679" t="s">
        <v>14</v>
      </c>
      <c r="M1679" t="s">
        <v>97</v>
      </c>
      <c r="N1679">
        <v>0</v>
      </c>
      <c r="O1679">
        <v>0</v>
      </c>
      <c r="T1679">
        <v>0</v>
      </c>
      <c r="U1679">
        <v>0</v>
      </c>
      <c r="V1679">
        <v>9</v>
      </c>
    </row>
    <row r="1680" spans="1:22" x14ac:dyDescent="0.2">
      <c r="A1680" t="s">
        <v>5790</v>
      </c>
      <c r="B1680" t="s">
        <v>5791</v>
      </c>
      <c r="C1680" t="s">
        <v>2131</v>
      </c>
      <c r="D1680" t="s">
        <v>96</v>
      </c>
      <c r="E1680">
        <v>29.99</v>
      </c>
      <c r="F1680" t="s">
        <v>8118</v>
      </c>
      <c r="L1680" t="s">
        <v>10</v>
      </c>
      <c r="M1680">
        <v>602459</v>
      </c>
      <c r="N1680">
        <v>0</v>
      </c>
      <c r="O1680">
        <v>0</v>
      </c>
      <c r="P1680" t="s">
        <v>7015</v>
      </c>
      <c r="T1680">
        <v>0</v>
      </c>
      <c r="U1680">
        <v>0</v>
      </c>
      <c r="V1680">
        <v>0</v>
      </c>
    </row>
    <row r="1681" spans="1:22" x14ac:dyDescent="0.2">
      <c r="A1681" t="s">
        <v>2132</v>
      </c>
      <c r="B1681" t="s">
        <v>2133</v>
      </c>
      <c r="C1681" t="s">
        <v>2131</v>
      </c>
      <c r="D1681" t="s">
        <v>96</v>
      </c>
      <c r="E1681">
        <v>29.99</v>
      </c>
      <c r="F1681" t="s">
        <v>8118</v>
      </c>
      <c r="L1681" t="s">
        <v>7032</v>
      </c>
      <c r="M1681" t="s">
        <v>97</v>
      </c>
      <c r="N1681">
        <v>0</v>
      </c>
      <c r="O1681">
        <v>0</v>
      </c>
      <c r="T1681">
        <v>0</v>
      </c>
      <c r="U1681">
        <v>0</v>
      </c>
      <c r="V1681">
        <v>0</v>
      </c>
    </row>
    <row r="1682" spans="1:22" x14ac:dyDescent="0.2">
      <c r="A1682" t="s">
        <v>2142</v>
      </c>
      <c r="B1682" t="s">
        <v>2143</v>
      </c>
      <c r="C1682" t="s">
        <v>2131</v>
      </c>
      <c r="D1682" t="s">
        <v>96</v>
      </c>
      <c r="E1682">
        <v>49.99</v>
      </c>
      <c r="F1682" t="s">
        <v>8118</v>
      </c>
      <c r="L1682" t="s">
        <v>7032</v>
      </c>
      <c r="M1682" t="s">
        <v>97</v>
      </c>
      <c r="N1682">
        <v>0</v>
      </c>
      <c r="O1682">
        <v>0</v>
      </c>
      <c r="T1682">
        <v>0</v>
      </c>
      <c r="U1682">
        <v>0</v>
      </c>
      <c r="V1682">
        <v>0</v>
      </c>
    </row>
    <row r="1683" spans="1:22" x14ac:dyDescent="0.2">
      <c r="A1683" t="s">
        <v>2144</v>
      </c>
      <c r="B1683" t="s">
        <v>2145</v>
      </c>
      <c r="C1683" t="s">
        <v>2131</v>
      </c>
      <c r="D1683" t="s">
        <v>290</v>
      </c>
      <c r="E1683">
        <v>49.99</v>
      </c>
      <c r="F1683" t="s">
        <v>8118</v>
      </c>
      <c r="L1683" t="s">
        <v>7032</v>
      </c>
      <c r="M1683" t="s">
        <v>97</v>
      </c>
      <c r="N1683">
        <v>0</v>
      </c>
      <c r="O1683">
        <v>0</v>
      </c>
      <c r="T1683">
        <v>0</v>
      </c>
      <c r="U1683">
        <v>0</v>
      </c>
      <c r="V1683">
        <v>0</v>
      </c>
    </row>
    <row r="1684" spans="1:22" x14ac:dyDescent="0.2">
      <c r="A1684" t="s">
        <v>2136</v>
      </c>
      <c r="B1684" t="s">
        <v>2137</v>
      </c>
      <c r="C1684" t="s">
        <v>2131</v>
      </c>
      <c r="D1684" t="s">
        <v>96</v>
      </c>
      <c r="E1684">
        <v>39.99</v>
      </c>
      <c r="F1684" t="s">
        <v>8118</v>
      </c>
      <c r="L1684" t="s">
        <v>7032</v>
      </c>
      <c r="M1684" t="s">
        <v>97</v>
      </c>
      <c r="N1684">
        <v>0</v>
      </c>
      <c r="O1684">
        <v>0</v>
      </c>
      <c r="T1684">
        <v>0</v>
      </c>
      <c r="U1684">
        <v>0</v>
      </c>
      <c r="V1684">
        <v>0</v>
      </c>
    </row>
    <row r="1685" spans="1:22" x14ac:dyDescent="0.2">
      <c r="A1685" t="s">
        <v>2134</v>
      </c>
      <c r="B1685" t="s">
        <v>2135</v>
      </c>
      <c r="C1685" t="s">
        <v>2131</v>
      </c>
      <c r="D1685" t="s">
        <v>96</v>
      </c>
      <c r="E1685">
        <v>39.99</v>
      </c>
      <c r="F1685" t="s">
        <v>8118</v>
      </c>
      <c r="L1685" t="s">
        <v>7032</v>
      </c>
      <c r="M1685" t="s">
        <v>97</v>
      </c>
      <c r="N1685">
        <v>0</v>
      </c>
      <c r="O1685">
        <v>0</v>
      </c>
      <c r="T1685">
        <v>0</v>
      </c>
      <c r="U1685">
        <v>0</v>
      </c>
      <c r="V1685">
        <v>0</v>
      </c>
    </row>
    <row r="1686" spans="1:22" x14ac:dyDescent="0.2">
      <c r="A1686" t="s">
        <v>5790</v>
      </c>
      <c r="B1686" t="s">
        <v>5791</v>
      </c>
      <c r="C1686" t="s">
        <v>2131</v>
      </c>
      <c r="D1686" t="s">
        <v>96</v>
      </c>
      <c r="E1686">
        <v>29.99</v>
      </c>
      <c r="F1686" t="s">
        <v>8118</v>
      </c>
      <c r="L1686" t="s">
        <v>7032</v>
      </c>
      <c r="M1686" t="s">
        <v>97</v>
      </c>
      <c r="N1686">
        <v>0</v>
      </c>
      <c r="O1686">
        <v>0</v>
      </c>
      <c r="T1686">
        <v>0</v>
      </c>
      <c r="U1686">
        <v>0</v>
      </c>
      <c r="V1686">
        <v>0</v>
      </c>
    </row>
    <row r="1687" spans="1:22" x14ac:dyDescent="0.2">
      <c r="A1687" t="s">
        <v>2144</v>
      </c>
      <c r="B1687" t="s">
        <v>2145</v>
      </c>
      <c r="C1687" t="s">
        <v>2131</v>
      </c>
      <c r="D1687" t="s">
        <v>290</v>
      </c>
      <c r="E1687">
        <v>49.99</v>
      </c>
      <c r="F1687" t="s">
        <v>8118</v>
      </c>
      <c r="L1687" t="s">
        <v>8</v>
      </c>
      <c r="M1687" t="s">
        <v>7851</v>
      </c>
      <c r="N1687">
        <v>0</v>
      </c>
      <c r="O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 x14ac:dyDescent="0.2">
      <c r="A1688" t="s">
        <v>2142</v>
      </c>
      <c r="B1688" t="s">
        <v>2143</v>
      </c>
      <c r="C1688" t="s">
        <v>2131</v>
      </c>
      <c r="D1688" t="s">
        <v>96</v>
      </c>
      <c r="E1688">
        <v>49.99</v>
      </c>
      <c r="F1688" t="s">
        <v>8118</v>
      </c>
      <c r="L1688" t="s">
        <v>8</v>
      </c>
      <c r="M1688" t="s">
        <v>5798</v>
      </c>
      <c r="N1688">
        <v>0</v>
      </c>
      <c r="O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spans="1:22" x14ac:dyDescent="0.2">
      <c r="A1689" t="s">
        <v>2136</v>
      </c>
      <c r="B1689" t="s">
        <v>2137</v>
      </c>
      <c r="C1689" t="s">
        <v>2131</v>
      </c>
      <c r="D1689" t="s">
        <v>96</v>
      </c>
      <c r="E1689">
        <v>39.99</v>
      </c>
      <c r="F1689" t="s">
        <v>8118</v>
      </c>
      <c r="L1689" t="s">
        <v>8</v>
      </c>
      <c r="M1689" t="s">
        <v>7857</v>
      </c>
      <c r="N1689">
        <v>0</v>
      </c>
      <c r="O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spans="1:22" x14ac:dyDescent="0.2">
      <c r="A1690" t="s">
        <v>2134</v>
      </c>
      <c r="B1690" t="s">
        <v>2135</v>
      </c>
      <c r="C1690" t="s">
        <v>2131</v>
      </c>
      <c r="D1690" t="s">
        <v>96</v>
      </c>
      <c r="E1690">
        <v>39.99</v>
      </c>
      <c r="F1690" t="s">
        <v>8118</v>
      </c>
      <c r="L1690" t="s">
        <v>8</v>
      </c>
      <c r="M1690" t="s">
        <v>5795</v>
      </c>
      <c r="N1690">
        <v>0</v>
      </c>
      <c r="O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spans="1:22" x14ac:dyDescent="0.2">
      <c r="A1691" t="s">
        <v>2132</v>
      </c>
      <c r="B1691" t="s">
        <v>2133</v>
      </c>
      <c r="C1691" t="s">
        <v>2131</v>
      </c>
      <c r="D1691" t="s">
        <v>96</v>
      </c>
      <c r="E1691">
        <v>29.99</v>
      </c>
      <c r="F1691" t="s">
        <v>8118</v>
      </c>
      <c r="L1691" t="s">
        <v>8</v>
      </c>
      <c r="M1691" t="s">
        <v>7855</v>
      </c>
      <c r="N1691">
        <v>0</v>
      </c>
      <c r="O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 x14ac:dyDescent="0.2">
      <c r="A1692" t="s">
        <v>5790</v>
      </c>
      <c r="B1692" t="s">
        <v>5791</v>
      </c>
      <c r="C1692" t="s">
        <v>2131</v>
      </c>
      <c r="D1692" t="s">
        <v>96</v>
      </c>
      <c r="E1692">
        <v>29.99</v>
      </c>
      <c r="F1692" t="s">
        <v>8118</v>
      </c>
      <c r="L1692" t="s">
        <v>8</v>
      </c>
      <c r="M1692" t="s">
        <v>7856</v>
      </c>
      <c r="N1692">
        <v>0</v>
      </c>
      <c r="O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spans="1:22" x14ac:dyDescent="0.2">
      <c r="A1693" t="s">
        <v>5549</v>
      </c>
      <c r="B1693" t="s">
        <v>5550</v>
      </c>
      <c r="C1693" t="s">
        <v>2146</v>
      </c>
      <c r="D1693" t="s">
        <v>290</v>
      </c>
      <c r="E1693">
        <v>79.989999999999995</v>
      </c>
      <c r="F1693" t="s">
        <v>8118</v>
      </c>
      <c r="L1693" t="s">
        <v>11</v>
      </c>
      <c r="M1693" t="s">
        <v>5551</v>
      </c>
      <c r="N1693">
        <v>0</v>
      </c>
      <c r="O1693">
        <v>0</v>
      </c>
      <c r="T1693">
        <v>0</v>
      </c>
      <c r="U1693">
        <v>0</v>
      </c>
      <c r="V1693">
        <v>0</v>
      </c>
    </row>
    <row r="1694" spans="1:22" x14ac:dyDescent="0.2">
      <c r="A1694" t="s">
        <v>2330</v>
      </c>
      <c r="B1694" t="s">
        <v>2331</v>
      </c>
      <c r="C1694" t="s">
        <v>2146</v>
      </c>
      <c r="D1694" t="s">
        <v>228</v>
      </c>
      <c r="E1694">
        <v>16.989999999999998</v>
      </c>
      <c r="F1694" t="s">
        <v>8118</v>
      </c>
      <c r="K1694">
        <v>200</v>
      </c>
      <c r="L1694" t="s">
        <v>11</v>
      </c>
      <c r="M1694" t="s">
        <v>5380</v>
      </c>
      <c r="N1694">
        <v>2.7480916030534353</v>
      </c>
      <c r="O1694">
        <v>0.36388888888888887</v>
      </c>
      <c r="T1694">
        <v>10.916666666666666</v>
      </c>
      <c r="U1694">
        <v>118.92999999999999</v>
      </c>
      <c r="V1694">
        <v>30</v>
      </c>
    </row>
    <row r="1695" spans="1:22" x14ac:dyDescent="0.2">
      <c r="A1695" t="s">
        <v>2360</v>
      </c>
      <c r="B1695" t="s">
        <v>2361</v>
      </c>
      <c r="C1695" t="s">
        <v>2146</v>
      </c>
      <c r="D1695" t="s">
        <v>228</v>
      </c>
      <c r="E1695">
        <v>349.99</v>
      </c>
      <c r="F1695" t="s">
        <v>8118</v>
      </c>
      <c r="G1695">
        <v>278</v>
      </c>
      <c r="H1695">
        <v>1</v>
      </c>
      <c r="I1695">
        <v>277</v>
      </c>
      <c r="L1695" t="s">
        <v>11</v>
      </c>
      <c r="M1695" t="s">
        <v>5595</v>
      </c>
      <c r="N1695">
        <v>0</v>
      </c>
      <c r="O1695">
        <v>0</v>
      </c>
      <c r="T1695">
        <v>0</v>
      </c>
      <c r="U1695">
        <v>0</v>
      </c>
      <c r="V1695">
        <v>0</v>
      </c>
    </row>
    <row r="1696" spans="1:22" x14ac:dyDescent="0.2">
      <c r="A1696" t="s">
        <v>2274</v>
      </c>
      <c r="B1696" t="s">
        <v>2275</v>
      </c>
      <c r="C1696" t="s">
        <v>2146</v>
      </c>
      <c r="D1696" t="s">
        <v>290</v>
      </c>
      <c r="E1696">
        <v>349.99</v>
      </c>
      <c r="F1696" t="s">
        <v>8118</v>
      </c>
      <c r="L1696" t="s">
        <v>11</v>
      </c>
      <c r="M1696" t="s">
        <v>5548</v>
      </c>
      <c r="N1696">
        <v>0</v>
      </c>
      <c r="O1696">
        <v>0</v>
      </c>
      <c r="T1696">
        <v>0</v>
      </c>
      <c r="U1696">
        <v>0</v>
      </c>
      <c r="V1696">
        <v>0</v>
      </c>
    </row>
    <row r="1697" spans="1:22" x14ac:dyDescent="0.2">
      <c r="A1697" t="s">
        <v>2208</v>
      </c>
      <c r="B1697" t="s">
        <v>2209</v>
      </c>
      <c r="C1697" t="s">
        <v>2146</v>
      </c>
      <c r="D1697" t="s">
        <v>228</v>
      </c>
      <c r="E1697">
        <v>149.99</v>
      </c>
      <c r="F1697" t="s">
        <v>8118</v>
      </c>
      <c r="K1697">
        <v>6</v>
      </c>
      <c r="L1697" t="s">
        <v>11</v>
      </c>
      <c r="M1697" t="s">
        <v>5624</v>
      </c>
      <c r="N1697">
        <v>63</v>
      </c>
      <c r="O1697">
        <v>1.5873015873015872E-2</v>
      </c>
      <c r="T1697">
        <v>0.14285714285714285</v>
      </c>
      <c r="U1697">
        <v>0</v>
      </c>
      <c r="V1697">
        <v>9</v>
      </c>
    </row>
    <row r="1698" spans="1:22" x14ac:dyDescent="0.2">
      <c r="A1698" t="s">
        <v>2232</v>
      </c>
      <c r="B1698" t="s">
        <v>2233</v>
      </c>
      <c r="C1698" t="s">
        <v>2146</v>
      </c>
      <c r="D1698" t="s">
        <v>228</v>
      </c>
      <c r="E1698">
        <v>39.99</v>
      </c>
      <c r="F1698" t="s">
        <v>8118</v>
      </c>
      <c r="K1698">
        <v>48</v>
      </c>
      <c r="L1698" t="s">
        <v>11</v>
      </c>
      <c r="M1698" t="s">
        <v>5632</v>
      </c>
      <c r="N1698">
        <v>0</v>
      </c>
      <c r="O1698">
        <v>0</v>
      </c>
      <c r="T1698">
        <v>0.1111111111111111</v>
      </c>
      <c r="U1698">
        <v>0</v>
      </c>
      <c r="V1698">
        <v>0</v>
      </c>
    </row>
    <row r="1699" spans="1:22" x14ac:dyDescent="0.2">
      <c r="A1699" t="s">
        <v>2240</v>
      </c>
      <c r="B1699" t="s">
        <v>2241</v>
      </c>
      <c r="C1699" t="s">
        <v>2146</v>
      </c>
      <c r="D1699" t="s">
        <v>290</v>
      </c>
      <c r="E1699">
        <v>99.99</v>
      </c>
      <c r="F1699" t="s">
        <v>8118</v>
      </c>
      <c r="L1699" t="s">
        <v>11</v>
      </c>
      <c r="M1699" t="s">
        <v>5637</v>
      </c>
      <c r="N1699">
        <v>0</v>
      </c>
      <c r="O1699">
        <v>0</v>
      </c>
      <c r="T1699">
        <v>0</v>
      </c>
      <c r="U1699">
        <v>0</v>
      </c>
      <c r="V1699">
        <v>0</v>
      </c>
    </row>
    <row r="1700" spans="1:22" x14ac:dyDescent="0.2">
      <c r="A1700" t="s">
        <v>2214</v>
      </c>
      <c r="B1700" t="s">
        <v>2215</v>
      </c>
      <c r="C1700" t="s">
        <v>2146</v>
      </c>
      <c r="D1700" t="s">
        <v>228</v>
      </c>
      <c r="E1700">
        <v>99.99</v>
      </c>
      <c r="F1700" t="s">
        <v>8118</v>
      </c>
      <c r="G1700">
        <v>8</v>
      </c>
      <c r="I1700">
        <v>8</v>
      </c>
      <c r="L1700" t="s">
        <v>11</v>
      </c>
      <c r="N1700">
        <v>0</v>
      </c>
      <c r="O1700">
        <v>0</v>
      </c>
      <c r="T1700">
        <v>0</v>
      </c>
      <c r="U1700">
        <v>0</v>
      </c>
      <c r="V1700">
        <v>0</v>
      </c>
    </row>
    <row r="1701" spans="1:22" x14ac:dyDescent="0.2">
      <c r="A1701" t="s">
        <v>2224</v>
      </c>
      <c r="B1701" t="s">
        <v>2225</v>
      </c>
      <c r="C1701" t="s">
        <v>2146</v>
      </c>
      <c r="D1701" t="s">
        <v>228</v>
      </c>
      <c r="E1701">
        <v>179.99</v>
      </c>
      <c r="F1701" t="s">
        <v>8118</v>
      </c>
      <c r="G1701">
        <v>28</v>
      </c>
      <c r="H1701">
        <v>27</v>
      </c>
      <c r="I1701">
        <v>1</v>
      </c>
      <c r="J1701">
        <v>29</v>
      </c>
      <c r="K1701">
        <v>80</v>
      </c>
      <c r="L1701" t="s">
        <v>11</v>
      </c>
      <c r="N1701">
        <v>0</v>
      </c>
      <c r="O1701">
        <v>0</v>
      </c>
      <c r="T1701">
        <v>0</v>
      </c>
      <c r="U1701">
        <v>0</v>
      </c>
      <c r="V1701">
        <v>0</v>
      </c>
    </row>
    <row r="1702" spans="1:22" x14ac:dyDescent="0.2">
      <c r="A1702" t="s">
        <v>2252</v>
      </c>
      <c r="B1702" t="s">
        <v>2253</v>
      </c>
      <c r="C1702" t="s">
        <v>2146</v>
      </c>
      <c r="D1702" t="s">
        <v>290</v>
      </c>
      <c r="E1702">
        <v>99.99</v>
      </c>
      <c r="F1702" t="s">
        <v>8118</v>
      </c>
      <c r="L1702" t="s">
        <v>11</v>
      </c>
      <c r="M1702" t="s">
        <v>5580</v>
      </c>
      <c r="N1702">
        <v>0</v>
      </c>
      <c r="O1702">
        <v>0</v>
      </c>
      <c r="T1702">
        <v>0</v>
      </c>
      <c r="U1702">
        <v>0</v>
      </c>
      <c r="V1702">
        <v>0</v>
      </c>
    </row>
    <row r="1703" spans="1:22" x14ac:dyDescent="0.2">
      <c r="A1703" t="s">
        <v>2242</v>
      </c>
      <c r="B1703" t="s">
        <v>2243</v>
      </c>
      <c r="C1703" t="s">
        <v>2146</v>
      </c>
      <c r="D1703" t="s">
        <v>290</v>
      </c>
      <c r="E1703">
        <v>39.99</v>
      </c>
      <c r="F1703" t="s">
        <v>8118</v>
      </c>
      <c r="G1703">
        <v>2</v>
      </c>
      <c r="I1703">
        <v>2</v>
      </c>
      <c r="L1703" t="s">
        <v>11</v>
      </c>
      <c r="M1703" t="s">
        <v>5575</v>
      </c>
      <c r="N1703">
        <v>3.7452229299363058</v>
      </c>
      <c r="O1703">
        <v>0.26700680272108845</v>
      </c>
      <c r="T1703">
        <v>13.083333333333334</v>
      </c>
      <c r="U1703">
        <v>119.97</v>
      </c>
      <c r="V1703">
        <v>49</v>
      </c>
    </row>
    <row r="1704" spans="1:22" x14ac:dyDescent="0.2">
      <c r="A1704" t="s">
        <v>2254</v>
      </c>
      <c r="B1704" t="s">
        <v>2255</v>
      </c>
      <c r="C1704" t="s">
        <v>2146</v>
      </c>
      <c r="D1704" t="s">
        <v>290</v>
      </c>
      <c r="E1704">
        <v>39.99</v>
      </c>
      <c r="F1704" t="s">
        <v>8118</v>
      </c>
      <c r="L1704" t="s">
        <v>11</v>
      </c>
      <c r="M1704" t="s">
        <v>5583</v>
      </c>
      <c r="N1704">
        <v>0</v>
      </c>
      <c r="O1704">
        <v>0</v>
      </c>
      <c r="T1704">
        <v>15.545454545454543</v>
      </c>
      <c r="U1704">
        <v>0</v>
      </c>
      <c r="V1704">
        <v>0</v>
      </c>
    </row>
    <row r="1705" spans="1:22" x14ac:dyDescent="0.2">
      <c r="A1705" t="s">
        <v>2286</v>
      </c>
      <c r="B1705" t="s">
        <v>2287</v>
      </c>
      <c r="C1705" t="s">
        <v>2146</v>
      </c>
      <c r="D1705" t="s">
        <v>228</v>
      </c>
      <c r="E1705">
        <v>99.99</v>
      </c>
      <c r="F1705" t="s">
        <v>8118</v>
      </c>
      <c r="G1705">
        <v>159</v>
      </c>
      <c r="H1705">
        <v>1</v>
      </c>
      <c r="I1705">
        <v>158</v>
      </c>
      <c r="L1705" t="s">
        <v>11</v>
      </c>
      <c r="M1705" t="s">
        <v>5644</v>
      </c>
      <c r="N1705">
        <v>0</v>
      </c>
      <c r="O1705">
        <v>0</v>
      </c>
      <c r="T1705">
        <v>0</v>
      </c>
      <c r="U1705">
        <v>0</v>
      </c>
      <c r="V1705">
        <v>0</v>
      </c>
    </row>
    <row r="1706" spans="1:22" x14ac:dyDescent="0.2">
      <c r="A1706" t="s">
        <v>2290</v>
      </c>
      <c r="B1706" t="s">
        <v>2291</v>
      </c>
      <c r="C1706" t="s">
        <v>2146</v>
      </c>
      <c r="D1706" t="s">
        <v>228</v>
      </c>
      <c r="E1706">
        <v>539.99</v>
      </c>
      <c r="F1706" t="s">
        <v>8118</v>
      </c>
      <c r="L1706" t="s">
        <v>11</v>
      </c>
      <c r="M1706" t="s">
        <v>5658</v>
      </c>
      <c r="N1706">
        <v>0</v>
      </c>
      <c r="O1706">
        <v>0</v>
      </c>
      <c r="T1706">
        <v>0</v>
      </c>
      <c r="U1706">
        <v>0</v>
      </c>
      <c r="V1706">
        <v>5</v>
      </c>
    </row>
    <row r="1707" spans="1:22" x14ac:dyDescent="0.2">
      <c r="A1707" t="s">
        <v>2292</v>
      </c>
      <c r="B1707" t="s">
        <v>2293</v>
      </c>
      <c r="C1707" t="s">
        <v>2146</v>
      </c>
      <c r="D1707" t="s">
        <v>228</v>
      </c>
      <c r="E1707">
        <v>349.99</v>
      </c>
      <c r="F1707" t="s">
        <v>8118</v>
      </c>
      <c r="G1707">
        <v>398</v>
      </c>
      <c r="I1707">
        <v>398</v>
      </c>
      <c r="L1707" t="s">
        <v>11</v>
      </c>
      <c r="M1707" t="s">
        <v>5650</v>
      </c>
      <c r="N1707">
        <v>0</v>
      </c>
      <c r="O1707">
        <v>0</v>
      </c>
      <c r="T1707">
        <v>0.22222222222222221</v>
      </c>
      <c r="U1707">
        <v>0</v>
      </c>
      <c r="V1707">
        <v>0</v>
      </c>
    </row>
    <row r="1708" spans="1:22" x14ac:dyDescent="0.2">
      <c r="A1708" t="s">
        <v>2272</v>
      </c>
      <c r="B1708" t="s">
        <v>2273</v>
      </c>
      <c r="C1708" t="s">
        <v>2146</v>
      </c>
      <c r="D1708" t="s">
        <v>96</v>
      </c>
      <c r="E1708">
        <v>119.99</v>
      </c>
      <c r="F1708" t="s">
        <v>8118</v>
      </c>
      <c r="L1708" t="s">
        <v>11</v>
      </c>
      <c r="M1708" t="s">
        <v>5536</v>
      </c>
      <c r="N1708">
        <v>0</v>
      </c>
      <c r="O1708">
        <v>0</v>
      </c>
      <c r="T1708">
        <v>0</v>
      </c>
      <c r="U1708">
        <v>0</v>
      </c>
      <c r="V1708">
        <v>0</v>
      </c>
    </row>
    <row r="1709" spans="1:22" x14ac:dyDescent="0.2">
      <c r="A1709" t="s">
        <v>5538</v>
      </c>
      <c r="B1709" t="s">
        <v>5539</v>
      </c>
      <c r="C1709" t="s">
        <v>2146</v>
      </c>
      <c r="D1709" t="s">
        <v>96</v>
      </c>
      <c r="E1709">
        <v>44.99</v>
      </c>
      <c r="F1709" t="s">
        <v>8118</v>
      </c>
      <c r="L1709" t="s">
        <v>11</v>
      </c>
      <c r="M1709" t="s">
        <v>5540</v>
      </c>
      <c r="N1709">
        <v>0</v>
      </c>
      <c r="O1709">
        <v>0</v>
      </c>
      <c r="T1709">
        <v>0</v>
      </c>
      <c r="U1709">
        <v>0</v>
      </c>
      <c r="V1709">
        <v>0</v>
      </c>
    </row>
    <row r="1710" spans="1:22" x14ac:dyDescent="0.2">
      <c r="A1710" t="s">
        <v>5541</v>
      </c>
      <c r="B1710" t="s">
        <v>5542</v>
      </c>
      <c r="C1710" t="s">
        <v>2146</v>
      </c>
      <c r="D1710" t="s">
        <v>96</v>
      </c>
      <c r="E1710">
        <v>39.99</v>
      </c>
      <c r="F1710" t="s">
        <v>8118</v>
      </c>
      <c r="L1710" t="s">
        <v>11</v>
      </c>
      <c r="M1710" t="s">
        <v>5543</v>
      </c>
      <c r="N1710">
        <v>0</v>
      </c>
      <c r="O1710">
        <v>0</v>
      </c>
      <c r="T1710">
        <v>0</v>
      </c>
      <c r="U1710">
        <v>0</v>
      </c>
      <c r="V1710">
        <v>0</v>
      </c>
    </row>
    <row r="1711" spans="1:22" x14ac:dyDescent="0.2">
      <c r="A1711" t="s">
        <v>5545</v>
      </c>
      <c r="B1711" t="s">
        <v>5546</v>
      </c>
      <c r="C1711" t="s">
        <v>2146</v>
      </c>
      <c r="D1711" t="s">
        <v>96</v>
      </c>
      <c r="E1711">
        <v>579.99</v>
      </c>
      <c r="F1711" t="s">
        <v>8118</v>
      </c>
      <c r="L1711" t="s">
        <v>11</v>
      </c>
      <c r="M1711" t="s">
        <v>5547</v>
      </c>
      <c r="N1711">
        <v>0</v>
      </c>
      <c r="O1711">
        <v>0</v>
      </c>
      <c r="T1711">
        <v>0</v>
      </c>
      <c r="U1711">
        <v>0</v>
      </c>
      <c r="V1711">
        <v>0</v>
      </c>
    </row>
    <row r="1712" spans="1:22" x14ac:dyDescent="0.2">
      <c r="A1712" t="s">
        <v>2264</v>
      </c>
      <c r="B1712" t="s">
        <v>2265</v>
      </c>
      <c r="C1712" t="s">
        <v>2146</v>
      </c>
      <c r="D1712" t="s">
        <v>290</v>
      </c>
      <c r="E1712">
        <v>99.99</v>
      </c>
      <c r="F1712" t="s">
        <v>8118</v>
      </c>
      <c r="L1712" t="s">
        <v>11</v>
      </c>
      <c r="M1712" t="s">
        <v>5588</v>
      </c>
      <c r="N1712">
        <v>5.8971428571428568</v>
      </c>
      <c r="O1712">
        <v>0.16957364341085271</v>
      </c>
      <c r="T1712">
        <v>14.583333333333334</v>
      </c>
      <c r="U1712">
        <v>2999.7</v>
      </c>
      <c r="V1712">
        <v>86</v>
      </c>
    </row>
    <row r="1713" spans="1:22" x14ac:dyDescent="0.2">
      <c r="A1713" t="s">
        <v>2210</v>
      </c>
      <c r="B1713" t="s">
        <v>2211</v>
      </c>
      <c r="C1713" t="s">
        <v>2146</v>
      </c>
      <c r="D1713" t="s">
        <v>228</v>
      </c>
      <c r="E1713">
        <v>429.99</v>
      </c>
      <c r="F1713" t="s">
        <v>8118</v>
      </c>
      <c r="G1713">
        <v>30</v>
      </c>
      <c r="I1713">
        <v>30</v>
      </c>
      <c r="L1713" t="s">
        <v>11</v>
      </c>
      <c r="M1713" t="s">
        <v>5628</v>
      </c>
      <c r="N1713">
        <v>57</v>
      </c>
      <c r="O1713">
        <v>1.7543859649122806E-2</v>
      </c>
      <c r="T1713">
        <v>0.33333333333333331</v>
      </c>
      <c r="U1713">
        <v>429.99</v>
      </c>
      <c r="V1713">
        <v>19</v>
      </c>
    </row>
    <row r="1714" spans="1:22" x14ac:dyDescent="0.2">
      <c r="A1714" t="s">
        <v>2334</v>
      </c>
      <c r="B1714" t="s">
        <v>2335</v>
      </c>
      <c r="C1714" t="s">
        <v>2146</v>
      </c>
      <c r="D1714" t="s">
        <v>228</v>
      </c>
      <c r="E1714">
        <v>99.99</v>
      </c>
      <c r="F1714" t="s">
        <v>8118</v>
      </c>
      <c r="G1714">
        <v>34</v>
      </c>
      <c r="H1714">
        <v>34</v>
      </c>
      <c r="L1714" t="s">
        <v>11</v>
      </c>
      <c r="M1714" t="s">
        <v>5558</v>
      </c>
      <c r="N1714">
        <v>0</v>
      </c>
      <c r="O1714">
        <v>0</v>
      </c>
      <c r="T1714">
        <v>0.5</v>
      </c>
      <c r="U1714">
        <v>399.96</v>
      </c>
      <c r="V1714">
        <v>0</v>
      </c>
    </row>
    <row r="1715" spans="1:22" x14ac:dyDescent="0.2">
      <c r="A1715" t="s">
        <v>2336</v>
      </c>
      <c r="B1715" t="s">
        <v>2337</v>
      </c>
      <c r="C1715" t="s">
        <v>2146</v>
      </c>
      <c r="D1715" t="s">
        <v>228</v>
      </c>
      <c r="E1715">
        <v>229.99</v>
      </c>
      <c r="F1715" t="s">
        <v>8118</v>
      </c>
      <c r="G1715">
        <v>64</v>
      </c>
      <c r="H1715">
        <v>1</v>
      </c>
      <c r="I1715">
        <v>63</v>
      </c>
      <c r="L1715" t="s">
        <v>11</v>
      </c>
      <c r="M1715" t="s">
        <v>5568</v>
      </c>
      <c r="N1715">
        <v>2.75</v>
      </c>
      <c r="O1715">
        <v>0.3636363636363637</v>
      </c>
      <c r="T1715">
        <v>0.7272727272727274</v>
      </c>
      <c r="U1715">
        <v>459.98</v>
      </c>
      <c r="V1715">
        <v>2</v>
      </c>
    </row>
    <row r="1716" spans="1:22" x14ac:dyDescent="0.2">
      <c r="A1716" t="s">
        <v>2338</v>
      </c>
      <c r="B1716" t="s">
        <v>2339</v>
      </c>
      <c r="C1716" t="s">
        <v>2146</v>
      </c>
      <c r="D1716" t="s">
        <v>228</v>
      </c>
      <c r="E1716">
        <v>349.99</v>
      </c>
      <c r="F1716" t="s">
        <v>8118</v>
      </c>
      <c r="G1716">
        <v>322</v>
      </c>
      <c r="H1716">
        <v>13</v>
      </c>
      <c r="I1716">
        <v>309</v>
      </c>
      <c r="L1716" t="s">
        <v>11</v>
      </c>
      <c r="M1716" t="s">
        <v>5563</v>
      </c>
      <c r="N1716">
        <v>0</v>
      </c>
      <c r="O1716">
        <v>0</v>
      </c>
      <c r="T1716">
        <v>0.44444444444444442</v>
      </c>
      <c r="U1716">
        <v>349.99</v>
      </c>
      <c r="V1716">
        <v>0</v>
      </c>
    </row>
    <row r="1717" spans="1:22" x14ac:dyDescent="0.2">
      <c r="A1717" t="s">
        <v>2358</v>
      </c>
      <c r="B1717" t="s">
        <v>2359</v>
      </c>
      <c r="C1717" t="s">
        <v>2146</v>
      </c>
      <c r="D1717" t="s">
        <v>228</v>
      </c>
      <c r="E1717">
        <v>199.99</v>
      </c>
      <c r="F1717" t="s">
        <v>8118</v>
      </c>
      <c r="G1717">
        <v>118</v>
      </c>
      <c r="I1717">
        <v>118</v>
      </c>
      <c r="L1717" t="s">
        <v>11</v>
      </c>
      <c r="M1717" t="s">
        <v>5607</v>
      </c>
      <c r="N1717">
        <v>35</v>
      </c>
      <c r="O1717">
        <v>2.8571428571428571E-2</v>
      </c>
      <c r="T1717">
        <v>0.2857142857142857</v>
      </c>
      <c r="U1717">
        <v>199.99</v>
      </c>
      <c r="V1717">
        <v>10</v>
      </c>
    </row>
    <row r="1718" spans="1:22" x14ac:dyDescent="0.2">
      <c r="A1718" t="s">
        <v>2340</v>
      </c>
      <c r="B1718" t="s">
        <v>2341</v>
      </c>
      <c r="C1718" t="s">
        <v>2146</v>
      </c>
      <c r="D1718" t="s">
        <v>228</v>
      </c>
      <c r="E1718">
        <v>549.99</v>
      </c>
      <c r="F1718" t="s">
        <v>8118</v>
      </c>
      <c r="G1718">
        <v>41</v>
      </c>
      <c r="I1718">
        <v>41</v>
      </c>
      <c r="L1718" t="s">
        <v>11</v>
      </c>
      <c r="M1718" t="s">
        <v>5572</v>
      </c>
      <c r="N1718">
        <v>8</v>
      </c>
      <c r="O1718">
        <v>0.125</v>
      </c>
      <c r="T1718">
        <v>0.5</v>
      </c>
      <c r="U1718">
        <v>1099.98</v>
      </c>
      <c r="V1718">
        <v>4</v>
      </c>
    </row>
    <row r="1719" spans="1:22" x14ac:dyDescent="0.2">
      <c r="A1719" t="s">
        <v>2332</v>
      </c>
      <c r="B1719" t="s">
        <v>2333</v>
      </c>
      <c r="C1719" t="s">
        <v>2146</v>
      </c>
      <c r="D1719" t="s">
        <v>228</v>
      </c>
      <c r="E1719">
        <v>17.989999999999998</v>
      </c>
      <c r="F1719" t="s">
        <v>8118</v>
      </c>
      <c r="K1719">
        <v>100</v>
      </c>
      <c r="L1719" t="s">
        <v>11</v>
      </c>
      <c r="M1719" t="s">
        <v>5385</v>
      </c>
      <c r="N1719">
        <v>0</v>
      </c>
      <c r="O1719">
        <v>0</v>
      </c>
      <c r="T1719">
        <v>2</v>
      </c>
      <c r="U1719">
        <v>107.94</v>
      </c>
      <c r="V1719">
        <v>0</v>
      </c>
    </row>
    <row r="1720" spans="1:22" x14ac:dyDescent="0.2">
      <c r="A1720" t="s">
        <v>2344</v>
      </c>
      <c r="B1720" t="s">
        <v>2345</v>
      </c>
      <c r="C1720" t="s">
        <v>2146</v>
      </c>
      <c r="D1720" t="s">
        <v>228</v>
      </c>
      <c r="E1720">
        <v>16.989999999999998</v>
      </c>
      <c r="F1720" t="s">
        <v>8118</v>
      </c>
      <c r="G1720">
        <v>58</v>
      </c>
      <c r="I1720">
        <v>58</v>
      </c>
      <c r="L1720" t="s">
        <v>11</v>
      </c>
      <c r="M1720" t="s">
        <v>5376</v>
      </c>
      <c r="N1720">
        <v>16.923076923076923</v>
      </c>
      <c r="O1720">
        <v>5.9090909090909097E-2</v>
      </c>
      <c r="T1720">
        <v>1.1818181818181821</v>
      </c>
      <c r="U1720">
        <v>16.989999999999998</v>
      </c>
      <c r="V1720">
        <v>20</v>
      </c>
    </row>
    <row r="1721" spans="1:22" x14ac:dyDescent="0.2">
      <c r="A1721" t="s">
        <v>2342</v>
      </c>
      <c r="B1721" t="s">
        <v>2343</v>
      </c>
      <c r="C1721" t="s">
        <v>2146</v>
      </c>
      <c r="D1721" t="s">
        <v>228</v>
      </c>
      <c r="E1721">
        <v>16.989999999999998</v>
      </c>
      <c r="F1721" t="s">
        <v>8118</v>
      </c>
      <c r="G1721">
        <v>43</v>
      </c>
      <c r="I1721">
        <v>43</v>
      </c>
      <c r="L1721" t="s">
        <v>11</v>
      </c>
      <c r="M1721" t="s">
        <v>5382</v>
      </c>
      <c r="N1721">
        <v>0</v>
      </c>
      <c r="O1721">
        <v>0</v>
      </c>
      <c r="T1721">
        <v>0.44444444444444442</v>
      </c>
      <c r="U1721">
        <v>0</v>
      </c>
      <c r="V1721">
        <v>0</v>
      </c>
    </row>
    <row r="1722" spans="1:22" x14ac:dyDescent="0.2">
      <c r="A1722" t="s">
        <v>2348</v>
      </c>
      <c r="B1722" t="s">
        <v>2349</v>
      </c>
      <c r="C1722" t="s">
        <v>2146</v>
      </c>
      <c r="D1722" t="s">
        <v>228</v>
      </c>
      <c r="E1722">
        <v>119.99</v>
      </c>
      <c r="F1722" t="s">
        <v>8118</v>
      </c>
      <c r="G1722">
        <v>20</v>
      </c>
      <c r="H1722">
        <v>17</v>
      </c>
      <c r="I1722">
        <v>3</v>
      </c>
      <c r="L1722" t="s">
        <v>11</v>
      </c>
      <c r="M1722" t="s">
        <v>5600</v>
      </c>
      <c r="N1722">
        <v>13.2</v>
      </c>
      <c r="O1722">
        <v>7.575757575757576E-2</v>
      </c>
      <c r="T1722">
        <v>0.45454545454545459</v>
      </c>
      <c r="U1722">
        <v>119.99</v>
      </c>
      <c r="V1722">
        <v>6</v>
      </c>
    </row>
    <row r="1723" spans="1:22" x14ac:dyDescent="0.2">
      <c r="A1723" t="s">
        <v>2346</v>
      </c>
      <c r="B1723" t="s">
        <v>2347</v>
      </c>
      <c r="C1723" t="s">
        <v>2146</v>
      </c>
      <c r="D1723" t="s">
        <v>228</v>
      </c>
      <c r="E1723">
        <v>99.99</v>
      </c>
      <c r="F1723" t="s">
        <v>8118</v>
      </c>
      <c r="K1723">
        <v>30</v>
      </c>
      <c r="L1723" t="s">
        <v>11</v>
      </c>
      <c r="M1723" t="s">
        <v>5591</v>
      </c>
      <c r="N1723">
        <v>10.666666666666666</v>
      </c>
      <c r="O1723">
        <v>9.375E-2</v>
      </c>
      <c r="T1723">
        <v>0.375</v>
      </c>
      <c r="U1723">
        <v>0</v>
      </c>
      <c r="V1723">
        <v>4</v>
      </c>
    </row>
    <row r="1724" spans="1:22" x14ac:dyDescent="0.2">
      <c r="A1724" t="s">
        <v>2350</v>
      </c>
      <c r="B1724" t="s">
        <v>2351</v>
      </c>
      <c r="C1724" t="s">
        <v>2146</v>
      </c>
      <c r="D1724" t="s">
        <v>228</v>
      </c>
      <c r="E1724">
        <v>189.99</v>
      </c>
      <c r="F1724" t="s">
        <v>8118</v>
      </c>
      <c r="G1724">
        <v>20</v>
      </c>
      <c r="H1724">
        <v>2</v>
      </c>
      <c r="I1724">
        <v>18</v>
      </c>
      <c r="L1724" t="s">
        <v>11</v>
      </c>
      <c r="M1724" t="s">
        <v>5617</v>
      </c>
      <c r="N1724">
        <v>0</v>
      </c>
      <c r="O1724">
        <v>0</v>
      </c>
      <c r="T1724">
        <v>0.77777777777777779</v>
      </c>
      <c r="U1724">
        <v>379.98</v>
      </c>
      <c r="V1724">
        <v>0</v>
      </c>
    </row>
    <row r="1725" spans="1:22" x14ac:dyDescent="0.2">
      <c r="A1725" t="s">
        <v>2352</v>
      </c>
      <c r="B1725" t="s">
        <v>2353</v>
      </c>
      <c r="C1725" t="s">
        <v>2146</v>
      </c>
      <c r="D1725" t="s">
        <v>290</v>
      </c>
      <c r="E1725">
        <v>189.99</v>
      </c>
      <c r="F1725" t="s">
        <v>8118</v>
      </c>
      <c r="L1725" t="s">
        <v>11</v>
      </c>
      <c r="M1725" t="s">
        <v>5621</v>
      </c>
      <c r="N1725">
        <v>0</v>
      </c>
      <c r="O1725">
        <v>0</v>
      </c>
      <c r="T1725">
        <v>0</v>
      </c>
      <c r="U1725">
        <v>0</v>
      </c>
      <c r="V1725">
        <v>0</v>
      </c>
    </row>
    <row r="1726" spans="1:22" x14ac:dyDescent="0.2">
      <c r="A1726" t="s">
        <v>2354</v>
      </c>
      <c r="B1726" t="s">
        <v>2355</v>
      </c>
      <c r="C1726" t="s">
        <v>2146</v>
      </c>
      <c r="D1726" t="s">
        <v>228</v>
      </c>
      <c r="E1726">
        <v>249.99</v>
      </c>
      <c r="F1726" t="s">
        <v>8118</v>
      </c>
      <c r="G1726">
        <v>87</v>
      </c>
      <c r="H1726">
        <v>1</v>
      </c>
      <c r="I1726">
        <v>86</v>
      </c>
      <c r="L1726" t="s">
        <v>11</v>
      </c>
      <c r="N1726">
        <v>0</v>
      </c>
      <c r="O1726">
        <v>0</v>
      </c>
      <c r="T1726">
        <v>0</v>
      </c>
      <c r="U1726">
        <v>0</v>
      </c>
      <c r="V1726">
        <v>0</v>
      </c>
    </row>
    <row r="1727" spans="1:22" x14ac:dyDescent="0.2">
      <c r="A1727" t="s">
        <v>2356</v>
      </c>
      <c r="B1727" t="s">
        <v>2357</v>
      </c>
      <c r="C1727" t="s">
        <v>2146</v>
      </c>
      <c r="D1727" t="s">
        <v>228</v>
      </c>
      <c r="E1727">
        <v>549.99</v>
      </c>
      <c r="F1727" t="s">
        <v>8118</v>
      </c>
      <c r="G1727">
        <v>40</v>
      </c>
      <c r="I1727">
        <v>40</v>
      </c>
      <c r="L1727" t="s">
        <v>11</v>
      </c>
      <c r="M1727" t="s">
        <v>5610</v>
      </c>
      <c r="N1727">
        <v>2.3333333333333335</v>
      </c>
      <c r="O1727">
        <v>0.42857142857142855</v>
      </c>
      <c r="T1727">
        <v>0.42857142857142855</v>
      </c>
      <c r="U1727">
        <v>1649.97</v>
      </c>
      <c r="V1727">
        <v>1</v>
      </c>
    </row>
    <row r="1728" spans="1:22" x14ac:dyDescent="0.2">
      <c r="A1728" t="s">
        <v>2362</v>
      </c>
      <c r="B1728" t="s">
        <v>2363</v>
      </c>
      <c r="C1728" t="s">
        <v>2146</v>
      </c>
      <c r="D1728" t="s">
        <v>228</v>
      </c>
      <c r="E1728">
        <v>369.99</v>
      </c>
      <c r="F1728" t="s">
        <v>8118</v>
      </c>
      <c r="G1728">
        <v>40</v>
      </c>
      <c r="I1728">
        <v>40</v>
      </c>
      <c r="L1728" t="s">
        <v>11</v>
      </c>
      <c r="M1728" t="s">
        <v>5603</v>
      </c>
      <c r="N1728">
        <v>9.7777777777777768</v>
      </c>
      <c r="O1728">
        <v>0.10227272727272728</v>
      </c>
      <c r="T1728">
        <v>0.81818181818181823</v>
      </c>
      <c r="U1728">
        <v>2219.94</v>
      </c>
      <c r="V1728">
        <v>8</v>
      </c>
    </row>
    <row r="1729" spans="1:22" x14ac:dyDescent="0.2">
      <c r="A1729" t="s">
        <v>2178</v>
      </c>
      <c r="B1729" t="s">
        <v>2179</v>
      </c>
      <c r="C1729" t="s">
        <v>2146</v>
      </c>
      <c r="D1729" t="s">
        <v>290</v>
      </c>
      <c r="E1729">
        <v>99.99</v>
      </c>
      <c r="F1729" t="s">
        <v>8118</v>
      </c>
      <c r="G1729">
        <v>7</v>
      </c>
      <c r="H1729">
        <v>1</v>
      </c>
      <c r="I1729">
        <v>6</v>
      </c>
      <c r="L1729" t="s">
        <v>11</v>
      </c>
      <c r="M1729" t="s">
        <v>5552</v>
      </c>
      <c r="N1729">
        <v>4.8461538461538458</v>
      </c>
      <c r="O1729">
        <v>0.20634920634920631</v>
      </c>
      <c r="T1729">
        <v>1.4444444444444444</v>
      </c>
      <c r="U1729">
        <v>99.99</v>
      </c>
      <c r="V1729">
        <v>7</v>
      </c>
    </row>
    <row r="1730" spans="1:22" x14ac:dyDescent="0.2">
      <c r="A1730" t="s">
        <v>2190</v>
      </c>
      <c r="B1730" t="s">
        <v>2191</v>
      </c>
      <c r="C1730" t="s">
        <v>2146</v>
      </c>
      <c r="D1730" t="s">
        <v>290</v>
      </c>
      <c r="E1730">
        <v>349.99</v>
      </c>
      <c r="F1730" t="s">
        <v>8118</v>
      </c>
      <c r="G1730">
        <v>46</v>
      </c>
      <c r="H1730">
        <v>4</v>
      </c>
      <c r="I1730">
        <v>42</v>
      </c>
      <c r="L1730" t="s">
        <v>11</v>
      </c>
      <c r="M1730" t="s">
        <v>5554</v>
      </c>
      <c r="N1730">
        <v>9.6</v>
      </c>
      <c r="O1730">
        <v>0.10416666666666669</v>
      </c>
      <c r="T1730">
        <v>0.625</v>
      </c>
      <c r="U1730">
        <v>349.99</v>
      </c>
      <c r="V1730">
        <v>6</v>
      </c>
    </row>
    <row r="1731" spans="1:22" x14ac:dyDescent="0.2">
      <c r="A1731" t="s">
        <v>2256</v>
      </c>
      <c r="B1731" t="s">
        <v>2257</v>
      </c>
      <c r="C1731" t="s">
        <v>2146</v>
      </c>
      <c r="D1731" t="s">
        <v>228</v>
      </c>
      <c r="E1731">
        <v>39.99</v>
      </c>
      <c r="F1731" t="s">
        <v>8118</v>
      </c>
      <c r="G1731">
        <v>15</v>
      </c>
      <c r="H1731">
        <v>15</v>
      </c>
      <c r="K1731">
        <v>680</v>
      </c>
      <c r="L1731" t="s">
        <v>8119</v>
      </c>
      <c r="U1731">
        <v>79.98</v>
      </c>
      <c r="V1731">
        <v>23</v>
      </c>
    </row>
    <row r="1732" spans="1:22" x14ac:dyDescent="0.2">
      <c r="A1732" t="s">
        <v>2290</v>
      </c>
      <c r="B1732" t="s">
        <v>2291</v>
      </c>
      <c r="C1732" t="s">
        <v>2146</v>
      </c>
      <c r="D1732" t="s">
        <v>228</v>
      </c>
      <c r="E1732">
        <v>539.99</v>
      </c>
      <c r="F1732" t="s">
        <v>8118</v>
      </c>
      <c r="L1732" t="s">
        <v>8119</v>
      </c>
      <c r="U1732">
        <v>0</v>
      </c>
      <c r="V1732">
        <v>2</v>
      </c>
    </row>
    <row r="1733" spans="1:22" x14ac:dyDescent="0.2">
      <c r="A1733" t="s">
        <v>2350</v>
      </c>
      <c r="B1733" t="s">
        <v>2351</v>
      </c>
      <c r="C1733" t="s">
        <v>2146</v>
      </c>
      <c r="D1733" t="s">
        <v>228</v>
      </c>
      <c r="E1733">
        <v>189.99</v>
      </c>
      <c r="F1733" t="s">
        <v>8118</v>
      </c>
      <c r="G1733">
        <v>20</v>
      </c>
      <c r="H1733">
        <v>2</v>
      </c>
      <c r="I1733">
        <v>18</v>
      </c>
      <c r="L1733" t="s">
        <v>8119</v>
      </c>
      <c r="U1733">
        <v>0</v>
      </c>
      <c r="V1733">
        <v>8</v>
      </c>
    </row>
    <row r="1734" spans="1:22" x14ac:dyDescent="0.2">
      <c r="A1734" t="s">
        <v>2234</v>
      </c>
      <c r="B1734" t="s">
        <v>2235</v>
      </c>
      <c r="C1734" t="s">
        <v>2146</v>
      </c>
      <c r="D1734" t="s">
        <v>290</v>
      </c>
      <c r="E1734">
        <v>49.99</v>
      </c>
      <c r="F1734" t="s">
        <v>8118</v>
      </c>
      <c r="L1734" t="s">
        <v>8119</v>
      </c>
      <c r="U1734">
        <v>0</v>
      </c>
      <c r="V1734">
        <v>14</v>
      </c>
    </row>
    <row r="1735" spans="1:22" x14ac:dyDescent="0.2">
      <c r="A1735" t="s">
        <v>2358</v>
      </c>
      <c r="B1735" t="s">
        <v>2359</v>
      </c>
      <c r="C1735" t="s">
        <v>2146</v>
      </c>
      <c r="D1735" t="s">
        <v>228</v>
      </c>
      <c r="E1735">
        <v>199.99</v>
      </c>
      <c r="F1735" t="s">
        <v>8118</v>
      </c>
      <c r="G1735">
        <v>118</v>
      </c>
      <c r="I1735">
        <v>118</v>
      </c>
      <c r="L1735" t="s">
        <v>8119</v>
      </c>
      <c r="U1735">
        <v>0</v>
      </c>
      <c r="V1735">
        <v>6</v>
      </c>
    </row>
    <row r="1736" spans="1:22" x14ac:dyDescent="0.2">
      <c r="A1736" t="s">
        <v>2246</v>
      </c>
      <c r="B1736" t="s">
        <v>2247</v>
      </c>
      <c r="C1736" t="s">
        <v>2146</v>
      </c>
      <c r="D1736" t="s">
        <v>228</v>
      </c>
      <c r="E1736">
        <v>99.99</v>
      </c>
      <c r="F1736" t="s">
        <v>8118</v>
      </c>
      <c r="G1736">
        <v>310</v>
      </c>
      <c r="H1736">
        <v>4</v>
      </c>
      <c r="I1736">
        <v>306</v>
      </c>
      <c r="L1736" t="s">
        <v>8119</v>
      </c>
      <c r="U1736">
        <v>99.99</v>
      </c>
      <c r="V1736">
        <v>17</v>
      </c>
    </row>
    <row r="1737" spans="1:22" x14ac:dyDescent="0.2">
      <c r="A1737" t="s">
        <v>2244</v>
      </c>
      <c r="B1737" t="s">
        <v>2245</v>
      </c>
      <c r="C1737" t="s">
        <v>2146</v>
      </c>
      <c r="D1737" t="s">
        <v>228</v>
      </c>
      <c r="E1737">
        <v>39.99</v>
      </c>
      <c r="F1737" t="s">
        <v>8118</v>
      </c>
      <c r="G1737">
        <v>231</v>
      </c>
      <c r="H1737">
        <v>38</v>
      </c>
      <c r="I1737">
        <v>193</v>
      </c>
      <c r="K1737">
        <v>80</v>
      </c>
      <c r="L1737" t="s">
        <v>8119</v>
      </c>
      <c r="U1737">
        <v>79.98</v>
      </c>
      <c r="V1737">
        <v>9</v>
      </c>
    </row>
    <row r="1738" spans="1:22" x14ac:dyDescent="0.2">
      <c r="A1738" t="s">
        <v>2212</v>
      </c>
      <c r="B1738" t="s">
        <v>2213</v>
      </c>
      <c r="C1738" t="s">
        <v>2146</v>
      </c>
      <c r="D1738" t="s">
        <v>228</v>
      </c>
      <c r="E1738">
        <v>39.99</v>
      </c>
      <c r="F1738" t="s">
        <v>8118</v>
      </c>
      <c r="G1738">
        <v>98</v>
      </c>
      <c r="H1738">
        <v>2</v>
      </c>
      <c r="I1738">
        <v>96</v>
      </c>
      <c r="L1738" t="s">
        <v>8119</v>
      </c>
      <c r="U1738">
        <v>199.95000000000002</v>
      </c>
      <c r="V1738">
        <v>10</v>
      </c>
    </row>
    <row r="1739" spans="1:22" x14ac:dyDescent="0.2">
      <c r="A1739" t="s">
        <v>2360</v>
      </c>
      <c r="B1739" t="s">
        <v>2361</v>
      </c>
      <c r="C1739" t="s">
        <v>2146</v>
      </c>
      <c r="D1739" t="s">
        <v>228</v>
      </c>
      <c r="E1739">
        <v>349.99</v>
      </c>
      <c r="F1739" t="s">
        <v>8118</v>
      </c>
      <c r="G1739">
        <v>278</v>
      </c>
      <c r="H1739">
        <v>1</v>
      </c>
      <c r="I1739">
        <v>277</v>
      </c>
      <c r="L1739" t="s">
        <v>8119</v>
      </c>
      <c r="U1739">
        <v>0</v>
      </c>
      <c r="V1739">
        <v>18</v>
      </c>
    </row>
    <row r="1740" spans="1:22" x14ac:dyDescent="0.2">
      <c r="A1740" t="s">
        <v>2334</v>
      </c>
      <c r="B1740" t="s">
        <v>2335</v>
      </c>
      <c r="C1740" t="s">
        <v>2146</v>
      </c>
      <c r="D1740" t="s">
        <v>228</v>
      </c>
      <c r="E1740">
        <v>99.99</v>
      </c>
      <c r="F1740" t="s">
        <v>8118</v>
      </c>
      <c r="G1740">
        <v>34</v>
      </c>
      <c r="H1740">
        <v>34</v>
      </c>
      <c r="L1740" t="s">
        <v>8119</v>
      </c>
      <c r="U1740">
        <v>0</v>
      </c>
      <c r="V1740">
        <v>13</v>
      </c>
    </row>
    <row r="1741" spans="1:22" x14ac:dyDescent="0.2">
      <c r="A1741" t="s">
        <v>2210</v>
      </c>
      <c r="B1741" t="s">
        <v>2211</v>
      </c>
      <c r="C1741" t="s">
        <v>2146</v>
      </c>
      <c r="D1741" t="s">
        <v>228</v>
      </c>
      <c r="E1741">
        <v>429.99</v>
      </c>
      <c r="F1741" t="s">
        <v>8118</v>
      </c>
      <c r="G1741">
        <v>30</v>
      </c>
      <c r="I1741">
        <v>30</v>
      </c>
      <c r="L1741" t="s">
        <v>8119</v>
      </c>
      <c r="U1741">
        <v>0</v>
      </c>
      <c r="V1741">
        <v>0</v>
      </c>
    </row>
    <row r="1742" spans="1:22" x14ac:dyDescent="0.2">
      <c r="A1742" t="s">
        <v>2240</v>
      </c>
      <c r="B1742" t="s">
        <v>2241</v>
      </c>
      <c r="C1742" t="s">
        <v>2146</v>
      </c>
      <c r="D1742" t="s">
        <v>290</v>
      </c>
      <c r="E1742">
        <v>99.99</v>
      </c>
      <c r="F1742" t="s">
        <v>8118</v>
      </c>
      <c r="L1742" t="s">
        <v>8119</v>
      </c>
      <c r="U1742">
        <v>0</v>
      </c>
      <c r="V1742">
        <v>0</v>
      </c>
    </row>
    <row r="1743" spans="1:22" x14ac:dyDescent="0.2">
      <c r="A1743" t="s">
        <v>2286</v>
      </c>
      <c r="B1743" t="s">
        <v>2287</v>
      </c>
      <c r="C1743" t="s">
        <v>2146</v>
      </c>
      <c r="D1743" t="s">
        <v>228</v>
      </c>
      <c r="E1743">
        <v>99.99</v>
      </c>
      <c r="F1743" t="s">
        <v>8118</v>
      </c>
      <c r="G1743">
        <v>159</v>
      </c>
      <c r="H1743">
        <v>1</v>
      </c>
      <c r="I1743">
        <v>158</v>
      </c>
      <c r="L1743" t="s">
        <v>8119</v>
      </c>
      <c r="U1743">
        <v>0</v>
      </c>
      <c r="V1743">
        <v>6</v>
      </c>
    </row>
    <row r="1744" spans="1:22" x14ac:dyDescent="0.2">
      <c r="A1744" t="s">
        <v>2292</v>
      </c>
      <c r="B1744" t="s">
        <v>2293</v>
      </c>
      <c r="C1744" t="s">
        <v>2146</v>
      </c>
      <c r="D1744" t="s">
        <v>228</v>
      </c>
      <c r="E1744">
        <v>349.99</v>
      </c>
      <c r="F1744" t="s">
        <v>8118</v>
      </c>
      <c r="G1744">
        <v>398</v>
      </c>
      <c r="I1744">
        <v>398</v>
      </c>
      <c r="L1744" t="s">
        <v>8119</v>
      </c>
      <c r="U1744">
        <v>0</v>
      </c>
      <c r="V1744">
        <v>15</v>
      </c>
    </row>
    <row r="1745" spans="1:22" x14ac:dyDescent="0.2">
      <c r="A1745" t="s">
        <v>2294</v>
      </c>
      <c r="B1745" t="s">
        <v>2295</v>
      </c>
      <c r="C1745" t="s">
        <v>2146</v>
      </c>
      <c r="D1745" t="s">
        <v>290</v>
      </c>
      <c r="E1745">
        <v>99.99</v>
      </c>
      <c r="F1745" t="s">
        <v>8118</v>
      </c>
      <c r="L1745" t="s">
        <v>8119</v>
      </c>
      <c r="U1745">
        <v>0</v>
      </c>
      <c r="V1745">
        <v>3</v>
      </c>
    </row>
    <row r="1746" spans="1:22" x14ac:dyDescent="0.2">
      <c r="A1746" t="s">
        <v>2296</v>
      </c>
      <c r="B1746" t="s">
        <v>2297</v>
      </c>
      <c r="C1746" t="s">
        <v>2146</v>
      </c>
      <c r="D1746" t="s">
        <v>290</v>
      </c>
      <c r="E1746">
        <v>229.99</v>
      </c>
      <c r="F1746" t="s">
        <v>8118</v>
      </c>
      <c r="G1746">
        <v>20</v>
      </c>
      <c r="I1746">
        <v>20</v>
      </c>
      <c r="L1746" t="s">
        <v>8119</v>
      </c>
      <c r="U1746">
        <v>0</v>
      </c>
      <c r="V1746">
        <v>4</v>
      </c>
    </row>
    <row r="1747" spans="1:22" x14ac:dyDescent="0.2">
      <c r="A1747" t="s">
        <v>2232</v>
      </c>
      <c r="B1747" t="s">
        <v>2233</v>
      </c>
      <c r="C1747" t="s">
        <v>2146</v>
      </c>
      <c r="D1747" t="s">
        <v>228</v>
      </c>
      <c r="E1747">
        <v>39.99</v>
      </c>
      <c r="F1747" t="s">
        <v>8118</v>
      </c>
      <c r="K1747">
        <v>48</v>
      </c>
      <c r="L1747" t="s">
        <v>8119</v>
      </c>
      <c r="U1747">
        <v>0</v>
      </c>
      <c r="V1747">
        <v>6</v>
      </c>
    </row>
    <row r="1748" spans="1:22" x14ac:dyDescent="0.2">
      <c r="A1748" t="s">
        <v>2238</v>
      </c>
      <c r="B1748" t="s">
        <v>2239</v>
      </c>
      <c r="C1748" t="s">
        <v>2146</v>
      </c>
      <c r="D1748" t="s">
        <v>228</v>
      </c>
      <c r="E1748">
        <v>129.99</v>
      </c>
      <c r="F1748" t="s">
        <v>8118</v>
      </c>
      <c r="G1748">
        <v>102</v>
      </c>
      <c r="H1748">
        <v>6</v>
      </c>
      <c r="I1748">
        <v>96</v>
      </c>
      <c r="L1748" t="s">
        <v>8119</v>
      </c>
      <c r="U1748">
        <v>129.99</v>
      </c>
      <c r="V1748">
        <v>10</v>
      </c>
    </row>
    <row r="1749" spans="1:22" x14ac:dyDescent="0.2">
      <c r="A1749" t="s">
        <v>2354</v>
      </c>
      <c r="B1749" t="s">
        <v>2355</v>
      </c>
      <c r="C1749" t="s">
        <v>2146</v>
      </c>
      <c r="D1749" t="s">
        <v>228</v>
      </c>
      <c r="E1749">
        <v>249.99</v>
      </c>
      <c r="F1749" t="s">
        <v>8118</v>
      </c>
      <c r="G1749">
        <v>87</v>
      </c>
      <c r="H1749">
        <v>1</v>
      </c>
      <c r="I1749">
        <v>86</v>
      </c>
      <c r="L1749" t="s">
        <v>8119</v>
      </c>
      <c r="U1749">
        <v>0</v>
      </c>
      <c r="V1749">
        <v>2</v>
      </c>
    </row>
    <row r="1750" spans="1:22" x14ac:dyDescent="0.2">
      <c r="A1750" t="s">
        <v>2346</v>
      </c>
      <c r="B1750" t="s">
        <v>2347</v>
      </c>
      <c r="C1750" t="s">
        <v>2146</v>
      </c>
      <c r="D1750" t="s">
        <v>228</v>
      </c>
      <c r="E1750">
        <v>99.99</v>
      </c>
      <c r="F1750" t="s">
        <v>8118</v>
      </c>
      <c r="K1750">
        <v>30</v>
      </c>
      <c r="L1750" t="s">
        <v>8119</v>
      </c>
      <c r="U1750">
        <v>0</v>
      </c>
      <c r="V1750">
        <v>17</v>
      </c>
    </row>
    <row r="1751" spans="1:22" x14ac:dyDescent="0.2">
      <c r="A1751" t="s">
        <v>2264</v>
      </c>
      <c r="B1751" t="s">
        <v>2265</v>
      </c>
      <c r="C1751" t="s">
        <v>2146</v>
      </c>
      <c r="D1751" t="s">
        <v>290</v>
      </c>
      <c r="E1751">
        <v>99.99</v>
      </c>
      <c r="F1751" t="s">
        <v>8118</v>
      </c>
      <c r="L1751" t="s">
        <v>8119</v>
      </c>
      <c r="U1751">
        <v>0</v>
      </c>
      <c r="V1751">
        <v>1</v>
      </c>
    </row>
    <row r="1752" spans="1:22" x14ac:dyDescent="0.2">
      <c r="A1752" t="s">
        <v>2236</v>
      </c>
      <c r="B1752" t="s">
        <v>2237</v>
      </c>
      <c r="C1752" t="s">
        <v>2146</v>
      </c>
      <c r="D1752" t="s">
        <v>290</v>
      </c>
      <c r="E1752">
        <v>89.99</v>
      </c>
      <c r="F1752" t="s">
        <v>8118</v>
      </c>
      <c r="G1752">
        <v>109</v>
      </c>
      <c r="H1752">
        <v>23</v>
      </c>
      <c r="I1752">
        <v>86</v>
      </c>
      <c r="L1752" t="s">
        <v>8119</v>
      </c>
      <c r="U1752">
        <v>449.95</v>
      </c>
      <c r="V1752">
        <v>20</v>
      </c>
    </row>
    <row r="1753" spans="1:22" x14ac:dyDescent="0.2">
      <c r="A1753" t="s">
        <v>2252</v>
      </c>
      <c r="B1753" t="s">
        <v>2253</v>
      </c>
      <c r="C1753" t="s">
        <v>2146</v>
      </c>
      <c r="D1753" t="s">
        <v>290</v>
      </c>
      <c r="E1753">
        <v>99.99</v>
      </c>
      <c r="F1753" t="s">
        <v>8118</v>
      </c>
      <c r="L1753" t="s">
        <v>8119</v>
      </c>
      <c r="U1753">
        <v>0</v>
      </c>
      <c r="V1753">
        <v>0</v>
      </c>
    </row>
    <row r="1754" spans="1:22" x14ac:dyDescent="0.2">
      <c r="A1754" t="s">
        <v>2254</v>
      </c>
      <c r="B1754" t="s">
        <v>2255</v>
      </c>
      <c r="C1754" t="s">
        <v>2146</v>
      </c>
      <c r="D1754" t="s">
        <v>290</v>
      </c>
      <c r="E1754">
        <v>39.99</v>
      </c>
      <c r="F1754" t="s">
        <v>8118</v>
      </c>
      <c r="L1754" t="s">
        <v>8119</v>
      </c>
      <c r="U1754">
        <v>0</v>
      </c>
      <c r="V1754">
        <v>3</v>
      </c>
    </row>
    <row r="1755" spans="1:22" x14ac:dyDescent="0.2">
      <c r="A1755" t="s">
        <v>2214</v>
      </c>
      <c r="B1755" t="s">
        <v>2215</v>
      </c>
      <c r="C1755" t="s">
        <v>2146</v>
      </c>
      <c r="D1755" t="s">
        <v>228</v>
      </c>
      <c r="E1755">
        <v>99.99</v>
      </c>
      <c r="F1755" t="s">
        <v>8118</v>
      </c>
      <c r="G1755">
        <v>8</v>
      </c>
      <c r="I1755">
        <v>8</v>
      </c>
      <c r="L1755" t="s">
        <v>8119</v>
      </c>
      <c r="U1755">
        <v>0</v>
      </c>
      <c r="V1755">
        <v>1</v>
      </c>
    </row>
    <row r="1756" spans="1:22" x14ac:dyDescent="0.2">
      <c r="A1756" t="s">
        <v>2152</v>
      </c>
      <c r="B1756" t="s">
        <v>2153</v>
      </c>
      <c r="C1756" t="s">
        <v>2146</v>
      </c>
      <c r="D1756" t="s">
        <v>228</v>
      </c>
      <c r="E1756">
        <v>169.99</v>
      </c>
      <c r="F1756" t="s">
        <v>8118</v>
      </c>
      <c r="G1756">
        <v>30</v>
      </c>
      <c r="H1756">
        <v>30</v>
      </c>
      <c r="K1756">
        <v>657</v>
      </c>
      <c r="L1756" t="s">
        <v>8119</v>
      </c>
      <c r="U1756">
        <v>0</v>
      </c>
      <c r="V1756">
        <v>1</v>
      </c>
    </row>
    <row r="1757" spans="1:22" x14ac:dyDescent="0.2">
      <c r="A1757" t="s">
        <v>2154</v>
      </c>
      <c r="B1757" t="s">
        <v>2155</v>
      </c>
      <c r="C1757" t="s">
        <v>2146</v>
      </c>
      <c r="D1757" t="s">
        <v>228</v>
      </c>
      <c r="E1757">
        <v>229.99</v>
      </c>
      <c r="F1757" t="s">
        <v>8118</v>
      </c>
      <c r="G1757">
        <v>20</v>
      </c>
      <c r="H1757">
        <v>20</v>
      </c>
      <c r="K1757">
        <v>375</v>
      </c>
      <c r="L1757" t="s">
        <v>8119</v>
      </c>
      <c r="U1757">
        <v>0</v>
      </c>
      <c r="V1757">
        <v>1</v>
      </c>
    </row>
    <row r="1758" spans="1:22" x14ac:dyDescent="0.2">
      <c r="A1758" t="s">
        <v>2258</v>
      </c>
      <c r="B1758" t="s">
        <v>2259</v>
      </c>
      <c r="C1758" t="s">
        <v>2146</v>
      </c>
      <c r="D1758" t="s">
        <v>228</v>
      </c>
      <c r="E1758">
        <v>99.99</v>
      </c>
      <c r="F1758" t="s">
        <v>8118</v>
      </c>
      <c r="G1758">
        <v>202</v>
      </c>
      <c r="H1758">
        <v>15</v>
      </c>
      <c r="I1758">
        <v>187</v>
      </c>
      <c r="K1758">
        <v>60</v>
      </c>
      <c r="L1758" t="s">
        <v>8119</v>
      </c>
      <c r="U1758">
        <v>0</v>
      </c>
      <c r="V1758">
        <v>33</v>
      </c>
    </row>
    <row r="1759" spans="1:22" x14ac:dyDescent="0.2">
      <c r="A1759" t="s">
        <v>2242</v>
      </c>
      <c r="B1759" t="s">
        <v>2243</v>
      </c>
      <c r="C1759" t="s">
        <v>2146</v>
      </c>
      <c r="D1759" t="s">
        <v>290</v>
      </c>
      <c r="E1759">
        <v>39.99</v>
      </c>
      <c r="F1759" t="s">
        <v>8118</v>
      </c>
      <c r="G1759">
        <v>2</v>
      </c>
      <c r="I1759">
        <v>2</v>
      </c>
      <c r="L1759" t="s">
        <v>8119</v>
      </c>
      <c r="U1759">
        <v>0</v>
      </c>
      <c r="V1759">
        <v>0</v>
      </c>
    </row>
    <row r="1760" spans="1:22" x14ac:dyDescent="0.2">
      <c r="A1760" t="s">
        <v>2340</v>
      </c>
      <c r="B1760" t="s">
        <v>2341</v>
      </c>
      <c r="C1760" t="s">
        <v>2146</v>
      </c>
      <c r="D1760" t="s">
        <v>228</v>
      </c>
      <c r="E1760">
        <v>549.99</v>
      </c>
      <c r="F1760" t="s">
        <v>8118</v>
      </c>
      <c r="G1760">
        <v>41</v>
      </c>
      <c r="I1760">
        <v>41</v>
      </c>
      <c r="L1760" t="s">
        <v>8119</v>
      </c>
      <c r="U1760">
        <v>0</v>
      </c>
      <c r="V1760">
        <v>14</v>
      </c>
    </row>
    <row r="1761" spans="1:22" x14ac:dyDescent="0.2">
      <c r="A1761" t="s">
        <v>2338</v>
      </c>
      <c r="B1761" t="s">
        <v>2339</v>
      </c>
      <c r="C1761" t="s">
        <v>2146</v>
      </c>
      <c r="D1761" t="s">
        <v>228</v>
      </c>
      <c r="E1761">
        <v>349.99</v>
      </c>
      <c r="F1761" t="s">
        <v>8118</v>
      </c>
      <c r="G1761">
        <v>322</v>
      </c>
      <c r="H1761">
        <v>13</v>
      </c>
      <c r="I1761">
        <v>309</v>
      </c>
      <c r="L1761" t="s">
        <v>8119</v>
      </c>
      <c r="U1761">
        <v>0</v>
      </c>
      <c r="V1761">
        <v>14</v>
      </c>
    </row>
    <row r="1762" spans="1:22" x14ac:dyDescent="0.2">
      <c r="A1762" t="s">
        <v>2336</v>
      </c>
      <c r="B1762" t="s">
        <v>2337</v>
      </c>
      <c r="C1762" t="s">
        <v>2146</v>
      </c>
      <c r="D1762" t="s">
        <v>228</v>
      </c>
      <c r="E1762">
        <v>229.99</v>
      </c>
      <c r="F1762" t="s">
        <v>8118</v>
      </c>
      <c r="G1762">
        <v>64</v>
      </c>
      <c r="H1762">
        <v>1</v>
      </c>
      <c r="I1762">
        <v>63</v>
      </c>
      <c r="L1762" t="s">
        <v>8119</v>
      </c>
      <c r="U1762">
        <v>0</v>
      </c>
      <c r="V1762">
        <v>4</v>
      </c>
    </row>
    <row r="1763" spans="1:22" x14ac:dyDescent="0.2">
      <c r="A1763" t="s">
        <v>2264</v>
      </c>
      <c r="B1763" t="s">
        <v>2265</v>
      </c>
      <c r="C1763" t="s">
        <v>2146</v>
      </c>
      <c r="D1763" t="s">
        <v>290</v>
      </c>
      <c r="E1763">
        <v>99.99</v>
      </c>
      <c r="F1763" t="s">
        <v>8118</v>
      </c>
      <c r="L1763" t="s">
        <v>5339</v>
      </c>
      <c r="M1763" t="s">
        <v>7036</v>
      </c>
      <c r="N1763">
        <v>60</v>
      </c>
      <c r="O1763">
        <v>1.6666666666666666E-2</v>
      </c>
      <c r="P1763" t="s">
        <v>290</v>
      </c>
      <c r="T1763">
        <v>0.83333333333333348</v>
      </c>
      <c r="V1763">
        <v>50</v>
      </c>
    </row>
    <row r="1764" spans="1:22" x14ac:dyDescent="0.2">
      <c r="A1764" t="s">
        <v>2350</v>
      </c>
      <c r="B1764" t="s">
        <v>2351</v>
      </c>
      <c r="C1764" t="s">
        <v>2146</v>
      </c>
      <c r="D1764" t="s">
        <v>228</v>
      </c>
      <c r="E1764">
        <v>189.99</v>
      </c>
      <c r="F1764" t="s">
        <v>8118</v>
      </c>
      <c r="G1764">
        <v>20</v>
      </c>
      <c r="H1764">
        <v>2</v>
      </c>
      <c r="I1764">
        <v>18</v>
      </c>
      <c r="L1764" t="s">
        <v>5339</v>
      </c>
      <c r="M1764" t="s">
        <v>7059</v>
      </c>
      <c r="N1764">
        <v>0</v>
      </c>
      <c r="O1764">
        <v>0</v>
      </c>
      <c r="T1764">
        <v>0</v>
      </c>
      <c r="V1764">
        <v>0</v>
      </c>
    </row>
    <row r="1765" spans="1:22" x14ac:dyDescent="0.2">
      <c r="A1765" t="s">
        <v>2240</v>
      </c>
      <c r="B1765" t="s">
        <v>2241</v>
      </c>
      <c r="C1765" t="s">
        <v>2146</v>
      </c>
      <c r="D1765" t="s">
        <v>290</v>
      </c>
      <c r="E1765">
        <v>99.99</v>
      </c>
      <c r="F1765" t="s">
        <v>8118</v>
      </c>
      <c r="L1765" t="s">
        <v>5339</v>
      </c>
      <c r="M1765" t="s">
        <v>7067</v>
      </c>
      <c r="N1765">
        <v>114.66666666666669</v>
      </c>
      <c r="O1765">
        <v>8.7209302325581394E-3</v>
      </c>
      <c r="P1765" t="s">
        <v>290</v>
      </c>
      <c r="T1765">
        <v>0.75</v>
      </c>
      <c r="V1765">
        <v>86</v>
      </c>
    </row>
    <row r="1766" spans="1:22" x14ac:dyDescent="0.2">
      <c r="A1766" t="s">
        <v>2220</v>
      </c>
      <c r="B1766" t="s">
        <v>2221</v>
      </c>
      <c r="C1766" t="s">
        <v>2146</v>
      </c>
      <c r="D1766" t="s">
        <v>228</v>
      </c>
      <c r="E1766">
        <v>54.99</v>
      </c>
      <c r="F1766" t="s">
        <v>8118</v>
      </c>
      <c r="G1766">
        <v>478</v>
      </c>
      <c r="H1766">
        <v>19</v>
      </c>
      <c r="I1766">
        <v>459</v>
      </c>
      <c r="L1766" t="s">
        <v>5339</v>
      </c>
      <c r="M1766" t="s">
        <v>7034</v>
      </c>
      <c r="N1766">
        <v>146.58823529411765</v>
      </c>
      <c r="O1766">
        <v>6.8218298555377211E-3</v>
      </c>
      <c r="T1766">
        <v>4.25</v>
      </c>
      <c r="V1766">
        <v>623</v>
      </c>
    </row>
    <row r="1767" spans="1:22" x14ac:dyDescent="0.2">
      <c r="A1767" t="s">
        <v>2246</v>
      </c>
      <c r="B1767" t="s">
        <v>2247</v>
      </c>
      <c r="C1767" t="s">
        <v>2146</v>
      </c>
      <c r="D1767" t="s">
        <v>228</v>
      </c>
      <c r="E1767">
        <v>99.99</v>
      </c>
      <c r="F1767" t="s">
        <v>8118</v>
      </c>
      <c r="G1767">
        <v>310</v>
      </c>
      <c r="H1767">
        <v>4</v>
      </c>
      <c r="I1767">
        <v>306</v>
      </c>
      <c r="L1767" t="s">
        <v>5339</v>
      </c>
      <c r="M1767">
        <v>445480</v>
      </c>
      <c r="N1767">
        <v>0</v>
      </c>
      <c r="O1767">
        <v>0</v>
      </c>
      <c r="T1767">
        <v>0</v>
      </c>
      <c r="V1767">
        <v>0</v>
      </c>
    </row>
    <row r="1768" spans="1:22" x14ac:dyDescent="0.2">
      <c r="A1768" t="s">
        <v>2232</v>
      </c>
      <c r="B1768" t="s">
        <v>2233</v>
      </c>
      <c r="C1768" t="s">
        <v>2146</v>
      </c>
      <c r="D1768" t="s">
        <v>228</v>
      </c>
      <c r="E1768">
        <v>39.99</v>
      </c>
      <c r="F1768" t="s">
        <v>8118</v>
      </c>
      <c r="K1768">
        <v>48</v>
      </c>
      <c r="L1768" t="s">
        <v>5339</v>
      </c>
      <c r="M1768" t="s">
        <v>8105</v>
      </c>
      <c r="N1768">
        <v>373.5</v>
      </c>
      <c r="O1768">
        <v>2.6773761713520749E-3</v>
      </c>
      <c r="T1768">
        <v>2</v>
      </c>
      <c r="V1768">
        <v>747</v>
      </c>
    </row>
    <row r="1769" spans="1:22" x14ac:dyDescent="0.2">
      <c r="A1769" t="s">
        <v>2252</v>
      </c>
      <c r="B1769" t="s">
        <v>2253</v>
      </c>
      <c r="C1769" t="s">
        <v>2146</v>
      </c>
      <c r="D1769" t="s">
        <v>290</v>
      </c>
      <c r="E1769">
        <v>99.99</v>
      </c>
      <c r="F1769" t="s">
        <v>8118</v>
      </c>
      <c r="L1769" t="s">
        <v>5339</v>
      </c>
      <c r="M1769" t="s">
        <v>7037</v>
      </c>
      <c r="N1769">
        <v>60</v>
      </c>
      <c r="O1769">
        <v>1.6666666666666666E-2</v>
      </c>
      <c r="P1769" t="s">
        <v>290</v>
      </c>
      <c r="T1769">
        <v>1.25</v>
      </c>
      <c r="V1769">
        <v>75</v>
      </c>
    </row>
    <row r="1770" spans="1:22" x14ac:dyDescent="0.2">
      <c r="A1770" t="s">
        <v>2238</v>
      </c>
      <c r="B1770" t="s">
        <v>2239</v>
      </c>
      <c r="C1770" t="s">
        <v>2146</v>
      </c>
      <c r="D1770" t="s">
        <v>228</v>
      </c>
      <c r="E1770">
        <v>129.99</v>
      </c>
      <c r="F1770" t="s">
        <v>8118</v>
      </c>
      <c r="G1770">
        <v>102</v>
      </c>
      <c r="H1770">
        <v>6</v>
      </c>
      <c r="I1770">
        <v>96</v>
      </c>
      <c r="L1770" t="s">
        <v>5339</v>
      </c>
      <c r="M1770" t="s">
        <v>7069</v>
      </c>
      <c r="N1770">
        <v>0</v>
      </c>
      <c r="O1770">
        <v>0</v>
      </c>
      <c r="T1770">
        <v>8.3333333333333329E-2</v>
      </c>
      <c r="V1770">
        <v>0</v>
      </c>
    </row>
    <row r="1771" spans="1:22" x14ac:dyDescent="0.2">
      <c r="A1771" t="s">
        <v>2244</v>
      </c>
      <c r="B1771" t="s">
        <v>2245</v>
      </c>
      <c r="C1771" t="s">
        <v>2146</v>
      </c>
      <c r="D1771" t="s">
        <v>228</v>
      </c>
      <c r="E1771">
        <v>39.99</v>
      </c>
      <c r="F1771" t="s">
        <v>8118</v>
      </c>
      <c r="G1771">
        <v>231</v>
      </c>
      <c r="H1771">
        <v>38</v>
      </c>
      <c r="I1771">
        <v>193</v>
      </c>
      <c r="K1771">
        <v>80</v>
      </c>
      <c r="L1771" t="s">
        <v>5339</v>
      </c>
      <c r="M1771" t="s">
        <v>7064</v>
      </c>
      <c r="N1771">
        <v>0</v>
      </c>
      <c r="O1771">
        <v>0</v>
      </c>
      <c r="T1771">
        <v>0</v>
      </c>
      <c r="V1771">
        <v>0</v>
      </c>
    </row>
    <row r="1772" spans="1:22" x14ac:dyDescent="0.2">
      <c r="A1772" t="s">
        <v>2236</v>
      </c>
      <c r="B1772" t="s">
        <v>2237</v>
      </c>
      <c r="C1772" t="s">
        <v>2146</v>
      </c>
      <c r="D1772" t="s">
        <v>290</v>
      </c>
      <c r="E1772">
        <v>89.99</v>
      </c>
      <c r="F1772" t="s">
        <v>8118</v>
      </c>
      <c r="G1772">
        <v>109</v>
      </c>
      <c r="H1772">
        <v>23</v>
      </c>
      <c r="I1772">
        <v>86</v>
      </c>
      <c r="L1772" t="s">
        <v>5339</v>
      </c>
      <c r="M1772">
        <v>445482</v>
      </c>
      <c r="N1772">
        <v>0</v>
      </c>
      <c r="O1772">
        <v>0</v>
      </c>
      <c r="T1772">
        <v>0</v>
      </c>
      <c r="V1772">
        <v>0</v>
      </c>
    </row>
    <row r="1773" spans="1:22" x14ac:dyDescent="0.2">
      <c r="A1773" t="s">
        <v>2336</v>
      </c>
      <c r="B1773" t="s">
        <v>2337</v>
      </c>
      <c r="C1773" t="s">
        <v>2146</v>
      </c>
      <c r="D1773" t="s">
        <v>228</v>
      </c>
      <c r="E1773">
        <v>229.99</v>
      </c>
      <c r="F1773" t="s">
        <v>8118</v>
      </c>
      <c r="G1773">
        <v>64</v>
      </c>
      <c r="H1773">
        <v>1</v>
      </c>
      <c r="I1773">
        <v>63</v>
      </c>
      <c r="L1773" t="s">
        <v>5339</v>
      </c>
      <c r="M1773" t="s">
        <v>7055</v>
      </c>
      <c r="N1773">
        <v>0</v>
      </c>
      <c r="O1773">
        <v>0</v>
      </c>
      <c r="T1773">
        <v>0</v>
      </c>
      <c r="V1773">
        <v>0</v>
      </c>
    </row>
    <row r="1774" spans="1:22" x14ac:dyDescent="0.2">
      <c r="A1774" t="s">
        <v>2242</v>
      </c>
      <c r="B1774" t="s">
        <v>2243</v>
      </c>
      <c r="C1774" t="s">
        <v>2146</v>
      </c>
      <c r="D1774" t="s">
        <v>290</v>
      </c>
      <c r="E1774">
        <v>39.99</v>
      </c>
      <c r="F1774" t="s">
        <v>8118</v>
      </c>
      <c r="G1774">
        <v>2</v>
      </c>
      <c r="I1774">
        <v>2</v>
      </c>
      <c r="L1774" t="s">
        <v>5339</v>
      </c>
      <c r="M1774" t="s">
        <v>7033</v>
      </c>
      <c r="N1774">
        <v>33.272727272727273</v>
      </c>
      <c r="O1774">
        <v>3.0054644808743168E-2</v>
      </c>
      <c r="P1774" t="s">
        <v>290</v>
      </c>
      <c r="T1774">
        <v>3.6666666666666665</v>
      </c>
      <c r="V1774">
        <v>122</v>
      </c>
    </row>
    <row r="1775" spans="1:22" x14ac:dyDescent="0.2">
      <c r="A1775" t="s">
        <v>2334</v>
      </c>
      <c r="B1775" t="s">
        <v>2335</v>
      </c>
      <c r="C1775" t="s">
        <v>2146</v>
      </c>
      <c r="D1775" t="s">
        <v>228</v>
      </c>
      <c r="E1775">
        <v>99.99</v>
      </c>
      <c r="F1775" t="s">
        <v>8118</v>
      </c>
      <c r="G1775">
        <v>34</v>
      </c>
      <c r="H1775">
        <v>34</v>
      </c>
      <c r="L1775" t="s">
        <v>5339</v>
      </c>
      <c r="M1775" t="s">
        <v>7028</v>
      </c>
      <c r="N1775">
        <v>166.93333333333334</v>
      </c>
      <c r="O1775">
        <v>5.9904153354632585E-3</v>
      </c>
      <c r="T1775">
        <v>3.75</v>
      </c>
      <c r="V1775">
        <v>626</v>
      </c>
    </row>
    <row r="1776" spans="1:22" x14ac:dyDescent="0.2">
      <c r="A1776" t="s">
        <v>2292</v>
      </c>
      <c r="B1776" t="s">
        <v>2293</v>
      </c>
      <c r="C1776" t="s">
        <v>2146</v>
      </c>
      <c r="D1776" t="s">
        <v>228</v>
      </c>
      <c r="E1776">
        <v>349.99</v>
      </c>
      <c r="F1776" t="s">
        <v>8118</v>
      </c>
      <c r="G1776">
        <v>398</v>
      </c>
      <c r="I1776">
        <v>398</v>
      </c>
      <c r="L1776" t="s">
        <v>5339</v>
      </c>
      <c r="M1776" t="s">
        <v>7053</v>
      </c>
      <c r="N1776">
        <v>6</v>
      </c>
      <c r="O1776">
        <v>0.16666666666666666</v>
      </c>
      <c r="T1776">
        <v>0.16666666666666666</v>
      </c>
      <c r="V1776">
        <v>1</v>
      </c>
    </row>
    <row r="1777" spans="1:22" x14ac:dyDescent="0.2">
      <c r="A1777" t="s">
        <v>2272</v>
      </c>
      <c r="B1777" t="s">
        <v>2273</v>
      </c>
      <c r="C1777" t="s">
        <v>2146</v>
      </c>
      <c r="D1777" t="s">
        <v>96</v>
      </c>
      <c r="E1777">
        <v>119.99</v>
      </c>
      <c r="F1777" t="s">
        <v>8118</v>
      </c>
      <c r="L1777" t="s">
        <v>5339</v>
      </c>
      <c r="M1777" t="s">
        <v>7062</v>
      </c>
      <c r="N1777">
        <v>0</v>
      </c>
      <c r="O1777">
        <v>0</v>
      </c>
      <c r="P1777" t="s">
        <v>290</v>
      </c>
      <c r="T1777">
        <v>8.3333333333333329E-2</v>
      </c>
      <c r="V1777">
        <v>0</v>
      </c>
    </row>
    <row r="1778" spans="1:22" x14ac:dyDescent="0.2">
      <c r="A1778" t="s">
        <v>2338</v>
      </c>
      <c r="B1778" t="s">
        <v>2339</v>
      </c>
      <c r="C1778" t="s">
        <v>2146</v>
      </c>
      <c r="D1778" t="s">
        <v>228</v>
      </c>
      <c r="E1778">
        <v>349.99</v>
      </c>
      <c r="F1778" t="s">
        <v>8118</v>
      </c>
      <c r="G1778">
        <v>322</v>
      </c>
      <c r="H1778">
        <v>13</v>
      </c>
      <c r="I1778">
        <v>309</v>
      </c>
      <c r="L1778" t="s">
        <v>5339</v>
      </c>
      <c r="M1778" t="s">
        <v>7031</v>
      </c>
      <c r="N1778">
        <v>100.125</v>
      </c>
      <c r="O1778">
        <v>9.9875156054931337E-3</v>
      </c>
      <c r="T1778">
        <v>5.333333333333333</v>
      </c>
      <c r="V1778">
        <v>534</v>
      </c>
    </row>
    <row r="1779" spans="1:22" x14ac:dyDescent="0.2">
      <c r="A1779" t="s">
        <v>2190</v>
      </c>
      <c r="B1779" t="s">
        <v>2191</v>
      </c>
      <c r="C1779" t="s">
        <v>2146</v>
      </c>
      <c r="D1779" t="s">
        <v>290</v>
      </c>
      <c r="E1779">
        <v>349.99</v>
      </c>
      <c r="F1779" t="s">
        <v>8118</v>
      </c>
      <c r="G1779">
        <v>46</v>
      </c>
      <c r="H1779">
        <v>4</v>
      </c>
      <c r="I1779">
        <v>42</v>
      </c>
      <c r="L1779" t="s">
        <v>5339</v>
      </c>
      <c r="M1779" t="s">
        <v>7061</v>
      </c>
      <c r="N1779">
        <v>0</v>
      </c>
      <c r="O1779">
        <v>0</v>
      </c>
      <c r="P1779" t="s">
        <v>290</v>
      </c>
      <c r="T1779">
        <v>0</v>
      </c>
      <c r="V1779">
        <v>0</v>
      </c>
    </row>
    <row r="1780" spans="1:22" x14ac:dyDescent="0.2">
      <c r="A1780" t="s">
        <v>2352</v>
      </c>
      <c r="B1780" t="s">
        <v>2353</v>
      </c>
      <c r="C1780" t="s">
        <v>2146</v>
      </c>
      <c r="D1780" t="s">
        <v>290</v>
      </c>
      <c r="E1780">
        <v>189.99</v>
      </c>
      <c r="F1780" t="s">
        <v>8118</v>
      </c>
      <c r="L1780" t="s">
        <v>5339</v>
      </c>
      <c r="M1780" t="s">
        <v>7056</v>
      </c>
      <c r="N1780">
        <v>0</v>
      </c>
      <c r="O1780">
        <v>0</v>
      </c>
      <c r="T1780">
        <v>8.3333333333333329E-2</v>
      </c>
      <c r="V1780">
        <v>0</v>
      </c>
    </row>
    <row r="1781" spans="1:22" x14ac:dyDescent="0.2">
      <c r="A1781" t="s">
        <v>2178</v>
      </c>
      <c r="B1781" t="s">
        <v>2179</v>
      </c>
      <c r="C1781" t="s">
        <v>2146</v>
      </c>
      <c r="D1781" t="s">
        <v>290</v>
      </c>
      <c r="E1781">
        <v>99.99</v>
      </c>
      <c r="F1781" t="s">
        <v>8118</v>
      </c>
      <c r="G1781">
        <v>7</v>
      </c>
      <c r="H1781">
        <v>1</v>
      </c>
      <c r="I1781">
        <v>6</v>
      </c>
      <c r="L1781" t="s">
        <v>5339</v>
      </c>
      <c r="M1781" t="s">
        <v>7057</v>
      </c>
      <c r="N1781">
        <v>0</v>
      </c>
      <c r="O1781">
        <v>0</v>
      </c>
      <c r="P1781" t="s">
        <v>290</v>
      </c>
      <c r="T1781">
        <v>0</v>
      </c>
      <c r="V1781">
        <v>0</v>
      </c>
    </row>
    <row r="1782" spans="1:22" x14ac:dyDescent="0.2">
      <c r="A1782" t="s">
        <v>2274</v>
      </c>
      <c r="B1782" t="s">
        <v>2275</v>
      </c>
      <c r="C1782" t="s">
        <v>2146</v>
      </c>
      <c r="D1782" t="s">
        <v>290</v>
      </c>
      <c r="E1782">
        <v>349.99</v>
      </c>
      <c r="F1782" t="s">
        <v>8118</v>
      </c>
      <c r="L1782" t="s">
        <v>5339</v>
      </c>
      <c r="M1782" t="s">
        <v>7063</v>
      </c>
      <c r="N1782">
        <v>0</v>
      </c>
      <c r="O1782">
        <v>0</v>
      </c>
      <c r="P1782" t="s">
        <v>290</v>
      </c>
      <c r="T1782">
        <v>0</v>
      </c>
      <c r="V1782">
        <v>0</v>
      </c>
    </row>
    <row r="1783" spans="1:22" x14ac:dyDescent="0.2">
      <c r="A1783" t="s">
        <v>2346</v>
      </c>
      <c r="B1783" t="s">
        <v>2347</v>
      </c>
      <c r="C1783" t="s">
        <v>2146</v>
      </c>
      <c r="D1783" t="s">
        <v>228</v>
      </c>
      <c r="E1783">
        <v>99.99</v>
      </c>
      <c r="F1783" t="s">
        <v>8118</v>
      </c>
      <c r="K1783">
        <v>30</v>
      </c>
      <c r="L1783" t="s">
        <v>5339</v>
      </c>
      <c r="M1783" t="s">
        <v>8126</v>
      </c>
      <c r="N1783">
        <v>638.18181818181824</v>
      </c>
      <c r="O1783">
        <v>1.5669515669515669E-3</v>
      </c>
      <c r="T1783">
        <v>0.91666666666666652</v>
      </c>
      <c r="V1783">
        <v>585</v>
      </c>
    </row>
    <row r="1784" spans="1:22" x14ac:dyDescent="0.2">
      <c r="A1784" t="s">
        <v>2360</v>
      </c>
      <c r="B1784" t="s">
        <v>2361</v>
      </c>
      <c r="C1784" t="s">
        <v>2146</v>
      </c>
      <c r="D1784" t="s">
        <v>228</v>
      </c>
      <c r="E1784">
        <v>349.99</v>
      </c>
      <c r="F1784" t="s">
        <v>8118</v>
      </c>
      <c r="G1784">
        <v>278</v>
      </c>
      <c r="H1784">
        <v>1</v>
      </c>
      <c r="I1784">
        <v>277</v>
      </c>
      <c r="L1784" t="s">
        <v>5339</v>
      </c>
      <c r="M1784" t="s">
        <v>7060</v>
      </c>
      <c r="N1784">
        <v>314.72727272727275</v>
      </c>
      <c r="O1784">
        <v>3.1773541305603697E-3</v>
      </c>
      <c r="T1784">
        <v>1.8333333333333333</v>
      </c>
      <c r="V1784">
        <v>577</v>
      </c>
    </row>
    <row r="1785" spans="1:22" x14ac:dyDescent="0.2">
      <c r="A1785" t="s">
        <v>2290</v>
      </c>
      <c r="B1785" t="s">
        <v>2291</v>
      </c>
      <c r="C1785" t="s">
        <v>2146</v>
      </c>
      <c r="D1785" t="s">
        <v>228</v>
      </c>
      <c r="E1785">
        <v>539.99</v>
      </c>
      <c r="F1785" t="s">
        <v>8118</v>
      </c>
      <c r="L1785" t="s">
        <v>5339</v>
      </c>
      <c r="M1785">
        <v>444611</v>
      </c>
      <c r="N1785">
        <v>0</v>
      </c>
      <c r="O1785">
        <v>0</v>
      </c>
      <c r="T1785">
        <v>0</v>
      </c>
      <c r="V1785">
        <v>0</v>
      </c>
    </row>
    <row r="1786" spans="1:22" x14ac:dyDescent="0.2">
      <c r="A1786" t="s">
        <v>2358</v>
      </c>
      <c r="B1786" t="s">
        <v>2359</v>
      </c>
      <c r="C1786" t="s">
        <v>2146</v>
      </c>
      <c r="D1786" t="s">
        <v>228</v>
      </c>
      <c r="E1786">
        <v>199.99</v>
      </c>
      <c r="F1786" t="s">
        <v>8118</v>
      </c>
      <c r="G1786">
        <v>118</v>
      </c>
      <c r="I1786">
        <v>118</v>
      </c>
      <c r="L1786" t="s">
        <v>5339</v>
      </c>
      <c r="M1786" t="s">
        <v>7058</v>
      </c>
      <c r="N1786">
        <v>0</v>
      </c>
      <c r="O1786">
        <v>0</v>
      </c>
      <c r="T1786">
        <v>0</v>
      </c>
      <c r="V1786">
        <v>0</v>
      </c>
    </row>
    <row r="1787" spans="1:22" x14ac:dyDescent="0.2">
      <c r="A1787" t="s">
        <v>2340</v>
      </c>
      <c r="B1787" t="s">
        <v>2341</v>
      </c>
      <c r="C1787" t="s">
        <v>2146</v>
      </c>
      <c r="D1787" t="s">
        <v>228</v>
      </c>
      <c r="E1787">
        <v>549.99</v>
      </c>
      <c r="F1787" t="s">
        <v>8118</v>
      </c>
      <c r="G1787">
        <v>41</v>
      </c>
      <c r="I1787">
        <v>41</v>
      </c>
      <c r="L1787" t="s">
        <v>5339</v>
      </c>
      <c r="M1787">
        <v>444612</v>
      </c>
      <c r="N1787">
        <v>0</v>
      </c>
      <c r="O1787">
        <v>0</v>
      </c>
      <c r="T1787">
        <v>0</v>
      </c>
      <c r="V1787">
        <v>0</v>
      </c>
    </row>
    <row r="1788" spans="1:22" x14ac:dyDescent="0.2">
      <c r="A1788" t="s">
        <v>2254</v>
      </c>
      <c r="B1788" t="s">
        <v>2255</v>
      </c>
      <c r="C1788" t="s">
        <v>2146</v>
      </c>
      <c r="D1788" t="s">
        <v>290</v>
      </c>
      <c r="E1788">
        <v>39.99</v>
      </c>
      <c r="F1788" t="s">
        <v>8118</v>
      </c>
      <c r="L1788" t="s">
        <v>5339</v>
      </c>
      <c r="M1788" t="s">
        <v>7030</v>
      </c>
      <c r="N1788">
        <v>40.137931034482762</v>
      </c>
      <c r="O1788">
        <v>2.4914089347079036E-2</v>
      </c>
      <c r="P1788" t="s">
        <v>290</v>
      </c>
      <c r="T1788">
        <v>2.4166666666666665</v>
      </c>
      <c r="V1788">
        <v>97</v>
      </c>
    </row>
    <row r="1789" spans="1:22" x14ac:dyDescent="0.2">
      <c r="A1789" t="s">
        <v>2338</v>
      </c>
      <c r="B1789" t="s">
        <v>2339</v>
      </c>
      <c r="C1789" t="s">
        <v>2146</v>
      </c>
      <c r="D1789" t="s">
        <v>228</v>
      </c>
      <c r="E1789">
        <v>349.99</v>
      </c>
      <c r="F1789" t="s">
        <v>8118</v>
      </c>
      <c r="G1789">
        <v>322</v>
      </c>
      <c r="H1789">
        <v>13</v>
      </c>
      <c r="I1789">
        <v>309</v>
      </c>
      <c r="L1789" t="s">
        <v>14</v>
      </c>
      <c r="M1789" t="s">
        <v>97</v>
      </c>
      <c r="N1789">
        <v>24</v>
      </c>
      <c r="O1789">
        <v>4.1666666666666664E-2</v>
      </c>
      <c r="T1789">
        <v>8.3333333333333329E-2</v>
      </c>
      <c r="U1789">
        <v>0</v>
      </c>
      <c r="V1789">
        <v>2</v>
      </c>
    </row>
    <row r="1790" spans="1:22" x14ac:dyDescent="0.2">
      <c r="A1790" t="s">
        <v>2336</v>
      </c>
      <c r="B1790" t="s">
        <v>2337</v>
      </c>
      <c r="C1790" t="s">
        <v>2146</v>
      </c>
      <c r="D1790" t="s">
        <v>228</v>
      </c>
      <c r="E1790">
        <v>229.99</v>
      </c>
      <c r="F1790" t="s">
        <v>8118</v>
      </c>
      <c r="G1790">
        <v>64</v>
      </c>
      <c r="H1790">
        <v>1</v>
      </c>
      <c r="I1790">
        <v>63</v>
      </c>
      <c r="L1790" t="s">
        <v>14</v>
      </c>
      <c r="M1790" t="s">
        <v>97</v>
      </c>
      <c r="N1790">
        <v>0</v>
      </c>
      <c r="O1790">
        <v>0</v>
      </c>
      <c r="T1790">
        <v>0</v>
      </c>
      <c r="U1790">
        <v>0</v>
      </c>
      <c r="V1790">
        <v>1</v>
      </c>
    </row>
    <row r="1791" spans="1:22" x14ac:dyDescent="0.2">
      <c r="A1791" t="s">
        <v>2334</v>
      </c>
      <c r="B1791" t="s">
        <v>2335</v>
      </c>
      <c r="C1791" t="s">
        <v>2146</v>
      </c>
      <c r="D1791" t="s">
        <v>228</v>
      </c>
      <c r="E1791">
        <v>99.99</v>
      </c>
      <c r="F1791" t="s">
        <v>8118</v>
      </c>
      <c r="G1791">
        <v>34</v>
      </c>
      <c r="H1791">
        <v>34</v>
      </c>
      <c r="L1791" t="s">
        <v>14</v>
      </c>
      <c r="M1791" t="s">
        <v>97</v>
      </c>
      <c r="N1791">
        <v>17.454545454545457</v>
      </c>
      <c r="O1791">
        <v>5.7291666666666664E-2</v>
      </c>
      <c r="T1791">
        <v>0.91666666666666663</v>
      </c>
      <c r="U1791">
        <v>0</v>
      </c>
      <c r="V1791">
        <v>16</v>
      </c>
    </row>
    <row r="1792" spans="1:22" x14ac:dyDescent="0.2">
      <c r="A1792" t="s">
        <v>2242</v>
      </c>
      <c r="B1792" t="s">
        <v>2243</v>
      </c>
      <c r="C1792" t="s">
        <v>2146</v>
      </c>
      <c r="D1792" t="s">
        <v>290</v>
      </c>
      <c r="E1792">
        <v>39.99</v>
      </c>
      <c r="F1792" t="s">
        <v>8118</v>
      </c>
      <c r="G1792">
        <v>2</v>
      </c>
      <c r="I1792">
        <v>2</v>
      </c>
      <c r="L1792" t="s">
        <v>14</v>
      </c>
      <c r="M1792" t="s">
        <v>97</v>
      </c>
      <c r="N1792">
        <v>0</v>
      </c>
      <c r="O1792">
        <v>0</v>
      </c>
      <c r="U1792">
        <v>0</v>
      </c>
      <c r="V1792">
        <v>0</v>
      </c>
    </row>
    <row r="1793" spans="1:22" x14ac:dyDescent="0.2">
      <c r="A1793" t="s">
        <v>2360</v>
      </c>
      <c r="B1793" t="s">
        <v>2361</v>
      </c>
      <c r="C1793" t="s">
        <v>2146</v>
      </c>
      <c r="D1793" t="s">
        <v>228</v>
      </c>
      <c r="E1793">
        <v>349.99</v>
      </c>
      <c r="F1793" t="s">
        <v>8118</v>
      </c>
      <c r="G1793">
        <v>278</v>
      </c>
      <c r="H1793">
        <v>1</v>
      </c>
      <c r="I1793">
        <v>277</v>
      </c>
      <c r="L1793" t="s">
        <v>14</v>
      </c>
      <c r="M1793" t="s">
        <v>97</v>
      </c>
      <c r="N1793">
        <v>44</v>
      </c>
      <c r="O1793">
        <v>2.2727272727272728E-2</v>
      </c>
      <c r="T1793">
        <v>0.25</v>
      </c>
      <c r="U1793">
        <v>0</v>
      </c>
      <c r="V1793">
        <v>11</v>
      </c>
    </row>
    <row r="1794" spans="1:22" x14ac:dyDescent="0.2">
      <c r="A1794" t="s">
        <v>2358</v>
      </c>
      <c r="B1794" t="s">
        <v>2359</v>
      </c>
      <c r="C1794" t="s">
        <v>2146</v>
      </c>
      <c r="D1794" t="s">
        <v>228</v>
      </c>
      <c r="E1794">
        <v>199.99</v>
      </c>
      <c r="F1794" t="s">
        <v>8118</v>
      </c>
      <c r="G1794">
        <v>118</v>
      </c>
      <c r="I1794">
        <v>118</v>
      </c>
      <c r="L1794" t="s">
        <v>14</v>
      </c>
      <c r="M1794" t="s">
        <v>97</v>
      </c>
      <c r="N1794">
        <v>104</v>
      </c>
      <c r="O1794">
        <v>9.6153846153846159E-3</v>
      </c>
      <c r="T1794">
        <v>0.25</v>
      </c>
      <c r="U1794">
        <v>0</v>
      </c>
      <c r="V1794">
        <v>26</v>
      </c>
    </row>
    <row r="1795" spans="1:22" x14ac:dyDescent="0.2">
      <c r="A1795" t="s">
        <v>2240</v>
      </c>
      <c r="B1795" t="s">
        <v>2241</v>
      </c>
      <c r="C1795" t="s">
        <v>2146</v>
      </c>
      <c r="D1795" t="s">
        <v>290</v>
      </c>
      <c r="E1795">
        <v>99.99</v>
      </c>
      <c r="F1795" t="s">
        <v>8118</v>
      </c>
      <c r="L1795" t="s">
        <v>14</v>
      </c>
      <c r="M1795" t="s">
        <v>97</v>
      </c>
      <c r="N1795">
        <v>0</v>
      </c>
      <c r="O1795">
        <v>0</v>
      </c>
      <c r="T1795">
        <v>0</v>
      </c>
      <c r="U1795">
        <v>0</v>
      </c>
      <c r="V1795">
        <v>1</v>
      </c>
    </row>
    <row r="1796" spans="1:22" x14ac:dyDescent="0.2">
      <c r="A1796" t="s">
        <v>2186</v>
      </c>
      <c r="B1796" t="s">
        <v>2187</v>
      </c>
      <c r="C1796" t="s">
        <v>2146</v>
      </c>
      <c r="D1796" t="s">
        <v>290</v>
      </c>
      <c r="E1796">
        <v>16.989999999999998</v>
      </c>
      <c r="F1796" t="s">
        <v>8118</v>
      </c>
      <c r="L1796" t="s">
        <v>14</v>
      </c>
      <c r="M1796" t="s">
        <v>97</v>
      </c>
      <c r="N1796">
        <v>0</v>
      </c>
      <c r="O1796">
        <v>0</v>
      </c>
      <c r="U1796">
        <v>0</v>
      </c>
      <c r="V1796">
        <v>0</v>
      </c>
    </row>
    <row r="1797" spans="1:22" x14ac:dyDescent="0.2">
      <c r="A1797" t="s">
        <v>7086</v>
      </c>
      <c r="B1797" t="s">
        <v>7087</v>
      </c>
      <c r="C1797" t="s">
        <v>2146</v>
      </c>
      <c r="D1797" t="s">
        <v>96</v>
      </c>
      <c r="E1797">
        <v>17.989999999999998</v>
      </c>
      <c r="F1797" t="s">
        <v>8118</v>
      </c>
      <c r="L1797" t="s">
        <v>14</v>
      </c>
      <c r="M1797" t="s">
        <v>97</v>
      </c>
      <c r="N1797">
        <v>0</v>
      </c>
      <c r="O1797">
        <v>0</v>
      </c>
      <c r="U1797">
        <v>0</v>
      </c>
      <c r="V1797">
        <v>0</v>
      </c>
    </row>
    <row r="1798" spans="1:22" x14ac:dyDescent="0.2">
      <c r="A1798" t="s">
        <v>2190</v>
      </c>
      <c r="B1798" t="s">
        <v>2191</v>
      </c>
      <c r="C1798" t="s">
        <v>2146</v>
      </c>
      <c r="D1798" t="s">
        <v>290</v>
      </c>
      <c r="E1798">
        <v>349.99</v>
      </c>
      <c r="F1798" t="s">
        <v>8118</v>
      </c>
      <c r="G1798">
        <v>46</v>
      </c>
      <c r="H1798">
        <v>4</v>
      </c>
      <c r="I1798">
        <v>42</v>
      </c>
      <c r="L1798" t="s">
        <v>14</v>
      </c>
      <c r="M1798" t="s">
        <v>97</v>
      </c>
      <c r="N1798">
        <v>26</v>
      </c>
      <c r="O1798">
        <v>3.8461538461538464E-2</v>
      </c>
      <c r="T1798">
        <v>0.5</v>
      </c>
      <c r="U1798">
        <v>0</v>
      </c>
      <c r="V1798">
        <v>13</v>
      </c>
    </row>
    <row r="1799" spans="1:22" x14ac:dyDescent="0.2">
      <c r="A1799" t="s">
        <v>7075</v>
      </c>
      <c r="B1799" t="s">
        <v>7076</v>
      </c>
      <c r="C1799" t="s">
        <v>2146</v>
      </c>
      <c r="D1799" t="s">
        <v>96</v>
      </c>
      <c r="E1799">
        <v>16.989999999999998</v>
      </c>
      <c r="F1799" t="s">
        <v>8118</v>
      </c>
      <c r="L1799" t="s">
        <v>14</v>
      </c>
      <c r="M1799" t="s">
        <v>97</v>
      </c>
      <c r="N1799">
        <v>0</v>
      </c>
      <c r="O1799">
        <v>0</v>
      </c>
      <c r="U1799">
        <v>0</v>
      </c>
      <c r="V1799">
        <v>0</v>
      </c>
    </row>
    <row r="1800" spans="1:22" x14ac:dyDescent="0.2">
      <c r="A1800" t="s">
        <v>2346</v>
      </c>
      <c r="B1800" t="s">
        <v>2347</v>
      </c>
      <c r="C1800" t="s">
        <v>2146</v>
      </c>
      <c r="D1800" t="s">
        <v>228</v>
      </c>
      <c r="E1800">
        <v>99.99</v>
      </c>
      <c r="F1800" t="s">
        <v>8118</v>
      </c>
      <c r="K1800">
        <v>30</v>
      </c>
      <c r="L1800" t="s">
        <v>14</v>
      </c>
      <c r="M1800" t="s">
        <v>97</v>
      </c>
      <c r="N1800">
        <v>40</v>
      </c>
      <c r="O1800">
        <v>2.5000000000000001E-2</v>
      </c>
      <c r="T1800">
        <v>0.25</v>
      </c>
      <c r="U1800">
        <v>0</v>
      </c>
      <c r="V1800">
        <v>10</v>
      </c>
    </row>
    <row r="1801" spans="1:22" x14ac:dyDescent="0.2">
      <c r="A1801" t="s">
        <v>2352</v>
      </c>
      <c r="B1801" t="s">
        <v>2353</v>
      </c>
      <c r="C1801" t="s">
        <v>2146</v>
      </c>
      <c r="D1801" t="s">
        <v>290</v>
      </c>
      <c r="E1801">
        <v>189.99</v>
      </c>
      <c r="F1801" t="s">
        <v>8118</v>
      </c>
      <c r="L1801" t="s">
        <v>14</v>
      </c>
      <c r="M1801" t="s">
        <v>97</v>
      </c>
      <c r="N1801">
        <v>228</v>
      </c>
      <c r="O1801">
        <v>4.3859649122807015E-3</v>
      </c>
      <c r="T1801">
        <v>8.3333333333333329E-2</v>
      </c>
      <c r="U1801">
        <v>0</v>
      </c>
      <c r="V1801">
        <v>19</v>
      </c>
    </row>
    <row r="1802" spans="1:22" x14ac:dyDescent="0.2">
      <c r="A1802" t="s">
        <v>5538</v>
      </c>
      <c r="B1802" t="s">
        <v>5539</v>
      </c>
      <c r="C1802" t="s">
        <v>2146</v>
      </c>
      <c r="D1802" t="s">
        <v>96</v>
      </c>
      <c r="E1802">
        <v>44.99</v>
      </c>
      <c r="F1802" t="s">
        <v>8118</v>
      </c>
      <c r="L1802" t="s">
        <v>14</v>
      </c>
      <c r="M1802" t="s">
        <v>97</v>
      </c>
      <c r="N1802">
        <v>0</v>
      </c>
      <c r="O1802">
        <v>0</v>
      </c>
      <c r="U1802">
        <v>0</v>
      </c>
      <c r="V1802">
        <v>0</v>
      </c>
    </row>
    <row r="1803" spans="1:22" x14ac:dyDescent="0.2">
      <c r="A1803" t="s">
        <v>2178</v>
      </c>
      <c r="B1803" t="s">
        <v>2179</v>
      </c>
      <c r="C1803" t="s">
        <v>2146</v>
      </c>
      <c r="D1803" t="s">
        <v>290</v>
      </c>
      <c r="E1803">
        <v>99.99</v>
      </c>
      <c r="F1803" t="s">
        <v>8118</v>
      </c>
      <c r="G1803">
        <v>7</v>
      </c>
      <c r="H1803">
        <v>1</v>
      </c>
      <c r="I1803">
        <v>6</v>
      </c>
      <c r="L1803" t="s">
        <v>14</v>
      </c>
      <c r="M1803" t="s">
        <v>97</v>
      </c>
      <c r="N1803">
        <v>56</v>
      </c>
      <c r="O1803">
        <v>1.7857142857142856E-2</v>
      </c>
      <c r="T1803">
        <v>0.25</v>
      </c>
      <c r="U1803">
        <v>0</v>
      </c>
      <c r="V1803">
        <v>14</v>
      </c>
    </row>
    <row r="1804" spans="1:22" x14ac:dyDescent="0.2">
      <c r="A1804" t="s">
        <v>2350</v>
      </c>
      <c r="B1804" t="s">
        <v>2351</v>
      </c>
      <c r="C1804" t="s">
        <v>2146</v>
      </c>
      <c r="D1804" t="s">
        <v>228</v>
      </c>
      <c r="E1804">
        <v>189.99</v>
      </c>
      <c r="F1804" t="s">
        <v>8118</v>
      </c>
      <c r="G1804">
        <v>20</v>
      </c>
      <c r="H1804">
        <v>2</v>
      </c>
      <c r="I1804">
        <v>18</v>
      </c>
      <c r="L1804" t="s">
        <v>14</v>
      </c>
      <c r="M1804" t="s">
        <v>97</v>
      </c>
      <c r="N1804">
        <v>0</v>
      </c>
      <c r="O1804">
        <v>0</v>
      </c>
      <c r="U1804">
        <v>0</v>
      </c>
      <c r="V1804">
        <v>0</v>
      </c>
    </row>
    <row r="1805" spans="1:22" x14ac:dyDescent="0.2">
      <c r="A1805" t="s">
        <v>2180</v>
      </c>
      <c r="B1805" t="s">
        <v>2181</v>
      </c>
      <c r="C1805" t="s">
        <v>2146</v>
      </c>
      <c r="D1805" t="s">
        <v>290</v>
      </c>
      <c r="E1805">
        <v>17.989999999999998</v>
      </c>
      <c r="F1805" t="s">
        <v>8118</v>
      </c>
      <c r="L1805" t="s">
        <v>14</v>
      </c>
      <c r="M1805" t="s">
        <v>97</v>
      </c>
      <c r="N1805">
        <v>0</v>
      </c>
      <c r="O1805">
        <v>0</v>
      </c>
      <c r="U1805">
        <v>0</v>
      </c>
      <c r="V1805">
        <v>0</v>
      </c>
    </row>
    <row r="1806" spans="1:22" x14ac:dyDescent="0.2">
      <c r="A1806" t="s">
        <v>5541</v>
      </c>
      <c r="B1806" t="s">
        <v>5542</v>
      </c>
      <c r="C1806" t="s">
        <v>2146</v>
      </c>
      <c r="D1806" t="s">
        <v>96</v>
      </c>
      <c r="E1806">
        <v>39.99</v>
      </c>
      <c r="F1806" t="s">
        <v>8118</v>
      </c>
      <c r="L1806" t="s">
        <v>14</v>
      </c>
      <c r="M1806" t="s">
        <v>97</v>
      </c>
      <c r="N1806">
        <v>0</v>
      </c>
      <c r="O1806">
        <v>0</v>
      </c>
      <c r="U1806">
        <v>0</v>
      </c>
      <c r="V1806">
        <v>0</v>
      </c>
    </row>
    <row r="1807" spans="1:22" x14ac:dyDescent="0.2">
      <c r="A1807" t="s">
        <v>2274</v>
      </c>
      <c r="B1807" t="s">
        <v>2275</v>
      </c>
      <c r="C1807" t="s">
        <v>2146</v>
      </c>
      <c r="D1807" t="s">
        <v>290</v>
      </c>
      <c r="E1807">
        <v>349.99</v>
      </c>
      <c r="F1807" t="s">
        <v>8118</v>
      </c>
      <c r="L1807" t="s">
        <v>14</v>
      </c>
      <c r="M1807" t="s">
        <v>97</v>
      </c>
      <c r="N1807">
        <v>0</v>
      </c>
      <c r="O1807">
        <v>0</v>
      </c>
      <c r="U1807">
        <v>0</v>
      </c>
      <c r="V1807">
        <v>0</v>
      </c>
    </row>
    <row r="1808" spans="1:22" x14ac:dyDescent="0.2">
      <c r="A1808" t="s">
        <v>5549</v>
      </c>
      <c r="B1808" t="s">
        <v>5550</v>
      </c>
      <c r="C1808" t="s">
        <v>2146</v>
      </c>
      <c r="D1808" t="s">
        <v>290</v>
      </c>
      <c r="E1808">
        <v>79.989999999999995</v>
      </c>
      <c r="F1808" t="s">
        <v>8118</v>
      </c>
      <c r="L1808" t="s">
        <v>14</v>
      </c>
      <c r="M1808" t="s">
        <v>97</v>
      </c>
      <c r="N1808">
        <v>0</v>
      </c>
      <c r="O1808">
        <v>0</v>
      </c>
      <c r="U1808">
        <v>0</v>
      </c>
      <c r="V1808">
        <v>0</v>
      </c>
    </row>
    <row r="1809" spans="1:22" x14ac:dyDescent="0.2">
      <c r="A1809" t="s">
        <v>2272</v>
      </c>
      <c r="B1809" t="s">
        <v>2273</v>
      </c>
      <c r="C1809" t="s">
        <v>2146</v>
      </c>
      <c r="D1809" t="s">
        <v>96</v>
      </c>
      <c r="E1809">
        <v>119.99</v>
      </c>
      <c r="F1809" t="s">
        <v>8118</v>
      </c>
      <c r="L1809" t="s">
        <v>14</v>
      </c>
      <c r="M1809" t="s">
        <v>97</v>
      </c>
      <c r="N1809">
        <v>48</v>
      </c>
      <c r="O1809">
        <v>2.0833333333333332E-2</v>
      </c>
      <c r="T1809">
        <v>8.3333333333333329E-2</v>
      </c>
      <c r="U1809">
        <v>0</v>
      </c>
      <c r="V1809">
        <v>4</v>
      </c>
    </row>
    <row r="1810" spans="1:22" x14ac:dyDescent="0.2">
      <c r="A1810" t="s">
        <v>2350</v>
      </c>
      <c r="B1810" t="s">
        <v>2351</v>
      </c>
      <c r="C1810" t="s">
        <v>2146</v>
      </c>
      <c r="D1810" t="s">
        <v>228</v>
      </c>
      <c r="E1810">
        <v>189.99</v>
      </c>
      <c r="F1810" t="s">
        <v>8118</v>
      </c>
      <c r="G1810">
        <v>20</v>
      </c>
      <c r="H1810">
        <v>2</v>
      </c>
      <c r="I1810">
        <v>18</v>
      </c>
      <c r="L1810" t="s">
        <v>10</v>
      </c>
      <c r="M1810">
        <v>485172</v>
      </c>
      <c r="N1810">
        <v>63</v>
      </c>
      <c r="O1810">
        <v>1.5873015873015872E-2</v>
      </c>
      <c r="P1810" t="s">
        <v>7015</v>
      </c>
      <c r="T1810">
        <v>0</v>
      </c>
      <c r="U1810">
        <v>0</v>
      </c>
      <c r="V1810">
        <v>21</v>
      </c>
    </row>
    <row r="1811" spans="1:22" x14ac:dyDescent="0.2">
      <c r="A1811" t="s">
        <v>2152</v>
      </c>
      <c r="B1811" t="s">
        <v>2153</v>
      </c>
      <c r="C1811" t="s">
        <v>2146</v>
      </c>
      <c r="D1811" t="s">
        <v>228</v>
      </c>
      <c r="E1811">
        <v>169.99</v>
      </c>
      <c r="F1811" t="s">
        <v>8118</v>
      </c>
      <c r="G1811">
        <v>30</v>
      </c>
      <c r="H1811">
        <v>30</v>
      </c>
      <c r="K1811">
        <v>657</v>
      </c>
      <c r="L1811" t="s">
        <v>10</v>
      </c>
      <c r="M1811">
        <v>654287</v>
      </c>
      <c r="N1811">
        <v>8</v>
      </c>
      <c r="O1811">
        <v>0.13017429193899782</v>
      </c>
      <c r="P1811" t="s">
        <v>7015</v>
      </c>
      <c r="T1811">
        <v>40</v>
      </c>
      <c r="U1811">
        <v>7139.58</v>
      </c>
      <c r="V1811">
        <v>306</v>
      </c>
    </row>
    <row r="1812" spans="1:22" x14ac:dyDescent="0.2">
      <c r="A1812" t="s">
        <v>2340</v>
      </c>
      <c r="B1812" t="s">
        <v>2341</v>
      </c>
      <c r="C1812" t="s">
        <v>2146</v>
      </c>
      <c r="D1812" t="s">
        <v>228</v>
      </c>
      <c r="E1812">
        <v>549.99</v>
      </c>
      <c r="F1812" t="s">
        <v>8118</v>
      </c>
      <c r="G1812">
        <v>41</v>
      </c>
      <c r="I1812">
        <v>41</v>
      </c>
      <c r="L1812" t="s">
        <v>10</v>
      </c>
      <c r="M1812">
        <v>529311</v>
      </c>
      <c r="N1812">
        <v>0</v>
      </c>
      <c r="O1812">
        <v>0</v>
      </c>
      <c r="P1812" t="s">
        <v>7015</v>
      </c>
      <c r="T1812">
        <v>0</v>
      </c>
      <c r="U1812">
        <v>0</v>
      </c>
      <c r="V1812">
        <v>0</v>
      </c>
    </row>
    <row r="1813" spans="1:22" x14ac:dyDescent="0.2">
      <c r="A1813" t="s">
        <v>5545</v>
      </c>
      <c r="B1813" t="s">
        <v>5546</v>
      </c>
      <c r="C1813" t="s">
        <v>2146</v>
      </c>
      <c r="D1813" t="s">
        <v>96</v>
      </c>
      <c r="E1813">
        <v>579.99</v>
      </c>
      <c r="F1813" t="s">
        <v>8118</v>
      </c>
      <c r="L1813" t="s">
        <v>10</v>
      </c>
      <c r="M1813">
        <v>329720</v>
      </c>
      <c r="N1813">
        <v>0</v>
      </c>
      <c r="O1813">
        <v>0</v>
      </c>
      <c r="P1813" t="s">
        <v>290</v>
      </c>
      <c r="T1813">
        <v>0</v>
      </c>
      <c r="U1813">
        <v>0</v>
      </c>
      <c r="V1813">
        <v>0</v>
      </c>
    </row>
    <row r="1814" spans="1:22" x14ac:dyDescent="0.2">
      <c r="A1814" t="s">
        <v>2242</v>
      </c>
      <c r="B1814" t="s">
        <v>2243</v>
      </c>
      <c r="C1814" t="s">
        <v>2146</v>
      </c>
      <c r="D1814" t="s">
        <v>290</v>
      </c>
      <c r="E1814">
        <v>39.99</v>
      </c>
      <c r="F1814" t="s">
        <v>8118</v>
      </c>
      <c r="G1814">
        <v>2</v>
      </c>
      <c r="I1814">
        <v>2</v>
      </c>
      <c r="L1814" t="s">
        <v>10</v>
      </c>
      <c r="M1814">
        <v>485219</v>
      </c>
      <c r="N1814">
        <v>28</v>
      </c>
      <c r="O1814">
        <v>3.5714285714285712E-2</v>
      </c>
      <c r="P1814" t="s">
        <v>290</v>
      </c>
      <c r="T1814">
        <v>0</v>
      </c>
      <c r="U1814">
        <v>0</v>
      </c>
      <c r="V1814">
        <v>7</v>
      </c>
    </row>
    <row r="1815" spans="1:22" x14ac:dyDescent="0.2">
      <c r="A1815" t="s">
        <v>2252</v>
      </c>
      <c r="B1815" t="s">
        <v>2253</v>
      </c>
      <c r="C1815" t="s">
        <v>2146</v>
      </c>
      <c r="D1815" t="s">
        <v>290</v>
      </c>
      <c r="E1815">
        <v>99.99</v>
      </c>
      <c r="F1815" t="s">
        <v>8118</v>
      </c>
      <c r="L1815" t="s">
        <v>10</v>
      </c>
      <c r="M1815">
        <v>583742</v>
      </c>
      <c r="N1815">
        <v>0</v>
      </c>
      <c r="O1815">
        <v>0</v>
      </c>
      <c r="P1815" t="s">
        <v>290</v>
      </c>
      <c r="T1815">
        <v>0</v>
      </c>
      <c r="U1815">
        <v>0</v>
      </c>
      <c r="V1815">
        <v>1</v>
      </c>
    </row>
    <row r="1816" spans="1:22" x14ac:dyDescent="0.2">
      <c r="A1816" t="s">
        <v>2244</v>
      </c>
      <c r="B1816" t="s">
        <v>2245</v>
      </c>
      <c r="C1816" t="s">
        <v>2146</v>
      </c>
      <c r="D1816" t="s">
        <v>228</v>
      </c>
      <c r="E1816">
        <v>39.99</v>
      </c>
      <c r="F1816" t="s">
        <v>8118</v>
      </c>
      <c r="G1816">
        <v>231</v>
      </c>
      <c r="H1816">
        <v>38</v>
      </c>
      <c r="I1816">
        <v>193</v>
      </c>
      <c r="K1816">
        <v>80</v>
      </c>
      <c r="L1816" t="s">
        <v>10</v>
      </c>
      <c r="M1816">
        <v>653733</v>
      </c>
      <c r="N1816">
        <v>13</v>
      </c>
      <c r="O1816">
        <v>7.5954861111111119E-2</v>
      </c>
      <c r="P1816" t="s">
        <v>7015</v>
      </c>
      <c r="T1816">
        <v>15</v>
      </c>
      <c r="U1816">
        <v>679.83</v>
      </c>
      <c r="V1816">
        <v>192</v>
      </c>
    </row>
    <row r="1817" spans="1:22" x14ac:dyDescent="0.2">
      <c r="A1817" t="s">
        <v>2246</v>
      </c>
      <c r="B1817" t="s">
        <v>2247</v>
      </c>
      <c r="C1817" t="s">
        <v>2146</v>
      </c>
      <c r="D1817" t="s">
        <v>228</v>
      </c>
      <c r="E1817">
        <v>99.99</v>
      </c>
      <c r="F1817" t="s">
        <v>8118</v>
      </c>
      <c r="G1817">
        <v>310</v>
      </c>
      <c r="H1817">
        <v>4</v>
      </c>
      <c r="I1817">
        <v>306</v>
      </c>
      <c r="L1817" t="s">
        <v>10</v>
      </c>
      <c r="M1817">
        <v>653735</v>
      </c>
      <c r="N1817">
        <v>24</v>
      </c>
      <c r="O1817">
        <v>4.1666666666666664E-2</v>
      </c>
      <c r="P1817" t="s">
        <v>7015</v>
      </c>
      <c r="T1817">
        <v>7</v>
      </c>
      <c r="U1817">
        <v>1099.8899999999999</v>
      </c>
      <c r="V1817">
        <v>158</v>
      </c>
    </row>
    <row r="1818" spans="1:22" x14ac:dyDescent="0.2">
      <c r="A1818" t="s">
        <v>2254</v>
      </c>
      <c r="B1818" t="s">
        <v>2255</v>
      </c>
      <c r="C1818" t="s">
        <v>2146</v>
      </c>
      <c r="D1818" t="s">
        <v>290</v>
      </c>
      <c r="E1818">
        <v>39.99</v>
      </c>
      <c r="F1818" t="s">
        <v>8118</v>
      </c>
      <c r="L1818" t="s">
        <v>10</v>
      </c>
      <c r="M1818">
        <v>485218</v>
      </c>
      <c r="N1818">
        <v>0</v>
      </c>
      <c r="O1818">
        <v>0</v>
      </c>
      <c r="P1818" t="s">
        <v>290</v>
      </c>
      <c r="T1818">
        <v>0</v>
      </c>
      <c r="U1818">
        <v>0</v>
      </c>
      <c r="V1818">
        <v>1</v>
      </c>
    </row>
    <row r="1819" spans="1:22" x14ac:dyDescent="0.2">
      <c r="A1819" t="s">
        <v>2256</v>
      </c>
      <c r="B1819" t="s">
        <v>2257</v>
      </c>
      <c r="C1819" t="s">
        <v>2146</v>
      </c>
      <c r="D1819" t="s">
        <v>228</v>
      </c>
      <c r="E1819">
        <v>39.99</v>
      </c>
      <c r="F1819" t="s">
        <v>8118</v>
      </c>
      <c r="G1819">
        <v>15</v>
      </c>
      <c r="H1819">
        <v>15</v>
      </c>
      <c r="K1819">
        <v>680</v>
      </c>
      <c r="L1819" t="s">
        <v>10</v>
      </c>
      <c r="M1819">
        <v>653732</v>
      </c>
      <c r="N1819">
        <v>11</v>
      </c>
      <c r="O1819">
        <v>9.3721144967682371E-2</v>
      </c>
      <c r="P1819" t="s">
        <v>7015</v>
      </c>
      <c r="T1819">
        <v>34</v>
      </c>
      <c r="U1819">
        <v>1639.5900000000001</v>
      </c>
      <c r="V1819">
        <v>361</v>
      </c>
    </row>
    <row r="1820" spans="1:22" x14ac:dyDescent="0.2">
      <c r="A1820" t="s">
        <v>2178</v>
      </c>
      <c r="B1820" t="s">
        <v>2179</v>
      </c>
      <c r="C1820" t="s">
        <v>2146</v>
      </c>
      <c r="D1820" t="s">
        <v>290</v>
      </c>
      <c r="E1820">
        <v>99.99</v>
      </c>
      <c r="F1820" t="s">
        <v>8118</v>
      </c>
      <c r="G1820">
        <v>7</v>
      </c>
      <c r="H1820">
        <v>1</v>
      </c>
      <c r="I1820">
        <v>6</v>
      </c>
      <c r="L1820" t="s">
        <v>10</v>
      </c>
      <c r="M1820">
        <v>347387</v>
      </c>
      <c r="N1820">
        <v>24</v>
      </c>
      <c r="O1820">
        <v>4.1666666666666664E-2</v>
      </c>
      <c r="P1820" t="s">
        <v>7015</v>
      </c>
      <c r="T1820">
        <v>0</v>
      </c>
      <c r="U1820">
        <v>0</v>
      </c>
      <c r="V1820">
        <v>2</v>
      </c>
    </row>
    <row r="1821" spans="1:22" x14ac:dyDescent="0.2">
      <c r="A1821" t="s">
        <v>2182</v>
      </c>
      <c r="B1821" t="s">
        <v>2183</v>
      </c>
      <c r="C1821" t="s">
        <v>2146</v>
      </c>
      <c r="D1821" t="s">
        <v>290</v>
      </c>
      <c r="E1821">
        <v>109.99</v>
      </c>
      <c r="F1821" t="s">
        <v>8118</v>
      </c>
      <c r="L1821" t="s">
        <v>10</v>
      </c>
      <c r="M1821">
        <v>409542</v>
      </c>
      <c r="N1821">
        <v>0</v>
      </c>
      <c r="O1821">
        <v>0</v>
      </c>
      <c r="P1821" t="s">
        <v>290</v>
      </c>
      <c r="T1821">
        <v>0</v>
      </c>
      <c r="U1821">
        <v>0</v>
      </c>
      <c r="V1821">
        <v>0</v>
      </c>
    </row>
    <row r="1822" spans="1:22" x14ac:dyDescent="0.2">
      <c r="A1822" t="s">
        <v>2184</v>
      </c>
      <c r="B1822" t="s">
        <v>2185</v>
      </c>
      <c r="C1822" t="s">
        <v>2146</v>
      </c>
      <c r="D1822" t="s">
        <v>290</v>
      </c>
      <c r="E1822">
        <v>44.99</v>
      </c>
      <c r="F1822" t="s">
        <v>8118</v>
      </c>
      <c r="L1822" t="s">
        <v>10</v>
      </c>
      <c r="M1822">
        <v>409543</v>
      </c>
      <c r="N1822">
        <v>0</v>
      </c>
      <c r="O1822">
        <v>0</v>
      </c>
      <c r="P1822" t="s">
        <v>290</v>
      </c>
      <c r="T1822">
        <v>0</v>
      </c>
      <c r="U1822">
        <v>0</v>
      </c>
      <c r="V1822">
        <v>0</v>
      </c>
    </row>
    <row r="1823" spans="1:22" x14ac:dyDescent="0.2">
      <c r="A1823" t="s">
        <v>2188</v>
      </c>
      <c r="B1823" t="s">
        <v>2189</v>
      </c>
      <c r="C1823" t="s">
        <v>2146</v>
      </c>
      <c r="D1823" t="s">
        <v>96</v>
      </c>
      <c r="E1823">
        <v>199.99</v>
      </c>
      <c r="F1823" t="s">
        <v>8118</v>
      </c>
      <c r="L1823" t="s">
        <v>10</v>
      </c>
      <c r="M1823">
        <v>409604</v>
      </c>
      <c r="N1823">
        <v>0</v>
      </c>
      <c r="O1823">
        <v>0</v>
      </c>
      <c r="P1823" t="s">
        <v>290</v>
      </c>
      <c r="T1823">
        <v>0</v>
      </c>
      <c r="U1823">
        <v>0</v>
      </c>
      <c r="V1823">
        <v>0</v>
      </c>
    </row>
    <row r="1824" spans="1:22" x14ac:dyDescent="0.2">
      <c r="A1824" t="s">
        <v>2190</v>
      </c>
      <c r="B1824" t="s">
        <v>2191</v>
      </c>
      <c r="C1824" t="s">
        <v>2146</v>
      </c>
      <c r="D1824" t="s">
        <v>290</v>
      </c>
      <c r="E1824">
        <v>349.99</v>
      </c>
      <c r="F1824" t="s">
        <v>8118</v>
      </c>
      <c r="G1824">
        <v>46</v>
      </c>
      <c r="H1824">
        <v>4</v>
      </c>
      <c r="I1824">
        <v>42</v>
      </c>
      <c r="L1824" t="s">
        <v>10</v>
      </c>
      <c r="M1824">
        <v>347386</v>
      </c>
      <c r="N1824">
        <v>12</v>
      </c>
      <c r="O1824">
        <v>8.3333333333333329E-2</v>
      </c>
      <c r="P1824" t="s">
        <v>7015</v>
      </c>
      <c r="T1824">
        <v>0</v>
      </c>
      <c r="U1824">
        <v>0</v>
      </c>
      <c r="V1824">
        <v>4</v>
      </c>
    </row>
    <row r="1825" spans="1:22" x14ac:dyDescent="0.2">
      <c r="A1825" t="s">
        <v>2208</v>
      </c>
      <c r="B1825" t="s">
        <v>2209</v>
      </c>
      <c r="C1825" t="s">
        <v>2146</v>
      </c>
      <c r="D1825" t="s">
        <v>228</v>
      </c>
      <c r="E1825">
        <v>149.99</v>
      </c>
      <c r="F1825" t="s">
        <v>8118</v>
      </c>
      <c r="K1825">
        <v>6</v>
      </c>
      <c r="L1825" t="s">
        <v>10</v>
      </c>
      <c r="M1825">
        <v>511352</v>
      </c>
      <c r="N1825">
        <v>112</v>
      </c>
      <c r="O1825">
        <v>8.9285714285714281E-3</v>
      </c>
      <c r="P1825" t="s">
        <v>7015</v>
      </c>
      <c r="T1825">
        <v>0</v>
      </c>
      <c r="U1825">
        <v>0</v>
      </c>
      <c r="V1825">
        <v>28</v>
      </c>
    </row>
    <row r="1826" spans="1:22" x14ac:dyDescent="0.2">
      <c r="A1826" t="s">
        <v>2210</v>
      </c>
      <c r="B1826" t="s">
        <v>2211</v>
      </c>
      <c r="C1826" t="s">
        <v>2146</v>
      </c>
      <c r="D1826" t="s">
        <v>228</v>
      </c>
      <c r="E1826">
        <v>429.99</v>
      </c>
      <c r="F1826" t="s">
        <v>8118</v>
      </c>
      <c r="G1826">
        <v>30</v>
      </c>
      <c r="I1826">
        <v>30</v>
      </c>
      <c r="L1826" t="s">
        <v>10</v>
      </c>
      <c r="M1826">
        <v>511351</v>
      </c>
      <c r="N1826">
        <v>9</v>
      </c>
      <c r="O1826">
        <v>0.1111111111111111</v>
      </c>
      <c r="P1826" t="s">
        <v>7015</v>
      </c>
      <c r="T1826">
        <v>0</v>
      </c>
      <c r="U1826">
        <v>0</v>
      </c>
      <c r="V1826">
        <v>3</v>
      </c>
    </row>
    <row r="1827" spans="1:22" x14ac:dyDescent="0.2">
      <c r="A1827" t="s">
        <v>2212</v>
      </c>
      <c r="B1827" t="s">
        <v>2213</v>
      </c>
      <c r="C1827" t="s">
        <v>2146</v>
      </c>
      <c r="D1827" t="s">
        <v>228</v>
      </c>
      <c r="E1827">
        <v>39.99</v>
      </c>
      <c r="F1827" t="s">
        <v>8118</v>
      </c>
      <c r="G1827">
        <v>98</v>
      </c>
      <c r="H1827">
        <v>2</v>
      </c>
      <c r="I1827">
        <v>96</v>
      </c>
      <c r="L1827" t="s">
        <v>10</v>
      </c>
      <c r="M1827">
        <v>654280</v>
      </c>
      <c r="N1827">
        <v>16</v>
      </c>
      <c r="O1827">
        <v>6.1244979919678713E-2</v>
      </c>
      <c r="P1827" t="s">
        <v>7015</v>
      </c>
      <c r="T1827">
        <v>5</v>
      </c>
      <c r="U1827">
        <v>79.98</v>
      </c>
      <c r="V1827">
        <v>83</v>
      </c>
    </row>
    <row r="1828" spans="1:22" x14ac:dyDescent="0.2">
      <c r="A1828" t="s">
        <v>2214</v>
      </c>
      <c r="B1828" t="s">
        <v>2215</v>
      </c>
      <c r="C1828" t="s">
        <v>2146</v>
      </c>
      <c r="D1828" t="s">
        <v>228</v>
      </c>
      <c r="E1828">
        <v>99.99</v>
      </c>
      <c r="F1828" t="s">
        <v>8118</v>
      </c>
      <c r="G1828">
        <v>8</v>
      </c>
      <c r="I1828">
        <v>8</v>
      </c>
      <c r="L1828" t="s">
        <v>10</v>
      </c>
      <c r="M1828">
        <v>654282</v>
      </c>
      <c r="N1828">
        <v>1</v>
      </c>
      <c r="O1828">
        <v>1</v>
      </c>
      <c r="P1828" t="s">
        <v>7015</v>
      </c>
      <c r="T1828">
        <v>1</v>
      </c>
      <c r="U1828">
        <v>0</v>
      </c>
      <c r="V1828">
        <v>1</v>
      </c>
    </row>
    <row r="1829" spans="1:22" x14ac:dyDescent="0.2">
      <c r="A1829" t="s">
        <v>2220</v>
      </c>
      <c r="B1829" t="s">
        <v>2221</v>
      </c>
      <c r="C1829" t="s">
        <v>2146</v>
      </c>
      <c r="D1829" t="s">
        <v>228</v>
      </c>
      <c r="E1829">
        <v>54.99</v>
      </c>
      <c r="F1829" t="s">
        <v>8118</v>
      </c>
      <c r="G1829">
        <v>478</v>
      </c>
      <c r="H1829">
        <v>19</v>
      </c>
      <c r="I1829">
        <v>459</v>
      </c>
      <c r="L1829" t="s">
        <v>10</v>
      </c>
      <c r="N1829">
        <v>41</v>
      </c>
      <c r="O1829">
        <v>2.4101307189542485E-2</v>
      </c>
      <c r="P1829" t="s">
        <v>7015</v>
      </c>
      <c r="T1829">
        <v>10</v>
      </c>
      <c r="U1829">
        <v>659.88</v>
      </c>
      <c r="V1829">
        <v>408</v>
      </c>
    </row>
    <row r="1830" spans="1:22" x14ac:dyDescent="0.2">
      <c r="A1830" t="s">
        <v>2222</v>
      </c>
      <c r="B1830" t="s">
        <v>2223</v>
      </c>
      <c r="C1830" t="s">
        <v>2146</v>
      </c>
      <c r="D1830" t="s">
        <v>228</v>
      </c>
      <c r="E1830">
        <v>99.99</v>
      </c>
      <c r="F1830" t="s">
        <v>8118</v>
      </c>
      <c r="G1830">
        <v>27</v>
      </c>
      <c r="H1830">
        <v>27</v>
      </c>
      <c r="J1830">
        <v>30</v>
      </c>
      <c r="K1830">
        <v>608</v>
      </c>
      <c r="L1830" t="s">
        <v>10</v>
      </c>
      <c r="N1830">
        <v>14</v>
      </c>
      <c r="O1830">
        <v>7.1428571428571425E-2</v>
      </c>
      <c r="P1830" t="s">
        <v>7015</v>
      </c>
      <c r="T1830">
        <v>22</v>
      </c>
      <c r="U1830">
        <v>1899.81</v>
      </c>
      <c r="V1830">
        <v>308</v>
      </c>
    </row>
    <row r="1831" spans="1:22" x14ac:dyDescent="0.2">
      <c r="A1831" t="s">
        <v>2224</v>
      </c>
      <c r="B1831" t="s">
        <v>2225</v>
      </c>
      <c r="C1831" t="s">
        <v>2146</v>
      </c>
      <c r="D1831" t="s">
        <v>228</v>
      </c>
      <c r="E1831">
        <v>179.99</v>
      </c>
      <c r="F1831" t="s">
        <v>8118</v>
      </c>
      <c r="G1831">
        <v>28</v>
      </c>
      <c r="H1831">
        <v>27</v>
      </c>
      <c r="I1831">
        <v>1</v>
      </c>
      <c r="J1831">
        <v>29</v>
      </c>
      <c r="K1831">
        <v>80</v>
      </c>
      <c r="L1831" t="s">
        <v>10</v>
      </c>
      <c r="N1831">
        <v>1</v>
      </c>
      <c r="O1831">
        <v>0.75</v>
      </c>
      <c r="P1831" t="s">
        <v>7015</v>
      </c>
      <c r="T1831">
        <v>3</v>
      </c>
      <c r="U1831">
        <v>719.96</v>
      </c>
      <c r="V1831">
        <v>4</v>
      </c>
    </row>
    <row r="1832" spans="1:22" x14ac:dyDescent="0.2">
      <c r="A1832" t="s">
        <v>2232</v>
      </c>
      <c r="B1832" t="s">
        <v>2233</v>
      </c>
      <c r="C1832" t="s">
        <v>2146</v>
      </c>
      <c r="D1832" t="s">
        <v>228</v>
      </c>
      <c r="E1832">
        <v>39.99</v>
      </c>
      <c r="F1832" t="s">
        <v>8118</v>
      </c>
      <c r="K1832">
        <v>48</v>
      </c>
      <c r="L1832" t="s">
        <v>10</v>
      </c>
      <c r="M1832">
        <v>485222</v>
      </c>
      <c r="N1832">
        <v>126</v>
      </c>
      <c r="O1832">
        <v>7.9075425790754248E-3</v>
      </c>
      <c r="P1832" t="s">
        <v>7015</v>
      </c>
      <c r="T1832">
        <v>1</v>
      </c>
      <c r="U1832">
        <v>-39.99</v>
      </c>
      <c r="V1832">
        <v>137</v>
      </c>
    </row>
    <row r="1833" spans="1:22" x14ac:dyDescent="0.2">
      <c r="A1833" t="s">
        <v>2264</v>
      </c>
      <c r="B1833" t="s">
        <v>2265</v>
      </c>
      <c r="C1833" t="s">
        <v>2146</v>
      </c>
      <c r="D1833" t="s">
        <v>290</v>
      </c>
      <c r="E1833">
        <v>99.99</v>
      </c>
      <c r="F1833" t="s">
        <v>8118</v>
      </c>
      <c r="L1833" t="s">
        <v>10</v>
      </c>
      <c r="M1833">
        <v>560363</v>
      </c>
      <c r="N1833">
        <v>0</v>
      </c>
      <c r="O1833">
        <v>0</v>
      </c>
      <c r="P1833" t="s">
        <v>290</v>
      </c>
      <c r="T1833">
        <v>0</v>
      </c>
      <c r="U1833">
        <v>0</v>
      </c>
      <c r="V1833">
        <v>1</v>
      </c>
    </row>
    <row r="1834" spans="1:22" x14ac:dyDescent="0.2">
      <c r="A1834" t="s">
        <v>2274</v>
      </c>
      <c r="B1834" t="s">
        <v>2275</v>
      </c>
      <c r="C1834" t="s">
        <v>2146</v>
      </c>
      <c r="D1834" t="s">
        <v>290</v>
      </c>
      <c r="E1834">
        <v>349.99</v>
      </c>
      <c r="F1834" t="s">
        <v>8118</v>
      </c>
      <c r="L1834" t="s">
        <v>10</v>
      </c>
      <c r="M1834">
        <v>887774</v>
      </c>
      <c r="N1834">
        <v>0</v>
      </c>
      <c r="O1834">
        <v>0</v>
      </c>
      <c r="P1834" t="s">
        <v>290</v>
      </c>
      <c r="T1834">
        <v>0</v>
      </c>
      <c r="U1834">
        <v>0</v>
      </c>
      <c r="V1834">
        <v>0</v>
      </c>
    </row>
    <row r="1835" spans="1:22" x14ac:dyDescent="0.2">
      <c r="A1835" t="s">
        <v>2272</v>
      </c>
      <c r="B1835" t="s">
        <v>2273</v>
      </c>
      <c r="C1835" t="s">
        <v>2146</v>
      </c>
      <c r="D1835" t="s">
        <v>96</v>
      </c>
      <c r="E1835">
        <v>119.99</v>
      </c>
      <c r="F1835" t="s">
        <v>8118</v>
      </c>
      <c r="L1835" t="s">
        <v>10</v>
      </c>
      <c r="M1835">
        <v>887771</v>
      </c>
      <c r="N1835">
        <v>0</v>
      </c>
      <c r="O1835">
        <v>0</v>
      </c>
      <c r="P1835" t="s">
        <v>290</v>
      </c>
      <c r="T1835">
        <v>0</v>
      </c>
      <c r="U1835">
        <v>0</v>
      </c>
      <c r="V1835">
        <v>0</v>
      </c>
    </row>
    <row r="1836" spans="1:22" x14ac:dyDescent="0.2">
      <c r="A1836" t="s">
        <v>2258</v>
      </c>
      <c r="B1836" t="s">
        <v>2259</v>
      </c>
      <c r="C1836" t="s">
        <v>2146</v>
      </c>
      <c r="D1836" t="s">
        <v>228</v>
      </c>
      <c r="E1836">
        <v>99.99</v>
      </c>
      <c r="F1836" t="s">
        <v>8118</v>
      </c>
      <c r="G1836">
        <v>202</v>
      </c>
      <c r="H1836">
        <v>15</v>
      </c>
      <c r="I1836">
        <v>187</v>
      </c>
      <c r="K1836">
        <v>60</v>
      </c>
      <c r="L1836" t="s">
        <v>10</v>
      </c>
      <c r="M1836">
        <v>653734</v>
      </c>
      <c r="N1836">
        <v>15</v>
      </c>
      <c r="O1836">
        <v>6.7375886524822695E-2</v>
      </c>
      <c r="P1836" t="s">
        <v>7015</v>
      </c>
      <c r="T1836">
        <v>13</v>
      </c>
      <c r="U1836">
        <v>1399.86</v>
      </c>
      <c r="V1836">
        <v>188</v>
      </c>
    </row>
    <row r="1837" spans="1:22" x14ac:dyDescent="0.2">
      <c r="A1837" t="s">
        <v>2286</v>
      </c>
      <c r="B1837" t="s">
        <v>2287</v>
      </c>
      <c r="C1837" t="s">
        <v>2146</v>
      </c>
      <c r="D1837" t="s">
        <v>228</v>
      </c>
      <c r="E1837">
        <v>99.99</v>
      </c>
      <c r="F1837" t="s">
        <v>8118</v>
      </c>
      <c r="G1837">
        <v>159</v>
      </c>
      <c r="H1837">
        <v>1</v>
      </c>
      <c r="I1837">
        <v>158</v>
      </c>
      <c r="L1837" t="s">
        <v>10</v>
      </c>
      <c r="M1837">
        <v>542551</v>
      </c>
      <c r="N1837">
        <v>161</v>
      </c>
      <c r="O1837">
        <v>6.2189054726368162E-3</v>
      </c>
      <c r="P1837" t="s">
        <v>7015</v>
      </c>
      <c r="T1837">
        <v>0</v>
      </c>
      <c r="U1837">
        <v>0</v>
      </c>
      <c r="V1837">
        <v>67</v>
      </c>
    </row>
    <row r="1838" spans="1:22" x14ac:dyDescent="0.2">
      <c r="A1838" t="s">
        <v>2154</v>
      </c>
      <c r="B1838" t="s">
        <v>2155</v>
      </c>
      <c r="C1838" t="s">
        <v>2146</v>
      </c>
      <c r="D1838" t="s">
        <v>228</v>
      </c>
      <c r="E1838">
        <v>229.99</v>
      </c>
      <c r="F1838" t="s">
        <v>8118</v>
      </c>
      <c r="G1838">
        <v>20</v>
      </c>
      <c r="H1838">
        <v>20</v>
      </c>
      <c r="K1838">
        <v>375</v>
      </c>
      <c r="L1838" t="s">
        <v>10</v>
      </c>
      <c r="M1838">
        <v>654286</v>
      </c>
      <c r="N1838">
        <v>18</v>
      </c>
      <c r="O1838">
        <v>5.6020733652312603E-2</v>
      </c>
      <c r="P1838" t="s">
        <v>7015</v>
      </c>
      <c r="T1838">
        <v>23</v>
      </c>
      <c r="U1838">
        <v>5289.77</v>
      </c>
      <c r="V1838">
        <v>418</v>
      </c>
    </row>
    <row r="1839" spans="1:22" x14ac:dyDescent="0.2">
      <c r="A1839" t="s">
        <v>2294</v>
      </c>
      <c r="B1839" t="s">
        <v>2295</v>
      </c>
      <c r="C1839" t="s">
        <v>2146</v>
      </c>
      <c r="D1839" t="s">
        <v>290</v>
      </c>
      <c r="E1839">
        <v>99.99</v>
      </c>
      <c r="F1839" t="s">
        <v>8118</v>
      </c>
      <c r="L1839" t="s">
        <v>10</v>
      </c>
      <c r="M1839">
        <v>616717</v>
      </c>
      <c r="N1839">
        <v>24</v>
      </c>
      <c r="O1839">
        <v>4.1666666666666664E-2</v>
      </c>
      <c r="P1839" t="s">
        <v>7015</v>
      </c>
      <c r="T1839">
        <v>0</v>
      </c>
      <c r="U1839">
        <v>0</v>
      </c>
      <c r="V1839">
        <v>4</v>
      </c>
    </row>
    <row r="1840" spans="1:22" x14ac:dyDescent="0.2">
      <c r="A1840" t="s">
        <v>2296</v>
      </c>
      <c r="B1840" t="s">
        <v>2297</v>
      </c>
      <c r="C1840" t="s">
        <v>2146</v>
      </c>
      <c r="D1840" t="s">
        <v>290</v>
      </c>
      <c r="E1840">
        <v>229.99</v>
      </c>
      <c r="F1840" t="s">
        <v>8118</v>
      </c>
      <c r="G1840">
        <v>20</v>
      </c>
      <c r="I1840">
        <v>20</v>
      </c>
      <c r="L1840" t="s">
        <v>10</v>
      </c>
      <c r="M1840">
        <v>616716</v>
      </c>
      <c r="N1840">
        <v>0</v>
      </c>
      <c r="O1840">
        <v>0</v>
      </c>
      <c r="P1840" t="s">
        <v>7015</v>
      </c>
      <c r="T1840">
        <v>0</v>
      </c>
      <c r="U1840">
        <v>0</v>
      </c>
      <c r="V1840">
        <v>2</v>
      </c>
    </row>
    <row r="1841" spans="1:22" x14ac:dyDescent="0.2">
      <c r="A1841" t="s">
        <v>2290</v>
      </c>
      <c r="B1841" t="s">
        <v>2291</v>
      </c>
      <c r="C1841" t="s">
        <v>2146</v>
      </c>
      <c r="D1841" t="s">
        <v>228</v>
      </c>
      <c r="E1841">
        <v>539.99</v>
      </c>
      <c r="F1841" t="s">
        <v>8118</v>
      </c>
      <c r="L1841" t="s">
        <v>10</v>
      </c>
      <c r="M1841">
        <v>542550</v>
      </c>
      <c r="N1841">
        <v>12</v>
      </c>
      <c r="O1841">
        <v>8.3333333333333329E-2</v>
      </c>
      <c r="P1841" t="s">
        <v>7015</v>
      </c>
      <c r="T1841">
        <v>0</v>
      </c>
      <c r="U1841">
        <v>0</v>
      </c>
      <c r="V1841">
        <v>1</v>
      </c>
    </row>
    <row r="1842" spans="1:22" x14ac:dyDescent="0.2">
      <c r="A1842" t="s">
        <v>2292</v>
      </c>
      <c r="B1842" t="s">
        <v>2293</v>
      </c>
      <c r="C1842" t="s">
        <v>2146</v>
      </c>
      <c r="D1842" t="s">
        <v>228</v>
      </c>
      <c r="E1842">
        <v>349.99</v>
      </c>
      <c r="F1842" t="s">
        <v>8118</v>
      </c>
      <c r="G1842">
        <v>398</v>
      </c>
      <c r="I1842">
        <v>398</v>
      </c>
      <c r="L1842" t="s">
        <v>10</v>
      </c>
      <c r="M1842">
        <v>542549</v>
      </c>
      <c r="N1842">
        <v>76</v>
      </c>
      <c r="O1842">
        <v>1.3227513227513229E-2</v>
      </c>
      <c r="P1842" t="s">
        <v>7015</v>
      </c>
      <c r="T1842">
        <v>2</v>
      </c>
      <c r="U1842">
        <v>1049.97</v>
      </c>
      <c r="V1842">
        <v>126</v>
      </c>
    </row>
    <row r="1843" spans="1:22" x14ac:dyDescent="0.2">
      <c r="A1843" t="s">
        <v>5541</v>
      </c>
      <c r="B1843" t="s">
        <v>5542</v>
      </c>
      <c r="C1843" t="s">
        <v>2146</v>
      </c>
      <c r="D1843" t="s">
        <v>96</v>
      </c>
      <c r="E1843">
        <v>39.99</v>
      </c>
      <c r="F1843" t="s">
        <v>8118</v>
      </c>
      <c r="L1843" t="s">
        <v>10</v>
      </c>
      <c r="M1843">
        <v>774441</v>
      </c>
      <c r="N1843">
        <v>0</v>
      </c>
      <c r="O1843">
        <v>0</v>
      </c>
      <c r="P1843" t="s">
        <v>290</v>
      </c>
      <c r="T1843">
        <v>0</v>
      </c>
      <c r="U1843">
        <v>0</v>
      </c>
      <c r="V1843">
        <v>0</v>
      </c>
    </row>
    <row r="1844" spans="1:22" x14ac:dyDescent="0.2">
      <c r="A1844" t="s">
        <v>2334</v>
      </c>
      <c r="B1844" t="s">
        <v>2335</v>
      </c>
      <c r="C1844" t="s">
        <v>2146</v>
      </c>
      <c r="D1844" t="s">
        <v>228</v>
      </c>
      <c r="E1844">
        <v>99.99</v>
      </c>
      <c r="F1844" t="s">
        <v>8118</v>
      </c>
      <c r="G1844">
        <v>34</v>
      </c>
      <c r="H1844">
        <v>34</v>
      </c>
      <c r="L1844" t="s">
        <v>10</v>
      </c>
      <c r="M1844">
        <v>466790</v>
      </c>
      <c r="N1844">
        <v>39</v>
      </c>
      <c r="O1844">
        <v>2.5362318840579712E-2</v>
      </c>
      <c r="P1844" t="s">
        <v>7015</v>
      </c>
      <c r="T1844">
        <v>1</v>
      </c>
      <c r="U1844">
        <v>99.99</v>
      </c>
      <c r="V1844">
        <v>23</v>
      </c>
    </row>
    <row r="1845" spans="1:22" x14ac:dyDescent="0.2">
      <c r="A1845" t="s">
        <v>2336</v>
      </c>
      <c r="B1845" t="s">
        <v>2337</v>
      </c>
      <c r="C1845" t="s">
        <v>2146</v>
      </c>
      <c r="D1845" t="s">
        <v>228</v>
      </c>
      <c r="E1845">
        <v>229.99</v>
      </c>
      <c r="F1845" t="s">
        <v>8118</v>
      </c>
      <c r="G1845">
        <v>64</v>
      </c>
      <c r="H1845">
        <v>1</v>
      </c>
      <c r="I1845">
        <v>63</v>
      </c>
      <c r="L1845" t="s">
        <v>10</v>
      </c>
      <c r="M1845">
        <v>466791</v>
      </c>
      <c r="N1845">
        <v>7</v>
      </c>
      <c r="O1845">
        <v>0.1388888888888889</v>
      </c>
      <c r="P1845" t="s">
        <v>7015</v>
      </c>
      <c r="T1845">
        <v>0</v>
      </c>
      <c r="U1845">
        <v>0</v>
      </c>
      <c r="V1845">
        <v>3</v>
      </c>
    </row>
    <row r="1846" spans="1:22" x14ac:dyDescent="0.2">
      <c r="A1846" t="s">
        <v>2338</v>
      </c>
      <c r="B1846" t="s">
        <v>2339</v>
      </c>
      <c r="C1846" t="s">
        <v>2146</v>
      </c>
      <c r="D1846" t="s">
        <v>228</v>
      </c>
      <c r="E1846">
        <v>349.99</v>
      </c>
      <c r="F1846" t="s">
        <v>8118</v>
      </c>
      <c r="G1846">
        <v>322</v>
      </c>
      <c r="H1846">
        <v>13</v>
      </c>
      <c r="I1846">
        <v>309</v>
      </c>
      <c r="L1846" t="s">
        <v>10</v>
      </c>
      <c r="M1846">
        <v>466789</v>
      </c>
      <c r="N1846">
        <v>23</v>
      </c>
      <c r="O1846">
        <v>4.3738489871086562E-2</v>
      </c>
      <c r="P1846" t="s">
        <v>7015</v>
      </c>
      <c r="T1846">
        <v>8</v>
      </c>
      <c r="U1846">
        <v>2449.9300000000003</v>
      </c>
      <c r="V1846">
        <v>181</v>
      </c>
    </row>
    <row r="1847" spans="1:22" x14ac:dyDescent="0.2">
      <c r="A1847" t="s">
        <v>2238</v>
      </c>
      <c r="B1847" t="s">
        <v>2239</v>
      </c>
      <c r="C1847" t="s">
        <v>2146</v>
      </c>
      <c r="D1847" t="s">
        <v>228</v>
      </c>
      <c r="E1847">
        <v>129.99</v>
      </c>
      <c r="F1847" t="s">
        <v>8118</v>
      </c>
      <c r="G1847">
        <v>102</v>
      </c>
      <c r="H1847">
        <v>6</v>
      </c>
      <c r="I1847">
        <v>96</v>
      </c>
      <c r="L1847" t="s">
        <v>10</v>
      </c>
      <c r="M1847">
        <v>653738</v>
      </c>
      <c r="N1847">
        <v>21</v>
      </c>
      <c r="O1847">
        <v>4.6666666666666669E-2</v>
      </c>
      <c r="P1847" t="s">
        <v>7015</v>
      </c>
      <c r="T1847">
        <v>5</v>
      </c>
      <c r="U1847">
        <v>259.98</v>
      </c>
      <c r="V1847">
        <v>100</v>
      </c>
    </row>
    <row r="1848" spans="1:22" x14ac:dyDescent="0.2">
      <c r="A1848" t="s">
        <v>2236</v>
      </c>
      <c r="B1848" t="s">
        <v>2237</v>
      </c>
      <c r="C1848" t="s">
        <v>2146</v>
      </c>
      <c r="D1848" t="s">
        <v>290</v>
      </c>
      <c r="E1848">
        <v>89.99</v>
      </c>
      <c r="F1848" t="s">
        <v>8118</v>
      </c>
      <c r="G1848">
        <v>109</v>
      </c>
      <c r="H1848">
        <v>23</v>
      </c>
      <c r="I1848">
        <v>86</v>
      </c>
      <c r="L1848" t="s">
        <v>10</v>
      </c>
      <c r="M1848">
        <v>653737</v>
      </c>
      <c r="N1848">
        <v>21</v>
      </c>
      <c r="O1848">
        <v>4.7852474323062555E-2</v>
      </c>
      <c r="P1848" t="s">
        <v>7015</v>
      </c>
      <c r="T1848">
        <v>17</v>
      </c>
      <c r="U1848">
        <v>1259.8599999999999</v>
      </c>
      <c r="V1848">
        <v>357</v>
      </c>
    </row>
    <row r="1849" spans="1:22" x14ac:dyDescent="0.2">
      <c r="A1849" t="s">
        <v>2240</v>
      </c>
      <c r="B1849" t="s">
        <v>2241</v>
      </c>
      <c r="C1849" t="s">
        <v>2146</v>
      </c>
      <c r="D1849" t="s">
        <v>290</v>
      </c>
      <c r="E1849">
        <v>99.99</v>
      </c>
      <c r="F1849" t="s">
        <v>8118</v>
      </c>
      <c r="L1849" t="s">
        <v>10</v>
      </c>
      <c r="M1849">
        <v>485220</v>
      </c>
      <c r="N1849">
        <v>0</v>
      </c>
      <c r="O1849">
        <v>0</v>
      </c>
      <c r="P1849" t="s">
        <v>290</v>
      </c>
      <c r="T1849">
        <v>0</v>
      </c>
      <c r="U1849">
        <v>0</v>
      </c>
      <c r="V1849">
        <v>0</v>
      </c>
    </row>
    <row r="1850" spans="1:22" x14ac:dyDescent="0.2">
      <c r="A1850" t="s">
        <v>2234</v>
      </c>
      <c r="B1850" t="s">
        <v>2235</v>
      </c>
      <c r="C1850" t="s">
        <v>2146</v>
      </c>
      <c r="D1850" t="s">
        <v>290</v>
      </c>
      <c r="E1850">
        <v>49.99</v>
      </c>
      <c r="F1850" t="s">
        <v>8118</v>
      </c>
      <c r="L1850" t="s">
        <v>10</v>
      </c>
      <c r="M1850">
        <v>653736</v>
      </c>
      <c r="N1850">
        <v>22</v>
      </c>
      <c r="O1850">
        <v>4.6130952380952384E-2</v>
      </c>
      <c r="P1850" t="s">
        <v>7015</v>
      </c>
      <c r="T1850">
        <v>3</v>
      </c>
      <c r="U1850">
        <v>99.98</v>
      </c>
      <c r="V1850">
        <v>56</v>
      </c>
    </row>
    <row r="1851" spans="1:22" x14ac:dyDescent="0.2">
      <c r="A1851" t="s">
        <v>5549</v>
      </c>
      <c r="B1851" t="s">
        <v>5550</v>
      </c>
      <c r="C1851" t="s">
        <v>2146</v>
      </c>
      <c r="D1851" t="s">
        <v>290</v>
      </c>
      <c r="E1851">
        <v>79.989999999999995</v>
      </c>
      <c r="F1851" t="s">
        <v>8118</v>
      </c>
      <c r="L1851" t="s">
        <v>10</v>
      </c>
      <c r="M1851">
        <v>887772</v>
      </c>
      <c r="N1851">
        <v>0</v>
      </c>
      <c r="O1851">
        <v>0</v>
      </c>
      <c r="P1851" t="s">
        <v>290</v>
      </c>
      <c r="T1851">
        <v>0</v>
      </c>
      <c r="U1851">
        <v>0</v>
      </c>
      <c r="V1851">
        <v>0</v>
      </c>
    </row>
    <row r="1852" spans="1:22" x14ac:dyDescent="0.2">
      <c r="A1852" t="s">
        <v>2352</v>
      </c>
      <c r="B1852" t="s">
        <v>2353</v>
      </c>
      <c r="C1852" t="s">
        <v>2146</v>
      </c>
      <c r="D1852" t="s">
        <v>290</v>
      </c>
      <c r="E1852">
        <v>189.99</v>
      </c>
      <c r="F1852" t="s">
        <v>8118</v>
      </c>
      <c r="L1852" t="s">
        <v>10</v>
      </c>
      <c r="M1852">
        <v>485171</v>
      </c>
      <c r="N1852">
        <v>0</v>
      </c>
      <c r="O1852">
        <v>0</v>
      </c>
      <c r="P1852" t="s">
        <v>7015</v>
      </c>
      <c r="T1852">
        <v>0</v>
      </c>
      <c r="U1852">
        <v>0</v>
      </c>
      <c r="V1852">
        <v>5</v>
      </c>
    </row>
    <row r="1853" spans="1:22" x14ac:dyDescent="0.2">
      <c r="A1853" t="s">
        <v>2354</v>
      </c>
      <c r="B1853" t="s">
        <v>2355</v>
      </c>
      <c r="C1853" t="s">
        <v>2146</v>
      </c>
      <c r="D1853" t="s">
        <v>228</v>
      </c>
      <c r="E1853">
        <v>249.99</v>
      </c>
      <c r="F1853" t="s">
        <v>8118</v>
      </c>
      <c r="G1853">
        <v>87</v>
      </c>
      <c r="H1853">
        <v>1</v>
      </c>
      <c r="I1853">
        <v>86</v>
      </c>
      <c r="L1853" t="s">
        <v>10</v>
      </c>
      <c r="M1853">
        <v>616720</v>
      </c>
      <c r="N1853">
        <v>190</v>
      </c>
      <c r="O1853">
        <v>5.2742616033755281E-3</v>
      </c>
      <c r="P1853" t="s">
        <v>7015</v>
      </c>
      <c r="T1853">
        <v>0</v>
      </c>
      <c r="U1853">
        <v>0</v>
      </c>
      <c r="V1853">
        <v>79</v>
      </c>
    </row>
    <row r="1854" spans="1:22" x14ac:dyDescent="0.2">
      <c r="A1854" t="s">
        <v>2356</v>
      </c>
      <c r="B1854" t="s">
        <v>2357</v>
      </c>
      <c r="C1854" t="s">
        <v>2146</v>
      </c>
      <c r="D1854" t="s">
        <v>228</v>
      </c>
      <c r="E1854">
        <v>549.99</v>
      </c>
      <c r="F1854" t="s">
        <v>8118</v>
      </c>
      <c r="G1854">
        <v>40</v>
      </c>
      <c r="I1854">
        <v>40</v>
      </c>
      <c r="L1854" t="s">
        <v>10</v>
      </c>
      <c r="M1854">
        <v>529312</v>
      </c>
      <c r="N1854">
        <v>36</v>
      </c>
      <c r="O1854">
        <v>2.7777777777777776E-2</v>
      </c>
      <c r="P1854" t="s">
        <v>7015</v>
      </c>
      <c r="T1854">
        <v>0</v>
      </c>
      <c r="U1854">
        <v>0</v>
      </c>
      <c r="V1854">
        <v>3</v>
      </c>
    </row>
    <row r="1855" spans="1:22" x14ac:dyDescent="0.2">
      <c r="A1855" t="s">
        <v>2358</v>
      </c>
      <c r="B1855" t="s">
        <v>2359</v>
      </c>
      <c r="C1855" t="s">
        <v>2146</v>
      </c>
      <c r="D1855" t="s">
        <v>228</v>
      </c>
      <c r="E1855">
        <v>199.99</v>
      </c>
      <c r="F1855" t="s">
        <v>8118</v>
      </c>
      <c r="G1855">
        <v>118</v>
      </c>
      <c r="I1855">
        <v>118</v>
      </c>
      <c r="L1855" t="s">
        <v>10</v>
      </c>
      <c r="M1855">
        <v>485169</v>
      </c>
      <c r="N1855">
        <v>36</v>
      </c>
      <c r="O1855">
        <v>2.7777777777777776E-2</v>
      </c>
      <c r="P1855" t="s">
        <v>7015</v>
      </c>
      <c r="T1855">
        <v>0</v>
      </c>
      <c r="U1855">
        <v>0</v>
      </c>
      <c r="V1855">
        <v>3</v>
      </c>
    </row>
    <row r="1856" spans="1:22" x14ac:dyDescent="0.2">
      <c r="A1856" t="s">
        <v>2360</v>
      </c>
      <c r="B1856" t="s">
        <v>2361</v>
      </c>
      <c r="C1856" t="s">
        <v>2146</v>
      </c>
      <c r="D1856" t="s">
        <v>228</v>
      </c>
      <c r="E1856">
        <v>349.99</v>
      </c>
      <c r="F1856" t="s">
        <v>8118</v>
      </c>
      <c r="G1856">
        <v>278</v>
      </c>
      <c r="H1856">
        <v>1</v>
      </c>
      <c r="I1856">
        <v>277</v>
      </c>
      <c r="L1856" t="s">
        <v>10</v>
      </c>
      <c r="M1856">
        <v>485168</v>
      </c>
      <c r="N1856">
        <v>31</v>
      </c>
      <c r="O1856">
        <v>3.2178217821782179E-2</v>
      </c>
      <c r="P1856" t="s">
        <v>7015</v>
      </c>
      <c r="T1856">
        <v>3</v>
      </c>
      <c r="U1856">
        <v>699.98</v>
      </c>
      <c r="V1856">
        <v>101</v>
      </c>
    </row>
    <row r="1857" spans="1:22" x14ac:dyDescent="0.2">
      <c r="A1857" t="s">
        <v>2362</v>
      </c>
      <c r="B1857" t="s">
        <v>2363</v>
      </c>
      <c r="C1857" t="s">
        <v>2146</v>
      </c>
      <c r="D1857" t="s">
        <v>228</v>
      </c>
      <c r="E1857">
        <v>369.99</v>
      </c>
      <c r="F1857" t="s">
        <v>8118</v>
      </c>
      <c r="G1857">
        <v>40</v>
      </c>
      <c r="I1857">
        <v>40</v>
      </c>
      <c r="L1857" t="s">
        <v>10</v>
      </c>
      <c r="M1857">
        <v>616718</v>
      </c>
      <c r="N1857">
        <v>36</v>
      </c>
      <c r="O1857">
        <v>2.7777777777777776E-2</v>
      </c>
      <c r="P1857" t="s">
        <v>7015</v>
      </c>
      <c r="T1857">
        <v>0</v>
      </c>
      <c r="U1857">
        <v>0</v>
      </c>
      <c r="V1857">
        <v>3</v>
      </c>
    </row>
    <row r="1858" spans="1:22" x14ac:dyDescent="0.2">
      <c r="A1858" t="s">
        <v>2348</v>
      </c>
      <c r="B1858" t="s">
        <v>2349</v>
      </c>
      <c r="C1858" t="s">
        <v>2146</v>
      </c>
      <c r="D1858" t="s">
        <v>228</v>
      </c>
      <c r="E1858">
        <v>119.99</v>
      </c>
      <c r="F1858" t="s">
        <v>8118</v>
      </c>
      <c r="G1858">
        <v>20</v>
      </c>
      <c r="H1858">
        <v>17</v>
      </c>
      <c r="I1858">
        <v>3</v>
      </c>
      <c r="L1858" t="s">
        <v>10</v>
      </c>
      <c r="M1858">
        <v>616719</v>
      </c>
      <c r="N1858">
        <v>0</v>
      </c>
      <c r="O1858">
        <v>0</v>
      </c>
      <c r="P1858" t="s">
        <v>7015</v>
      </c>
      <c r="T1858">
        <v>0</v>
      </c>
      <c r="U1858">
        <v>0</v>
      </c>
      <c r="V1858">
        <v>4</v>
      </c>
    </row>
    <row r="1859" spans="1:22" x14ac:dyDescent="0.2">
      <c r="A1859" t="s">
        <v>2346</v>
      </c>
      <c r="B1859" t="s">
        <v>2347</v>
      </c>
      <c r="C1859" t="s">
        <v>2146</v>
      </c>
      <c r="D1859" t="s">
        <v>228</v>
      </c>
      <c r="E1859">
        <v>99.99</v>
      </c>
      <c r="F1859" t="s">
        <v>8118</v>
      </c>
      <c r="K1859">
        <v>30</v>
      </c>
      <c r="L1859" t="s">
        <v>10</v>
      </c>
      <c r="M1859">
        <v>485170</v>
      </c>
      <c r="N1859">
        <v>33</v>
      </c>
      <c r="O1859">
        <v>3.0701754385964911E-2</v>
      </c>
      <c r="P1859" t="s">
        <v>7015</v>
      </c>
      <c r="T1859">
        <v>1</v>
      </c>
      <c r="U1859">
        <v>299.96999999999997</v>
      </c>
      <c r="V1859">
        <v>38</v>
      </c>
    </row>
    <row r="1860" spans="1:22" x14ac:dyDescent="0.2">
      <c r="A1860" t="s">
        <v>2344</v>
      </c>
      <c r="B1860" t="s">
        <v>2345</v>
      </c>
      <c r="C1860" t="s">
        <v>2146</v>
      </c>
      <c r="D1860" t="s">
        <v>228</v>
      </c>
      <c r="E1860">
        <v>16.989999999999998</v>
      </c>
      <c r="F1860" t="s">
        <v>8118</v>
      </c>
      <c r="G1860">
        <v>58</v>
      </c>
      <c r="I1860">
        <v>58</v>
      </c>
      <c r="L1860" t="s">
        <v>10</v>
      </c>
      <c r="M1860">
        <v>485174</v>
      </c>
      <c r="N1860">
        <v>0</v>
      </c>
      <c r="O1860">
        <v>0</v>
      </c>
      <c r="P1860" t="s">
        <v>7015</v>
      </c>
      <c r="T1860">
        <v>0</v>
      </c>
      <c r="U1860">
        <v>0</v>
      </c>
      <c r="V1860">
        <v>0</v>
      </c>
    </row>
    <row r="1861" spans="1:22" x14ac:dyDescent="0.2">
      <c r="A1861" t="s">
        <v>2330</v>
      </c>
      <c r="B1861" t="s">
        <v>2331</v>
      </c>
      <c r="C1861" t="s">
        <v>2146</v>
      </c>
      <c r="D1861" t="s">
        <v>228</v>
      </c>
      <c r="E1861">
        <v>16.989999999999998</v>
      </c>
      <c r="F1861" t="s">
        <v>8118</v>
      </c>
      <c r="K1861">
        <v>200</v>
      </c>
      <c r="L1861" t="s">
        <v>7032</v>
      </c>
      <c r="M1861" t="s">
        <v>97</v>
      </c>
      <c r="N1861">
        <v>0</v>
      </c>
      <c r="O1861">
        <v>0</v>
      </c>
      <c r="T1861">
        <v>0</v>
      </c>
      <c r="U1861">
        <v>0</v>
      </c>
      <c r="V1861">
        <v>0</v>
      </c>
    </row>
    <row r="1862" spans="1:22" x14ac:dyDescent="0.2">
      <c r="A1862" t="s">
        <v>2342</v>
      </c>
      <c r="B1862" t="s">
        <v>2343</v>
      </c>
      <c r="C1862" t="s">
        <v>2146</v>
      </c>
      <c r="D1862" t="s">
        <v>228</v>
      </c>
      <c r="E1862">
        <v>16.989999999999998</v>
      </c>
      <c r="F1862" t="s">
        <v>8118</v>
      </c>
      <c r="G1862">
        <v>43</v>
      </c>
      <c r="I1862">
        <v>43</v>
      </c>
      <c r="L1862" t="s">
        <v>7032</v>
      </c>
      <c r="M1862" t="s">
        <v>97</v>
      </c>
      <c r="N1862">
        <v>0</v>
      </c>
      <c r="O1862">
        <v>0</v>
      </c>
      <c r="T1862">
        <v>0</v>
      </c>
      <c r="U1862">
        <v>0</v>
      </c>
      <c r="V1862">
        <v>1</v>
      </c>
    </row>
    <row r="1863" spans="1:22" x14ac:dyDescent="0.2">
      <c r="A1863" t="s">
        <v>2332</v>
      </c>
      <c r="B1863" t="s">
        <v>2333</v>
      </c>
      <c r="C1863" t="s">
        <v>2146</v>
      </c>
      <c r="D1863" t="s">
        <v>228</v>
      </c>
      <c r="E1863">
        <v>17.989999999999998</v>
      </c>
      <c r="F1863" t="s">
        <v>8118</v>
      </c>
      <c r="K1863">
        <v>100</v>
      </c>
      <c r="L1863" t="s">
        <v>7032</v>
      </c>
      <c r="M1863" t="s">
        <v>97</v>
      </c>
      <c r="N1863">
        <v>0</v>
      </c>
      <c r="O1863">
        <v>0</v>
      </c>
      <c r="T1863">
        <v>0</v>
      </c>
      <c r="U1863">
        <v>0</v>
      </c>
      <c r="V1863">
        <v>0</v>
      </c>
    </row>
    <row r="1864" spans="1:22" x14ac:dyDescent="0.2">
      <c r="A1864" t="s">
        <v>7075</v>
      </c>
      <c r="B1864" t="s">
        <v>7076</v>
      </c>
      <c r="C1864" t="s">
        <v>2146</v>
      </c>
      <c r="D1864" t="s">
        <v>96</v>
      </c>
      <c r="E1864">
        <v>16.989999999999998</v>
      </c>
      <c r="F1864" t="s">
        <v>8118</v>
      </c>
      <c r="L1864" t="s">
        <v>7032</v>
      </c>
      <c r="M1864" t="s">
        <v>97</v>
      </c>
      <c r="N1864">
        <v>0</v>
      </c>
      <c r="O1864">
        <v>0</v>
      </c>
      <c r="T1864">
        <v>0</v>
      </c>
      <c r="U1864">
        <v>0</v>
      </c>
      <c r="V1864">
        <v>0</v>
      </c>
    </row>
    <row r="1865" spans="1:22" x14ac:dyDescent="0.2">
      <c r="A1865" t="s">
        <v>7086</v>
      </c>
      <c r="B1865" t="s">
        <v>7087</v>
      </c>
      <c r="C1865" t="s">
        <v>2146</v>
      </c>
      <c r="D1865" t="s">
        <v>96</v>
      </c>
      <c r="E1865">
        <v>17.989999999999998</v>
      </c>
      <c r="F1865" t="s">
        <v>8118</v>
      </c>
      <c r="L1865" t="s">
        <v>7032</v>
      </c>
      <c r="M1865" t="s">
        <v>97</v>
      </c>
      <c r="N1865">
        <v>0</v>
      </c>
      <c r="O1865">
        <v>0</v>
      </c>
      <c r="T1865">
        <v>0</v>
      </c>
      <c r="U1865">
        <v>0</v>
      </c>
      <c r="V1865">
        <v>0</v>
      </c>
    </row>
    <row r="1866" spans="1:22" x14ac:dyDescent="0.2">
      <c r="A1866" t="s">
        <v>5538</v>
      </c>
      <c r="B1866" t="s">
        <v>5539</v>
      </c>
      <c r="C1866" t="s">
        <v>2146</v>
      </c>
      <c r="D1866" t="s">
        <v>96</v>
      </c>
      <c r="E1866">
        <v>44.99</v>
      </c>
      <c r="F1866" t="s">
        <v>8118</v>
      </c>
      <c r="L1866" t="s">
        <v>7032</v>
      </c>
      <c r="M1866" t="s">
        <v>97</v>
      </c>
      <c r="N1866">
        <v>0</v>
      </c>
      <c r="O1866">
        <v>0</v>
      </c>
      <c r="T1866">
        <v>0</v>
      </c>
      <c r="U1866">
        <v>0</v>
      </c>
      <c r="V1866">
        <v>0</v>
      </c>
    </row>
    <row r="1867" spans="1:22" x14ac:dyDescent="0.2">
      <c r="A1867" t="s">
        <v>2288</v>
      </c>
      <c r="B1867" t="s">
        <v>2289</v>
      </c>
      <c r="C1867" t="s">
        <v>2146</v>
      </c>
      <c r="D1867" t="s">
        <v>290</v>
      </c>
      <c r="E1867">
        <v>29.99</v>
      </c>
      <c r="F1867" t="s">
        <v>8118</v>
      </c>
      <c r="G1867">
        <v>2</v>
      </c>
      <c r="I1867">
        <v>2</v>
      </c>
      <c r="L1867" t="s">
        <v>7032</v>
      </c>
      <c r="M1867" t="s">
        <v>97</v>
      </c>
      <c r="N1867">
        <v>20</v>
      </c>
      <c r="O1867">
        <v>0.05</v>
      </c>
      <c r="T1867">
        <v>0.2</v>
      </c>
      <c r="U1867">
        <v>0</v>
      </c>
      <c r="V1867">
        <v>4</v>
      </c>
    </row>
    <row r="1868" spans="1:22" x14ac:dyDescent="0.2">
      <c r="A1868" t="s">
        <v>2298</v>
      </c>
      <c r="B1868" t="s">
        <v>2299</v>
      </c>
      <c r="C1868" t="s">
        <v>2146</v>
      </c>
      <c r="D1868" t="s">
        <v>228</v>
      </c>
      <c r="E1868">
        <v>16.989999999999998</v>
      </c>
      <c r="F1868" t="s">
        <v>8118</v>
      </c>
      <c r="G1868">
        <v>37</v>
      </c>
      <c r="I1868">
        <v>37</v>
      </c>
      <c r="L1868" t="s">
        <v>7032</v>
      </c>
      <c r="M1868" t="s">
        <v>97</v>
      </c>
      <c r="N1868">
        <v>0</v>
      </c>
      <c r="O1868">
        <v>0</v>
      </c>
      <c r="T1868">
        <v>0</v>
      </c>
      <c r="U1868">
        <v>0</v>
      </c>
      <c r="V1868">
        <v>1</v>
      </c>
    </row>
    <row r="1869" spans="1:22" x14ac:dyDescent="0.2">
      <c r="A1869" t="s">
        <v>2302</v>
      </c>
      <c r="B1869" t="s">
        <v>2303</v>
      </c>
      <c r="C1869" t="s">
        <v>2146</v>
      </c>
      <c r="D1869" t="s">
        <v>228</v>
      </c>
      <c r="E1869">
        <v>35.99</v>
      </c>
      <c r="F1869" t="s">
        <v>8118</v>
      </c>
      <c r="G1869">
        <v>15</v>
      </c>
      <c r="H1869">
        <v>2</v>
      </c>
      <c r="I1869">
        <v>13</v>
      </c>
      <c r="L1869" t="s">
        <v>7032</v>
      </c>
      <c r="M1869" t="s">
        <v>97</v>
      </c>
      <c r="N1869">
        <v>0</v>
      </c>
      <c r="O1869">
        <v>0</v>
      </c>
      <c r="T1869">
        <v>0</v>
      </c>
      <c r="U1869">
        <v>0</v>
      </c>
      <c r="V1869">
        <v>0</v>
      </c>
    </row>
    <row r="1870" spans="1:22" x14ac:dyDescent="0.2">
      <c r="A1870" t="s">
        <v>2304</v>
      </c>
      <c r="B1870" t="s">
        <v>2305</v>
      </c>
      <c r="C1870" t="s">
        <v>2146</v>
      </c>
      <c r="D1870" t="s">
        <v>228</v>
      </c>
      <c r="E1870">
        <v>35.99</v>
      </c>
      <c r="F1870" t="s">
        <v>8118</v>
      </c>
      <c r="G1870">
        <v>8</v>
      </c>
      <c r="I1870">
        <v>8</v>
      </c>
      <c r="L1870" t="s">
        <v>7032</v>
      </c>
      <c r="M1870" t="s">
        <v>97</v>
      </c>
      <c r="N1870">
        <v>0</v>
      </c>
      <c r="O1870">
        <v>0</v>
      </c>
      <c r="T1870">
        <v>0</v>
      </c>
      <c r="U1870">
        <v>0</v>
      </c>
      <c r="V1870">
        <v>0</v>
      </c>
    </row>
    <row r="1871" spans="1:22" x14ac:dyDescent="0.2">
      <c r="A1871" t="s">
        <v>2322</v>
      </c>
      <c r="B1871" t="s">
        <v>2323</v>
      </c>
      <c r="C1871" t="s">
        <v>2146</v>
      </c>
      <c r="D1871" t="s">
        <v>228</v>
      </c>
      <c r="E1871">
        <v>34.99</v>
      </c>
      <c r="F1871" t="s">
        <v>8118</v>
      </c>
      <c r="J1871">
        <v>1</v>
      </c>
      <c r="L1871" t="s">
        <v>7032</v>
      </c>
      <c r="M1871" t="s">
        <v>97</v>
      </c>
      <c r="N1871">
        <v>0</v>
      </c>
      <c r="O1871">
        <v>0</v>
      </c>
      <c r="T1871">
        <v>0</v>
      </c>
      <c r="U1871">
        <v>0</v>
      </c>
      <c r="V1871">
        <v>0</v>
      </c>
    </row>
    <row r="1872" spans="1:22" x14ac:dyDescent="0.2">
      <c r="A1872" t="s">
        <v>2324</v>
      </c>
      <c r="B1872" t="s">
        <v>2325</v>
      </c>
      <c r="C1872" t="s">
        <v>2146</v>
      </c>
      <c r="D1872" t="s">
        <v>228</v>
      </c>
      <c r="E1872">
        <v>89.99</v>
      </c>
      <c r="F1872" t="s">
        <v>8118</v>
      </c>
      <c r="L1872" t="s">
        <v>7032</v>
      </c>
      <c r="M1872" t="s">
        <v>97</v>
      </c>
      <c r="N1872">
        <v>0</v>
      </c>
      <c r="O1872">
        <v>0</v>
      </c>
      <c r="T1872">
        <v>0</v>
      </c>
      <c r="U1872">
        <v>0</v>
      </c>
      <c r="V1872">
        <v>2</v>
      </c>
    </row>
    <row r="1873" spans="1:22" x14ac:dyDescent="0.2">
      <c r="A1873" t="s">
        <v>2186</v>
      </c>
      <c r="B1873" t="s">
        <v>2187</v>
      </c>
      <c r="C1873" t="s">
        <v>2146</v>
      </c>
      <c r="D1873" t="s">
        <v>290</v>
      </c>
      <c r="E1873">
        <v>16.989999999999998</v>
      </c>
      <c r="F1873" t="s">
        <v>8118</v>
      </c>
      <c r="L1873" t="s">
        <v>7032</v>
      </c>
      <c r="M1873" t="s">
        <v>97</v>
      </c>
      <c r="N1873">
        <v>0</v>
      </c>
      <c r="O1873">
        <v>0</v>
      </c>
      <c r="T1873">
        <v>0</v>
      </c>
      <c r="U1873">
        <v>0</v>
      </c>
      <c r="V1873">
        <v>0</v>
      </c>
    </row>
    <row r="1874" spans="1:22" x14ac:dyDescent="0.2">
      <c r="A1874" t="s">
        <v>2180</v>
      </c>
      <c r="B1874" t="s">
        <v>2181</v>
      </c>
      <c r="C1874" t="s">
        <v>2146</v>
      </c>
      <c r="D1874" t="s">
        <v>290</v>
      </c>
      <c r="E1874">
        <v>17.989999999999998</v>
      </c>
      <c r="F1874" t="s">
        <v>8118</v>
      </c>
      <c r="L1874" t="s">
        <v>7032</v>
      </c>
      <c r="M1874" t="s">
        <v>97</v>
      </c>
      <c r="N1874">
        <v>0</v>
      </c>
      <c r="O1874">
        <v>0</v>
      </c>
      <c r="T1874">
        <v>0</v>
      </c>
      <c r="U1874">
        <v>0</v>
      </c>
      <c r="V1874">
        <v>0</v>
      </c>
    </row>
    <row r="1875" spans="1:22" x14ac:dyDescent="0.2">
      <c r="A1875" t="s">
        <v>2176</v>
      </c>
      <c r="B1875" t="s">
        <v>2177</v>
      </c>
      <c r="C1875" t="s">
        <v>2146</v>
      </c>
      <c r="D1875" t="s">
        <v>228</v>
      </c>
      <c r="E1875">
        <v>34.99</v>
      </c>
      <c r="F1875" t="s">
        <v>8118</v>
      </c>
      <c r="G1875">
        <v>5</v>
      </c>
      <c r="I1875">
        <v>5</v>
      </c>
      <c r="L1875" t="s">
        <v>7032</v>
      </c>
      <c r="M1875" t="s">
        <v>97</v>
      </c>
      <c r="N1875">
        <v>0</v>
      </c>
      <c r="O1875">
        <v>0</v>
      </c>
      <c r="T1875">
        <v>0</v>
      </c>
      <c r="U1875">
        <v>0</v>
      </c>
      <c r="V1875">
        <v>0</v>
      </c>
    </row>
    <row r="1876" spans="1:22" x14ac:dyDescent="0.2">
      <c r="A1876" t="s">
        <v>2326</v>
      </c>
      <c r="B1876" t="s">
        <v>2327</v>
      </c>
      <c r="C1876" t="s">
        <v>2146</v>
      </c>
      <c r="D1876" t="s">
        <v>228</v>
      </c>
      <c r="E1876">
        <v>79.989999999999995</v>
      </c>
      <c r="F1876" t="s">
        <v>8118</v>
      </c>
      <c r="L1876" t="s">
        <v>7032</v>
      </c>
      <c r="M1876" t="s">
        <v>97</v>
      </c>
      <c r="N1876">
        <v>0</v>
      </c>
      <c r="O1876">
        <v>0</v>
      </c>
      <c r="T1876">
        <v>0</v>
      </c>
      <c r="U1876">
        <v>0</v>
      </c>
      <c r="V1876">
        <v>0</v>
      </c>
    </row>
    <row r="1877" spans="1:22" x14ac:dyDescent="0.2">
      <c r="A1877" t="s">
        <v>2208</v>
      </c>
      <c r="B1877" t="s">
        <v>2209</v>
      </c>
      <c r="C1877" t="s">
        <v>2146</v>
      </c>
      <c r="D1877" t="s">
        <v>228</v>
      </c>
      <c r="E1877">
        <v>149.99</v>
      </c>
      <c r="F1877" t="s">
        <v>8118</v>
      </c>
      <c r="K1877">
        <v>6</v>
      </c>
      <c r="L1877" t="s">
        <v>7032</v>
      </c>
      <c r="M1877" t="s">
        <v>97</v>
      </c>
      <c r="N1877">
        <v>0</v>
      </c>
      <c r="O1877">
        <v>0</v>
      </c>
      <c r="T1877">
        <v>0</v>
      </c>
      <c r="U1877">
        <v>0</v>
      </c>
      <c r="V1877">
        <v>0</v>
      </c>
    </row>
    <row r="1878" spans="1:22" x14ac:dyDescent="0.2">
      <c r="A1878" t="s">
        <v>2220</v>
      </c>
      <c r="B1878" t="s">
        <v>2221</v>
      </c>
      <c r="C1878" t="s">
        <v>2146</v>
      </c>
      <c r="D1878" t="s">
        <v>228</v>
      </c>
      <c r="E1878">
        <v>54.99</v>
      </c>
      <c r="F1878" t="s">
        <v>8118</v>
      </c>
      <c r="G1878">
        <v>478</v>
      </c>
      <c r="H1878">
        <v>19</v>
      </c>
      <c r="I1878">
        <v>459</v>
      </c>
      <c r="L1878" t="s">
        <v>7032</v>
      </c>
      <c r="M1878" t="s">
        <v>97</v>
      </c>
      <c r="N1878">
        <v>0</v>
      </c>
      <c r="O1878">
        <v>0</v>
      </c>
      <c r="T1878">
        <v>0</v>
      </c>
      <c r="U1878">
        <v>0</v>
      </c>
      <c r="V1878">
        <v>1</v>
      </c>
    </row>
    <row r="1879" spans="1:22" x14ac:dyDescent="0.2">
      <c r="A1879" t="s">
        <v>2210</v>
      </c>
      <c r="B1879" t="s">
        <v>2211</v>
      </c>
      <c r="C1879" t="s">
        <v>2146</v>
      </c>
      <c r="D1879" t="s">
        <v>228</v>
      </c>
      <c r="E1879">
        <v>429.99</v>
      </c>
      <c r="F1879" t="s">
        <v>8118</v>
      </c>
      <c r="G1879">
        <v>30</v>
      </c>
      <c r="I1879">
        <v>30</v>
      </c>
      <c r="L1879" t="s">
        <v>7032</v>
      </c>
      <c r="M1879" t="s">
        <v>97</v>
      </c>
      <c r="N1879">
        <v>0</v>
      </c>
      <c r="O1879">
        <v>0</v>
      </c>
      <c r="T1879">
        <v>0</v>
      </c>
      <c r="U1879">
        <v>0</v>
      </c>
      <c r="V1879">
        <v>2</v>
      </c>
    </row>
    <row r="1880" spans="1:22" x14ac:dyDescent="0.2">
      <c r="A1880" t="s">
        <v>2212</v>
      </c>
      <c r="B1880" t="s">
        <v>2213</v>
      </c>
      <c r="C1880" t="s">
        <v>2146</v>
      </c>
      <c r="D1880" t="s">
        <v>228</v>
      </c>
      <c r="E1880">
        <v>39.99</v>
      </c>
      <c r="F1880" t="s">
        <v>8118</v>
      </c>
      <c r="G1880">
        <v>98</v>
      </c>
      <c r="H1880">
        <v>2</v>
      </c>
      <c r="I1880">
        <v>96</v>
      </c>
      <c r="L1880" t="s">
        <v>7032</v>
      </c>
      <c r="M1880" t="s">
        <v>97</v>
      </c>
      <c r="N1880">
        <v>0</v>
      </c>
      <c r="O1880">
        <v>0</v>
      </c>
      <c r="T1880">
        <v>0</v>
      </c>
      <c r="U1880">
        <v>0</v>
      </c>
      <c r="V1880">
        <v>1</v>
      </c>
    </row>
    <row r="1881" spans="1:22" x14ac:dyDescent="0.2">
      <c r="A1881" t="s">
        <v>2214</v>
      </c>
      <c r="B1881" t="s">
        <v>2215</v>
      </c>
      <c r="C1881" t="s">
        <v>2146</v>
      </c>
      <c r="D1881" t="s">
        <v>228</v>
      </c>
      <c r="E1881">
        <v>99.99</v>
      </c>
      <c r="F1881" t="s">
        <v>8118</v>
      </c>
      <c r="G1881">
        <v>8</v>
      </c>
      <c r="I1881">
        <v>8</v>
      </c>
      <c r="L1881" t="s">
        <v>7032</v>
      </c>
      <c r="M1881" t="s">
        <v>97</v>
      </c>
      <c r="N1881">
        <v>0</v>
      </c>
      <c r="O1881">
        <v>0</v>
      </c>
      <c r="T1881">
        <v>0</v>
      </c>
      <c r="U1881">
        <v>0</v>
      </c>
      <c r="V1881">
        <v>0</v>
      </c>
    </row>
    <row r="1882" spans="1:22" x14ac:dyDescent="0.2">
      <c r="A1882" t="s">
        <v>2252</v>
      </c>
      <c r="B1882" t="s">
        <v>2253</v>
      </c>
      <c r="C1882" t="s">
        <v>2146</v>
      </c>
      <c r="D1882" t="s">
        <v>290</v>
      </c>
      <c r="E1882">
        <v>99.99</v>
      </c>
      <c r="F1882" t="s">
        <v>8118</v>
      </c>
      <c r="L1882" t="s">
        <v>7032</v>
      </c>
      <c r="M1882" t="s">
        <v>97</v>
      </c>
      <c r="N1882">
        <v>0</v>
      </c>
      <c r="O1882">
        <v>0</v>
      </c>
      <c r="T1882">
        <v>0</v>
      </c>
      <c r="U1882">
        <v>0</v>
      </c>
      <c r="V1882">
        <v>1</v>
      </c>
    </row>
    <row r="1883" spans="1:22" x14ac:dyDescent="0.2">
      <c r="A1883" t="s">
        <v>2244</v>
      </c>
      <c r="B1883" t="s">
        <v>2245</v>
      </c>
      <c r="C1883" t="s">
        <v>2146</v>
      </c>
      <c r="D1883" t="s">
        <v>228</v>
      </c>
      <c r="E1883">
        <v>39.99</v>
      </c>
      <c r="F1883" t="s">
        <v>8118</v>
      </c>
      <c r="G1883">
        <v>231</v>
      </c>
      <c r="H1883">
        <v>38</v>
      </c>
      <c r="I1883">
        <v>193</v>
      </c>
      <c r="K1883">
        <v>80</v>
      </c>
      <c r="L1883" t="s">
        <v>7032</v>
      </c>
      <c r="M1883" t="s">
        <v>97</v>
      </c>
      <c r="N1883">
        <v>0</v>
      </c>
      <c r="O1883">
        <v>0</v>
      </c>
      <c r="T1883">
        <v>0.25</v>
      </c>
      <c r="U1883">
        <v>0</v>
      </c>
      <c r="V1883">
        <v>0</v>
      </c>
    </row>
    <row r="1884" spans="1:22" x14ac:dyDescent="0.2">
      <c r="A1884" t="s">
        <v>2246</v>
      </c>
      <c r="B1884" t="s">
        <v>2247</v>
      </c>
      <c r="C1884" t="s">
        <v>2146</v>
      </c>
      <c r="D1884" t="s">
        <v>228</v>
      </c>
      <c r="E1884">
        <v>99.99</v>
      </c>
      <c r="F1884" t="s">
        <v>8118</v>
      </c>
      <c r="G1884">
        <v>310</v>
      </c>
      <c r="H1884">
        <v>4</v>
      </c>
      <c r="I1884">
        <v>306</v>
      </c>
      <c r="L1884" t="s">
        <v>7032</v>
      </c>
      <c r="M1884" t="s">
        <v>97</v>
      </c>
      <c r="N1884">
        <v>0</v>
      </c>
      <c r="O1884">
        <v>0</v>
      </c>
      <c r="T1884">
        <v>0</v>
      </c>
      <c r="U1884">
        <v>0</v>
      </c>
      <c r="V1884">
        <v>1</v>
      </c>
    </row>
    <row r="1885" spans="1:22" x14ac:dyDescent="0.2">
      <c r="A1885" t="s">
        <v>2290</v>
      </c>
      <c r="B1885" t="s">
        <v>2291</v>
      </c>
      <c r="C1885" t="s">
        <v>2146</v>
      </c>
      <c r="D1885" t="s">
        <v>228</v>
      </c>
      <c r="E1885">
        <v>539.99</v>
      </c>
      <c r="F1885" t="s">
        <v>8118</v>
      </c>
      <c r="L1885" t="s">
        <v>7032</v>
      </c>
      <c r="M1885" t="s">
        <v>97</v>
      </c>
      <c r="N1885">
        <v>0</v>
      </c>
      <c r="O1885">
        <v>0</v>
      </c>
      <c r="T1885">
        <v>0</v>
      </c>
      <c r="U1885">
        <v>0</v>
      </c>
      <c r="V1885">
        <v>0</v>
      </c>
    </row>
    <row r="1886" spans="1:22" x14ac:dyDescent="0.2">
      <c r="A1886" t="s">
        <v>2292</v>
      </c>
      <c r="B1886" t="s">
        <v>2293</v>
      </c>
      <c r="C1886" t="s">
        <v>2146</v>
      </c>
      <c r="D1886" t="s">
        <v>228</v>
      </c>
      <c r="E1886">
        <v>349.99</v>
      </c>
      <c r="F1886" t="s">
        <v>8118</v>
      </c>
      <c r="G1886">
        <v>398</v>
      </c>
      <c r="I1886">
        <v>398</v>
      </c>
      <c r="L1886" t="s">
        <v>7032</v>
      </c>
      <c r="M1886" t="s">
        <v>97</v>
      </c>
      <c r="N1886">
        <v>0</v>
      </c>
      <c r="O1886">
        <v>0</v>
      </c>
      <c r="T1886">
        <v>0</v>
      </c>
      <c r="U1886">
        <v>0</v>
      </c>
      <c r="V1886">
        <v>1</v>
      </c>
    </row>
    <row r="1887" spans="1:22" x14ac:dyDescent="0.2">
      <c r="A1887" t="s">
        <v>5541</v>
      </c>
      <c r="B1887" t="s">
        <v>5542</v>
      </c>
      <c r="C1887" t="s">
        <v>2146</v>
      </c>
      <c r="D1887" t="s">
        <v>96</v>
      </c>
      <c r="E1887">
        <v>39.99</v>
      </c>
      <c r="F1887" t="s">
        <v>8118</v>
      </c>
      <c r="L1887" t="s">
        <v>7032</v>
      </c>
      <c r="M1887" t="s">
        <v>97</v>
      </c>
      <c r="N1887">
        <v>0</v>
      </c>
      <c r="O1887">
        <v>0</v>
      </c>
      <c r="T1887">
        <v>0</v>
      </c>
      <c r="U1887">
        <v>0</v>
      </c>
      <c r="V1887">
        <v>0</v>
      </c>
    </row>
    <row r="1888" spans="1:22" x14ac:dyDescent="0.2">
      <c r="A1888" t="s">
        <v>2334</v>
      </c>
      <c r="B1888" t="s">
        <v>2335</v>
      </c>
      <c r="C1888" t="s">
        <v>2146</v>
      </c>
      <c r="D1888" t="s">
        <v>228</v>
      </c>
      <c r="E1888">
        <v>99.99</v>
      </c>
      <c r="F1888" t="s">
        <v>8118</v>
      </c>
      <c r="G1888">
        <v>34</v>
      </c>
      <c r="H1888">
        <v>34</v>
      </c>
      <c r="L1888" t="s">
        <v>7032</v>
      </c>
      <c r="M1888" t="s">
        <v>97</v>
      </c>
      <c r="N1888">
        <v>0</v>
      </c>
      <c r="O1888">
        <v>0</v>
      </c>
      <c r="T1888">
        <v>0</v>
      </c>
      <c r="U1888">
        <v>0</v>
      </c>
      <c r="V1888">
        <v>1</v>
      </c>
    </row>
    <row r="1889" spans="1:22" x14ac:dyDescent="0.2">
      <c r="A1889" t="s">
        <v>2190</v>
      </c>
      <c r="B1889" t="s">
        <v>2191</v>
      </c>
      <c r="C1889" t="s">
        <v>2146</v>
      </c>
      <c r="D1889" t="s">
        <v>290</v>
      </c>
      <c r="E1889">
        <v>349.99</v>
      </c>
      <c r="F1889" t="s">
        <v>8118</v>
      </c>
      <c r="G1889">
        <v>46</v>
      </c>
      <c r="H1889">
        <v>4</v>
      </c>
      <c r="I1889">
        <v>42</v>
      </c>
      <c r="L1889" t="s">
        <v>7032</v>
      </c>
      <c r="M1889" t="s">
        <v>97</v>
      </c>
      <c r="N1889">
        <v>0</v>
      </c>
      <c r="O1889">
        <v>0</v>
      </c>
      <c r="T1889">
        <v>0</v>
      </c>
      <c r="U1889">
        <v>0</v>
      </c>
      <c r="V1889">
        <v>0</v>
      </c>
    </row>
    <row r="1890" spans="1:22" x14ac:dyDescent="0.2">
      <c r="A1890" t="s">
        <v>2188</v>
      </c>
      <c r="B1890" t="s">
        <v>2189</v>
      </c>
      <c r="C1890" t="s">
        <v>2146</v>
      </c>
      <c r="D1890" t="s">
        <v>96</v>
      </c>
      <c r="E1890">
        <v>199.99</v>
      </c>
      <c r="F1890" t="s">
        <v>8118</v>
      </c>
      <c r="L1890" t="s">
        <v>7032</v>
      </c>
      <c r="M1890" t="s">
        <v>97</v>
      </c>
      <c r="N1890">
        <v>0</v>
      </c>
      <c r="O1890">
        <v>0</v>
      </c>
      <c r="T1890">
        <v>0</v>
      </c>
      <c r="U1890">
        <v>0</v>
      </c>
      <c r="V1890">
        <v>0</v>
      </c>
    </row>
    <row r="1891" spans="1:22" x14ac:dyDescent="0.2">
      <c r="A1891" t="s">
        <v>2232</v>
      </c>
      <c r="B1891" t="s">
        <v>2233</v>
      </c>
      <c r="C1891" t="s">
        <v>2146</v>
      </c>
      <c r="D1891" t="s">
        <v>228</v>
      </c>
      <c r="E1891">
        <v>39.99</v>
      </c>
      <c r="F1891" t="s">
        <v>8118</v>
      </c>
      <c r="K1891">
        <v>48</v>
      </c>
      <c r="L1891" t="s">
        <v>7032</v>
      </c>
      <c r="M1891" t="s">
        <v>97</v>
      </c>
      <c r="N1891">
        <v>0</v>
      </c>
      <c r="O1891">
        <v>0</v>
      </c>
      <c r="T1891">
        <v>0</v>
      </c>
      <c r="U1891">
        <v>0</v>
      </c>
      <c r="V1891">
        <v>5</v>
      </c>
    </row>
    <row r="1892" spans="1:22" x14ac:dyDescent="0.2">
      <c r="A1892" t="s">
        <v>2234</v>
      </c>
      <c r="B1892" t="s">
        <v>2235</v>
      </c>
      <c r="C1892" t="s">
        <v>2146</v>
      </c>
      <c r="D1892" t="s">
        <v>290</v>
      </c>
      <c r="E1892">
        <v>49.99</v>
      </c>
      <c r="F1892" t="s">
        <v>8118</v>
      </c>
      <c r="L1892" t="s">
        <v>7032</v>
      </c>
      <c r="M1892" t="s">
        <v>97</v>
      </c>
      <c r="N1892">
        <v>0</v>
      </c>
      <c r="O1892">
        <v>0</v>
      </c>
      <c r="T1892">
        <v>0</v>
      </c>
      <c r="U1892">
        <v>0</v>
      </c>
      <c r="V1892">
        <v>3</v>
      </c>
    </row>
    <row r="1893" spans="1:22" x14ac:dyDescent="0.2">
      <c r="A1893" t="s">
        <v>2240</v>
      </c>
      <c r="B1893" t="s">
        <v>2241</v>
      </c>
      <c r="C1893" t="s">
        <v>2146</v>
      </c>
      <c r="D1893" t="s">
        <v>290</v>
      </c>
      <c r="E1893">
        <v>99.99</v>
      </c>
      <c r="F1893" t="s">
        <v>8118</v>
      </c>
      <c r="L1893" t="s">
        <v>7032</v>
      </c>
      <c r="M1893" t="s">
        <v>97</v>
      </c>
      <c r="N1893">
        <v>0</v>
      </c>
      <c r="O1893">
        <v>0</v>
      </c>
      <c r="T1893">
        <v>0</v>
      </c>
      <c r="U1893">
        <v>0</v>
      </c>
      <c r="V1893">
        <v>0</v>
      </c>
    </row>
    <row r="1894" spans="1:22" x14ac:dyDescent="0.2">
      <c r="A1894" t="s">
        <v>2236</v>
      </c>
      <c r="B1894" t="s">
        <v>2237</v>
      </c>
      <c r="C1894" t="s">
        <v>2146</v>
      </c>
      <c r="D1894" t="s">
        <v>290</v>
      </c>
      <c r="E1894">
        <v>89.99</v>
      </c>
      <c r="F1894" t="s">
        <v>8118</v>
      </c>
      <c r="G1894">
        <v>109</v>
      </c>
      <c r="H1894">
        <v>23</v>
      </c>
      <c r="I1894">
        <v>86</v>
      </c>
      <c r="L1894" t="s">
        <v>7032</v>
      </c>
      <c r="M1894" t="s">
        <v>97</v>
      </c>
      <c r="N1894">
        <v>0</v>
      </c>
      <c r="O1894">
        <v>0</v>
      </c>
      <c r="T1894">
        <v>0</v>
      </c>
      <c r="U1894">
        <v>0</v>
      </c>
      <c r="V1894">
        <v>0</v>
      </c>
    </row>
    <row r="1895" spans="1:22" x14ac:dyDescent="0.2">
      <c r="A1895" t="s">
        <v>2238</v>
      </c>
      <c r="B1895" t="s">
        <v>2239</v>
      </c>
      <c r="C1895" t="s">
        <v>2146</v>
      </c>
      <c r="D1895" t="s">
        <v>228</v>
      </c>
      <c r="E1895">
        <v>129.99</v>
      </c>
      <c r="F1895" t="s">
        <v>8118</v>
      </c>
      <c r="G1895">
        <v>102</v>
      </c>
      <c r="H1895">
        <v>6</v>
      </c>
      <c r="I1895">
        <v>96</v>
      </c>
      <c r="L1895" t="s">
        <v>7032</v>
      </c>
      <c r="M1895" t="s">
        <v>97</v>
      </c>
      <c r="N1895">
        <v>0</v>
      </c>
      <c r="O1895">
        <v>0</v>
      </c>
      <c r="T1895">
        <v>0</v>
      </c>
      <c r="U1895">
        <v>0</v>
      </c>
      <c r="V1895">
        <v>1</v>
      </c>
    </row>
    <row r="1896" spans="1:22" x14ac:dyDescent="0.2">
      <c r="A1896" t="s">
        <v>2242</v>
      </c>
      <c r="B1896" t="s">
        <v>2243</v>
      </c>
      <c r="C1896" t="s">
        <v>2146</v>
      </c>
      <c r="D1896" t="s">
        <v>290</v>
      </c>
      <c r="E1896">
        <v>39.99</v>
      </c>
      <c r="F1896" t="s">
        <v>8118</v>
      </c>
      <c r="G1896">
        <v>2</v>
      </c>
      <c r="I1896">
        <v>2</v>
      </c>
      <c r="L1896" t="s">
        <v>7032</v>
      </c>
      <c r="M1896" t="s">
        <v>97</v>
      </c>
      <c r="N1896">
        <v>0</v>
      </c>
      <c r="O1896">
        <v>0</v>
      </c>
      <c r="T1896">
        <v>0</v>
      </c>
      <c r="U1896">
        <v>0</v>
      </c>
      <c r="V1896">
        <v>0</v>
      </c>
    </row>
    <row r="1897" spans="1:22" x14ac:dyDescent="0.2">
      <c r="A1897" t="s">
        <v>2224</v>
      </c>
      <c r="B1897" t="s">
        <v>2225</v>
      </c>
      <c r="C1897" t="s">
        <v>2146</v>
      </c>
      <c r="D1897" t="s">
        <v>228</v>
      </c>
      <c r="E1897">
        <v>179.99</v>
      </c>
      <c r="F1897" t="s">
        <v>8118</v>
      </c>
      <c r="G1897">
        <v>28</v>
      </c>
      <c r="H1897">
        <v>27</v>
      </c>
      <c r="I1897">
        <v>1</v>
      </c>
      <c r="J1897">
        <v>29</v>
      </c>
      <c r="K1897">
        <v>80</v>
      </c>
      <c r="L1897" t="s">
        <v>7032</v>
      </c>
      <c r="M1897" t="s">
        <v>97</v>
      </c>
      <c r="N1897">
        <v>0</v>
      </c>
      <c r="O1897">
        <v>0</v>
      </c>
      <c r="T1897">
        <v>0</v>
      </c>
      <c r="U1897">
        <v>0</v>
      </c>
      <c r="V1897">
        <v>-3</v>
      </c>
    </row>
    <row r="1898" spans="1:22" x14ac:dyDescent="0.2">
      <c r="A1898" t="s">
        <v>2222</v>
      </c>
      <c r="B1898" t="s">
        <v>2223</v>
      </c>
      <c r="C1898" t="s">
        <v>2146</v>
      </c>
      <c r="D1898" t="s">
        <v>228</v>
      </c>
      <c r="E1898">
        <v>99.99</v>
      </c>
      <c r="F1898" t="s">
        <v>8118</v>
      </c>
      <c r="G1898">
        <v>27</v>
      </c>
      <c r="H1898">
        <v>27</v>
      </c>
      <c r="J1898">
        <v>30</v>
      </c>
      <c r="K1898">
        <v>608</v>
      </c>
      <c r="L1898" t="s">
        <v>7032</v>
      </c>
      <c r="M1898" t="s">
        <v>97</v>
      </c>
      <c r="N1898">
        <v>0</v>
      </c>
      <c r="O1898">
        <v>0</v>
      </c>
      <c r="T1898">
        <v>0</v>
      </c>
      <c r="U1898">
        <v>0</v>
      </c>
      <c r="V1898">
        <v>2</v>
      </c>
    </row>
    <row r="1899" spans="1:22" x14ac:dyDescent="0.2">
      <c r="A1899" t="s">
        <v>2184</v>
      </c>
      <c r="B1899" t="s">
        <v>2185</v>
      </c>
      <c r="C1899" t="s">
        <v>2146</v>
      </c>
      <c r="D1899" t="s">
        <v>290</v>
      </c>
      <c r="E1899">
        <v>44.99</v>
      </c>
      <c r="F1899" t="s">
        <v>8118</v>
      </c>
      <c r="L1899" t="s">
        <v>7032</v>
      </c>
      <c r="M1899" t="s">
        <v>97</v>
      </c>
      <c r="N1899">
        <v>0</v>
      </c>
      <c r="O1899">
        <v>0</v>
      </c>
      <c r="T1899">
        <v>0</v>
      </c>
      <c r="U1899">
        <v>0</v>
      </c>
      <c r="V1899">
        <v>0</v>
      </c>
    </row>
    <row r="1900" spans="1:22" x14ac:dyDescent="0.2">
      <c r="A1900" t="s">
        <v>2336</v>
      </c>
      <c r="B1900" t="s">
        <v>2337</v>
      </c>
      <c r="C1900" t="s">
        <v>2146</v>
      </c>
      <c r="D1900" t="s">
        <v>228</v>
      </c>
      <c r="E1900">
        <v>229.99</v>
      </c>
      <c r="F1900" t="s">
        <v>8118</v>
      </c>
      <c r="G1900">
        <v>64</v>
      </c>
      <c r="H1900">
        <v>1</v>
      </c>
      <c r="I1900">
        <v>63</v>
      </c>
      <c r="L1900" t="s">
        <v>7032</v>
      </c>
      <c r="M1900" t="s">
        <v>97</v>
      </c>
      <c r="N1900">
        <v>0</v>
      </c>
      <c r="O1900">
        <v>0</v>
      </c>
      <c r="T1900">
        <v>0</v>
      </c>
      <c r="U1900">
        <v>0</v>
      </c>
      <c r="V1900">
        <v>0</v>
      </c>
    </row>
    <row r="1901" spans="1:22" x14ac:dyDescent="0.2">
      <c r="A1901" t="s">
        <v>2296</v>
      </c>
      <c r="B1901" t="s">
        <v>2297</v>
      </c>
      <c r="C1901" t="s">
        <v>2146</v>
      </c>
      <c r="D1901" t="s">
        <v>290</v>
      </c>
      <c r="E1901">
        <v>229.99</v>
      </c>
      <c r="F1901" t="s">
        <v>8118</v>
      </c>
      <c r="G1901">
        <v>20</v>
      </c>
      <c r="I1901">
        <v>20</v>
      </c>
      <c r="L1901" t="s">
        <v>7032</v>
      </c>
      <c r="M1901" t="s">
        <v>97</v>
      </c>
      <c r="N1901">
        <v>0</v>
      </c>
      <c r="O1901">
        <v>0</v>
      </c>
      <c r="T1901">
        <v>0</v>
      </c>
      <c r="U1901">
        <v>0</v>
      </c>
      <c r="V1901">
        <v>0</v>
      </c>
    </row>
    <row r="1902" spans="1:22" x14ac:dyDescent="0.2">
      <c r="A1902" t="s">
        <v>2294</v>
      </c>
      <c r="B1902" t="s">
        <v>2295</v>
      </c>
      <c r="C1902" t="s">
        <v>2146</v>
      </c>
      <c r="D1902" t="s">
        <v>290</v>
      </c>
      <c r="E1902">
        <v>99.99</v>
      </c>
      <c r="F1902" t="s">
        <v>8118</v>
      </c>
      <c r="L1902" t="s">
        <v>7032</v>
      </c>
      <c r="M1902" t="s">
        <v>97</v>
      </c>
      <c r="N1902">
        <v>0</v>
      </c>
      <c r="O1902">
        <v>0</v>
      </c>
      <c r="T1902">
        <v>0</v>
      </c>
      <c r="U1902">
        <v>0</v>
      </c>
      <c r="V1902">
        <v>0</v>
      </c>
    </row>
    <row r="1903" spans="1:22" x14ac:dyDescent="0.2">
      <c r="A1903" t="s">
        <v>2256</v>
      </c>
      <c r="B1903" t="s">
        <v>2257</v>
      </c>
      <c r="C1903" t="s">
        <v>2146</v>
      </c>
      <c r="D1903" t="s">
        <v>228</v>
      </c>
      <c r="E1903">
        <v>39.99</v>
      </c>
      <c r="F1903" t="s">
        <v>8118</v>
      </c>
      <c r="G1903">
        <v>15</v>
      </c>
      <c r="H1903">
        <v>15</v>
      </c>
      <c r="K1903">
        <v>680</v>
      </c>
      <c r="L1903" t="s">
        <v>7032</v>
      </c>
      <c r="M1903" t="s">
        <v>97</v>
      </c>
      <c r="N1903">
        <v>0</v>
      </c>
      <c r="O1903">
        <v>0</v>
      </c>
      <c r="T1903">
        <v>0.25</v>
      </c>
      <c r="U1903">
        <v>0</v>
      </c>
      <c r="V1903">
        <v>0</v>
      </c>
    </row>
    <row r="1904" spans="1:22" x14ac:dyDescent="0.2">
      <c r="A1904" t="s">
        <v>2254</v>
      </c>
      <c r="B1904" t="s">
        <v>2255</v>
      </c>
      <c r="C1904" t="s">
        <v>2146</v>
      </c>
      <c r="D1904" t="s">
        <v>290</v>
      </c>
      <c r="E1904">
        <v>39.99</v>
      </c>
      <c r="F1904" t="s">
        <v>8118</v>
      </c>
      <c r="L1904" t="s">
        <v>7032</v>
      </c>
      <c r="M1904" t="s">
        <v>97</v>
      </c>
      <c r="N1904">
        <v>0</v>
      </c>
      <c r="O1904">
        <v>0</v>
      </c>
      <c r="T1904">
        <v>0</v>
      </c>
      <c r="U1904">
        <v>0</v>
      </c>
      <c r="V1904">
        <v>0</v>
      </c>
    </row>
    <row r="1905" spans="1:22" x14ac:dyDescent="0.2">
      <c r="A1905" t="s">
        <v>2264</v>
      </c>
      <c r="B1905" t="s">
        <v>2265</v>
      </c>
      <c r="C1905" t="s">
        <v>2146</v>
      </c>
      <c r="D1905" t="s">
        <v>290</v>
      </c>
      <c r="E1905">
        <v>99.99</v>
      </c>
      <c r="F1905" t="s">
        <v>8118</v>
      </c>
      <c r="L1905" t="s">
        <v>7032</v>
      </c>
      <c r="M1905" t="s">
        <v>97</v>
      </c>
      <c r="N1905">
        <v>0</v>
      </c>
      <c r="O1905">
        <v>0</v>
      </c>
      <c r="T1905">
        <v>0</v>
      </c>
      <c r="U1905">
        <v>0</v>
      </c>
      <c r="V1905">
        <v>0</v>
      </c>
    </row>
    <row r="1906" spans="1:22" x14ac:dyDescent="0.2">
      <c r="A1906" t="s">
        <v>2258</v>
      </c>
      <c r="B1906" t="s">
        <v>2259</v>
      </c>
      <c r="C1906" t="s">
        <v>2146</v>
      </c>
      <c r="D1906" t="s">
        <v>228</v>
      </c>
      <c r="E1906">
        <v>99.99</v>
      </c>
      <c r="F1906" t="s">
        <v>8118</v>
      </c>
      <c r="G1906">
        <v>202</v>
      </c>
      <c r="H1906">
        <v>15</v>
      </c>
      <c r="I1906">
        <v>187</v>
      </c>
      <c r="K1906">
        <v>60</v>
      </c>
      <c r="L1906" t="s">
        <v>7032</v>
      </c>
      <c r="M1906" t="s">
        <v>97</v>
      </c>
      <c r="N1906">
        <v>0</v>
      </c>
      <c r="O1906">
        <v>0</v>
      </c>
      <c r="T1906">
        <v>0</v>
      </c>
      <c r="U1906">
        <v>0</v>
      </c>
      <c r="V1906">
        <v>1</v>
      </c>
    </row>
    <row r="1907" spans="1:22" x14ac:dyDescent="0.2">
      <c r="A1907" t="s">
        <v>5545</v>
      </c>
      <c r="B1907" t="s">
        <v>5546</v>
      </c>
      <c r="C1907" t="s">
        <v>2146</v>
      </c>
      <c r="D1907" t="s">
        <v>96</v>
      </c>
      <c r="E1907">
        <v>579.99</v>
      </c>
      <c r="F1907" t="s">
        <v>8118</v>
      </c>
      <c r="L1907" t="s">
        <v>7032</v>
      </c>
      <c r="M1907" t="s">
        <v>97</v>
      </c>
      <c r="N1907">
        <v>0</v>
      </c>
      <c r="O1907">
        <v>0</v>
      </c>
      <c r="T1907">
        <v>0</v>
      </c>
      <c r="U1907">
        <v>0</v>
      </c>
      <c r="V1907">
        <v>0</v>
      </c>
    </row>
    <row r="1908" spans="1:22" x14ac:dyDescent="0.2">
      <c r="A1908" t="s">
        <v>2286</v>
      </c>
      <c r="B1908" t="s">
        <v>2287</v>
      </c>
      <c r="C1908" t="s">
        <v>2146</v>
      </c>
      <c r="D1908" t="s">
        <v>228</v>
      </c>
      <c r="E1908">
        <v>99.99</v>
      </c>
      <c r="F1908" t="s">
        <v>8118</v>
      </c>
      <c r="G1908">
        <v>159</v>
      </c>
      <c r="H1908">
        <v>1</v>
      </c>
      <c r="I1908">
        <v>158</v>
      </c>
      <c r="L1908" t="s">
        <v>7032</v>
      </c>
      <c r="M1908" t="s">
        <v>97</v>
      </c>
      <c r="N1908">
        <v>0</v>
      </c>
      <c r="O1908">
        <v>0</v>
      </c>
      <c r="T1908">
        <v>0.4</v>
      </c>
      <c r="U1908">
        <v>0</v>
      </c>
      <c r="V1908">
        <v>0</v>
      </c>
    </row>
    <row r="1909" spans="1:22" x14ac:dyDescent="0.2">
      <c r="A1909" t="s">
        <v>2182</v>
      </c>
      <c r="B1909" t="s">
        <v>2183</v>
      </c>
      <c r="C1909" t="s">
        <v>2146</v>
      </c>
      <c r="D1909" t="s">
        <v>290</v>
      </c>
      <c r="E1909">
        <v>109.99</v>
      </c>
      <c r="F1909" t="s">
        <v>8118</v>
      </c>
      <c r="L1909" t="s">
        <v>7032</v>
      </c>
      <c r="M1909" t="s">
        <v>97</v>
      </c>
      <c r="N1909">
        <v>0</v>
      </c>
      <c r="O1909">
        <v>0</v>
      </c>
      <c r="T1909">
        <v>0</v>
      </c>
      <c r="U1909">
        <v>0</v>
      </c>
      <c r="V1909">
        <v>0</v>
      </c>
    </row>
    <row r="1910" spans="1:22" x14ac:dyDescent="0.2">
      <c r="A1910" t="s">
        <v>2352</v>
      </c>
      <c r="B1910" t="s">
        <v>2353</v>
      </c>
      <c r="C1910" t="s">
        <v>2146</v>
      </c>
      <c r="D1910" t="s">
        <v>290</v>
      </c>
      <c r="E1910">
        <v>189.99</v>
      </c>
      <c r="F1910" t="s">
        <v>8118</v>
      </c>
      <c r="L1910" t="s">
        <v>7032</v>
      </c>
      <c r="M1910" t="s">
        <v>97</v>
      </c>
      <c r="N1910">
        <v>0</v>
      </c>
      <c r="O1910">
        <v>0</v>
      </c>
      <c r="T1910">
        <v>0.4</v>
      </c>
      <c r="U1910">
        <v>0</v>
      </c>
      <c r="V1910">
        <v>0</v>
      </c>
    </row>
    <row r="1911" spans="1:22" x14ac:dyDescent="0.2">
      <c r="A1911" t="s">
        <v>2362</v>
      </c>
      <c r="B1911" t="s">
        <v>2363</v>
      </c>
      <c r="C1911" t="s">
        <v>2146</v>
      </c>
      <c r="D1911" t="s">
        <v>228</v>
      </c>
      <c r="E1911">
        <v>369.99</v>
      </c>
      <c r="F1911" t="s">
        <v>8118</v>
      </c>
      <c r="G1911">
        <v>40</v>
      </c>
      <c r="I1911">
        <v>40</v>
      </c>
      <c r="L1911" t="s">
        <v>7032</v>
      </c>
      <c r="M1911" t="s">
        <v>97</v>
      </c>
      <c r="N1911">
        <v>0</v>
      </c>
      <c r="O1911">
        <v>0</v>
      </c>
      <c r="T1911">
        <v>0</v>
      </c>
      <c r="U1911">
        <v>0</v>
      </c>
      <c r="V1911">
        <v>3</v>
      </c>
    </row>
    <row r="1912" spans="1:22" x14ac:dyDescent="0.2">
      <c r="A1912" t="s">
        <v>2356</v>
      </c>
      <c r="B1912" t="s">
        <v>2357</v>
      </c>
      <c r="C1912" t="s">
        <v>2146</v>
      </c>
      <c r="D1912" t="s">
        <v>228</v>
      </c>
      <c r="E1912">
        <v>549.99</v>
      </c>
      <c r="F1912" t="s">
        <v>8118</v>
      </c>
      <c r="G1912">
        <v>40</v>
      </c>
      <c r="I1912">
        <v>40</v>
      </c>
      <c r="L1912" t="s">
        <v>7032</v>
      </c>
      <c r="M1912" t="s">
        <v>97</v>
      </c>
      <c r="N1912">
        <v>0</v>
      </c>
      <c r="O1912">
        <v>0</v>
      </c>
      <c r="T1912">
        <v>0</v>
      </c>
      <c r="U1912">
        <v>0</v>
      </c>
      <c r="V1912">
        <v>3</v>
      </c>
    </row>
    <row r="1913" spans="1:22" x14ac:dyDescent="0.2">
      <c r="A1913" t="s">
        <v>2348</v>
      </c>
      <c r="B1913" t="s">
        <v>2349</v>
      </c>
      <c r="C1913" t="s">
        <v>2146</v>
      </c>
      <c r="D1913" t="s">
        <v>228</v>
      </c>
      <c r="E1913">
        <v>119.99</v>
      </c>
      <c r="F1913" t="s">
        <v>8118</v>
      </c>
      <c r="G1913">
        <v>20</v>
      </c>
      <c r="H1913">
        <v>17</v>
      </c>
      <c r="I1913">
        <v>3</v>
      </c>
      <c r="L1913" t="s">
        <v>7032</v>
      </c>
      <c r="M1913" t="s">
        <v>97</v>
      </c>
      <c r="N1913">
        <v>0</v>
      </c>
      <c r="O1913">
        <v>0</v>
      </c>
      <c r="T1913">
        <v>0</v>
      </c>
      <c r="U1913">
        <v>0</v>
      </c>
      <c r="V1913">
        <v>0</v>
      </c>
    </row>
    <row r="1914" spans="1:22" x14ac:dyDescent="0.2">
      <c r="A1914" t="s">
        <v>2340</v>
      </c>
      <c r="B1914" t="s">
        <v>2341</v>
      </c>
      <c r="C1914" t="s">
        <v>2146</v>
      </c>
      <c r="D1914" t="s">
        <v>228</v>
      </c>
      <c r="E1914">
        <v>549.99</v>
      </c>
      <c r="F1914" t="s">
        <v>8118</v>
      </c>
      <c r="G1914">
        <v>41</v>
      </c>
      <c r="I1914">
        <v>41</v>
      </c>
      <c r="L1914" t="s">
        <v>7032</v>
      </c>
      <c r="M1914" t="s">
        <v>97</v>
      </c>
      <c r="N1914">
        <v>0</v>
      </c>
      <c r="O1914">
        <v>0</v>
      </c>
      <c r="T1914">
        <v>0</v>
      </c>
      <c r="U1914">
        <v>0</v>
      </c>
      <c r="V1914">
        <v>0</v>
      </c>
    </row>
    <row r="1915" spans="1:22" x14ac:dyDescent="0.2">
      <c r="A1915" t="s">
        <v>2344</v>
      </c>
      <c r="B1915" t="s">
        <v>2345</v>
      </c>
      <c r="C1915" t="s">
        <v>2146</v>
      </c>
      <c r="D1915" t="s">
        <v>228</v>
      </c>
      <c r="E1915">
        <v>16.989999999999998</v>
      </c>
      <c r="F1915" t="s">
        <v>8118</v>
      </c>
      <c r="G1915">
        <v>58</v>
      </c>
      <c r="I1915">
        <v>58</v>
      </c>
      <c r="L1915" t="s">
        <v>7032</v>
      </c>
      <c r="M1915" t="s">
        <v>97</v>
      </c>
      <c r="N1915">
        <v>0</v>
      </c>
      <c r="O1915">
        <v>0</v>
      </c>
      <c r="T1915">
        <v>0</v>
      </c>
      <c r="U1915">
        <v>0</v>
      </c>
      <c r="V1915">
        <v>2</v>
      </c>
    </row>
    <row r="1916" spans="1:22" x14ac:dyDescent="0.2">
      <c r="A1916" t="s">
        <v>2346</v>
      </c>
      <c r="B1916" t="s">
        <v>2347</v>
      </c>
      <c r="C1916" t="s">
        <v>2146</v>
      </c>
      <c r="D1916" t="s">
        <v>228</v>
      </c>
      <c r="E1916">
        <v>99.99</v>
      </c>
      <c r="F1916" t="s">
        <v>8118</v>
      </c>
      <c r="K1916">
        <v>30</v>
      </c>
      <c r="L1916" t="s">
        <v>7032</v>
      </c>
      <c r="M1916" t="s">
        <v>97</v>
      </c>
      <c r="N1916">
        <v>0</v>
      </c>
      <c r="O1916">
        <v>0</v>
      </c>
      <c r="T1916">
        <v>0</v>
      </c>
      <c r="U1916">
        <v>0</v>
      </c>
      <c r="V1916">
        <v>1</v>
      </c>
    </row>
    <row r="1917" spans="1:22" x14ac:dyDescent="0.2">
      <c r="A1917" t="s">
        <v>2354</v>
      </c>
      <c r="B1917" t="s">
        <v>2355</v>
      </c>
      <c r="C1917" t="s">
        <v>2146</v>
      </c>
      <c r="D1917" t="s">
        <v>228</v>
      </c>
      <c r="E1917">
        <v>249.99</v>
      </c>
      <c r="F1917" t="s">
        <v>8118</v>
      </c>
      <c r="G1917">
        <v>87</v>
      </c>
      <c r="H1917">
        <v>1</v>
      </c>
      <c r="I1917">
        <v>86</v>
      </c>
      <c r="L1917" t="s">
        <v>7032</v>
      </c>
      <c r="M1917" t="s">
        <v>97</v>
      </c>
      <c r="N1917">
        <v>0</v>
      </c>
      <c r="O1917">
        <v>0</v>
      </c>
      <c r="T1917">
        <v>0</v>
      </c>
      <c r="U1917">
        <v>0</v>
      </c>
      <c r="V1917">
        <v>0</v>
      </c>
    </row>
    <row r="1918" spans="1:22" x14ac:dyDescent="0.2">
      <c r="A1918" t="s">
        <v>2350</v>
      </c>
      <c r="B1918" t="s">
        <v>2351</v>
      </c>
      <c r="C1918" t="s">
        <v>2146</v>
      </c>
      <c r="D1918" t="s">
        <v>228</v>
      </c>
      <c r="E1918">
        <v>189.99</v>
      </c>
      <c r="F1918" t="s">
        <v>8118</v>
      </c>
      <c r="G1918">
        <v>20</v>
      </c>
      <c r="H1918">
        <v>2</v>
      </c>
      <c r="I1918">
        <v>18</v>
      </c>
      <c r="L1918" t="s">
        <v>7032</v>
      </c>
      <c r="M1918" t="s">
        <v>97</v>
      </c>
      <c r="N1918">
        <v>0</v>
      </c>
      <c r="O1918">
        <v>0</v>
      </c>
      <c r="T1918">
        <v>0</v>
      </c>
      <c r="U1918">
        <v>0</v>
      </c>
      <c r="V1918">
        <v>0</v>
      </c>
    </row>
    <row r="1919" spans="1:22" x14ac:dyDescent="0.2">
      <c r="A1919" t="s">
        <v>2360</v>
      </c>
      <c r="B1919" t="s">
        <v>2361</v>
      </c>
      <c r="C1919" t="s">
        <v>2146</v>
      </c>
      <c r="D1919" t="s">
        <v>228</v>
      </c>
      <c r="E1919">
        <v>349.99</v>
      </c>
      <c r="F1919" t="s">
        <v>8118</v>
      </c>
      <c r="G1919">
        <v>278</v>
      </c>
      <c r="H1919">
        <v>1</v>
      </c>
      <c r="I1919">
        <v>277</v>
      </c>
      <c r="L1919" t="s">
        <v>7032</v>
      </c>
      <c r="M1919" t="s">
        <v>97</v>
      </c>
      <c r="N1919">
        <v>0</v>
      </c>
      <c r="O1919">
        <v>0</v>
      </c>
      <c r="T1919">
        <v>0</v>
      </c>
      <c r="U1919">
        <v>0</v>
      </c>
      <c r="V1919">
        <v>1</v>
      </c>
    </row>
    <row r="1920" spans="1:22" x14ac:dyDescent="0.2">
      <c r="A1920" t="s">
        <v>2338</v>
      </c>
      <c r="B1920" t="s">
        <v>2339</v>
      </c>
      <c r="C1920" t="s">
        <v>2146</v>
      </c>
      <c r="D1920" t="s">
        <v>228</v>
      </c>
      <c r="E1920">
        <v>349.99</v>
      </c>
      <c r="F1920" t="s">
        <v>8118</v>
      </c>
      <c r="G1920">
        <v>322</v>
      </c>
      <c r="H1920">
        <v>13</v>
      </c>
      <c r="I1920">
        <v>309</v>
      </c>
      <c r="L1920" t="s">
        <v>7032</v>
      </c>
      <c r="M1920" t="s">
        <v>97</v>
      </c>
      <c r="N1920">
        <v>0</v>
      </c>
      <c r="O1920">
        <v>0</v>
      </c>
      <c r="T1920">
        <v>0</v>
      </c>
      <c r="U1920">
        <v>0</v>
      </c>
      <c r="V1920">
        <v>0</v>
      </c>
    </row>
    <row r="1921" spans="1:22" x14ac:dyDescent="0.2">
      <c r="A1921" t="s">
        <v>2272</v>
      </c>
      <c r="B1921" t="s">
        <v>2273</v>
      </c>
      <c r="C1921" t="s">
        <v>2146</v>
      </c>
      <c r="D1921" t="s">
        <v>96</v>
      </c>
      <c r="E1921">
        <v>119.99</v>
      </c>
      <c r="F1921" t="s">
        <v>8118</v>
      </c>
      <c r="L1921" t="s">
        <v>7032</v>
      </c>
      <c r="M1921" t="s">
        <v>97</v>
      </c>
      <c r="N1921">
        <v>0</v>
      </c>
      <c r="O1921">
        <v>0</v>
      </c>
      <c r="T1921">
        <v>0</v>
      </c>
      <c r="U1921">
        <v>0</v>
      </c>
      <c r="V1921">
        <v>0</v>
      </c>
    </row>
    <row r="1922" spans="1:22" x14ac:dyDescent="0.2">
      <c r="A1922" t="s">
        <v>2274</v>
      </c>
      <c r="B1922" t="s">
        <v>2275</v>
      </c>
      <c r="C1922" t="s">
        <v>2146</v>
      </c>
      <c r="D1922" t="s">
        <v>290</v>
      </c>
      <c r="E1922">
        <v>349.99</v>
      </c>
      <c r="F1922" t="s">
        <v>8118</v>
      </c>
      <c r="L1922" t="s">
        <v>7032</v>
      </c>
      <c r="M1922" t="s">
        <v>97</v>
      </c>
      <c r="N1922">
        <v>0</v>
      </c>
      <c r="O1922">
        <v>0</v>
      </c>
      <c r="T1922">
        <v>0</v>
      </c>
      <c r="U1922">
        <v>0</v>
      </c>
      <c r="V1922">
        <v>0</v>
      </c>
    </row>
    <row r="1923" spans="1:22" x14ac:dyDescent="0.2">
      <c r="A1923" t="s">
        <v>2178</v>
      </c>
      <c r="B1923" t="s">
        <v>2179</v>
      </c>
      <c r="C1923" t="s">
        <v>2146</v>
      </c>
      <c r="D1923" t="s">
        <v>290</v>
      </c>
      <c r="E1923">
        <v>99.99</v>
      </c>
      <c r="F1923" t="s">
        <v>8118</v>
      </c>
      <c r="G1923">
        <v>7</v>
      </c>
      <c r="H1923">
        <v>1</v>
      </c>
      <c r="I1923">
        <v>6</v>
      </c>
      <c r="L1923" t="s">
        <v>7032</v>
      </c>
      <c r="M1923" t="s">
        <v>97</v>
      </c>
      <c r="N1923">
        <v>0</v>
      </c>
      <c r="O1923">
        <v>0</v>
      </c>
      <c r="T1923">
        <v>0</v>
      </c>
      <c r="U1923">
        <v>0</v>
      </c>
      <c r="V1923">
        <v>-1</v>
      </c>
    </row>
    <row r="1924" spans="1:22" x14ac:dyDescent="0.2">
      <c r="A1924" t="s">
        <v>2152</v>
      </c>
      <c r="B1924" t="s">
        <v>2153</v>
      </c>
      <c r="C1924" t="s">
        <v>2146</v>
      </c>
      <c r="D1924" t="s">
        <v>228</v>
      </c>
      <c r="E1924">
        <v>169.99</v>
      </c>
      <c r="F1924" t="s">
        <v>8118</v>
      </c>
      <c r="G1924">
        <v>30</v>
      </c>
      <c r="H1924">
        <v>30</v>
      </c>
      <c r="K1924">
        <v>657</v>
      </c>
      <c r="L1924" t="s">
        <v>7032</v>
      </c>
      <c r="M1924" t="s">
        <v>97</v>
      </c>
      <c r="N1924">
        <v>0</v>
      </c>
      <c r="O1924">
        <v>0</v>
      </c>
      <c r="T1924">
        <v>0</v>
      </c>
      <c r="U1924">
        <v>0</v>
      </c>
      <c r="V1924">
        <v>0</v>
      </c>
    </row>
    <row r="1925" spans="1:22" x14ac:dyDescent="0.2">
      <c r="A1925" t="s">
        <v>2358</v>
      </c>
      <c r="B1925" t="s">
        <v>2359</v>
      </c>
      <c r="C1925" t="s">
        <v>2146</v>
      </c>
      <c r="D1925" t="s">
        <v>228</v>
      </c>
      <c r="E1925">
        <v>199.99</v>
      </c>
      <c r="F1925" t="s">
        <v>8118</v>
      </c>
      <c r="G1925">
        <v>118</v>
      </c>
      <c r="I1925">
        <v>118</v>
      </c>
      <c r="L1925" t="s">
        <v>7032</v>
      </c>
      <c r="M1925" t="s">
        <v>97</v>
      </c>
      <c r="N1925">
        <v>0</v>
      </c>
      <c r="O1925">
        <v>0</v>
      </c>
      <c r="T1925">
        <v>0</v>
      </c>
      <c r="U1925">
        <v>0</v>
      </c>
      <c r="V1925">
        <v>2</v>
      </c>
    </row>
    <row r="1926" spans="1:22" x14ac:dyDescent="0.2">
      <c r="A1926" t="s">
        <v>2188</v>
      </c>
      <c r="B1926" t="s">
        <v>2189</v>
      </c>
      <c r="C1926" t="s">
        <v>2146</v>
      </c>
      <c r="D1926" t="s">
        <v>96</v>
      </c>
      <c r="E1926">
        <v>199.99</v>
      </c>
      <c r="F1926" t="s">
        <v>8118</v>
      </c>
      <c r="L1926" t="s">
        <v>8</v>
      </c>
      <c r="M1926" t="s">
        <v>7834</v>
      </c>
      <c r="N1926">
        <v>0</v>
      </c>
      <c r="O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spans="1:22" x14ac:dyDescent="0.2">
      <c r="A1927" t="s">
        <v>2358</v>
      </c>
      <c r="B1927" t="s">
        <v>2359</v>
      </c>
      <c r="C1927" t="s">
        <v>2146</v>
      </c>
      <c r="D1927" t="s">
        <v>228</v>
      </c>
      <c r="E1927">
        <v>199.99</v>
      </c>
      <c r="F1927" t="s">
        <v>8118</v>
      </c>
      <c r="G1927">
        <v>118</v>
      </c>
      <c r="I1927">
        <v>118</v>
      </c>
      <c r="L1927" t="s">
        <v>8</v>
      </c>
      <c r="M1927" t="s">
        <v>7950</v>
      </c>
      <c r="N1927">
        <v>0</v>
      </c>
      <c r="O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spans="1:22" x14ac:dyDescent="0.2">
      <c r="A1928" t="s">
        <v>2334</v>
      </c>
      <c r="B1928" t="s">
        <v>2335</v>
      </c>
      <c r="C1928" t="s">
        <v>2146</v>
      </c>
      <c r="D1928" t="s">
        <v>228</v>
      </c>
      <c r="E1928">
        <v>99.99</v>
      </c>
      <c r="F1928" t="s">
        <v>8118</v>
      </c>
      <c r="G1928">
        <v>34</v>
      </c>
      <c r="H1928">
        <v>34</v>
      </c>
      <c r="L1928" t="s">
        <v>8</v>
      </c>
      <c r="M1928" t="s">
        <v>5562</v>
      </c>
      <c r="N1928">
        <v>124</v>
      </c>
      <c r="O1928">
        <v>8.0645161290322578E-3</v>
      </c>
      <c r="Q1928">
        <v>0</v>
      </c>
      <c r="R1928">
        <v>16</v>
      </c>
      <c r="S1928">
        <v>46</v>
      </c>
      <c r="T1928">
        <v>0.5</v>
      </c>
      <c r="U1928">
        <v>0</v>
      </c>
      <c r="V1928">
        <v>62</v>
      </c>
    </row>
    <row r="1929" spans="1:22" x14ac:dyDescent="0.2">
      <c r="A1929" t="s">
        <v>2360</v>
      </c>
      <c r="B1929" t="s">
        <v>2361</v>
      </c>
      <c r="C1929" t="s">
        <v>2146</v>
      </c>
      <c r="D1929" t="s">
        <v>228</v>
      </c>
      <c r="E1929">
        <v>349.99</v>
      </c>
      <c r="F1929" t="s">
        <v>8118</v>
      </c>
      <c r="G1929">
        <v>278</v>
      </c>
      <c r="H1929">
        <v>1</v>
      </c>
      <c r="I1929">
        <v>277</v>
      </c>
      <c r="L1929" t="s">
        <v>8</v>
      </c>
      <c r="M1929" t="s">
        <v>5599</v>
      </c>
      <c r="N1929">
        <v>128.30769230769232</v>
      </c>
      <c r="O1929">
        <v>7.7937649880095916E-3</v>
      </c>
      <c r="Q1929">
        <v>0</v>
      </c>
      <c r="R1929">
        <v>20</v>
      </c>
      <c r="S1929">
        <v>119</v>
      </c>
      <c r="T1929">
        <v>1.0833333333333333</v>
      </c>
      <c r="U1929">
        <v>349.99</v>
      </c>
      <c r="V1929">
        <v>139</v>
      </c>
    </row>
    <row r="1930" spans="1:22" x14ac:dyDescent="0.2">
      <c r="A1930" t="s">
        <v>2332</v>
      </c>
      <c r="B1930" t="s">
        <v>2333</v>
      </c>
      <c r="C1930" t="s">
        <v>2146</v>
      </c>
      <c r="D1930" t="s">
        <v>228</v>
      </c>
      <c r="E1930">
        <v>17.989999999999998</v>
      </c>
      <c r="F1930" t="s">
        <v>8118</v>
      </c>
      <c r="K1930">
        <v>100</v>
      </c>
      <c r="L1930" t="s">
        <v>8</v>
      </c>
      <c r="M1930" t="s">
        <v>5387</v>
      </c>
      <c r="N1930">
        <v>3.652173913043478</v>
      </c>
      <c r="O1930">
        <v>0.27380952380952384</v>
      </c>
      <c r="Q1930">
        <v>0</v>
      </c>
      <c r="R1930">
        <v>7</v>
      </c>
      <c r="S1930">
        <v>0</v>
      </c>
      <c r="T1930">
        <v>1.9166666666666667</v>
      </c>
      <c r="U1930">
        <v>17.989999999999998</v>
      </c>
      <c r="V1930">
        <v>7</v>
      </c>
    </row>
    <row r="1931" spans="1:22" x14ac:dyDescent="0.2">
      <c r="A1931" t="s">
        <v>2292</v>
      </c>
      <c r="B1931" t="s">
        <v>2293</v>
      </c>
      <c r="C1931" t="s">
        <v>2146</v>
      </c>
      <c r="D1931" t="s">
        <v>228</v>
      </c>
      <c r="E1931">
        <v>349.99</v>
      </c>
      <c r="F1931" t="s">
        <v>8118</v>
      </c>
      <c r="G1931">
        <v>398</v>
      </c>
      <c r="I1931">
        <v>398</v>
      </c>
      <c r="L1931" t="s">
        <v>8</v>
      </c>
      <c r="M1931" t="s">
        <v>5653</v>
      </c>
      <c r="N1931">
        <v>174</v>
      </c>
      <c r="O1931">
        <v>5.7471264367816091E-3</v>
      </c>
      <c r="Q1931">
        <v>0</v>
      </c>
      <c r="R1931">
        <v>15</v>
      </c>
      <c r="S1931">
        <v>43</v>
      </c>
      <c r="T1931">
        <v>0.33333333333333331</v>
      </c>
      <c r="U1931">
        <v>0</v>
      </c>
      <c r="V1931">
        <v>58</v>
      </c>
    </row>
    <row r="1932" spans="1:22" x14ac:dyDescent="0.2">
      <c r="A1932" t="s">
        <v>2252</v>
      </c>
      <c r="B1932" t="s">
        <v>2253</v>
      </c>
      <c r="C1932" t="s">
        <v>2146</v>
      </c>
      <c r="D1932" t="s">
        <v>290</v>
      </c>
      <c r="E1932">
        <v>99.99</v>
      </c>
      <c r="F1932" t="s">
        <v>8118</v>
      </c>
      <c r="L1932" t="s">
        <v>8</v>
      </c>
      <c r="M1932" t="s">
        <v>7906</v>
      </c>
      <c r="N1932">
        <v>0</v>
      </c>
      <c r="O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spans="1:22" x14ac:dyDescent="0.2">
      <c r="A1933" t="s">
        <v>2362</v>
      </c>
      <c r="B1933" t="s">
        <v>2363</v>
      </c>
      <c r="C1933" t="s">
        <v>2146</v>
      </c>
      <c r="D1933" t="s">
        <v>228</v>
      </c>
      <c r="E1933">
        <v>369.99</v>
      </c>
      <c r="F1933" t="s">
        <v>8118</v>
      </c>
      <c r="G1933">
        <v>40</v>
      </c>
      <c r="I1933">
        <v>40</v>
      </c>
      <c r="L1933" t="s">
        <v>8</v>
      </c>
      <c r="M1933" t="s">
        <v>5606</v>
      </c>
      <c r="N1933">
        <v>148</v>
      </c>
      <c r="O1933">
        <v>6.7567567567567571E-3</v>
      </c>
      <c r="Q1933">
        <v>0</v>
      </c>
      <c r="R1933">
        <v>15</v>
      </c>
      <c r="S1933">
        <v>22</v>
      </c>
      <c r="T1933">
        <v>0.25</v>
      </c>
      <c r="U1933">
        <v>0</v>
      </c>
      <c r="V1933">
        <v>37</v>
      </c>
    </row>
    <row r="1934" spans="1:22" x14ac:dyDescent="0.2">
      <c r="A1934" t="s">
        <v>2244</v>
      </c>
      <c r="B1934" t="s">
        <v>2245</v>
      </c>
      <c r="C1934" t="s">
        <v>2146</v>
      </c>
      <c r="D1934" t="s">
        <v>228</v>
      </c>
      <c r="E1934">
        <v>39.99</v>
      </c>
      <c r="F1934" t="s">
        <v>8118</v>
      </c>
      <c r="G1934">
        <v>231</v>
      </c>
      <c r="H1934">
        <v>38</v>
      </c>
      <c r="I1934">
        <v>193</v>
      </c>
      <c r="K1934">
        <v>80</v>
      </c>
      <c r="L1934" t="s">
        <v>8</v>
      </c>
      <c r="M1934" t="s">
        <v>5394</v>
      </c>
      <c r="N1934">
        <v>22.138775510204081</v>
      </c>
      <c r="O1934">
        <v>4.5169616519174047E-2</v>
      </c>
      <c r="Q1934">
        <v>10</v>
      </c>
      <c r="R1934">
        <v>8</v>
      </c>
      <c r="S1934">
        <v>434</v>
      </c>
      <c r="T1934">
        <v>20.416666666666668</v>
      </c>
      <c r="U1934">
        <v>1439.64</v>
      </c>
      <c r="V1934">
        <v>452</v>
      </c>
    </row>
    <row r="1935" spans="1:22" x14ac:dyDescent="0.2">
      <c r="A1935" t="s">
        <v>2254</v>
      </c>
      <c r="B1935" t="s">
        <v>2255</v>
      </c>
      <c r="C1935" t="s">
        <v>2146</v>
      </c>
      <c r="D1935" t="s">
        <v>290</v>
      </c>
      <c r="E1935">
        <v>39.99</v>
      </c>
      <c r="F1935" t="s">
        <v>8118</v>
      </c>
      <c r="L1935" t="s">
        <v>8</v>
      </c>
      <c r="M1935" t="s">
        <v>5587</v>
      </c>
      <c r="N1935">
        <v>-12</v>
      </c>
      <c r="O1935">
        <v>-8.3333333333333329E-2</v>
      </c>
      <c r="Q1935">
        <v>1</v>
      </c>
      <c r="R1935">
        <v>0</v>
      </c>
      <c r="S1935">
        <v>0</v>
      </c>
      <c r="T1935">
        <v>-8.3333333333333329E-2</v>
      </c>
      <c r="U1935">
        <v>0</v>
      </c>
      <c r="V1935">
        <v>1</v>
      </c>
    </row>
    <row r="1936" spans="1:22" x14ac:dyDescent="0.2">
      <c r="A1936" t="s">
        <v>2296</v>
      </c>
      <c r="B1936" t="s">
        <v>2297</v>
      </c>
      <c r="C1936" t="s">
        <v>2146</v>
      </c>
      <c r="D1936" t="s">
        <v>290</v>
      </c>
      <c r="E1936">
        <v>229.99</v>
      </c>
      <c r="F1936" t="s">
        <v>8118</v>
      </c>
      <c r="G1936">
        <v>20</v>
      </c>
      <c r="I1936">
        <v>20</v>
      </c>
      <c r="L1936" t="s">
        <v>8</v>
      </c>
      <c r="M1936" t="s">
        <v>5657</v>
      </c>
      <c r="N1936">
        <v>6.666666666666667</v>
      </c>
      <c r="O1936">
        <v>0.15</v>
      </c>
      <c r="Q1936">
        <v>0</v>
      </c>
      <c r="R1936">
        <v>4</v>
      </c>
      <c r="S1936">
        <v>6</v>
      </c>
      <c r="T1936">
        <v>1.5</v>
      </c>
      <c r="U1936">
        <v>229.99</v>
      </c>
      <c r="V1936">
        <v>10</v>
      </c>
    </row>
    <row r="1937" spans="1:22" x14ac:dyDescent="0.2">
      <c r="A1937" t="s">
        <v>2286</v>
      </c>
      <c r="B1937" t="s">
        <v>2287</v>
      </c>
      <c r="C1937" t="s">
        <v>2146</v>
      </c>
      <c r="D1937" t="s">
        <v>228</v>
      </c>
      <c r="E1937">
        <v>99.99</v>
      </c>
      <c r="F1937" t="s">
        <v>8118</v>
      </c>
      <c r="G1937">
        <v>159</v>
      </c>
      <c r="H1937">
        <v>1</v>
      </c>
      <c r="I1937">
        <v>158</v>
      </c>
      <c r="L1937" t="s">
        <v>8</v>
      </c>
      <c r="M1937" t="s">
        <v>7878</v>
      </c>
      <c r="N1937">
        <v>0</v>
      </c>
      <c r="O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spans="1:22" x14ac:dyDescent="0.2">
      <c r="A1938" t="s">
        <v>2246</v>
      </c>
      <c r="B1938" t="s">
        <v>2247</v>
      </c>
      <c r="C1938" t="s">
        <v>2146</v>
      </c>
      <c r="D1938" t="s">
        <v>228</v>
      </c>
      <c r="E1938">
        <v>99.99</v>
      </c>
      <c r="F1938" t="s">
        <v>8118</v>
      </c>
      <c r="G1938">
        <v>310</v>
      </c>
      <c r="H1938">
        <v>4</v>
      </c>
      <c r="I1938">
        <v>306</v>
      </c>
      <c r="L1938" t="s">
        <v>8</v>
      </c>
      <c r="M1938" t="s">
        <v>5404</v>
      </c>
      <c r="N1938">
        <v>0</v>
      </c>
      <c r="O1938">
        <v>0</v>
      </c>
      <c r="Q1938">
        <v>0</v>
      </c>
      <c r="R1938">
        <v>0</v>
      </c>
      <c r="S1938">
        <v>0</v>
      </c>
      <c r="T1938">
        <v>2.3333333333333335</v>
      </c>
      <c r="U1938">
        <v>0</v>
      </c>
      <c r="V1938">
        <v>0</v>
      </c>
    </row>
    <row r="1939" spans="1:22" x14ac:dyDescent="0.2">
      <c r="A1939" t="s">
        <v>2290</v>
      </c>
      <c r="B1939" t="s">
        <v>2291</v>
      </c>
      <c r="C1939" t="s">
        <v>2146</v>
      </c>
      <c r="D1939" t="s">
        <v>228</v>
      </c>
      <c r="E1939">
        <v>539.99</v>
      </c>
      <c r="F1939" t="s">
        <v>8118</v>
      </c>
      <c r="L1939" t="s">
        <v>8</v>
      </c>
      <c r="M1939" t="s">
        <v>7908</v>
      </c>
      <c r="N1939">
        <v>0</v>
      </c>
      <c r="O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spans="1:22" x14ac:dyDescent="0.2">
      <c r="A1940" t="s">
        <v>2154</v>
      </c>
      <c r="B1940" t="s">
        <v>2155</v>
      </c>
      <c r="C1940" t="s">
        <v>2146</v>
      </c>
      <c r="D1940" t="s">
        <v>228</v>
      </c>
      <c r="E1940">
        <v>229.99</v>
      </c>
      <c r="F1940" t="s">
        <v>8118</v>
      </c>
      <c r="G1940">
        <v>20</v>
      </c>
      <c r="H1940">
        <v>20</v>
      </c>
      <c r="K1940">
        <v>375</v>
      </c>
      <c r="L1940" t="s">
        <v>8</v>
      </c>
      <c r="M1940" t="s">
        <v>5436</v>
      </c>
      <c r="N1940">
        <v>9</v>
      </c>
      <c r="O1940">
        <v>0.1111111111111111</v>
      </c>
      <c r="Q1940">
        <v>0</v>
      </c>
      <c r="R1940">
        <v>6</v>
      </c>
      <c r="S1940">
        <v>0</v>
      </c>
      <c r="T1940">
        <v>0.66666666666666663</v>
      </c>
      <c r="U1940">
        <v>0</v>
      </c>
      <c r="V1940">
        <v>6</v>
      </c>
    </row>
    <row r="1941" spans="1:22" x14ac:dyDescent="0.2">
      <c r="A1941" t="s">
        <v>2152</v>
      </c>
      <c r="B1941" t="s">
        <v>2153</v>
      </c>
      <c r="C1941" t="s">
        <v>2146</v>
      </c>
      <c r="D1941" t="s">
        <v>228</v>
      </c>
      <c r="E1941">
        <v>169.99</v>
      </c>
      <c r="F1941" t="s">
        <v>8118</v>
      </c>
      <c r="G1941">
        <v>30</v>
      </c>
      <c r="H1941">
        <v>30</v>
      </c>
      <c r="K1941">
        <v>657</v>
      </c>
      <c r="L1941" t="s">
        <v>8</v>
      </c>
      <c r="M1941" t="s">
        <v>5433</v>
      </c>
      <c r="N1941">
        <v>6.8571428571428568</v>
      </c>
      <c r="O1941">
        <v>0.14583333333333334</v>
      </c>
      <c r="Q1941">
        <v>0</v>
      </c>
      <c r="R1941">
        <v>16</v>
      </c>
      <c r="S1941">
        <v>0</v>
      </c>
      <c r="T1941">
        <v>2.3333333333333335</v>
      </c>
      <c r="U1941">
        <v>509.97</v>
      </c>
      <c r="V1941">
        <v>16</v>
      </c>
    </row>
    <row r="1942" spans="1:22" x14ac:dyDescent="0.2">
      <c r="A1942" t="s">
        <v>2258</v>
      </c>
      <c r="B1942" t="s">
        <v>2259</v>
      </c>
      <c r="C1942" t="s">
        <v>2146</v>
      </c>
      <c r="D1942" t="s">
        <v>228</v>
      </c>
      <c r="E1942">
        <v>99.99</v>
      </c>
      <c r="F1942" t="s">
        <v>8118</v>
      </c>
      <c r="G1942">
        <v>202</v>
      </c>
      <c r="H1942">
        <v>15</v>
      </c>
      <c r="I1942">
        <v>187</v>
      </c>
      <c r="K1942">
        <v>60</v>
      </c>
      <c r="L1942" t="s">
        <v>8</v>
      </c>
      <c r="M1942" t="s">
        <v>5407</v>
      </c>
      <c r="N1942">
        <v>0</v>
      </c>
      <c r="O1942">
        <v>0</v>
      </c>
      <c r="Q1942">
        <v>0</v>
      </c>
      <c r="R1942">
        <v>0</v>
      </c>
      <c r="S1942">
        <v>0</v>
      </c>
      <c r="T1942">
        <v>1</v>
      </c>
      <c r="U1942">
        <v>0</v>
      </c>
      <c r="V1942">
        <v>0</v>
      </c>
    </row>
    <row r="1943" spans="1:22" x14ac:dyDescent="0.2">
      <c r="A1943" t="s">
        <v>2294</v>
      </c>
      <c r="B1943" t="s">
        <v>2295</v>
      </c>
      <c r="C1943" t="s">
        <v>2146</v>
      </c>
      <c r="D1943" t="s">
        <v>290</v>
      </c>
      <c r="E1943">
        <v>99.99</v>
      </c>
      <c r="F1943" t="s">
        <v>8118</v>
      </c>
      <c r="L1943" t="s">
        <v>8</v>
      </c>
      <c r="M1943" t="s">
        <v>5649</v>
      </c>
      <c r="N1943">
        <v>5.1428571428571423</v>
      </c>
      <c r="O1943">
        <v>0.19444444444444445</v>
      </c>
      <c r="Q1943">
        <v>0</v>
      </c>
      <c r="R1943">
        <v>0</v>
      </c>
      <c r="S1943">
        <v>3</v>
      </c>
      <c r="T1943">
        <v>0.58333333333333337</v>
      </c>
      <c r="U1943">
        <v>0</v>
      </c>
      <c r="V1943">
        <v>3</v>
      </c>
    </row>
    <row r="1944" spans="1:22" x14ac:dyDescent="0.2">
      <c r="A1944" t="s">
        <v>2264</v>
      </c>
      <c r="B1944" t="s">
        <v>2265</v>
      </c>
      <c r="C1944" t="s">
        <v>2146</v>
      </c>
      <c r="D1944" t="s">
        <v>290</v>
      </c>
      <c r="E1944">
        <v>99.99</v>
      </c>
      <c r="F1944" t="s">
        <v>8118</v>
      </c>
      <c r="L1944" t="s">
        <v>8</v>
      </c>
      <c r="M1944" t="s">
        <v>7907</v>
      </c>
      <c r="N1944">
        <v>0</v>
      </c>
      <c r="O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spans="1:22" x14ac:dyDescent="0.2">
      <c r="A1945" t="s">
        <v>2256</v>
      </c>
      <c r="B1945" t="s">
        <v>2257</v>
      </c>
      <c r="C1945" t="s">
        <v>2146</v>
      </c>
      <c r="D1945" t="s">
        <v>228</v>
      </c>
      <c r="E1945">
        <v>39.99</v>
      </c>
      <c r="F1945" t="s">
        <v>8118</v>
      </c>
      <c r="G1945">
        <v>15</v>
      </c>
      <c r="H1945">
        <v>15</v>
      </c>
      <c r="K1945">
        <v>680</v>
      </c>
      <c r="L1945" t="s">
        <v>8</v>
      </c>
      <c r="M1945" t="s">
        <v>5398</v>
      </c>
      <c r="N1945">
        <v>12.498516320474778</v>
      </c>
      <c r="O1945">
        <v>8.0009496676163333E-2</v>
      </c>
      <c r="Q1945">
        <v>17</v>
      </c>
      <c r="R1945">
        <v>13</v>
      </c>
      <c r="S1945">
        <v>321</v>
      </c>
      <c r="T1945">
        <v>28.083333333333332</v>
      </c>
      <c r="U1945">
        <v>1239.69</v>
      </c>
      <c r="V1945">
        <v>351</v>
      </c>
    </row>
    <row r="1946" spans="1:22" x14ac:dyDescent="0.2">
      <c r="A1946" t="s">
        <v>2208</v>
      </c>
      <c r="B1946" t="s">
        <v>2209</v>
      </c>
      <c r="C1946" t="s">
        <v>2146</v>
      </c>
      <c r="D1946" t="s">
        <v>228</v>
      </c>
      <c r="E1946">
        <v>149.99</v>
      </c>
      <c r="F1946" t="s">
        <v>8118</v>
      </c>
      <c r="K1946">
        <v>6</v>
      </c>
      <c r="L1946" t="s">
        <v>8</v>
      </c>
      <c r="M1946" t="s">
        <v>5627</v>
      </c>
      <c r="N1946">
        <v>81</v>
      </c>
      <c r="O1946">
        <v>1.2345679012345678E-2</v>
      </c>
      <c r="Q1946">
        <v>0</v>
      </c>
      <c r="R1946">
        <v>24</v>
      </c>
      <c r="S1946">
        <v>3</v>
      </c>
      <c r="T1946">
        <v>0.33333333333333331</v>
      </c>
      <c r="U1946">
        <v>149.99</v>
      </c>
      <c r="V1946">
        <v>27</v>
      </c>
    </row>
    <row r="1947" spans="1:22" x14ac:dyDescent="0.2">
      <c r="A1947" t="s">
        <v>2190</v>
      </c>
      <c r="B1947" t="s">
        <v>2191</v>
      </c>
      <c r="C1947" t="s">
        <v>2146</v>
      </c>
      <c r="D1947" t="s">
        <v>290</v>
      </c>
      <c r="E1947">
        <v>349.99</v>
      </c>
      <c r="F1947" t="s">
        <v>8118</v>
      </c>
      <c r="G1947">
        <v>46</v>
      </c>
      <c r="H1947">
        <v>4</v>
      </c>
      <c r="I1947">
        <v>42</v>
      </c>
      <c r="L1947" t="s">
        <v>8</v>
      </c>
      <c r="M1947" t="s">
        <v>7835</v>
      </c>
      <c r="N1947">
        <v>0</v>
      </c>
      <c r="O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spans="1:22" x14ac:dyDescent="0.2">
      <c r="A1948" t="s">
        <v>2210</v>
      </c>
      <c r="B1948" t="s">
        <v>2211</v>
      </c>
      <c r="C1948" t="s">
        <v>2146</v>
      </c>
      <c r="D1948" t="s">
        <v>228</v>
      </c>
      <c r="E1948">
        <v>429.99</v>
      </c>
      <c r="F1948" t="s">
        <v>8118</v>
      </c>
      <c r="G1948">
        <v>30</v>
      </c>
      <c r="I1948">
        <v>30</v>
      </c>
      <c r="L1948" t="s">
        <v>8</v>
      </c>
      <c r="M1948" t="s">
        <v>5631</v>
      </c>
      <c r="N1948">
        <v>46.8</v>
      </c>
      <c r="O1948">
        <v>2.1367521367521368E-2</v>
      </c>
      <c r="Q1948">
        <v>1</v>
      </c>
      <c r="R1948">
        <v>14</v>
      </c>
      <c r="S1948">
        <v>24</v>
      </c>
      <c r="T1948">
        <v>0.83333333333333337</v>
      </c>
      <c r="U1948">
        <v>859.98</v>
      </c>
      <c r="V1948">
        <v>39</v>
      </c>
    </row>
    <row r="1949" spans="1:22" x14ac:dyDescent="0.2">
      <c r="A1949" t="s">
        <v>2178</v>
      </c>
      <c r="B1949" t="s">
        <v>2179</v>
      </c>
      <c r="C1949" t="s">
        <v>2146</v>
      </c>
      <c r="D1949" t="s">
        <v>290</v>
      </c>
      <c r="E1949">
        <v>99.99</v>
      </c>
      <c r="F1949" t="s">
        <v>8118</v>
      </c>
      <c r="G1949">
        <v>7</v>
      </c>
      <c r="H1949">
        <v>1</v>
      </c>
      <c r="I1949">
        <v>6</v>
      </c>
      <c r="L1949" t="s">
        <v>8</v>
      </c>
      <c r="M1949" t="s">
        <v>7848</v>
      </c>
      <c r="N1949">
        <v>0</v>
      </c>
      <c r="O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spans="1:22" x14ac:dyDescent="0.2">
      <c r="A1950" t="s">
        <v>2272</v>
      </c>
      <c r="B1950" t="s">
        <v>2273</v>
      </c>
      <c r="C1950" t="s">
        <v>2146</v>
      </c>
      <c r="D1950" t="s">
        <v>96</v>
      </c>
      <c r="E1950">
        <v>119.99</v>
      </c>
      <c r="F1950" t="s">
        <v>8118</v>
      </c>
      <c r="L1950" t="s">
        <v>8</v>
      </c>
      <c r="M1950" t="s">
        <v>7849</v>
      </c>
      <c r="N1950">
        <v>0</v>
      </c>
      <c r="O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spans="1:22" x14ac:dyDescent="0.2">
      <c r="A1951" t="s">
        <v>2242</v>
      </c>
      <c r="B1951" t="s">
        <v>2243</v>
      </c>
      <c r="C1951" t="s">
        <v>2146</v>
      </c>
      <c r="D1951" t="s">
        <v>290</v>
      </c>
      <c r="E1951">
        <v>39.99</v>
      </c>
      <c r="F1951" t="s">
        <v>8118</v>
      </c>
      <c r="G1951">
        <v>2</v>
      </c>
      <c r="I1951">
        <v>2</v>
      </c>
      <c r="L1951" t="s">
        <v>8</v>
      </c>
      <c r="M1951" t="s">
        <v>5579</v>
      </c>
      <c r="N1951">
        <v>0</v>
      </c>
      <c r="O1951">
        <v>0</v>
      </c>
      <c r="Q1951">
        <v>0</v>
      </c>
      <c r="R1951">
        <v>0</v>
      </c>
      <c r="S1951">
        <v>0</v>
      </c>
      <c r="T1951">
        <v>-8.3333333333333329E-2</v>
      </c>
      <c r="U1951">
        <v>0</v>
      </c>
      <c r="V1951">
        <v>0</v>
      </c>
    </row>
    <row r="1952" spans="1:22" x14ac:dyDescent="0.2">
      <c r="A1952" t="s">
        <v>2336</v>
      </c>
      <c r="B1952" t="s">
        <v>2337</v>
      </c>
      <c r="C1952" t="s">
        <v>2146</v>
      </c>
      <c r="D1952" t="s">
        <v>228</v>
      </c>
      <c r="E1952">
        <v>229.99</v>
      </c>
      <c r="F1952" t="s">
        <v>8118</v>
      </c>
      <c r="G1952">
        <v>64</v>
      </c>
      <c r="H1952">
        <v>1</v>
      </c>
      <c r="I1952">
        <v>63</v>
      </c>
      <c r="L1952" t="s">
        <v>8</v>
      </c>
      <c r="M1952" t="s">
        <v>5571</v>
      </c>
      <c r="N1952">
        <v>72.705882352941174</v>
      </c>
      <c r="O1952">
        <v>1.3754045307443367E-2</v>
      </c>
      <c r="Q1952">
        <v>0</v>
      </c>
      <c r="R1952">
        <v>15</v>
      </c>
      <c r="S1952">
        <v>88</v>
      </c>
      <c r="T1952">
        <v>1.4166666666666667</v>
      </c>
      <c r="U1952">
        <v>689.97</v>
      </c>
      <c r="V1952">
        <v>103</v>
      </c>
    </row>
    <row r="1953" spans="1:22" x14ac:dyDescent="0.2">
      <c r="A1953" t="s">
        <v>5549</v>
      </c>
      <c r="B1953" t="s">
        <v>5550</v>
      </c>
      <c r="C1953" t="s">
        <v>2146</v>
      </c>
      <c r="D1953" t="s">
        <v>290</v>
      </c>
      <c r="E1953">
        <v>79.989999999999995</v>
      </c>
      <c r="F1953" t="s">
        <v>8118</v>
      </c>
      <c r="L1953" t="s">
        <v>8</v>
      </c>
      <c r="M1953" t="s">
        <v>7858</v>
      </c>
      <c r="N1953">
        <v>0</v>
      </c>
      <c r="O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spans="1:22" x14ac:dyDescent="0.2">
      <c r="A1954" t="s">
        <v>2274</v>
      </c>
      <c r="B1954" t="s">
        <v>2275</v>
      </c>
      <c r="C1954" t="s">
        <v>2146</v>
      </c>
      <c r="D1954" t="s">
        <v>290</v>
      </c>
      <c r="E1954">
        <v>349.99</v>
      </c>
      <c r="F1954" t="s">
        <v>8118</v>
      </c>
      <c r="L1954" t="s">
        <v>8</v>
      </c>
      <c r="M1954" t="s">
        <v>7860</v>
      </c>
      <c r="N1954">
        <v>0</v>
      </c>
      <c r="O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spans="1:22" x14ac:dyDescent="0.2">
      <c r="A1955" t="s">
        <v>2338</v>
      </c>
      <c r="B1955" t="s">
        <v>2339</v>
      </c>
      <c r="C1955" t="s">
        <v>2146</v>
      </c>
      <c r="D1955" t="s">
        <v>228</v>
      </c>
      <c r="E1955">
        <v>349.99</v>
      </c>
      <c r="F1955" t="s">
        <v>8118</v>
      </c>
      <c r="G1955">
        <v>322</v>
      </c>
      <c r="H1955">
        <v>13</v>
      </c>
      <c r="I1955">
        <v>309</v>
      </c>
      <c r="L1955" t="s">
        <v>8</v>
      </c>
      <c r="M1955" t="s">
        <v>5567</v>
      </c>
      <c r="N1955">
        <v>39.138461538461534</v>
      </c>
      <c r="O1955">
        <v>2.5550314465408806E-2</v>
      </c>
      <c r="Q1955">
        <v>5</v>
      </c>
      <c r="R1955">
        <v>9</v>
      </c>
      <c r="S1955">
        <v>198</v>
      </c>
      <c r="T1955">
        <v>5.416666666666667</v>
      </c>
      <c r="U1955">
        <v>2099.94</v>
      </c>
      <c r="V1955">
        <v>212</v>
      </c>
    </row>
    <row r="1956" spans="1:22" x14ac:dyDescent="0.2">
      <c r="A1956" t="s">
        <v>2220</v>
      </c>
      <c r="B1956" t="s">
        <v>2221</v>
      </c>
      <c r="C1956" t="s">
        <v>2146</v>
      </c>
      <c r="D1956" t="s">
        <v>228</v>
      </c>
      <c r="E1956">
        <v>54.99</v>
      </c>
      <c r="F1956" t="s">
        <v>8118</v>
      </c>
      <c r="G1956">
        <v>478</v>
      </c>
      <c r="H1956">
        <v>19</v>
      </c>
      <c r="I1956">
        <v>459</v>
      </c>
      <c r="L1956" t="s">
        <v>8</v>
      </c>
      <c r="M1956" t="s">
        <v>5415</v>
      </c>
      <c r="N1956">
        <v>36.864864864864863</v>
      </c>
      <c r="O1956">
        <v>2.7126099706744868E-2</v>
      </c>
      <c r="Q1956">
        <v>5</v>
      </c>
      <c r="R1956">
        <v>22</v>
      </c>
      <c r="S1956">
        <v>314</v>
      </c>
      <c r="T1956">
        <v>9.25</v>
      </c>
      <c r="U1956">
        <v>714.87</v>
      </c>
      <c r="V1956">
        <v>341</v>
      </c>
    </row>
    <row r="1957" spans="1:22" x14ac:dyDescent="0.2">
      <c r="A1957" t="s">
        <v>2238</v>
      </c>
      <c r="B1957" t="s">
        <v>2239</v>
      </c>
      <c r="C1957" t="s">
        <v>2146</v>
      </c>
      <c r="D1957" t="s">
        <v>228</v>
      </c>
      <c r="E1957">
        <v>129.99</v>
      </c>
      <c r="F1957" t="s">
        <v>8118</v>
      </c>
      <c r="G1957">
        <v>102</v>
      </c>
      <c r="H1957">
        <v>6</v>
      </c>
      <c r="I1957">
        <v>96</v>
      </c>
      <c r="L1957" t="s">
        <v>8</v>
      </c>
      <c r="M1957" t="s">
        <v>5428</v>
      </c>
      <c r="N1957">
        <v>41.853658536585371</v>
      </c>
      <c r="O1957">
        <v>2.3892773892773892E-2</v>
      </c>
      <c r="Q1957">
        <v>0</v>
      </c>
      <c r="R1957">
        <v>12</v>
      </c>
      <c r="S1957">
        <v>131</v>
      </c>
      <c r="T1957">
        <v>3.4166666666666665</v>
      </c>
      <c r="U1957">
        <v>519.96</v>
      </c>
      <c r="V1957">
        <v>143</v>
      </c>
    </row>
    <row r="1958" spans="1:22" x14ac:dyDescent="0.2">
      <c r="A1958" t="s">
        <v>2340</v>
      </c>
      <c r="B1958" t="s">
        <v>2341</v>
      </c>
      <c r="C1958" t="s">
        <v>2146</v>
      </c>
      <c r="D1958" t="s">
        <v>228</v>
      </c>
      <c r="E1958">
        <v>549.99</v>
      </c>
      <c r="F1958" t="s">
        <v>8118</v>
      </c>
      <c r="G1958">
        <v>41</v>
      </c>
      <c r="I1958">
        <v>41</v>
      </c>
      <c r="L1958" t="s">
        <v>8</v>
      </c>
      <c r="M1958" t="s">
        <v>7956</v>
      </c>
      <c r="N1958">
        <v>0</v>
      </c>
      <c r="O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spans="1:22" x14ac:dyDescent="0.2">
      <c r="A1959" t="s">
        <v>2236</v>
      </c>
      <c r="B1959" t="s">
        <v>2237</v>
      </c>
      <c r="C1959" t="s">
        <v>2146</v>
      </c>
      <c r="D1959" t="s">
        <v>290</v>
      </c>
      <c r="E1959">
        <v>89.99</v>
      </c>
      <c r="F1959" t="s">
        <v>8118</v>
      </c>
      <c r="G1959">
        <v>109</v>
      </c>
      <c r="H1959">
        <v>23</v>
      </c>
      <c r="I1959">
        <v>86</v>
      </c>
      <c r="L1959" t="s">
        <v>8</v>
      </c>
      <c r="M1959" t="s">
        <v>5425</v>
      </c>
      <c r="N1959">
        <v>28.216216216216214</v>
      </c>
      <c r="O1959">
        <v>3.5440613026819924E-2</v>
      </c>
      <c r="Q1959">
        <v>1</v>
      </c>
      <c r="R1959">
        <v>16</v>
      </c>
      <c r="S1959">
        <v>331</v>
      </c>
      <c r="T1959">
        <v>12.333333333333334</v>
      </c>
      <c r="U1959">
        <v>1439.84</v>
      </c>
      <c r="V1959">
        <v>348</v>
      </c>
    </row>
    <row r="1960" spans="1:22" x14ac:dyDescent="0.2">
      <c r="A1960" t="s">
        <v>2344</v>
      </c>
      <c r="B1960" t="s">
        <v>2345</v>
      </c>
      <c r="C1960" t="s">
        <v>2146</v>
      </c>
      <c r="D1960" t="s">
        <v>228</v>
      </c>
      <c r="E1960">
        <v>16.989999999999998</v>
      </c>
      <c r="F1960" t="s">
        <v>8118</v>
      </c>
      <c r="G1960">
        <v>58</v>
      </c>
      <c r="I1960">
        <v>58</v>
      </c>
      <c r="L1960" t="s">
        <v>8</v>
      </c>
      <c r="M1960" t="s">
        <v>5379</v>
      </c>
      <c r="N1960">
        <v>9.75</v>
      </c>
      <c r="O1960">
        <v>0.10256410256410256</v>
      </c>
      <c r="Q1960">
        <v>0</v>
      </c>
      <c r="R1960">
        <v>12</v>
      </c>
      <c r="S1960">
        <v>1</v>
      </c>
      <c r="T1960">
        <v>1.3333333333333333</v>
      </c>
      <c r="U1960">
        <v>50.97</v>
      </c>
      <c r="V1960">
        <v>13</v>
      </c>
    </row>
    <row r="1961" spans="1:22" x14ac:dyDescent="0.2">
      <c r="A1961" t="s">
        <v>2346</v>
      </c>
      <c r="B1961" t="s">
        <v>2347</v>
      </c>
      <c r="C1961" t="s">
        <v>2146</v>
      </c>
      <c r="D1961" t="s">
        <v>228</v>
      </c>
      <c r="E1961">
        <v>99.99</v>
      </c>
      <c r="F1961" t="s">
        <v>8118</v>
      </c>
      <c r="K1961">
        <v>30</v>
      </c>
      <c r="L1961" t="s">
        <v>8</v>
      </c>
      <c r="M1961" t="s">
        <v>7953</v>
      </c>
      <c r="N1961">
        <v>0</v>
      </c>
      <c r="O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spans="1:22" x14ac:dyDescent="0.2">
      <c r="A1962" t="s">
        <v>2240</v>
      </c>
      <c r="B1962" t="s">
        <v>2241</v>
      </c>
      <c r="C1962" t="s">
        <v>2146</v>
      </c>
      <c r="D1962" t="s">
        <v>290</v>
      </c>
      <c r="E1962">
        <v>99.99</v>
      </c>
      <c r="F1962" t="s">
        <v>8118</v>
      </c>
      <c r="L1962" t="s">
        <v>8</v>
      </c>
      <c r="M1962" t="s">
        <v>5641</v>
      </c>
      <c r="N1962">
        <v>0</v>
      </c>
      <c r="O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spans="1:22" x14ac:dyDescent="0.2">
      <c r="A1963" t="s">
        <v>2352</v>
      </c>
      <c r="B1963" t="s">
        <v>2353</v>
      </c>
      <c r="C1963" t="s">
        <v>2146</v>
      </c>
      <c r="D1963" t="s">
        <v>290</v>
      </c>
      <c r="E1963">
        <v>189.99</v>
      </c>
      <c r="F1963" t="s">
        <v>8118</v>
      </c>
      <c r="L1963" t="s">
        <v>8</v>
      </c>
      <c r="M1963" t="s">
        <v>7938</v>
      </c>
      <c r="N1963">
        <v>0</v>
      </c>
      <c r="O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spans="1:22" x14ac:dyDescent="0.2">
      <c r="A1964" t="s">
        <v>2234</v>
      </c>
      <c r="B1964" t="s">
        <v>2235</v>
      </c>
      <c r="C1964" t="s">
        <v>2146</v>
      </c>
      <c r="D1964" t="s">
        <v>290</v>
      </c>
      <c r="E1964">
        <v>49.99</v>
      </c>
      <c r="F1964" t="s">
        <v>8118</v>
      </c>
      <c r="L1964" t="s">
        <v>8</v>
      </c>
      <c r="M1964" t="s">
        <v>5423</v>
      </c>
      <c r="N1964">
        <v>0</v>
      </c>
      <c r="O1964">
        <v>0</v>
      </c>
      <c r="Q1964">
        <v>0</v>
      </c>
      <c r="R1964">
        <v>0</v>
      </c>
      <c r="S1964">
        <v>0</v>
      </c>
      <c r="T1964">
        <v>1</v>
      </c>
      <c r="U1964">
        <v>0</v>
      </c>
      <c r="V1964">
        <v>0</v>
      </c>
    </row>
    <row r="1965" spans="1:22" x14ac:dyDescent="0.2">
      <c r="A1965" t="s">
        <v>2222</v>
      </c>
      <c r="B1965" t="s">
        <v>2223</v>
      </c>
      <c r="C1965" t="s">
        <v>2146</v>
      </c>
      <c r="D1965" t="s">
        <v>228</v>
      </c>
      <c r="E1965">
        <v>99.99</v>
      </c>
      <c r="F1965" t="s">
        <v>8118</v>
      </c>
      <c r="G1965">
        <v>27</v>
      </c>
      <c r="H1965">
        <v>27</v>
      </c>
      <c r="J1965">
        <v>30</v>
      </c>
      <c r="K1965">
        <v>608</v>
      </c>
      <c r="L1965" t="s">
        <v>8</v>
      </c>
      <c r="M1965" t="s">
        <v>5418</v>
      </c>
      <c r="N1965">
        <v>13.162790697674419</v>
      </c>
      <c r="O1965">
        <v>7.5971731448763249E-2</v>
      </c>
      <c r="Q1965">
        <v>0</v>
      </c>
      <c r="R1965">
        <v>14</v>
      </c>
      <c r="S1965">
        <v>269</v>
      </c>
      <c r="T1965">
        <v>21.5</v>
      </c>
      <c r="U1965">
        <v>1599.84</v>
      </c>
      <c r="V1965">
        <v>283</v>
      </c>
    </row>
    <row r="1966" spans="1:22" x14ac:dyDescent="0.2">
      <c r="A1966" t="s">
        <v>2356</v>
      </c>
      <c r="B1966" t="s">
        <v>2357</v>
      </c>
      <c r="C1966" t="s">
        <v>2146</v>
      </c>
      <c r="D1966" t="s">
        <v>228</v>
      </c>
      <c r="E1966">
        <v>549.99</v>
      </c>
      <c r="F1966" t="s">
        <v>8118</v>
      </c>
      <c r="G1966">
        <v>40</v>
      </c>
      <c r="I1966">
        <v>40</v>
      </c>
      <c r="L1966" t="s">
        <v>8</v>
      </c>
      <c r="M1966" t="s">
        <v>7954</v>
      </c>
      <c r="N1966">
        <v>0</v>
      </c>
      <c r="O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spans="1:22" x14ac:dyDescent="0.2">
      <c r="A1967" t="s">
        <v>2350</v>
      </c>
      <c r="B1967" t="s">
        <v>2351</v>
      </c>
      <c r="C1967" t="s">
        <v>2146</v>
      </c>
      <c r="D1967" t="s">
        <v>228</v>
      </c>
      <c r="E1967">
        <v>189.99</v>
      </c>
      <c r="F1967" t="s">
        <v>8118</v>
      </c>
      <c r="G1967">
        <v>20</v>
      </c>
      <c r="H1967">
        <v>2</v>
      </c>
      <c r="I1967">
        <v>18</v>
      </c>
      <c r="L1967" t="s">
        <v>8</v>
      </c>
      <c r="M1967" t="s">
        <v>5620</v>
      </c>
      <c r="N1967">
        <v>78</v>
      </c>
      <c r="O1967">
        <v>1.2820512820512822E-2</v>
      </c>
      <c r="Q1967">
        <v>0</v>
      </c>
      <c r="R1967">
        <v>12</v>
      </c>
      <c r="S1967">
        <v>53</v>
      </c>
      <c r="T1967">
        <v>0.83333333333333337</v>
      </c>
      <c r="U1967">
        <v>189.99</v>
      </c>
      <c r="V1967">
        <v>65</v>
      </c>
    </row>
    <row r="1968" spans="1:22" x14ac:dyDescent="0.2">
      <c r="A1968" t="s">
        <v>2354</v>
      </c>
      <c r="B1968" t="s">
        <v>2355</v>
      </c>
      <c r="C1968" t="s">
        <v>2146</v>
      </c>
      <c r="D1968" t="s">
        <v>228</v>
      </c>
      <c r="E1968">
        <v>249.99</v>
      </c>
      <c r="F1968" t="s">
        <v>8118</v>
      </c>
      <c r="G1968">
        <v>87</v>
      </c>
      <c r="H1968">
        <v>1</v>
      </c>
      <c r="I1968">
        <v>86</v>
      </c>
      <c r="L1968" t="s">
        <v>8</v>
      </c>
      <c r="M1968" t="s">
        <v>5616</v>
      </c>
      <c r="N1968">
        <v>126</v>
      </c>
      <c r="O1968">
        <v>7.9365079365079361E-3</v>
      </c>
      <c r="Q1968">
        <v>1</v>
      </c>
      <c r="R1968">
        <v>14</v>
      </c>
      <c r="S1968">
        <v>153</v>
      </c>
      <c r="T1968">
        <v>1.3333333333333333</v>
      </c>
      <c r="U1968">
        <v>0</v>
      </c>
      <c r="V1968">
        <v>168</v>
      </c>
    </row>
    <row r="1969" spans="1:22" x14ac:dyDescent="0.2">
      <c r="A1969" t="s">
        <v>2232</v>
      </c>
      <c r="B1969" t="s">
        <v>2233</v>
      </c>
      <c r="C1969" t="s">
        <v>2146</v>
      </c>
      <c r="D1969" t="s">
        <v>228</v>
      </c>
      <c r="E1969">
        <v>39.99</v>
      </c>
      <c r="F1969" t="s">
        <v>8118</v>
      </c>
      <c r="K1969">
        <v>48</v>
      </c>
      <c r="L1969" t="s">
        <v>8</v>
      </c>
      <c r="M1969" t="s">
        <v>5636</v>
      </c>
      <c r="N1969">
        <v>8.4507042253521125E-2</v>
      </c>
      <c r="O1969">
        <v>11.833333333333334</v>
      </c>
      <c r="Q1969">
        <v>0</v>
      </c>
      <c r="R1969">
        <v>0</v>
      </c>
      <c r="S1969">
        <v>1</v>
      </c>
      <c r="T1969">
        <v>11.833333333333334</v>
      </c>
      <c r="U1969">
        <v>39.99</v>
      </c>
      <c r="V1969">
        <v>1</v>
      </c>
    </row>
    <row r="1970" spans="1:22" x14ac:dyDescent="0.2">
      <c r="A1970" t="s">
        <v>2224</v>
      </c>
      <c r="B1970" t="s">
        <v>2225</v>
      </c>
      <c r="C1970" t="s">
        <v>2146</v>
      </c>
      <c r="D1970" t="s">
        <v>228</v>
      </c>
      <c r="E1970">
        <v>179.99</v>
      </c>
      <c r="F1970" t="s">
        <v>8118</v>
      </c>
      <c r="G1970">
        <v>28</v>
      </c>
      <c r="H1970">
        <v>27</v>
      </c>
      <c r="I1970">
        <v>1</v>
      </c>
      <c r="J1970">
        <v>29</v>
      </c>
      <c r="K1970">
        <v>80</v>
      </c>
      <c r="L1970" t="s">
        <v>8106</v>
      </c>
      <c r="M1970" t="s">
        <v>2224</v>
      </c>
      <c r="V1970">
        <v>76</v>
      </c>
    </row>
    <row r="1971" spans="1:22" x14ac:dyDescent="0.2">
      <c r="A1971" t="s">
        <v>2222</v>
      </c>
      <c r="B1971" t="s">
        <v>2223</v>
      </c>
      <c r="C1971" t="s">
        <v>2146</v>
      </c>
      <c r="D1971" t="s">
        <v>228</v>
      </c>
      <c r="E1971">
        <v>99.99</v>
      </c>
      <c r="F1971" t="s">
        <v>8118</v>
      </c>
      <c r="G1971">
        <v>27</v>
      </c>
      <c r="H1971">
        <v>27</v>
      </c>
      <c r="J1971">
        <v>30</v>
      </c>
      <c r="K1971">
        <v>608</v>
      </c>
      <c r="L1971" t="s">
        <v>8106</v>
      </c>
      <c r="M1971" t="s">
        <v>2222</v>
      </c>
      <c r="V1971">
        <v>54</v>
      </c>
    </row>
    <row r="1972" spans="1:22" x14ac:dyDescent="0.2">
      <c r="A1972" t="s">
        <v>2350</v>
      </c>
      <c r="B1972" t="s">
        <v>2351</v>
      </c>
      <c r="C1972" t="s">
        <v>2146</v>
      </c>
      <c r="D1972" t="s">
        <v>228</v>
      </c>
      <c r="E1972">
        <v>189.99</v>
      </c>
      <c r="F1972" t="s">
        <v>8118</v>
      </c>
      <c r="G1972">
        <v>20</v>
      </c>
      <c r="H1972">
        <v>2</v>
      </c>
      <c r="I1972">
        <v>18</v>
      </c>
      <c r="L1972" t="s">
        <v>8109</v>
      </c>
      <c r="M1972" t="s">
        <v>97</v>
      </c>
      <c r="N1972">
        <v>14</v>
      </c>
      <c r="O1972">
        <v>0</v>
      </c>
      <c r="T1972">
        <v>0</v>
      </c>
      <c r="U1972">
        <v>0</v>
      </c>
      <c r="V1972">
        <v>14</v>
      </c>
    </row>
    <row r="1973" spans="1:22" x14ac:dyDescent="0.2">
      <c r="A1973" t="s">
        <v>2338</v>
      </c>
      <c r="B1973" t="s">
        <v>2339</v>
      </c>
      <c r="C1973" t="s">
        <v>2146</v>
      </c>
      <c r="D1973" t="s">
        <v>228</v>
      </c>
      <c r="E1973">
        <v>349.99</v>
      </c>
      <c r="F1973" t="s">
        <v>8118</v>
      </c>
      <c r="G1973">
        <v>322</v>
      </c>
      <c r="H1973">
        <v>13</v>
      </c>
      <c r="I1973">
        <v>309</v>
      </c>
      <c r="L1973" t="s">
        <v>8109</v>
      </c>
      <c r="M1973" t="s">
        <v>97</v>
      </c>
      <c r="N1973">
        <v>72</v>
      </c>
      <c r="O1973">
        <v>1.3888888888888888E-2</v>
      </c>
      <c r="T1973">
        <v>0.16666666666666666</v>
      </c>
      <c r="U1973">
        <v>0</v>
      </c>
      <c r="V1973">
        <v>12</v>
      </c>
    </row>
    <row r="1974" spans="1:22" x14ac:dyDescent="0.2">
      <c r="A1974" t="s">
        <v>2352</v>
      </c>
      <c r="B1974" t="s">
        <v>2353</v>
      </c>
      <c r="C1974" t="s">
        <v>2146</v>
      </c>
      <c r="D1974" t="s">
        <v>290</v>
      </c>
      <c r="E1974">
        <v>189.99</v>
      </c>
      <c r="F1974" t="s">
        <v>8118</v>
      </c>
      <c r="L1974" t="s">
        <v>8109</v>
      </c>
      <c r="M1974" t="s">
        <v>97</v>
      </c>
      <c r="N1974">
        <v>11</v>
      </c>
      <c r="O1974">
        <v>0</v>
      </c>
      <c r="T1974">
        <v>0</v>
      </c>
      <c r="U1974">
        <v>0</v>
      </c>
      <c r="V1974">
        <v>11</v>
      </c>
    </row>
    <row r="1975" spans="1:22" x14ac:dyDescent="0.2">
      <c r="A1975" t="s">
        <v>2356</v>
      </c>
      <c r="B1975" t="s">
        <v>2357</v>
      </c>
      <c r="C1975" t="s">
        <v>2146</v>
      </c>
      <c r="D1975" t="s">
        <v>228</v>
      </c>
      <c r="E1975">
        <v>549.99</v>
      </c>
      <c r="F1975" t="s">
        <v>8118</v>
      </c>
      <c r="G1975">
        <v>40</v>
      </c>
      <c r="I1975">
        <v>40</v>
      </c>
      <c r="L1975" t="s">
        <v>8109</v>
      </c>
      <c r="M1975" t="s">
        <v>97</v>
      </c>
      <c r="N1975">
        <v>2</v>
      </c>
      <c r="O1975">
        <v>0</v>
      </c>
      <c r="T1975">
        <v>0</v>
      </c>
      <c r="U1975">
        <v>0</v>
      </c>
      <c r="V1975">
        <v>2</v>
      </c>
    </row>
    <row r="1976" spans="1:22" x14ac:dyDescent="0.2">
      <c r="A1976" t="s">
        <v>2358</v>
      </c>
      <c r="B1976" t="s">
        <v>2359</v>
      </c>
      <c r="C1976" t="s">
        <v>2146</v>
      </c>
      <c r="D1976" t="s">
        <v>228</v>
      </c>
      <c r="E1976">
        <v>199.99</v>
      </c>
      <c r="F1976" t="s">
        <v>8118</v>
      </c>
      <c r="G1976">
        <v>118</v>
      </c>
      <c r="I1976">
        <v>118</v>
      </c>
      <c r="L1976" t="s">
        <v>8109</v>
      </c>
      <c r="M1976" t="s">
        <v>97</v>
      </c>
      <c r="N1976">
        <v>0</v>
      </c>
      <c r="O1976">
        <v>0</v>
      </c>
      <c r="U1976">
        <v>0</v>
      </c>
      <c r="V1976">
        <v>0</v>
      </c>
    </row>
    <row r="1977" spans="1:22" x14ac:dyDescent="0.2">
      <c r="A1977" t="s">
        <v>2360</v>
      </c>
      <c r="B1977" t="s">
        <v>2361</v>
      </c>
      <c r="C1977" t="s">
        <v>2146</v>
      </c>
      <c r="D1977" t="s">
        <v>228</v>
      </c>
      <c r="E1977">
        <v>349.99</v>
      </c>
      <c r="F1977" t="s">
        <v>8118</v>
      </c>
      <c r="G1977">
        <v>278</v>
      </c>
      <c r="H1977">
        <v>1</v>
      </c>
      <c r="I1977">
        <v>277</v>
      </c>
      <c r="L1977" t="s">
        <v>8109</v>
      </c>
      <c r="M1977" t="s">
        <v>97</v>
      </c>
      <c r="N1977">
        <v>144</v>
      </c>
      <c r="O1977">
        <v>6.9444444444444441E-3</v>
      </c>
      <c r="T1977">
        <v>8.3333333333333329E-2</v>
      </c>
      <c r="U1977">
        <v>0</v>
      </c>
      <c r="V1977">
        <v>12</v>
      </c>
    </row>
    <row r="1978" spans="1:22" x14ac:dyDescent="0.2">
      <c r="A1978" t="s">
        <v>2340</v>
      </c>
      <c r="B1978" t="s">
        <v>2341</v>
      </c>
      <c r="C1978" t="s">
        <v>2146</v>
      </c>
      <c r="D1978" t="s">
        <v>228</v>
      </c>
      <c r="E1978">
        <v>549.99</v>
      </c>
      <c r="F1978" t="s">
        <v>8118</v>
      </c>
      <c r="G1978">
        <v>41</v>
      </c>
      <c r="I1978">
        <v>41</v>
      </c>
      <c r="L1978" t="s">
        <v>8109</v>
      </c>
      <c r="M1978" t="s">
        <v>97</v>
      </c>
      <c r="N1978">
        <v>0</v>
      </c>
      <c r="O1978">
        <v>0</v>
      </c>
      <c r="T1978">
        <v>0</v>
      </c>
      <c r="U1978">
        <v>0</v>
      </c>
      <c r="V1978">
        <v>0</v>
      </c>
    </row>
    <row r="1979" spans="1:22" x14ac:dyDescent="0.2">
      <c r="A1979" t="s">
        <v>2334</v>
      </c>
      <c r="B1979" t="s">
        <v>2335</v>
      </c>
      <c r="C1979" t="s">
        <v>2146</v>
      </c>
      <c r="D1979" t="s">
        <v>228</v>
      </c>
      <c r="E1979">
        <v>99.99</v>
      </c>
      <c r="F1979" t="s">
        <v>8118</v>
      </c>
      <c r="G1979">
        <v>34</v>
      </c>
      <c r="H1979">
        <v>34</v>
      </c>
      <c r="L1979" t="s">
        <v>8109</v>
      </c>
      <c r="M1979" t="s">
        <v>97</v>
      </c>
      <c r="N1979">
        <v>9</v>
      </c>
      <c r="O1979">
        <v>0</v>
      </c>
      <c r="T1979">
        <v>0</v>
      </c>
      <c r="U1979">
        <v>0</v>
      </c>
      <c r="V1979">
        <v>9</v>
      </c>
    </row>
    <row r="1980" spans="1:22" x14ac:dyDescent="0.2">
      <c r="A1980" t="s">
        <v>2336</v>
      </c>
      <c r="B1980" t="s">
        <v>2337</v>
      </c>
      <c r="C1980" t="s">
        <v>2146</v>
      </c>
      <c r="D1980" t="s">
        <v>228</v>
      </c>
      <c r="E1980">
        <v>229.99</v>
      </c>
      <c r="F1980" t="s">
        <v>8118</v>
      </c>
      <c r="G1980">
        <v>64</v>
      </c>
      <c r="H1980">
        <v>1</v>
      </c>
      <c r="I1980">
        <v>63</v>
      </c>
      <c r="L1980" t="s">
        <v>8109</v>
      </c>
      <c r="M1980" t="s">
        <v>97</v>
      </c>
      <c r="N1980">
        <v>2</v>
      </c>
      <c r="O1980">
        <v>0</v>
      </c>
      <c r="T1980">
        <v>0</v>
      </c>
      <c r="U1980">
        <v>0</v>
      </c>
      <c r="V1980">
        <v>2</v>
      </c>
    </row>
    <row r="1981" spans="1:22" x14ac:dyDescent="0.2">
      <c r="A1981" t="s">
        <v>2346</v>
      </c>
      <c r="B1981" t="s">
        <v>2347</v>
      </c>
      <c r="C1981" t="s">
        <v>2146</v>
      </c>
      <c r="D1981" t="s">
        <v>228</v>
      </c>
      <c r="E1981">
        <v>99.99</v>
      </c>
      <c r="F1981" t="s">
        <v>8118</v>
      </c>
      <c r="K1981">
        <v>30</v>
      </c>
      <c r="L1981" t="s">
        <v>8109</v>
      </c>
      <c r="M1981" t="s">
        <v>97</v>
      </c>
      <c r="N1981">
        <v>13</v>
      </c>
      <c r="O1981">
        <v>0</v>
      </c>
      <c r="T1981">
        <v>0</v>
      </c>
      <c r="U1981">
        <v>0</v>
      </c>
      <c r="V1981">
        <v>13</v>
      </c>
    </row>
    <row r="1982" spans="1:22" x14ac:dyDescent="0.2">
      <c r="A1982" t="s">
        <v>2286</v>
      </c>
      <c r="B1982" t="s">
        <v>2287</v>
      </c>
      <c r="C1982" t="s">
        <v>2146</v>
      </c>
      <c r="D1982" t="s">
        <v>228</v>
      </c>
      <c r="E1982">
        <v>99.99</v>
      </c>
      <c r="F1982" t="s">
        <v>8118</v>
      </c>
      <c r="G1982">
        <v>159</v>
      </c>
      <c r="H1982">
        <v>1</v>
      </c>
      <c r="I1982">
        <v>158</v>
      </c>
      <c r="L1982" t="s">
        <v>8109</v>
      </c>
      <c r="M1982" t="s">
        <v>97</v>
      </c>
      <c r="N1982">
        <v>1</v>
      </c>
      <c r="O1982">
        <v>0</v>
      </c>
      <c r="T1982">
        <v>0</v>
      </c>
      <c r="U1982">
        <v>0</v>
      </c>
      <c r="V1982">
        <v>1</v>
      </c>
    </row>
    <row r="1983" spans="1:22" x14ac:dyDescent="0.2">
      <c r="A1983" t="s">
        <v>2264</v>
      </c>
      <c r="B1983" t="s">
        <v>2265</v>
      </c>
      <c r="C1983" t="s">
        <v>2146</v>
      </c>
      <c r="D1983" t="s">
        <v>290</v>
      </c>
      <c r="E1983">
        <v>99.99</v>
      </c>
      <c r="F1983" t="s">
        <v>8118</v>
      </c>
      <c r="L1983" t="s">
        <v>8109</v>
      </c>
      <c r="M1983" t="s">
        <v>97</v>
      </c>
      <c r="N1983">
        <v>0</v>
      </c>
      <c r="O1983">
        <v>0</v>
      </c>
      <c r="U1983">
        <v>0</v>
      </c>
      <c r="V1983">
        <v>0</v>
      </c>
    </row>
    <row r="1984" spans="1:22" x14ac:dyDescent="0.2">
      <c r="A1984" t="s">
        <v>2254</v>
      </c>
      <c r="B1984" t="s">
        <v>2255</v>
      </c>
      <c r="C1984" t="s">
        <v>2146</v>
      </c>
      <c r="D1984" t="s">
        <v>290</v>
      </c>
      <c r="E1984">
        <v>39.99</v>
      </c>
      <c r="F1984" t="s">
        <v>8118</v>
      </c>
      <c r="L1984" t="s">
        <v>8109</v>
      </c>
      <c r="M1984" t="s">
        <v>97</v>
      </c>
      <c r="N1984">
        <v>0</v>
      </c>
      <c r="O1984">
        <v>0</v>
      </c>
      <c r="U1984">
        <v>0</v>
      </c>
      <c r="V1984">
        <v>0</v>
      </c>
    </row>
    <row r="1985" spans="1:22" x14ac:dyDescent="0.2">
      <c r="A1985" t="s">
        <v>2292</v>
      </c>
      <c r="B1985" t="s">
        <v>2293</v>
      </c>
      <c r="C1985" t="s">
        <v>2146</v>
      </c>
      <c r="D1985" t="s">
        <v>228</v>
      </c>
      <c r="E1985">
        <v>349.99</v>
      </c>
      <c r="F1985" t="s">
        <v>8118</v>
      </c>
      <c r="G1985">
        <v>398</v>
      </c>
      <c r="I1985">
        <v>398</v>
      </c>
      <c r="L1985" t="s">
        <v>8109</v>
      </c>
      <c r="M1985" t="s">
        <v>97</v>
      </c>
      <c r="N1985">
        <v>0</v>
      </c>
      <c r="O1985">
        <v>0</v>
      </c>
      <c r="U1985">
        <v>0</v>
      </c>
      <c r="V1985">
        <v>0</v>
      </c>
    </row>
    <row r="1986" spans="1:22" x14ac:dyDescent="0.2">
      <c r="A1986" t="s">
        <v>2240</v>
      </c>
      <c r="B1986" t="s">
        <v>2241</v>
      </c>
      <c r="C1986" t="s">
        <v>2146</v>
      </c>
      <c r="D1986" t="s">
        <v>290</v>
      </c>
      <c r="E1986">
        <v>99.99</v>
      </c>
      <c r="F1986" t="s">
        <v>8118</v>
      </c>
      <c r="L1986" t="s">
        <v>8109</v>
      </c>
      <c r="M1986" t="s">
        <v>97</v>
      </c>
      <c r="N1986">
        <v>1</v>
      </c>
      <c r="O1986">
        <v>0</v>
      </c>
      <c r="T1986">
        <v>0</v>
      </c>
      <c r="U1986">
        <v>0</v>
      </c>
      <c r="V1986">
        <v>1</v>
      </c>
    </row>
    <row r="1987" spans="1:22" x14ac:dyDescent="0.2">
      <c r="A1987" t="s">
        <v>2252</v>
      </c>
      <c r="B1987" t="s">
        <v>2253</v>
      </c>
      <c r="C1987" t="s">
        <v>2146</v>
      </c>
      <c r="D1987" t="s">
        <v>290</v>
      </c>
      <c r="E1987">
        <v>99.99</v>
      </c>
      <c r="F1987" t="s">
        <v>8118</v>
      </c>
      <c r="L1987" t="s">
        <v>8109</v>
      </c>
      <c r="M1987" t="s">
        <v>97</v>
      </c>
      <c r="N1987">
        <v>2</v>
      </c>
      <c r="O1987">
        <v>0</v>
      </c>
      <c r="T1987">
        <v>0</v>
      </c>
      <c r="U1987">
        <v>0</v>
      </c>
      <c r="V1987">
        <v>2</v>
      </c>
    </row>
    <row r="1988" spans="1:22" x14ac:dyDescent="0.2">
      <c r="A1988" t="s">
        <v>2294</v>
      </c>
      <c r="B1988" t="s">
        <v>2295</v>
      </c>
      <c r="C1988" t="s">
        <v>2146</v>
      </c>
      <c r="D1988" t="s">
        <v>290</v>
      </c>
      <c r="E1988">
        <v>99.99</v>
      </c>
      <c r="F1988" t="s">
        <v>8118</v>
      </c>
      <c r="L1988" t="s">
        <v>8109</v>
      </c>
      <c r="M1988" t="s">
        <v>97</v>
      </c>
      <c r="N1988">
        <v>0</v>
      </c>
      <c r="O1988">
        <v>0</v>
      </c>
      <c r="T1988">
        <v>0</v>
      </c>
      <c r="U1988">
        <v>0</v>
      </c>
      <c r="V1988">
        <v>0</v>
      </c>
    </row>
    <row r="1989" spans="1:22" x14ac:dyDescent="0.2">
      <c r="A1989" t="s">
        <v>2232</v>
      </c>
      <c r="B1989" t="s">
        <v>2233</v>
      </c>
      <c r="C1989" t="s">
        <v>2146</v>
      </c>
      <c r="D1989" t="s">
        <v>228</v>
      </c>
      <c r="E1989">
        <v>39.99</v>
      </c>
      <c r="F1989" t="s">
        <v>8118</v>
      </c>
      <c r="K1989">
        <v>48</v>
      </c>
      <c r="L1989" t="s">
        <v>8109</v>
      </c>
      <c r="M1989" t="s">
        <v>97</v>
      </c>
      <c r="N1989">
        <v>1</v>
      </c>
      <c r="O1989">
        <v>0</v>
      </c>
      <c r="T1989">
        <v>0</v>
      </c>
      <c r="U1989">
        <v>0</v>
      </c>
      <c r="V1989">
        <v>1</v>
      </c>
    </row>
    <row r="1990" spans="1:22" x14ac:dyDescent="0.2">
      <c r="A1990" t="s">
        <v>2242</v>
      </c>
      <c r="B1990" t="s">
        <v>2243</v>
      </c>
      <c r="C1990" t="s">
        <v>2146</v>
      </c>
      <c r="D1990" t="s">
        <v>290</v>
      </c>
      <c r="E1990">
        <v>39.99</v>
      </c>
      <c r="F1990" t="s">
        <v>8118</v>
      </c>
      <c r="G1990">
        <v>2</v>
      </c>
      <c r="I1990">
        <v>2</v>
      </c>
      <c r="L1990" t="s">
        <v>8109</v>
      </c>
      <c r="M1990" t="s">
        <v>97</v>
      </c>
      <c r="N1990">
        <v>3</v>
      </c>
      <c r="O1990">
        <v>0</v>
      </c>
      <c r="T1990">
        <v>0</v>
      </c>
      <c r="U1990">
        <v>0</v>
      </c>
      <c r="V1990">
        <v>3</v>
      </c>
    </row>
    <row r="1991" spans="1:22" x14ac:dyDescent="0.2">
      <c r="A1991" t="s">
        <v>2296</v>
      </c>
      <c r="B1991" t="s">
        <v>2297</v>
      </c>
      <c r="C1991" t="s">
        <v>2146</v>
      </c>
      <c r="D1991" t="s">
        <v>290</v>
      </c>
      <c r="E1991">
        <v>229.99</v>
      </c>
      <c r="F1991" t="s">
        <v>8118</v>
      </c>
      <c r="G1991">
        <v>20</v>
      </c>
      <c r="I1991">
        <v>20</v>
      </c>
      <c r="L1991" t="s">
        <v>8109</v>
      </c>
      <c r="M1991" t="s">
        <v>97</v>
      </c>
      <c r="N1991">
        <v>0</v>
      </c>
      <c r="O1991">
        <v>0</v>
      </c>
      <c r="U1991">
        <v>0</v>
      </c>
      <c r="V1991">
        <v>0</v>
      </c>
    </row>
    <row r="1992" spans="1:22" x14ac:dyDescent="0.2">
      <c r="A1992" t="s">
        <v>2210</v>
      </c>
      <c r="B1992" t="s">
        <v>2211</v>
      </c>
      <c r="C1992" t="s">
        <v>2146</v>
      </c>
      <c r="D1992" t="s">
        <v>228</v>
      </c>
      <c r="E1992">
        <v>429.99</v>
      </c>
      <c r="F1992" t="s">
        <v>8118</v>
      </c>
      <c r="G1992">
        <v>30</v>
      </c>
      <c r="I1992">
        <v>30</v>
      </c>
      <c r="L1992" t="s">
        <v>8109</v>
      </c>
      <c r="M1992" t="s">
        <v>97</v>
      </c>
      <c r="N1992">
        <v>0</v>
      </c>
      <c r="O1992">
        <v>0</v>
      </c>
      <c r="U1992">
        <v>0</v>
      </c>
      <c r="V1992">
        <v>0</v>
      </c>
    </row>
    <row r="1993" spans="1:22" x14ac:dyDescent="0.2">
      <c r="A1993" t="s">
        <v>2272</v>
      </c>
      <c r="B1993" t="s">
        <v>2273</v>
      </c>
      <c r="C1993" t="s">
        <v>2146</v>
      </c>
      <c r="D1993" t="s">
        <v>96</v>
      </c>
      <c r="E1993">
        <v>119.99</v>
      </c>
      <c r="F1993" t="s">
        <v>8118</v>
      </c>
      <c r="L1993" t="s">
        <v>8109</v>
      </c>
      <c r="M1993" t="s">
        <v>97</v>
      </c>
      <c r="N1993">
        <v>0</v>
      </c>
      <c r="O1993">
        <v>0</v>
      </c>
      <c r="U1993">
        <v>0</v>
      </c>
      <c r="V1993">
        <v>0</v>
      </c>
    </row>
    <row r="1994" spans="1:22" x14ac:dyDescent="0.2">
      <c r="A1994" t="s">
        <v>2208</v>
      </c>
      <c r="B1994" t="s">
        <v>2209</v>
      </c>
      <c r="C1994" t="s">
        <v>2146</v>
      </c>
      <c r="D1994" t="s">
        <v>228</v>
      </c>
      <c r="E1994">
        <v>149.99</v>
      </c>
      <c r="F1994" t="s">
        <v>8118</v>
      </c>
      <c r="K1994">
        <v>6</v>
      </c>
      <c r="L1994" t="s">
        <v>8109</v>
      </c>
      <c r="M1994" t="s">
        <v>97</v>
      </c>
      <c r="N1994">
        <v>0</v>
      </c>
      <c r="O1994">
        <v>0</v>
      </c>
      <c r="U1994">
        <v>0</v>
      </c>
      <c r="V1994">
        <v>0</v>
      </c>
    </row>
    <row r="1995" spans="1:22" x14ac:dyDescent="0.2">
      <c r="A1995" t="s">
        <v>2190</v>
      </c>
      <c r="B1995" t="s">
        <v>2191</v>
      </c>
      <c r="C1995" t="s">
        <v>2146</v>
      </c>
      <c r="D1995" t="s">
        <v>290</v>
      </c>
      <c r="E1995">
        <v>349.99</v>
      </c>
      <c r="F1995" t="s">
        <v>8118</v>
      </c>
      <c r="G1995">
        <v>46</v>
      </c>
      <c r="H1995">
        <v>4</v>
      </c>
      <c r="I1995">
        <v>42</v>
      </c>
      <c r="L1995" t="s">
        <v>8109</v>
      </c>
      <c r="M1995" t="s">
        <v>97</v>
      </c>
      <c r="N1995">
        <v>2</v>
      </c>
      <c r="O1995">
        <v>0</v>
      </c>
      <c r="T1995">
        <v>0</v>
      </c>
      <c r="U1995">
        <v>0</v>
      </c>
      <c r="V1995">
        <v>2</v>
      </c>
    </row>
    <row r="1996" spans="1:22" x14ac:dyDescent="0.2">
      <c r="A1996" t="s">
        <v>2274</v>
      </c>
      <c r="B1996" t="s">
        <v>2275</v>
      </c>
      <c r="C1996" t="s">
        <v>2146</v>
      </c>
      <c r="D1996" t="s">
        <v>290</v>
      </c>
      <c r="E1996">
        <v>349.99</v>
      </c>
      <c r="F1996" t="s">
        <v>8118</v>
      </c>
      <c r="L1996" t="s">
        <v>8109</v>
      </c>
      <c r="M1996" t="s">
        <v>97</v>
      </c>
      <c r="N1996">
        <v>0</v>
      </c>
      <c r="O1996">
        <v>0</v>
      </c>
      <c r="U1996">
        <v>0</v>
      </c>
      <c r="V1996">
        <v>0</v>
      </c>
    </row>
    <row r="1997" spans="1:22" x14ac:dyDescent="0.2">
      <c r="A1997" t="s">
        <v>2290</v>
      </c>
      <c r="B1997" t="s">
        <v>2291</v>
      </c>
      <c r="C1997" t="s">
        <v>2146</v>
      </c>
      <c r="D1997" t="s">
        <v>228</v>
      </c>
      <c r="E1997">
        <v>539.99</v>
      </c>
      <c r="F1997" t="s">
        <v>8118</v>
      </c>
      <c r="L1997" t="s">
        <v>8109</v>
      </c>
      <c r="M1997" t="s">
        <v>97</v>
      </c>
      <c r="N1997">
        <v>0</v>
      </c>
      <c r="O1997">
        <v>0</v>
      </c>
      <c r="T1997">
        <v>0.125</v>
      </c>
      <c r="U1997">
        <v>0</v>
      </c>
      <c r="V1997">
        <v>0</v>
      </c>
    </row>
    <row r="1998" spans="1:22" x14ac:dyDescent="0.2">
      <c r="A1998" t="s">
        <v>2178</v>
      </c>
      <c r="B1998" t="s">
        <v>2179</v>
      </c>
      <c r="C1998" t="s">
        <v>2146</v>
      </c>
      <c r="D1998" t="s">
        <v>290</v>
      </c>
      <c r="E1998">
        <v>99.99</v>
      </c>
      <c r="F1998" t="s">
        <v>8118</v>
      </c>
      <c r="G1998">
        <v>7</v>
      </c>
      <c r="H1998">
        <v>1</v>
      </c>
      <c r="I1998">
        <v>6</v>
      </c>
      <c r="L1998" t="s">
        <v>8109</v>
      </c>
      <c r="M1998" t="s">
        <v>97</v>
      </c>
      <c r="N1998">
        <v>0</v>
      </c>
      <c r="O1998">
        <v>0</v>
      </c>
      <c r="U1998">
        <v>0</v>
      </c>
      <c r="V1998">
        <v>0</v>
      </c>
    </row>
    <row r="1999" spans="1:22" x14ac:dyDescent="0.2">
      <c r="A1999" t="s">
        <v>4561</v>
      </c>
      <c r="B1999" t="s">
        <v>4562</v>
      </c>
      <c r="C1999" t="s">
        <v>4486</v>
      </c>
      <c r="D1999" t="s">
        <v>96</v>
      </c>
      <c r="E1999">
        <v>109.95</v>
      </c>
      <c r="F1999" t="s">
        <v>8118</v>
      </c>
      <c r="L1999" t="s">
        <v>11</v>
      </c>
      <c r="M1999" t="s">
        <v>4563</v>
      </c>
      <c r="N1999">
        <v>0</v>
      </c>
      <c r="O1999">
        <v>0</v>
      </c>
      <c r="T1999">
        <v>0</v>
      </c>
      <c r="U1999">
        <v>0</v>
      </c>
      <c r="V1999">
        <v>0</v>
      </c>
    </row>
    <row r="2000" spans="1:22" x14ac:dyDescent="0.2">
      <c r="A2000" t="s">
        <v>4555</v>
      </c>
      <c r="B2000" t="s">
        <v>4556</v>
      </c>
      <c r="C2000" t="s">
        <v>4486</v>
      </c>
      <c r="D2000" t="s">
        <v>96</v>
      </c>
      <c r="E2000">
        <v>99.99</v>
      </c>
      <c r="F2000" t="s">
        <v>8118</v>
      </c>
      <c r="L2000" t="s">
        <v>11</v>
      </c>
      <c r="M2000" t="s">
        <v>4557</v>
      </c>
      <c r="N2000">
        <v>0</v>
      </c>
      <c r="O2000">
        <v>0</v>
      </c>
      <c r="T2000">
        <v>0</v>
      </c>
      <c r="U2000">
        <v>0</v>
      </c>
      <c r="V2000">
        <v>0</v>
      </c>
    </row>
    <row r="2001" spans="1:22" x14ac:dyDescent="0.2">
      <c r="A2001" t="s">
        <v>4564</v>
      </c>
      <c r="B2001" t="s">
        <v>4565</v>
      </c>
      <c r="C2001" t="s">
        <v>4486</v>
      </c>
      <c r="D2001" t="s">
        <v>96</v>
      </c>
      <c r="E2001">
        <v>49.99</v>
      </c>
      <c r="F2001" t="s">
        <v>8118</v>
      </c>
      <c r="L2001" t="s">
        <v>11</v>
      </c>
      <c r="M2001" t="s">
        <v>4566</v>
      </c>
      <c r="N2001">
        <v>0</v>
      </c>
      <c r="O2001">
        <v>0</v>
      </c>
      <c r="T2001">
        <v>0</v>
      </c>
      <c r="U2001">
        <v>0</v>
      </c>
      <c r="V2001">
        <v>0</v>
      </c>
    </row>
    <row r="2002" spans="1:22" x14ac:dyDescent="0.2">
      <c r="A2002" t="s">
        <v>4567</v>
      </c>
      <c r="B2002" t="s">
        <v>4568</v>
      </c>
      <c r="C2002" t="s">
        <v>4486</v>
      </c>
      <c r="D2002" t="s">
        <v>96</v>
      </c>
      <c r="E2002">
        <v>49.99</v>
      </c>
      <c r="F2002" t="s">
        <v>8118</v>
      </c>
      <c r="L2002" t="s">
        <v>11</v>
      </c>
      <c r="M2002" t="s">
        <v>4569</v>
      </c>
      <c r="N2002">
        <v>0</v>
      </c>
      <c r="O2002">
        <v>0</v>
      </c>
      <c r="T2002">
        <v>0</v>
      </c>
      <c r="U2002">
        <v>0</v>
      </c>
      <c r="V2002">
        <v>0</v>
      </c>
    </row>
    <row r="2003" spans="1:22" x14ac:dyDescent="0.2">
      <c r="A2003" t="s">
        <v>4570</v>
      </c>
      <c r="B2003" t="s">
        <v>4571</v>
      </c>
      <c r="C2003" t="s">
        <v>4486</v>
      </c>
      <c r="D2003" t="s">
        <v>96</v>
      </c>
      <c r="E2003">
        <v>49.99</v>
      </c>
      <c r="F2003" t="s">
        <v>8118</v>
      </c>
      <c r="L2003" t="s">
        <v>11</v>
      </c>
      <c r="M2003" t="s">
        <v>4572</v>
      </c>
      <c r="N2003">
        <v>0</v>
      </c>
      <c r="O2003">
        <v>0</v>
      </c>
      <c r="T2003">
        <v>0</v>
      </c>
      <c r="U2003">
        <v>0</v>
      </c>
      <c r="V2003">
        <v>0</v>
      </c>
    </row>
    <row r="2004" spans="1:22" x14ac:dyDescent="0.2">
      <c r="A2004" t="s">
        <v>4579</v>
      </c>
      <c r="B2004" t="s">
        <v>4580</v>
      </c>
      <c r="C2004" t="s">
        <v>4486</v>
      </c>
      <c r="D2004" t="s">
        <v>96</v>
      </c>
      <c r="E2004">
        <v>109.99</v>
      </c>
      <c r="F2004" t="s">
        <v>8118</v>
      </c>
      <c r="L2004" t="s">
        <v>11</v>
      </c>
      <c r="M2004" t="s">
        <v>4581</v>
      </c>
      <c r="N2004">
        <v>0</v>
      </c>
      <c r="O2004">
        <v>0</v>
      </c>
      <c r="T2004">
        <v>0</v>
      </c>
      <c r="U2004">
        <v>0</v>
      </c>
      <c r="V2004">
        <v>0</v>
      </c>
    </row>
    <row r="2005" spans="1:22" x14ac:dyDescent="0.2">
      <c r="A2005" t="s">
        <v>4582</v>
      </c>
      <c r="B2005" t="s">
        <v>4583</v>
      </c>
      <c r="C2005" t="s">
        <v>4486</v>
      </c>
      <c r="D2005" t="s">
        <v>96</v>
      </c>
      <c r="E2005">
        <v>119.99</v>
      </c>
      <c r="F2005" t="s">
        <v>8118</v>
      </c>
      <c r="L2005" t="s">
        <v>11</v>
      </c>
      <c r="M2005" t="s">
        <v>4584</v>
      </c>
      <c r="N2005">
        <v>0</v>
      </c>
      <c r="O2005">
        <v>0</v>
      </c>
      <c r="T2005">
        <v>0</v>
      </c>
      <c r="U2005">
        <v>0</v>
      </c>
      <c r="V2005">
        <v>0</v>
      </c>
    </row>
    <row r="2006" spans="1:22" x14ac:dyDescent="0.2">
      <c r="A2006" t="s">
        <v>4576</v>
      </c>
      <c r="B2006" t="s">
        <v>4577</v>
      </c>
      <c r="C2006" t="s">
        <v>4486</v>
      </c>
      <c r="D2006" t="s">
        <v>96</v>
      </c>
      <c r="E2006">
        <v>59.99</v>
      </c>
      <c r="F2006" t="s">
        <v>8118</v>
      </c>
      <c r="L2006" t="s">
        <v>11</v>
      </c>
      <c r="M2006" t="s">
        <v>4578</v>
      </c>
      <c r="N2006">
        <v>0</v>
      </c>
      <c r="O2006">
        <v>0</v>
      </c>
      <c r="T2006">
        <v>0</v>
      </c>
      <c r="U2006">
        <v>0</v>
      </c>
      <c r="V2006">
        <v>0</v>
      </c>
    </row>
    <row r="2007" spans="1:22" x14ac:dyDescent="0.2">
      <c r="A2007" t="s">
        <v>4484</v>
      </c>
      <c r="B2007" t="s">
        <v>4485</v>
      </c>
      <c r="C2007" t="s">
        <v>4486</v>
      </c>
      <c r="D2007" t="s">
        <v>96</v>
      </c>
      <c r="E2007">
        <v>49.95</v>
      </c>
      <c r="F2007" t="s">
        <v>8118</v>
      </c>
      <c r="L2007" t="s">
        <v>11</v>
      </c>
      <c r="M2007" t="s">
        <v>4487</v>
      </c>
      <c r="N2007">
        <v>0</v>
      </c>
      <c r="O2007">
        <v>0</v>
      </c>
      <c r="T2007">
        <v>0</v>
      </c>
      <c r="U2007">
        <v>0</v>
      </c>
      <c r="V2007">
        <v>0</v>
      </c>
    </row>
    <row r="2008" spans="1:22" x14ac:dyDescent="0.2">
      <c r="A2008" t="s">
        <v>4558</v>
      </c>
      <c r="B2008" t="s">
        <v>4559</v>
      </c>
      <c r="C2008" t="s">
        <v>4486</v>
      </c>
      <c r="D2008" t="s">
        <v>96</v>
      </c>
      <c r="E2008">
        <v>119.99</v>
      </c>
      <c r="F2008" t="s">
        <v>8118</v>
      </c>
      <c r="L2008" t="s">
        <v>11</v>
      </c>
      <c r="M2008" t="s">
        <v>4560</v>
      </c>
      <c r="N2008">
        <v>0</v>
      </c>
      <c r="O2008">
        <v>0</v>
      </c>
      <c r="T2008">
        <v>0</v>
      </c>
      <c r="U2008">
        <v>0</v>
      </c>
      <c r="V2008">
        <v>0</v>
      </c>
    </row>
    <row r="2009" spans="1:22" x14ac:dyDescent="0.2">
      <c r="A2009" t="s">
        <v>4573</v>
      </c>
      <c r="B2009" t="s">
        <v>4574</v>
      </c>
      <c r="C2009" t="s">
        <v>4486</v>
      </c>
      <c r="D2009" t="s">
        <v>96</v>
      </c>
      <c r="E2009">
        <v>59.99</v>
      </c>
      <c r="F2009" t="s">
        <v>8118</v>
      </c>
      <c r="L2009" t="s">
        <v>11</v>
      </c>
      <c r="M2009" t="s">
        <v>4575</v>
      </c>
      <c r="N2009">
        <v>0</v>
      </c>
      <c r="O2009">
        <v>0</v>
      </c>
      <c r="T2009">
        <v>0</v>
      </c>
      <c r="U2009">
        <v>0</v>
      </c>
      <c r="V2009">
        <v>0</v>
      </c>
    </row>
    <row r="2010" spans="1:22" x14ac:dyDescent="0.2">
      <c r="A2010" t="s">
        <v>4552</v>
      </c>
      <c r="B2010" t="s">
        <v>4553</v>
      </c>
      <c r="C2010" t="s">
        <v>4486</v>
      </c>
      <c r="D2010" t="s">
        <v>96</v>
      </c>
      <c r="E2010">
        <v>59.95</v>
      </c>
      <c r="F2010" t="s">
        <v>8118</v>
      </c>
      <c r="L2010" t="s">
        <v>11</v>
      </c>
      <c r="M2010" t="s">
        <v>4554</v>
      </c>
      <c r="N2010">
        <v>0</v>
      </c>
      <c r="O2010">
        <v>0</v>
      </c>
      <c r="T2010">
        <v>0</v>
      </c>
      <c r="U2010">
        <v>0</v>
      </c>
      <c r="V2010">
        <v>0</v>
      </c>
    </row>
    <row r="2011" spans="1:22" x14ac:dyDescent="0.2">
      <c r="A2011" t="s">
        <v>4549</v>
      </c>
      <c r="B2011" t="s">
        <v>4550</v>
      </c>
      <c r="C2011" t="s">
        <v>4486</v>
      </c>
      <c r="D2011" t="s">
        <v>96</v>
      </c>
      <c r="E2011">
        <v>59.99</v>
      </c>
      <c r="F2011" t="s">
        <v>8118</v>
      </c>
      <c r="L2011" t="s">
        <v>11</v>
      </c>
      <c r="M2011" t="s">
        <v>4551</v>
      </c>
      <c r="N2011">
        <v>0</v>
      </c>
      <c r="O2011">
        <v>0</v>
      </c>
      <c r="T2011">
        <v>0</v>
      </c>
      <c r="U2011">
        <v>0</v>
      </c>
      <c r="V2011">
        <v>0</v>
      </c>
    </row>
    <row r="2012" spans="1:22" x14ac:dyDescent="0.2">
      <c r="A2012" t="s">
        <v>4549</v>
      </c>
      <c r="B2012" t="s">
        <v>4550</v>
      </c>
      <c r="C2012" t="s">
        <v>4486</v>
      </c>
      <c r="D2012" t="s">
        <v>96</v>
      </c>
      <c r="E2012">
        <v>59.99</v>
      </c>
      <c r="F2012" t="s">
        <v>8118</v>
      </c>
      <c r="L2012" t="s">
        <v>10</v>
      </c>
      <c r="M2012">
        <v>327617</v>
      </c>
      <c r="N2012">
        <v>0</v>
      </c>
      <c r="O2012">
        <v>0</v>
      </c>
      <c r="P2012" t="s">
        <v>290</v>
      </c>
      <c r="T2012">
        <v>0</v>
      </c>
      <c r="U2012">
        <v>0</v>
      </c>
      <c r="V2012">
        <v>0</v>
      </c>
    </row>
    <row r="2013" spans="1:22" x14ac:dyDescent="0.2">
      <c r="A2013" t="s">
        <v>4567</v>
      </c>
      <c r="B2013" t="s">
        <v>4568</v>
      </c>
      <c r="C2013" t="s">
        <v>4486</v>
      </c>
      <c r="D2013" t="s">
        <v>96</v>
      </c>
      <c r="E2013">
        <v>49.99</v>
      </c>
      <c r="F2013" t="s">
        <v>8118</v>
      </c>
      <c r="L2013" t="s">
        <v>10</v>
      </c>
      <c r="M2013">
        <v>327621</v>
      </c>
      <c r="N2013">
        <v>0</v>
      </c>
      <c r="O2013">
        <v>0</v>
      </c>
      <c r="P2013" t="s">
        <v>290</v>
      </c>
      <c r="T2013">
        <v>0</v>
      </c>
      <c r="U2013">
        <v>0</v>
      </c>
      <c r="V2013">
        <v>0</v>
      </c>
    </row>
    <row r="2014" spans="1:22" x14ac:dyDescent="0.2">
      <c r="A2014" t="s">
        <v>4570</v>
      </c>
      <c r="B2014" t="s">
        <v>4571</v>
      </c>
      <c r="C2014" t="s">
        <v>4486</v>
      </c>
      <c r="D2014" t="s">
        <v>96</v>
      </c>
      <c r="E2014">
        <v>49.99</v>
      </c>
      <c r="F2014" t="s">
        <v>8118</v>
      </c>
      <c r="L2014" t="s">
        <v>10</v>
      </c>
      <c r="M2014">
        <v>327622</v>
      </c>
      <c r="N2014">
        <v>0</v>
      </c>
      <c r="O2014">
        <v>0</v>
      </c>
      <c r="P2014" t="s">
        <v>290</v>
      </c>
      <c r="T2014">
        <v>0</v>
      </c>
      <c r="U2014">
        <v>0</v>
      </c>
      <c r="V2014">
        <v>0</v>
      </c>
    </row>
    <row r="2015" spans="1:22" x14ac:dyDescent="0.2">
      <c r="A2015" t="s">
        <v>7228</v>
      </c>
      <c r="B2015" t="s">
        <v>7230</v>
      </c>
      <c r="C2015" t="s">
        <v>4486</v>
      </c>
      <c r="D2015" t="s">
        <v>96</v>
      </c>
      <c r="E2015">
        <v>59.99</v>
      </c>
      <c r="F2015" t="s">
        <v>8118</v>
      </c>
      <c r="L2015" t="s">
        <v>10</v>
      </c>
      <c r="M2015">
        <v>334728</v>
      </c>
      <c r="N2015">
        <v>0</v>
      </c>
      <c r="O2015">
        <v>0</v>
      </c>
      <c r="P2015" t="s">
        <v>290</v>
      </c>
      <c r="T2015">
        <v>0</v>
      </c>
      <c r="U2015">
        <v>0</v>
      </c>
      <c r="V2015">
        <v>0</v>
      </c>
    </row>
    <row r="2016" spans="1:22" x14ac:dyDescent="0.2">
      <c r="A2016" t="s">
        <v>4582</v>
      </c>
      <c r="B2016" t="s">
        <v>4583</v>
      </c>
      <c r="C2016" t="s">
        <v>4486</v>
      </c>
      <c r="D2016" t="s">
        <v>96</v>
      </c>
      <c r="E2016">
        <v>119.99</v>
      </c>
      <c r="F2016" t="s">
        <v>8118</v>
      </c>
      <c r="L2016" t="s">
        <v>7032</v>
      </c>
      <c r="M2016" t="s">
        <v>97</v>
      </c>
      <c r="N2016">
        <v>0</v>
      </c>
      <c r="O2016">
        <v>0</v>
      </c>
      <c r="T2016">
        <v>0</v>
      </c>
      <c r="U2016">
        <v>0</v>
      </c>
      <c r="V2016">
        <v>0</v>
      </c>
    </row>
    <row r="2017" spans="1:22" x14ac:dyDescent="0.2">
      <c r="A2017" t="s">
        <v>4561</v>
      </c>
      <c r="B2017" t="s">
        <v>4562</v>
      </c>
      <c r="C2017" t="s">
        <v>4486</v>
      </c>
      <c r="D2017" t="s">
        <v>96</v>
      </c>
      <c r="E2017">
        <v>109.95</v>
      </c>
      <c r="F2017" t="s">
        <v>8118</v>
      </c>
      <c r="L2017" t="s">
        <v>7032</v>
      </c>
      <c r="M2017" t="s">
        <v>97</v>
      </c>
      <c r="N2017">
        <v>0</v>
      </c>
      <c r="O2017">
        <v>0</v>
      </c>
      <c r="T2017">
        <v>0</v>
      </c>
      <c r="U2017">
        <v>0</v>
      </c>
      <c r="V2017">
        <v>0</v>
      </c>
    </row>
    <row r="2018" spans="1:22" x14ac:dyDescent="0.2">
      <c r="A2018" t="s">
        <v>7816</v>
      </c>
      <c r="B2018" t="s">
        <v>7817</v>
      </c>
      <c r="C2018" t="s">
        <v>4486</v>
      </c>
      <c r="D2018" t="s">
        <v>96</v>
      </c>
      <c r="E2018">
        <v>29.99</v>
      </c>
      <c r="F2018" t="s">
        <v>8118</v>
      </c>
      <c r="L2018" t="s">
        <v>7032</v>
      </c>
      <c r="M2018" t="s">
        <v>97</v>
      </c>
      <c r="N2018">
        <v>0</v>
      </c>
      <c r="O2018">
        <v>0</v>
      </c>
      <c r="T2018">
        <v>0</v>
      </c>
      <c r="U2018">
        <v>0</v>
      </c>
      <c r="V2018">
        <v>1</v>
      </c>
    </row>
    <row r="2019" spans="1:22" x14ac:dyDescent="0.2">
      <c r="A2019" t="s">
        <v>4579</v>
      </c>
      <c r="B2019" t="s">
        <v>4580</v>
      </c>
      <c r="C2019" t="s">
        <v>4486</v>
      </c>
      <c r="D2019" t="s">
        <v>96</v>
      </c>
      <c r="E2019">
        <v>109.99</v>
      </c>
      <c r="F2019" t="s">
        <v>8118</v>
      </c>
      <c r="L2019" t="s">
        <v>7032</v>
      </c>
      <c r="M2019" t="s">
        <v>97</v>
      </c>
      <c r="N2019">
        <v>0</v>
      </c>
      <c r="O2019">
        <v>0</v>
      </c>
      <c r="T2019">
        <v>0</v>
      </c>
      <c r="U2019">
        <v>0</v>
      </c>
      <c r="V2019">
        <v>0</v>
      </c>
    </row>
    <row r="2020" spans="1:22" x14ac:dyDescent="0.2">
      <c r="A2020" t="s">
        <v>4573</v>
      </c>
      <c r="B2020" t="s">
        <v>4574</v>
      </c>
      <c r="C2020" t="s">
        <v>4486</v>
      </c>
      <c r="D2020" t="s">
        <v>96</v>
      </c>
      <c r="E2020">
        <v>59.99</v>
      </c>
      <c r="F2020" t="s">
        <v>8118</v>
      </c>
      <c r="L2020" t="s">
        <v>7032</v>
      </c>
      <c r="M2020" t="s">
        <v>97</v>
      </c>
      <c r="N2020">
        <v>0</v>
      </c>
      <c r="O2020">
        <v>0</v>
      </c>
      <c r="T2020">
        <v>0</v>
      </c>
      <c r="U2020">
        <v>0</v>
      </c>
      <c r="V2020">
        <v>0</v>
      </c>
    </row>
    <row r="2021" spans="1:22" x14ac:dyDescent="0.2">
      <c r="A2021" t="s">
        <v>4549</v>
      </c>
      <c r="B2021" t="s">
        <v>4550</v>
      </c>
      <c r="C2021" t="s">
        <v>4486</v>
      </c>
      <c r="D2021" t="s">
        <v>96</v>
      </c>
      <c r="E2021">
        <v>59.99</v>
      </c>
      <c r="F2021" t="s">
        <v>8118</v>
      </c>
      <c r="L2021" t="s">
        <v>8</v>
      </c>
      <c r="M2021" t="s">
        <v>7937</v>
      </c>
      <c r="N2021">
        <v>0</v>
      </c>
      <c r="O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spans="1:22" x14ac:dyDescent="0.2">
      <c r="A2022" t="s">
        <v>4567</v>
      </c>
      <c r="B2022" t="s">
        <v>4568</v>
      </c>
      <c r="C2022" t="s">
        <v>4486</v>
      </c>
      <c r="D2022" t="s">
        <v>96</v>
      </c>
      <c r="E2022">
        <v>49.99</v>
      </c>
      <c r="F2022" t="s">
        <v>8118</v>
      </c>
      <c r="L2022" t="s">
        <v>8</v>
      </c>
      <c r="M2022" t="s">
        <v>7939</v>
      </c>
      <c r="N2022">
        <v>0</v>
      </c>
      <c r="O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spans="1:22" x14ac:dyDescent="0.2">
      <c r="A2023" t="s">
        <v>4570</v>
      </c>
      <c r="B2023" t="s">
        <v>4571</v>
      </c>
      <c r="C2023" t="s">
        <v>4486</v>
      </c>
      <c r="D2023" t="s">
        <v>96</v>
      </c>
      <c r="E2023">
        <v>49.99</v>
      </c>
      <c r="F2023" t="s">
        <v>8118</v>
      </c>
      <c r="L2023" t="s">
        <v>8</v>
      </c>
      <c r="M2023" t="s">
        <v>7952</v>
      </c>
      <c r="N2023">
        <v>0</v>
      </c>
      <c r="O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spans="1:22" x14ac:dyDescent="0.2">
      <c r="A2024" t="s">
        <v>4573</v>
      </c>
      <c r="B2024" t="s">
        <v>4574</v>
      </c>
      <c r="C2024" t="s">
        <v>4486</v>
      </c>
      <c r="D2024" t="s">
        <v>96</v>
      </c>
      <c r="E2024">
        <v>59.99</v>
      </c>
      <c r="F2024" t="s">
        <v>8118</v>
      </c>
      <c r="L2024" t="s">
        <v>8</v>
      </c>
      <c r="M2024" t="s">
        <v>7995</v>
      </c>
      <c r="N2024">
        <v>0</v>
      </c>
      <c r="O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spans="1:22" x14ac:dyDescent="0.2">
      <c r="A2025" t="s">
        <v>2375</v>
      </c>
      <c r="B2025" t="s">
        <v>2376</v>
      </c>
      <c r="C2025" t="s">
        <v>2374</v>
      </c>
      <c r="D2025" t="s">
        <v>290</v>
      </c>
      <c r="E2025">
        <v>149.99</v>
      </c>
      <c r="F2025" t="s">
        <v>8118</v>
      </c>
      <c r="L2025" t="s">
        <v>11</v>
      </c>
      <c r="M2025" t="s">
        <v>5479</v>
      </c>
      <c r="N2025">
        <v>4.4210526315789478</v>
      </c>
      <c r="O2025">
        <v>0.22619047619047619</v>
      </c>
      <c r="T2025">
        <v>1.5833333333333333</v>
      </c>
      <c r="U2025">
        <v>449.97</v>
      </c>
      <c r="V2025">
        <v>7</v>
      </c>
    </row>
    <row r="2026" spans="1:22" x14ac:dyDescent="0.2">
      <c r="A2026" t="s">
        <v>2395</v>
      </c>
      <c r="B2026" t="s">
        <v>2396</v>
      </c>
      <c r="C2026" t="s">
        <v>2374</v>
      </c>
      <c r="D2026" t="s">
        <v>290</v>
      </c>
      <c r="E2026">
        <v>499.99</v>
      </c>
      <c r="F2026" t="s">
        <v>8118</v>
      </c>
      <c r="L2026" t="s">
        <v>11</v>
      </c>
      <c r="M2026" t="s">
        <v>5668</v>
      </c>
      <c r="N2026">
        <v>0</v>
      </c>
      <c r="O2026">
        <v>0</v>
      </c>
      <c r="T2026">
        <v>0</v>
      </c>
      <c r="U2026">
        <v>0</v>
      </c>
      <c r="V2026">
        <v>0</v>
      </c>
    </row>
    <row r="2027" spans="1:22" x14ac:dyDescent="0.2">
      <c r="A2027" t="s">
        <v>2401</v>
      </c>
      <c r="B2027" t="s">
        <v>2402</v>
      </c>
      <c r="C2027" t="s">
        <v>2374</v>
      </c>
      <c r="D2027" t="s">
        <v>290</v>
      </c>
      <c r="E2027">
        <v>199.99</v>
      </c>
      <c r="F2027" t="s">
        <v>8118</v>
      </c>
      <c r="L2027" t="s">
        <v>11</v>
      </c>
      <c r="M2027" t="s">
        <v>5714</v>
      </c>
      <c r="N2027">
        <v>4.5833333333333339</v>
      </c>
      <c r="O2027">
        <v>0.21818181818181817</v>
      </c>
      <c r="T2027">
        <v>1.0909090909090908</v>
      </c>
      <c r="U2027">
        <v>199.99</v>
      </c>
      <c r="V2027">
        <v>5</v>
      </c>
    </row>
    <row r="2028" spans="1:22" x14ac:dyDescent="0.2">
      <c r="A2028" t="s">
        <v>2391</v>
      </c>
      <c r="B2028" t="s">
        <v>2392</v>
      </c>
      <c r="C2028" t="s">
        <v>2374</v>
      </c>
      <c r="D2028" t="s">
        <v>290</v>
      </c>
      <c r="E2028">
        <v>149.99</v>
      </c>
      <c r="F2028" t="s">
        <v>8118</v>
      </c>
      <c r="G2028">
        <v>4</v>
      </c>
      <c r="I2028">
        <v>4</v>
      </c>
      <c r="L2028" t="s">
        <v>11</v>
      </c>
      <c r="M2028" t="s">
        <v>5534</v>
      </c>
      <c r="N2028">
        <v>0</v>
      </c>
      <c r="O2028">
        <v>0</v>
      </c>
      <c r="T2028">
        <v>0</v>
      </c>
      <c r="U2028">
        <v>0</v>
      </c>
      <c r="V2028">
        <v>0</v>
      </c>
    </row>
    <row r="2029" spans="1:22" x14ac:dyDescent="0.2">
      <c r="A2029" t="s">
        <v>2397</v>
      </c>
      <c r="B2029" t="s">
        <v>2398</v>
      </c>
      <c r="C2029" t="s">
        <v>2374</v>
      </c>
      <c r="D2029" t="s">
        <v>290</v>
      </c>
      <c r="E2029">
        <v>499.99</v>
      </c>
      <c r="F2029" t="s">
        <v>8118</v>
      </c>
      <c r="L2029" t="s">
        <v>11</v>
      </c>
      <c r="M2029" t="s">
        <v>5669</v>
      </c>
      <c r="N2029">
        <v>0</v>
      </c>
      <c r="O2029">
        <v>0</v>
      </c>
      <c r="T2029">
        <v>0</v>
      </c>
      <c r="U2029">
        <v>0</v>
      </c>
      <c r="V2029">
        <v>1</v>
      </c>
    </row>
    <row r="2030" spans="1:22" x14ac:dyDescent="0.2">
      <c r="A2030" t="s">
        <v>5476</v>
      </c>
      <c r="B2030" t="s">
        <v>5477</v>
      </c>
      <c r="C2030" t="s">
        <v>2374</v>
      </c>
      <c r="D2030" t="s">
        <v>96</v>
      </c>
      <c r="E2030">
        <v>169.99</v>
      </c>
      <c r="F2030" t="s">
        <v>8118</v>
      </c>
      <c r="L2030" t="s">
        <v>11</v>
      </c>
      <c r="M2030" t="s">
        <v>5478</v>
      </c>
      <c r="N2030">
        <v>0</v>
      </c>
      <c r="O2030">
        <v>0</v>
      </c>
      <c r="T2030">
        <v>0</v>
      </c>
      <c r="U2030">
        <v>0</v>
      </c>
      <c r="V2030">
        <v>0</v>
      </c>
    </row>
    <row r="2031" spans="1:22" x14ac:dyDescent="0.2">
      <c r="A2031" t="s">
        <v>2385</v>
      </c>
      <c r="B2031" t="s">
        <v>2386</v>
      </c>
      <c r="C2031" t="s">
        <v>2374</v>
      </c>
      <c r="D2031" t="s">
        <v>290</v>
      </c>
      <c r="E2031">
        <v>169.99</v>
      </c>
      <c r="F2031" t="s">
        <v>8118</v>
      </c>
      <c r="L2031" t="s">
        <v>11</v>
      </c>
      <c r="M2031" t="s">
        <v>4622</v>
      </c>
      <c r="N2031">
        <v>0</v>
      </c>
      <c r="O2031">
        <v>0</v>
      </c>
      <c r="T2031">
        <v>0</v>
      </c>
      <c r="U2031">
        <v>0</v>
      </c>
      <c r="V2031">
        <v>2</v>
      </c>
    </row>
    <row r="2032" spans="1:22" x14ac:dyDescent="0.2">
      <c r="A2032" t="s">
        <v>2389</v>
      </c>
      <c r="B2032" t="s">
        <v>2390</v>
      </c>
      <c r="C2032" t="s">
        <v>2374</v>
      </c>
      <c r="D2032" t="s">
        <v>290</v>
      </c>
      <c r="E2032">
        <v>349.99</v>
      </c>
      <c r="F2032" t="s">
        <v>8118</v>
      </c>
      <c r="L2032" t="s">
        <v>11</v>
      </c>
      <c r="M2032" t="s">
        <v>5676</v>
      </c>
      <c r="N2032">
        <v>8</v>
      </c>
      <c r="O2032">
        <v>0.125</v>
      </c>
      <c r="T2032">
        <v>0.125</v>
      </c>
      <c r="U2032">
        <v>0</v>
      </c>
      <c r="V2032">
        <v>1</v>
      </c>
    </row>
    <row r="2033" spans="1:22" x14ac:dyDescent="0.2">
      <c r="A2033" t="s">
        <v>2393</v>
      </c>
      <c r="B2033" t="s">
        <v>2394</v>
      </c>
      <c r="C2033" t="s">
        <v>2374</v>
      </c>
      <c r="D2033" t="s">
        <v>290</v>
      </c>
      <c r="E2033">
        <v>479.99</v>
      </c>
      <c r="F2033" t="s">
        <v>8118</v>
      </c>
      <c r="L2033" t="s">
        <v>11</v>
      </c>
      <c r="M2033" t="s">
        <v>5667</v>
      </c>
      <c r="N2033">
        <v>0</v>
      </c>
      <c r="O2033">
        <v>0</v>
      </c>
      <c r="T2033">
        <v>0</v>
      </c>
      <c r="U2033">
        <v>0</v>
      </c>
      <c r="V2033">
        <v>0</v>
      </c>
    </row>
    <row r="2034" spans="1:22" x14ac:dyDescent="0.2">
      <c r="A2034" t="s">
        <v>2383</v>
      </c>
      <c r="B2034" t="s">
        <v>2384</v>
      </c>
      <c r="C2034" t="s">
        <v>2374</v>
      </c>
      <c r="D2034" t="s">
        <v>290</v>
      </c>
      <c r="E2034">
        <v>139.99</v>
      </c>
      <c r="F2034" t="s">
        <v>8118</v>
      </c>
      <c r="L2034" t="s">
        <v>11</v>
      </c>
      <c r="M2034" t="s">
        <v>5670</v>
      </c>
      <c r="N2034">
        <v>0.6875</v>
      </c>
      <c r="O2034">
        <v>1.4545454545454546</v>
      </c>
      <c r="T2034">
        <v>1.4545454545454546</v>
      </c>
      <c r="U2034">
        <v>0</v>
      </c>
      <c r="V2034">
        <v>1</v>
      </c>
    </row>
    <row r="2035" spans="1:22" x14ac:dyDescent="0.2">
      <c r="A2035" t="s">
        <v>2379</v>
      </c>
      <c r="B2035" t="s">
        <v>2380</v>
      </c>
      <c r="C2035" t="s">
        <v>2374</v>
      </c>
      <c r="D2035" t="s">
        <v>290</v>
      </c>
      <c r="E2035">
        <v>49.99</v>
      </c>
      <c r="F2035" t="s">
        <v>8118</v>
      </c>
      <c r="J2035">
        <v>1</v>
      </c>
      <c r="L2035" t="s">
        <v>11</v>
      </c>
      <c r="M2035" t="s">
        <v>5716</v>
      </c>
      <c r="N2035">
        <v>5</v>
      </c>
      <c r="O2035">
        <v>0.2</v>
      </c>
      <c r="T2035">
        <v>0.6</v>
      </c>
      <c r="U2035">
        <v>0</v>
      </c>
      <c r="V2035">
        <v>3</v>
      </c>
    </row>
    <row r="2036" spans="1:22" x14ac:dyDescent="0.2">
      <c r="A2036" t="s">
        <v>2387</v>
      </c>
      <c r="B2036" t="s">
        <v>2388</v>
      </c>
      <c r="C2036" t="s">
        <v>2374</v>
      </c>
      <c r="D2036" t="s">
        <v>290</v>
      </c>
      <c r="E2036">
        <v>279.99</v>
      </c>
      <c r="F2036" t="s">
        <v>8118</v>
      </c>
      <c r="L2036" t="s">
        <v>11</v>
      </c>
      <c r="M2036" t="s">
        <v>5717</v>
      </c>
      <c r="N2036">
        <v>4.5714285714285712</v>
      </c>
      <c r="O2036">
        <v>0.21875</v>
      </c>
      <c r="T2036">
        <v>1.75</v>
      </c>
      <c r="U2036">
        <v>1119.96</v>
      </c>
      <c r="V2036">
        <v>8</v>
      </c>
    </row>
    <row r="2037" spans="1:22" x14ac:dyDescent="0.2">
      <c r="A2037" t="s">
        <v>2401</v>
      </c>
      <c r="B2037" t="s">
        <v>2402</v>
      </c>
      <c r="C2037" t="s">
        <v>2374</v>
      </c>
      <c r="D2037" t="s">
        <v>290</v>
      </c>
      <c r="E2037">
        <v>199.99</v>
      </c>
      <c r="F2037" t="s">
        <v>8118</v>
      </c>
      <c r="L2037" t="s">
        <v>14</v>
      </c>
      <c r="M2037" t="s">
        <v>97</v>
      </c>
      <c r="N2037">
        <v>0</v>
      </c>
      <c r="O2037">
        <v>0</v>
      </c>
      <c r="T2037">
        <v>0</v>
      </c>
      <c r="U2037">
        <v>0</v>
      </c>
      <c r="V2037">
        <v>3</v>
      </c>
    </row>
    <row r="2038" spans="1:22" x14ac:dyDescent="0.2">
      <c r="A2038" t="s">
        <v>2389</v>
      </c>
      <c r="B2038" t="s">
        <v>2390</v>
      </c>
      <c r="C2038" t="s">
        <v>2374</v>
      </c>
      <c r="D2038" t="s">
        <v>290</v>
      </c>
      <c r="E2038">
        <v>349.99</v>
      </c>
      <c r="F2038" t="s">
        <v>8118</v>
      </c>
      <c r="L2038" t="s">
        <v>14</v>
      </c>
      <c r="M2038" t="s">
        <v>97</v>
      </c>
      <c r="N2038">
        <v>0</v>
      </c>
      <c r="O2038">
        <v>0</v>
      </c>
      <c r="U2038">
        <v>0</v>
      </c>
      <c r="V2038">
        <v>0</v>
      </c>
    </row>
    <row r="2039" spans="1:22" x14ac:dyDescent="0.2">
      <c r="A2039" t="s">
        <v>2387</v>
      </c>
      <c r="B2039" t="s">
        <v>2388</v>
      </c>
      <c r="C2039" t="s">
        <v>2374</v>
      </c>
      <c r="D2039" t="s">
        <v>290</v>
      </c>
      <c r="E2039">
        <v>279.99</v>
      </c>
      <c r="F2039" t="s">
        <v>8118</v>
      </c>
      <c r="L2039" t="s">
        <v>14</v>
      </c>
      <c r="M2039" t="s">
        <v>97</v>
      </c>
      <c r="N2039">
        <v>0</v>
      </c>
      <c r="O2039">
        <v>0</v>
      </c>
      <c r="U2039">
        <v>0</v>
      </c>
      <c r="V2039">
        <v>0</v>
      </c>
    </row>
    <row r="2040" spans="1:22" x14ac:dyDescent="0.2">
      <c r="A2040" t="s">
        <v>2383</v>
      </c>
      <c r="B2040" t="s">
        <v>2384</v>
      </c>
      <c r="C2040" t="s">
        <v>2374</v>
      </c>
      <c r="D2040" t="s">
        <v>290</v>
      </c>
      <c r="E2040">
        <v>139.99</v>
      </c>
      <c r="F2040" t="s">
        <v>8118</v>
      </c>
      <c r="L2040" t="s">
        <v>14</v>
      </c>
      <c r="M2040" t="s">
        <v>97</v>
      </c>
      <c r="N2040">
        <v>0</v>
      </c>
      <c r="O2040">
        <v>0</v>
      </c>
      <c r="T2040">
        <v>0</v>
      </c>
      <c r="U2040">
        <v>0</v>
      </c>
      <c r="V2040">
        <v>2</v>
      </c>
    </row>
    <row r="2041" spans="1:22" x14ac:dyDescent="0.2">
      <c r="A2041" t="s">
        <v>2393</v>
      </c>
      <c r="B2041" t="s">
        <v>2394</v>
      </c>
      <c r="C2041" t="s">
        <v>2374</v>
      </c>
      <c r="D2041" t="s">
        <v>290</v>
      </c>
      <c r="E2041">
        <v>479.99</v>
      </c>
      <c r="F2041" t="s">
        <v>8118</v>
      </c>
      <c r="L2041" t="s">
        <v>14</v>
      </c>
      <c r="M2041" t="s">
        <v>97</v>
      </c>
      <c r="N2041">
        <v>0</v>
      </c>
      <c r="O2041">
        <v>0</v>
      </c>
      <c r="U2041">
        <v>0</v>
      </c>
      <c r="V2041">
        <v>0</v>
      </c>
    </row>
    <row r="2042" spans="1:22" x14ac:dyDescent="0.2">
      <c r="A2042" t="s">
        <v>2379</v>
      </c>
      <c r="B2042" t="s">
        <v>2380</v>
      </c>
      <c r="C2042" t="s">
        <v>2374</v>
      </c>
      <c r="D2042" t="s">
        <v>290</v>
      </c>
      <c r="E2042">
        <v>49.99</v>
      </c>
      <c r="F2042" t="s">
        <v>8118</v>
      </c>
      <c r="J2042">
        <v>1</v>
      </c>
      <c r="L2042" t="s">
        <v>14</v>
      </c>
      <c r="M2042" t="s">
        <v>97</v>
      </c>
      <c r="N2042">
        <v>0</v>
      </c>
      <c r="O2042">
        <v>0</v>
      </c>
      <c r="T2042">
        <v>0</v>
      </c>
      <c r="U2042">
        <v>0</v>
      </c>
      <c r="V2042">
        <v>2</v>
      </c>
    </row>
    <row r="2043" spans="1:22" x14ac:dyDescent="0.2">
      <c r="A2043" t="s">
        <v>5476</v>
      </c>
      <c r="B2043" t="s">
        <v>5477</v>
      </c>
      <c r="C2043" t="s">
        <v>2374</v>
      </c>
      <c r="D2043" t="s">
        <v>96</v>
      </c>
      <c r="E2043">
        <v>169.99</v>
      </c>
      <c r="F2043" t="s">
        <v>8118</v>
      </c>
      <c r="L2043" t="s">
        <v>14</v>
      </c>
      <c r="M2043" t="s">
        <v>97</v>
      </c>
      <c r="N2043">
        <v>0</v>
      </c>
      <c r="O2043">
        <v>0</v>
      </c>
      <c r="U2043">
        <v>0</v>
      </c>
      <c r="V2043">
        <v>0</v>
      </c>
    </row>
    <row r="2044" spans="1:22" x14ac:dyDescent="0.2">
      <c r="A2044" t="s">
        <v>2375</v>
      </c>
      <c r="B2044" t="s">
        <v>2376</v>
      </c>
      <c r="C2044" t="s">
        <v>2374</v>
      </c>
      <c r="D2044" t="s">
        <v>290</v>
      </c>
      <c r="E2044">
        <v>149.99</v>
      </c>
      <c r="F2044" t="s">
        <v>8118</v>
      </c>
      <c r="L2044" t="s">
        <v>14</v>
      </c>
      <c r="M2044" t="s">
        <v>97</v>
      </c>
      <c r="N2044">
        <v>0</v>
      </c>
      <c r="O2044">
        <v>0</v>
      </c>
      <c r="U2044">
        <v>0</v>
      </c>
      <c r="V2044">
        <v>0</v>
      </c>
    </row>
    <row r="2045" spans="1:22" x14ac:dyDescent="0.2">
      <c r="A2045" t="s">
        <v>2387</v>
      </c>
      <c r="B2045" t="s">
        <v>2388</v>
      </c>
      <c r="C2045" t="s">
        <v>2374</v>
      </c>
      <c r="D2045" t="s">
        <v>290</v>
      </c>
      <c r="E2045">
        <v>279.99</v>
      </c>
      <c r="F2045" t="s">
        <v>8118</v>
      </c>
      <c r="L2045" t="s">
        <v>10</v>
      </c>
      <c r="M2045">
        <v>777355</v>
      </c>
      <c r="N2045">
        <v>0</v>
      </c>
      <c r="O2045">
        <v>0</v>
      </c>
      <c r="P2045" t="s">
        <v>290</v>
      </c>
      <c r="T2045">
        <v>0</v>
      </c>
      <c r="U2045">
        <v>0</v>
      </c>
      <c r="V2045">
        <v>0</v>
      </c>
    </row>
    <row r="2046" spans="1:22" x14ac:dyDescent="0.2">
      <c r="A2046" t="s">
        <v>2401</v>
      </c>
      <c r="B2046" t="s">
        <v>2402</v>
      </c>
      <c r="C2046" t="s">
        <v>2374</v>
      </c>
      <c r="D2046" t="s">
        <v>290</v>
      </c>
      <c r="E2046">
        <v>199.99</v>
      </c>
      <c r="F2046" t="s">
        <v>8118</v>
      </c>
      <c r="L2046" t="s">
        <v>10</v>
      </c>
      <c r="M2046">
        <v>777366</v>
      </c>
      <c r="N2046">
        <v>0</v>
      </c>
      <c r="O2046">
        <v>0</v>
      </c>
      <c r="P2046" t="s">
        <v>290</v>
      </c>
      <c r="T2046">
        <v>0</v>
      </c>
      <c r="U2046">
        <v>0</v>
      </c>
      <c r="V2046">
        <v>0</v>
      </c>
    </row>
    <row r="2047" spans="1:22" x14ac:dyDescent="0.2">
      <c r="A2047" t="s">
        <v>2375</v>
      </c>
      <c r="B2047" t="s">
        <v>2376</v>
      </c>
      <c r="C2047" t="s">
        <v>2374</v>
      </c>
      <c r="D2047" t="s">
        <v>290</v>
      </c>
      <c r="E2047">
        <v>149.99</v>
      </c>
      <c r="F2047" t="s">
        <v>8118</v>
      </c>
      <c r="L2047" t="s">
        <v>10</v>
      </c>
      <c r="M2047">
        <v>777311</v>
      </c>
      <c r="N2047">
        <v>0</v>
      </c>
      <c r="O2047">
        <v>0</v>
      </c>
      <c r="P2047" t="s">
        <v>290</v>
      </c>
      <c r="T2047">
        <v>0</v>
      </c>
      <c r="U2047">
        <v>0</v>
      </c>
      <c r="V2047">
        <v>0</v>
      </c>
    </row>
    <row r="2048" spans="1:22" x14ac:dyDescent="0.2">
      <c r="A2048" t="s">
        <v>5476</v>
      </c>
      <c r="B2048" t="s">
        <v>5477</v>
      </c>
      <c r="C2048" t="s">
        <v>2374</v>
      </c>
      <c r="D2048" t="s">
        <v>96</v>
      </c>
      <c r="E2048">
        <v>169.99</v>
      </c>
      <c r="F2048" t="s">
        <v>8118</v>
      </c>
      <c r="L2048" t="s">
        <v>10</v>
      </c>
      <c r="M2048">
        <v>777300</v>
      </c>
      <c r="N2048">
        <v>0</v>
      </c>
      <c r="O2048">
        <v>0</v>
      </c>
      <c r="P2048" t="s">
        <v>290</v>
      </c>
      <c r="T2048">
        <v>0</v>
      </c>
      <c r="U2048">
        <v>0</v>
      </c>
      <c r="V2048">
        <v>0</v>
      </c>
    </row>
    <row r="2049" spans="1:22" x14ac:dyDescent="0.2">
      <c r="A2049" t="s">
        <v>2379</v>
      </c>
      <c r="B2049" t="s">
        <v>2380</v>
      </c>
      <c r="C2049" t="s">
        <v>2374</v>
      </c>
      <c r="D2049" t="s">
        <v>290</v>
      </c>
      <c r="E2049">
        <v>49.99</v>
      </c>
      <c r="F2049" t="s">
        <v>8118</v>
      </c>
      <c r="J2049">
        <v>1</v>
      </c>
      <c r="L2049" t="s">
        <v>10</v>
      </c>
      <c r="M2049">
        <v>777377</v>
      </c>
      <c r="N2049">
        <v>0</v>
      </c>
      <c r="O2049">
        <v>0</v>
      </c>
      <c r="P2049" t="s">
        <v>290</v>
      </c>
      <c r="T2049">
        <v>0</v>
      </c>
      <c r="U2049">
        <v>0</v>
      </c>
      <c r="V2049">
        <v>0</v>
      </c>
    </row>
    <row r="2050" spans="1:22" x14ac:dyDescent="0.2">
      <c r="A2050" t="s">
        <v>2393</v>
      </c>
      <c r="B2050" t="s">
        <v>2394</v>
      </c>
      <c r="C2050" t="s">
        <v>2374</v>
      </c>
      <c r="D2050" t="s">
        <v>290</v>
      </c>
      <c r="E2050">
        <v>479.99</v>
      </c>
      <c r="F2050" t="s">
        <v>8118</v>
      </c>
      <c r="L2050" t="s">
        <v>10</v>
      </c>
      <c r="M2050">
        <v>777399</v>
      </c>
      <c r="N2050">
        <v>0</v>
      </c>
      <c r="O2050">
        <v>0</v>
      </c>
      <c r="P2050" t="s">
        <v>290</v>
      </c>
      <c r="T2050">
        <v>0</v>
      </c>
      <c r="U2050">
        <v>0</v>
      </c>
      <c r="V2050">
        <v>0</v>
      </c>
    </row>
    <row r="2051" spans="1:22" x14ac:dyDescent="0.2">
      <c r="A2051" t="s">
        <v>2383</v>
      </c>
      <c r="B2051" t="s">
        <v>2384</v>
      </c>
      <c r="C2051" t="s">
        <v>2374</v>
      </c>
      <c r="D2051" t="s">
        <v>290</v>
      </c>
      <c r="E2051">
        <v>139.99</v>
      </c>
      <c r="F2051" t="s">
        <v>8118</v>
      </c>
      <c r="L2051" t="s">
        <v>10</v>
      </c>
      <c r="M2051">
        <v>777344</v>
      </c>
      <c r="N2051">
        <v>0</v>
      </c>
      <c r="O2051">
        <v>0</v>
      </c>
      <c r="P2051" t="s">
        <v>290</v>
      </c>
      <c r="T2051">
        <v>0</v>
      </c>
      <c r="U2051">
        <v>0</v>
      </c>
      <c r="V2051">
        <v>0</v>
      </c>
    </row>
    <row r="2052" spans="1:22" x14ac:dyDescent="0.2">
      <c r="A2052" t="s">
        <v>2389</v>
      </c>
      <c r="B2052" t="s">
        <v>2390</v>
      </c>
      <c r="C2052" t="s">
        <v>2374</v>
      </c>
      <c r="D2052" t="s">
        <v>290</v>
      </c>
      <c r="E2052">
        <v>349.99</v>
      </c>
      <c r="F2052" t="s">
        <v>8118</v>
      </c>
      <c r="L2052" t="s">
        <v>10</v>
      </c>
      <c r="M2052">
        <v>777388</v>
      </c>
      <c r="N2052">
        <v>0</v>
      </c>
      <c r="O2052">
        <v>0</v>
      </c>
      <c r="P2052" t="s">
        <v>290</v>
      </c>
      <c r="T2052">
        <v>0</v>
      </c>
      <c r="U2052">
        <v>0</v>
      </c>
      <c r="V2052">
        <v>0</v>
      </c>
    </row>
    <row r="2053" spans="1:22" x14ac:dyDescent="0.2">
      <c r="A2053" t="s">
        <v>2391</v>
      </c>
      <c r="B2053" t="s">
        <v>2392</v>
      </c>
      <c r="C2053" t="s">
        <v>2374</v>
      </c>
      <c r="D2053" t="s">
        <v>290</v>
      </c>
      <c r="E2053">
        <v>149.99</v>
      </c>
      <c r="F2053" t="s">
        <v>8118</v>
      </c>
      <c r="G2053">
        <v>4</v>
      </c>
      <c r="I2053">
        <v>4</v>
      </c>
      <c r="L2053" t="s">
        <v>7032</v>
      </c>
      <c r="M2053" t="s">
        <v>97</v>
      </c>
      <c r="N2053">
        <v>0</v>
      </c>
      <c r="O2053">
        <v>0</v>
      </c>
      <c r="T2053">
        <v>0</v>
      </c>
      <c r="U2053">
        <v>0</v>
      </c>
      <c r="V2053">
        <v>4</v>
      </c>
    </row>
    <row r="2054" spans="1:22" x14ac:dyDescent="0.2">
      <c r="A2054" t="s">
        <v>2385</v>
      </c>
      <c r="B2054" t="s">
        <v>2386</v>
      </c>
      <c r="C2054" t="s">
        <v>2374</v>
      </c>
      <c r="D2054" t="s">
        <v>290</v>
      </c>
      <c r="E2054">
        <v>169.99</v>
      </c>
      <c r="F2054" t="s">
        <v>8118</v>
      </c>
      <c r="L2054" t="s">
        <v>7032</v>
      </c>
      <c r="M2054" t="s">
        <v>97</v>
      </c>
      <c r="N2054">
        <v>0</v>
      </c>
      <c r="O2054">
        <v>0</v>
      </c>
      <c r="T2054">
        <v>0</v>
      </c>
      <c r="U2054">
        <v>0</v>
      </c>
      <c r="V2054">
        <v>0</v>
      </c>
    </row>
    <row r="2055" spans="1:22" x14ac:dyDescent="0.2">
      <c r="A2055" t="s">
        <v>2395</v>
      </c>
      <c r="B2055" t="s">
        <v>2396</v>
      </c>
      <c r="C2055" t="s">
        <v>2374</v>
      </c>
      <c r="D2055" t="s">
        <v>290</v>
      </c>
      <c r="E2055">
        <v>499.99</v>
      </c>
      <c r="F2055" t="s">
        <v>8118</v>
      </c>
      <c r="L2055" t="s">
        <v>7032</v>
      </c>
      <c r="M2055" t="s">
        <v>97</v>
      </c>
      <c r="N2055">
        <v>0</v>
      </c>
      <c r="O2055">
        <v>0</v>
      </c>
      <c r="T2055">
        <v>0</v>
      </c>
      <c r="U2055">
        <v>0</v>
      </c>
      <c r="V2055">
        <v>3</v>
      </c>
    </row>
    <row r="2056" spans="1:22" x14ac:dyDescent="0.2">
      <c r="A2056" t="s">
        <v>2397</v>
      </c>
      <c r="B2056" t="s">
        <v>2398</v>
      </c>
      <c r="C2056" t="s">
        <v>2374</v>
      </c>
      <c r="D2056" t="s">
        <v>290</v>
      </c>
      <c r="E2056">
        <v>499.99</v>
      </c>
      <c r="F2056" t="s">
        <v>8118</v>
      </c>
      <c r="L2056" t="s">
        <v>7032</v>
      </c>
      <c r="M2056" t="s">
        <v>97</v>
      </c>
      <c r="N2056">
        <v>0</v>
      </c>
      <c r="O2056">
        <v>0</v>
      </c>
      <c r="T2056">
        <v>0</v>
      </c>
      <c r="U2056">
        <v>0</v>
      </c>
      <c r="V2056">
        <v>0</v>
      </c>
    </row>
    <row r="2057" spans="1:22" x14ac:dyDescent="0.2">
      <c r="A2057" t="s">
        <v>2401</v>
      </c>
      <c r="B2057" t="s">
        <v>2402</v>
      </c>
      <c r="C2057" t="s">
        <v>2374</v>
      </c>
      <c r="D2057" t="s">
        <v>290</v>
      </c>
      <c r="E2057">
        <v>199.99</v>
      </c>
      <c r="F2057" t="s">
        <v>8118</v>
      </c>
      <c r="L2057" t="s">
        <v>7032</v>
      </c>
      <c r="M2057" t="s">
        <v>97</v>
      </c>
      <c r="N2057">
        <v>0</v>
      </c>
      <c r="O2057">
        <v>0</v>
      </c>
      <c r="T2057">
        <v>0</v>
      </c>
      <c r="U2057">
        <v>0</v>
      </c>
      <c r="V2057">
        <v>0</v>
      </c>
    </row>
    <row r="2058" spans="1:22" x14ac:dyDescent="0.2">
      <c r="A2058" t="s">
        <v>2389</v>
      </c>
      <c r="B2058" t="s">
        <v>2390</v>
      </c>
      <c r="C2058" t="s">
        <v>2374</v>
      </c>
      <c r="D2058" t="s">
        <v>290</v>
      </c>
      <c r="E2058">
        <v>349.99</v>
      </c>
      <c r="F2058" t="s">
        <v>8118</v>
      </c>
      <c r="L2058" t="s">
        <v>7032</v>
      </c>
      <c r="M2058" t="s">
        <v>97</v>
      </c>
      <c r="N2058">
        <v>0</v>
      </c>
      <c r="O2058">
        <v>0</v>
      </c>
      <c r="T2058">
        <v>0</v>
      </c>
      <c r="U2058">
        <v>0</v>
      </c>
      <c r="V2058">
        <v>1</v>
      </c>
    </row>
    <row r="2059" spans="1:22" x14ac:dyDescent="0.2">
      <c r="A2059" t="s">
        <v>2379</v>
      </c>
      <c r="B2059" t="s">
        <v>2380</v>
      </c>
      <c r="C2059" t="s">
        <v>2374</v>
      </c>
      <c r="D2059" t="s">
        <v>290</v>
      </c>
      <c r="E2059">
        <v>49.99</v>
      </c>
      <c r="F2059" t="s">
        <v>8118</v>
      </c>
      <c r="J2059">
        <v>1</v>
      </c>
      <c r="L2059" t="s">
        <v>7032</v>
      </c>
      <c r="M2059" t="s">
        <v>97</v>
      </c>
      <c r="N2059">
        <v>0</v>
      </c>
      <c r="O2059">
        <v>0</v>
      </c>
      <c r="T2059">
        <v>0</v>
      </c>
      <c r="U2059">
        <v>0</v>
      </c>
      <c r="V2059">
        <v>0</v>
      </c>
    </row>
    <row r="2060" spans="1:22" x14ac:dyDescent="0.2">
      <c r="A2060" t="s">
        <v>2375</v>
      </c>
      <c r="B2060" t="s">
        <v>2376</v>
      </c>
      <c r="C2060" t="s">
        <v>2374</v>
      </c>
      <c r="D2060" t="s">
        <v>290</v>
      </c>
      <c r="E2060">
        <v>149.99</v>
      </c>
      <c r="F2060" t="s">
        <v>8118</v>
      </c>
      <c r="L2060" t="s">
        <v>7032</v>
      </c>
      <c r="M2060" t="s">
        <v>97</v>
      </c>
      <c r="N2060">
        <v>0</v>
      </c>
      <c r="O2060">
        <v>0</v>
      </c>
      <c r="T2060">
        <v>0</v>
      </c>
      <c r="U2060">
        <v>0</v>
      </c>
      <c r="V2060">
        <v>3</v>
      </c>
    </row>
    <row r="2061" spans="1:22" x14ac:dyDescent="0.2">
      <c r="A2061" t="s">
        <v>2393</v>
      </c>
      <c r="B2061" t="s">
        <v>2394</v>
      </c>
      <c r="C2061" t="s">
        <v>2374</v>
      </c>
      <c r="D2061" t="s">
        <v>290</v>
      </c>
      <c r="E2061">
        <v>479.99</v>
      </c>
      <c r="F2061" t="s">
        <v>8118</v>
      </c>
      <c r="L2061" t="s">
        <v>7032</v>
      </c>
      <c r="M2061" t="s">
        <v>97</v>
      </c>
      <c r="N2061">
        <v>0</v>
      </c>
      <c r="O2061">
        <v>0</v>
      </c>
      <c r="T2061">
        <v>0</v>
      </c>
      <c r="U2061">
        <v>0</v>
      </c>
      <c r="V2061">
        <v>0</v>
      </c>
    </row>
    <row r="2062" spans="1:22" x14ac:dyDescent="0.2">
      <c r="A2062" t="s">
        <v>2383</v>
      </c>
      <c r="B2062" t="s">
        <v>2384</v>
      </c>
      <c r="C2062" t="s">
        <v>2374</v>
      </c>
      <c r="D2062" t="s">
        <v>290</v>
      </c>
      <c r="E2062">
        <v>139.99</v>
      </c>
      <c r="F2062" t="s">
        <v>8118</v>
      </c>
      <c r="L2062" t="s">
        <v>7032</v>
      </c>
      <c r="M2062" t="s">
        <v>97</v>
      </c>
      <c r="N2062">
        <v>0</v>
      </c>
      <c r="O2062">
        <v>0</v>
      </c>
      <c r="T2062">
        <v>0</v>
      </c>
      <c r="U2062">
        <v>0</v>
      </c>
      <c r="V2062">
        <v>0</v>
      </c>
    </row>
    <row r="2063" spans="1:22" x14ac:dyDescent="0.2">
      <c r="A2063" t="s">
        <v>2387</v>
      </c>
      <c r="B2063" t="s">
        <v>2388</v>
      </c>
      <c r="C2063" t="s">
        <v>2374</v>
      </c>
      <c r="D2063" t="s">
        <v>290</v>
      </c>
      <c r="E2063">
        <v>279.99</v>
      </c>
      <c r="F2063" t="s">
        <v>8118</v>
      </c>
      <c r="L2063" t="s">
        <v>7032</v>
      </c>
      <c r="M2063" t="s">
        <v>97</v>
      </c>
      <c r="N2063">
        <v>0</v>
      </c>
      <c r="O2063">
        <v>0</v>
      </c>
      <c r="T2063">
        <v>0</v>
      </c>
      <c r="U2063">
        <v>0</v>
      </c>
      <c r="V2063">
        <v>0</v>
      </c>
    </row>
    <row r="2064" spans="1:22" x14ac:dyDescent="0.2">
      <c r="A2064" t="s">
        <v>2401</v>
      </c>
      <c r="B2064" t="s">
        <v>2402</v>
      </c>
      <c r="C2064" t="s">
        <v>2374</v>
      </c>
      <c r="D2064" t="s">
        <v>290</v>
      </c>
      <c r="E2064">
        <v>199.99</v>
      </c>
      <c r="F2064" t="s">
        <v>8118</v>
      </c>
      <c r="L2064" t="s">
        <v>8</v>
      </c>
      <c r="M2064" t="s">
        <v>7999</v>
      </c>
      <c r="N2064">
        <v>0</v>
      </c>
      <c r="O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spans="1:22" x14ac:dyDescent="0.2">
      <c r="A2065" t="s">
        <v>2379</v>
      </c>
      <c r="B2065" t="s">
        <v>2380</v>
      </c>
      <c r="C2065" t="s">
        <v>2374</v>
      </c>
      <c r="D2065" t="s">
        <v>290</v>
      </c>
      <c r="E2065">
        <v>49.99</v>
      </c>
      <c r="F2065" t="s">
        <v>8118</v>
      </c>
      <c r="J2065">
        <v>1</v>
      </c>
      <c r="L2065" t="s">
        <v>8</v>
      </c>
      <c r="M2065" t="s">
        <v>7986</v>
      </c>
      <c r="N2065">
        <v>0</v>
      </c>
      <c r="O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spans="1:22" x14ac:dyDescent="0.2">
      <c r="A2066" t="s">
        <v>2393</v>
      </c>
      <c r="B2066" t="s">
        <v>2394</v>
      </c>
      <c r="C2066" t="s">
        <v>2374</v>
      </c>
      <c r="D2066" t="s">
        <v>290</v>
      </c>
      <c r="E2066">
        <v>479.99</v>
      </c>
      <c r="F2066" t="s">
        <v>8118</v>
      </c>
      <c r="L2066" t="s">
        <v>8</v>
      </c>
      <c r="M2066" t="s">
        <v>7988</v>
      </c>
      <c r="N2066">
        <v>0</v>
      </c>
      <c r="O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spans="1:22" x14ac:dyDescent="0.2">
      <c r="A2067" t="s">
        <v>2387</v>
      </c>
      <c r="B2067" t="s">
        <v>2388</v>
      </c>
      <c r="C2067" t="s">
        <v>2374</v>
      </c>
      <c r="D2067" t="s">
        <v>290</v>
      </c>
      <c r="E2067">
        <v>279.99</v>
      </c>
      <c r="F2067" t="s">
        <v>8118</v>
      </c>
      <c r="L2067" t="s">
        <v>8</v>
      </c>
      <c r="M2067" t="s">
        <v>8010</v>
      </c>
      <c r="N2067">
        <v>0</v>
      </c>
      <c r="O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spans="1:22" x14ac:dyDescent="0.2">
      <c r="A2068" t="s">
        <v>2375</v>
      </c>
      <c r="B2068" t="s">
        <v>2376</v>
      </c>
      <c r="C2068" t="s">
        <v>2374</v>
      </c>
      <c r="D2068" t="s">
        <v>290</v>
      </c>
      <c r="E2068">
        <v>149.99</v>
      </c>
      <c r="F2068" t="s">
        <v>8118</v>
      </c>
      <c r="L2068" t="s">
        <v>8</v>
      </c>
      <c r="M2068" t="s">
        <v>8000</v>
      </c>
      <c r="N2068">
        <v>0</v>
      </c>
      <c r="O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spans="1:22" x14ac:dyDescent="0.2">
      <c r="A2069" t="s">
        <v>2389</v>
      </c>
      <c r="B2069" t="s">
        <v>2390</v>
      </c>
      <c r="C2069" t="s">
        <v>2374</v>
      </c>
      <c r="D2069" t="s">
        <v>290</v>
      </c>
      <c r="E2069">
        <v>349.99</v>
      </c>
      <c r="F2069" t="s">
        <v>8118</v>
      </c>
      <c r="L2069" t="s">
        <v>8</v>
      </c>
      <c r="M2069" t="s">
        <v>7984</v>
      </c>
      <c r="N2069">
        <v>0</v>
      </c>
      <c r="O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spans="1:22" x14ac:dyDescent="0.2">
      <c r="A2070" t="s">
        <v>2383</v>
      </c>
      <c r="B2070" t="s">
        <v>2384</v>
      </c>
      <c r="C2070" t="s">
        <v>2374</v>
      </c>
      <c r="D2070" t="s">
        <v>290</v>
      </c>
      <c r="E2070">
        <v>139.99</v>
      </c>
      <c r="F2070" t="s">
        <v>8118</v>
      </c>
      <c r="L2070" t="s">
        <v>8</v>
      </c>
      <c r="M2070" t="s">
        <v>7987</v>
      </c>
      <c r="N2070">
        <v>0</v>
      </c>
      <c r="O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spans="1:22" x14ac:dyDescent="0.2">
      <c r="A2071" t="s">
        <v>5476</v>
      </c>
      <c r="B2071" t="s">
        <v>5477</v>
      </c>
      <c r="C2071" t="s">
        <v>2374</v>
      </c>
      <c r="D2071" t="s">
        <v>96</v>
      </c>
      <c r="E2071">
        <v>169.99</v>
      </c>
      <c r="F2071" t="s">
        <v>8118</v>
      </c>
      <c r="L2071" t="s">
        <v>8</v>
      </c>
      <c r="M2071" t="s">
        <v>7936</v>
      </c>
      <c r="N2071">
        <v>0</v>
      </c>
      <c r="O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spans="1:22" x14ac:dyDescent="0.2">
      <c r="A2072" t="s">
        <v>2401</v>
      </c>
      <c r="B2072" t="s">
        <v>2402</v>
      </c>
      <c r="C2072" t="s">
        <v>2374</v>
      </c>
      <c r="D2072" t="s">
        <v>290</v>
      </c>
      <c r="E2072">
        <v>199.99</v>
      </c>
      <c r="F2072" t="s">
        <v>8118</v>
      </c>
      <c r="L2072" t="s">
        <v>8109</v>
      </c>
      <c r="M2072" t="s">
        <v>97</v>
      </c>
      <c r="N2072">
        <v>12</v>
      </c>
      <c r="O2072">
        <v>8.3333333333333329E-2</v>
      </c>
      <c r="T2072">
        <v>8.3333333333333329E-2</v>
      </c>
      <c r="U2072">
        <v>0</v>
      </c>
      <c r="V2072">
        <v>1</v>
      </c>
    </row>
    <row r="2073" spans="1:22" x14ac:dyDescent="0.2">
      <c r="A2073" t="s">
        <v>2375</v>
      </c>
      <c r="B2073" t="s">
        <v>2376</v>
      </c>
      <c r="C2073" t="s">
        <v>2374</v>
      </c>
      <c r="D2073" t="s">
        <v>290</v>
      </c>
      <c r="E2073">
        <v>149.99</v>
      </c>
      <c r="F2073" t="s">
        <v>8118</v>
      </c>
      <c r="L2073" t="s">
        <v>8109</v>
      </c>
      <c r="M2073" t="s">
        <v>97</v>
      </c>
      <c r="N2073">
        <v>36</v>
      </c>
      <c r="O2073">
        <v>2.7777777777777776E-2</v>
      </c>
      <c r="T2073">
        <v>8.3333333333333329E-2</v>
      </c>
      <c r="U2073">
        <v>0</v>
      </c>
      <c r="V2073">
        <v>3</v>
      </c>
    </row>
    <row r="2074" spans="1:22" x14ac:dyDescent="0.2">
      <c r="A2074" t="s">
        <v>2389</v>
      </c>
      <c r="B2074" t="s">
        <v>2390</v>
      </c>
      <c r="C2074" t="s">
        <v>2374</v>
      </c>
      <c r="D2074" t="s">
        <v>290</v>
      </c>
      <c r="E2074">
        <v>349.99</v>
      </c>
      <c r="F2074" t="s">
        <v>8118</v>
      </c>
      <c r="L2074" t="s">
        <v>8109</v>
      </c>
      <c r="M2074" t="s">
        <v>97</v>
      </c>
      <c r="N2074">
        <v>4</v>
      </c>
      <c r="O2074">
        <v>0</v>
      </c>
      <c r="T2074">
        <v>0</v>
      </c>
      <c r="U2074">
        <v>0</v>
      </c>
      <c r="V2074">
        <v>4</v>
      </c>
    </row>
    <row r="2075" spans="1:22" x14ac:dyDescent="0.2">
      <c r="A2075" t="s">
        <v>2387</v>
      </c>
      <c r="B2075" t="s">
        <v>2388</v>
      </c>
      <c r="C2075" t="s">
        <v>2374</v>
      </c>
      <c r="D2075" t="s">
        <v>290</v>
      </c>
      <c r="E2075">
        <v>279.99</v>
      </c>
      <c r="F2075" t="s">
        <v>8118</v>
      </c>
      <c r="L2075" t="s">
        <v>8109</v>
      </c>
      <c r="M2075" t="s">
        <v>97</v>
      </c>
      <c r="N2075">
        <v>18</v>
      </c>
      <c r="O2075">
        <v>5.5555555555555552E-2</v>
      </c>
      <c r="T2075">
        <v>0.33333333333333331</v>
      </c>
      <c r="U2075">
        <v>0</v>
      </c>
      <c r="V2075">
        <v>6</v>
      </c>
    </row>
    <row r="2076" spans="1:22" x14ac:dyDescent="0.2">
      <c r="A2076" t="s">
        <v>2391</v>
      </c>
      <c r="B2076" t="s">
        <v>2392</v>
      </c>
      <c r="C2076" t="s">
        <v>2374</v>
      </c>
      <c r="D2076" t="s">
        <v>290</v>
      </c>
      <c r="E2076">
        <v>149.99</v>
      </c>
      <c r="F2076" t="s">
        <v>8118</v>
      </c>
      <c r="G2076">
        <v>4</v>
      </c>
      <c r="I2076">
        <v>4</v>
      </c>
      <c r="L2076" t="s">
        <v>8109</v>
      </c>
      <c r="M2076" t="s">
        <v>97</v>
      </c>
      <c r="N2076">
        <v>1</v>
      </c>
      <c r="O2076">
        <v>0</v>
      </c>
      <c r="T2076">
        <v>0</v>
      </c>
      <c r="U2076">
        <v>0</v>
      </c>
      <c r="V2076">
        <v>1</v>
      </c>
    </row>
    <row r="2077" spans="1:22" x14ac:dyDescent="0.2">
      <c r="A2077" t="s">
        <v>5476</v>
      </c>
      <c r="B2077" t="s">
        <v>5477</v>
      </c>
      <c r="C2077" t="s">
        <v>2374</v>
      </c>
      <c r="D2077" t="s">
        <v>96</v>
      </c>
      <c r="E2077">
        <v>169.99</v>
      </c>
      <c r="F2077" t="s">
        <v>8118</v>
      </c>
      <c r="L2077" t="s">
        <v>8109</v>
      </c>
      <c r="M2077" t="s">
        <v>97</v>
      </c>
      <c r="N2077">
        <v>0</v>
      </c>
      <c r="O2077">
        <v>0</v>
      </c>
      <c r="U2077">
        <v>0</v>
      </c>
      <c r="V2077">
        <v>0</v>
      </c>
    </row>
    <row r="2078" spans="1:22" x14ac:dyDescent="0.2">
      <c r="A2078" t="s">
        <v>2379</v>
      </c>
      <c r="B2078" t="s">
        <v>2380</v>
      </c>
      <c r="C2078" t="s">
        <v>2374</v>
      </c>
      <c r="D2078" t="s">
        <v>290</v>
      </c>
      <c r="E2078">
        <v>49.99</v>
      </c>
      <c r="F2078" t="s">
        <v>8118</v>
      </c>
      <c r="J2078">
        <v>1</v>
      </c>
      <c r="L2078" t="s">
        <v>8109</v>
      </c>
      <c r="M2078" t="s">
        <v>97</v>
      </c>
      <c r="N2078">
        <v>48</v>
      </c>
      <c r="O2078">
        <v>2.0833333333333332E-2</v>
      </c>
      <c r="T2078">
        <v>8.3333333333333329E-2</v>
      </c>
      <c r="U2078">
        <v>0</v>
      </c>
      <c r="V2078">
        <v>4</v>
      </c>
    </row>
    <row r="2079" spans="1:22" x14ac:dyDescent="0.2">
      <c r="A2079" t="s">
        <v>2383</v>
      </c>
      <c r="B2079" t="s">
        <v>2384</v>
      </c>
      <c r="C2079" t="s">
        <v>2374</v>
      </c>
      <c r="D2079" t="s">
        <v>290</v>
      </c>
      <c r="E2079">
        <v>139.99</v>
      </c>
      <c r="F2079" t="s">
        <v>8118</v>
      </c>
      <c r="L2079" t="s">
        <v>8109</v>
      </c>
      <c r="M2079" t="s">
        <v>97</v>
      </c>
      <c r="N2079">
        <v>36</v>
      </c>
      <c r="O2079">
        <v>2.7777777777777776E-2</v>
      </c>
      <c r="T2079">
        <v>8.3333333333333329E-2</v>
      </c>
      <c r="U2079">
        <v>0</v>
      </c>
      <c r="V2079">
        <v>3</v>
      </c>
    </row>
    <row r="2080" spans="1:22" x14ac:dyDescent="0.2">
      <c r="A2080" t="s">
        <v>2395</v>
      </c>
      <c r="B2080" t="s">
        <v>2396</v>
      </c>
      <c r="C2080" t="s">
        <v>2374</v>
      </c>
      <c r="D2080" t="s">
        <v>290</v>
      </c>
      <c r="E2080">
        <v>499.99</v>
      </c>
      <c r="F2080" t="s">
        <v>8118</v>
      </c>
      <c r="L2080" t="s">
        <v>8109</v>
      </c>
      <c r="M2080" t="s">
        <v>97</v>
      </c>
      <c r="N2080">
        <v>4</v>
      </c>
      <c r="O2080">
        <v>0</v>
      </c>
      <c r="T2080">
        <v>0</v>
      </c>
      <c r="U2080">
        <v>0</v>
      </c>
      <c r="V2080">
        <v>4</v>
      </c>
    </row>
    <row r="2081" spans="1:22" x14ac:dyDescent="0.2">
      <c r="A2081" t="s">
        <v>2385</v>
      </c>
      <c r="B2081" t="s">
        <v>2386</v>
      </c>
      <c r="C2081" t="s">
        <v>2374</v>
      </c>
      <c r="D2081" t="s">
        <v>290</v>
      </c>
      <c r="E2081">
        <v>169.99</v>
      </c>
      <c r="F2081" t="s">
        <v>8118</v>
      </c>
      <c r="L2081" t="s">
        <v>8109</v>
      </c>
      <c r="M2081" t="s">
        <v>97</v>
      </c>
      <c r="N2081">
        <v>4</v>
      </c>
      <c r="O2081">
        <v>0</v>
      </c>
      <c r="T2081">
        <v>0</v>
      </c>
      <c r="U2081">
        <v>0</v>
      </c>
      <c r="V2081">
        <v>4</v>
      </c>
    </row>
    <row r="2082" spans="1:22" x14ac:dyDescent="0.2">
      <c r="A2082" t="s">
        <v>3539</v>
      </c>
      <c r="B2082" t="s">
        <v>3540</v>
      </c>
      <c r="C2082" t="s">
        <v>2403</v>
      </c>
      <c r="D2082" t="s">
        <v>290</v>
      </c>
      <c r="E2082">
        <v>199.99</v>
      </c>
      <c r="F2082" t="s">
        <v>8118</v>
      </c>
      <c r="L2082" t="s">
        <v>11</v>
      </c>
      <c r="M2082" t="s">
        <v>3541</v>
      </c>
      <c r="N2082">
        <v>0</v>
      </c>
      <c r="O2082">
        <v>0</v>
      </c>
      <c r="T2082">
        <v>0</v>
      </c>
      <c r="U2082">
        <v>0</v>
      </c>
      <c r="V2082">
        <v>0</v>
      </c>
    </row>
    <row r="2083" spans="1:22" x14ac:dyDescent="0.2">
      <c r="A2083" t="s">
        <v>3542</v>
      </c>
      <c r="B2083" t="s">
        <v>3543</v>
      </c>
      <c r="C2083" t="s">
        <v>2403</v>
      </c>
      <c r="D2083" t="s">
        <v>290</v>
      </c>
      <c r="E2083">
        <v>489.99</v>
      </c>
      <c r="F2083" t="s">
        <v>8118</v>
      </c>
      <c r="L2083" t="s">
        <v>11</v>
      </c>
      <c r="M2083" t="s">
        <v>3544</v>
      </c>
      <c r="N2083">
        <v>0</v>
      </c>
      <c r="O2083">
        <v>0</v>
      </c>
      <c r="T2083">
        <v>0</v>
      </c>
      <c r="U2083">
        <v>0</v>
      </c>
      <c r="V2083">
        <v>0</v>
      </c>
    </row>
    <row r="2084" spans="1:22" x14ac:dyDescent="0.2">
      <c r="A2084" t="s">
        <v>3545</v>
      </c>
      <c r="B2084" t="s">
        <v>3546</v>
      </c>
      <c r="C2084" t="s">
        <v>2403</v>
      </c>
      <c r="D2084" t="s">
        <v>290</v>
      </c>
      <c r="E2084">
        <v>89.99</v>
      </c>
      <c r="F2084" t="s">
        <v>8118</v>
      </c>
      <c r="L2084" t="s">
        <v>11</v>
      </c>
      <c r="M2084" t="s">
        <v>3547</v>
      </c>
      <c r="N2084">
        <v>0</v>
      </c>
      <c r="O2084">
        <v>0</v>
      </c>
      <c r="T2084">
        <v>0</v>
      </c>
      <c r="U2084">
        <v>0</v>
      </c>
      <c r="V2084">
        <v>0</v>
      </c>
    </row>
    <row r="2085" spans="1:22" x14ac:dyDescent="0.2">
      <c r="A2085" t="s">
        <v>3545</v>
      </c>
      <c r="B2085" t="s">
        <v>3546</v>
      </c>
      <c r="C2085" t="s">
        <v>2403</v>
      </c>
      <c r="D2085" t="s">
        <v>290</v>
      </c>
      <c r="E2085">
        <v>89.99</v>
      </c>
      <c r="F2085" t="s">
        <v>8118</v>
      </c>
      <c r="L2085" t="s">
        <v>11</v>
      </c>
      <c r="M2085" t="s">
        <v>3547</v>
      </c>
      <c r="N2085">
        <v>0</v>
      </c>
      <c r="O2085">
        <v>0</v>
      </c>
      <c r="T2085">
        <v>0</v>
      </c>
      <c r="U2085">
        <v>0</v>
      </c>
      <c r="V2085">
        <v>0</v>
      </c>
    </row>
    <row r="2086" spans="1:22" x14ac:dyDescent="0.2">
      <c r="A2086" t="s">
        <v>2404</v>
      </c>
      <c r="B2086" t="s">
        <v>2405</v>
      </c>
      <c r="C2086" t="s">
        <v>2403</v>
      </c>
      <c r="D2086" t="s">
        <v>290</v>
      </c>
      <c r="E2086">
        <v>349.99</v>
      </c>
      <c r="F2086" t="s">
        <v>8118</v>
      </c>
      <c r="L2086" t="s">
        <v>11</v>
      </c>
      <c r="M2086" t="s">
        <v>3548</v>
      </c>
      <c r="N2086">
        <v>0</v>
      </c>
      <c r="O2086">
        <v>0</v>
      </c>
      <c r="T2086">
        <v>0</v>
      </c>
      <c r="U2086">
        <v>0</v>
      </c>
      <c r="V2086">
        <v>0</v>
      </c>
    </row>
    <row r="2087" spans="1:22" x14ac:dyDescent="0.2">
      <c r="A2087" t="s">
        <v>3464</v>
      </c>
      <c r="B2087" t="s">
        <v>3465</v>
      </c>
      <c r="C2087" t="s">
        <v>2403</v>
      </c>
      <c r="D2087" t="s">
        <v>290</v>
      </c>
      <c r="E2087">
        <v>79.989999999999995</v>
      </c>
      <c r="F2087" t="s">
        <v>8118</v>
      </c>
      <c r="L2087" t="s">
        <v>11</v>
      </c>
      <c r="M2087" t="s">
        <v>3466</v>
      </c>
      <c r="N2087">
        <v>0</v>
      </c>
      <c r="O2087">
        <v>0</v>
      </c>
      <c r="T2087">
        <v>0</v>
      </c>
      <c r="U2087">
        <v>0</v>
      </c>
      <c r="V2087">
        <v>0</v>
      </c>
    </row>
    <row r="2088" spans="1:22" x14ac:dyDescent="0.2">
      <c r="A2088" t="s">
        <v>3536</v>
      </c>
      <c r="B2088" t="s">
        <v>3537</v>
      </c>
      <c r="C2088" t="s">
        <v>2403</v>
      </c>
      <c r="D2088" t="s">
        <v>290</v>
      </c>
      <c r="E2088">
        <v>149.99</v>
      </c>
      <c r="F2088" t="s">
        <v>8118</v>
      </c>
      <c r="L2088" t="s">
        <v>11</v>
      </c>
      <c r="M2088" t="s">
        <v>3538</v>
      </c>
      <c r="N2088">
        <v>0</v>
      </c>
      <c r="O2088">
        <v>0</v>
      </c>
      <c r="T2088">
        <v>0</v>
      </c>
      <c r="U2088">
        <v>0</v>
      </c>
      <c r="V2088">
        <v>0</v>
      </c>
    </row>
    <row r="2089" spans="1:22" x14ac:dyDescent="0.2">
      <c r="A2089" t="s">
        <v>3533</v>
      </c>
      <c r="B2089" t="s">
        <v>3534</v>
      </c>
      <c r="C2089" t="s">
        <v>2403</v>
      </c>
      <c r="D2089" t="s">
        <v>290</v>
      </c>
      <c r="E2089">
        <v>359.99</v>
      </c>
      <c r="F2089" t="s">
        <v>8118</v>
      </c>
      <c r="L2089" t="s">
        <v>11</v>
      </c>
      <c r="M2089" t="s">
        <v>3535</v>
      </c>
      <c r="N2089">
        <v>0</v>
      </c>
      <c r="O2089">
        <v>0</v>
      </c>
      <c r="T2089">
        <v>0</v>
      </c>
      <c r="U2089">
        <v>0</v>
      </c>
      <c r="V2089">
        <v>0</v>
      </c>
    </row>
    <row r="2090" spans="1:22" x14ac:dyDescent="0.2">
      <c r="A2090" t="s">
        <v>3549</v>
      </c>
      <c r="B2090" t="s">
        <v>3550</v>
      </c>
      <c r="C2090" t="s">
        <v>2403</v>
      </c>
      <c r="D2090" t="s">
        <v>290</v>
      </c>
      <c r="E2090">
        <v>529.99</v>
      </c>
      <c r="F2090" t="s">
        <v>8118</v>
      </c>
      <c r="L2090" t="s">
        <v>11</v>
      </c>
      <c r="M2090" t="s">
        <v>3551</v>
      </c>
      <c r="N2090">
        <v>0</v>
      </c>
      <c r="O2090">
        <v>0</v>
      </c>
      <c r="T2090">
        <v>0</v>
      </c>
      <c r="U2090">
        <v>0</v>
      </c>
      <c r="V2090">
        <v>0</v>
      </c>
    </row>
    <row r="2091" spans="1:22" x14ac:dyDescent="0.2">
      <c r="A2091" t="s">
        <v>5507</v>
      </c>
      <c r="B2091" t="s">
        <v>5508</v>
      </c>
      <c r="C2091" t="s">
        <v>2411</v>
      </c>
      <c r="D2091" t="s">
        <v>96</v>
      </c>
      <c r="E2091">
        <v>29.99</v>
      </c>
      <c r="F2091" t="s">
        <v>8118</v>
      </c>
      <c r="L2091" t="s">
        <v>11</v>
      </c>
      <c r="M2091" t="s">
        <v>5509</v>
      </c>
      <c r="N2091">
        <v>0</v>
      </c>
      <c r="O2091">
        <v>0</v>
      </c>
      <c r="T2091">
        <v>0</v>
      </c>
      <c r="U2091">
        <v>0</v>
      </c>
      <c r="V2091">
        <v>0</v>
      </c>
    </row>
    <row r="2092" spans="1:22" x14ac:dyDescent="0.2">
      <c r="A2092" t="s">
        <v>5664</v>
      </c>
      <c r="B2092" t="s">
        <v>5665</v>
      </c>
      <c r="C2092" t="s">
        <v>2411</v>
      </c>
      <c r="D2092" t="s">
        <v>96</v>
      </c>
      <c r="E2092">
        <v>99.99</v>
      </c>
      <c r="F2092" t="s">
        <v>8118</v>
      </c>
      <c r="L2092" t="s">
        <v>11</v>
      </c>
      <c r="M2092" t="s">
        <v>5666</v>
      </c>
      <c r="N2092">
        <v>0</v>
      </c>
      <c r="O2092">
        <v>0</v>
      </c>
      <c r="T2092">
        <v>0</v>
      </c>
      <c r="U2092">
        <v>0</v>
      </c>
      <c r="V2092">
        <v>0</v>
      </c>
    </row>
    <row r="2093" spans="1:22" x14ac:dyDescent="0.2">
      <c r="A2093" t="s">
        <v>5661</v>
      </c>
      <c r="B2093" t="s">
        <v>5662</v>
      </c>
      <c r="C2093" t="s">
        <v>2411</v>
      </c>
      <c r="D2093" t="s">
        <v>290</v>
      </c>
      <c r="E2093">
        <v>99.99</v>
      </c>
      <c r="F2093" t="s">
        <v>8118</v>
      </c>
      <c r="L2093" t="s">
        <v>11</v>
      </c>
      <c r="M2093" t="s">
        <v>5663</v>
      </c>
      <c r="N2093">
        <v>0</v>
      </c>
      <c r="O2093">
        <v>0</v>
      </c>
      <c r="T2093">
        <v>0</v>
      </c>
      <c r="U2093">
        <v>0</v>
      </c>
      <c r="V2093">
        <v>0</v>
      </c>
    </row>
    <row r="2094" spans="1:22" x14ac:dyDescent="0.2">
      <c r="A2094" t="s">
        <v>5522</v>
      </c>
      <c r="B2094" t="s">
        <v>5523</v>
      </c>
      <c r="C2094" t="s">
        <v>2411</v>
      </c>
      <c r="D2094" t="s">
        <v>96</v>
      </c>
      <c r="E2094">
        <v>24.99</v>
      </c>
      <c r="F2094" t="s">
        <v>8118</v>
      </c>
      <c r="L2094" t="s">
        <v>11</v>
      </c>
      <c r="M2094" t="s">
        <v>5524</v>
      </c>
      <c r="N2094">
        <v>0</v>
      </c>
      <c r="O2094">
        <v>0</v>
      </c>
      <c r="T2094">
        <v>0</v>
      </c>
      <c r="U2094">
        <v>0</v>
      </c>
      <c r="V2094">
        <v>0</v>
      </c>
    </row>
    <row r="2095" spans="1:22" x14ac:dyDescent="0.2">
      <c r="A2095" t="s">
        <v>5525</v>
      </c>
      <c r="B2095" t="s">
        <v>5526</v>
      </c>
      <c r="C2095" t="s">
        <v>2411</v>
      </c>
      <c r="D2095" t="s">
        <v>96</v>
      </c>
      <c r="E2095">
        <v>24.99</v>
      </c>
      <c r="F2095" t="s">
        <v>8118</v>
      </c>
      <c r="L2095" t="s">
        <v>11</v>
      </c>
      <c r="M2095" t="s">
        <v>5527</v>
      </c>
      <c r="N2095">
        <v>0</v>
      </c>
      <c r="O2095">
        <v>0</v>
      </c>
      <c r="T2095">
        <v>0</v>
      </c>
      <c r="U2095">
        <v>0</v>
      </c>
      <c r="V2095">
        <v>0</v>
      </c>
    </row>
    <row r="2096" spans="1:22" x14ac:dyDescent="0.2">
      <c r="A2096" t="s">
        <v>5510</v>
      </c>
      <c r="B2096" t="s">
        <v>5511</v>
      </c>
      <c r="C2096" t="s">
        <v>2411</v>
      </c>
      <c r="D2096" t="s">
        <v>96</v>
      </c>
      <c r="E2096">
        <v>24.99</v>
      </c>
      <c r="F2096" t="s">
        <v>8118</v>
      </c>
      <c r="L2096" t="s">
        <v>11</v>
      </c>
      <c r="M2096" t="s">
        <v>5512</v>
      </c>
      <c r="N2096">
        <v>0</v>
      </c>
      <c r="O2096">
        <v>0</v>
      </c>
      <c r="T2096">
        <v>0</v>
      </c>
      <c r="U2096">
        <v>0</v>
      </c>
      <c r="V2096">
        <v>0</v>
      </c>
    </row>
    <row r="2097" spans="1:22" x14ac:dyDescent="0.2">
      <c r="A2097" t="s">
        <v>5702</v>
      </c>
      <c r="B2097" t="s">
        <v>5703</v>
      </c>
      <c r="C2097" t="s">
        <v>2411</v>
      </c>
      <c r="D2097" t="s">
        <v>96</v>
      </c>
      <c r="E2097">
        <v>19.989999999999998</v>
      </c>
      <c r="F2097" t="s">
        <v>8118</v>
      </c>
      <c r="L2097" t="s">
        <v>11</v>
      </c>
      <c r="M2097" t="s">
        <v>5704</v>
      </c>
      <c r="N2097">
        <v>0</v>
      </c>
      <c r="O2097">
        <v>0</v>
      </c>
      <c r="T2097">
        <v>0</v>
      </c>
      <c r="U2097">
        <v>0</v>
      </c>
      <c r="V2097">
        <v>0</v>
      </c>
    </row>
    <row r="2098" spans="1:22" x14ac:dyDescent="0.2">
      <c r="A2098" t="s">
        <v>5683</v>
      </c>
      <c r="B2098" t="s">
        <v>7052</v>
      </c>
      <c r="C2098" t="s">
        <v>2411</v>
      </c>
      <c r="D2098" t="s">
        <v>96</v>
      </c>
      <c r="E2098">
        <v>19.989999999999998</v>
      </c>
      <c r="F2098" t="s">
        <v>8118</v>
      </c>
      <c r="L2098" t="s">
        <v>11</v>
      </c>
      <c r="M2098" t="s">
        <v>5685</v>
      </c>
      <c r="N2098">
        <v>0</v>
      </c>
      <c r="O2098">
        <v>0</v>
      </c>
      <c r="T2098">
        <v>0</v>
      </c>
      <c r="U2098">
        <v>0</v>
      </c>
      <c r="V2098">
        <v>0</v>
      </c>
    </row>
    <row r="2099" spans="1:22" x14ac:dyDescent="0.2">
      <c r="A2099" t="s">
        <v>5705</v>
      </c>
      <c r="B2099" t="s">
        <v>5706</v>
      </c>
      <c r="C2099" t="s">
        <v>2411</v>
      </c>
      <c r="D2099" t="s">
        <v>96</v>
      </c>
      <c r="E2099">
        <v>19.989999999999998</v>
      </c>
      <c r="F2099" t="s">
        <v>8118</v>
      </c>
      <c r="L2099" t="s">
        <v>11</v>
      </c>
      <c r="M2099" t="s">
        <v>5707</v>
      </c>
      <c r="N2099">
        <v>0</v>
      </c>
      <c r="O2099">
        <v>0</v>
      </c>
      <c r="T2099">
        <v>0</v>
      </c>
      <c r="U2099">
        <v>0</v>
      </c>
      <c r="V2099">
        <v>0</v>
      </c>
    </row>
    <row r="2100" spans="1:22" x14ac:dyDescent="0.2">
      <c r="A2100" t="s">
        <v>5680</v>
      </c>
      <c r="B2100" t="s">
        <v>5681</v>
      </c>
      <c r="C2100" t="s">
        <v>2411</v>
      </c>
      <c r="D2100" t="s">
        <v>96</v>
      </c>
      <c r="E2100">
        <v>14.99</v>
      </c>
      <c r="F2100" t="s">
        <v>8118</v>
      </c>
      <c r="L2100" t="s">
        <v>11</v>
      </c>
      <c r="M2100" t="s">
        <v>5682</v>
      </c>
      <c r="N2100">
        <v>0</v>
      </c>
      <c r="O2100">
        <v>0</v>
      </c>
      <c r="T2100">
        <v>0</v>
      </c>
      <c r="U2100">
        <v>0</v>
      </c>
      <c r="V2100">
        <v>0</v>
      </c>
    </row>
    <row r="2101" spans="1:22" x14ac:dyDescent="0.2">
      <c r="A2101" t="s">
        <v>5689</v>
      </c>
      <c r="B2101" t="s">
        <v>5690</v>
      </c>
      <c r="C2101" t="s">
        <v>2411</v>
      </c>
      <c r="D2101" t="s">
        <v>96</v>
      </c>
      <c r="E2101">
        <v>59.99</v>
      </c>
      <c r="F2101" t="s">
        <v>8118</v>
      </c>
      <c r="L2101" t="s">
        <v>11</v>
      </c>
      <c r="M2101" t="s">
        <v>5691</v>
      </c>
      <c r="N2101">
        <v>0</v>
      </c>
      <c r="O2101">
        <v>0</v>
      </c>
      <c r="T2101">
        <v>0</v>
      </c>
      <c r="U2101">
        <v>0</v>
      </c>
      <c r="V2101">
        <v>0</v>
      </c>
    </row>
    <row r="2102" spans="1:22" x14ac:dyDescent="0.2">
      <c r="A2102" t="s">
        <v>5513</v>
      </c>
      <c r="B2102" t="s">
        <v>5514</v>
      </c>
      <c r="C2102" t="s">
        <v>2411</v>
      </c>
      <c r="D2102" t="s">
        <v>96</v>
      </c>
      <c r="E2102">
        <v>29.99</v>
      </c>
      <c r="F2102" t="s">
        <v>8118</v>
      </c>
      <c r="L2102" t="s">
        <v>11</v>
      </c>
      <c r="M2102" t="s">
        <v>5515</v>
      </c>
      <c r="N2102">
        <v>0</v>
      </c>
      <c r="O2102">
        <v>0</v>
      </c>
      <c r="T2102">
        <v>0</v>
      </c>
      <c r="U2102">
        <v>0</v>
      </c>
      <c r="V2102">
        <v>0</v>
      </c>
    </row>
    <row r="2103" spans="1:22" x14ac:dyDescent="0.2">
      <c r="A2103" t="s">
        <v>5519</v>
      </c>
      <c r="B2103" t="s">
        <v>5520</v>
      </c>
      <c r="C2103" t="s">
        <v>2411</v>
      </c>
      <c r="D2103" t="s">
        <v>96</v>
      </c>
      <c r="E2103">
        <v>29.99</v>
      </c>
      <c r="F2103" t="s">
        <v>8118</v>
      </c>
      <c r="L2103" t="s">
        <v>11</v>
      </c>
      <c r="M2103" t="s">
        <v>5521</v>
      </c>
      <c r="N2103">
        <v>0</v>
      </c>
      <c r="O2103">
        <v>0</v>
      </c>
      <c r="T2103">
        <v>0</v>
      </c>
      <c r="U2103">
        <v>0</v>
      </c>
      <c r="V2103">
        <v>0</v>
      </c>
    </row>
    <row r="2104" spans="1:22" x14ac:dyDescent="0.2">
      <c r="A2104" t="s">
        <v>5516</v>
      </c>
      <c r="B2104" t="s">
        <v>5517</v>
      </c>
      <c r="C2104" t="s">
        <v>2411</v>
      </c>
      <c r="D2104" t="s">
        <v>96</v>
      </c>
      <c r="E2104">
        <v>29.99</v>
      </c>
      <c r="F2104" t="s">
        <v>8118</v>
      </c>
      <c r="L2104" t="s">
        <v>11</v>
      </c>
      <c r="M2104" t="s">
        <v>5518</v>
      </c>
      <c r="N2104">
        <v>0</v>
      </c>
      <c r="O2104">
        <v>0</v>
      </c>
      <c r="T2104">
        <v>0</v>
      </c>
      <c r="U2104">
        <v>0</v>
      </c>
      <c r="V2104">
        <v>0</v>
      </c>
    </row>
    <row r="2105" spans="1:22" x14ac:dyDescent="0.2">
      <c r="A2105" t="s">
        <v>5696</v>
      </c>
      <c r="B2105" t="s">
        <v>5697</v>
      </c>
      <c r="C2105" t="s">
        <v>2411</v>
      </c>
      <c r="D2105" t="s">
        <v>96</v>
      </c>
      <c r="E2105">
        <v>69.989999999999995</v>
      </c>
      <c r="F2105" t="s">
        <v>8118</v>
      </c>
      <c r="L2105" t="s">
        <v>11</v>
      </c>
      <c r="M2105" t="s">
        <v>5698</v>
      </c>
      <c r="N2105">
        <v>0</v>
      </c>
      <c r="O2105">
        <v>0</v>
      </c>
      <c r="T2105">
        <v>0</v>
      </c>
      <c r="U2105">
        <v>0</v>
      </c>
      <c r="V2105">
        <v>0</v>
      </c>
    </row>
    <row r="2106" spans="1:22" x14ac:dyDescent="0.2">
      <c r="A2106" t="s">
        <v>5699</v>
      </c>
      <c r="B2106" t="s">
        <v>5700</v>
      </c>
      <c r="C2106" t="s">
        <v>2411</v>
      </c>
      <c r="D2106" t="s">
        <v>96</v>
      </c>
      <c r="E2106">
        <v>79.989999999999995</v>
      </c>
      <c r="F2106" t="s">
        <v>8118</v>
      </c>
      <c r="L2106" t="s">
        <v>11</v>
      </c>
      <c r="M2106" t="s">
        <v>5701</v>
      </c>
      <c r="N2106">
        <v>0</v>
      </c>
      <c r="O2106">
        <v>0</v>
      </c>
      <c r="T2106">
        <v>0</v>
      </c>
      <c r="U2106">
        <v>0</v>
      </c>
      <c r="V2106">
        <v>0</v>
      </c>
    </row>
    <row r="2107" spans="1:22" x14ac:dyDescent="0.2">
      <c r="A2107" t="s">
        <v>5677</v>
      </c>
      <c r="B2107" t="s">
        <v>5678</v>
      </c>
      <c r="C2107" t="s">
        <v>2411</v>
      </c>
      <c r="D2107" t="s">
        <v>96</v>
      </c>
      <c r="E2107">
        <v>29.99</v>
      </c>
      <c r="F2107" t="s">
        <v>8118</v>
      </c>
      <c r="L2107" t="s">
        <v>11</v>
      </c>
      <c r="M2107" t="s">
        <v>5679</v>
      </c>
      <c r="N2107">
        <v>0</v>
      </c>
      <c r="O2107">
        <v>0</v>
      </c>
      <c r="T2107">
        <v>0</v>
      </c>
      <c r="U2107">
        <v>0</v>
      </c>
      <c r="V2107">
        <v>0</v>
      </c>
    </row>
    <row r="2108" spans="1:22" x14ac:dyDescent="0.2">
      <c r="A2108" t="s">
        <v>5672</v>
      </c>
      <c r="B2108" t="s">
        <v>5673</v>
      </c>
      <c r="C2108" t="s">
        <v>2411</v>
      </c>
      <c r="D2108" t="s">
        <v>96</v>
      </c>
      <c r="E2108">
        <v>89.99</v>
      </c>
      <c r="F2108" t="s">
        <v>8118</v>
      </c>
      <c r="L2108" t="s">
        <v>11</v>
      </c>
      <c r="M2108" t="s">
        <v>5674</v>
      </c>
      <c r="N2108">
        <v>0</v>
      </c>
      <c r="O2108">
        <v>0</v>
      </c>
      <c r="T2108">
        <v>0</v>
      </c>
      <c r="U2108">
        <v>0</v>
      </c>
      <c r="V2108">
        <v>0</v>
      </c>
    </row>
    <row r="2109" spans="1:22" x14ac:dyDescent="0.2">
      <c r="A2109" t="s">
        <v>5442</v>
      </c>
      <c r="B2109" t="s">
        <v>5443</v>
      </c>
      <c r="C2109" t="s">
        <v>2411</v>
      </c>
      <c r="D2109" t="s">
        <v>96</v>
      </c>
      <c r="E2109">
        <v>39.99</v>
      </c>
      <c r="F2109" t="s">
        <v>8118</v>
      </c>
      <c r="L2109" t="s">
        <v>11</v>
      </c>
      <c r="M2109" t="s">
        <v>5444</v>
      </c>
      <c r="N2109">
        <v>0</v>
      </c>
      <c r="O2109">
        <v>0</v>
      </c>
      <c r="T2109">
        <v>0</v>
      </c>
      <c r="U2109">
        <v>0</v>
      </c>
      <c r="V2109">
        <v>0</v>
      </c>
    </row>
    <row r="2110" spans="1:22" x14ac:dyDescent="0.2">
      <c r="A2110" t="s">
        <v>5486</v>
      </c>
      <c r="B2110" t="s">
        <v>5487</v>
      </c>
      <c r="C2110" t="s">
        <v>2411</v>
      </c>
      <c r="D2110" t="s">
        <v>96</v>
      </c>
      <c r="E2110">
        <v>29.99</v>
      </c>
      <c r="F2110" t="s">
        <v>8118</v>
      </c>
      <c r="L2110" t="s">
        <v>11</v>
      </c>
      <c r="M2110" t="s">
        <v>5488</v>
      </c>
      <c r="N2110">
        <v>0</v>
      </c>
      <c r="O2110">
        <v>0</v>
      </c>
      <c r="T2110">
        <v>0</v>
      </c>
      <c r="U2110">
        <v>0</v>
      </c>
      <c r="V2110">
        <v>0</v>
      </c>
    </row>
    <row r="2111" spans="1:22" x14ac:dyDescent="0.2">
      <c r="A2111" t="s">
        <v>5483</v>
      </c>
      <c r="B2111" t="s">
        <v>5484</v>
      </c>
      <c r="C2111" t="s">
        <v>2411</v>
      </c>
      <c r="D2111" t="s">
        <v>96</v>
      </c>
      <c r="E2111">
        <v>29.99</v>
      </c>
      <c r="F2111" t="s">
        <v>8118</v>
      </c>
      <c r="L2111" t="s">
        <v>11</v>
      </c>
      <c r="M2111" t="s">
        <v>5485</v>
      </c>
      <c r="N2111">
        <v>0</v>
      </c>
      <c r="O2111">
        <v>0</v>
      </c>
      <c r="T2111">
        <v>0</v>
      </c>
      <c r="U2111">
        <v>0</v>
      </c>
      <c r="V2111">
        <v>0</v>
      </c>
    </row>
    <row r="2112" spans="1:22" x14ac:dyDescent="0.2">
      <c r="A2112" t="s">
        <v>2414</v>
      </c>
      <c r="B2112" t="s">
        <v>2415</v>
      </c>
      <c r="C2112" t="s">
        <v>2411</v>
      </c>
      <c r="D2112" t="s">
        <v>96</v>
      </c>
      <c r="E2112">
        <v>24.99</v>
      </c>
      <c r="F2112" t="s">
        <v>8118</v>
      </c>
      <c r="L2112" t="s">
        <v>11</v>
      </c>
      <c r="M2112" t="s">
        <v>5466</v>
      </c>
      <c r="N2112">
        <v>0</v>
      </c>
      <c r="O2112">
        <v>0</v>
      </c>
      <c r="T2112">
        <v>0</v>
      </c>
      <c r="U2112">
        <v>0</v>
      </c>
      <c r="V2112">
        <v>0</v>
      </c>
    </row>
    <row r="2113" spans="1:22" x14ac:dyDescent="0.2">
      <c r="A2113" t="s">
        <v>5495</v>
      </c>
      <c r="B2113" t="s">
        <v>5496</v>
      </c>
      <c r="C2113" t="s">
        <v>2411</v>
      </c>
      <c r="D2113" t="s">
        <v>96</v>
      </c>
      <c r="E2113">
        <v>29.99</v>
      </c>
      <c r="F2113" t="s">
        <v>8118</v>
      </c>
      <c r="L2113" t="s">
        <v>11</v>
      </c>
      <c r="M2113" t="s">
        <v>5497</v>
      </c>
      <c r="N2113">
        <v>0</v>
      </c>
      <c r="O2113">
        <v>0</v>
      </c>
      <c r="T2113">
        <v>0</v>
      </c>
      <c r="U2113">
        <v>0</v>
      </c>
      <c r="V2113">
        <v>0</v>
      </c>
    </row>
    <row r="2114" spans="1:22" x14ac:dyDescent="0.2">
      <c r="A2114" t="s">
        <v>5446</v>
      </c>
      <c r="B2114" t="s">
        <v>5447</v>
      </c>
      <c r="C2114" t="s">
        <v>2411</v>
      </c>
      <c r="D2114" t="s">
        <v>96</v>
      </c>
      <c r="F2114" t="s">
        <v>8118</v>
      </c>
      <c r="L2114" t="s">
        <v>11</v>
      </c>
      <c r="M2114" t="s">
        <v>5448</v>
      </c>
      <c r="N2114">
        <v>0</v>
      </c>
      <c r="O2114">
        <v>0</v>
      </c>
      <c r="T2114">
        <v>0</v>
      </c>
      <c r="V2114">
        <v>0</v>
      </c>
    </row>
    <row r="2115" spans="1:22" x14ac:dyDescent="0.2">
      <c r="A2115" t="s">
        <v>5467</v>
      </c>
      <c r="B2115" t="s">
        <v>5468</v>
      </c>
      <c r="C2115" t="s">
        <v>2411</v>
      </c>
      <c r="D2115" t="s">
        <v>96</v>
      </c>
      <c r="E2115">
        <v>34.99</v>
      </c>
      <c r="F2115" t="s">
        <v>8118</v>
      </c>
      <c r="L2115" t="s">
        <v>11</v>
      </c>
      <c r="M2115" t="s">
        <v>5469</v>
      </c>
      <c r="N2115">
        <v>0</v>
      </c>
      <c r="O2115">
        <v>0</v>
      </c>
      <c r="T2115">
        <v>0</v>
      </c>
      <c r="U2115">
        <v>0</v>
      </c>
      <c r="V2115">
        <v>0</v>
      </c>
    </row>
    <row r="2116" spans="1:22" x14ac:dyDescent="0.2">
      <c r="A2116" t="s">
        <v>5454</v>
      </c>
      <c r="B2116" t="s">
        <v>5455</v>
      </c>
      <c r="C2116" t="s">
        <v>2411</v>
      </c>
      <c r="D2116" t="s">
        <v>96</v>
      </c>
      <c r="E2116">
        <v>39.99</v>
      </c>
      <c r="F2116" t="s">
        <v>8118</v>
      </c>
      <c r="L2116" t="s">
        <v>11</v>
      </c>
      <c r="M2116" t="s">
        <v>5456</v>
      </c>
      <c r="N2116">
        <v>0</v>
      </c>
      <c r="O2116">
        <v>0</v>
      </c>
      <c r="T2116">
        <v>0</v>
      </c>
      <c r="U2116">
        <v>0</v>
      </c>
      <c r="V2116">
        <v>0</v>
      </c>
    </row>
    <row r="2117" spans="1:22" x14ac:dyDescent="0.2">
      <c r="A2117" t="s">
        <v>5460</v>
      </c>
      <c r="B2117" t="s">
        <v>5461</v>
      </c>
      <c r="C2117" t="s">
        <v>2411</v>
      </c>
      <c r="D2117" t="s">
        <v>96</v>
      </c>
      <c r="E2117">
        <v>24.99</v>
      </c>
      <c r="F2117" t="s">
        <v>8118</v>
      </c>
      <c r="L2117" t="s">
        <v>11</v>
      </c>
      <c r="M2117" t="s">
        <v>5462</v>
      </c>
      <c r="N2117">
        <v>0</v>
      </c>
      <c r="O2117">
        <v>0</v>
      </c>
      <c r="T2117">
        <v>0</v>
      </c>
      <c r="U2117">
        <v>0</v>
      </c>
      <c r="V2117">
        <v>0</v>
      </c>
    </row>
    <row r="2118" spans="1:22" x14ac:dyDescent="0.2">
      <c r="A2118" t="s">
        <v>5470</v>
      </c>
      <c r="B2118" t="s">
        <v>5471</v>
      </c>
      <c r="C2118" t="s">
        <v>2411</v>
      </c>
      <c r="D2118" t="s">
        <v>290</v>
      </c>
      <c r="E2118">
        <v>24.99</v>
      </c>
      <c r="F2118" t="s">
        <v>8118</v>
      </c>
      <c r="L2118" t="s">
        <v>11</v>
      </c>
      <c r="M2118" t="s">
        <v>5472</v>
      </c>
      <c r="N2118">
        <v>0</v>
      </c>
      <c r="O2118">
        <v>0</v>
      </c>
      <c r="T2118">
        <v>0</v>
      </c>
      <c r="U2118">
        <v>0</v>
      </c>
      <c r="V2118">
        <v>0</v>
      </c>
    </row>
    <row r="2119" spans="1:22" x14ac:dyDescent="0.2">
      <c r="A2119" t="s">
        <v>5473</v>
      </c>
      <c r="B2119" t="s">
        <v>5474</v>
      </c>
      <c r="C2119" t="s">
        <v>2411</v>
      </c>
      <c r="D2119" t="s">
        <v>96</v>
      </c>
      <c r="E2119">
        <v>24.99</v>
      </c>
      <c r="F2119" t="s">
        <v>8118</v>
      </c>
      <c r="L2119" t="s">
        <v>11</v>
      </c>
      <c r="M2119" t="s">
        <v>5475</v>
      </c>
      <c r="N2119">
        <v>0</v>
      </c>
      <c r="O2119">
        <v>0</v>
      </c>
      <c r="T2119">
        <v>0</v>
      </c>
      <c r="U2119">
        <v>0</v>
      </c>
      <c r="V2119">
        <v>0</v>
      </c>
    </row>
    <row r="2120" spans="1:22" x14ac:dyDescent="0.2">
      <c r="A2120" t="s">
        <v>5463</v>
      </c>
      <c r="B2120" t="s">
        <v>5464</v>
      </c>
      <c r="C2120" t="s">
        <v>2411</v>
      </c>
      <c r="D2120" t="s">
        <v>96</v>
      </c>
      <c r="E2120">
        <v>49.99</v>
      </c>
      <c r="F2120" t="s">
        <v>8118</v>
      </c>
      <c r="L2120" t="s">
        <v>11</v>
      </c>
      <c r="M2120" t="s">
        <v>5465</v>
      </c>
      <c r="N2120">
        <v>0</v>
      </c>
      <c r="O2120">
        <v>0</v>
      </c>
      <c r="T2120">
        <v>0</v>
      </c>
      <c r="U2120">
        <v>0</v>
      </c>
      <c r="V2120">
        <v>0</v>
      </c>
    </row>
    <row r="2121" spans="1:22" x14ac:dyDescent="0.2">
      <c r="A2121" t="s">
        <v>5498</v>
      </c>
      <c r="B2121" t="s">
        <v>5499</v>
      </c>
      <c r="C2121" t="s">
        <v>2411</v>
      </c>
      <c r="D2121" t="s">
        <v>96</v>
      </c>
      <c r="E2121">
        <v>29.99</v>
      </c>
      <c r="F2121" t="s">
        <v>8118</v>
      </c>
      <c r="L2121" t="s">
        <v>11</v>
      </c>
      <c r="M2121" t="s">
        <v>5500</v>
      </c>
      <c r="N2121">
        <v>0</v>
      </c>
      <c r="O2121">
        <v>0</v>
      </c>
      <c r="T2121">
        <v>0</v>
      </c>
      <c r="U2121">
        <v>0</v>
      </c>
      <c r="V2121">
        <v>0</v>
      </c>
    </row>
    <row r="2122" spans="1:22" x14ac:dyDescent="0.2">
      <c r="A2122" t="s">
        <v>5451</v>
      </c>
      <c r="B2122" t="s">
        <v>5452</v>
      </c>
      <c r="C2122" t="s">
        <v>2411</v>
      </c>
      <c r="D2122" t="s">
        <v>96</v>
      </c>
      <c r="E2122">
        <v>24.99</v>
      </c>
      <c r="F2122" t="s">
        <v>8118</v>
      </c>
      <c r="L2122" t="s">
        <v>11</v>
      </c>
      <c r="M2122" t="s">
        <v>5453</v>
      </c>
      <c r="N2122">
        <v>0</v>
      </c>
      <c r="O2122">
        <v>0</v>
      </c>
      <c r="T2122">
        <v>0</v>
      </c>
      <c r="U2122">
        <v>0</v>
      </c>
      <c r="V2122">
        <v>0</v>
      </c>
    </row>
    <row r="2123" spans="1:22" x14ac:dyDescent="0.2">
      <c r="A2123" t="s">
        <v>5492</v>
      </c>
      <c r="B2123" t="s">
        <v>5493</v>
      </c>
      <c r="C2123" t="s">
        <v>2411</v>
      </c>
      <c r="D2123" t="s">
        <v>96</v>
      </c>
      <c r="E2123">
        <v>29.99</v>
      </c>
      <c r="F2123" t="s">
        <v>8118</v>
      </c>
      <c r="L2123" t="s">
        <v>11</v>
      </c>
      <c r="M2123" t="s">
        <v>5494</v>
      </c>
      <c r="N2123">
        <v>0</v>
      </c>
      <c r="O2123">
        <v>0</v>
      </c>
      <c r="T2123">
        <v>0</v>
      </c>
      <c r="U2123">
        <v>0</v>
      </c>
      <c r="V2123">
        <v>0</v>
      </c>
    </row>
    <row r="2124" spans="1:22" x14ac:dyDescent="0.2">
      <c r="A2124" t="s">
        <v>5480</v>
      </c>
      <c r="B2124" t="s">
        <v>5481</v>
      </c>
      <c r="C2124" t="s">
        <v>2411</v>
      </c>
      <c r="D2124" t="s">
        <v>96</v>
      </c>
      <c r="E2124">
        <v>29.99</v>
      </c>
      <c r="F2124" t="s">
        <v>8118</v>
      </c>
      <c r="L2124" t="s">
        <v>11</v>
      </c>
      <c r="M2124" t="s">
        <v>5482</v>
      </c>
      <c r="N2124">
        <v>0</v>
      </c>
      <c r="O2124">
        <v>0</v>
      </c>
      <c r="T2124">
        <v>0</v>
      </c>
      <c r="U2124">
        <v>0</v>
      </c>
      <c r="V2124">
        <v>0</v>
      </c>
    </row>
    <row r="2125" spans="1:22" x14ac:dyDescent="0.2">
      <c r="A2125" t="s">
        <v>5489</v>
      </c>
      <c r="B2125" t="s">
        <v>5490</v>
      </c>
      <c r="C2125" t="s">
        <v>2411</v>
      </c>
      <c r="D2125" t="s">
        <v>96</v>
      </c>
      <c r="E2125">
        <v>29.99</v>
      </c>
      <c r="F2125" t="s">
        <v>8118</v>
      </c>
      <c r="L2125" t="s">
        <v>11</v>
      </c>
      <c r="M2125" t="s">
        <v>5491</v>
      </c>
      <c r="N2125">
        <v>0</v>
      </c>
      <c r="O2125">
        <v>0</v>
      </c>
      <c r="T2125">
        <v>0</v>
      </c>
      <c r="U2125">
        <v>0</v>
      </c>
      <c r="V2125">
        <v>0</v>
      </c>
    </row>
    <row r="2126" spans="1:22" x14ac:dyDescent="0.2">
      <c r="A2126" t="s">
        <v>5504</v>
      </c>
      <c r="B2126" t="s">
        <v>5505</v>
      </c>
      <c r="C2126" t="s">
        <v>2411</v>
      </c>
      <c r="D2126" t="s">
        <v>96</v>
      </c>
      <c r="E2126">
        <v>49.99</v>
      </c>
      <c r="F2126" t="s">
        <v>8118</v>
      </c>
      <c r="L2126" t="s">
        <v>11</v>
      </c>
      <c r="M2126" t="s">
        <v>5506</v>
      </c>
      <c r="N2126">
        <v>0</v>
      </c>
      <c r="O2126">
        <v>0</v>
      </c>
      <c r="T2126">
        <v>0</v>
      </c>
      <c r="U2126">
        <v>0</v>
      </c>
      <c r="V2126">
        <v>0</v>
      </c>
    </row>
    <row r="2127" spans="1:22" x14ac:dyDescent="0.2">
      <c r="A2127" t="s">
        <v>5528</v>
      </c>
      <c r="B2127" t="s">
        <v>5529</v>
      </c>
      <c r="C2127" t="s">
        <v>2411</v>
      </c>
      <c r="D2127" t="s">
        <v>96</v>
      </c>
      <c r="E2127">
        <v>49.99</v>
      </c>
      <c r="F2127" t="s">
        <v>8118</v>
      </c>
      <c r="L2127" t="s">
        <v>11</v>
      </c>
      <c r="M2127" t="s">
        <v>5530</v>
      </c>
      <c r="N2127">
        <v>0</v>
      </c>
      <c r="O2127">
        <v>0</v>
      </c>
      <c r="T2127">
        <v>0</v>
      </c>
      <c r="U2127">
        <v>0</v>
      </c>
      <c r="V2127">
        <v>0</v>
      </c>
    </row>
    <row r="2128" spans="1:22" x14ac:dyDescent="0.2">
      <c r="A2128" t="s">
        <v>5531</v>
      </c>
      <c r="B2128" t="s">
        <v>5532</v>
      </c>
      <c r="C2128" t="s">
        <v>2411</v>
      </c>
      <c r="D2128" t="s">
        <v>96</v>
      </c>
      <c r="E2128">
        <v>49.99</v>
      </c>
      <c r="F2128" t="s">
        <v>8118</v>
      </c>
      <c r="L2128" t="s">
        <v>11</v>
      </c>
      <c r="M2128" t="s">
        <v>5533</v>
      </c>
      <c r="N2128">
        <v>0</v>
      </c>
      <c r="O2128">
        <v>0</v>
      </c>
      <c r="T2128">
        <v>0</v>
      </c>
      <c r="U2128">
        <v>0</v>
      </c>
      <c r="V2128">
        <v>0</v>
      </c>
    </row>
    <row r="2129" spans="1:22" x14ac:dyDescent="0.2">
      <c r="A2129" t="s">
        <v>5501</v>
      </c>
      <c r="B2129" t="s">
        <v>5502</v>
      </c>
      <c r="C2129" t="s">
        <v>2411</v>
      </c>
      <c r="D2129" t="s">
        <v>96</v>
      </c>
      <c r="E2129">
        <v>49.99</v>
      </c>
      <c r="F2129" t="s">
        <v>8118</v>
      </c>
      <c r="L2129" t="s">
        <v>11</v>
      </c>
      <c r="M2129" t="s">
        <v>5503</v>
      </c>
      <c r="N2129">
        <v>0</v>
      </c>
      <c r="O2129">
        <v>0</v>
      </c>
      <c r="T2129">
        <v>0</v>
      </c>
      <c r="U2129">
        <v>0</v>
      </c>
      <c r="V2129">
        <v>0</v>
      </c>
    </row>
    <row r="2130" spans="1:22" x14ac:dyDescent="0.2">
      <c r="A2130" t="s">
        <v>2423</v>
      </c>
      <c r="B2130" t="s">
        <v>2424</v>
      </c>
      <c r="C2130" t="s">
        <v>2411</v>
      </c>
      <c r="D2130" t="s">
        <v>96</v>
      </c>
      <c r="E2130">
        <v>49.99</v>
      </c>
      <c r="F2130" t="s">
        <v>8118</v>
      </c>
      <c r="L2130" t="s">
        <v>11</v>
      </c>
      <c r="M2130" t="s">
        <v>5445</v>
      </c>
      <c r="N2130">
        <v>0</v>
      </c>
      <c r="O2130">
        <v>0</v>
      </c>
      <c r="T2130">
        <v>0</v>
      </c>
      <c r="U2130">
        <v>0</v>
      </c>
      <c r="V2130">
        <v>0</v>
      </c>
    </row>
    <row r="2131" spans="1:22" x14ac:dyDescent="0.2">
      <c r="A2131" t="s">
        <v>5457</v>
      </c>
      <c r="B2131" t="s">
        <v>5458</v>
      </c>
      <c r="C2131" t="s">
        <v>2411</v>
      </c>
      <c r="D2131" t="s">
        <v>96</v>
      </c>
      <c r="E2131">
        <v>59.99</v>
      </c>
      <c r="F2131" t="s">
        <v>8118</v>
      </c>
      <c r="L2131" t="s">
        <v>11</v>
      </c>
      <c r="M2131" t="s">
        <v>5459</v>
      </c>
      <c r="N2131">
        <v>0</v>
      </c>
      <c r="O2131">
        <v>0</v>
      </c>
      <c r="T2131">
        <v>0</v>
      </c>
      <c r="U2131">
        <v>0</v>
      </c>
      <c r="V2131">
        <v>0</v>
      </c>
    </row>
    <row r="2132" spans="1:22" x14ac:dyDescent="0.2">
      <c r="A2132" t="s">
        <v>2416</v>
      </c>
      <c r="B2132" t="s">
        <v>2417</v>
      </c>
      <c r="C2132" t="s">
        <v>2411</v>
      </c>
      <c r="D2132" t="s">
        <v>96</v>
      </c>
      <c r="E2132">
        <v>29.99</v>
      </c>
      <c r="F2132" t="s">
        <v>8118</v>
      </c>
      <c r="L2132" t="s">
        <v>8125</v>
      </c>
      <c r="M2132" t="s">
        <v>97</v>
      </c>
      <c r="N2132">
        <v>0</v>
      </c>
      <c r="O2132">
        <v>0</v>
      </c>
      <c r="T2132">
        <v>0</v>
      </c>
      <c r="V2132">
        <v>3</v>
      </c>
    </row>
    <row r="2133" spans="1:22" x14ac:dyDescent="0.2">
      <c r="A2133" t="s">
        <v>2419</v>
      </c>
      <c r="B2133" t="s">
        <v>2420</v>
      </c>
      <c r="C2133" t="s">
        <v>2411</v>
      </c>
      <c r="D2133" t="s">
        <v>290</v>
      </c>
      <c r="E2133">
        <v>29.99</v>
      </c>
      <c r="F2133" t="s">
        <v>8118</v>
      </c>
      <c r="L2133" t="s">
        <v>8125</v>
      </c>
      <c r="M2133" t="s">
        <v>97</v>
      </c>
      <c r="N2133">
        <v>0</v>
      </c>
      <c r="O2133">
        <v>0</v>
      </c>
      <c r="T2133">
        <v>0</v>
      </c>
      <c r="V2133">
        <v>2</v>
      </c>
    </row>
    <row r="2134" spans="1:22" x14ac:dyDescent="0.2">
      <c r="A2134" t="s">
        <v>2421</v>
      </c>
      <c r="B2134" t="s">
        <v>2422</v>
      </c>
      <c r="C2134" t="s">
        <v>2411</v>
      </c>
      <c r="D2134" t="s">
        <v>290</v>
      </c>
      <c r="E2134">
        <v>29.99</v>
      </c>
      <c r="F2134" t="s">
        <v>8118</v>
      </c>
      <c r="L2134" t="s">
        <v>8125</v>
      </c>
      <c r="M2134" t="s">
        <v>97</v>
      </c>
      <c r="N2134">
        <v>108</v>
      </c>
      <c r="O2134">
        <v>9.2592592592592587E-3</v>
      </c>
      <c r="T2134">
        <v>0.16666666666666666</v>
      </c>
      <c r="V2134">
        <v>18</v>
      </c>
    </row>
    <row r="2135" spans="1:22" x14ac:dyDescent="0.2">
      <c r="A2135" t="s">
        <v>5692</v>
      </c>
      <c r="B2135" t="s">
        <v>5693</v>
      </c>
      <c r="C2135" t="s">
        <v>2411</v>
      </c>
      <c r="D2135" t="s">
        <v>96</v>
      </c>
      <c r="E2135">
        <v>59.99</v>
      </c>
      <c r="F2135" t="s">
        <v>8118</v>
      </c>
      <c r="L2135" t="s">
        <v>14</v>
      </c>
      <c r="M2135" t="s">
        <v>97</v>
      </c>
      <c r="N2135">
        <v>0</v>
      </c>
      <c r="O2135">
        <v>0</v>
      </c>
      <c r="T2135">
        <v>0</v>
      </c>
      <c r="U2135">
        <v>0</v>
      </c>
      <c r="V2135">
        <v>2</v>
      </c>
    </row>
    <row r="2136" spans="1:22" x14ac:dyDescent="0.2">
      <c r="A2136" t="s">
        <v>2412</v>
      </c>
      <c r="B2136" t="s">
        <v>2413</v>
      </c>
      <c r="C2136" t="s">
        <v>2411</v>
      </c>
      <c r="D2136" t="s">
        <v>96</v>
      </c>
      <c r="E2136">
        <v>59.99</v>
      </c>
      <c r="F2136" t="s">
        <v>8118</v>
      </c>
      <c r="L2136" t="s">
        <v>14</v>
      </c>
      <c r="M2136" t="s">
        <v>97</v>
      </c>
      <c r="N2136">
        <v>11.076923076923078</v>
      </c>
      <c r="O2136">
        <v>9.0277777777777776E-2</v>
      </c>
      <c r="T2136">
        <v>1.0833333333333333</v>
      </c>
      <c r="U2136">
        <v>59.99</v>
      </c>
      <c r="V2136">
        <v>12</v>
      </c>
    </row>
    <row r="2137" spans="1:22" x14ac:dyDescent="0.2">
      <c r="A2137" t="s">
        <v>5446</v>
      </c>
      <c r="B2137" t="s">
        <v>5447</v>
      </c>
      <c r="C2137" t="s">
        <v>2411</v>
      </c>
      <c r="D2137" t="s">
        <v>96</v>
      </c>
      <c r="F2137" t="s">
        <v>8118</v>
      </c>
      <c r="L2137" t="s">
        <v>14</v>
      </c>
      <c r="M2137" t="s">
        <v>97</v>
      </c>
      <c r="N2137">
        <v>0</v>
      </c>
      <c r="O2137">
        <v>0</v>
      </c>
      <c r="U2137">
        <v>0</v>
      </c>
      <c r="V2137">
        <v>0</v>
      </c>
    </row>
    <row r="2138" spans="1:22" x14ac:dyDescent="0.2">
      <c r="A2138" t="s">
        <v>5696</v>
      </c>
      <c r="B2138" t="s">
        <v>5697</v>
      </c>
      <c r="C2138" t="s">
        <v>2411</v>
      </c>
      <c r="D2138" t="s">
        <v>96</v>
      </c>
      <c r="E2138">
        <v>69.989999999999995</v>
      </c>
      <c r="F2138" t="s">
        <v>8118</v>
      </c>
      <c r="L2138" t="s">
        <v>14</v>
      </c>
      <c r="M2138" t="s">
        <v>97</v>
      </c>
      <c r="N2138">
        <v>0</v>
      </c>
      <c r="O2138">
        <v>0</v>
      </c>
      <c r="T2138">
        <v>0</v>
      </c>
      <c r="U2138">
        <v>0</v>
      </c>
      <c r="V2138">
        <v>10</v>
      </c>
    </row>
    <row r="2139" spans="1:22" x14ac:dyDescent="0.2">
      <c r="A2139" t="s">
        <v>5694</v>
      </c>
      <c r="B2139" t="s">
        <v>5695</v>
      </c>
      <c r="C2139" t="s">
        <v>2411</v>
      </c>
      <c r="D2139" t="s">
        <v>96</v>
      </c>
      <c r="E2139">
        <v>59.99</v>
      </c>
      <c r="F2139" t="s">
        <v>8118</v>
      </c>
      <c r="L2139" t="s">
        <v>14</v>
      </c>
      <c r="M2139" t="s">
        <v>97</v>
      </c>
      <c r="N2139">
        <v>96</v>
      </c>
      <c r="O2139">
        <v>1.0416666666666666E-2</v>
      </c>
      <c r="T2139">
        <v>8.3333333333333329E-2</v>
      </c>
      <c r="U2139">
        <v>0</v>
      </c>
      <c r="V2139">
        <v>8</v>
      </c>
    </row>
    <row r="2140" spans="1:22" x14ac:dyDescent="0.2">
      <c r="A2140" t="s">
        <v>5449</v>
      </c>
      <c r="B2140" t="s">
        <v>5450</v>
      </c>
      <c r="C2140" t="s">
        <v>2411</v>
      </c>
      <c r="D2140" t="s">
        <v>96</v>
      </c>
      <c r="E2140">
        <v>59.99</v>
      </c>
      <c r="F2140" t="s">
        <v>8118</v>
      </c>
      <c r="L2140" t="s">
        <v>14</v>
      </c>
      <c r="M2140" t="s">
        <v>97</v>
      </c>
      <c r="N2140">
        <v>0</v>
      </c>
      <c r="O2140">
        <v>0</v>
      </c>
      <c r="T2140">
        <v>0</v>
      </c>
      <c r="U2140">
        <v>0</v>
      </c>
      <c r="V2140">
        <v>1</v>
      </c>
    </row>
    <row r="2141" spans="1:22" x14ac:dyDescent="0.2">
      <c r="A2141" t="s">
        <v>7088</v>
      </c>
      <c r="B2141" t="s">
        <v>7089</v>
      </c>
      <c r="C2141" t="s">
        <v>2411</v>
      </c>
      <c r="D2141" t="s">
        <v>96</v>
      </c>
      <c r="E2141">
        <v>27.27</v>
      </c>
      <c r="F2141" t="s">
        <v>8118</v>
      </c>
      <c r="L2141" t="s">
        <v>14</v>
      </c>
      <c r="M2141" t="s">
        <v>97</v>
      </c>
      <c r="N2141">
        <v>0</v>
      </c>
      <c r="O2141">
        <v>0</v>
      </c>
      <c r="U2141">
        <v>0</v>
      </c>
      <c r="V2141">
        <v>0</v>
      </c>
    </row>
    <row r="2142" spans="1:22" x14ac:dyDescent="0.2">
      <c r="A2142" t="s">
        <v>5712</v>
      </c>
      <c r="B2142" t="s">
        <v>5713</v>
      </c>
      <c r="C2142" t="s">
        <v>2411</v>
      </c>
      <c r="D2142" t="s">
        <v>96</v>
      </c>
      <c r="E2142">
        <v>59.99</v>
      </c>
      <c r="F2142" t="s">
        <v>8118</v>
      </c>
      <c r="L2142" t="s">
        <v>14</v>
      </c>
      <c r="M2142" t="s">
        <v>97</v>
      </c>
      <c r="N2142">
        <v>72</v>
      </c>
      <c r="O2142">
        <v>1.3888888888888888E-2</v>
      </c>
      <c r="T2142">
        <v>8.3333333333333329E-2</v>
      </c>
      <c r="U2142">
        <v>0</v>
      </c>
      <c r="V2142">
        <v>6</v>
      </c>
    </row>
    <row r="2143" spans="1:22" x14ac:dyDescent="0.2">
      <c r="A2143" t="s">
        <v>7078</v>
      </c>
      <c r="B2143" t="s">
        <v>7079</v>
      </c>
      <c r="C2143" t="s">
        <v>2411</v>
      </c>
      <c r="D2143" t="s">
        <v>96</v>
      </c>
      <c r="E2143">
        <v>59.99</v>
      </c>
      <c r="F2143" t="s">
        <v>8118</v>
      </c>
      <c r="L2143" t="s">
        <v>14</v>
      </c>
      <c r="M2143" t="s">
        <v>97</v>
      </c>
      <c r="N2143">
        <v>0</v>
      </c>
      <c r="O2143">
        <v>0</v>
      </c>
      <c r="U2143">
        <v>0</v>
      </c>
      <c r="V2143">
        <v>0</v>
      </c>
    </row>
    <row r="2144" spans="1:22" x14ac:dyDescent="0.2">
      <c r="A2144" t="s">
        <v>7071</v>
      </c>
      <c r="B2144" t="s">
        <v>7072</v>
      </c>
      <c r="C2144" t="s">
        <v>2411</v>
      </c>
      <c r="D2144" t="s">
        <v>96</v>
      </c>
      <c r="E2144">
        <v>59.99</v>
      </c>
      <c r="F2144" t="s">
        <v>8118</v>
      </c>
      <c r="L2144" t="s">
        <v>14</v>
      </c>
      <c r="M2144" t="s">
        <v>97</v>
      </c>
      <c r="N2144">
        <v>0</v>
      </c>
      <c r="O2144">
        <v>0</v>
      </c>
      <c r="U2144">
        <v>0</v>
      </c>
      <c r="V2144">
        <v>0</v>
      </c>
    </row>
    <row r="2145" spans="1:22" x14ac:dyDescent="0.2">
      <c r="A2145" t="s">
        <v>5460</v>
      </c>
      <c r="B2145" t="s">
        <v>5461</v>
      </c>
      <c r="C2145" t="s">
        <v>2411</v>
      </c>
      <c r="D2145" t="s">
        <v>96</v>
      </c>
      <c r="E2145">
        <v>24.99</v>
      </c>
      <c r="F2145" t="s">
        <v>8118</v>
      </c>
      <c r="L2145" t="s">
        <v>14</v>
      </c>
      <c r="M2145" t="s">
        <v>97</v>
      </c>
      <c r="N2145">
        <v>0</v>
      </c>
      <c r="O2145">
        <v>0</v>
      </c>
      <c r="U2145">
        <v>0</v>
      </c>
      <c r="V2145">
        <v>0</v>
      </c>
    </row>
    <row r="2146" spans="1:22" x14ac:dyDescent="0.2">
      <c r="A2146" t="s">
        <v>5672</v>
      </c>
      <c r="B2146" t="s">
        <v>5673</v>
      </c>
      <c r="C2146" t="s">
        <v>2411</v>
      </c>
      <c r="D2146" t="s">
        <v>96</v>
      </c>
      <c r="E2146">
        <v>89.99</v>
      </c>
      <c r="F2146" t="s">
        <v>8118</v>
      </c>
      <c r="L2146" t="s">
        <v>14</v>
      </c>
      <c r="M2146" t="s">
        <v>97</v>
      </c>
      <c r="N2146">
        <v>0</v>
      </c>
      <c r="O2146">
        <v>0</v>
      </c>
      <c r="U2146">
        <v>0</v>
      </c>
      <c r="V2146">
        <v>0</v>
      </c>
    </row>
    <row r="2147" spans="1:22" x14ac:dyDescent="0.2">
      <c r="A2147" t="s">
        <v>5664</v>
      </c>
      <c r="B2147" t="s">
        <v>5665</v>
      </c>
      <c r="C2147" t="s">
        <v>2411</v>
      </c>
      <c r="D2147" t="s">
        <v>96</v>
      </c>
      <c r="E2147">
        <v>99.99</v>
      </c>
      <c r="F2147" t="s">
        <v>8118</v>
      </c>
      <c r="L2147" t="s">
        <v>14</v>
      </c>
      <c r="M2147" t="s">
        <v>97</v>
      </c>
      <c r="N2147">
        <v>0</v>
      </c>
      <c r="O2147">
        <v>0</v>
      </c>
      <c r="U2147">
        <v>0</v>
      </c>
      <c r="V2147">
        <v>0</v>
      </c>
    </row>
    <row r="2148" spans="1:22" x14ac:dyDescent="0.2">
      <c r="A2148" t="s">
        <v>7073</v>
      </c>
      <c r="B2148" t="s">
        <v>7074</v>
      </c>
      <c r="C2148" t="s">
        <v>2411</v>
      </c>
      <c r="D2148" t="s">
        <v>96</v>
      </c>
      <c r="E2148">
        <v>149.99</v>
      </c>
      <c r="F2148" t="s">
        <v>8118</v>
      </c>
      <c r="L2148" t="s">
        <v>14</v>
      </c>
      <c r="M2148" t="s">
        <v>97</v>
      </c>
      <c r="N2148">
        <v>0</v>
      </c>
      <c r="O2148">
        <v>0</v>
      </c>
      <c r="U2148">
        <v>0</v>
      </c>
      <c r="V2148">
        <v>0</v>
      </c>
    </row>
    <row r="2149" spans="1:22" x14ac:dyDescent="0.2">
      <c r="A2149" t="s">
        <v>7215</v>
      </c>
      <c r="B2149" t="s">
        <v>7217</v>
      </c>
      <c r="C2149" t="s">
        <v>2411</v>
      </c>
      <c r="D2149" t="s">
        <v>96</v>
      </c>
      <c r="E2149">
        <v>49.99</v>
      </c>
      <c r="F2149" t="s">
        <v>8118</v>
      </c>
      <c r="L2149" t="s">
        <v>10</v>
      </c>
      <c r="M2149">
        <v>479968</v>
      </c>
      <c r="N2149">
        <v>0</v>
      </c>
      <c r="O2149">
        <v>0</v>
      </c>
      <c r="P2149" t="s">
        <v>290</v>
      </c>
      <c r="T2149">
        <v>0</v>
      </c>
      <c r="U2149">
        <v>0</v>
      </c>
      <c r="V2149">
        <v>0</v>
      </c>
    </row>
    <row r="2150" spans="1:22" x14ac:dyDescent="0.2">
      <c r="A2150" t="s">
        <v>5696</v>
      </c>
      <c r="B2150" t="s">
        <v>5697</v>
      </c>
      <c r="C2150" t="s">
        <v>2411</v>
      </c>
      <c r="D2150" t="s">
        <v>96</v>
      </c>
      <c r="E2150">
        <v>69.989999999999995</v>
      </c>
      <c r="F2150" t="s">
        <v>8118</v>
      </c>
      <c r="L2150" t="s">
        <v>10</v>
      </c>
      <c r="M2150">
        <v>474375</v>
      </c>
      <c r="N2150">
        <v>0</v>
      </c>
      <c r="O2150">
        <v>0</v>
      </c>
      <c r="P2150" t="s">
        <v>290</v>
      </c>
      <c r="T2150">
        <v>0</v>
      </c>
      <c r="U2150">
        <v>0</v>
      </c>
      <c r="V2150">
        <v>0</v>
      </c>
    </row>
    <row r="2151" spans="1:22" x14ac:dyDescent="0.2">
      <c r="A2151" t="s">
        <v>7218</v>
      </c>
      <c r="B2151" t="s">
        <v>7220</v>
      </c>
      <c r="C2151" t="s">
        <v>2411</v>
      </c>
      <c r="D2151" t="s">
        <v>96</v>
      </c>
      <c r="E2151">
        <v>39.99</v>
      </c>
      <c r="F2151" t="s">
        <v>8118</v>
      </c>
      <c r="L2151" t="s">
        <v>10</v>
      </c>
      <c r="M2151">
        <v>437271</v>
      </c>
      <c r="N2151">
        <v>0</v>
      </c>
      <c r="O2151">
        <v>0</v>
      </c>
      <c r="P2151" t="s">
        <v>290</v>
      </c>
      <c r="T2151">
        <v>0</v>
      </c>
      <c r="U2151">
        <v>0</v>
      </c>
      <c r="V2151">
        <v>0</v>
      </c>
    </row>
    <row r="2152" spans="1:22" x14ac:dyDescent="0.2">
      <c r="A2152" t="s">
        <v>5501</v>
      </c>
      <c r="B2152" t="s">
        <v>5502</v>
      </c>
      <c r="C2152" t="s">
        <v>2411</v>
      </c>
      <c r="D2152" t="s">
        <v>96</v>
      </c>
      <c r="E2152">
        <v>49.99</v>
      </c>
      <c r="F2152" t="s">
        <v>8118</v>
      </c>
      <c r="L2152" t="s">
        <v>7032</v>
      </c>
      <c r="M2152" t="s">
        <v>97</v>
      </c>
      <c r="N2152">
        <v>0</v>
      </c>
      <c r="O2152">
        <v>0</v>
      </c>
      <c r="T2152">
        <v>0</v>
      </c>
      <c r="U2152">
        <v>0</v>
      </c>
      <c r="V2152">
        <v>0</v>
      </c>
    </row>
    <row r="2153" spans="1:22" x14ac:dyDescent="0.2">
      <c r="A2153" t="s">
        <v>5463</v>
      </c>
      <c r="B2153" t="s">
        <v>5464</v>
      </c>
      <c r="C2153" t="s">
        <v>2411</v>
      </c>
      <c r="D2153" t="s">
        <v>96</v>
      </c>
      <c r="E2153">
        <v>49.99</v>
      </c>
      <c r="F2153" t="s">
        <v>8118</v>
      </c>
      <c r="L2153" t="s">
        <v>7032</v>
      </c>
      <c r="M2153" t="s">
        <v>97</v>
      </c>
      <c r="N2153">
        <v>0</v>
      </c>
      <c r="O2153">
        <v>0</v>
      </c>
      <c r="T2153">
        <v>0</v>
      </c>
      <c r="U2153">
        <v>0</v>
      </c>
      <c r="V2153">
        <v>0</v>
      </c>
    </row>
    <row r="2154" spans="1:22" x14ac:dyDescent="0.2">
      <c r="A2154" t="s">
        <v>5702</v>
      </c>
      <c r="B2154" t="s">
        <v>5703</v>
      </c>
      <c r="C2154" t="s">
        <v>2411</v>
      </c>
      <c r="D2154" t="s">
        <v>96</v>
      </c>
      <c r="E2154">
        <v>19.989999999999998</v>
      </c>
      <c r="F2154" t="s">
        <v>8118</v>
      </c>
      <c r="L2154" t="s">
        <v>7032</v>
      </c>
      <c r="M2154" t="s">
        <v>97</v>
      </c>
      <c r="N2154">
        <v>0</v>
      </c>
      <c r="O2154">
        <v>0</v>
      </c>
      <c r="T2154">
        <v>0</v>
      </c>
      <c r="U2154">
        <v>0</v>
      </c>
      <c r="V2154">
        <v>0</v>
      </c>
    </row>
    <row r="2155" spans="1:22" x14ac:dyDescent="0.2">
      <c r="A2155" t="s">
        <v>5672</v>
      </c>
      <c r="B2155" t="s">
        <v>5673</v>
      </c>
      <c r="C2155" t="s">
        <v>2411</v>
      </c>
      <c r="D2155" t="s">
        <v>96</v>
      </c>
      <c r="E2155">
        <v>89.99</v>
      </c>
      <c r="F2155" t="s">
        <v>8118</v>
      </c>
      <c r="L2155" t="s">
        <v>7032</v>
      </c>
      <c r="M2155" t="s">
        <v>97</v>
      </c>
      <c r="N2155">
        <v>0</v>
      </c>
      <c r="O2155">
        <v>0</v>
      </c>
      <c r="T2155">
        <v>0</v>
      </c>
      <c r="U2155">
        <v>0</v>
      </c>
      <c r="V2155">
        <v>0</v>
      </c>
    </row>
    <row r="2156" spans="1:22" x14ac:dyDescent="0.2">
      <c r="A2156" t="s">
        <v>5449</v>
      </c>
      <c r="B2156" t="s">
        <v>5450</v>
      </c>
      <c r="C2156" t="s">
        <v>2411</v>
      </c>
      <c r="D2156" t="s">
        <v>96</v>
      </c>
      <c r="E2156">
        <v>59.99</v>
      </c>
      <c r="F2156" t="s">
        <v>8118</v>
      </c>
      <c r="L2156" t="s">
        <v>7032</v>
      </c>
      <c r="M2156" t="s">
        <v>97</v>
      </c>
      <c r="N2156">
        <v>0</v>
      </c>
      <c r="O2156">
        <v>0</v>
      </c>
      <c r="T2156">
        <v>0</v>
      </c>
      <c r="U2156">
        <v>0</v>
      </c>
      <c r="V2156">
        <v>0</v>
      </c>
    </row>
    <row r="2157" spans="1:22" x14ac:dyDescent="0.2">
      <c r="A2157" t="s">
        <v>5694</v>
      </c>
      <c r="B2157" t="s">
        <v>5695</v>
      </c>
      <c r="C2157" t="s">
        <v>2411</v>
      </c>
      <c r="D2157" t="s">
        <v>96</v>
      </c>
      <c r="E2157">
        <v>59.99</v>
      </c>
      <c r="F2157" t="s">
        <v>8118</v>
      </c>
      <c r="L2157" t="s">
        <v>7032</v>
      </c>
      <c r="M2157" t="s">
        <v>97</v>
      </c>
      <c r="N2157">
        <v>0</v>
      </c>
      <c r="O2157">
        <v>0</v>
      </c>
      <c r="T2157">
        <v>0</v>
      </c>
      <c r="U2157">
        <v>0</v>
      </c>
      <c r="V2157">
        <v>0</v>
      </c>
    </row>
    <row r="2158" spans="1:22" x14ac:dyDescent="0.2">
      <c r="A2158" t="s">
        <v>5692</v>
      </c>
      <c r="B2158" t="s">
        <v>5693</v>
      </c>
      <c r="C2158" t="s">
        <v>2411</v>
      </c>
      <c r="D2158" t="s">
        <v>96</v>
      </c>
      <c r="E2158">
        <v>59.99</v>
      </c>
      <c r="F2158" t="s">
        <v>8118</v>
      </c>
      <c r="L2158" t="s">
        <v>7032</v>
      </c>
      <c r="M2158" t="s">
        <v>97</v>
      </c>
      <c r="N2158">
        <v>0</v>
      </c>
      <c r="O2158">
        <v>0</v>
      </c>
      <c r="T2158">
        <v>0</v>
      </c>
      <c r="U2158">
        <v>0</v>
      </c>
      <c r="V2158">
        <v>0</v>
      </c>
    </row>
    <row r="2159" spans="1:22" x14ac:dyDescent="0.2">
      <c r="A2159" t="s">
        <v>2412</v>
      </c>
      <c r="B2159" t="s">
        <v>2413</v>
      </c>
      <c r="C2159" t="s">
        <v>2411</v>
      </c>
      <c r="D2159" t="s">
        <v>96</v>
      </c>
      <c r="E2159">
        <v>59.99</v>
      </c>
      <c r="F2159" t="s">
        <v>8118</v>
      </c>
      <c r="L2159" t="s">
        <v>7032</v>
      </c>
      <c r="M2159" t="s">
        <v>97</v>
      </c>
      <c r="N2159">
        <v>0</v>
      </c>
      <c r="O2159">
        <v>0</v>
      </c>
      <c r="T2159">
        <v>0</v>
      </c>
      <c r="U2159">
        <v>0</v>
      </c>
      <c r="V2159">
        <v>0</v>
      </c>
    </row>
    <row r="2160" spans="1:22" x14ac:dyDescent="0.2">
      <c r="A2160" t="s">
        <v>5467</v>
      </c>
      <c r="B2160" t="s">
        <v>5468</v>
      </c>
      <c r="C2160" t="s">
        <v>2411</v>
      </c>
      <c r="D2160" t="s">
        <v>96</v>
      </c>
      <c r="E2160">
        <v>34.99</v>
      </c>
      <c r="F2160" t="s">
        <v>8118</v>
      </c>
      <c r="L2160" t="s">
        <v>7032</v>
      </c>
      <c r="M2160" t="s">
        <v>97</v>
      </c>
      <c r="N2160">
        <v>0</v>
      </c>
      <c r="O2160">
        <v>0</v>
      </c>
      <c r="T2160">
        <v>0</v>
      </c>
      <c r="U2160">
        <v>0</v>
      </c>
      <c r="V2160">
        <v>0</v>
      </c>
    </row>
    <row r="2161" spans="1:22" x14ac:dyDescent="0.2">
      <c r="A2161" t="s">
        <v>5522</v>
      </c>
      <c r="B2161" t="s">
        <v>5523</v>
      </c>
      <c r="C2161" t="s">
        <v>2411</v>
      </c>
      <c r="D2161" t="s">
        <v>96</v>
      </c>
      <c r="E2161">
        <v>24.99</v>
      </c>
      <c r="F2161" t="s">
        <v>8118</v>
      </c>
      <c r="L2161" t="s">
        <v>7032</v>
      </c>
      <c r="M2161" t="s">
        <v>97</v>
      </c>
      <c r="N2161">
        <v>0</v>
      </c>
      <c r="O2161">
        <v>0</v>
      </c>
      <c r="T2161">
        <v>0</v>
      </c>
      <c r="U2161">
        <v>0</v>
      </c>
      <c r="V2161">
        <v>0</v>
      </c>
    </row>
    <row r="2162" spans="1:22" x14ac:dyDescent="0.2">
      <c r="A2162" t="s">
        <v>7660</v>
      </c>
      <c r="B2162" t="s">
        <v>7661</v>
      </c>
      <c r="C2162" t="s">
        <v>2411</v>
      </c>
      <c r="D2162" t="s">
        <v>96</v>
      </c>
      <c r="E2162">
        <v>59.99</v>
      </c>
      <c r="F2162" t="s">
        <v>8118</v>
      </c>
      <c r="L2162" t="s">
        <v>7032</v>
      </c>
      <c r="M2162" t="s">
        <v>97</v>
      </c>
      <c r="N2162">
        <v>0</v>
      </c>
      <c r="O2162">
        <v>0</v>
      </c>
      <c r="T2162">
        <v>0</v>
      </c>
      <c r="U2162">
        <v>0</v>
      </c>
      <c r="V2162">
        <v>5</v>
      </c>
    </row>
    <row r="2163" spans="1:22" x14ac:dyDescent="0.2">
      <c r="A2163" t="s">
        <v>5473</v>
      </c>
      <c r="B2163" t="s">
        <v>5474</v>
      </c>
      <c r="C2163" t="s">
        <v>2411</v>
      </c>
      <c r="D2163" t="s">
        <v>96</v>
      </c>
      <c r="E2163">
        <v>24.99</v>
      </c>
      <c r="F2163" t="s">
        <v>8118</v>
      </c>
      <c r="L2163" t="s">
        <v>7032</v>
      </c>
      <c r="M2163" t="s">
        <v>97</v>
      </c>
      <c r="N2163">
        <v>0</v>
      </c>
      <c r="O2163">
        <v>0</v>
      </c>
      <c r="T2163">
        <v>0</v>
      </c>
      <c r="U2163">
        <v>0</v>
      </c>
      <c r="V2163">
        <v>0</v>
      </c>
    </row>
    <row r="2164" spans="1:22" x14ac:dyDescent="0.2">
      <c r="A2164" t="s">
        <v>5451</v>
      </c>
      <c r="B2164" t="s">
        <v>5452</v>
      </c>
      <c r="C2164" t="s">
        <v>2411</v>
      </c>
      <c r="D2164" t="s">
        <v>96</v>
      </c>
      <c r="E2164">
        <v>24.99</v>
      </c>
      <c r="F2164" t="s">
        <v>8118</v>
      </c>
      <c r="L2164" t="s">
        <v>7032</v>
      </c>
      <c r="M2164" t="s">
        <v>97</v>
      </c>
      <c r="N2164">
        <v>0</v>
      </c>
      <c r="O2164">
        <v>0</v>
      </c>
      <c r="T2164">
        <v>0</v>
      </c>
      <c r="U2164">
        <v>0</v>
      </c>
      <c r="V2164">
        <v>5</v>
      </c>
    </row>
    <row r="2165" spans="1:22" x14ac:dyDescent="0.2">
      <c r="A2165" t="s">
        <v>5460</v>
      </c>
      <c r="B2165" t="s">
        <v>5461</v>
      </c>
      <c r="C2165" t="s">
        <v>2411</v>
      </c>
      <c r="D2165" t="s">
        <v>96</v>
      </c>
      <c r="E2165">
        <v>24.99</v>
      </c>
      <c r="F2165" t="s">
        <v>8118</v>
      </c>
      <c r="L2165" t="s">
        <v>7032</v>
      </c>
      <c r="M2165" t="s">
        <v>97</v>
      </c>
      <c r="N2165">
        <v>0</v>
      </c>
      <c r="O2165">
        <v>0</v>
      </c>
      <c r="T2165">
        <v>0</v>
      </c>
      <c r="U2165">
        <v>0</v>
      </c>
      <c r="V2165">
        <v>0</v>
      </c>
    </row>
    <row r="2166" spans="1:22" x14ac:dyDescent="0.2">
      <c r="A2166" t="s">
        <v>5454</v>
      </c>
      <c r="B2166" t="s">
        <v>5455</v>
      </c>
      <c r="C2166" t="s">
        <v>2411</v>
      </c>
      <c r="D2166" t="s">
        <v>96</v>
      </c>
      <c r="E2166">
        <v>39.99</v>
      </c>
      <c r="F2166" t="s">
        <v>8118</v>
      </c>
      <c r="L2166" t="s">
        <v>7032</v>
      </c>
      <c r="M2166" t="s">
        <v>97</v>
      </c>
      <c r="N2166">
        <v>0</v>
      </c>
      <c r="O2166">
        <v>0</v>
      </c>
      <c r="T2166">
        <v>0</v>
      </c>
      <c r="U2166">
        <v>0</v>
      </c>
      <c r="V2166">
        <v>0</v>
      </c>
    </row>
    <row r="2167" spans="1:22" x14ac:dyDescent="0.2">
      <c r="A2167" t="s">
        <v>5492</v>
      </c>
      <c r="B2167" t="s">
        <v>5493</v>
      </c>
      <c r="C2167" t="s">
        <v>2411</v>
      </c>
      <c r="D2167" t="s">
        <v>96</v>
      </c>
      <c r="E2167">
        <v>29.99</v>
      </c>
      <c r="F2167" t="s">
        <v>8118</v>
      </c>
      <c r="L2167" t="s">
        <v>7032</v>
      </c>
      <c r="M2167" t="s">
        <v>97</v>
      </c>
      <c r="N2167">
        <v>0</v>
      </c>
      <c r="O2167">
        <v>0</v>
      </c>
      <c r="T2167">
        <v>0</v>
      </c>
      <c r="U2167">
        <v>0</v>
      </c>
      <c r="V2167">
        <v>0</v>
      </c>
    </row>
    <row r="2168" spans="1:22" x14ac:dyDescent="0.2">
      <c r="A2168" t="s">
        <v>5457</v>
      </c>
      <c r="B2168" t="s">
        <v>5458</v>
      </c>
      <c r="C2168" t="s">
        <v>2411</v>
      </c>
      <c r="D2168" t="s">
        <v>96</v>
      </c>
      <c r="E2168">
        <v>59.99</v>
      </c>
      <c r="F2168" t="s">
        <v>8118</v>
      </c>
      <c r="L2168" t="s">
        <v>7032</v>
      </c>
      <c r="M2168" t="s">
        <v>97</v>
      </c>
      <c r="N2168">
        <v>0</v>
      </c>
      <c r="O2168">
        <v>0</v>
      </c>
      <c r="T2168">
        <v>0</v>
      </c>
      <c r="U2168">
        <v>0</v>
      </c>
      <c r="V2168">
        <v>3</v>
      </c>
    </row>
    <row r="2169" spans="1:22" x14ac:dyDescent="0.2">
      <c r="A2169" t="s">
        <v>5489</v>
      </c>
      <c r="B2169" t="s">
        <v>5490</v>
      </c>
      <c r="C2169" t="s">
        <v>2411</v>
      </c>
      <c r="D2169" t="s">
        <v>96</v>
      </c>
      <c r="E2169">
        <v>29.99</v>
      </c>
      <c r="F2169" t="s">
        <v>8118</v>
      </c>
      <c r="L2169" t="s">
        <v>7032</v>
      </c>
      <c r="M2169" t="s">
        <v>97</v>
      </c>
      <c r="N2169">
        <v>0</v>
      </c>
      <c r="O2169">
        <v>0</v>
      </c>
      <c r="T2169">
        <v>0</v>
      </c>
      <c r="U2169">
        <v>0</v>
      </c>
      <c r="V2169">
        <v>0</v>
      </c>
    </row>
    <row r="2170" spans="1:22" x14ac:dyDescent="0.2">
      <c r="A2170" t="s">
        <v>5504</v>
      </c>
      <c r="B2170" t="s">
        <v>5505</v>
      </c>
      <c r="C2170" t="s">
        <v>2411</v>
      </c>
      <c r="D2170" t="s">
        <v>96</v>
      </c>
      <c r="E2170">
        <v>49.99</v>
      </c>
      <c r="F2170" t="s">
        <v>8118</v>
      </c>
      <c r="L2170" t="s">
        <v>7032</v>
      </c>
      <c r="M2170" t="s">
        <v>97</v>
      </c>
      <c r="N2170">
        <v>0</v>
      </c>
      <c r="O2170">
        <v>0</v>
      </c>
      <c r="T2170">
        <v>0</v>
      </c>
      <c r="U2170">
        <v>0</v>
      </c>
      <c r="V2170">
        <v>0</v>
      </c>
    </row>
    <row r="2171" spans="1:22" x14ac:dyDescent="0.2">
      <c r="A2171" t="s">
        <v>7662</v>
      </c>
      <c r="B2171" t="s">
        <v>7663</v>
      </c>
      <c r="C2171" t="s">
        <v>2411</v>
      </c>
      <c r="D2171" t="s">
        <v>290</v>
      </c>
      <c r="E2171">
        <v>49.99</v>
      </c>
      <c r="F2171" t="s">
        <v>8118</v>
      </c>
      <c r="L2171" t="s">
        <v>7032</v>
      </c>
      <c r="M2171" t="s">
        <v>97</v>
      </c>
      <c r="N2171">
        <v>0</v>
      </c>
      <c r="O2171">
        <v>0</v>
      </c>
      <c r="T2171">
        <v>0</v>
      </c>
      <c r="U2171">
        <v>0</v>
      </c>
      <c r="V2171">
        <v>4</v>
      </c>
    </row>
    <row r="2172" spans="1:22" x14ac:dyDescent="0.2">
      <c r="A2172" t="s">
        <v>7073</v>
      </c>
      <c r="B2172" t="s">
        <v>7074</v>
      </c>
      <c r="C2172" t="s">
        <v>2411</v>
      </c>
      <c r="D2172" t="s">
        <v>96</v>
      </c>
      <c r="E2172">
        <v>149.99</v>
      </c>
      <c r="F2172" t="s">
        <v>8118</v>
      </c>
      <c r="L2172" t="s">
        <v>7032</v>
      </c>
      <c r="M2172" t="s">
        <v>97</v>
      </c>
      <c r="N2172">
        <v>0</v>
      </c>
      <c r="O2172">
        <v>0</v>
      </c>
      <c r="T2172">
        <v>0</v>
      </c>
      <c r="U2172">
        <v>0</v>
      </c>
      <c r="V2172">
        <v>0</v>
      </c>
    </row>
    <row r="2173" spans="1:22" x14ac:dyDescent="0.2">
      <c r="A2173" t="s">
        <v>5664</v>
      </c>
      <c r="B2173" t="s">
        <v>5665</v>
      </c>
      <c r="C2173" t="s">
        <v>2411</v>
      </c>
      <c r="D2173" t="s">
        <v>96</v>
      </c>
      <c r="E2173">
        <v>99.99</v>
      </c>
      <c r="F2173" t="s">
        <v>8118</v>
      </c>
      <c r="L2173" t="s">
        <v>7032</v>
      </c>
      <c r="M2173" t="s">
        <v>97</v>
      </c>
      <c r="N2173">
        <v>0</v>
      </c>
      <c r="O2173">
        <v>0</v>
      </c>
      <c r="T2173">
        <v>0</v>
      </c>
      <c r="U2173">
        <v>0</v>
      </c>
      <c r="V2173">
        <v>0</v>
      </c>
    </row>
    <row r="2174" spans="1:22" x14ac:dyDescent="0.2">
      <c r="A2174" t="s">
        <v>5705</v>
      </c>
      <c r="B2174" t="s">
        <v>5706</v>
      </c>
      <c r="C2174" t="s">
        <v>2411</v>
      </c>
      <c r="D2174" t="s">
        <v>96</v>
      </c>
      <c r="E2174">
        <v>19.989999999999998</v>
      </c>
      <c r="F2174" t="s">
        <v>8118</v>
      </c>
      <c r="L2174" t="s">
        <v>7032</v>
      </c>
      <c r="M2174" t="s">
        <v>97</v>
      </c>
      <c r="N2174">
        <v>0</v>
      </c>
      <c r="O2174">
        <v>0</v>
      </c>
      <c r="T2174">
        <v>0</v>
      </c>
      <c r="U2174">
        <v>0</v>
      </c>
      <c r="V2174">
        <v>0</v>
      </c>
    </row>
    <row r="2175" spans="1:22" x14ac:dyDescent="0.2">
      <c r="A2175" t="s">
        <v>5677</v>
      </c>
      <c r="B2175" t="s">
        <v>5678</v>
      </c>
      <c r="C2175" t="s">
        <v>2411</v>
      </c>
      <c r="D2175" t="s">
        <v>96</v>
      </c>
      <c r="E2175">
        <v>29.99</v>
      </c>
      <c r="F2175" t="s">
        <v>8118</v>
      </c>
      <c r="L2175" t="s">
        <v>7032</v>
      </c>
      <c r="M2175" t="s">
        <v>97</v>
      </c>
      <c r="N2175">
        <v>0</v>
      </c>
      <c r="O2175">
        <v>0</v>
      </c>
      <c r="T2175">
        <v>0</v>
      </c>
      <c r="U2175">
        <v>0</v>
      </c>
      <c r="V2175">
        <v>0</v>
      </c>
    </row>
    <row r="2176" spans="1:22" x14ac:dyDescent="0.2">
      <c r="A2176" t="s">
        <v>7658</v>
      </c>
      <c r="B2176" t="s">
        <v>7659</v>
      </c>
      <c r="C2176" t="s">
        <v>2411</v>
      </c>
      <c r="D2176" t="s">
        <v>96</v>
      </c>
      <c r="E2176">
        <v>7.99</v>
      </c>
      <c r="F2176" t="s">
        <v>8118</v>
      </c>
      <c r="L2176" t="s">
        <v>7032</v>
      </c>
      <c r="M2176" t="s">
        <v>97</v>
      </c>
      <c r="N2176">
        <v>0</v>
      </c>
      <c r="O2176">
        <v>0</v>
      </c>
      <c r="T2176">
        <v>0</v>
      </c>
      <c r="U2176">
        <v>0</v>
      </c>
      <c r="V2176">
        <v>0</v>
      </c>
    </row>
    <row r="2177" spans="1:22" x14ac:dyDescent="0.2">
      <c r="A2177" t="s">
        <v>5689</v>
      </c>
      <c r="B2177" t="s">
        <v>5690</v>
      </c>
      <c r="C2177" t="s">
        <v>2411</v>
      </c>
      <c r="D2177" t="s">
        <v>96</v>
      </c>
      <c r="E2177">
        <v>59.99</v>
      </c>
      <c r="F2177" t="s">
        <v>8118</v>
      </c>
      <c r="L2177" t="s">
        <v>7032</v>
      </c>
      <c r="M2177" t="s">
        <v>97</v>
      </c>
      <c r="N2177">
        <v>0</v>
      </c>
      <c r="O2177">
        <v>0</v>
      </c>
      <c r="T2177">
        <v>0</v>
      </c>
      <c r="U2177">
        <v>0</v>
      </c>
      <c r="V2177">
        <v>0</v>
      </c>
    </row>
    <row r="2178" spans="1:22" x14ac:dyDescent="0.2">
      <c r="A2178" t="s">
        <v>5516</v>
      </c>
      <c r="B2178" t="s">
        <v>5517</v>
      </c>
      <c r="C2178" t="s">
        <v>2411</v>
      </c>
      <c r="D2178" t="s">
        <v>96</v>
      </c>
      <c r="E2178">
        <v>29.99</v>
      </c>
      <c r="F2178" t="s">
        <v>8118</v>
      </c>
      <c r="L2178" t="s">
        <v>7032</v>
      </c>
      <c r="M2178" t="s">
        <v>97</v>
      </c>
      <c r="N2178">
        <v>0</v>
      </c>
      <c r="O2178">
        <v>0</v>
      </c>
      <c r="T2178">
        <v>0</v>
      </c>
      <c r="U2178">
        <v>0</v>
      </c>
      <c r="V2178">
        <v>0</v>
      </c>
    </row>
    <row r="2179" spans="1:22" x14ac:dyDescent="0.2">
      <c r="A2179" t="s">
        <v>5519</v>
      </c>
      <c r="B2179" t="s">
        <v>5520</v>
      </c>
      <c r="C2179" t="s">
        <v>2411</v>
      </c>
      <c r="D2179" t="s">
        <v>96</v>
      </c>
      <c r="E2179">
        <v>29.99</v>
      </c>
      <c r="F2179" t="s">
        <v>8118</v>
      </c>
      <c r="L2179" t="s">
        <v>7032</v>
      </c>
      <c r="M2179" t="s">
        <v>97</v>
      </c>
      <c r="N2179">
        <v>0</v>
      </c>
      <c r="O2179">
        <v>0</v>
      </c>
      <c r="T2179">
        <v>0</v>
      </c>
      <c r="U2179">
        <v>0</v>
      </c>
      <c r="V2179">
        <v>0</v>
      </c>
    </row>
    <row r="2180" spans="1:22" x14ac:dyDescent="0.2">
      <c r="A2180" t="s">
        <v>5661</v>
      </c>
      <c r="B2180" t="s">
        <v>5662</v>
      </c>
      <c r="C2180" t="s">
        <v>2411</v>
      </c>
      <c r="D2180" t="s">
        <v>290</v>
      </c>
      <c r="E2180">
        <v>99.99</v>
      </c>
      <c r="F2180" t="s">
        <v>8118</v>
      </c>
      <c r="L2180" t="s">
        <v>7032</v>
      </c>
      <c r="M2180" t="s">
        <v>97</v>
      </c>
      <c r="N2180">
        <v>0</v>
      </c>
      <c r="O2180">
        <v>0</v>
      </c>
      <c r="T2180">
        <v>0</v>
      </c>
      <c r="U2180">
        <v>0</v>
      </c>
      <c r="V2180">
        <v>29</v>
      </c>
    </row>
    <row r="2181" spans="1:22" x14ac:dyDescent="0.2">
      <c r="A2181" t="s">
        <v>5712</v>
      </c>
      <c r="B2181" t="s">
        <v>5713</v>
      </c>
      <c r="C2181" t="s">
        <v>2411</v>
      </c>
      <c r="D2181" t="s">
        <v>96</v>
      </c>
      <c r="E2181">
        <v>59.99</v>
      </c>
      <c r="F2181" t="s">
        <v>8118</v>
      </c>
      <c r="L2181" t="s">
        <v>7032</v>
      </c>
      <c r="M2181" t="s">
        <v>97</v>
      </c>
      <c r="N2181">
        <v>0</v>
      </c>
      <c r="O2181">
        <v>0</v>
      </c>
      <c r="T2181">
        <v>0</v>
      </c>
      <c r="U2181">
        <v>0</v>
      </c>
      <c r="V2181">
        <v>3</v>
      </c>
    </row>
    <row r="2182" spans="1:22" x14ac:dyDescent="0.2">
      <c r="A2182" t="s">
        <v>7078</v>
      </c>
      <c r="B2182" t="s">
        <v>7079</v>
      </c>
      <c r="C2182" t="s">
        <v>2411</v>
      </c>
      <c r="D2182" t="s">
        <v>96</v>
      </c>
      <c r="E2182">
        <v>59.99</v>
      </c>
      <c r="F2182" t="s">
        <v>8118</v>
      </c>
      <c r="L2182" t="s">
        <v>7032</v>
      </c>
      <c r="M2182" t="s">
        <v>97</v>
      </c>
      <c r="N2182">
        <v>0</v>
      </c>
      <c r="O2182">
        <v>0</v>
      </c>
      <c r="T2182">
        <v>0</v>
      </c>
      <c r="U2182">
        <v>0</v>
      </c>
      <c r="V2182">
        <v>0</v>
      </c>
    </row>
    <row r="2183" spans="1:22" x14ac:dyDescent="0.2">
      <c r="A2183" t="s">
        <v>5699</v>
      </c>
      <c r="B2183" t="s">
        <v>5700</v>
      </c>
      <c r="C2183" t="s">
        <v>2411</v>
      </c>
      <c r="D2183" t="s">
        <v>96</v>
      </c>
      <c r="E2183">
        <v>79.989999999999995</v>
      </c>
      <c r="F2183" t="s">
        <v>8118</v>
      </c>
      <c r="L2183" t="s">
        <v>7032</v>
      </c>
      <c r="M2183" t="s">
        <v>97</v>
      </c>
      <c r="N2183">
        <v>0</v>
      </c>
      <c r="O2183">
        <v>0</v>
      </c>
      <c r="T2183">
        <v>0</v>
      </c>
      <c r="U2183">
        <v>0</v>
      </c>
      <c r="V2183">
        <v>0</v>
      </c>
    </row>
    <row r="2184" spans="1:22" x14ac:dyDescent="0.2">
      <c r="A2184" t="s">
        <v>7218</v>
      </c>
      <c r="B2184" t="s">
        <v>7220</v>
      </c>
      <c r="C2184" t="s">
        <v>2411</v>
      </c>
      <c r="D2184" t="s">
        <v>96</v>
      </c>
      <c r="E2184">
        <v>39.99</v>
      </c>
      <c r="F2184" t="s">
        <v>8118</v>
      </c>
      <c r="L2184" t="s">
        <v>7032</v>
      </c>
      <c r="M2184" t="s">
        <v>97</v>
      </c>
      <c r="N2184">
        <v>0</v>
      </c>
      <c r="O2184">
        <v>0</v>
      </c>
      <c r="T2184">
        <v>0</v>
      </c>
      <c r="U2184">
        <v>0</v>
      </c>
      <c r="V2184">
        <v>0</v>
      </c>
    </row>
    <row r="2185" spans="1:22" x14ac:dyDescent="0.2">
      <c r="A2185" t="s">
        <v>7215</v>
      </c>
      <c r="B2185" t="s">
        <v>7217</v>
      </c>
      <c r="C2185" t="s">
        <v>2411</v>
      </c>
      <c r="D2185" t="s">
        <v>96</v>
      </c>
      <c r="E2185">
        <v>49.99</v>
      </c>
      <c r="F2185" t="s">
        <v>8118</v>
      </c>
      <c r="L2185" t="s">
        <v>7032</v>
      </c>
      <c r="M2185" t="s">
        <v>97</v>
      </c>
      <c r="N2185">
        <v>0</v>
      </c>
      <c r="O2185">
        <v>0</v>
      </c>
      <c r="T2185">
        <v>0</v>
      </c>
      <c r="U2185">
        <v>0</v>
      </c>
      <c r="V2185">
        <v>8</v>
      </c>
    </row>
    <row r="2186" spans="1:22" x14ac:dyDescent="0.2">
      <c r="A2186" t="s">
        <v>5696</v>
      </c>
      <c r="B2186" t="s">
        <v>5697</v>
      </c>
      <c r="C2186" t="s">
        <v>2411</v>
      </c>
      <c r="D2186" t="s">
        <v>96</v>
      </c>
      <c r="E2186">
        <v>69.989999999999995</v>
      </c>
      <c r="F2186" t="s">
        <v>8118</v>
      </c>
      <c r="L2186" t="s">
        <v>7032</v>
      </c>
      <c r="M2186" t="s">
        <v>97</v>
      </c>
      <c r="N2186">
        <v>0</v>
      </c>
      <c r="O2186">
        <v>0</v>
      </c>
      <c r="T2186">
        <v>0</v>
      </c>
      <c r="U2186">
        <v>0</v>
      </c>
      <c r="V2186">
        <v>4</v>
      </c>
    </row>
    <row r="2187" spans="1:22" x14ac:dyDescent="0.2">
      <c r="A2187" t="s">
        <v>3648</v>
      </c>
      <c r="B2187" t="s">
        <v>3649</v>
      </c>
      <c r="C2187" t="s">
        <v>2425</v>
      </c>
      <c r="D2187" t="s">
        <v>96</v>
      </c>
      <c r="E2187">
        <v>89.99</v>
      </c>
      <c r="F2187" t="s">
        <v>8118</v>
      </c>
      <c r="L2187" t="s">
        <v>11</v>
      </c>
      <c r="M2187" t="s">
        <v>3650</v>
      </c>
      <c r="N2187">
        <v>0</v>
      </c>
      <c r="O2187">
        <v>0</v>
      </c>
      <c r="T2187">
        <v>0</v>
      </c>
      <c r="U2187">
        <v>0</v>
      </c>
      <c r="V2187">
        <v>0</v>
      </c>
    </row>
    <row r="2188" spans="1:22" x14ac:dyDescent="0.2">
      <c r="A2188" t="s">
        <v>2429</v>
      </c>
      <c r="B2188" t="s">
        <v>2430</v>
      </c>
      <c r="C2188" t="s">
        <v>2425</v>
      </c>
      <c r="D2188" t="s">
        <v>290</v>
      </c>
      <c r="E2188">
        <v>149.99</v>
      </c>
      <c r="F2188" t="s">
        <v>8118</v>
      </c>
      <c r="L2188" t="s">
        <v>11</v>
      </c>
      <c r="M2188" t="s">
        <v>3642</v>
      </c>
      <c r="N2188">
        <v>0</v>
      </c>
      <c r="O2188">
        <v>0</v>
      </c>
      <c r="T2188">
        <v>0</v>
      </c>
      <c r="U2188">
        <v>0</v>
      </c>
      <c r="V2188">
        <v>0</v>
      </c>
    </row>
    <row r="2189" spans="1:22" x14ac:dyDescent="0.2">
      <c r="A2189" t="s">
        <v>3651</v>
      </c>
      <c r="B2189" t="s">
        <v>3652</v>
      </c>
      <c r="C2189" t="s">
        <v>2425</v>
      </c>
      <c r="D2189" t="s">
        <v>290</v>
      </c>
      <c r="E2189">
        <v>109.99</v>
      </c>
      <c r="F2189" t="s">
        <v>8118</v>
      </c>
      <c r="L2189" t="s">
        <v>11</v>
      </c>
      <c r="M2189" t="s">
        <v>3653</v>
      </c>
      <c r="N2189">
        <v>0</v>
      </c>
      <c r="O2189">
        <v>0</v>
      </c>
      <c r="T2189">
        <v>0</v>
      </c>
      <c r="U2189">
        <v>0</v>
      </c>
      <c r="V2189">
        <v>0</v>
      </c>
    </row>
    <row r="2190" spans="1:22" x14ac:dyDescent="0.2">
      <c r="A2190" t="s">
        <v>3632</v>
      </c>
      <c r="B2190" t="s">
        <v>2430</v>
      </c>
      <c r="C2190" t="s">
        <v>2425</v>
      </c>
      <c r="D2190" t="s">
        <v>96</v>
      </c>
      <c r="E2190">
        <v>149.99</v>
      </c>
      <c r="F2190" t="s">
        <v>8118</v>
      </c>
      <c r="L2190" t="s">
        <v>11</v>
      </c>
      <c r="M2190" t="s">
        <v>3633</v>
      </c>
      <c r="N2190">
        <v>0</v>
      </c>
      <c r="O2190">
        <v>0</v>
      </c>
      <c r="T2190">
        <v>0</v>
      </c>
      <c r="U2190">
        <v>0</v>
      </c>
      <c r="V2190">
        <v>0</v>
      </c>
    </row>
    <row r="2191" spans="1:22" x14ac:dyDescent="0.2">
      <c r="A2191" t="s">
        <v>3669</v>
      </c>
      <c r="B2191" t="s">
        <v>3670</v>
      </c>
      <c r="C2191" t="s">
        <v>2425</v>
      </c>
      <c r="D2191" t="s">
        <v>96</v>
      </c>
      <c r="E2191">
        <v>89.99</v>
      </c>
      <c r="F2191" t="s">
        <v>8118</v>
      </c>
      <c r="L2191" t="s">
        <v>11</v>
      </c>
      <c r="M2191" t="s">
        <v>3671</v>
      </c>
      <c r="N2191">
        <v>0</v>
      </c>
      <c r="O2191">
        <v>0</v>
      </c>
      <c r="T2191">
        <v>0</v>
      </c>
      <c r="U2191">
        <v>0</v>
      </c>
      <c r="V2191">
        <v>0</v>
      </c>
    </row>
    <row r="2192" spans="1:22" x14ac:dyDescent="0.2">
      <c r="A2192" t="s">
        <v>3654</v>
      </c>
      <c r="B2192" t="s">
        <v>3655</v>
      </c>
      <c r="C2192" t="s">
        <v>2425</v>
      </c>
      <c r="D2192" t="s">
        <v>96</v>
      </c>
      <c r="E2192">
        <v>89.99</v>
      </c>
      <c r="F2192" t="s">
        <v>8118</v>
      </c>
      <c r="L2192" t="s">
        <v>11</v>
      </c>
      <c r="M2192" t="s">
        <v>3656</v>
      </c>
      <c r="N2192">
        <v>0</v>
      </c>
      <c r="O2192">
        <v>0</v>
      </c>
      <c r="T2192">
        <v>0</v>
      </c>
      <c r="U2192">
        <v>0</v>
      </c>
      <c r="V2192">
        <v>0</v>
      </c>
    </row>
    <row r="2193" spans="1:22" x14ac:dyDescent="0.2">
      <c r="A2193" t="s">
        <v>3630</v>
      </c>
      <c r="B2193" t="s">
        <v>2432</v>
      </c>
      <c r="C2193" t="s">
        <v>2425</v>
      </c>
      <c r="D2193" t="s">
        <v>96</v>
      </c>
      <c r="E2193">
        <v>179.99</v>
      </c>
      <c r="F2193" t="s">
        <v>8118</v>
      </c>
      <c r="L2193" t="s">
        <v>11</v>
      </c>
      <c r="M2193" t="s">
        <v>3631</v>
      </c>
      <c r="N2193">
        <v>0</v>
      </c>
      <c r="O2193">
        <v>0</v>
      </c>
      <c r="T2193">
        <v>0</v>
      </c>
      <c r="U2193">
        <v>0</v>
      </c>
      <c r="V2193">
        <v>0</v>
      </c>
    </row>
    <row r="2194" spans="1:22" x14ac:dyDescent="0.2">
      <c r="A2194" t="s">
        <v>2431</v>
      </c>
      <c r="B2194" t="s">
        <v>2432</v>
      </c>
      <c r="C2194" t="s">
        <v>2425</v>
      </c>
      <c r="D2194" t="s">
        <v>290</v>
      </c>
      <c r="E2194">
        <v>179.99</v>
      </c>
      <c r="F2194" t="s">
        <v>8118</v>
      </c>
      <c r="L2194" t="s">
        <v>11</v>
      </c>
      <c r="M2194" t="s">
        <v>3639</v>
      </c>
      <c r="N2194">
        <v>0</v>
      </c>
      <c r="O2194">
        <v>0</v>
      </c>
      <c r="T2194">
        <v>0</v>
      </c>
      <c r="U2194">
        <v>0</v>
      </c>
      <c r="V2194">
        <v>0</v>
      </c>
    </row>
    <row r="2195" spans="1:22" x14ac:dyDescent="0.2">
      <c r="A2195" t="s">
        <v>3634</v>
      </c>
      <c r="B2195" t="s">
        <v>3635</v>
      </c>
      <c r="C2195" t="s">
        <v>2425</v>
      </c>
      <c r="D2195" t="s">
        <v>96</v>
      </c>
      <c r="E2195">
        <v>149.99</v>
      </c>
      <c r="F2195" t="s">
        <v>8118</v>
      </c>
      <c r="L2195" t="s">
        <v>11</v>
      </c>
      <c r="M2195" t="s">
        <v>3636</v>
      </c>
      <c r="N2195">
        <v>0</v>
      </c>
      <c r="O2195">
        <v>0</v>
      </c>
      <c r="T2195">
        <v>0</v>
      </c>
      <c r="U2195">
        <v>0</v>
      </c>
      <c r="V2195">
        <v>0</v>
      </c>
    </row>
    <row r="2196" spans="1:22" x14ac:dyDescent="0.2">
      <c r="A2196" t="s">
        <v>3690</v>
      </c>
      <c r="B2196" t="s">
        <v>3691</v>
      </c>
      <c r="C2196" t="s">
        <v>2425</v>
      </c>
      <c r="D2196" t="s">
        <v>96</v>
      </c>
      <c r="E2196">
        <v>69.989999999999995</v>
      </c>
      <c r="F2196" t="s">
        <v>8118</v>
      </c>
      <c r="L2196" t="s">
        <v>11</v>
      </c>
      <c r="M2196" t="s">
        <v>3692</v>
      </c>
      <c r="N2196">
        <v>0</v>
      </c>
      <c r="O2196">
        <v>0</v>
      </c>
      <c r="T2196">
        <v>0</v>
      </c>
      <c r="U2196">
        <v>0</v>
      </c>
      <c r="V2196">
        <v>0</v>
      </c>
    </row>
    <row r="2197" spans="1:22" x14ac:dyDescent="0.2">
      <c r="A2197" t="s">
        <v>3672</v>
      </c>
      <c r="B2197" t="s">
        <v>3673</v>
      </c>
      <c r="C2197" t="s">
        <v>2425</v>
      </c>
      <c r="D2197" t="s">
        <v>96</v>
      </c>
      <c r="E2197">
        <v>99.99</v>
      </c>
      <c r="F2197" t="s">
        <v>8118</v>
      </c>
      <c r="L2197" t="s">
        <v>11</v>
      </c>
      <c r="M2197" t="s">
        <v>3674</v>
      </c>
      <c r="N2197">
        <v>0</v>
      </c>
      <c r="O2197">
        <v>0</v>
      </c>
      <c r="T2197">
        <v>0</v>
      </c>
      <c r="U2197">
        <v>0</v>
      </c>
      <c r="V2197">
        <v>0</v>
      </c>
    </row>
    <row r="2198" spans="1:22" x14ac:dyDescent="0.2">
      <c r="A2198" t="s">
        <v>3695</v>
      </c>
      <c r="B2198" t="s">
        <v>3696</v>
      </c>
      <c r="C2198" t="s">
        <v>2425</v>
      </c>
      <c r="D2198" t="s">
        <v>96</v>
      </c>
      <c r="E2198">
        <v>69.989999999999995</v>
      </c>
      <c r="F2198" t="s">
        <v>8118</v>
      </c>
      <c r="L2198" t="s">
        <v>11</v>
      </c>
      <c r="M2198" t="s">
        <v>3697</v>
      </c>
      <c r="N2198">
        <v>0</v>
      </c>
      <c r="O2198">
        <v>0</v>
      </c>
      <c r="T2198">
        <v>0</v>
      </c>
      <c r="U2198">
        <v>0</v>
      </c>
      <c r="V2198">
        <v>0</v>
      </c>
    </row>
    <row r="2199" spans="1:22" x14ac:dyDescent="0.2">
      <c r="A2199" t="s">
        <v>3662</v>
      </c>
      <c r="B2199" t="s">
        <v>3663</v>
      </c>
      <c r="C2199" t="s">
        <v>2425</v>
      </c>
      <c r="D2199" t="s">
        <v>96</v>
      </c>
      <c r="E2199">
        <v>49.99</v>
      </c>
      <c r="F2199" t="s">
        <v>8118</v>
      </c>
      <c r="L2199" t="s">
        <v>11</v>
      </c>
      <c r="M2199" t="s">
        <v>3664</v>
      </c>
      <c r="N2199">
        <v>0</v>
      </c>
      <c r="O2199">
        <v>0</v>
      </c>
      <c r="T2199">
        <v>0</v>
      </c>
      <c r="U2199">
        <v>0</v>
      </c>
      <c r="V2199">
        <v>0</v>
      </c>
    </row>
    <row r="2200" spans="1:22" x14ac:dyDescent="0.2">
      <c r="A2200" t="s">
        <v>3659</v>
      </c>
      <c r="B2200" t="s">
        <v>3660</v>
      </c>
      <c r="C2200" t="s">
        <v>2425</v>
      </c>
      <c r="D2200" t="s">
        <v>96</v>
      </c>
      <c r="E2200">
        <v>49.99</v>
      </c>
      <c r="F2200" t="s">
        <v>8118</v>
      </c>
      <c r="L2200" t="s">
        <v>11</v>
      </c>
      <c r="M2200" t="s">
        <v>3661</v>
      </c>
      <c r="N2200">
        <v>0</v>
      </c>
      <c r="O2200">
        <v>0</v>
      </c>
      <c r="T2200">
        <v>0</v>
      </c>
      <c r="U2200">
        <v>0</v>
      </c>
      <c r="V2200">
        <v>0</v>
      </c>
    </row>
    <row r="2201" spans="1:22" x14ac:dyDescent="0.2">
      <c r="A2201" t="s">
        <v>3665</v>
      </c>
      <c r="B2201" t="s">
        <v>3666</v>
      </c>
      <c r="C2201" t="s">
        <v>2425</v>
      </c>
      <c r="D2201" t="s">
        <v>290</v>
      </c>
      <c r="E2201">
        <v>39.99</v>
      </c>
      <c r="F2201" t="s">
        <v>8118</v>
      </c>
      <c r="L2201" t="s">
        <v>11</v>
      </c>
      <c r="M2201" t="s">
        <v>3667</v>
      </c>
      <c r="N2201">
        <v>0</v>
      </c>
      <c r="O2201">
        <v>0</v>
      </c>
      <c r="T2201">
        <v>0</v>
      </c>
      <c r="U2201">
        <v>0</v>
      </c>
      <c r="V2201">
        <v>0</v>
      </c>
    </row>
    <row r="2202" spans="1:22" x14ac:dyDescent="0.2">
      <c r="A2202" t="s">
        <v>3681</v>
      </c>
      <c r="B2202" t="s">
        <v>3682</v>
      </c>
      <c r="C2202" t="s">
        <v>2425</v>
      </c>
      <c r="D2202" t="s">
        <v>96</v>
      </c>
      <c r="E2202">
        <v>99.99</v>
      </c>
      <c r="F2202" t="s">
        <v>8118</v>
      </c>
      <c r="L2202" t="s">
        <v>8125</v>
      </c>
      <c r="M2202" t="s">
        <v>97</v>
      </c>
      <c r="N2202">
        <v>0</v>
      </c>
      <c r="O2202">
        <v>0</v>
      </c>
      <c r="T2202">
        <v>0</v>
      </c>
      <c r="V2202">
        <v>0</v>
      </c>
    </row>
    <row r="2203" spans="1:22" x14ac:dyDescent="0.2">
      <c r="A2203" t="s">
        <v>2436</v>
      </c>
      <c r="B2203" t="s">
        <v>2437</v>
      </c>
      <c r="C2203" t="s">
        <v>2425</v>
      </c>
      <c r="D2203" t="s">
        <v>290</v>
      </c>
      <c r="E2203">
        <v>159.99</v>
      </c>
      <c r="F2203" t="s">
        <v>8118</v>
      </c>
      <c r="G2203">
        <v>1</v>
      </c>
      <c r="I2203">
        <v>1</v>
      </c>
      <c r="L2203" t="s">
        <v>8125</v>
      </c>
      <c r="M2203" t="s">
        <v>97</v>
      </c>
      <c r="N2203">
        <v>4.666666666666667</v>
      </c>
      <c r="O2203">
        <v>0.21428571428571427</v>
      </c>
      <c r="T2203">
        <v>4.5</v>
      </c>
      <c r="V2203">
        <v>21</v>
      </c>
    </row>
    <row r="2204" spans="1:22" x14ac:dyDescent="0.2">
      <c r="A2204" t="s">
        <v>2431</v>
      </c>
      <c r="B2204" t="s">
        <v>2432</v>
      </c>
      <c r="C2204" t="s">
        <v>2425</v>
      </c>
      <c r="D2204" t="s">
        <v>290</v>
      </c>
      <c r="E2204">
        <v>179.99</v>
      </c>
      <c r="F2204" t="s">
        <v>8118</v>
      </c>
      <c r="L2204" t="s">
        <v>8125</v>
      </c>
      <c r="M2204" t="s">
        <v>97</v>
      </c>
      <c r="N2204">
        <v>3.4499999999999997</v>
      </c>
      <c r="O2204">
        <v>0.28985507246376813</v>
      </c>
      <c r="T2204">
        <v>6.666666666666667</v>
      </c>
      <c r="V2204">
        <v>23</v>
      </c>
    </row>
    <row r="2205" spans="1:22" x14ac:dyDescent="0.2">
      <c r="A2205" t="s">
        <v>3677</v>
      </c>
      <c r="B2205" t="s">
        <v>3678</v>
      </c>
      <c r="C2205" t="s">
        <v>2425</v>
      </c>
      <c r="D2205" t="s">
        <v>96</v>
      </c>
      <c r="E2205">
        <v>99.99</v>
      </c>
      <c r="F2205" t="s">
        <v>8118</v>
      </c>
      <c r="L2205" t="s">
        <v>8125</v>
      </c>
      <c r="M2205" t="s">
        <v>97</v>
      </c>
      <c r="N2205">
        <v>0</v>
      </c>
      <c r="O2205">
        <v>0</v>
      </c>
      <c r="T2205">
        <v>0</v>
      </c>
      <c r="V2205">
        <v>1</v>
      </c>
    </row>
    <row r="2206" spans="1:22" x14ac:dyDescent="0.2">
      <c r="A2206" t="s">
        <v>2429</v>
      </c>
      <c r="B2206" t="s">
        <v>2430</v>
      </c>
      <c r="C2206" t="s">
        <v>2425</v>
      </c>
      <c r="D2206" t="s">
        <v>290</v>
      </c>
      <c r="E2206">
        <v>149.99</v>
      </c>
      <c r="F2206" t="s">
        <v>8118</v>
      </c>
      <c r="L2206" t="s">
        <v>8125</v>
      </c>
      <c r="M2206" t="s">
        <v>97</v>
      </c>
      <c r="N2206">
        <v>7.4482758620689644</v>
      </c>
      <c r="O2206">
        <v>0.13425925925925927</v>
      </c>
      <c r="T2206">
        <v>7.25</v>
      </c>
      <c r="V2206">
        <v>54</v>
      </c>
    </row>
    <row r="2207" spans="1:22" x14ac:dyDescent="0.2">
      <c r="A2207" t="s">
        <v>2426</v>
      </c>
      <c r="B2207" t="s">
        <v>2427</v>
      </c>
      <c r="C2207" t="s">
        <v>2425</v>
      </c>
      <c r="D2207" t="s">
        <v>290</v>
      </c>
      <c r="E2207">
        <v>179.99</v>
      </c>
      <c r="F2207" t="s">
        <v>8118</v>
      </c>
      <c r="L2207" t="s">
        <v>8125</v>
      </c>
      <c r="M2207" t="s">
        <v>97</v>
      </c>
      <c r="N2207">
        <v>4.4262295081967213</v>
      </c>
      <c r="O2207">
        <v>0.22592592592592592</v>
      </c>
      <c r="T2207">
        <v>10.166666666666666</v>
      </c>
      <c r="V2207">
        <v>45</v>
      </c>
    </row>
    <row r="2208" spans="1:22" x14ac:dyDescent="0.2">
      <c r="A2208" t="s">
        <v>3672</v>
      </c>
      <c r="B2208" t="s">
        <v>3673</v>
      </c>
      <c r="C2208" t="s">
        <v>2425</v>
      </c>
      <c r="D2208" t="s">
        <v>96</v>
      </c>
      <c r="E2208">
        <v>99.99</v>
      </c>
      <c r="F2208" t="s">
        <v>8118</v>
      </c>
      <c r="L2208" t="s">
        <v>8125</v>
      </c>
      <c r="M2208" t="s">
        <v>97</v>
      </c>
      <c r="N2208">
        <v>0</v>
      </c>
      <c r="O2208">
        <v>0</v>
      </c>
      <c r="T2208">
        <v>0</v>
      </c>
      <c r="V2208">
        <v>2</v>
      </c>
    </row>
    <row r="2209" spans="1:22" x14ac:dyDescent="0.2">
      <c r="A2209" t="s">
        <v>3669</v>
      </c>
      <c r="B2209" t="s">
        <v>3670</v>
      </c>
      <c r="C2209" t="s">
        <v>2425</v>
      </c>
      <c r="D2209" t="s">
        <v>96</v>
      </c>
      <c r="E2209">
        <v>89.99</v>
      </c>
      <c r="F2209" t="s">
        <v>8118</v>
      </c>
      <c r="L2209" t="s">
        <v>8125</v>
      </c>
      <c r="M2209" t="s">
        <v>97</v>
      </c>
      <c r="N2209">
        <v>0</v>
      </c>
      <c r="O2209">
        <v>0</v>
      </c>
      <c r="T2209">
        <v>0</v>
      </c>
      <c r="V2209">
        <v>0</v>
      </c>
    </row>
    <row r="2210" spans="1:22" x14ac:dyDescent="0.2">
      <c r="A2210" t="s">
        <v>2438</v>
      </c>
      <c r="B2210" t="s">
        <v>2439</v>
      </c>
      <c r="C2210" t="s">
        <v>2425</v>
      </c>
      <c r="D2210" t="s">
        <v>290</v>
      </c>
      <c r="E2210">
        <v>99.99</v>
      </c>
      <c r="F2210" t="s">
        <v>8118</v>
      </c>
      <c r="L2210" t="s">
        <v>8125</v>
      </c>
      <c r="M2210" t="s">
        <v>97</v>
      </c>
      <c r="N2210">
        <v>3.5625</v>
      </c>
      <c r="O2210">
        <v>0.2807017543859649</v>
      </c>
      <c r="T2210">
        <v>10.666666666666666</v>
      </c>
      <c r="V2210">
        <v>38</v>
      </c>
    </row>
    <row r="2211" spans="1:22" x14ac:dyDescent="0.2">
      <c r="A2211" t="s">
        <v>2433</v>
      </c>
      <c r="B2211" t="s">
        <v>2434</v>
      </c>
      <c r="C2211" t="s">
        <v>2425</v>
      </c>
      <c r="D2211" t="s">
        <v>290</v>
      </c>
      <c r="E2211">
        <v>69.989999999999995</v>
      </c>
      <c r="F2211" t="s">
        <v>8118</v>
      </c>
      <c r="G2211">
        <v>30</v>
      </c>
      <c r="I2211">
        <v>30</v>
      </c>
      <c r="L2211" t="s">
        <v>8125</v>
      </c>
      <c r="M2211" t="s">
        <v>97</v>
      </c>
      <c r="N2211">
        <v>9.6774193548387094E-2</v>
      </c>
      <c r="O2211">
        <v>10.333333333333334</v>
      </c>
      <c r="T2211">
        <v>10.333333333333334</v>
      </c>
      <c r="V2211">
        <v>1</v>
      </c>
    </row>
    <row r="2212" spans="1:22" x14ac:dyDescent="0.2">
      <c r="A2212" t="s">
        <v>3684</v>
      </c>
      <c r="B2212" t="s">
        <v>3685</v>
      </c>
      <c r="C2212" t="s">
        <v>2425</v>
      </c>
      <c r="D2212" t="s">
        <v>290</v>
      </c>
      <c r="E2212">
        <v>99.99</v>
      </c>
      <c r="F2212" t="s">
        <v>8118</v>
      </c>
      <c r="G2212">
        <v>21</v>
      </c>
      <c r="I2212">
        <v>21</v>
      </c>
      <c r="L2212" t="s">
        <v>8125</v>
      </c>
      <c r="M2212" t="s">
        <v>97</v>
      </c>
      <c r="N2212">
        <v>0</v>
      </c>
      <c r="O2212">
        <v>0</v>
      </c>
      <c r="T2212">
        <v>0</v>
      </c>
      <c r="V2212">
        <v>0</v>
      </c>
    </row>
    <row r="2213" spans="1:22" x14ac:dyDescent="0.2">
      <c r="A2213" t="s">
        <v>3687</v>
      </c>
      <c r="B2213" t="s">
        <v>3688</v>
      </c>
      <c r="C2213" t="s">
        <v>2425</v>
      </c>
      <c r="D2213" t="s">
        <v>96</v>
      </c>
      <c r="E2213">
        <v>99.99</v>
      </c>
      <c r="F2213" t="s">
        <v>8118</v>
      </c>
      <c r="L2213" t="s">
        <v>8125</v>
      </c>
      <c r="M2213" t="s">
        <v>97</v>
      </c>
      <c r="N2213">
        <v>0</v>
      </c>
      <c r="O2213">
        <v>0</v>
      </c>
      <c r="T2213">
        <v>0</v>
      </c>
      <c r="V2213">
        <v>0</v>
      </c>
    </row>
    <row r="2214" spans="1:22" x14ac:dyDescent="0.2">
      <c r="A2214" t="s">
        <v>3659</v>
      </c>
      <c r="B2214" t="s">
        <v>3660</v>
      </c>
      <c r="C2214" t="s">
        <v>2425</v>
      </c>
      <c r="D2214" t="s">
        <v>96</v>
      </c>
      <c r="E2214">
        <v>49.99</v>
      </c>
      <c r="F2214" t="s">
        <v>8118</v>
      </c>
      <c r="L2214" t="s">
        <v>8125</v>
      </c>
      <c r="M2214" t="s">
        <v>97</v>
      </c>
      <c r="N2214">
        <v>0</v>
      </c>
      <c r="O2214">
        <v>0</v>
      </c>
      <c r="T2214">
        <v>0</v>
      </c>
      <c r="V2214">
        <v>2</v>
      </c>
    </row>
    <row r="2215" spans="1:22" x14ac:dyDescent="0.2">
      <c r="A2215" t="s">
        <v>2443</v>
      </c>
      <c r="B2215" t="s">
        <v>2444</v>
      </c>
      <c r="C2215" t="s">
        <v>2425</v>
      </c>
      <c r="D2215" t="s">
        <v>290</v>
      </c>
      <c r="E2215">
        <v>129.99</v>
      </c>
      <c r="F2215" t="s">
        <v>8118</v>
      </c>
      <c r="L2215" t="s">
        <v>8125</v>
      </c>
      <c r="M2215" t="s">
        <v>97</v>
      </c>
      <c r="N2215">
        <v>27.36</v>
      </c>
      <c r="O2215">
        <v>3.6549707602339186E-2</v>
      </c>
      <c r="T2215">
        <v>2.0833333333333335</v>
      </c>
      <c r="V2215">
        <v>57</v>
      </c>
    </row>
    <row r="2216" spans="1:22" x14ac:dyDescent="0.2">
      <c r="A2216" t="s">
        <v>2438</v>
      </c>
      <c r="B2216" t="s">
        <v>2439</v>
      </c>
      <c r="C2216" t="s">
        <v>2425</v>
      </c>
      <c r="D2216" t="s">
        <v>290</v>
      </c>
      <c r="E2216">
        <v>99.99</v>
      </c>
      <c r="F2216" t="s">
        <v>8118</v>
      </c>
      <c r="L2216" t="s">
        <v>14</v>
      </c>
      <c r="M2216" t="s">
        <v>97</v>
      </c>
      <c r="N2216">
        <v>24</v>
      </c>
      <c r="O2216">
        <v>4.1666666666666664E-2</v>
      </c>
      <c r="T2216">
        <v>8.3333333333333329E-2</v>
      </c>
      <c r="U2216">
        <v>0</v>
      </c>
      <c r="V2216">
        <v>2</v>
      </c>
    </row>
    <row r="2217" spans="1:22" x14ac:dyDescent="0.2">
      <c r="A2217" t="s">
        <v>3654</v>
      </c>
      <c r="B2217" t="s">
        <v>3655</v>
      </c>
      <c r="C2217" t="s">
        <v>2425</v>
      </c>
      <c r="D2217" t="s">
        <v>96</v>
      </c>
      <c r="E2217">
        <v>89.99</v>
      </c>
      <c r="F2217" t="s">
        <v>8118</v>
      </c>
      <c r="L2217" t="s">
        <v>14</v>
      </c>
      <c r="M2217" t="s">
        <v>97</v>
      </c>
      <c r="N2217">
        <v>0</v>
      </c>
      <c r="O2217">
        <v>0</v>
      </c>
      <c r="T2217">
        <v>0</v>
      </c>
      <c r="U2217">
        <v>0</v>
      </c>
      <c r="V2217">
        <v>2</v>
      </c>
    </row>
    <row r="2218" spans="1:22" x14ac:dyDescent="0.2">
      <c r="A2218" t="s">
        <v>3672</v>
      </c>
      <c r="B2218" t="s">
        <v>3673</v>
      </c>
      <c r="C2218" t="s">
        <v>2425</v>
      </c>
      <c r="D2218" t="s">
        <v>96</v>
      </c>
      <c r="E2218">
        <v>99.99</v>
      </c>
      <c r="F2218" t="s">
        <v>8118</v>
      </c>
      <c r="L2218" t="s">
        <v>14</v>
      </c>
      <c r="M2218" t="s">
        <v>97</v>
      </c>
      <c r="N2218">
        <v>44</v>
      </c>
      <c r="O2218">
        <v>2.2727272727272728E-2</v>
      </c>
      <c r="T2218">
        <v>0.25</v>
      </c>
      <c r="U2218">
        <v>0</v>
      </c>
      <c r="V2218">
        <v>11</v>
      </c>
    </row>
    <row r="2219" spans="1:22" x14ac:dyDescent="0.2">
      <c r="A2219" t="s">
        <v>2436</v>
      </c>
      <c r="B2219" t="s">
        <v>2437</v>
      </c>
      <c r="C2219" t="s">
        <v>2425</v>
      </c>
      <c r="D2219" t="s">
        <v>290</v>
      </c>
      <c r="E2219">
        <v>159.99</v>
      </c>
      <c r="F2219" t="s">
        <v>8118</v>
      </c>
      <c r="G2219">
        <v>1</v>
      </c>
      <c r="I2219">
        <v>1</v>
      </c>
      <c r="L2219" t="s">
        <v>14</v>
      </c>
      <c r="M2219" t="s">
        <v>97</v>
      </c>
      <c r="N2219">
        <v>72</v>
      </c>
      <c r="O2219">
        <v>1.3888888888888888E-2</v>
      </c>
      <c r="T2219">
        <v>0.16666666666666666</v>
      </c>
      <c r="U2219">
        <v>0</v>
      </c>
      <c r="V2219">
        <v>12</v>
      </c>
    </row>
    <row r="2220" spans="1:22" x14ac:dyDescent="0.2">
      <c r="A2220" t="s">
        <v>3634</v>
      </c>
      <c r="B2220" t="s">
        <v>3635</v>
      </c>
      <c r="C2220" t="s">
        <v>2425</v>
      </c>
      <c r="D2220" t="s">
        <v>96</v>
      </c>
      <c r="E2220">
        <v>149.99</v>
      </c>
      <c r="F2220" t="s">
        <v>8118</v>
      </c>
      <c r="L2220" t="s">
        <v>14</v>
      </c>
      <c r="M2220" t="s">
        <v>97</v>
      </c>
      <c r="N2220">
        <v>0</v>
      </c>
      <c r="O2220">
        <v>0</v>
      </c>
      <c r="U2220">
        <v>0</v>
      </c>
      <c r="V2220">
        <v>0</v>
      </c>
    </row>
    <row r="2221" spans="1:22" x14ac:dyDescent="0.2">
      <c r="A2221" t="s">
        <v>3684</v>
      </c>
      <c r="B2221" t="s">
        <v>3685</v>
      </c>
      <c r="C2221" t="s">
        <v>2425</v>
      </c>
      <c r="D2221" t="s">
        <v>290</v>
      </c>
      <c r="E2221">
        <v>99.99</v>
      </c>
      <c r="F2221" t="s">
        <v>8118</v>
      </c>
      <c r="G2221">
        <v>21</v>
      </c>
      <c r="I2221">
        <v>21</v>
      </c>
      <c r="L2221" t="s">
        <v>14</v>
      </c>
      <c r="M2221" t="s">
        <v>97</v>
      </c>
      <c r="N2221">
        <v>12</v>
      </c>
      <c r="O2221">
        <v>8.3333333333333329E-2</v>
      </c>
      <c r="T2221">
        <v>0.16666666666666666</v>
      </c>
      <c r="U2221">
        <v>99.99</v>
      </c>
      <c r="V2221">
        <v>2</v>
      </c>
    </row>
    <row r="2222" spans="1:22" x14ac:dyDescent="0.2">
      <c r="A2222" t="s">
        <v>3630</v>
      </c>
      <c r="B2222" t="s">
        <v>2432</v>
      </c>
      <c r="C2222" t="s">
        <v>2425</v>
      </c>
      <c r="D2222" t="s">
        <v>96</v>
      </c>
      <c r="E2222">
        <v>179.99</v>
      </c>
      <c r="F2222" t="s">
        <v>8118</v>
      </c>
      <c r="L2222" t="s">
        <v>14</v>
      </c>
      <c r="M2222" t="s">
        <v>97</v>
      </c>
      <c r="N2222">
        <v>0</v>
      </c>
      <c r="O2222">
        <v>0</v>
      </c>
      <c r="U2222">
        <v>0</v>
      </c>
      <c r="V2222">
        <v>0</v>
      </c>
    </row>
    <row r="2223" spans="1:22" x14ac:dyDescent="0.2">
      <c r="A2223" t="s">
        <v>3648</v>
      </c>
      <c r="B2223" t="s">
        <v>3649</v>
      </c>
      <c r="C2223" t="s">
        <v>2425</v>
      </c>
      <c r="D2223" t="s">
        <v>96</v>
      </c>
      <c r="E2223">
        <v>89.99</v>
      </c>
      <c r="F2223" t="s">
        <v>8118</v>
      </c>
      <c r="L2223" t="s">
        <v>14</v>
      </c>
      <c r="M2223" t="s">
        <v>97</v>
      </c>
      <c r="N2223">
        <v>48</v>
      </c>
      <c r="O2223">
        <v>2.0833333333333332E-2</v>
      </c>
      <c r="T2223">
        <v>0.16666666666666666</v>
      </c>
      <c r="U2223">
        <v>0</v>
      </c>
      <c r="V2223">
        <v>8</v>
      </c>
    </row>
    <row r="2224" spans="1:22" x14ac:dyDescent="0.2">
      <c r="A2224" t="s">
        <v>3677</v>
      </c>
      <c r="B2224" t="s">
        <v>3678</v>
      </c>
      <c r="C2224" t="s">
        <v>2425</v>
      </c>
      <c r="D2224" t="s">
        <v>96</v>
      </c>
      <c r="E2224">
        <v>99.99</v>
      </c>
      <c r="F2224" t="s">
        <v>8118</v>
      </c>
      <c r="L2224" t="s">
        <v>14</v>
      </c>
      <c r="M2224" t="s">
        <v>97</v>
      </c>
      <c r="N2224">
        <v>108</v>
      </c>
      <c r="O2224">
        <v>9.2592592592592587E-3</v>
      </c>
      <c r="T2224">
        <v>8.3333333333333329E-2</v>
      </c>
      <c r="U2224">
        <v>0</v>
      </c>
      <c r="V2224">
        <v>9</v>
      </c>
    </row>
    <row r="2225" spans="1:22" x14ac:dyDescent="0.2">
      <c r="A2225" t="s">
        <v>3681</v>
      </c>
      <c r="B2225" t="s">
        <v>3682</v>
      </c>
      <c r="C2225" t="s">
        <v>2425</v>
      </c>
      <c r="D2225" t="s">
        <v>96</v>
      </c>
      <c r="E2225">
        <v>99.99</v>
      </c>
      <c r="F2225" t="s">
        <v>8118</v>
      </c>
      <c r="L2225" t="s">
        <v>14</v>
      </c>
      <c r="M2225" t="s">
        <v>97</v>
      </c>
      <c r="N2225">
        <v>0</v>
      </c>
      <c r="O2225">
        <v>0</v>
      </c>
      <c r="T2225">
        <v>0</v>
      </c>
      <c r="U2225">
        <v>0</v>
      </c>
      <c r="V2225">
        <v>2</v>
      </c>
    </row>
    <row r="2226" spans="1:22" x14ac:dyDescent="0.2">
      <c r="A2226" t="s">
        <v>2429</v>
      </c>
      <c r="B2226" t="s">
        <v>2430</v>
      </c>
      <c r="C2226" t="s">
        <v>2425</v>
      </c>
      <c r="D2226" t="s">
        <v>290</v>
      </c>
      <c r="E2226">
        <v>149.99</v>
      </c>
      <c r="F2226" t="s">
        <v>8118</v>
      </c>
      <c r="L2226" t="s">
        <v>14</v>
      </c>
      <c r="M2226" t="s">
        <v>97</v>
      </c>
      <c r="N2226">
        <v>24</v>
      </c>
      <c r="O2226">
        <v>4.1666666666666664E-2</v>
      </c>
      <c r="T2226">
        <v>8.3333333333333329E-2</v>
      </c>
      <c r="U2226">
        <v>149.99</v>
      </c>
      <c r="V2226">
        <v>2</v>
      </c>
    </row>
    <row r="2227" spans="1:22" x14ac:dyDescent="0.2">
      <c r="A2227" t="s">
        <v>3632</v>
      </c>
      <c r="B2227" t="s">
        <v>2430</v>
      </c>
      <c r="C2227" t="s">
        <v>2425</v>
      </c>
      <c r="D2227" t="s">
        <v>96</v>
      </c>
      <c r="E2227">
        <v>149.99</v>
      </c>
      <c r="F2227" t="s">
        <v>8118</v>
      </c>
      <c r="L2227" t="s">
        <v>14</v>
      </c>
      <c r="M2227" t="s">
        <v>97</v>
      </c>
      <c r="N2227">
        <v>0</v>
      </c>
      <c r="O2227">
        <v>0</v>
      </c>
      <c r="T2227">
        <v>0</v>
      </c>
      <c r="U2227">
        <v>0</v>
      </c>
      <c r="V2227">
        <v>1</v>
      </c>
    </row>
    <row r="2228" spans="1:22" x14ac:dyDescent="0.2">
      <c r="A2228" t="s">
        <v>2426</v>
      </c>
      <c r="B2228" t="s">
        <v>2427</v>
      </c>
      <c r="C2228" t="s">
        <v>2425</v>
      </c>
      <c r="D2228" t="s">
        <v>290</v>
      </c>
      <c r="E2228">
        <v>179.99</v>
      </c>
      <c r="F2228" t="s">
        <v>8118</v>
      </c>
      <c r="L2228" t="s">
        <v>14</v>
      </c>
      <c r="M2228" t="s">
        <v>97</v>
      </c>
      <c r="N2228">
        <v>33.6</v>
      </c>
      <c r="O2228">
        <v>2.9761904761904764E-2</v>
      </c>
      <c r="T2228">
        <v>0.41666666666666669</v>
      </c>
      <c r="U2228">
        <v>0</v>
      </c>
      <c r="V2228">
        <v>14</v>
      </c>
    </row>
    <row r="2229" spans="1:22" x14ac:dyDescent="0.2">
      <c r="A2229" t="s">
        <v>3651</v>
      </c>
      <c r="B2229" t="s">
        <v>3652</v>
      </c>
      <c r="C2229" t="s">
        <v>2425</v>
      </c>
      <c r="D2229" t="s">
        <v>290</v>
      </c>
      <c r="E2229">
        <v>109.99</v>
      </c>
      <c r="F2229" t="s">
        <v>8118</v>
      </c>
      <c r="L2229" t="s">
        <v>14</v>
      </c>
      <c r="M2229" t="s">
        <v>97</v>
      </c>
      <c r="N2229">
        <v>0</v>
      </c>
      <c r="O2229">
        <v>0</v>
      </c>
      <c r="T2229">
        <v>0</v>
      </c>
      <c r="U2229">
        <v>0</v>
      </c>
      <c r="V2229">
        <v>1</v>
      </c>
    </row>
    <row r="2230" spans="1:22" x14ac:dyDescent="0.2">
      <c r="A2230" t="s">
        <v>2431</v>
      </c>
      <c r="B2230" t="s">
        <v>2432</v>
      </c>
      <c r="C2230" t="s">
        <v>2425</v>
      </c>
      <c r="D2230" t="s">
        <v>290</v>
      </c>
      <c r="E2230">
        <v>179.99</v>
      </c>
      <c r="F2230" t="s">
        <v>8118</v>
      </c>
      <c r="L2230" t="s">
        <v>14</v>
      </c>
      <c r="M2230" t="s">
        <v>97</v>
      </c>
      <c r="N2230">
        <v>28.799999999999997</v>
      </c>
      <c r="O2230">
        <v>3.4722222222222224E-2</v>
      </c>
      <c r="T2230">
        <v>0.41666666666666669</v>
      </c>
      <c r="U2230">
        <v>179.99</v>
      </c>
      <c r="V2230">
        <v>12</v>
      </c>
    </row>
    <row r="2231" spans="1:22" x14ac:dyDescent="0.2">
      <c r="A2231" t="s">
        <v>2431</v>
      </c>
      <c r="B2231" t="s">
        <v>2432</v>
      </c>
      <c r="C2231" t="s">
        <v>2425</v>
      </c>
      <c r="D2231" t="s">
        <v>290</v>
      </c>
      <c r="E2231">
        <v>179.99</v>
      </c>
      <c r="F2231" t="s">
        <v>8118</v>
      </c>
      <c r="L2231" t="s">
        <v>10</v>
      </c>
      <c r="M2231">
        <v>409522</v>
      </c>
      <c r="N2231">
        <v>0</v>
      </c>
      <c r="O2231">
        <v>0</v>
      </c>
      <c r="P2231" t="s">
        <v>7015</v>
      </c>
      <c r="T2231">
        <v>0</v>
      </c>
      <c r="U2231">
        <v>0</v>
      </c>
      <c r="V2231">
        <v>5</v>
      </c>
    </row>
    <row r="2232" spans="1:22" x14ac:dyDescent="0.2">
      <c r="A2232" t="s">
        <v>2426</v>
      </c>
      <c r="B2232" t="s">
        <v>2427</v>
      </c>
      <c r="C2232" t="s">
        <v>2425</v>
      </c>
      <c r="D2232" t="s">
        <v>290</v>
      </c>
      <c r="E2232">
        <v>179.99</v>
      </c>
      <c r="F2232" t="s">
        <v>8118</v>
      </c>
      <c r="L2232" t="s">
        <v>10</v>
      </c>
      <c r="M2232">
        <v>476726</v>
      </c>
      <c r="N2232">
        <v>0</v>
      </c>
      <c r="O2232">
        <v>0</v>
      </c>
      <c r="P2232" t="s">
        <v>7015</v>
      </c>
      <c r="T2232">
        <v>0</v>
      </c>
      <c r="U2232">
        <v>0</v>
      </c>
      <c r="V2232">
        <v>0</v>
      </c>
    </row>
    <row r="2233" spans="1:22" x14ac:dyDescent="0.2">
      <c r="A2233" t="s">
        <v>3632</v>
      </c>
      <c r="B2233" t="s">
        <v>2430</v>
      </c>
      <c r="C2233" t="s">
        <v>2425</v>
      </c>
      <c r="D2233" t="s">
        <v>96</v>
      </c>
      <c r="E2233">
        <v>149.99</v>
      </c>
      <c r="F2233" t="s">
        <v>8118</v>
      </c>
      <c r="L2233" t="s">
        <v>10</v>
      </c>
      <c r="M2233">
        <v>999866</v>
      </c>
      <c r="N2233">
        <v>0</v>
      </c>
      <c r="O2233">
        <v>0</v>
      </c>
      <c r="P2233" t="s">
        <v>290</v>
      </c>
      <c r="T2233">
        <v>0</v>
      </c>
      <c r="U2233">
        <v>0</v>
      </c>
      <c r="V2233">
        <v>0</v>
      </c>
    </row>
    <row r="2234" spans="1:22" x14ac:dyDescent="0.2">
      <c r="A2234" t="s">
        <v>2429</v>
      </c>
      <c r="B2234" t="s">
        <v>2430</v>
      </c>
      <c r="C2234" t="s">
        <v>2425</v>
      </c>
      <c r="D2234" t="s">
        <v>290</v>
      </c>
      <c r="E2234">
        <v>149.99</v>
      </c>
      <c r="F2234" t="s">
        <v>8118</v>
      </c>
      <c r="L2234" t="s">
        <v>10</v>
      </c>
      <c r="M2234">
        <v>409523</v>
      </c>
      <c r="N2234">
        <v>0</v>
      </c>
      <c r="O2234">
        <v>0</v>
      </c>
      <c r="P2234" t="s">
        <v>7015</v>
      </c>
      <c r="T2234">
        <v>0</v>
      </c>
      <c r="U2234">
        <v>0</v>
      </c>
      <c r="V2234">
        <v>2</v>
      </c>
    </row>
    <row r="2235" spans="1:22" x14ac:dyDescent="0.2">
      <c r="A2235" t="s">
        <v>3669</v>
      </c>
      <c r="B2235" t="s">
        <v>3670</v>
      </c>
      <c r="C2235" t="s">
        <v>2425</v>
      </c>
      <c r="D2235" t="s">
        <v>96</v>
      </c>
      <c r="E2235">
        <v>89.99</v>
      </c>
      <c r="F2235" t="s">
        <v>8118</v>
      </c>
      <c r="L2235" t="s">
        <v>10</v>
      </c>
      <c r="M2235">
        <v>344539</v>
      </c>
      <c r="N2235">
        <v>0</v>
      </c>
      <c r="O2235">
        <v>0</v>
      </c>
      <c r="P2235" t="s">
        <v>7015</v>
      </c>
      <c r="T2235">
        <v>0</v>
      </c>
      <c r="U2235">
        <v>0</v>
      </c>
      <c r="V2235">
        <v>0</v>
      </c>
    </row>
    <row r="2236" spans="1:22" x14ac:dyDescent="0.2">
      <c r="A2236" t="s">
        <v>7191</v>
      </c>
      <c r="B2236" t="s">
        <v>7193</v>
      </c>
      <c r="C2236" t="s">
        <v>2425</v>
      </c>
      <c r="D2236" t="s">
        <v>96</v>
      </c>
      <c r="E2236">
        <v>179.99</v>
      </c>
      <c r="F2236" t="s">
        <v>8118</v>
      </c>
      <c r="L2236" t="s">
        <v>10</v>
      </c>
      <c r="M2236">
        <v>564247</v>
      </c>
      <c r="N2236">
        <v>0</v>
      </c>
      <c r="O2236">
        <v>0</v>
      </c>
      <c r="P2236" t="s">
        <v>290</v>
      </c>
      <c r="T2236">
        <v>0</v>
      </c>
      <c r="U2236">
        <v>0</v>
      </c>
      <c r="V2236">
        <v>0</v>
      </c>
    </row>
    <row r="2237" spans="1:22" x14ac:dyDescent="0.2">
      <c r="A2237" t="s">
        <v>3630</v>
      </c>
      <c r="B2237" t="s">
        <v>2432</v>
      </c>
      <c r="C2237" t="s">
        <v>2425</v>
      </c>
      <c r="D2237" t="s">
        <v>96</v>
      </c>
      <c r="E2237">
        <v>179.99</v>
      </c>
      <c r="F2237" t="s">
        <v>8118</v>
      </c>
      <c r="L2237" t="s">
        <v>10</v>
      </c>
      <c r="M2237">
        <v>999844</v>
      </c>
      <c r="N2237">
        <v>0</v>
      </c>
      <c r="O2237">
        <v>0</v>
      </c>
      <c r="P2237" t="s">
        <v>290</v>
      </c>
      <c r="T2237">
        <v>0</v>
      </c>
      <c r="U2237">
        <v>0</v>
      </c>
      <c r="V2237">
        <v>0</v>
      </c>
    </row>
    <row r="2238" spans="1:22" x14ac:dyDescent="0.2">
      <c r="A2238" t="s">
        <v>3634</v>
      </c>
      <c r="B2238" t="s">
        <v>3635</v>
      </c>
      <c r="C2238" t="s">
        <v>2425</v>
      </c>
      <c r="D2238" t="s">
        <v>96</v>
      </c>
      <c r="E2238">
        <v>149.99</v>
      </c>
      <c r="F2238" t="s">
        <v>8118</v>
      </c>
      <c r="L2238" t="s">
        <v>10</v>
      </c>
      <c r="M2238">
        <v>337668</v>
      </c>
      <c r="N2238">
        <v>0</v>
      </c>
      <c r="O2238">
        <v>0</v>
      </c>
      <c r="P2238" t="s">
        <v>290</v>
      </c>
      <c r="T2238">
        <v>0</v>
      </c>
      <c r="U2238">
        <v>0</v>
      </c>
      <c r="V2238">
        <v>0</v>
      </c>
    </row>
    <row r="2239" spans="1:22" x14ac:dyDescent="0.2">
      <c r="A2239" t="s">
        <v>2436</v>
      </c>
      <c r="B2239" t="s">
        <v>2437</v>
      </c>
      <c r="C2239" t="s">
        <v>2425</v>
      </c>
      <c r="D2239" t="s">
        <v>290</v>
      </c>
      <c r="E2239">
        <v>159.99</v>
      </c>
      <c r="F2239" t="s">
        <v>8118</v>
      </c>
      <c r="G2239">
        <v>1</v>
      </c>
      <c r="I2239">
        <v>1</v>
      </c>
      <c r="L2239" t="s">
        <v>10</v>
      </c>
      <c r="M2239">
        <v>393655</v>
      </c>
      <c r="N2239">
        <v>0</v>
      </c>
      <c r="O2239">
        <v>0</v>
      </c>
      <c r="P2239" t="s">
        <v>7015</v>
      </c>
      <c r="T2239">
        <v>0</v>
      </c>
      <c r="U2239">
        <v>0</v>
      </c>
      <c r="V2239">
        <v>2</v>
      </c>
    </row>
    <row r="2240" spans="1:22" x14ac:dyDescent="0.2">
      <c r="A2240" t="s">
        <v>3684</v>
      </c>
      <c r="B2240" t="s">
        <v>3685</v>
      </c>
      <c r="C2240" t="s">
        <v>2425</v>
      </c>
      <c r="D2240" t="s">
        <v>290</v>
      </c>
      <c r="E2240">
        <v>99.99</v>
      </c>
      <c r="F2240" t="s">
        <v>8118</v>
      </c>
      <c r="G2240">
        <v>21</v>
      </c>
      <c r="I2240">
        <v>21</v>
      </c>
      <c r="L2240" t="s">
        <v>10</v>
      </c>
      <c r="M2240">
        <v>511372</v>
      </c>
      <c r="N2240">
        <v>0</v>
      </c>
      <c r="O2240">
        <v>0</v>
      </c>
      <c r="P2240" t="s">
        <v>7015</v>
      </c>
      <c r="T2240">
        <v>0</v>
      </c>
      <c r="U2240">
        <v>0</v>
      </c>
      <c r="V2240">
        <v>0</v>
      </c>
    </row>
    <row r="2241" spans="1:22" x14ac:dyDescent="0.2">
      <c r="A2241" t="s">
        <v>3681</v>
      </c>
      <c r="B2241" t="s">
        <v>3682</v>
      </c>
      <c r="C2241" t="s">
        <v>2425</v>
      </c>
      <c r="D2241" t="s">
        <v>96</v>
      </c>
      <c r="E2241">
        <v>99.99</v>
      </c>
      <c r="F2241" t="s">
        <v>8118</v>
      </c>
      <c r="L2241" t="s">
        <v>10</v>
      </c>
      <c r="M2241">
        <v>511371</v>
      </c>
      <c r="N2241">
        <v>0</v>
      </c>
      <c r="O2241">
        <v>0</v>
      </c>
      <c r="P2241" t="s">
        <v>7015</v>
      </c>
      <c r="T2241">
        <v>0</v>
      </c>
      <c r="U2241">
        <v>0</v>
      </c>
      <c r="V2241">
        <v>0</v>
      </c>
    </row>
    <row r="2242" spans="1:22" x14ac:dyDescent="0.2">
      <c r="A2242" t="s">
        <v>3677</v>
      </c>
      <c r="B2242" t="s">
        <v>3678</v>
      </c>
      <c r="C2242" t="s">
        <v>2425</v>
      </c>
      <c r="D2242" t="s">
        <v>96</v>
      </c>
      <c r="E2242">
        <v>99.99</v>
      </c>
      <c r="F2242" t="s">
        <v>8118</v>
      </c>
      <c r="L2242" t="s">
        <v>10</v>
      </c>
      <c r="M2242">
        <v>485184</v>
      </c>
      <c r="N2242">
        <v>0</v>
      </c>
      <c r="O2242">
        <v>0</v>
      </c>
      <c r="P2242" t="s">
        <v>7015</v>
      </c>
      <c r="T2242">
        <v>0</v>
      </c>
      <c r="U2242">
        <v>0</v>
      </c>
      <c r="V2242">
        <v>0</v>
      </c>
    </row>
    <row r="2243" spans="1:22" x14ac:dyDescent="0.2">
      <c r="A2243" t="s">
        <v>3672</v>
      </c>
      <c r="B2243" t="s">
        <v>3673</v>
      </c>
      <c r="C2243" t="s">
        <v>2425</v>
      </c>
      <c r="D2243" t="s">
        <v>96</v>
      </c>
      <c r="E2243">
        <v>99.99</v>
      </c>
      <c r="F2243" t="s">
        <v>8118</v>
      </c>
      <c r="L2243" t="s">
        <v>10</v>
      </c>
      <c r="M2243">
        <v>485183</v>
      </c>
      <c r="N2243">
        <v>0</v>
      </c>
      <c r="O2243">
        <v>0</v>
      </c>
      <c r="P2243" t="s">
        <v>7015</v>
      </c>
      <c r="T2243">
        <v>0</v>
      </c>
      <c r="U2243">
        <v>0</v>
      </c>
      <c r="V2243">
        <v>0</v>
      </c>
    </row>
    <row r="2244" spans="1:22" x14ac:dyDescent="0.2">
      <c r="A2244" t="s">
        <v>3651</v>
      </c>
      <c r="B2244" t="s">
        <v>3652</v>
      </c>
      <c r="C2244" t="s">
        <v>2425</v>
      </c>
      <c r="D2244" t="s">
        <v>290</v>
      </c>
      <c r="E2244">
        <v>109.99</v>
      </c>
      <c r="F2244" t="s">
        <v>8118</v>
      </c>
      <c r="L2244" t="s">
        <v>10</v>
      </c>
      <c r="M2244">
        <v>999355</v>
      </c>
      <c r="N2244">
        <v>0</v>
      </c>
      <c r="O2244">
        <v>0</v>
      </c>
      <c r="P2244" t="s">
        <v>7015</v>
      </c>
      <c r="T2244">
        <v>0</v>
      </c>
      <c r="U2244">
        <v>0</v>
      </c>
      <c r="V2244">
        <v>0</v>
      </c>
    </row>
    <row r="2245" spans="1:22" x14ac:dyDescent="0.2">
      <c r="A2245" t="s">
        <v>3648</v>
      </c>
      <c r="B2245" t="s">
        <v>3649</v>
      </c>
      <c r="C2245" t="s">
        <v>2425</v>
      </c>
      <c r="D2245" t="s">
        <v>96</v>
      </c>
      <c r="E2245">
        <v>89.99</v>
      </c>
      <c r="F2245" t="s">
        <v>8118</v>
      </c>
      <c r="L2245" t="s">
        <v>10</v>
      </c>
      <c r="M2245">
        <v>999322</v>
      </c>
      <c r="N2245">
        <v>0</v>
      </c>
      <c r="O2245">
        <v>0</v>
      </c>
      <c r="P2245" t="s">
        <v>290</v>
      </c>
      <c r="T2245">
        <v>0</v>
      </c>
      <c r="U2245">
        <v>0</v>
      </c>
      <c r="V2245">
        <v>0</v>
      </c>
    </row>
    <row r="2246" spans="1:22" x14ac:dyDescent="0.2">
      <c r="A2246" t="s">
        <v>3690</v>
      </c>
      <c r="B2246" t="s">
        <v>3691</v>
      </c>
      <c r="C2246" t="s">
        <v>2425</v>
      </c>
      <c r="D2246" t="s">
        <v>96</v>
      </c>
      <c r="E2246">
        <v>69.989999999999995</v>
      </c>
      <c r="F2246" t="s">
        <v>8118</v>
      </c>
      <c r="L2246" t="s">
        <v>10</v>
      </c>
      <c r="M2246">
        <v>396367</v>
      </c>
      <c r="N2246">
        <v>0</v>
      </c>
      <c r="O2246">
        <v>0</v>
      </c>
      <c r="P2246" t="s">
        <v>7015</v>
      </c>
      <c r="T2246">
        <v>0</v>
      </c>
      <c r="U2246">
        <v>0</v>
      </c>
      <c r="V2246">
        <v>1</v>
      </c>
    </row>
    <row r="2247" spans="1:22" x14ac:dyDescent="0.2">
      <c r="A2247" t="s">
        <v>7198</v>
      </c>
      <c r="B2247" t="s">
        <v>7200</v>
      </c>
      <c r="C2247" t="s">
        <v>2425</v>
      </c>
      <c r="D2247" t="s">
        <v>96</v>
      </c>
      <c r="E2247">
        <v>89.99</v>
      </c>
      <c r="F2247" t="s">
        <v>8118</v>
      </c>
      <c r="L2247" t="s">
        <v>10</v>
      </c>
      <c r="M2247">
        <v>564248</v>
      </c>
      <c r="N2247">
        <v>0</v>
      </c>
      <c r="O2247">
        <v>0</v>
      </c>
      <c r="P2247" t="s">
        <v>290</v>
      </c>
      <c r="T2247">
        <v>0</v>
      </c>
      <c r="U2247">
        <v>0</v>
      </c>
      <c r="V2247">
        <v>0</v>
      </c>
    </row>
    <row r="2248" spans="1:22" x14ac:dyDescent="0.2">
      <c r="A2248" t="s">
        <v>7235</v>
      </c>
      <c r="B2248" t="s">
        <v>7237</v>
      </c>
      <c r="C2248" t="s">
        <v>2425</v>
      </c>
      <c r="D2248" t="s">
        <v>96</v>
      </c>
      <c r="E2248">
        <v>599.99</v>
      </c>
      <c r="F2248" t="s">
        <v>8118</v>
      </c>
      <c r="L2248" t="s">
        <v>10</v>
      </c>
      <c r="M2248">
        <v>560394</v>
      </c>
      <c r="N2248">
        <v>0</v>
      </c>
      <c r="O2248">
        <v>0</v>
      </c>
      <c r="P2248" t="s">
        <v>290</v>
      </c>
      <c r="T2248">
        <v>0</v>
      </c>
      <c r="U2248">
        <v>0</v>
      </c>
      <c r="V2248">
        <v>0</v>
      </c>
    </row>
    <row r="2249" spans="1:22" x14ac:dyDescent="0.2">
      <c r="A2249" t="s">
        <v>3695</v>
      </c>
      <c r="B2249" t="s">
        <v>3696</v>
      </c>
      <c r="C2249" t="s">
        <v>2425</v>
      </c>
      <c r="D2249" t="s">
        <v>96</v>
      </c>
      <c r="E2249">
        <v>69.989999999999995</v>
      </c>
      <c r="F2249" t="s">
        <v>8118</v>
      </c>
      <c r="L2249" t="s">
        <v>10</v>
      </c>
      <c r="M2249">
        <v>479859</v>
      </c>
      <c r="N2249">
        <v>0</v>
      </c>
      <c r="O2249">
        <v>0</v>
      </c>
      <c r="P2249" t="s">
        <v>7015</v>
      </c>
      <c r="T2249">
        <v>0</v>
      </c>
      <c r="U2249">
        <v>0</v>
      </c>
      <c r="V2249">
        <v>0</v>
      </c>
    </row>
    <row r="2250" spans="1:22" x14ac:dyDescent="0.2">
      <c r="A2250" t="s">
        <v>7166</v>
      </c>
      <c r="B2250" t="s">
        <v>7168</v>
      </c>
      <c r="C2250" t="s">
        <v>2425</v>
      </c>
      <c r="D2250" t="s">
        <v>96</v>
      </c>
      <c r="E2250">
        <v>69.989999999999995</v>
      </c>
      <c r="F2250" t="s">
        <v>8118</v>
      </c>
      <c r="L2250" t="s">
        <v>10</v>
      </c>
      <c r="M2250">
        <v>544317</v>
      </c>
      <c r="N2250">
        <v>0</v>
      </c>
      <c r="O2250">
        <v>0</v>
      </c>
      <c r="P2250" t="s">
        <v>7015</v>
      </c>
      <c r="T2250">
        <v>0</v>
      </c>
      <c r="U2250">
        <v>0</v>
      </c>
      <c r="V2250">
        <v>0</v>
      </c>
    </row>
    <row r="2251" spans="1:22" x14ac:dyDescent="0.2">
      <c r="A2251" t="s">
        <v>2438</v>
      </c>
      <c r="B2251" t="s">
        <v>2439</v>
      </c>
      <c r="C2251" t="s">
        <v>2425</v>
      </c>
      <c r="D2251" t="s">
        <v>290</v>
      </c>
      <c r="E2251">
        <v>99.99</v>
      </c>
      <c r="F2251" t="s">
        <v>8118</v>
      </c>
      <c r="L2251" t="s">
        <v>10</v>
      </c>
      <c r="M2251">
        <v>476727</v>
      </c>
      <c r="N2251">
        <v>0</v>
      </c>
      <c r="O2251">
        <v>0</v>
      </c>
      <c r="P2251" t="s">
        <v>7015</v>
      </c>
      <c r="T2251">
        <v>0</v>
      </c>
      <c r="U2251">
        <v>0</v>
      </c>
      <c r="V2251">
        <v>0</v>
      </c>
    </row>
    <row r="2252" spans="1:22" x14ac:dyDescent="0.2">
      <c r="A2252" t="s">
        <v>3654</v>
      </c>
      <c r="B2252" t="s">
        <v>3655</v>
      </c>
      <c r="C2252" t="s">
        <v>2425</v>
      </c>
      <c r="D2252" t="s">
        <v>96</v>
      </c>
      <c r="E2252">
        <v>89.99</v>
      </c>
      <c r="F2252" t="s">
        <v>8118</v>
      </c>
      <c r="L2252" t="s">
        <v>10</v>
      </c>
      <c r="M2252">
        <v>999366</v>
      </c>
      <c r="N2252">
        <v>0</v>
      </c>
      <c r="O2252">
        <v>0</v>
      </c>
      <c r="P2252" t="s">
        <v>7015</v>
      </c>
      <c r="T2252">
        <v>0</v>
      </c>
      <c r="U2252">
        <v>0</v>
      </c>
      <c r="V2252">
        <v>0</v>
      </c>
    </row>
    <row r="2253" spans="1:22" x14ac:dyDescent="0.2">
      <c r="A2253" t="s">
        <v>7039</v>
      </c>
      <c r="B2253" t="s">
        <v>7040</v>
      </c>
      <c r="C2253" t="s">
        <v>2425</v>
      </c>
      <c r="D2253" t="s">
        <v>96</v>
      </c>
      <c r="E2253">
        <v>69.989999999999995</v>
      </c>
      <c r="F2253" t="s">
        <v>8118</v>
      </c>
      <c r="L2253" t="s">
        <v>10</v>
      </c>
      <c r="M2253">
        <v>409549</v>
      </c>
      <c r="N2253">
        <v>0</v>
      </c>
      <c r="O2253">
        <v>0</v>
      </c>
      <c r="P2253" t="s">
        <v>7015</v>
      </c>
      <c r="T2253">
        <v>0</v>
      </c>
      <c r="U2253">
        <v>0</v>
      </c>
      <c r="V2253">
        <v>0</v>
      </c>
    </row>
    <row r="2254" spans="1:22" x14ac:dyDescent="0.2">
      <c r="A2254" t="s">
        <v>3662</v>
      </c>
      <c r="B2254" t="s">
        <v>3663</v>
      </c>
      <c r="C2254" t="s">
        <v>2425</v>
      </c>
      <c r="D2254" t="s">
        <v>96</v>
      </c>
      <c r="E2254">
        <v>49.99</v>
      </c>
      <c r="F2254" t="s">
        <v>8118</v>
      </c>
      <c r="L2254" t="s">
        <v>10</v>
      </c>
      <c r="M2254">
        <v>344537</v>
      </c>
      <c r="N2254">
        <v>0</v>
      </c>
      <c r="O2254">
        <v>0</v>
      </c>
      <c r="P2254" t="s">
        <v>7015</v>
      </c>
      <c r="T2254">
        <v>0</v>
      </c>
      <c r="U2254">
        <v>0</v>
      </c>
      <c r="V2254">
        <v>0</v>
      </c>
    </row>
    <row r="2255" spans="1:22" x14ac:dyDescent="0.2">
      <c r="A2255" t="s">
        <v>7153</v>
      </c>
      <c r="B2255" t="s">
        <v>7155</v>
      </c>
      <c r="C2255" t="s">
        <v>2425</v>
      </c>
      <c r="D2255" t="s">
        <v>96</v>
      </c>
      <c r="E2255">
        <v>49.99</v>
      </c>
      <c r="F2255" t="s">
        <v>8118</v>
      </c>
      <c r="L2255" t="s">
        <v>10</v>
      </c>
      <c r="M2255">
        <v>409585</v>
      </c>
      <c r="N2255">
        <v>0</v>
      </c>
      <c r="O2255">
        <v>0</v>
      </c>
      <c r="P2255" t="s">
        <v>7015</v>
      </c>
      <c r="T2255">
        <v>0</v>
      </c>
      <c r="U2255">
        <v>0</v>
      </c>
      <c r="V2255">
        <v>0</v>
      </c>
    </row>
    <row r="2256" spans="1:22" x14ac:dyDescent="0.2">
      <c r="A2256" t="s">
        <v>2443</v>
      </c>
      <c r="B2256" t="s">
        <v>2444</v>
      </c>
      <c r="C2256" t="s">
        <v>2425</v>
      </c>
      <c r="D2256" t="s">
        <v>290</v>
      </c>
      <c r="E2256">
        <v>129.99</v>
      </c>
      <c r="F2256" t="s">
        <v>8118</v>
      </c>
      <c r="L2256" t="s">
        <v>10</v>
      </c>
      <c r="M2256">
        <v>409586</v>
      </c>
      <c r="N2256">
        <v>0</v>
      </c>
      <c r="O2256">
        <v>0</v>
      </c>
      <c r="P2256" t="s">
        <v>290</v>
      </c>
      <c r="T2256">
        <v>0</v>
      </c>
      <c r="U2256">
        <v>0</v>
      </c>
      <c r="V2256">
        <v>0</v>
      </c>
    </row>
    <row r="2257" spans="1:22" x14ac:dyDescent="0.2">
      <c r="A2257" t="s">
        <v>3659</v>
      </c>
      <c r="B2257" t="s">
        <v>3660</v>
      </c>
      <c r="C2257" t="s">
        <v>2425</v>
      </c>
      <c r="D2257" t="s">
        <v>96</v>
      </c>
      <c r="E2257">
        <v>49.99</v>
      </c>
      <c r="F2257" t="s">
        <v>8118</v>
      </c>
      <c r="L2257" t="s">
        <v>10</v>
      </c>
      <c r="M2257">
        <v>344536</v>
      </c>
      <c r="N2257">
        <v>0</v>
      </c>
      <c r="O2257">
        <v>0</v>
      </c>
      <c r="P2257" t="s">
        <v>7015</v>
      </c>
      <c r="T2257">
        <v>0</v>
      </c>
      <c r="U2257">
        <v>0</v>
      </c>
      <c r="V2257">
        <v>0</v>
      </c>
    </row>
    <row r="2258" spans="1:22" x14ac:dyDescent="0.2">
      <c r="A2258" t="s">
        <v>3665</v>
      </c>
      <c r="B2258" t="s">
        <v>3666</v>
      </c>
      <c r="C2258" t="s">
        <v>2425</v>
      </c>
      <c r="D2258" t="s">
        <v>290</v>
      </c>
      <c r="E2258">
        <v>39.99</v>
      </c>
      <c r="F2258" t="s">
        <v>8118</v>
      </c>
      <c r="L2258" t="s">
        <v>10</v>
      </c>
      <c r="M2258">
        <v>344538</v>
      </c>
      <c r="N2258">
        <v>0</v>
      </c>
      <c r="O2258">
        <v>0</v>
      </c>
      <c r="P2258" t="s">
        <v>7015</v>
      </c>
      <c r="T2258">
        <v>0</v>
      </c>
      <c r="U2258">
        <v>0</v>
      </c>
      <c r="V2258">
        <v>1</v>
      </c>
    </row>
    <row r="2259" spans="1:22" x14ac:dyDescent="0.2">
      <c r="A2259" t="s">
        <v>2441</v>
      </c>
      <c r="B2259" t="s">
        <v>2442</v>
      </c>
      <c r="C2259" t="s">
        <v>2425</v>
      </c>
      <c r="D2259" t="s">
        <v>290</v>
      </c>
      <c r="E2259">
        <v>69.989999999999995</v>
      </c>
      <c r="F2259" t="s">
        <v>8118</v>
      </c>
      <c r="L2259" t="s">
        <v>7032</v>
      </c>
      <c r="M2259" t="s">
        <v>97</v>
      </c>
      <c r="N2259">
        <v>0</v>
      </c>
      <c r="O2259">
        <v>0</v>
      </c>
      <c r="T2259">
        <v>0</v>
      </c>
      <c r="U2259">
        <v>0</v>
      </c>
      <c r="V2259">
        <v>0</v>
      </c>
    </row>
    <row r="2260" spans="1:22" x14ac:dyDescent="0.2">
      <c r="A2260" t="s">
        <v>2433</v>
      </c>
      <c r="B2260" t="s">
        <v>2434</v>
      </c>
      <c r="C2260" t="s">
        <v>2425</v>
      </c>
      <c r="D2260" t="s">
        <v>290</v>
      </c>
      <c r="E2260">
        <v>69.989999999999995</v>
      </c>
      <c r="F2260" t="s">
        <v>8118</v>
      </c>
      <c r="G2260">
        <v>30</v>
      </c>
      <c r="I2260">
        <v>30</v>
      </c>
      <c r="L2260" t="s">
        <v>7032</v>
      </c>
      <c r="M2260" t="s">
        <v>97</v>
      </c>
      <c r="N2260">
        <v>0</v>
      </c>
      <c r="O2260">
        <v>0</v>
      </c>
      <c r="T2260">
        <v>0.2</v>
      </c>
      <c r="U2260">
        <v>0</v>
      </c>
      <c r="V2260">
        <v>0</v>
      </c>
    </row>
    <row r="2261" spans="1:22" x14ac:dyDescent="0.2">
      <c r="A2261" t="s">
        <v>7666</v>
      </c>
      <c r="B2261" t="s">
        <v>7667</v>
      </c>
      <c r="C2261" t="s">
        <v>2425</v>
      </c>
      <c r="D2261" t="s">
        <v>96</v>
      </c>
      <c r="E2261">
        <v>249.99</v>
      </c>
      <c r="F2261" t="s">
        <v>8118</v>
      </c>
      <c r="L2261" t="s">
        <v>7032</v>
      </c>
      <c r="M2261" t="s">
        <v>97</v>
      </c>
      <c r="N2261">
        <v>0</v>
      </c>
      <c r="O2261">
        <v>0</v>
      </c>
      <c r="T2261">
        <v>0</v>
      </c>
      <c r="U2261">
        <v>0</v>
      </c>
      <c r="V2261">
        <v>0</v>
      </c>
    </row>
    <row r="2262" spans="1:22" x14ac:dyDescent="0.2">
      <c r="A2262" t="s">
        <v>7668</v>
      </c>
      <c r="B2262" t="s">
        <v>7669</v>
      </c>
      <c r="C2262" t="s">
        <v>2425</v>
      </c>
      <c r="D2262" t="s">
        <v>96</v>
      </c>
      <c r="E2262">
        <v>89.99</v>
      </c>
      <c r="F2262" t="s">
        <v>8118</v>
      </c>
      <c r="L2262" t="s">
        <v>7032</v>
      </c>
      <c r="M2262" t="s">
        <v>97</v>
      </c>
      <c r="N2262">
        <v>0</v>
      </c>
      <c r="O2262">
        <v>0</v>
      </c>
      <c r="T2262">
        <v>0</v>
      </c>
      <c r="U2262">
        <v>0</v>
      </c>
      <c r="V2262">
        <v>3</v>
      </c>
    </row>
    <row r="2263" spans="1:22" x14ac:dyDescent="0.2">
      <c r="A2263" t="s">
        <v>3698</v>
      </c>
      <c r="B2263" t="s">
        <v>3699</v>
      </c>
      <c r="C2263" t="s">
        <v>2425</v>
      </c>
      <c r="D2263" t="s">
        <v>96</v>
      </c>
      <c r="E2263">
        <v>69.989999999999995</v>
      </c>
      <c r="F2263" t="s">
        <v>8118</v>
      </c>
      <c r="L2263" t="s">
        <v>7032</v>
      </c>
      <c r="M2263" t="s">
        <v>97</v>
      </c>
      <c r="N2263">
        <v>0</v>
      </c>
      <c r="O2263">
        <v>0</v>
      </c>
      <c r="T2263">
        <v>0</v>
      </c>
      <c r="U2263">
        <v>0</v>
      </c>
      <c r="V2263">
        <v>0</v>
      </c>
    </row>
    <row r="2264" spans="1:22" x14ac:dyDescent="0.2">
      <c r="A2264" t="s">
        <v>3701</v>
      </c>
      <c r="B2264" t="s">
        <v>3702</v>
      </c>
      <c r="C2264" t="s">
        <v>2425</v>
      </c>
      <c r="D2264" t="s">
        <v>96</v>
      </c>
      <c r="E2264">
        <v>716.99</v>
      </c>
      <c r="F2264" t="s">
        <v>8118</v>
      </c>
      <c r="L2264" t="s">
        <v>7032</v>
      </c>
      <c r="M2264" t="s">
        <v>97</v>
      </c>
      <c r="N2264">
        <v>0</v>
      </c>
      <c r="O2264">
        <v>0</v>
      </c>
      <c r="T2264">
        <v>0</v>
      </c>
      <c r="U2264">
        <v>0</v>
      </c>
      <c r="V2264">
        <v>0</v>
      </c>
    </row>
    <row r="2265" spans="1:22" x14ac:dyDescent="0.2">
      <c r="A2265" t="s">
        <v>3690</v>
      </c>
      <c r="B2265" t="s">
        <v>3691</v>
      </c>
      <c r="C2265" t="s">
        <v>2425</v>
      </c>
      <c r="D2265" t="s">
        <v>96</v>
      </c>
      <c r="E2265">
        <v>69.989999999999995</v>
      </c>
      <c r="F2265" t="s">
        <v>8118</v>
      </c>
      <c r="L2265" t="s">
        <v>7032</v>
      </c>
      <c r="M2265" t="s">
        <v>97</v>
      </c>
      <c r="N2265">
        <v>0</v>
      </c>
      <c r="O2265">
        <v>0</v>
      </c>
      <c r="T2265">
        <v>0</v>
      </c>
      <c r="U2265">
        <v>0</v>
      </c>
      <c r="V2265">
        <v>0</v>
      </c>
    </row>
    <row r="2266" spans="1:22" x14ac:dyDescent="0.2">
      <c r="A2266" t="s">
        <v>7235</v>
      </c>
      <c r="B2266" t="s">
        <v>7237</v>
      </c>
      <c r="C2266" t="s">
        <v>2425</v>
      </c>
      <c r="D2266" t="s">
        <v>96</v>
      </c>
      <c r="E2266">
        <v>599.99</v>
      </c>
      <c r="F2266" t="s">
        <v>8118</v>
      </c>
      <c r="L2266" t="s">
        <v>7032</v>
      </c>
      <c r="M2266" t="s">
        <v>97</v>
      </c>
      <c r="N2266">
        <v>0</v>
      </c>
      <c r="O2266">
        <v>0</v>
      </c>
      <c r="T2266">
        <v>0</v>
      </c>
      <c r="U2266">
        <v>0</v>
      </c>
      <c r="V2266">
        <v>0</v>
      </c>
    </row>
    <row r="2267" spans="1:22" x14ac:dyDescent="0.2">
      <c r="A2267" t="s">
        <v>3648</v>
      </c>
      <c r="B2267" t="s">
        <v>3649</v>
      </c>
      <c r="C2267" t="s">
        <v>2425</v>
      </c>
      <c r="D2267" t="s">
        <v>96</v>
      </c>
      <c r="E2267">
        <v>89.99</v>
      </c>
      <c r="F2267" t="s">
        <v>8118</v>
      </c>
      <c r="L2267" t="s">
        <v>7032</v>
      </c>
      <c r="M2267" t="s">
        <v>97</v>
      </c>
      <c r="N2267">
        <v>0</v>
      </c>
      <c r="O2267">
        <v>0</v>
      </c>
      <c r="T2267">
        <v>0</v>
      </c>
      <c r="U2267">
        <v>0</v>
      </c>
      <c r="V2267">
        <v>0</v>
      </c>
    </row>
    <row r="2268" spans="1:22" x14ac:dyDescent="0.2">
      <c r="A2268" t="s">
        <v>2436</v>
      </c>
      <c r="B2268" t="s">
        <v>2437</v>
      </c>
      <c r="C2268" t="s">
        <v>2425</v>
      </c>
      <c r="D2268" t="s">
        <v>290</v>
      </c>
      <c r="E2268">
        <v>159.99</v>
      </c>
      <c r="F2268" t="s">
        <v>8118</v>
      </c>
      <c r="G2268">
        <v>1</v>
      </c>
      <c r="I2268">
        <v>1</v>
      </c>
      <c r="L2268" t="s">
        <v>7032</v>
      </c>
      <c r="M2268" t="s">
        <v>97</v>
      </c>
      <c r="N2268">
        <v>0</v>
      </c>
      <c r="O2268">
        <v>0</v>
      </c>
      <c r="T2268">
        <v>0.2</v>
      </c>
      <c r="U2268">
        <v>0</v>
      </c>
      <c r="V2268">
        <v>0</v>
      </c>
    </row>
    <row r="2269" spans="1:22" x14ac:dyDescent="0.2">
      <c r="A2269" t="s">
        <v>3684</v>
      </c>
      <c r="B2269" t="s">
        <v>3685</v>
      </c>
      <c r="C2269" t="s">
        <v>2425</v>
      </c>
      <c r="D2269" t="s">
        <v>290</v>
      </c>
      <c r="E2269">
        <v>99.99</v>
      </c>
      <c r="F2269" t="s">
        <v>8118</v>
      </c>
      <c r="G2269">
        <v>21</v>
      </c>
      <c r="I2269">
        <v>21</v>
      </c>
      <c r="L2269" t="s">
        <v>7032</v>
      </c>
      <c r="M2269" t="s">
        <v>97</v>
      </c>
      <c r="N2269">
        <v>220</v>
      </c>
      <c r="O2269">
        <v>4.5454545454545461E-3</v>
      </c>
      <c r="T2269">
        <v>0.2</v>
      </c>
      <c r="U2269">
        <v>0</v>
      </c>
      <c r="V2269">
        <v>44</v>
      </c>
    </row>
    <row r="2270" spans="1:22" x14ac:dyDescent="0.2">
      <c r="A2270" t="s">
        <v>3681</v>
      </c>
      <c r="B2270" t="s">
        <v>3682</v>
      </c>
      <c r="C2270" t="s">
        <v>2425</v>
      </c>
      <c r="D2270" t="s">
        <v>96</v>
      </c>
      <c r="E2270">
        <v>99.99</v>
      </c>
      <c r="F2270" t="s">
        <v>8118</v>
      </c>
      <c r="L2270" t="s">
        <v>7032</v>
      </c>
      <c r="M2270" t="s">
        <v>97</v>
      </c>
      <c r="N2270">
        <v>5</v>
      </c>
      <c r="O2270">
        <v>0.2</v>
      </c>
      <c r="T2270">
        <v>0.2</v>
      </c>
      <c r="U2270">
        <v>0</v>
      </c>
      <c r="V2270">
        <v>1</v>
      </c>
    </row>
    <row r="2271" spans="1:22" x14ac:dyDescent="0.2">
      <c r="A2271" t="s">
        <v>3677</v>
      </c>
      <c r="B2271" t="s">
        <v>3678</v>
      </c>
      <c r="C2271" t="s">
        <v>2425</v>
      </c>
      <c r="D2271" t="s">
        <v>96</v>
      </c>
      <c r="E2271">
        <v>99.99</v>
      </c>
      <c r="F2271" t="s">
        <v>8118</v>
      </c>
      <c r="L2271" t="s">
        <v>7032</v>
      </c>
      <c r="M2271" t="s">
        <v>97</v>
      </c>
      <c r="N2271">
        <v>0</v>
      </c>
      <c r="O2271">
        <v>0</v>
      </c>
      <c r="T2271">
        <v>0</v>
      </c>
      <c r="U2271">
        <v>0</v>
      </c>
      <c r="V2271">
        <v>0</v>
      </c>
    </row>
    <row r="2272" spans="1:22" x14ac:dyDescent="0.2">
      <c r="A2272" t="s">
        <v>3672</v>
      </c>
      <c r="B2272" t="s">
        <v>3673</v>
      </c>
      <c r="C2272" t="s">
        <v>2425</v>
      </c>
      <c r="D2272" t="s">
        <v>96</v>
      </c>
      <c r="E2272">
        <v>99.99</v>
      </c>
      <c r="F2272" t="s">
        <v>8118</v>
      </c>
      <c r="L2272" t="s">
        <v>7032</v>
      </c>
      <c r="M2272" t="s">
        <v>97</v>
      </c>
      <c r="N2272">
        <v>0</v>
      </c>
      <c r="O2272">
        <v>0</v>
      </c>
      <c r="T2272">
        <v>0</v>
      </c>
      <c r="U2272">
        <v>0</v>
      </c>
      <c r="V2272">
        <v>0</v>
      </c>
    </row>
    <row r="2273" spans="1:22" x14ac:dyDescent="0.2">
      <c r="A2273" t="s">
        <v>3654</v>
      </c>
      <c r="B2273" t="s">
        <v>3655</v>
      </c>
      <c r="C2273" t="s">
        <v>2425</v>
      </c>
      <c r="D2273" t="s">
        <v>96</v>
      </c>
      <c r="E2273">
        <v>89.99</v>
      </c>
      <c r="F2273" t="s">
        <v>8118</v>
      </c>
      <c r="L2273" t="s">
        <v>7032</v>
      </c>
      <c r="M2273" t="s">
        <v>97</v>
      </c>
      <c r="N2273">
        <v>0</v>
      </c>
      <c r="O2273">
        <v>0</v>
      </c>
      <c r="T2273">
        <v>0</v>
      </c>
      <c r="U2273">
        <v>0</v>
      </c>
      <c r="V2273">
        <v>0</v>
      </c>
    </row>
    <row r="2274" spans="1:22" x14ac:dyDescent="0.2">
      <c r="A2274" t="s">
        <v>3695</v>
      </c>
      <c r="B2274" t="s">
        <v>3696</v>
      </c>
      <c r="C2274" t="s">
        <v>2425</v>
      </c>
      <c r="D2274" t="s">
        <v>96</v>
      </c>
      <c r="E2274">
        <v>69.989999999999995</v>
      </c>
      <c r="F2274" t="s">
        <v>8118</v>
      </c>
      <c r="L2274" t="s">
        <v>7032</v>
      </c>
      <c r="M2274" t="s">
        <v>97</v>
      </c>
      <c r="N2274">
        <v>0</v>
      </c>
      <c r="O2274">
        <v>0</v>
      </c>
      <c r="T2274">
        <v>0</v>
      </c>
      <c r="U2274">
        <v>0</v>
      </c>
      <c r="V2274">
        <v>0</v>
      </c>
    </row>
    <row r="2275" spans="1:22" x14ac:dyDescent="0.2">
      <c r="A2275" t="s">
        <v>7166</v>
      </c>
      <c r="B2275" t="s">
        <v>7168</v>
      </c>
      <c r="C2275" t="s">
        <v>2425</v>
      </c>
      <c r="D2275" t="s">
        <v>96</v>
      </c>
      <c r="E2275">
        <v>69.989999999999995</v>
      </c>
      <c r="F2275" t="s">
        <v>8118</v>
      </c>
      <c r="L2275" t="s">
        <v>7032</v>
      </c>
      <c r="M2275" t="s">
        <v>97</v>
      </c>
      <c r="N2275">
        <v>0</v>
      </c>
      <c r="O2275">
        <v>0</v>
      </c>
      <c r="T2275">
        <v>0</v>
      </c>
      <c r="U2275">
        <v>0</v>
      </c>
      <c r="V2275">
        <v>0</v>
      </c>
    </row>
    <row r="2276" spans="1:22" x14ac:dyDescent="0.2">
      <c r="A2276" t="s">
        <v>7039</v>
      </c>
      <c r="B2276" t="s">
        <v>7040</v>
      </c>
      <c r="C2276" t="s">
        <v>2425</v>
      </c>
      <c r="D2276" t="s">
        <v>96</v>
      </c>
      <c r="E2276">
        <v>69.989999999999995</v>
      </c>
      <c r="F2276" t="s">
        <v>8118</v>
      </c>
      <c r="L2276" t="s">
        <v>7032</v>
      </c>
      <c r="M2276" t="s">
        <v>97</v>
      </c>
      <c r="N2276">
        <v>0</v>
      </c>
      <c r="O2276">
        <v>0</v>
      </c>
      <c r="T2276">
        <v>0</v>
      </c>
      <c r="U2276">
        <v>0</v>
      </c>
      <c r="V2276">
        <v>5</v>
      </c>
    </row>
    <row r="2277" spans="1:22" x14ac:dyDescent="0.2">
      <c r="A2277" t="s">
        <v>3662</v>
      </c>
      <c r="B2277" t="s">
        <v>3663</v>
      </c>
      <c r="C2277" t="s">
        <v>2425</v>
      </c>
      <c r="D2277" t="s">
        <v>96</v>
      </c>
      <c r="E2277">
        <v>49.99</v>
      </c>
      <c r="F2277" t="s">
        <v>8118</v>
      </c>
      <c r="L2277" t="s">
        <v>7032</v>
      </c>
      <c r="M2277" t="s">
        <v>97</v>
      </c>
      <c r="N2277">
        <v>0</v>
      </c>
      <c r="O2277">
        <v>0</v>
      </c>
      <c r="T2277">
        <v>0</v>
      </c>
      <c r="U2277">
        <v>0</v>
      </c>
      <c r="V2277">
        <v>0</v>
      </c>
    </row>
    <row r="2278" spans="1:22" x14ac:dyDescent="0.2">
      <c r="A2278" t="s">
        <v>3659</v>
      </c>
      <c r="B2278" t="s">
        <v>3660</v>
      </c>
      <c r="C2278" t="s">
        <v>2425</v>
      </c>
      <c r="D2278" t="s">
        <v>96</v>
      </c>
      <c r="E2278">
        <v>49.99</v>
      </c>
      <c r="F2278" t="s">
        <v>8118</v>
      </c>
      <c r="L2278" t="s">
        <v>7032</v>
      </c>
      <c r="M2278" t="s">
        <v>97</v>
      </c>
      <c r="N2278">
        <v>0</v>
      </c>
      <c r="O2278">
        <v>0</v>
      </c>
      <c r="T2278">
        <v>0</v>
      </c>
      <c r="U2278">
        <v>0</v>
      </c>
      <c r="V2278">
        <v>0</v>
      </c>
    </row>
    <row r="2279" spans="1:22" x14ac:dyDescent="0.2">
      <c r="A2279" t="s">
        <v>7153</v>
      </c>
      <c r="B2279" t="s">
        <v>7155</v>
      </c>
      <c r="C2279" t="s">
        <v>2425</v>
      </c>
      <c r="D2279" t="s">
        <v>96</v>
      </c>
      <c r="E2279">
        <v>49.99</v>
      </c>
      <c r="F2279" t="s">
        <v>8118</v>
      </c>
      <c r="L2279" t="s">
        <v>7032</v>
      </c>
      <c r="M2279" t="s">
        <v>97</v>
      </c>
      <c r="N2279">
        <v>0</v>
      </c>
      <c r="O2279">
        <v>0</v>
      </c>
      <c r="T2279">
        <v>0</v>
      </c>
      <c r="U2279">
        <v>0</v>
      </c>
      <c r="V2279">
        <v>0</v>
      </c>
    </row>
    <row r="2280" spans="1:22" x14ac:dyDescent="0.2">
      <c r="A2280" t="s">
        <v>2443</v>
      </c>
      <c r="B2280" t="s">
        <v>2444</v>
      </c>
      <c r="C2280" t="s">
        <v>2425</v>
      </c>
      <c r="D2280" t="s">
        <v>290</v>
      </c>
      <c r="E2280">
        <v>129.99</v>
      </c>
      <c r="F2280" t="s">
        <v>8118</v>
      </c>
      <c r="L2280" t="s">
        <v>7032</v>
      </c>
      <c r="M2280" t="s">
        <v>97</v>
      </c>
      <c r="N2280">
        <v>0</v>
      </c>
      <c r="O2280">
        <v>0</v>
      </c>
      <c r="T2280">
        <v>0</v>
      </c>
      <c r="U2280">
        <v>0</v>
      </c>
      <c r="V2280">
        <v>0</v>
      </c>
    </row>
    <row r="2281" spans="1:22" x14ac:dyDescent="0.2">
      <c r="A2281" t="s">
        <v>2426</v>
      </c>
      <c r="B2281" t="s">
        <v>2427</v>
      </c>
      <c r="C2281" t="s">
        <v>2425</v>
      </c>
      <c r="D2281" t="s">
        <v>290</v>
      </c>
      <c r="E2281">
        <v>179.99</v>
      </c>
      <c r="F2281" t="s">
        <v>8118</v>
      </c>
      <c r="L2281" t="s">
        <v>7032</v>
      </c>
      <c r="M2281" t="s">
        <v>97</v>
      </c>
      <c r="N2281">
        <v>0</v>
      </c>
      <c r="O2281">
        <v>0</v>
      </c>
      <c r="T2281">
        <v>0</v>
      </c>
      <c r="U2281">
        <v>0</v>
      </c>
      <c r="V2281">
        <v>0</v>
      </c>
    </row>
    <row r="2282" spans="1:22" x14ac:dyDescent="0.2">
      <c r="A2282" t="s">
        <v>3651</v>
      </c>
      <c r="B2282" t="s">
        <v>3652</v>
      </c>
      <c r="C2282" t="s">
        <v>2425</v>
      </c>
      <c r="D2282" t="s">
        <v>290</v>
      </c>
      <c r="E2282">
        <v>109.99</v>
      </c>
      <c r="F2282" t="s">
        <v>8118</v>
      </c>
      <c r="L2282" t="s">
        <v>7032</v>
      </c>
      <c r="M2282" t="s">
        <v>97</v>
      </c>
      <c r="N2282">
        <v>0</v>
      </c>
      <c r="O2282">
        <v>0</v>
      </c>
      <c r="T2282">
        <v>0</v>
      </c>
      <c r="U2282">
        <v>0</v>
      </c>
      <c r="V2282">
        <v>0</v>
      </c>
    </row>
    <row r="2283" spans="1:22" x14ac:dyDescent="0.2">
      <c r="A2283" t="s">
        <v>3632</v>
      </c>
      <c r="B2283" t="s">
        <v>2430</v>
      </c>
      <c r="C2283" t="s">
        <v>2425</v>
      </c>
      <c r="D2283" t="s">
        <v>96</v>
      </c>
      <c r="E2283">
        <v>149.99</v>
      </c>
      <c r="F2283" t="s">
        <v>8118</v>
      </c>
      <c r="L2283" t="s">
        <v>7032</v>
      </c>
      <c r="M2283" t="s">
        <v>97</v>
      </c>
      <c r="N2283">
        <v>0</v>
      </c>
      <c r="O2283">
        <v>0</v>
      </c>
      <c r="T2283">
        <v>0</v>
      </c>
      <c r="U2283">
        <v>0</v>
      </c>
      <c r="V2283">
        <v>0</v>
      </c>
    </row>
    <row r="2284" spans="1:22" x14ac:dyDescent="0.2">
      <c r="A2284" t="s">
        <v>2429</v>
      </c>
      <c r="B2284" t="s">
        <v>2430</v>
      </c>
      <c r="C2284" t="s">
        <v>2425</v>
      </c>
      <c r="D2284" t="s">
        <v>290</v>
      </c>
      <c r="E2284">
        <v>149.99</v>
      </c>
      <c r="F2284" t="s">
        <v>8118</v>
      </c>
      <c r="L2284" t="s">
        <v>7032</v>
      </c>
      <c r="M2284" t="s">
        <v>97</v>
      </c>
      <c r="N2284">
        <v>0</v>
      </c>
      <c r="O2284">
        <v>0</v>
      </c>
      <c r="T2284">
        <v>0</v>
      </c>
      <c r="U2284">
        <v>0</v>
      </c>
      <c r="V2284">
        <v>0</v>
      </c>
    </row>
    <row r="2285" spans="1:22" x14ac:dyDescent="0.2">
      <c r="A2285" t="s">
        <v>3669</v>
      </c>
      <c r="B2285" t="s">
        <v>3670</v>
      </c>
      <c r="C2285" t="s">
        <v>2425</v>
      </c>
      <c r="D2285" t="s">
        <v>96</v>
      </c>
      <c r="E2285">
        <v>89.99</v>
      </c>
      <c r="F2285" t="s">
        <v>8118</v>
      </c>
      <c r="L2285" t="s">
        <v>7032</v>
      </c>
      <c r="M2285" t="s">
        <v>97</v>
      </c>
      <c r="N2285">
        <v>0</v>
      </c>
      <c r="O2285">
        <v>0</v>
      </c>
      <c r="T2285">
        <v>0</v>
      </c>
      <c r="U2285">
        <v>0</v>
      </c>
      <c r="V2285">
        <v>0</v>
      </c>
    </row>
    <row r="2286" spans="1:22" x14ac:dyDescent="0.2">
      <c r="A2286" t="s">
        <v>7191</v>
      </c>
      <c r="B2286" t="s">
        <v>7193</v>
      </c>
      <c r="C2286" t="s">
        <v>2425</v>
      </c>
      <c r="D2286" t="s">
        <v>96</v>
      </c>
      <c r="E2286">
        <v>179.99</v>
      </c>
      <c r="F2286" t="s">
        <v>8118</v>
      </c>
      <c r="L2286" t="s">
        <v>7032</v>
      </c>
      <c r="M2286" t="s">
        <v>97</v>
      </c>
      <c r="N2286">
        <v>0</v>
      </c>
      <c r="O2286">
        <v>0</v>
      </c>
      <c r="T2286">
        <v>0</v>
      </c>
      <c r="U2286">
        <v>0</v>
      </c>
      <c r="V2286">
        <v>0</v>
      </c>
    </row>
    <row r="2287" spans="1:22" x14ac:dyDescent="0.2">
      <c r="A2287" t="s">
        <v>7198</v>
      </c>
      <c r="B2287" t="s">
        <v>7200</v>
      </c>
      <c r="C2287" t="s">
        <v>2425</v>
      </c>
      <c r="D2287" t="s">
        <v>96</v>
      </c>
      <c r="E2287">
        <v>89.99</v>
      </c>
      <c r="F2287" t="s">
        <v>8118</v>
      </c>
      <c r="L2287" t="s">
        <v>7032</v>
      </c>
      <c r="M2287" t="s">
        <v>97</v>
      </c>
      <c r="N2287">
        <v>0</v>
      </c>
      <c r="O2287">
        <v>0</v>
      </c>
      <c r="T2287">
        <v>0</v>
      </c>
      <c r="U2287">
        <v>0</v>
      </c>
      <c r="V2287">
        <v>0</v>
      </c>
    </row>
    <row r="2288" spans="1:22" x14ac:dyDescent="0.2">
      <c r="A2288" t="s">
        <v>2431</v>
      </c>
      <c r="B2288" t="s">
        <v>2432</v>
      </c>
      <c r="C2288" t="s">
        <v>2425</v>
      </c>
      <c r="D2288" t="s">
        <v>290</v>
      </c>
      <c r="E2288">
        <v>179.99</v>
      </c>
      <c r="F2288" t="s">
        <v>8118</v>
      </c>
      <c r="L2288" t="s">
        <v>7032</v>
      </c>
      <c r="M2288" t="s">
        <v>97</v>
      </c>
      <c r="N2288">
        <v>0</v>
      </c>
      <c r="O2288">
        <v>0</v>
      </c>
      <c r="T2288">
        <v>0</v>
      </c>
      <c r="U2288">
        <v>0</v>
      </c>
      <c r="V2288">
        <v>0</v>
      </c>
    </row>
    <row r="2289" spans="1:22" x14ac:dyDescent="0.2">
      <c r="A2289" t="s">
        <v>2438</v>
      </c>
      <c r="B2289" t="s">
        <v>2439</v>
      </c>
      <c r="C2289" t="s">
        <v>2425</v>
      </c>
      <c r="D2289" t="s">
        <v>290</v>
      </c>
      <c r="E2289">
        <v>99.99</v>
      </c>
      <c r="F2289" t="s">
        <v>8118</v>
      </c>
      <c r="L2289" t="s">
        <v>7032</v>
      </c>
      <c r="M2289" t="s">
        <v>97</v>
      </c>
      <c r="N2289">
        <v>0</v>
      </c>
      <c r="O2289">
        <v>0</v>
      </c>
      <c r="T2289">
        <v>0</v>
      </c>
      <c r="U2289">
        <v>0</v>
      </c>
      <c r="V2289">
        <v>0</v>
      </c>
    </row>
    <row r="2290" spans="1:22" x14ac:dyDescent="0.2">
      <c r="A2290" t="s">
        <v>3665</v>
      </c>
      <c r="B2290" t="s">
        <v>3666</v>
      </c>
      <c r="C2290" t="s">
        <v>2425</v>
      </c>
      <c r="D2290" t="s">
        <v>290</v>
      </c>
      <c r="E2290">
        <v>39.99</v>
      </c>
      <c r="F2290" t="s">
        <v>8118</v>
      </c>
      <c r="L2290" t="s">
        <v>7032</v>
      </c>
      <c r="M2290" t="s">
        <v>97</v>
      </c>
      <c r="N2290">
        <v>0</v>
      </c>
      <c r="O2290">
        <v>0</v>
      </c>
      <c r="T2290">
        <v>0</v>
      </c>
      <c r="U2290">
        <v>0</v>
      </c>
      <c r="V2290">
        <v>0</v>
      </c>
    </row>
    <row r="2291" spans="1:22" x14ac:dyDescent="0.2">
      <c r="A2291" t="s">
        <v>3672</v>
      </c>
      <c r="B2291" t="s">
        <v>3673</v>
      </c>
      <c r="C2291" t="s">
        <v>2425</v>
      </c>
      <c r="D2291" t="s">
        <v>96</v>
      </c>
      <c r="E2291">
        <v>99.99</v>
      </c>
      <c r="F2291" t="s">
        <v>8118</v>
      </c>
      <c r="L2291" t="s">
        <v>8</v>
      </c>
      <c r="M2291" t="s">
        <v>3676</v>
      </c>
      <c r="N2291">
        <v>12</v>
      </c>
      <c r="O2291">
        <v>8.3333333333333329E-2</v>
      </c>
      <c r="Q2291">
        <v>0</v>
      </c>
      <c r="R2291">
        <v>0</v>
      </c>
      <c r="S2291">
        <v>1</v>
      </c>
      <c r="T2291">
        <v>8.3333333333333329E-2</v>
      </c>
      <c r="U2291">
        <v>0</v>
      </c>
      <c r="V2291">
        <v>1</v>
      </c>
    </row>
    <row r="2292" spans="1:22" x14ac:dyDescent="0.2">
      <c r="A2292" t="s">
        <v>7235</v>
      </c>
      <c r="B2292" t="s">
        <v>7237</v>
      </c>
      <c r="C2292" t="s">
        <v>2425</v>
      </c>
      <c r="D2292" t="s">
        <v>96</v>
      </c>
      <c r="E2292">
        <v>599.99</v>
      </c>
      <c r="F2292" t="s">
        <v>8118</v>
      </c>
      <c r="L2292" t="s">
        <v>8</v>
      </c>
      <c r="M2292" t="s">
        <v>7983</v>
      </c>
      <c r="N2292">
        <v>0</v>
      </c>
      <c r="O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spans="1:22" x14ac:dyDescent="0.2">
      <c r="A2293" t="s">
        <v>3690</v>
      </c>
      <c r="B2293" t="s">
        <v>3691</v>
      </c>
      <c r="C2293" t="s">
        <v>2425</v>
      </c>
      <c r="D2293" t="s">
        <v>96</v>
      </c>
      <c r="E2293">
        <v>69.989999999999995</v>
      </c>
      <c r="F2293" t="s">
        <v>8118</v>
      </c>
      <c r="L2293" t="s">
        <v>8</v>
      </c>
      <c r="M2293" t="s">
        <v>3694</v>
      </c>
      <c r="N2293">
        <v>0</v>
      </c>
      <c r="O2293">
        <v>0</v>
      </c>
      <c r="Q2293">
        <v>0</v>
      </c>
      <c r="R2293">
        <v>0</v>
      </c>
      <c r="S2293">
        <v>0</v>
      </c>
      <c r="T2293">
        <v>0.5</v>
      </c>
      <c r="U2293">
        <v>0</v>
      </c>
      <c r="V2293">
        <v>0</v>
      </c>
    </row>
    <row r="2294" spans="1:22" x14ac:dyDescent="0.2">
      <c r="A2294" t="s">
        <v>3654</v>
      </c>
      <c r="B2294" t="s">
        <v>3655</v>
      </c>
      <c r="C2294" t="s">
        <v>2425</v>
      </c>
      <c r="D2294" t="s">
        <v>96</v>
      </c>
      <c r="E2294">
        <v>89.99</v>
      </c>
      <c r="F2294" t="s">
        <v>8118</v>
      </c>
      <c r="L2294" t="s">
        <v>8</v>
      </c>
      <c r="M2294" t="s">
        <v>3658</v>
      </c>
      <c r="N2294">
        <v>0</v>
      </c>
      <c r="O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spans="1:22" x14ac:dyDescent="0.2">
      <c r="A2295" t="s">
        <v>2438</v>
      </c>
      <c r="B2295" t="s">
        <v>2439</v>
      </c>
      <c r="C2295" t="s">
        <v>2425</v>
      </c>
      <c r="D2295" t="s">
        <v>290</v>
      </c>
      <c r="E2295">
        <v>99.99</v>
      </c>
      <c r="F2295" t="s">
        <v>8118</v>
      </c>
      <c r="L2295" t="s">
        <v>8</v>
      </c>
      <c r="M2295" t="s">
        <v>3647</v>
      </c>
      <c r="N2295">
        <v>3.1111111111111112</v>
      </c>
      <c r="O2295">
        <v>0.32142857142857145</v>
      </c>
      <c r="Q2295">
        <v>0</v>
      </c>
      <c r="R2295">
        <v>0</v>
      </c>
      <c r="S2295">
        <v>14</v>
      </c>
      <c r="T2295">
        <v>4.5</v>
      </c>
      <c r="U2295">
        <v>399.96</v>
      </c>
      <c r="V2295">
        <v>14</v>
      </c>
    </row>
    <row r="2296" spans="1:22" x14ac:dyDescent="0.2">
      <c r="A2296" t="s">
        <v>3687</v>
      </c>
      <c r="B2296" t="s">
        <v>3688</v>
      </c>
      <c r="C2296" t="s">
        <v>2425</v>
      </c>
      <c r="D2296" t="s">
        <v>96</v>
      </c>
      <c r="E2296">
        <v>99.99</v>
      </c>
      <c r="F2296" t="s">
        <v>8118</v>
      </c>
      <c r="L2296" t="s">
        <v>8</v>
      </c>
      <c r="M2296" t="s">
        <v>3689</v>
      </c>
      <c r="N2296">
        <v>0</v>
      </c>
      <c r="O2296">
        <v>0</v>
      </c>
      <c r="Q2296">
        <v>0</v>
      </c>
      <c r="R2296">
        <v>0</v>
      </c>
      <c r="S2296">
        <v>0</v>
      </c>
      <c r="T2296">
        <v>0.58333333333333337</v>
      </c>
      <c r="U2296">
        <v>0</v>
      </c>
      <c r="V2296">
        <v>0</v>
      </c>
    </row>
    <row r="2297" spans="1:22" x14ac:dyDescent="0.2">
      <c r="A2297" t="s">
        <v>3684</v>
      </c>
      <c r="B2297" t="s">
        <v>3685</v>
      </c>
      <c r="C2297" t="s">
        <v>2425</v>
      </c>
      <c r="D2297" t="s">
        <v>290</v>
      </c>
      <c r="E2297">
        <v>99.99</v>
      </c>
      <c r="F2297" t="s">
        <v>8118</v>
      </c>
      <c r="G2297">
        <v>21</v>
      </c>
      <c r="I2297">
        <v>21</v>
      </c>
      <c r="L2297" t="s">
        <v>8</v>
      </c>
      <c r="M2297" t="s">
        <v>3686</v>
      </c>
      <c r="N2297">
        <v>0</v>
      </c>
      <c r="O2297">
        <v>0</v>
      </c>
      <c r="Q2297">
        <v>0</v>
      </c>
      <c r="R2297">
        <v>0</v>
      </c>
      <c r="S2297">
        <v>0</v>
      </c>
      <c r="T2297">
        <v>8.3333333333333329E-2</v>
      </c>
      <c r="U2297">
        <v>0</v>
      </c>
      <c r="V2297">
        <v>0</v>
      </c>
    </row>
    <row r="2298" spans="1:22" x14ac:dyDescent="0.2">
      <c r="A2298" t="s">
        <v>3681</v>
      </c>
      <c r="B2298" t="s">
        <v>3682</v>
      </c>
      <c r="C2298" t="s">
        <v>2425</v>
      </c>
      <c r="D2298" t="s">
        <v>96</v>
      </c>
      <c r="E2298">
        <v>99.99</v>
      </c>
      <c r="F2298" t="s">
        <v>8118</v>
      </c>
      <c r="L2298" t="s">
        <v>8</v>
      </c>
      <c r="M2298" t="s">
        <v>3683</v>
      </c>
      <c r="N2298">
        <v>0</v>
      </c>
      <c r="O2298">
        <v>0</v>
      </c>
      <c r="Q2298">
        <v>0</v>
      </c>
      <c r="R2298">
        <v>0</v>
      </c>
      <c r="S2298">
        <v>0</v>
      </c>
      <c r="T2298">
        <v>0.33333333333333331</v>
      </c>
      <c r="U2298">
        <v>0</v>
      </c>
      <c r="V2298">
        <v>0</v>
      </c>
    </row>
    <row r="2299" spans="1:22" x14ac:dyDescent="0.2">
      <c r="A2299" t="s">
        <v>7166</v>
      </c>
      <c r="B2299" t="s">
        <v>7168</v>
      </c>
      <c r="C2299" t="s">
        <v>2425</v>
      </c>
      <c r="D2299" t="s">
        <v>96</v>
      </c>
      <c r="E2299">
        <v>69.989999999999995</v>
      </c>
      <c r="F2299" t="s">
        <v>8118</v>
      </c>
      <c r="L2299" t="s">
        <v>8</v>
      </c>
      <c r="M2299" t="s">
        <v>7940</v>
      </c>
      <c r="N2299">
        <v>0</v>
      </c>
      <c r="O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spans="1:22" x14ac:dyDescent="0.2">
      <c r="A2300" t="s">
        <v>3695</v>
      </c>
      <c r="B2300" t="s">
        <v>3696</v>
      </c>
      <c r="C2300" t="s">
        <v>2425</v>
      </c>
      <c r="D2300" t="s">
        <v>96</v>
      </c>
      <c r="E2300">
        <v>69.989999999999995</v>
      </c>
      <c r="F2300" t="s">
        <v>8118</v>
      </c>
      <c r="L2300" t="s">
        <v>8</v>
      </c>
      <c r="M2300" t="s">
        <v>7947</v>
      </c>
      <c r="N2300">
        <v>0</v>
      </c>
      <c r="O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spans="1:22" x14ac:dyDescent="0.2">
      <c r="A2301" t="s">
        <v>3677</v>
      </c>
      <c r="B2301" t="s">
        <v>3678</v>
      </c>
      <c r="C2301" t="s">
        <v>2425</v>
      </c>
      <c r="D2301" t="s">
        <v>96</v>
      </c>
      <c r="E2301">
        <v>99.99</v>
      </c>
      <c r="F2301" t="s">
        <v>8118</v>
      </c>
      <c r="L2301" t="s">
        <v>8</v>
      </c>
      <c r="M2301" t="s">
        <v>3680</v>
      </c>
      <c r="N2301">
        <v>0</v>
      </c>
      <c r="O2301">
        <v>0</v>
      </c>
      <c r="Q2301">
        <v>0</v>
      </c>
      <c r="R2301">
        <v>0</v>
      </c>
      <c r="S2301">
        <v>0</v>
      </c>
      <c r="T2301">
        <v>0.5</v>
      </c>
      <c r="U2301">
        <v>0</v>
      </c>
      <c r="V2301">
        <v>0</v>
      </c>
    </row>
    <row r="2302" spans="1:22" x14ac:dyDescent="0.2">
      <c r="A2302" t="s">
        <v>7039</v>
      </c>
      <c r="B2302" t="s">
        <v>7040</v>
      </c>
      <c r="C2302" t="s">
        <v>2425</v>
      </c>
      <c r="D2302" t="s">
        <v>96</v>
      </c>
      <c r="E2302">
        <v>69.989999999999995</v>
      </c>
      <c r="F2302" t="s">
        <v>8118</v>
      </c>
      <c r="L2302" t="s">
        <v>8</v>
      </c>
      <c r="M2302" t="s">
        <v>8004</v>
      </c>
      <c r="N2302">
        <v>0</v>
      </c>
      <c r="O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spans="1:22" x14ac:dyDescent="0.2">
      <c r="A2303" t="s">
        <v>7153</v>
      </c>
      <c r="B2303" t="s">
        <v>7155</v>
      </c>
      <c r="C2303" t="s">
        <v>2425</v>
      </c>
      <c r="D2303" t="s">
        <v>96</v>
      </c>
      <c r="E2303">
        <v>49.99</v>
      </c>
      <c r="F2303" t="s">
        <v>8118</v>
      </c>
      <c r="L2303" t="s">
        <v>8</v>
      </c>
      <c r="M2303" t="s">
        <v>7946</v>
      </c>
      <c r="N2303">
        <v>0</v>
      </c>
      <c r="O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spans="1:22" x14ac:dyDescent="0.2">
      <c r="A2304" t="s">
        <v>3659</v>
      </c>
      <c r="B2304" t="s">
        <v>3660</v>
      </c>
      <c r="C2304" t="s">
        <v>2425</v>
      </c>
      <c r="D2304" t="s">
        <v>96</v>
      </c>
      <c r="E2304">
        <v>49.99</v>
      </c>
      <c r="F2304" t="s">
        <v>8118</v>
      </c>
      <c r="L2304" t="s">
        <v>8</v>
      </c>
      <c r="M2304" t="s">
        <v>7985</v>
      </c>
      <c r="N2304">
        <v>0</v>
      </c>
      <c r="O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spans="1:22" x14ac:dyDescent="0.2">
      <c r="A2305" t="s">
        <v>3665</v>
      </c>
      <c r="B2305" t="s">
        <v>3666</v>
      </c>
      <c r="C2305" t="s">
        <v>2425</v>
      </c>
      <c r="D2305" t="s">
        <v>290</v>
      </c>
      <c r="E2305">
        <v>39.99</v>
      </c>
      <c r="F2305" t="s">
        <v>8118</v>
      </c>
      <c r="L2305" t="s">
        <v>8</v>
      </c>
      <c r="M2305" t="s">
        <v>8011</v>
      </c>
      <c r="N2305">
        <v>0</v>
      </c>
      <c r="O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spans="1:22" x14ac:dyDescent="0.2">
      <c r="A2306" t="s">
        <v>3662</v>
      </c>
      <c r="B2306" t="s">
        <v>3663</v>
      </c>
      <c r="C2306" t="s">
        <v>2425</v>
      </c>
      <c r="D2306" t="s">
        <v>96</v>
      </c>
      <c r="E2306">
        <v>49.99</v>
      </c>
      <c r="F2306" t="s">
        <v>8118</v>
      </c>
      <c r="L2306" t="s">
        <v>8</v>
      </c>
      <c r="M2306" t="s">
        <v>7989</v>
      </c>
      <c r="N2306">
        <v>0</v>
      </c>
      <c r="O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spans="1:22" x14ac:dyDescent="0.2">
      <c r="A2307" t="s">
        <v>2426</v>
      </c>
      <c r="B2307" t="s">
        <v>2427</v>
      </c>
      <c r="C2307" t="s">
        <v>2425</v>
      </c>
      <c r="D2307" t="s">
        <v>290</v>
      </c>
      <c r="E2307">
        <v>179.99</v>
      </c>
      <c r="F2307" t="s">
        <v>8118</v>
      </c>
      <c r="L2307" t="s">
        <v>8</v>
      </c>
      <c r="M2307" t="s">
        <v>3646</v>
      </c>
      <c r="N2307">
        <v>2.4</v>
      </c>
      <c r="O2307">
        <v>0.41666666666666669</v>
      </c>
      <c r="Q2307">
        <v>0</v>
      </c>
      <c r="R2307">
        <v>0</v>
      </c>
      <c r="S2307">
        <v>6</v>
      </c>
      <c r="T2307">
        <v>2.5</v>
      </c>
      <c r="U2307">
        <v>1079.94</v>
      </c>
      <c r="V2307">
        <v>6</v>
      </c>
    </row>
    <row r="2308" spans="1:22" x14ac:dyDescent="0.2">
      <c r="A2308" t="s">
        <v>3651</v>
      </c>
      <c r="B2308" t="s">
        <v>3652</v>
      </c>
      <c r="C2308" t="s">
        <v>2425</v>
      </c>
      <c r="D2308" t="s">
        <v>290</v>
      </c>
      <c r="E2308">
        <v>109.99</v>
      </c>
      <c r="F2308" t="s">
        <v>8118</v>
      </c>
      <c r="L2308" t="s">
        <v>8</v>
      </c>
      <c r="M2308" t="s">
        <v>7990</v>
      </c>
      <c r="N2308">
        <v>0</v>
      </c>
      <c r="O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spans="1:22" x14ac:dyDescent="0.2">
      <c r="A2309" t="s">
        <v>3630</v>
      </c>
      <c r="B2309" t="s">
        <v>2432</v>
      </c>
      <c r="C2309" t="s">
        <v>2425</v>
      </c>
      <c r="D2309" t="s">
        <v>96</v>
      </c>
      <c r="E2309">
        <v>179.99</v>
      </c>
      <c r="F2309" t="s">
        <v>8118</v>
      </c>
      <c r="L2309" t="s">
        <v>8</v>
      </c>
      <c r="M2309" t="s">
        <v>7934</v>
      </c>
      <c r="N2309">
        <v>0</v>
      </c>
      <c r="O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spans="1:22" x14ac:dyDescent="0.2">
      <c r="A2310" t="s">
        <v>2431</v>
      </c>
      <c r="B2310" t="s">
        <v>2432</v>
      </c>
      <c r="C2310" t="s">
        <v>2425</v>
      </c>
      <c r="D2310" t="s">
        <v>290</v>
      </c>
      <c r="E2310">
        <v>179.99</v>
      </c>
      <c r="F2310" t="s">
        <v>8118</v>
      </c>
      <c r="L2310" t="s">
        <v>8</v>
      </c>
      <c r="M2310" t="s">
        <v>3641</v>
      </c>
      <c r="N2310">
        <v>2.3389830508474576</v>
      </c>
      <c r="O2310">
        <v>0.42753623188405798</v>
      </c>
      <c r="Q2310">
        <v>0</v>
      </c>
      <c r="R2310">
        <v>0</v>
      </c>
      <c r="S2310">
        <v>23</v>
      </c>
      <c r="T2310">
        <v>9.8333333333333339</v>
      </c>
      <c r="U2310">
        <v>0</v>
      </c>
      <c r="V2310">
        <v>23</v>
      </c>
    </row>
    <row r="2311" spans="1:22" x14ac:dyDescent="0.2">
      <c r="A2311" t="s">
        <v>3698</v>
      </c>
      <c r="B2311" t="s">
        <v>3699</v>
      </c>
      <c r="C2311" t="s">
        <v>2425</v>
      </c>
      <c r="D2311" t="s">
        <v>96</v>
      </c>
      <c r="E2311">
        <v>69.989999999999995</v>
      </c>
      <c r="F2311" t="s">
        <v>8118</v>
      </c>
      <c r="L2311" t="s">
        <v>8</v>
      </c>
      <c r="M2311" t="s">
        <v>3700</v>
      </c>
      <c r="N2311">
        <v>0</v>
      </c>
      <c r="O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spans="1:22" x14ac:dyDescent="0.2">
      <c r="A2312" t="s">
        <v>2436</v>
      </c>
      <c r="B2312" t="s">
        <v>2437</v>
      </c>
      <c r="C2312" t="s">
        <v>2425</v>
      </c>
      <c r="D2312" t="s">
        <v>290</v>
      </c>
      <c r="E2312">
        <v>159.99</v>
      </c>
      <c r="F2312" t="s">
        <v>8118</v>
      </c>
      <c r="G2312">
        <v>1</v>
      </c>
      <c r="I2312">
        <v>1</v>
      </c>
      <c r="L2312" t="s">
        <v>8</v>
      </c>
      <c r="M2312" t="s">
        <v>3638</v>
      </c>
      <c r="N2312">
        <v>1.8909090909090909</v>
      </c>
      <c r="O2312">
        <v>0.52884615384615385</v>
      </c>
      <c r="Q2312">
        <v>0</v>
      </c>
      <c r="R2312">
        <v>0</v>
      </c>
      <c r="S2312">
        <v>26</v>
      </c>
      <c r="T2312">
        <v>13.75</v>
      </c>
      <c r="U2312">
        <v>159.99</v>
      </c>
      <c r="V2312">
        <v>26</v>
      </c>
    </row>
    <row r="2313" spans="1:22" x14ac:dyDescent="0.2">
      <c r="A2313" t="s">
        <v>3648</v>
      </c>
      <c r="B2313" t="s">
        <v>3649</v>
      </c>
      <c r="C2313" t="s">
        <v>2425</v>
      </c>
      <c r="D2313" t="s">
        <v>96</v>
      </c>
      <c r="E2313">
        <v>89.99</v>
      </c>
      <c r="F2313" t="s">
        <v>8118</v>
      </c>
      <c r="L2313" t="s">
        <v>8</v>
      </c>
      <c r="M2313" t="s">
        <v>8005</v>
      </c>
      <c r="N2313">
        <v>0</v>
      </c>
      <c r="O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spans="1:22" x14ac:dyDescent="0.2">
      <c r="A2314" t="s">
        <v>3669</v>
      </c>
      <c r="B2314" t="s">
        <v>3670</v>
      </c>
      <c r="C2314" t="s">
        <v>2425</v>
      </c>
      <c r="D2314" t="s">
        <v>96</v>
      </c>
      <c r="E2314">
        <v>89.99</v>
      </c>
      <c r="F2314" t="s">
        <v>8118</v>
      </c>
      <c r="L2314" t="s">
        <v>8</v>
      </c>
      <c r="M2314" t="s">
        <v>7941</v>
      </c>
      <c r="N2314">
        <v>0</v>
      </c>
      <c r="O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spans="1:22" x14ac:dyDescent="0.2">
      <c r="A2315" t="s">
        <v>3632</v>
      </c>
      <c r="B2315" t="s">
        <v>2430</v>
      </c>
      <c r="C2315" t="s">
        <v>2425</v>
      </c>
      <c r="D2315" t="s">
        <v>96</v>
      </c>
      <c r="E2315">
        <v>149.99</v>
      </c>
      <c r="F2315" t="s">
        <v>8118</v>
      </c>
      <c r="L2315" t="s">
        <v>8</v>
      </c>
      <c r="M2315" t="s">
        <v>7945</v>
      </c>
      <c r="N2315">
        <v>0</v>
      </c>
      <c r="O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spans="1:22" x14ac:dyDescent="0.2">
      <c r="A2316" t="s">
        <v>2429</v>
      </c>
      <c r="B2316" t="s">
        <v>2430</v>
      </c>
      <c r="C2316" t="s">
        <v>2425</v>
      </c>
      <c r="D2316" t="s">
        <v>290</v>
      </c>
      <c r="E2316">
        <v>149.99</v>
      </c>
      <c r="F2316" t="s">
        <v>8118</v>
      </c>
      <c r="L2316" t="s">
        <v>8</v>
      </c>
      <c r="M2316" t="s">
        <v>7946</v>
      </c>
      <c r="N2316">
        <v>2.6865671641791047</v>
      </c>
      <c r="O2316">
        <v>0.37222222222222218</v>
      </c>
      <c r="Q2316">
        <v>0</v>
      </c>
      <c r="R2316">
        <v>0</v>
      </c>
      <c r="S2316">
        <v>30</v>
      </c>
      <c r="T2316">
        <v>11.166666666666666</v>
      </c>
      <c r="U2316">
        <v>149.99</v>
      </c>
      <c r="V2316">
        <v>30</v>
      </c>
    </row>
    <row r="2317" spans="1:22" x14ac:dyDescent="0.2">
      <c r="A2317" t="s">
        <v>3690</v>
      </c>
      <c r="B2317" t="s">
        <v>3691</v>
      </c>
      <c r="C2317" t="s">
        <v>2425</v>
      </c>
      <c r="D2317" t="s">
        <v>96</v>
      </c>
      <c r="E2317">
        <v>69.989999999999995</v>
      </c>
      <c r="F2317" t="s">
        <v>8118</v>
      </c>
      <c r="L2317" t="s">
        <v>8109</v>
      </c>
      <c r="M2317" t="s">
        <v>97</v>
      </c>
      <c r="N2317">
        <v>2</v>
      </c>
      <c r="O2317">
        <v>0</v>
      </c>
      <c r="T2317">
        <v>0</v>
      </c>
      <c r="U2317">
        <v>0</v>
      </c>
      <c r="V2317">
        <v>2</v>
      </c>
    </row>
    <row r="2318" spans="1:22" x14ac:dyDescent="0.2">
      <c r="A2318" t="s">
        <v>2426</v>
      </c>
      <c r="B2318" t="s">
        <v>2427</v>
      </c>
      <c r="C2318" t="s">
        <v>2425</v>
      </c>
      <c r="D2318" t="s">
        <v>290</v>
      </c>
      <c r="E2318">
        <v>179.99</v>
      </c>
      <c r="F2318" t="s">
        <v>8118</v>
      </c>
      <c r="L2318" t="s">
        <v>8109</v>
      </c>
      <c r="M2318" t="s">
        <v>97</v>
      </c>
      <c r="N2318">
        <v>0</v>
      </c>
      <c r="O2318">
        <v>0</v>
      </c>
      <c r="U2318">
        <v>0</v>
      </c>
      <c r="V2318">
        <v>0</v>
      </c>
    </row>
    <row r="2319" spans="1:22" x14ac:dyDescent="0.2">
      <c r="A2319" t="s">
        <v>2429</v>
      </c>
      <c r="B2319" t="s">
        <v>2430</v>
      </c>
      <c r="C2319" t="s">
        <v>2425</v>
      </c>
      <c r="D2319" t="s">
        <v>290</v>
      </c>
      <c r="E2319">
        <v>149.99</v>
      </c>
      <c r="F2319" t="s">
        <v>8118</v>
      </c>
      <c r="L2319" t="s">
        <v>8109</v>
      </c>
      <c r="M2319" t="s">
        <v>97</v>
      </c>
      <c r="N2319">
        <v>0</v>
      </c>
      <c r="O2319">
        <v>0</v>
      </c>
      <c r="U2319">
        <v>0</v>
      </c>
      <c r="V2319">
        <v>0</v>
      </c>
    </row>
    <row r="2320" spans="1:22" x14ac:dyDescent="0.2">
      <c r="A2320" t="s">
        <v>3669</v>
      </c>
      <c r="B2320" t="s">
        <v>3670</v>
      </c>
      <c r="C2320" t="s">
        <v>2425</v>
      </c>
      <c r="D2320" t="s">
        <v>96</v>
      </c>
      <c r="E2320">
        <v>89.99</v>
      </c>
      <c r="F2320" t="s">
        <v>8118</v>
      </c>
      <c r="L2320" t="s">
        <v>8109</v>
      </c>
      <c r="M2320" t="s">
        <v>97</v>
      </c>
      <c r="N2320">
        <v>0</v>
      </c>
      <c r="O2320">
        <v>0</v>
      </c>
      <c r="U2320">
        <v>0</v>
      </c>
      <c r="V2320">
        <v>0</v>
      </c>
    </row>
    <row r="2321" spans="1:22" x14ac:dyDescent="0.2">
      <c r="A2321" t="s">
        <v>3654</v>
      </c>
      <c r="B2321" t="s">
        <v>3655</v>
      </c>
      <c r="C2321" t="s">
        <v>2425</v>
      </c>
      <c r="D2321" t="s">
        <v>96</v>
      </c>
      <c r="E2321">
        <v>89.99</v>
      </c>
      <c r="F2321" t="s">
        <v>8118</v>
      </c>
      <c r="L2321" t="s">
        <v>8109</v>
      </c>
      <c r="M2321" t="s">
        <v>97</v>
      </c>
      <c r="N2321">
        <v>0</v>
      </c>
      <c r="O2321">
        <v>0</v>
      </c>
      <c r="U2321">
        <v>0</v>
      </c>
      <c r="V2321">
        <v>0</v>
      </c>
    </row>
    <row r="2322" spans="1:22" x14ac:dyDescent="0.2">
      <c r="A2322" t="s">
        <v>2438</v>
      </c>
      <c r="B2322" t="s">
        <v>2439</v>
      </c>
      <c r="C2322" t="s">
        <v>2425</v>
      </c>
      <c r="D2322" t="s">
        <v>290</v>
      </c>
      <c r="E2322">
        <v>99.99</v>
      </c>
      <c r="F2322" t="s">
        <v>8118</v>
      </c>
      <c r="L2322" t="s">
        <v>8109</v>
      </c>
      <c r="M2322" t="s">
        <v>97</v>
      </c>
      <c r="N2322">
        <v>0</v>
      </c>
      <c r="O2322">
        <v>0</v>
      </c>
      <c r="U2322">
        <v>0</v>
      </c>
      <c r="V2322">
        <v>0</v>
      </c>
    </row>
    <row r="2323" spans="1:22" x14ac:dyDescent="0.2">
      <c r="A2323" t="s">
        <v>2436</v>
      </c>
      <c r="B2323" t="s">
        <v>2437</v>
      </c>
      <c r="C2323" t="s">
        <v>2425</v>
      </c>
      <c r="D2323" t="s">
        <v>290</v>
      </c>
      <c r="E2323">
        <v>159.99</v>
      </c>
      <c r="F2323" t="s">
        <v>8118</v>
      </c>
      <c r="G2323">
        <v>1</v>
      </c>
      <c r="I2323">
        <v>1</v>
      </c>
      <c r="L2323" t="s">
        <v>8109</v>
      </c>
      <c r="M2323" t="s">
        <v>97</v>
      </c>
      <c r="N2323">
        <v>1</v>
      </c>
      <c r="O2323">
        <v>0</v>
      </c>
      <c r="T2323">
        <v>0</v>
      </c>
      <c r="U2323">
        <v>0</v>
      </c>
      <c r="V2323">
        <v>1</v>
      </c>
    </row>
    <row r="2324" spans="1:22" x14ac:dyDescent="0.2">
      <c r="A2324" t="s">
        <v>2431</v>
      </c>
      <c r="B2324" t="s">
        <v>2432</v>
      </c>
      <c r="C2324" t="s">
        <v>2425</v>
      </c>
      <c r="D2324" t="s">
        <v>290</v>
      </c>
      <c r="E2324">
        <v>179.99</v>
      </c>
      <c r="F2324" t="s">
        <v>8118</v>
      </c>
      <c r="L2324" t="s">
        <v>8109</v>
      </c>
      <c r="M2324" t="s">
        <v>97</v>
      </c>
      <c r="N2324">
        <v>0</v>
      </c>
      <c r="O2324">
        <v>0</v>
      </c>
      <c r="U2324">
        <v>0</v>
      </c>
      <c r="V2324">
        <v>0</v>
      </c>
    </row>
    <row r="2325" spans="1:22" x14ac:dyDescent="0.2">
      <c r="A2325" t="s">
        <v>3672</v>
      </c>
      <c r="B2325" t="s">
        <v>3673</v>
      </c>
      <c r="C2325" t="s">
        <v>2425</v>
      </c>
      <c r="D2325" t="s">
        <v>96</v>
      </c>
      <c r="E2325">
        <v>99.99</v>
      </c>
      <c r="F2325" t="s">
        <v>8118</v>
      </c>
      <c r="L2325" t="s">
        <v>8109</v>
      </c>
      <c r="M2325" t="s">
        <v>97</v>
      </c>
      <c r="N2325">
        <v>0</v>
      </c>
      <c r="O2325">
        <v>0</v>
      </c>
      <c r="U2325">
        <v>0</v>
      </c>
      <c r="V2325">
        <v>0</v>
      </c>
    </row>
    <row r="2326" spans="1:22" x14ac:dyDescent="0.2">
      <c r="A2326" t="s">
        <v>3662</v>
      </c>
      <c r="B2326" t="s">
        <v>3663</v>
      </c>
      <c r="C2326" t="s">
        <v>2425</v>
      </c>
      <c r="D2326" t="s">
        <v>96</v>
      </c>
      <c r="E2326">
        <v>49.99</v>
      </c>
      <c r="F2326" t="s">
        <v>8118</v>
      </c>
      <c r="L2326" t="s">
        <v>8109</v>
      </c>
      <c r="M2326" t="s">
        <v>97</v>
      </c>
      <c r="N2326">
        <v>0</v>
      </c>
      <c r="O2326">
        <v>0</v>
      </c>
      <c r="U2326">
        <v>0</v>
      </c>
      <c r="V2326">
        <v>0</v>
      </c>
    </row>
    <row r="2327" spans="1:22" x14ac:dyDescent="0.2">
      <c r="A2327" t="s">
        <v>3665</v>
      </c>
      <c r="B2327" t="s">
        <v>3666</v>
      </c>
      <c r="C2327" t="s">
        <v>2425</v>
      </c>
      <c r="D2327" t="s">
        <v>290</v>
      </c>
      <c r="E2327">
        <v>39.99</v>
      </c>
      <c r="F2327" t="s">
        <v>8118</v>
      </c>
      <c r="L2327" t="s">
        <v>8109</v>
      </c>
      <c r="M2327" t="s">
        <v>97</v>
      </c>
      <c r="N2327">
        <v>0</v>
      </c>
      <c r="O2327">
        <v>0</v>
      </c>
      <c r="U2327">
        <v>0</v>
      </c>
      <c r="V2327">
        <v>0</v>
      </c>
    </row>
    <row r="2328" spans="1:22" x14ac:dyDescent="0.2">
      <c r="A2328" t="s">
        <v>3659</v>
      </c>
      <c r="B2328" t="s">
        <v>3660</v>
      </c>
      <c r="C2328" t="s">
        <v>2425</v>
      </c>
      <c r="D2328" t="s">
        <v>96</v>
      </c>
      <c r="E2328">
        <v>49.99</v>
      </c>
      <c r="F2328" t="s">
        <v>8118</v>
      </c>
      <c r="L2328" t="s">
        <v>8109</v>
      </c>
      <c r="M2328" t="s">
        <v>97</v>
      </c>
      <c r="N2328">
        <v>0</v>
      </c>
      <c r="O2328">
        <v>0</v>
      </c>
      <c r="T2328">
        <v>0</v>
      </c>
      <c r="U2328">
        <v>0</v>
      </c>
      <c r="V2328">
        <v>0</v>
      </c>
    </row>
    <row r="2329" spans="1:22" x14ac:dyDescent="0.2">
      <c r="A2329" t="s">
        <v>3684</v>
      </c>
      <c r="B2329" t="s">
        <v>3685</v>
      </c>
      <c r="C2329" t="s">
        <v>2425</v>
      </c>
      <c r="D2329" t="s">
        <v>290</v>
      </c>
      <c r="E2329">
        <v>99.99</v>
      </c>
      <c r="F2329" t="s">
        <v>8118</v>
      </c>
      <c r="G2329">
        <v>21</v>
      </c>
      <c r="I2329">
        <v>21</v>
      </c>
      <c r="L2329" t="s">
        <v>8109</v>
      </c>
      <c r="M2329" t="s">
        <v>97</v>
      </c>
      <c r="N2329">
        <v>0</v>
      </c>
      <c r="O2329">
        <v>0</v>
      </c>
      <c r="U2329">
        <v>0</v>
      </c>
      <c r="V2329">
        <v>0</v>
      </c>
    </row>
    <row r="2330" spans="1:22" x14ac:dyDescent="0.2">
      <c r="A2330" t="s">
        <v>7153</v>
      </c>
      <c r="B2330" t="s">
        <v>7155</v>
      </c>
      <c r="C2330" t="s">
        <v>2425</v>
      </c>
      <c r="D2330" t="s">
        <v>96</v>
      </c>
      <c r="E2330">
        <v>49.99</v>
      </c>
      <c r="F2330" t="s">
        <v>8118</v>
      </c>
      <c r="L2330" t="s">
        <v>8109</v>
      </c>
      <c r="M2330" t="s">
        <v>97</v>
      </c>
      <c r="N2330">
        <v>0</v>
      </c>
      <c r="O2330">
        <v>0</v>
      </c>
      <c r="U2330">
        <v>0</v>
      </c>
      <c r="V2330">
        <v>0</v>
      </c>
    </row>
    <row r="2331" spans="1:22" x14ac:dyDescent="0.2">
      <c r="A2331" t="s">
        <v>3681</v>
      </c>
      <c r="B2331" t="s">
        <v>3682</v>
      </c>
      <c r="C2331" t="s">
        <v>2425</v>
      </c>
      <c r="D2331" t="s">
        <v>96</v>
      </c>
      <c r="E2331">
        <v>99.99</v>
      </c>
      <c r="F2331" t="s">
        <v>8118</v>
      </c>
      <c r="L2331" t="s">
        <v>8109</v>
      </c>
      <c r="M2331" t="s">
        <v>97</v>
      </c>
      <c r="N2331">
        <v>0</v>
      </c>
      <c r="O2331">
        <v>0</v>
      </c>
      <c r="U2331">
        <v>0</v>
      </c>
      <c r="V2331">
        <v>0</v>
      </c>
    </row>
    <row r="2332" spans="1:22" x14ac:dyDescent="0.2">
      <c r="A2332" t="s">
        <v>3677</v>
      </c>
      <c r="B2332" t="s">
        <v>3678</v>
      </c>
      <c r="C2332" t="s">
        <v>2425</v>
      </c>
      <c r="D2332" t="s">
        <v>96</v>
      </c>
      <c r="E2332">
        <v>99.99</v>
      </c>
      <c r="F2332" t="s">
        <v>8118</v>
      </c>
      <c r="L2332" t="s">
        <v>8109</v>
      </c>
      <c r="M2332" t="s">
        <v>97</v>
      </c>
      <c r="N2332">
        <v>0</v>
      </c>
      <c r="O2332">
        <v>0</v>
      </c>
      <c r="U2332">
        <v>0</v>
      </c>
      <c r="V2332">
        <v>0</v>
      </c>
    </row>
    <row r="2333" spans="1:22" x14ac:dyDescent="0.2">
      <c r="A2333" t="s">
        <v>7039</v>
      </c>
      <c r="B2333" t="s">
        <v>7040</v>
      </c>
      <c r="C2333" t="s">
        <v>2425</v>
      </c>
      <c r="D2333" t="s">
        <v>96</v>
      </c>
      <c r="E2333">
        <v>69.989999999999995</v>
      </c>
      <c r="F2333" t="s">
        <v>8118</v>
      </c>
      <c r="L2333" t="s">
        <v>8109</v>
      </c>
      <c r="M2333" t="s">
        <v>97</v>
      </c>
      <c r="N2333">
        <v>0</v>
      </c>
      <c r="O2333">
        <v>0</v>
      </c>
      <c r="U2333">
        <v>0</v>
      </c>
      <c r="V2333">
        <v>0</v>
      </c>
    </row>
    <row r="2334" spans="1:22" x14ac:dyDescent="0.2">
      <c r="A2334" t="s">
        <v>7166</v>
      </c>
      <c r="B2334" t="s">
        <v>7168</v>
      </c>
      <c r="C2334" t="s">
        <v>2425</v>
      </c>
      <c r="D2334" t="s">
        <v>96</v>
      </c>
      <c r="E2334">
        <v>69.989999999999995</v>
      </c>
      <c r="F2334" t="s">
        <v>8118</v>
      </c>
      <c r="L2334" t="s">
        <v>8109</v>
      </c>
      <c r="M2334" t="s">
        <v>97</v>
      </c>
      <c r="N2334">
        <v>0</v>
      </c>
      <c r="O2334">
        <v>0</v>
      </c>
      <c r="U2334">
        <v>0</v>
      </c>
      <c r="V2334">
        <v>0</v>
      </c>
    </row>
    <row r="2335" spans="1:22" x14ac:dyDescent="0.2">
      <c r="A2335" t="s">
        <v>2433</v>
      </c>
      <c r="B2335" t="s">
        <v>2434</v>
      </c>
      <c r="C2335" t="s">
        <v>2425</v>
      </c>
      <c r="D2335" t="s">
        <v>290</v>
      </c>
      <c r="E2335">
        <v>69.989999999999995</v>
      </c>
      <c r="F2335" t="s">
        <v>8118</v>
      </c>
      <c r="G2335">
        <v>30</v>
      </c>
      <c r="I2335">
        <v>30</v>
      </c>
      <c r="L2335" t="s">
        <v>8109</v>
      </c>
      <c r="M2335" t="s">
        <v>97</v>
      </c>
      <c r="N2335">
        <v>0</v>
      </c>
      <c r="O2335">
        <v>0</v>
      </c>
      <c r="U2335">
        <v>0</v>
      </c>
      <c r="V2335">
        <v>0</v>
      </c>
    </row>
    <row r="2336" spans="1:22" x14ac:dyDescent="0.2">
      <c r="A2336" t="s">
        <v>3687</v>
      </c>
      <c r="B2336" t="s">
        <v>3688</v>
      </c>
      <c r="C2336" t="s">
        <v>2425</v>
      </c>
      <c r="D2336" t="s">
        <v>96</v>
      </c>
      <c r="E2336">
        <v>99.99</v>
      </c>
      <c r="F2336" t="s">
        <v>8118</v>
      </c>
      <c r="L2336" t="s">
        <v>8109</v>
      </c>
      <c r="M2336" t="s">
        <v>97</v>
      </c>
      <c r="N2336">
        <v>0</v>
      </c>
      <c r="O2336">
        <v>0</v>
      </c>
      <c r="U2336">
        <v>0</v>
      </c>
      <c r="V2336">
        <v>0</v>
      </c>
    </row>
    <row r="2337" spans="1:22" x14ac:dyDescent="0.2">
      <c r="A2337" t="s">
        <v>2441</v>
      </c>
      <c r="B2337" t="s">
        <v>2442</v>
      </c>
      <c r="C2337" t="s">
        <v>2425</v>
      </c>
      <c r="D2337" t="s">
        <v>290</v>
      </c>
      <c r="E2337">
        <v>69.989999999999995</v>
      </c>
      <c r="F2337" t="s">
        <v>8118</v>
      </c>
      <c r="L2337" t="s">
        <v>8109</v>
      </c>
      <c r="M2337" t="s">
        <v>97</v>
      </c>
      <c r="N2337">
        <v>0</v>
      </c>
      <c r="O2337">
        <v>0</v>
      </c>
      <c r="U2337">
        <v>0</v>
      </c>
      <c r="V2337">
        <v>0</v>
      </c>
    </row>
    <row r="2338" spans="1:22" x14ac:dyDescent="0.2">
      <c r="A2338" t="s">
        <v>2436</v>
      </c>
      <c r="B2338" t="s">
        <v>2437</v>
      </c>
      <c r="C2338" t="s">
        <v>2425</v>
      </c>
      <c r="D2338" t="s">
        <v>290</v>
      </c>
      <c r="E2338">
        <v>159.99</v>
      </c>
      <c r="F2338" t="s">
        <v>8118</v>
      </c>
      <c r="G2338">
        <v>1</v>
      </c>
      <c r="I2338">
        <v>1</v>
      </c>
      <c r="L2338" t="s">
        <v>7029</v>
      </c>
      <c r="N2338">
        <v>0</v>
      </c>
      <c r="O2338">
        <v>0</v>
      </c>
      <c r="T2338">
        <v>0</v>
      </c>
      <c r="U2338">
        <v>0</v>
      </c>
      <c r="V2338">
        <v>0</v>
      </c>
    </row>
    <row r="2339" spans="1:22" x14ac:dyDescent="0.2">
      <c r="A2339" t="s">
        <v>2441</v>
      </c>
      <c r="B2339" t="s">
        <v>2442</v>
      </c>
      <c r="C2339" t="s">
        <v>2425</v>
      </c>
      <c r="D2339" t="s">
        <v>290</v>
      </c>
      <c r="E2339">
        <v>69.989999999999995</v>
      </c>
      <c r="F2339" t="s">
        <v>8118</v>
      </c>
      <c r="L2339" t="s">
        <v>7029</v>
      </c>
      <c r="N2339">
        <v>0</v>
      </c>
      <c r="O2339">
        <v>0</v>
      </c>
      <c r="T2339">
        <v>0</v>
      </c>
      <c r="U2339">
        <v>0</v>
      </c>
      <c r="V2339">
        <v>0</v>
      </c>
    </row>
    <row r="2340" spans="1:22" x14ac:dyDescent="0.2">
      <c r="A2340" t="s">
        <v>2438</v>
      </c>
      <c r="B2340" t="s">
        <v>2439</v>
      </c>
      <c r="C2340" t="s">
        <v>2425</v>
      </c>
      <c r="D2340" t="s">
        <v>290</v>
      </c>
      <c r="E2340">
        <v>99.99</v>
      </c>
      <c r="F2340" t="s">
        <v>8118</v>
      </c>
      <c r="L2340" t="s">
        <v>7029</v>
      </c>
      <c r="N2340">
        <v>0</v>
      </c>
      <c r="O2340">
        <v>0</v>
      </c>
      <c r="T2340">
        <v>0</v>
      </c>
      <c r="U2340">
        <v>0</v>
      </c>
      <c r="V2340">
        <v>0</v>
      </c>
    </row>
    <row r="2341" spans="1:22" x14ac:dyDescent="0.2">
      <c r="A2341" t="s">
        <v>2429</v>
      </c>
      <c r="B2341" t="s">
        <v>2430</v>
      </c>
      <c r="C2341" t="s">
        <v>2425</v>
      </c>
      <c r="D2341" t="s">
        <v>290</v>
      </c>
      <c r="E2341">
        <v>149.99</v>
      </c>
      <c r="F2341" t="s">
        <v>8118</v>
      </c>
      <c r="L2341" t="s">
        <v>7029</v>
      </c>
      <c r="N2341">
        <v>0</v>
      </c>
      <c r="O2341">
        <v>0</v>
      </c>
      <c r="T2341">
        <v>0</v>
      </c>
      <c r="U2341">
        <v>0</v>
      </c>
      <c r="V2341">
        <v>0</v>
      </c>
    </row>
    <row r="2342" spans="1:22" x14ac:dyDescent="0.2">
      <c r="A2342" t="s">
        <v>2431</v>
      </c>
      <c r="B2342" t="s">
        <v>2432</v>
      </c>
      <c r="C2342" t="s">
        <v>2425</v>
      </c>
      <c r="D2342" t="s">
        <v>290</v>
      </c>
      <c r="E2342">
        <v>179.99</v>
      </c>
      <c r="F2342" t="s">
        <v>8118</v>
      </c>
      <c r="L2342" t="s">
        <v>7029</v>
      </c>
      <c r="N2342">
        <v>0</v>
      </c>
      <c r="O2342">
        <v>0</v>
      </c>
      <c r="T2342">
        <v>0</v>
      </c>
      <c r="U2342">
        <v>0</v>
      </c>
      <c r="V2342">
        <v>0</v>
      </c>
    </row>
    <row r="2343" spans="1:22" x14ac:dyDescent="0.2">
      <c r="A2343" t="s">
        <v>2479</v>
      </c>
      <c r="B2343" t="s">
        <v>8127</v>
      </c>
      <c r="C2343" t="s">
        <v>2448</v>
      </c>
      <c r="D2343" t="s">
        <v>228</v>
      </c>
      <c r="E2343">
        <v>59.99</v>
      </c>
      <c r="F2343" t="s">
        <v>8118</v>
      </c>
      <c r="G2343">
        <v>110</v>
      </c>
      <c r="H2343">
        <v>7</v>
      </c>
      <c r="I2343">
        <v>103</v>
      </c>
      <c r="L2343" t="s">
        <v>8119</v>
      </c>
      <c r="U2343">
        <v>0</v>
      </c>
      <c r="V2343">
        <v>5</v>
      </c>
    </row>
    <row r="2344" spans="1:22" x14ac:dyDescent="0.2">
      <c r="A2344" t="s">
        <v>2471</v>
      </c>
      <c r="B2344" t="s">
        <v>2472</v>
      </c>
      <c r="C2344" t="s">
        <v>2448</v>
      </c>
      <c r="D2344" t="s">
        <v>228</v>
      </c>
      <c r="E2344">
        <v>59.99</v>
      </c>
      <c r="F2344" t="s">
        <v>8118</v>
      </c>
      <c r="G2344">
        <v>280</v>
      </c>
      <c r="H2344">
        <v>35</v>
      </c>
      <c r="I2344">
        <v>245</v>
      </c>
      <c r="L2344" t="s">
        <v>8119</v>
      </c>
      <c r="U2344">
        <v>299.95</v>
      </c>
      <c r="V2344">
        <v>3</v>
      </c>
    </row>
    <row r="2345" spans="1:22" x14ac:dyDescent="0.2">
      <c r="A2345" t="s">
        <v>2473</v>
      </c>
      <c r="B2345" t="s">
        <v>7017</v>
      </c>
      <c r="C2345" t="s">
        <v>2448</v>
      </c>
      <c r="D2345" t="s">
        <v>228</v>
      </c>
      <c r="E2345">
        <v>59.99</v>
      </c>
      <c r="F2345" t="s">
        <v>8118</v>
      </c>
      <c r="J2345">
        <v>13</v>
      </c>
      <c r="K2345">
        <v>700</v>
      </c>
      <c r="L2345" t="s">
        <v>8119</v>
      </c>
      <c r="U2345">
        <v>179.97</v>
      </c>
      <c r="V2345">
        <v>4</v>
      </c>
    </row>
    <row r="2346" spans="1:22" x14ac:dyDescent="0.2">
      <c r="A2346" t="s">
        <v>2481</v>
      </c>
      <c r="B2346" t="s">
        <v>2482</v>
      </c>
      <c r="C2346" t="s">
        <v>2448</v>
      </c>
      <c r="D2346" t="s">
        <v>228</v>
      </c>
      <c r="E2346">
        <v>59.99</v>
      </c>
      <c r="F2346" t="s">
        <v>8118</v>
      </c>
      <c r="J2346">
        <v>3</v>
      </c>
      <c r="L2346" t="s">
        <v>8119</v>
      </c>
      <c r="U2346">
        <v>479.92</v>
      </c>
      <c r="V2346">
        <v>167</v>
      </c>
    </row>
    <row r="2347" spans="1:22" x14ac:dyDescent="0.2">
      <c r="A2347" t="s">
        <v>2485</v>
      </c>
      <c r="B2347" t="s">
        <v>2486</v>
      </c>
      <c r="C2347" t="s">
        <v>2448</v>
      </c>
      <c r="D2347" t="s">
        <v>228</v>
      </c>
      <c r="E2347">
        <v>59.99</v>
      </c>
      <c r="F2347" t="s">
        <v>8118</v>
      </c>
      <c r="J2347">
        <v>3</v>
      </c>
      <c r="L2347" t="s">
        <v>8119</v>
      </c>
      <c r="U2347">
        <v>299.95</v>
      </c>
      <c r="V2347">
        <v>108</v>
      </c>
    </row>
    <row r="2348" spans="1:22" x14ac:dyDescent="0.2">
      <c r="A2348" t="s">
        <v>7664</v>
      </c>
      <c r="B2348" t="s">
        <v>7665</v>
      </c>
      <c r="C2348" t="s">
        <v>2448</v>
      </c>
      <c r="D2348" t="s">
        <v>96</v>
      </c>
      <c r="E2348">
        <v>59.99</v>
      </c>
      <c r="F2348" t="s">
        <v>8118</v>
      </c>
      <c r="L2348" t="s">
        <v>8119</v>
      </c>
      <c r="U2348">
        <v>0</v>
      </c>
      <c r="V2348">
        <v>0</v>
      </c>
    </row>
    <row r="2349" spans="1:22" x14ac:dyDescent="0.2">
      <c r="A2349" t="s">
        <v>2465</v>
      </c>
      <c r="B2349" t="s">
        <v>2466</v>
      </c>
      <c r="C2349" t="s">
        <v>2448</v>
      </c>
      <c r="D2349" t="s">
        <v>96</v>
      </c>
      <c r="E2349">
        <v>59.99</v>
      </c>
      <c r="F2349" t="s">
        <v>8118</v>
      </c>
      <c r="L2349" t="s">
        <v>8119</v>
      </c>
      <c r="U2349">
        <v>0</v>
      </c>
      <c r="V2349">
        <v>0</v>
      </c>
    </row>
    <row r="2350" spans="1:22" x14ac:dyDescent="0.2">
      <c r="A2350" t="s">
        <v>2467</v>
      </c>
      <c r="B2350" t="s">
        <v>2468</v>
      </c>
      <c r="C2350" t="s">
        <v>2448</v>
      </c>
      <c r="D2350" t="s">
        <v>96</v>
      </c>
      <c r="E2350">
        <v>59.99</v>
      </c>
      <c r="F2350" t="s">
        <v>8118</v>
      </c>
      <c r="L2350" t="s">
        <v>8119</v>
      </c>
      <c r="U2350">
        <v>0</v>
      </c>
      <c r="V2350">
        <v>0</v>
      </c>
    </row>
    <row r="2351" spans="1:22" x14ac:dyDescent="0.2">
      <c r="A2351" t="s">
        <v>7625</v>
      </c>
      <c r="B2351" t="s">
        <v>7626</v>
      </c>
      <c r="C2351" t="s">
        <v>2448</v>
      </c>
      <c r="D2351" t="s">
        <v>96</v>
      </c>
      <c r="E2351">
        <v>59.99</v>
      </c>
      <c r="F2351" t="s">
        <v>8118</v>
      </c>
      <c r="L2351" t="s">
        <v>8119</v>
      </c>
      <c r="U2351">
        <v>0</v>
      </c>
      <c r="V2351">
        <v>0</v>
      </c>
    </row>
    <row r="2352" spans="1:22" x14ac:dyDescent="0.2">
      <c r="A2352" t="s">
        <v>2469</v>
      </c>
      <c r="B2352" t="s">
        <v>2470</v>
      </c>
      <c r="C2352" t="s">
        <v>2448</v>
      </c>
      <c r="D2352" t="s">
        <v>96</v>
      </c>
      <c r="E2352">
        <v>59.99</v>
      </c>
      <c r="F2352" t="s">
        <v>8118</v>
      </c>
      <c r="L2352" t="s">
        <v>8119</v>
      </c>
      <c r="U2352">
        <v>0</v>
      </c>
      <c r="V2352">
        <v>0</v>
      </c>
    </row>
    <row r="2353" spans="1:22" x14ac:dyDescent="0.2">
      <c r="A2353" t="s">
        <v>2463</v>
      </c>
      <c r="B2353" t="s">
        <v>2464</v>
      </c>
      <c r="C2353" t="s">
        <v>2448</v>
      </c>
      <c r="D2353" t="s">
        <v>96</v>
      </c>
      <c r="E2353">
        <v>59.99</v>
      </c>
      <c r="F2353" t="s">
        <v>8118</v>
      </c>
      <c r="L2353" t="s">
        <v>8119</v>
      </c>
      <c r="U2353">
        <v>0</v>
      </c>
      <c r="V2353">
        <v>0</v>
      </c>
    </row>
    <row r="2354" spans="1:22" x14ac:dyDescent="0.2">
      <c r="A2354" t="s">
        <v>2481</v>
      </c>
      <c r="B2354" t="s">
        <v>2482</v>
      </c>
      <c r="C2354" t="s">
        <v>2448</v>
      </c>
      <c r="D2354" t="s">
        <v>228</v>
      </c>
      <c r="E2354">
        <v>59.99</v>
      </c>
      <c r="F2354" t="s">
        <v>8118</v>
      </c>
      <c r="J2354">
        <v>3</v>
      </c>
      <c r="L2354" t="s">
        <v>14</v>
      </c>
      <c r="M2354" t="s">
        <v>97</v>
      </c>
      <c r="N2354">
        <v>28.799999999999997</v>
      </c>
      <c r="O2354">
        <v>3.4722222222222224E-2</v>
      </c>
      <c r="T2354">
        <v>2.0833333333333335</v>
      </c>
      <c r="U2354">
        <v>179.97</v>
      </c>
      <c r="V2354">
        <v>60</v>
      </c>
    </row>
    <row r="2355" spans="1:22" x14ac:dyDescent="0.2">
      <c r="A2355" t="s">
        <v>2469</v>
      </c>
      <c r="B2355" t="s">
        <v>2470</v>
      </c>
      <c r="C2355" t="s">
        <v>2448</v>
      </c>
      <c r="D2355" t="s">
        <v>96</v>
      </c>
      <c r="E2355">
        <v>59.99</v>
      </c>
      <c r="F2355" t="s">
        <v>8118</v>
      </c>
      <c r="L2355" t="s">
        <v>14</v>
      </c>
      <c r="M2355" t="s">
        <v>97</v>
      </c>
      <c r="N2355">
        <v>0</v>
      </c>
      <c r="O2355">
        <v>0</v>
      </c>
      <c r="T2355">
        <v>0</v>
      </c>
      <c r="U2355">
        <v>0</v>
      </c>
      <c r="V2355">
        <v>2</v>
      </c>
    </row>
    <row r="2356" spans="1:22" x14ac:dyDescent="0.2">
      <c r="A2356" t="s">
        <v>2485</v>
      </c>
      <c r="B2356" t="s">
        <v>2486</v>
      </c>
      <c r="C2356" t="s">
        <v>2448</v>
      </c>
      <c r="D2356" t="s">
        <v>228</v>
      </c>
      <c r="E2356">
        <v>59.99</v>
      </c>
      <c r="F2356" t="s">
        <v>8118</v>
      </c>
      <c r="J2356">
        <v>3</v>
      </c>
      <c r="L2356" t="s">
        <v>14</v>
      </c>
      <c r="M2356" t="s">
        <v>97</v>
      </c>
      <c r="N2356">
        <v>28</v>
      </c>
      <c r="O2356">
        <v>3.5714285714285712E-2</v>
      </c>
      <c r="T2356">
        <v>2.5</v>
      </c>
      <c r="U2356">
        <v>119.98</v>
      </c>
      <c r="V2356">
        <v>70</v>
      </c>
    </row>
    <row r="2357" spans="1:22" x14ac:dyDescent="0.2">
      <c r="A2357" t="s">
        <v>2467</v>
      </c>
      <c r="B2357" t="s">
        <v>2468</v>
      </c>
      <c r="C2357" t="s">
        <v>2448</v>
      </c>
      <c r="D2357" t="s">
        <v>96</v>
      </c>
      <c r="E2357">
        <v>59.99</v>
      </c>
      <c r="F2357" t="s">
        <v>8118</v>
      </c>
      <c r="L2357" t="s">
        <v>14</v>
      </c>
      <c r="M2357" t="s">
        <v>97</v>
      </c>
      <c r="N2357">
        <v>0</v>
      </c>
      <c r="O2357">
        <v>0</v>
      </c>
      <c r="T2357">
        <v>0</v>
      </c>
      <c r="U2357">
        <v>0</v>
      </c>
      <c r="V2357">
        <v>0</v>
      </c>
    </row>
    <row r="2358" spans="1:22" x14ac:dyDescent="0.2">
      <c r="A2358" t="s">
        <v>2463</v>
      </c>
      <c r="B2358" t="s">
        <v>2464</v>
      </c>
      <c r="C2358" t="s">
        <v>2448</v>
      </c>
      <c r="D2358" t="s">
        <v>96</v>
      </c>
      <c r="E2358">
        <v>59.99</v>
      </c>
      <c r="F2358" t="s">
        <v>8118</v>
      </c>
      <c r="L2358" t="s">
        <v>14</v>
      </c>
      <c r="M2358" t="s">
        <v>97</v>
      </c>
      <c r="N2358">
        <v>77.217391304347828</v>
      </c>
      <c r="O2358">
        <v>1.2950450450450452E-2</v>
      </c>
      <c r="T2358">
        <v>1.9166666666666667</v>
      </c>
      <c r="U2358">
        <v>59.99</v>
      </c>
      <c r="V2358">
        <v>148</v>
      </c>
    </row>
    <row r="2359" spans="1:22" x14ac:dyDescent="0.2">
      <c r="A2359" t="s">
        <v>2473</v>
      </c>
      <c r="B2359" t="s">
        <v>7017</v>
      </c>
      <c r="C2359" t="s">
        <v>2448</v>
      </c>
      <c r="D2359" t="s">
        <v>228</v>
      </c>
      <c r="E2359">
        <v>59.99</v>
      </c>
      <c r="F2359" t="s">
        <v>8118</v>
      </c>
      <c r="J2359">
        <v>13</v>
      </c>
      <c r="K2359">
        <v>700</v>
      </c>
      <c r="L2359" t="s">
        <v>14</v>
      </c>
      <c r="M2359" t="s">
        <v>97</v>
      </c>
      <c r="N2359">
        <v>62.727272727272727</v>
      </c>
      <c r="O2359">
        <v>1.5942028985507246E-2</v>
      </c>
      <c r="T2359">
        <v>1.8333333333333333</v>
      </c>
      <c r="U2359">
        <v>179.97</v>
      </c>
      <c r="V2359">
        <v>115</v>
      </c>
    </row>
    <row r="2360" spans="1:22" x14ac:dyDescent="0.2">
      <c r="A2360" t="s">
        <v>2471</v>
      </c>
      <c r="B2360" t="s">
        <v>2472</v>
      </c>
      <c r="C2360" t="s">
        <v>2448</v>
      </c>
      <c r="D2360" t="s">
        <v>228</v>
      </c>
      <c r="E2360">
        <v>59.99</v>
      </c>
      <c r="F2360" t="s">
        <v>8118</v>
      </c>
      <c r="G2360">
        <v>280</v>
      </c>
      <c r="H2360">
        <v>35</v>
      </c>
      <c r="I2360">
        <v>245</v>
      </c>
      <c r="L2360" t="s">
        <v>14</v>
      </c>
      <c r="M2360" t="s">
        <v>97</v>
      </c>
      <c r="N2360">
        <v>105</v>
      </c>
      <c r="O2360">
        <v>9.5238095238095247E-3</v>
      </c>
      <c r="T2360">
        <v>1</v>
      </c>
      <c r="U2360">
        <v>59.99</v>
      </c>
      <c r="V2360">
        <v>105</v>
      </c>
    </row>
    <row r="2361" spans="1:22" x14ac:dyDescent="0.2">
      <c r="A2361" t="s">
        <v>2469</v>
      </c>
      <c r="B2361" t="s">
        <v>2470</v>
      </c>
      <c r="C2361" t="s">
        <v>2448</v>
      </c>
      <c r="D2361" t="s">
        <v>96</v>
      </c>
      <c r="E2361">
        <v>59.99</v>
      </c>
      <c r="F2361" t="s">
        <v>8118</v>
      </c>
      <c r="L2361" t="s">
        <v>10</v>
      </c>
      <c r="M2361">
        <v>438310</v>
      </c>
      <c r="N2361">
        <v>0</v>
      </c>
      <c r="O2361">
        <v>0</v>
      </c>
      <c r="P2361" t="s">
        <v>290</v>
      </c>
      <c r="T2361">
        <v>0</v>
      </c>
      <c r="U2361">
        <v>59.99</v>
      </c>
      <c r="V2361">
        <v>3</v>
      </c>
    </row>
    <row r="2362" spans="1:22" x14ac:dyDescent="0.2">
      <c r="A2362" t="s">
        <v>2477</v>
      </c>
      <c r="B2362" t="s">
        <v>7021</v>
      </c>
      <c r="C2362" t="s">
        <v>2448</v>
      </c>
      <c r="D2362" t="s">
        <v>228</v>
      </c>
      <c r="E2362">
        <v>59.99</v>
      </c>
      <c r="F2362" t="s">
        <v>8118</v>
      </c>
      <c r="G2362">
        <v>354</v>
      </c>
      <c r="H2362">
        <v>62</v>
      </c>
      <c r="I2362">
        <v>292</v>
      </c>
      <c r="K2362">
        <v>500</v>
      </c>
      <c r="L2362" t="s">
        <v>10</v>
      </c>
      <c r="M2362">
        <v>750328</v>
      </c>
      <c r="N2362">
        <v>75</v>
      </c>
      <c r="O2362">
        <v>1.3328157349896482E-2</v>
      </c>
      <c r="T2362">
        <v>9</v>
      </c>
      <c r="U2362">
        <v>4859.1900000000005</v>
      </c>
      <c r="V2362">
        <v>644</v>
      </c>
    </row>
    <row r="2363" spans="1:22" x14ac:dyDescent="0.2">
      <c r="A2363" t="s">
        <v>2479</v>
      </c>
      <c r="B2363" t="s">
        <v>8127</v>
      </c>
      <c r="C2363" t="s">
        <v>2448</v>
      </c>
      <c r="D2363" t="s">
        <v>228</v>
      </c>
      <c r="E2363">
        <v>59.99</v>
      </c>
      <c r="F2363" t="s">
        <v>8118</v>
      </c>
      <c r="G2363">
        <v>110</v>
      </c>
      <c r="H2363">
        <v>7</v>
      </c>
      <c r="I2363">
        <v>103</v>
      </c>
      <c r="L2363" t="s">
        <v>10</v>
      </c>
      <c r="M2363">
        <v>638942</v>
      </c>
      <c r="N2363">
        <v>1</v>
      </c>
      <c r="O2363">
        <v>0.875</v>
      </c>
      <c r="P2363" t="s">
        <v>7015</v>
      </c>
      <c r="T2363">
        <v>4</v>
      </c>
      <c r="U2363">
        <v>119.98</v>
      </c>
      <c r="V2363">
        <v>4</v>
      </c>
    </row>
    <row r="2364" spans="1:22" x14ac:dyDescent="0.2">
      <c r="A2364" t="s">
        <v>2483</v>
      </c>
      <c r="B2364" t="s">
        <v>2484</v>
      </c>
      <c r="C2364" t="s">
        <v>2448</v>
      </c>
      <c r="D2364" t="s">
        <v>228</v>
      </c>
      <c r="E2364">
        <v>59.99</v>
      </c>
      <c r="F2364" t="s">
        <v>8118</v>
      </c>
      <c r="G2364">
        <v>99</v>
      </c>
      <c r="H2364">
        <v>83</v>
      </c>
      <c r="I2364">
        <v>16</v>
      </c>
      <c r="K2364">
        <v>1300</v>
      </c>
      <c r="L2364" t="s">
        <v>10</v>
      </c>
      <c r="M2364">
        <v>750325</v>
      </c>
      <c r="N2364">
        <v>93</v>
      </c>
      <c r="O2364">
        <v>1.0764944275582573E-2</v>
      </c>
      <c r="T2364">
        <v>7</v>
      </c>
      <c r="U2364">
        <v>3539.4100000000003</v>
      </c>
      <c r="V2364">
        <v>658</v>
      </c>
    </row>
    <row r="2365" spans="1:22" x14ac:dyDescent="0.2">
      <c r="A2365" t="s">
        <v>2475</v>
      </c>
      <c r="B2365" t="s">
        <v>7016</v>
      </c>
      <c r="C2365" t="s">
        <v>2448</v>
      </c>
      <c r="D2365" t="s">
        <v>228</v>
      </c>
      <c r="E2365">
        <v>59.99</v>
      </c>
      <c r="F2365" t="s">
        <v>8118</v>
      </c>
      <c r="G2365">
        <v>158</v>
      </c>
      <c r="H2365">
        <v>158</v>
      </c>
      <c r="K2365">
        <v>500</v>
      </c>
      <c r="L2365" t="s">
        <v>10</v>
      </c>
      <c r="M2365">
        <v>750327</v>
      </c>
      <c r="N2365">
        <v>63</v>
      </c>
      <c r="O2365">
        <v>1.5892094017094016E-2</v>
      </c>
      <c r="T2365">
        <v>10</v>
      </c>
      <c r="U2365">
        <v>6178.97</v>
      </c>
      <c r="V2365">
        <v>624</v>
      </c>
    </row>
    <row r="2366" spans="1:22" x14ac:dyDescent="0.2">
      <c r="A2366" t="s">
        <v>2473</v>
      </c>
      <c r="B2366" t="s">
        <v>7017</v>
      </c>
      <c r="C2366" t="s">
        <v>2448</v>
      </c>
      <c r="D2366" t="s">
        <v>228</v>
      </c>
      <c r="E2366">
        <v>59.99</v>
      </c>
      <c r="F2366" t="s">
        <v>8118</v>
      </c>
      <c r="J2366">
        <v>13</v>
      </c>
      <c r="K2366">
        <v>700</v>
      </c>
      <c r="L2366" t="s">
        <v>10</v>
      </c>
      <c r="M2366">
        <v>618875</v>
      </c>
      <c r="N2366">
        <v>5</v>
      </c>
      <c r="O2366">
        <v>0.2189922480620155</v>
      </c>
      <c r="P2366" t="s">
        <v>7015</v>
      </c>
      <c r="T2366">
        <v>47</v>
      </c>
      <c r="U2366">
        <v>3899.35</v>
      </c>
      <c r="V2366">
        <v>215</v>
      </c>
    </row>
    <row r="2367" spans="1:22" x14ac:dyDescent="0.2">
      <c r="A2367" t="s">
        <v>2487</v>
      </c>
      <c r="B2367" t="s">
        <v>2488</v>
      </c>
      <c r="C2367" t="s">
        <v>2448</v>
      </c>
      <c r="D2367" t="s">
        <v>228</v>
      </c>
      <c r="E2367">
        <v>59.99</v>
      </c>
      <c r="F2367" t="s">
        <v>8118</v>
      </c>
      <c r="G2367">
        <v>300</v>
      </c>
      <c r="H2367">
        <v>81</v>
      </c>
      <c r="I2367">
        <v>219</v>
      </c>
      <c r="K2367">
        <v>1300</v>
      </c>
      <c r="L2367" t="s">
        <v>10</v>
      </c>
      <c r="M2367">
        <v>750326</v>
      </c>
      <c r="N2367">
        <v>75</v>
      </c>
      <c r="O2367">
        <v>1.328125E-2</v>
      </c>
      <c r="T2367">
        <v>8</v>
      </c>
      <c r="U2367">
        <v>4439.26</v>
      </c>
      <c r="V2367">
        <v>640</v>
      </c>
    </row>
    <row r="2368" spans="1:22" x14ac:dyDescent="0.2">
      <c r="A2368" t="s">
        <v>2485</v>
      </c>
      <c r="B2368" t="s">
        <v>2486</v>
      </c>
      <c r="C2368" t="s">
        <v>2448</v>
      </c>
      <c r="D2368" t="s">
        <v>228</v>
      </c>
      <c r="E2368">
        <v>59.99</v>
      </c>
      <c r="F2368" t="s">
        <v>8118</v>
      </c>
      <c r="J2368">
        <v>3</v>
      </c>
      <c r="L2368" t="s">
        <v>10</v>
      </c>
      <c r="M2368">
        <v>618874</v>
      </c>
      <c r="N2368">
        <v>4</v>
      </c>
      <c r="O2368">
        <v>0.23364779874213837</v>
      </c>
      <c r="P2368" t="s">
        <v>7015</v>
      </c>
      <c r="T2368">
        <v>62</v>
      </c>
      <c r="U2368">
        <v>1499.75</v>
      </c>
      <c r="V2368">
        <v>265</v>
      </c>
    </row>
    <row r="2369" spans="1:22" x14ac:dyDescent="0.2">
      <c r="A2369" t="s">
        <v>2481</v>
      </c>
      <c r="B2369" t="s">
        <v>2482</v>
      </c>
      <c r="C2369" t="s">
        <v>2448</v>
      </c>
      <c r="D2369" t="s">
        <v>228</v>
      </c>
      <c r="E2369">
        <v>59.99</v>
      </c>
      <c r="F2369" t="s">
        <v>8118</v>
      </c>
      <c r="J2369">
        <v>3</v>
      </c>
      <c r="L2369" t="s">
        <v>10</v>
      </c>
      <c r="M2369">
        <v>618873</v>
      </c>
      <c r="N2369">
        <v>4</v>
      </c>
      <c r="O2369">
        <v>0.2686536901865369</v>
      </c>
      <c r="P2369" t="s">
        <v>7015</v>
      </c>
      <c r="T2369">
        <v>110</v>
      </c>
      <c r="U2369">
        <v>4019.33</v>
      </c>
      <c r="V2369">
        <v>411</v>
      </c>
    </row>
    <row r="2370" spans="1:22" x14ac:dyDescent="0.2">
      <c r="A2370" t="s">
        <v>2463</v>
      </c>
      <c r="B2370" t="s">
        <v>2464</v>
      </c>
      <c r="C2370" t="s">
        <v>2448</v>
      </c>
      <c r="D2370" t="s">
        <v>96</v>
      </c>
      <c r="E2370">
        <v>59.99</v>
      </c>
      <c r="F2370" t="s">
        <v>8118</v>
      </c>
      <c r="L2370" t="s">
        <v>10</v>
      </c>
      <c r="M2370">
        <v>438306</v>
      </c>
      <c r="N2370">
        <v>180</v>
      </c>
      <c r="O2370">
        <v>5.5555555555555549E-3</v>
      </c>
      <c r="P2370" t="s">
        <v>290</v>
      </c>
      <c r="T2370">
        <v>0</v>
      </c>
      <c r="U2370">
        <v>0</v>
      </c>
      <c r="V2370">
        <v>15</v>
      </c>
    </row>
    <row r="2371" spans="1:22" x14ac:dyDescent="0.2">
      <c r="A2371" t="s">
        <v>2465</v>
      </c>
      <c r="B2371" t="s">
        <v>2466</v>
      </c>
      <c r="C2371" t="s">
        <v>2448</v>
      </c>
      <c r="D2371" t="s">
        <v>96</v>
      </c>
      <c r="E2371">
        <v>59.99</v>
      </c>
      <c r="F2371" t="s">
        <v>8118</v>
      </c>
      <c r="L2371" t="s">
        <v>10</v>
      </c>
      <c r="M2371">
        <v>579667</v>
      </c>
      <c r="N2371">
        <v>0</v>
      </c>
      <c r="O2371">
        <v>0</v>
      </c>
      <c r="P2371" t="s">
        <v>7015</v>
      </c>
      <c r="T2371">
        <v>0</v>
      </c>
      <c r="U2371">
        <v>0</v>
      </c>
      <c r="V2371">
        <v>0</v>
      </c>
    </row>
    <row r="2372" spans="1:22" x14ac:dyDescent="0.2">
      <c r="A2372" t="s">
        <v>2467</v>
      </c>
      <c r="B2372" t="s">
        <v>2468</v>
      </c>
      <c r="C2372" t="s">
        <v>2448</v>
      </c>
      <c r="D2372" t="s">
        <v>96</v>
      </c>
      <c r="E2372">
        <v>59.99</v>
      </c>
      <c r="F2372" t="s">
        <v>8118</v>
      </c>
      <c r="L2372" t="s">
        <v>10</v>
      </c>
      <c r="M2372">
        <v>438302</v>
      </c>
      <c r="N2372">
        <v>0</v>
      </c>
      <c r="O2372">
        <v>0</v>
      </c>
      <c r="P2372" t="s">
        <v>290</v>
      </c>
      <c r="T2372">
        <v>0</v>
      </c>
      <c r="U2372">
        <v>0</v>
      </c>
      <c r="V2372">
        <v>2</v>
      </c>
    </row>
    <row r="2373" spans="1:22" x14ac:dyDescent="0.2">
      <c r="A2373" t="s">
        <v>2471</v>
      </c>
      <c r="B2373" t="s">
        <v>2472</v>
      </c>
      <c r="C2373" t="s">
        <v>2448</v>
      </c>
      <c r="D2373" t="s">
        <v>228</v>
      </c>
      <c r="E2373">
        <v>59.99</v>
      </c>
      <c r="F2373" t="s">
        <v>8118</v>
      </c>
      <c r="G2373">
        <v>280</v>
      </c>
      <c r="H2373">
        <v>35</v>
      </c>
      <c r="I2373">
        <v>245</v>
      </c>
      <c r="L2373" t="s">
        <v>10</v>
      </c>
      <c r="M2373">
        <v>618872</v>
      </c>
      <c r="N2373">
        <v>16</v>
      </c>
      <c r="O2373">
        <v>6.2711864406779658E-2</v>
      </c>
      <c r="P2373" t="s">
        <v>7015</v>
      </c>
      <c r="T2373">
        <v>18</v>
      </c>
      <c r="U2373">
        <v>1379.77</v>
      </c>
      <c r="V2373">
        <v>295</v>
      </c>
    </row>
    <row r="2374" spans="1:22" x14ac:dyDescent="0.2">
      <c r="A2374" t="s">
        <v>2479</v>
      </c>
      <c r="B2374" t="s">
        <v>8127</v>
      </c>
      <c r="C2374" t="s">
        <v>2448</v>
      </c>
      <c r="D2374" t="s">
        <v>228</v>
      </c>
      <c r="E2374">
        <v>59.99</v>
      </c>
      <c r="F2374" t="s">
        <v>8118</v>
      </c>
      <c r="G2374">
        <v>110</v>
      </c>
      <c r="H2374">
        <v>7</v>
      </c>
      <c r="I2374">
        <v>103</v>
      </c>
      <c r="L2374" t="s">
        <v>7032</v>
      </c>
      <c r="M2374" t="s">
        <v>97</v>
      </c>
      <c r="N2374">
        <v>0</v>
      </c>
      <c r="O2374">
        <v>0</v>
      </c>
      <c r="T2374">
        <v>0</v>
      </c>
      <c r="U2374">
        <v>0</v>
      </c>
      <c r="V2374">
        <v>-1</v>
      </c>
    </row>
    <row r="2375" spans="1:22" x14ac:dyDescent="0.2">
      <c r="A2375" t="s">
        <v>2481</v>
      </c>
      <c r="B2375" t="s">
        <v>2482</v>
      </c>
      <c r="C2375" t="s">
        <v>2448</v>
      </c>
      <c r="D2375" t="s">
        <v>228</v>
      </c>
      <c r="E2375">
        <v>59.99</v>
      </c>
      <c r="F2375" t="s">
        <v>8118</v>
      </c>
      <c r="J2375">
        <v>3</v>
      </c>
      <c r="L2375" t="s">
        <v>7032</v>
      </c>
      <c r="M2375" t="s">
        <v>97</v>
      </c>
      <c r="N2375">
        <v>0</v>
      </c>
      <c r="O2375">
        <v>0</v>
      </c>
      <c r="T2375">
        <v>0</v>
      </c>
      <c r="U2375">
        <v>0</v>
      </c>
      <c r="V2375">
        <v>0</v>
      </c>
    </row>
    <row r="2376" spans="1:22" x14ac:dyDescent="0.2">
      <c r="A2376" t="s">
        <v>2485</v>
      </c>
      <c r="B2376" t="s">
        <v>2486</v>
      </c>
      <c r="C2376" t="s">
        <v>2448</v>
      </c>
      <c r="D2376" t="s">
        <v>228</v>
      </c>
      <c r="E2376">
        <v>59.99</v>
      </c>
      <c r="F2376" t="s">
        <v>8118</v>
      </c>
      <c r="J2376">
        <v>3</v>
      </c>
      <c r="L2376" t="s">
        <v>7032</v>
      </c>
      <c r="M2376" t="s">
        <v>97</v>
      </c>
      <c r="N2376">
        <v>0</v>
      </c>
      <c r="O2376">
        <v>0</v>
      </c>
      <c r="T2376">
        <v>0.2</v>
      </c>
      <c r="U2376">
        <v>0</v>
      </c>
      <c r="V2376">
        <v>0</v>
      </c>
    </row>
    <row r="2377" spans="1:22" x14ac:dyDescent="0.2">
      <c r="A2377" t="s">
        <v>2473</v>
      </c>
      <c r="B2377" t="s">
        <v>7017</v>
      </c>
      <c r="C2377" t="s">
        <v>2448</v>
      </c>
      <c r="D2377" t="s">
        <v>228</v>
      </c>
      <c r="E2377">
        <v>59.99</v>
      </c>
      <c r="F2377" t="s">
        <v>8118</v>
      </c>
      <c r="J2377">
        <v>13</v>
      </c>
      <c r="K2377">
        <v>700</v>
      </c>
      <c r="L2377" t="s">
        <v>7032</v>
      </c>
      <c r="M2377" t="s">
        <v>97</v>
      </c>
      <c r="N2377">
        <v>0</v>
      </c>
      <c r="O2377">
        <v>0</v>
      </c>
      <c r="T2377">
        <v>0</v>
      </c>
      <c r="U2377">
        <v>0</v>
      </c>
      <c r="V2377">
        <v>0</v>
      </c>
    </row>
    <row r="2378" spans="1:22" x14ac:dyDescent="0.2">
      <c r="A2378" t="s">
        <v>2471</v>
      </c>
      <c r="B2378" t="s">
        <v>2472</v>
      </c>
      <c r="C2378" t="s">
        <v>2448</v>
      </c>
      <c r="D2378" t="s">
        <v>228</v>
      </c>
      <c r="E2378">
        <v>59.99</v>
      </c>
      <c r="F2378" t="s">
        <v>8118</v>
      </c>
      <c r="G2378">
        <v>280</v>
      </c>
      <c r="H2378">
        <v>35</v>
      </c>
      <c r="I2378">
        <v>245</v>
      </c>
      <c r="L2378" t="s">
        <v>7032</v>
      </c>
      <c r="M2378" t="s">
        <v>97</v>
      </c>
      <c r="N2378">
        <v>0</v>
      </c>
      <c r="O2378">
        <v>0</v>
      </c>
      <c r="T2378">
        <v>0</v>
      </c>
      <c r="U2378">
        <v>0</v>
      </c>
      <c r="V2378">
        <v>2</v>
      </c>
    </row>
    <row r="2379" spans="1:22" x14ac:dyDescent="0.2">
      <c r="A2379" t="s">
        <v>7625</v>
      </c>
      <c r="B2379" t="s">
        <v>7626</v>
      </c>
      <c r="C2379" t="s">
        <v>2448</v>
      </c>
      <c r="D2379" t="s">
        <v>96</v>
      </c>
      <c r="E2379">
        <v>59.99</v>
      </c>
      <c r="F2379" t="s">
        <v>8118</v>
      </c>
      <c r="L2379" t="s">
        <v>7032</v>
      </c>
      <c r="M2379" t="s">
        <v>97</v>
      </c>
      <c r="N2379">
        <v>0</v>
      </c>
      <c r="O2379">
        <v>0</v>
      </c>
      <c r="T2379">
        <v>0</v>
      </c>
      <c r="U2379">
        <v>0</v>
      </c>
      <c r="V2379">
        <v>0</v>
      </c>
    </row>
    <row r="2380" spans="1:22" x14ac:dyDescent="0.2">
      <c r="A2380" t="s">
        <v>7664</v>
      </c>
      <c r="B2380" t="s">
        <v>7665</v>
      </c>
      <c r="C2380" t="s">
        <v>2448</v>
      </c>
      <c r="D2380" t="s">
        <v>96</v>
      </c>
      <c r="E2380">
        <v>59.99</v>
      </c>
      <c r="F2380" t="s">
        <v>8118</v>
      </c>
      <c r="L2380" t="s">
        <v>7032</v>
      </c>
      <c r="M2380" t="s">
        <v>97</v>
      </c>
      <c r="N2380">
        <v>0</v>
      </c>
      <c r="O2380">
        <v>0</v>
      </c>
      <c r="T2380">
        <v>0</v>
      </c>
      <c r="U2380">
        <v>0</v>
      </c>
      <c r="V2380">
        <v>0</v>
      </c>
    </row>
    <row r="2381" spans="1:22" x14ac:dyDescent="0.2">
      <c r="A2381" t="s">
        <v>2469</v>
      </c>
      <c r="B2381" t="s">
        <v>2470</v>
      </c>
      <c r="C2381" t="s">
        <v>2448</v>
      </c>
      <c r="D2381" t="s">
        <v>96</v>
      </c>
      <c r="E2381">
        <v>59.99</v>
      </c>
      <c r="F2381" t="s">
        <v>8118</v>
      </c>
      <c r="L2381" t="s">
        <v>7032</v>
      </c>
      <c r="M2381" t="s">
        <v>97</v>
      </c>
      <c r="N2381">
        <v>0</v>
      </c>
      <c r="O2381">
        <v>0</v>
      </c>
      <c r="T2381">
        <v>0</v>
      </c>
      <c r="U2381">
        <v>0</v>
      </c>
      <c r="V2381">
        <v>0</v>
      </c>
    </row>
    <row r="2382" spans="1:22" x14ac:dyDescent="0.2">
      <c r="A2382" t="s">
        <v>2467</v>
      </c>
      <c r="B2382" t="s">
        <v>2468</v>
      </c>
      <c r="C2382" t="s">
        <v>2448</v>
      </c>
      <c r="D2382" t="s">
        <v>96</v>
      </c>
      <c r="E2382">
        <v>59.99</v>
      </c>
      <c r="F2382" t="s">
        <v>8118</v>
      </c>
      <c r="L2382" t="s">
        <v>7032</v>
      </c>
      <c r="M2382" t="s">
        <v>97</v>
      </c>
      <c r="N2382">
        <v>0</v>
      </c>
      <c r="O2382">
        <v>0</v>
      </c>
      <c r="T2382">
        <v>0</v>
      </c>
      <c r="U2382">
        <v>0</v>
      </c>
      <c r="V2382">
        <v>0</v>
      </c>
    </row>
    <row r="2383" spans="1:22" x14ac:dyDescent="0.2">
      <c r="A2383" t="s">
        <v>2463</v>
      </c>
      <c r="B2383" t="s">
        <v>2464</v>
      </c>
      <c r="C2383" t="s">
        <v>2448</v>
      </c>
      <c r="D2383" t="s">
        <v>96</v>
      </c>
      <c r="E2383">
        <v>59.99</v>
      </c>
      <c r="F2383" t="s">
        <v>8118</v>
      </c>
      <c r="L2383" t="s">
        <v>7032</v>
      </c>
      <c r="M2383" t="s">
        <v>97</v>
      </c>
      <c r="N2383">
        <v>0</v>
      </c>
      <c r="O2383">
        <v>0</v>
      </c>
      <c r="T2383">
        <v>0</v>
      </c>
      <c r="U2383">
        <v>0</v>
      </c>
      <c r="V2383">
        <v>0</v>
      </c>
    </row>
    <row r="2384" spans="1:22" x14ac:dyDescent="0.2">
      <c r="A2384" t="s">
        <v>2465</v>
      </c>
      <c r="B2384" t="s">
        <v>2466</v>
      </c>
      <c r="C2384" t="s">
        <v>2448</v>
      </c>
      <c r="D2384" t="s">
        <v>96</v>
      </c>
      <c r="E2384">
        <v>59.99</v>
      </c>
      <c r="F2384" t="s">
        <v>8118</v>
      </c>
      <c r="L2384" t="s">
        <v>7032</v>
      </c>
      <c r="M2384" t="s">
        <v>97</v>
      </c>
      <c r="N2384">
        <v>0</v>
      </c>
      <c r="O2384">
        <v>0</v>
      </c>
      <c r="T2384">
        <v>0</v>
      </c>
      <c r="U2384">
        <v>0</v>
      </c>
      <c r="V2384">
        <v>0</v>
      </c>
    </row>
    <row r="2385" spans="1:22" x14ac:dyDescent="0.2">
      <c r="A2385" t="s">
        <v>2465</v>
      </c>
      <c r="B2385" t="s">
        <v>2466</v>
      </c>
      <c r="C2385" t="s">
        <v>2448</v>
      </c>
      <c r="D2385" t="s">
        <v>96</v>
      </c>
      <c r="E2385">
        <v>59.99</v>
      </c>
      <c r="F2385" t="s">
        <v>8118</v>
      </c>
      <c r="L2385" t="s">
        <v>8</v>
      </c>
      <c r="M2385" t="s">
        <v>2465</v>
      </c>
      <c r="N2385">
        <v>0</v>
      </c>
      <c r="O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spans="1:22" x14ac:dyDescent="0.2">
      <c r="A2386" t="s">
        <v>2475</v>
      </c>
      <c r="B2386" t="s">
        <v>7016</v>
      </c>
      <c r="C2386" t="s">
        <v>2448</v>
      </c>
      <c r="D2386" t="s">
        <v>228</v>
      </c>
      <c r="E2386">
        <v>59.99</v>
      </c>
      <c r="F2386" t="s">
        <v>8118</v>
      </c>
      <c r="G2386">
        <v>158</v>
      </c>
      <c r="H2386">
        <v>158</v>
      </c>
      <c r="K2386">
        <v>500</v>
      </c>
      <c r="L2386" t="s">
        <v>8</v>
      </c>
      <c r="M2386" t="s">
        <v>5739</v>
      </c>
      <c r="N2386">
        <v>102.46153846153847</v>
      </c>
      <c r="O2386">
        <v>9.7597597597597584E-3</v>
      </c>
      <c r="Q2386">
        <v>0</v>
      </c>
      <c r="R2386">
        <v>105</v>
      </c>
      <c r="S2386">
        <v>6</v>
      </c>
      <c r="T2386">
        <v>1.0833333333333333</v>
      </c>
      <c r="U2386">
        <v>719.88</v>
      </c>
      <c r="V2386">
        <v>111</v>
      </c>
    </row>
    <row r="2387" spans="1:22" x14ac:dyDescent="0.2">
      <c r="A2387" t="s">
        <v>2477</v>
      </c>
      <c r="B2387" t="s">
        <v>7021</v>
      </c>
      <c r="C2387" t="s">
        <v>2448</v>
      </c>
      <c r="D2387" t="s">
        <v>228</v>
      </c>
      <c r="E2387">
        <v>59.99</v>
      </c>
      <c r="F2387" t="s">
        <v>8118</v>
      </c>
      <c r="G2387">
        <v>354</v>
      </c>
      <c r="H2387">
        <v>62</v>
      </c>
      <c r="I2387">
        <v>292</v>
      </c>
      <c r="K2387">
        <v>500</v>
      </c>
      <c r="L2387" t="s">
        <v>8</v>
      </c>
      <c r="M2387" t="s">
        <v>5751</v>
      </c>
      <c r="N2387">
        <v>54.666666666666664</v>
      </c>
      <c r="O2387">
        <v>1.8292682926829267E-2</v>
      </c>
      <c r="Q2387">
        <v>0</v>
      </c>
      <c r="R2387">
        <v>41</v>
      </c>
      <c r="S2387">
        <v>0</v>
      </c>
      <c r="T2387">
        <v>0.75</v>
      </c>
      <c r="U2387">
        <v>479.92</v>
      </c>
      <c r="V2387">
        <v>41</v>
      </c>
    </row>
    <row r="2388" spans="1:22" x14ac:dyDescent="0.2">
      <c r="A2388" t="s">
        <v>2483</v>
      </c>
      <c r="B2388" t="s">
        <v>2484</v>
      </c>
      <c r="C2388" t="s">
        <v>2448</v>
      </c>
      <c r="D2388" t="s">
        <v>228</v>
      </c>
      <c r="E2388">
        <v>59.99</v>
      </c>
      <c r="F2388" t="s">
        <v>8118</v>
      </c>
      <c r="G2388">
        <v>99</v>
      </c>
      <c r="H2388">
        <v>83</v>
      </c>
      <c r="I2388">
        <v>16</v>
      </c>
      <c r="K2388">
        <v>1300</v>
      </c>
      <c r="L2388" t="s">
        <v>8</v>
      </c>
      <c r="M2388" t="s">
        <v>5745</v>
      </c>
      <c r="N2388">
        <v>234</v>
      </c>
      <c r="O2388">
        <v>4.2735042735042731E-3</v>
      </c>
      <c r="Q2388">
        <v>0</v>
      </c>
      <c r="R2388">
        <v>150</v>
      </c>
      <c r="S2388">
        <v>6</v>
      </c>
      <c r="T2388">
        <v>0.66666666666666663</v>
      </c>
      <c r="U2388">
        <v>419.93</v>
      </c>
      <c r="V2388">
        <v>156</v>
      </c>
    </row>
    <row r="2389" spans="1:22" x14ac:dyDescent="0.2">
      <c r="A2389" t="s">
        <v>2487</v>
      </c>
      <c r="B2389" t="s">
        <v>2488</v>
      </c>
      <c r="C2389" t="s">
        <v>2448</v>
      </c>
      <c r="D2389" t="s">
        <v>228</v>
      </c>
      <c r="E2389">
        <v>59.99</v>
      </c>
      <c r="F2389" t="s">
        <v>8118</v>
      </c>
      <c r="G2389">
        <v>300</v>
      </c>
      <c r="H2389">
        <v>81</v>
      </c>
      <c r="I2389">
        <v>219</v>
      </c>
      <c r="K2389">
        <v>1300</v>
      </c>
      <c r="L2389" t="s">
        <v>8</v>
      </c>
      <c r="M2389" t="s">
        <v>5754</v>
      </c>
      <c r="N2389">
        <v>194.39999999999998</v>
      </c>
      <c r="O2389">
        <v>5.1440329218106996E-3</v>
      </c>
      <c r="Q2389">
        <v>0</v>
      </c>
      <c r="R2389">
        <v>81</v>
      </c>
      <c r="S2389">
        <v>0</v>
      </c>
      <c r="T2389">
        <v>0.41666666666666669</v>
      </c>
      <c r="U2389">
        <v>239.96</v>
      </c>
      <c r="V2389">
        <v>81</v>
      </c>
    </row>
    <row r="2390" spans="1:22" x14ac:dyDescent="0.2">
      <c r="A2390" t="s">
        <v>2485</v>
      </c>
      <c r="B2390" t="s">
        <v>2486</v>
      </c>
      <c r="C2390" t="s">
        <v>2448</v>
      </c>
      <c r="D2390" t="s">
        <v>228</v>
      </c>
      <c r="E2390">
        <v>59.99</v>
      </c>
      <c r="F2390" t="s">
        <v>8118</v>
      </c>
      <c r="J2390">
        <v>3</v>
      </c>
      <c r="L2390" t="s">
        <v>8</v>
      </c>
      <c r="M2390" t="s">
        <v>5748</v>
      </c>
      <c r="N2390">
        <v>5.5877862595419847</v>
      </c>
      <c r="O2390">
        <v>0.17896174863387976</v>
      </c>
      <c r="Q2390">
        <v>0</v>
      </c>
      <c r="R2390">
        <v>46</v>
      </c>
      <c r="S2390">
        <v>76</v>
      </c>
      <c r="T2390">
        <v>21.833333333333332</v>
      </c>
      <c r="U2390">
        <v>899.85</v>
      </c>
      <c r="V2390">
        <v>122</v>
      </c>
    </row>
    <row r="2391" spans="1:22" x14ac:dyDescent="0.2">
      <c r="A2391" t="s">
        <v>2479</v>
      </c>
      <c r="B2391" t="s">
        <v>8127</v>
      </c>
      <c r="C2391" t="s">
        <v>2448</v>
      </c>
      <c r="D2391" t="s">
        <v>228</v>
      </c>
      <c r="E2391">
        <v>59.99</v>
      </c>
      <c r="F2391" t="s">
        <v>8118</v>
      </c>
      <c r="G2391">
        <v>110</v>
      </c>
      <c r="H2391">
        <v>7</v>
      </c>
      <c r="I2391">
        <v>103</v>
      </c>
      <c r="L2391" t="s">
        <v>8</v>
      </c>
      <c r="M2391" t="s">
        <v>5730</v>
      </c>
      <c r="N2391">
        <v>15.130434782608695</v>
      </c>
      <c r="O2391">
        <v>6.6091954022988508E-2</v>
      </c>
      <c r="Q2391">
        <v>0</v>
      </c>
      <c r="R2391">
        <v>57</v>
      </c>
      <c r="S2391">
        <v>1</v>
      </c>
      <c r="T2391">
        <v>3.8333333333333335</v>
      </c>
      <c r="U2391">
        <v>479.92</v>
      </c>
      <c r="V2391">
        <v>58</v>
      </c>
    </row>
    <row r="2392" spans="1:22" x14ac:dyDescent="0.2">
      <c r="A2392" t="s">
        <v>2473</v>
      </c>
      <c r="B2392" t="s">
        <v>7017</v>
      </c>
      <c r="C2392" t="s">
        <v>2448</v>
      </c>
      <c r="D2392" t="s">
        <v>228</v>
      </c>
      <c r="E2392">
        <v>59.99</v>
      </c>
      <c r="F2392" t="s">
        <v>8118</v>
      </c>
      <c r="J2392">
        <v>13</v>
      </c>
      <c r="K2392">
        <v>700</v>
      </c>
      <c r="L2392" t="s">
        <v>8</v>
      </c>
      <c r="M2392" t="s">
        <v>5736</v>
      </c>
      <c r="N2392">
        <v>11.04153354632588</v>
      </c>
      <c r="O2392">
        <v>9.0567129629629622E-2</v>
      </c>
      <c r="Q2392">
        <v>1</v>
      </c>
      <c r="R2392">
        <v>32</v>
      </c>
      <c r="S2392">
        <v>255</v>
      </c>
      <c r="T2392">
        <v>26.083333333333332</v>
      </c>
      <c r="U2392">
        <v>4139.3100000000004</v>
      </c>
      <c r="V2392">
        <v>288</v>
      </c>
    </row>
    <row r="2393" spans="1:22" x14ac:dyDescent="0.2">
      <c r="A2393" t="s">
        <v>2471</v>
      </c>
      <c r="B2393" t="s">
        <v>2472</v>
      </c>
      <c r="C2393" t="s">
        <v>2448</v>
      </c>
      <c r="D2393" t="s">
        <v>228</v>
      </c>
      <c r="E2393">
        <v>59.99</v>
      </c>
      <c r="F2393" t="s">
        <v>8118</v>
      </c>
      <c r="G2393">
        <v>280</v>
      </c>
      <c r="H2393">
        <v>35</v>
      </c>
      <c r="I2393">
        <v>245</v>
      </c>
      <c r="L2393" t="s">
        <v>8</v>
      </c>
      <c r="M2393" t="s">
        <v>5733</v>
      </c>
      <c r="N2393">
        <v>19.12</v>
      </c>
      <c r="O2393">
        <v>5.2301255230125521E-2</v>
      </c>
      <c r="Q2393">
        <v>0</v>
      </c>
      <c r="R2393">
        <v>35</v>
      </c>
      <c r="S2393">
        <v>204</v>
      </c>
      <c r="T2393">
        <v>12.5</v>
      </c>
      <c r="U2393">
        <v>659.89</v>
      </c>
      <c r="V2393">
        <v>239</v>
      </c>
    </row>
    <row r="2394" spans="1:22" x14ac:dyDescent="0.2">
      <c r="A2394" t="s">
        <v>2469</v>
      </c>
      <c r="B2394" t="s">
        <v>2470</v>
      </c>
      <c r="C2394" t="s">
        <v>2448</v>
      </c>
      <c r="D2394" t="s">
        <v>96</v>
      </c>
      <c r="E2394">
        <v>59.99</v>
      </c>
      <c r="F2394" t="s">
        <v>8118</v>
      </c>
      <c r="L2394" t="s">
        <v>8</v>
      </c>
      <c r="M2394" t="s">
        <v>7948</v>
      </c>
      <c r="N2394">
        <v>0</v>
      </c>
      <c r="O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spans="1:22" x14ac:dyDescent="0.2">
      <c r="A2395" t="s">
        <v>2481</v>
      </c>
      <c r="B2395" t="s">
        <v>2482</v>
      </c>
      <c r="C2395" t="s">
        <v>2448</v>
      </c>
      <c r="D2395" t="s">
        <v>228</v>
      </c>
      <c r="E2395">
        <v>59.99</v>
      </c>
      <c r="F2395" t="s">
        <v>8118</v>
      </c>
      <c r="J2395">
        <v>3</v>
      </c>
      <c r="L2395" t="s">
        <v>8</v>
      </c>
      <c r="M2395" t="s">
        <v>5742</v>
      </c>
      <c r="N2395">
        <v>6.2881002087682676</v>
      </c>
      <c r="O2395">
        <v>0.15903054448871182</v>
      </c>
      <c r="Q2395">
        <v>1</v>
      </c>
      <c r="R2395">
        <v>31</v>
      </c>
      <c r="S2395">
        <v>219</v>
      </c>
      <c r="T2395">
        <v>39.916666666666664</v>
      </c>
      <c r="U2395">
        <v>1379.77</v>
      </c>
      <c r="V2395">
        <v>251</v>
      </c>
    </row>
    <row r="2396" spans="1:22" x14ac:dyDescent="0.2">
      <c r="A2396" t="s">
        <v>2463</v>
      </c>
      <c r="B2396" t="s">
        <v>2464</v>
      </c>
      <c r="C2396" t="s">
        <v>2448</v>
      </c>
      <c r="D2396" t="s">
        <v>96</v>
      </c>
      <c r="E2396">
        <v>59.99</v>
      </c>
      <c r="F2396" t="s">
        <v>8118</v>
      </c>
      <c r="L2396" t="s">
        <v>8</v>
      </c>
      <c r="M2396" t="s">
        <v>5725</v>
      </c>
      <c r="N2396">
        <v>28.5</v>
      </c>
      <c r="O2396">
        <v>3.5087719298245612E-2</v>
      </c>
      <c r="Q2396">
        <v>0</v>
      </c>
      <c r="R2396">
        <v>0</v>
      </c>
      <c r="S2396">
        <v>38</v>
      </c>
      <c r="T2396">
        <v>1.3333333333333333</v>
      </c>
      <c r="U2396">
        <v>179.97</v>
      </c>
      <c r="V2396">
        <v>38</v>
      </c>
    </row>
    <row r="2397" spans="1:22" x14ac:dyDescent="0.2">
      <c r="A2397" t="s">
        <v>2467</v>
      </c>
      <c r="B2397" t="s">
        <v>2468</v>
      </c>
      <c r="C2397" t="s">
        <v>2448</v>
      </c>
      <c r="D2397" t="s">
        <v>96</v>
      </c>
      <c r="E2397">
        <v>59.99</v>
      </c>
      <c r="F2397" t="s">
        <v>8118</v>
      </c>
      <c r="L2397" t="s">
        <v>8</v>
      </c>
      <c r="M2397" t="s">
        <v>7951</v>
      </c>
      <c r="N2397">
        <v>0</v>
      </c>
      <c r="O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spans="1:22" x14ac:dyDescent="0.2">
      <c r="A2398" t="s">
        <v>2467</v>
      </c>
      <c r="B2398" t="s">
        <v>2468</v>
      </c>
      <c r="C2398" t="s">
        <v>2448</v>
      </c>
      <c r="D2398" t="s">
        <v>96</v>
      </c>
      <c r="E2398">
        <v>59.99</v>
      </c>
      <c r="F2398" t="s">
        <v>8118</v>
      </c>
      <c r="L2398" t="s">
        <v>8109</v>
      </c>
      <c r="M2398" t="s">
        <v>97</v>
      </c>
      <c r="N2398">
        <v>0</v>
      </c>
      <c r="O2398">
        <v>0</v>
      </c>
      <c r="U2398">
        <v>0</v>
      </c>
      <c r="V2398">
        <v>0</v>
      </c>
    </row>
    <row r="2399" spans="1:22" x14ac:dyDescent="0.2">
      <c r="A2399" t="s">
        <v>2469</v>
      </c>
      <c r="B2399" t="s">
        <v>2470</v>
      </c>
      <c r="C2399" t="s">
        <v>2448</v>
      </c>
      <c r="D2399" t="s">
        <v>96</v>
      </c>
      <c r="E2399">
        <v>59.99</v>
      </c>
      <c r="F2399" t="s">
        <v>8118</v>
      </c>
      <c r="L2399" t="s">
        <v>8109</v>
      </c>
      <c r="M2399" t="s">
        <v>97</v>
      </c>
      <c r="N2399">
        <v>0</v>
      </c>
      <c r="O2399">
        <v>0</v>
      </c>
      <c r="U2399">
        <v>0</v>
      </c>
      <c r="V2399">
        <v>0</v>
      </c>
    </row>
    <row r="2400" spans="1:22" x14ac:dyDescent="0.2">
      <c r="A2400" t="s">
        <v>2463</v>
      </c>
      <c r="B2400" t="s">
        <v>2464</v>
      </c>
      <c r="C2400" t="s">
        <v>2448</v>
      </c>
      <c r="D2400" t="s">
        <v>96</v>
      </c>
      <c r="E2400">
        <v>59.99</v>
      </c>
      <c r="F2400" t="s">
        <v>8118</v>
      </c>
      <c r="L2400" t="s">
        <v>8109</v>
      </c>
      <c r="M2400" t="s">
        <v>97</v>
      </c>
      <c r="N2400">
        <v>0</v>
      </c>
      <c r="O2400">
        <v>0</v>
      </c>
      <c r="U2400">
        <v>0</v>
      </c>
      <c r="V2400">
        <v>0</v>
      </c>
    </row>
    <row r="2401" spans="1:22" x14ac:dyDescent="0.2">
      <c r="A2401" t="s">
        <v>7622</v>
      </c>
      <c r="B2401" t="s">
        <v>7623</v>
      </c>
      <c r="C2401" t="s">
        <v>7624</v>
      </c>
      <c r="D2401" t="s">
        <v>290</v>
      </c>
      <c r="E2401">
        <v>11.99</v>
      </c>
      <c r="F2401" t="s">
        <v>8118</v>
      </c>
      <c r="L2401" t="s">
        <v>7032</v>
      </c>
      <c r="M2401" t="s">
        <v>97</v>
      </c>
      <c r="N2401">
        <v>0</v>
      </c>
      <c r="O2401">
        <v>0</v>
      </c>
      <c r="T2401">
        <v>0</v>
      </c>
      <c r="U2401">
        <v>0</v>
      </c>
      <c r="V2401">
        <v>3</v>
      </c>
    </row>
    <row r="2402" spans="1:22" x14ac:dyDescent="0.2">
      <c r="A2402" t="s">
        <v>7622</v>
      </c>
      <c r="B2402" t="s">
        <v>7623</v>
      </c>
      <c r="C2402" t="s">
        <v>7624</v>
      </c>
      <c r="D2402" t="s">
        <v>290</v>
      </c>
      <c r="E2402">
        <v>11.99</v>
      </c>
      <c r="F2402" t="s">
        <v>8118</v>
      </c>
      <c r="L2402" t="s">
        <v>8</v>
      </c>
      <c r="M2402" t="s">
        <v>7935</v>
      </c>
      <c r="N2402">
        <v>0</v>
      </c>
      <c r="O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spans="1:22" x14ac:dyDescent="0.2">
      <c r="A2403" t="s">
        <v>7931</v>
      </c>
      <c r="B2403" t="s">
        <v>7933</v>
      </c>
      <c r="C2403" t="s">
        <v>7624</v>
      </c>
      <c r="D2403" t="s">
        <v>290</v>
      </c>
      <c r="E2403">
        <v>79.989999999999995</v>
      </c>
      <c r="F2403" t="s">
        <v>8118</v>
      </c>
      <c r="L2403" t="s">
        <v>8</v>
      </c>
      <c r="M2403" t="s">
        <v>7932</v>
      </c>
      <c r="N2403">
        <v>0</v>
      </c>
      <c r="O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spans="1:22" x14ac:dyDescent="0.2">
      <c r="A2404" t="s">
        <v>7942</v>
      </c>
      <c r="B2404" t="s">
        <v>7944</v>
      </c>
      <c r="C2404" t="s">
        <v>7624</v>
      </c>
      <c r="D2404" t="s">
        <v>290</v>
      </c>
      <c r="E2404">
        <v>49.99</v>
      </c>
      <c r="F2404" t="s">
        <v>8118</v>
      </c>
      <c r="L2404" t="s">
        <v>8</v>
      </c>
      <c r="M2404" t="s">
        <v>7943</v>
      </c>
      <c r="N2404">
        <v>0</v>
      </c>
      <c r="O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spans="1:22" x14ac:dyDescent="0.2">
      <c r="A2405" t="s">
        <v>8001</v>
      </c>
      <c r="B2405" t="s">
        <v>8003</v>
      </c>
      <c r="C2405" t="s">
        <v>7624</v>
      </c>
      <c r="D2405" t="s">
        <v>290</v>
      </c>
      <c r="E2405">
        <v>99.99</v>
      </c>
      <c r="F2405" t="s">
        <v>8118</v>
      </c>
      <c r="L2405" t="s">
        <v>8</v>
      </c>
      <c r="M2405" t="s">
        <v>8002</v>
      </c>
      <c r="N2405">
        <v>0</v>
      </c>
      <c r="O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spans="1:22" x14ac:dyDescent="0.2">
      <c r="A2406" t="s">
        <v>7996</v>
      </c>
      <c r="B2406" t="s">
        <v>7998</v>
      </c>
      <c r="C2406" t="s">
        <v>7624</v>
      </c>
      <c r="D2406" t="s">
        <v>290</v>
      </c>
      <c r="E2406">
        <v>25.99</v>
      </c>
      <c r="F2406" t="s">
        <v>8118</v>
      </c>
      <c r="L2406" t="s">
        <v>8</v>
      </c>
      <c r="M2406" t="s">
        <v>7997</v>
      </c>
      <c r="N2406">
        <v>0</v>
      </c>
      <c r="O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spans="1:22" x14ac:dyDescent="0.2">
      <c r="A2407" t="s">
        <v>8007</v>
      </c>
      <c r="B2407" t="s">
        <v>8009</v>
      </c>
      <c r="C2407" t="s">
        <v>7624</v>
      </c>
      <c r="D2407" t="s">
        <v>290</v>
      </c>
      <c r="E2407">
        <v>16.989999999999998</v>
      </c>
      <c r="F2407" t="s">
        <v>8118</v>
      </c>
      <c r="L2407" t="s">
        <v>8</v>
      </c>
      <c r="M2407" t="s">
        <v>8008</v>
      </c>
      <c r="N2407">
        <v>0</v>
      </c>
      <c r="O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spans="1:22" x14ac:dyDescent="0.2">
      <c r="A2408" t="s">
        <v>7992</v>
      </c>
      <c r="B2408" t="s">
        <v>7994</v>
      </c>
      <c r="C2408" t="s">
        <v>7624</v>
      </c>
      <c r="D2408" t="s">
        <v>290</v>
      </c>
      <c r="E2408">
        <v>26.99</v>
      </c>
      <c r="F2408" t="s">
        <v>8118</v>
      </c>
      <c r="L2408" t="s">
        <v>8</v>
      </c>
      <c r="M2408" t="s">
        <v>7993</v>
      </c>
      <c r="N2408">
        <v>0</v>
      </c>
      <c r="O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spans="1:22" x14ac:dyDescent="0.2">
      <c r="A2409" t="s">
        <v>5806</v>
      </c>
      <c r="B2409" t="s">
        <v>5807</v>
      </c>
      <c r="C2409" t="s">
        <v>2495</v>
      </c>
      <c r="D2409" t="s">
        <v>290</v>
      </c>
      <c r="E2409">
        <v>159.99</v>
      </c>
      <c r="F2409" t="s">
        <v>8118</v>
      </c>
      <c r="L2409" t="s">
        <v>11</v>
      </c>
      <c r="M2409" t="s">
        <v>5808</v>
      </c>
      <c r="N2409">
        <v>0</v>
      </c>
      <c r="O2409">
        <v>0</v>
      </c>
      <c r="T2409">
        <v>0</v>
      </c>
      <c r="U2409">
        <v>0</v>
      </c>
      <c r="V2409">
        <v>0</v>
      </c>
    </row>
    <row r="2410" spans="1:22" x14ac:dyDescent="0.2">
      <c r="A2410" t="s">
        <v>5816</v>
      </c>
      <c r="B2410" t="s">
        <v>5817</v>
      </c>
      <c r="C2410" t="s">
        <v>2495</v>
      </c>
      <c r="D2410" t="s">
        <v>96</v>
      </c>
      <c r="E2410">
        <v>449.99</v>
      </c>
      <c r="F2410" t="s">
        <v>8118</v>
      </c>
      <c r="L2410" t="s">
        <v>11</v>
      </c>
      <c r="M2410" t="s">
        <v>5818</v>
      </c>
      <c r="N2410">
        <v>0</v>
      </c>
      <c r="O2410">
        <v>0</v>
      </c>
      <c r="T2410">
        <v>0</v>
      </c>
      <c r="U2410">
        <v>0</v>
      </c>
      <c r="V2410">
        <v>0</v>
      </c>
    </row>
    <row r="2411" spans="1:22" x14ac:dyDescent="0.2">
      <c r="A2411" t="s">
        <v>5810</v>
      </c>
      <c r="B2411" t="s">
        <v>5811</v>
      </c>
      <c r="C2411" t="s">
        <v>2495</v>
      </c>
      <c r="D2411" t="s">
        <v>96</v>
      </c>
      <c r="E2411">
        <v>349.99</v>
      </c>
      <c r="F2411" t="s">
        <v>8118</v>
      </c>
      <c r="L2411" t="s">
        <v>11</v>
      </c>
      <c r="M2411" t="s">
        <v>5812</v>
      </c>
      <c r="N2411">
        <v>0</v>
      </c>
      <c r="O2411">
        <v>0</v>
      </c>
      <c r="T2411">
        <v>0</v>
      </c>
      <c r="U2411">
        <v>0</v>
      </c>
      <c r="V2411">
        <v>0</v>
      </c>
    </row>
    <row r="2412" spans="1:22" x14ac:dyDescent="0.2">
      <c r="A2412" t="s">
        <v>2498</v>
      </c>
      <c r="B2412" t="s">
        <v>2499</v>
      </c>
      <c r="C2412" t="s">
        <v>2495</v>
      </c>
      <c r="D2412" t="s">
        <v>290</v>
      </c>
      <c r="E2412">
        <v>159.99</v>
      </c>
      <c r="F2412" t="s">
        <v>8118</v>
      </c>
      <c r="L2412" t="s">
        <v>11</v>
      </c>
      <c r="M2412" t="s">
        <v>5809</v>
      </c>
      <c r="N2412">
        <v>0</v>
      </c>
      <c r="O2412">
        <v>0</v>
      </c>
      <c r="T2412">
        <v>0</v>
      </c>
      <c r="U2412">
        <v>0</v>
      </c>
      <c r="V2412">
        <v>0</v>
      </c>
    </row>
    <row r="2413" spans="1:22" x14ac:dyDescent="0.2">
      <c r="A2413" t="s">
        <v>5802</v>
      </c>
      <c r="B2413" t="s">
        <v>5803</v>
      </c>
      <c r="C2413" t="s">
        <v>2495</v>
      </c>
      <c r="D2413" t="s">
        <v>96</v>
      </c>
      <c r="E2413">
        <v>519.99</v>
      </c>
      <c r="F2413" t="s">
        <v>8118</v>
      </c>
      <c r="L2413" t="s">
        <v>11</v>
      </c>
      <c r="M2413" t="s">
        <v>5804</v>
      </c>
      <c r="N2413">
        <v>0</v>
      </c>
      <c r="O2413">
        <v>0</v>
      </c>
      <c r="T2413">
        <v>0</v>
      </c>
      <c r="U2413">
        <v>0</v>
      </c>
      <c r="V2413">
        <v>0</v>
      </c>
    </row>
    <row r="2414" spans="1:22" x14ac:dyDescent="0.2">
      <c r="A2414" t="s">
        <v>5799</v>
      </c>
      <c r="B2414" t="s">
        <v>5800</v>
      </c>
      <c r="C2414" t="s">
        <v>2495</v>
      </c>
      <c r="D2414" t="s">
        <v>228</v>
      </c>
      <c r="E2414">
        <v>1199.99</v>
      </c>
      <c r="F2414" t="s">
        <v>8118</v>
      </c>
      <c r="L2414" t="s">
        <v>11</v>
      </c>
      <c r="M2414" t="s">
        <v>5801</v>
      </c>
      <c r="N2414">
        <v>0</v>
      </c>
      <c r="O2414">
        <v>0</v>
      </c>
      <c r="T2414">
        <v>0</v>
      </c>
      <c r="U2414">
        <v>0</v>
      </c>
      <c r="V2414">
        <v>0</v>
      </c>
    </row>
    <row r="2415" spans="1:22" x14ac:dyDescent="0.2">
      <c r="A2415" t="s">
        <v>2500</v>
      </c>
      <c r="B2415" t="s">
        <v>2501</v>
      </c>
      <c r="C2415" t="s">
        <v>2495</v>
      </c>
      <c r="D2415" t="s">
        <v>290</v>
      </c>
      <c r="E2415">
        <v>159.99</v>
      </c>
      <c r="F2415" t="s">
        <v>8118</v>
      </c>
      <c r="L2415" t="s">
        <v>11</v>
      </c>
      <c r="M2415" t="s">
        <v>5805</v>
      </c>
      <c r="N2415">
        <v>0</v>
      </c>
      <c r="O2415">
        <v>0</v>
      </c>
      <c r="T2415">
        <v>0</v>
      </c>
      <c r="U2415">
        <v>0</v>
      </c>
      <c r="V2415">
        <v>0</v>
      </c>
    </row>
    <row r="2416" spans="1:22" x14ac:dyDescent="0.2">
      <c r="A2416" t="s">
        <v>5806</v>
      </c>
      <c r="B2416" t="s">
        <v>5807</v>
      </c>
      <c r="C2416" t="s">
        <v>2495</v>
      </c>
      <c r="D2416" t="s">
        <v>290</v>
      </c>
      <c r="E2416">
        <v>159.99</v>
      </c>
      <c r="F2416" t="s">
        <v>8118</v>
      </c>
      <c r="L2416" t="s">
        <v>10</v>
      </c>
      <c r="M2416">
        <v>997987</v>
      </c>
      <c r="N2416">
        <v>0</v>
      </c>
      <c r="O2416">
        <v>0</v>
      </c>
      <c r="P2416" t="s">
        <v>7015</v>
      </c>
      <c r="T2416">
        <v>0</v>
      </c>
      <c r="U2416">
        <v>0</v>
      </c>
      <c r="V2416">
        <v>0</v>
      </c>
    </row>
    <row r="2417" spans="1:22" x14ac:dyDescent="0.2">
      <c r="A2417" t="s">
        <v>2498</v>
      </c>
      <c r="B2417" t="s">
        <v>2499</v>
      </c>
      <c r="C2417" t="s">
        <v>2495</v>
      </c>
      <c r="D2417" t="s">
        <v>290</v>
      </c>
      <c r="E2417">
        <v>159.99</v>
      </c>
      <c r="F2417" t="s">
        <v>8118</v>
      </c>
      <c r="L2417" t="s">
        <v>10</v>
      </c>
      <c r="M2417">
        <v>996556</v>
      </c>
      <c r="N2417">
        <v>0</v>
      </c>
      <c r="O2417">
        <v>0</v>
      </c>
      <c r="P2417" t="s">
        <v>7015</v>
      </c>
      <c r="T2417">
        <v>0</v>
      </c>
      <c r="U2417">
        <v>0</v>
      </c>
      <c r="V2417">
        <v>0</v>
      </c>
    </row>
    <row r="2418" spans="1:22" x14ac:dyDescent="0.2">
      <c r="A2418" t="s">
        <v>5802</v>
      </c>
      <c r="B2418" t="s">
        <v>5803</v>
      </c>
      <c r="C2418" t="s">
        <v>2495</v>
      </c>
      <c r="D2418" t="s">
        <v>96</v>
      </c>
      <c r="E2418">
        <v>519.99</v>
      </c>
      <c r="F2418" t="s">
        <v>8118</v>
      </c>
      <c r="L2418" t="s">
        <v>10</v>
      </c>
      <c r="M2418">
        <v>991122</v>
      </c>
      <c r="N2418">
        <v>0</v>
      </c>
      <c r="O2418">
        <v>0</v>
      </c>
      <c r="P2418" t="s">
        <v>7015</v>
      </c>
      <c r="T2418">
        <v>0</v>
      </c>
      <c r="U2418">
        <v>0</v>
      </c>
      <c r="V2418">
        <v>0</v>
      </c>
    </row>
    <row r="2419" spans="1:22" x14ac:dyDescent="0.2">
      <c r="A2419" t="s">
        <v>5799</v>
      </c>
      <c r="B2419" t="s">
        <v>5800</v>
      </c>
      <c r="C2419" t="s">
        <v>2495</v>
      </c>
      <c r="D2419" t="s">
        <v>228</v>
      </c>
      <c r="E2419">
        <v>1199.99</v>
      </c>
      <c r="F2419" t="s">
        <v>8118</v>
      </c>
      <c r="L2419" t="s">
        <v>10</v>
      </c>
      <c r="M2419">
        <v>888825</v>
      </c>
      <c r="N2419">
        <v>0</v>
      </c>
      <c r="O2419">
        <v>0</v>
      </c>
      <c r="P2419" t="s">
        <v>290</v>
      </c>
      <c r="T2419">
        <v>0</v>
      </c>
      <c r="U2419">
        <v>0</v>
      </c>
      <c r="V2419">
        <v>0</v>
      </c>
    </row>
    <row r="2420" spans="1:22" x14ac:dyDescent="0.2">
      <c r="A2420" t="s">
        <v>7147</v>
      </c>
      <c r="B2420" t="s">
        <v>7149</v>
      </c>
      <c r="C2420" t="s">
        <v>2495</v>
      </c>
      <c r="D2420" t="s">
        <v>228</v>
      </c>
      <c r="E2420">
        <v>1799.99</v>
      </c>
      <c r="F2420" t="s">
        <v>8118</v>
      </c>
      <c r="L2420" t="s">
        <v>10</v>
      </c>
      <c r="M2420">
        <v>888849</v>
      </c>
      <c r="N2420">
        <v>0</v>
      </c>
      <c r="O2420">
        <v>0</v>
      </c>
      <c r="P2420" t="s">
        <v>290</v>
      </c>
      <c r="T2420">
        <v>0</v>
      </c>
      <c r="U2420">
        <v>0</v>
      </c>
      <c r="V2420">
        <v>0</v>
      </c>
    </row>
    <row r="2421" spans="1:22" x14ac:dyDescent="0.2">
      <c r="A2421" t="s">
        <v>5813</v>
      </c>
      <c r="B2421" t="s">
        <v>5814</v>
      </c>
      <c r="C2421" t="s">
        <v>2495</v>
      </c>
      <c r="D2421" t="s">
        <v>96</v>
      </c>
      <c r="E2421">
        <v>999.99</v>
      </c>
      <c r="F2421" t="s">
        <v>8118</v>
      </c>
      <c r="L2421" t="s">
        <v>10</v>
      </c>
      <c r="M2421">
        <v>997771</v>
      </c>
      <c r="N2421">
        <v>0</v>
      </c>
      <c r="O2421">
        <v>0</v>
      </c>
      <c r="P2421" t="s">
        <v>7015</v>
      </c>
      <c r="T2421">
        <v>0</v>
      </c>
      <c r="U2421">
        <v>0</v>
      </c>
      <c r="V2421">
        <v>0</v>
      </c>
    </row>
    <row r="2422" spans="1:22" x14ac:dyDescent="0.2">
      <c r="A2422" t="s">
        <v>2500</v>
      </c>
      <c r="B2422" t="s">
        <v>2501</v>
      </c>
      <c r="C2422" t="s">
        <v>2495</v>
      </c>
      <c r="D2422" t="s">
        <v>290</v>
      </c>
      <c r="E2422">
        <v>159.99</v>
      </c>
      <c r="F2422" t="s">
        <v>8118</v>
      </c>
      <c r="L2422" t="s">
        <v>10</v>
      </c>
      <c r="M2422">
        <v>998689</v>
      </c>
      <c r="N2422">
        <v>0</v>
      </c>
      <c r="O2422">
        <v>0</v>
      </c>
      <c r="P2422" t="s">
        <v>7015</v>
      </c>
      <c r="T2422">
        <v>0</v>
      </c>
      <c r="U2422">
        <v>0</v>
      </c>
      <c r="V2422">
        <v>0</v>
      </c>
    </row>
    <row r="2423" spans="1:22" x14ac:dyDescent="0.2">
      <c r="A2423" t="s">
        <v>5810</v>
      </c>
      <c r="B2423" t="s">
        <v>5811</v>
      </c>
      <c r="C2423" t="s">
        <v>2495</v>
      </c>
      <c r="D2423" t="s">
        <v>96</v>
      </c>
      <c r="E2423">
        <v>349.99</v>
      </c>
      <c r="F2423" t="s">
        <v>8118</v>
      </c>
      <c r="L2423" t="s">
        <v>10</v>
      </c>
      <c r="M2423">
        <v>990044</v>
      </c>
      <c r="N2423">
        <v>0</v>
      </c>
      <c r="O2423">
        <v>0</v>
      </c>
      <c r="P2423" t="s">
        <v>7015</v>
      </c>
      <c r="T2423">
        <v>0</v>
      </c>
      <c r="U2423">
        <v>0</v>
      </c>
      <c r="V2423">
        <v>0</v>
      </c>
    </row>
    <row r="2424" spans="1:22" x14ac:dyDescent="0.2">
      <c r="A2424" t="s">
        <v>2500</v>
      </c>
      <c r="B2424" t="s">
        <v>2501</v>
      </c>
      <c r="C2424" t="s">
        <v>2495</v>
      </c>
      <c r="D2424" t="s">
        <v>290</v>
      </c>
      <c r="E2424">
        <v>159.99</v>
      </c>
      <c r="F2424" t="s">
        <v>8118</v>
      </c>
      <c r="L2424" t="s">
        <v>7032</v>
      </c>
      <c r="M2424" t="s">
        <v>97</v>
      </c>
      <c r="N2424">
        <v>0</v>
      </c>
      <c r="O2424">
        <v>0</v>
      </c>
      <c r="T2424">
        <v>0</v>
      </c>
      <c r="U2424">
        <v>0</v>
      </c>
      <c r="V2424">
        <v>0</v>
      </c>
    </row>
    <row r="2425" spans="1:22" x14ac:dyDescent="0.2">
      <c r="A2425" t="s">
        <v>5813</v>
      </c>
      <c r="B2425" t="s">
        <v>5814</v>
      </c>
      <c r="C2425" t="s">
        <v>2495</v>
      </c>
      <c r="D2425" t="s">
        <v>96</v>
      </c>
      <c r="E2425">
        <v>999.99</v>
      </c>
      <c r="F2425" t="s">
        <v>8118</v>
      </c>
      <c r="L2425" t="s">
        <v>7032</v>
      </c>
      <c r="M2425" t="s">
        <v>97</v>
      </c>
      <c r="N2425">
        <v>0</v>
      </c>
      <c r="O2425">
        <v>0</v>
      </c>
      <c r="T2425">
        <v>0</v>
      </c>
      <c r="U2425">
        <v>0</v>
      </c>
      <c r="V2425">
        <v>0</v>
      </c>
    </row>
    <row r="2426" spans="1:22" x14ac:dyDescent="0.2">
      <c r="A2426" t="s">
        <v>5810</v>
      </c>
      <c r="B2426" t="s">
        <v>5811</v>
      </c>
      <c r="C2426" t="s">
        <v>2495</v>
      </c>
      <c r="D2426" t="s">
        <v>96</v>
      </c>
      <c r="E2426">
        <v>349.99</v>
      </c>
      <c r="F2426" t="s">
        <v>8118</v>
      </c>
      <c r="L2426" t="s">
        <v>7032</v>
      </c>
      <c r="M2426" t="s">
        <v>97</v>
      </c>
      <c r="N2426">
        <v>0</v>
      </c>
      <c r="O2426">
        <v>0</v>
      </c>
      <c r="T2426">
        <v>0</v>
      </c>
      <c r="U2426">
        <v>0</v>
      </c>
      <c r="V2426">
        <v>0</v>
      </c>
    </row>
    <row r="2427" spans="1:22" x14ac:dyDescent="0.2">
      <c r="A2427" t="s">
        <v>2496</v>
      </c>
      <c r="B2427" t="s">
        <v>2497</v>
      </c>
      <c r="C2427" t="s">
        <v>2495</v>
      </c>
      <c r="D2427" t="s">
        <v>290</v>
      </c>
      <c r="E2427">
        <v>349.99</v>
      </c>
      <c r="F2427" t="s">
        <v>8118</v>
      </c>
      <c r="L2427" t="s">
        <v>7032</v>
      </c>
      <c r="M2427" t="s">
        <v>97</v>
      </c>
      <c r="N2427">
        <v>0</v>
      </c>
      <c r="O2427">
        <v>0</v>
      </c>
      <c r="T2427">
        <v>0</v>
      </c>
      <c r="U2427">
        <v>0</v>
      </c>
      <c r="V2427">
        <v>0</v>
      </c>
    </row>
    <row r="2428" spans="1:22" x14ac:dyDescent="0.2">
      <c r="A2428" t="s">
        <v>2513</v>
      </c>
      <c r="B2428" t="s">
        <v>2514</v>
      </c>
      <c r="C2428" t="s">
        <v>2502</v>
      </c>
      <c r="D2428" t="s">
        <v>228</v>
      </c>
      <c r="E2428">
        <v>199.99</v>
      </c>
      <c r="F2428" t="s">
        <v>8118</v>
      </c>
      <c r="G2428">
        <v>213</v>
      </c>
      <c r="H2428">
        <v>3</v>
      </c>
      <c r="I2428">
        <v>210</v>
      </c>
      <c r="K2428">
        <v>720</v>
      </c>
      <c r="L2428" t="s">
        <v>14</v>
      </c>
      <c r="M2428" t="s">
        <v>97</v>
      </c>
      <c r="N2428">
        <v>82.08</v>
      </c>
      <c r="O2428">
        <v>1.2183235867446395E-2</v>
      </c>
      <c r="T2428">
        <v>2.0833333333333335</v>
      </c>
      <c r="U2428">
        <v>0</v>
      </c>
      <c r="V2428">
        <v>171</v>
      </c>
    </row>
    <row r="2429" spans="1:22" x14ac:dyDescent="0.2">
      <c r="A2429" t="s">
        <v>2503</v>
      </c>
      <c r="B2429" t="s">
        <v>2504</v>
      </c>
      <c r="C2429" t="s">
        <v>2502</v>
      </c>
      <c r="D2429" t="s">
        <v>228</v>
      </c>
      <c r="E2429">
        <v>129.99</v>
      </c>
      <c r="F2429" t="s">
        <v>8118</v>
      </c>
      <c r="G2429">
        <v>118</v>
      </c>
      <c r="H2429">
        <v>9</v>
      </c>
      <c r="I2429">
        <v>109</v>
      </c>
      <c r="K2429">
        <v>538</v>
      </c>
      <c r="L2429" t="s">
        <v>14</v>
      </c>
      <c r="M2429" t="s">
        <v>97</v>
      </c>
      <c r="N2429">
        <v>144</v>
      </c>
      <c r="O2429">
        <v>6.9444444444444441E-3</v>
      </c>
      <c r="T2429">
        <v>8.3333333333333329E-2</v>
      </c>
      <c r="U2429">
        <v>0</v>
      </c>
      <c r="V2429">
        <v>12</v>
      </c>
    </row>
    <row r="2430" spans="1:22" x14ac:dyDescent="0.2">
      <c r="A2430" t="s">
        <v>2559</v>
      </c>
      <c r="B2430" t="s">
        <v>2560</v>
      </c>
      <c r="C2430" t="s">
        <v>2502</v>
      </c>
      <c r="D2430" t="s">
        <v>228</v>
      </c>
      <c r="E2430">
        <v>17.989999999999998</v>
      </c>
      <c r="F2430" t="s">
        <v>8118</v>
      </c>
      <c r="G2430">
        <v>38</v>
      </c>
      <c r="I2430">
        <v>38</v>
      </c>
      <c r="L2430" t="s">
        <v>14</v>
      </c>
      <c r="M2430" t="s">
        <v>97</v>
      </c>
      <c r="N2430">
        <v>0</v>
      </c>
      <c r="O2430">
        <v>0</v>
      </c>
      <c r="T2430">
        <v>0</v>
      </c>
      <c r="U2430">
        <v>0</v>
      </c>
      <c r="V2430">
        <v>20</v>
      </c>
    </row>
    <row r="2431" spans="1:22" x14ac:dyDescent="0.2">
      <c r="A2431" t="s">
        <v>2561</v>
      </c>
      <c r="B2431" t="s">
        <v>2562</v>
      </c>
      <c r="C2431" t="s">
        <v>2502</v>
      </c>
      <c r="D2431" t="s">
        <v>228</v>
      </c>
      <c r="E2431">
        <v>17.989999999999998</v>
      </c>
      <c r="F2431" t="s">
        <v>8118</v>
      </c>
      <c r="G2431">
        <v>3092</v>
      </c>
      <c r="H2431">
        <v>503</v>
      </c>
      <c r="I2431">
        <v>2589</v>
      </c>
      <c r="K2431">
        <v>1200</v>
      </c>
      <c r="L2431" t="s">
        <v>14</v>
      </c>
      <c r="M2431" t="s">
        <v>97</v>
      </c>
      <c r="N2431">
        <v>9.069473684210525</v>
      </c>
      <c r="O2431">
        <v>0.11025998142989787</v>
      </c>
      <c r="T2431">
        <v>39.583333333333336</v>
      </c>
      <c r="U2431">
        <v>629.65</v>
      </c>
      <c r="V2431">
        <v>359</v>
      </c>
    </row>
    <row r="2432" spans="1:22" x14ac:dyDescent="0.2">
      <c r="A2432" t="s">
        <v>2505</v>
      </c>
      <c r="B2432" t="s">
        <v>2506</v>
      </c>
      <c r="C2432" t="s">
        <v>2502</v>
      </c>
      <c r="D2432" t="s">
        <v>228</v>
      </c>
      <c r="E2432">
        <v>119.99</v>
      </c>
      <c r="F2432" t="s">
        <v>8118</v>
      </c>
      <c r="G2432">
        <v>123</v>
      </c>
      <c r="I2432">
        <v>123</v>
      </c>
      <c r="L2432" t="s">
        <v>14</v>
      </c>
      <c r="M2432" t="s">
        <v>97</v>
      </c>
      <c r="N2432">
        <v>24</v>
      </c>
      <c r="O2432">
        <v>4.1666666666666664E-2</v>
      </c>
      <c r="T2432">
        <v>0.16666666666666666</v>
      </c>
      <c r="U2432">
        <v>0</v>
      </c>
      <c r="V2432">
        <v>4</v>
      </c>
    </row>
    <row r="2433" spans="1:22" x14ac:dyDescent="0.2">
      <c r="A2433" t="s">
        <v>2595</v>
      </c>
      <c r="B2433" t="s">
        <v>2596</v>
      </c>
      <c r="C2433" t="s">
        <v>2502</v>
      </c>
      <c r="D2433" t="s">
        <v>228</v>
      </c>
      <c r="E2433">
        <v>49.99</v>
      </c>
      <c r="F2433" t="s">
        <v>8118</v>
      </c>
      <c r="J2433">
        <v>1</v>
      </c>
      <c r="K2433">
        <v>40</v>
      </c>
      <c r="L2433" t="s">
        <v>14</v>
      </c>
      <c r="M2433" t="s">
        <v>97</v>
      </c>
      <c r="N2433">
        <v>0</v>
      </c>
      <c r="O2433">
        <v>0</v>
      </c>
      <c r="T2433">
        <v>0</v>
      </c>
      <c r="U2433">
        <v>0</v>
      </c>
      <c r="V2433">
        <v>15</v>
      </c>
    </row>
    <row r="2434" spans="1:22" x14ac:dyDescent="0.2">
      <c r="A2434" t="s">
        <v>2543</v>
      </c>
      <c r="B2434" t="s">
        <v>2544</v>
      </c>
      <c r="C2434" t="s">
        <v>2502</v>
      </c>
      <c r="D2434" t="s">
        <v>228</v>
      </c>
      <c r="E2434">
        <v>79.989999999999995</v>
      </c>
      <c r="F2434" t="s">
        <v>8118</v>
      </c>
      <c r="G2434">
        <v>166</v>
      </c>
      <c r="H2434">
        <v>2</v>
      </c>
      <c r="I2434">
        <v>164</v>
      </c>
      <c r="K2434">
        <v>40</v>
      </c>
      <c r="L2434" t="s">
        <v>14</v>
      </c>
      <c r="M2434" t="s">
        <v>97</v>
      </c>
      <c r="N2434">
        <v>85.548387096774192</v>
      </c>
      <c r="O2434">
        <v>1.1689291101055807E-2</v>
      </c>
      <c r="T2434">
        <v>2.5833333333333335</v>
      </c>
      <c r="U2434">
        <v>79.989999999999995</v>
      </c>
      <c r="V2434">
        <v>221</v>
      </c>
    </row>
    <row r="2435" spans="1:22" x14ac:dyDescent="0.2">
      <c r="A2435" t="s">
        <v>5924</v>
      </c>
      <c r="B2435" t="s">
        <v>5925</v>
      </c>
      <c r="C2435" t="s">
        <v>2502</v>
      </c>
      <c r="D2435" t="s">
        <v>290</v>
      </c>
      <c r="E2435">
        <v>49.99</v>
      </c>
      <c r="F2435" t="s">
        <v>8118</v>
      </c>
      <c r="L2435" t="s">
        <v>14</v>
      </c>
      <c r="M2435" t="s">
        <v>97</v>
      </c>
      <c r="N2435">
        <v>20.705882352941178</v>
      </c>
      <c r="O2435">
        <v>4.8295454545454544E-2</v>
      </c>
      <c r="T2435">
        <v>8.5</v>
      </c>
      <c r="U2435">
        <v>399.92</v>
      </c>
      <c r="V2435">
        <v>176</v>
      </c>
    </row>
    <row r="2436" spans="1:22" x14ac:dyDescent="0.2">
      <c r="A2436" t="s">
        <v>2701</v>
      </c>
      <c r="B2436" t="s">
        <v>2702</v>
      </c>
      <c r="C2436" t="s">
        <v>2502</v>
      </c>
      <c r="D2436" t="s">
        <v>290</v>
      </c>
      <c r="E2436">
        <v>99.99</v>
      </c>
      <c r="F2436" t="s">
        <v>8118</v>
      </c>
      <c r="G2436">
        <v>155</v>
      </c>
      <c r="I2436">
        <v>155</v>
      </c>
      <c r="L2436" t="s">
        <v>14</v>
      </c>
      <c r="M2436" t="s">
        <v>97</v>
      </c>
      <c r="N2436">
        <v>32.712328767123289</v>
      </c>
      <c r="O2436">
        <v>3.0569514237855946E-2</v>
      </c>
      <c r="T2436">
        <v>6.083333333333333</v>
      </c>
      <c r="U2436">
        <v>499.95</v>
      </c>
      <c r="V2436">
        <v>199</v>
      </c>
    </row>
    <row r="2437" spans="1:22" x14ac:dyDescent="0.2">
      <c r="A2437" t="s">
        <v>6348</v>
      </c>
      <c r="B2437" t="s">
        <v>6349</v>
      </c>
      <c r="C2437" t="s">
        <v>2502</v>
      </c>
      <c r="D2437" t="s">
        <v>290</v>
      </c>
      <c r="E2437">
        <v>129.99</v>
      </c>
      <c r="F2437" t="s">
        <v>8118</v>
      </c>
      <c r="G2437">
        <v>179</v>
      </c>
      <c r="I2437">
        <v>179</v>
      </c>
      <c r="L2437" t="s">
        <v>14</v>
      </c>
      <c r="M2437" t="s">
        <v>97</v>
      </c>
      <c r="N2437">
        <v>31.3125</v>
      </c>
      <c r="O2437">
        <v>3.1936127744510975E-2</v>
      </c>
      <c r="T2437">
        <v>5.333333333333333</v>
      </c>
      <c r="U2437">
        <v>779.94</v>
      </c>
      <c r="V2437">
        <v>167</v>
      </c>
    </row>
    <row r="2438" spans="1:22" x14ac:dyDescent="0.2">
      <c r="A2438" t="s">
        <v>2539</v>
      </c>
      <c r="B2438" t="s">
        <v>2540</v>
      </c>
      <c r="C2438" t="s">
        <v>2502</v>
      </c>
      <c r="D2438" t="s">
        <v>228</v>
      </c>
      <c r="E2438">
        <v>54.99</v>
      </c>
      <c r="F2438" t="s">
        <v>8118</v>
      </c>
      <c r="G2438">
        <v>64</v>
      </c>
      <c r="H2438">
        <v>3</v>
      </c>
      <c r="I2438">
        <v>61</v>
      </c>
      <c r="K2438">
        <v>720</v>
      </c>
      <c r="L2438" t="s">
        <v>14</v>
      </c>
      <c r="M2438" t="s">
        <v>97</v>
      </c>
      <c r="N2438">
        <v>0</v>
      </c>
      <c r="O2438">
        <v>0</v>
      </c>
      <c r="T2438">
        <v>0</v>
      </c>
      <c r="U2438">
        <v>0</v>
      </c>
      <c r="V2438">
        <v>4</v>
      </c>
    </row>
    <row r="2439" spans="1:22" x14ac:dyDescent="0.2">
      <c r="A2439" t="s">
        <v>6157</v>
      </c>
      <c r="B2439" t="s">
        <v>6158</v>
      </c>
      <c r="C2439" t="s">
        <v>2502</v>
      </c>
      <c r="D2439" t="s">
        <v>290</v>
      </c>
      <c r="E2439">
        <v>109.99</v>
      </c>
      <c r="F2439" t="s">
        <v>8118</v>
      </c>
      <c r="G2439">
        <v>74</v>
      </c>
      <c r="H2439">
        <v>35</v>
      </c>
      <c r="I2439">
        <v>39</v>
      </c>
      <c r="L2439" t="s">
        <v>14</v>
      </c>
      <c r="M2439" t="s">
        <v>97</v>
      </c>
      <c r="N2439">
        <v>26.594594594594593</v>
      </c>
      <c r="O2439">
        <v>3.7601626016260166E-2</v>
      </c>
      <c r="T2439">
        <v>6.166666666666667</v>
      </c>
      <c r="U2439">
        <v>769.93</v>
      </c>
      <c r="V2439">
        <v>164</v>
      </c>
    </row>
    <row r="2440" spans="1:22" x14ac:dyDescent="0.2">
      <c r="A2440" t="s">
        <v>2515</v>
      </c>
      <c r="B2440" t="s">
        <v>2516</v>
      </c>
      <c r="C2440" t="s">
        <v>2502</v>
      </c>
      <c r="D2440" t="s">
        <v>228</v>
      </c>
      <c r="E2440">
        <v>139.99</v>
      </c>
      <c r="F2440" t="s">
        <v>8118</v>
      </c>
      <c r="G2440">
        <v>32</v>
      </c>
      <c r="I2440">
        <v>32</v>
      </c>
      <c r="K2440">
        <v>10</v>
      </c>
      <c r="L2440" t="s">
        <v>14</v>
      </c>
      <c r="M2440" t="s">
        <v>97</v>
      </c>
      <c r="N2440">
        <v>0</v>
      </c>
      <c r="O2440">
        <v>0</v>
      </c>
      <c r="T2440">
        <v>0</v>
      </c>
      <c r="U2440">
        <v>0</v>
      </c>
      <c r="V2440">
        <v>2</v>
      </c>
    </row>
    <row r="2441" spans="1:22" x14ac:dyDescent="0.2">
      <c r="A2441" t="s">
        <v>2639</v>
      </c>
      <c r="B2441" t="s">
        <v>2640</v>
      </c>
      <c r="C2441" t="s">
        <v>2502</v>
      </c>
      <c r="D2441" t="s">
        <v>228</v>
      </c>
      <c r="E2441">
        <v>109.99</v>
      </c>
      <c r="F2441" t="s">
        <v>8118</v>
      </c>
      <c r="G2441">
        <v>66</v>
      </c>
      <c r="H2441">
        <v>13</v>
      </c>
      <c r="I2441">
        <v>53</v>
      </c>
      <c r="K2441">
        <v>441</v>
      </c>
      <c r="L2441" t="s">
        <v>14</v>
      </c>
      <c r="M2441" t="s">
        <v>97</v>
      </c>
      <c r="N2441">
        <v>72</v>
      </c>
      <c r="O2441">
        <v>1.3888888888888888E-2</v>
      </c>
      <c r="T2441">
        <v>8.3333333333333329E-2</v>
      </c>
      <c r="U2441">
        <v>0</v>
      </c>
      <c r="V2441">
        <v>6</v>
      </c>
    </row>
    <row r="2442" spans="1:22" x14ac:dyDescent="0.2">
      <c r="A2442" t="s">
        <v>2571</v>
      </c>
      <c r="B2442" t="s">
        <v>2572</v>
      </c>
      <c r="C2442" t="s">
        <v>2502</v>
      </c>
      <c r="D2442" t="s">
        <v>228</v>
      </c>
      <c r="E2442">
        <v>119.99</v>
      </c>
      <c r="F2442" t="s">
        <v>8118</v>
      </c>
      <c r="G2442">
        <v>263</v>
      </c>
      <c r="H2442">
        <v>131</v>
      </c>
      <c r="I2442">
        <v>132</v>
      </c>
      <c r="K2442">
        <v>340</v>
      </c>
      <c r="L2442" t="s">
        <v>14</v>
      </c>
      <c r="M2442" t="s">
        <v>97</v>
      </c>
      <c r="N2442">
        <v>0</v>
      </c>
      <c r="O2442">
        <v>0</v>
      </c>
      <c r="T2442">
        <v>0</v>
      </c>
      <c r="U2442">
        <v>0</v>
      </c>
      <c r="V2442">
        <v>0</v>
      </c>
    </row>
    <row r="2443" spans="1:22" x14ac:dyDescent="0.2">
      <c r="A2443" t="s">
        <v>7083</v>
      </c>
      <c r="B2443" t="s">
        <v>7084</v>
      </c>
      <c r="C2443" t="s">
        <v>2502</v>
      </c>
      <c r="D2443" t="s">
        <v>290</v>
      </c>
      <c r="E2443">
        <v>149.99</v>
      </c>
      <c r="F2443" t="s">
        <v>8118</v>
      </c>
      <c r="L2443" t="s">
        <v>14</v>
      </c>
      <c r="M2443" t="s">
        <v>97</v>
      </c>
      <c r="N2443">
        <v>0</v>
      </c>
      <c r="O2443">
        <v>0</v>
      </c>
      <c r="U2443">
        <v>0</v>
      </c>
      <c r="V2443">
        <v>0</v>
      </c>
    </row>
    <row r="2444" spans="1:22" x14ac:dyDescent="0.2">
      <c r="A2444" t="s">
        <v>2665</v>
      </c>
      <c r="B2444" t="s">
        <v>2666</v>
      </c>
      <c r="C2444" t="s">
        <v>2502</v>
      </c>
      <c r="D2444" t="s">
        <v>228</v>
      </c>
      <c r="E2444">
        <v>64.989999999999995</v>
      </c>
      <c r="F2444" t="s">
        <v>8118</v>
      </c>
      <c r="G2444">
        <v>420</v>
      </c>
      <c r="H2444">
        <v>30</v>
      </c>
      <c r="I2444">
        <v>390</v>
      </c>
      <c r="K2444">
        <v>280</v>
      </c>
      <c r="L2444" t="s">
        <v>14</v>
      </c>
      <c r="M2444" t="s">
        <v>97</v>
      </c>
      <c r="N2444">
        <v>18.309278350515463</v>
      </c>
      <c r="O2444">
        <v>5.4617117117117121E-2</v>
      </c>
      <c r="T2444">
        <v>8.0833333333333339</v>
      </c>
      <c r="U2444">
        <v>324.95</v>
      </c>
      <c r="V2444">
        <v>148</v>
      </c>
    </row>
    <row r="2445" spans="1:22" x14ac:dyDescent="0.2">
      <c r="A2445" t="s">
        <v>2603</v>
      </c>
      <c r="B2445" t="s">
        <v>2604</v>
      </c>
      <c r="C2445" t="s">
        <v>2502</v>
      </c>
      <c r="D2445" t="s">
        <v>228</v>
      </c>
      <c r="E2445">
        <v>89.99</v>
      </c>
      <c r="F2445" t="s">
        <v>8118</v>
      </c>
      <c r="G2445">
        <v>19</v>
      </c>
      <c r="I2445">
        <v>19</v>
      </c>
      <c r="L2445" t="s">
        <v>14</v>
      </c>
      <c r="M2445" t="s">
        <v>97</v>
      </c>
      <c r="N2445">
        <v>84</v>
      </c>
      <c r="O2445">
        <v>1.1904761904761904E-2</v>
      </c>
      <c r="T2445">
        <v>8.3333333333333329E-2</v>
      </c>
      <c r="U2445">
        <v>0</v>
      </c>
      <c r="V2445">
        <v>7</v>
      </c>
    </row>
    <row r="2446" spans="1:22" x14ac:dyDescent="0.2">
      <c r="A2446" t="s">
        <v>6387</v>
      </c>
      <c r="B2446" t="s">
        <v>6388</v>
      </c>
      <c r="C2446" t="s">
        <v>2502</v>
      </c>
      <c r="D2446" t="s">
        <v>290</v>
      </c>
      <c r="E2446">
        <v>199.99</v>
      </c>
      <c r="F2446" t="s">
        <v>8118</v>
      </c>
      <c r="G2446">
        <v>2</v>
      </c>
      <c r="I2446">
        <v>2</v>
      </c>
      <c r="L2446" t="s">
        <v>14</v>
      </c>
      <c r="M2446" t="s">
        <v>97</v>
      </c>
      <c r="N2446">
        <v>0</v>
      </c>
      <c r="O2446">
        <v>0</v>
      </c>
      <c r="T2446">
        <v>0</v>
      </c>
      <c r="U2446">
        <v>0</v>
      </c>
      <c r="V2446">
        <v>4</v>
      </c>
    </row>
    <row r="2447" spans="1:22" x14ac:dyDescent="0.2">
      <c r="A2447" t="s">
        <v>6232</v>
      </c>
      <c r="B2447" t="s">
        <v>6233</v>
      </c>
      <c r="C2447" t="s">
        <v>2502</v>
      </c>
      <c r="D2447" t="s">
        <v>228</v>
      </c>
      <c r="E2447">
        <v>79.989999999999995</v>
      </c>
      <c r="F2447" t="s">
        <v>8118</v>
      </c>
      <c r="G2447">
        <v>12</v>
      </c>
      <c r="I2447">
        <v>12</v>
      </c>
      <c r="L2447" t="s">
        <v>14</v>
      </c>
      <c r="M2447" t="s">
        <v>97</v>
      </c>
      <c r="N2447">
        <v>0</v>
      </c>
      <c r="O2447">
        <v>0</v>
      </c>
      <c r="T2447">
        <v>0</v>
      </c>
      <c r="U2447">
        <v>0</v>
      </c>
      <c r="V2447">
        <v>4</v>
      </c>
    </row>
    <row r="2448" spans="1:22" x14ac:dyDescent="0.2">
      <c r="A2448" t="s">
        <v>2695</v>
      </c>
      <c r="B2448" t="s">
        <v>2696</v>
      </c>
      <c r="C2448" t="s">
        <v>2502</v>
      </c>
      <c r="D2448" t="s">
        <v>228</v>
      </c>
      <c r="E2448">
        <v>299.99</v>
      </c>
      <c r="F2448" t="s">
        <v>8118</v>
      </c>
      <c r="G2448">
        <v>9</v>
      </c>
      <c r="H2448">
        <v>1</v>
      </c>
      <c r="I2448">
        <v>8</v>
      </c>
      <c r="K2448">
        <v>10</v>
      </c>
      <c r="L2448" t="s">
        <v>14</v>
      </c>
      <c r="M2448" t="s">
        <v>97</v>
      </c>
      <c r="N2448">
        <v>0</v>
      </c>
      <c r="O2448">
        <v>0</v>
      </c>
      <c r="T2448">
        <v>0</v>
      </c>
      <c r="U2448">
        <v>0</v>
      </c>
      <c r="V2448">
        <v>8</v>
      </c>
    </row>
    <row r="2449" spans="1:22" x14ac:dyDescent="0.2">
      <c r="A2449" t="s">
        <v>6383</v>
      </c>
      <c r="B2449" t="s">
        <v>6384</v>
      </c>
      <c r="C2449" t="s">
        <v>2502</v>
      </c>
      <c r="D2449" t="s">
        <v>228</v>
      </c>
      <c r="E2449">
        <v>99.99</v>
      </c>
      <c r="F2449" t="s">
        <v>8118</v>
      </c>
      <c r="G2449">
        <v>16</v>
      </c>
      <c r="I2449">
        <v>16</v>
      </c>
      <c r="L2449" t="s">
        <v>14</v>
      </c>
      <c r="M2449" t="s">
        <v>97</v>
      </c>
      <c r="N2449">
        <v>0</v>
      </c>
      <c r="O2449">
        <v>0</v>
      </c>
      <c r="T2449">
        <v>0</v>
      </c>
      <c r="U2449">
        <v>0</v>
      </c>
      <c r="V2449">
        <v>1</v>
      </c>
    </row>
    <row r="2450" spans="1:22" x14ac:dyDescent="0.2">
      <c r="A2450" t="s">
        <v>2635</v>
      </c>
      <c r="B2450" t="s">
        <v>2636</v>
      </c>
      <c r="C2450" t="s">
        <v>2502</v>
      </c>
      <c r="D2450" t="s">
        <v>228</v>
      </c>
      <c r="E2450">
        <v>69.989999999999995</v>
      </c>
      <c r="F2450" t="s">
        <v>8118</v>
      </c>
      <c r="G2450">
        <v>17</v>
      </c>
      <c r="I2450">
        <v>17</v>
      </c>
      <c r="L2450" t="s">
        <v>14</v>
      </c>
      <c r="M2450" t="s">
        <v>97</v>
      </c>
      <c r="N2450">
        <v>0</v>
      </c>
      <c r="O2450">
        <v>0</v>
      </c>
      <c r="T2450">
        <v>0</v>
      </c>
      <c r="U2450">
        <v>0</v>
      </c>
      <c r="V2450">
        <v>10</v>
      </c>
    </row>
    <row r="2451" spans="1:22" x14ac:dyDescent="0.2">
      <c r="A2451" t="s">
        <v>5997</v>
      </c>
      <c r="B2451" t="s">
        <v>5998</v>
      </c>
      <c r="C2451" t="s">
        <v>2502</v>
      </c>
      <c r="D2451" t="s">
        <v>290</v>
      </c>
      <c r="E2451">
        <v>99.99</v>
      </c>
      <c r="F2451" t="s">
        <v>8118</v>
      </c>
      <c r="L2451" t="s">
        <v>14</v>
      </c>
      <c r="M2451" t="s">
        <v>97</v>
      </c>
      <c r="N2451">
        <v>0</v>
      </c>
      <c r="O2451">
        <v>0</v>
      </c>
      <c r="T2451">
        <v>0</v>
      </c>
      <c r="U2451">
        <v>0</v>
      </c>
      <c r="V2451">
        <v>11</v>
      </c>
    </row>
    <row r="2452" spans="1:22" x14ac:dyDescent="0.2">
      <c r="A2452" t="s">
        <v>2707</v>
      </c>
      <c r="B2452" t="s">
        <v>2708</v>
      </c>
      <c r="C2452" t="s">
        <v>2502</v>
      </c>
      <c r="D2452" t="s">
        <v>228</v>
      </c>
      <c r="E2452">
        <v>64.989999999999995</v>
      </c>
      <c r="F2452" t="s">
        <v>8118</v>
      </c>
      <c r="G2452">
        <v>43</v>
      </c>
      <c r="H2452">
        <v>2</v>
      </c>
      <c r="I2452">
        <v>41</v>
      </c>
      <c r="L2452" t="s">
        <v>14</v>
      </c>
      <c r="M2452" t="s">
        <v>97</v>
      </c>
      <c r="N2452">
        <v>0</v>
      </c>
      <c r="O2452">
        <v>0</v>
      </c>
      <c r="U2452">
        <v>0</v>
      </c>
      <c r="V2452">
        <v>0</v>
      </c>
    </row>
    <row r="2453" spans="1:22" x14ac:dyDescent="0.2">
      <c r="A2453" t="s">
        <v>2687</v>
      </c>
      <c r="B2453" t="s">
        <v>2688</v>
      </c>
      <c r="C2453" t="s">
        <v>2502</v>
      </c>
      <c r="D2453" t="s">
        <v>228</v>
      </c>
      <c r="E2453">
        <v>159.99</v>
      </c>
      <c r="F2453" t="s">
        <v>8118</v>
      </c>
      <c r="G2453">
        <v>255</v>
      </c>
      <c r="H2453">
        <v>22</v>
      </c>
      <c r="I2453">
        <v>233</v>
      </c>
      <c r="K2453">
        <v>240</v>
      </c>
      <c r="L2453" t="s">
        <v>14</v>
      </c>
      <c r="M2453" t="s">
        <v>97</v>
      </c>
      <c r="N2453">
        <v>48.81818181818182</v>
      </c>
      <c r="O2453">
        <v>2.0484171322160148E-2</v>
      </c>
      <c r="T2453">
        <v>3.6666666666666665</v>
      </c>
      <c r="U2453">
        <v>1119.93</v>
      </c>
      <c r="V2453">
        <v>179</v>
      </c>
    </row>
    <row r="2454" spans="1:22" x14ac:dyDescent="0.2">
      <c r="A2454" t="s">
        <v>6251</v>
      </c>
      <c r="B2454" t="s">
        <v>6252</v>
      </c>
      <c r="C2454" t="s">
        <v>2502</v>
      </c>
      <c r="D2454" t="s">
        <v>228</v>
      </c>
      <c r="E2454">
        <v>54.99</v>
      </c>
      <c r="F2454" t="s">
        <v>8118</v>
      </c>
      <c r="G2454">
        <v>17</v>
      </c>
      <c r="I2454">
        <v>17</v>
      </c>
      <c r="L2454" t="s">
        <v>14</v>
      </c>
      <c r="M2454" t="s">
        <v>97</v>
      </c>
      <c r="N2454">
        <v>79.5</v>
      </c>
      <c r="O2454">
        <v>1.2578616352201257E-2</v>
      </c>
      <c r="T2454">
        <v>1.3333333333333333</v>
      </c>
      <c r="U2454">
        <v>54.99</v>
      </c>
      <c r="V2454">
        <v>106</v>
      </c>
    </row>
    <row r="2455" spans="1:22" x14ac:dyDescent="0.2">
      <c r="A2455" t="s">
        <v>2669</v>
      </c>
      <c r="B2455" t="s">
        <v>2670</v>
      </c>
      <c r="C2455" t="s">
        <v>2502</v>
      </c>
      <c r="D2455" t="s">
        <v>228</v>
      </c>
      <c r="E2455">
        <v>59.99</v>
      </c>
      <c r="F2455" t="s">
        <v>8118</v>
      </c>
      <c r="G2455">
        <v>463</v>
      </c>
      <c r="H2455">
        <v>56</v>
      </c>
      <c r="I2455">
        <v>407</v>
      </c>
      <c r="K2455">
        <v>200</v>
      </c>
      <c r="L2455" t="s">
        <v>14</v>
      </c>
      <c r="M2455" t="s">
        <v>97</v>
      </c>
      <c r="N2455">
        <v>21.553398058252426</v>
      </c>
      <c r="O2455">
        <v>4.6396396396396401E-2</v>
      </c>
      <c r="T2455">
        <v>8.5833333333333339</v>
      </c>
      <c r="U2455">
        <v>419.93</v>
      </c>
      <c r="V2455">
        <v>185</v>
      </c>
    </row>
    <row r="2456" spans="1:22" x14ac:dyDescent="0.2">
      <c r="A2456" t="s">
        <v>2713</v>
      </c>
      <c r="B2456" t="s">
        <v>2714</v>
      </c>
      <c r="C2456" t="s">
        <v>2502</v>
      </c>
      <c r="D2456" t="s">
        <v>228</v>
      </c>
      <c r="E2456">
        <v>19.989999999999998</v>
      </c>
      <c r="F2456" t="s">
        <v>8118</v>
      </c>
      <c r="G2456">
        <v>541</v>
      </c>
      <c r="H2456">
        <v>61</v>
      </c>
      <c r="I2456">
        <v>480</v>
      </c>
      <c r="K2456">
        <v>300</v>
      </c>
      <c r="L2456" t="s">
        <v>14</v>
      </c>
      <c r="M2456" t="s">
        <v>97</v>
      </c>
      <c r="N2456">
        <v>20.809248554913296</v>
      </c>
      <c r="O2456">
        <v>4.8055555555555553E-2</v>
      </c>
      <c r="T2456">
        <v>14.416666666666666</v>
      </c>
      <c r="U2456">
        <v>259.87</v>
      </c>
      <c r="V2456">
        <v>300</v>
      </c>
    </row>
    <row r="2457" spans="1:22" x14ac:dyDescent="0.2">
      <c r="A2457" t="s">
        <v>2715</v>
      </c>
      <c r="B2457" t="s">
        <v>2716</v>
      </c>
      <c r="C2457" t="s">
        <v>2502</v>
      </c>
      <c r="D2457" t="s">
        <v>228</v>
      </c>
      <c r="E2457">
        <v>39.99</v>
      </c>
      <c r="F2457" t="s">
        <v>8118</v>
      </c>
      <c r="G2457">
        <v>113</v>
      </c>
      <c r="H2457">
        <v>30</v>
      </c>
      <c r="I2457">
        <v>83</v>
      </c>
      <c r="K2457">
        <v>120</v>
      </c>
      <c r="L2457" t="s">
        <v>14</v>
      </c>
      <c r="M2457" t="s">
        <v>97</v>
      </c>
      <c r="N2457">
        <v>0</v>
      </c>
      <c r="O2457">
        <v>0</v>
      </c>
      <c r="U2457">
        <v>0</v>
      </c>
      <c r="V2457">
        <v>0</v>
      </c>
    </row>
    <row r="2458" spans="1:22" x14ac:dyDescent="0.2">
      <c r="A2458" t="s">
        <v>6377</v>
      </c>
      <c r="B2458" t="s">
        <v>6378</v>
      </c>
      <c r="C2458" t="s">
        <v>2502</v>
      </c>
      <c r="D2458" t="s">
        <v>96</v>
      </c>
      <c r="E2458">
        <v>64.989999999999995</v>
      </c>
      <c r="F2458" t="s">
        <v>8118</v>
      </c>
      <c r="L2458" t="s">
        <v>10</v>
      </c>
      <c r="M2458">
        <v>501823</v>
      </c>
      <c r="N2458">
        <v>0</v>
      </c>
      <c r="O2458">
        <v>0</v>
      </c>
      <c r="P2458" t="s">
        <v>7015</v>
      </c>
      <c r="T2458">
        <v>0</v>
      </c>
      <c r="U2458">
        <v>0</v>
      </c>
      <c r="V2458">
        <v>7</v>
      </c>
    </row>
    <row r="2459" spans="1:22" x14ac:dyDescent="0.2">
      <c r="A2459" t="s">
        <v>6145</v>
      </c>
      <c r="B2459" t="s">
        <v>6146</v>
      </c>
      <c r="C2459" t="s">
        <v>2502</v>
      </c>
      <c r="D2459" t="s">
        <v>290</v>
      </c>
      <c r="E2459">
        <v>69.989999999999995</v>
      </c>
      <c r="F2459" t="s">
        <v>8118</v>
      </c>
      <c r="G2459">
        <v>13</v>
      </c>
      <c r="H2459">
        <v>10</v>
      </c>
      <c r="I2459">
        <v>3</v>
      </c>
      <c r="L2459" t="s">
        <v>10</v>
      </c>
      <c r="M2459">
        <v>654687</v>
      </c>
      <c r="N2459">
        <v>0</v>
      </c>
      <c r="O2459">
        <v>0</v>
      </c>
      <c r="P2459" t="s">
        <v>7015</v>
      </c>
      <c r="T2459">
        <v>0</v>
      </c>
      <c r="U2459">
        <v>0</v>
      </c>
      <c r="V2459">
        <v>0</v>
      </c>
    </row>
    <row r="2460" spans="1:22" x14ac:dyDescent="0.2">
      <c r="A2460" t="s">
        <v>2713</v>
      </c>
      <c r="B2460" t="s">
        <v>2714</v>
      </c>
      <c r="C2460" t="s">
        <v>2502</v>
      </c>
      <c r="D2460" t="s">
        <v>228</v>
      </c>
      <c r="E2460">
        <v>19.989999999999998</v>
      </c>
      <c r="F2460" t="s">
        <v>8118</v>
      </c>
      <c r="G2460">
        <v>541</v>
      </c>
      <c r="H2460">
        <v>61</v>
      </c>
      <c r="I2460">
        <v>480</v>
      </c>
      <c r="K2460">
        <v>300</v>
      </c>
      <c r="L2460" t="s">
        <v>10</v>
      </c>
      <c r="M2460">
        <v>471622</v>
      </c>
      <c r="N2460">
        <v>8</v>
      </c>
      <c r="O2460">
        <v>0.13116932422171604</v>
      </c>
      <c r="P2460" t="s">
        <v>7015</v>
      </c>
      <c r="T2460">
        <v>58</v>
      </c>
      <c r="U2460">
        <v>899.55</v>
      </c>
      <c r="V2460">
        <v>439</v>
      </c>
    </row>
    <row r="2461" spans="1:22" x14ac:dyDescent="0.2">
      <c r="A2461" t="s">
        <v>2505</v>
      </c>
      <c r="B2461" t="s">
        <v>2506</v>
      </c>
      <c r="C2461" t="s">
        <v>2502</v>
      </c>
      <c r="D2461" t="s">
        <v>228</v>
      </c>
      <c r="E2461">
        <v>119.99</v>
      </c>
      <c r="F2461" t="s">
        <v>8118</v>
      </c>
      <c r="G2461">
        <v>123</v>
      </c>
      <c r="I2461">
        <v>123</v>
      </c>
      <c r="L2461" t="s">
        <v>10</v>
      </c>
      <c r="M2461">
        <v>593249</v>
      </c>
      <c r="N2461">
        <v>74</v>
      </c>
      <c r="O2461">
        <v>1.3513513513513514E-2</v>
      </c>
      <c r="P2461" t="s">
        <v>7015</v>
      </c>
      <c r="T2461">
        <v>0</v>
      </c>
      <c r="U2461">
        <v>119.99</v>
      </c>
      <c r="V2461">
        <v>37</v>
      </c>
    </row>
    <row r="2462" spans="1:22" x14ac:dyDescent="0.2">
      <c r="A2462" t="s">
        <v>2503</v>
      </c>
      <c r="B2462" t="s">
        <v>2504</v>
      </c>
      <c r="C2462" t="s">
        <v>2502</v>
      </c>
      <c r="D2462" t="s">
        <v>228</v>
      </c>
      <c r="E2462">
        <v>129.99</v>
      </c>
      <c r="F2462" t="s">
        <v>8118</v>
      </c>
      <c r="G2462">
        <v>118</v>
      </c>
      <c r="H2462">
        <v>9</v>
      </c>
      <c r="I2462">
        <v>109</v>
      </c>
      <c r="K2462">
        <v>538</v>
      </c>
      <c r="L2462" t="s">
        <v>10</v>
      </c>
      <c r="M2462">
        <v>586041</v>
      </c>
      <c r="N2462">
        <v>23</v>
      </c>
      <c r="O2462">
        <v>4.3532338308457715E-2</v>
      </c>
      <c r="P2462" t="s">
        <v>7015</v>
      </c>
      <c r="T2462">
        <v>15</v>
      </c>
      <c r="U2462">
        <v>2079.84</v>
      </c>
      <c r="V2462">
        <v>335</v>
      </c>
    </row>
    <row r="2463" spans="1:22" x14ac:dyDescent="0.2">
      <c r="A2463" t="s">
        <v>2507</v>
      </c>
      <c r="B2463" t="s">
        <v>2508</v>
      </c>
      <c r="C2463" t="s">
        <v>2502</v>
      </c>
      <c r="D2463" t="s">
        <v>228</v>
      </c>
      <c r="E2463">
        <v>139.99</v>
      </c>
      <c r="F2463" t="s">
        <v>8118</v>
      </c>
      <c r="G2463">
        <v>113</v>
      </c>
      <c r="I2463">
        <v>113</v>
      </c>
      <c r="K2463">
        <v>640</v>
      </c>
      <c r="L2463" t="s">
        <v>10</v>
      </c>
      <c r="M2463">
        <v>546164</v>
      </c>
      <c r="N2463">
        <v>0</v>
      </c>
      <c r="O2463">
        <v>0</v>
      </c>
      <c r="P2463" t="s">
        <v>7015</v>
      </c>
      <c r="T2463">
        <v>0</v>
      </c>
      <c r="U2463">
        <v>0</v>
      </c>
      <c r="V2463">
        <v>0</v>
      </c>
    </row>
    <row r="2464" spans="1:22" x14ac:dyDescent="0.2">
      <c r="A2464" t="s">
        <v>2513</v>
      </c>
      <c r="B2464" t="s">
        <v>2514</v>
      </c>
      <c r="C2464" t="s">
        <v>2502</v>
      </c>
      <c r="D2464" t="s">
        <v>228</v>
      </c>
      <c r="E2464">
        <v>199.99</v>
      </c>
      <c r="F2464" t="s">
        <v>8118</v>
      </c>
      <c r="G2464">
        <v>213</v>
      </c>
      <c r="H2464">
        <v>3</v>
      </c>
      <c r="I2464">
        <v>210</v>
      </c>
      <c r="K2464">
        <v>720</v>
      </c>
      <c r="L2464" t="s">
        <v>10</v>
      </c>
      <c r="M2464">
        <v>593225</v>
      </c>
      <c r="N2464">
        <v>18</v>
      </c>
      <c r="O2464">
        <v>5.4273504273504275E-2</v>
      </c>
      <c r="P2464" t="s">
        <v>7015</v>
      </c>
      <c r="T2464">
        <v>21</v>
      </c>
      <c r="U2464">
        <v>2399.88</v>
      </c>
      <c r="V2464">
        <v>390</v>
      </c>
    </row>
    <row r="2465" spans="1:22" x14ac:dyDescent="0.2">
      <c r="A2465" t="s">
        <v>2515</v>
      </c>
      <c r="B2465" t="s">
        <v>2516</v>
      </c>
      <c r="C2465" t="s">
        <v>2502</v>
      </c>
      <c r="D2465" t="s">
        <v>228</v>
      </c>
      <c r="E2465">
        <v>139.99</v>
      </c>
      <c r="F2465" t="s">
        <v>8118</v>
      </c>
      <c r="G2465">
        <v>32</v>
      </c>
      <c r="I2465">
        <v>32</v>
      </c>
      <c r="K2465">
        <v>10</v>
      </c>
      <c r="L2465" t="s">
        <v>10</v>
      </c>
      <c r="M2465">
        <v>593222</v>
      </c>
      <c r="N2465">
        <v>14</v>
      </c>
      <c r="O2465">
        <v>6.9182389937106917E-2</v>
      </c>
      <c r="P2465" t="s">
        <v>7015</v>
      </c>
      <c r="T2465">
        <v>4</v>
      </c>
      <c r="U2465">
        <v>699.95</v>
      </c>
      <c r="V2465">
        <v>53</v>
      </c>
    </row>
    <row r="2466" spans="1:22" x14ac:dyDescent="0.2">
      <c r="A2466" t="s">
        <v>2519</v>
      </c>
      <c r="B2466" t="s">
        <v>2520</v>
      </c>
      <c r="C2466" t="s">
        <v>2502</v>
      </c>
      <c r="D2466" t="s">
        <v>228</v>
      </c>
      <c r="E2466">
        <v>249.99</v>
      </c>
      <c r="F2466" t="s">
        <v>8118</v>
      </c>
      <c r="J2466">
        <v>32</v>
      </c>
      <c r="K2466">
        <v>320</v>
      </c>
      <c r="L2466" t="s">
        <v>10</v>
      </c>
      <c r="M2466">
        <v>667283</v>
      </c>
      <c r="N2466">
        <v>1</v>
      </c>
      <c r="O2466">
        <v>0.89583333333333348</v>
      </c>
      <c r="P2466" t="s">
        <v>7015</v>
      </c>
      <c r="T2466">
        <v>4</v>
      </c>
      <c r="U2466">
        <v>-249.99</v>
      </c>
      <c r="V2466">
        <v>4</v>
      </c>
    </row>
    <row r="2467" spans="1:22" x14ac:dyDescent="0.2">
      <c r="A2467" t="s">
        <v>5924</v>
      </c>
      <c r="B2467" t="s">
        <v>5925</v>
      </c>
      <c r="C2467" t="s">
        <v>2502</v>
      </c>
      <c r="D2467" t="s">
        <v>290</v>
      </c>
      <c r="E2467">
        <v>49.99</v>
      </c>
      <c r="F2467" t="s">
        <v>8118</v>
      </c>
      <c r="L2467" t="s">
        <v>10</v>
      </c>
      <c r="M2467">
        <v>496986</v>
      </c>
      <c r="N2467">
        <v>11</v>
      </c>
      <c r="O2467">
        <v>8.9953271028037379E-2</v>
      </c>
      <c r="P2467" t="s">
        <v>7015</v>
      </c>
      <c r="T2467">
        <v>19</v>
      </c>
      <c r="U2467">
        <v>1049.79</v>
      </c>
      <c r="V2467">
        <v>214</v>
      </c>
    </row>
    <row r="2468" spans="1:22" x14ac:dyDescent="0.2">
      <c r="A2468" t="s">
        <v>2529</v>
      </c>
      <c r="B2468" t="s">
        <v>2530</v>
      </c>
      <c r="C2468" t="s">
        <v>2502</v>
      </c>
      <c r="D2468" t="s">
        <v>228</v>
      </c>
      <c r="E2468">
        <v>49.99</v>
      </c>
      <c r="F2468" t="s">
        <v>8118</v>
      </c>
      <c r="J2468">
        <v>1</v>
      </c>
      <c r="K2468">
        <v>680</v>
      </c>
      <c r="L2468" t="s">
        <v>10</v>
      </c>
      <c r="M2468">
        <v>585987</v>
      </c>
      <c r="N2468">
        <v>1</v>
      </c>
      <c r="O2468">
        <v>1.3333333333333333</v>
      </c>
      <c r="P2468" t="s">
        <v>7015</v>
      </c>
      <c r="T2468">
        <v>1</v>
      </c>
      <c r="U2468">
        <v>0</v>
      </c>
      <c r="V2468">
        <v>1</v>
      </c>
    </row>
    <row r="2469" spans="1:22" x14ac:dyDescent="0.2">
      <c r="A2469" t="s">
        <v>6114</v>
      </c>
      <c r="B2469" t="s">
        <v>6115</v>
      </c>
      <c r="C2469" t="s">
        <v>2502</v>
      </c>
      <c r="D2469" t="s">
        <v>96</v>
      </c>
      <c r="E2469">
        <v>99.99</v>
      </c>
      <c r="F2469" t="s">
        <v>8118</v>
      </c>
      <c r="L2469" t="s">
        <v>10</v>
      </c>
      <c r="M2469">
        <v>638672</v>
      </c>
      <c r="N2469">
        <v>0</v>
      </c>
      <c r="O2469">
        <v>0</v>
      </c>
      <c r="P2469" t="s">
        <v>7015</v>
      </c>
      <c r="T2469">
        <v>0</v>
      </c>
      <c r="U2469">
        <v>0</v>
      </c>
      <c r="V2469">
        <v>8</v>
      </c>
    </row>
    <row r="2470" spans="1:22" x14ac:dyDescent="0.2">
      <c r="A2470" t="s">
        <v>2539</v>
      </c>
      <c r="B2470" t="s">
        <v>2540</v>
      </c>
      <c r="C2470" t="s">
        <v>2502</v>
      </c>
      <c r="D2470" t="s">
        <v>228</v>
      </c>
      <c r="E2470">
        <v>54.99</v>
      </c>
      <c r="F2470" t="s">
        <v>8118</v>
      </c>
      <c r="G2470">
        <v>64</v>
      </c>
      <c r="H2470">
        <v>3</v>
      </c>
      <c r="I2470">
        <v>61</v>
      </c>
      <c r="K2470">
        <v>720</v>
      </c>
      <c r="L2470" t="s">
        <v>10</v>
      </c>
      <c r="M2470">
        <v>479983</v>
      </c>
      <c r="N2470">
        <v>0</v>
      </c>
      <c r="O2470">
        <v>0</v>
      </c>
      <c r="P2470" t="s">
        <v>7015</v>
      </c>
      <c r="T2470">
        <v>2</v>
      </c>
      <c r="U2470">
        <v>109.98</v>
      </c>
      <c r="V2470">
        <v>0</v>
      </c>
    </row>
    <row r="2471" spans="1:22" x14ac:dyDescent="0.2">
      <c r="A2471" t="s">
        <v>2543</v>
      </c>
      <c r="B2471" t="s">
        <v>2544</v>
      </c>
      <c r="C2471" t="s">
        <v>2502</v>
      </c>
      <c r="D2471" t="s">
        <v>228</v>
      </c>
      <c r="E2471">
        <v>79.989999999999995</v>
      </c>
      <c r="F2471" t="s">
        <v>8118</v>
      </c>
      <c r="G2471">
        <v>166</v>
      </c>
      <c r="H2471">
        <v>2</v>
      </c>
      <c r="I2471">
        <v>164</v>
      </c>
      <c r="K2471">
        <v>40</v>
      </c>
      <c r="L2471" t="s">
        <v>10</v>
      </c>
      <c r="M2471">
        <v>534633</v>
      </c>
      <c r="N2471">
        <v>17</v>
      </c>
      <c r="O2471">
        <v>5.7838660578386603E-2</v>
      </c>
      <c r="P2471" t="s">
        <v>7015</v>
      </c>
      <c r="T2471">
        <v>13</v>
      </c>
      <c r="U2471">
        <v>799.9</v>
      </c>
      <c r="V2471">
        <v>219</v>
      </c>
    </row>
    <row r="2472" spans="1:22" x14ac:dyDescent="0.2">
      <c r="A2472" t="s">
        <v>2595</v>
      </c>
      <c r="B2472" t="s">
        <v>2596</v>
      </c>
      <c r="C2472" t="s">
        <v>2502</v>
      </c>
      <c r="D2472" t="s">
        <v>228</v>
      </c>
      <c r="E2472">
        <v>49.99</v>
      </c>
      <c r="F2472" t="s">
        <v>8118</v>
      </c>
      <c r="J2472">
        <v>1</v>
      </c>
      <c r="K2472">
        <v>40</v>
      </c>
      <c r="L2472" t="s">
        <v>10</v>
      </c>
      <c r="M2472">
        <v>479259</v>
      </c>
      <c r="N2472">
        <v>0</v>
      </c>
      <c r="O2472">
        <v>0</v>
      </c>
      <c r="P2472" t="s">
        <v>7015</v>
      </c>
      <c r="T2472">
        <v>0</v>
      </c>
      <c r="U2472">
        <v>0</v>
      </c>
      <c r="V2472">
        <v>0</v>
      </c>
    </row>
    <row r="2473" spans="1:22" x14ac:dyDescent="0.2">
      <c r="A2473" t="s">
        <v>6258</v>
      </c>
      <c r="B2473" t="s">
        <v>6259</v>
      </c>
      <c r="C2473" t="s">
        <v>2502</v>
      </c>
      <c r="D2473" t="s">
        <v>96</v>
      </c>
      <c r="E2473">
        <v>159.99</v>
      </c>
      <c r="F2473" t="s">
        <v>8118</v>
      </c>
      <c r="L2473" t="s">
        <v>10</v>
      </c>
      <c r="M2473">
        <v>642329</v>
      </c>
      <c r="N2473">
        <v>0</v>
      </c>
      <c r="O2473">
        <v>0</v>
      </c>
      <c r="P2473" t="s">
        <v>7015</v>
      </c>
      <c r="T2473">
        <v>0</v>
      </c>
      <c r="U2473">
        <v>0</v>
      </c>
      <c r="V2473">
        <v>0</v>
      </c>
    </row>
    <row r="2474" spans="1:22" x14ac:dyDescent="0.2">
      <c r="A2474" t="s">
        <v>2599</v>
      </c>
      <c r="B2474" t="s">
        <v>2600</v>
      </c>
      <c r="C2474" t="s">
        <v>2502</v>
      </c>
      <c r="D2474" t="s">
        <v>228</v>
      </c>
      <c r="E2474">
        <v>79.989999999999995</v>
      </c>
      <c r="F2474" t="s">
        <v>8118</v>
      </c>
      <c r="G2474">
        <v>58</v>
      </c>
      <c r="H2474">
        <v>1</v>
      </c>
      <c r="I2474">
        <v>57</v>
      </c>
      <c r="K2474">
        <v>80</v>
      </c>
      <c r="L2474" t="s">
        <v>10</v>
      </c>
      <c r="M2474">
        <v>667191</v>
      </c>
      <c r="N2474">
        <v>18</v>
      </c>
      <c r="O2474">
        <v>5.5389221556886227E-2</v>
      </c>
      <c r="P2474" t="s">
        <v>7015</v>
      </c>
      <c r="T2474">
        <v>18</v>
      </c>
      <c r="U2474">
        <v>1039.8699999999999</v>
      </c>
      <c r="V2474">
        <v>334</v>
      </c>
    </row>
    <row r="2475" spans="1:22" x14ac:dyDescent="0.2">
      <c r="A2475" t="s">
        <v>2601</v>
      </c>
      <c r="B2475" t="s">
        <v>2602</v>
      </c>
      <c r="C2475" t="s">
        <v>2502</v>
      </c>
      <c r="D2475" t="s">
        <v>228</v>
      </c>
      <c r="E2475">
        <v>79.989999999999995</v>
      </c>
      <c r="F2475" t="s">
        <v>8118</v>
      </c>
      <c r="G2475">
        <v>148</v>
      </c>
      <c r="H2475">
        <v>148</v>
      </c>
      <c r="L2475" t="s">
        <v>10</v>
      </c>
      <c r="M2475">
        <v>667190</v>
      </c>
      <c r="N2475">
        <v>25</v>
      </c>
      <c r="O2475">
        <v>4.0630182421227193E-2</v>
      </c>
      <c r="P2475" t="s">
        <v>7015</v>
      </c>
      <c r="T2475">
        <v>8</v>
      </c>
      <c r="U2475">
        <v>479.93999999999994</v>
      </c>
      <c r="V2475">
        <v>201</v>
      </c>
    </row>
    <row r="2476" spans="1:22" x14ac:dyDescent="0.2">
      <c r="A2476" t="s">
        <v>6068</v>
      </c>
      <c r="B2476" t="s">
        <v>6069</v>
      </c>
      <c r="C2476" t="s">
        <v>2502</v>
      </c>
      <c r="D2476" t="s">
        <v>228</v>
      </c>
      <c r="E2476">
        <v>59.99</v>
      </c>
      <c r="F2476" t="s">
        <v>8118</v>
      </c>
      <c r="G2476">
        <v>8</v>
      </c>
      <c r="I2476">
        <v>8</v>
      </c>
      <c r="K2476">
        <v>20</v>
      </c>
      <c r="L2476" t="s">
        <v>10</v>
      </c>
      <c r="M2476">
        <v>593234</v>
      </c>
      <c r="N2476">
        <v>3</v>
      </c>
      <c r="O2476">
        <v>0.29166666666666669</v>
      </c>
      <c r="P2476" t="s">
        <v>7015</v>
      </c>
      <c r="T2476">
        <v>1</v>
      </c>
      <c r="U2476">
        <v>0</v>
      </c>
      <c r="V2476">
        <v>2</v>
      </c>
    </row>
    <row r="2477" spans="1:22" x14ac:dyDescent="0.2">
      <c r="A2477" t="s">
        <v>2695</v>
      </c>
      <c r="B2477" t="s">
        <v>2696</v>
      </c>
      <c r="C2477" t="s">
        <v>2502</v>
      </c>
      <c r="D2477" t="s">
        <v>228</v>
      </c>
      <c r="E2477">
        <v>299.99</v>
      </c>
      <c r="F2477" t="s">
        <v>8118</v>
      </c>
      <c r="G2477">
        <v>9</v>
      </c>
      <c r="H2477">
        <v>1</v>
      </c>
      <c r="I2477">
        <v>8</v>
      </c>
      <c r="K2477">
        <v>10</v>
      </c>
      <c r="L2477" t="s">
        <v>10</v>
      </c>
      <c r="M2477">
        <v>593215</v>
      </c>
      <c r="N2477">
        <v>22</v>
      </c>
      <c r="O2477">
        <v>4.4642857142857144E-2</v>
      </c>
      <c r="P2477" t="s">
        <v>7015</v>
      </c>
      <c r="T2477">
        <v>1</v>
      </c>
      <c r="U2477">
        <v>0</v>
      </c>
      <c r="V2477">
        <v>28</v>
      </c>
    </row>
    <row r="2478" spans="1:22" x14ac:dyDescent="0.2">
      <c r="A2478" t="s">
        <v>2725</v>
      </c>
      <c r="B2478" t="s">
        <v>2726</v>
      </c>
      <c r="C2478" t="s">
        <v>2502</v>
      </c>
      <c r="D2478" t="s">
        <v>228</v>
      </c>
      <c r="E2478">
        <v>59.99</v>
      </c>
      <c r="F2478" t="s">
        <v>8118</v>
      </c>
      <c r="J2478">
        <v>6</v>
      </c>
      <c r="K2478">
        <v>60</v>
      </c>
      <c r="L2478" t="s">
        <v>10</v>
      </c>
      <c r="M2478">
        <v>654685</v>
      </c>
      <c r="N2478">
        <v>0</v>
      </c>
      <c r="O2478">
        <v>0</v>
      </c>
      <c r="P2478" t="s">
        <v>7015</v>
      </c>
      <c r="T2478">
        <v>1</v>
      </c>
      <c r="U2478">
        <v>0</v>
      </c>
      <c r="V2478">
        <v>0</v>
      </c>
    </row>
    <row r="2479" spans="1:22" x14ac:dyDescent="0.2">
      <c r="A2479" t="s">
        <v>2541</v>
      </c>
      <c r="B2479" t="s">
        <v>2542</v>
      </c>
      <c r="C2479" t="s">
        <v>2502</v>
      </c>
      <c r="D2479" t="s">
        <v>228</v>
      </c>
      <c r="E2479">
        <v>54.99</v>
      </c>
      <c r="F2479" t="s">
        <v>8118</v>
      </c>
      <c r="G2479">
        <v>5</v>
      </c>
      <c r="I2479">
        <v>5</v>
      </c>
      <c r="L2479" t="s">
        <v>10</v>
      </c>
      <c r="M2479">
        <v>654686</v>
      </c>
      <c r="N2479">
        <v>0</v>
      </c>
      <c r="O2479">
        <v>0</v>
      </c>
      <c r="P2479" t="s">
        <v>7015</v>
      </c>
      <c r="T2479">
        <v>0</v>
      </c>
      <c r="U2479">
        <v>0</v>
      </c>
      <c r="V2479">
        <v>0</v>
      </c>
    </row>
    <row r="2480" spans="1:22" x14ac:dyDescent="0.2">
      <c r="A2480" t="s">
        <v>6029</v>
      </c>
      <c r="B2480" t="s">
        <v>6030</v>
      </c>
      <c r="C2480" t="s">
        <v>2502</v>
      </c>
      <c r="D2480" t="s">
        <v>228</v>
      </c>
      <c r="E2480">
        <v>29.99</v>
      </c>
      <c r="F2480" t="s">
        <v>8118</v>
      </c>
      <c r="G2480">
        <v>108</v>
      </c>
      <c r="H2480">
        <v>1</v>
      </c>
      <c r="I2480">
        <v>107</v>
      </c>
      <c r="K2480">
        <v>50</v>
      </c>
      <c r="L2480" t="s">
        <v>10</v>
      </c>
      <c r="M2480">
        <v>593228</v>
      </c>
      <c r="N2480">
        <v>16</v>
      </c>
      <c r="O2480">
        <v>6.1359867330016589E-2</v>
      </c>
      <c r="P2480" t="s">
        <v>7015</v>
      </c>
      <c r="T2480">
        <v>12</v>
      </c>
      <c r="U2480">
        <v>269.90999999999997</v>
      </c>
      <c r="V2480">
        <v>201</v>
      </c>
    </row>
    <row r="2481" spans="1:22" x14ac:dyDescent="0.2">
      <c r="A2481" t="s">
        <v>6254</v>
      </c>
      <c r="B2481" t="s">
        <v>6255</v>
      </c>
      <c r="C2481" t="s">
        <v>2502</v>
      </c>
      <c r="D2481" t="s">
        <v>290</v>
      </c>
      <c r="E2481">
        <v>159.99</v>
      </c>
      <c r="F2481" t="s">
        <v>8118</v>
      </c>
      <c r="G2481">
        <v>25</v>
      </c>
      <c r="I2481">
        <v>25</v>
      </c>
      <c r="L2481" t="s">
        <v>10</v>
      </c>
      <c r="M2481">
        <v>342833</v>
      </c>
      <c r="N2481">
        <v>0</v>
      </c>
      <c r="O2481">
        <v>0</v>
      </c>
      <c r="P2481" t="s">
        <v>7015</v>
      </c>
      <c r="T2481">
        <v>0</v>
      </c>
      <c r="U2481">
        <v>0</v>
      </c>
      <c r="V2481">
        <v>10</v>
      </c>
    </row>
    <row r="2482" spans="1:22" x14ac:dyDescent="0.2">
      <c r="A2482" t="s">
        <v>6019</v>
      </c>
      <c r="B2482" t="s">
        <v>6020</v>
      </c>
      <c r="C2482" t="s">
        <v>2502</v>
      </c>
      <c r="D2482" t="s">
        <v>228</v>
      </c>
      <c r="E2482">
        <v>29.99</v>
      </c>
      <c r="F2482" t="s">
        <v>8118</v>
      </c>
      <c r="G2482">
        <v>34</v>
      </c>
      <c r="I2482">
        <v>34</v>
      </c>
      <c r="L2482" t="s">
        <v>10</v>
      </c>
      <c r="M2482">
        <v>593229</v>
      </c>
      <c r="N2482">
        <v>0</v>
      </c>
      <c r="O2482">
        <v>0</v>
      </c>
      <c r="P2482" t="s">
        <v>7015</v>
      </c>
      <c r="T2482">
        <v>0</v>
      </c>
      <c r="U2482">
        <v>0</v>
      </c>
      <c r="V2482">
        <v>0</v>
      </c>
    </row>
    <row r="2483" spans="1:22" x14ac:dyDescent="0.2">
      <c r="A2483" t="s">
        <v>6024</v>
      </c>
      <c r="B2483" t="s">
        <v>6025</v>
      </c>
      <c r="C2483" t="s">
        <v>2502</v>
      </c>
      <c r="D2483" t="s">
        <v>228</v>
      </c>
      <c r="E2483">
        <v>29.99</v>
      </c>
      <c r="F2483" t="s">
        <v>8118</v>
      </c>
      <c r="G2483">
        <v>178</v>
      </c>
      <c r="H2483">
        <v>1</v>
      </c>
      <c r="I2483">
        <v>177</v>
      </c>
      <c r="K2483">
        <v>100</v>
      </c>
      <c r="L2483" t="s">
        <v>10</v>
      </c>
      <c r="M2483">
        <v>593227</v>
      </c>
      <c r="N2483">
        <v>10</v>
      </c>
      <c r="O2483">
        <v>9.7582037996545759E-2</v>
      </c>
      <c r="P2483" t="s">
        <v>7015</v>
      </c>
      <c r="T2483">
        <v>19</v>
      </c>
      <c r="U2483">
        <v>359.88</v>
      </c>
      <c r="V2483">
        <v>193</v>
      </c>
    </row>
    <row r="2484" spans="1:22" x14ac:dyDescent="0.2">
      <c r="A2484" t="s">
        <v>7183</v>
      </c>
      <c r="B2484" t="s">
        <v>7185</v>
      </c>
      <c r="C2484" t="s">
        <v>2502</v>
      </c>
      <c r="D2484" t="s">
        <v>96</v>
      </c>
      <c r="E2484">
        <v>74.989999999999995</v>
      </c>
      <c r="F2484" t="s">
        <v>8118</v>
      </c>
      <c r="L2484" t="s">
        <v>10</v>
      </c>
      <c r="M2484">
        <v>331235</v>
      </c>
      <c r="N2484">
        <v>0</v>
      </c>
      <c r="O2484">
        <v>0</v>
      </c>
      <c r="P2484" t="s">
        <v>7015</v>
      </c>
      <c r="T2484">
        <v>0</v>
      </c>
      <c r="U2484">
        <v>0</v>
      </c>
      <c r="V2484">
        <v>0</v>
      </c>
    </row>
    <row r="2485" spans="1:22" x14ac:dyDescent="0.2">
      <c r="A2485" t="s">
        <v>2557</v>
      </c>
      <c r="B2485" t="s">
        <v>2558</v>
      </c>
      <c r="C2485" t="s">
        <v>2502</v>
      </c>
      <c r="D2485" t="s">
        <v>228</v>
      </c>
      <c r="E2485">
        <v>179.99</v>
      </c>
      <c r="F2485" t="s">
        <v>8118</v>
      </c>
      <c r="G2485">
        <v>13</v>
      </c>
      <c r="I2485">
        <v>13</v>
      </c>
      <c r="K2485">
        <v>20</v>
      </c>
      <c r="L2485" t="s">
        <v>10</v>
      </c>
      <c r="M2485">
        <v>514939</v>
      </c>
      <c r="N2485">
        <v>22</v>
      </c>
      <c r="O2485">
        <v>4.4871794871794872E-2</v>
      </c>
      <c r="P2485" t="s">
        <v>7015</v>
      </c>
      <c r="T2485">
        <v>2</v>
      </c>
      <c r="U2485">
        <v>179.99</v>
      </c>
      <c r="V2485">
        <v>52</v>
      </c>
    </row>
    <row r="2486" spans="1:22" x14ac:dyDescent="0.2">
      <c r="A2486" t="s">
        <v>6232</v>
      </c>
      <c r="B2486" t="s">
        <v>6233</v>
      </c>
      <c r="C2486" t="s">
        <v>2502</v>
      </c>
      <c r="D2486" t="s">
        <v>228</v>
      </c>
      <c r="E2486">
        <v>79.989999999999995</v>
      </c>
      <c r="F2486" t="s">
        <v>8118</v>
      </c>
      <c r="G2486">
        <v>12</v>
      </c>
      <c r="I2486">
        <v>12</v>
      </c>
      <c r="L2486" t="s">
        <v>10</v>
      </c>
      <c r="M2486">
        <v>585981</v>
      </c>
      <c r="N2486">
        <v>0</v>
      </c>
      <c r="O2486">
        <v>0</v>
      </c>
      <c r="P2486" t="s">
        <v>7015</v>
      </c>
      <c r="T2486">
        <v>0</v>
      </c>
      <c r="U2486">
        <v>0</v>
      </c>
      <c r="V2486">
        <v>0</v>
      </c>
    </row>
    <row r="2487" spans="1:22" x14ac:dyDescent="0.2">
      <c r="A2487" t="s">
        <v>2555</v>
      </c>
      <c r="B2487" t="s">
        <v>2556</v>
      </c>
      <c r="C2487" t="s">
        <v>2502</v>
      </c>
      <c r="D2487" t="s">
        <v>228</v>
      </c>
      <c r="E2487">
        <v>129.99</v>
      </c>
      <c r="F2487" t="s">
        <v>8118</v>
      </c>
      <c r="G2487">
        <v>10</v>
      </c>
      <c r="H2487">
        <v>7</v>
      </c>
      <c r="I2487">
        <v>3</v>
      </c>
      <c r="K2487">
        <v>20</v>
      </c>
      <c r="L2487" t="s">
        <v>10</v>
      </c>
      <c r="M2487">
        <v>426740</v>
      </c>
      <c r="N2487">
        <v>0</v>
      </c>
      <c r="O2487">
        <v>0</v>
      </c>
      <c r="P2487" t="s">
        <v>7015</v>
      </c>
      <c r="T2487">
        <v>1</v>
      </c>
      <c r="U2487">
        <v>649.95000000000005</v>
      </c>
      <c r="V2487">
        <v>0</v>
      </c>
    </row>
    <row r="2488" spans="1:22" x14ac:dyDescent="0.2">
      <c r="A2488" t="s">
        <v>2669</v>
      </c>
      <c r="B2488" t="s">
        <v>2670</v>
      </c>
      <c r="C2488" t="s">
        <v>2502</v>
      </c>
      <c r="D2488" t="s">
        <v>228</v>
      </c>
      <c r="E2488">
        <v>59.99</v>
      </c>
      <c r="F2488" t="s">
        <v>8118</v>
      </c>
      <c r="G2488">
        <v>463</v>
      </c>
      <c r="H2488">
        <v>56</v>
      </c>
      <c r="I2488">
        <v>407</v>
      </c>
      <c r="K2488">
        <v>200</v>
      </c>
      <c r="L2488" t="s">
        <v>10</v>
      </c>
      <c r="M2488">
        <v>593216</v>
      </c>
      <c r="N2488">
        <v>8</v>
      </c>
      <c r="O2488">
        <v>0.12270574304322084</v>
      </c>
      <c r="P2488" t="s">
        <v>7015</v>
      </c>
      <c r="T2488">
        <v>69</v>
      </c>
      <c r="U2488">
        <v>3359.44</v>
      </c>
      <c r="V2488">
        <v>563</v>
      </c>
    </row>
    <row r="2489" spans="1:22" x14ac:dyDescent="0.2">
      <c r="A2489" t="s">
        <v>6219</v>
      </c>
      <c r="B2489" t="s">
        <v>6220</v>
      </c>
      <c r="C2489" t="s">
        <v>2502</v>
      </c>
      <c r="D2489" t="s">
        <v>290</v>
      </c>
      <c r="E2489">
        <v>89.99</v>
      </c>
      <c r="F2489" t="s">
        <v>8118</v>
      </c>
      <c r="G2489">
        <v>5</v>
      </c>
      <c r="I2489">
        <v>5</v>
      </c>
      <c r="L2489" t="s">
        <v>10</v>
      </c>
      <c r="M2489">
        <v>642332</v>
      </c>
      <c r="N2489">
        <v>0</v>
      </c>
      <c r="O2489">
        <v>0</v>
      </c>
      <c r="P2489" t="s">
        <v>7015</v>
      </c>
      <c r="T2489">
        <v>0</v>
      </c>
      <c r="U2489">
        <v>0</v>
      </c>
      <c r="V2489">
        <v>5</v>
      </c>
    </row>
    <row r="2490" spans="1:22" x14ac:dyDescent="0.2">
      <c r="A2490" t="s">
        <v>7150</v>
      </c>
      <c r="B2490" t="s">
        <v>7152</v>
      </c>
      <c r="C2490" t="s">
        <v>2502</v>
      </c>
      <c r="D2490" t="s">
        <v>290</v>
      </c>
      <c r="E2490">
        <v>89.99</v>
      </c>
      <c r="F2490" t="s">
        <v>8118</v>
      </c>
      <c r="L2490" t="s">
        <v>10</v>
      </c>
      <c r="M2490">
        <v>366927</v>
      </c>
      <c r="N2490">
        <v>0</v>
      </c>
      <c r="O2490">
        <v>0</v>
      </c>
      <c r="P2490" t="s">
        <v>7015</v>
      </c>
      <c r="T2490">
        <v>0</v>
      </c>
      <c r="U2490">
        <v>0</v>
      </c>
      <c r="V2490">
        <v>0</v>
      </c>
    </row>
    <row r="2491" spans="1:22" x14ac:dyDescent="0.2">
      <c r="A2491" t="s">
        <v>2609</v>
      </c>
      <c r="B2491" t="s">
        <v>2610</v>
      </c>
      <c r="C2491" t="s">
        <v>2502</v>
      </c>
      <c r="D2491" t="s">
        <v>228</v>
      </c>
      <c r="E2491">
        <v>179.99</v>
      </c>
      <c r="F2491" t="s">
        <v>8118</v>
      </c>
      <c r="G2491">
        <v>331</v>
      </c>
      <c r="H2491">
        <v>1</v>
      </c>
      <c r="I2491">
        <v>330</v>
      </c>
      <c r="L2491" t="s">
        <v>10</v>
      </c>
      <c r="M2491">
        <v>676356</v>
      </c>
      <c r="N2491">
        <v>0</v>
      </c>
      <c r="O2491">
        <v>0</v>
      </c>
      <c r="P2491" t="s">
        <v>7015</v>
      </c>
      <c r="T2491">
        <v>0</v>
      </c>
      <c r="U2491">
        <v>0</v>
      </c>
      <c r="V2491">
        <v>0</v>
      </c>
    </row>
    <row r="2492" spans="1:22" x14ac:dyDescent="0.2">
      <c r="A2492" t="s">
        <v>7142</v>
      </c>
      <c r="B2492" t="s">
        <v>7144</v>
      </c>
      <c r="C2492" t="s">
        <v>2502</v>
      </c>
      <c r="D2492" t="s">
        <v>96</v>
      </c>
      <c r="E2492">
        <v>79.989999999999995</v>
      </c>
      <c r="F2492" t="s">
        <v>8118</v>
      </c>
      <c r="L2492" t="s">
        <v>10</v>
      </c>
      <c r="M2492">
        <v>331232</v>
      </c>
      <c r="N2492">
        <v>0</v>
      </c>
      <c r="O2492">
        <v>0</v>
      </c>
      <c r="P2492" t="s">
        <v>7015</v>
      </c>
      <c r="T2492">
        <v>0</v>
      </c>
      <c r="U2492">
        <v>0</v>
      </c>
      <c r="V2492">
        <v>0</v>
      </c>
    </row>
    <row r="2493" spans="1:22" x14ac:dyDescent="0.2">
      <c r="A2493" t="s">
        <v>5976</v>
      </c>
      <c r="B2493" t="s">
        <v>5977</v>
      </c>
      <c r="C2493" t="s">
        <v>2502</v>
      </c>
      <c r="D2493" t="s">
        <v>96</v>
      </c>
      <c r="E2493">
        <v>79.989999999999995</v>
      </c>
      <c r="F2493" t="s">
        <v>8118</v>
      </c>
      <c r="L2493" t="s">
        <v>10</v>
      </c>
      <c r="M2493">
        <v>331234</v>
      </c>
      <c r="N2493">
        <v>0</v>
      </c>
      <c r="O2493">
        <v>0</v>
      </c>
      <c r="P2493" t="s">
        <v>7015</v>
      </c>
      <c r="T2493">
        <v>0</v>
      </c>
      <c r="U2493">
        <v>0</v>
      </c>
      <c r="V2493">
        <v>1</v>
      </c>
    </row>
    <row r="2494" spans="1:22" x14ac:dyDescent="0.2">
      <c r="A2494" t="s">
        <v>5973</v>
      </c>
      <c r="B2494" t="s">
        <v>5974</v>
      </c>
      <c r="C2494" t="s">
        <v>2502</v>
      </c>
      <c r="D2494" t="s">
        <v>290</v>
      </c>
      <c r="E2494">
        <v>79.989999999999995</v>
      </c>
      <c r="F2494" t="s">
        <v>8118</v>
      </c>
      <c r="L2494" t="s">
        <v>10</v>
      </c>
      <c r="M2494">
        <v>331233</v>
      </c>
      <c r="N2494">
        <v>0</v>
      </c>
      <c r="O2494">
        <v>0</v>
      </c>
      <c r="P2494" t="s">
        <v>7015</v>
      </c>
      <c r="T2494">
        <v>1</v>
      </c>
      <c r="U2494">
        <v>0</v>
      </c>
      <c r="V2494">
        <v>0</v>
      </c>
    </row>
    <row r="2495" spans="1:22" x14ac:dyDescent="0.2">
      <c r="A2495" t="s">
        <v>2701</v>
      </c>
      <c r="B2495" t="s">
        <v>2702</v>
      </c>
      <c r="C2495" t="s">
        <v>2502</v>
      </c>
      <c r="D2495" t="s">
        <v>290</v>
      </c>
      <c r="E2495">
        <v>99.99</v>
      </c>
      <c r="F2495" t="s">
        <v>8118</v>
      </c>
      <c r="G2495">
        <v>155</v>
      </c>
      <c r="I2495">
        <v>155</v>
      </c>
      <c r="L2495" t="s">
        <v>10</v>
      </c>
      <c r="M2495">
        <v>504167</v>
      </c>
      <c r="N2495">
        <v>15</v>
      </c>
      <c r="O2495">
        <v>6.6321105794790003E-2</v>
      </c>
      <c r="P2495" t="s">
        <v>7015</v>
      </c>
      <c r="T2495">
        <v>42</v>
      </c>
      <c r="U2495">
        <v>6799.32</v>
      </c>
      <c r="V2495">
        <v>627</v>
      </c>
    </row>
    <row r="2496" spans="1:22" x14ac:dyDescent="0.2">
      <c r="A2496" t="s">
        <v>6006</v>
      </c>
      <c r="B2496" t="s">
        <v>6007</v>
      </c>
      <c r="C2496" t="s">
        <v>2502</v>
      </c>
      <c r="D2496" t="s">
        <v>290</v>
      </c>
      <c r="E2496">
        <v>149.99</v>
      </c>
      <c r="F2496" t="s">
        <v>8118</v>
      </c>
      <c r="L2496" t="s">
        <v>10</v>
      </c>
      <c r="M2496">
        <v>467481</v>
      </c>
      <c r="N2496">
        <v>24</v>
      </c>
      <c r="O2496">
        <v>4.1666666666666664E-2</v>
      </c>
      <c r="P2496" t="s">
        <v>7015</v>
      </c>
      <c r="T2496">
        <v>0</v>
      </c>
      <c r="U2496">
        <v>0</v>
      </c>
      <c r="V2496">
        <v>2</v>
      </c>
    </row>
    <row r="2497" spans="1:22" x14ac:dyDescent="0.2">
      <c r="A2497" t="s">
        <v>6009</v>
      </c>
      <c r="B2497" t="s">
        <v>6010</v>
      </c>
      <c r="C2497" t="s">
        <v>2502</v>
      </c>
      <c r="D2497" t="s">
        <v>96</v>
      </c>
      <c r="E2497">
        <v>149.99</v>
      </c>
      <c r="F2497" t="s">
        <v>8118</v>
      </c>
      <c r="L2497" t="s">
        <v>10</v>
      </c>
      <c r="M2497">
        <v>642330</v>
      </c>
      <c r="N2497">
        <v>0</v>
      </c>
      <c r="O2497">
        <v>0</v>
      </c>
      <c r="P2497" t="s">
        <v>7015</v>
      </c>
      <c r="T2497">
        <v>0</v>
      </c>
      <c r="U2497">
        <v>0</v>
      </c>
      <c r="V2497">
        <v>0</v>
      </c>
    </row>
    <row r="2498" spans="1:22" x14ac:dyDescent="0.2">
      <c r="A2498" t="s">
        <v>2703</v>
      </c>
      <c r="B2498" t="s">
        <v>2704</v>
      </c>
      <c r="C2498" t="s">
        <v>2502</v>
      </c>
      <c r="D2498" t="s">
        <v>290</v>
      </c>
      <c r="E2498">
        <v>129.99</v>
      </c>
      <c r="F2498" t="s">
        <v>8118</v>
      </c>
      <c r="G2498">
        <v>97</v>
      </c>
      <c r="I2498">
        <v>97</v>
      </c>
      <c r="L2498" t="s">
        <v>10</v>
      </c>
      <c r="M2498">
        <v>426637</v>
      </c>
      <c r="N2498">
        <v>13</v>
      </c>
      <c r="O2498">
        <v>7.9166666666666677E-2</v>
      </c>
      <c r="P2498" t="s">
        <v>7015</v>
      </c>
      <c r="T2498">
        <v>35</v>
      </c>
      <c r="U2498">
        <v>5849.55</v>
      </c>
      <c r="V2498">
        <v>440</v>
      </c>
    </row>
    <row r="2499" spans="1:22" x14ac:dyDescent="0.2">
      <c r="A2499" t="s">
        <v>6197</v>
      </c>
      <c r="B2499" t="s">
        <v>6198</v>
      </c>
      <c r="C2499" t="s">
        <v>2502</v>
      </c>
      <c r="D2499" t="s">
        <v>96</v>
      </c>
      <c r="E2499">
        <v>99.99</v>
      </c>
      <c r="F2499" t="s">
        <v>8118</v>
      </c>
      <c r="L2499" t="s">
        <v>10</v>
      </c>
      <c r="M2499">
        <v>397648</v>
      </c>
      <c r="N2499">
        <v>0</v>
      </c>
      <c r="O2499">
        <v>0</v>
      </c>
      <c r="P2499" t="s">
        <v>7015</v>
      </c>
      <c r="T2499">
        <v>0</v>
      </c>
      <c r="U2499">
        <v>0</v>
      </c>
      <c r="V2499">
        <v>2</v>
      </c>
    </row>
    <row r="2500" spans="1:22" x14ac:dyDescent="0.2">
      <c r="A2500" t="s">
        <v>6348</v>
      </c>
      <c r="B2500" t="s">
        <v>6349</v>
      </c>
      <c r="C2500" t="s">
        <v>2502</v>
      </c>
      <c r="D2500" t="s">
        <v>290</v>
      </c>
      <c r="E2500">
        <v>129.99</v>
      </c>
      <c r="F2500" t="s">
        <v>8118</v>
      </c>
      <c r="G2500">
        <v>179</v>
      </c>
      <c r="I2500">
        <v>179</v>
      </c>
      <c r="L2500" t="s">
        <v>10</v>
      </c>
      <c r="M2500">
        <v>472252</v>
      </c>
      <c r="N2500">
        <v>7</v>
      </c>
      <c r="O2500">
        <v>0.15154639175257731</v>
      </c>
      <c r="P2500" t="s">
        <v>7015</v>
      </c>
      <c r="T2500">
        <v>74</v>
      </c>
      <c r="U2500">
        <v>19498.5</v>
      </c>
      <c r="V2500">
        <v>485</v>
      </c>
    </row>
    <row r="2501" spans="1:22" x14ac:dyDescent="0.2">
      <c r="A2501" t="s">
        <v>7186</v>
      </c>
      <c r="B2501" t="s">
        <v>7188</v>
      </c>
      <c r="C2501" t="s">
        <v>2502</v>
      </c>
      <c r="D2501" t="s">
        <v>96</v>
      </c>
      <c r="E2501">
        <v>79.989999999999995</v>
      </c>
      <c r="F2501" t="s">
        <v>8118</v>
      </c>
      <c r="L2501" t="s">
        <v>10</v>
      </c>
      <c r="M2501">
        <v>366978</v>
      </c>
      <c r="N2501">
        <v>0</v>
      </c>
      <c r="O2501">
        <v>0</v>
      </c>
      <c r="P2501" t="s">
        <v>7015</v>
      </c>
      <c r="T2501">
        <v>0</v>
      </c>
      <c r="U2501">
        <v>0</v>
      </c>
      <c r="V2501">
        <v>0</v>
      </c>
    </row>
    <row r="2502" spans="1:22" x14ac:dyDescent="0.2">
      <c r="A2502" t="s">
        <v>2553</v>
      </c>
      <c r="B2502" t="s">
        <v>2554</v>
      </c>
      <c r="C2502" t="s">
        <v>2502</v>
      </c>
      <c r="D2502" t="s">
        <v>228</v>
      </c>
      <c r="E2502">
        <v>129.99</v>
      </c>
      <c r="F2502" t="s">
        <v>8118</v>
      </c>
      <c r="G2502">
        <v>18</v>
      </c>
      <c r="I2502">
        <v>18</v>
      </c>
      <c r="K2502">
        <v>10</v>
      </c>
      <c r="L2502" t="s">
        <v>10</v>
      </c>
      <c r="M2502">
        <v>514974</v>
      </c>
      <c r="N2502">
        <v>0</v>
      </c>
      <c r="O2502">
        <v>0</v>
      </c>
      <c r="P2502" t="s">
        <v>7015</v>
      </c>
      <c r="T2502">
        <v>1</v>
      </c>
      <c r="U2502">
        <v>389.97</v>
      </c>
      <c r="V2502">
        <v>0</v>
      </c>
    </row>
    <row r="2503" spans="1:22" x14ac:dyDescent="0.2">
      <c r="A2503" t="s">
        <v>2675</v>
      </c>
      <c r="B2503" t="s">
        <v>2676</v>
      </c>
      <c r="C2503" t="s">
        <v>2502</v>
      </c>
      <c r="D2503" t="s">
        <v>228</v>
      </c>
      <c r="E2503">
        <v>159.99</v>
      </c>
      <c r="F2503" t="s">
        <v>8118</v>
      </c>
      <c r="G2503">
        <v>2</v>
      </c>
      <c r="I2503">
        <v>2</v>
      </c>
      <c r="L2503" t="s">
        <v>10</v>
      </c>
      <c r="M2503">
        <v>554904</v>
      </c>
      <c r="N2503">
        <v>2</v>
      </c>
      <c r="O2503">
        <v>0.5</v>
      </c>
      <c r="P2503" t="s">
        <v>7015</v>
      </c>
      <c r="T2503">
        <v>0</v>
      </c>
      <c r="U2503">
        <v>0</v>
      </c>
      <c r="V2503">
        <v>1</v>
      </c>
    </row>
    <row r="2504" spans="1:22" x14ac:dyDescent="0.2">
      <c r="A2504" t="s">
        <v>2547</v>
      </c>
      <c r="B2504" t="s">
        <v>2548</v>
      </c>
      <c r="C2504" t="s">
        <v>2502</v>
      </c>
      <c r="D2504" t="s">
        <v>290</v>
      </c>
      <c r="E2504">
        <v>59.99</v>
      </c>
      <c r="F2504" t="s">
        <v>8118</v>
      </c>
      <c r="L2504" t="s">
        <v>10</v>
      </c>
      <c r="M2504">
        <v>331229</v>
      </c>
      <c r="N2504">
        <v>0</v>
      </c>
      <c r="O2504">
        <v>0</v>
      </c>
      <c r="P2504" t="s">
        <v>7015</v>
      </c>
      <c r="T2504">
        <v>0</v>
      </c>
      <c r="U2504">
        <v>0</v>
      </c>
      <c r="V2504">
        <v>0</v>
      </c>
    </row>
    <row r="2505" spans="1:22" x14ac:dyDescent="0.2">
      <c r="A2505" t="s">
        <v>6201</v>
      </c>
      <c r="B2505" t="s">
        <v>6202</v>
      </c>
      <c r="C2505" t="s">
        <v>2502</v>
      </c>
      <c r="D2505" t="s">
        <v>228</v>
      </c>
      <c r="E2505">
        <v>199.99</v>
      </c>
      <c r="F2505" t="s">
        <v>8118</v>
      </c>
      <c r="G2505">
        <v>13</v>
      </c>
      <c r="I2505">
        <v>13</v>
      </c>
      <c r="L2505" t="s">
        <v>10</v>
      </c>
      <c r="M2505">
        <v>397370</v>
      </c>
      <c r="N2505">
        <v>0</v>
      </c>
      <c r="O2505">
        <v>0</v>
      </c>
      <c r="P2505" t="s">
        <v>7015</v>
      </c>
      <c r="T2505">
        <v>0</v>
      </c>
      <c r="U2505">
        <v>199.99</v>
      </c>
      <c r="V2505">
        <v>0</v>
      </c>
    </row>
    <row r="2506" spans="1:22" x14ac:dyDescent="0.2">
      <c r="A2506" t="s">
        <v>2551</v>
      </c>
      <c r="B2506" t="s">
        <v>2552</v>
      </c>
      <c r="C2506" t="s">
        <v>2502</v>
      </c>
      <c r="D2506" t="s">
        <v>290</v>
      </c>
      <c r="E2506">
        <v>149.99</v>
      </c>
      <c r="F2506" t="s">
        <v>8118</v>
      </c>
      <c r="L2506" t="s">
        <v>10</v>
      </c>
      <c r="M2506">
        <v>397351</v>
      </c>
      <c r="N2506">
        <v>12</v>
      </c>
      <c r="O2506">
        <v>8.3333333333333329E-2</v>
      </c>
      <c r="P2506" t="s">
        <v>7015</v>
      </c>
      <c r="T2506">
        <v>0</v>
      </c>
      <c r="U2506">
        <v>0</v>
      </c>
      <c r="V2506">
        <v>2</v>
      </c>
    </row>
    <row r="2507" spans="1:22" x14ac:dyDescent="0.2">
      <c r="A2507" t="s">
        <v>7171</v>
      </c>
      <c r="B2507" t="s">
        <v>7173</v>
      </c>
      <c r="C2507" t="s">
        <v>2502</v>
      </c>
      <c r="D2507" t="s">
        <v>290</v>
      </c>
      <c r="E2507">
        <v>39.99</v>
      </c>
      <c r="F2507" t="s">
        <v>8118</v>
      </c>
      <c r="G2507">
        <v>10</v>
      </c>
      <c r="H2507">
        <v>10</v>
      </c>
      <c r="L2507" t="s">
        <v>10</v>
      </c>
      <c r="M2507">
        <v>366977</v>
      </c>
      <c r="N2507">
        <v>0</v>
      </c>
      <c r="O2507">
        <v>0</v>
      </c>
      <c r="P2507" t="s">
        <v>7015</v>
      </c>
      <c r="T2507">
        <v>0</v>
      </c>
      <c r="U2507">
        <v>0</v>
      </c>
      <c r="V2507">
        <v>0</v>
      </c>
    </row>
    <row r="2508" spans="1:22" x14ac:dyDescent="0.2">
      <c r="A2508" t="s">
        <v>7176</v>
      </c>
      <c r="B2508" t="s">
        <v>7178</v>
      </c>
      <c r="C2508" t="s">
        <v>2502</v>
      </c>
      <c r="D2508" t="s">
        <v>96</v>
      </c>
      <c r="E2508">
        <v>59.99</v>
      </c>
      <c r="F2508" t="s">
        <v>8118</v>
      </c>
      <c r="L2508" t="s">
        <v>10</v>
      </c>
      <c r="M2508">
        <v>331230</v>
      </c>
      <c r="N2508">
        <v>0</v>
      </c>
      <c r="O2508">
        <v>0</v>
      </c>
      <c r="P2508" t="s">
        <v>7015</v>
      </c>
      <c r="T2508">
        <v>0</v>
      </c>
      <c r="U2508">
        <v>0</v>
      </c>
      <c r="V2508">
        <v>0</v>
      </c>
    </row>
    <row r="2509" spans="1:22" x14ac:dyDescent="0.2">
      <c r="A2509" t="s">
        <v>2685</v>
      </c>
      <c r="B2509" t="s">
        <v>2686</v>
      </c>
      <c r="C2509" t="s">
        <v>2502</v>
      </c>
      <c r="D2509" t="s">
        <v>228</v>
      </c>
      <c r="E2509">
        <v>159.99</v>
      </c>
      <c r="F2509" t="s">
        <v>8118</v>
      </c>
      <c r="G2509">
        <v>50</v>
      </c>
      <c r="I2509">
        <v>50</v>
      </c>
      <c r="L2509" t="s">
        <v>10</v>
      </c>
      <c r="M2509">
        <v>381148</v>
      </c>
      <c r="N2509">
        <v>0</v>
      </c>
      <c r="O2509">
        <v>0</v>
      </c>
      <c r="P2509" t="s">
        <v>7015</v>
      </c>
      <c r="T2509">
        <v>0</v>
      </c>
      <c r="U2509">
        <v>0</v>
      </c>
      <c r="V2509">
        <v>5</v>
      </c>
    </row>
    <row r="2510" spans="1:22" x14ac:dyDescent="0.2">
      <c r="A2510" t="s">
        <v>7117</v>
      </c>
      <c r="B2510" t="s">
        <v>7119</v>
      </c>
      <c r="C2510" t="s">
        <v>2502</v>
      </c>
      <c r="D2510" t="s">
        <v>290</v>
      </c>
      <c r="E2510">
        <v>199.99</v>
      </c>
      <c r="F2510" t="s">
        <v>8118</v>
      </c>
      <c r="L2510" t="s">
        <v>10</v>
      </c>
      <c r="M2510">
        <v>397366</v>
      </c>
      <c r="N2510">
        <v>0</v>
      </c>
      <c r="O2510">
        <v>0</v>
      </c>
      <c r="P2510" t="s">
        <v>7015</v>
      </c>
      <c r="T2510">
        <v>0</v>
      </c>
      <c r="U2510">
        <v>0</v>
      </c>
      <c r="V2510">
        <v>0</v>
      </c>
    </row>
    <row r="2511" spans="1:22" x14ac:dyDescent="0.2">
      <c r="A2511" t="s">
        <v>2549</v>
      </c>
      <c r="B2511" t="s">
        <v>2550</v>
      </c>
      <c r="C2511" t="s">
        <v>2502</v>
      </c>
      <c r="D2511" t="s">
        <v>290</v>
      </c>
      <c r="E2511">
        <v>149.99</v>
      </c>
      <c r="F2511" t="s">
        <v>8118</v>
      </c>
      <c r="G2511">
        <v>15</v>
      </c>
      <c r="I2511">
        <v>15</v>
      </c>
      <c r="L2511" t="s">
        <v>10</v>
      </c>
      <c r="M2511">
        <v>397350</v>
      </c>
      <c r="N2511">
        <v>44</v>
      </c>
      <c r="O2511">
        <v>2.2727272727272728E-2</v>
      </c>
      <c r="P2511" t="s">
        <v>7015</v>
      </c>
      <c r="T2511">
        <v>0</v>
      </c>
      <c r="U2511">
        <v>0</v>
      </c>
      <c r="V2511">
        <v>11</v>
      </c>
    </row>
    <row r="2512" spans="1:22" x14ac:dyDescent="0.2">
      <c r="A2512" t="s">
        <v>7179</v>
      </c>
      <c r="B2512" t="s">
        <v>7181</v>
      </c>
      <c r="C2512" t="s">
        <v>2502</v>
      </c>
      <c r="D2512" t="s">
        <v>96</v>
      </c>
      <c r="E2512">
        <v>49.99</v>
      </c>
      <c r="F2512" t="s">
        <v>8118</v>
      </c>
      <c r="L2512" t="s">
        <v>10</v>
      </c>
      <c r="M2512">
        <v>585988</v>
      </c>
      <c r="N2512">
        <v>0</v>
      </c>
      <c r="O2512">
        <v>0</v>
      </c>
      <c r="P2512" t="s">
        <v>7015</v>
      </c>
      <c r="T2512">
        <v>0</v>
      </c>
      <c r="U2512">
        <v>0</v>
      </c>
      <c r="V2512">
        <v>0</v>
      </c>
    </row>
    <row r="2513" spans="1:22" x14ac:dyDescent="0.2">
      <c r="A2513" t="s">
        <v>2559</v>
      </c>
      <c r="B2513" t="s">
        <v>2560</v>
      </c>
      <c r="C2513" t="s">
        <v>2502</v>
      </c>
      <c r="D2513" t="s">
        <v>228</v>
      </c>
      <c r="E2513">
        <v>17.989999999999998</v>
      </c>
      <c r="F2513" t="s">
        <v>8118</v>
      </c>
      <c r="G2513">
        <v>38</v>
      </c>
      <c r="I2513">
        <v>38</v>
      </c>
      <c r="L2513" t="s">
        <v>10</v>
      </c>
      <c r="M2513">
        <v>437270</v>
      </c>
      <c r="N2513">
        <v>0</v>
      </c>
      <c r="O2513">
        <v>0</v>
      </c>
      <c r="P2513" t="s">
        <v>7015</v>
      </c>
      <c r="T2513">
        <v>2</v>
      </c>
      <c r="U2513">
        <v>0</v>
      </c>
      <c r="V2513">
        <v>0</v>
      </c>
    </row>
    <row r="2514" spans="1:22" x14ac:dyDescent="0.2">
      <c r="A2514" t="s">
        <v>2677</v>
      </c>
      <c r="B2514" t="s">
        <v>2678</v>
      </c>
      <c r="C2514" t="s">
        <v>2502</v>
      </c>
      <c r="D2514" t="s">
        <v>228</v>
      </c>
      <c r="E2514">
        <v>159.99</v>
      </c>
      <c r="F2514" t="s">
        <v>8118</v>
      </c>
      <c r="G2514">
        <v>18</v>
      </c>
      <c r="I2514">
        <v>18</v>
      </c>
      <c r="L2514" t="s">
        <v>10</v>
      </c>
      <c r="M2514">
        <v>554898</v>
      </c>
      <c r="N2514">
        <v>36</v>
      </c>
      <c r="O2514">
        <v>2.7777777777777776E-2</v>
      </c>
      <c r="P2514" t="s">
        <v>7015</v>
      </c>
      <c r="T2514">
        <v>0</v>
      </c>
      <c r="U2514">
        <v>0</v>
      </c>
      <c r="V2514">
        <v>3</v>
      </c>
    </row>
    <row r="2515" spans="1:22" x14ac:dyDescent="0.2">
      <c r="A2515" t="s">
        <v>2561</v>
      </c>
      <c r="B2515" t="s">
        <v>2562</v>
      </c>
      <c r="C2515" t="s">
        <v>2502</v>
      </c>
      <c r="D2515" t="s">
        <v>228</v>
      </c>
      <c r="E2515">
        <v>17.989999999999998</v>
      </c>
      <c r="F2515" t="s">
        <v>8118</v>
      </c>
      <c r="G2515">
        <v>3092</v>
      </c>
      <c r="H2515">
        <v>503</v>
      </c>
      <c r="I2515">
        <v>2589</v>
      </c>
      <c r="K2515">
        <v>1200</v>
      </c>
      <c r="L2515" t="s">
        <v>10</v>
      </c>
      <c r="M2515">
        <v>586300</v>
      </c>
      <c r="N2515">
        <v>6</v>
      </c>
      <c r="O2515">
        <v>0.17734315948601662</v>
      </c>
      <c r="P2515" t="s">
        <v>7015</v>
      </c>
      <c r="T2515">
        <v>313</v>
      </c>
      <c r="U2515">
        <v>4317.5999999999995</v>
      </c>
      <c r="V2515">
        <v>1764</v>
      </c>
    </row>
    <row r="2516" spans="1:22" x14ac:dyDescent="0.2">
      <c r="A2516" t="s">
        <v>2671</v>
      </c>
      <c r="B2516" t="s">
        <v>2672</v>
      </c>
      <c r="C2516" t="s">
        <v>2502</v>
      </c>
      <c r="D2516" t="s">
        <v>228</v>
      </c>
      <c r="E2516">
        <v>229.99</v>
      </c>
      <c r="F2516" t="s">
        <v>8118</v>
      </c>
      <c r="G2516">
        <v>20</v>
      </c>
      <c r="I2516">
        <v>20</v>
      </c>
      <c r="L2516" t="s">
        <v>10</v>
      </c>
      <c r="N2516">
        <v>0</v>
      </c>
      <c r="O2516">
        <v>0</v>
      </c>
      <c r="P2516" t="s">
        <v>7015</v>
      </c>
      <c r="T2516">
        <v>0</v>
      </c>
      <c r="U2516">
        <v>0</v>
      </c>
      <c r="V2516">
        <v>0</v>
      </c>
    </row>
    <row r="2517" spans="1:22" x14ac:dyDescent="0.2">
      <c r="A2517" t="s">
        <v>7195</v>
      </c>
      <c r="B2517" t="s">
        <v>7197</v>
      </c>
      <c r="C2517" t="s">
        <v>2502</v>
      </c>
      <c r="D2517" t="s">
        <v>96</v>
      </c>
      <c r="E2517">
        <v>99.99</v>
      </c>
      <c r="F2517" t="s">
        <v>8118</v>
      </c>
      <c r="L2517" t="s">
        <v>10</v>
      </c>
      <c r="M2517">
        <v>397644</v>
      </c>
      <c r="N2517">
        <v>0</v>
      </c>
      <c r="O2517">
        <v>0</v>
      </c>
      <c r="P2517" t="s">
        <v>7015</v>
      </c>
      <c r="T2517">
        <v>0</v>
      </c>
      <c r="U2517">
        <v>0</v>
      </c>
      <c r="V2517">
        <v>0</v>
      </c>
    </row>
    <row r="2518" spans="1:22" x14ac:dyDescent="0.2">
      <c r="A2518" t="s">
        <v>2545</v>
      </c>
      <c r="B2518" t="s">
        <v>2546</v>
      </c>
      <c r="C2518" t="s">
        <v>2502</v>
      </c>
      <c r="D2518" t="s">
        <v>228</v>
      </c>
      <c r="E2518">
        <v>79.989999999999995</v>
      </c>
      <c r="F2518" t="s">
        <v>8118</v>
      </c>
      <c r="G2518">
        <v>10</v>
      </c>
      <c r="H2518">
        <v>8</v>
      </c>
      <c r="I2518">
        <v>2</v>
      </c>
      <c r="J2518">
        <v>5</v>
      </c>
      <c r="K2518">
        <v>20</v>
      </c>
      <c r="L2518" t="s">
        <v>10</v>
      </c>
      <c r="M2518">
        <v>512254</v>
      </c>
      <c r="N2518">
        <v>0</v>
      </c>
      <c r="O2518">
        <v>0</v>
      </c>
      <c r="P2518" t="s">
        <v>7015</v>
      </c>
      <c r="T2518">
        <v>0</v>
      </c>
      <c r="U2518">
        <v>0</v>
      </c>
      <c r="V2518">
        <v>0</v>
      </c>
    </row>
    <row r="2519" spans="1:22" x14ac:dyDescent="0.2">
      <c r="A2519" t="s">
        <v>6236</v>
      </c>
      <c r="B2519" t="s">
        <v>6237</v>
      </c>
      <c r="C2519" t="s">
        <v>2502</v>
      </c>
      <c r="D2519" t="s">
        <v>290</v>
      </c>
      <c r="E2519">
        <v>179.99</v>
      </c>
      <c r="F2519" t="s">
        <v>8118</v>
      </c>
      <c r="G2519">
        <v>6</v>
      </c>
      <c r="I2519">
        <v>6</v>
      </c>
      <c r="L2519" t="s">
        <v>10</v>
      </c>
      <c r="M2519">
        <v>358372</v>
      </c>
      <c r="N2519">
        <v>0</v>
      </c>
      <c r="O2519">
        <v>0</v>
      </c>
      <c r="P2519" t="s">
        <v>7015</v>
      </c>
      <c r="T2519">
        <v>2</v>
      </c>
      <c r="U2519">
        <v>0</v>
      </c>
      <c r="V2519">
        <v>0</v>
      </c>
    </row>
    <row r="2520" spans="1:22" x14ac:dyDescent="0.2">
      <c r="A2520" t="s">
        <v>6353</v>
      </c>
      <c r="B2520" t="s">
        <v>6354</v>
      </c>
      <c r="C2520" t="s">
        <v>2502</v>
      </c>
      <c r="D2520" t="s">
        <v>290</v>
      </c>
      <c r="E2520">
        <v>129.99</v>
      </c>
      <c r="F2520" t="s">
        <v>8118</v>
      </c>
      <c r="G2520">
        <v>13</v>
      </c>
      <c r="H2520">
        <v>5</v>
      </c>
      <c r="I2520">
        <v>8</v>
      </c>
      <c r="L2520" t="s">
        <v>10</v>
      </c>
      <c r="M2520">
        <v>501833</v>
      </c>
      <c r="N2520">
        <v>2</v>
      </c>
      <c r="O2520">
        <v>0.5</v>
      </c>
      <c r="P2520" t="s">
        <v>7015</v>
      </c>
      <c r="T2520">
        <v>0</v>
      </c>
      <c r="U2520">
        <v>0</v>
      </c>
      <c r="V2520">
        <v>1</v>
      </c>
    </row>
    <row r="2521" spans="1:22" x14ac:dyDescent="0.2">
      <c r="A2521" t="s">
        <v>5950</v>
      </c>
      <c r="B2521" t="s">
        <v>5951</v>
      </c>
      <c r="C2521" t="s">
        <v>2502</v>
      </c>
      <c r="D2521" t="s">
        <v>96</v>
      </c>
      <c r="E2521">
        <v>119.99</v>
      </c>
      <c r="F2521" t="s">
        <v>8118</v>
      </c>
      <c r="L2521" t="s">
        <v>10</v>
      </c>
      <c r="M2521">
        <v>426690</v>
      </c>
      <c r="N2521">
        <v>0</v>
      </c>
      <c r="O2521">
        <v>0</v>
      </c>
      <c r="P2521" t="s">
        <v>7015</v>
      </c>
      <c r="T2521">
        <v>0</v>
      </c>
      <c r="U2521">
        <v>0</v>
      </c>
      <c r="V2521">
        <v>0</v>
      </c>
    </row>
    <row r="2522" spans="1:22" x14ac:dyDescent="0.2">
      <c r="A2522" t="s">
        <v>6206</v>
      </c>
      <c r="B2522" t="s">
        <v>6207</v>
      </c>
      <c r="C2522" t="s">
        <v>2502</v>
      </c>
      <c r="D2522" t="s">
        <v>228</v>
      </c>
      <c r="E2522">
        <v>59.99</v>
      </c>
      <c r="F2522" t="s">
        <v>8118</v>
      </c>
      <c r="J2522">
        <v>6</v>
      </c>
      <c r="K2522">
        <v>30</v>
      </c>
      <c r="L2522" t="s">
        <v>10</v>
      </c>
      <c r="M2522">
        <v>593226</v>
      </c>
      <c r="N2522">
        <v>4</v>
      </c>
      <c r="O2522">
        <v>0.25</v>
      </c>
      <c r="P2522" t="s">
        <v>7015</v>
      </c>
      <c r="T2522">
        <v>0</v>
      </c>
      <c r="U2522">
        <v>0</v>
      </c>
      <c r="V2522">
        <v>1</v>
      </c>
    </row>
    <row r="2523" spans="1:22" x14ac:dyDescent="0.2">
      <c r="A2523" t="s">
        <v>2667</v>
      </c>
      <c r="B2523" t="s">
        <v>2668</v>
      </c>
      <c r="C2523" t="s">
        <v>2502</v>
      </c>
      <c r="D2523" t="s">
        <v>228</v>
      </c>
      <c r="E2523">
        <v>99.99</v>
      </c>
      <c r="F2523" t="s">
        <v>8118</v>
      </c>
      <c r="G2523">
        <v>61</v>
      </c>
      <c r="H2523">
        <v>3</v>
      </c>
      <c r="I2523">
        <v>58</v>
      </c>
      <c r="L2523" t="s">
        <v>10</v>
      </c>
      <c r="M2523">
        <v>534629</v>
      </c>
      <c r="N2523">
        <v>0</v>
      </c>
      <c r="O2523">
        <v>0</v>
      </c>
      <c r="P2523" t="s">
        <v>7015</v>
      </c>
      <c r="T2523">
        <v>1</v>
      </c>
      <c r="U2523">
        <v>0</v>
      </c>
      <c r="V2523">
        <v>0</v>
      </c>
    </row>
    <row r="2524" spans="1:22" x14ac:dyDescent="0.2">
      <c r="A2524" t="s">
        <v>2571</v>
      </c>
      <c r="B2524" t="s">
        <v>2572</v>
      </c>
      <c r="C2524" t="s">
        <v>2502</v>
      </c>
      <c r="D2524" t="s">
        <v>228</v>
      </c>
      <c r="E2524">
        <v>119.99</v>
      </c>
      <c r="F2524" t="s">
        <v>8118</v>
      </c>
      <c r="G2524">
        <v>263</v>
      </c>
      <c r="H2524">
        <v>131</v>
      </c>
      <c r="I2524">
        <v>132</v>
      </c>
      <c r="K2524">
        <v>340</v>
      </c>
      <c r="L2524" t="s">
        <v>10</v>
      </c>
      <c r="M2524">
        <v>564322</v>
      </c>
      <c r="N2524">
        <v>12</v>
      </c>
      <c r="O2524">
        <v>8.2101806239737285E-2</v>
      </c>
      <c r="P2524" t="s">
        <v>7015</v>
      </c>
      <c r="T2524">
        <v>33</v>
      </c>
      <c r="U2524">
        <v>2759.77</v>
      </c>
      <c r="V2524">
        <v>406</v>
      </c>
    </row>
    <row r="2525" spans="1:22" x14ac:dyDescent="0.2">
      <c r="A2525" t="s">
        <v>6309</v>
      </c>
      <c r="B2525" t="s">
        <v>6310</v>
      </c>
      <c r="C2525" t="s">
        <v>2502</v>
      </c>
      <c r="D2525" t="s">
        <v>228</v>
      </c>
      <c r="E2525">
        <v>99.99</v>
      </c>
      <c r="F2525" t="s">
        <v>8118</v>
      </c>
      <c r="G2525">
        <v>27</v>
      </c>
      <c r="I2525">
        <v>27</v>
      </c>
      <c r="L2525" t="s">
        <v>10</v>
      </c>
      <c r="M2525">
        <v>534625</v>
      </c>
      <c r="N2525">
        <v>0</v>
      </c>
      <c r="O2525">
        <v>0</v>
      </c>
      <c r="P2525" t="s">
        <v>7015</v>
      </c>
      <c r="T2525">
        <v>1</v>
      </c>
      <c r="U2525">
        <v>99.99</v>
      </c>
      <c r="V2525">
        <v>0</v>
      </c>
    </row>
    <row r="2526" spans="1:22" x14ac:dyDescent="0.2">
      <c r="A2526" t="s">
        <v>6060</v>
      </c>
      <c r="B2526" t="s">
        <v>6061</v>
      </c>
      <c r="C2526" t="s">
        <v>2502</v>
      </c>
      <c r="D2526" t="s">
        <v>228</v>
      </c>
      <c r="E2526">
        <v>59.99</v>
      </c>
      <c r="F2526" t="s">
        <v>8118</v>
      </c>
      <c r="G2526">
        <v>74</v>
      </c>
      <c r="H2526">
        <v>1</v>
      </c>
      <c r="I2526">
        <v>73</v>
      </c>
      <c r="K2526">
        <v>60</v>
      </c>
      <c r="L2526" t="s">
        <v>10</v>
      </c>
      <c r="M2526">
        <v>593230</v>
      </c>
      <c r="N2526">
        <v>0</v>
      </c>
      <c r="O2526">
        <v>0</v>
      </c>
      <c r="P2526" t="s">
        <v>7015</v>
      </c>
      <c r="T2526">
        <v>1</v>
      </c>
      <c r="U2526">
        <v>0</v>
      </c>
      <c r="V2526">
        <v>0</v>
      </c>
    </row>
    <row r="2527" spans="1:22" x14ac:dyDescent="0.2">
      <c r="A2527" t="s">
        <v>6052</v>
      </c>
      <c r="B2527" t="s">
        <v>6053</v>
      </c>
      <c r="C2527" t="s">
        <v>2502</v>
      </c>
      <c r="D2527" t="s">
        <v>96</v>
      </c>
      <c r="E2527">
        <v>59.99</v>
      </c>
      <c r="F2527" t="s">
        <v>8118</v>
      </c>
      <c r="L2527" t="s">
        <v>10</v>
      </c>
      <c r="M2527">
        <v>593231</v>
      </c>
      <c r="N2527">
        <v>0</v>
      </c>
      <c r="O2527">
        <v>0</v>
      </c>
      <c r="P2527" t="s">
        <v>7015</v>
      </c>
      <c r="T2527">
        <v>0</v>
      </c>
      <c r="U2527">
        <v>0</v>
      </c>
      <c r="V2527">
        <v>0</v>
      </c>
    </row>
    <row r="2528" spans="1:22" x14ac:dyDescent="0.2">
      <c r="A2528" t="s">
        <v>2665</v>
      </c>
      <c r="B2528" t="s">
        <v>2666</v>
      </c>
      <c r="C2528" t="s">
        <v>2502</v>
      </c>
      <c r="D2528" t="s">
        <v>228</v>
      </c>
      <c r="E2528">
        <v>64.989999999999995</v>
      </c>
      <c r="F2528" t="s">
        <v>8118</v>
      </c>
      <c r="G2528">
        <v>420</v>
      </c>
      <c r="H2528">
        <v>30</v>
      </c>
      <c r="I2528">
        <v>390</v>
      </c>
      <c r="K2528">
        <v>280</v>
      </c>
      <c r="L2528" t="s">
        <v>10</v>
      </c>
      <c r="M2528">
        <v>397347</v>
      </c>
      <c r="N2528">
        <v>11</v>
      </c>
      <c r="O2528">
        <v>9.2704149933065597E-2</v>
      </c>
      <c r="P2528" t="s">
        <v>7015</v>
      </c>
      <c r="T2528">
        <v>23</v>
      </c>
      <c r="U2528">
        <v>974.84999999999991</v>
      </c>
      <c r="V2528">
        <v>249</v>
      </c>
    </row>
    <row r="2529" spans="1:22" x14ac:dyDescent="0.2">
      <c r="A2529" t="s">
        <v>6064</v>
      </c>
      <c r="B2529" t="s">
        <v>6065</v>
      </c>
      <c r="C2529" t="s">
        <v>2502</v>
      </c>
      <c r="D2529" t="s">
        <v>228</v>
      </c>
      <c r="E2529">
        <v>59.99</v>
      </c>
      <c r="F2529" t="s">
        <v>8118</v>
      </c>
      <c r="G2529">
        <v>8</v>
      </c>
      <c r="H2529">
        <v>2</v>
      </c>
      <c r="I2529">
        <v>6</v>
      </c>
      <c r="K2529">
        <v>20</v>
      </c>
      <c r="L2529" t="s">
        <v>10</v>
      </c>
      <c r="M2529">
        <v>593232</v>
      </c>
      <c r="N2529">
        <v>2</v>
      </c>
      <c r="O2529">
        <v>0.41666666666666674</v>
      </c>
      <c r="P2529" t="s">
        <v>7015</v>
      </c>
      <c r="T2529">
        <v>1</v>
      </c>
      <c r="U2529">
        <v>179.97</v>
      </c>
      <c r="V2529">
        <v>2</v>
      </c>
    </row>
    <row r="2530" spans="1:22" x14ac:dyDescent="0.2">
      <c r="A2530" t="s">
        <v>6167</v>
      </c>
      <c r="B2530" t="s">
        <v>6168</v>
      </c>
      <c r="C2530" t="s">
        <v>2502</v>
      </c>
      <c r="D2530" t="s">
        <v>228</v>
      </c>
      <c r="E2530">
        <v>29.99</v>
      </c>
      <c r="F2530" t="s">
        <v>8118</v>
      </c>
      <c r="G2530">
        <v>7</v>
      </c>
      <c r="H2530">
        <v>1</v>
      </c>
      <c r="I2530">
        <v>6</v>
      </c>
      <c r="K2530">
        <v>50</v>
      </c>
      <c r="L2530" t="s">
        <v>10</v>
      </c>
      <c r="M2530">
        <v>584343</v>
      </c>
      <c r="N2530">
        <v>0</v>
      </c>
      <c r="O2530">
        <v>0</v>
      </c>
      <c r="P2530" t="s">
        <v>7015</v>
      </c>
      <c r="T2530">
        <v>0</v>
      </c>
      <c r="U2530">
        <v>0</v>
      </c>
      <c r="V2530">
        <v>0</v>
      </c>
    </row>
    <row r="2531" spans="1:22" x14ac:dyDescent="0.2">
      <c r="A2531" t="s">
        <v>7137</v>
      </c>
      <c r="B2531" t="s">
        <v>7139</v>
      </c>
      <c r="C2531" t="s">
        <v>2502</v>
      </c>
      <c r="D2531" t="s">
        <v>96</v>
      </c>
      <c r="E2531">
        <v>74.989999999999995</v>
      </c>
      <c r="F2531" t="s">
        <v>8118</v>
      </c>
      <c r="L2531" t="s">
        <v>10</v>
      </c>
      <c r="M2531">
        <v>642327</v>
      </c>
      <c r="N2531">
        <v>0</v>
      </c>
      <c r="O2531">
        <v>0</v>
      </c>
      <c r="P2531" t="s">
        <v>7015</v>
      </c>
      <c r="T2531">
        <v>0</v>
      </c>
      <c r="U2531">
        <v>0</v>
      </c>
      <c r="V2531">
        <v>0</v>
      </c>
    </row>
    <row r="2532" spans="1:22" x14ac:dyDescent="0.2">
      <c r="A2532" t="s">
        <v>6056</v>
      </c>
      <c r="B2532" t="s">
        <v>6057</v>
      </c>
      <c r="C2532" t="s">
        <v>2502</v>
      </c>
      <c r="D2532" t="s">
        <v>96</v>
      </c>
      <c r="E2532">
        <v>59.99</v>
      </c>
      <c r="F2532" t="s">
        <v>8118</v>
      </c>
      <c r="L2532" t="s">
        <v>10</v>
      </c>
      <c r="M2532">
        <v>593233</v>
      </c>
      <c r="N2532">
        <v>0</v>
      </c>
      <c r="O2532">
        <v>0</v>
      </c>
      <c r="P2532" t="s">
        <v>7015</v>
      </c>
      <c r="T2532">
        <v>0</v>
      </c>
      <c r="U2532">
        <v>0</v>
      </c>
      <c r="V2532">
        <v>0</v>
      </c>
    </row>
    <row r="2533" spans="1:22" x14ac:dyDescent="0.2">
      <c r="A2533" t="s">
        <v>2719</v>
      </c>
      <c r="B2533" t="s">
        <v>2720</v>
      </c>
      <c r="C2533" t="s">
        <v>2502</v>
      </c>
      <c r="D2533" t="s">
        <v>228</v>
      </c>
      <c r="E2533">
        <v>69.989999999999995</v>
      </c>
      <c r="F2533" t="s">
        <v>8118</v>
      </c>
      <c r="G2533">
        <v>401</v>
      </c>
      <c r="I2533">
        <v>401</v>
      </c>
      <c r="L2533" t="s">
        <v>10</v>
      </c>
      <c r="M2533">
        <v>504169</v>
      </c>
      <c r="N2533">
        <v>7</v>
      </c>
      <c r="O2533">
        <v>0.14450354609929078</v>
      </c>
      <c r="P2533" t="s">
        <v>7015</v>
      </c>
      <c r="T2533">
        <v>14</v>
      </c>
      <c r="U2533">
        <v>349.95</v>
      </c>
      <c r="V2533">
        <v>94</v>
      </c>
    </row>
    <row r="2534" spans="1:22" x14ac:dyDescent="0.2">
      <c r="A2534" t="s">
        <v>6073</v>
      </c>
      <c r="B2534" t="s">
        <v>6074</v>
      </c>
      <c r="C2534" t="s">
        <v>2502</v>
      </c>
      <c r="D2534" t="s">
        <v>96</v>
      </c>
      <c r="E2534">
        <v>59.99</v>
      </c>
      <c r="F2534" t="s">
        <v>8118</v>
      </c>
      <c r="L2534" t="s">
        <v>10</v>
      </c>
      <c r="M2534">
        <v>593235</v>
      </c>
      <c r="N2534">
        <v>0</v>
      </c>
      <c r="O2534">
        <v>0</v>
      </c>
      <c r="P2534" t="s">
        <v>7015</v>
      </c>
      <c r="T2534">
        <v>0</v>
      </c>
      <c r="U2534">
        <v>0</v>
      </c>
      <c r="V2534">
        <v>0</v>
      </c>
    </row>
    <row r="2535" spans="1:22" x14ac:dyDescent="0.2">
      <c r="A2535" t="s">
        <v>2569</v>
      </c>
      <c r="B2535" t="s">
        <v>2570</v>
      </c>
      <c r="C2535" t="s">
        <v>2502</v>
      </c>
      <c r="D2535" t="s">
        <v>228</v>
      </c>
      <c r="E2535">
        <v>39.99</v>
      </c>
      <c r="F2535" t="s">
        <v>8118</v>
      </c>
      <c r="G2535">
        <v>328</v>
      </c>
      <c r="H2535">
        <v>28</v>
      </c>
      <c r="I2535">
        <v>300</v>
      </c>
      <c r="K2535">
        <v>400</v>
      </c>
      <c r="L2535" t="s">
        <v>10</v>
      </c>
      <c r="M2535">
        <v>522295</v>
      </c>
      <c r="N2535">
        <v>0</v>
      </c>
      <c r="O2535">
        <v>0</v>
      </c>
      <c r="P2535" t="s">
        <v>7015</v>
      </c>
      <c r="T2535">
        <v>7</v>
      </c>
      <c r="U2535">
        <v>0</v>
      </c>
      <c r="V2535">
        <v>0</v>
      </c>
    </row>
    <row r="2536" spans="1:22" x14ac:dyDescent="0.2">
      <c r="A2536" t="s">
        <v>6240</v>
      </c>
      <c r="B2536" t="s">
        <v>6241</v>
      </c>
      <c r="C2536" t="s">
        <v>2502</v>
      </c>
      <c r="D2536" t="s">
        <v>96</v>
      </c>
      <c r="E2536">
        <v>179.99</v>
      </c>
      <c r="F2536" t="s">
        <v>8118</v>
      </c>
      <c r="L2536" t="s">
        <v>10</v>
      </c>
      <c r="M2536">
        <v>642328</v>
      </c>
      <c r="N2536">
        <v>0</v>
      </c>
      <c r="O2536">
        <v>0</v>
      </c>
      <c r="P2536" t="s">
        <v>7015</v>
      </c>
      <c r="T2536">
        <v>2</v>
      </c>
      <c r="U2536">
        <v>0</v>
      </c>
      <c r="V2536">
        <v>0</v>
      </c>
    </row>
    <row r="2537" spans="1:22" x14ac:dyDescent="0.2">
      <c r="A2537" t="s">
        <v>2567</v>
      </c>
      <c r="B2537" t="s">
        <v>2568</v>
      </c>
      <c r="C2537" t="s">
        <v>2502</v>
      </c>
      <c r="D2537" t="s">
        <v>228</v>
      </c>
      <c r="E2537">
        <v>79.989999999999995</v>
      </c>
      <c r="F2537" t="s">
        <v>8118</v>
      </c>
      <c r="G2537">
        <v>10</v>
      </c>
      <c r="H2537">
        <v>2</v>
      </c>
      <c r="I2537">
        <v>8</v>
      </c>
      <c r="K2537">
        <v>40</v>
      </c>
      <c r="L2537" t="s">
        <v>10</v>
      </c>
      <c r="M2537">
        <v>426638</v>
      </c>
      <c r="N2537">
        <v>20</v>
      </c>
      <c r="O2537">
        <v>0.05</v>
      </c>
      <c r="P2537" t="s">
        <v>7015</v>
      </c>
      <c r="T2537">
        <v>0</v>
      </c>
      <c r="U2537">
        <v>0</v>
      </c>
      <c r="V2537">
        <v>5</v>
      </c>
    </row>
    <row r="2538" spans="1:22" x14ac:dyDescent="0.2">
      <c r="A2538" t="s">
        <v>6214</v>
      </c>
      <c r="B2538" t="s">
        <v>6215</v>
      </c>
      <c r="C2538" t="s">
        <v>2502</v>
      </c>
      <c r="D2538" t="s">
        <v>228</v>
      </c>
      <c r="E2538">
        <v>59.99</v>
      </c>
      <c r="F2538" t="s">
        <v>8118</v>
      </c>
      <c r="G2538">
        <v>20</v>
      </c>
      <c r="I2538">
        <v>20</v>
      </c>
      <c r="L2538" t="s">
        <v>10</v>
      </c>
      <c r="M2538">
        <v>593223</v>
      </c>
      <c r="N2538">
        <v>2</v>
      </c>
      <c r="O2538">
        <v>0.41666666666666674</v>
      </c>
      <c r="P2538" t="s">
        <v>7015</v>
      </c>
      <c r="T2538">
        <v>0</v>
      </c>
      <c r="U2538">
        <v>119.98</v>
      </c>
      <c r="V2538">
        <v>1</v>
      </c>
    </row>
    <row r="2539" spans="1:22" x14ac:dyDescent="0.2">
      <c r="A2539" t="s">
        <v>6157</v>
      </c>
      <c r="B2539" t="s">
        <v>6158</v>
      </c>
      <c r="C2539" t="s">
        <v>2502</v>
      </c>
      <c r="D2539" t="s">
        <v>290</v>
      </c>
      <c r="E2539">
        <v>109.99</v>
      </c>
      <c r="F2539" t="s">
        <v>8118</v>
      </c>
      <c r="G2539">
        <v>74</v>
      </c>
      <c r="H2539">
        <v>35</v>
      </c>
      <c r="I2539">
        <v>39</v>
      </c>
      <c r="L2539" t="s">
        <v>10</v>
      </c>
      <c r="M2539">
        <v>397348</v>
      </c>
      <c r="N2539">
        <v>8</v>
      </c>
      <c r="O2539">
        <v>0.12431693989071038</v>
      </c>
      <c r="P2539" t="s">
        <v>7015</v>
      </c>
      <c r="T2539">
        <v>68</v>
      </c>
      <c r="U2539">
        <v>10999</v>
      </c>
      <c r="V2539">
        <v>549</v>
      </c>
    </row>
    <row r="2540" spans="1:22" x14ac:dyDescent="0.2">
      <c r="A2540" t="s">
        <v>2687</v>
      </c>
      <c r="B2540" t="s">
        <v>2688</v>
      </c>
      <c r="C2540" t="s">
        <v>2502</v>
      </c>
      <c r="D2540" t="s">
        <v>228</v>
      </c>
      <c r="E2540">
        <v>159.99</v>
      </c>
      <c r="F2540" t="s">
        <v>8118</v>
      </c>
      <c r="G2540">
        <v>255</v>
      </c>
      <c r="H2540">
        <v>22</v>
      </c>
      <c r="I2540">
        <v>233</v>
      </c>
      <c r="K2540">
        <v>240</v>
      </c>
      <c r="L2540" t="s">
        <v>10</v>
      </c>
      <c r="M2540">
        <v>625028</v>
      </c>
      <c r="N2540">
        <v>12</v>
      </c>
      <c r="O2540">
        <v>8.4104938271604937E-2</v>
      </c>
      <c r="P2540" t="s">
        <v>7015</v>
      </c>
      <c r="T2540">
        <v>18</v>
      </c>
      <c r="U2540">
        <v>3199.8</v>
      </c>
      <c r="V2540">
        <v>216</v>
      </c>
    </row>
    <row r="2541" spans="1:22" x14ac:dyDescent="0.2">
      <c r="A2541" t="s">
        <v>2637</v>
      </c>
      <c r="B2541" t="s">
        <v>2638</v>
      </c>
      <c r="C2541" t="s">
        <v>2502</v>
      </c>
      <c r="D2541" t="s">
        <v>228</v>
      </c>
      <c r="E2541">
        <v>99.99</v>
      </c>
      <c r="F2541" t="s">
        <v>8118</v>
      </c>
      <c r="G2541">
        <v>38</v>
      </c>
      <c r="H2541">
        <v>6</v>
      </c>
      <c r="I2541">
        <v>32</v>
      </c>
      <c r="K2541">
        <v>40</v>
      </c>
      <c r="L2541" t="s">
        <v>10</v>
      </c>
      <c r="M2541">
        <v>514917</v>
      </c>
      <c r="N2541">
        <v>6</v>
      </c>
      <c r="O2541">
        <v>0.16666666666666666</v>
      </c>
      <c r="P2541" t="s">
        <v>7015</v>
      </c>
      <c r="T2541">
        <v>0</v>
      </c>
      <c r="U2541">
        <v>0</v>
      </c>
      <c r="V2541">
        <v>1</v>
      </c>
    </row>
    <row r="2542" spans="1:22" x14ac:dyDescent="0.2">
      <c r="A2542" t="s">
        <v>2639</v>
      </c>
      <c r="B2542" t="s">
        <v>2640</v>
      </c>
      <c r="C2542" t="s">
        <v>2502</v>
      </c>
      <c r="D2542" t="s">
        <v>228</v>
      </c>
      <c r="E2542">
        <v>109.99</v>
      </c>
      <c r="F2542" t="s">
        <v>8118</v>
      </c>
      <c r="G2542">
        <v>66</v>
      </c>
      <c r="H2542">
        <v>13</v>
      </c>
      <c r="I2542">
        <v>53</v>
      </c>
      <c r="K2542">
        <v>441</v>
      </c>
      <c r="L2542" t="s">
        <v>10</v>
      </c>
      <c r="M2542">
        <v>520697</v>
      </c>
      <c r="N2542">
        <v>0</v>
      </c>
      <c r="O2542">
        <v>7.666666666666667</v>
      </c>
      <c r="P2542" t="s">
        <v>7015</v>
      </c>
      <c r="T2542">
        <v>8</v>
      </c>
      <c r="U2542">
        <v>109.99</v>
      </c>
      <c r="V2542">
        <v>1</v>
      </c>
    </row>
    <row r="2543" spans="1:22" x14ac:dyDescent="0.2">
      <c r="A2543" t="s">
        <v>7083</v>
      </c>
      <c r="B2543" t="s">
        <v>7084</v>
      </c>
      <c r="C2543" t="s">
        <v>2502</v>
      </c>
      <c r="D2543" t="s">
        <v>290</v>
      </c>
      <c r="E2543">
        <v>149.99</v>
      </c>
      <c r="F2543" t="s">
        <v>8118</v>
      </c>
      <c r="L2543" t="s">
        <v>10</v>
      </c>
      <c r="M2543">
        <v>467480</v>
      </c>
      <c r="N2543">
        <v>0</v>
      </c>
      <c r="O2543">
        <v>0</v>
      </c>
      <c r="P2543" t="s">
        <v>7015</v>
      </c>
      <c r="T2543">
        <v>0</v>
      </c>
      <c r="U2543">
        <v>0</v>
      </c>
      <c r="V2543">
        <v>0</v>
      </c>
    </row>
    <row r="2544" spans="1:22" x14ac:dyDescent="0.2">
      <c r="A2544" t="s">
        <v>7128</v>
      </c>
      <c r="B2544" t="s">
        <v>7130</v>
      </c>
      <c r="C2544" t="s">
        <v>2502</v>
      </c>
      <c r="D2544" t="s">
        <v>96</v>
      </c>
      <c r="F2544" t="s">
        <v>8118</v>
      </c>
      <c r="L2544" t="s">
        <v>10</v>
      </c>
      <c r="M2544">
        <v>331302</v>
      </c>
      <c r="N2544">
        <v>0</v>
      </c>
      <c r="O2544">
        <v>0</v>
      </c>
      <c r="P2544" t="s">
        <v>7015</v>
      </c>
      <c r="T2544">
        <v>0</v>
      </c>
      <c r="V2544">
        <v>0</v>
      </c>
    </row>
    <row r="2545" spans="1:22" x14ac:dyDescent="0.2">
      <c r="A2545" t="s">
        <v>2683</v>
      </c>
      <c r="B2545" t="s">
        <v>2684</v>
      </c>
      <c r="C2545" t="s">
        <v>2502</v>
      </c>
      <c r="D2545" t="s">
        <v>290</v>
      </c>
      <c r="E2545">
        <v>89.99</v>
      </c>
      <c r="F2545" t="s">
        <v>8118</v>
      </c>
      <c r="G2545">
        <v>29</v>
      </c>
      <c r="I2545">
        <v>29</v>
      </c>
      <c r="L2545" t="s">
        <v>10</v>
      </c>
      <c r="M2545">
        <v>342633</v>
      </c>
      <c r="N2545">
        <v>0</v>
      </c>
      <c r="O2545">
        <v>0</v>
      </c>
      <c r="P2545" t="s">
        <v>7015</v>
      </c>
      <c r="T2545">
        <v>0</v>
      </c>
      <c r="U2545">
        <v>0</v>
      </c>
      <c r="V2545">
        <v>0</v>
      </c>
    </row>
    <row r="2546" spans="1:22" x14ac:dyDescent="0.2">
      <c r="A2546" t="s">
        <v>2641</v>
      </c>
      <c r="B2546" t="s">
        <v>2642</v>
      </c>
      <c r="C2546" t="s">
        <v>2502</v>
      </c>
      <c r="D2546" t="s">
        <v>228</v>
      </c>
      <c r="E2546">
        <v>109.99</v>
      </c>
      <c r="F2546" t="s">
        <v>8118</v>
      </c>
      <c r="G2546">
        <v>3</v>
      </c>
      <c r="H2546">
        <v>2</v>
      </c>
      <c r="I2546">
        <v>1</v>
      </c>
      <c r="K2546">
        <v>40</v>
      </c>
      <c r="L2546" t="s">
        <v>10</v>
      </c>
      <c r="M2546">
        <v>514908</v>
      </c>
      <c r="N2546">
        <v>3</v>
      </c>
      <c r="O2546">
        <v>0.29166666666666669</v>
      </c>
      <c r="P2546" t="s">
        <v>7015</v>
      </c>
      <c r="T2546">
        <v>1</v>
      </c>
      <c r="U2546">
        <v>-109.99</v>
      </c>
      <c r="V2546">
        <v>2</v>
      </c>
    </row>
    <row r="2547" spans="1:22" x14ac:dyDescent="0.2">
      <c r="A2547" t="s">
        <v>2643</v>
      </c>
      <c r="B2547" t="s">
        <v>2644</v>
      </c>
      <c r="C2547" t="s">
        <v>2502</v>
      </c>
      <c r="D2547" t="s">
        <v>228</v>
      </c>
      <c r="E2547">
        <v>124.99</v>
      </c>
      <c r="F2547" t="s">
        <v>8118</v>
      </c>
      <c r="G2547">
        <v>8</v>
      </c>
      <c r="H2547">
        <v>1</v>
      </c>
      <c r="I2547">
        <v>7</v>
      </c>
      <c r="K2547">
        <v>20</v>
      </c>
      <c r="L2547" t="s">
        <v>10</v>
      </c>
      <c r="M2547">
        <v>514995</v>
      </c>
      <c r="N2547">
        <v>0</v>
      </c>
      <c r="O2547">
        <v>0</v>
      </c>
      <c r="P2547" t="s">
        <v>7015</v>
      </c>
      <c r="T2547">
        <v>1</v>
      </c>
      <c r="U2547">
        <v>0</v>
      </c>
      <c r="V2547">
        <v>0</v>
      </c>
    </row>
    <row r="2548" spans="1:22" x14ac:dyDescent="0.2">
      <c r="A2548" t="s">
        <v>2681</v>
      </c>
      <c r="B2548" t="s">
        <v>2682</v>
      </c>
      <c r="C2548" t="s">
        <v>2502</v>
      </c>
      <c r="D2548" t="s">
        <v>290</v>
      </c>
      <c r="E2548">
        <v>89.99</v>
      </c>
      <c r="F2548" t="s">
        <v>8118</v>
      </c>
      <c r="G2548">
        <v>44</v>
      </c>
      <c r="I2548">
        <v>44</v>
      </c>
      <c r="L2548" t="s">
        <v>10</v>
      </c>
      <c r="M2548">
        <v>342634</v>
      </c>
      <c r="N2548">
        <v>0</v>
      </c>
      <c r="O2548">
        <v>0</v>
      </c>
      <c r="P2548" t="s">
        <v>7015</v>
      </c>
      <c r="T2548">
        <v>0</v>
      </c>
      <c r="U2548">
        <v>0</v>
      </c>
      <c r="V2548">
        <v>5</v>
      </c>
    </row>
    <row r="2549" spans="1:22" x14ac:dyDescent="0.2">
      <c r="A2549" t="s">
        <v>2645</v>
      </c>
      <c r="B2549" t="s">
        <v>2646</v>
      </c>
      <c r="C2549" t="s">
        <v>2502</v>
      </c>
      <c r="D2549" t="s">
        <v>228</v>
      </c>
      <c r="E2549">
        <v>139.99</v>
      </c>
      <c r="F2549" t="s">
        <v>8118</v>
      </c>
      <c r="G2549">
        <v>152</v>
      </c>
      <c r="H2549">
        <v>2</v>
      </c>
      <c r="I2549">
        <v>150</v>
      </c>
      <c r="K2549">
        <v>40</v>
      </c>
      <c r="L2549" t="s">
        <v>10</v>
      </c>
      <c r="M2549">
        <v>514885</v>
      </c>
      <c r="N2549">
        <v>0</v>
      </c>
      <c r="O2549">
        <v>0</v>
      </c>
      <c r="P2549" t="s">
        <v>7015</v>
      </c>
      <c r="T2549">
        <v>1</v>
      </c>
      <c r="U2549">
        <v>0</v>
      </c>
      <c r="V2549">
        <v>0</v>
      </c>
    </row>
    <row r="2550" spans="1:22" x14ac:dyDescent="0.2">
      <c r="A2550" t="s">
        <v>6117</v>
      </c>
      <c r="B2550" t="s">
        <v>6118</v>
      </c>
      <c r="C2550" t="s">
        <v>2502</v>
      </c>
      <c r="D2550" t="s">
        <v>290</v>
      </c>
      <c r="E2550">
        <v>149.99</v>
      </c>
      <c r="F2550" t="s">
        <v>8118</v>
      </c>
      <c r="L2550" t="s">
        <v>10</v>
      </c>
      <c r="M2550">
        <v>532372</v>
      </c>
      <c r="N2550">
        <v>0</v>
      </c>
      <c r="O2550">
        <v>0</v>
      </c>
      <c r="P2550" t="s">
        <v>7015</v>
      </c>
      <c r="T2550">
        <v>0</v>
      </c>
      <c r="U2550">
        <v>0</v>
      </c>
      <c r="V2550">
        <v>0</v>
      </c>
    </row>
    <row r="2551" spans="1:22" x14ac:dyDescent="0.2">
      <c r="A2551" t="s">
        <v>6363</v>
      </c>
      <c r="B2551" t="s">
        <v>6364</v>
      </c>
      <c r="C2551" t="s">
        <v>2502</v>
      </c>
      <c r="D2551" t="s">
        <v>228</v>
      </c>
      <c r="E2551">
        <v>499.99</v>
      </c>
      <c r="F2551" t="s">
        <v>8118</v>
      </c>
      <c r="G2551">
        <v>3</v>
      </c>
      <c r="I2551">
        <v>3</v>
      </c>
      <c r="L2551" t="s">
        <v>10</v>
      </c>
      <c r="M2551">
        <v>629025</v>
      </c>
      <c r="N2551">
        <v>0</v>
      </c>
      <c r="O2551">
        <v>0</v>
      </c>
      <c r="P2551" t="s">
        <v>7015</v>
      </c>
      <c r="T2551">
        <v>0</v>
      </c>
      <c r="U2551">
        <v>0</v>
      </c>
      <c r="V2551">
        <v>0</v>
      </c>
    </row>
    <row r="2552" spans="1:22" x14ac:dyDescent="0.2">
      <c r="A2552" t="s">
        <v>2633</v>
      </c>
      <c r="B2552" t="s">
        <v>2634</v>
      </c>
      <c r="C2552" t="s">
        <v>2502</v>
      </c>
      <c r="D2552" t="s">
        <v>228</v>
      </c>
      <c r="E2552">
        <v>189.99</v>
      </c>
      <c r="F2552" t="s">
        <v>8118</v>
      </c>
      <c r="G2552">
        <v>17</v>
      </c>
      <c r="I2552">
        <v>17</v>
      </c>
      <c r="L2552" t="s">
        <v>10</v>
      </c>
      <c r="M2552">
        <v>585984</v>
      </c>
      <c r="N2552">
        <v>8</v>
      </c>
      <c r="O2552">
        <v>0.125</v>
      </c>
      <c r="P2552" t="s">
        <v>7015</v>
      </c>
      <c r="T2552">
        <v>0</v>
      </c>
      <c r="U2552">
        <v>189.99</v>
      </c>
      <c r="V2552">
        <v>2</v>
      </c>
    </row>
    <row r="2553" spans="1:22" x14ac:dyDescent="0.2">
      <c r="A2553" t="s">
        <v>6372</v>
      </c>
      <c r="B2553" t="s">
        <v>6373</v>
      </c>
      <c r="C2553" t="s">
        <v>2502</v>
      </c>
      <c r="D2553" t="s">
        <v>228</v>
      </c>
      <c r="E2553">
        <v>79.989999999999995</v>
      </c>
      <c r="F2553" t="s">
        <v>8118</v>
      </c>
      <c r="G2553">
        <v>24</v>
      </c>
      <c r="H2553">
        <v>24</v>
      </c>
      <c r="L2553" t="s">
        <v>10</v>
      </c>
      <c r="M2553">
        <v>667196</v>
      </c>
      <c r="N2553">
        <v>8</v>
      </c>
      <c r="O2553">
        <v>0.125</v>
      </c>
      <c r="P2553" t="s">
        <v>7015</v>
      </c>
      <c r="T2553">
        <v>0</v>
      </c>
      <c r="U2553">
        <v>0</v>
      </c>
      <c r="V2553">
        <v>2</v>
      </c>
    </row>
    <row r="2554" spans="1:22" x14ac:dyDescent="0.2">
      <c r="A2554" t="s">
        <v>6368</v>
      </c>
      <c r="B2554" t="s">
        <v>6369</v>
      </c>
      <c r="C2554" t="s">
        <v>2502</v>
      </c>
      <c r="D2554" t="s">
        <v>228</v>
      </c>
      <c r="E2554">
        <v>79.989999999999995</v>
      </c>
      <c r="F2554" t="s">
        <v>8118</v>
      </c>
      <c r="G2554">
        <v>129</v>
      </c>
      <c r="H2554">
        <v>129</v>
      </c>
      <c r="L2554" t="s">
        <v>10</v>
      </c>
      <c r="M2554">
        <v>667195</v>
      </c>
      <c r="N2554">
        <v>49</v>
      </c>
      <c r="O2554">
        <v>2.0381836945304436E-2</v>
      </c>
      <c r="P2554" t="s">
        <v>7015</v>
      </c>
      <c r="T2554">
        <v>7</v>
      </c>
      <c r="U2554">
        <v>159.97999999999999</v>
      </c>
      <c r="V2554">
        <v>323</v>
      </c>
    </row>
    <row r="2555" spans="1:22" x14ac:dyDescent="0.2">
      <c r="A2555" t="s">
        <v>2587</v>
      </c>
      <c r="B2555" t="s">
        <v>2588</v>
      </c>
      <c r="C2555" t="s">
        <v>2502</v>
      </c>
      <c r="D2555" t="s">
        <v>228</v>
      </c>
      <c r="E2555">
        <v>89.99</v>
      </c>
      <c r="F2555" t="s">
        <v>8118</v>
      </c>
      <c r="G2555">
        <v>27</v>
      </c>
      <c r="I2555">
        <v>27</v>
      </c>
      <c r="L2555" t="s">
        <v>10</v>
      </c>
      <c r="M2555">
        <v>745623</v>
      </c>
      <c r="N2555">
        <v>0</v>
      </c>
      <c r="O2555">
        <v>0</v>
      </c>
      <c r="P2555" t="s">
        <v>7015</v>
      </c>
      <c r="T2555">
        <v>0</v>
      </c>
      <c r="U2555">
        <v>0</v>
      </c>
      <c r="V2555">
        <v>0</v>
      </c>
    </row>
    <row r="2556" spans="1:22" x14ac:dyDescent="0.2">
      <c r="A2556" t="s">
        <v>5956</v>
      </c>
      <c r="B2556" t="s">
        <v>5957</v>
      </c>
      <c r="C2556" t="s">
        <v>2502</v>
      </c>
      <c r="D2556" t="s">
        <v>96</v>
      </c>
      <c r="E2556">
        <v>59.99</v>
      </c>
      <c r="F2556" t="s">
        <v>8118</v>
      </c>
      <c r="G2556">
        <v>16</v>
      </c>
      <c r="I2556">
        <v>16</v>
      </c>
      <c r="L2556" t="s">
        <v>10</v>
      </c>
      <c r="M2556">
        <v>331231</v>
      </c>
      <c r="N2556">
        <v>0</v>
      </c>
      <c r="O2556">
        <v>0</v>
      </c>
      <c r="P2556" t="s">
        <v>7015</v>
      </c>
      <c r="T2556">
        <v>0</v>
      </c>
      <c r="U2556">
        <v>0</v>
      </c>
      <c r="V2556">
        <v>0</v>
      </c>
    </row>
    <row r="2557" spans="1:22" x14ac:dyDescent="0.2">
      <c r="A2557" t="s">
        <v>7157</v>
      </c>
      <c r="B2557" t="s">
        <v>7159</v>
      </c>
      <c r="C2557" t="s">
        <v>2502</v>
      </c>
      <c r="D2557" t="s">
        <v>96</v>
      </c>
      <c r="E2557">
        <v>89.99</v>
      </c>
      <c r="F2557" t="s">
        <v>8118</v>
      </c>
      <c r="L2557" t="s">
        <v>10</v>
      </c>
      <c r="M2557">
        <v>495341</v>
      </c>
      <c r="N2557">
        <v>0</v>
      </c>
      <c r="O2557">
        <v>0</v>
      </c>
      <c r="P2557" t="s">
        <v>7015</v>
      </c>
      <c r="T2557">
        <v>0</v>
      </c>
      <c r="U2557">
        <v>0</v>
      </c>
      <c r="V2557">
        <v>0</v>
      </c>
    </row>
    <row r="2558" spans="1:22" x14ac:dyDescent="0.2">
      <c r="A2558" t="s">
        <v>7124</v>
      </c>
      <c r="B2558" t="s">
        <v>7126</v>
      </c>
      <c r="C2558" t="s">
        <v>2502</v>
      </c>
      <c r="D2558" t="s">
        <v>96</v>
      </c>
      <c r="E2558">
        <v>119.99</v>
      </c>
      <c r="F2558" t="s">
        <v>8118</v>
      </c>
      <c r="L2558" t="s">
        <v>10</v>
      </c>
      <c r="M2558">
        <v>331301</v>
      </c>
      <c r="N2558">
        <v>0</v>
      </c>
      <c r="O2558">
        <v>0</v>
      </c>
      <c r="P2558" t="s">
        <v>7015</v>
      </c>
      <c r="T2558">
        <v>0</v>
      </c>
      <c r="U2558">
        <v>0</v>
      </c>
      <c r="V2558">
        <v>0</v>
      </c>
    </row>
    <row r="2559" spans="1:22" x14ac:dyDescent="0.2">
      <c r="A2559" t="s">
        <v>6303</v>
      </c>
      <c r="B2559" t="s">
        <v>6304</v>
      </c>
      <c r="C2559" t="s">
        <v>2502</v>
      </c>
      <c r="D2559" t="s">
        <v>290</v>
      </c>
      <c r="E2559">
        <v>89.99</v>
      </c>
      <c r="F2559" t="s">
        <v>8118</v>
      </c>
      <c r="L2559" t="s">
        <v>10</v>
      </c>
      <c r="M2559">
        <v>495345</v>
      </c>
      <c r="N2559">
        <v>0</v>
      </c>
      <c r="O2559">
        <v>0</v>
      </c>
      <c r="P2559" t="s">
        <v>7015</v>
      </c>
      <c r="T2559">
        <v>0</v>
      </c>
      <c r="U2559">
        <v>0</v>
      </c>
      <c r="V2559">
        <v>0</v>
      </c>
    </row>
    <row r="2560" spans="1:22" x14ac:dyDescent="0.2">
      <c r="A2560" t="s">
        <v>6327</v>
      </c>
      <c r="B2560" t="s">
        <v>6328</v>
      </c>
      <c r="C2560" t="s">
        <v>2502</v>
      </c>
      <c r="D2560" t="s">
        <v>290</v>
      </c>
      <c r="E2560">
        <v>179.99</v>
      </c>
      <c r="F2560" t="s">
        <v>8118</v>
      </c>
      <c r="L2560" t="s">
        <v>10</v>
      </c>
      <c r="M2560">
        <v>514970</v>
      </c>
      <c r="N2560">
        <v>72</v>
      </c>
      <c r="O2560">
        <v>1.3888888888888888E-2</v>
      </c>
      <c r="P2560" t="s">
        <v>7015</v>
      </c>
      <c r="T2560">
        <v>0</v>
      </c>
      <c r="U2560">
        <v>0</v>
      </c>
      <c r="V2560">
        <v>18</v>
      </c>
    </row>
    <row r="2561" spans="1:22" x14ac:dyDescent="0.2">
      <c r="A2561" t="s">
        <v>2563</v>
      </c>
      <c r="B2561" t="s">
        <v>2564</v>
      </c>
      <c r="C2561" t="s">
        <v>2502</v>
      </c>
      <c r="D2561" t="s">
        <v>290</v>
      </c>
      <c r="E2561">
        <v>99.99</v>
      </c>
      <c r="F2561" t="s">
        <v>8118</v>
      </c>
      <c r="L2561" t="s">
        <v>10</v>
      </c>
      <c r="M2561">
        <v>331306</v>
      </c>
      <c r="N2561">
        <v>0</v>
      </c>
      <c r="O2561">
        <v>0</v>
      </c>
      <c r="P2561" t="s">
        <v>7015</v>
      </c>
      <c r="T2561">
        <v>0</v>
      </c>
      <c r="U2561">
        <v>0</v>
      </c>
      <c r="V2561">
        <v>0</v>
      </c>
    </row>
    <row r="2562" spans="1:22" x14ac:dyDescent="0.2">
      <c r="A2562" t="s">
        <v>2759</v>
      </c>
      <c r="B2562" t="s">
        <v>2760</v>
      </c>
      <c r="C2562" t="s">
        <v>2502</v>
      </c>
      <c r="D2562" t="s">
        <v>290</v>
      </c>
      <c r="E2562">
        <v>119.99</v>
      </c>
      <c r="F2562" t="s">
        <v>8118</v>
      </c>
      <c r="L2562" t="s">
        <v>10</v>
      </c>
      <c r="M2562">
        <v>331305</v>
      </c>
      <c r="N2562">
        <v>24</v>
      </c>
      <c r="O2562">
        <v>4.1666666666666664E-2</v>
      </c>
      <c r="P2562" t="s">
        <v>7015</v>
      </c>
      <c r="T2562">
        <v>0</v>
      </c>
      <c r="U2562">
        <v>0</v>
      </c>
      <c r="V2562">
        <v>2</v>
      </c>
    </row>
    <row r="2563" spans="1:22" x14ac:dyDescent="0.2">
      <c r="A2563" t="s">
        <v>5969</v>
      </c>
      <c r="B2563" t="s">
        <v>5970</v>
      </c>
      <c r="C2563" t="s">
        <v>2502</v>
      </c>
      <c r="D2563" t="s">
        <v>290</v>
      </c>
      <c r="E2563">
        <v>99.99</v>
      </c>
      <c r="F2563" t="s">
        <v>8118</v>
      </c>
      <c r="G2563">
        <v>14</v>
      </c>
      <c r="H2563">
        <v>1</v>
      </c>
      <c r="I2563">
        <v>13</v>
      </c>
      <c r="L2563" t="s">
        <v>10</v>
      </c>
      <c r="M2563">
        <v>331307</v>
      </c>
      <c r="N2563">
        <v>0</v>
      </c>
      <c r="O2563">
        <v>0</v>
      </c>
      <c r="P2563" t="s">
        <v>7015</v>
      </c>
      <c r="T2563">
        <v>0</v>
      </c>
      <c r="U2563">
        <v>0</v>
      </c>
      <c r="V2563">
        <v>1</v>
      </c>
    </row>
    <row r="2564" spans="1:22" x14ac:dyDescent="0.2">
      <c r="A2564" t="s">
        <v>2729</v>
      </c>
      <c r="B2564" t="s">
        <v>2730</v>
      </c>
      <c r="C2564" t="s">
        <v>2502</v>
      </c>
      <c r="D2564" t="s">
        <v>228</v>
      </c>
      <c r="E2564">
        <v>54.99</v>
      </c>
      <c r="F2564" t="s">
        <v>8118</v>
      </c>
      <c r="G2564">
        <v>227</v>
      </c>
      <c r="H2564">
        <v>27</v>
      </c>
      <c r="I2564">
        <v>200</v>
      </c>
      <c r="K2564">
        <v>90</v>
      </c>
      <c r="L2564" t="s">
        <v>10</v>
      </c>
      <c r="M2564">
        <v>593250</v>
      </c>
      <c r="N2564">
        <v>14</v>
      </c>
      <c r="O2564">
        <v>7.3342415985467757E-2</v>
      </c>
      <c r="P2564" t="s">
        <v>7015</v>
      </c>
      <c r="T2564">
        <v>27</v>
      </c>
      <c r="U2564">
        <v>1374.75</v>
      </c>
      <c r="V2564">
        <v>367</v>
      </c>
    </row>
    <row r="2565" spans="1:22" x14ac:dyDescent="0.2">
      <c r="A2565" t="s">
        <v>7112</v>
      </c>
      <c r="B2565" t="s">
        <v>7114</v>
      </c>
      <c r="C2565" t="s">
        <v>2502</v>
      </c>
      <c r="D2565" t="s">
        <v>96</v>
      </c>
      <c r="E2565">
        <v>119.99</v>
      </c>
      <c r="F2565" t="s">
        <v>8118</v>
      </c>
      <c r="L2565" t="s">
        <v>10</v>
      </c>
      <c r="M2565">
        <v>593213</v>
      </c>
      <c r="N2565">
        <v>0</v>
      </c>
      <c r="O2565">
        <v>0</v>
      </c>
      <c r="P2565" t="s">
        <v>7015</v>
      </c>
      <c r="T2565">
        <v>0</v>
      </c>
      <c r="U2565">
        <v>0</v>
      </c>
      <c r="V2565">
        <v>0</v>
      </c>
    </row>
    <row r="2566" spans="1:22" x14ac:dyDescent="0.2">
      <c r="A2566" t="s">
        <v>6153</v>
      </c>
      <c r="B2566" t="s">
        <v>6154</v>
      </c>
      <c r="C2566" t="s">
        <v>2502</v>
      </c>
      <c r="D2566" t="s">
        <v>290</v>
      </c>
      <c r="E2566">
        <v>109.99</v>
      </c>
      <c r="F2566" t="s">
        <v>8118</v>
      </c>
      <c r="G2566">
        <v>44</v>
      </c>
      <c r="I2566">
        <v>44</v>
      </c>
      <c r="L2566" t="s">
        <v>10</v>
      </c>
      <c r="M2566">
        <v>495305</v>
      </c>
      <c r="N2566">
        <v>10</v>
      </c>
      <c r="O2566">
        <v>0.10147849462365592</v>
      </c>
      <c r="P2566" t="s">
        <v>7015</v>
      </c>
      <c r="T2566">
        <v>50</v>
      </c>
      <c r="U2566">
        <v>10999</v>
      </c>
      <c r="V2566">
        <v>496</v>
      </c>
    </row>
    <row r="2567" spans="1:22" x14ac:dyDescent="0.2">
      <c r="A2567" t="s">
        <v>6338</v>
      </c>
      <c r="B2567" t="s">
        <v>6339</v>
      </c>
      <c r="C2567" t="s">
        <v>2502</v>
      </c>
      <c r="D2567" t="s">
        <v>96</v>
      </c>
      <c r="E2567">
        <v>169.99</v>
      </c>
      <c r="F2567" t="s">
        <v>8118</v>
      </c>
      <c r="L2567" t="s">
        <v>10</v>
      </c>
      <c r="M2567">
        <v>593214</v>
      </c>
      <c r="N2567">
        <v>0</v>
      </c>
      <c r="O2567">
        <v>0</v>
      </c>
      <c r="P2567" t="s">
        <v>7015</v>
      </c>
      <c r="T2567">
        <v>0</v>
      </c>
      <c r="U2567">
        <v>0</v>
      </c>
      <c r="V2567">
        <v>0</v>
      </c>
    </row>
    <row r="2568" spans="1:22" x14ac:dyDescent="0.2">
      <c r="A2568" t="s">
        <v>6335</v>
      </c>
      <c r="B2568" t="s">
        <v>6336</v>
      </c>
      <c r="C2568" t="s">
        <v>2502</v>
      </c>
      <c r="D2568" t="s">
        <v>290</v>
      </c>
      <c r="E2568">
        <v>169.99</v>
      </c>
      <c r="F2568" t="s">
        <v>8118</v>
      </c>
      <c r="L2568" t="s">
        <v>10</v>
      </c>
      <c r="M2568">
        <v>593218</v>
      </c>
      <c r="N2568">
        <v>2</v>
      </c>
      <c r="O2568">
        <v>0.6</v>
      </c>
      <c r="P2568" t="s">
        <v>7015</v>
      </c>
      <c r="T2568">
        <v>3</v>
      </c>
      <c r="U2568">
        <v>0</v>
      </c>
      <c r="V2568">
        <v>5</v>
      </c>
    </row>
    <row r="2569" spans="1:22" x14ac:dyDescent="0.2">
      <c r="A2569" t="s">
        <v>2699</v>
      </c>
      <c r="B2569" t="s">
        <v>2700</v>
      </c>
      <c r="C2569" t="s">
        <v>2502</v>
      </c>
      <c r="D2569" t="s">
        <v>290</v>
      </c>
      <c r="E2569">
        <v>119.99</v>
      </c>
      <c r="F2569" t="s">
        <v>8118</v>
      </c>
      <c r="G2569">
        <v>16</v>
      </c>
      <c r="I2569">
        <v>16</v>
      </c>
      <c r="L2569" t="s">
        <v>10</v>
      </c>
      <c r="M2569">
        <v>593217</v>
      </c>
      <c r="N2569">
        <v>20</v>
      </c>
      <c r="O2569">
        <v>4.9818840579710144E-2</v>
      </c>
      <c r="P2569" t="s">
        <v>7015</v>
      </c>
      <c r="T2569">
        <v>5</v>
      </c>
      <c r="U2569">
        <v>959.92</v>
      </c>
      <c r="V2569">
        <v>92</v>
      </c>
    </row>
    <row r="2570" spans="1:22" x14ac:dyDescent="0.2">
      <c r="A2570" t="s">
        <v>6317</v>
      </c>
      <c r="B2570" t="s">
        <v>7115</v>
      </c>
      <c r="C2570" t="s">
        <v>2502</v>
      </c>
      <c r="D2570" t="s">
        <v>228</v>
      </c>
      <c r="E2570">
        <v>229.99</v>
      </c>
      <c r="F2570" t="s">
        <v>8118</v>
      </c>
      <c r="G2570">
        <v>12</v>
      </c>
      <c r="I2570">
        <v>12</v>
      </c>
      <c r="L2570" t="s">
        <v>10</v>
      </c>
      <c r="M2570">
        <v>593245</v>
      </c>
      <c r="N2570">
        <v>0</v>
      </c>
      <c r="O2570">
        <v>0</v>
      </c>
      <c r="P2570" t="s">
        <v>7015</v>
      </c>
      <c r="T2570">
        <v>0</v>
      </c>
      <c r="U2570">
        <v>0</v>
      </c>
      <c r="V2570">
        <v>0</v>
      </c>
    </row>
    <row r="2571" spans="1:22" x14ac:dyDescent="0.2">
      <c r="A2571" t="s">
        <v>6273</v>
      </c>
      <c r="B2571" t="s">
        <v>6274</v>
      </c>
      <c r="C2571" t="s">
        <v>2502</v>
      </c>
      <c r="D2571" t="s">
        <v>96</v>
      </c>
      <c r="E2571">
        <v>49.99</v>
      </c>
      <c r="F2571" t="s">
        <v>8118</v>
      </c>
      <c r="L2571" t="s">
        <v>10</v>
      </c>
      <c r="M2571">
        <v>585982</v>
      </c>
      <c r="N2571">
        <v>0</v>
      </c>
      <c r="O2571">
        <v>0</v>
      </c>
      <c r="P2571" t="s">
        <v>7015</v>
      </c>
      <c r="T2571">
        <v>0</v>
      </c>
      <c r="U2571">
        <v>0</v>
      </c>
      <c r="V2571">
        <v>0</v>
      </c>
    </row>
    <row r="2572" spans="1:22" x14ac:dyDescent="0.2">
      <c r="A2572" t="s">
        <v>6321</v>
      </c>
      <c r="B2572" t="s">
        <v>7242</v>
      </c>
      <c r="C2572" t="s">
        <v>2502</v>
      </c>
      <c r="D2572" t="s">
        <v>228</v>
      </c>
      <c r="E2572">
        <v>229.99</v>
      </c>
      <c r="F2572" t="s">
        <v>8118</v>
      </c>
      <c r="G2572">
        <v>14</v>
      </c>
      <c r="I2572">
        <v>14</v>
      </c>
      <c r="L2572" t="s">
        <v>10</v>
      </c>
      <c r="M2572">
        <v>593241</v>
      </c>
      <c r="N2572">
        <v>8</v>
      </c>
      <c r="O2572">
        <v>0.125</v>
      </c>
      <c r="P2572" t="s">
        <v>7015</v>
      </c>
      <c r="T2572">
        <v>0</v>
      </c>
      <c r="U2572">
        <v>0</v>
      </c>
      <c r="V2572">
        <v>2</v>
      </c>
    </row>
    <row r="2573" spans="1:22" x14ac:dyDescent="0.2">
      <c r="A2573" t="s">
        <v>6162</v>
      </c>
      <c r="B2573" t="s">
        <v>6163</v>
      </c>
      <c r="C2573" t="s">
        <v>2502</v>
      </c>
      <c r="D2573" t="s">
        <v>290</v>
      </c>
      <c r="E2573">
        <v>109.99</v>
      </c>
      <c r="F2573" t="s">
        <v>8118</v>
      </c>
      <c r="G2573">
        <v>2</v>
      </c>
      <c r="I2573">
        <v>2</v>
      </c>
      <c r="L2573" t="s">
        <v>10</v>
      </c>
      <c r="M2573">
        <v>397349</v>
      </c>
      <c r="N2573">
        <v>4</v>
      </c>
      <c r="O2573">
        <v>0.25</v>
      </c>
      <c r="P2573" t="s">
        <v>7015</v>
      </c>
      <c r="T2573">
        <v>0</v>
      </c>
      <c r="U2573">
        <v>0</v>
      </c>
      <c r="V2573">
        <v>1</v>
      </c>
    </row>
    <row r="2574" spans="1:22" x14ac:dyDescent="0.2">
      <c r="A2574" t="s">
        <v>5997</v>
      </c>
      <c r="B2574" t="s">
        <v>5998</v>
      </c>
      <c r="C2574" t="s">
        <v>2502</v>
      </c>
      <c r="D2574" t="s">
        <v>290</v>
      </c>
      <c r="E2574">
        <v>99.99</v>
      </c>
      <c r="F2574" t="s">
        <v>8118</v>
      </c>
      <c r="L2574" t="s">
        <v>10</v>
      </c>
      <c r="M2574">
        <v>495309</v>
      </c>
      <c r="N2574">
        <v>13</v>
      </c>
      <c r="O2574">
        <v>7.5167037861915365E-2</v>
      </c>
      <c r="P2574" t="s">
        <v>7015</v>
      </c>
      <c r="T2574">
        <v>34</v>
      </c>
      <c r="U2574">
        <v>3999.6</v>
      </c>
      <c r="V2574">
        <v>449</v>
      </c>
    </row>
    <row r="2575" spans="1:22" x14ac:dyDescent="0.2">
      <c r="A2575" t="s">
        <v>2707</v>
      </c>
      <c r="B2575" t="s">
        <v>2708</v>
      </c>
      <c r="C2575" t="s">
        <v>2502</v>
      </c>
      <c r="D2575" t="s">
        <v>228</v>
      </c>
      <c r="E2575">
        <v>64.989999999999995</v>
      </c>
      <c r="F2575" t="s">
        <v>8118</v>
      </c>
      <c r="G2575">
        <v>43</v>
      </c>
      <c r="H2575">
        <v>2</v>
      </c>
      <c r="I2575">
        <v>41</v>
      </c>
      <c r="L2575" t="s">
        <v>10</v>
      </c>
      <c r="M2575">
        <v>467482</v>
      </c>
      <c r="N2575">
        <v>0</v>
      </c>
      <c r="O2575">
        <v>0</v>
      </c>
      <c r="P2575" t="s">
        <v>7015</v>
      </c>
      <c r="T2575">
        <v>0</v>
      </c>
      <c r="U2575">
        <v>0</v>
      </c>
      <c r="V2575">
        <v>3</v>
      </c>
    </row>
    <row r="2576" spans="1:22" x14ac:dyDescent="0.2">
      <c r="A2576" t="s">
        <v>2761</v>
      </c>
      <c r="B2576" t="s">
        <v>2762</v>
      </c>
      <c r="C2576" t="s">
        <v>2502</v>
      </c>
      <c r="D2576" t="s">
        <v>228</v>
      </c>
      <c r="E2576">
        <v>119.99</v>
      </c>
      <c r="F2576" t="s">
        <v>8118</v>
      </c>
      <c r="G2576">
        <v>82</v>
      </c>
      <c r="H2576">
        <v>2</v>
      </c>
      <c r="I2576">
        <v>80</v>
      </c>
      <c r="K2576">
        <v>20</v>
      </c>
      <c r="L2576" t="s">
        <v>10</v>
      </c>
      <c r="M2576">
        <v>331303</v>
      </c>
      <c r="N2576">
        <v>0</v>
      </c>
      <c r="O2576">
        <v>0</v>
      </c>
      <c r="P2576" t="s">
        <v>7015</v>
      </c>
      <c r="T2576">
        <v>0</v>
      </c>
      <c r="U2576">
        <v>0</v>
      </c>
      <c r="V2576">
        <v>0</v>
      </c>
    </row>
    <row r="2577" spans="1:22" x14ac:dyDescent="0.2">
      <c r="A2577" t="s">
        <v>2715</v>
      </c>
      <c r="B2577" t="s">
        <v>2716</v>
      </c>
      <c r="C2577" t="s">
        <v>2502</v>
      </c>
      <c r="D2577" t="s">
        <v>228</v>
      </c>
      <c r="E2577">
        <v>39.99</v>
      </c>
      <c r="F2577" t="s">
        <v>8118</v>
      </c>
      <c r="G2577">
        <v>113</v>
      </c>
      <c r="H2577">
        <v>30</v>
      </c>
      <c r="I2577">
        <v>83</v>
      </c>
      <c r="K2577">
        <v>120</v>
      </c>
      <c r="L2577" t="s">
        <v>10</v>
      </c>
      <c r="M2577">
        <v>593255</v>
      </c>
      <c r="N2577">
        <v>13</v>
      </c>
      <c r="O2577">
        <v>7.8453453453453462E-2</v>
      </c>
      <c r="P2577" t="s">
        <v>7015</v>
      </c>
      <c r="T2577">
        <v>35</v>
      </c>
      <c r="U2577">
        <v>1239.69</v>
      </c>
      <c r="V2577">
        <v>444</v>
      </c>
    </row>
    <row r="2578" spans="1:22" x14ac:dyDescent="0.2">
      <c r="A2578" t="s">
        <v>7120</v>
      </c>
      <c r="B2578" t="s">
        <v>7122</v>
      </c>
      <c r="C2578" t="s">
        <v>2502</v>
      </c>
      <c r="D2578" t="s">
        <v>96</v>
      </c>
      <c r="E2578">
        <v>59.99</v>
      </c>
      <c r="F2578" t="s">
        <v>8118</v>
      </c>
      <c r="L2578" t="s">
        <v>10</v>
      </c>
      <c r="M2578">
        <v>363047</v>
      </c>
      <c r="N2578">
        <v>0</v>
      </c>
      <c r="O2578">
        <v>0</v>
      </c>
      <c r="P2578" t="s">
        <v>7015</v>
      </c>
      <c r="T2578">
        <v>0</v>
      </c>
      <c r="U2578">
        <v>0</v>
      </c>
      <c r="V2578">
        <v>0</v>
      </c>
    </row>
    <row r="2579" spans="1:22" x14ac:dyDescent="0.2">
      <c r="A2579" t="s">
        <v>6265</v>
      </c>
      <c r="B2579" t="s">
        <v>6266</v>
      </c>
      <c r="C2579" t="s">
        <v>2502</v>
      </c>
      <c r="D2579" t="s">
        <v>228</v>
      </c>
      <c r="E2579">
        <v>59.99</v>
      </c>
      <c r="F2579" t="s">
        <v>8118</v>
      </c>
      <c r="G2579">
        <v>406</v>
      </c>
      <c r="H2579">
        <v>35</v>
      </c>
      <c r="I2579">
        <v>371</v>
      </c>
      <c r="K2579">
        <v>120</v>
      </c>
      <c r="L2579" t="s">
        <v>10</v>
      </c>
      <c r="M2579">
        <v>363043</v>
      </c>
      <c r="N2579">
        <v>10</v>
      </c>
      <c r="O2579">
        <v>0.10488505747126436</v>
      </c>
      <c r="P2579" t="s">
        <v>7015</v>
      </c>
      <c r="T2579">
        <v>24</v>
      </c>
      <c r="U2579">
        <v>1859.69</v>
      </c>
      <c r="V2579">
        <v>232</v>
      </c>
    </row>
    <row r="2580" spans="1:22" x14ac:dyDescent="0.2">
      <c r="A2580" t="s">
        <v>2519</v>
      </c>
      <c r="B2580" t="s">
        <v>2520</v>
      </c>
      <c r="C2580" t="s">
        <v>2502</v>
      </c>
      <c r="D2580" t="s">
        <v>228</v>
      </c>
      <c r="E2580">
        <v>249.99</v>
      </c>
      <c r="F2580" t="s">
        <v>8118</v>
      </c>
      <c r="J2580">
        <v>32</v>
      </c>
      <c r="K2580">
        <v>320</v>
      </c>
      <c r="L2580" t="s">
        <v>7032</v>
      </c>
      <c r="M2580" t="s">
        <v>97</v>
      </c>
      <c r="N2580">
        <v>0</v>
      </c>
      <c r="O2580">
        <v>0</v>
      </c>
      <c r="T2580">
        <v>0</v>
      </c>
      <c r="U2580">
        <v>0</v>
      </c>
      <c r="V2580">
        <v>0</v>
      </c>
    </row>
    <row r="2581" spans="1:22" x14ac:dyDescent="0.2">
      <c r="A2581" t="s">
        <v>6114</v>
      </c>
      <c r="B2581" t="s">
        <v>6115</v>
      </c>
      <c r="C2581" t="s">
        <v>2502</v>
      </c>
      <c r="D2581" t="s">
        <v>96</v>
      </c>
      <c r="E2581">
        <v>99.99</v>
      </c>
      <c r="F2581" t="s">
        <v>8118</v>
      </c>
      <c r="L2581" t="s">
        <v>7032</v>
      </c>
      <c r="M2581" t="s">
        <v>97</v>
      </c>
      <c r="N2581">
        <v>0</v>
      </c>
      <c r="O2581">
        <v>0</v>
      </c>
      <c r="T2581">
        <v>0</v>
      </c>
      <c r="U2581">
        <v>0</v>
      </c>
      <c r="V2581">
        <v>0</v>
      </c>
    </row>
    <row r="2582" spans="1:22" x14ac:dyDescent="0.2">
      <c r="A2582" t="s">
        <v>5924</v>
      </c>
      <c r="B2582" t="s">
        <v>5925</v>
      </c>
      <c r="C2582" t="s">
        <v>2502</v>
      </c>
      <c r="D2582" t="s">
        <v>290</v>
      </c>
      <c r="E2582">
        <v>49.99</v>
      </c>
      <c r="F2582" t="s">
        <v>8118</v>
      </c>
      <c r="L2582" t="s">
        <v>7032</v>
      </c>
      <c r="M2582" t="s">
        <v>97</v>
      </c>
      <c r="N2582">
        <v>0</v>
      </c>
      <c r="O2582">
        <v>0</v>
      </c>
      <c r="T2582">
        <v>0</v>
      </c>
      <c r="U2582">
        <v>0</v>
      </c>
      <c r="V2582">
        <v>0</v>
      </c>
    </row>
    <row r="2583" spans="1:22" x14ac:dyDescent="0.2">
      <c r="A2583" t="s">
        <v>2529</v>
      </c>
      <c r="B2583" t="s">
        <v>2530</v>
      </c>
      <c r="C2583" t="s">
        <v>2502</v>
      </c>
      <c r="D2583" t="s">
        <v>228</v>
      </c>
      <c r="E2583">
        <v>49.99</v>
      </c>
      <c r="F2583" t="s">
        <v>8118</v>
      </c>
      <c r="J2583">
        <v>1</v>
      </c>
      <c r="K2583">
        <v>680</v>
      </c>
      <c r="L2583" t="s">
        <v>7032</v>
      </c>
      <c r="M2583" t="s">
        <v>97</v>
      </c>
      <c r="N2583">
        <v>0</v>
      </c>
      <c r="O2583">
        <v>0</v>
      </c>
      <c r="T2583">
        <v>0</v>
      </c>
      <c r="U2583">
        <v>0</v>
      </c>
      <c r="V2583">
        <v>3</v>
      </c>
    </row>
    <row r="2584" spans="1:22" x14ac:dyDescent="0.2">
      <c r="A2584" t="s">
        <v>2539</v>
      </c>
      <c r="B2584" t="s">
        <v>2540</v>
      </c>
      <c r="C2584" t="s">
        <v>2502</v>
      </c>
      <c r="D2584" t="s">
        <v>228</v>
      </c>
      <c r="E2584">
        <v>54.99</v>
      </c>
      <c r="F2584" t="s">
        <v>8118</v>
      </c>
      <c r="G2584">
        <v>64</v>
      </c>
      <c r="H2584">
        <v>3</v>
      </c>
      <c r="I2584">
        <v>61</v>
      </c>
      <c r="K2584">
        <v>720</v>
      </c>
      <c r="L2584" t="s">
        <v>7032</v>
      </c>
      <c r="M2584" t="s">
        <v>97</v>
      </c>
      <c r="N2584">
        <v>0</v>
      </c>
      <c r="O2584">
        <v>0</v>
      </c>
      <c r="T2584">
        <v>0</v>
      </c>
      <c r="U2584">
        <v>0</v>
      </c>
      <c r="V2584">
        <v>0</v>
      </c>
    </row>
    <row r="2585" spans="1:22" x14ac:dyDescent="0.2">
      <c r="A2585" t="s">
        <v>2515</v>
      </c>
      <c r="B2585" t="s">
        <v>2516</v>
      </c>
      <c r="C2585" t="s">
        <v>2502</v>
      </c>
      <c r="D2585" t="s">
        <v>228</v>
      </c>
      <c r="E2585">
        <v>139.99</v>
      </c>
      <c r="F2585" t="s">
        <v>8118</v>
      </c>
      <c r="G2585">
        <v>32</v>
      </c>
      <c r="I2585">
        <v>32</v>
      </c>
      <c r="K2585">
        <v>10</v>
      </c>
      <c r="L2585" t="s">
        <v>7032</v>
      </c>
      <c r="M2585" t="s">
        <v>97</v>
      </c>
      <c r="N2585">
        <v>0</v>
      </c>
      <c r="O2585">
        <v>0</v>
      </c>
      <c r="T2585">
        <v>0</v>
      </c>
      <c r="U2585">
        <v>0</v>
      </c>
      <c r="V2585">
        <v>0</v>
      </c>
    </row>
    <row r="2586" spans="1:22" x14ac:dyDescent="0.2">
      <c r="A2586" t="s">
        <v>6254</v>
      </c>
      <c r="B2586" t="s">
        <v>6255</v>
      </c>
      <c r="C2586" t="s">
        <v>2502</v>
      </c>
      <c r="D2586" t="s">
        <v>290</v>
      </c>
      <c r="E2586">
        <v>159.99</v>
      </c>
      <c r="F2586" t="s">
        <v>8118</v>
      </c>
      <c r="G2586">
        <v>25</v>
      </c>
      <c r="I2586">
        <v>25</v>
      </c>
      <c r="L2586" t="s">
        <v>7032</v>
      </c>
      <c r="M2586" t="s">
        <v>97</v>
      </c>
      <c r="N2586">
        <v>0</v>
      </c>
      <c r="O2586">
        <v>0</v>
      </c>
      <c r="T2586">
        <v>0</v>
      </c>
      <c r="U2586">
        <v>0</v>
      </c>
      <c r="V2586">
        <v>2</v>
      </c>
    </row>
    <row r="2587" spans="1:22" x14ac:dyDescent="0.2">
      <c r="A2587" t="s">
        <v>2505</v>
      </c>
      <c r="B2587" t="s">
        <v>2506</v>
      </c>
      <c r="C2587" t="s">
        <v>2502</v>
      </c>
      <c r="D2587" t="s">
        <v>228</v>
      </c>
      <c r="E2587">
        <v>119.99</v>
      </c>
      <c r="F2587" t="s">
        <v>8118</v>
      </c>
      <c r="G2587">
        <v>123</v>
      </c>
      <c r="I2587">
        <v>123</v>
      </c>
      <c r="L2587" t="s">
        <v>7032</v>
      </c>
      <c r="M2587" t="s">
        <v>97</v>
      </c>
      <c r="N2587">
        <v>0</v>
      </c>
      <c r="O2587">
        <v>0</v>
      </c>
      <c r="T2587">
        <v>0</v>
      </c>
      <c r="U2587">
        <v>0</v>
      </c>
      <c r="V2587">
        <v>0</v>
      </c>
    </row>
    <row r="2588" spans="1:22" x14ac:dyDescent="0.2">
      <c r="A2588" t="s">
        <v>7137</v>
      </c>
      <c r="B2588" t="s">
        <v>7139</v>
      </c>
      <c r="C2588" t="s">
        <v>2502</v>
      </c>
      <c r="D2588" t="s">
        <v>96</v>
      </c>
      <c r="E2588">
        <v>74.989999999999995</v>
      </c>
      <c r="F2588" t="s">
        <v>8118</v>
      </c>
      <c r="L2588" t="s">
        <v>7032</v>
      </c>
      <c r="M2588" t="s">
        <v>97</v>
      </c>
      <c r="N2588">
        <v>0</v>
      </c>
      <c r="O2588">
        <v>0</v>
      </c>
      <c r="T2588">
        <v>0</v>
      </c>
      <c r="U2588">
        <v>0</v>
      </c>
      <c r="V2588">
        <v>0</v>
      </c>
    </row>
    <row r="2589" spans="1:22" x14ac:dyDescent="0.2">
      <c r="A2589" t="s">
        <v>5944</v>
      </c>
      <c r="B2589" t="s">
        <v>5945</v>
      </c>
      <c r="C2589" t="s">
        <v>2502</v>
      </c>
      <c r="D2589" t="s">
        <v>96</v>
      </c>
      <c r="E2589">
        <v>49.99</v>
      </c>
      <c r="F2589" t="s">
        <v>8118</v>
      </c>
      <c r="L2589" t="s">
        <v>7032</v>
      </c>
      <c r="M2589" t="s">
        <v>97</v>
      </c>
      <c r="N2589">
        <v>0</v>
      </c>
      <c r="O2589">
        <v>0</v>
      </c>
      <c r="T2589">
        <v>0</v>
      </c>
      <c r="U2589">
        <v>0</v>
      </c>
      <c r="V2589">
        <v>0</v>
      </c>
    </row>
    <row r="2590" spans="1:22" x14ac:dyDescent="0.2">
      <c r="A2590" t="s">
        <v>6167</v>
      </c>
      <c r="B2590" t="s">
        <v>6168</v>
      </c>
      <c r="C2590" t="s">
        <v>2502</v>
      </c>
      <c r="D2590" t="s">
        <v>228</v>
      </c>
      <c r="E2590">
        <v>29.99</v>
      </c>
      <c r="F2590" t="s">
        <v>8118</v>
      </c>
      <c r="G2590">
        <v>7</v>
      </c>
      <c r="H2590">
        <v>1</v>
      </c>
      <c r="I2590">
        <v>6</v>
      </c>
      <c r="K2590">
        <v>50</v>
      </c>
      <c r="L2590" t="s">
        <v>7032</v>
      </c>
      <c r="M2590" t="s">
        <v>97</v>
      </c>
      <c r="N2590">
        <v>0</v>
      </c>
      <c r="O2590">
        <v>0</v>
      </c>
      <c r="T2590">
        <v>0</v>
      </c>
      <c r="U2590">
        <v>0</v>
      </c>
      <c r="V2590">
        <v>1</v>
      </c>
    </row>
    <row r="2591" spans="1:22" x14ac:dyDescent="0.2">
      <c r="A2591" t="s">
        <v>5939</v>
      </c>
      <c r="B2591" t="s">
        <v>5940</v>
      </c>
      <c r="C2591" t="s">
        <v>2502</v>
      </c>
      <c r="D2591" t="s">
        <v>228</v>
      </c>
      <c r="E2591">
        <v>49.99</v>
      </c>
      <c r="F2591" t="s">
        <v>8118</v>
      </c>
      <c r="G2591">
        <v>2</v>
      </c>
      <c r="I2591">
        <v>2</v>
      </c>
      <c r="L2591" t="s">
        <v>7032</v>
      </c>
      <c r="M2591" t="s">
        <v>97</v>
      </c>
      <c r="N2591">
        <v>0</v>
      </c>
      <c r="O2591">
        <v>0</v>
      </c>
      <c r="T2591">
        <v>0</v>
      </c>
      <c r="U2591">
        <v>0</v>
      </c>
      <c r="V2591">
        <v>0</v>
      </c>
    </row>
    <row r="2592" spans="1:22" x14ac:dyDescent="0.2">
      <c r="A2592" t="s">
        <v>2665</v>
      </c>
      <c r="B2592" t="s">
        <v>2666</v>
      </c>
      <c r="C2592" t="s">
        <v>2502</v>
      </c>
      <c r="D2592" t="s">
        <v>228</v>
      </c>
      <c r="E2592">
        <v>64.989999999999995</v>
      </c>
      <c r="F2592" t="s">
        <v>8118</v>
      </c>
      <c r="G2592">
        <v>420</v>
      </c>
      <c r="H2592">
        <v>30</v>
      </c>
      <c r="I2592">
        <v>390</v>
      </c>
      <c r="K2592">
        <v>280</v>
      </c>
      <c r="L2592" t="s">
        <v>7032</v>
      </c>
      <c r="M2592" t="s">
        <v>97</v>
      </c>
      <c r="N2592">
        <v>0</v>
      </c>
      <c r="O2592">
        <v>0</v>
      </c>
      <c r="T2592">
        <v>0</v>
      </c>
      <c r="U2592">
        <v>0</v>
      </c>
      <c r="V2592">
        <v>0</v>
      </c>
    </row>
    <row r="2593" spans="1:22" x14ac:dyDescent="0.2">
      <c r="A2593" t="s">
        <v>2585</v>
      </c>
      <c r="B2593" t="s">
        <v>2586</v>
      </c>
      <c r="C2593" t="s">
        <v>2502</v>
      </c>
      <c r="D2593" t="s">
        <v>228</v>
      </c>
      <c r="E2593">
        <v>89.99</v>
      </c>
      <c r="F2593" t="s">
        <v>8118</v>
      </c>
      <c r="G2593">
        <v>45</v>
      </c>
      <c r="H2593">
        <v>6</v>
      </c>
      <c r="I2593">
        <v>39</v>
      </c>
      <c r="L2593" t="s">
        <v>7032</v>
      </c>
      <c r="M2593" t="s">
        <v>97</v>
      </c>
      <c r="N2593">
        <v>0</v>
      </c>
      <c r="O2593">
        <v>0</v>
      </c>
      <c r="T2593">
        <v>0</v>
      </c>
      <c r="U2593">
        <v>0</v>
      </c>
      <c r="V2593">
        <v>1</v>
      </c>
    </row>
    <row r="2594" spans="1:22" x14ac:dyDescent="0.2">
      <c r="A2594" t="s">
        <v>2583</v>
      </c>
      <c r="B2594" t="s">
        <v>2584</v>
      </c>
      <c r="C2594" t="s">
        <v>2502</v>
      </c>
      <c r="D2594" t="s">
        <v>228</v>
      </c>
      <c r="E2594">
        <v>79.989999999999995</v>
      </c>
      <c r="F2594" t="s">
        <v>8118</v>
      </c>
      <c r="G2594">
        <v>14</v>
      </c>
      <c r="I2594">
        <v>14</v>
      </c>
      <c r="L2594" t="s">
        <v>7032</v>
      </c>
      <c r="M2594" t="s">
        <v>97</v>
      </c>
      <c r="N2594">
        <v>0</v>
      </c>
      <c r="O2594">
        <v>0</v>
      </c>
      <c r="T2594">
        <v>0</v>
      </c>
      <c r="U2594">
        <v>0</v>
      </c>
      <c r="V2594">
        <v>0</v>
      </c>
    </row>
    <row r="2595" spans="1:22" x14ac:dyDescent="0.2">
      <c r="A2595" t="s">
        <v>2593</v>
      </c>
      <c r="B2595" t="s">
        <v>2594</v>
      </c>
      <c r="C2595" t="s">
        <v>2502</v>
      </c>
      <c r="D2595" t="s">
        <v>228</v>
      </c>
      <c r="E2595">
        <v>49.99</v>
      </c>
      <c r="F2595" t="s">
        <v>8118</v>
      </c>
      <c r="G2595">
        <v>6</v>
      </c>
      <c r="H2595">
        <v>1</v>
      </c>
      <c r="I2595">
        <v>5</v>
      </c>
      <c r="K2595">
        <v>20</v>
      </c>
      <c r="L2595" t="s">
        <v>7032</v>
      </c>
      <c r="M2595" t="s">
        <v>97</v>
      </c>
      <c r="N2595">
        <v>0</v>
      </c>
      <c r="O2595">
        <v>0</v>
      </c>
      <c r="T2595">
        <v>0</v>
      </c>
      <c r="U2595">
        <v>0</v>
      </c>
      <c r="V2595">
        <v>1</v>
      </c>
    </row>
    <row r="2596" spans="1:22" x14ac:dyDescent="0.2">
      <c r="A2596" t="s">
        <v>6309</v>
      </c>
      <c r="B2596" t="s">
        <v>6310</v>
      </c>
      <c r="C2596" t="s">
        <v>2502</v>
      </c>
      <c r="D2596" t="s">
        <v>228</v>
      </c>
      <c r="E2596">
        <v>99.99</v>
      </c>
      <c r="F2596" t="s">
        <v>8118</v>
      </c>
      <c r="G2596">
        <v>27</v>
      </c>
      <c r="I2596">
        <v>27</v>
      </c>
      <c r="L2596" t="s">
        <v>7032</v>
      </c>
      <c r="M2596" t="s">
        <v>97</v>
      </c>
      <c r="N2596">
        <v>0</v>
      </c>
      <c r="O2596">
        <v>0</v>
      </c>
      <c r="T2596">
        <v>0</v>
      </c>
      <c r="U2596">
        <v>0</v>
      </c>
      <c r="V2596">
        <v>0</v>
      </c>
    </row>
    <row r="2597" spans="1:22" x14ac:dyDescent="0.2">
      <c r="A2597" t="s">
        <v>6383</v>
      </c>
      <c r="B2597" t="s">
        <v>6384</v>
      </c>
      <c r="C2597" t="s">
        <v>2502</v>
      </c>
      <c r="D2597" t="s">
        <v>228</v>
      </c>
      <c r="E2597">
        <v>99.99</v>
      </c>
      <c r="F2597" t="s">
        <v>8118</v>
      </c>
      <c r="G2597">
        <v>16</v>
      </c>
      <c r="I2597">
        <v>16</v>
      </c>
      <c r="L2597" t="s">
        <v>7032</v>
      </c>
      <c r="M2597" t="s">
        <v>97</v>
      </c>
      <c r="N2597">
        <v>0</v>
      </c>
      <c r="O2597">
        <v>0</v>
      </c>
      <c r="T2597">
        <v>0.2</v>
      </c>
      <c r="U2597">
        <v>0</v>
      </c>
      <c r="V2597">
        <v>0</v>
      </c>
    </row>
    <row r="2598" spans="1:22" x14ac:dyDescent="0.2">
      <c r="A2598" t="s">
        <v>6258</v>
      </c>
      <c r="B2598" t="s">
        <v>6259</v>
      </c>
      <c r="C2598" t="s">
        <v>2502</v>
      </c>
      <c r="D2598" t="s">
        <v>96</v>
      </c>
      <c r="E2598">
        <v>159.99</v>
      </c>
      <c r="F2598" t="s">
        <v>8118</v>
      </c>
      <c r="L2598" t="s">
        <v>7032</v>
      </c>
      <c r="M2598" t="s">
        <v>97</v>
      </c>
      <c r="N2598">
        <v>0</v>
      </c>
      <c r="O2598">
        <v>0</v>
      </c>
      <c r="T2598">
        <v>0</v>
      </c>
      <c r="U2598">
        <v>0</v>
      </c>
      <c r="V2598">
        <v>2</v>
      </c>
    </row>
    <row r="2599" spans="1:22" x14ac:dyDescent="0.2">
      <c r="A2599" t="s">
        <v>6240</v>
      </c>
      <c r="B2599" t="s">
        <v>6241</v>
      </c>
      <c r="C2599" t="s">
        <v>2502</v>
      </c>
      <c r="D2599" t="s">
        <v>96</v>
      </c>
      <c r="E2599">
        <v>179.99</v>
      </c>
      <c r="F2599" t="s">
        <v>8118</v>
      </c>
      <c r="L2599" t="s">
        <v>7032</v>
      </c>
      <c r="M2599" t="s">
        <v>97</v>
      </c>
      <c r="N2599">
        <v>0</v>
      </c>
      <c r="O2599">
        <v>0</v>
      </c>
      <c r="T2599">
        <v>0</v>
      </c>
      <c r="U2599">
        <v>0</v>
      </c>
      <c r="V2599">
        <v>0</v>
      </c>
    </row>
    <row r="2600" spans="1:22" x14ac:dyDescent="0.2">
      <c r="A2600" t="s">
        <v>7698</v>
      </c>
      <c r="B2600" t="s">
        <v>7699</v>
      </c>
      <c r="C2600" t="s">
        <v>2502</v>
      </c>
      <c r="D2600" t="s">
        <v>290</v>
      </c>
      <c r="E2600">
        <v>74.989999999999995</v>
      </c>
      <c r="F2600" t="s">
        <v>8118</v>
      </c>
      <c r="L2600" t="s">
        <v>7032</v>
      </c>
      <c r="M2600" t="s">
        <v>97</v>
      </c>
      <c r="N2600">
        <v>10</v>
      </c>
      <c r="O2600">
        <v>0.1</v>
      </c>
      <c r="T2600">
        <v>0.2</v>
      </c>
      <c r="U2600">
        <v>0</v>
      </c>
      <c r="V2600">
        <v>2</v>
      </c>
    </row>
    <row r="2601" spans="1:22" x14ac:dyDescent="0.2">
      <c r="A2601" t="s">
        <v>7702</v>
      </c>
      <c r="B2601" t="s">
        <v>7703</v>
      </c>
      <c r="C2601" t="s">
        <v>2502</v>
      </c>
      <c r="D2601" t="s">
        <v>96</v>
      </c>
      <c r="E2601">
        <v>74.989999999999995</v>
      </c>
      <c r="F2601" t="s">
        <v>8118</v>
      </c>
      <c r="L2601" t="s">
        <v>7032</v>
      </c>
      <c r="M2601" t="s">
        <v>97</v>
      </c>
      <c r="N2601">
        <v>0</v>
      </c>
      <c r="O2601">
        <v>0</v>
      </c>
      <c r="T2601">
        <v>0</v>
      </c>
      <c r="U2601">
        <v>0</v>
      </c>
      <c r="V2601">
        <v>0</v>
      </c>
    </row>
    <row r="2602" spans="1:22" x14ac:dyDescent="0.2">
      <c r="A2602" t="s">
        <v>2687</v>
      </c>
      <c r="B2602" t="s">
        <v>2688</v>
      </c>
      <c r="C2602" t="s">
        <v>2502</v>
      </c>
      <c r="D2602" t="s">
        <v>228</v>
      </c>
      <c r="E2602">
        <v>159.99</v>
      </c>
      <c r="F2602" t="s">
        <v>8118</v>
      </c>
      <c r="G2602">
        <v>255</v>
      </c>
      <c r="H2602">
        <v>22</v>
      </c>
      <c r="I2602">
        <v>233</v>
      </c>
      <c r="K2602">
        <v>240</v>
      </c>
      <c r="L2602" t="s">
        <v>7032</v>
      </c>
      <c r="M2602" t="s">
        <v>97</v>
      </c>
      <c r="N2602">
        <v>0</v>
      </c>
      <c r="O2602">
        <v>0</v>
      </c>
      <c r="T2602">
        <v>0</v>
      </c>
      <c r="U2602">
        <v>0</v>
      </c>
      <c r="V2602">
        <v>1</v>
      </c>
    </row>
    <row r="2603" spans="1:22" x14ac:dyDescent="0.2">
      <c r="A2603" t="s">
        <v>2581</v>
      </c>
      <c r="B2603" t="s">
        <v>2582</v>
      </c>
      <c r="C2603" t="s">
        <v>2502</v>
      </c>
      <c r="D2603" t="s">
        <v>228</v>
      </c>
      <c r="E2603">
        <v>79.989999999999995</v>
      </c>
      <c r="F2603" t="s">
        <v>8118</v>
      </c>
      <c r="G2603">
        <v>157</v>
      </c>
      <c r="H2603">
        <v>24</v>
      </c>
      <c r="I2603">
        <v>133</v>
      </c>
      <c r="L2603" t="s">
        <v>7032</v>
      </c>
      <c r="M2603" t="s">
        <v>97</v>
      </c>
      <c r="N2603">
        <v>0</v>
      </c>
      <c r="O2603">
        <v>0</v>
      </c>
      <c r="T2603">
        <v>0</v>
      </c>
      <c r="U2603">
        <v>0</v>
      </c>
      <c r="V2603">
        <v>1</v>
      </c>
    </row>
    <row r="2604" spans="1:22" x14ac:dyDescent="0.2">
      <c r="A2604" t="s">
        <v>2719</v>
      </c>
      <c r="B2604" t="s">
        <v>2720</v>
      </c>
      <c r="C2604" t="s">
        <v>2502</v>
      </c>
      <c r="D2604" t="s">
        <v>228</v>
      </c>
      <c r="E2604">
        <v>69.989999999999995</v>
      </c>
      <c r="F2604" t="s">
        <v>8118</v>
      </c>
      <c r="G2604">
        <v>401</v>
      </c>
      <c r="I2604">
        <v>401</v>
      </c>
      <c r="L2604" t="s">
        <v>7032</v>
      </c>
      <c r="M2604" t="s">
        <v>97</v>
      </c>
      <c r="N2604">
        <v>0</v>
      </c>
      <c r="O2604">
        <v>0</v>
      </c>
      <c r="T2604">
        <v>0</v>
      </c>
      <c r="U2604">
        <v>0</v>
      </c>
      <c r="V2604">
        <v>2</v>
      </c>
    </row>
    <row r="2605" spans="1:22" x14ac:dyDescent="0.2">
      <c r="A2605" t="s">
        <v>2591</v>
      </c>
      <c r="B2605" t="s">
        <v>2592</v>
      </c>
      <c r="C2605" t="s">
        <v>2502</v>
      </c>
      <c r="D2605" t="s">
        <v>228</v>
      </c>
      <c r="E2605">
        <v>49.99</v>
      </c>
      <c r="F2605" t="s">
        <v>8118</v>
      </c>
      <c r="G2605">
        <v>28</v>
      </c>
      <c r="I2605">
        <v>28</v>
      </c>
      <c r="L2605" t="s">
        <v>7032</v>
      </c>
      <c r="M2605" t="s">
        <v>97</v>
      </c>
      <c r="N2605">
        <v>0</v>
      </c>
      <c r="O2605">
        <v>0</v>
      </c>
      <c r="T2605">
        <v>0</v>
      </c>
      <c r="U2605">
        <v>0</v>
      </c>
      <c r="V2605">
        <v>0</v>
      </c>
    </row>
    <row r="2606" spans="1:22" x14ac:dyDescent="0.2">
      <c r="A2606" t="s">
        <v>2503</v>
      </c>
      <c r="B2606" t="s">
        <v>2504</v>
      </c>
      <c r="C2606" t="s">
        <v>2502</v>
      </c>
      <c r="D2606" t="s">
        <v>228</v>
      </c>
      <c r="E2606">
        <v>129.99</v>
      </c>
      <c r="F2606" t="s">
        <v>8118</v>
      </c>
      <c r="G2606">
        <v>118</v>
      </c>
      <c r="H2606">
        <v>9</v>
      </c>
      <c r="I2606">
        <v>109</v>
      </c>
      <c r="K2606">
        <v>538</v>
      </c>
      <c r="L2606" t="s">
        <v>7032</v>
      </c>
      <c r="M2606" t="s">
        <v>97</v>
      </c>
      <c r="N2606">
        <v>0</v>
      </c>
      <c r="O2606">
        <v>0</v>
      </c>
      <c r="T2606">
        <v>0</v>
      </c>
      <c r="U2606">
        <v>0</v>
      </c>
      <c r="V2606">
        <v>1</v>
      </c>
    </row>
    <row r="2607" spans="1:22" x14ac:dyDescent="0.2">
      <c r="A2607" t="s">
        <v>2507</v>
      </c>
      <c r="B2607" t="s">
        <v>2508</v>
      </c>
      <c r="C2607" t="s">
        <v>2502</v>
      </c>
      <c r="D2607" t="s">
        <v>228</v>
      </c>
      <c r="E2607">
        <v>139.99</v>
      </c>
      <c r="F2607" t="s">
        <v>8118</v>
      </c>
      <c r="G2607">
        <v>113</v>
      </c>
      <c r="I2607">
        <v>113</v>
      </c>
      <c r="K2607">
        <v>640</v>
      </c>
      <c r="L2607" t="s">
        <v>7032</v>
      </c>
      <c r="M2607" t="s">
        <v>97</v>
      </c>
      <c r="N2607">
        <v>0</v>
      </c>
      <c r="O2607">
        <v>0</v>
      </c>
      <c r="T2607">
        <v>0</v>
      </c>
      <c r="U2607">
        <v>0</v>
      </c>
      <c r="V2607">
        <v>3</v>
      </c>
    </row>
    <row r="2608" spans="1:22" x14ac:dyDescent="0.2">
      <c r="A2608" t="s">
        <v>2513</v>
      </c>
      <c r="B2608" t="s">
        <v>2514</v>
      </c>
      <c r="C2608" t="s">
        <v>2502</v>
      </c>
      <c r="D2608" t="s">
        <v>228</v>
      </c>
      <c r="E2608">
        <v>199.99</v>
      </c>
      <c r="F2608" t="s">
        <v>8118</v>
      </c>
      <c r="G2608">
        <v>213</v>
      </c>
      <c r="H2608">
        <v>3</v>
      </c>
      <c r="I2608">
        <v>210</v>
      </c>
      <c r="K2608">
        <v>720</v>
      </c>
      <c r="L2608" t="s">
        <v>7032</v>
      </c>
      <c r="M2608" t="s">
        <v>97</v>
      </c>
      <c r="N2608">
        <v>5</v>
      </c>
      <c r="O2608">
        <v>0.2</v>
      </c>
      <c r="T2608">
        <v>0.2</v>
      </c>
      <c r="U2608">
        <v>0</v>
      </c>
      <c r="V2608">
        <v>1</v>
      </c>
    </row>
    <row r="2609" spans="1:22" x14ac:dyDescent="0.2">
      <c r="A2609" t="s">
        <v>6052</v>
      </c>
      <c r="B2609" t="s">
        <v>6053</v>
      </c>
      <c r="C2609" t="s">
        <v>2502</v>
      </c>
      <c r="D2609" t="s">
        <v>96</v>
      </c>
      <c r="E2609">
        <v>59.99</v>
      </c>
      <c r="F2609" t="s">
        <v>8118</v>
      </c>
      <c r="L2609" t="s">
        <v>7032</v>
      </c>
      <c r="M2609" t="s">
        <v>97</v>
      </c>
      <c r="N2609">
        <v>0</v>
      </c>
      <c r="O2609">
        <v>0</v>
      </c>
      <c r="T2609">
        <v>0</v>
      </c>
      <c r="U2609">
        <v>0</v>
      </c>
      <c r="V2609">
        <v>0</v>
      </c>
    </row>
    <row r="2610" spans="1:22" x14ac:dyDescent="0.2">
      <c r="A2610" t="s">
        <v>2579</v>
      </c>
      <c r="B2610" t="s">
        <v>7627</v>
      </c>
      <c r="C2610" t="s">
        <v>2502</v>
      </c>
      <c r="D2610" t="s">
        <v>228</v>
      </c>
      <c r="E2610">
        <v>79.989999999999995</v>
      </c>
      <c r="F2610" t="s">
        <v>8118</v>
      </c>
      <c r="G2610">
        <v>35</v>
      </c>
      <c r="I2610">
        <v>35</v>
      </c>
      <c r="L2610" t="s">
        <v>7032</v>
      </c>
      <c r="M2610" t="s">
        <v>97</v>
      </c>
      <c r="N2610">
        <v>0</v>
      </c>
      <c r="O2610">
        <v>0</v>
      </c>
      <c r="T2610">
        <v>0</v>
      </c>
      <c r="U2610">
        <v>0</v>
      </c>
      <c r="V2610">
        <v>0</v>
      </c>
    </row>
    <row r="2611" spans="1:22" x14ac:dyDescent="0.2">
      <c r="A2611" t="s">
        <v>6377</v>
      </c>
      <c r="B2611" t="s">
        <v>6378</v>
      </c>
      <c r="C2611" t="s">
        <v>2502</v>
      </c>
      <c r="D2611" t="s">
        <v>96</v>
      </c>
      <c r="E2611">
        <v>64.989999999999995</v>
      </c>
      <c r="F2611" t="s">
        <v>8118</v>
      </c>
      <c r="L2611" t="s">
        <v>7032</v>
      </c>
      <c r="M2611" t="s">
        <v>97</v>
      </c>
      <c r="N2611">
        <v>0</v>
      </c>
      <c r="O2611">
        <v>0</v>
      </c>
      <c r="T2611">
        <v>0</v>
      </c>
      <c r="U2611">
        <v>0</v>
      </c>
      <c r="V2611">
        <v>0</v>
      </c>
    </row>
    <row r="2612" spans="1:22" x14ac:dyDescent="0.2">
      <c r="A2612" t="s">
        <v>7157</v>
      </c>
      <c r="B2612" t="s">
        <v>7159</v>
      </c>
      <c r="C2612" t="s">
        <v>2502</v>
      </c>
      <c r="D2612" t="s">
        <v>96</v>
      </c>
      <c r="E2612">
        <v>89.99</v>
      </c>
      <c r="F2612" t="s">
        <v>8118</v>
      </c>
      <c r="L2612" t="s">
        <v>7032</v>
      </c>
      <c r="M2612" t="s">
        <v>97</v>
      </c>
      <c r="N2612">
        <v>0</v>
      </c>
      <c r="O2612">
        <v>0</v>
      </c>
      <c r="T2612">
        <v>0</v>
      </c>
      <c r="U2612">
        <v>0</v>
      </c>
      <c r="V2612">
        <v>3</v>
      </c>
    </row>
    <row r="2613" spans="1:22" x14ac:dyDescent="0.2">
      <c r="A2613" t="s">
        <v>6303</v>
      </c>
      <c r="B2613" t="s">
        <v>6304</v>
      </c>
      <c r="C2613" t="s">
        <v>2502</v>
      </c>
      <c r="D2613" t="s">
        <v>290</v>
      </c>
      <c r="E2613">
        <v>89.99</v>
      </c>
      <c r="F2613" t="s">
        <v>8118</v>
      </c>
      <c r="L2613" t="s">
        <v>7032</v>
      </c>
      <c r="M2613" t="s">
        <v>97</v>
      </c>
      <c r="N2613">
        <v>0</v>
      </c>
      <c r="O2613">
        <v>0</v>
      </c>
      <c r="T2613">
        <v>0</v>
      </c>
      <c r="U2613">
        <v>0</v>
      </c>
      <c r="V2613">
        <v>0</v>
      </c>
    </row>
    <row r="2614" spans="1:22" x14ac:dyDescent="0.2">
      <c r="A2614" t="s">
        <v>5956</v>
      </c>
      <c r="B2614" t="s">
        <v>5957</v>
      </c>
      <c r="C2614" t="s">
        <v>2502</v>
      </c>
      <c r="D2614" t="s">
        <v>96</v>
      </c>
      <c r="E2614">
        <v>59.99</v>
      </c>
      <c r="F2614" t="s">
        <v>8118</v>
      </c>
      <c r="G2614">
        <v>16</v>
      </c>
      <c r="I2614">
        <v>16</v>
      </c>
      <c r="L2614" t="s">
        <v>7032</v>
      </c>
      <c r="M2614" t="s">
        <v>97</v>
      </c>
      <c r="N2614">
        <v>0</v>
      </c>
      <c r="O2614">
        <v>0</v>
      </c>
      <c r="T2614">
        <v>0</v>
      </c>
      <c r="U2614">
        <v>0</v>
      </c>
      <c r="V2614">
        <v>0</v>
      </c>
    </row>
    <row r="2615" spans="1:22" x14ac:dyDescent="0.2">
      <c r="A2615" t="s">
        <v>2547</v>
      </c>
      <c r="B2615" t="s">
        <v>2548</v>
      </c>
      <c r="C2615" t="s">
        <v>2502</v>
      </c>
      <c r="D2615" t="s">
        <v>290</v>
      </c>
      <c r="E2615">
        <v>59.99</v>
      </c>
      <c r="F2615" t="s">
        <v>8118</v>
      </c>
      <c r="L2615" t="s">
        <v>7032</v>
      </c>
      <c r="M2615" t="s">
        <v>97</v>
      </c>
      <c r="N2615">
        <v>0</v>
      </c>
      <c r="O2615">
        <v>0</v>
      </c>
      <c r="T2615">
        <v>0</v>
      </c>
      <c r="U2615">
        <v>0</v>
      </c>
      <c r="V2615">
        <v>0</v>
      </c>
    </row>
    <row r="2616" spans="1:22" x14ac:dyDescent="0.2">
      <c r="A2616" t="s">
        <v>7171</v>
      </c>
      <c r="B2616" t="s">
        <v>7173</v>
      </c>
      <c r="C2616" t="s">
        <v>2502</v>
      </c>
      <c r="D2616" t="s">
        <v>290</v>
      </c>
      <c r="E2616">
        <v>39.99</v>
      </c>
      <c r="F2616" t="s">
        <v>8118</v>
      </c>
      <c r="G2616">
        <v>10</v>
      </c>
      <c r="H2616">
        <v>10</v>
      </c>
      <c r="L2616" t="s">
        <v>7032</v>
      </c>
      <c r="M2616" t="s">
        <v>97</v>
      </c>
      <c r="N2616">
        <v>0</v>
      </c>
      <c r="O2616">
        <v>0</v>
      </c>
      <c r="T2616">
        <v>0</v>
      </c>
      <c r="U2616">
        <v>0</v>
      </c>
      <c r="V2616">
        <v>0</v>
      </c>
    </row>
    <row r="2617" spans="1:22" x14ac:dyDescent="0.2">
      <c r="A2617" t="s">
        <v>7183</v>
      </c>
      <c r="B2617" t="s">
        <v>7185</v>
      </c>
      <c r="C2617" t="s">
        <v>2502</v>
      </c>
      <c r="D2617" t="s">
        <v>96</v>
      </c>
      <c r="E2617">
        <v>74.989999999999995</v>
      </c>
      <c r="F2617" t="s">
        <v>8118</v>
      </c>
      <c r="L2617" t="s">
        <v>7032</v>
      </c>
      <c r="M2617" t="s">
        <v>97</v>
      </c>
      <c r="N2617">
        <v>0</v>
      </c>
      <c r="O2617">
        <v>0</v>
      </c>
      <c r="T2617">
        <v>0</v>
      </c>
      <c r="U2617">
        <v>0</v>
      </c>
      <c r="V2617">
        <v>0</v>
      </c>
    </row>
    <row r="2618" spans="1:22" x14ac:dyDescent="0.2">
      <c r="A2618" t="s">
        <v>2545</v>
      </c>
      <c r="B2618" t="s">
        <v>2546</v>
      </c>
      <c r="C2618" t="s">
        <v>2502</v>
      </c>
      <c r="D2618" t="s">
        <v>228</v>
      </c>
      <c r="E2618">
        <v>79.989999999999995</v>
      </c>
      <c r="F2618" t="s">
        <v>8118</v>
      </c>
      <c r="G2618">
        <v>10</v>
      </c>
      <c r="H2618">
        <v>8</v>
      </c>
      <c r="I2618">
        <v>2</v>
      </c>
      <c r="J2618">
        <v>5</v>
      </c>
      <c r="K2618">
        <v>20</v>
      </c>
      <c r="L2618" t="s">
        <v>7032</v>
      </c>
      <c r="M2618" t="s">
        <v>97</v>
      </c>
      <c r="N2618">
        <v>0</v>
      </c>
      <c r="O2618">
        <v>0</v>
      </c>
      <c r="T2618">
        <v>0.2</v>
      </c>
      <c r="U2618">
        <v>0</v>
      </c>
      <c r="V2618">
        <v>0</v>
      </c>
    </row>
    <row r="2619" spans="1:22" x14ac:dyDescent="0.2">
      <c r="A2619" t="s">
        <v>2543</v>
      </c>
      <c r="B2619" t="s">
        <v>2544</v>
      </c>
      <c r="C2619" t="s">
        <v>2502</v>
      </c>
      <c r="D2619" t="s">
        <v>228</v>
      </c>
      <c r="E2619">
        <v>79.989999999999995</v>
      </c>
      <c r="F2619" t="s">
        <v>8118</v>
      </c>
      <c r="G2619">
        <v>166</v>
      </c>
      <c r="H2619">
        <v>2</v>
      </c>
      <c r="I2619">
        <v>164</v>
      </c>
      <c r="K2619">
        <v>40</v>
      </c>
      <c r="L2619" t="s">
        <v>7032</v>
      </c>
      <c r="M2619" t="s">
        <v>97</v>
      </c>
      <c r="N2619">
        <v>0</v>
      </c>
      <c r="O2619">
        <v>0</v>
      </c>
      <c r="T2619">
        <v>0</v>
      </c>
      <c r="U2619">
        <v>0</v>
      </c>
      <c r="V2619">
        <v>0</v>
      </c>
    </row>
    <row r="2620" spans="1:22" x14ac:dyDescent="0.2">
      <c r="A2620" t="s">
        <v>2635</v>
      </c>
      <c r="B2620" t="s">
        <v>2636</v>
      </c>
      <c r="C2620" t="s">
        <v>2502</v>
      </c>
      <c r="D2620" t="s">
        <v>228</v>
      </c>
      <c r="E2620">
        <v>69.989999999999995</v>
      </c>
      <c r="F2620" t="s">
        <v>8118</v>
      </c>
      <c r="G2620">
        <v>17</v>
      </c>
      <c r="I2620">
        <v>17</v>
      </c>
      <c r="L2620" t="s">
        <v>7032</v>
      </c>
      <c r="M2620" t="s">
        <v>97</v>
      </c>
      <c r="N2620">
        <v>0</v>
      </c>
      <c r="O2620">
        <v>0</v>
      </c>
      <c r="T2620">
        <v>0</v>
      </c>
      <c r="U2620">
        <v>0</v>
      </c>
      <c r="V2620">
        <v>0</v>
      </c>
    </row>
    <row r="2621" spans="1:22" x14ac:dyDescent="0.2">
      <c r="A2621" t="s">
        <v>2557</v>
      </c>
      <c r="B2621" t="s">
        <v>2558</v>
      </c>
      <c r="C2621" t="s">
        <v>2502</v>
      </c>
      <c r="D2621" t="s">
        <v>228</v>
      </c>
      <c r="E2621">
        <v>179.99</v>
      </c>
      <c r="F2621" t="s">
        <v>8118</v>
      </c>
      <c r="G2621">
        <v>13</v>
      </c>
      <c r="I2621">
        <v>13</v>
      </c>
      <c r="K2621">
        <v>20</v>
      </c>
      <c r="L2621" t="s">
        <v>7032</v>
      </c>
      <c r="M2621" t="s">
        <v>97</v>
      </c>
      <c r="N2621">
        <v>0</v>
      </c>
      <c r="O2621">
        <v>0</v>
      </c>
      <c r="T2621">
        <v>0</v>
      </c>
      <c r="U2621">
        <v>0</v>
      </c>
      <c r="V2621">
        <v>1</v>
      </c>
    </row>
    <row r="2622" spans="1:22" x14ac:dyDescent="0.2">
      <c r="A2622" t="s">
        <v>7186</v>
      </c>
      <c r="B2622" t="s">
        <v>7188</v>
      </c>
      <c r="C2622" t="s">
        <v>2502</v>
      </c>
      <c r="D2622" t="s">
        <v>96</v>
      </c>
      <c r="E2622">
        <v>79.989999999999995</v>
      </c>
      <c r="F2622" t="s">
        <v>8118</v>
      </c>
      <c r="L2622" t="s">
        <v>7032</v>
      </c>
      <c r="M2622" t="s">
        <v>97</v>
      </c>
      <c r="N2622">
        <v>0</v>
      </c>
      <c r="O2622">
        <v>0</v>
      </c>
      <c r="T2622">
        <v>0</v>
      </c>
      <c r="U2622">
        <v>0</v>
      </c>
      <c r="V2622">
        <v>0</v>
      </c>
    </row>
    <row r="2623" spans="1:22" x14ac:dyDescent="0.2">
      <c r="A2623" t="s">
        <v>2559</v>
      </c>
      <c r="B2623" t="s">
        <v>2560</v>
      </c>
      <c r="C2623" t="s">
        <v>2502</v>
      </c>
      <c r="D2623" t="s">
        <v>228</v>
      </c>
      <c r="E2623">
        <v>17.989999999999998</v>
      </c>
      <c r="F2623" t="s">
        <v>8118</v>
      </c>
      <c r="G2623">
        <v>38</v>
      </c>
      <c r="I2623">
        <v>38</v>
      </c>
      <c r="L2623" t="s">
        <v>7032</v>
      </c>
      <c r="M2623" t="s">
        <v>97</v>
      </c>
      <c r="N2623">
        <v>0</v>
      </c>
      <c r="O2623">
        <v>0</v>
      </c>
      <c r="T2623">
        <v>0</v>
      </c>
      <c r="U2623">
        <v>0</v>
      </c>
      <c r="V2623">
        <v>0</v>
      </c>
    </row>
    <row r="2624" spans="1:22" x14ac:dyDescent="0.2">
      <c r="A2624" t="s">
        <v>2553</v>
      </c>
      <c r="B2624" t="s">
        <v>2554</v>
      </c>
      <c r="C2624" t="s">
        <v>2502</v>
      </c>
      <c r="D2624" t="s">
        <v>228</v>
      </c>
      <c r="E2624">
        <v>129.99</v>
      </c>
      <c r="F2624" t="s">
        <v>8118</v>
      </c>
      <c r="G2624">
        <v>18</v>
      </c>
      <c r="I2624">
        <v>18</v>
      </c>
      <c r="K2624">
        <v>10</v>
      </c>
      <c r="L2624" t="s">
        <v>7032</v>
      </c>
      <c r="M2624" t="s">
        <v>97</v>
      </c>
      <c r="N2624">
        <v>0</v>
      </c>
      <c r="O2624">
        <v>0</v>
      </c>
      <c r="T2624">
        <v>0</v>
      </c>
      <c r="U2624">
        <v>0</v>
      </c>
      <c r="V2624">
        <v>0</v>
      </c>
    </row>
    <row r="2625" spans="1:22" x14ac:dyDescent="0.2">
      <c r="A2625" t="s">
        <v>2561</v>
      </c>
      <c r="B2625" t="s">
        <v>2562</v>
      </c>
      <c r="C2625" t="s">
        <v>2502</v>
      </c>
      <c r="D2625" t="s">
        <v>228</v>
      </c>
      <c r="E2625">
        <v>17.989999999999998</v>
      </c>
      <c r="F2625" t="s">
        <v>8118</v>
      </c>
      <c r="G2625">
        <v>3092</v>
      </c>
      <c r="H2625">
        <v>503</v>
      </c>
      <c r="I2625">
        <v>2589</v>
      </c>
      <c r="K2625">
        <v>1200</v>
      </c>
      <c r="L2625" t="s">
        <v>7032</v>
      </c>
      <c r="M2625" t="s">
        <v>97</v>
      </c>
      <c r="N2625">
        <v>5</v>
      </c>
      <c r="O2625">
        <v>0.2</v>
      </c>
      <c r="T2625">
        <v>0.2</v>
      </c>
      <c r="U2625">
        <v>0</v>
      </c>
      <c r="V2625">
        <v>1</v>
      </c>
    </row>
    <row r="2626" spans="1:22" x14ac:dyDescent="0.2">
      <c r="A2626" t="s">
        <v>2555</v>
      </c>
      <c r="B2626" t="s">
        <v>2556</v>
      </c>
      <c r="C2626" t="s">
        <v>2502</v>
      </c>
      <c r="D2626" t="s">
        <v>228</v>
      </c>
      <c r="E2626">
        <v>129.99</v>
      </c>
      <c r="F2626" t="s">
        <v>8118</v>
      </c>
      <c r="G2626">
        <v>10</v>
      </c>
      <c r="H2626">
        <v>7</v>
      </c>
      <c r="I2626">
        <v>3</v>
      </c>
      <c r="K2626">
        <v>20</v>
      </c>
      <c r="L2626" t="s">
        <v>7032</v>
      </c>
      <c r="M2626" t="s">
        <v>97</v>
      </c>
      <c r="N2626">
        <v>5</v>
      </c>
      <c r="O2626">
        <v>0.2</v>
      </c>
      <c r="T2626">
        <v>0.2</v>
      </c>
      <c r="U2626">
        <v>0</v>
      </c>
      <c r="V2626">
        <v>1</v>
      </c>
    </row>
    <row r="2627" spans="1:22" x14ac:dyDescent="0.2">
      <c r="A2627" t="s">
        <v>5950</v>
      </c>
      <c r="B2627" t="s">
        <v>5951</v>
      </c>
      <c r="C2627" t="s">
        <v>2502</v>
      </c>
      <c r="D2627" t="s">
        <v>96</v>
      </c>
      <c r="E2627">
        <v>119.99</v>
      </c>
      <c r="F2627" t="s">
        <v>8118</v>
      </c>
      <c r="L2627" t="s">
        <v>7032</v>
      </c>
      <c r="M2627" t="s">
        <v>97</v>
      </c>
      <c r="N2627">
        <v>0</v>
      </c>
      <c r="O2627">
        <v>0</v>
      </c>
      <c r="T2627">
        <v>0</v>
      </c>
      <c r="U2627">
        <v>0</v>
      </c>
      <c r="V2627">
        <v>0</v>
      </c>
    </row>
    <row r="2628" spans="1:22" x14ac:dyDescent="0.2">
      <c r="A2628" t="s">
        <v>2567</v>
      </c>
      <c r="B2628" t="s">
        <v>2568</v>
      </c>
      <c r="C2628" t="s">
        <v>2502</v>
      </c>
      <c r="D2628" t="s">
        <v>228</v>
      </c>
      <c r="E2628">
        <v>79.989999999999995</v>
      </c>
      <c r="F2628" t="s">
        <v>8118</v>
      </c>
      <c r="G2628">
        <v>10</v>
      </c>
      <c r="H2628">
        <v>2</v>
      </c>
      <c r="I2628">
        <v>8</v>
      </c>
      <c r="K2628">
        <v>40</v>
      </c>
      <c r="L2628" t="s">
        <v>7032</v>
      </c>
      <c r="M2628" t="s">
        <v>97</v>
      </c>
      <c r="N2628">
        <v>0</v>
      </c>
      <c r="O2628">
        <v>0</v>
      </c>
      <c r="T2628">
        <v>0.6</v>
      </c>
      <c r="U2628">
        <v>0</v>
      </c>
      <c r="V2628">
        <v>0</v>
      </c>
    </row>
    <row r="2629" spans="1:22" x14ac:dyDescent="0.2">
      <c r="A2629" t="s">
        <v>2549</v>
      </c>
      <c r="B2629" t="s">
        <v>2550</v>
      </c>
      <c r="C2629" t="s">
        <v>2502</v>
      </c>
      <c r="D2629" t="s">
        <v>290</v>
      </c>
      <c r="E2629">
        <v>149.99</v>
      </c>
      <c r="F2629" t="s">
        <v>8118</v>
      </c>
      <c r="G2629">
        <v>15</v>
      </c>
      <c r="I2629">
        <v>15</v>
      </c>
      <c r="L2629" t="s">
        <v>7032</v>
      </c>
      <c r="M2629" t="s">
        <v>97</v>
      </c>
      <c r="N2629">
        <v>0</v>
      </c>
      <c r="O2629">
        <v>0</v>
      </c>
      <c r="T2629">
        <v>0</v>
      </c>
      <c r="U2629">
        <v>0</v>
      </c>
      <c r="V2629">
        <v>1</v>
      </c>
    </row>
    <row r="2630" spans="1:22" x14ac:dyDescent="0.2">
      <c r="A2630" t="s">
        <v>2571</v>
      </c>
      <c r="B2630" t="s">
        <v>2572</v>
      </c>
      <c r="C2630" t="s">
        <v>2502</v>
      </c>
      <c r="D2630" t="s">
        <v>228</v>
      </c>
      <c r="E2630">
        <v>119.99</v>
      </c>
      <c r="F2630" t="s">
        <v>8118</v>
      </c>
      <c r="G2630">
        <v>263</v>
      </c>
      <c r="H2630">
        <v>131</v>
      </c>
      <c r="I2630">
        <v>132</v>
      </c>
      <c r="K2630">
        <v>340</v>
      </c>
      <c r="L2630" t="s">
        <v>7032</v>
      </c>
      <c r="M2630" t="s">
        <v>97</v>
      </c>
      <c r="N2630">
        <v>-5</v>
      </c>
      <c r="O2630">
        <v>-0.2</v>
      </c>
      <c r="T2630">
        <v>0.2</v>
      </c>
      <c r="U2630">
        <v>0</v>
      </c>
      <c r="V2630">
        <v>-1</v>
      </c>
    </row>
    <row r="2631" spans="1:22" x14ac:dyDescent="0.2">
      <c r="A2631" t="s">
        <v>2587</v>
      </c>
      <c r="B2631" t="s">
        <v>2588</v>
      </c>
      <c r="C2631" t="s">
        <v>2502</v>
      </c>
      <c r="D2631" t="s">
        <v>228</v>
      </c>
      <c r="E2631">
        <v>89.99</v>
      </c>
      <c r="F2631" t="s">
        <v>8118</v>
      </c>
      <c r="G2631">
        <v>27</v>
      </c>
      <c r="I2631">
        <v>27</v>
      </c>
      <c r="L2631" t="s">
        <v>7032</v>
      </c>
      <c r="M2631" t="s">
        <v>97</v>
      </c>
      <c r="N2631">
        <v>0</v>
      </c>
      <c r="O2631">
        <v>0</v>
      </c>
      <c r="T2631">
        <v>0</v>
      </c>
      <c r="U2631">
        <v>0</v>
      </c>
      <c r="V2631">
        <v>3</v>
      </c>
    </row>
    <row r="2632" spans="1:22" x14ac:dyDescent="0.2">
      <c r="A2632" t="s">
        <v>6060</v>
      </c>
      <c r="B2632" t="s">
        <v>6061</v>
      </c>
      <c r="C2632" t="s">
        <v>2502</v>
      </c>
      <c r="D2632" t="s">
        <v>228</v>
      </c>
      <c r="E2632">
        <v>59.99</v>
      </c>
      <c r="F2632" t="s">
        <v>8118</v>
      </c>
      <c r="G2632">
        <v>74</v>
      </c>
      <c r="H2632">
        <v>1</v>
      </c>
      <c r="I2632">
        <v>73</v>
      </c>
      <c r="K2632">
        <v>60</v>
      </c>
      <c r="L2632" t="s">
        <v>7032</v>
      </c>
      <c r="M2632" t="s">
        <v>97</v>
      </c>
      <c r="N2632">
        <v>0</v>
      </c>
      <c r="O2632">
        <v>0</v>
      </c>
      <c r="T2632">
        <v>0</v>
      </c>
      <c r="U2632">
        <v>0</v>
      </c>
      <c r="V2632">
        <v>0</v>
      </c>
    </row>
    <row r="2633" spans="1:22" x14ac:dyDescent="0.2">
      <c r="A2633" t="s">
        <v>2551</v>
      </c>
      <c r="B2633" t="s">
        <v>2552</v>
      </c>
      <c r="C2633" t="s">
        <v>2502</v>
      </c>
      <c r="D2633" t="s">
        <v>290</v>
      </c>
      <c r="E2633">
        <v>149.99</v>
      </c>
      <c r="F2633" t="s">
        <v>8118</v>
      </c>
      <c r="L2633" t="s">
        <v>7032</v>
      </c>
      <c r="M2633" t="s">
        <v>97</v>
      </c>
      <c r="N2633">
        <v>0</v>
      </c>
      <c r="O2633">
        <v>0</v>
      </c>
      <c r="T2633">
        <v>0</v>
      </c>
      <c r="U2633">
        <v>0</v>
      </c>
      <c r="V2633">
        <v>3</v>
      </c>
    </row>
    <row r="2634" spans="1:22" x14ac:dyDescent="0.2">
      <c r="A2634" t="s">
        <v>7179</v>
      </c>
      <c r="B2634" t="s">
        <v>7181</v>
      </c>
      <c r="C2634" t="s">
        <v>2502</v>
      </c>
      <c r="D2634" t="s">
        <v>96</v>
      </c>
      <c r="E2634">
        <v>49.99</v>
      </c>
      <c r="F2634" t="s">
        <v>8118</v>
      </c>
      <c r="L2634" t="s">
        <v>7032</v>
      </c>
      <c r="M2634" t="s">
        <v>97</v>
      </c>
      <c r="N2634">
        <v>0</v>
      </c>
      <c r="O2634">
        <v>0</v>
      </c>
      <c r="T2634">
        <v>0</v>
      </c>
      <c r="U2634">
        <v>0</v>
      </c>
      <c r="V2634">
        <v>0</v>
      </c>
    </row>
    <row r="2635" spans="1:22" x14ac:dyDescent="0.2">
      <c r="A2635" t="s">
        <v>2569</v>
      </c>
      <c r="B2635" t="s">
        <v>2570</v>
      </c>
      <c r="C2635" t="s">
        <v>2502</v>
      </c>
      <c r="D2635" t="s">
        <v>228</v>
      </c>
      <c r="E2635">
        <v>39.99</v>
      </c>
      <c r="F2635" t="s">
        <v>8118</v>
      </c>
      <c r="G2635">
        <v>328</v>
      </c>
      <c r="H2635">
        <v>28</v>
      </c>
      <c r="I2635">
        <v>300</v>
      </c>
      <c r="K2635">
        <v>400</v>
      </c>
      <c r="L2635" t="s">
        <v>7032</v>
      </c>
      <c r="M2635" t="s">
        <v>97</v>
      </c>
      <c r="N2635">
        <v>0</v>
      </c>
      <c r="O2635">
        <v>0</v>
      </c>
      <c r="T2635">
        <v>0</v>
      </c>
      <c r="U2635">
        <v>0</v>
      </c>
      <c r="V2635">
        <v>0</v>
      </c>
    </row>
    <row r="2636" spans="1:22" x14ac:dyDescent="0.2">
      <c r="A2636" t="s">
        <v>6149</v>
      </c>
      <c r="B2636" t="s">
        <v>6150</v>
      </c>
      <c r="C2636" t="s">
        <v>2502</v>
      </c>
      <c r="D2636" t="s">
        <v>290</v>
      </c>
      <c r="E2636">
        <v>69.989999999999995</v>
      </c>
      <c r="F2636" t="s">
        <v>8118</v>
      </c>
      <c r="G2636">
        <v>1</v>
      </c>
      <c r="I2636">
        <v>1</v>
      </c>
      <c r="L2636" t="s">
        <v>7032</v>
      </c>
      <c r="M2636" t="s">
        <v>97</v>
      </c>
      <c r="N2636">
        <v>0</v>
      </c>
      <c r="O2636">
        <v>0</v>
      </c>
      <c r="T2636">
        <v>0</v>
      </c>
      <c r="U2636">
        <v>0</v>
      </c>
      <c r="V2636">
        <v>0</v>
      </c>
    </row>
    <row r="2637" spans="1:22" x14ac:dyDescent="0.2">
      <c r="A2637" t="s">
        <v>6387</v>
      </c>
      <c r="B2637" t="s">
        <v>6388</v>
      </c>
      <c r="C2637" t="s">
        <v>2502</v>
      </c>
      <c r="D2637" t="s">
        <v>290</v>
      </c>
      <c r="E2637">
        <v>199.99</v>
      </c>
      <c r="F2637" t="s">
        <v>8118</v>
      </c>
      <c r="G2637">
        <v>2</v>
      </c>
      <c r="I2637">
        <v>2</v>
      </c>
      <c r="L2637" t="s">
        <v>7032</v>
      </c>
      <c r="M2637" t="s">
        <v>97</v>
      </c>
      <c r="N2637">
        <v>0</v>
      </c>
      <c r="O2637">
        <v>0</v>
      </c>
      <c r="T2637">
        <v>0</v>
      </c>
      <c r="U2637">
        <v>0</v>
      </c>
      <c r="V2637">
        <v>1</v>
      </c>
    </row>
    <row r="2638" spans="1:22" x14ac:dyDescent="0.2">
      <c r="A2638" t="s">
        <v>6145</v>
      </c>
      <c r="B2638" t="s">
        <v>6146</v>
      </c>
      <c r="C2638" t="s">
        <v>2502</v>
      </c>
      <c r="D2638" t="s">
        <v>290</v>
      </c>
      <c r="E2638">
        <v>69.989999999999995</v>
      </c>
      <c r="F2638" t="s">
        <v>8118</v>
      </c>
      <c r="G2638">
        <v>13</v>
      </c>
      <c r="H2638">
        <v>10</v>
      </c>
      <c r="I2638">
        <v>3</v>
      </c>
      <c r="L2638" t="s">
        <v>7032</v>
      </c>
      <c r="M2638" t="s">
        <v>97</v>
      </c>
      <c r="N2638">
        <v>0</v>
      </c>
      <c r="O2638">
        <v>0</v>
      </c>
      <c r="T2638">
        <v>0</v>
      </c>
      <c r="U2638">
        <v>0</v>
      </c>
      <c r="V2638">
        <v>6</v>
      </c>
    </row>
    <row r="2639" spans="1:22" x14ac:dyDescent="0.2">
      <c r="A2639" t="s">
        <v>2541</v>
      </c>
      <c r="B2639" t="s">
        <v>2542</v>
      </c>
      <c r="C2639" t="s">
        <v>2502</v>
      </c>
      <c r="D2639" t="s">
        <v>228</v>
      </c>
      <c r="E2639">
        <v>54.99</v>
      </c>
      <c r="F2639" t="s">
        <v>8118</v>
      </c>
      <c r="G2639">
        <v>5</v>
      </c>
      <c r="I2639">
        <v>5</v>
      </c>
      <c r="L2639" t="s">
        <v>7032</v>
      </c>
      <c r="M2639" t="s">
        <v>97</v>
      </c>
      <c r="N2639">
        <v>0</v>
      </c>
      <c r="O2639">
        <v>0</v>
      </c>
      <c r="T2639">
        <v>0</v>
      </c>
      <c r="U2639">
        <v>0</v>
      </c>
      <c r="V2639">
        <v>0</v>
      </c>
    </row>
    <row r="2640" spans="1:22" x14ac:dyDescent="0.2">
      <c r="A2640" t="s">
        <v>6341</v>
      </c>
      <c r="B2640" t="s">
        <v>6342</v>
      </c>
      <c r="C2640" t="s">
        <v>2502</v>
      </c>
      <c r="D2640" t="s">
        <v>228</v>
      </c>
      <c r="E2640">
        <v>49.99</v>
      </c>
      <c r="F2640" t="s">
        <v>8118</v>
      </c>
      <c r="G2640">
        <v>37</v>
      </c>
      <c r="I2640">
        <v>37</v>
      </c>
      <c r="L2640" t="s">
        <v>7032</v>
      </c>
      <c r="M2640" t="s">
        <v>97</v>
      </c>
      <c r="N2640">
        <v>0</v>
      </c>
      <c r="O2640">
        <v>0</v>
      </c>
      <c r="T2640">
        <v>0</v>
      </c>
      <c r="U2640">
        <v>0</v>
      </c>
      <c r="V2640">
        <v>2</v>
      </c>
    </row>
    <row r="2641" spans="1:22" x14ac:dyDescent="0.2">
      <c r="A2641" t="s">
        <v>2729</v>
      </c>
      <c r="B2641" t="s">
        <v>2730</v>
      </c>
      <c r="C2641" t="s">
        <v>2502</v>
      </c>
      <c r="D2641" t="s">
        <v>228</v>
      </c>
      <c r="E2641">
        <v>54.99</v>
      </c>
      <c r="F2641" t="s">
        <v>8118</v>
      </c>
      <c r="G2641">
        <v>227</v>
      </c>
      <c r="H2641">
        <v>27</v>
      </c>
      <c r="I2641">
        <v>200</v>
      </c>
      <c r="K2641">
        <v>90</v>
      </c>
      <c r="L2641" t="s">
        <v>7032</v>
      </c>
      <c r="M2641" t="s">
        <v>97</v>
      </c>
      <c r="N2641">
        <v>0</v>
      </c>
      <c r="O2641">
        <v>0</v>
      </c>
      <c r="T2641">
        <v>0</v>
      </c>
      <c r="U2641">
        <v>0</v>
      </c>
      <c r="V2641">
        <v>0</v>
      </c>
    </row>
    <row r="2642" spans="1:22" x14ac:dyDescent="0.2">
      <c r="A2642" t="s">
        <v>2713</v>
      </c>
      <c r="B2642" t="s">
        <v>2714</v>
      </c>
      <c r="C2642" t="s">
        <v>2502</v>
      </c>
      <c r="D2642" t="s">
        <v>228</v>
      </c>
      <c r="E2642">
        <v>19.989999999999998</v>
      </c>
      <c r="F2642" t="s">
        <v>8118</v>
      </c>
      <c r="G2642">
        <v>541</v>
      </c>
      <c r="H2642">
        <v>61</v>
      </c>
      <c r="I2642">
        <v>480</v>
      </c>
      <c r="K2642">
        <v>300</v>
      </c>
      <c r="L2642" t="s">
        <v>7032</v>
      </c>
      <c r="M2642" t="s">
        <v>97</v>
      </c>
      <c r="N2642">
        <v>0</v>
      </c>
      <c r="O2642">
        <v>0</v>
      </c>
      <c r="T2642">
        <v>0</v>
      </c>
      <c r="U2642">
        <v>0</v>
      </c>
      <c r="V2642">
        <v>0</v>
      </c>
    </row>
    <row r="2643" spans="1:22" x14ac:dyDescent="0.2">
      <c r="A2643" t="s">
        <v>2715</v>
      </c>
      <c r="B2643" t="s">
        <v>2716</v>
      </c>
      <c r="C2643" t="s">
        <v>2502</v>
      </c>
      <c r="D2643" t="s">
        <v>228</v>
      </c>
      <c r="E2643">
        <v>39.99</v>
      </c>
      <c r="F2643" t="s">
        <v>8118</v>
      </c>
      <c r="G2643">
        <v>113</v>
      </c>
      <c r="H2643">
        <v>30</v>
      </c>
      <c r="I2643">
        <v>83</v>
      </c>
      <c r="K2643">
        <v>120</v>
      </c>
      <c r="L2643" t="s">
        <v>7032</v>
      </c>
      <c r="M2643" t="s">
        <v>97</v>
      </c>
      <c r="N2643">
        <v>0</v>
      </c>
      <c r="O2643">
        <v>0</v>
      </c>
      <c r="T2643">
        <v>0</v>
      </c>
      <c r="U2643">
        <v>0</v>
      </c>
      <c r="V2643">
        <v>0</v>
      </c>
    </row>
    <row r="2644" spans="1:22" x14ac:dyDescent="0.2">
      <c r="A2644" t="s">
        <v>2761</v>
      </c>
      <c r="B2644" t="s">
        <v>2762</v>
      </c>
      <c r="C2644" t="s">
        <v>2502</v>
      </c>
      <c r="D2644" t="s">
        <v>228</v>
      </c>
      <c r="E2644">
        <v>119.99</v>
      </c>
      <c r="F2644" t="s">
        <v>8118</v>
      </c>
      <c r="G2644">
        <v>82</v>
      </c>
      <c r="H2644">
        <v>2</v>
      </c>
      <c r="I2644">
        <v>80</v>
      </c>
      <c r="K2644">
        <v>20</v>
      </c>
      <c r="L2644" t="s">
        <v>7032</v>
      </c>
      <c r="M2644" t="s">
        <v>97</v>
      </c>
      <c r="N2644">
        <v>0</v>
      </c>
      <c r="O2644">
        <v>0</v>
      </c>
      <c r="T2644">
        <v>0</v>
      </c>
      <c r="U2644">
        <v>0</v>
      </c>
      <c r="V2644">
        <v>0</v>
      </c>
    </row>
    <row r="2645" spans="1:22" x14ac:dyDescent="0.2">
      <c r="A2645" t="s">
        <v>2759</v>
      </c>
      <c r="B2645" t="s">
        <v>2760</v>
      </c>
      <c r="C2645" t="s">
        <v>2502</v>
      </c>
      <c r="D2645" t="s">
        <v>290</v>
      </c>
      <c r="E2645">
        <v>119.99</v>
      </c>
      <c r="F2645" t="s">
        <v>8118</v>
      </c>
      <c r="L2645" t="s">
        <v>7032</v>
      </c>
      <c r="M2645" t="s">
        <v>97</v>
      </c>
      <c r="N2645">
        <v>0</v>
      </c>
      <c r="O2645">
        <v>0</v>
      </c>
      <c r="T2645">
        <v>0</v>
      </c>
      <c r="U2645">
        <v>0</v>
      </c>
      <c r="V2645">
        <v>0</v>
      </c>
    </row>
    <row r="2646" spans="1:22" x14ac:dyDescent="0.2">
      <c r="A2646" t="s">
        <v>2563</v>
      </c>
      <c r="B2646" t="s">
        <v>2564</v>
      </c>
      <c r="C2646" t="s">
        <v>2502</v>
      </c>
      <c r="D2646" t="s">
        <v>290</v>
      </c>
      <c r="E2646">
        <v>99.99</v>
      </c>
      <c r="F2646" t="s">
        <v>8118</v>
      </c>
      <c r="L2646" t="s">
        <v>7032</v>
      </c>
      <c r="M2646" t="s">
        <v>97</v>
      </c>
      <c r="N2646">
        <v>0</v>
      </c>
      <c r="O2646">
        <v>0</v>
      </c>
      <c r="T2646">
        <v>0.2</v>
      </c>
      <c r="U2646">
        <v>0</v>
      </c>
      <c r="V2646">
        <v>0</v>
      </c>
    </row>
    <row r="2647" spans="1:22" x14ac:dyDescent="0.2">
      <c r="A2647" t="s">
        <v>5969</v>
      </c>
      <c r="B2647" t="s">
        <v>5970</v>
      </c>
      <c r="C2647" t="s">
        <v>2502</v>
      </c>
      <c r="D2647" t="s">
        <v>290</v>
      </c>
      <c r="E2647">
        <v>99.99</v>
      </c>
      <c r="F2647" t="s">
        <v>8118</v>
      </c>
      <c r="G2647">
        <v>14</v>
      </c>
      <c r="H2647">
        <v>1</v>
      </c>
      <c r="I2647">
        <v>13</v>
      </c>
      <c r="L2647" t="s">
        <v>7032</v>
      </c>
      <c r="M2647" t="s">
        <v>97</v>
      </c>
      <c r="N2647">
        <v>20</v>
      </c>
      <c r="O2647">
        <v>0.05</v>
      </c>
      <c r="T2647">
        <v>0.2</v>
      </c>
      <c r="U2647">
        <v>0</v>
      </c>
      <c r="V2647">
        <v>4</v>
      </c>
    </row>
    <row r="2648" spans="1:22" x14ac:dyDescent="0.2">
      <c r="A2648" t="s">
        <v>6273</v>
      </c>
      <c r="B2648" t="s">
        <v>6274</v>
      </c>
      <c r="C2648" t="s">
        <v>2502</v>
      </c>
      <c r="D2648" t="s">
        <v>96</v>
      </c>
      <c r="E2648">
        <v>49.99</v>
      </c>
      <c r="F2648" t="s">
        <v>8118</v>
      </c>
      <c r="L2648" t="s">
        <v>7032</v>
      </c>
      <c r="M2648" t="s">
        <v>97</v>
      </c>
      <c r="N2648">
        <v>0</v>
      </c>
      <c r="O2648">
        <v>0</v>
      </c>
      <c r="T2648">
        <v>0</v>
      </c>
      <c r="U2648">
        <v>0</v>
      </c>
      <c r="V2648">
        <v>0</v>
      </c>
    </row>
    <row r="2649" spans="1:22" x14ac:dyDescent="0.2">
      <c r="A2649" t="s">
        <v>7120</v>
      </c>
      <c r="B2649" t="s">
        <v>7122</v>
      </c>
      <c r="C2649" t="s">
        <v>2502</v>
      </c>
      <c r="D2649" t="s">
        <v>96</v>
      </c>
      <c r="E2649">
        <v>59.99</v>
      </c>
      <c r="F2649" t="s">
        <v>8118</v>
      </c>
      <c r="L2649" t="s">
        <v>7032</v>
      </c>
      <c r="M2649" t="s">
        <v>97</v>
      </c>
      <c r="N2649">
        <v>0</v>
      </c>
      <c r="O2649">
        <v>0</v>
      </c>
      <c r="T2649">
        <v>0</v>
      </c>
      <c r="U2649">
        <v>0</v>
      </c>
      <c r="V2649">
        <v>0</v>
      </c>
    </row>
    <row r="2650" spans="1:22" x14ac:dyDescent="0.2">
      <c r="A2650" t="s">
        <v>6265</v>
      </c>
      <c r="B2650" t="s">
        <v>6266</v>
      </c>
      <c r="C2650" t="s">
        <v>2502</v>
      </c>
      <c r="D2650" t="s">
        <v>228</v>
      </c>
      <c r="E2650">
        <v>59.99</v>
      </c>
      <c r="F2650" t="s">
        <v>8118</v>
      </c>
      <c r="G2650">
        <v>406</v>
      </c>
      <c r="H2650">
        <v>35</v>
      </c>
      <c r="I2650">
        <v>371</v>
      </c>
      <c r="K2650">
        <v>120</v>
      </c>
      <c r="L2650" t="s">
        <v>7032</v>
      </c>
      <c r="M2650" t="s">
        <v>97</v>
      </c>
      <c r="N2650">
        <v>0</v>
      </c>
      <c r="O2650">
        <v>0</v>
      </c>
      <c r="T2650">
        <v>0</v>
      </c>
      <c r="U2650">
        <v>0</v>
      </c>
      <c r="V2650">
        <v>2</v>
      </c>
    </row>
    <row r="2651" spans="1:22" x14ac:dyDescent="0.2">
      <c r="A2651" t="s">
        <v>2707</v>
      </c>
      <c r="B2651" t="s">
        <v>2708</v>
      </c>
      <c r="C2651" t="s">
        <v>2502</v>
      </c>
      <c r="D2651" t="s">
        <v>228</v>
      </c>
      <c r="E2651">
        <v>64.989999999999995</v>
      </c>
      <c r="F2651" t="s">
        <v>8118</v>
      </c>
      <c r="G2651">
        <v>43</v>
      </c>
      <c r="H2651">
        <v>2</v>
      </c>
      <c r="I2651">
        <v>41</v>
      </c>
      <c r="L2651" t="s">
        <v>7032</v>
      </c>
      <c r="M2651" t="s">
        <v>97</v>
      </c>
      <c r="N2651">
        <v>0</v>
      </c>
      <c r="O2651">
        <v>0</v>
      </c>
      <c r="T2651">
        <v>0</v>
      </c>
      <c r="U2651">
        <v>0</v>
      </c>
      <c r="V2651">
        <v>0</v>
      </c>
    </row>
    <row r="2652" spans="1:22" x14ac:dyDescent="0.2">
      <c r="A2652" t="s">
        <v>6153</v>
      </c>
      <c r="B2652" t="s">
        <v>6154</v>
      </c>
      <c r="C2652" t="s">
        <v>2502</v>
      </c>
      <c r="D2652" t="s">
        <v>290</v>
      </c>
      <c r="E2652">
        <v>109.99</v>
      </c>
      <c r="F2652" t="s">
        <v>8118</v>
      </c>
      <c r="G2652">
        <v>44</v>
      </c>
      <c r="I2652">
        <v>44</v>
      </c>
      <c r="L2652" t="s">
        <v>7032</v>
      </c>
      <c r="M2652" t="s">
        <v>97</v>
      </c>
      <c r="N2652">
        <v>0</v>
      </c>
      <c r="O2652">
        <v>0</v>
      </c>
      <c r="T2652">
        <v>0</v>
      </c>
      <c r="U2652">
        <v>0</v>
      </c>
      <c r="V2652">
        <v>0</v>
      </c>
    </row>
    <row r="2653" spans="1:22" x14ac:dyDescent="0.2">
      <c r="A2653" t="s">
        <v>5997</v>
      </c>
      <c r="B2653" t="s">
        <v>5998</v>
      </c>
      <c r="C2653" t="s">
        <v>2502</v>
      </c>
      <c r="D2653" t="s">
        <v>290</v>
      </c>
      <c r="E2653">
        <v>99.99</v>
      </c>
      <c r="F2653" t="s">
        <v>8118</v>
      </c>
      <c r="L2653" t="s">
        <v>7032</v>
      </c>
      <c r="M2653" t="s">
        <v>97</v>
      </c>
      <c r="N2653">
        <v>0</v>
      </c>
      <c r="O2653">
        <v>0</v>
      </c>
      <c r="T2653">
        <v>0</v>
      </c>
      <c r="U2653">
        <v>0</v>
      </c>
      <c r="V2653">
        <v>0</v>
      </c>
    </row>
    <row r="2654" spans="1:22" x14ac:dyDescent="0.2">
      <c r="A2654" t="s">
        <v>6162</v>
      </c>
      <c r="B2654" t="s">
        <v>6163</v>
      </c>
      <c r="C2654" t="s">
        <v>2502</v>
      </c>
      <c r="D2654" t="s">
        <v>290</v>
      </c>
      <c r="E2654">
        <v>109.99</v>
      </c>
      <c r="F2654" t="s">
        <v>8118</v>
      </c>
      <c r="G2654">
        <v>2</v>
      </c>
      <c r="I2654">
        <v>2</v>
      </c>
      <c r="L2654" t="s">
        <v>7032</v>
      </c>
      <c r="M2654" t="s">
        <v>97</v>
      </c>
      <c r="N2654">
        <v>0</v>
      </c>
      <c r="O2654">
        <v>0</v>
      </c>
      <c r="T2654">
        <v>0</v>
      </c>
      <c r="U2654">
        <v>0</v>
      </c>
      <c r="V2654">
        <v>1</v>
      </c>
    </row>
    <row r="2655" spans="1:22" x14ac:dyDescent="0.2">
      <c r="A2655" t="s">
        <v>6321</v>
      </c>
      <c r="B2655" t="s">
        <v>7242</v>
      </c>
      <c r="C2655" t="s">
        <v>2502</v>
      </c>
      <c r="D2655" t="s">
        <v>228</v>
      </c>
      <c r="E2655">
        <v>229.99</v>
      </c>
      <c r="F2655" t="s">
        <v>8118</v>
      </c>
      <c r="G2655">
        <v>14</v>
      </c>
      <c r="I2655">
        <v>14</v>
      </c>
      <c r="L2655" t="s">
        <v>7032</v>
      </c>
      <c r="M2655" t="s">
        <v>97</v>
      </c>
      <c r="N2655">
        <v>0</v>
      </c>
      <c r="O2655">
        <v>0</v>
      </c>
      <c r="T2655">
        <v>0</v>
      </c>
      <c r="U2655">
        <v>0</v>
      </c>
      <c r="V2655">
        <v>1</v>
      </c>
    </row>
    <row r="2656" spans="1:22" x14ac:dyDescent="0.2">
      <c r="A2656" t="s">
        <v>2699</v>
      </c>
      <c r="B2656" t="s">
        <v>2700</v>
      </c>
      <c r="C2656" t="s">
        <v>2502</v>
      </c>
      <c r="D2656" t="s">
        <v>290</v>
      </c>
      <c r="E2656">
        <v>119.99</v>
      </c>
      <c r="F2656" t="s">
        <v>8118</v>
      </c>
      <c r="G2656">
        <v>16</v>
      </c>
      <c r="I2656">
        <v>16</v>
      </c>
      <c r="L2656" t="s">
        <v>7032</v>
      </c>
      <c r="M2656" t="s">
        <v>97</v>
      </c>
      <c r="N2656">
        <v>0</v>
      </c>
      <c r="O2656">
        <v>0</v>
      </c>
      <c r="T2656">
        <v>0</v>
      </c>
      <c r="U2656">
        <v>0</v>
      </c>
      <c r="V2656">
        <v>0</v>
      </c>
    </row>
    <row r="2657" spans="1:22" x14ac:dyDescent="0.2">
      <c r="A2657" t="s">
        <v>7746</v>
      </c>
      <c r="B2657" t="s">
        <v>7747</v>
      </c>
      <c r="C2657" t="s">
        <v>2502</v>
      </c>
      <c r="D2657" t="s">
        <v>96</v>
      </c>
      <c r="E2657">
        <v>39.99</v>
      </c>
      <c r="F2657" t="s">
        <v>8118</v>
      </c>
      <c r="L2657" t="s">
        <v>7032</v>
      </c>
      <c r="M2657" t="s">
        <v>97</v>
      </c>
      <c r="N2657">
        <v>0</v>
      </c>
      <c r="O2657">
        <v>0</v>
      </c>
      <c r="T2657">
        <v>0</v>
      </c>
      <c r="U2657">
        <v>0</v>
      </c>
      <c r="V2657">
        <v>0</v>
      </c>
    </row>
    <row r="2658" spans="1:22" x14ac:dyDescent="0.2">
      <c r="A2658" t="s">
        <v>2637</v>
      </c>
      <c r="B2658" t="s">
        <v>2638</v>
      </c>
      <c r="C2658" t="s">
        <v>2502</v>
      </c>
      <c r="D2658" t="s">
        <v>228</v>
      </c>
      <c r="E2658">
        <v>99.99</v>
      </c>
      <c r="F2658" t="s">
        <v>8118</v>
      </c>
      <c r="G2658">
        <v>38</v>
      </c>
      <c r="H2658">
        <v>6</v>
      </c>
      <c r="I2658">
        <v>32</v>
      </c>
      <c r="K2658">
        <v>40</v>
      </c>
      <c r="L2658" t="s">
        <v>7032</v>
      </c>
      <c r="M2658" t="s">
        <v>97</v>
      </c>
      <c r="N2658">
        <v>0</v>
      </c>
      <c r="O2658">
        <v>0</v>
      </c>
      <c r="T2658">
        <v>0</v>
      </c>
      <c r="U2658">
        <v>0</v>
      </c>
      <c r="V2658">
        <v>-2</v>
      </c>
    </row>
    <row r="2659" spans="1:22" x14ac:dyDescent="0.2">
      <c r="A2659" t="s">
        <v>6186</v>
      </c>
      <c r="B2659" t="s">
        <v>6187</v>
      </c>
      <c r="C2659" t="s">
        <v>2502</v>
      </c>
      <c r="D2659" t="s">
        <v>228</v>
      </c>
      <c r="E2659">
        <v>39.99</v>
      </c>
      <c r="F2659" t="s">
        <v>8118</v>
      </c>
      <c r="G2659">
        <v>29</v>
      </c>
      <c r="I2659">
        <v>29</v>
      </c>
      <c r="L2659" t="s">
        <v>7032</v>
      </c>
      <c r="M2659" t="s">
        <v>97</v>
      </c>
      <c r="N2659">
        <v>0</v>
      </c>
      <c r="O2659">
        <v>0</v>
      </c>
      <c r="T2659">
        <v>0</v>
      </c>
      <c r="U2659">
        <v>0</v>
      </c>
      <c r="V2659">
        <v>0</v>
      </c>
    </row>
    <row r="2660" spans="1:22" x14ac:dyDescent="0.2">
      <c r="A2660" t="s">
        <v>6193</v>
      </c>
      <c r="B2660" t="s">
        <v>6194</v>
      </c>
      <c r="C2660" t="s">
        <v>2502</v>
      </c>
      <c r="D2660" t="s">
        <v>290</v>
      </c>
      <c r="E2660">
        <v>39.99</v>
      </c>
      <c r="F2660" t="s">
        <v>8118</v>
      </c>
      <c r="G2660">
        <v>21</v>
      </c>
      <c r="I2660">
        <v>21</v>
      </c>
      <c r="L2660" t="s">
        <v>7032</v>
      </c>
      <c r="M2660" t="s">
        <v>97</v>
      </c>
      <c r="N2660">
        <v>0</v>
      </c>
      <c r="O2660">
        <v>0</v>
      </c>
      <c r="T2660">
        <v>0.25</v>
      </c>
      <c r="U2660">
        <v>0</v>
      </c>
      <c r="V2660">
        <v>0</v>
      </c>
    </row>
    <row r="2661" spans="1:22" x14ac:dyDescent="0.2">
      <c r="A2661" t="s">
        <v>2671</v>
      </c>
      <c r="B2661" t="s">
        <v>2672</v>
      </c>
      <c r="C2661" t="s">
        <v>2502</v>
      </c>
      <c r="D2661" t="s">
        <v>228</v>
      </c>
      <c r="E2661">
        <v>229.99</v>
      </c>
      <c r="F2661" t="s">
        <v>8118</v>
      </c>
      <c r="G2661">
        <v>20</v>
      </c>
      <c r="I2661">
        <v>20</v>
      </c>
      <c r="L2661" t="s">
        <v>7032</v>
      </c>
      <c r="M2661" t="s">
        <v>97</v>
      </c>
      <c r="N2661">
        <v>0</v>
      </c>
      <c r="O2661">
        <v>0</v>
      </c>
      <c r="T2661">
        <v>0</v>
      </c>
      <c r="U2661">
        <v>0</v>
      </c>
      <c r="V2661">
        <v>1</v>
      </c>
    </row>
    <row r="2662" spans="1:22" x14ac:dyDescent="0.2">
      <c r="A2662" t="s">
        <v>6214</v>
      </c>
      <c r="B2662" t="s">
        <v>6215</v>
      </c>
      <c r="C2662" t="s">
        <v>2502</v>
      </c>
      <c r="D2662" t="s">
        <v>228</v>
      </c>
      <c r="E2662">
        <v>59.99</v>
      </c>
      <c r="F2662" t="s">
        <v>8118</v>
      </c>
      <c r="G2662">
        <v>20</v>
      </c>
      <c r="I2662">
        <v>20</v>
      </c>
      <c r="L2662" t="s">
        <v>7032</v>
      </c>
      <c r="M2662" t="s">
        <v>97</v>
      </c>
      <c r="N2662">
        <v>0</v>
      </c>
      <c r="O2662">
        <v>0</v>
      </c>
      <c r="T2662">
        <v>0</v>
      </c>
      <c r="U2662">
        <v>0</v>
      </c>
      <c r="V2662">
        <v>0</v>
      </c>
    </row>
    <row r="2663" spans="1:22" x14ac:dyDescent="0.2">
      <c r="A2663" t="s">
        <v>2575</v>
      </c>
      <c r="B2663" t="s">
        <v>2576</v>
      </c>
      <c r="C2663" t="s">
        <v>2502</v>
      </c>
      <c r="D2663" t="s">
        <v>228</v>
      </c>
      <c r="E2663">
        <v>69.989999999999995</v>
      </c>
      <c r="F2663" t="s">
        <v>8118</v>
      </c>
      <c r="G2663">
        <v>1</v>
      </c>
      <c r="I2663">
        <v>1</v>
      </c>
      <c r="K2663">
        <v>10</v>
      </c>
      <c r="L2663" t="s">
        <v>7032</v>
      </c>
      <c r="M2663" t="s">
        <v>97</v>
      </c>
      <c r="N2663">
        <v>0</v>
      </c>
      <c r="O2663">
        <v>0</v>
      </c>
      <c r="T2663">
        <v>0.2</v>
      </c>
      <c r="U2663">
        <v>0</v>
      </c>
      <c r="V2663">
        <v>0</v>
      </c>
    </row>
    <row r="2664" spans="1:22" x14ac:dyDescent="0.2">
      <c r="A2664" t="s">
        <v>2669</v>
      </c>
      <c r="B2664" t="s">
        <v>2670</v>
      </c>
      <c r="C2664" t="s">
        <v>2502</v>
      </c>
      <c r="D2664" t="s">
        <v>228</v>
      </c>
      <c r="E2664">
        <v>59.99</v>
      </c>
      <c r="F2664" t="s">
        <v>8118</v>
      </c>
      <c r="G2664">
        <v>463</v>
      </c>
      <c r="H2664">
        <v>56</v>
      </c>
      <c r="I2664">
        <v>407</v>
      </c>
      <c r="K2664">
        <v>200</v>
      </c>
      <c r="L2664" t="s">
        <v>7032</v>
      </c>
      <c r="M2664" t="s">
        <v>97</v>
      </c>
      <c r="N2664">
        <v>0</v>
      </c>
      <c r="O2664">
        <v>0</v>
      </c>
      <c r="T2664">
        <v>0</v>
      </c>
      <c r="U2664">
        <v>0</v>
      </c>
      <c r="V2664">
        <v>2</v>
      </c>
    </row>
    <row r="2665" spans="1:22" x14ac:dyDescent="0.2">
      <c r="A2665" t="s">
        <v>2573</v>
      </c>
      <c r="B2665" t="s">
        <v>2574</v>
      </c>
      <c r="C2665" t="s">
        <v>2502</v>
      </c>
      <c r="D2665" t="s">
        <v>228</v>
      </c>
      <c r="E2665">
        <v>99.99</v>
      </c>
      <c r="F2665" t="s">
        <v>8118</v>
      </c>
      <c r="G2665">
        <v>20</v>
      </c>
      <c r="I2665">
        <v>20</v>
      </c>
      <c r="L2665" t="s">
        <v>7032</v>
      </c>
      <c r="M2665" t="s">
        <v>97</v>
      </c>
      <c r="N2665">
        <v>0</v>
      </c>
      <c r="O2665">
        <v>0</v>
      </c>
      <c r="T2665">
        <v>0</v>
      </c>
      <c r="U2665">
        <v>0</v>
      </c>
      <c r="V2665">
        <v>-1</v>
      </c>
    </row>
    <row r="2666" spans="1:22" x14ac:dyDescent="0.2">
      <c r="A2666" t="s">
        <v>2565</v>
      </c>
      <c r="B2666" t="s">
        <v>2566</v>
      </c>
      <c r="C2666" t="s">
        <v>2502</v>
      </c>
      <c r="D2666" t="s">
        <v>228</v>
      </c>
      <c r="E2666">
        <v>79.989999999999995</v>
      </c>
      <c r="F2666" t="s">
        <v>8118</v>
      </c>
      <c r="G2666">
        <v>12</v>
      </c>
      <c r="H2666">
        <v>3</v>
      </c>
      <c r="I2666">
        <v>9</v>
      </c>
      <c r="K2666">
        <v>20</v>
      </c>
      <c r="L2666" t="s">
        <v>7032</v>
      </c>
      <c r="M2666" t="s">
        <v>97</v>
      </c>
      <c r="N2666">
        <v>0</v>
      </c>
      <c r="O2666">
        <v>0</v>
      </c>
      <c r="T2666">
        <v>0</v>
      </c>
      <c r="U2666">
        <v>0</v>
      </c>
      <c r="V2666">
        <v>0</v>
      </c>
    </row>
    <row r="2667" spans="1:22" x14ac:dyDescent="0.2">
      <c r="A2667" t="s">
        <v>6003</v>
      </c>
      <c r="B2667" t="s">
        <v>6004</v>
      </c>
      <c r="C2667" t="s">
        <v>2502</v>
      </c>
      <c r="D2667" t="s">
        <v>290</v>
      </c>
      <c r="E2667">
        <v>99.99</v>
      </c>
      <c r="F2667" t="s">
        <v>8118</v>
      </c>
      <c r="G2667">
        <v>18</v>
      </c>
      <c r="I2667">
        <v>18</v>
      </c>
      <c r="L2667" t="s">
        <v>7032</v>
      </c>
      <c r="M2667" t="s">
        <v>97</v>
      </c>
      <c r="N2667">
        <v>0</v>
      </c>
      <c r="O2667">
        <v>0</v>
      </c>
      <c r="T2667">
        <v>0</v>
      </c>
      <c r="U2667">
        <v>0</v>
      </c>
      <c r="V2667">
        <v>0</v>
      </c>
    </row>
    <row r="2668" spans="1:22" x14ac:dyDescent="0.2">
      <c r="A2668" t="s">
        <v>7630</v>
      </c>
      <c r="B2668" t="s">
        <v>7631</v>
      </c>
      <c r="C2668" t="s">
        <v>2502</v>
      </c>
      <c r="D2668" t="s">
        <v>96</v>
      </c>
      <c r="E2668">
        <v>39.99</v>
      </c>
      <c r="F2668" t="s">
        <v>8118</v>
      </c>
      <c r="L2668" t="s">
        <v>7032</v>
      </c>
      <c r="M2668" t="s">
        <v>97</v>
      </c>
      <c r="N2668">
        <v>0</v>
      </c>
      <c r="O2668">
        <v>0</v>
      </c>
      <c r="T2668">
        <v>0</v>
      </c>
      <c r="U2668">
        <v>0</v>
      </c>
      <c r="V2668">
        <v>0</v>
      </c>
    </row>
    <row r="2669" spans="1:22" x14ac:dyDescent="0.2">
      <c r="A2669" t="s">
        <v>7195</v>
      </c>
      <c r="B2669" t="s">
        <v>7197</v>
      </c>
      <c r="C2669" t="s">
        <v>2502</v>
      </c>
      <c r="D2669" t="s">
        <v>96</v>
      </c>
      <c r="E2669">
        <v>99.99</v>
      </c>
      <c r="F2669" t="s">
        <v>8118</v>
      </c>
      <c r="L2669" t="s">
        <v>7032</v>
      </c>
      <c r="M2669" t="s">
        <v>97</v>
      </c>
      <c r="N2669">
        <v>5</v>
      </c>
      <c r="O2669">
        <v>0.2</v>
      </c>
      <c r="T2669">
        <v>0.2</v>
      </c>
      <c r="U2669">
        <v>0</v>
      </c>
      <c r="V2669">
        <v>1</v>
      </c>
    </row>
    <row r="2670" spans="1:22" x14ac:dyDescent="0.2">
      <c r="A2670" t="s">
        <v>7628</v>
      </c>
      <c r="B2670" t="s">
        <v>7629</v>
      </c>
      <c r="C2670" t="s">
        <v>2502</v>
      </c>
      <c r="D2670" t="s">
        <v>96</v>
      </c>
      <c r="E2670">
        <v>64.989999999999995</v>
      </c>
      <c r="F2670" t="s">
        <v>8118</v>
      </c>
      <c r="L2670" t="s">
        <v>7032</v>
      </c>
      <c r="M2670" t="s">
        <v>97</v>
      </c>
      <c r="N2670">
        <v>0</v>
      </c>
      <c r="O2670">
        <v>0</v>
      </c>
      <c r="T2670">
        <v>0</v>
      </c>
      <c r="U2670">
        <v>0</v>
      </c>
      <c r="V2670">
        <v>0</v>
      </c>
    </row>
    <row r="2671" spans="1:22" x14ac:dyDescent="0.2">
      <c r="A2671" t="s">
        <v>6197</v>
      </c>
      <c r="B2671" t="s">
        <v>6198</v>
      </c>
      <c r="C2671" t="s">
        <v>2502</v>
      </c>
      <c r="D2671" t="s">
        <v>96</v>
      </c>
      <c r="E2671">
        <v>99.99</v>
      </c>
      <c r="F2671" t="s">
        <v>8118</v>
      </c>
      <c r="L2671" t="s">
        <v>7032</v>
      </c>
      <c r="M2671" t="s">
        <v>97</v>
      </c>
      <c r="N2671">
        <v>0</v>
      </c>
      <c r="O2671">
        <v>0</v>
      </c>
      <c r="T2671">
        <v>0</v>
      </c>
      <c r="U2671">
        <v>0</v>
      </c>
      <c r="V2671">
        <v>0</v>
      </c>
    </row>
    <row r="2672" spans="1:22" x14ac:dyDescent="0.2">
      <c r="A2672" t="s">
        <v>6251</v>
      </c>
      <c r="B2672" t="s">
        <v>6252</v>
      </c>
      <c r="C2672" t="s">
        <v>2502</v>
      </c>
      <c r="D2672" t="s">
        <v>228</v>
      </c>
      <c r="E2672">
        <v>54.99</v>
      </c>
      <c r="F2672" t="s">
        <v>8118</v>
      </c>
      <c r="G2672">
        <v>17</v>
      </c>
      <c r="I2672">
        <v>17</v>
      </c>
      <c r="L2672" t="s">
        <v>7032</v>
      </c>
      <c r="M2672" t="s">
        <v>97</v>
      </c>
      <c r="N2672">
        <v>0</v>
      </c>
      <c r="O2672">
        <v>0</v>
      </c>
      <c r="T2672">
        <v>0</v>
      </c>
      <c r="U2672">
        <v>0</v>
      </c>
      <c r="V2672">
        <v>1</v>
      </c>
    </row>
    <row r="2673" spans="1:22" x14ac:dyDescent="0.2">
      <c r="A2673" t="s">
        <v>7117</v>
      </c>
      <c r="B2673" t="s">
        <v>7119</v>
      </c>
      <c r="C2673" t="s">
        <v>2502</v>
      </c>
      <c r="D2673" t="s">
        <v>290</v>
      </c>
      <c r="E2673">
        <v>199.99</v>
      </c>
      <c r="F2673" t="s">
        <v>8118</v>
      </c>
      <c r="L2673" t="s">
        <v>7032</v>
      </c>
      <c r="M2673" t="s">
        <v>97</v>
      </c>
      <c r="N2673">
        <v>0</v>
      </c>
      <c r="O2673">
        <v>0</v>
      </c>
      <c r="T2673">
        <v>0</v>
      </c>
      <c r="U2673">
        <v>0</v>
      </c>
      <c r="V2673">
        <v>0</v>
      </c>
    </row>
    <row r="2674" spans="1:22" x14ac:dyDescent="0.2">
      <c r="A2674" t="s">
        <v>2655</v>
      </c>
      <c r="B2674" t="s">
        <v>2656</v>
      </c>
      <c r="C2674" t="s">
        <v>2502</v>
      </c>
      <c r="D2674" t="s">
        <v>228</v>
      </c>
      <c r="E2674">
        <v>79.989999999999995</v>
      </c>
      <c r="F2674" t="s">
        <v>8118</v>
      </c>
      <c r="L2674" t="s">
        <v>7032</v>
      </c>
      <c r="M2674" t="s">
        <v>97</v>
      </c>
      <c r="N2674">
        <v>0</v>
      </c>
      <c r="O2674">
        <v>0</v>
      </c>
      <c r="T2674">
        <v>0</v>
      </c>
      <c r="U2674">
        <v>0</v>
      </c>
      <c r="V2674">
        <v>0</v>
      </c>
    </row>
    <row r="2675" spans="1:22" x14ac:dyDescent="0.2">
      <c r="A2675" t="s">
        <v>2683</v>
      </c>
      <c r="B2675" t="s">
        <v>2684</v>
      </c>
      <c r="C2675" t="s">
        <v>2502</v>
      </c>
      <c r="D2675" t="s">
        <v>290</v>
      </c>
      <c r="E2675">
        <v>89.99</v>
      </c>
      <c r="F2675" t="s">
        <v>8118</v>
      </c>
      <c r="G2675">
        <v>29</v>
      </c>
      <c r="I2675">
        <v>29</v>
      </c>
      <c r="L2675" t="s">
        <v>7032</v>
      </c>
      <c r="M2675" t="s">
        <v>97</v>
      </c>
      <c r="N2675">
        <v>0</v>
      </c>
      <c r="O2675">
        <v>0</v>
      </c>
      <c r="T2675">
        <v>0</v>
      </c>
      <c r="U2675">
        <v>0</v>
      </c>
      <c r="V2675">
        <v>1</v>
      </c>
    </row>
    <row r="2676" spans="1:22" x14ac:dyDescent="0.2">
      <c r="A2676" t="s">
        <v>2659</v>
      </c>
      <c r="B2676" t="s">
        <v>2660</v>
      </c>
      <c r="C2676" t="s">
        <v>2502</v>
      </c>
      <c r="D2676" t="s">
        <v>228</v>
      </c>
      <c r="E2676">
        <v>199.99</v>
      </c>
      <c r="F2676" t="s">
        <v>8118</v>
      </c>
      <c r="G2676">
        <v>22</v>
      </c>
      <c r="I2676">
        <v>22</v>
      </c>
      <c r="L2676" t="s">
        <v>7032</v>
      </c>
      <c r="M2676" t="s">
        <v>97</v>
      </c>
      <c r="N2676">
        <v>0</v>
      </c>
      <c r="O2676">
        <v>0</v>
      </c>
      <c r="T2676">
        <v>0</v>
      </c>
      <c r="U2676">
        <v>0</v>
      </c>
      <c r="V2676">
        <v>0</v>
      </c>
    </row>
    <row r="2677" spans="1:22" x14ac:dyDescent="0.2">
      <c r="A2677" t="s">
        <v>2681</v>
      </c>
      <c r="B2677" t="s">
        <v>2682</v>
      </c>
      <c r="C2677" t="s">
        <v>2502</v>
      </c>
      <c r="D2677" t="s">
        <v>290</v>
      </c>
      <c r="E2677">
        <v>89.99</v>
      </c>
      <c r="F2677" t="s">
        <v>8118</v>
      </c>
      <c r="G2677">
        <v>44</v>
      </c>
      <c r="I2677">
        <v>44</v>
      </c>
      <c r="L2677" t="s">
        <v>7032</v>
      </c>
      <c r="M2677" t="s">
        <v>97</v>
      </c>
      <c r="N2677">
        <v>0</v>
      </c>
      <c r="O2677">
        <v>0</v>
      </c>
      <c r="T2677">
        <v>0</v>
      </c>
      <c r="U2677">
        <v>0</v>
      </c>
      <c r="V2677">
        <v>0</v>
      </c>
    </row>
    <row r="2678" spans="1:22" x14ac:dyDescent="0.2">
      <c r="A2678" t="s">
        <v>2609</v>
      </c>
      <c r="B2678" t="s">
        <v>2610</v>
      </c>
      <c r="C2678" t="s">
        <v>2502</v>
      </c>
      <c r="D2678" t="s">
        <v>228</v>
      </c>
      <c r="E2678">
        <v>179.99</v>
      </c>
      <c r="F2678" t="s">
        <v>8118</v>
      </c>
      <c r="G2678">
        <v>331</v>
      </c>
      <c r="H2678">
        <v>1</v>
      </c>
      <c r="I2678">
        <v>330</v>
      </c>
      <c r="L2678" t="s">
        <v>7032</v>
      </c>
      <c r="M2678" t="s">
        <v>97</v>
      </c>
      <c r="N2678">
        <v>0</v>
      </c>
      <c r="O2678">
        <v>0</v>
      </c>
      <c r="T2678">
        <v>0</v>
      </c>
      <c r="U2678">
        <v>0</v>
      </c>
      <c r="V2678">
        <v>1</v>
      </c>
    </row>
    <row r="2679" spans="1:22" x14ac:dyDescent="0.2">
      <c r="A2679" t="s">
        <v>6201</v>
      </c>
      <c r="B2679" t="s">
        <v>6202</v>
      </c>
      <c r="C2679" t="s">
        <v>2502</v>
      </c>
      <c r="D2679" t="s">
        <v>228</v>
      </c>
      <c r="E2679">
        <v>199.99</v>
      </c>
      <c r="F2679" t="s">
        <v>8118</v>
      </c>
      <c r="G2679">
        <v>13</v>
      </c>
      <c r="I2679">
        <v>13</v>
      </c>
      <c r="L2679" t="s">
        <v>7032</v>
      </c>
      <c r="M2679" t="s">
        <v>97</v>
      </c>
      <c r="N2679">
        <v>0</v>
      </c>
      <c r="O2679">
        <v>0</v>
      </c>
      <c r="T2679">
        <v>0</v>
      </c>
      <c r="U2679">
        <v>0</v>
      </c>
      <c r="V2679">
        <v>0</v>
      </c>
    </row>
    <row r="2680" spans="1:22" x14ac:dyDescent="0.2">
      <c r="A2680" t="s">
        <v>6236</v>
      </c>
      <c r="B2680" t="s">
        <v>6237</v>
      </c>
      <c r="C2680" t="s">
        <v>2502</v>
      </c>
      <c r="D2680" t="s">
        <v>290</v>
      </c>
      <c r="E2680">
        <v>179.99</v>
      </c>
      <c r="F2680" t="s">
        <v>8118</v>
      </c>
      <c r="G2680">
        <v>6</v>
      </c>
      <c r="I2680">
        <v>6</v>
      </c>
      <c r="L2680" t="s">
        <v>7032</v>
      </c>
      <c r="M2680" t="s">
        <v>97</v>
      </c>
      <c r="N2680">
        <v>0</v>
      </c>
      <c r="O2680">
        <v>0</v>
      </c>
      <c r="T2680">
        <v>0</v>
      </c>
      <c r="U2680">
        <v>0</v>
      </c>
      <c r="V2680">
        <v>0</v>
      </c>
    </row>
    <row r="2681" spans="1:22" x14ac:dyDescent="0.2">
      <c r="A2681" t="s">
        <v>2603</v>
      </c>
      <c r="B2681" t="s">
        <v>2604</v>
      </c>
      <c r="C2681" t="s">
        <v>2502</v>
      </c>
      <c r="D2681" t="s">
        <v>228</v>
      </c>
      <c r="E2681">
        <v>89.99</v>
      </c>
      <c r="F2681" t="s">
        <v>8118</v>
      </c>
      <c r="G2681">
        <v>19</v>
      </c>
      <c r="I2681">
        <v>19</v>
      </c>
      <c r="L2681" t="s">
        <v>7032</v>
      </c>
      <c r="M2681" t="s">
        <v>97</v>
      </c>
      <c r="N2681">
        <v>0</v>
      </c>
      <c r="O2681">
        <v>0</v>
      </c>
      <c r="T2681">
        <v>0</v>
      </c>
      <c r="U2681">
        <v>0</v>
      </c>
      <c r="V2681">
        <v>1</v>
      </c>
    </row>
    <row r="2682" spans="1:22" x14ac:dyDescent="0.2">
      <c r="A2682" t="s">
        <v>6009</v>
      </c>
      <c r="B2682" t="s">
        <v>6010</v>
      </c>
      <c r="C2682" t="s">
        <v>2502</v>
      </c>
      <c r="D2682" t="s">
        <v>96</v>
      </c>
      <c r="E2682">
        <v>149.99</v>
      </c>
      <c r="F2682" t="s">
        <v>8118</v>
      </c>
      <c r="L2682" t="s">
        <v>7032</v>
      </c>
      <c r="M2682" t="s">
        <v>97</v>
      </c>
      <c r="N2682">
        <v>0</v>
      </c>
      <c r="O2682">
        <v>0</v>
      </c>
      <c r="T2682">
        <v>0</v>
      </c>
      <c r="U2682">
        <v>0</v>
      </c>
      <c r="V2682">
        <v>2</v>
      </c>
    </row>
    <row r="2683" spans="1:22" x14ac:dyDescent="0.2">
      <c r="A2683" t="s">
        <v>6034</v>
      </c>
      <c r="B2683" t="s">
        <v>6035</v>
      </c>
      <c r="C2683" t="s">
        <v>2502</v>
      </c>
      <c r="D2683" t="s">
        <v>96</v>
      </c>
      <c r="E2683">
        <v>14.99</v>
      </c>
      <c r="F2683" t="s">
        <v>8118</v>
      </c>
      <c r="L2683" t="s">
        <v>7032</v>
      </c>
      <c r="M2683" t="s">
        <v>97</v>
      </c>
      <c r="N2683">
        <v>0</v>
      </c>
      <c r="O2683">
        <v>0</v>
      </c>
      <c r="T2683">
        <v>0</v>
      </c>
      <c r="U2683">
        <v>0</v>
      </c>
      <c r="V2683">
        <v>0</v>
      </c>
    </row>
    <row r="2684" spans="1:22" x14ac:dyDescent="0.2">
      <c r="A2684" t="s">
        <v>6006</v>
      </c>
      <c r="B2684" t="s">
        <v>6007</v>
      </c>
      <c r="C2684" t="s">
        <v>2502</v>
      </c>
      <c r="D2684" t="s">
        <v>290</v>
      </c>
      <c r="E2684">
        <v>149.99</v>
      </c>
      <c r="F2684" t="s">
        <v>8118</v>
      </c>
      <c r="L2684" t="s">
        <v>7032</v>
      </c>
      <c r="M2684" t="s">
        <v>97</v>
      </c>
      <c r="N2684">
        <v>0</v>
      </c>
      <c r="O2684">
        <v>0</v>
      </c>
      <c r="T2684">
        <v>0</v>
      </c>
      <c r="U2684">
        <v>0</v>
      </c>
      <c r="V2684">
        <v>1</v>
      </c>
    </row>
    <row r="2685" spans="1:22" x14ac:dyDescent="0.2">
      <c r="A2685" t="s">
        <v>2667</v>
      </c>
      <c r="B2685" t="s">
        <v>2668</v>
      </c>
      <c r="C2685" t="s">
        <v>2502</v>
      </c>
      <c r="D2685" t="s">
        <v>228</v>
      </c>
      <c r="E2685">
        <v>99.99</v>
      </c>
      <c r="F2685" t="s">
        <v>8118</v>
      </c>
      <c r="G2685">
        <v>61</v>
      </c>
      <c r="H2685">
        <v>3</v>
      </c>
      <c r="I2685">
        <v>58</v>
      </c>
      <c r="L2685" t="s">
        <v>7032</v>
      </c>
      <c r="M2685" t="s">
        <v>97</v>
      </c>
      <c r="N2685">
        <v>0</v>
      </c>
      <c r="O2685">
        <v>0</v>
      </c>
      <c r="T2685">
        <v>0</v>
      </c>
      <c r="U2685">
        <v>0</v>
      </c>
      <c r="V2685">
        <v>0</v>
      </c>
    </row>
    <row r="2686" spans="1:22" x14ac:dyDescent="0.2">
      <c r="A2686" t="s">
        <v>6206</v>
      </c>
      <c r="B2686" t="s">
        <v>6207</v>
      </c>
      <c r="C2686" t="s">
        <v>2502</v>
      </c>
      <c r="D2686" t="s">
        <v>228</v>
      </c>
      <c r="E2686">
        <v>59.99</v>
      </c>
      <c r="F2686" t="s">
        <v>8118</v>
      </c>
      <c r="J2686">
        <v>6</v>
      </c>
      <c r="K2686">
        <v>30</v>
      </c>
      <c r="L2686" t="s">
        <v>7032</v>
      </c>
      <c r="M2686" t="s">
        <v>97</v>
      </c>
      <c r="N2686">
        <v>0</v>
      </c>
      <c r="O2686">
        <v>0</v>
      </c>
      <c r="T2686">
        <v>0.2</v>
      </c>
      <c r="U2686">
        <v>0</v>
      </c>
      <c r="V2686">
        <v>0</v>
      </c>
    </row>
    <row r="2687" spans="1:22" x14ac:dyDescent="0.2">
      <c r="A2687" t="s">
        <v>2577</v>
      </c>
      <c r="B2687" t="s">
        <v>7019</v>
      </c>
      <c r="C2687" t="s">
        <v>2502</v>
      </c>
      <c r="D2687" t="s">
        <v>228</v>
      </c>
      <c r="E2687">
        <v>79.989999999999995</v>
      </c>
      <c r="F2687" t="s">
        <v>8118</v>
      </c>
      <c r="G2687">
        <v>210</v>
      </c>
      <c r="H2687">
        <v>65</v>
      </c>
      <c r="I2687">
        <v>145</v>
      </c>
      <c r="K2687">
        <v>150</v>
      </c>
      <c r="L2687" t="s">
        <v>7032</v>
      </c>
      <c r="M2687" t="s">
        <v>97</v>
      </c>
      <c r="N2687">
        <v>0</v>
      </c>
      <c r="O2687">
        <v>0</v>
      </c>
      <c r="T2687">
        <v>0</v>
      </c>
      <c r="U2687">
        <v>0</v>
      </c>
      <c r="V2687">
        <v>10</v>
      </c>
    </row>
    <row r="2688" spans="1:22" x14ac:dyDescent="0.2">
      <c r="A2688" t="s">
        <v>2677</v>
      </c>
      <c r="B2688" t="s">
        <v>2678</v>
      </c>
      <c r="C2688" t="s">
        <v>2502</v>
      </c>
      <c r="D2688" t="s">
        <v>228</v>
      </c>
      <c r="E2688">
        <v>159.99</v>
      </c>
      <c r="F2688" t="s">
        <v>8118</v>
      </c>
      <c r="G2688">
        <v>18</v>
      </c>
      <c r="I2688">
        <v>18</v>
      </c>
      <c r="L2688" t="s">
        <v>7032</v>
      </c>
      <c r="M2688" t="s">
        <v>97</v>
      </c>
      <c r="N2688">
        <v>0</v>
      </c>
      <c r="O2688">
        <v>0</v>
      </c>
      <c r="T2688">
        <v>0</v>
      </c>
      <c r="U2688">
        <v>0</v>
      </c>
      <c r="V2688">
        <v>2</v>
      </c>
    </row>
    <row r="2689" spans="1:22" x14ac:dyDescent="0.2">
      <c r="A2689" t="s">
        <v>6232</v>
      </c>
      <c r="B2689" t="s">
        <v>6233</v>
      </c>
      <c r="C2689" t="s">
        <v>2502</v>
      </c>
      <c r="D2689" t="s">
        <v>228</v>
      </c>
      <c r="E2689">
        <v>79.989999999999995</v>
      </c>
      <c r="F2689" t="s">
        <v>8118</v>
      </c>
      <c r="G2689">
        <v>12</v>
      </c>
      <c r="I2689">
        <v>12</v>
      </c>
      <c r="L2689" t="s">
        <v>7032</v>
      </c>
      <c r="M2689" t="s">
        <v>97</v>
      </c>
      <c r="N2689">
        <v>0</v>
      </c>
      <c r="O2689">
        <v>0</v>
      </c>
      <c r="T2689">
        <v>0</v>
      </c>
      <c r="U2689">
        <v>0</v>
      </c>
      <c r="V2689">
        <v>0</v>
      </c>
    </row>
    <row r="2690" spans="1:22" x14ac:dyDescent="0.2">
      <c r="A2690" t="s">
        <v>2685</v>
      </c>
      <c r="B2690" t="s">
        <v>2686</v>
      </c>
      <c r="C2690" t="s">
        <v>2502</v>
      </c>
      <c r="D2690" t="s">
        <v>228</v>
      </c>
      <c r="E2690">
        <v>159.99</v>
      </c>
      <c r="F2690" t="s">
        <v>8118</v>
      </c>
      <c r="G2690">
        <v>50</v>
      </c>
      <c r="I2690">
        <v>50</v>
      </c>
      <c r="L2690" t="s">
        <v>7032</v>
      </c>
      <c r="M2690" t="s">
        <v>97</v>
      </c>
      <c r="N2690">
        <v>0</v>
      </c>
      <c r="O2690">
        <v>0</v>
      </c>
      <c r="T2690">
        <v>0</v>
      </c>
      <c r="U2690">
        <v>0</v>
      </c>
      <c r="V2690">
        <v>0</v>
      </c>
    </row>
    <row r="2691" spans="1:22" x14ac:dyDescent="0.2">
      <c r="A2691" t="s">
        <v>2695</v>
      </c>
      <c r="B2691" t="s">
        <v>2696</v>
      </c>
      <c r="C2691" t="s">
        <v>2502</v>
      </c>
      <c r="D2691" t="s">
        <v>228</v>
      </c>
      <c r="E2691">
        <v>299.99</v>
      </c>
      <c r="F2691" t="s">
        <v>8118</v>
      </c>
      <c r="G2691">
        <v>9</v>
      </c>
      <c r="H2691">
        <v>1</v>
      </c>
      <c r="I2691">
        <v>8</v>
      </c>
      <c r="K2691">
        <v>10</v>
      </c>
      <c r="L2691" t="s">
        <v>7032</v>
      </c>
      <c r="M2691" t="s">
        <v>97</v>
      </c>
      <c r="N2691">
        <v>0</v>
      </c>
      <c r="O2691">
        <v>0</v>
      </c>
      <c r="T2691">
        <v>0</v>
      </c>
      <c r="U2691">
        <v>0</v>
      </c>
      <c r="V2691">
        <v>1</v>
      </c>
    </row>
    <row r="2692" spans="1:22" x14ac:dyDescent="0.2">
      <c r="A2692" t="s">
        <v>6327</v>
      </c>
      <c r="B2692" t="s">
        <v>6328</v>
      </c>
      <c r="C2692" t="s">
        <v>2502</v>
      </c>
      <c r="D2692" t="s">
        <v>290</v>
      </c>
      <c r="E2692">
        <v>179.99</v>
      </c>
      <c r="F2692" t="s">
        <v>8118</v>
      </c>
      <c r="L2692" t="s">
        <v>7032</v>
      </c>
      <c r="M2692" t="s">
        <v>97</v>
      </c>
      <c r="N2692">
        <v>0</v>
      </c>
      <c r="O2692">
        <v>0</v>
      </c>
      <c r="T2692">
        <v>0</v>
      </c>
      <c r="U2692">
        <v>0</v>
      </c>
      <c r="V2692">
        <v>0</v>
      </c>
    </row>
    <row r="2693" spans="1:22" x14ac:dyDescent="0.2">
      <c r="A2693" t="s">
        <v>6338</v>
      </c>
      <c r="B2693" t="s">
        <v>6339</v>
      </c>
      <c r="C2693" t="s">
        <v>2502</v>
      </c>
      <c r="D2693" t="s">
        <v>96</v>
      </c>
      <c r="E2693">
        <v>169.99</v>
      </c>
      <c r="F2693" t="s">
        <v>8118</v>
      </c>
      <c r="L2693" t="s">
        <v>7032</v>
      </c>
      <c r="M2693" t="s">
        <v>97</v>
      </c>
      <c r="N2693">
        <v>0</v>
      </c>
      <c r="O2693">
        <v>0</v>
      </c>
      <c r="T2693">
        <v>0</v>
      </c>
      <c r="U2693">
        <v>0</v>
      </c>
      <c r="V2693">
        <v>0</v>
      </c>
    </row>
    <row r="2694" spans="1:22" x14ac:dyDescent="0.2">
      <c r="A2694" t="s">
        <v>2675</v>
      </c>
      <c r="B2694" t="s">
        <v>2676</v>
      </c>
      <c r="C2694" t="s">
        <v>2502</v>
      </c>
      <c r="D2694" t="s">
        <v>228</v>
      </c>
      <c r="E2694">
        <v>159.99</v>
      </c>
      <c r="F2694" t="s">
        <v>8118</v>
      </c>
      <c r="G2694">
        <v>2</v>
      </c>
      <c r="I2694">
        <v>2</v>
      </c>
      <c r="L2694" t="s">
        <v>7032</v>
      </c>
      <c r="M2694" t="s">
        <v>97</v>
      </c>
      <c r="N2694">
        <v>0</v>
      </c>
      <c r="O2694">
        <v>0</v>
      </c>
      <c r="T2694">
        <v>0</v>
      </c>
      <c r="U2694">
        <v>0</v>
      </c>
      <c r="V2694">
        <v>0</v>
      </c>
    </row>
    <row r="2695" spans="1:22" x14ac:dyDescent="0.2">
      <c r="A2695" t="s">
        <v>2633</v>
      </c>
      <c r="B2695" t="s">
        <v>2634</v>
      </c>
      <c r="C2695" t="s">
        <v>2502</v>
      </c>
      <c r="D2695" t="s">
        <v>228</v>
      </c>
      <c r="E2695">
        <v>189.99</v>
      </c>
      <c r="F2695" t="s">
        <v>8118</v>
      </c>
      <c r="G2695">
        <v>17</v>
      </c>
      <c r="I2695">
        <v>17</v>
      </c>
      <c r="L2695" t="s">
        <v>7032</v>
      </c>
      <c r="M2695" t="s">
        <v>97</v>
      </c>
      <c r="N2695">
        <v>0</v>
      </c>
      <c r="O2695">
        <v>0</v>
      </c>
      <c r="T2695">
        <v>0</v>
      </c>
      <c r="U2695">
        <v>0</v>
      </c>
      <c r="V2695">
        <v>0</v>
      </c>
    </row>
    <row r="2696" spans="1:22" x14ac:dyDescent="0.2">
      <c r="A2696" t="s">
        <v>7142</v>
      </c>
      <c r="B2696" t="s">
        <v>7144</v>
      </c>
      <c r="C2696" t="s">
        <v>2502</v>
      </c>
      <c r="D2696" t="s">
        <v>96</v>
      </c>
      <c r="E2696">
        <v>79.989999999999995</v>
      </c>
      <c r="F2696" t="s">
        <v>8118</v>
      </c>
      <c r="L2696" t="s">
        <v>7032</v>
      </c>
      <c r="M2696" t="s">
        <v>97</v>
      </c>
      <c r="N2696">
        <v>0</v>
      </c>
      <c r="O2696">
        <v>0</v>
      </c>
      <c r="T2696">
        <v>0</v>
      </c>
      <c r="U2696">
        <v>0</v>
      </c>
      <c r="V2696">
        <v>0</v>
      </c>
    </row>
    <row r="2697" spans="1:22" x14ac:dyDescent="0.2">
      <c r="A2697" t="s">
        <v>7748</v>
      </c>
      <c r="B2697" t="s">
        <v>7749</v>
      </c>
      <c r="C2697" t="s">
        <v>2502</v>
      </c>
      <c r="D2697" t="s">
        <v>96</v>
      </c>
      <c r="E2697">
        <v>79.989999999999995</v>
      </c>
      <c r="F2697" t="s">
        <v>8118</v>
      </c>
      <c r="L2697" t="s">
        <v>7032</v>
      </c>
      <c r="M2697" t="s">
        <v>97</v>
      </c>
      <c r="N2697">
        <v>0</v>
      </c>
      <c r="O2697">
        <v>0</v>
      </c>
      <c r="T2697">
        <v>0</v>
      </c>
      <c r="U2697">
        <v>0</v>
      </c>
      <c r="V2697">
        <v>0</v>
      </c>
    </row>
    <row r="2698" spans="1:22" x14ac:dyDescent="0.2">
      <c r="A2698" t="s">
        <v>6046</v>
      </c>
      <c r="B2698" t="s">
        <v>6047</v>
      </c>
      <c r="C2698" t="s">
        <v>2502</v>
      </c>
      <c r="D2698" t="s">
        <v>96</v>
      </c>
      <c r="E2698">
        <v>79.989999999999995</v>
      </c>
      <c r="F2698" t="s">
        <v>8118</v>
      </c>
      <c r="L2698" t="s">
        <v>7032</v>
      </c>
      <c r="M2698" t="s">
        <v>97</v>
      </c>
      <c r="N2698">
        <v>0</v>
      </c>
      <c r="O2698">
        <v>0</v>
      </c>
      <c r="T2698">
        <v>0</v>
      </c>
      <c r="U2698">
        <v>0</v>
      </c>
      <c r="V2698">
        <v>0</v>
      </c>
    </row>
    <row r="2699" spans="1:22" x14ac:dyDescent="0.2">
      <c r="A2699" t="s">
        <v>2645</v>
      </c>
      <c r="B2699" t="s">
        <v>2646</v>
      </c>
      <c r="C2699" t="s">
        <v>2502</v>
      </c>
      <c r="D2699" t="s">
        <v>228</v>
      </c>
      <c r="E2699">
        <v>139.99</v>
      </c>
      <c r="F2699" t="s">
        <v>8118</v>
      </c>
      <c r="G2699">
        <v>152</v>
      </c>
      <c r="H2699">
        <v>2</v>
      </c>
      <c r="I2699">
        <v>150</v>
      </c>
      <c r="K2699">
        <v>40</v>
      </c>
      <c r="L2699" t="s">
        <v>7032</v>
      </c>
      <c r="M2699" t="s">
        <v>97</v>
      </c>
      <c r="N2699">
        <v>0</v>
      </c>
      <c r="O2699">
        <v>0</v>
      </c>
      <c r="T2699">
        <v>0</v>
      </c>
      <c r="U2699">
        <v>0</v>
      </c>
      <c r="V2699">
        <v>0</v>
      </c>
    </row>
    <row r="2700" spans="1:22" x14ac:dyDescent="0.2">
      <c r="A2700" t="s">
        <v>2709</v>
      </c>
      <c r="B2700" t="s">
        <v>2710</v>
      </c>
      <c r="C2700" t="s">
        <v>2502</v>
      </c>
      <c r="D2700" t="s">
        <v>228</v>
      </c>
      <c r="E2700">
        <v>44.99</v>
      </c>
      <c r="F2700" t="s">
        <v>8118</v>
      </c>
      <c r="G2700">
        <v>4</v>
      </c>
      <c r="I2700">
        <v>4</v>
      </c>
      <c r="L2700" t="s">
        <v>7032</v>
      </c>
      <c r="M2700" t="s">
        <v>97</v>
      </c>
      <c r="N2700">
        <v>0</v>
      </c>
      <c r="O2700">
        <v>0</v>
      </c>
      <c r="T2700">
        <v>0</v>
      </c>
      <c r="U2700">
        <v>0</v>
      </c>
      <c r="V2700">
        <v>2</v>
      </c>
    </row>
    <row r="2701" spans="1:22" x14ac:dyDescent="0.2">
      <c r="A2701" t="s">
        <v>2691</v>
      </c>
      <c r="B2701" t="s">
        <v>2692</v>
      </c>
      <c r="C2701" t="s">
        <v>2502</v>
      </c>
      <c r="D2701" t="s">
        <v>228</v>
      </c>
      <c r="E2701">
        <v>249.99</v>
      </c>
      <c r="F2701" t="s">
        <v>8118</v>
      </c>
      <c r="G2701">
        <v>70</v>
      </c>
      <c r="H2701">
        <v>1</v>
      </c>
      <c r="I2701">
        <v>69</v>
      </c>
      <c r="L2701" t="s">
        <v>7032</v>
      </c>
      <c r="M2701" t="s">
        <v>97</v>
      </c>
      <c r="N2701">
        <v>0</v>
      </c>
      <c r="O2701">
        <v>0</v>
      </c>
      <c r="T2701">
        <v>0.2</v>
      </c>
      <c r="U2701">
        <v>0</v>
      </c>
      <c r="V2701">
        <v>0</v>
      </c>
    </row>
    <row r="2702" spans="1:22" x14ac:dyDescent="0.2">
      <c r="A2702" t="s">
        <v>6117</v>
      </c>
      <c r="B2702" t="s">
        <v>6118</v>
      </c>
      <c r="C2702" t="s">
        <v>2502</v>
      </c>
      <c r="D2702" t="s">
        <v>290</v>
      </c>
      <c r="E2702">
        <v>149.99</v>
      </c>
      <c r="F2702" t="s">
        <v>8118</v>
      </c>
      <c r="L2702" t="s">
        <v>7032</v>
      </c>
      <c r="M2702" t="s">
        <v>97</v>
      </c>
      <c r="N2702">
        <v>0</v>
      </c>
      <c r="O2702">
        <v>0</v>
      </c>
      <c r="T2702">
        <v>0</v>
      </c>
      <c r="U2702">
        <v>0</v>
      </c>
      <c r="V2702">
        <v>0</v>
      </c>
    </row>
    <row r="2703" spans="1:22" x14ac:dyDescent="0.2">
      <c r="A2703" t="s">
        <v>2689</v>
      </c>
      <c r="B2703" t="s">
        <v>2690</v>
      </c>
      <c r="C2703" t="s">
        <v>2502</v>
      </c>
      <c r="D2703" t="s">
        <v>228</v>
      </c>
      <c r="E2703">
        <v>249.99</v>
      </c>
      <c r="F2703" t="s">
        <v>8118</v>
      </c>
      <c r="G2703">
        <v>11</v>
      </c>
      <c r="H2703">
        <v>2</v>
      </c>
      <c r="I2703">
        <v>9</v>
      </c>
      <c r="L2703" t="s">
        <v>7032</v>
      </c>
      <c r="M2703" t="s">
        <v>97</v>
      </c>
      <c r="N2703">
        <v>0</v>
      </c>
      <c r="O2703">
        <v>0</v>
      </c>
      <c r="T2703">
        <v>0</v>
      </c>
      <c r="U2703">
        <v>0</v>
      </c>
      <c r="V2703">
        <v>0</v>
      </c>
    </row>
    <row r="2704" spans="1:22" x14ac:dyDescent="0.2">
      <c r="A2704" t="s">
        <v>7764</v>
      </c>
      <c r="B2704" t="s">
        <v>7765</v>
      </c>
      <c r="C2704" t="s">
        <v>2502</v>
      </c>
      <c r="D2704" t="s">
        <v>96</v>
      </c>
      <c r="E2704">
        <v>11.99</v>
      </c>
      <c r="F2704" t="s">
        <v>8118</v>
      </c>
      <c r="L2704" t="s">
        <v>7032</v>
      </c>
      <c r="M2704" t="s">
        <v>97</v>
      </c>
      <c r="N2704">
        <v>0</v>
      </c>
      <c r="O2704">
        <v>0</v>
      </c>
      <c r="T2704">
        <v>0</v>
      </c>
      <c r="U2704">
        <v>0</v>
      </c>
      <c r="V2704">
        <v>0</v>
      </c>
    </row>
    <row r="2705" spans="1:22" x14ac:dyDescent="0.2">
      <c r="A2705" t="s">
        <v>6219</v>
      </c>
      <c r="B2705" t="s">
        <v>6220</v>
      </c>
      <c r="C2705" t="s">
        <v>2502</v>
      </c>
      <c r="D2705" t="s">
        <v>290</v>
      </c>
      <c r="E2705">
        <v>89.99</v>
      </c>
      <c r="F2705" t="s">
        <v>8118</v>
      </c>
      <c r="G2705">
        <v>5</v>
      </c>
      <c r="I2705">
        <v>5</v>
      </c>
      <c r="L2705" t="s">
        <v>7032</v>
      </c>
      <c r="M2705" t="s">
        <v>97</v>
      </c>
      <c r="N2705">
        <v>0</v>
      </c>
      <c r="O2705">
        <v>0</v>
      </c>
      <c r="T2705">
        <v>0</v>
      </c>
      <c r="U2705">
        <v>0</v>
      </c>
      <c r="V2705">
        <v>3</v>
      </c>
    </row>
    <row r="2706" spans="1:22" x14ac:dyDescent="0.2">
      <c r="A2706" t="s">
        <v>7676</v>
      </c>
      <c r="B2706" t="s">
        <v>7677</v>
      </c>
      <c r="C2706" t="s">
        <v>2502</v>
      </c>
      <c r="D2706" t="s">
        <v>96</v>
      </c>
      <c r="E2706">
        <v>59.99</v>
      </c>
      <c r="F2706" t="s">
        <v>8118</v>
      </c>
      <c r="L2706" t="s">
        <v>7032</v>
      </c>
      <c r="M2706" t="s">
        <v>97</v>
      </c>
      <c r="N2706">
        <v>0</v>
      </c>
      <c r="O2706">
        <v>0</v>
      </c>
      <c r="T2706">
        <v>0</v>
      </c>
      <c r="U2706">
        <v>0</v>
      </c>
      <c r="V2706">
        <v>0</v>
      </c>
    </row>
    <row r="2707" spans="1:22" x14ac:dyDescent="0.2">
      <c r="A2707" t="s">
        <v>7124</v>
      </c>
      <c r="B2707" t="s">
        <v>7126</v>
      </c>
      <c r="C2707" t="s">
        <v>2502</v>
      </c>
      <c r="D2707" t="s">
        <v>96</v>
      </c>
      <c r="E2707">
        <v>119.99</v>
      </c>
      <c r="F2707" t="s">
        <v>8118</v>
      </c>
      <c r="L2707" t="s">
        <v>7032</v>
      </c>
      <c r="M2707" t="s">
        <v>97</v>
      </c>
      <c r="N2707">
        <v>0</v>
      </c>
      <c r="O2707">
        <v>0</v>
      </c>
      <c r="T2707">
        <v>0</v>
      </c>
      <c r="U2707">
        <v>0</v>
      </c>
      <c r="V2707">
        <v>0</v>
      </c>
    </row>
    <row r="2708" spans="1:22" x14ac:dyDescent="0.2">
      <c r="A2708" t="s">
        <v>2711</v>
      </c>
      <c r="B2708" t="s">
        <v>2712</v>
      </c>
      <c r="C2708" t="s">
        <v>2502</v>
      </c>
      <c r="D2708" t="s">
        <v>228</v>
      </c>
      <c r="E2708">
        <v>34.99</v>
      </c>
      <c r="F2708" t="s">
        <v>8118</v>
      </c>
      <c r="J2708">
        <v>5</v>
      </c>
      <c r="K2708">
        <v>50</v>
      </c>
      <c r="L2708" t="s">
        <v>7032</v>
      </c>
      <c r="M2708" t="s">
        <v>97</v>
      </c>
      <c r="N2708">
        <v>3.3333333333333335</v>
      </c>
      <c r="O2708">
        <v>0.3</v>
      </c>
      <c r="T2708">
        <v>0.6</v>
      </c>
      <c r="U2708">
        <v>0</v>
      </c>
      <c r="V2708">
        <v>2</v>
      </c>
    </row>
    <row r="2709" spans="1:22" x14ac:dyDescent="0.2">
      <c r="A2709" t="s">
        <v>2703</v>
      </c>
      <c r="B2709" t="s">
        <v>2704</v>
      </c>
      <c r="C2709" t="s">
        <v>2502</v>
      </c>
      <c r="D2709" t="s">
        <v>290</v>
      </c>
      <c r="E2709">
        <v>129.99</v>
      </c>
      <c r="F2709" t="s">
        <v>8118</v>
      </c>
      <c r="G2709">
        <v>97</v>
      </c>
      <c r="I2709">
        <v>97</v>
      </c>
      <c r="L2709" t="s">
        <v>7032</v>
      </c>
      <c r="M2709" t="s">
        <v>97</v>
      </c>
      <c r="N2709">
        <v>0</v>
      </c>
      <c r="O2709">
        <v>0</v>
      </c>
      <c r="T2709">
        <v>0</v>
      </c>
      <c r="U2709">
        <v>0</v>
      </c>
      <c r="V2709">
        <v>0</v>
      </c>
    </row>
    <row r="2710" spans="1:22" x14ac:dyDescent="0.2">
      <c r="A2710" t="s">
        <v>2727</v>
      </c>
      <c r="B2710" t="s">
        <v>2728</v>
      </c>
      <c r="C2710" t="s">
        <v>2502</v>
      </c>
      <c r="D2710" t="s">
        <v>228</v>
      </c>
      <c r="E2710">
        <v>44.99</v>
      </c>
      <c r="F2710" t="s">
        <v>8118</v>
      </c>
      <c r="G2710">
        <v>12</v>
      </c>
      <c r="H2710">
        <v>1</v>
      </c>
      <c r="I2710">
        <v>11</v>
      </c>
      <c r="K2710">
        <v>20</v>
      </c>
      <c r="L2710" t="s">
        <v>7032</v>
      </c>
      <c r="M2710" t="s">
        <v>97</v>
      </c>
      <c r="N2710">
        <v>0</v>
      </c>
      <c r="O2710">
        <v>0</v>
      </c>
      <c r="T2710">
        <v>0</v>
      </c>
      <c r="U2710">
        <v>0</v>
      </c>
      <c r="V2710">
        <v>2</v>
      </c>
    </row>
    <row r="2711" spans="1:22" x14ac:dyDescent="0.2">
      <c r="A2711" t="s">
        <v>6348</v>
      </c>
      <c r="B2711" t="s">
        <v>6349</v>
      </c>
      <c r="C2711" t="s">
        <v>2502</v>
      </c>
      <c r="D2711" t="s">
        <v>290</v>
      </c>
      <c r="E2711">
        <v>129.99</v>
      </c>
      <c r="F2711" t="s">
        <v>8118</v>
      </c>
      <c r="G2711">
        <v>179</v>
      </c>
      <c r="I2711">
        <v>179</v>
      </c>
      <c r="L2711" t="s">
        <v>7032</v>
      </c>
      <c r="M2711" t="s">
        <v>97</v>
      </c>
      <c r="N2711">
        <v>0</v>
      </c>
      <c r="O2711">
        <v>0</v>
      </c>
      <c r="T2711">
        <v>0</v>
      </c>
      <c r="U2711">
        <v>0</v>
      </c>
      <c r="V2711">
        <v>1</v>
      </c>
    </row>
    <row r="2712" spans="1:22" x14ac:dyDescent="0.2">
      <c r="A2712" t="s">
        <v>6353</v>
      </c>
      <c r="B2712" t="s">
        <v>6354</v>
      </c>
      <c r="C2712" t="s">
        <v>2502</v>
      </c>
      <c r="D2712" t="s">
        <v>290</v>
      </c>
      <c r="E2712">
        <v>129.99</v>
      </c>
      <c r="F2712" t="s">
        <v>8118</v>
      </c>
      <c r="G2712">
        <v>13</v>
      </c>
      <c r="H2712">
        <v>5</v>
      </c>
      <c r="I2712">
        <v>8</v>
      </c>
      <c r="L2712" t="s">
        <v>7032</v>
      </c>
      <c r="M2712" t="s">
        <v>97</v>
      </c>
      <c r="N2712">
        <v>0</v>
      </c>
      <c r="O2712">
        <v>0</v>
      </c>
      <c r="T2712">
        <v>0</v>
      </c>
      <c r="U2712">
        <v>0</v>
      </c>
      <c r="V2712">
        <v>0</v>
      </c>
    </row>
    <row r="2713" spans="1:22" x14ac:dyDescent="0.2">
      <c r="A2713" t="s">
        <v>2639</v>
      </c>
      <c r="B2713" t="s">
        <v>2640</v>
      </c>
      <c r="C2713" t="s">
        <v>2502</v>
      </c>
      <c r="D2713" t="s">
        <v>228</v>
      </c>
      <c r="E2713">
        <v>109.99</v>
      </c>
      <c r="F2713" t="s">
        <v>8118</v>
      </c>
      <c r="G2713">
        <v>66</v>
      </c>
      <c r="H2713">
        <v>13</v>
      </c>
      <c r="I2713">
        <v>53</v>
      </c>
      <c r="K2713">
        <v>441</v>
      </c>
      <c r="L2713" t="s">
        <v>7032</v>
      </c>
      <c r="M2713" t="s">
        <v>97</v>
      </c>
      <c r="N2713">
        <v>0</v>
      </c>
      <c r="O2713">
        <v>0</v>
      </c>
      <c r="T2713">
        <v>0</v>
      </c>
      <c r="U2713">
        <v>0</v>
      </c>
      <c r="V2713">
        <v>0</v>
      </c>
    </row>
    <row r="2714" spans="1:22" x14ac:dyDescent="0.2">
      <c r="A2714" t="s">
        <v>2717</v>
      </c>
      <c r="B2714" t="s">
        <v>2718</v>
      </c>
      <c r="C2714" t="s">
        <v>2502</v>
      </c>
      <c r="D2714" t="s">
        <v>228</v>
      </c>
      <c r="E2714">
        <v>17.989999999999998</v>
      </c>
      <c r="F2714" t="s">
        <v>8118</v>
      </c>
      <c r="J2714">
        <v>26</v>
      </c>
      <c r="K2714">
        <v>100</v>
      </c>
      <c r="L2714" t="s">
        <v>7032</v>
      </c>
      <c r="M2714" t="s">
        <v>97</v>
      </c>
      <c r="N2714">
        <v>0</v>
      </c>
      <c r="O2714">
        <v>0</v>
      </c>
      <c r="T2714">
        <v>0</v>
      </c>
      <c r="U2714">
        <v>0</v>
      </c>
      <c r="V2714">
        <v>6</v>
      </c>
    </row>
    <row r="2715" spans="1:22" x14ac:dyDescent="0.2">
      <c r="A2715" t="s">
        <v>6157</v>
      </c>
      <c r="B2715" t="s">
        <v>6158</v>
      </c>
      <c r="C2715" t="s">
        <v>2502</v>
      </c>
      <c r="D2715" t="s">
        <v>290</v>
      </c>
      <c r="E2715">
        <v>109.99</v>
      </c>
      <c r="F2715" t="s">
        <v>8118</v>
      </c>
      <c r="G2715">
        <v>74</v>
      </c>
      <c r="H2715">
        <v>35</v>
      </c>
      <c r="I2715">
        <v>39</v>
      </c>
      <c r="L2715" t="s">
        <v>7032</v>
      </c>
      <c r="M2715" t="s">
        <v>97</v>
      </c>
      <c r="N2715">
        <v>0</v>
      </c>
      <c r="O2715">
        <v>0</v>
      </c>
      <c r="T2715">
        <v>0</v>
      </c>
      <c r="U2715">
        <v>0</v>
      </c>
      <c r="V2715">
        <v>0</v>
      </c>
    </row>
    <row r="2716" spans="1:22" x14ac:dyDescent="0.2">
      <c r="A2716" t="s">
        <v>7128</v>
      </c>
      <c r="B2716" t="s">
        <v>7130</v>
      </c>
      <c r="C2716" t="s">
        <v>2502</v>
      </c>
      <c r="D2716" t="s">
        <v>96</v>
      </c>
      <c r="F2716" t="s">
        <v>8118</v>
      </c>
      <c r="L2716" t="s">
        <v>7032</v>
      </c>
      <c r="M2716" t="s">
        <v>97</v>
      </c>
      <c r="N2716">
        <v>0</v>
      </c>
      <c r="O2716">
        <v>0</v>
      </c>
      <c r="T2716">
        <v>0</v>
      </c>
      <c r="V2716">
        <v>0</v>
      </c>
    </row>
    <row r="2717" spans="1:22" x14ac:dyDescent="0.2">
      <c r="A2717" t="s">
        <v>7760</v>
      </c>
      <c r="B2717" t="s">
        <v>7761</v>
      </c>
      <c r="C2717" t="s">
        <v>2502</v>
      </c>
      <c r="D2717" t="s">
        <v>96</v>
      </c>
      <c r="E2717">
        <v>49.99</v>
      </c>
      <c r="F2717" t="s">
        <v>8118</v>
      </c>
      <c r="L2717" t="s">
        <v>7032</v>
      </c>
      <c r="M2717" t="s">
        <v>97</v>
      </c>
      <c r="N2717">
        <v>0</v>
      </c>
      <c r="O2717">
        <v>0</v>
      </c>
      <c r="T2717">
        <v>0</v>
      </c>
      <c r="U2717">
        <v>0</v>
      </c>
      <c r="V2717">
        <v>0</v>
      </c>
    </row>
    <row r="2718" spans="1:22" x14ac:dyDescent="0.2">
      <c r="A2718" t="s">
        <v>5976</v>
      </c>
      <c r="B2718" t="s">
        <v>5977</v>
      </c>
      <c r="C2718" t="s">
        <v>2502</v>
      </c>
      <c r="D2718" t="s">
        <v>96</v>
      </c>
      <c r="E2718">
        <v>79.989999999999995</v>
      </c>
      <c r="F2718" t="s">
        <v>8118</v>
      </c>
      <c r="L2718" t="s">
        <v>7032</v>
      </c>
      <c r="M2718" t="s">
        <v>97</v>
      </c>
      <c r="N2718">
        <v>0</v>
      </c>
      <c r="O2718">
        <v>0</v>
      </c>
      <c r="T2718">
        <v>0</v>
      </c>
      <c r="U2718">
        <v>0</v>
      </c>
      <c r="V2718">
        <v>0</v>
      </c>
    </row>
    <row r="2719" spans="1:22" x14ac:dyDescent="0.2">
      <c r="A2719" t="s">
        <v>5973</v>
      </c>
      <c r="B2719" t="s">
        <v>5974</v>
      </c>
      <c r="C2719" t="s">
        <v>2502</v>
      </c>
      <c r="D2719" t="s">
        <v>290</v>
      </c>
      <c r="E2719">
        <v>79.989999999999995</v>
      </c>
      <c r="F2719" t="s">
        <v>8118</v>
      </c>
      <c r="L2719" t="s">
        <v>7032</v>
      </c>
      <c r="M2719" t="s">
        <v>97</v>
      </c>
      <c r="N2719">
        <v>5</v>
      </c>
      <c r="O2719">
        <v>0.2</v>
      </c>
      <c r="T2719">
        <v>0.2</v>
      </c>
      <c r="U2719">
        <v>0</v>
      </c>
      <c r="V2719">
        <v>1</v>
      </c>
    </row>
    <row r="2720" spans="1:22" x14ac:dyDescent="0.2">
      <c r="A2720" t="s">
        <v>2595</v>
      </c>
      <c r="B2720" t="s">
        <v>2596</v>
      </c>
      <c r="C2720" t="s">
        <v>2502</v>
      </c>
      <c r="D2720" t="s">
        <v>228</v>
      </c>
      <c r="E2720">
        <v>49.99</v>
      </c>
      <c r="F2720" t="s">
        <v>8118</v>
      </c>
      <c r="J2720">
        <v>1</v>
      </c>
      <c r="K2720">
        <v>40</v>
      </c>
      <c r="L2720" t="s">
        <v>7032</v>
      </c>
      <c r="M2720" t="s">
        <v>97</v>
      </c>
      <c r="N2720">
        <v>0</v>
      </c>
      <c r="O2720">
        <v>0</v>
      </c>
      <c r="T2720">
        <v>0</v>
      </c>
      <c r="U2720">
        <v>0</v>
      </c>
      <c r="V2720">
        <v>0</v>
      </c>
    </row>
    <row r="2721" spans="1:22" x14ac:dyDescent="0.2">
      <c r="A2721" t="s">
        <v>6064</v>
      </c>
      <c r="B2721" t="s">
        <v>6065</v>
      </c>
      <c r="C2721" t="s">
        <v>2502</v>
      </c>
      <c r="D2721" t="s">
        <v>228</v>
      </c>
      <c r="E2721">
        <v>59.99</v>
      </c>
      <c r="F2721" t="s">
        <v>8118</v>
      </c>
      <c r="G2721">
        <v>8</v>
      </c>
      <c r="H2721">
        <v>2</v>
      </c>
      <c r="I2721">
        <v>6</v>
      </c>
      <c r="K2721">
        <v>20</v>
      </c>
      <c r="L2721" t="s">
        <v>7032</v>
      </c>
      <c r="M2721" t="s">
        <v>97</v>
      </c>
      <c r="N2721">
        <v>0</v>
      </c>
      <c r="O2721">
        <v>0</v>
      </c>
      <c r="T2721">
        <v>0</v>
      </c>
      <c r="U2721">
        <v>0</v>
      </c>
      <c r="V2721">
        <v>0</v>
      </c>
    </row>
    <row r="2722" spans="1:22" x14ac:dyDescent="0.2">
      <c r="A2722" t="s">
        <v>6056</v>
      </c>
      <c r="B2722" t="s">
        <v>6057</v>
      </c>
      <c r="C2722" t="s">
        <v>2502</v>
      </c>
      <c r="D2722" t="s">
        <v>96</v>
      </c>
      <c r="E2722">
        <v>59.99</v>
      </c>
      <c r="F2722" t="s">
        <v>8118</v>
      </c>
      <c r="L2722" t="s">
        <v>7032</v>
      </c>
      <c r="M2722" t="s">
        <v>97</v>
      </c>
      <c r="N2722">
        <v>0</v>
      </c>
      <c r="O2722">
        <v>0</v>
      </c>
      <c r="T2722">
        <v>0</v>
      </c>
      <c r="U2722">
        <v>0</v>
      </c>
      <c r="V2722">
        <v>0</v>
      </c>
    </row>
    <row r="2723" spans="1:22" x14ac:dyDescent="0.2">
      <c r="A2723" t="s">
        <v>6068</v>
      </c>
      <c r="B2723" t="s">
        <v>6069</v>
      </c>
      <c r="C2723" t="s">
        <v>2502</v>
      </c>
      <c r="D2723" t="s">
        <v>228</v>
      </c>
      <c r="E2723">
        <v>59.99</v>
      </c>
      <c r="F2723" t="s">
        <v>8118</v>
      </c>
      <c r="G2723">
        <v>8</v>
      </c>
      <c r="I2723">
        <v>8</v>
      </c>
      <c r="K2723">
        <v>20</v>
      </c>
      <c r="L2723" t="s">
        <v>7032</v>
      </c>
      <c r="M2723" t="s">
        <v>97</v>
      </c>
      <c r="N2723">
        <v>5</v>
      </c>
      <c r="O2723">
        <v>0.2</v>
      </c>
      <c r="T2723">
        <v>0.2</v>
      </c>
      <c r="U2723">
        <v>0</v>
      </c>
      <c r="V2723">
        <v>1</v>
      </c>
    </row>
    <row r="2724" spans="1:22" x14ac:dyDescent="0.2">
      <c r="A2724" t="s">
        <v>6073</v>
      </c>
      <c r="B2724" t="s">
        <v>6074</v>
      </c>
      <c r="C2724" t="s">
        <v>2502</v>
      </c>
      <c r="D2724" t="s">
        <v>96</v>
      </c>
      <c r="E2724">
        <v>59.99</v>
      </c>
      <c r="F2724" t="s">
        <v>8118</v>
      </c>
      <c r="L2724" t="s">
        <v>7032</v>
      </c>
      <c r="M2724" t="s">
        <v>97</v>
      </c>
      <c r="N2724">
        <v>0</v>
      </c>
      <c r="O2724">
        <v>0</v>
      </c>
      <c r="T2724">
        <v>0.2</v>
      </c>
      <c r="U2724">
        <v>0</v>
      </c>
      <c r="V2724">
        <v>0</v>
      </c>
    </row>
    <row r="2725" spans="1:22" x14ac:dyDescent="0.2">
      <c r="A2725" t="s">
        <v>6029</v>
      </c>
      <c r="B2725" t="s">
        <v>6030</v>
      </c>
      <c r="C2725" t="s">
        <v>2502</v>
      </c>
      <c r="D2725" t="s">
        <v>228</v>
      </c>
      <c r="E2725">
        <v>29.99</v>
      </c>
      <c r="F2725" t="s">
        <v>8118</v>
      </c>
      <c r="G2725">
        <v>108</v>
      </c>
      <c r="H2725">
        <v>1</v>
      </c>
      <c r="I2725">
        <v>107</v>
      </c>
      <c r="K2725">
        <v>50</v>
      </c>
      <c r="L2725" t="s">
        <v>7032</v>
      </c>
      <c r="M2725" t="s">
        <v>97</v>
      </c>
      <c r="N2725">
        <v>0</v>
      </c>
      <c r="O2725">
        <v>0</v>
      </c>
      <c r="T2725">
        <v>0</v>
      </c>
      <c r="U2725">
        <v>0</v>
      </c>
      <c r="V2725">
        <v>0</v>
      </c>
    </row>
    <row r="2726" spans="1:22" x14ac:dyDescent="0.2">
      <c r="A2726" t="s">
        <v>6024</v>
      </c>
      <c r="B2726" t="s">
        <v>6025</v>
      </c>
      <c r="C2726" t="s">
        <v>2502</v>
      </c>
      <c r="D2726" t="s">
        <v>228</v>
      </c>
      <c r="E2726">
        <v>29.99</v>
      </c>
      <c r="F2726" t="s">
        <v>8118</v>
      </c>
      <c r="G2726">
        <v>178</v>
      </c>
      <c r="H2726">
        <v>1</v>
      </c>
      <c r="I2726">
        <v>177</v>
      </c>
      <c r="K2726">
        <v>100</v>
      </c>
      <c r="L2726" t="s">
        <v>7032</v>
      </c>
      <c r="M2726" t="s">
        <v>97</v>
      </c>
      <c r="N2726">
        <v>0</v>
      </c>
      <c r="O2726">
        <v>0</v>
      </c>
      <c r="T2726">
        <v>0</v>
      </c>
      <c r="U2726">
        <v>0</v>
      </c>
      <c r="V2726">
        <v>3</v>
      </c>
    </row>
    <row r="2727" spans="1:22" x14ac:dyDescent="0.2">
      <c r="A2727" t="s">
        <v>6019</v>
      </c>
      <c r="B2727" t="s">
        <v>6020</v>
      </c>
      <c r="C2727" t="s">
        <v>2502</v>
      </c>
      <c r="D2727" t="s">
        <v>228</v>
      </c>
      <c r="E2727">
        <v>29.99</v>
      </c>
      <c r="F2727" t="s">
        <v>8118</v>
      </c>
      <c r="G2727">
        <v>34</v>
      </c>
      <c r="I2727">
        <v>34</v>
      </c>
      <c r="L2727" t="s">
        <v>7032</v>
      </c>
      <c r="M2727" t="s">
        <v>97</v>
      </c>
      <c r="N2727">
        <v>0</v>
      </c>
      <c r="O2727">
        <v>0</v>
      </c>
      <c r="T2727">
        <v>0</v>
      </c>
      <c r="U2727">
        <v>0</v>
      </c>
      <c r="V2727">
        <v>4</v>
      </c>
    </row>
    <row r="2728" spans="1:22" x14ac:dyDescent="0.2">
      <c r="A2728" t="s">
        <v>2701</v>
      </c>
      <c r="B2728" t="s">
        <v>2702</v>
      </c>
      <c r="C2728" t="s">
        <v>2502</v>
      </c>
      <c r="D2728" t="s">
        <v>290</v>
      </c>
      <c r="E2728">
        <v>99.99</v>
      </c>
      <c r="F2728" t="s">
        <v>8118</v>
      </c>
      <c r="G2728">
        <v>155</v>
      </c>
      <c r="I2728">
        <v>155</v>
      </c>
      <c r="L2728" t="s">
        <v>7032</v>
      </c>
      <c r="M2728" t="s">
        <v>97</v>
      </c>
      <c r="N2728">
        <v>5</v>
      </c>
      <c r="O2728">
        <v>0.2</v>
      </c>
      <c r="T2728">
        <v>0.2</v>
      </c>
      <c r="U2728">
        <v>0</v>
      </c>
      <c r="V2728">
        <v>1</v>
      </c>
    </row>
    <row r="2729" spans="1:22" x14ac:dyDescent="0.2">
      <c r="A2729" t="s">
        <v>2697</v>
      </c>
      <c r="B2729" t="s">
        <v>2698</v>
      </c>
      <c r="C2729" t="s">
        <v>2502</v>
      </c>
      <c r="D2729" t="s">
        <v>228</v>
      </c>
      <c r="E2729">
        <v>89.99</v>
      </c>
      <c r="F2729" t="s">
        <v>8118</v>
      </c>
      <c r="G2729">
        <v>10</v>
      </c>
      <c r="H2729">
        <v>2</v>
      </c>
      <c r="I2729">
        <v>8</v>
      </c>
      <c r="L2729" t="s">
        <v>7032</v>
      </c>
      <c r="M2729" t="s">
        <v>97</v>
      </c>
      <c r="N2729">
        <v>0</v>
      </c>
      <c r="O2729">
        <v>0</v>
      </c>
      <c r="T2729">
        <v>0</v>
      </c>
      <c r="U2729">
        <v>0</v>
      </c>
      <c r="V2729">
        <v>-2</v>
      </c>
    </row>
    <row r="2730" spans="1:22" x14ac:dyDescent="0.2">
      <c r="A2730" t="s">
        <v>2641</v>
      </c>
      <c r="B2730" t="s">
        <v>2642</v>
      </c>
      <c r="C2730" t="s">
        <v>2502</v>
      </c>
      <c r="D2730" t="s">
        <v>228</v>
      </c>
      <c r="E2730">
        <v>109.99</v>
      </c>
      <c r="F2730" t="s">
        <v>8118</v>
      </c>
      <c r="G2730">
        <v>3</v>
      </c>
      <c r="H2730">
        <v>2</v>
      </c>
      <c r="I2730">
        <v>1</v>
      </c>
      <c r="K2730">
        <v>40</v>
      </c>
      <c r="L2730" t="s">
        <v>7032</v>
      </c>
      <c r="M2730" t="s">
        <v>97</v>
      </c>
      <c r="N2730">
        <v>0</v>
      </c>
      <c r="O2730">
        <v>0</v>
      </c>
      <c r="T2730">
        <v>0</v>
      </c>
      <c r="U2730">
        <v>0</v>
      </c>
      <c r="V2730">
        <v>4</v>
      </c>
    </row>
    <row r="2731" spans="1:22" x14ac:dyDescent="0.2">
      <c r="A2731" t="s">
        <v>6335</v>
      </c>
      <c r="B2731" t="s">
        <v>6336</v>
      </c>
      <c r="C2731" t="s">
        <v>2502</v>
      </c>
      <c r="D2731" t="s">
        <v>290</v>
      </c>
      <c r="E2731">
        <v>169.99</v>
      </c>
      <c r="F2731" t="s">
        <v>8118</v>
      </c>
      <c r="L2731" t="s">
        <v>7032</v>
      </c>
      <c r="M2731" t="s">
        <v>97</v>
      </c>
      <c r="N2731">
        <v>5</v>
      </c>
      <c r="O2731">
        <v>0.2</v>
      </c>
      <c r="T2731">
        <v>0.2</v>
      </c>
      <c r="U2731">
        <v>0</v>
      </c>
      <c r="V2731">
        <v>1</v>
      </c>
    </row>
    <row r="2732" spans="1:22" x14ac:dyDescent="0.2">
      <c r="A2732" t="s">
        <v>2643</v>
      </c>
      <c r="B2732" t="s">
        <v>2644</v>
      </c>
      <c r="C2732" t="s">
        <v>2502</v>
      </c>
      <c r="D2732" t="s">
        <v>228</v>
      </c>
      <c r="E2732">
        <v>124.99</v>
      </c>
      <c r="F2732" t="s">
        <v>8118</v>
      </c>
      <c r="G2732">
        <v>8</v>
      </c>
      <c r="H2732">
        <v>1</v>
      </c>
      <c r="I2732">
        <v>7</v>
      </c>
      <c r="K2732">
        <v>20</v>
      </c>
      <c r="L2732" t="s">
        <v>7032</v>
      </c>
      <c r="M2732" t="s">
        <v>97</v>
      </c>
      <c r="N2732">
        <v>0</v>
      </c>
      <c r="O2732">
        <v>0</v>
      </c>
      <c r="T2732">
        <v>0</v>
      </c>
      <c r="U2732">
        <v>0</v>
      </c>
      <c r="V2732">
        <v>2</v>
      </c>
    </row>
    <row r="2733" spans="1:22" x14ac:dyDescent="0.2">
      <c r="A2733" t="s">
        <v>7112</v>
      </c>
      <c r="B2733" t="s">
        <v>7114</v>
      </c>
      <c r="C2733" t="s">
        <v>2502</v>
      </c>
      <c r="D2733" t="s">
        <v>96</v>
      </c>
      <c r="E2733">
        <v>119.99</v>
      </c>
      <c r="F2733" t="s">
        <v>8118</v>
      </c>
      <c r="L2733" t="s">
        <v>7032</v>
      </c>
      <c r="M2733" t="s">
        <v>97</v>
      </c>
      <c r="N2733">
        <v>15</v>
      </c>
      <c r="O2733">
        <v>6.6666666666666666E-2</v>
      </c>
      <c r="T2733">
        <v>0.2</v>
      </c>
      <c r="U2733">
        <v>0</v>
      </c>
      <c r="V2733">
        <v>3</v>
      </c>
    </row>
    <row r="2734" spans="1:22" x14ac:dyDescent="0.2">
      <c r="A2734" t="s">
        <v>2563</v>
      </c>
      <c r="B2734" t="s">
        <v>2564</v>
      </c>
      <c r="C2734" t="s">
        <v>2502</v>
      </c>
      <c r="D2734" t="s">
        <v>290</v>
      </c>
      <c r="E2734">
        <v>99.99</v>
      </c>
      <c r="F2734" t="s">
        <v>8118</v>
      </c>
      <c r="L2734" t="s">
        <v>8</v>
      </c>
      <c r="M2734" t="s">
        <v>5968</v>
      </c>
      <c r="N2734">
        <v>31.967213114754099</v>
      </c>
      <c r="O2734">
        <v>3.1282051282051283E-2</v>
      </c>
      <c r="Q2734">
        <v>3</v>
      </c>
      <c r="R2734">
        <v>2</v>
      </c>
      <c r="S2734">
        <v>320</v>
      </c>
      <c r="T2734">
        <v>10.166666666666666</v>
      </c>
      <c r="U2734">
        <v>1199.8799999999999</v>
      </c>
      <c r="V2734">
        <v>325</v>
      </c>
    </row>
    <row r="2735" spans="1:22" x14ac:dyDescent="0.2">
      <c r="A2735" t="s">
        <v>2761</v>
      </c>
      <c r="B2735" t="s">
        <v>2762</v>
      </c>
      <c r="C2735" t="s">
        <v>2502</v>
      </c>
      <c r="D2735" t="s">
        <v>228</v>
      </c>
      <c r="E2735">
        <v>119.99</v>
      </c>
      <c r="F2735" t="s">
        <v>8118</v>
      </c>
      <c r="G2735">
        <v>82</v>
      </c>
      <c r="H2735">
        <v>2</v>
      </c>
      <c r="I2735">
        <v>80</v>
      </c>
      <c r="K2735">
        <v>20</v>
      </c>
      <c r="L2735" t="s">
        <v>8</v>
      </c>
      <c r="M2735" t="s">
        <v>5960</v>
      </c>
      <c r="N2735">
        <v>51.239999999999995</v>
      </c>
      <c r="O2735">
        <v>1.95160031225605E-2</v>
      </c>
      <c r="Q2735">
        <v>3</v>
      </c>
      <c r="R2735">
        <v>11</v>
      </c>
      <c r="S2735">
        <v>413</v>
      </c>
      <c r="T2735">
        <v>8.3333333333333339</v>
      </c>
      <c r="U2735">
        <v>839.93</v>
      </c>
      <c r="V2735">
        <v>427</v>
      </c>
    </row>
    <row r="2736" spans="1:22" x14ac:dyDescent="0.2">
      <c r="A2736" t="s">
        <v>2555</v>
      </c>
      <c r="B2736" t="s">
        <v>2556</v>
      </c>
      <c r="C2736" t="s">
        <v>2502</v>
      </c>
      <c r="D2736" t="s">
        <v>228</v>
      </c>
      <c r="E2736">
        <v>129.99</v>
      </c>
      <c r="F2736" t="s">
        <v>8118</v>
      </c>
      <c r="G2736">
        <v>10</v>
      </c>
      <c r="H2736">
        <v>7</v>
      </c>
      <c r="I2736">
        <v>3</v>
      </c>
      <c r="K2736">
        <v>20</v>
      </c>
      <c r="L2736" t="s">
        <v>8</v>
      </c>
      <c r="M2736" t="s">
        <v>5934</v>
      </c>
      <c r="N2736">
        <v>4</v>
      </c>
      <c r="O2736">
        <v>0.25</v>
      </c>
      <c r="Q2736">
        <v>0</v>
      </c>
      <c r="R2736">
        <v>11</v>
      </c>
      <c r="S2736">
        <v>0</v>
      </c>
      <c r="T2736">
        <v>2.75</v>
      </c>
      <c r="U2736">
        <v>389.97</v>
      </c>
      <c r="V2736">
        <v>11</v>
      </c>
    </row>
    <row r="2737" spans="1:22" x14ac:dyDescent="0.2">
      <c r="A2737" t="s">
        <v>2565</v>
      </c>
      <c r="B2737" t="s">
        <v>2566</v>
      </c>
      <c r="C2737" t="s">
        <v>2502</v>
      </c>
      <c r="D2737" t="s">
        <v>228</v>
      </c>
      <c r="E2737">
        <v>79.989999999999995</v>
      </c>
      <c r="F2737" t="s">
        <v>8118</v>
      </c>
      <c r="G2737">
        <v>12</v>
      </c>
      <c r="H2737">
        <v>3</v>
      </c>
      <c r="I2737">
        <v>9</v>
      </c>
      <c r="K2737">
        <v>20</v>
      </c>
      <c r="L2737" t="s">
        <v>8</v>
      </c>
      <c r="M2737" t="s">
        <v>6397</v>
      </c>
      <c r="N2737">
        <v>5.1428571428571423</v>
      </c>
      <c r="O2737">
        <v>0.19444444444444445</v>
      </c>
      <c r="Q2737">
        <v>0</v>
      </c>
      <c r="R2737">
        <v>11</v>
      </c>
      <c r="S2737">
        <v>1</v>
      </c>
      <c r="T2737">
        <v>2.3333333333333335</v>
      </c>
      <c r="U2737">
        <v>159.97999999999999</v>
      </c>
      <c r="V2737">
        <v>12</v>
      </c>
    </row>
    <row r="2738" spans="1:22" x14ac:dyDescent="0.2">
      <c r="A2738" t="s">
        <v>2567</v>
      </c>
      <c r="B2738" t="s">
        <v>2568</v>
      </c>
      <c r="C2738" t="s">
        <v>2502</v>
      </c>
      <c r="D2738" t="s">
        <v>228</v>
      </c>
      <c r="E2738">
        <v>79.989999999999995</v>
      </c>
      <c r="F2738" t="s">
        <v>8118</v>
      </c>
      <c r="G2738">
        <v>10</v>
      </c>
      <c r="H2738">
        <v>2</v>
      </c>
      <c r="I2738">
        <v>8</v>
      </c>
      <c r="K2738">
        <v>40</v>
      </c>
      <c r="L2738" t="s">
        <v>8</v>
      </c>
      <c r="M2738" t="s">
        <v>6395</v>
      </c>
      <c r="N2738">
        <v>4</v>
      </c>
      <c r="O2738">
        <v>0.25</v>
      </c>
      <c r="Q2738">
        <v>0</v>
      </c>
      <c r="R2738">
        <v>20</v>
      </c>
      <c r="S2738">
        <v>2</v>
      </c>
      <c r="T2738">
        <v>5.5</v>
      </c>
      <c r="U2738">
        <v>559.92999999999995</v>
      </c>
      <c r="V2738">
        <v>22</v>
      </c>
    </row>
    <row r="2739" spans="1:22" x14ac:dyDescent="0.2">
      <c r="A2739" t="s">
        <v>2701</v>
      </c>
      <c r="B2739" t="s">
        <v>2702</v>
      </c>
      <c r="C2739" t="s">
        <v>2502</v>
      </c>
      <c r="D2739" t="s">
        <v>290</v>
      </c>
      <c r="E2739">
        <v>99.99</v>
      </c>
      <c r="F2739" t="s">
        <v>8118</v>
      </c>
      <c r="G2739">
        <v>155</v>
      </c>
      <c r="I2739">
        <v>155</v>
      </c>
      <c r="L2739" t="s">
        <v>8</v>
      </c>
      <c r="M2739" t="s">
        <v>6002</v>
      </c>
      <c r="N2739">
        <v>5.7</v>
      </c>
      <c r="O2739">
        <v>0.17543859649122806</v>
      </c>
      <c r="Q2739">
        <v>1</v>
      </c>
      <c r="R2739">
        <v>10</v>
      </c>
      <c r="S2739">
        <v>46</v>
      </c>
      <c r="T2739">
        <v>10</v>
      </c>
      <c r="U2739">
        <v>599.93999999999994</v>
      </c>
      <c r="V2739">
        <v>57</v>
      </c>
    </row>
    <row r="2740" spans="1:22" x14ac:dyDescent="0.2">
      <c r="A2740" t="s">
        <v>5950</v>
      </c>
      <c r="B2740" t="s">
        <v>5951</v>
      </c>
      <c r="C2740" t="s">
        <v>2502</v>
      </c>
      <c r="D2740" t="s">
        <v>96</v>
      </c>
      <c r="E2740">
        <v>119.99</v>
      </c>
      <c r="F2740" t="s">
        <v>8118</v>
      </c>
      <c r="L2740" t="s">
        <v>8</v>
      </c>
      <c r="M2740" t="s">
        <v>7949</v>
      </c>
      <c r="N2740">
        <v>0</v>
      </c>
      <c r="O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 spans="1:22" x14ac:dyDescent="0.2">
      <c r="A2741" t="s">
        <v>2515</v>
      </c>
      <c r="B2741" t="s">
        <v>2516</v>
      </c>
      <c r="C2741" t="s">
        <v>2502</v>
      </c>
      <c r="D2741" t="s">
        <v>228</v>
      </c>
      <c r="E2741">
        <v>139.99</v>
      </c>
      <c r="F2741" t="s">
        <v>8118</v>
      </c>
      <c r="G2741">
        <v>32</v>
      </c>
      <c r="I2741">
        <v>32</v>
      </c>
      <c r="K2741">
        <v>10</v>
      </c>
      <c r="L2741" t="s">
        <v>8</v>
      </c>
      <c r="M2741" t="s">
        <v>6308</v>
      </c>
      <c r="N2741">
        <v>0</v>
      </c>
      <c r="O2741">
        <v>0</v>
      </c>
      <c r="Q2741">
        <v>0</v>
      </c>
      <c r="R2741">
        <v>0</v>
      </c>
      <c r="S2741">
        <v>0</v>
      </c>
      <c r="T2741">
        <v>0.58333333333333337</v>
      </c>
      <c r="U2741">
        <v>0</v>
      </c>
      <c r="V2741">
        <v>0</v>
      </c>
    </row>
    <row r="2742" spans="1:22" x14ac:dyDescent="0.2">
      <c r="A2742" t="s">
        <v>2529</v>
      </c>
      <c r="B2742" t="s">
        <v>2530</v>
      </c>
      <c r="C2742" t="s">
        <v>2502</v>
      </c>
      <c r="D2742" t="s">
        <v>228</v>
      </c>
      <c r="E2742">
        <v>49.99</v>
      </c>
      <c r="F2742" t="s">
        <v>8118</v>
      </c>
      <c r="J2742">
        <v>1</v>
      </c>
      <c r="K2742">
        <v>680</v>
      </c>
      <c r="L2742" t="s">
        <v>8</v>
      </c>
      <c r="M2742" t="s">
        <v>6279</v>
      </c>
      <c r="N2742">
        <v>0</v>
      </c>
      <c r="O2742">
        <v>0</v>
      </c>
      <c r="Q2742">
        <v>0</v>
      </c>
      <c r="R2742">
        <v>0</v>
      </c>
      <c r="S2742">
        <v>0</v>
      </c>
      <c r="T2742">
        <v>0.75</v>
      </c>
      <c r="U2742">
        <v>0</v>
      </c>
      <c r="V2742">
        <v>0</v>
      </c>
    </row>
    <row r="2743" spans="1:22" x14ac:dyDescent="0.2">
      <c r="A2743" t="s">
        <v>2539</v>
      </c>
      <c r="B2743" t="s">
        <v>2540</v>
      </c>
      <c r="C2743" t="s">
        <v>2502</v>
      </c>
      <c r="D2743" t="s">
        <v>228</v>
      </c>
      <c r="E2743">
        <v>54.99</v>
      </c>
      <c r="F2743" t="s">
        <v>8118</v>
      </c>
      <c r="G2743">
        <v>64</v>
      </c>
      <c r="H2743">
        <v>3</v>
      </c>
      <c r="I2743">
        <v>61</v>
      </c>
      <c r="K2743">
        <v>720</v>
      </c>
      <c r="L2743" t="s">
        <v>8</v>
      </c>
      <c r="M2743" t="s">
        <v>6250</v>
      </c>
      <c r="N2743">
        <v>16.90909090909091</v>
      </c>
      <c r="O2743">
        <v>5.9139784946236555E-2</v>
      </c>
      <c r="Q2743">
        <v>0</v>
      </c>
      <c r="R2743">
        <v>62</v>
      </c>
      <c r="S2743">
        <v>0</v>
      </c>
      <c r="T2743">
        <v>3.6666666666666665</v>
      </c>
      <c r="U2743">
        <v>0</v>
      </c>
      <c r="V2743">
        <v>62</v>
      </c>
    </row>
    <row r="2744" spans="1:22" x14ac:dyDescent="0.2">
      <c r="A2744" t="s">
        <v>2543</v>
      </c>
      <c r="B2744" t="s">
        <v>2544</v>
      </c>
      <c r="C2744" t="s">
        <v>2502</v>
      </c>
      <c r="D2744" t="s">
        <v>228</v>
      </c>
      <c r="E2744">
        <v>79.989999999999995</v>
      </c>
      <c r="F2744" t="s">
        <v>8118</v>
      </c>
      <c r="G2744">
        <v>166</v>
      </c>
      <c r="H2744">
        <v>2</v>
      </c>
      <c r="I2744">
        <v>164</v>
      </c>
      <c r="K2744">
        <v>40</v>
      </c>
      <c r="L2744" t="s">
        <v>8</v>
      </c>
      <c r="M2744" t="s">
        <v>6295</v>
      </c>
      <c r="N2744">
        <v>10.133333333333333</v>
      </c>
      <c r="O2744">
        <v>9.8684210526315791E-2</v>
      </c>
      <c r="Q2744">
        <v>0</v>
      </c>
      <c r="R2744">
        <v>36</v>
      </c>
      <c r="S2744">
        <v>2</v>
      </c>
      <c r="T2744">
        <v>3.75</v>
      </c>
      <c r="U2744">
        <v>239.96999999999997</v>
      </c>
      <c r="V2744">
        <v>38</v>
      </c>
    </row>
    <row r="2745" spans="1:22" x14ac:dyDescent="0.2">
      <c r="A2745" t="s">
        <v>2545</v>
      </c>
      <c r="B2745" t="s">
        <v>2546</v>
      </c>
      <c r="C2745" t="s">
        <v>2502</v>
      </c>
      <c r="D2745" t="s">
        <v>228</v>
      </c>
      <c r="E2745">
        <v>79.989999999999995</v>
      </c>
      <c r="F2745" t="s">
        <v>8118</v>
      </c>
      <c r="G2745">
        <v>10</v>
      </c>
      <c r="H2745">
        <v>8</v>
      </c>
      <c r="I2745">
        <v>2</v>
      </c>
      <c r="J2745">
        <v>5</v>
      </c>
      <c r="K2745">
        <v>20</v>
      </c>
      <c r="L2745" t="s">
        <v>8</v>
      </c>
      <c r="M2745" t="s">
        <v>5954</v>
      </c>
      <c r="N2745">
        <v>7.6363636363636367</v>
      </c>
      <c r="O2745">
        <v>0.13095238095238096</v>
      </c>
      <c r="Q2745">
        <v>0</v>
      </c>
      <c r="R2745">
        <v>20</v>
      </c>
      <c r="S2745">
        <v>1</v>
      </c>
      <c r="T2745">
        <v>2.75</v>
      </c>
      <c r="U2745">
        <v>319.95999999999998</v>
      </c>
      <c r="V2745">
        <v>21</v>
      </c>
    </row>
    <row r="2746" spans="1:22" x14ac:dyDescent="0.2">
      <c r="A2746" t="s">
        <v>6303</v>
      </c>
      <c r="B2746" t="s">
        <v>6304</v>
      </c>
      <c r="C2746" t="s">
        <v>2502</v>
      </c>
      <c r="D2746" t="s">
        <v>290</v>
      </c>
      <c r="E2746">
        <v>89.99</v>
      </c>
      <c r="F2746" t="s">
        <v>8118</v>
      </c>
      <c r="L2746" t="s">
        <v>8</v>
      </c>
      <c r="M2746" t="s">
        <v>7991</v>
      </c>
      <c r="N2746">
        <v>0</v>
      </c>
      <c r="O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 spans="1:22" x14ac:dyDescent="0.2">
      <c r="A2747" t="s">
        <v>5939</v>
      </c>
      <c r="B2747" t="s">
        <v>5940</v>
      </c>
      <c r="C2747" t="s">
        <v>2502</v>
      </c>
      <c r="D2747" t="s">
        <v>228</v>
      </c>
      <c r="E2747">
        <v>49.99</v>
      </c>
      <c r="F2747" t="s">
        <v>8118</v>
      </c>
      <c r="G2747">
        <v>2</v>
      </c>
      <c r="I2747">
        <v>2</v>
      </c>
      <c r="L2747" t="s">
        <v>8</v>
      </c>
      <c r="M2747" t="s">
        <v>5941</v>
      </c>
      <c r="N2747">
        <v>33</v>
      </c>
      <c r="O2747">
        <v>3.03030303030303E-2</v>
      </c>
      <c r="Q2747">
        <v>0</v>
      </c>
      <c r="R2747">
        <v>22</v>
      </c>
      <c r="S2747">
        <v>0</v>
      </c>
      <c r="T2747">
        <v>0.66666666666666663</v>
      </c>
      <c r="U2747">
        <v>49.99</v>
      </c>
      <c r="V2747">
        <v>22</v>
      </c>
    </row>
    <row r="2748" spans="1:22" x14ac:dyDescent="0.2">
      <c r="A2748" t="s">
        <v>5944</v>
      </c>
      <c r="B2748" t="s">
        <v>5945</v>
      </c>
      <c r="C2748" t="s">
        <v>2502</v>
      </c>
      <c r="D2748" t="s">
        <v>96</v>
      </c>
      <c r="E2748">
        <v>49.99</v>
      </c>
      <c r="F2748" t="s">
        <v>8118</v>
      </c>
      <c r="L2748" t="s">
        <v>8</v>
      </c>
      <c r="M2748" t="s">
        <v>5946</v>
      </c>
      <c r="N2748">
        <v>0</v>
      </c>
      <c r="O2748">
        <v>0</v>
      </c>
      <c r="Q2748">
        <v>0</v>
      </c>
      <c r="R2748">
        <v>0</v>
      </c>
      <c r="S2748">
        <v>0</v>
      </c>
      <c r="T2748">
        <v>8.3333333333333329E-2</v>
      </c>
      <c r="U2748">
        <v>0</v>
      </c>
      <c r="V2748">
        <v>0</v>
      </c>
    </row>
    <row r="2749" spans="1:22" x14ac:dyDescent="0.2">
      <c r="A2749" t="s">
        <v>2593</v>
      </c>
      <c r="B2749" t="s">
        <v>2594</v>
      </c>
      <c r="C2749" t="s">
        <v>2502</v>
      </c>
      <c r="D2749" t="s">
        <v>228</v>
      </c>
      <c r="E2749">
        <v>49.99</v>
      </c>
      <c r="F2749" t="s">
        <v>8118</v>
      </c>
      <c r="G2749">
        <v>6</v>
      </c>
      <c r="H2749">
        <v>1</v>
      </c>
      <c r="I2749">
        <v>5</v>
      </c>
      <c r="K2749">
        <v>20</v>
      </c>
      <c r="L2749" t="s">
        <v>8</v>
      </c>
      <c r="M2749" t="s">
        <v>5949</v>
      </c>
      <c r="N2749">
        <v>30.666666666666668</v>
      </c>
      <c r="O2749">
        <v>3.2608695652173912E-2</v>
      </c>
      <c r="Q2749">
        <v>0</v>
      </c>
      <c r="R2749">
        <v>22</v>
      </c>
      <c r="S2749">
        <v>1</v>
      </c>
      <c r="T2749">
        <v>0.75</v>
      </c>
      <c r="U2749">
        <v>49.99</v>
      </c>
      <c r="V2749">
        <v>23</v>
      </c>
    </row>
    <row r="2750" spans="1:22" x14ac:dyDescent="0.2">
      <c r="A2750" t="s">
        <v>6327</v>
      </c>
      <c r="B2750" t="s">
        <v>6328</v>
      </c>
      <c r="C2750" t="s">
        <v>2502</v>
      </c>
      <c r="D2750" t="s">
        <v>290</v>
      </c>
      <c r="E2750">
        <v>179.99</v>
      </c>
      <c r="F2750" t="s">
        <v>8118</v>
      </c>
      <c r="L2750" t="s">
        <v>8</v>
      </c>
      <c r="M2750" t="s">
        <v>8014</v>
      </c>
      <c r="N2750">
        <v>0</v>
      </c>
      <c r="O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 spans="1:22" x14ac:dyDescent="0.2">
      <c r="A2751" t="s">
        <v>6006</v>
      </c>
      <c r="B2751" t="s">
        <v>6007</v>
      </c>
      <c r="C2751" t="s">
        <v>2502</v>
      </c>
      <c r="D2751" t="s">
        <v>290</v>
      </c>
      <c r="E2751">
        <v>149.99</v>
      </c>
      <c r="F2751" t="s">
        <v>8118</v>
      </c>
      <c r="L2751" t="s">
        <v>8</v>
      </c>
      <c r="M2751" t="s">
        <v>8029</v>
      </c>
      <c r="N2751">
        <v>0</v>
      </c>
      <c r="O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 spans="1:22" x14ac:dyDescent="0.2">
      <c r="A2752" t="s">
        <v>6254</v>
      </c>
      <c r="B2752" t="s">
        <v>6255</v>
      </c>
      <c r="C2752" t="s">
        <v>2502</v>
      </c>
      <c r="D2752" t="s">
        <v>290</v>
      </c>
      <c r="E2752">
        <v>159.99</v>
      </c>
      <c r="F2752" t="s">
        <v>8118</v>
      </c>
      <c r="G2752">
        <v>25</v>
      </c>
      <c r="I2752">
        <v>25</v>
      </c>
      <c r="L2752" t="s">
        <v>8</v>
      </c>
      <c r="M2752" t="s">
        <v>8031</v>
      </c>
      <c r="N2752">
        <v>0</v>
      </c>
      <c r="O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 spans="1:22" x14ac:dyDescent="0.2">
      <c r="A2753" t="s">
        <v>2649</v>
      </c>
      <c r="B2753" t="s">
        <v>2650</v>
      </c>
      <c r="C2753" t="s">
        <v>2502</v>
      </c>
      <c r="D2753" t="s">
        <v>228</v>
      </c>
      <c r="E2753">
        <v>199.99</v>
      </c>
      <c r="F2753" t="s">
        <v>8118</v>
      </c>
      <c r="G2753">
        <v>28</v>
      </c>
      <c r="I2753">
        <v>28</v>
      </c>
      <c r="L2753" t="s">
        <v>8</v>
      </c>
      <c r="M2753" t="s">
        <v>6051</v>
      </c>
      <c r="N2753">
        <v>-16</v>
      </c>
      <c r="O2753">
        <v>-6.25E-2</v>
      </c>
      <c r="Q2753">
        <v>0</v>
      </c>
      <c r="R2753">
        <v>7</v>
      </c>
      <c r="S2753">
        <v>1</v>
      </c>
      <c r="T2753">
        <v>-0.5</v>
      </c>
      <c r="U2753">
        <v>-199.99</v>
      </c>
      <c r="V2753">
        <v>8</v>
      </c>
    </row>
    <row r="2754" spans="1:22" x14ac:dyDescent="0.2">
      <c r="A2754" t="s">
        <v>2647</v>
      </c>
      <c r="B2754" t="s">
        <v>2648</v>
      </c>
      <c r="C2754" t="s">
        <v>2502</v>
      </c>
      <c r="D2754" t="s">
        <v>228</v>
      </c>
      <c r="E2754">
        <v>199.99</v>
      </c>
      <c r="F2754" t="s">
        <v>8118</v>
      </c>
      <c r="G2754">
        <v>40</v>
      </c>
      <c r="I2754">
        <v>40</v>
      </c>
      <c r="L2754" t="s">
        <v>8</v>
      </c>
      <c r="M2754" t="s">
        <v>6049</v>
      </c>
      <c r="N2754">
        <v>30</v>
      </c>
      <c r="O2754">
        <v>3.3333333333333333E-2</v>
      </c>
      <c r="Q2754">
        <v>0</v>
      </c>
      <c r="R2754">
        <v>14</v>
      </c>
      <c r="S2754">
        <v>1</v>
      </c>
      <c r="T2754">
        <v>0.5</v>
      </c>
      <c r="U2754">
        <v>0</v>
      </c>
      <c r="V2754">
        <v>15</v>
      </c>
    </row>
    <row r="2755" spans="1:22" x14ac:dyDescent="0.2">
      <c r="A2755" t="s">
        <v>6321</v>
      </c>
      <c r="B2755" t="s">
        <v>7242</v>
      </c>
      <c r="C2755" t="s">
        <v>2502</v>
      </c>
      <c r="D2755" t="s">
        <v>228</v>
      </c>
      <c r="E2755">
        <v>229.99</v>
      </c>
      <c r="F2755" t="s">
        <v>8118</v>
      </c>
      <c r="G2755">
        <v>14</v>
      </c>
      <c r="I2755">
        <v>14</v>
      </c>
      <c r="L2755" t="s">
        <v>8</v>
      </c>
      <c r="M2755" t="s">
        <v>8032</v>
      </c>
      <c r="N2755">
        <v>0</v>
      </c>
      <c r="O2755">
        <v>0</v>
      </c>
      <c r="Q2755">
        <v>0</v>
      </c>
      <c r="R2755">
        <v>0</v>
      </c>
      <c r="S2755">
        <v>0</v>
      </c>
      <c r="T2755">
        <v>8.3333333333333329E-2</v>
      </c>
      <c r="U2755">
        <v>0</v>
      </c>
      <c r="V2755">
        <v>0</v>
      </c>
    </row>
    <row r="2756" spans="1:22" x14ac:dyDescent="0.2">
      <c r="A2756" t="s">
        <v>6157</v>
      </c>
      <c r="B2756" t="s">
        <v>6158</v>
      </c>
      <c r="C2756" t="s">
        <v>2502</v>
      </c>
      <c r="D2756" t="s">
        <v>290</v>
      </c>
      <c r="E2756">
        <v>109.99</v>
      </c>
      <c r="F2756" t="s">
        <v>8118</v>
      </c>
      <c r="G2756">
        <v>74</v>
      </c>
      <c r="H2756">
        <v>35</v>
      </c>
      <c r="I2756">
        <v>39</v>
      </c>
      <c r="L2756" t="s">
        <v>8</v>
      </c>
      <c r="M2756" t="s">
        <v>6161</v>
      </c>
      <c r="N2756">
        <v>8.9454545454545453</v>
      </c>
      <c r="O2756">
        <v>0.11178861788617886</v>
      </c>
      <c r="Q2756">
        <v>0</v>
      </c>
      <c r="R2756">
        <v>40</v>
      </c>
      <c r="S2756">
        <v>1</v>
      </c>
      <c r="T2756">
        <v>4.583333333333333</v>
      </c>
      <c r="U2756">
        <v>109.99</v>
      </c>
      <c r="V2756">
        <v>41</v>
      </c>
    </row>
    <row r="2757" spans="1:22" x14ac:dyDescent="0.2">
      <c r="A2757" t="s">
        <v>6236</v>
      </c>
      <c r="B2757" t="s">
        <v>6237</v>
      </c>
      <c r="C2757" t="s">
        <v>2502</v>
      </c>
      <c r="D2757" t="s">
        <v>290</v>
      </c>
      <c r="E2757">
        <v>179.99</v>
      </c>
      <c r="F2757" t="s">
        <v>8118</v>
      </c>
      <c r="G2757">
        <v>6</v>
      </c>
      <c r="I2757">
        <v>6</v>
      </c>
      <c r="L2757" t="s">
        <v>8</v>
      </c>
      <c r="M2757" t="s">
        <v>8013</v>
      </c>
      <c r="N2757">
        <v>0</v>
      </c>
      <c r="O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 spans="1:22" x14ac:dyDescent="0.2">
      <c r="A2758" t="s">
        <v>5969</v>
      </c>
      <c r="B2758" t="s">
        <v>5970</v>
      </c>
      <c r="C2758" t="s">
        <v>2502</v>
      </c>
      <c r="D2758" t="s">
        <v>290</v>
      </c>
      <c r="E2758">
        <v>99.99</v>
      </c>
      <c r="F2758" t="s">
        <v>8118</v>
      </c>
      <c r="G2758">
        <v>14</v>
      </c>
      <c r="H2758">
        <v>1</v>
      </c>
      <c r="I2758">
        <v>13</v>
      </c>
      <c r="L2758" t="s">
        <v>8</v>
      </c>
      <c r="M2758" t="s">
        <v>5972</v>
      </c>
      <c r="N2758">
        <v>8.7368421052631575</v>
      </c>
      <c r="O2758">
        <v>0.1144578313253012</v>
      </c>
      <c r="Q2758">
        <v>0</v>
      </c>
      <c r="R2758">
        <v>0</v>
      </c>
      <c r="S2758">
        <v>83</v>
      </c>
      <c r="T2758">
        <v>9.5</v>
      </c>
      <c r="U2758">
        <v>599.93999999999994</v>
      </c>
      <c r="V2758">
        <v>83</v>
      </c>
    </row>
    <row r="2759" spans="1:22" x14ac:dyDescent="0.2">
      <c r="A2759" t="s">
        <v>2725</v>
      </c>
      <c r="B2759" t="s">
        <v>2726</v>
      </c>
      <c r="C2759" t="s">
        <v>2502</v>
      </c>
      <c r="D2759" t="s">
        <v>228</v>
      </c>
      <c r="E2759">
        <v>59.99</v>
      </c>
      <c r="F2759" t="s">
        <v>8118</v>
      </c>
      <c r="J2759">
        <v>6</v>
      </c>
      <c r="K2759">
        <v>60</v>
      </c>
      <c r="L2759" t="s">
        <v>8</v>
      </c>
      <c r="M2759" t="s">
        <v>6402</v>
      </c>
      <c r="N2759">
        <v>18</v>
      </c>
      <c r="O2759">
        <v>5.5555555555555552E-2</v>
      </c>
      <c r="Q2759">
        <v>0</v>
      </c>
      <c r="R2759">
        <v>18</v>
      </c>
      <c r="S2759">
        <v>0</v>
      </c>
      <c r="T2759">
        <v>1</v>
      </c>
      <c r="U2759">
        <v>0</v>
      </c>
      <c r="V2759">
        <v>18</v>
      </c>
    </row>
    <row r="2760" spans="1:22" x14ac:dyDescent="0.2">
      <c r="A2760" t="s">
        <v>6273</v>
      </c>
      <c r="B2760" t="s">
        <v>6274</v>
      </c>
      <c r="C2760" t="s">
        <v>2502</v>
      </c>
      <c r="D2760" t="s">
        <v>96</v>
      </c>
      <c r="E2760">
        <v>49.99</v>
      </c>
      <c r="F2760" t="s">
        <v>8118</v>
      </c>
      <c r="L2760" t="s">
        <v>8</v>
      </c>
      <c r="M2760" t="s">
        <v>6276</v>
      </c>
      <c r="N2760">
        <v>23.470588235294116</v>
      </c>
      <c r="O2760">
        <v>4.2606516290726822E-2</v>
      </c>
      <c r="Q2760">
        <v>0</v>
      </c>
      <c r="R2760">
        <v>2</v>
      </c>
      <c r="S2760">
        <v>131</v>
      </c>
      <c r="T2760">
        <v>5.666666666666667</v>
      </c>
      <c r="U2760">
        <v>249.95000000000002</v>
      </c>
      <c r="V2760">
        <v>133</v>
      </c>
    </row>
    <row r="2761" spans="1:22" x14ac:dyDescent="0.2">
      <c r="A2761" t="s">
        <v>2719</v>
      </c>
      <c r="B2761" t="s">
        <v>2720</v>
      </c>
      <c r="C2761" t="s">
        <v>2502</v>
      </c>
      <c r="D2761" t="s">
        <v>228</v>
      </c>
      <c r="E2761">
        <v>69.989999999999995</v>
      </c>
      <c r="F2761" t="s">
        <v>8118</v>
      </c>
      <c r="G2761">
        <v>401</v>
      </c>
      <c r="I2761">
        <v>401</v>
      </c>
      <c r="L2761" t="s">
        <v>8</v>
      </c>
      <c r="M2761" t="s">
        <v>6272</v>
      </c>
      <c r="N2761">
        <v>23.711538461538463</v>
      </c>
      <c r="O2761">
        <v>4.2173560421735604E-2</v>
      </c>
      <c r="Q2761">
        <v>6</v>
      </c>
      <c r="R2761">
        <v>15</v>
      </c>
      <c r="S2761">
        <v>390</v>
      </c>
      <c r="T2761">
        <v>17.333333333333332</v>
      </c>
      <c r="U2761">
        <v>979.8599999999999</v>
      </c>
      <c r="V2761">
        <v>411</v>
      </c>
    </row>
    <row r="2762" spans="1:22" x14ac:dyDescent="0.2">
      <c r="A2762" t="s">
        <v>2507</v>
      </c>
      <c r="B2762" t="s">
        <v>2508</v>
      </c>
      <c r="C2762" t="s">
        <v>2502</v>
      </c>
      <c r="D2762" t="s">
        <v>228</v>
      </c>
      <c r="E2762">
        <v>139.99</v>
      </c>
      <c r="F2762" t="s">
        <v>8118</v>
      </c>
      <c r="G2762">
        <v>113</v>
      </c>
      <c r="I2762">
        <v>113</v>
      </c>
      <c r="K2762">
        <v>640</v>
      </c>
      <c r="L2762" t="s">
        <v>8</v>
      </c>
      <c r="M2762" t="s">
        <v>6180</v>
      </c>
      <c r="N2762">
        <v>0</v>
      </c>
      <c r="O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 spans="1:22" x14ac:dyDescent="0.2">
      <c r="A2763" t="s">
        <v>6265</v>
      </c>
      <c r="B2763" t="s">
        <v>6266</v>
      </c>
      <c r="C2763" t="s">
        <v>2502</v>
      </c>
      <c r="D2763" t="s">
        <v>228</v>
      </c>
      <c r="E2763">
        <v>59.99</v>
      </c>
      <c r="F2763" t="s">
        <v>8118</v>
      </c>
      <c r="G2763">
        <v>406</v>
      </c>
      <c r="H2763">
        <v>35</v>
      </c>
      <c r="I2763">
        <v>371</v>
      </c>
      <c r="K2763">
        <v>120</v>
      </c>
      <c r="L2763" t="s">
        <v>8</v>
      </c>
      <c r="M2763" t="s">
        <v>6269</v>
      </c>
      <c r="N2763">
        <v>23.516129032258064</v>
      </c>
      <c r="O2763">
        <v>4.2524005486968455E-2</v>
      </c>
      <c r="Q2763">
        <v>14</v>
      </c>
      <c r="R2763">
        <v>27</v>
      </c>
      <c r="S2763">
        <v>445</v>
      </c>
      <c r="T2763">
        <v>20.666666666666668</v>
      </c>
      <c r="U2763">
        <v>779.87</v>
      </c>
      <c r="V2763">
        <v>486</v>
      </c>
    </row>
    <row r="2764" spans="1:22" x14ac:dyDescent="0.2">
      <c r="A2764" t="s">
        <v>2713</v>
      </c>
      <c r="B2764" t="s">
        <v>2714</v>
      </c>
      <c r="C2764" t="s">
        <v>2502</v>
      </c>
      <c r="D2764" t="s">
        <v>228</v>
      </c>
      <c r="E2764">
        <v>19.989999999999998</v>
      </c>
      <c r="F2764" t="s">
        <v>8118</v>
      </c>
      <c r="G2764">
        <v>541</v>
      </c>
      <c r="H2764">
        <v>61</v>
      </c>
      <c r="I2764">
        <v>480</v>
      </c>
      <c r="K2764">
        <v>300</v>
      </c>
      <c r="L2764" t="s">
        <v>8</v>
      </c>
      <c r="M2764" t="s">
        <v>8034</v>
      </c>
      <c r="N2764">
        <v>0</v>
      </c>
      <c r="O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 spans="1:22" x14ac:dyDescent="0.2">
      <c r="A2765" t="s">
        <v>2709</v>
      </c>
      <c r="B2765" t="s">
        <v>2710</v>
      </c>
      <c r="C2765" t="s">
        <v>2502</v>
      </c>
      <c r="D2765" t="s">
        <v>228</v>
      </c>
      <c r="E2765">
        <v>44.99</v>
      </c>
      <c r="F2765" t="s">
        <v>8118</v>
      </c>
      <c r="G2765">
        <v>4</v>
      </c>
      <c r="I2765">
        <v>4</v>
      </c>
      <c r="L2765" t="s">
        <v>8</v>
      </c>
      <c r="M2765" t="s">
        <v>8030</v>
      </c>
      <c r="N2765">
        <v>0</v>
      </c>
      <c r="O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 spans="1:22" x14ac:dyDescent="0.2">
      <c r="A2766" t="s">
        <v>2707</v>
      </c>
      <c r="B2766" t="s">
        <v>2708</v>
      </c>
      <c r="C2766" t="s">
        <v>2502</v>
      </c>
      <c r="D2766" t="s">
        <v>228</v>
      </c>
      <c r="E2766">
        <v>64.989999999999995</v>
      </c>
      <c r="F2766" t="s">
        <v>8118</v>
      </c>
      <c r="G2766">
        <v>43</v>
      </c>
      <c r="H2766">
        <v>2</v>
      </c>
      <c r="I2766">
        <v>41</v>
      </c>
      <c r="L2766" t="s">
        <v>8</v>
      </c>
      <c r="M2766" t="s">
        <v>5996</v>
      </c>
      <c r="N2766">
        <v>18.972972972972972</v>
      </c>
      <c r="O2766">
        <v>5.2706552706552709E-2</v>
      </c>
      <c r="Q2766">
        <v>0</v>
      </c>
      <c r="R2766">
        <v>40</v>
      </c>
      <c r="S2766">
        <v>77</v>
      </c>
      <c r="T2766">
        <v>6.166666666666667</v>
      </c>
      <c r="U2766">
        <v>259.95999999999998</v>
      </c>
      <c r="V2766">
        <v>117</v>
      </c>
    </row>
    <row r="2767" spans="1:22" x14ac:dyDescent="0.2">
      <c r="A2767" t="s">
        <v>7760</v>
      </c>
      <c r="B2767" t="s">
        <v>7761</v>
      </c>
      <c r="C2767" t="s">
        <v>2502</v>
      </c>
      <c r="D2767" t="s">
        <v>96</v>
      </c>
      <c r="E2767">
        <v>49.99</v>
      </c>
      <c r="F2767" t="s">
        <v>8118</v>
      </c>
      <c r="L2767" t="s">
        <v>8</v>
      </c>
      <c r="M2767" t="s">
        <v>8033</v>
      </c>
      <c r="N2767">
        <v>0</v>
      </c>
      <c r="O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 spans="1:22" x14ac:dyDescent="0.2">
      <c r="A2768" t="s">
        <v>2703</v>
      </c>
      <c r="B2768" t="s">
        <v>2704</v>
      </c>
      <c r="C2768" t="s">
        <v>2502</v>
      </c>
      <c r="D2768" t="s">
        <v>290</v>
      </c>
      <c r="E2768">
        <v>129.99</v>
      </c>
      <c r="F2768" t="s">
        <v>8118</v>
      </c>
      <c r="G2768">
        <v>97</v>
      </c>
      <c r="I2768">
        <v>97</v>
      </c>
      <c r="L2768" t="s">
        <v>8</v>
      </c>
      <c r="M2768" t="s">
        <v>6347</v>
      </c>
      <c r="N2768">
        <v>0</v>
      </c>
      <c r="O2768">
        <v>0</v>
      </c>
      <c r="Q2768">
        <v>0</v>
      </c>
      <c r="R2768">
        <v>0</v>
      </c>
      <c r="S2768">
        <v>0</v>
      </c>
      <c r="T2768">
        <v>0.91666666666666663</v>
      </c>
      <c r="U2768">
        <v>0</v>
      </c>
      <c r="V2768">
        <v>0</v>
      </c>
    </row>
    <row r="2769" spans="1:22" x14ac:dyDescent="0.2">
      <c r="A2769" t="s">
        <v>7746</v>
      </c>
      <c r="B2769" t="s">
        <v>7747</v>
      </c>
      <c r="C2769" t="s">
        <v>2502</v>
      </c>
      <c r="D2769" t="s">
        <v>96</v>
      </c>
      <c r="E2769">
        <v>39.99</v>
      </c>
      <c r="F2769" t="s">
        <v>8118</v>
      </c>
      <c r="L2769" t="s">
        <v>8</v>
      </c>
      <c r="M2769" t="s">
        <v>8024</v>
      </c>
      <c r="N2769">
        <v>0</v>
      </c>
      <c r="O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 spans="1:22" x14ac:dyDescent="0.2">
      <c r="A2770" t="s">
        <v>2505</v>
      </c>
      <c r="B2770" t="s">
        <v>2506</v>
      </c>
      <c r="C2770" t="s">
        <v>2502</v>
      </c>
      <c r="D2770" t="s">
        <v>228</v>
      </c>
      <c r="E2770">
        <v>119.99</v>
      </c>
      <c r="F2770" t="s">
        <v>8118</v>
      </c>
      <c r="G2770">
        <v>123</v>
      </c>
      <c r="I2770">
        <v>123</v>
      </c>
      <c r="L2770" t="s">
        <v>8</v>
      </c>
      <c r="M2770" t="s">
        <v>6287</v>
      </c>
      <c r="N2770">
        <v>2.25</v>
      </c>
      <c r="O2770">
        <v>0.44444444444444442</v>
      </c>
      <c r="Q2770">
        <v>1</v>
      </c>
      <c r="R2770">
        <v>2</v>
      </c>
      <c r="S2770">
        <v>0</v>
      </c>
      <c r="T2770">
        <v>1.3333333333333333</v>
      </c>
      <c r="U2770">
        <v>0</v>
      </c>
      <c r="V2770">
        <v>3</v>
      </c>
    </row>
    <row r="2771" spans="1:22" x14ac:dyDescent="0.2">
      <c r="A2771" t="s">
        <v>2503</v>
      </c>
      <c r="B2771" t="s">
        <v>2504</v>
      </c>
      <c r="C2771" t="s">
        <v>2502</v>
      </c>
      <c r="D2771" t="s">
        <v>228</v>
      </c>
      <c r="E2771">
        <v>129.99</v>
      </c>
      <c r="F2771" t="s">
        <v>8118</v>
      </c>
      <c r="G2771">
        <v>118</v>
      </c>
      <c r="H2771">
        <v>9</v>
      </c>
      <c r="I2771">
        <v>109</v>
      </c>
      <c r="K2771">
        <v>538</v>
      </c>
      <c r="L2771" t="s">
        <v>8</v>
      </c>
      <c r="M2771" t="s">
        <v>6178</v>
      </c>
      <c r="N2771">
        <v>0</v>
      </c>
      <c r="O2771">
        <v>0</v>
      </c>
      <c r="Q2771">
        <v>0</v>
      </c>
      <c r="R2771">
        <v>0</v>
      </c>
      <c r="S2771">
        <v>0</v>
      </c>
      <c r="T2771">
        <v>0.5</v>
      </c>
      <c r="U2771">
        <v>0</v>
      </c>
      <c r="V2771">
        <v>0</v>
      </c>
    </row>
    <row r="2772" spans="1:22" x14ac:dyDescent="0.2">
      <c r="A2772" t="s">
        <v>6024</v>
      </c>
      <c r="B2772" t="s">
        <v>6025</v>
      </c>
      <c r="C2772" t="s">
        <v>2502</v>
      </c>
      <c r="D2772" t="s">
        <v>228</v>
      </c>
      <c r="E2772">
        <v>29.99</v>
      </c>
      <c r="F2772" t="s">
        <v>8118</v>
      </c>
      <c r="G2772">
        <v>178</v>
      </c>
      <c r="H2772">
        <v>1</v>
      </c>
      <c r="I2772">
        <v>177</v>
      </c>
      <c r="K2772">
        <v>100</v>
      </c>
      <c r="L2772" t="s">
        <v>8</v>
      </c>
      <c r="M2772" t="s">
        <v>6028</v>
      </c>
      <c r="N2772">
        <v>7.2380952380952381</v>
      </c>
      <c r="O2772">
        <v>0.13815789473684212</v>
      </c>
      <c r="Q2772">
        <v>0</v>
      </c>
      <c r="R2772">
        <v>38</v>
      </c>
      <c r="S2772">
        <v>0</v>
      </c>
      <c r="T2772">
        <v>5.25</v>
      </c>
      <c r="U2772">
        <v>149.94999999999999</v>
      </c>
      <c r="V2772">
        <v>38</v>
      </c>
    </row>
    <row r="2773" spans="1:22" x14ac:dyDescent="0.2">
      <c r="A2773" t="s">
        <v>6073</v>
      </c>
      <c r="B2773" t="s">
        <v>6074</v>
      </c>
      <c r="C2773" t="s">
        <v>2502</v>
      </c>
      <c r="D2773" t="s">
        <v>96</v>
      </c>
      <c r="E2773">
        <v>59.99</v>
      </c>
      <c r="F2773" t="s">
        <v>8118</v>
      </c>
      <c r="L2773" t="s">
        <v>8</v>
      </c>
      <c r="M2773" t="s">
        <v>6076</v>
      </c>
      <c r="N2773">
        <v>0</v>
      </c>
      <c r="O2773">
        <v>0</v>
      </c>
      <c r="Q2773">
        <v>0</v>
      </c>
      <c r="R2773">
        <v>0</v>
      </c>
      <c r="S2773">
        <v>0</v>
      </c>
      <c r="T2773">
        <v>1.25</v>
      </c>
      <c r="U2773">
        <v>0</v>
      </c>
      <c r="V2773">
        <v>0</v>
      </c>
    </row>
    <row r="2774" spans="1:22" x14ac:dyDescent="0.2">
      <c r="A2774" t="s">
        <v>6068</v>
      </c>
      <c r="B2774" t="s">
        <v>6069</v>
      </c>
      <c r="C2774" t="s">
        <v>2502</v>
      </c>
      <c r="D2774" t="s">
        <v>228</v>
      </c>
      <c r="E2774">
        <v>59.99</v>
      </c>
      <c r="F2774" t="s">
        <v>8118</v>
      </c>
      <c r="G2774">
        <v>8</v>
      </c>
      <c r="I2774">
        <v>8</v>
      </c>
      <c r="K2774">
        <v>20</v>
      </c>
      <c r="L2774" t="s">
        <v>8</v>
      </c>
      <c r="M2774" t="s">
        <v>6072</v>
      </c>
      <c r="N2774">
        <v>8</v>
      </c>
      <c r="O2774">
        <v>0.125</v>
      </c>
      <c r="Q2774">
        <v>0</v>
      </c>
      <c r="R2774">
        <v>14</v>
      </c>
      <c r="S2774">
        <v>0</v>
      </c>
      <c r="T2774">
        <v>1.75</v>
      </c>
      <c r="U2774">
        <v>179.97</v>
      </c>
      <c r="V2774">
        <v>14</v>
      </c>
    </row>
    <row r="2775" spans="1:22" x14ac:dyDescent="0.2">
      <c r="A2775" t="s">
        <v>6056</v>
      </c>
      <c r="B2775" t="s">
        <v>6057</v>
      </c>
      <c r="C2775" t="s">
        <v>2502</v>
      </c>
      <c r="D2775" t="s">
        <v>96</v>
      </c>
      <c r="E2775">
        <v>59.99</v>
      </c>
      <c r="F2775" t="s">
        <v>8118</v>
      </c>
      <c r="L2775" t="s">
        <v>8</v>
      </c>
      <c r="M2775" t="s">
        <v>6059</v>
      </c>
      <c r="N2775">
        <v>7.6363636363636367</v>
      </c>
      <c r="O2775">
        <v>0.13095238095238096</v>
      </c>
      <c r="Q2775">
        <v>0</v>
      </c>
      <c r="R2775">
        <v>14</v>
      </c>
      <c r="S2775">
        <v>0</v>
      </c>
      <c r="T2775">
        <v>1.8333333333333333</v>
      </c>
      <c r="U2775">
        <v>539.91</v>
      </c>
      <c r="V2775">
        <v>14</v>
      </c>
    </row>
    <row r="2776" spans="1:22" x14ac:dyDescent="0.2">
      <c r="A2776" t="s">
        <v>6064</v>
      </c>
      <c r="B2776" t="s">
        <v>6065</v>
      </c>
      <c r="C2776" t="s">
        <v>2502</v>
      </c>
      <c r="D2776" t="s">
        <v>228</v>
      </c>
      <c r="E2776">
        <v>59.99</v>
      </c>
      <c r="F2776" t="s">
        <v>8118</v>
      </c>
      <c r="G2776">
        <v>8</v>
      </c>
      <c r="H2776">
        <v>2</v>
      </c>
      <c r="I2776">
        <v>6</v>
      </c>
      <c r="K2776">
        <v>20</v>
      </c>
      <c r="L2776" t="s">
        <v>8</v>
      </c>
      <c r="M2776" t="s">
        <v>6067</v>
      </c>
      <c r="N2776">
        <v>2.25</v>
      </c>
      <c r="O2776">
        <v>0.44444444444444442</v>
      </c>
      <c r="Q2776">
        <v>0</v>
      </c>
      <c r="R2776">
        <v>9</v>
      </c>
      <c r="S2776">
        <v>0</v>
      </c>
      <c r="T2776">
        <v>4</v>
      </c>
      <c r="U2776">
        <v>119.98</v>
      </c>
      <c r="V2776">
        <v>9</v>
      </c>
    </row>
    <row r="2777" spans="1:22" x14ac:dyDescent="0.2">
      <c r="A2777" t="s">
        <v>6052</v>
      </c>
      <c r="B2777" t="s">
        <v>6053</v>
      </c>
      <c r="C2777" t="s">
        <v>2502</v>
      </c>
      <c r="D2777" t="s">
        <v>96</v>
      </c>
      <c r="E2777">
        <v>59.99</v>
      </c>
      <c r="F2777" t="s">
        <v>8118</v>
      </c>
      <c r="L2777" t="s">
        <v>8</v>
      </c>
      <c r="M2777" t="s">
        <v>6055</v>
      </c>
      <c r="N2777">
        <v>1.4117647058823528</v>
      </c>
      <c r="O2777">
        <v>0.70833333333333337</v>
      </c>
      <c r="Q2777">
        <v>0</v>
      </c>
      <c r="R2777">
        <v>4</v>
      </c>
      <c r="S2777">
        <v>0</v>
      </c>
      <c r="T2777">
        <v>2.8333333333333335</v>
      </c>
      <c r="U2777">
        <v>59.99</v>
      </c>
      <c r="V2777">
        <v>4</v>
      </c>
    </row>
    <row r="2778" spans="1:22" x14ac:dyDescent="0.2">
      <c r="A2778" t="s">
        <v>6019</v>
      </c>
      <c r="B2778" t="s">
        <v>6020</v>
      </c>
      <c r="C2778" t="s">
        <v>2502</v>
      </c>
      <c r="D2778" t="s">
        <v>228</v>
      </c>
      <c r="E2778">
        <v>29.99</v>
      </c>
      <c r="F2778" t="s">
        <v>8118</v>
      </c>
      <c r="G2778">
        <v>34</v>
      </c>
      <c r="I2778">
        <v>34</v>
      </c>
      <c r="L2778" t="s">
        <v>8</v>
      </c>
      <c r="M2778" t="s">
        <v>6023</v>
      </c>
      <c r="N2778">
        <v>10.285714285714286</v>
      </c>
      <c r="O2778">
        <v>9.7222222222222224E-2</v>
      </c>
      <c r="Q2778">
        <v>0</v>
      </c>
      <c r="R2778">
        <v>18</v>
      </c>
      <c r="S2778">
        <v>0</v>
      </c>
      <c r="T2778">
        <v>1.75</v>
      </c>
      <c r="U2778">
        <v>0</v>
      </c>
      <c r="V2778">
        <v>18</v>
      </c>
    </row>
    <row r="2779" spans="1:22" x14ac:dyDescent="0.2">
      <c r="A2779" t="s">
        <v>6060</v>
      </c>
      <c r="B2779" t="s">
        <v>6061</v>
      </c>
      <c r="C2779" t="s">
        <v>2502</v>
      </c>
      <c r="D2779" t="s">
        <v>228</v>
      </c>
      <c r="E2779">
        <v>59.99</v>
      </c>
      <c r="F2779" t="s">
        <v>8118</v>
      </c>
      <c r="G2779">
        <v>74</v>
      </c>
      <c r="H2779">
        <v>1</v>
      </c>
      <c r="I2779">
        <v>73</v>
      </c>
      <c r="K2779">
        <v>60</v>
      </c>
      <c r="L2779" t="s">
        <v>8</v>
      </c>
      <c r="M2779" t="s">
        <v>6063</v>
      </c>
      <c r="N2779">
        <v>7.9148936170212769</v>
      </c>
      <c r="O2779">
        <v>0.12634408602150538</v>
      </c>
      <c r="Q2779">
        <v>0</v>
      </c>
      <c r="R2779">
        <v>61</v>
      </c>
      <c r="S2779">
        <v>1</v>
      </c>
      <c r="T2779">
        <v>7.833333333333333</v>
      </c>
      <c r="U2779">
        <v>419.93</v>
      </c>
      <c r="V2779">
        <v>62</v>
      </c>
    </row>
    <row r="2780" spans="1:22" x14ac:dyDescent="0.2">
      <c r="A2780" t="s">
        <v>2585</v>
      </c>
      <c r="B2780" t="s">
        <v>2586</v>
      </c>
      <c r="C2780" t="s">
        <v>2502</v>
      </c>
      <c r="D2780" t="s">
        <v>228</v>
      </c>
      <c r="E2780">
        <v>89.99</v>
      </c>
      <c r="F2780" t="s">
        <v>8118</v>
      </c>
      <c r="G2780">
        <v>45</v>
      </c>
      <c r="H2780">
        <v>6</v>
      </c>
      <c r="I2780">
        <v>39</v>
      </c>
      <c r="L2780" t="s">
        <v>8</v>
      </c>
      <c r="M2780" t="s">
        <v>6109</v>
      </c>
      <c r="N2780">
        <v>95.58620689655173</v>
      </c>
      <c r="O2780">
        <v>1.0461760461760462E-2</v>
      </c>
      <c r="Q2780">
        <v>1</v>
      </c>
      <c r="R2780">
        <v>13</v>
      </c>
      <c r="S2780">
        <v>217</v>
      </c>
      <c r="T2780">
        <v>2.4166666666666665</v>
      </c>
      <c r="U2780">
        <v>89.99</v>
      </c>
      <c r="V2780">
        <v>231</v>
      </c>
    </row>
    <row r="2781" spans="1:22" x14ac:dyDescent="0.2">
      <c r="A2781" t="s">
        <v>2583</v>
      </c>
      <c r="B2781" t="s">
        <v>2584</v>
      </c>
      <c r="C2781" t="s">
        <v>2502</v>
      </c>
      <c r="D2781" t="s">
        <v>228</v>
      </c>
      <c r="E2781">
        <v>79.989999999999995</v>
      </c>
      <c r="F2781" t="s">
        <v>8118</v>
      </c>
      <c r="G2781">
        <v>14</v>
      </c>
      <c r="I2781">
        <v>14</v>
      </c>
      <c r="L2781" t="s">
        <v>8</v>
      </c>
      <c r="M2781" t="s">
        <v>6107</v>
      </c>
      <c r="N2781">
        <v>1.3333333333333333</v>
      </c>
      <c r="O2781">
        <v>0.75</v>
      </c>
      <c r="Q2781">
        <v>0</v>
      </c>
      <c r="R2781">
        <v>0</v>
      </c>
      <c r="S2781">
        <v>20</v>
      </c>
      <c r="T2781">
        <v>15</v>
      </c>
      <c r="U2781">
        <v>559.92999999999995</v>
      </c>
      <c r="V2781">
        <v>20</v>
      </c>
    </row>
    <row r="2782" spans="1:22" x14ac:dyDescent="0.2">
      <c r="A2782" t="s">
        <v>2581</v>
      </c>
      <c r="B2782" t="s">
        <v>2582</v>
      </c>
      <c r="C2782" t="s">
        <v>2502</v>
      </c>
      <c r="D2782" t="s">
        <v>228</v>
      </c>
      <c r="E2782">
        <v>79.989999999999995</v>
      </c>
      <c r="F2782" t="s">
        <v>8118</v>
      </c>
      <c r="G2782">
        <v>157</v>
      </c>
      <c r="H2782">
        <v>24</v>
      </c>
      <c r="I2782">
        <v>133</v>
      </c>
      <c r="L2782" t="s">
        <v>8</v>
      </c>
      <c r="M2782" t="s">
        <v>6105</v>
      </c>
      <c r="N2782">
        <v>15.724137931034482</v>
      </c>
      <c r="O2782">
        <v>6.3596491228070179E-2</v>
      </c>
      <c r="Q2782">
        <v>12</v>
      </c>
      <c r="R2782">
        <v>10</v>
      </c>
      <c r="S2782">
        <v>168</v>
      </c>
      <c r="T2782">
        <v>12.083333333333334</v>
      </c>
      <c r="U2782">
        <v>1039.8699999999999</v>
      </c>
      <c r="V2782">
        <v>190</v>
      </c>
    </row>
    <row r="2783" spans="1:22" x14ac:dyDescent="0.2">
      <c r="A2783" t="s">
        <v>2579</v>
      </c>
      <c r="B2783" t="s">
        <v>7627</v>
      </c>
      <c r="C2783" t="s">
        <v>2502</v>
      </c>
      <c r="D2783" t="s">
        <v>228</v>
      </c>
      <c r="E2783">
        <v>79.989999999999995</v>
      </c>
      <c r="F2783" t="s">
        <v>8118</v>
      </c>
      <c r="G2783">
        <v>35</v>
      </c>
      <c r="I2783">
        <v>35</v>
      </c>
      <c r="L2783" t="s">
        <v>8</v>
      </c>
      <c r="M2783" t="s">
        <v>6103</v>
      </c>
      <c r="N2783">
        <v>7.1632653061224492</v>
      </c>
      <c r="O2783">
        <v>0.1396011396011396</v>
      </c>
      <c r="Q2783">
        <v>0</v>
      </c>
      <c r="R2783">
        <v>0</v>
      </c>
      <c r="S2783">
        <v>117</v>
      </c>
      <c r="T2783">
        <v>16.333333333333332</v>
      </c>
      <c r="U2783">
        <v>1359.83</v>
      </c>
      <c r="V2783">
        <v>117</v>
      </c>
    </row>
    <row r="2784" spans="1:22" x14ac:dyDescent="0.2">
      <c r="A2784" t="s">
        <v>2577</v>
      </c>
      <c r="B2784" t="s">
        <v>7019</v>
      </c>
      <c r="C2784" t="s">
        <v>2502</v>
      </c>
      <c r="D2784" t="s">
        <v>228</v>
      </c>
      <c r="E2784">
        <v>79.989999999999995</v>
      </c>
      <c r="F2784" t="s">
        <v>8118</v>
      </c>
      <c r="G2784">
        <v>210</v>
      </c>
      <c r="H2784">
        <v>65</v>
      </c>
      <c r="I2784">
        <v>145</v>
      </c>
      <c r="K2784">
        <v>150</v>
      </c>
      <c r="L2784" t="s">
        <v>8</v>
      </c>
      <c r="M2784" t="s">
        <v>6101</v>
      </c>
      <c r="N2784">
        <v>7.1906614785992211</v>
      </c>
      <c r="O2784">
        <v>0.13906926406926406</v>
      </c>
      <c r="Q2784">
        <v>8</v>
      </c>
      <c r="R2784">
        <v>29</v>
      </c>
      <c r="S2784">
        <v>271</v>
      </c>
      <c r="T2784">
        <v>42.833333333333336</v>
      </c>
      <c r="U2784">
        <v>4719.41</v>
      </c>
      <c r="V2784">
        <v>308</v>
      </c>
    </row>
    <row r="2785" spans="1:22" x14ac:dyDescent="0.2">
      <c r="A2785" t="s">
        <v>2571</v>
      </c>
      <c r="B2785" t="s">
        <v>2572</v>
      </c>
      <c r="C2785" t="s">
        <v>2502</v>
      </c>
      <c r="D2785" t="s">
        <v>228</v>
      </c>
      <c r="E2785">
        <v>119.99</v>
      </c>
      <c r="F2785" t="s">
        <v>8118</v>
      </c>
      <c r="G2785">
        <v>263</v>
      </c>
      <c r="H2785">
        <v>131</v>
      </c>
      <c r="I2785">
        <v>132</v>
      </c>
      <c r="K2785">
        <v>340</v>
      </c>
      <c r="L2785" t="s">
        <v>8</v>
      </c>
      <c r="M2785" t="s">
        <v>6382</v>
      </c>
      <c r="N2785">
        <v>2.5263157894736841</v>
      </c>
      <c r="O2785">
        <v>0.39583333333333331</v>
      </c>
      <c r="Q2785">
        <v>0</v>
      </c>
      <c r="R2785">
        <v>11</v>
      </c>
      <c r="S2785">
        <v>1</v>
      </c>
      <c r="T2785">
        <v>4.75</v>
      </c>
      <c r="U2785">
        <v>599.94999999999993</v>
      </c>
      <c r="V2785">
        <v>12</v>
      </c>
    </row>
    <row r="2786" spans="1:22" x14ac:dyDescent="0.2">
      <c r="A2786" t="s">
        <v>2587</v>
      </c>
      <c r="B2786" t="s">
        <v>2588</v>
      </c>
      <c r="C2786" t="s">
        <v>2502</v>
      </c>
      <c r="D2786" t="s">
        <v>228</v>
      </c>
      <c r="E2786">
        <v>89.99</v>
      </c>
      <c r="F2786" t="s">
        <v>8118</v>
      </c>
      <c r="G2786">
        <v>27</v>
      </c>
      <c r="I2786">
        <v>27</v>
      </c>
      <c r="L2786" t="s">
        <v>8</v>
      </c>
      <c r="M2786" t="s">
        <v>6112</v>
      </c>
      <c r="N2786">
        <v>5.5155279503105596</v>
      </c>
      <c r="O2786">
        <v>0.18130630630630629</v>
      </c>
      <c r="Q2786">
        <v>0</v>
      </c>
      <c r="R2786">
        <v>13</v>
      </c>
      <c r="S2786">
        <v>61</v>
      </c>
      <c r="T2786">
        <v>13.416666666666666</v>
      </c>
      <c r="U2786">
        <v>359.96</v>
      </c>
      <c r="V2786">
        <v>74</v>
      </c>
    </row>
    <row r="2787" spans="1:22" x14ac:dyDescent="0.2">
      <c r="A2787" t="s">
        <v>2569</v>
      </c>
      <c r="B2787" t="s">
        <v>2570</v>
      </c>
      <c r="C2787" t="s">
        <v>2502</v>
      </c>
      <c r="D2787" t="s">
        <v>228</v>
      </c>
      <c r="E2787">
        <v>39.99</v>
      </c>
      <c r="F2787" t="s">
        <v>8118</v>
      </c>
      <c r="G2787">
        <v>328</v>
      </c>
      <c r="H2787">
        <v>28</v>
      </c>
      <c r="I2787">
        <v>300</v>
      </c>
      <c r="K2787">
        <v>400</v>
      </c>
      <c r="L2787" t="s">
        <v>8</v>
      </c>
      <c r="M2787" t="s">
        <v>5981</v>
      </c>
      <c r="N2787">
        <v>12.138328530259365</v>
      </c>
      <c r="O2787">
        <v>8.2383665716999052E-2</v>
      </c>
      <c r="Q2787">
        <v>4</v>
      </c>
      <c r="R2787">
        <v>33</v>
      </c>
      <c r="S2787">
        <v>314</v>
      </c>
      <c r="T2787">
        <v>28.916666666666668</v>
      </c>
      <c r="U2787">
        <v>1319.67</v>
      </c>
      <c r="V2787">
        <v>351</v>
      </c>
    </row>
    <row r="2788" spans="1:22" x14ac:dyDescent="0.2">
      <c r="A2788" t="s">
        <v>6029</v>
      </c>
      <c r="B2788" t="s">
        <v>6030</v>
      </c>
      <c r="C2788" t="s">
        <v>2502</v>
      </c>
      <c r="D2788" t="s">
        <v>228</v>
      </c>
      <c r="E2788">
        <v>29.99</v>
      </c>
      <c r="F2788" t="s">
        <v>8118</v>
      </c>
      <c r="G2788">
        <v>108</v>
      </c>
      <c r="H2788">
        <v>1</v>
      </c>
      <c r="I2788">
        <v>107</v>
      </c>
      <c r="K2788">
        <v>50</v>
      </c>
      <c r="L2788" t="s">
        <v>8</v>
      </c>
      <c r="M2788" t="s">
        <v>6033</v>
      </c>
      <c r="N2788">
        <v>10.5</v>
      </c>
      <c r="O2788">
        <v>9.5238095238095233E-2</v>
      </c>
      <c r="Q2788">
        <v>0</v>
      </c>
      <c r="R2788">
        <v>21</v>
      </c>
      <c r="S2788">
        <v>0</v>
      </c>
      <c r="T2788">
        <v>2</v>
      </c>
      <c r="U2788">
        <v>119.96</v>
      </c>
      <c r="V2788">
        <v>21</v>
      </c>
    </row>
    <row r="2789" spans="1:22" x14ac:dyDescent="0.2">
      <c r="A2789" t="s">
        <v>2591</v>
      </c>
      <c r="B2789" t="s">
        <v>2592</v>
      </c>
      <c r="C2789" t="s">
        <v>2502</v>
      </c>
      <c r="D2789" t="s">
        <v>228</v>
      </c>
      <c r="E2789">
        <v>49.99</v>
      </c>
      <c r="F2789" t="s">
        <v>8118</v>
      </c>
      <c r="G2789">
        <v>28</v>
      </c>
      <c r="I2789">
        <v>28</v>
      </c>
      <c r="L2789" t="s">
        <v>8</v>
      </c>
      <c r="M2789" t="s">
        <v>5938</v>
      </c>
      <c r="N2789">
        <v>68</v>
      </c>
      <c r="O2789">
        <v>1.4705882352941176E-2</v>
      </c>
      <c r="Q2789">
        <v>1</v>
      </c>
      <c r="R2789">
        <v>16</v>
      </c>
      <c r="S2789">
        <v>0</v>
      </c>
      <c r="T2789">
        <v>0.25</v>
      </c>
      <c r="U2789">
        <v>49.99</v>
      </c>
      <c r="V2789">
        <v>17</v>
      </c>
    </row>
    <row r="2790" spans="1:22" x14ac:dyDescent="0.2">
      <c r="A2790" t="s">
        <v>2559</v>
      </c>
      <c r="B2790" t="s">
        <v>2560</v>
      </c>
      <c r="C2790" t="s">
        <v>2502</v>
      </c>
      <c r="D2790" t="s">
        <v>228</v>
      </c>
      <c r="E2790">
        <v>17.989999999999998</v>
      </c>
      <c r="F2790" t="s">
        <v>8118</v>
      </c>
      <c r="G2790">
        <v>38</v>
      </c>
      <c r="I2790">
        <v>38</v>
      </c>
      <c r="L2790" t="s">
        <v>8</v>
      </c>
      <c r="M2790" t="s">
        <v>6175</v>
      </c>
      <c r="N2790">
        <v>2.6666666666666665</v>
      </c>
      <c r="O2790">
        <v>0.375</v>
      </c>
      <c r="Q2790">
        <v>0</v>
      </c>
      <c r="R2790">
        <v>8</v>
      </c>
      <c r="S2790">
        <v>0</v>
      </c>
      <c r="T2790">
        <v>3</v>
      </c>
      <c r="U2790">
        <v>53.97</v>
      </c>
      <c r="V2790">
        <v>8</v>
      </c>
    </row>
    <row r="2791" spans="1:22" x14ac:dyDescent="0.2">
      <c r="A2791" t="s">
        <v>7157</v>
      </c>
      <c r="B2791" t="s">
        <v>7159</v>
      </c>
      <c r="C2791" t="s">
        <v>2502</v>
      </c>
      <c r="D2791" t="s">
        <v>96</v>
      </c>
      <c r="E2791">
        <v>89.99</v>
      </c>
      <c r="F2791" t="s">
        <v>8118</v>
      </c>
      <c r="L2791" t="s">
        <v>8</v>
      </c>
      <c r="M2791" t="s">
        <v>8006</v>
      </c>
      <c r="N2791">
        <v>0</v>
      </c>
      <c r="O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 spans="1:22" x14ac:dyDescent="0.2">
      <c r="A2792" t="s">
        <v>2557</v>
      </c>
      <c r="B2792" t="s">
        <v>2558</v>
      </c>
      <c r="C2792" t="s">
        <v>2502</v>
      </c>
      <c r="D2792" t="s">
        <v>228</v>
      </c>
      <c r="E2792">
        <v>179.99</v>
      </c>
      <c r="F2792" t="s">
        <v>8118</v>
      </c>
      <c r="G2792">
        <v>13</v>
      </c>
      <c r="I2792">
        <v>13</v>
      </c>
      <c r="K2792">
        <v>20</v>
      </c>
      <c r="L2792" t="s">
        <v>8</v>
      </c>
      <c r="M2792" t="s">
        <v>6264</v>
      </c>
      <c r="N2792">
        <v>3.4285714285714284</v>
      </c>
      <c r="O2792">
        <v>0.29166666666666669</v>
      </c>
      <c r="Q2792">
        <v>0</v>
      </c>
      <c r="R2792">
        <v>2</v>
      </c>
      <c r="S2792">
        <v>0</v>
      </c>
      <c r="T2792">
        <v>0.58333333333333337</v>
      </c>
      <c r="U2792">
        <v>179.99</v>
      </c>
      <c r="V2792">
        <v>2</v>
      </c>
    </row>
    <row r="2793" spans="1:22" x14ac:dyDescent="0.2">
      <c r="A2793" t="s">
        <v>6240</v>
      </c>
      <c r="B2793" t="s">
        <v>6241</v>
      </c>
      <c r="C2793" t="s">
        <v>2502</v>
      </c>
      <c r="D2793" t="s">
        <v>96</v>
      </c>
      <c r="E2793">
        <v>179.99</v>
      </c>
      <c r="F2793" t="s">
        <v>8118</v>
      </c>
      <c r="L2793" t="s">
        <v>8</v>
      </c>
      <c r="M2793" t="s">
        <v>8018</v>
      </c>
      <c r="N2793">
        <v>0</v>
      </c>
      <c r="O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 spans="1:22" x14ac:dyDescent="0.2">
      <c r="A2794" t="s">
        <v>2687</v>
      </c>
      <c r="B2794" t="s">
        <v>2688</v>
      </c>
      <c r="C2794" t="s">
        <v>2502</v>
      </c>
      <c r="D2794" t="s">
        <v>228</v>
      </c>
      <c r="E2794">
        <v>159.99</v>
      </c>
      <c r="F2794" t="s">
        <v>8118</v>
      </c>
      <c r="G2794">
        <v>255</v>
      </c>
      <c r="H2794">
        <v>22</v>
      </c>
      <c r="I2794">
        <v>233</v>
      </c>
      <c r="K2794">
        <v>240</v>
      </c>
      <c r="L2794" t="s">
        <v>8</v>
      </c>
      <c r="M2794" t="s">
        <v>6229</v>
      </c>
      <c r="N2794">
        <v>19.80368098159509</v>
      </c>
      <c r="O2794">
        <v>5.0495662949194553E-2</v>
      </c>
      <c r="Q2794">
        <v>1</v>
      </c>
      <c r="R2794">
        <v>0</v>
      </c>
      <c r="S2794">
        <v>268</v>
      </c>
      <c r="T2794">
        <v>13.583333333333334</v>
      </c>
      <c r="U2794">
        <v>3519.78</v>
      </c>
      <c r="V2794">
        <v>269</v>
      </c>
    </row>
    <row r="2795" spans="1:22" x14ac:dyDescent="0.2">
      <c r="A2795" t="s">
        <v>2595</v>
      </c>
      <c r="B2795" t="s">
        <v>2596</v>
      </c>
      <c r="C2795" t="s">
        <v>2502</v>
      </c>
      <c r="D2795" t="s">
        <v>228</v>
      </c>
      <c r="E2795">
        <v>49.99</v>
      </c>
      <c r="F2795" t="s">
        <v>8118</v>
      </c>
      <c r="J2795">
        <v>1</v>
      </c>
      <c r="K2795">
        <v>40</v>
      </c>
      <c r="L2795" t="s">
        <v>8</v>
      </c>
      <c r="M2795" t="s">
        <v>5943</v>
      </c>
      <c r="N2795">
        <v>5.5714285714285712</v>
      </c>
      <c r="O2795">
        <v>0.17948717948717949</v>
      </c>
      <c r="Q2795">
        <v>0</v>
      </c>
      <c r="R2795">
        <v>6</v>
      </c>
      <c r="S2795">
        <v>7</v>
      </c>
      <c r="T2795">
        <v>2.3333333333333335</v>
      </c>
      <c r="U2795">
        <v>99.98</v>
      </c>
      <c r="V2795">
        <v>13</v>
      </c>
    </row>
    <row r="2796" spans="1:22" x14ac:dyDescent="0.2">
      <c r="A2796" t="s">
        <v>2683</v>
      </c>
      <c r="B2796" t="s">
        <v>2684</v>
      </c>
      <c r="C2796" t="s">
        <v>2502</v>
      </c>
      <c r="D2796" t="s">
        <v>290</v>
      </c>
      <c r="E2796">
        <v>89.99</v>
      </c>
      <c r="F2796" t="s">
        <v>8118</v>
      </c>
      <c r="G2796">
        <v>29</v>
      </c>
      <c r="I2796">
        <v>29</v>
      </c>
      <c r="L2796" t="s">
        <v>8</v>
      </c>
      <c r="M2796" t="s">
        <v>8035</v>
      </c>
      <c r="N2796">
        <v>0</v>
      </c>
      <c r="O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 spans="1:22" x14ac:dyDescent="0.2">
      <c r="A2797" t="s">
        <v>2665</v>
      </c>
      <c r="B2797" t="s">
        <v>2666</v>
      </c>
      <c r="C2797" t="s">
        <v>2502</v>
      </c>
      <c r="D2797" t="s">
        <v>228</v>
      </c>
      <c r="E2797">
        <v>64.989999999999995</v>
      </c>
      <c r="F2797" t="s">
        <v>8118</v>
      </c>
      <c r="G2797">
        <v>420</v>
      </c>
      <c r="H2797">
        <v>30</v>
      </c>
      <c r="I2797">
        <v>390</v>
      </c>
      <c r="K2797">
        <v>280</v>
      </c>
      <c r="L2797" t="s">
        <v>8</v>
      </c>
      <c r="M2797" t="s">
        <v>6183</v>
      </c>
      <c r="N2797">
        <v>19.235294117647058</v>
      </c>
      <c r="O2797">
        <v>5.1987767584097858E-2</v>
      </c>
      <c r="Q2797">
        <v>7</v>
      </c>
      <c r="R2797">
        <v>55</v>
      </c>
      <c r="S2797">
        <v>265</v>
      </c>
      <c r="T2797">
        <v>17</v>
      </c>
      <c r="U2797">
        <v>909.8599999999999</v>
      </c>
      <c r="V2797">
        <v>327</v>
      </c>
    </row>
    <row r="2798" spans="1:22" x14ac:dyDescent="0.2">
      <c r="A2798" t="s">
        <v>2659</v>
      </c>
      <c r="B2798" t="s">
        <v>2660</v>
      </c>
      <c r="C2798" t="s">
        <v>2502</v>
      </c>
      <c r="D2798" t="s">
        <v>228</v>
      </c>
      <c r="E2798">
        <v>199.99</v>
      </c>
      <c r="F2798" t="s">
        <v>8118</v>
      </c>
      <c r="G2798">
        <v>22</v>
      </c>
      <c r="I2798">
        <v>22</v>
      </c>
      <c r="L2798" t="s">
        <v>8</v>
      </c>
      <c r="M2798" t="s">
        <v>6392</v>
      </c>
      <c r="N2798">
        <v>0</v>
      </c>
      <c r="O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 spans="1:22" x14ac:dyDescent="0.2">
      <c r="A2799" t="s">
        <v>2655</v>
      </c>
      <c r="B2799" t="s">
        <v>2656</v>
      </c>
      <c r="C2799" t="s">
        <v>2502</v>
      </c>
      <c r="D2799" t="s">
        <v>228</v>
      </c>
      <c r="E2799">
        <v>79.989999999999995</v>
      </c>
      <c r="F2799" t="s">
        <v>8118</v>
      </c>
      <c r="L2799" t="s">
        <v>8</v>
      </c>
      <c r="M2799" t="s">
        <v>6399</v>
      </c>
      <c r="N2799">
        <v>26.4</v>
      </c>
      <c r="O2799">
        <v>3.787878787878788E-2</v>
      </c>
      <c r="Q2799">
        <v>0</v>
      </c>
      <c r="R2799">
        <v>11</v>
      </c>
      <c r="S2799">
        <v>0</v>
      </c>
      <c r="T2799">
        <v>0.41666666666666669</v>
      </c>
      <c r="U2799">
        <v>319.95999999999998</v>
      </c>
      <c r="V2799">
        <v>11</v>
      </c>
    </row>
    <row r="2800" spans="1:22" x14ac:dyDescent="0.2">
      <c r="A2800" t="s">
        <v>2643</v>
      </c>
      <c r="B2800" t="s">
        <v>2644</v>
      </c>
      <c r="C2800" t="s">
        <v>2502</v>
      </c>
      <c r="D2800" t="s">
        <v>228</v>
      </c>
      <c r="E2800">
        <v>124.99</v>
      </c>
      <c r="F2800" t="s">
        <v>8118</v>
      </c>
      <c r="G2800">
        <v>8</v>
      </c>
      <c r="H2800">
        <v>1</v>
      </c>
      <c r="I2800">
        <v>7</v>
      </c>
      <c r="K2800">
        <v>20</v>
      </c>
      <c r="L2800" t="s">
        <v>8</v>
      </c>
      <c r="M2800" t="s">
        <v>5987</v>
      </c>
      <c r="N2800">
        <v>15.692307692307693</v>
      </c>
      <c r="O2800">
        <v>6.3725490196078427E-2</v>
      </c>
      <c r="Q2800">
        <v>0</v>
      </c>
      <c r="R2800">
        <v>16</v>
      </c>
      <c r="S2800">
        <v>1</v>
      </c>
      <c r="T2800">
        <v>1.0833333333333333</v>
      </c>
      <c r="U2800">
        <v>124.99</v>
      </c>
      <c r="V2800">
        <v>17</v>
      </c>
    </row>
    <row r="2801" spans="1:22" x14ac:dyDescent="0.2">
      <c r="A2801" t="s">
        <v>2759</v>
      </c>
      <c r="B2801" t="s">
        <v>2760</v>
      </c>
      <c r="C2801" t="s">
        <v>2502</v>
      </c>
      <c r="D2801" t="s">
        <v>290</v>
      </c>
      <c r="E2801">
        <v>119.99</v>
      </c>
      <c r="F2801" t="s">
        <v>8118</v>
      </c>
      <c r="L2801" t="s">
        <v>8</v>
      </c>
      <c r="M2801" t="s">
        <v>5963</v>
      </c>
      <c r="N2801">
        <v>9.0825688073394488</v>
      </c>
      <c r="O2801">
        <v>0.1101010101010101</v>
      </c>
      <c r="Q2801">
        <v>5</v>
      </c>
      <c r="R2801">
        <v>3</v>
      </c>
      <c r="S2801">
        <v>157</v>
      </c>
      <c r="T2801">
        <v>18.166666666666668</v>
      </c>
      <c r="U2801">
        <v>1799.85</v>
      </c>
      <c r="V2801">
        <v>165</v>
      </c>
    </row>
    <row r="2802" spans="1:22" x14ac:dyDescent="0.2">
      <c r="A2802" t="s">
        <v>2641</v>
      </c>
      <c r="B2802" t="s">
        <v>2642</v>
      </c>
      <c r="C2802" t="s">
        <v>2502</v>
      </c>
      <c r="D2802" t="s">
        <v>228</v>
      </c>
      <c r="E2802">
        <v>109.99</v>
      </c>
      <c r="F2802" t="s">
        <v>8118</v>
      </c>
      <c r="G2802">
        <v>3</v>
      </c>
      <c r="H2802">
        <v>2</v>
      </c>
      <c r="I2802">
        <v>1</v>
      </c>
      <c r="K2802">
        <v>40</v>
      </c>
      <c r="L2802" t="s">
        <v>8</v>
      </c>
      <c r="M2802" t="s">
        <v>5984</v>
      </c>
      <c r="N2802">
        <v>13.090909090909092</v>
      </c>
      <c r="O2802">
        <v>7.6388888888888881E-2</v>
      </c>
      <c r="Q2802">
        <v>0</v>
      </c>
      <c r="R2802">
        <v>22</v>
      </c>
      <c r="S2802">
        <v>2</v>
      </c>
      <c r="T2802">
        <v>1.8333333333333333</v>
      </c>
      <c r="U2802">
        <v>219.98</v>
      </c>
      <c r="V2802">
        <v>24</v>
      </c>
    </row>
    <row r="2803" spans="1:22" x14ac:dyDescent="0.2">
      <c r="A2803" t="s">
        <v>6214</v>
      </c>
      <c r="B2803" t="s">
        <v>6215</v>
      </c>
      <c r="C2803" t="s">
        <v>2502</v>
      </c>
      <c r="D2803" t="s">
        <v>228</v>
      </c>
      <c r="E2803">
        <v>59.99</v>
      </c>
      <c r="F2803" t="s">
        <v>8118</v>
      </c>
      <c r="G2803">
        <v>20</v>
      </c>
      <c r="I2803">
        <v>20</v>
      </c>
      <c r="L2803" t="s">
        <v>8</v>
      </c>
      <c r="M2803" t="s">
        <v>6218</v>
      </c>
      <c r="N2803">
        <v>2.7692307692307696</v>
      </c>
      <c r="O2803">
        <v>0.3611111111111111</v>
      </c>
      <c r="Q2803">
        <v>0</v>
      </c>
      <c r="R2803">
        <v>3</v>
      </c>
      <c r="S2803">
        <v>0</v>
      </c>
      <c r="T2803">
        <v>1.0833333333333333</v>
      </c>
      <c r="U2803">
        <v>0</v>
      </c>
      <c r="V2803">
        <v>3</v>
      </c>
    </row>
    <row r="2804" spans="1:22" x14ac:dyDescent="0.2">
      <c r="A2804" t="s">
        <v>7128</v>
      </c>
      <c r="B2804" t="s">
        <v>7130</v>
      </c>
      <c r="C2804" t="s">
        <v>2502</v>
      </c>
      <c r="D2804" t="s">
        <v>96</v>
      </c>
      <c r="F2804" t="s">
        <v>8118</v>
      </c>
      <c r="L2804" t="s">
        <v>8</v>
      </c>
      <c r="M2804" t="s">
        <v>8057</v>
      </c>
      <c r="N2804">
        <v>0</v>
      </c>
      <c r="O2804">
        <v>0</v>
      </c>
      <c r="Q2804">
        <v>0</v>
      </c>
      <c r="R2804">
        <v>0</v>
      </c>
      <c r="S2804">
        <v>0</v>
      </c>
      <c r="T2804">
        <v>0</v>
      </c>
      <c r="V2804">
        <v>0</v>
      </c>
    </row>
    <row r="2805" spans="1:22" x14ac:dyDescent="0.2">
      <c r="A2805" t="s">
        <v>2639</v>
      </c>
      <c r="B2805" t="s">
        <v>2640</v>
      </c>
      <c r="C2805" t="s">
        <v>2502</v>
      </c>
      <c r="D2805" t="s">
        <v>228</v>
      </c>
      <c r="E2805">
        <v>109.99</v>
      </c>
      <c r="F2805" t="s">
        <v>8118</v>
      </c>
      <c r="G2805">
        <v>66</v>
      </c>
      <c r="H2805">
        <v>13</v>
      </c>
      <c r="I2805">
        <v>53</v>
      </c>
      <c r="K2805">
        <v>441</v>
      </c>
      <c r="L2805" t="s">
        <v>8</v>
      </c>
      <c r="M2805" t="s">
        <v>6362</v>
      </c>
      <c r="N2805">
        <v>23.294117647058826</v>
      </c>
      <c r="O2805">
        <v>4.2929292929292928E-2</v>
      </c>
      <c r="Q2805">
        <v>0</v>
      </c>
      <c r="R2805">
        <v>12</v>
      </c>
      <c r="S2805">
        <v>153</v>
      </c>
      <c r="T2805">
        <v>7.083333333333333</v>
      </c>
      <c r="U2805">
        <v>769.93</v>
      </c>
      <c r="V2805">
        <v>165</v>
      </c>
    </row>
    <row r="2806" spans="1:22" x14ac:dyDescent="0.2">
      <c r="A2806" t="s">
        <v>2637</v>
      </c>
      <c r="B2806" t="s">
        <v>2638</v>
      </c>
      <c r="C2806" t="s">
        <v>2502</v>
      </c>
      <c r="D2806" t="s">
        <v>228</v>
      </c>
      <c r="E2806">
        <v>99.99</v>
      </c>
      <c r="F2806" t="s">
        <v>8118</v>
      </c>
      <c r="G2806">
        <v>38</v>
      </c>
      <c r="H2806">
        <v>6</v>
      </c>
      <c r="I2806">
        <v>32</v>
      </c>
      <c r="K2806">
        <v>40</v>
      </c>
      <c r="L2806" t="s">
        <v>8</v>
      </c>
      <c r="M2806" t="s">
        <v>6359</v>
      </c>
      <c r="N2806">
        <v>9.2307692307692299</v>
      </c>
      <c r="O2806">
        <v>0.10833333333333334</v>
      </c>
      <c r="Q2806">
        <v>1</v>
      </c>
      <c r="R2806">
        <v>26</v>
      </c>
      <c r="S2806">
        <v>3</v>
      </c>
      <c r="T2806">
        <v>3.25</v>
      </c>
      <c r="U2806">
        <v>99.99</v>
      </c>
      <c r="V2806">
        <v>30</v>
      </c>
    </row>
    <row r="2807" spans="1:22" x14ac:dyDescent="0.2">
      <c r="A2807" t="s">
        <v>6348</v>
      </c>
      <c r="B2807" t="s">
        <v>6349</v>
      </c>
      <c r="C2807" t="s">
        <v>2502</v>
      </c>
      <c r="D2807" t="s">
        <v>290</v>
      </c>
      <c r="E2807">
        <v>129.99</v>
      </c>
      <c r="F2807" t="s">
        <v>8118</v>
      </c>
      <c r="G2807">
        <v>179</v>
      </c>
      <c r="I2807">
        <v>179</v>
      </c>
      <c r="L2807" t="s">
        <v>8</v>
      </c>
      <c r="M2807" t="s">
        <v>6352</v>
      </c>
      <c r="N2807">
        <v>7.5254237288135588</v>
      </c>
      <c r="O2807">
        <v>0.13288288288288289</v>
      </c>
      <c r="Q2807">
        <v>0</v>
      </c>
      <c r="R2807">
        <v>13</v>
      </c>
      <c r="S2807">
        <v>61</v>
      </c>
      <c r="T2807">
        <v>9.8333333333333339</v>
      </c>
      <c r="U2807">
        <v>1039.92</v>
      </c>
      <c r="V2807">
        <v>74</v>
      </c>
    </row>
    <row r="2808" spans="1:22" x14ac:dyDescent="0.2">
      <c r="A2808" t="s">
        <v>6341</v>
      </c>
      <c r="B2808" t="s">
        <v>6342</v>
      </c>
      <c r="C2808" t="s">
        <v>2502</v>
      </c>
      <c r="D2808" t="s">
        <v>228</v>
      </c>
      <c r="E2808">
        <v>49.99</v>
      </c>
      <c r="F2808" t="s">
        <v>8118</v>
      </c>
      <c r="G2808">
        <v>37</v>
      </c>
      <c r="I2808">
        <v>37</v>
      </c>
      <c r="L2808" t="s">
        <v>8</v>
      </c>
      <c r="M2808" t="s">
        <v>6344</v>
      </c>
      <c r="N2808">
        <v>7.5870967741935491</v>
      </c>
      <c r="O2808">
        <v>0.13180272108843538</v>
      </c>
      <c r="Q2808">
        <v>0</v>
      </c>
      <c r="R2808">
        <v>6</v>
      </c>
      <c r="S2808">
        <v>92</v>
      </c>
      <c r="T2808">
        <v>12.916666666666666</v>
      </c>
      <c r="U2808">
        <v>349.93</v>
      </c>
      <c r="V2808">
        <v>98</v>
      </c>
    </row>
    <row r="2809" spans="1:22" x14ac:dyDescent="0.2">
      <c r="A2809" t="s">
        <v>6383</v>
      </c>
      <c r="B2809" t="s">
        <v>6384</v>
      </c>
      <c r="C2809" t="s">
        <v>2502</v>
      </c>
      <c r="D2809" t="s">
        <v>228</v>
      </c>
      <c r="E2809">
        <v>99.99</v>
      </c>
      <c r="F2809" t="s">
        <v>8118</v>
      </c>
      <c r="G2809">
        <v>16</v>
      </c>
      <c r="I2809">
        <v>16</v>
      </c>
      <c r="L2809" t="s">
        <v>8</v>
      </c>
      <c r="M2809" t="s">
        <v>6386</v>
      </c>
      <c r="N2809">
        <v>9</v>
      </c>
      <c r="O2809">
        <v>0.1111111111111111</v>
      </c>
      <c r="Q2809">
        <v>0</v>
      </c>
      <c r="R2809">
        <v>2</v>
      </c>
      <c r="S2809">
        <v>1</v>
      </c>
      <c r="T2809">
        <v>0.33333333333333331</v>
      </c>
      <c r="U2809">
        <v>0</v>
      </c>
      <c r="V2809">
        <v>3</v>
      </c>
    </row>
    <row r="2810" spans="1:22" x14ac:dyDescent="0.2">
      <c r="A2810" t="s">
        <v>7124</v>
      </c>
      <c r="B2810" t="s">
        <v>7126</v>
      </c>
      <c r="C2810" t="s">
        <v>2502</v>
      </c>
      <c r="D2810" t="s">
        <v>96</v>
      </c>
      <c r="E2810">
        <v>119.99</v>
      </c>
      <c r="F2810" t="s">
        <v>8118</v>
      </c>
      <c r="L2810" t="s">
        <v>8</v>
      </c>
      <c r="M2810" t="s">
        <v>8019</v>
      </c>
      <c r="N2810">
        <v>0</v>
      </c>
      <c r="O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 spans="1:22" x14ac:dyDescent="0.2">
      <c r="A2811" t="s">
        <v>6309</v>
      </c>
      <c r="B2811" t="s">
        <v>6310</v>
      </c>
      <c r="C2811" t="s">
        <v>2502</v>
      </c>
      <c r="D2811" t="s">
        <v>228</v>
      </c>
      <c r="E2811">
        <v>99.99</v>
      </c>
      <c r="F2811" t="s">
        <v>8118</v>
      </c>
      <c r="G2811">
        <v>27</v>
      </c>
      <c r="I2811">
        <v>27</v>
      </c>
      <c r="L2811" t="s">
        <v>8</v>
      </c>
      <c r="M2811" t="s">
        <v>6313</v>
      </c>
      <c r="N2811">
        <v>0</v>
      </c>
      <c r="O2811">
        <v>0</v>
      </c>
      <c r="Q2811">
        <v>0</v>
      </c>
      <c r="R2811">
        <v>0</v>
      </c>
      <c r="S2811">
        <v>0</v>
      </c>
      <c r="T2811">
        <v>8.3333333333333329E-2</v>
      </c>
      <c r="U2811">
        <v>0</v>
      </c>
      <c r="V2811">
        <v>0</v>
      </c>
    </row>
    <row r="2812" spans="1:22" x14ac:dyDescent="0.2">
      <c r="A2812" t="s">
        <v>2667</v>
      </c>
      <c r="B2812" t="s">
        <v>2668</v>
      </c>
      <c r="C2812" t="s">
        <v>2502</v>
      </c>
      <c r="D2812" t="s">
        <v>228</v>
      </c>
      <c r="E2812">
        <v>99.99</v>
      </c>
      <c r="F2812" t="s">
        <v>8118</v>
      </c>
      <c r="G2812">
        <v>61</v>
      </c>
      <c r="H2812">
        <v>3</v>
      </c>
      <c r="I2812">
        <v>58</v>
      </c>
      <c r="L2812" t="s">
        <v>8</v>
      </c>
      <c r="M2812" t="s">
        <v>6316</v>
      </c>
      <c r="N2812">
        <v>1.7142857142857142</v>
      </c>
      <c r="O2812">
        <v>0.58333333333333337</v>
      </c>
      <c r="Q2812">
        <v>0</v>
      </c>
      <c r="R2812">
        <v>1</v>
      </c>
      <c r="S2812">
        <v>0</v>
      </c>
      <c r="T2812">
        <v>0.58333333333333337</v>
      </c>
      <c r="U2812">
        <v>0</v>
      </c>
      <c r="V2812">
        <v>1</v>
      </c>
    </row>
    <row r="2813" spans="1:22" x14ac:dyDescent="0.2">
      <c r="A2813" t="s">
        <v>2609</v>
      </c>
      <c r="B2813" t="s">
        <v>2610</v>
      </c>
      <c r="C2813" t="s">
        <v>2502</v>
      </c>
      <c r="D2813" t="s">
        <v>228</v>
      </c>
      <c r="E2813">
        <v>179.99</v>
      </c>
      <c r="F2813" t="s">
        <v>8118</v>
      </c>
      <c r="G2813">
        <v>331</v>
      </c>
      <c r="H2813">
        <v>1</v>
      </c>
      <c r="I2813">
        <v>330</v>
      </c>
      <c r="L2813" t="s">
        <v>8</v>
      </c>
      <c r="M2813" t="s">
        <v>4599</v>
      </c>
      <c r="N2813">
        <v>28.6993006993007</v>
      </c>
      <c r="O2813">
        <v>3.4844054580896684E-2</v>
      </c>
      <c r="Q2813">
        <v>2</v>
      </c>
      <c r="R2813">
        <v>67</v>
      </c>
      <c r="S2813">
        <v>273</v>
      </c>
      <c r="T2813">
        <v>11.916666666666666</v>
      </c>
      <c r="U2813">
        <v>1259.93</v>
      </c>
      <c r="V2813">
        <v>342</v>
      </c>
    </row>
    <row r="2814" spans="1:22" x14ac:dyDescent="0.2">
      <c r="A2814" t="s">
        <v>2645</v>
      </c>
      <c r="B2814" t="s">
        <v>2646</v>
      </c>
      <c r="C2814" t="s">
        <v>2502</v>
      </c>
      <c r="D2814" t="s">
        <v>228</v>
      </c>
      <c r="E2814">
        <v>139.99</v>
      </c>
      <c r="F2814" t="s">
        <v>8118</v>
      </c>
      <c r="G2814">
        <v>152</v>
      </c>
      <c r="H2814">
        <v>2</v>
      </c>
      <c r="I2814">
        <v>150</v>
      </c>
      <c r="K2814">
        <v>40</v>
      </c>
      <c r="L2814" t="s">
        <v>8</v>
      </c>
      <c r="M2814" t="s">
        <v>5990</v>
      </c>
      <c r="N2814">
        <v>26.218487394957986</v>
      </c>
      <c r="O2814">
        <v>3.8141025641025637E-2</v>
      </c>
      <c r="Q2814">
        <v>4</v>
      </c>
      <c r="R2814">
        <v>14</v>
      </c>
      <c r="S2814">
        <v>242</v>
      </c>
      <c r="T2814">
        <v>9.9166666666666661</v>
      </c>
      <c r="U2814">
        <v>1119.92</v>
      </c>
      <c r="V2814">
        <v>260</v>
      </c>
    </row>
    <row r="2815" spans="1:22" x14ac:dyDescent="0.2">
      <c r="A2815" t="s">
        <v>2681</v>
      </c>
      <c r="B2815" t="s">
        <v>2682</v>
      </c>
      <c r="C2815" t="s">
        <v>2502</v>
      </c>
      <c r="D2815" t="s">
        <v>290</v>
      </c>
      <c r="E2815">
        <v>89.99</v>
      </c>
      <c r="F2815" t="s">
        <v>8118</v>
      </c>
      <c r="G2815">
        <v>44</v>
      </c>
      <c r="I2815">
        <v>44</v>
      </c>
      <c r="L2815" t="s">
        <v>8</v>
      </c>
      <c r="M2815" t="s">
        <v>8060</v>
      </c>
      <c r="N2815">
        <v>0</v>
      </c>
      <c r="O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 spans="1:22" x14ac:dyDescent="0.2">
      <c r="A2816" t="s">
        <v>6232</v>
      </c>
      <c r="B2816" t="s">
        <v>6233</v>
      </c>
      <c r="C2816" t="s">
        <v>2502</v>
      </c>
      <c r="D2816" t="s">
        <v>228</v>
      </c>
      <c r="E2816">
        <v>79.989999999999995</v>
      </c>
      <c r="F2816" t="s">
        <v>8118</v>
      </c>
      <c r="G2816">
        <v>12</v>
      </c>
      <c r="I2816">
        <v>12</v>
      </c>
      <c r="L2816" t="s">
        <v>8</v>
      </c>
      <c r="M2816" t="s">
        <v>6235</v>
      </c>
      <c r="N2816">
        <v>22.235294117647058</v>
      </c>
      <c r="O2816">
        <v>4.4973544973544978E-2</v>
      </c>
      <c r="Q2816">
        <v>1</v>
      </c>
      <c r="R2816">
        <v>5</v>
      </c>
      <c r="S2816">
        <v>120</v>
      </c>
      <c r="T2816">
        <v>5.666666666666667</v>
      </c>
      <c r="U2816">
        <v>719.91</v>
      </c>
      <c r="V2816">
        <v>126</v>
      </c>
    </row>
    <row r="2817" spans="1:22" x14ac:dyDescent="0.2">
      <c r="A2817" t="s">
        <v>6201</v>
      </c>
      <c r="B2817" t="s">
        <v>6202</v>
      </c>
      <c r="C2817" t="s">
        <v>2502</v>
      </c>
      <c r="D2817" t="s">
        <v>228</v>
      </c>
      <c r="E2817">
        <v>199.99</v>
      </c>
      <c r="F2817" t="s">
        <v>8118</v>
      </c>
      <c r="G2817">
        <v>13</v>
      </c>
      <c r="I2817">
        <v>13</v>
      </c>
      <c r="L2817" t="s">
        <v>8</v>
      </c>
      <c r="M2817" t="s">
        <v>6205</v>
      </c>
      <c r="N2817">
        <v>10</v>
      </c>
      <c r="O2817">
        <v>0.1</v>
      </c>
      <c r="Q2817">
        <v>0</v>
      </c>
      <c r="R2817">
        <v>4</v>
      </c>
      <c r="S2817">
        <v>1</v>
      </c>
      <c r="T2817">
        <v>0.5</v>
      </c>
      <c r="U2817">
        <v>0</v>
      </c>
      <c r="V2817">
        <v>5</v>
      </c>
    </row>
    <row r="2818" spans="1:22" x14ac:dyDescent="0.2">
      <c r="A2818" t="s">
        <v>6197</v>
      </c>
      <c r="B2818" t="s">
        <v>6198</v>
      </c>
      <c r="C2818" t="s">
        <v>2502</v>
      </c>
      <c r="D2818" t="s">
        <v>96</v>
      </c>
      <c r="E2818">
        <v>99.99</v>
      </c>
      <c r="F2818" t="s">
        <v>8118</v>
      </c>
      <c r="L2818" t="s">
        <v>8</v>
      </c>
      <c r="M2818" t="s">
        <v>8058</v>
      </c>
      <c r="N2818">
        <v>0</v>
      </c>
      <c r="O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</row>
    <row r="2819" spans="1:22" x14ac:dyDescent="0.2">
      <c r="A2819" t="s">
        <v>2571</v>
      </c>
      <c r="B2819" t="s">
        <v>2572</v>
      </c>
      <c r="C2819" t="s">
        <v>2502</v>
      </c>
      <c r="D2819" t="s">
        <v>228</v>
      </c>
      <c r="E2819">
        <v>119.99</v>
      </c>
      <c r="F2819" t="s">
        <v>8118</v>
      </c>
      <c r="G2819">
        <v>263</v>
      </c>
      <c r="H2819">
        <v>131</v>
      </c>
      <c r="I2819">
        <v>132</v>
      </c>
      <c r="K2819">
        <v>340</v>
      </c>
      <c r="L2819" t="s">
        <v>8106</v>
      </c>
      <c r="M2819" t="s">
        <v>2571</v>
      </c>
      <c r="V2819">
        <v>61</v>
      </c>
    </row>
    <row r="2820" spans="1:22" x14ac:dyDescent="0.2">
      <c r="A2820" t="s">
        <v>2561</v>
      </c>
      <c r="B2820" t="s">
        <v>2562</v>
      </c>
      <c r="C2820" t="s">
        <v>2502</v>
      </c>
      <c r="D2820" t="s">
        <v>228</v>
      </c>
      <c r="E2820">
        <v>17.989999999999998</v>
      </c>
      <c r="F2820" t="s">
        <v>8118</v>
      </c>
      <c r="G2820">
        <v>3092</v>
      </c>
      <c r="H2820">
        <v>503</v>
      </c>
      <c r="I2820">
        <v>2589</v>
      </c>
      <c r="K2820">
        <v>1200</v>
      </c>
      <c r="L2820" t="s">
        <v>8106</v>
      </c>
      <c r="M2820" t="s">
        <v>2561</v>
      </c>
      <c r="V2820">
        <v>260</v>
      </c>
    </row>
    <row r="2821" spans="1:22" x14ac:dyDescent="0.2">
      <c r="A2821" t="s">
        <v>2701</v>
      </c>
      <c r="B2821" t="s">
        <v>2702</v>
      </c>
      <c r="C2821" t="s">
        <v>2502</v>
      </c>
      <c r="D2821" t="s">
        <v>290</v>
      </c>
      <c r="E2821">
        <v>99.99</v>
      </c>
      <c r="F2821" t="s">
        <v>8118</v>
      </c>
      <c r="G2821">
        <v>155</v>
      </c>
      <c r="I2821">
        <v>155</v>
      </c>
      <c r="L2821" t="s">
        <v>8109</v>
      </c>
      <c r="M2821" t="s">
        <v>97</v>
      </c>
      <c r="N2821">
        <v>0</v>
      </c>
      <c r="O2821">
        <v>0</v>
      </c>
      <c r="U2821">
        <v>0</v>
      </c>
      <c r="V2821">
        <v>0</v>
      </c>
    </row>
    <row r="2822" spans="1:22" x14ac:dyDescent="0.2">
      <c r="A2822" t="s">
        <v>6009</v>
      </c>
      <c r="B2822" t="s">
        <v>6010</v>
      </c>
      <c r="C2822" t="s">
        <v>2502</v>
      </c>
      <c r="D2822" t="s">
        <v>96</v>
      </c>
      <c r="E2822">
        <v>149.99</v>
      </c>
      <c r="F2822" t="s">
        <v>8118</v>
      </c>
      <c r="L2822" t="s">
        <v>8109</v>
      </c>
      <c r="M2822" t="s">
        <v>97</v>
      </c>
      <c r="N2822">
        <v>0</v>
      </c>
      <c r="O2822">
        <v>0</v>
      </c>
      <c r="U2822">
        <v>0</v>
      </c>
      <c r="V2822">
        <v>0</v>
      </c>
    </row>
    <row r="2823" spans="1:22" x14ac:dyDescent="0.2">
      <c r="A2823" t="s">
        <v>2687</v>
      </c>
      <c r="B2823" t="s">
        <v>2688</v>
      </c>
      <c r="C2823" t="s">
        <v>2502</v>
      </c>
      <c r="D2823" t="s">
        <v>228</v>
      </c>
      <c r="E2823">
        <v>159.99</v>
      </c>
      <c r="F2823" t="s">
        <v>8118</v>
      </c>
      <c r="G2823">
        <v>255</v>
      </c>
      <c r="H2823">
        <v>22</v>
      </c>
      <c r="I2823">
        <v>233</v>
      </c>
      <c r="K2823">
        <v>240</v>
      </c>
      <c r="L2823" t="s">
        <v>8109</v>
      </c>
      <c r="M2823" t="s">
        <v>97</v>
      </c>
      <c r="N2823">
        <v>0</v>
      </c>
      <c r="O2823">
        <v>0</v>
      </c>
      <c r="U2823">
        <v>0</v>
      </c>
      <c r="V2823">
        <v>0</v>
      </c>
    </row>
    <row r="2824" spans="1:22" x14ac:dyDescent="0.2">
      <c r="A2824" t="s">
        <v>6114</v>
      </c>
      <c r="B2824" t="s">
        <v>6115</v>
      </c>
      <c r="C2824" t="s">
        <v>2502</v>
      </c>
      <c r="D2824" t="s">
        <v>96</v>
      </c>
      <c r="E2824">
        <v>99.99</v>
      </c>
      <c r="F2824" t="s">
        <v>8118</v>
      </c>
      <c r="L2824" t="s">
        <v>8109</v>
      </c>
      <c r="M2824" t="s">
        <v>97</v>
      </c>
      <c r="N2824">
        <v>0</v>
      </c>
      <c r="O2824">
        <v>0</v>
      </c>
      <c r="U2824">
        <v>0</v>
      </c>
      <c r="V2824">
        <v>0</v>
      </c>
    </row>
    <row r="2825" spans="1:22" x14ac:dyDescent="0.2">
      <c r="A2825" t="s">
        <v>6265</v>
      </c>
      <c r="B2825" t="s">
        <v>6266</v>
      </c>
      <c r="C2825" t="s">
        <v>2502</v>
      </c>
      <c r="D2825" t="s">
        <v>228</v>
      </c>
      <c r="E2825">
        <v>59.99</v>
      </c>
      <c r="F2825" t="s">
        <v>8118</v>
      </c>
      <c r="G2825">
        <v>406</v>
      </c>
      <c r="H2825">
        <v>35</v>
      </c>
      <c r="I2825">
        <v>371</v>
      </c>
      <c r="K2825">
        <v>120</v>
      </c>
      <c r="L2825" t="s">
        <v>8109</v>
      </c>
      <c r="M2825" t="s">
        <v>97</v>
      </c>
      <c r="N2825">
        <v>0</v>
      </c>
      <c r="O2825">
        <v>0</v>
      </c>
      <c r="U2825">
        <v>0</v>
      </c>
      <c r="V2825">
        <v>0</v>
      </c>
    </row>
    <row r="2826" spans="1:22" x14ac:dyDescent="0.2">
      <c r="A2826" t="s">
        <v>2645</v>
      </c>
      <c r="B2826" t="s">
        <v>2646</v>
      </c>
      <c r="C2826" t="s">
        <v>2502</v>
      </c>
      <c r="D2826" t="s">
        <v>228</v>
      </c>
      <c r="E2826">
        <v>139.99</v>
      </c>
      <c r="F2826" t="s">
        <v>8118</v>
      </c>
      <c r="G2826">
        <v>152</v>
      </c>
      <c r="H2826">
        <v>2</v>
      </c>
      <c r="I2826">
        <v>150</v>
      </c>
      <c r="K2826">
        <v>40</v>
      </c>
      <c r="L2826" t="s">
        <v>7029</v>
      </c>
      <c r="N2826">
        <v>43.5</v>
      </c>
      <c r="O2826">
        <v>2.2988505747126436E-2</v>
      </c>
      <c r="T2826">
        <v>0.66666666666666663</v>
      </c>
      <c r="U2826">
        <v>0</v>
      </c>
      <c r="V2826">
        <v>29</v>
      </c>
    </row>
    <row r="2827" spans="1:22" x14ac:dyDescent="0.2">
      <c r="A2827" t="s">
        <v>2701</v>
      </c>
      <c r="B2827" t="s">
        <v>2702</v>
      </c>
      <c r="C2827" t="s">
        <v>2502</v>
      </c>
      <c r="D2827" t="s">
        <v>290</v>
      </c>
      <c r="E2827">
        <v>99.99</v>
      </c>
      <c r="F2827" t="s">
        <v>8118</v>
      </c>
      <c r="G2827">
        <v>155</v>
      </c>
      <c r="I2827">
        <v>155</v>
      </c>
      <c r="L2827" t="s">
        <v>7029</v>
      </c>
      <c r="N2827">
        <v>105</v>
      </c>
      <c r="O2827">
        <v>9.5238095238095247E-3</v>
      </c>
      <c r="T2827">
        <v>0.4</v>
      </c>
      <c r="U2827">
        <v>0</v>
      </c>
      <c r="V2827">
        <v>42</v>
      </c>
    </row>
    <row r="2828" spans="1:22" x14ac:dyDescent="0.2">
      <c r="A2828" t="s">
        <v>6387</v>
      </c>
      <c r="B2828" t="s">
        <v>6388</v>
      </c>
      <c r="C2828" t="s">
        <v>2502</v>
      </c>
      <c r="D2828" t="s">
        <v>290</v>
      </c>
      <c r="E2828">
        <v>199.99</v>
      </c>
      <c r="F2828" t="s">
        <v>8118</v>
      </c>
      <c r="G2828">
        <v>2</v>
      </c>
      <c r="I2828">
        <v>2</v>
      </c>
      <c r="L2828" t="s">
        <v>7029</v>
      </c>
      <c r="N2828">
        <v>26.6</v>
      </c>
      <c r="O2828">
        <v>3.7593984962406013E-2</v>
      </c>
      <c r="T2828">
        <v>0.7142857142857143</v>
      </c>
      <c r="U2828">
        <v>0</v>
      </c>
      <c r="V2828">
        <v>19</v>
      </c>
    </row>
    <row r="2829" spans="1:22" x14ac:dyDescent="0.2">
      <c r="A2829" t="s">
        <v>2503</v>
      </c>
      <c r="B2829" t="s">
        <v>2504</v>
      </c>
      <c r="C2829" t="s">
        <v>2502</v>
      </c>
      <c r="D2829" t="s">
        <v>228</v>
      </c>
      <c r="E2829">
        <v>129.99</v>
      </c>
      <c r="F2829" t="s">
        <v>8118</v>
      </c>
      <c r="G2829">
        <v>118</v>
      </c>
      <c r="H2829">
        <v>9</v>
      </c>
      <c r="I2829">
        <v>109</v>
      </c>
      <c r="K2829">
        <v>538</v>
      </c>
      <c r="L2829" t="s">
        <v>7029</v>
      </c>
      <c r="N2829">
        <v>47.833333333333336</v>
      </c>
      <c r="O2829">
        <v>2.0905923344947733E-2</v>
      </c>
      <c r="T2829">
        <v>0.8571428571428571</v>
      </c>
      <c r="U2829">
        <v>259.98</v>
      </c>
      <c r="V2829">
        <v>41</v>
      </c>
    </row>
    <row r="2830" spans="1:22" x14ac:dyDescent="0.2">
      <c r="A2830" t="s">
        <v>2641</v>
      </c>
      <c r="B2830" t="s">
        <v>2642</v>
      </c>
      <c r="C2830" t="s">
        <v>2502</v>
      </c>
      <c r="D2830" t="s">
        <v>228</v>
      </c>
      <c r="E2830">
        <v>109.99</v>
      </c>
      <c r="F2830" t="s">
        <v>8118</v>
      </c>
      <c r="G2830">
        <v>3</v>
      </c>
      <c r="H2830">
        <v>2</v>
      </c>
      <c r="I2830">
        <v>1</v>
      </c>
      <c r="K2830">
        <v>40</v>
      </c>
      <c r="L2830" t="s">
        <v>7029</v>
      </c>
      <c r="N2830">
        <v>38.222222222222221</v>
      </c>
      <c r="O2830">
        <v>2.616279069767442E-2</v>
      </c>
      <c r="T2830">
        <v>1.125</v>
      </c>
      <c r="U2830">
        <v>0</v>
      </c>
      <c r="V2830">
        <v>43</v>
      </c>
    </row>
    <row r="2831" spans="1:22" x14ac:dyDescent="0.2">
      <c r="A2831" t="s">
        <v>2687</v>
      </c>
      <c r="B2831" t="s">
        <v>2688</v>
      </c>
      <c r="C2831" t="s">
        <v>2502</v>
      </c>
      <c r="D2831" t="s">
        <v>228</v>
      </c>
      <c r="E2831">
        <v>159.99</v>
      </c>
      <c r="F2831" t="s">
        <v>8118</v>
      </c>
      <c r="G2831">
        <v>255</v>
      </c>
      <c r="H2831">
        <v>22</v>
      </c>
      <c r="I2831">
        <v>233</v>
      </c>
      <c r="K2831">
        <v>240</v>
      </c>
      <c r="L2831" t="s">
        <v>7029</v>
      </c>
      <c r="N2831">
        <v>29</v>
      </c>
      <c r="O2831">
        <v>0</v>
      </c>
      <c r="T2831">
        <v>0</v>
      </c>
      <c r="U2831">
        <v>0</v>
      </c>
      <c r="V2831">
        <v>29</v>
      </c>
    </row>
    <row r="2832" spans="1:22" x14ac:dyDescent="0.2">
      <c r="A2832" t="s">
        <v>6383</v>
      </c>
      <c r="B2832" t="s">
        <v>6384</v>
      </c>
      <c r="C2832" t="s">
        <v>2502</v>
      </c>
      <c r="D2832" t="s">
        <v>228</v>
      </c>
      <c r="E2832">
        <v>99.99</v>
      </c>
      <c r="F2832" t="s">
        <v>8118</v>
      </c>
      <c r="G2832">
        <v>16</v>
      </c>
      <c r="I2832">
        <v>16</v>
      </c>
      <c r="L2832" t="s">
        <v>7029</v>
      </c>
      <c r="N2832">
        <v>15</v>
      </c>
      <c r="O2832">
        <v>6.6666666666666666E-2</v>
      </c>
      <c r="T2832">
        <v>0.8</v>
      </c>
      <c r="U2832">
        <v>0</v>
      </c>
      <c r="V2832">
        <v>12</v>
      </c>
    </row>
    <row r="2833" spans="1:22" x14ac:dyDescent="0.2">
      <c r="A2833" t="s">
        <v>2659</v>
      </c>
      <c r="B2833" t="s">
        <v>2660</v>
      </c>
      <c r="C2833" t="s">
        <v>2502</v>
      </c>
      <c r="D2833" t="s">
        <v>228</v>
      </c>
      <c r="E2833">
        <v>199.99</v>
      </c>
      <c r="F2833" t="s">
        <v>8118</v>
      </c>
      <c r="G2833">
        <v>22</v>
      </c>
      <c r="I2833">
        <v>22</v>
      </c>
      <c r="L2833" t="s">
        <v>7029</v>
      </c>
      <c r="N2833">
        <v>4</v>
      </c>
      <c r="O2833">
        <v>0.25</v>
      </c>
      <c r="T2833">
        <v>0.25</v>
      </c>
      <c r="U2833">
        <v>0</v>
      </c>
      <c r="V2833">
        <v>1</v>
      </c>
    </row>
    <row r="2834" spans="1:22" x14ac:dyDescent="0.2">
      <c r="A2834" t="s">
        <v>2669</v>
      </c>
      <c r="B2834" t="s">
        <v>2670</v>
      </c>
      <c r="C2834" t="s">
        <v>2502</v>
      </c>
      <c r="D2834" t="s">
        <v>228</v>
      </c>
      <c r="E2834">
        <v>59.99</v>
      </c>
      <c r="F2834" t="s">
        <v>8118</v>
      </c>
      <c r="G2834">
        <v>463</v>
      </c>
      <c r="H2834">
        <v>56</v>
      </c>
      <c r="I2834">
        <v>407</v>
      </c>
      <c r="K2834">
        <v>200</v>
      </c>
      <c r="L2834" t="s">
        <v>7029</v>
      </c>
      <c r="N2834">
        <v>13.090909090909092</v>
      </c>
      <c r="O2834">
        <v>7.6388888888888895E-2</v>
      </c>
      <c r="T2834">
        <v>1.375</v>
      </c>
      <c r="U2834">
        <v>59.99</v>
      </c>
      <c r="V2834">
        <v>18</v>
      </c>
    </row>
    <row r="2835" spans="1:22" x14ac:dyDescent="0.2">
      <c r="A2835" t="s">
        <v>2665</v>
      </c>
      <c r="B2835" t="s">
        <v>2666</v>
      </c>
      <c r="C2835" t="s">
        <v>2502</v>
      </c>
      <c r="D2835" t="s">
        <v>228</v>
      </c>
      <c r="E2835">
        <v>64.989999999999995</v>
      </c>
      <c r="F2835" t="s">
        <v>8118</v>
      </c>
      <c r="G2835">
        <v>420</v>
      </c>
      <c r="H2835">
        <v>30</v>
      </c>
      <c r="I2835">
        <v>390</v>
      </c>
      <c r="K2835">
        <v>280</v>
      </c>
      <c r="L2835" t="s">
        <v>7029</v>
      </c>
      <c r="N2835">
        <v>95</v>
      </c>
      <c r="O2835">
        <v>1.0526315789473684E-2</v>
      </c>
      <c r="T2835">
        <v>0.4</v>
      </c>
      <c r="U2835">
        <v>0</v>
      </c>
      <c r="V2835">
        <v>38</v>
      </c>
    </row>
    <row r="2836" spans="1:22" x14ac:dyDescent="0.2">
      <c r="A2836" t="s">
        <v>6157</v>
      </c>
      <c r="B2836" t="s">
        <v>6158</v>
      </c>
      <c r="C2836" t="s">
        <v>2502</v>
      </c>
      <c r="D2836" t="s">
        <v>290</v>
      </c>
      <c r="E2836">
        <v>109.99</v>
      </c>
      <c r="F2836" t="s">
        <v>8118</v>
      </c>
      <c r="G2836">
        <v>74</v>
      </c>
      <c r="H2836">
        <v>35</v>
      </c>
      <c r="I2836">
        <v>39</v>
      </c>
      <c r="L2836" t="s">
        <v>7029</v>
      </c>
      <c r="N2836">
        <v>54</v>
      </c>
      <c r="O2836">
        <v>1.8518518518518517E-2</v>
      </c>
      <c r="T2836">
        <v>0.66666666666666663</v>
      </c>
      <c r="U2836">
        <v>109.99</v>
      </c>
      <c r="V2836">
        <v>36</v>
      </c>
    </row>
    <row r="2837" spans="1:22" x14ac:dyDescent="0.2">
      <c r="A2837" t="s">
        <v>2567</v>
      </c>
      <c r="B2837" t="s">
        <v>2568</v>
      </c>
      <c r="C2837" t="s">
        <v>2502</v>
      </c>
      <c r="D2837" t="s">
        <v>228</v>
      </c>
      <c r="E2837">
        <v>79.989999999999995</v>
      </c>
      <c r="F2837" t="s">
        <v>8118</v>
      </c>
      <c r="G2837">
        <v>10</v>
      </c>
      <c r="H2837">
        <v>2</v>
      </c>
      <c r="I2837">
        <v>8</v>
      </c>
      <c r="K2837">
        <v>40</v>
      </c>
      <c r="L2837" t="s">
        <v>7029</v>
      </c>
      <c r="N2837">
        <v>8</v>
      </c>
      <c r="O2837">
        <v>0</v>
      </c>
      <c r="T2837">
        <v>0</v>
      </c>
      <c r="U2837">
        <v>0</v>
      </c>
      <c r="V2837">
        <v>8</v>
      </c>
    </row>
    <row r="2838" spans="1:22" x14ac:dyDescent="0.2">
      <c r="A2838" t="s">
        <v>6232</v>
      </c>
      <c r="B2838" t="s">
        <v>6233</v>
      </c>
      <c r="C2838" t="s">
        <v>2502</v>
      </c>
      <c r="D2838" t="s">
        <v>228</v>
      </c>
      <c r="E2838">
        <v>79.989999999999995</v>
      </c>
      <c r="F2838" t="s">
        <v>8118</v>
      </c>
      <c r="G2838">
        <v>12</v>
      </c>
      <c r="I2838">
        <v>12</v>
      </c>
      <c r="L2838" t="s">
        <v>7029</v>
      </c>
      <c r="N2838">
        <v>90</v>
      </c>
      <c r="O2838">
        <v>1.111111111111111E-2</v>
      </c>
      <c r="T2838">
        <v>0.33333333333333331</v>
      </c>
      <c r="U2838">
        <v>0</v>
      </c>
      <c r="V2838">
        <v>30</v>
      </c>
    </row>
    <row r="2839" spans="1:22" x14ac:dyDescent="0.2">
      <c r="A2839" t="s">
        <v>2539</v>
      </c>
      <c r="B2839" t="s">
        <v>2540</v>
      </c>
      <c r="C2839" t="s">
        <v>2502</v>
      </c>
      <c r="D2839" t="s">
        <v>228</v>
      </c>
      <c r="E2839">
        <v>54.99</v>
      </c>
      <c r="F2839" t="s">
        <v>8118</v>
      </c>
      <c r="G2839">
        <v>64</v>
      </c>
      <c r="H2839">
        <v>3</v>
      </c>
      <c r="I2839">
        <v>61</v>
      </c>
      <c r="K2839">
        <v>720</v>
      </c>
      <c r="L2839" t="s">
        <v>7029</v>
      </c>
      <c r="N2839">
        <v>80</v>
      </c>
      <c r="O2839">
        <v>1.2500000000000001E-2</v>
      </c>
      <c r="T2839">
        <v>0.625</v>
      </c>
      <c r="U2839">
        <v>0</v>
      </c>
      <c r="V2839">
        <v>50</v>
      </c>
    </row>
    <row r="2840" spans="1:22" x14ac:dyDescent="0.2">
      <c r="A2840" t="s">
        <v>6114</v>
      </c>
      <c r="B2840" t="s">
        <v>6115</v>
      </c>
      <c r="C2840" t="s">
        <v>2502</v>
      </c>
      <c r="D2840" t="s">
        <v>96</v>
      </c>
      <c r="E2840">
        <v>99.99</v>
      </c>
      <c r="F2840" t="s">
        <v>8118</v>
      </c>
      <c r="L2840" t="s">
        <v>7029</v>
      </c>
      <c r="N2840">
        <v>0</v>
      </c>
      <c r="O2840">
        <v>0</v>
      </c>
      <c r="T2840">
        <v>0</v>
      </c>
      <c r="U2840">
        <v>0</v>
      </c>
      <c r="V2840">
        <v>0</v>
      </c>
    </row>
    <row r="2841" spans="1:22" x14ac:dyDescent="0.2">
      <c r="A2841" t="s">
        <v>2543</v>
      </c>
      <c r="B2841" t="s">
        <v>2544</v>
      </c>
      <c r="C2841" t="s">
        <v>2502</v>
      </c>
      <c r="D2841" t="s">
        <v>228</v>
      </c>
      <c r="E2841">
        <v>79.989999999999995</v>
      </c>
      <c r="F2841" t="s">
        <v>8118</v>
      </c>
      <c r="G2841">
        <v>166</v>
      </c>
      <c r="H2841">
        <v>2</v>
      </c>
      <c r="I2841">
        <v>164</v>
      </c>
      <c r="K2841">
        <v>40</v>
      </c>
      <c r="L2841" t="s">
        <v>7029</v>
      </c>
      <c r="N2841">
        <v>53.666666666666671</v>
      </c>
      <c r="O2841">
        <v>1.8633540372670808E-2</v>
      </c>
      <c r="T2841">
        <v>0.8571428571428571</v>
      </c>
      <c r="U2841">
        <v>0</v>
      </c>
      <c r="V2841">
        <v>46</v>
      </c>
    </row>
    <row r="2842" spans="1:22" x14ac:dyDescent="0.2">
      <c r="A2842" t="s">
        <v>2561</v>
      </c>
      <c r="B2842" t="s">
        <v>2562</v>
      </c>
      <c r="C2842" t="s">
        <v>2502</v>
      </c>
      <c r="D2842" t="s">
        <v>228</v>
      </c>
      <c r="E2842">
        <v>17.989999999999998</v>
      </c>
      <c r="F2842" t="s">
        <v>8118</v>
      </c>
      <c r="G2842">
        <v>3092</v>
      </c>
      <c r="H2842">
        <v>503</v>
      </c>
      <c r="I2842">
        <v>2589</v>
      </c>
      <c r="K2842">
        <v>1200</v>
      </c>
      <c r="L2842" t="s">
        <v>7029</v>
      </c>
      <c r="N2842">
        <v>8.16</v>
      </c>
      <c r="O2842">
        <v>0.12254901960784312</v>
      </c>
      <c r="T2842">
        <v>12.5</v>
      </c>
      <c r="U2842">
        <v>305.83</v>
      </c>
      <c r="V2842">
        <v>102</v>
      </c>
    </row>
    <row r="2843" spans="1:22" x14ac:dyDescent="0.2">
      <c r="A2843" t="s">
        <v>2513</v>
      </c>
      <c r="B2843" t="s">
        <v>2514</v>
      </c>
      <c r="C2843" t="s">
        <v>2502</v>
      </c>
      <c r="D2843" t="s">
        <v>228</v>
      </c>
      <c r="E2843">
        <v>199.99</v>
      </c>
      <c r="F2843" t="s">
        <v>8118</v>
      </c>
      <c r="G2843">
        <v>213</v>
      </c>
      <c r="H2843">
        <v>3</v>
      </c>
      <c r="I2843">
        <v>210</v>
      </c>
      <c r="K2843">
        <v>720</v>
      </c>
      <c r="L2843" t="s">
        <v>7029</v>
      </c>
      <c r="N2843">
        <v>72</v>
      </c>
      <c r="O2843">
        <v>1.3888888888888888E-2</v>
      </c>
      <c r="T2843">
        <v>0.33333333333333331</v>
      </c>
      <c r="U2843">
        <v>0</v>
      </c>
      <c r="V2843">
        <v>24</v>
      </c>
    </row>
    <row r="2844" spans="1:22" x14ac:dyDescent="0.2">
      <c r="A2844" t="s">
        <v>2505</v>
      </c>
      <c r="B2844" t="s">
        <v>2506</v>
      </c>
      <c r="C2844" t="s">
        <v>2502</v>
      </c>
      <c r="D2844" t="s">
        <v>228</v>
      </c>
      <c r="E2844">
        <v>119.99</v>
      </c>
      <c r="F2844" t="s">
        <v>8118</v>
      </c>
      <c r="G2844">
        <v>123</v>
      </c>
      <c r="I2844">
        <v>123</v>
      </c>
      <c r="L2844" t="s">
        <v>7029</v>
      </c>
      <c r="N2844">
        <v>30</v>
      </c>
      <c r="O2844">
        <v>3.3333333333333333E-2</v>
      </c>
      <c r="T2844">
        <v>1</v>
      </c>
      <c r="U2844">
        <v>119.99</v>
      </c>
      <c r="V2844">
        <v>30</v>
      </c>
    </row>
    <row r="2845" spans="1:22" x14ac:dyDescent="0.2">
      <c r="A2845" t="s">
        <v>2507</v>
      </c>
      <c r="B2845" t="s">
        <v>2508</v>
      </c>
      <c r="C2845" t="s">
        <v>2502</v>
      </c>
      <c r="D2845" t="s">
        <v>228</v>
      </c>
      <c r="E2845">
        <v>139.99</v>
      </c>
      <c r="F2845" t="s">
        <v>8118</v>
      </c>
      <c r="G2845">
        <v>113</v>
      </c>
      <c r="I2845">
        <v>113</v>
      </c>
      <c r="K2845">
        <v>640</v>
      </c>
      <c r="L2845" t="s">
        <v>7029</v>
      </c>
      <c r="N2845">
        <v>18.399999999999999</v>
      </c>
      <c r="O2845">
        <v>5.434782608695652E-2</v>
      </c>
      <c r="T2845">
        <v>1.25</v>
      </c>
      <c r="U2845">
        <v>139.99</v>
      </c>
      <c r="V2845">
        <v>23</v>
      </c>
    </row>
    <row r="2846" spans="1:22" x14ac:dyDescent="0.2">
      <c r="A2846" t="s">
        <v>2729</v>
      </c>
      <c r="B2846" t="s">
        <v>2730</v>
      </c>
      <c r="C2846" t="s">
        <v>2502</v>
      </c>
      <c r="D2846" t="s">
        <v>228</v>
      </c>
      <c r="E2846">
        <v>54.99</v>
      </c>
      <c r="F2846" t="s">
        <v>8118</v>
      </c>
      <c r="G2846">
        <v>227</v>
      </c>
      <c r="H2846">
        <v>27</v>
      </c>
      <c r="I2846">
        <v>200</v>
      </c>
      <c r="K2846">
        <v>90</v>
      </c>
      <c r="L2846" t="s">
        <v>7029</v>
      </c>
      <c r="N2846">
        <v>70</v>
      </c>
      <c r="O2846">
        <v>1.4285714285714284E-2</v>
      </c>
      <c r="T2846">
        <v>0.5</v>
      </c>
      <c r="U2846">
        <v>0</v>
      </c>
      <c r="V2846">
        <v>35</v>
      </c>
    </row>
    <row r="2847" spans="1:22" x14ac:dyDescent="0.2">
      <c r="A2847" t="s">
        <v>6273</v>
      </c>
      <c r="B2847" t="s">
        <v>6274</v>
      </c>
      <c r="C2847" t="s">
        <v>2502</v>
      </c>
      <c r="D2847" t="s">
        <v>96</v>
      </c>
      <c r="E2847">
        <v>49.99</v>
      </c>
      <c r="F2847" t="s">
        <v>8118</v>
      </c>
      <c r="L2847" t="s">
        <v>7029</v>
      </c>
      <c r="N2847">
        <v>440</v>
      </c>
      <c r="O2847">
        <v>2.2727272727272731E-3</v>
      </c>
      <c r="T2847">
        <v>0.2</v>
      </c>
      <c r="U2847">
        <v>0</v>
      </c>
      <c r="V2847">
        <v>88</v>
      </c>
    </row>
    <row r="2848" spans="1:22" x14ac:dyDescent="0.2">
      <c r="A2848" t="s">
        <v>2595</v>
      </c>
      <c r="B2848" t="s">
        <v>2596</v>
      </c>
      <c r="C2848" t="s">
        <v>2502</v>
      </c>
      <c r="D2848" t="s">
        <v>228</v>
      </c>
      <c r="E2848">
        <v>49.99</v>
      </c>
      <c r="F2848" t="s">
        <v>8118</v>
      </c>
      <c r="J2848">
        <v>1</v>
      </c>
      <c r="K2848">
        <v>40</v>
      </c>
      <c r="L2848" t="s">
        <v>7029</v>
      </c>
      <c r="N2848">
        <v>7.2352941176470589</v>
      </c>
      <c r="O2848">
        <v>0.13821138211382114</v>
      </c>
      <c r="T2848">
        <v>5.666666666666667</v>
      </c>
      <c r="U2848">
        <v>49.99</v>
      </c>
      <c r="V2848">
        <v>41</v>
      </c>
    </row>
    <row r="2849" spans="1:22" x14ac:dyDescent="0.2">
      <c r="A2849" t="s">
        <v>2713</v>
      </c>
      <c r="B2849" t="s">
        <v>2714</v>
      </c>
      <c r="C2849" t="s">
        <v>2502</v>
      </c>
      <c r="D2849" t="s">
        <v>228</v>
      </c>
      <c r="E2849">
        <v>19.989999999999998</v>
      </c>
      <c r="F2849" t="s">
        <v>8118</v>
      </c>
      <c r="G2849">
        <v>541</v>
      </c>
      <c r="H2849">
        <v>61</v>
      </c>
      <c r="I2849">
        <v>480</v>
      </c>
      <c r="K2849">
        <v>300</v>
      </c>
      <c r="L2849" t="s">
        <v>7029</v>
      </c>
      <c r="N2849">
        <v>33.230769230769234</v>
      </c>
      <c r="O2849">
        <v>3.0092592592592591E-2</v>
      </c>
      <c r="T2849">
        <v>1.4444444444444444</v>
      </c>
      <c r="U2849">
        <v>0</v>
      </c>
      <c r="V2849">
        <v>48</v>
      </c>
    </row>
    <row r="2850" spans="1:22" x14ac:dyDescent="0.2">
      <c r="A2850" t="s">
        <v>6341</v>
      </c>
      <c r="B2850" t="s">
        <v>6342</v>
      </c>
      <c r="C2850" t="s">
        <v>2502</v>
      </c>
      <c r="D2850" t="s">
        <v>228</v>
      </c>
      <c r="E2850">
        <v>49.99</v>
      </c>
      <c r="F2850" t="s">
        <v>8118</v>
      </c>
      <c r="G2850">
        <v>37</v>
      </c>
      <c r="I2850">
        <v>37</v>
      </c>
      <c r="L2850" t="s">
        <v>7029</v>
      </c>
      <c r="N2850">
        <v>19.333333333333332</v>
      </c>
      <c r="O2850">
        <v>5.1724137931034482E-2</v>
      </c>
      <c r="T2850">
        <v>1.5</v>
      </c>
      <c r="U2850">
        <v>49.99</v>
      </c>
      <c r="V2850">
        <v>29</v>
      </c>
    </row>
    <row r="2851" spans="1:22" x14ac:dyDescent="0.2">
      <c r="A2851" t="s">
        <v>6348</v>
      </c>
      <c r="B2851" t="s">
        <v>6349</v>
      </c>
      <c r="C2851" t="s">
        <v>2502</v>
      </c>
      <c r="D2851" t="s">
        <v>290</v>
      </c>
      <c r="E2851">
        <v>129.99</v>
      </c>
      <c r="F2851" t="s">
        <v>8118</v>
      </c>
      <c r="G2851">
        <v>179</v>
      </c>
      <c r="I2851">
        <v>179</v>
      </c>
      <c r="L2851" t="s">
        <v>7029</v>
      </c>
      <c r="N2851">
        <v>40.6</v>
      </c>
      <c r="O2851">
        <v>2.4630541871921183E-2</v>
      </c>
      <c r="T2851">
        <v>0.7142857142857143</v>
      </c>
      <c r="U2851">
        <v>0</v>
      </c>
      <c r="V2851">
        <v>29</v>
      </c>
    </row>
    <row r="2852" spans="1:22" x14ac:dyDescent="0.2">
      <c r="A2852" t="s">
        <v>5924</v>
      </c>
      <c r="B2852" t="s">
        <v>5925</v>
      </c>
      <c r="C2852" t="s">
        <v>2502</v>
      </c>
      <c r="D2852" t="s">
        <v>290</v>
      </c>
      <c r="E2852">
        <v>49.99</v>
      </c>
      <c r="F2852" t="s">
        <v>8118</v>
      </c>
      <c r="L2852" t="s">
        <v>7029</v>
      </c>
      <c r="N2852">
        <v>21</v>
      </c>
      <c r="O2852">
        <v>4.7619047619047616E-2</v>
      </c>
      <c r="T2852">
        <v>1.1428571428571428</v>
      </c>
      <c r="U2852">
        <v>0</v>
      </c>
      <c r="V2852">
        <v>24</v>
      </c>
    </row>
    <row r="2853" spans="1:22" x14ac:dyDescent="0.2">
      <c r="A2853" t="s">
        <v>4388</v>
      </c>
      <c r="B2853" t="s">
        <v>4389</v>
      </c>
      <c r="C2853" t="s">
        <v>4390</v>
      </c>
      <c r="D2853" t="s">
        <v>96</v>
      </c>
      <c r="E2853">
        <v>49.99</v>
      </c>
      <c r="F2853" t="s">
        <v>8118</v>
      </c>
      <c r="L2853" t="s">
        <v>11</v>
      </c>
      <c r="M2853" t="s">
        <v>4391</v>
      </c>
      <c r="N2853">
        <v>0</v>
      </c>
      <c r="O2853">
        <v>0</v>
      </c>
      <c r="T2853">
        <v>0</v>
      </c>
      <c r="U2853">
        <v>0</v>
      </c>
      <c r="V2853">
        <v>0</v>
      </c>
    </row>
    <row r="2854" spans="1:22" x14ac:dyDescent="0.2">
      <c r="A2854" t="s">
        <v>3572</v>
      </c>
      <c r="B2854" t="s">
        <v>3573</v>
      </c>
      <c r="C2854" t="s">
        <v>3554</v>
      </c>
      <c r="D2854" t="s">
        <v>96</v>
      </c>
      <c r="E2854">
        <v>39.99</v>
      </c>
      <c r="F2854" t="s">
        <v>8118</v>
      </c>
      <c r="L2854" t="s">
        <v>11</v>
      </c>
      <c r="M2854" t="s">
        <v>3574</v>
      </c>
      <c r="N2854">
        <v>0</v>
      </c>
      <c r="O2854">
        <v>0</v>
      </c>
      <c r="T2854">
        <v>0</v>
      </c>
      <c r="U2854">
        <v>0</v>
      </c>
      <c r="V2854">
        <v>0</v>
      </c>
    </row>
    <row r="2855" spans="1:22" x14ac:dyDescent="0.2">
      <c r="A2855" t="s">
        <v>3578</v>
      </c>
      <c r="B2855" t="s">
        <v>3579</v>
      </c>
      <c r="C2855" t="s">
        <v>3554</v>
      </c>
      <c r="D2855" t="s">
        <v>96</v>
      </c>
      <c r="E2855">
        <v>39.99</v>
      </c>
      <c r="F2855" t="s">
        <v>8118</v>
      </c>
      <c r="L2855" t="s">
        <v>11</v>
      </c>
      <c r="M2855" t="s">
        <v>3580</v>
      </c>
      <c r="N2855">
        <v>0</v>
      </c>
      <c r="O2855">
        <v>0</v>
      </c>
      <c r="T2855">
        <v>0</v>
      </c>
      <c r="U2855">
        <v>0</v>
      </c>
      <c r="V2855">
        <v>0</v>
      </c>
    </row>
    <row r="2856" spans="1:22" x14ac:dyDescent="0.2">
      <c r="A2856" t="s">
        <v>3593</v>
      </c>
      <c r="B2856" t="s">
        <v>3594</v>
      </c>
      <c r="C2856" t="s">
        <v>3554</v>
      </c>
      <c r="D2856" t="s">
        <v>96</v>
      </c>
      <c r="E2856">
        <v>39.99</v>
      </c>
      <c r="F2856" t="s">
        <v>8118</v>
      </c>
      <c r="L2856" t="s">
        <v>11</v>
      </c>
      <c r="M2856" t="s">
        <v>3595</v>
      </c>
      <c r="N2856">
        <v>0</v>
      </c>
      <c r="O2856">
        <v>0</v>
      </c>
      <c r="T2856">
        <v>0</v>
      </c>
      <c r="U2856">
        <v>0</v>
      </c>
      <c r="V2856">
        <v>0</v>
      </c>
    </row>
    <row r="2857" spans="1:22" x14ac:dyDescent="0.2">
      <c r="A2857" t="s">
        <v>3605</v>
      </c>
      <c r="B2857" t="s">
        <v>3606</v>
      </c>
      <c r="C2857" t="s">
        <v>3554</v>
      </c>
      <c r="D2857" t="s">
        <v>96</v>
      </c>
      <c r="E2857">
        <v>39.99</v>
      </c>
      <c r="F2857" t="s">
        <v>8118</v>
      </c>
      <c r="L2857" t="s">
        <v>11</v>
      </c>
      <c r="M2857" t="s">
        <v>3607</v>
      </c>
      <c r="N2857">
        <v>0</v>
      </c>
      <c r="O2857">
        <v>0</v>
      </c>
      <c r="T2857">
        <v>0</v>
      </c>
      <c r="U2857">
        <v>0</v>
      </c>
      <c r="V2857">
        <v>0</v>
      </c>
    </row>
    <row r="2858" spans="1:22" x14ac:dyDescent="0.2">
      <c r="A2858" t="s">
        <v>3569</v>
      </c>
      <c r="B2858" t="s">
        <v>3570</v>
      </c>
      <c r="C2858" t="s">
        <v>3554</v>
      </c>
      <c r="D2858" t="s">
        <v>96</v>
      </c>
      <c r="E2858">
        <v>39.99</v>
      </c>
      <c r="F2858" t="s">
        <v>8118</v>
      </c>
      <c r="L2858" t="s">
        <v>11</v>
      </c>
      <c r="M2858" t="s">
        <v>3571</v>
      </c>
      <c r="N2858">
        <v>0</v>
      </c>
      <c r="O2858">
        <v>0</v>
      </c>
      <c r="T2858">
        <v>0</v>
      </c>
      <c r="U2858">
        <v>0</v>
      </c>
      <c r="V2858">
        <v>0</v>
      </c>
    </row>
    <row r="2859" spans="1:22" x14ac:dyDescent="0.2">
      <c r="A2859" t="s">
        <v>3575</v>
      </c>
      <c r="B2859" t="s">
        <v>3576</v>
      </c>
      <c r="C2859" t="s">
        <v>3554</v>
      </c>
      <c r="D2859" t="s">
        <v>96</v>
      </c>
      <c r="E2859">
        <v>39.99</v>
      </c>
      <c r="F2859" t="s">
        <v>8118</v>
      </c>
      <c r="L2859" t="s">
        <v>11</v>
      </c>
      <c r="M2859" t="s">
        <v>3577</v>
      </c>
      <c r="N2859">
        <v>0</v>
      </c>
      <c r="O2859">
        <v>0</v>
      </c>
      <c r="T2859">
        <v>0</v>
      </c>
      <c r="U2859">
        <v>0</v>
      </c>
      <c r="V2859">
        <v>0</v>
      </c>
    </row>
    <row r="2860" spans="1:22" x14ac:dyDescent="0.2">
      <c r="A2860" t="s">
        <v>3587</v>
      </c>
      <c r="B2860" t="s">
        <v>3588</v>
      </c>
      <c r="C2860" t="s">
        <v>3554</v>
      </c>
      <c r="D2860" t="s">
        <v>96</v>
      </c>
      <c r="E2860">
        <v>39.99</v>
      </c>
      <c r="F2860" t="s">
        <v>8118</v>
      </c>
      <c r="L2860" t="s">
        <v>11</v>
      </c>
      <c r="M2860" t="s">
        <v>3589</v>
      </c>
      <c r="N2860">
        <v>0</v>
      </c>
      <c r="O2860">
        <v>0</v>
      </c>
      <c r="T2860">
        <v>0</v>
      </c>
      <c r="U2860">
        <v>0</v>
      </c>
      <c r="V2860">
        <v>0</v>
      </c>
    </row>
    <row r="2861" spans="1:22" x14ac:dyDescent="0.2">
      <c r="A2861" t="s">
        <v>3590</v>
      </c>
      <c r="B2861" t="s">
        <v>3591</v>
      </c>
      <c r="C2861" t="s">
        <v>3554</v>
      </c>
      <c r="D2861" t="s">
        <v>96</v>
      </c>
      <c r="E2861">
        <v>39.99</v>
      </c>
      <c r="F2861" t="s">
        <v>8118</v>
      </c>
      <c r="L2861" t="s">
        <v>11</v>
      </c>
      <c r="M2861" t="s">
        <v>3592</v>
      </c>
      <c r="N2861">
        <v>0</v>
      </c>
      <c r="O2861">
        <v>0</v>
      </c>
      <c r="T2861">
        <v>0</v>
      </c>
      <c r="U2861">
        <v>0</v>
      </c>
      <c r="V2861">
        <v>0</v>
      </c>
    </row>
    <row r="2862" spans="1:22" x14ac:dyDescent="0.2">
      <c r="A2862" t="s">
        <v>3611</v>
      </c>
      <c r="B2862" t="s">
        <v>3612</v>
      </c>
      <c r="C2862" t="s">
        <v>3554</v>
      </c>
      <c r="D2862" t="s">
        <v>96</v>
      </c>
      <c r="E2862">
        <v>39.99</v>
      </c>
      <c r="F2862" t="s">
        <v>8118</v>
      </c>
      <c r="L2862" t="s">
        <v>11</v>
      </c>
      <c r="M2862" t="s">
        <v>3613</v>
      </c>
      <c r="N2862">
        <v>0</v>
      </c>
      <c r="O2862">
        <v>0</v>
      </c>
      <c r="T2862">
        <v>0</v>
      </c>
      <c r="U2862">
        <v>0</v>
      </c>
      <c r="V2862">
        <v>0</v>
      </c>
    </row>
    <row r="2863" spans="1:22" x14ac:dyDescent="0.2">
      <c r="A2863" t="s">
        <v>3614</v>
      </c>
      <c r="B2863" t="s">
        <v>3615</v>
      </c>
      <c r="C2863" t="s">
        <v>3554</v>
      </c>
      <c r="D2863" t="s">
        <v>96</v>
      </c>
      <c r="E2863">
        <v>39.99</v>
      </c>
      <c r="F2863" t="s">
        <v>8118</v>
      </c>
      <c r="L2863" t="s">
        <v>11</v>
      </c>
      <c r="M2863" t="s">
        <v>3616</v>
      </c>
      <c r="N2863">
        <v>0</v>
      </c>
      <c r="O2863">
        <v>0</v>
      </c>
      <c r="T2863">
        <v>0</v>
      </c>
      <c r="U2863">
        <v>0</v>
      </c>
      <c r="V2863">
        <v>0</v>
      </c>
    </row>
    <row r="2864" spans="1:22" x14ac:dyDescent="0.2">
      <c r="A2864" t="s">
        <v>3602</v>
      </c>
      <c r="B2864" t="s">
        <v>3603</v>
      </c>
      <c r="C2864" t="s">
        <v>3554</v>
      </c>
      <c r="D2864" t="s">
        <v>96</v>
      </c>
      <c r="E2864">
        <v>39.99</v>
      </c>
      <c r="F2864" t="s">
        <v>8118</v>
      </c>
      <c r="L2864" t="s">
        <v>11</v>
      </c>
      <c r="M2864" t="s">
        <v>3604</v>
      </c>
      <c r="N2864">
        <v>0</v>
      </c>
      <c r="O2864">
        <v>0</v>
      </c>
      <c r="T2864">
        <v>0</v>
      </c>
      <c r="U2864">
        <v>0</v>
      </c>
      <c r="V2864">
        <v>0</v>
      </c>
    </row>
    <row r="2865" spans="1:22" x14ac:dyDescent="0.2">
      <c r="A2865" t="s">
        <v>3617</v>
      </c>
      <c r="B2865" t="s">
        <v>3618</v>
      </c>
      <c r="C2865" t="s">
        <v>3554</v>
      </c>
      <c r="D2865" t="s">
        <v>96</v>
      </c>
      <c r="E2865">
        <v>59.99</v>
      </c>
      <c r="F2865" t="s">
        <v>8118</v>
      </c>
      <c r="L2865" t="s">
        <v>11</v>
      </c>
      <c r="M2865" t="s">
        <v>3619</v>
      </c>
      <c r="N2865">
        <v>0</v>
      </c>
      <c r="O2865">
        <v>0</v>
      </c>
      <c r="T2865">
        <v>0</v>
      </c>
      <c r="U2865">
        <v>0</v>
      </c>
      <c r="V2865">
        <v>0</v>
      </c>
    </row>
    <row r="2866" spans="1:22" x14ac:dyDescent="0.2">
      <c r="A2866" t="s">
        <v>3556</v>
      </c>
      <c r="B2866" t="s">
        <v>3557</v>
      </c>
      <c r="C2866" t="s">
        <v>3554</v>
      </c>
      <c r="D2866" t="s">
        <v>96</v>
      </c>
      <c r="E2866">
        <v>39.99</v>
      </c>
      <c r="F2866" t="s">
        <v>8118</v>
      </c>
      <c r="L2866" t="s">
        <v>11</v>
      </c>
      <c r="M2866" t="s">
        <v>3558</v>
      </c>
      <c r="N2866">
        <v>0</v>
      </c>
      <c r="O2866">
        <v>0</v>
      </c>
      <c r="T2866">
        <v>0</v>
      </c>
      <c r="U2866">
        <v>0</v>
      </c>
      <c r="V2866">
        <v>0</v>
      </c>
    </row>
    <row r="2867" spans="1:22" x14ac:dyDescent="0.2">
      <c r="A2867" t="s">
        <v>3552</v>
      </c>
      <c r="B2867" t="s">
        <v>3553</v>
      </c>
      <c r="C2867" t="s">
        <v>3554</v>
      </c>
      <c r="D2867" t="s">
        <v>96</v>
      </c>
      <c r="E2867">
        <v>39.99</v>
      </c>
      <c r="F2867" t="s">
        <v>8118</v>
      </c>
      <c r="L2867" t="s">
        <v>11</v>
      </c>
      <c r="M2867" t="s">
        <v>3555</v>
      </c>
      <c r="N2867">
        <v>0</v>
      </c>
      <c r="O2867">
        <v>0</v>
      </c>
      <c r="T2867">
        <v>0</v>
      </c>
      <c r="U2867">
        <v>0</v>
      </c>
      <c r="V2867">
        <v>0</v>
      </c>
    </row>
    <row r="2868" spans="1:22" x14ac:dyDescent="0.2">
      <c r="A2868" t="s">
        <v>3590</v>
      </c>
      <c r="B2868" t="s">
        <v>3591</v>
      </c>
      <c r="C2868" t="s">
        <v>3554</v>
      </c>
      <c r="D2868" t="s">
        <v>96</v>
      </c>
      <c r="E2868">
        <v>39.99</v>
      </c>
      <c r="F2868" t="s">
        <v>8118</v>
      </c>
      <c r="L2868" t="s">
        <v>10</v>
      </c>
      <c r="M2868">
        <v>501371</v>
      </c>
      <c r="N2868">
        <v>0</v>
      </c>
      <c r="O2868">
        <v>0</v>
      </c>
      <c r="P2868" t="s">
        <v>290</v>
      </c>
      <c r="T2868">
        <v>0</v>
      </c>
      <c r="U2868">
        <v>0</v>
      </c>
      <c r="V2868">
        <v>0</v>
      </c>
    </row>
    <row r="2869" spans="1:22" x14ac:dyDescent="0.2">
      <c r="A2869" t="s">
        <v>3611</v>
      </c>
      <c r="B2869" t="s">
        <v>3612</v>
      </c>
      <c r="C2869" t="s">
        <v>3554</v>
      </c>
      <c r="D2869" t="s">
        <v>96</v>
      </c>
      <c r="E2869">
        <v>39.99</v>
      </c>
      <c r="F2869" t="s">
        <v>8118</v>
      </c>
      <c r="L2869" t="s">
        <v>10</v>
      </c>
      <c r="M2869">
        <v>501372</v>
      </c>
      <c r="N2869">
        <v>0</v>
      </c>
      <c r="O2869">
        <v>0</v>
      </c>
      <c r="P2869" t="s">
        <v>290</v>
      </c>
      <c r="T2869">
        <v>0</v>
      </c>
      <c r="U2869">
        <v>0</v>
      </c>
      <c r="V2869">
        <v>0</v>
      </c>
    </row>
    <row r="2870" spans="1:22" x14ac:dyDescent="0.2">
      <c r="A2870" t="s">
        <v>3614</v>
      </c>
      <c r="B2870" t="s">
        <v>3615</v>
      </c>
      <c r="C2870" t="s">
        <v>3554</v>
      </c>
      <c r="D2870" t="s">
        <v>96</v>
      </c>
      <c r="E2870">
        <v>39.99</v>
      </c>
      <c r="F2870" t="s">
        <v>8118</v>
      </c>
      <c r="L2870" t="s">
        <v>10</v>
      </c>
      <c r="M2870">
        <v>501373</v>
      </c>
      <c r="N2870">
        <v>0</v>
      </c>
      <c r="O2870">
        <v>0</v>
      </c>
      <c r="P2870" t="s">
        <v>290</v>
      </c>
      <c r="T2870">
        <v>0</v>
      </c>
      <c r="U2870">
        <v>0</v>
      </c>
      <c r="V2870">
        <v>0</v>
      </c>
    </row>
    <row r="2871" spans="1:22" x14ac:dyDescent="0.2">
      <c r="A2871" t="s">
        <v>3602</v>
      </c>
      <c r="B2871" t="s">
        <v>3603</v>
      </c>
      <c r="C2871" t="s">
        <v>3554</v>
      </c>
      <c r="D2871" t="s">
        <v>96</v>
      </c>
      <c r="E2871">
        <v>39.99</v>
      </c>
      <c r="F2871" t="s">
        <v>8118</v>
      </c>
      <c r="L2871" t="s">
        <v>10</v>
      </c>
      <c r="M2871">
        <v>501368</v>
      </c>
      <c r="N2871">
        <v>0</v>
      </c>
      <c r="O2871">
        <v>0</v>
      </c>
      <c r="P2871" t="s">
        <v>290</v>
      </c>
      <c r="T2871">
        <v>0</v>
      </c>
      <c r="U2871">
        <v>0</v>
      </c>
      <c r="V2871">
        <v>0</v>
      </c>
    </row>
    <row r="2872" spans="1:22" x14ac:dyDescent="0.2">
      <c r="A2872" t="s">
        <v>3575</v>
      </c>
      <c r="B2872" t="s">
        <v>3576</v>
      </c>
      <c r="C2872" t="s">
        <v>3554</v>
      </c>
      <c r="D2872" t="s">
        <v>96</v>
      </c>
      <c r="E2872">
        <v>39.99</v>
      </c>
      <c r="F2872" t="s">
        <v>8118</v>
      </c>
      <c r="L2872" t="s">
        <v>10</v>
      </c>
      <c r="M2872">
        <v>995099</v>
      </c>
      <c r="N2872">
        <v>0</v>
      </c>
      <c r="O2872">
        <v>0</v>
      </c>
      <c r="P2872" t="s">
        <v>290</v>
      </c>
      <c r="T2872">
        <v>0</v>
      </c>
      <c r="U2872">
        <v>0</v>
      </c>
      <c r="V2872">
        <v>0</v>
      </c>
    </row>
    <row r="2873" spans="1:22" x14ac:dyDescent="0.2">
      <c r="A2873" t="s">
        <v>3569</v>
      </c>
      <c r="B2873" t="s">
        <v>3570</v>
      </c>
      <c r="C2873" t="s">
        <v>3554</v>
      </c>
      <c r="D2873" t="s">
        <v>96</v>
      </c>
      <c r="E2873">
        <v>39.99</v>
      </c>
      <c r="F2873" t="s">
        <v>8118</v>
      </c>
      <c r="L2873" t="s">
        <v>10</v>
      </c>
      <c r="M2873">
        <v>995096</v>
      </c>
      <c r="N2873">
        <v>0</v>
      </c>
      <c r="O2873">
        <v>0</v>
      </c>
      <c r="P2873" t="s">
        <v>7015</v>
      </c>
      <c r="T2873">
        <v>0</v>
      </c>
      <c r="U2873">
        <v>0</v>
      </c>
      <c r="V2873">
        <v>0</v>
      </c>
    </row>
    <row r="2874" spans="1:22" x14ac:dyDescent="0.2">
      <c r="A2874" t="s">
        <v>3587</v>
      </c>
      <c r="B2874" t="s">
        <v>3588</v>
      </c>
      <c r="C2874" t="s">
        <v>3554</v>
      </c>
      <c r="D2874" t="s">
        <v>96</v>
      </c>
      <c r="E2874">
        <v>39.99</v>
      </c>
      <c r="F2874" t="s">
        <v>8118</v>
      </c>
      <c r="L2874" t="s">
        <v>10</v>
      </c>
      <c r="M2874">
        <v>501370</v>
      </c>
      <c r="N2874">
        <v>0</v>
      </c>
      <c r="O2874">
        <v>0</v>
      </c>
      <c r="P2874" t="s">
        <v>290</v>
      </c>
      <c r="T2874">
        <v>0</v>
      </c>
      <c r="U2874">
        <v>0</v>
      </c>
      <c r="V2874">
        <v>0</v>
      </c>
    </row>
    <row r="2875" spans="1:22" x14ac:dyDescent="0.2">
      <c r="A2875" t="s">
        <v>3602</v>
      </c>
      <c r="B2875" t="s">
        <v>3603</v>
      </c>
      <c r="C2875" t="s">
        <v>3554</v>
      </c>
      <c r="D2875" t="s">
        <v>96</v>
      </c>
      <c r="E2875">
        <v>39.99</v>
      </c>
      <c r="F2875" t="s">
        <v>8118</v>
      </c>
      <c r="L2875" t="s">
        <v>7032</v>
      </c>
      <c r="M2875" t="s">
        <v>97</v>
      </c>
      <c r="N2875">
        <v>0</v>
      </c>
      <c r="O2875">
        <v>0</v>
      </c>
      <c r="T2875">
        <v>0</v>
      </c>
      <c r="U2875">
        <v>0</v>
      </c>
      <c r="V2875">
        <v>0</v>
      </c>
    </row>
    <row r="2876" spans="1:22" x14ac:dyDescent="0.2">
      <c r="A2876" t="s">
        <v>3590</v>
      </c>
      <c r="B2876" t="s">
        <v>3591</v>
      </c>
      <c r="C2876" t="s">
        <v>3554</v>
      </c>
      <c r="D2876" t="s">
        <v>96</v>
      </c>
      <c r="E2876">
        <v>39.99</v>
      </c>
      <c r="F2876" t="s">
        <v>8118</v>
      </c>
      <c r="L2876" t="s">
        <v>7032</v>
      </c>
      <c r="M2876" t="s">
        <v>97</v>
      </c>
      <c r="N2876">
        <v>0</v>
      </c>
      <c r="O2876">
        <v>0</v>
      </c>
      <c r="T2876">
        <v>0</v>
      </c>
      <c r="U2876">
        <v>0</v>
      </c>
      <c r="V2876">
        <v>0</v>
      </c>
    </row>
    <row r="2877" spans="1:22" x14ac:dyDescent="0.2">
      <c r="A2877" t="s">
        <v>3587</v>
      </c>
      <c r="B2877" t="s">
        <v>3588</v>
      </c>
      <c r="C2877" t="s">
        <v>3554</v>
      </c>
      <c r="D2877" t="s">
        <v>96</v>
      </c>
      <c r="E2877">
        <v>39.99</v>
      </c>
      <c r="F2877" t="s">
        <v>8118</v>
      </c>
      <c r="L2877" t="s">
        <v>7032</v>
      </c>
      <c r="M2877" t="s">
        <v>97</v>
      </c>
      <c r="N2877">
        <v>0</v>
      </c>
      <c r="O2877">
        <v>0</v>
      </c>
      <c r="T2877">
        <v>0</v>
      </c>
      <c r="U2877">
        <v>0</v>
      </c>
      <c r="V2877">
        <v>0</v>
      </c>
    </row>
    <row r="2878" spans="1:22" x14ac:dyDescent="0.2">
      <c r="A2878" t="s">
        <v>3575</v>
      </c>
      <c r="B2878" t="s">
        <v>3576</v>
      </c>
      <c r="C2878" t="s">
        <v>3554</v>
      </c>
      <c r="D2878" t="s">
        <v>96</v>
      </c>
      <c r="E2878">
        <v>39.99</v>
      </c>
      <c r="F2878" t="s">
        <v>8118</v>
      </c>
      <c r="L2878" t="s">
        <v>7032</v>
      </c>
      <c r="M2878" t="s">
        <v>97</v>
      </c>
      <c r="N2878">
        <v>0</v>
      </c>
      <c r="O2878">
        <v>0</v>
      </c>
      <c r="T2878">
        <v>0</v>
      </c>
      <c r="U2878">
        <v>0</v>
      </c>
      <c r="V2878">
        <v>0</v>
      </c>
    </row>
    <row r="2879" spans="1:22" x14ac:dyDescent="0.2">
      <c r="A2879" t="s">
        <v>3556</v>
      </c>
      <c r="B2879" t="s">
        <v>3557</v>
      </c>
      <c r="C2879" t="s">
        <v>3554</v>
      </c>
      <c r="D2879" t="s">
        <v>96</v>
      </c>
      <c r="E2879">
        <v>39.99</v>
      </c>
      <c r="F2879" t="s">
        <v>8118</v>
      </c>
      <c r="L2879" t="s">
        <v>7032</v>
      </c>
      <c r="M2879" t="s">
        <v>97</v>
      </c>
      <c r="N2879">
        <v>0</v>
      </c>
      <c r="O2879">
        <v>0</v>
      </c>
      <c r="T2879">
        <v>0</v>
      </c>
      <c r="U2879">
        <v>0</v>
      </c>
      <c r="V2879">
        <v>0</v>
      </c>
    </row>
    <row r="2880" spans="1:22" x14ac:dyDescent="0.2">
      <c r="A2880" t="s">
        <v>5906</v>
      </c>
      <c r="B2880" t="s">
        <v>5907</v>
      </c>
      <c r="C2880" t="s">
        <v>5908</v>
      </c>
      <c r="D2880" t="s">
        <v>96</v>
      </c>
      <c r="F2880" t="s">
        <v>8118</v>
      </c>
      <c r="L2880" t="s">
        <v>10</v>
      </c>
      <c r="M2880">
        <v>409552</v>
      </c>
      <c r="N2880">
        <v>0</v>
      </c>
      <c r="O2880">
        <v>0</v>
      </c>
      <c r="P2880" t="s">
        <v>7015</v>
      </c>
      <c r="T2880">
        <v>0</v>
      </c>
      <c r="V2880">
        <v>1</v>
      </c>
    </row>
    <row r="2881" spans="1:22" x14ac:dyDescent="0.2">
      <c r="A2881" t="s">
        <v>5265</v>
      </c>
      <c r="B2881" t="s">
        <v>5266</v>
      </c>
      <c r="C2881" t="s">
        <v>2852</v>
      </c>
      <c r="D2881" t="s">
        <v>96</v>
      </c>
      <c r="E2881">
        <v>249.99</v>
      </c>
      <c r="F2881" t="s">
        <v>8118</v>
      </c>
      <c r="L2881" t="s">
        <v>11</v>
      </c>
      <c r="M2881" t="s">
        <v>5267</v>
      </c>
      <c r="N2881">
        <v>0</v>
      </c>
      <c r="O2881">
        <v>0</v>
      </c>
      <c r="T2881">
        <v>0</v>
      </c>
      <c r="U2881">
        <v>0</v>
      </c>
      <c r="V2881">
        <v>0</v>
      </c>
    </row>
    <row r="2882" spans="1:22" x14ac:dyDescent="0.2">
      <c r="A2882" t="s">
        <v>2923</v>
      </c>
      <c r="B2882" t="s">
        <v>2924</v>
      </c>
      <c r="C2882" t="s">
        <v>2852</v>
      </c>
      <c r="D2882" t="s">
        <v>228</v>
      </c>
      <c r="E2882">
        <v>44.99</v>
      </c>
      <c r="F2882" t="s">
        <v>8118</v>
      </c>
      <c r="G2882">
        <v>78</v>
      </c>
      <c r="H2882">
        <v>24</v>
      </c>
      <c r="I2882">
        <v>54</v>
      </c>
      <c r="L2882" t="s">
        <v>11</v>
      </c>
      <c r="M2882" t="s">
        <v>4373</v>
      </c>
      <c r="N2882">
        <v>0</v>
      </c>
      <c r="O2882">
        <v>0</v>
      </c>
      <c r="T2882">
        <v>0</v>
      </c>
      <c r="U2882">
        <v>0</v>
      </c>
      <c r="V2882">
        <v>1</v>
      </c>
    </row>
    <row r="2883" spans="1:22" x14ac:dyDescent="0.2">
      <c r="A2883" t="s">
        <v>4367</v>
      </c>
      <c r="B2883" t="s">
        <v>4368</v>
      </c>
      <c r="C2883" t="s">
        <v>2852</v>
      </c>
      <c r="D2883" t="s">
        <v>96</v>
      </c>
      <c r="E2883">
        <v>29.99</v>
      </c>
      <c r="F2883" t="s">
        <v>8118</v>
      </c>
      <c r="L2883" t="s">
        <v>11</v>
      </c>
      <c r="M2883" t="s">
        <v>4369</v>
      </c>
      <c r="N2883">
        <v>0</v>
      </c>
      <c r="O2883">
        <v>0</v>
      </c>
      <c r="T2883">
        <v>0</v>
      </c>
      <c r="U2883">
        <v>0</v>
      </c>
      <c r="V2883">
        <v>0</v>
      </c>
    </row>
    <row r="2884" spans="1:22" x14ac:dyDescent="0.2">
      <c r="A2884" t="s">
        <v>4370</v>
      </c>
      <c r="B2884" t="s">
        <v>4371</v>
      </c>
      <c r="C2884" t="s">
        <v>2852</v>
      </c>
      <c r="D2884" t="s">
        <v>96</v>
      </c>
      <c r="E2884">
        <v>29.99</v>
      </c>
      <c r="F2884" t="s">
        <v>8118</v>
      </c>
      <c r="L2884" t="s">
        <v>11</v>
      </c>
      <c r="M2884" t="s">
        <v>4372</v>
      </c>
      <c r="N2884">
        <v>0</v>
      </c>
      <c r="O2884">
        <v>0</v>
      </c>
      <c r="T2884">
        <v>0</v>
      </c>
      <c r="U2884">
        <v>0</v>
      </c>
      <c r="V2884">
        <v>0</v>
      </c>
    </row>
    <row r="2885" spans="1:22" x14ac:dyDescent="0.2">
      <c r="A2885" t="s">
        <v>5921</v>
      </c>
      <c r="B2885" t="s">
        <v>5922</v>
      </c>
      <c r="C2885" t="s">
        <v>2852</v>
      </c>
      <c r="D2885" t="s">
        <v>96</v>
      </c>
      <c r="E2885">
        <v>249.99</v>
      </c>
      <c r="F2885" t="s">
        <v>8118</v>
      </c>
      <c r="L2885" t="s">
        <v>11</v>
      </c>
      <c r="M2885" t="s">
        <v>5923</v>
      </c>
      <c r="N2885">
        <v>0</v>
      </c>
      <c r="O2885">
        <v>0</v>
      </c>
      <c r="T2885">
        <v>0</v>
      </c>
      <c r="U2885">
        <v>0</v>
      </c>
      <c r="V2885">
        <v>0</v>
      </c>
    </row>
    <row r="2886" spans="1:22" x14ac:dyDescent="0.2">
      <c r="A2886" t="s">
        <v>4376</v>
      </c>
      <c r="B2886" t="s">
        <v>4377</v>
      </c>
      <c r="C2886" t="s">
        <v>2852</v>
      </c>
      <c r="D2886" t="s">
        <v>96</v>
      </c>
      <c r="E2886">
        <v>29.99</v>
      </c>
      <c r="F2886" t="s">
        <v>8118</v>
      </c>
      <c r="L2886" t="s">
        <v>11</v>
      </c>
      <c r="M2886" t="s">
        <v>4378</v>
      </c>
      <c r="N2886">
        <v>0</v>
      </c>
      <c r="O2886">
        <v>0</v>
      </c>
      <c r="T2886">
        <v>0</v>
      </c>
      <c r="U2886">
        <v>0</v>
      </c>
      <c r="V2886">
        <v>0</v>
      </c>
    </row>
    <row r="2887" spans="1:22" x14ac:dyDescent="0.2">
      <c r="A2887" t="s">
        <v>2909</v>
      </c>
      <c r="B2887" t="s">
        <v>2910</v>
      </c>
      <c r="C2887" t="s">
        <v>2852</v>
      </c>
      <c r="D2887" t="s">
        <v>228</v>
      </c>
      <c r="E2887">
        <v>99.99</v>
      </c>
      <c r="F2887" t="s">
        <v>8118</v>
      </c>
      <c r="G2887">
        <v>34</v>
      </c>
      <c r="H2887">
        <v>1</v>
      </c>
      <c r="I2887">
        <v>33</v>
      </c>
      <c r="L2887" t="s">
        <v>11</v>
      </c>
      <c r="M2887" t="s">
        <v>5294</v>
      </c>
      <c r="N2887">
        <v>0</v>
      </c>
      <c r="O2887">
        <v>0</v>
      </c>
      <c r="T2887">
        <v>0</v>
      </c>
      <c r="U2887">
        <v>0</v>
      </c>
      <c r="V2887">
        <v>0</v>
      </c>
    </row>
    <row r="2888" spans="1:22" x14ac:dyDescent="0.2">
      <c r="A2888" t="s">
        <v>5297</v>
      </c>
      <c r="B2888" t="s">
        <v>5298</v>
      </c>
      <c r="C2888" t="s">
        <v>2852</v>
      </c>
      <c r="D2888" t="s">
        <v>96</v>
      </c>
      <c r="E2888">
        <v>99.99</v>
      </c>
      <c r="F2888" t="s">
        <v>8118</v>
      </c>
      <c r="L2888" t="s">
        <v>11</v>
      </c>
      <c r="M2888" t="s">
        <v>5299</v>
      </c>
      <c r="N2888">
        <v>0</v>
      </c>
      <c r="O2888">
        <v>0</v>
      </c>
      <c r="T2888">
        <v>0</v>
      </c>
      <c r="U2888">
        <v>0</v>
      </c>
      <c r="V2888">
        <v>0</v>
      </c>
    </row>
    <row r="2889" spans="1:22" x14ac:dyDescent="0.2">
      <c r="A2889" t="s">
        <v>5287</v>
      </c>
      <c r="B2889" t="s">
        <v>5288</v>
      </c>
      <c r="C2889" t="s">
        <v>2852</v>
      </c>
      <c r="D2889" t="s">
        <v>290</v>
      </c>
      <c r="E2889">
        <v>99.99</v>
      </c>
      <c r="F2889" t="s">
        <v>8118</v>
      </c>
      <c r="L2889" t="s">
        <v>11</v>
      </c>
      <c r="M2889" t="s">
        <v>5289</v>
      </c>
      <c r="N2889">
        <v>0</v>
      </c>
      <c r="O2889">
        <v>0</v>
      </c>
      <c r="T2889">
        <v>0</v>
      </c>
      <c r="U2889">
        <v>0</v>
      </c>
      <c r="V2889">
        <v>0</v>
      </c>
    </row>
    <row r="2890" spans="1:22" x14ac:dyDescent="0.2">
      <c r="A2890" t="s">
        <v>5284</v>
      </c>
      <c r="B2890" t="s">
        <v>5285</v>
      </c>
      <c r="C2890" t="s">
        <v>2852</v>
      </c>
      <c r="D2890" t="s">
        <v>96</v>
      </c>
      <c r="E2890">
        <v>99.99</v>
      </c>
      <c r="F2890" t="s">
        <v>8118</v>
      </c>
      <c r="L2890" t="s">
        <v>11</v>
      </c>
      <c r="M2890" t="s">
        <v>5286</v>
      </c>
      <c r="N2890">
        <v>0</v>
      </c>
      <c r="O2890">
        <v>0</v>
      </c>
      <c r="T2890">
        <v>0</v>
      </c>
      <c r="U2890">
        <v>0</v>
      </c>
      <c r="V2890">
        <v>0</v>
      </c>
    </row>
    <row r="2891" spans="1:22" x14ac:dyDescent="0.2">
      <c r="A2891" t="s">
        <v>4213</v>
      </c>
      <c r="B2891" t="s">
        <v>4214</v>
      </c>
      <c r="C2891" t="s">
        <v>2852</v>
      </c>
      <c r="D2891" t="s">
        <v>96</v>
      </c>
      <c r="E2891">
        <v>44.99</v>
      </c>
      <c r="F2891" t="s">
        <v>8118</v>
      </c>
      <c r="L2891" t="s">
        <v>11</v>
      </c>
      <c r="M2891" t="s">
        <v>4215</v>
      </c>
      <c r="N2891">
        <v>0</v>
      </c>
      <c r="O2891">
        <v>0</v>
      </c>
      <c r="T2891">
        <v>0</v>
      </c>
      <c r="U2891">
        <v>0</v>
      </c>
      <c r="V2891">
        <v>0</v>
      </c>
    </row>
    <row r="2892" spans="1:22" x14ac:dyDescent="0.2">
      <c r="A2892" t="s">
        <v>2879</v>
      </c>
      <c r="B2892" t="s">
        <v>2880</v>
      </c>
      <c r="C2892" t="s">
        <v>2852</v>
      </c>
      <c r="D2892" t="s">
        <v>228</v>
      </c>
      <c r="E2892">
        <v>44.99</v>
      </c>
      <c r="F2892" t="s">
        <v>8118</v>
      </c>
      <c r="G2892">
        <v>51</v>
      </c>
      <c r="I2892">
        <v>51</v>
      </c>
      <c r="L2892" t="s">
        <v>11</v>
      </c>
      <c r="M2892" t="s">
        <v>4216</v>
      </c>
      <c r="N2892">
        <v>0</v>
      </c>
      <c r="O2892">
        <v>0</v>
      </c>
      <c r="T2892">
        <v>0</v>
      </c>
      <c r="U2892">
        <v>0</v>
      </c>
      <c r="V2892">
        <v>0</v>
      </c>
    </row>
    <row r="2893" spans="1:22" x14ac:dyDescent="0.2">
      <c r="A2893" t="s">
        <v>2893</v>
      </c>
      <c r="B2893" t="s">
        <v>2894</v>
      </c>
      <c r="C2893" t="s">
        <v>2852</v>
      </c>
      <c r="D2893" t="s">
        <v>228</v>
      </c>
      <c r="E2893">
        <v>249.99</v>
      </c>
      <c r="F2893" t="s">
        <v>8118</v>
      </c>
      <c r="G2893">
        <v>88</v>
      </c>
      <c r="H2893">
        <v>25</v>
      </c>
      <c r="I2893">
        <v>63</v>
      </c>
      <c r="L2893" t="s">
        <v>11</v>
      </c>
      <c r="M2893" t="s">
        <v>3719</v>
      </c>
      <c r="N2893">
        <v>0</v>
      </c>
      <c r="O2893">
        <v>0</v>
      </c>
      <c r="T2893">
        <v>0</v>
      </c>
      <c r="U2893">
        <v>0</v>
      </c>
      <c r="V2893">
        <v>0</v>
      </c>
    </row>
    <row r="2894" spans="1:22" x14ac:dyDescent="0.2">
      <c r="A2894" t="s">
        <v>3716</v>
      </c>
      <c r="B2894" t="s">
        <v>3717</v>
      </c>
      <c r="C2894" t="s">
        <v>2852</v>
      </c>
      <c r="D2894" t="s">
        <v>290</v>
      </c>
      <c r="E2894">
        <v>99.99</v>
      </c>
      <c r="F2894" t="s">
        <v>8118</v>
      </c>
      <c r="G2894">
        <v>1</v>
      </c>
      <c r="H2894">
        <v>1</v>
      </c>
      <c r="L2894" t="s">
        <v>11</v>
      </c>
      <c r="M2894" t="s">
        <v>3718</v>
      </c>
      <c r="N2894">
        <v>0</v>
      </c>
      <c r="O2894">
        <v>0</v>
      </c>
      <c r="T2894">
        <v>0</v>
      </c>
      <c r="U2894">
        <v>0</v>
      </c>
      <c r="V2894">
        <v>1</v>
      </c>
    </row>
    <row r="2895" spans="1:22" x14ac:dyDescent="0.2">
      <c r="A2895" t="s">
        <v>2905</v>
      </c>
      <c r="B2895" t="s">
        <v>2906</v>
      </c>
      <c r="C2895" t="s">
        <v>2852</v>
      </c>
      <c r="D2895" t="s">
        <v>228</v>
      </c>
      <c r="E2895">
        <v>179.99</v>
      </c>
      <c r="F2895" t="s">
        <v>8118</v>
      </c>
      <c r="G2895">
        <v>34</v>
      </c>
      <c r="H2895">
        <v>8</v>
      </c>
      <c r="I2895">
        <v>26</v>
      </c>
      <c r="K2895">
        <v>80</v>
      </c>
      <c r="L2895" t="s">
        <v>11</v>
      </c>
      <c r="M2895" t="s">
        <v>5290</v>
      </c>
      <c r="N2895">
        <v>0</v>
      </c>
      <c r="O2895">
        <v>0</v>
      </c>
      <c r="T2895">
        <v>0</v>
      </c>
      <c r="U2895">
        <v>0</v>
      </c>
      <c r="V2895">
        <v>0</v>
      </c>
    </row>
    <row r="2896" spans="1:22" x14ac:dyDescent="0.2">
      <c r="A2896" t="s">
        <v>2901</v>
      </c>
      <c r="B2896" t="s">
        <v>2902</v>
      </c>
      <c r="C2896" t="s">
        <v>2852</v>
      </c>
      <c r="D2896" t="s">
        <v>228</v>
      </c>
      <c r="E2896">
        <v>99.99</v>
      </c>
      <c r="F2896" t="s">
        <v>8118</v>
      </c>
      <c r="G2896">
        <v>20</v>
      </c>
      <c r="H2896">
        <v>11</v>
      </c>
      <c r="I2896">
        <v>9</v>
      </c>
      <c r="K2896">
        <v>48</v>
      </c>
      <c r="L2896" t="s">
        <v>11</v>
      </c>
      <c r="M2896" t="s">
        <v>5278</v>
      </c>
      <c r="N2896">
        <v>0</v>
      </c>
      <c r="O2896">
        <v>0</v>
      </c>
      <c r="T2896">
        <v>0</v>
      </c>
      <c r="U2896">
        <v>0</v>
      </c>
      <c r="V2896">
        <v>12</v>
      </c>
    </row>
    <row r="2897" spans="1:22" x14ac:dyDescent="0.2">
      <c r="A2897" t="s">
        <v>2903</v>
      </c>
      <c r="B2897" t="s">
        <v>2904</v>
      </c>
      <c r="C2897" t="s">
        <v>2852</v>
      </c>
      <c r="D2897" t="s">
        <v>228</v>
      </c>
      <c r="E2897">
        <v>99.99</v>
      </c>
      <c r="F2897" t="s">
        <v>8118</v>
      </c>
      <c r="G2897">
        <v>41</v>
      </c>
      <c r="H2897">
        <v>6</v>
      </c>
      <c r="I2897">
        <v>35</v>
      </c>
      <c r="K2897">
        <v>36</v>
      </c>
      <c r="L2897" t="s">
        <v>11</v>
      </c>
      <c r="M2897" t="s">
        <v>5281</v>
      </c>
      <c r="N2897">
        <v>0</v>
      </c>
      <c r="O2897">
        <v>0</v>
      </c>
      <c r="T2897">
        <v>0</v>
      </c>
      <c r="U2897">
        <v>0</v>
      </c>
      <c r="V2897">
        <v>5</v>
      </c>
    </row>
    <row r="2898" spans="1:22" x14ac:dyDescent="0.2">
      <c r="A2898" t="s">
        <v>2861</v>
      </c>
      <c r="B2898" t="s">
        <v>2862</v>
      </c>
      <c r="C2898" t="s">
        <v>2852</v>
      </c>
      <c r="D2898" t="s">
        <v>228</v>
      </c>
      <c r="E2898">
        <v>399.99</v>
      </c>
      <c r="F2898" t="s">
        <v>8118</v>
      </c>
      <c r="G2898">
        <v>114</v>
      </c>
      <c r="H2898">
        <v>82</v>
      </c>
      <c r="I2898">
        <v>32</v>
      </c>
      <c r="K2898">
        <v>48</v>
      </c>
      <c r="L2898" t="s">
        <v>11</v>
      </c>
      <c r="M2898" t="s">
        <v>5270</v>
      </c>
      <c r="N2898">
        <v>0</v>
      </c>
      <c r="O2898">
        <v>0</v>
      </c>
      <c r="T2898">
        <v>0</v>
      </c>
      <c r="U2898">
        <v>0</v>
      </c>
      <c r="V2898">
        <v>0</v>
      </c>
    </row>
    <row r="2899" spans="1:22" x14ac:dyDescent="0.2">
      <c r="A2899" t="s">
        <v>4332</v>
      </c>
      <c r="B2899" t="s">
        <v>4333</v>
      </c>
      <c r="C2899" t="s">
        <v>2852</v>
      </c>
      <c r="D2899" t="s">
        <v>96</v>
      </c>
      <c r="E2899">
        <v>29.99</v>
      </c>
      <c r="F2899" t="s">
        <v>8118</v>
      </c>
      <c r="L2899" t="s">
        <v>11</v>
      </c>
      <c r="M2899" t="s">
        <v>4334</v>
      </c>
      <c r="N2899">
        <v>0</v>
      </c>
      <c r="O2899">
        <v>0</v>
      </c>
      <c r="T2899">
        <v>0</v>
      </c>
      <c r="U2899">
        <v>0</v>
      </c>
      <c r="V2899">
        <v>0</v>
      </c>
    </row>
    <row r="2900" spans="1:22" x14ac:dyDescent="0.2">
      <c r="A2900" t="s">
        <v>5786</v>
      </c>
      <c r="B2900" t="s">
        <v>5787</v>
      </c>
      <c r="C2900" t="s">
        <v>2852</v>
      </c>
      <c r="D2900" t="s">
        <v>96</v>
      </c>
      <c r="E2900">
        <v>199.99</v>
      </c>
      <c r="F2900" t="s">
        <v>8118</v>
      </c>
      <c r="L2900" t="s">
        <v>11</v>
      </c>
      <c r="M2900" t="s">
        <v>5788</v>
      </c>
      <c r="N2900">
        <v>0</v>
      </c>
      <c r="O2900">
        <v>0</v>
      </c>
      <c r="T2900">
        <v>0</v>
      </c>
      <c r="U2900">
        <v>0</v>
      </c>
      <c r="V2900">
        <v>0</v>
      </c>
    </row>
    <row r="2901" spans="1:22" x14ac:dyDescent="0.2">
      <c r="A2901" t="s">
        <v>5825</v>
      </c>
      <c r="B2901" t="s">
        <v>5826</v>
      </c>
      <c r="C2901" t="s">
        <v>2852</v>
      </c>
      <c r="D2901" t="s">
        <v>96</v>
      </c>
      <c r="E2901">
        <v>469.99</v>
      </c>
      <c r="F2901" t="s">
        <v>8118</v>
      </c>
      <c r="L2901" t="s">
        <v>11</v>
      </c>
      <c r="M2901" t="s">
        <v>5827</v>
      </c>
      <c r="N2901">
        <v>0</v>
      </c>
      <c r="O2901">
        <v>0</v>
      </c>
      <c r="T2901">
        <v>0</v>
      </c>
      <c r="U2901">
        <v>0</v>
      </c>
      <c r="V2901">
        <v>0</v>
      </c>
    </row>
    <row r="2902" spans="1:22" x14ac:dyDescent="0.2">
      <c r="A2902" t="s">
        <v>2919</v>
      </c>
      <c r="B2902" t="s">
        <v>2920</v>
      </c>
      <c r="C2902" t="s">
        <v>2852</v>
      </c>
      <c r="D2902" t="s">
        <v>228</v>
      </c>
      <c r="E2902">
        <v>499.99</v>
      </c>
      <c r="F2902" t="s">
        <v>8118</v>
      </c>
      <c r="G2902">
        <v>9</v>
      </c>
      <c r="H2902">
        <v>2</v>
      </c>
      <c r="I2902">
        <v>7</v>
      </c>
      <c r="K2902">
        <v>12</v>
      </c>
      <c r="L2902" t="s">
        <v>11</v>
      </c>
      <c r="M2902" t="s">
        <v>3710</v>
      </c>
      <c r="N2902">
        <v>0</v>
      </c>
      <c r="O2902">
        <v>0</v>
      </c>
      <c r="T2902">
        <v>0</v>
      </c>
      <c r="U2902">
        <v>0</v>
      </c>
      <c r="V2902">
        <v>0</v>
      </c>
    </row>
    <row r="2903" spans="1:22" x14ac:dyDescent="0.2">
      <c r="A2903" t="s">
        <v>2919</v>
      </c>
      <c r="B2903" t="s">
        <v>2920</v>
      </c>
      <c r="C2903" t="s">
        <v>2852</v>
      </c>
      <c r="D2903" t="s">
        <v>228</v>
      </c>
      <c r="E2903">
        <v>499.99</v>
      </c>
      <c r="F2903" t="s">
        <v>8118</v>
      </c>
      <c r="G2903">
        <v>9</v>
      </c>
      <c r="H2903">
        <v>2</v>
      </c>
      <c r="I2903">
        <v>7</v>
      </c>
      <c r="K2903">
        <v>12</v>
      </c>
      <c r="L2903" t="s">
        <v>11</v>
      </c>
      <c r="M2903" t="s">
        <v>3711</v>
      </c>
      <c r="N2903">
        <v>0</v>
      </c>
      <c r="O2903">
        <v>0</v>
      </c>
      <c r="T2903">
        <v>0</v>
      </c>
      <c r="U2903">
        <v>0</v>
      </c>
      <c r="V2903">
        <v>1</v>
      </c>
    </row>
    <row r="2904" spans="1:22" x14ac:dyDescent="0.2">
      <c r="A2904" t="s">
        <v>5910</v>
      </c>
      <c r="B2904" t="s">
        <v>5911</v>
      </c>
      <c r="C2904" t="s">
        <v>2852</v>
      </c>
      <c r="D2904" t="s">
        <v>96</v>
      </c>
      <c r="E2904">
        <v>129.99</v>
      </c>
      <c r="F2904" t="s">
        <v>8118</v>
      </c>
      <c r="L2904" t="s">
        <v>11</v>
      </c>
      <c r="M2904" t="s">
        <v>5912</v>
      </c>
      <c r="N2904">
        <v>0</v>
      </c>
      <c r="O2904">
        <v>0</v>
      </c>
      <c r="T2904">
        <v>0</v>
      </c>
      <c r="U2904">
        <v>0</v>
      </c>
      <c r="V2904">
        <v>0</v>
      </c>
    </row>
    <row r="2905" spans="1:22" x14ac:dyDescent="0.2">
      <c r="A2905" t="s">
        <v>5913</v>
      </c>
      <c r="B2905" t="s">
        <v>5914</v>
      </c>
      <c r="C2905" t="s">
        <v>2852</v>
      </c>
      <c r="D2905" t="s">
        <v>96</v>
      </c>
      <c r="E2905">
        <v>199.99</v>
      </c>
      <c r="F2905" t="s">
        <v>8118</v>
      </c>
      <c r="L2905" t="s">
        <v>11</v>
      </c>
      <c r="M2905" t="s">
        <v>5915</v>
      </c>
      <c r="N2905">
        <v>0</v>
      </c>
      <c r="O2905">
        <v>0</v>
      </c>
      <c r="T2905">
        <v>0</v>
      </c>
      <c r="U2905">
        <v>0</v>
      </c>
      <c r="V2905">
        <v>0</v>
      </c>
    </row>
    <row r="2906" spans="1:22" x14ac:dyDescent="0.2">
      <c r="A2906" t="s">
        <v>4357</v>
      </c>
      <c r="B2906" t="s">
        <v>4358</v>
      </c>
      <c r="C2906" t="s">
        <v>2852</v>
      </c>
      <c r="D2906" t="s">
        <v>96</v>
      </c>
      <c r="E2906">
        <v>79.989999999999995</v>
      </c>
      <c r="F2906" t="s">
        <v>8118</v>
      </c>
      <c r="L2906" t="s">
        <v>11</v>
      </c>
      <c r="M2906" t="s">
        <v>4359</v>
      </c>
      <c r="N2906">
        <v>0</v>
      </c>
      <c r="O2906">
        <v>0</v>
      </c>
      <c r="T2906">
        <v>0</v>
      </c>
      <c r="U2906">
        <v>0</v>
      </c>
      <c r="V2906">
        <v>0</v>
      </c>
    </row>
    <row r="2907" spans="1:22" x14ac:dyDescent="0.2">
      <c r="A2907" t="s">
        <v>4379</v>
      </c>
      <c r="B2907" t="s">
        <v>4380</v>
      </c>
      <c r="C2907" t="s">
        <v>2852</v>
      </c>
      <c r="D2907" t="s">
        <v>96</v>
      </c>
      <c r="E2907">
        <v>29.99</v>
      </c>
      <c r="F2907" t="s">
        <v>8118</v>
      </c>
      <c r="L2907" t="s">
        <v>11</v>
      </c>
      <c r="M2907" t="s">
        <v>4381</v>
      </c>
      <c r="N2907">
        <v>0</v>
      </c>
      <c r="O2907">
        <v>0</v>
      </c>
      <c r="T2907">
        <v>0</v>
      </c>
      <c r="U2907">
        <v>0</v>
      </c>
      <c r="V2907">
        <v>0</v>
      </c>
    </row>
    <row r="2908" spans="1:22" x14ac:dyDescent="0.2">
      <c r="A2908" t="s">
        <v>4382</v>
      </c>
      <c r="B2908" t="s">
        <v>4383</v>
      </c>
      <c r="C2908" t="s">
        <v>2852</v>
      </c>
      <c r="D2908" t="s">
        <v>96</v>
      </c>
      <c r="E2908">
        <v>29.99</v>
      </c>
      <c r="F2908" t="s">
        <v>8118</v>
      </c>
      <c r="L2908" t="s">
        <v>11</v>
      </c>
      <c r="M2908" t="s">
        <v>4384</v>
      </c>
      <c r="N2908">
        <v>0</v>
      </c>
      <c r="O2908">
        <v>0</v>
      </c>
      <c r="T2908">
        <v>0</v>
      </c>
      <c r="U2908">
        <v>0</v>
      </c>
      <c r="V2908">
        <v>0</v>
      </c>
    </row>
    <row r="2909" spans="1:22" x14ac:dyDescent="0.2">
      <c r="A2909" t="s">
        <v>4194</v>
      </c>
      <c r="B2909" t="s">
        <v>4195</v>
      </c>
      <c r="C2909" t="s">
        <v>2852</v>
      </c>
      <c r="D2909" t="s">
        <v>290</v>
      </c>
      <c r="E2909">
        <v>29.99</v>
      </c>
      <c r="F2909" t="s">
        <v>8118</v>
      </c>
      <c r="G2909">
        <v>15</v>
      </c>
      <c r="I2909">
        <v>15</v>
      </c>
      <c r="L2909" t="s">
        <v>11</v>
      </c>
      <c r="M2909" t="s">
        <v>4196</v>
      </c>
      <c r="N2909">
        <v>6.75</v>
      </c>
      <c r="O2909">
        <v>0.14814814814814814</v>
      </c>
      <c r="T2909">
        <v>0.44444444444444442</v>
      </c>
      <c r="U2909">
        <v>29.99</v>
      </c>
      <c r="V2909">
        <v>3</v>
      </c>
    </row>
    <row r="2910" spans="1:22" x14ac:dyDescent="0.2">
      <c r="A2910" t="s">
        <v>4197</v>
      </c>
      <c r="B2910" t="s">
        <v>4198</v>
      </c>
      <c r="C2910" t="s">
        <v>2852</v>
      </c>
      <c r="D2910" t="s">
        <v>290</v>
      </c>
      <c r="E2910">
        <v>29.99</v>
      </c>
      <c r="F2910" t="s">
        <v>8118</v>
      </c>
      <c r="G2910">
        <v>48</v>
      </c>
      <c r="H2910">
        <v>12</v>
      </c>
      <c r="I2910">
        <v>36</v>
      </c>
      <c r="L2910" t="s">
        <v>11</v>
      </c>
      <c r="M2910" t="s">
        <v>4199</v>
      </c>
      <c r="N2910">
        <v>0</v>
      </c>
      <c r="O2910">
        <v>0</v>
      </c>
      <c r="T2910">
        <v>0</v>
      </c>
      <c r="U2910">
        <v>0</v>
      </c>
      <c r="V2910">
        <v>0</v>
      </c>
    </row>
    <row r="2911" spans="1:22" x14ac:dyDescent="0.2">
      <c r="A2911" t="s">
        <v>4200</v>
      </c>
      <c r="B2911" t="s">
        <v>4201</v>
      </c>
      <c r="C2911" t="s">
        <v>2852</v>
      </c>
      <c r="D2911" t="s">
        <v>96</v>
      </c>
      <c r="E2911">
        <v>29.99</v>
      </c>
      <c r="F2911" t="s">
        <v>8118</v>
      </c>
      <c r="L2911" t="s">
        <v>11</v>
      </c>
      <c r="M2911" t="s">
        <v>4202</v>
      </c>
      <c r="N2911">
        <v>0</v>
      </c>
      <c r="O2911">
        <v>0</v>
      </c>
      <c r="T2911">
        <v>0</v>
      </c>
      <c r="U2911">
        <v>0</v>
      </c>
      <c r="V2911">
        <v>0</v>
      </c>
    </row>
    <row r="2912" spans="1:22" x14ac:dyDescent="0.2">
      <c r="A2912" t="s">
        <v>4336</v>
      </c>
      <c r="B2912" t="s">
        <v>4337</v>
      </c>
      <c r="C2912" t="s">
        <v>2852</v>
      </c>
      <c r="D2912" t="s">
        <v>96</v>
      </c>
      <c r="E2912">
        <v>29.99</v>
      </c>
      <c r="F2912" t="s">
        <v>8118</v>
      </c>
      <c r="L2912" t="s">
        <v>11</v>
      </c>
      <c r="M2912" t="s">
        <v>4338</v>
      </c>
      <c r="N2912">
        <v>0</v>
      </c>
      <c r="O2912">
        <v>0</v>
      </c>
      <c r="T2912">
        <v>0</v>
      </c>
      <c r="U2912">
        <v>0</v>
      </c>
      <c r="V2912">
        <v>0</v>
      </c>
    </row>
    <row r="2913" spans="1:22" x14ac:dyDescent="0.2">
      <c r="A2913" t="s">
        <v>2861</v>
      </c>
      <c r="B2913" t="s">
        <v>2862</v>
      </c>
      <c r="C2913" t="s">
        <v>2852</v>
      </c>
      <c r="D2913" t="s">
        <v>228</v>
      </c>
      <c r="E2913">
        <v>399.99</v>
      </c>
      <c r="F2913" t="s">
        <v>8118</v>
      </c>
      <c r="G2913">
        <v>114</v>
      </c>
      <c r="H2913">
        <v>82</v>
      </c>
      <c r="I2913">
        <v>32</v>
      </c>
      <c r="K2913">
        <v>48</v>
      </c>
      <c r="L2913" t="s">
        <v>8119</v>
      </c>
      <c r="U2913">
        <v>399.99</v>
      </c>
      <c r="V2913">
        <v>4</v>
      </c>
    </row>
    <row r="2914" spans="1:22" x14ac:dyDescent="0.2">
      <c r="A2914" t="s">
        <v>2905</v>
      </c>
      <c r="B2914" t="s">
        <v>2906</v>
      </c>
      <c r="C2914" t="s">
        <v>2852</v>
      </c>
      <c r="D2914" t="s">
        <v>228</v>
      </c>
      <c r="E2914">
        <v>179.99</v>
      </c>
      <c r="F2914" t="s">
        <v>8118</v>
      </c>
      <c r="G2914">
        <v>34</v>
      </c>
      <c r="H2914">
        <v>8</v>
      </c>
      <c r="I2914">
        <v>26</v>
      </c>
      <c r="K2914">
        <v>80</v>
      </c>
      <c r="L2914" t="s">
        <v>8119</v>
      </c>
      <c r="U2914">
        <v>0</v>
      </c>
      <c r="V2914">
        <v>12</v>
      </c>
    </row>
    <row r="2915" spans="1:22" x14ac:dyDescent="0.2">
      <c r="A2915" t="s">
        <v>5921</v>
      </c>
      <c r="B2915" t="s">
        <v>5922</v>
      </c>
      <c r="C2915" t="s">
        <v>2852</v>
      </c>
      <c r="D2915" t="s">
        <v>96</v>
      </c>
      <c r="E2915">
        <v>249.99</v>
      </c>
      <c r="F2915" t="s">
        <v>8118</v>
      </c>
      <c r="L2915" t="s">
        <v>14</v>
      </c>
      <c r="M2915" t="s">
        <v>97</v>
      </c>
      <c r="N2915">
        <v>0</v>
      </c>
      <c r="O2915">
        <v>0</v>
      </c>
      <c r="U2915">
        <v>0</v>
      </c>
      <c r="V2915">
        <v>0</v>
      </c>
    </row>
    <row r="2916" spans="1:22" x14ac:dyDescent="0.2">
      <c r="A2916" t="s">
        <v>4197</v>
      </c>
      <c r="B2916" t="s">
        <v>4198</v>
      </c>
      <c r="C2916" t="s">
        <v>2852</v>
      </c>
      <c r="D2916" t="s">
        <v>290</v>
      </c>
      <c r="E2916">
        <v>29.99</v>
      </c>
      <c r="F2916" t="s">
        <v>8118</v>
      </c>
      <c r="G2916">
        <v>48</v>
      </c>
      <c r="H2916">
        <v>12</v>
      </c>
      <c r="I2916">
        <v>36</v>
      </c>
      <c r="L2916" t="s">
        <v>14</v>
      </c>
      <c r="M2916" t="s">
        <v>97</v>
      </c>
      <c r="N2916">
        <v>0</v>
      </c>
      <c r="O2916">
        <v>0</v>
      </c>
      <c r="U2916">
        <v>0</v>
      </c>
      <c r="V2916">
        <v>0</v>
      </c>
    </row>
    <row r="2917" spans="1:22" x14ac:dyDescent="0.2">
      <c r="A2917" t="s">
        <v>2861</v>
      </c>
      <c r="B2917" t="s">
        <v>2862</v>
      </c>
      <c r="C2917" t="s">
        <v>2852</v>
      </c>
      <c r="D2917" t="s">
        <v>228</v>
      </c>
      <c r="E2917">
        <v>399.99</v>
      </c>
      <c r="F2917" t="s">
        <v>8118</v>
      </c>
      <c r="G2917">
        <v>114</v>
      </c>
      <c r="H2917">
        <v>82</v>
      </c>
      <c r="I2917">
        <v>32</v>
      </c>
      <c r="K2917">
        <v>48</v>
      </c>
      <c r="L2917" t="s">
        <v>14</v>
      </c>
      <c r="M2917" t="s">
        <v>97</v>
      </c>
      <c r="N2917">
        <v>0</v>
      </c>
      <c r="O2917">
        <v>0</v>
      </c>
      <c r="U2917">
        <v>0</v>
      </c>
      <c r="V2917">
        <v>0</v>
      </c>
    </row>
    <row r="2918" spans="1:22" x14ac:dyDescent="0.2">
      <c r="A2918" t="s">
        <v>4200</v>
      </c>
      <c r="B2918" t="s">
        <v>4201</v>
      </c>
      <c r="C2918" t="s">
        <v>2852</v>
      </c>
      <c r="D2918" t="s">
        <v>96</v>
      </c>
      <c r="E2918">
        <v>29.99</v>
      </c>
      <c r="F2918" t="s">
        <v>8118</v>
      </c>
      <c r="L2918" t="s">
        <v>14</v>
      </c>
      <c r="M2918" t="s">
        <v>97</v>
      </c>
      <c r="N2918">
        <v>0</v>
      </c>
      <c r="O2918">
        <v>0</v>
      </c>
      <c r="U2918">
        <v>0</v>
      </c>
      <c r="V2918">
        <v>0</v>
      </c>
    </row>
    <row r="2919" spans="1:22" x14ac:dyDescent="0.2">
      <c r="A2919" t="s">
        <v>4213</v>
      </c>
      <c r="B2919" t="s">
        <v>4214</v>
      </c>
      <c r="C2919" t="s">
        <v>2852</v>
      </c>
      <c r="D2919" t="s">
        <v>96</v>
      </c>
      <c r="E2919">
        <v>44.99</v>
      </c>
      <c r="F2919" t="s">
        <v>8118</v>
      </c>
      <c r="L2919" t="s">
        <v>14</v>
      </c>
      <c r="M2919" t="s">
        <v>97</v>
      </c>
      <c r="N2919">
        <v>0</v>
      </c>
      <c r="O2919">
        <v>0</v>
      </c>
      <c r="U2919">
        <v>0</v>
      </c>
      <c r="V2919">
        <v>0</v>
      </c>
    </row>
    <row r="2920" spans="1:22" x14ac:dyDescent="0.2">
      <c r="A2920" t="s">
        <v>7092</v>
      </c>
      <c r="B2920" t="s">
        <v>7093</v>
      </c>
      <c r="C2920" t="s">
        <v>2852</v>
      </c>
      <c r="D2920" t="s">
        <v>96</v>
      </c>
      <c r="E2920">
        <v>1099.99</v>
      </c>
      <c r="F2920" t="s">
        <v>8118</v>
      </c>
      <c r="L2920" t="s">
        <v>14</v>
      </c>
      <c r="M2920" t="s">
        <v>97</v>
      </c>
      <c r="N2920">
        <v>0</v>
      </c>
      <c r="O2920">
        <v>0</v>
      </c>
      <c r="U2920">
        <v>0</v>
      </c>
      <c r="V2920">
        <v>0</v>
      </c>
    </row>
    <row r="2921" spans="1:22" x14ac:dyDescent="0.2">
      <c r="A2921" t="s">
        <v>4627</v>
      </c>
      <c r="B2921" t="s">
        <v>4628</v>
      </c>
      <c r="C2921" t="s">
        <v>2852</v>
      </c>
      <c r="D2921" t="s">
        <v>96</v>
      </c>
      <c r="E2921">
        <v>2499.9899999999998</v>
      </c>
      <c r="F2921" t="s">
        <v>8118</v>
      </c>
      <c r="L2921" t="s">
        <v>14</v>
      </c>
      <c r="M2921" t="s">
        <v>97</v>
      </c>
      <c r="N2921">
        <v>0</v>
      </c>
      <c r="O2921">
        <v>0</v>
      </c>
      <c r="U2921">
        <v>0</v>
      </c>
      <c r="V2921">
        <v>0</v>
      </c>
    </row>
    <row r="2922" spans="1:22" x14ac:dyDescent="0.2">
      <c r="A2922" t="s">
        <v>5265</v>
      </c>
      <c r="B2922" t="s">
        <v>5266</v>
      </c>
      <c r="C2922" t="s">
        <v>2852</v>
      </c>
      <c r="D2922" t="s">
        <v>96</v>
      </c>
      <c r="E2922">
        <v>249.99</v>
      </c>
      <c r="F2922" t="s">
        <v>8118</v>
      </c>
      <c r="L2922" t="s">
        <v>14</v>
      </c>
      <c r="M2922" t="s">
        <v>97</v>
      </c>
      <c r="N2922">
        <v>0</v>
      </c>
      <c r="O2922">
        <v>0</v>
      </c>
      <c r="T2922">
        <v>0</v>
      </c>
      <c r="U2922">
        <v>0</v>
      </c>
      <c r="V2922">
        <v>6</v>
      </c>
    </row>
    <row r="2923" spans="1:22" x14ac:dyDescent="0.2">
      <c r="A2923" t="s">
        <v>7090</v>
      </c>
      <c r="B2923" t="s">
        <v>7091</v>
      </c>
      <c r="C2923" t="s">
        <v>2852</v>
      </c>
      <c r="D2923" t="s">
        <v>96</v>
      </c>
      <c r="E2923">
        <v>3099</v>
      </c>
      <c r="F2923" t="s">
        <v>8118</v>
      </c>
      <c r="L2923" t="s">
        <v>14</v>
      </c>
      <c r="M2923" t="s">
        <v>97</v>
      </c>
      <c r="N2923">
        <v>0</v>
      </c>
      <c r="O2923">
        <v>0</v>
      </c>
      <c r="U2923">
        <v>0</v>
      </c>
      <c r="V2923">
        <v>0</v>
      </c>
    </row>
    <row r="2924" spans="1:22" x14ac:dyDescent="0.2">
      <c r="A2924" t="s">
        <v>4379</v>
      </c>
      <c r="B2924" t="s">
        <v>4380</v>
      </c>
      <c r="C2924" t="s">
        <v>2852</v>
      </c>
      <c r="D2924" t="s">
        <v>96</v>
      </c>
      <c r="E2924">
        <v>29.99</v>
      </c>
      <c r="F2924" t="s">
        <v>8118</v>
      </c>
      <c r="L2924" t="s">
        <v>14</v>
      </c>
      <c r="M2924" t="s">
        <v>97</v>
      </c>
      <c r="N2924">
        <v>0</v>
      </c>
      <c r="O2924">
        <v>0</v>
      </c>
      <c r="U2924">
        <v>0</v>
      </c>
      <c r="V2924">
        <v>0</v>
      </c>
    </row>
    <row r="2925" spans="1:22" x14ac:dyDescent="0.2">
      <c r="A2925" t="s">
        <v>5786</v>
      </c>
      <c r="B2925" t="s">
        <v>5787</v>
      </c>
      <c r="C2925" t="s">
        <v>2852</v>
      </c>
      <c r="D2925" t="s">
        <v>96</v>
      </c>
      <c r="E2925">
        <v>199.99</v>
      </c>
      <c r="F2925" t="s">
        <v>8118</v>
      </c>
      <c r="L2925" t="s">
        <v>14</v>
      </c>
      <c r="M2925" t="s">
        <v>97</v>
      </c>
      <c r="N2925">
        <v>0</v>
      </c>
      <c r="O2925">
        <v>0</v>
      </c>
      <c r="U2925">
        <v>0</v>
      </c>
      <c r="V2925">
        <v>0</v>
      </c>
    </row>
    <row r="2926" spans="1:22" x14ac:dyDescent="0.2">
      <c r="A2926" t="s">
        <v>4194</v>
      </c>
      <c r="B2926" t="s">
        <v>4195</v>
      </c>
      <c r="C2926" t="s">
        <v>2852</v>
      </c>
      <c r="D2926" t="s">
        <v>290</v>
      </c>
      <c r="E2926">
        <v>29.99</v>
      </c>
      <c r="F2926" t="s">
        <v>8118</v>
      </c>
      <c r="G2926">
        <v>15</v>
      </c>
      <c r="I2926">
        <v>15</v>
      </c>
      <c r="L2926" t="s">
        <v>14</v>
      </c>
      <c r="M2926" t="s">
        <v>97</v>
      </c>
      <c r="N2926">
        <v>0</v>
      </c>
      <c r="O2926">
        <v>0</v>
      </c>
      <c r="U2926">
        <v>0</v>
      </c>
      <c r="V2926">
        <v>0</v>
      </c>
    </row>
    <row r="2927" spans="1:22" x14ac:dyDescent="0.2">
      <c r="A2927" t="s">
        <v>4357</v>
      </c>
      <c r="B2927" t="s">
        <v>4358</v>
      </c>
      <c r="C2927" t="s">
        <v>2852</v>
      </c>
      <c r="D2927" t="s">
        <v>96</v>
      </c>
      <c r="E2927">
        <v>79.989999999999995</v>
      </c>
      <c r="F2927" t="s">
        <v>8118</v>
      </c>
      <c r="L2927" t="s">
        <v>14</v>
      </c>
      <c r="M2927" t="s">
        <v>97</v>
      </c>
      <c r="N2927">
        <v>0</v>
      </c>
      <c r="O2927">
        <v>0</v>
      </c>
      <c r="U2927">
        <v>0</v>
      </c>
      <c r="V2927">
        <v>0</v>
      </c>
    </row>
    <row r="2928" spans="1:22" x14ac:dyDescent="0.2">
      <c r="A2928" t="s">
        <v>4336</v>
      </c>
      <c r="B2928" t="s">
        <v>4337</v>
      </c>
      <c r="C2928" t="s">
        <v>2852</v>
      </c>
      <c r="D2928" t="s">
        <v>96</v>
      </c>
      <c r="E2928">
        <v>29.99</v>
      </c>
      <c r="F2928" t="s">
        <v>8118</v>
      </c>
      <c r="L2928" t="s">
        <v>14</v>
      </c>
      <c r="M2928" t="s">
        <v>97</v>
      </c>
      <c r="N2928">
        <v>0</v>
      </c>
      <c r="O2928">
        <v>0</v>
      </c>
      <c r="U2928">
        <v>0</v>
      </c>
      <c r="V2928">
        <v>0</v>
      </c>
    </row>
    <row r="2929" spans="1:22" x14ac:dyDescent="0.2">
      <c r="A2929" t="s">
        <v>2905</v>
      </c>
      <c r="B2929" t="s">
        <v>2906</v>
      </c>
      <c r="C2929" t="s">
        <v>2852</v>
      </c>
      <c r="D2929" t="s">
        <v>228</v>
      </c>
      <c r="E2929">
        <v>179.99</v>
      </c>
      <c r="F2929" t="s">
        <v>8118</v>
      </c>
      <c r="G2929">
        <v>34</v>
      </c>
      <c r="H2929">
        <v>8</v>
      </c>
      <c r="I2929">
        <v>26</v>
      </c>
      <c r="K2929">
        <v>80</v>
      </c>
      <c r="L2929" t="s">
        <v>14</v>
      </c>
      <c r="M2929" t="s">
        <v>97</v>
      </c>
      <c r="N2929">
        <v>36</v>
      </c>
      <c r="O2929">
        <v>2.7777777777777776E-2</v>
      </c>
      <c r="T2929">
        <v>8.3333333333333329E-2</v>
      </c>
      <c r="U2929">
        <v>0</v>
      </c>
      <c r="V2929">
        <v>3</v>
      </c>
    </row>
    <row r="2930" spans="1:22" x14ac:dyDescent="0.2">
      <c r="A2930" t="s">
        <v>5297</v>
      </c>
      <c r="B2930" t="s">
        <v>5298</v>
      </c>
      <c r="C2930" t="s">
        <v>2852</v>
      </c>
      <c r="D2930" t="s">
        <v>96</v>
      </c>
      <c r="E2930">
        <v>99.99</v>
      </c>
      <c r="F2930" t="s">
        <v>8118</v>
      </c>
      <c r="L2930" t="s">
        <v>14</v>
      </c>
      <c r="M2930" t="s">
        <v>97</v>
      </c>
      <c r="N2930">
        <v>44.210526315789473</v>
      </c>
      <c r="O2930">
        <v>2.2619047619047618E-2</v>
      </c>
      <c r="T2930">
        <v>1.5833333333333333</v>
      </c>
      <c r="U2930">
        <v>0</v>
      </c>
      <c r="V2930">
        <v>70</v>
      </c>
    </row>
    <row r="2931" spans="1:22" x14ac:dyDescent="0.2">
      <c r="A2931" t="s">
        <v>5287</v>
      </c>
      <c r="B2931" t="s">
        <v>5288</v>
      </c>
      <c r="C2931" t="s">
        <v>2852</v>
      </c>
      <c r="D2931" t="s">
        <v>290</v>
      </c>
      <c r="E2931">
        <v>99.99</v>
      </c>
      <c r="F2931" t="s">
        <v>8118</v>
      </c>
      <c r="L2931" t="s">
        <v>14</v>
      </c>
      <c r="M2931" t="s">
        <v>97</v>
      </c>
      <c r="N2931">
        <v>19.2</v>
      </c>
      <c r="O2931">
        <v>5.2083333333333336E-2</v>
      </c>
      <c r="T2931">
        <v>0.83333333333333337</v>
      </c>
      <c r="U2931">
        <v>0</v>
      </c>
      <c r="V2931">
        <v>16</v>
      </c>
    </row>
    <row r="2932" spans="1:22" x14ac:dyDescent="0.2">
      <c r="A2932" t="s">
        <v>5284</v>
      </c>
      <c r="B2932" t="s">
        <v>5285</v>
      </c>
      <c r="C2932" t="s">
        <v>2852</v>
      </c>
      <c r="D2932" t="s">
        <v>96</v>
      </c>
      <c r="E2932">
        <v>99.99</v>
      </c>
      <c r="F2932" t="s">
        <v>8118</v>
      </c>
      <c r="L2932" t="s">
        <v>14</v>
      </c>
      <c r="M2932" t="s">
        <v>97</v>
      </c>
      <c r="N2932">
        <v>40</v>
      </c>
      <c r="O2932">
        <v>2.5000000000000001E-2</v>
      </c>
      <c r="T2932">
        <v>0.75</v>
      </c>
      <c r="U2932">
        <v>0</v>
      </c>
      <c r="V2932">
        <v>30</v>
      </c>
    </row>
    <row r="2933" spans="1:22" x14ac:dyDescent="0.2">
      <c r="A2933" t="s">
        <v>2903</v>
      </c>
      <c r="B2933" t="s">
        <v>2904</v>
      </c>
      <c r="C2933" t="s">
        <v>2852</v>
      </c>
      <c r="D2933" t="s">
        <v>228</v>
      </c>
      <c r="E2933">
        <v>99.99</v>
      </c>
      <c r="F2933" t="s">
        <v>8118</v>
      </c>
      <c r="G2933">
        <v>41</v>
      </c>
      <c r="H2933">
        <v>6</v>
      </c>
      <c r="I2933">
        <v>35</v>
      </c>
      <c r="K2933">
        <v>36</v>
      </c>
      <c r="L2933" t="s">
        <v>14</v>
      </c>
      <c r="M2933" t="s">
        <v>97</v>
      </c>
      <c r="N2933">
        <v>72</v>
      </c>
      <c r="O2933">
        <v>1.388888888888889E-2</v>
      </c>
      <c r="T2933">
        <v>0.41666666666666669</v>
      </c>
      <c r="U2933">
        <v>99.99</v>
      </c>
      <c r="V2933">
        <v>30</v>
      </c>
    </row>
    <row r="2934" spans="1:22" x14ac:dyDescent="0.2">
      <c r="A2934" t="s">
        <v>2901</v>
      </c>
      <c r="B2934" t="s">
        <v>2902</v>
      </c>
      <c r="C2934" t="s">
        <v>2852</v>
      </c>
      <c r="D2934" t="s">
        <v>228</v>
      </c>
      <c r="E2934">
        <v>99.99</v>
      </c>
      <c r="F2934" t="s">
        <v>8118</v>
      </c>
      <c r="G2934">
        <v>20</v>
      </c>
      <c r="H2934">
        <v>11</v>
      </c>
      <c r="I2934">
        <v>9</v>
      </c>
      <c r="K2934">
        <v>48</v>
      </c>
      <c r="L2934" t="s">
        <v>14</v>
      </c>
      <c r="M2934" t="s">
        <v>97</v>
      </c>
      <c r="N2934">
        <v>0</v>
      </c>
      <c r="O2934">
        <v>0</v>
      </c>
      <c r="T2934">
        <v>0</v>
      </c>
      <c r="U2934">
        <v>0</v>
      </c>
      <c r="V2934">
        <v>7</v>
      </c>
    </row>
    <row r="2935" spans="1:22" x14ac:dyDescent="0.2">
      <c r="A2935" t="s">
        <v>2865</v>
      </c>
      <c r="B2935" t="s">
        <v>2866</v>
      </c>
      <c r="C2935" t="s">
        <v>2852</v>
      </c>
      <c r="D2935" t="s">
        <v>228</v>
      </c>
      <c r="E2935">
        <v>5499.99</v>
      </c>
      <c r="F2935" t="s">
        <v>8118</v>
      </c>
      <c r="G2935">
        <v>27</v>
      </c>
      <c r="H2935">
        <v>22</v>
      </c>
      <c r="I2935">
        <v>5</v>
      </c>
      <c r="J2935">
        <v>6</v>
      </c>
      <c r="K2935">
        <v>20</v>
      </c>
      <c r="L2935" t="s">
        <v>10</v>
      </c>
      <c r="M2935">
        <v>341982</v>
      </c>
      <c r="N2935">
        <v>0</v>
      </c>
      <c r="O2935">
        <v>0</v>
      </c>
      <c r="P2935" t="s">
        <v>290</v>
      </c>
      <c r="T2935">
        <v>0</v>
      </c>
      <c r="U2935">
        <v>0</v>
      </c>
      <c r="V2935">
        <v>0</v>
      </c>
    </row>
    <row r="2936" spans="1:22" x14ac:dyDescent="0.2">
      <c r="A2936" t="s">
        <v>7361</v>
      </c>
      <c r="B2936" t="s">
        <v>7363</v>
      </c>
      <c r="C2936" t="s">
        <v>2852</v>
      </c>
      <c r="D2936" t="s">
        <v>96</v>
      </c>
      <c r="E2936">
        <v>1999.99</v>
      </c>
      <c r="F2936" t="s">
        <v>8118</v>
      </c>
      <c r="L2936" t="s">
        <v>10</v>
      </c>
      <c r="M2936">
        <v>414510</v>
      </c>
      <c r="N2936">
        <v>0</v>
      </c>
      <c r="O2936">
        <v>0</v>
      </c>
      <c r="P2936" t="s">
        <v>290</v>
      </c>
      <c r="T2936">
        <v>0</v>
      </c>
      <c r="U2936">
        <v>0</v>
      </c>
      <c r="V2936">
        <v>0</v>
      </c>
    </row>
    <row r="2937" spans="1:22" x14ac:dyDescent="0.2">
      <c r="A2937" t="s">
        <v>2915</v>
      </c>
      <c r="B2937" t="s">
        <v>2916</v>
      </c>
      <c r="C2937" t="s">
        <v>2852</v>
      </c>
      <c r="D2937" t="s">
        <v>228</v>
      </c>
      <c r="E2937">
        <v>2999.99</v>
      </c>
      <c r="F2937" t="s">
        <v>8118</v>
      </c>
      <c r="G2937">
        <v>10</v>
      </c>
      <c r="I2937">
        <v>10</v>
      </c>
      <c r="L2937" t="s">
        <v>10</v>
      </c>
      <c r="M2937">
        <v>608173</v>
      </c>
      <c r="N2937">
        <v>0</v>
      </c>
      <c r="O2937">
        <v>0</v>
      </c>
      <c r="P2937" t="s">
        <v>290</v>
      </c>
      <c r="T2937">
        <v>0</v>
      </c>
      <c r="U2937">
        <v>0</v>
      </c>
      <c r="V2937">
        <v>0</v>
      </c>
    </row>
    <row r="2938" spans="1:22" x14ac:dyDescent="0.2">
      <c r="A2938" t="s">
        <v>5910</v>
      </c>
      <c r="B2938" t="s">
        <v>5911</v>
      </c>
      <c r="C2938" t="s">
        <v>2852</v>
      </c>
      <c r="D2938" t="s">
        <v>96</v>
      </c>
      <c r="E2938">
        <v>129.99</v>
      </c>
      <c r="F2938" t="s">
        <v>8118</v>
      </c>
      <c r="L2938" t="s">
        <v>10</v>
      </c>
      <c r="M2938">
        <v>354765</v>
      </c>
      <c r="N2938">
        <v>0</v>
      </c>
      <c r="O2938">
        <v>0</v>
      </c>
      <c r="P2938" t="s">
        <v>290</v>
      </c>
      <c r="T2938">
        <v>0</v>
      </c>
      <c r="U2938">
        <v>0</v>
      </c>
      <c r="V2938">
        <v>0</v>
      </c>
    </row>
    <row r="2939" spans="1:22" x14ac:dyDescent="0.2">
      <c r="A2939" t="s">
        <v>5913</v>
      </c>
      <c r="B2939" t="s">
        <v>5914</v>
      </c>
      <c r="C2939" t="s">
        <v>2852</v>
      </c>
      <c r="D2939" t="s">
        <v>96</v>
      </c>
      <c r="E2939">
        <v>199.99</v>
      </c>
      <c r="F2939" t="s">
        <v>8118</v>
      </c>
      <c r="L2939" t="s">
        <v>10</v>
      </c>
      <c r="M2939">
        <v>354770</v>
      </c>
      <c r="N2939">
        <v>0</v>
      </c>
      <c r="O2939">
        <v>0</v>
      </c>
      <c r="P2939" t="s">
        <v>7015</v>
      </c>
      <c r="T2939">
        <v>0</v>
      </c>
      <c r="U2939">
        <v>0</v>
      </c>
      <c r="V2939">
        <v>0</v>
      </c>
    </row>
    <row r="2940" spans="1:22" x14ac:dyDescent="0.2">
      <c r="A2940" t="s">
        <v>5265</v>
      </c>
      <c r="B2940" t="s">
        <v>5266</v>
      </c>
      <c r="C2940" t="s">
        <v>2852</v>
      </c>
      <c r="D2940" t="s">
        <v>96</v>
      </c>
      <c r="E2940">
        <v>249.99</v>
      </c>
      <c r="F2940" t="s">
        <v>8118</v>
      </c>
      <c r="L2940" t="s">
        <v>10</v>
      </c>
      <c r="M2940">
        <v>975221</v>
      </c>
      <c r="N2940">
        <v>0</v>
      </c>
      <c r="O2940">
        <v>0</v>
      </c>
      <c r="P2940" t="s">
        <v>7015</v>
      </c>
      <c r="T2940">
        <v>0</v>
      </c>
      <c r="U2940">
        <v>0</v>
      </c>
      <c r="V2940">
        <v>0</v>
      </c>
    </row>
    <row r="2941" spans="1:22" x14ac:dyDescent="0.2">
      <c r="A2941" t="s">
        <v>4627</v>
      </c>
      <c r="B2941" t="s">
        <v>4628</v>
      </c>
      <c r="C2941" t="s">
        <v>2852</v>
      </c>
      <c r="D2941" t="s">
        <v>96</v>
      </c>
      <c r="E2941">
        <v>2499.9899999999998</v>
      </c>
      <c r="F2941" t="s">
        <v>8118</v>
      </c>
      <c r="L2941" t="s">
        <v>10</v>
      </c>
      <c r="M2941">
        <v>943207</v>
      </c>
      <c r="N2941">
        <v>0</v>
      </c>
      <c r="O2941">
        <v>0</v>
      </c>
      <c r="P2941" t="s">
        <v>290</v>
      </c>
      <c r="T2941">
        <v>0</v>
      </c>
      <c r="U2941">
        <v>0</v>
      </c>
      <c r="V2941">
        <v>0</v>
      </c>
    </row>
    <row r="2942" spans="1:22" x14ac:dyDescent="0.2">
      <c r="A2942" t="s">
        <v>5822</v>
      </c>
      <c r="B2942" t="s">
        <v>5823</v>
      </c>
      <c r="C2942" t="s">
        <v>2852</v>
      </c>
      <c r="D2942" t="s">
        <v>96</v>
      </c>
      <c r="E2942">
        <v>119.99</v>
      </c>
      <c r="F2942" t="s">
        <v>8118</v>
      </c>
      <c r="L2942" t="s">
        <v>10</v>
      </c>
      <c r="M2942">
        <v>487651</v>
      </c>
      <c r="N2942">
        <v>0</v>
      </c>
      <c r="O2942">
        <v>0</v>
      </c>
      <c r="P2942" t="s">
        <v>7015</v>
      </c>
      <c r="T2942">
        <v>0</v>
      </c>
      <c r="U2942">
        <v>0</v>
      </c>
      <c r="V2942">
        <v>1</v>
      </c>
    </row>
    <row r="2943" spans="1:22" x14ac:dyDescent="0.2">
      <c r="A2943" t="s">
        <v>5825</v>
      </c>
      <c r="B2943" t="s">
        <v>5826</v>
      </c>
      <c r="C2943" t="s">
        <v>2852</v>
      </c>
      <c r="D2943" t="s">
        <v>96</v>
      </c>
      <c r="E2943">
        <v>469.99</v>
      </c>
      <c r="F2943" t="s">
        <v>8118</v>
      </c>
      <c r="L2943" t="s">
        <v>10</v>
      </c>
      <c r="M2943">
        <v>396282</v>
      </c>
      <c r="N2943">
        <v>0</v>
      </c>
      <c r="O2943">
        <v>0</v>
      </c>
      <c r="P2943" t="s">
        <v>290</v>
      </c>
      <c r="T2943">
        <v>0</v>
      </c>
      <c r="U2943">
        <v>0</v>
      </c>
      <c r="V2943">
        <v>0</v>
      </c>
    </row>
    <row r="2944" spans="1:22" x14ac:dyDescent="0.2">
      <c r="A2944" t="s">
        <v>4382</v>
      </c>
      <c r="B2944" t="s">
        <v>4383</v>
      </c>
      <c r="C2944" t="s">
        <v>2852</v>
      </c>
      <c r="D2944" t="s">
        <v>96</v>
      </c>
      <c r="E2944">
        <v>29.99</v>
      </c>
      <c r="F2944" t="s">
        <v>8118</v>
      </c>
      <c r="L2944" t="s">
        <v>10</v>
      </c>
      <c r="M2944">
        <v>726547</v>
      </c>
      <c r="N2944">
        <v>0</v>
      </c>
      <c r="O2944">
        <v>0</v>
      </c>
      <c r="P2944" t="s">
        <v>7015</v>
      </c>
      <c r="T2944">
        <v>0</v>
      </c>
      <c r="U2944">
        <v>0</v>
      </c>
      <c r="V2944">
        <v>0</v>
      </c>
    </row>
    <row r="2945" spans="1:22" x14ac:dyDescent="0.2">
      <c r="A2945" t="s">
        <v>4367</v>
      </c>
      <c r="B2945" t="s">
        <v>4368</v>
      </c>
      <c r="C2945" t="s">
        <v>2852</v>
      </c>
      <c r="D2945" t="s">
        <v>96</v>
      </c>
      <c r="E2945">
        <v>29.99</v>
      </c>
      <c r="F2945" t="s">
        <v>8118</v>
      </c>
      <c r="L2945" t="s">
        <v>10</v>
      </c>
      <c r="M2945">
        <v>761975</v>
      </c>
      <c r="N2945">
        <v>0</v>
      </c>
      <c r="O2945">
        <v>0</v>
      </c>
      <c r="P2945" t="s">
        <v>290</v>
      </c>
      <c r="T2945">
        <v>0</v>
      </c>
      <c r="U2945">
        <v>0</v>
      </c>
      <c r="V2945">
        <v>0</v>
      </c>
    </row>
    <row r="2946" spans="1:22" x14ac:dyDescent="0.2">
      <c r="A2946" t="s">
        <v>2923</v>
      </c>
      <c r="B2946" t="s">
        <v>2924</v>
      </c>
      <c r="C2946" t="s">
        <v>2852</v>
      </c>
      <c r="D2946" t="s">
        <v>228</v>
      </c>
      <c r="E2946">
        <v>44.99</v>
      </c>
      <c r="F2946" t="s">
        <v>8118</v>
      </c>
      <c r="G2946">
        <v>78</v>
      </c>
      <c r="H2946">
        <v>24</v>
      </c>
      <c r="I2946">
        <v>54</v>
      </c>
      <c r="L2946" t="s">
        <v>10</v>
      </c>
      <c r="M2946">
        <v>726543</v>
      </c>
      <c r="N2946">
        <v>0</v>
      </c>
      <c r="O2946">
        <v>0</v>
      </c>
      <c r="P2946" t="s">
        <v>290</v>
      </c>
      <c r="T2946">
        <v>0</v>
      </c>
      <c r="U2946">
        <v>0</v>
      </c>
      <c r="V2946">
        <v>0</v>
      </c>
    </row>
    <row r="2947" spans="1:22" x14ac:dyDescent="0.2">
      <c r="A2947" t="s">
        <v>7090</v>
      </c>
      <c r="B2947" t="s">
        <v>7091</v>
      </c>
      <c r="C2947" t="s">
        <v>2852</v>
      </c>
      <c r="D2947" t="s">
        <v>96</v>
      </c>
      <c r="E2947">
        <v>3099</v>
      </c>
      <c r="F2947" t="s">
        <v>8118</v>
      </c>
      <c r="L2947" t="s">
        <v>10</v>
      </c>
      <c r="M2947">
        <v>577490</v>
      </c>
      <c r="N2947">
        <v>0</v>
      </c>
      <c r="O2947">
        <v>0</v>
      </c>
      <c r="P2947" t="s">
        <v>290</v>
      </c>
      <c r="T2947">
        <v>0</v>
      </c>
      <c r="U2947">
        <v>0</v>
      </c>
      <c r="V2947">
        <v>0</v>
      </c>
    </row>
    <row r="2948" spans="1:22" x14ac:dyDescent="0.2">
      <c r="A2948" t="s">
        <v>7092</v>
      </c>
      <c r="B2948" t="s">
        <v>7093</v>
      </c>
      <c r="C2948" t="s">
        <v>2852</v>
      </c>
      <c r="D2948" t="s">
        <v>96</v>
      </c>
      <c r="E2948">
        <v>1099.99</v>
      </c>
      <c r="F2948" t="s">
        <v>8118</v>
      </c>
      <c r="L2948" t="s">
        <v>10</v>
      </c>
      <c r="M2948">
        <v>641053</v>
      </c>
      <c r="N2948">
        <v>0</v>
      </c>
      <c r="O2948">
        <v>0</v>
      </c>
      <c r="P2948" t="s">
        <v>290</v>
      </c>
      <c r="T2948">
        <v>0</v>
      </c>
      <c r="U2948">
        <v>0</v>
      </c>
      <c r="V2948">
        <v>0</v>
      </c>
    </row>
    <row r="2949" spans="1:22" x14ac:dyDescent="0.2">
      <c r="A2949" t="s">
        <v>4194</v>
      </c>
      <c r="B2949" t="s">
        <v>4195</v>
      </c>
      <c r="C2949" t="s">
        <v>2852</v>
      </c>
      <c r="D2949" t="s">
        <v>290</v>
      </c>
      <c r="E2949">
        <v>29.99</v>
      </c>
      <c r="F2949" t="s">
        <v>8118</v>
      </c>
      <c r="G2949">
        <v>15</v>
      </c>
      <c r="I2949">
        <v>15</v>
      </c>
      <c r="L2949" t="s">
        <v>10</v>
      </c>
      <c r="M2949">
        <v>726535</v>
      </c>
      <c r="N2949">
        <v>0</v>
      </c>
      <c r="O2949">
        <v>0</v>
      </c>
      <c r="P2949" t="s">
        <v>290</v>
      </c>
      <c r="T2949">
        <v>0</v>
      </c>
      <c r="U2949">
        <v>0</v>
      </c>
      <c r="V2949">
        <v>0</v>
      </c>
    </row>
    <row r="2950" spans="1:22" x14ac:dyDescent="0.2">
      <c r="A2950" t="s">
        <v>4332</v>
      </c>
      <c r="B2950" t="s">
        <v>4333</v>
      </c>
      <c r="C2950" t="s">
        <v>2852</v>
      </c>
      <c r="D2950" t="s">
        <v>96</v>
      </c>
      <c r="E2950">
        <v>29.99</v>
      </c>
      <c r="F2950" t="s">
        <v>8118</v>
      </c>
      <c r="L2950" t="s">
        <v>10</v>
      </c>
      <c r="M2950">
        <v>726544</v>
      </c>
      <c r="N2950">
        <v>0</v>
      </c>
      <c r="O2950">
        <v>0</v>
      </c>
      <c r="P2950" t="s">
        <v>7015</v>
      </c>
      <c r="T2950">
        <v>0</v>
      </c>
      <c r="U2950">
        <v>0</v>
      </c>
      <c r="V2950">
        <v>28</v>
      </c>
    </row>
    <row r="2951" spans="1:22" x14ac:dyDescent="0.2">
      <c r="A2951" t="s">
        <v>4336</v>
      </c>
      <c r="B2951" t="s">
        <v>4337</v>
      </c>
      <c r="C2951" t="s">
        <v>2852</v>
      </c>
      <c r="D2951" t="s">
        <v>96</v>
      </c>
      <c r="E2951">
        <v>29.99</v>
      </c>
      <c r="F2951" t="s">
        <v>8118</v>
      </c>
      <c r="L2951" t="s">
        <v>10</v>
      </c>
      <c r="M2951">
        <v>726545</v>
      </c>
      <c r="N2951">
        <v>0</v>
      </c>
      <c r="O2951">
        <v>0</v>
      </c>
      <c r="P2951" t="s">
        <v>7015</v>
      </c>
      <c r="T2951">
        <v>0</v>
      </c>
      <c r="U2951">
        <v>0</v>
      </c>
      <c r="V2951">
        <v>14</v>
      </c>
    </row>
    <row r="2952" spans="1:22" x14ac:dyDescent="0.2">
      <c r="A2952" t="s">
        <v>4357</v>
      </c>
      <c r="B2952" t="s">
        <v>4358</v>
      </c>
      <c r="C2952" t="s">
        <v>2852</v>
      </c>
      <c r="D2952" t="s">
        <v>96</v>
      </c>
      <c r="E2952">
        <v>79.989999999999995</v>
      </c>
      <c r="F2952" t="s">
        <v>8118</v>
      </c>
      <c r="L2952" t="s">
        <v>10</v>
      </c>
      <c r="M2952">
        <v>972956</v>
      </c>
      <c r="N2952">
        <v>0</v>
      </c>
      <c r="O2952">
        <v>0</v>
      </c>
      <c r="P2952" t="s">
        <v>290</v>
      </c>
      <c r="T2952">
        <v>0</v>
      </c>
      <c r="U2952">
        <v>0</v>
      </c>
      <c r="V2952">
        <v>0</v>
      </c>
    </row>
    <row r="2953" spans="1:22" x14ac:dyDescent="0.2">
      <c r="A2953" t="s">
        <v>4376</v>
      </c>
      <c r="B2953" t="s">
        <v>4377</v>
      </c>
      <c r="C2953" t="s">
        <v>2852</v>
      </c>
      <c r="D2953" t="s">
        <v>96</v>
      </c>
      <c r="E2953">
        <v>29.99</v>
      </c>
      <c r="F2953" t="s">
        <v>8118</v>
      </c>
      <c r="L2953" t="s">
        <v>10</v>
      </c>
      <c r="M2953">
        <v>726546</v>
      </c>
      <c r="N2953">
        <v>0</v>
      </c>
      <c r="O2953">
        <v>0</v>
      </c>
      <c r="P2953" t="s">
        <v>290</v>
      </c>
      <c r="T2953">
        <v>0</v>
      </c>
      <c r="U2953">
        <v>0</v>
      </c>
      <c r="V2953">
        <v>0</v>
      </c>
    </row>
    <row r="2954" spans="1:22" x14ac:dyDescent="0.2">
      <c r="A2954" t="s">
        <v>4379</v>
      </c>
      <c r="B2954" t="s">
        <v>4380</v>
      </c>
      <c r="C2954" t="s">
        <v>2852</v>
      </c>
      <c r="D2954" t="s">
        <v>96</v>
      </c>
      <c r="E2954">
        <v>29.99</v>
      </c>
      <c r="F2954" t="s">
        <v>8118</v>
      </c>
      <c r="L2954" t="s">
        <v>10</v>
      </c>
      <c r="M2954">
        <v>726548</v>
      </c>
      <c r="N2954">
        <v>0</v>
      </c>
      <c r="O2954">
        <v>0</v>
      </c>
      <c r="P2954" t="s">
        <v>290</v>
      </c>
      <c r="T2954">
        <v>0</v>
      </c>
      <c r="U2954">
        <v>0</v>
      </c>
      <c r="V2954">
        <v>0</v>
      </c>
    </row>
    <row r="2955" spans="1:22" x14ac:dyDescent="0.2">
      <c r="A2955" t="s">
        <v>5786</v>
      </c>
      <c r="B2955" t="s">
        <v>5787</v>
      </c>
      <c r="C2955" t="s">
        <v>2852</v>
      </c>
      <c r="D2955" t="s">
        <v>96</v>
      </c>
      <c r="E2955">
        <v>199.99</v>
      </c>
      <c r="F2955" t="s">
        <v>8118</v>
      </c>
      <c r="L2955" t="s">
        <v>10</v>
      </c>
      <c r="M2955">
        <v>918242</v>
      </c>
      <c r="N2955">
        <v>0</v>
      </c>
      <c r="O2955">
        <v>0</v>
      </c>
      <c r="P2955" t="s">
        <v>290</v>
      </c>
      <c r="T2955">
        <v>0</v>
      </c>
      <c r="U2955">
        <v>0</v>
      </c>
      <c r="V2955">
        <v>0</v>
      </c>
    </row>
    <row r="2956" spans="1:22" x14ac:dyDescent="0.2">
      <c r="A2956" t="s">
        <v>2909</v>
      </c>
      <c r="B2956" t="s">
        <v>2910</v>
      </c>
      <c r="C2956" t="s">
        <v>2852</v>
      </c>
      <c r="D2956" t="s">
        <v>228</v>
      </c>
      <c r="E2956">
        <v>99.99</v>
      </c>
      <c r="F2956" t="s">
        <v>8118</v>
      </c>
      <c r="G2956">
        <v>34</v>
      </c>
      <c r="H2956">
        <v>1</v>
      </c>
      <c r="I2956">
        <v>33</v>
      </c>
      <c r="L2956" t="s">
        <v>10</v>
      </c>
      <c r="M2956">
        <v>396325</v>
      </c>
      <c r="N2956">
        <v>0</v>
      </c>
      <c r="O2956">
        <v>0</v>
      </c>
      <c r="P2956" t="s">
        <v>7015</v>
      </c>
      <c r="T2956">
        <v>0</v>
      </c>
      <c r="U2956">
        <v>0</v>
      </c>
      <c r="V2956">
        <v>0</v>
      </c>
    </row>
    <row r="2957" spans="1:22" x14ac:dyDescent="0.2">
      <c r="A2957" t="s">
        <v>7322</v>
      </c>
      <c r="B2957" t="s">
        <v>7324</v>
      </c>
      <c r="C2957" t="s">
        <v>2852</v>
      </c>
      <c r="D2957" t="s">
        <v>96</v>
      </c>
      <c r="E2957">
        <v>29.99</v>
      </c>
      <c r="F2957" t="s">
        <v>8118</v>
      </c>
      <c r="L2957" t="s">
        <v>10</v>
      </c>
      <c r="M2957">
        <v>726549</v>
      </c>
      <c r="N2957">
        <v>0</v>
      </c>
      <c r="O2957">
        <v>0</v>
      </c>
      <c r="P2957" t="s">
        <v>7015</v>
      </c>
      <c r="T2957">
        <v>0</v>
      </c>
      <c r="U2957">
        <v>0</v>
      </c>
      <c r="V2957">
        <v>0</v>
      </c>
    </row>
    <row r="2958" spans="1:22" x14ac:dyDescent="0.2">
      <c r="A2958" t="s">
        <v>2861</v>
      </c>
      <c r="B2958" t="s">
        <v>2862</v>
      </c>
      <c r="C2958" t="s">
        <v>2852</v>
      </c>
      <c r="D2958" t="s">
        <v>228</v>
      </c>
      <c r="E2958">
        <v>399.99</v>
      </c>
      <c r="F2958" t="s">
        <v>8118</v>
      </c>
      <c r="G2958">
        <v>114</v>
      </c>
      <c r="H2958">
        <v>82</v>
      </c>
      <c r="I2958">
        <v>32</v>
      </c>
      <c r="K2958">
        <v>48</v>
      </c>
      <c r="L2958" t="s">
        <v>10</v>
      </c>
      <c r="M2958">
        <v>337667</v>
      </c>
      <c r="N2958">
        <v>0</v>
      </c>
      <c r="O2958">
        <v>0</v>
      </c>
      <c r="P2958" t="s">
        <v>7015</v>
      </c>
      <c r="T2958">
        <v>0</v>
      </c>
      <c r="U2958">
        <v>0</v>
      </c>
      <c r="V2958">
        <v>0</v>
      </c>
    </row>
    <row r="2959" spans="1:22" x14ac:dyDescent="0.2">
      <c r="A2959" t="s">
        <v>5774</v>
      </c>
      <c r="B2959" t="s">
        <v>5775</v>
      </c>
      <c r="C2959" t="s">
        <v>2852</v>
      </c>
      <c r="D2959" t="s">
        <v>228</v>
      </c>
      <c r="E2959">
        <v>4499.99</v>
      </c>
      <c r="F2959" t="s">
        <v>8118</v>
      </c>
      <c r="G2959">
        <v>4</v>
      </c>
      <c r="H2959">
        <v>4</v>
      </c>
      <c r="L2959" t="s">
        <v>10</v>
      </c>
      <c r="M2959">
        <v>659060</v>
      </c>
      <c r="N2959">
        <v>0</v>
      </c>
      <c r="O2959">
        <v>0</v>
      </c>
      <c r="P2959" t="s">
        <v>7015</v>
      </c>
      <c r="T2959">
        <v>0</v>
      </c>
      <c r="U2959">
        <v>0</v>
      </c>
      <c r="V2959">
        <v>0</v>
      </c>
    </row>
    <row r="2960" spans="1:22" x14ac:dyDescent="0.2">
      <c r="A2960" t="s">
        <v>7356</v>
      </c>
      <c r="B2960" t="s">
        <v>7358</v>
      </c>
      <c r="C2960" t="s">
        <v>2852</v>
      </c>
      <c r="D2960" t="s">
        <v>96</v>
      </c>
      <c r="E2960">
        <v>3699.99</v>
      </c>
      <c r="F2960" t="s">
        <v>8118</v>
      </c>
      <c r="L2960" t="s">
        <v>10</v>
      </c>
      <c r="M2960">
        <v>353321</v>
      </c>
      <c r="N2960">
        <v>0</v>
      </c>
      <c r="O2960">
        <v>0</v>
      </c>
      <c r="P2960" t="s">
        <v>290</v>
      </c>
      <c r="T2960">
        <v>0</v>
      </c>
      <c r="U2960">
        <v>0</v>
      </c>
      <c r="V2960">
        <v>0</v>
      </c>
    </row>
    <row r="2961" spans="1:22" x14ac:dyDescent="0.2">
      <c r="A2961" t="s">
        <v>4213</v>
      </c>
      <c r="B2961" t="s">
        <v>4214</v>
      </c>
      <c r="C2961" t="s">
        <v>2852</v>
      </c>
      <c r="D2961" t="s">
        <v>96</v>
      </c>
      <c r="E2961">
        <v>44.99</v>
      </c>
      <c r="F2961" t="s">
        <v>8118</v>
      </c>
      <c r="L2961" t="s">
        <v>10</v>
      </c>
      <c r="M2961">
        <v>726541</v>
      </c>
      <c r="N2961">
        <v>0</v>
      </c>
      <c r="O2961">
        <v>0</v>
      </c>
      <c r="P2961" t="s">
        <v>290</v>
      </c>
      <c r="T2961">
        <v>0</v>
      </c>
      <c r="U2961">
        <v>0</v>
      </c>
      <c r="V2961">
        <v>0</v>
      </c>
    </row>
    <row r="2962" spans="1:22" x14ac:dyDescent="0.2">
      <c r="A2962" t="s">
        <v>4203</v>
      </c>
      <c r="B2962" t="s">
        <v>4204</v>
      </c>
      <c r="C2962" t="s">
        <v>2852</v>
      </c>
      <c r="D2962" t="s">
        <v>228</v>
      </c>
      <c r="E2962">
        <v>369.99</v>
      </c>
      <c r="F2962" t="s">
        <v>8118</v>
      </c>
      <c r="G2962">
        <v>2</v>
      </c>
      <c r="I2962">
        <v>2</v>
      </c>
      <c r="L2962" t="s">
        <v>10</v>
      </c>
      <c r="M2962">
        <v>431027</v>
      </c>
      <c r="N2962">
        <v>0</v>
      </c>
      <c r="O2962">
        <v>0</v>
      </c>
      <c r="P2962" t="s">
        <v>290</v>
      </c>
      <c r="T2962">
        <v>0</v>
      </c>
      <c r="U2962">
        <v>0</v>
      </c>
      <c r="V2962">
        <v>0</v>
      </c>
    </row>
    <row r="2963" spans="1:22" x14ac:dyDescent="0.2">
      <c r="A2963" t="s">
        <v>7341</v>
      </c>
      <c r="B2963" t="s">
        <v>7343</v>
      </c>
      <c r="C2963" t="s">
        <v>2852</v>
      </c>
      <c r="D2963" t="s">
        <v>96</v>
      </c>
      <c r="E2963">
        <v>49.99</v>
      </c>
      <c r="F2963" t="s">
        <v>8118</v>
      </c>
      <c r="L2963" t="s">
        <v>10</v>
      </c>
      <c r="M2963">
        <v>558441</v>
      </c>
      <c r="N2963">
        <v>0</v>
      </c>
      <c r="O2963">
        <v>0</v>
      </c>
      <c r="P2963" t="s">
        <v>290</v>
      </c>
      <c r="T2963">
        <v>0</v>
      </c>
      <c r="U2963">
        <v>0</v>
      </c>
      <c r="V2963">
        <v>0</v>
      </c>
    </row>
    <row r="2964" spans="1:22" x14ac:dyDescent="0.2">
      <c r="A2964" t="s">
        <v>2895</v>
      </c>
      <c r="B2964" t="s">
        <v>2896</v>
      </c>
      <c r="C2964" t="s">
        <v>2852</v>
      </c>
      <c r="D2964" t="s">
        <v>228</v>
      </c>
      <c r="E2964">
        <v>2699.99</v>
      </c>
      <c r="F2964" t="s">
        <v>8118</v>
      </c>
      <c r="G2964">
        <v>10</v>
      </c>
      <c r="H2964">
        <v>5</v>
      </c>
      <c r="I2964">
        <v>5</v>
      </c>
      <c r="J2964">
        <v>8</v>
      </c>
      <c r="K2964">
        <v>5</v>
      </c>
      <c r="L2964" t="s">
        <v>10</v>
      </c>
      <c r="M2964">
        <v>600227</v>
      </c>
      <c r="N2964">
        <v>0</v>
      </c>
      <c r="O2964">
        <v>0</v>
      </c>
      <c r="P2964" t="s">
        <v>290</v>
      </c>
      <c r="T2964">
        <v>0</v>
      </c>
      <c r="U2964">
        <v>0</v>
      </c>
      <c r="V2964">
        <v>0</v>
      </c>
    </row>
    <row r="2965" spans="1:22" x14ac:dyDescent="0.2">
      <c r="A2965" t="s">
        <v>2901</v>
      </c>
      <c r="B2965" t="s">
        <v>2902</v>
      </c>
      <c r="C2965" t="s">
        <v>2852</v>
      </c>
      <c r="D2965" t="s">
        <v>228</v>
      </c>
      <c r="E2965">
        <v>99.99</v>
      </c>
      <c r="F2965" t="s">
        <v>8118</v>
      </c>
      <c r="G2965">
        <v>20</v>
      </c>
      <c r="H2965">
        <v>11</v>
      </c>
      <c r="I2965">
        <v>9</v>
      </c>
      <c r="K2965">
        <v>48</v>
      </c>
      <c r="L2965" t="s">
        <v>10</v>
      </c>
      <c r="M2965">
        <v>443331</v>
      </c>
      <c r="N2965">
        <v>0</v>
      </c>
      <c r="O2965">
        <v>0</v>
      </c>
      <c r="P2965" t="s">
        <v>290</v>
      </c>
      <c r="T2965">
        <v>0</v>
      </c>
      <c r="U2965">
        <v>0</v>
      </c>
      <c r="V2965">
        <v>0</v>
      </c>
    </row>
    <row r="2966" spans="1:22" x14ac:dyDescent="0.2">
      <c r="A2966" t="s">
        <v>2903</v>
      </c>
      <c r="B2966" t="s">
        <v>2904</v>
      </c>
      <c r="C2966" t="s">
        <v>2852</v>
      </c>
      <c r="D2966" t="s">
        <v>228</v>
      </c>
      <c r="E2966">
        <v>99.99</v>
      </c>
      <c r="F2966" t="s">
        <v>8118</v>
      </c>
      <c r="G2966">
        <v>41</v>
      </c>
      <c r="H2966">
        <v>6</v>
      </c>
      <c r="I2966">
        <v>35</v>
      </c>
      <c r="K2966">
        <v>36</v>
      </c>
      <c r="L2966" t="s">
        <v>10</v>
      </c>
      <c r="M2966">
        <v>442221</v>
      </c>
      <c r="N2966">
        <v>0</v>
      </c>
      <c r="O2966">
        <v>0</v>
      </c>
      <c r="P2966" t="s">
        <v>290</v>
      </c>
      <c r="T2966">
        <v>0</v>
      </c>
      <c r="U2966">
        <v>0</v>
      </c>
      <c r="V2966">
        <v>0</v>
      </c>
    </row>
    <row r="2967" spans="1:22" x14ac:dyDescent="0.2">
      <c r="A2967" t="s">
        <v>5284</v>
      </c>
      <c r="B2967" t="s">
        <v>5285</v>
      </c>
      <c r="C2967" t="s">
        <v>2852</v>
      </c>
      <c r="D2967" t="s">
        <v>96</v>
      </c>
      <c r="E2967">
        <v>99.99</v>
      </c>
      <c r="F2967" t="s">
        <v>8118</v>
      </c>
      <c r="L2967" t="s">
        <v>10</v>
      </c>
      <c r="M2967">
        <v>444441</v>
      </c>
      <c r="N2967">
        <v>0</v>
      </c>
      <c r="O2967">
        <v>0</v>
      </c>
      <c r="P2967" t="s">
        <v>290</v>
      </c>
      <c r="T2967">
        <v>0</v>
      </c>
      <c r="U2967">
        <v>0</v>
      </c>
      <c r="V2967">
        <v>0</v>
      </c>
    </row>
    <row r="2968" spans="1:22" x14ac:dyDescent="0.2">
      <c r="A2968" t="s">
        <v>5297</v>
      </c>
      <c r="B2968" t="s">
        <v>5298</v>
      </c>
      <c r="C2968" t="s">
        <v>2852</v>
      </c>
      <c r="D2968" t="s">
        <v>96</v>
      </c>
      <c r="E2968">
        <v>99.99</v>
      </c>
      <c r="F2968" t="s">
        <v>8118</v>
      </c>
      <c r="L2968" t="s">
        <v>10</v>
      </c>
      <c r="M2968">
        <v>448881</v>
      </c>
      <c r="N2968">
        <v>0</v>
      </c>
      <c r="O2968">
        <v>0</v>
      </c>
      <c r="P2968" t="s">
        <v>7015</v>
      </c>
      <c r="T2968">
        <v>0</v>
      </c>
      <c r="U2968">
        <v>0</v>
      </c>
      <c r="V2968">
        <v>0</v>
      </c>
    </row>
    <row r="2969" spans="1:22" x14ac:dyDescent="0.2">
      <c r="A2969" t="s">
        <v>2905</v>
      </c>
      <c r="B2969" t="s">
        <v>2906</v>
      </c>
      <c r="C2969" t="s">
        <v>2852</v>
      </c>
      <c r="D2969" t="s">
        <v>228</v>
      </c>
      <c r="E2969">
        <v>179.99</v>
      </c>
      <c r="F2969" t="s">
        <v>8118</v>
      </c>
      <c r="G2969">
        <v>34</v>
      </c>
      <c r="H2969">
        <v>8</v>
      </c>
      <c r="I2969">
        <v>26</v>
      </c>
      <c r="K2969">
        <v>80</v>
      </c>
      <c r="L2969" t="s">
        <v>10</v>
      </c>
      <c r="M2969">
        <v>396324</v>
      </c>
      <c r="N2969">
        <v>0</v>
      </c>
      <c r="O2969">
        <v>0</v>
      </c>
      <c r="P2969" t="s">
        <v>7015</v>
      </c>
      <c r="T2969">
        <v>0</v>
      </c>
      <c r="U2969">
        <v>0</v>
      </c>
      <c r="V2969">
        <v>0</v>
      </c>
    </row>
    <row r="2970" spans="1:22" x14ac:dyDescent="0.2">
      <c r="A2970" t="s">
        <v>7336</v>
      </c>
      <c r="B2970" t="s">
        <v>7338</v>
      </c>
      <c r="C2970" t="s">
        <v>2852</v>
      </c>
      <c r="D2970" t="s">
        <v>96</v>
      </c>
      <c r="E2970">
        <v>1999.99</v>
      </c>
      <c r="F2970" t="s">
        <v>8118</v>
      </c>
      <c r="L2970" t="s">
        <v>10</v>
      </c>
      <c r="M2970">
        <v>409551</v>
      </c>
      <c r="N2970">
        <v>0</v>
      </c>
      <c r="O2970">
        <v>0</v>
      </c>
      <c r="P2970" t="s">
        <v>290</v>
      </c>
      <c r="T2970">
        <v>0</v>
      </c>
      <c r="U2970">
        <v>0</v>
      </c>
      <c r="V2970">
        <v>0</v>
      </c>
    </row>
    <row r="2971" spans="1:22" x14ac:dyDescent="0.2">
      <c r="A2971" t="s">
        <v>7379</v>
      </c>
      <c r="B2971" t="s">
        <v>7381</v>
      </c>
      <c r="C2971" t="s">
        <v>2852</v>
      </c>
      <c r="D2971" t="s">
        <v>96</v>
      </c>
      <c r="E2971">
        <v>99.99</v>
      </c>
      <c r="F2971" t="s">
        <v>8118</v>
      </c>
      <c r="L2971" t="s">
        <v>10</v>
      </c>
      <c r="M2971">
        <v>485167</v>
      </c>
      <c r="N2971">
        <v>0</v>
      </c>
      <c r="O2971">
        <v>0</v>
      </c>
      <c r="P2971" t="s">
        <v>7015</v>
      </c>
      <c r="T2971">
        <v>0</v>
      </c>
      <c r="U2971">
        <v>0</v>
      </c>
      <c r="V2971">
        <v>0</v>
      </c>
    </row>
    <row r="2972" spans="1:22" x14ac:dyDescent="0.2">
      <c r="A2972" t="s">
        <v>4370</v>
      </c>
      <c r="B2972" t="s">
        <v>4371</v>
      </c>
      <c r="C2972" t="s">
        <v>2852</v>
      </c>
      <c r="D2972" t="s">
        <v>96</v>
      </c>
      <c r="E2972">
        <v>29.99</v>
      </c>
      <c r="F2972" t="s">
        <v>8118</v>
      </c>
      <c r="L2972" t="s">
        <v>10</v>
      </c>
      <c r="M2972">
        <v>726538</v>
      </c>
      <c r="N2972">
        <v>0</v>
      </c>
      <c r="O2972">
        <v>0</v>
      </c>
      <c r="P2972" t="s">
        <v>290</v>
      </c>
      <c r="T2972">
        <v>0</v>
      </c>
      <c r="U2972">
        <v>0</v>
      </c>
      <c r="V2972">
        <v>0</v>
      </c>
    </row>
    <row r="2973" spans="1:22" x14ac:dyDescent="0.2">
      <c r="A2973" t="s">
        <v>5287</v>
      </c>
      <c r="B2973" t="s">
        <v>5288</v>
      </c>
      <c r="C2973" t="s">
        <v>2852</v>
      </c>
      <c r="D2973" t="s">
        <v>290</v>
      </c>
      <c r="E2973">
        <v>99.99</v>
      </c>
      <c r="F2973" t="s">
        <v>8118</v>
      </c>
      <c r="L2973" t="s">
        <v>10</v>
      </c>
      <c r="M2973">
        <v>447771</v>
      </c>
      <c r="N2973">
        <v>0</v>
      </c>
      <c r="O2973">
        <v>0</v>
      </c>
      <c r="P2973" t="s">
        <v>290</v>
      </c>
      <c r="T2973">
        <v>0</v>
      </c>
      <c r="U2973">
        <v>0</v>
      </c>
      <c r="V2973">
        <v>0</v>
      </c>
    </row>
    <row r="2974" spans="1:22" x14ac:dyDescent="0.2">
      <c r="A2974" t="s">
        <v>7341</v>
      </c>
      <c r="B2974" t="s">
        <v>7343</v>
      </c>
      <c r="C2974" t="s">
        <v>2852</v>
      </c>
      <c r="D2974" t="s">
        <v>96</v>
      </c>
      <c r="E2974">
        <v>49.99</v>
      </c>
      <c r="F2974" t="s">
        <v>8118</v>
      </c>
      <c r="L2974" t="s">
        <v>7032</v>
      </c>
      <c r="M2974" t="s">
        <v>97</v>
      </c>
      <c r="N2974">
        <v>0</v>
      </c>
      <c r="O2974">
        <v>0</v>
      </c>
      <c r="T2974">
        <v>0</v>
      </c>
      <c r="U2974">
        <v>0</v>
      </c>
      <c r="V2974">
        <v>0</v>
      </c>
    </row>
    <row r="2975" spans="1:22" x14ac:dyDescent="0.2">
      <c r="A2975" t="s">
        <v>4203</v>
      </c>
      <c r="B2975" t="s">
        <v>4204</v>
      </c>
      <c r="C2975" t="s">
        <v>2852</v>
      </c>
      <c r="D2975" t="s">
        <v>228</v>
      </c>
      <c r="E2975">
        <v>369.99</v>
      </c>
      <c r="F2975" t="s">
        <v>8118</v>
      </c>
      <c r="G2975">
        <v>2</v>
      </c>
      <c r="I2975">
        <v>2</v>
      </c>
      <c r="L2975" t="s">
        <v>7032</v>
      </c>
      <c r="M2975" t="s">
        <v>97</v>
      </c>
      <c r="N2975">
        <v>0</v>
      </c>
      <c r="O2975">
        <v>0</v>
      </c>
      <c r="T2975">
        <v>0</v>
      </c>
      <c r="U2975">
        <v>0</v>
      </c>
      <c r="V2975">
        <v>0</v>
      </c>
    </row>
    <row r="2976" spans="1:22" x14ac:dyDescent="0.2">
      <c r="A2976" t="s">
        <v>2901</v>
      </c>
      <c r="B2976" t="s">
        <v>2902</v>
      </c>
      <c r="C2976" t="s">
        <v>2852</v>
      </c>
      <c r="D2976" t="s">
        <v>228</v>
      </c>
      <c r="E2976">
        <v>99.99</v>
      </c>
      <c r="F2976" t="s">
        <v>8118</v>
      </c>
      <c r="G2976">
        <v>20</v>
      </c>
      <c r="H2976">
        <v>11</v>
      </c>
      <c r="I2976">
        <v>9</v>
      </c>
      <c r="K2976">
        <v>48</v>
      </c>
      <c r="L2976" t="s">
        <v>7032</v>
      </c>
      <c r="M2976" t="s">
        <v>97</v>
      </c>
      <c r="N2976">
        <v>0</v>
      </c>
      <c r="O2976">
        <v>0</v>
      </c>
      <c r="T2976">
        <v>0</v>
      </c>
      <c r="U2976">
        <v>0</v>
      </c>
      <c r="V2976">
        <v>5</v>
      </c>
    </row>
    <row r="2977" spans="1:22" x14ac:dyDescent="0.2">
      <c r="A2977" t="s">
        <v>4213</v>
      </c>
      <c r="B2977" t="s">
        <v>4214</v>
      </c>
      <c r="C2977" t="s">
        <v>2852</v>
      </c>
      <c r="D2977" t="s">
        <v>96</v>
      </c>
      <c r="E2977">
        <v>44.99</v>
      </c>
      <c r="F2977" t="s">
        <v>8118</v>
      </c>
      <c r="L2977" t="s">
        <v>7032</v>
      </c>
      <c r="M2977" t="s">
        <v>97</v>
      </c>
      <c r="N2977">
        <v>0</v>
      </c>
      <c r="O2977">
        <v>0</v>
      </c>
      <c r="T2977">
        <v>0</v>
      </c>
      <c r="U2977">
        <v>0</v>
      </c>
      <c r="V2977">
        <v>4</v>
      </c>
    </row>
    <row r="2978" spans="1:22" x14ac:dyDescent="0.2">
      <c r="A2978" t="s">
        <v>4370</v>
      </c>
      <c r="B2978" t="s">
        <v>4371</v>
      </c>
      <c r="C2978" t="s">
        <v>2852</v>
      </c>
      <c r="D2978" t="s">
        <v>96</v>
      </c>
      <c r="E2978">
        <v>29.99</v>
      </c>
      <c r="F2978" t="s">
        <v>8118</v>
      </c>
      <c r="L2978" t="s">
        <v>7032</v>
      </c>
      <c r="M2978" t="s">
        <v>97</v>
      </c>
      <c r="N2978">
        <v>0</v>
      </c>
      <c r="O2978">
        <v>0</v>
      </c>
      <c r="T2978">
        <v>0.2</v>
      </c>
      <c r="U2978">
        <v>0</v>
      </c>
      <c r="V2978">
        <v>0</v>
      </c>
    </row>
    <row r="2979" spans="1:22" x14ac:dyDescent="0.2">
      <c r="A2979" t="s">
        <v>5265</v>
      </c>
      <c r="B2979" t="s">
        <v>5266</v>
      </c>
      <c r="C2979" t="s">
        <v>2852</v>
      </c>
      <c r="D2979" t="s">
        <v>96</v>
      </c>
      <c r="E2979">
        <v>249.99</v>
      </c>
      <c r="F2979" t="s">
        <v>8118</v>
      </c>
      <c r="L2979" t="s">
        <v>7032</v>
      </c>
      <c r="M2979" t="s">
        <v>97</v>
      </c>
      <c r="N2979">
        <v>0</v>
      </c>
      <c r="O2979">
        <v>0</v>
      </c>
      <c r="T2979">
        <v>0</v>
      </c>
      <c r="U2979">
        <v>0</v>
      </c>
      <c r="V2979">
        <v>0</v>
      </c>
    </row>
    <row r="2980" spans="1:22" x14ac:dyDescent="0.2">
      <c r="A2980" t="s">
        <v>5822</v>
      </c>
      <c r="B2980" t="s">
        <v>5823</v>
      </c>
      <c r="C2980" t="s">
        <v>2852</v>
      </c>
      <c r="D2980" t="s">
        <v>96</v>
      </c>
      <c r="E2980">
        <v>119.99</v>
      </c>
      <c r="F2980" t="s">
        <v>8118</v>
      </c>
      <c r="L2980" t="s">
        <v>7032</v>
      </c>
      <c r="M2980" t="s">
        <v>97</v>
      </c>
      <c r="N2980">
        <v>0</v>
      </c>
      <c r="O2980">
        <v>0</v>
      </c>
      <c r="T2980">
        <v>0</v>
      </c>
      <c r="U2980">
        <v>0</v>
      </c>
      <c r="V2980">
        <v>1</v>
      </c>
    </row>
    <row r="2981" spans="1:22" x14ac:dyDescent="0.2">
      <c r="A2981" t="s">
        <v>5913</v>
      </c>
      <c r="B2981" t="s">
        <v>5914</v>
      </c>
      <c r="C2981" t="s">
        <v>2852</v>
      </c>
      <c r="D2981" t="s">
        <v>96</v>
      </c>
      <c r="E2981">
        <v>199.99</v>
      </c>
      <c r="F2981" t="s">
        <v>8118</v>
      </c>
      <c r="L2981" t="s">
        <v>7032</v>
      </c>
      <c r="M2981" t="s">
        <v>97</v>
      </c>
      <c r="N2981">
        <v>0</v>
      </c>
      <c r="O2981">
        <v>0</v>
      </c>
      <c r="T2981">
        <v>0</v>
      </c>
      <c r="U2981">
        <v>0</v>
      </c>
      <c r="V2981">
        <v>0</v>
      </c>
    </row>
    <row r="2982" spans="1:22" x14ac:dyDescent="0.2">
      <c r="A2982" t="s">
        <v>5910</v>
      </c>
      <c r="B2982" t="s">
        <v>5911</v>
      </c>
      <c r="C2982" t="s">
        <v>2852</v>
      </c>
      <c r="D2982" t="s">
        <v>96</v>
      </c>
      <c r="E2982">
        <v>129.99</v>
      </c>
      <c r="F2982" t="s">
        <v>8118</v>
      </c>
      <c r="L2982" t="s">
        <v>7032</v>
      </c>
      <c r="M2982" t="s">
        <v>97</v>
      </c>
      <c r="N2982">
        <v>0</v>
      </c>
      <c r="O2982">
        <v>0</v>
      </c>
      <c r="T2982">
        <v>0</v>
      </c>
      <c r="U2982">
        <v>0</v>
      </c>
      <c r="V2982">
        <v>0</v>
      </c>
    </row>
    <row r="2983" spans="1:22" x14ac:dyDescent="0.2">
      <c r="A2983" t="s">
        <v>2923</v>
      </c>
      <c r="B2983" t="s">
        <v>2924</v>
      </c>
      <c r="C2983" t="s">
        <v>2852</v>
      </c>
      <c r="D2983" t="s">
        <v>228</v>
      </c>
      <c r="E2983">
        <v>44.99</v>
      </c>
      <c r="F2983" t="s">
        <v>8118</v>
      </c>
      <c r="G2983">
        <v>78</v>
      </c>
      <c r="H2983">
        <v>24</v>
      </c>
      <c r="I2983">
        <v>54</v>
      </c>
      <c r="L2983" t="s">
        <v>7032</v>
      </c>
      <c r="M2983" t="s">
        <v>97</v>
      </c>
      <c r="N2983">
        <v>0</v>
      </c>
      <c r="O2983">
        <v>0</v>
      </c>
      <c r="T2983">
        <v>0</v>
      </c>
      <c r="U2983">
        <v>0</v>
      </c>
      <c r="V2983">
        <v>0</v>
      </c>
    </row>
    <row r="2984" spans="1:22" x14ac:dyDescent="0.2">
      <c r="A2984" t="s">
        <v>4376</v>
      </c>
      <c r="B2984" t="s">
        <v>4377</v>
      </c>
      <c r="C2984" t="s">
        <v>2852</v>
      </c>
      <c r="D2984" t="s">
        <v>96</v>
      </c>
      <c r="E2984">
        <v>29.99</v>
      </c>
      <c r="F2984" t="s">
        <v>8118</v>
      </c>
      <c r="L2984" t="s">
        <v>7032</v>
      </c>
      <c r="M2984" t="s">
        <v>97</v>
      </c>
      <c r="N2984">
        <v>0</v>
      </c>
      <c r="O2984">
        <v>0</v>
      </c>
      <c r="T2984">
        <v>0</v>
      </c>
      <c r="U2984">
        <v>0</v>
      </c>
      <c r="V2984">
        <v>0</v>
      </c>
    </row>
    <row r="2985" spans="1:22" x14ac:dyDescent="0.2">
      <c r="A2985" t="s">
        <v>5825</v>
      </c>
      <c r="B2985" t="s">
        <v>5826</v>
      </c>
      <c r="C2985" t="s">
        <v>2852</v>
      </c>
      <c r="D2985" t="s">
        <v>96</v>
      </c>
      <c r="E2985">
        <v>469.99</v>
      </c>
      <c r="F2985" t="s">
        <v>8118</v>
      </c>
      <c r="L2985" t="s">
        <v>7032</v>
      </c>
      <c r="M2985" t="s">
        <v>97</v>
      </c>
      <c r="N2985">
        <v>0</v>
      </c>
      <c r="O2985">
        <v>0</v>
      </c>
      <c r="T2985">
        <v>0</v>
      </c>
      <c r="U2985">
        <v>0</v>
      </c>
      <c r="V2985">
        <v>0</v>
      </c>
    </row>
    <row r="2986" spans="1:22" x14ac:dyDescent="0.2">
      <c r="A2986" t="s">
        <v>4367</v>
      </c>
      <c r="B2986" t="s">
        <v>4368</v>
      </c>
      <c r="C2986" t="s">
        <v>2852</v>
      </c>
      <c r="D2986" t="s">
        <v>96</v>
      </c>
      <c r="E2986">
        <v>29.99</v>
      </c>
      <c r="F2986" t="s">
        <v>8118</v>
      </c>
      <c r="L2986" t="s">
        <v>7032</v>
      </c>
      <c r="M2986" t="s">
        <v>97</v>
      </c>
      <c r="N2986">
        <v>0</v>
      </c>
      <c r="O2986">
        <v>0</v>
      </c>
      <c r="T2986">
        <v>0</v>
      </c>
      <c r="U2986">
        <v>0</v>
      </c>
      <c r="V2986">
        <v>0</v>
      </c>
    </row>
    <row r="2987" spans="1:22" x14ac:dyDescent="0.2">
      <c r="A2987" t="s">
        <v>2905</v>
      </c>
      <c r="B2987" t="s">
        <v>2906</v>
      </c>
      <c r="C2987" t="s">
        <v>2852</v>
      </c>
      <c r="D2987" t="s">
        <v>228</v>
      </c>
      <c r="E2987">
        <v>179.99</v>
      </c>
      <c r="F2987" t="s">
        <v>8118</v>
      </c>
      <c r="G2987">
        <v>34</v>
      </c>
      <c r="H2987">
        <v>8</v>
      </c>
      <c r="I2987">
        <v>26</v>
      </c>
      <c r="K2987">
        <v>80</v>
      </c>
      <c r="L2987" t="s">
        <v>7032</v>
      </c>
      <c r="M2987" t="s">
        <v>97</v>
      </c>
      <c r="N2987">
        <v>0</v>
      </c>
      <c r="O2987">
        <v>0</v>
      </c>
      <c r="T2987">
        <v>0</v>
      </c>
      <c r="U2987">
        <v>0</v>
      </c>
      <c r="V2987">
        <v>0</v>
      </c>
    </row>
    <row r="2988" spans="1:22" x14ac:dyDescent="0.2">
      <c r="A2988" t="s">
        <v>5287</v>
      </c>
      <c r="B2988" t="s">
        <v>5288</v>
      </c>
      <c r="C2988" t="s">
        <v>2852</v>
      </c>
      <c r="D2988" t="s">
        <v>290</v>
      </c>
      <c r="E2988">
        <v>99.99</v>
      </c>
      <c r="F2988" t="s">
        <v>8118</v>
      </c>
      <c r="L2988" t="s">
        <v>7032</v>
      </c>
      <c r="M2988" t="s">
        <v>97</v>
      </c>
      <c r="N2988">
        <v>0</v>
      </c>
      <c r="O2988">
        <v>0</v>
      </c>
      <c r="T2988">
        <v>0</v>
      </c>
      <c r="U2988">
        <v>0</v>
      </c>
      <c r="V2988">
        <v>0</v>
      </c>
    </row>
    <row r="2989" spans="1:22" x14ac:dyDescent="0.2">
      <c r="A2989" t="s">
        <v>5284</v>
      </c>
      <c r="B2989" t="s">
        <v>5285</v>
      </c>
      <c r="C2989" t="s">
        <v>2852</v>
      </c>
      <c r="D2989" t="s">
        <v>96</v>
      </c>
      <c r="E2989">
        <v>99.99</v>
      </c>
      <c r="F2989" t="s">
        <v>8118</v>
      </c>
      <c r="L2989" t="s">
        <v>7032</v>
      </c>
      <c r="M2989" t="s">
        <v>97</v>
      </c>
      <c r="N2989">
        <v>0</v>
      </c>
      <c r="O2989">
        <v>0</v>
      </c>
      <c r="T2989">
        <v>0</v>
      </c>
      <c r="U2989">
        <v>0</v>
      </c>
      <c r="V2989">
        <v>0</v>
      </c>
    </row>
    <row r="2990" spans="1:22" x14ac:dyDescent="0.2">
      <c r="A2990" t="s">
        <v>4357</v>
      </c>
      <c r="B2990" t="s">
        <v>4358</v>
      </c>
      <c r="C2990" t="s">
        <v>2852</v>
      </c>
      <c r="D2990" t="s">
        <v>96</v>
      </c>
      <c r="E2990">
        <v>79.989999999999995</v>
      </c>
      <c r="F2990" t="s">
        <v>8118</v>
      </c>
      <c r="L2990" t="s">
        <v>7032</v>
      </c>
      <c r="M2990" t="s">
        <v>97</v>
      </c>
      <c r="N2990">
        <v>0</v>
      </c>
      <c r="O2990">
        <v>0</v>
      </c>
      <c r="T2990">
        <v>0</v>
      </c>
      <c r="U2990">
        <v>0</v>
      </c>
      <c r="V2990">
        <v>0</v>
      </c>
    </row>
    <row r="2991" spans="1:22" x14ac:dyDescent="0.2">
      <c r="A2991" t="s">
        <v>4336</v>
      </c>
      <c r="B2991" t="s">
        <v>4337</v>
      </c>
      <c r="C2991" t="s">
        <v>2852</v>
      </c>
      <c r="D2991" t="s">
        <v>96</v>
      </c>
      <c r="E2991">
        <v>29.99</v>
      </c>
      <c r="F2991" t="s">
        <v>8118</v>
      </c>
      <c r="L2991" t="s">
        <v>7032</v>
      </c>
      <c r="M2991" t="s">
        <v>97</v>
      </c>
      <c r="N2991">
        <v>0</v>
      </c>
      <c r="O2991">
        <v>0</v>
      </c>
      <c r="T2991">
        <v>0</v>
      </c>
      <c r="U2991">
        <v>0</v>
      </c>
      <c r="V2991">
        <v>0</v>
      </c>
    </row>
    <row r="2992" spans="1:22" x14ac:dyDescent="0.2">
      <c r="A2992" t="s">
        <v>2865</v>
      </c>
      <c r="B2992" t="s">
        <v>2866</v>
      </c>
      <c r="C2992" t="s">
        <v>2852</v>
      </c>
      <c r="D2992" t="s">
        <v>228</v>
      </c>
      <c r="E2992">
        <v>5499.99</v>
      </c>
      <c r="F2992" t="s">
        <v>8118</v>
      </c>
      <c r="G2992">
        <v>27</v>
      </c>
      <c r="H2992">
        <v>22</v>
      </c>
      <c r="I2992">
        <v>5</v>
      </c>
      <c r="J2992">
        <v>6</v>
      </c>
      <c r="K2992">
        <v>20</v>
      </c>
      <c r="L2992" t="s">
        <v>7032</v>
      </c>
      <c r="M2992" t="s">
        <v>97</v>
      </c>
      <c r="N2992">
        <v>0</v>
      </c>
      <c r="O2992">
        <v>0</v>
      </c>
      <c r="T2992">
        <v>0</v>
      </c>
      <c r="U2992">
        <v>0</v>
      </c>
      <c r="V2992">
        <v>0</v>
      </c>
    </row>
    <row r="2993" spans="1:22" x14ac:dyDescent="0.2">
      <c r="A2993" t="s">
        <v>2861</v>
      </c>
      <c r="B2993" t="s">
        <v>2862</v>
      </c>
      <c r="C2993" t="s">
        <v>2852</v>
      </c>
      <c r="D2993" t="s">
        <v>228</v>
      </c>
      <c r="E2993">
        <v>399.99</v>
      </c>
      <c r="F2993" t="s">
        <v>8118</v>
      </c>
      <c r="G2993">
        <v>114</v>
      </c>
      <c r="H2993">
        <v>82</v>
      </c>
      <c r="I2993">
        <v>32</v>
      </c>
      <c r="K2993">
        <v>48</v>
      </c>
      <c r="L2993" t="s">
        <v>7032</v>
      </c>
      <c r="M2993" t="s">
        <v>97</v>
      </c>
      <c r="N2993">
        <v>0</v>
      </c>
      <c r="O2993">
        <v>0</v>
      </c>
      <c r="T2993">
        <v>0</v>
      </c>
      <c r="U2993">
        <v>0</v>
      </c>
      <c r="V2993">
        <v>0</v>
      </c>
    </row>
    <row r="2994" spans="1:22" x14ac:dyDescent="0.2">
      <c r="A2994" t="s">
        <v>2903</v>
      </c>
      <c r="B2994" t="s">
        <v>2904</v>
      </c>
      <c r="C2994" t="s">
        <v>2852</v>
      </c>
      <c r="D2994" t="s">
        <v>228</v>
      </c>
      <c r="E2994">
        <v>99.99</v>
      </c>
      <c r="F2994" t="s">
        <v>8118</v>
      </c>
      <c r="G2994">
        <v>41</v>
      </c>
      <c r="H2994">
        <v>6</v>
      </c>
      <c r="I2994">
        <v>35</v>
      </c>
      <c r="K2994">
        <v>36</v>
      </c>
      <c r="L2994" t="s">
        <v>7032</v>
      </c>
      <c r="M2994" t="s">
        <v>97</v>
      </c>
      <c r="N2994">
        <v>0</v>
      </c>
      <c r="O2994">
        <v>0</v>
      </c>
      <c r="T2994">
        <v>0</v>
      </c>
      <c r="U2994">
        <v>0</v>
      </c>
      <c r="V2994">
        <v>0</v>
      </c>
    </row>
    <row r="2995" spans="1:22" x14ac:dyDescent="0.2">
      <c r="A2995" t="s">
        <v>2909</v>
      </c>
      <c r="B2995" t="s">
        <v>2910</v>
      </c>
      <c r="C2995" t="s">
        <v>2852</v>
      </c>
      <c r="D2995" t="s">
        <v>228</v>
      </c>
      <c r="E2995">
        <v>99.99</v>
      </c>
      <c r="F2995" t="s">
        <v>8118</v>
      </c>
      <c r="G2995">
        <v>34</v>
      </c>
      <c r="H2995">
        <v>1</v>
      </c>
      <c r="I2995">
        <v>33</v>
      </c>
      <c r="L2995" t="s">
        <v>7032</v>
      </c>
      <c r="M2995" t="s">
        <v>97</v>
      </c>
      <c r="N2995">
        <v>0</v>
      </c>
      <c r="O2995">
        <v>0</v>
      </c>
      <c r="T2995">
        <v>0</v>
      </c>
      <c r="U2995">
        <v>0</v>
      </c>
      <c r="V2995">
        <v>0</v>
      </c>
    </row>
    <row r="2996" spans="1:22" x14ac:dyDescent="0.2">
      <c r="A2996" t="s">
        <v>4194</v>
      </c>
      <c r="B2996" t="s">
        <v>4195</v>
      </c>
      <c r="C2996" t="s">
        <v>2852</v>
      </c>
      <c r="D2996" t="s">
        <v>290</v>
      </c>
      <c r="E2996">
        <v>29.99</v>
      </c>
      <c r="F2996" t="s">
        <v>8118</v>
      </c>
      <c r="G2996">
        <v>15</v>
      </c>
      <c r="I2996">
        <v>15</v>
      </c>
      <c r="L2996" t="s">
        <v>7032</v>
      </c>
      <c r="M2996" t="s">
        <v>97</v>
      </c>
      <c r="N2996">
        <v>0</v>
      </c>
      <c r="O2996">
        <v>0</v>
      </c>
      <c r="T2996">
        <v>0</v>
      </c>
      <c r="U2996">
        <v>0</v>
      </c>
      <c r="V2996">
        <v>2</v>
      </c>
    </row>
    <row r="2997" spans="1:22" x14ac:dyDescent="0.2">
      <c r="A2997" t="s">
        <v>4332</v>
      </c>
      <c r="B2997" t="s">
        <v>4333</v>
      </c>
      <c r="C2997" t="s">
        <v>2852</v>
      </c>
      <c r="D2997" t="s">
        <v>96</v>
      </c>
      <c r="E2997">
        <v>29.99</v>
      </c>
      <c r="F2997" t="s">
        <v>8118</v>
      </c>
      <c r="L2997" t="s">
        <v>7032</v>
      </c>
      <c r="M2997" t="s">
        <v>97</v>
      </c>
      <c r="N2997">
        <v>0</v>
      </c>
      <c r="O2997">
        <v>0</v>
      </c>
      <c r="T2997">
        <v>0</v>
      </c>
      <c r="U2997">
        <v>0</v>
      </c>
      <c r="V2997">
        <v>0</v>
      </c>
    </row>
    <row r="2998" spans="1:22" x14ac:dyDescent="0.2">
      <c r="A2998" t="s">
        <v>7752</v>
      </c>
      <c r="B2998" t="s">
        <v>7753</v>
      </c>
      <c r="C2998" t="s">
        <v>2852</v>
      </c>
      <c r="D2998" t="s">
        <v>290</v>
      </c>
      <c r="E2998">
        <v>29.99</v>
      </c>
      <c r="F2998" t="s">
        <v>8118</v>
      </c>
      <c r="L2998" t="s">
        <v>7032</v>
      </c>
      <c r="M2998" t="s">
        <v>97</v>
      </c>
      <c r="N2998">
        <v>0</v>
      </c>
      <c r="O2998">
        <v>0</v>
      </c>
      <c r="T2998">
        <v>0</v>
      </c>
      <c r="U2998">
        <v>0</v>
      </c>
      <c r="V2998">
        <v>0</v>
      </c>
    </row>
    <row r="2999" spans="1:22" x14ac:dyDescent="0.2">
      <c r="A2999" t="s">
        <v>2887</v>
      </c>
      <c r="B2999" t="s">
        <v>2888</v>
      </c>
      <c r="C2999" t="s">
        <v>2852</v>
      </c>
      <c r="D2999" t="s">
        <v>228</v>
      </c>
      <c r="E2999">
        <v>329.99</v>
      </c>
      <c r="F2999" t="s">
        <v>8118</v>
      </c>
      <c r="G2999">
        <v>9</v>
      </c>
      <c r="I2999">
        <v>9</v>
      </c>
      <c r="L2999" t="s">
        <v>7032</v>
      </c>
      <c r="M2999" t="s">
        <v>97</v>
      </c>
      <c r="N2999">
        <v>0</v>
      </c>
      <c r="O2999">
        <v>0</v>
      </c>
      <c r="T2999">
        <v>0</v>
      </c>
      <c r="U2999">
        <v>0</v>
      </c>
      <c r="V2999">
        <v>0</v>
      </c>
    </row>
    <row r="3000" spans="1:22" x14ac:dyDescent="0.2">
      <c r="A3000" t="s">
        <v>2919</v>
      </c>
      <c r="B3000" t="s">
        <v>2920</v>
      </c>
      <c r="C3000" t="s">
        <v>2852</v>
      </c>
      <c r="D3000" t="s">
        <v>228</v>
      </c>
      <c r="E3000">
        <v>499.99</v>
      </c>
      <c r="F3000" t="s">
        <v>8118</v>
      </c>
      <c r="G3000">
        <v>9</v>
      </c>
      <c r="H3000">
        <v>2</v>
      </c>
      <c r="I3000">
        <v>7</v>
      </c>
      <c r="K3000">
        <v>12</v>
      </c>
      <c r="L3000" t="s">
        <v>7032</v>
      </c>
      <c r="M3000" t="s">
        <v>97</v>
      </c>
      <c r="N3000">
        <v>0</v>
      </c>
      <c r="O3000">
        <v>0</v>
      </c>
      <c r="T3000">
        <v>0</v>
      </c>
      <c r="U3000">
        <v>0</v>
      </c>
      <c r="V3000">
        <v>1</v>
      </c>
    </row>
    <row r="3001" spans="1:22" x14ac:dyDescent="0.2">
      <c r="A3001" t="s">
        <v>2879</v>
      </c>
      <c r="B3001" t="s">
        <v>2880</v>
      </c>
      <c r="C3001" t="s">
        <v>2852</v>
      </c>
      <c r="D3001" t="s">
        <v>228</v>
      </c>
      <c r="E3001">
        <v>44.99</v>
      </c>
      <c r="F3001" t="s">
        <v>8118</v>
      </c>
      <c r="G3001">
        <v>51</v>
      </c>
      <c r="I3001">
        <v>51</v>
      </c>
      <c r="L3001" t="s">
        <v>7032</v>
      </c>
      <c r="M3001" t="s">
        <v>97</v>
      </c>
      <c r="N3001">
        <v>0</v>
      </c>
      <c r="O3001">
        <v>0</v>
      </c>
      <c r="T3001">
        <v>0</v>
      </c>
      <c r="U3001">
        <v>0</v>
      </c>
      <c r="V3001">
        <v>3</v>
      </c>
    </row>
    <row r="3002" spans="1:22" x14ac:dyDescent="0.2">
      <c r="A3002" t="s">
        <v>4200</v>
      </c>
      <c r="B3002" t="s">
        <v>4201</v>
      </c>
      <c r="C3002" t="s">
        <v>2852</v>
      </c>
      <c r="D3002" t="s">
        <v>96</v>
      </c>
      <c r="E3002">
        <v>29.99</v>
      </c>
      <c r="F3002" t="s">
        <v>8118</v>
      </c>
      <c r="L3002" t="s">
        <v>7032</v>
      </c>
      <c r="M3002" t="s">
        <v>97</v>
      </c>
      <c r="N3002">
        <v>0</v>
      </c>
      <c r="O3002">
        <v>0</v>
      </c>
      <c r="T3002">
        <v>0</v>
      </c>
      <c r="U3002">
        <v>0</v>
      </c>
      <c r="V3002">
        <v>0</v>
      </c>
    </row>
    <row r="3003" spans="1:22" x14ac:dyDescent="0.2">
      <c r="A3003" t="s">
        <v>2881</v>
      </c>
      <c r="B3003" t="s">
        <v>2882</v>
      </c>
      <c r="C3003" t="s">
        <v>2852</v>
      </c>
      <c r="D3003" t="s">
        <v>228</v>
      </c>
      <c r="E3003">
        <v>329.99</v>
      </c>
      <c r="F3003" t="s">
        <v>8118</v>
      </c>
      <c r="G3003">
        <v>10</v>
      </c>
      <c r="I3003">
        <v>10</v>
      </c>
      <c r="L3003" t="s">
        <v>7032</v>
      </c>
      <c r="M3003" t="s">
        <v>97</v>
      </c>
      <c r="N3003">
        <v>0</v>
      </c>
      <c r="O3003">
        <v>0</v>
      </c>
      <c r="T3003">
        <v>0</v>
      </c>
      <c r="U3003">
        <v>0</v>
      </c>
      <c r="V3003">
        <v>0</v>
      </c>
    </row>
    <row r="3004" spans="1:22" x14ac:dyDescent="0.2">
      <c r="A3004" t="s">
        <v>4197</v>
      </c>
      <c r="B3004" t="s">
        <v>4198</v>
      </c>
      <c r="C3004" t="s">
        <v>2852</v>
      </c>
      <c r="D3004" t="s">
        <v>290</v>
      </c>
      <c r="E3004">
        <v>29.99</v>
      </c>
      <c r="F3004" t="s">
        <v>8118</v>
      </c>
      <c r="G3004">
        <v>48</v>
      </c>
      <c r="H3004">
        <v>12</v>
      </c>
      <c r="I3004">
        <v>36</v>
      </c>
      <c r="L3004" t="s">
        <v>7032</v>
      </c>
      <c r="M3004" t="s">
        <v>97</v>
      </c>
      <c r="N3004">
        <v>0</v>
      </c>
      <c r="O3004">
        <v>0</v>
      </c>
      <c r="T3004">
        <v>0</v>
      </c>
      <c r="U3004">
        <v>0</v>
      </c>
      <c r="V3004">
        <v>0</v>
      </c>
    </row>
    <row r="3005" spans="1:22" x14ac:dyDescent="0.2">
      <c r="A3005" t="s">
        <v>3620</v>
      </c>
      <c r="B3005" t="s">
        <v>3621</v>
      </c>
      <c r="C3005" t="s">
        <v>2852</v>
      </c>
      <c r="D3005" t="s">
        <v>228</v>
      </c>
      <c r="E3005">
        <v>249.99</v>
      </c>
      <c r="F3005" t="s">
        <v>8118</v>
      </c>
      <c r="G3005">
        <v>19</v>
      </c>
      <c r="I3005">
        <v>19</v>
      </c>
      <c r="L3005" t="s">
        <v>7032</v>
      </c>
      <c r="M3005" t="s">
        <v>97</v>
      </c>
      <c r="N3005">
        <v>0</v>
      </c>
      <c r="O3005">
        <v>0</v>
      </c>
      <c r="T3005">
        <v>0</v>
      </c>
      <c r="U3005">
        <v>0</v>
      </c>
      <c r="V3005">
        <v>0</v>
      </c>
    </row>
    <row r="3006" spans="1:22" x14ac:dyDescent="0.2">
      <c r="A3006" t="s">
        <v>2899</v>
      </c>
      <c r="B3006" t="s">
        <v>2900</v>
      </c>
      <c r="C3006" t="s">
        <v>2852</v>
      </c>
      <c r="D3006" t="s">
        <v>228</v>
      </c>
      <c r="E3006">
        <v>279.99</v>
      </c>
      <c r="F3006" t="s">
        <v>8118</v>
      </c>
      <c r="G3006">
        <v>42</v>
      </c>
      <c r="H3006">
        <v>30</v>
      </c>
      <c r="I3006">
        <v>12</v>
      </c>
      <c r="K3006">
        <v>30</v>
      </c>
      <c r="L3006" t="s">
        <v>7032</v>
      </c>
      <c r="M3006" t="s">
        <v>97</v>
      </c>
      <c r="N3006">
        <v>0</v>
      </c>
      <c r="O3006">
        <v>0</v>
      </c>
      <c r="T3006">
        <v>0</v>
      </c>
      <c r="U3006">
        <v>0</v>
      </c>
      <c r="V3006">
        <v>0</v>
      </c>
    </row>
    <row r="3007" spans="1:22" x14ac:dyDescent="0.2">
      <c r="A3007" t="s">
        <v>2893</v>
      </c>
      <c r="B3007" t="s">
        <v>2894</v>
      </c>
      <c r="C3007" t="s">
        <v>2852</v>
      </c>
      <c r="D3007" t="s">
        <v>228</v>
      </c>
      <c r="E3007">
        <v>249.99</v>
      </c>
      <c r="F3007" t="s">
        <v>8118</v>
      </c>
      <c r="G3007">
        <v>88</v>
      </c>
      <c r="H3007">
        <v>25</v>
      </c>
      <c r="I3007">
        <v>63</v>
      </c>
      <c r="L3007" t="s">
        <v>7032</v>
      </c>
      <c r="M3007" t="s">
        <v>97</v>
      </c>
      <c r="N3007">
        <v>0</v>
      </c>
      <c r="O3007">
        <v>0</v>
      </c>
      <c r="T3007">
        <v>0</v>
      </c>
      <c r="U3007">
        <v>0</v>
      </c>
      <c r="V3007">
        <v>0</v>
      </c>
    </row>
    <row r="3008" spans="1:22" x14ac:dyDescent="0.2">
      <c r="A3008" t="s">
        <v>2861</v>
      </c>
      <c r="B3008" t="s">
        <v>2862</v>
      </c>
      <c r="C3008" t="s">
        <v>2852</v>
      </c>
      <c r="D3008" t="s">
        <v>228</v>
      </c>
      <c r="E3008">
        <v>399.99</v>
      </c>
      <c r="F3008" t="s">
        <v>8118</v>
      </c>
      <c r="G3008">
        <v>114</v>
      </c>
      <c r="H3008">
        <v>82</v>
      </c>
      <c r="I3008">
        <v>32</v>
      </c>
      <c r="K3008">
        <v>48</v>
      </c>
      <c r="L3008" t="s">
        <v>8</v>
      </c>
      <c r="M3008" t="s">
        <v>5273</v>
      </c>
      <c r="N3008">
        <v>99.310344827586206</v>
      </c>
      <c r="O3008">
        <v>1.0069444444444443E-2</v>
      </c>
      <c r="Q3008">
        <v>2</v>
      </c>
      <c r="R3008">
        <v>6</v>
      </c>
      <c r="S3008">
        <v>232</v>
      </c>
      <c r="T3008">
        <v>2.4166666666666665</v>
      </c>
      <c r="U3008">
        <v>1599.96</v>
      </c>
      <c r="V3008">
        <v>240</v>
      </c>
    </row>
    <row r="3009" spans="1:22" x14ac:dyDescent="0.2">
      <c r="A3009" t="s">
        <v>2923</v>
      </c>
      <c r="B3009" t="s">
        <v>2924</v>
      </c>
      <c r="C3009" t="s">
        <v>2852</v>
      </c>
      <c r="D3009" t="s">
        <v>228</v>
      </c>
      <c r="E3009">
        <v>44.99</v>
      </c>
      <c r="F3009" t="s">
        <v>8118</v>
      </c>
      <c r="G3009">
        <v>78</v>
      </c>
      <c r="H3009">
        <v>24</v>
      </c>
      <c r="I3009">
        <v>54</v>
      </c>
      <c r="L3009" t="s">
        <v>8</v>
      </c>
      <c r="M3009" t="s">
        <v>4375</v>
      </c>
      <c r="N3009">
        <v>21.599999999999998</v>
      </c>
      <c r="O3009">
        <v>4.6296296296296301E-2</v>
      </c>
      <c r="Q3009">
        <v>0</v>
      </c>
      <c r="R3009">
        <v>6</v>
      </c>
      <c r="S3009">
        <v>3</v>
      </c>
      <c r="T3009">
        <v>0.41666666666666669</v>
      </c>
      <c r="U3009">
        <v>0</v>
      </c>
      <c r="V3009">
        <v>9</v>
      </c>
    </row>
    <row r="3010" spans="1:22" x14ac:dyDescent="0.2">
      <c r="A3010" t="s">
        <v>4627</v>
      </c>
      <c r="B3010" t="s">
        <v>4628</v>
      </c>
      <c r="C3010" t="s">
        <v>2852</v>
      </c>
      <c r="D3010" t="s">
        <v>96</v>
      </c>
      <c r="E3010">
        <v>2499.9899999999998</v>
      </c>
      <c r="F3010" t="s">
        <v>8118</v>
      </c>
      <c r="L3010" t="s">
        <v>8</v>
      </c>
      <c r="M3010" t="s">
        <v>4629</v>
      </c>
      <c r="N3010">
        <v>0</v>
      </c>
      <c r="O3010">
        <v>0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1</v>
      </c>
    </row>
    <row r="3011" spans="1:22" x14ac:dyDescent="0.2">
      <c r="A3011" t="s">
        <v>5913</v>
      </c>
      <c r="B3011" t="s">
        <v>5914</v>
      </c>
      <c r="C3011" t="s">
        <v>2852</v>
      </c>
      <c r="D3011" t="s">
        <v>96</v>
      </c>
      <c r="E3011">
        <v>199.99</v>
      </c>
      <c r="F3011" t="s">
        <v>8118</v>
      </c>
      <c r="L3011" t="s">
        <v>8</v>
      </c>
      <c r="M3011" t="s">
        <v>8028</v>
      </c>
      <c r="N3011">
        <v>0</v>
      </c>
      <c r="O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</row>
    <row r="3012" spans="1:22" x14ac:dyDescent="0.2">
      <c r="A3012" t="s">
        <v>5910</v>
      </c>
      <c r="B3012" t="s">
        <v>5911</v>
      </c>
      <c r="C3012" t="s">
        <v>2852</v>
      </c>
      <c r="D3012" t="s">
        <v>96</v>
      </c>
      <c r="E3012">
        <v>129.99</v>
      </c>
      <c r="F3012" t="s">
        <v>8118</v>
      </c>
      <c r="L3012" t="s">
        <v>8</v>
      </c>
      <c r="M3012" t="s">
        <v>8027</v>
      </c>
      <c r="N3012">
        <v>0</v>
      </c>
      <c r="O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 spans="1:22" x14ac:dyDescent="0.2">
      <c r="A3013" t="s">
        <v>4197</v>
      </c>
      <c r="B3013" t="s">
        <v>4198</v>
      </c>
      <c r="C3013" t="s">
        <v>2852</v>
      </c>
      <c r="D3013" t="s">
        <v>290</v>
      </c>
      <c r="E3013">
        <v>29.99</v>
      </c>
      <c r="F3013" t="s">
        <v>8118</v>
      </c>
      <c r="G3013">
        <v>48</v>
      </c>
      <c r="H3013">
        <v>12</v>
      </c>
      <c r="I3013">
        <v>36</v>
      </c>
      <c r="L3013" t="s">
        <v>8</v>
      </c>
      <c r="M3013" t="s">
        <v>8021</v>
      </c>
      <c r="N3013">
        <v>0</v>
      </c>
      <c r="O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</row>
    <row r="3014" spans="1:22" x14ac:dyDescent="0.2">
      <c r="A3014" t="s">
        <v>5825</v>
      </c>
      <c r="B3014" t="s">
        <v>5826</v>
      </c>
      <c r="C3014" t="s">
        <v>2852</v>
      </c>
      <c r="D3014" t="s">
        <v>96</v>
      </c>
      <c r="E3014">
        <v>469.99</v>
      </c>
      <c r="F3014" t="s">
        <v>8118</v>
      </c>
      <c r="L3014" t="s">
        <v>8</v>
      </c>
      <c r="M3014" t="s">
        <v>8026</v>
      </c>
      <c r="N3014">
        <v>0</v>
      </c>
      <c r="O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 spans="1:22" x14ac:dyDescent="0.2">
      <c r="A3015" t="s">
        <v>4194</v>
      </c>
      <c r="B3015" t="s">
        <v>4195</v>
      </c>
      <c r="C3015" t="s">
        <v>2852</v>
      </c>
      <c r="D3015" t="s">
        <v>290</v>
      </c>
      <c r="E3015">
        <v>29.99</v>
      </c>
      <c r="F3015" t="s">
        <v>8118</v>
      </c>
      <c r="G3015">
        <v>15</v>
      </c>
      <c r="I3015">
        <v>15</v>
      </c>
      <c r="L3015" t="s">
        <v>8</v>
      </c>
      <c r="M3015" t="s">
        <v>8020</v>
      </c>
      <c r="N3015">
        <v>0</v>
      </c>
      <c r="O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 spans="1:22" x14ac:dyDescent="0.2">
      <c r="A3016" t="s">
        <v>2909</v>
      </c>
      <c r="B3016" t="s">
        <v>2910</v>
      </c>
      <c r="C3016" t="s">
        <v>2852</v>
      </c>
      <c r="D3016" t="s">
        <v>228</v>
      </c>
      <c r="E3016">
        <v>99.99</v>
      </c>
      <c r="F3016" t="s">
        <v>8118</v>
      </c>
      <c r="G3016">
        <v>34</v>
      </c>
      <c r="H3016">
        <v>1</v>
      </c>
      <c r="I3016">
        <v>33</v>
      </c>
      <c r="L3016" t="s">
        <v>8</v>
      </c>
      <c r="M3016" t="s">
        <v>5296</v>
      </c>
      <c r="N3016">
        <v>18.285714285714285</v>
      </c>
      <c r="O3016">
        <v>5.46875E-2</v>
      </c>
      <c r="Q3016">
        <v>0</v>
      </c>
      <c r="R3016">
        <v>17</v>
      </c>
      <c r="S3016">
        <v>15</v>
      </c>
      <c r="T3016">
        <v>1.75</v>
      </c>
      <c r="U3016">
        <v>399.96</v>
      </c>
      <c r="V3016">
        <v>32</v>
      </c>
    </row>
    <row r="3017" spans="1:22" x14ac:dyDescent="0.2">
      <c r="A3017" t="s">
        <v>5287</v>
      </c>
      <c r="B3017" t="s">
        <v>5288</v>
      </c>
      <c r="C3017" t="s">
        <v>2852</v>
      </c>
      <c r="D3017" t="s">
        <v>290</v>
      </c>
      <c r="E3017">
        <v>99.99</v>
      </c>
      <c r="F3017" t="s">
        <v>8118</v>
      </c>
      <c r="L3017" t="s">
        <v>8</v>
      </c>
      <c r="M3017" t="s">
        <v>8056</v>
      </c>
      <c r="N3017">
        <v>0</v>
      </c>
      <c r="O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 spans="1:22" x14ac:dyDescent="0.2">
      <c r="A3018" t="s">
        <v>5284</v>
      </c>
      <c r="B3018" t="s">
        <v>5285</v>
      </c>
      <c r="C3018" t="s">
        <v>2852</v>
      </c>
      <c r="D3018" t="s">
        <v>96</v>
      </c>
      <c r="E3018">
        <v>99.99</v>
      </c>
      <c r="F3018" t="s">
        <v>8118</v>
      </c>
      <c r="L3018" t="s">
        <v>8</v>
      </c>
      <c r="M3018" t="s">
        <v>8016</v>
      </c>
      <c r="N3018">
        <v>0</v>
      </c>
      <c r="O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 spans="1:22" x14ac:dyDescent="0.2">
      <c r="A3019" t="s">
        <v>2903</v>
      </c>
      <c r="B3019" t="s">
        <v>2904</v>
      </c>
      <c r="C3019" t="s">
        <v>2852</v>
      </c>
      <c r="D3019" t="s">
        <v>228</v>
      </c>
      <c r="E3019">
        <v>99.99</v>
      </c>
      <c r="F3019" t="s">
        <v>8118</v>
      </c>
      <c r="G3019">
        <v>41</v>
      </c>
      <c r="H3019">
        <v>6</v>
      </c>
      <c r="I3019">
        <v>35</v>
      </c>
      <c r="K3019">
        <v>36</v>
      </c>
      <c r="L3019" t="s">
        <v>8</v>
      </c>
      <c r="M3019" t="s">
        <v>5283</v>
      </c>
      <c r="N3019">
        <v>75.428571428571431</v>
      </c>
      <c r="O3019">
        <v>1.3257575757575758E-2</v>
      </c>
      <c r="Q3019">
        <v>0</v>
      </c>
      <c r="R3019">
        <v>10</v>
      </c>
      <c r="S3019">
        <v>254</v>
      </c>
      <c r="T3019">
        <v>3.5</v>
      </c>
      <c r="U3019">
        <v>199.98</v>
      </c>
      <c r="V3019">
        <v>264</v>
      </c>
    </row>
    <row r="3020" spans="1:22" x14ac:dyDescent="0.2">
      <c r="A3020" t="s">
        <v>2901</v>
      </c>
      <c r="B3020" t="s">
        <v>2902</v>
      </c>
      <c r="C3020" t="s">
        <v>2852</v>
      </c>
      <c r="D3020" t="s">
        <v>228</v>
      </c>
      <c r="E3020">
        <v>99.99</v>
      </c>
      <c r="F3020" t="s">
        <v>8118</v>
      </c>
      <c r="G3020">
        <v>20</v>
      </c>
      <c r="H3020">
        <v>11</v>
      </c>
      <c r="I3020">
        <v>9</v>
      </c>
      <c r="K3020">
        <v>48</v>
      </c>
      <c r="L3020" t="s">
        <v>8</v>
      </c>
      <c r="M3020" t="s">
        <v>5280</v>
      </c>
      <c r="N3020">
        <v>43.561643835616444</v>
      </c>
      <c r="O3020">
        <v>2.2955974842767294E-2</v>
      </c>
      <c r="Q3020">
        <v>0</v>
      </c>
      <c r="R3020">
        <v>9</v>
      </c>
      <c r="S3020">
        <v>256</v>
      </c>
      <c r="T3020">
        <v>6.083333333333333</v>
      </c>
      <c r="U3020">
        <v>899.91</v>
      </c>
      <c r="V3020">
        <v>265</v>
      </c>
    </row>
    <row r="3021" spans="1:22" x14ac:dyDescent="0.2">
      <c r="A3021" t="s">
        <v>2905</v>
      </c>
      <c r="B3021" t="s">
        <v>2906</v>
      </c>
      <c r="C3021" t="s">
        <v>2852</v>
      </c>
      <c r="D3021" t="s">
        <v>228</v>
      </c>
      <c r="E3021">
        <v>179.99</v>
      </c>
      <c r="F3021" t="s">
        <v>8118</v>
      </c>
      <c r="G3021">
        <v>34</v>
      </c>
      <c r="H3021">
        <v>8</v>
      </c>
      <c r="I3021">
        <v>26</v>
      </c>
      <c r="K3021">
        <v>80</v>
      </c>
      <c r="L3021" t="s">
        <v>8</v>
      </c>
      <c r="M3021" t="s">
        <v>5293</v>
      </c>
      <c r="N3021">
        <v>38.891566265060241</v>
      </c>
      <c r="O3021">
        <v>2.5712515489467163E-2</v>
      </c>
      <c r="Q3021">
        <v>0</v>
      </c>
      <c r="R3021">
        <v>10</v>
      </c>
      <c r="S3021">
        <v>259</v>
      </c>
      <c r="T3021">
        <v>6.916666666666667</v>
      </c>
      <c r="U3021">
        <v>1259.93</v>
      </c>
      <c r="V3021">
        <v>269</v>
      </c>
    </row>
    <row r="3022" spans="1:22" x14ac:dyDescent="0.2">
      <c r="A3022" t="s">
        <v>2893</v>
      </c>
      <c r="B3022" t="s">
        <v>2894</v>
      </c>
      <c r="C3022" t="s">
        <v>2852</v>
      </c>
      <c r="D3022" t="s">
        <v>228</v>
      </c>
      <c r="E3022">
        <v>249.99</v>
      </c>
      <c r="F3022" t="s">
        <v>8118</v>
      </c>
      <c r="G3022">
        <v>88</v>
      </c>
      <c r="H3022">
        <v>25</v>
      </c>
      <c r="I3022">
        <v>63</v>
      </c>
      <c r="L3022" t="s">
        <v>8</v>
      </c>
      <c r="M3022" t="s">
        <v>3721</v>
      </c>
      <c r="N3022">
        <v>24.857142857142854</v>
      </c>
      <c r="O3022">
        <v>4.0229885057471264E-2</v>
      </c>
      <c r="Q3022">
        <v>1</v>
      </c>
      <c r="R3022">
        <v>4</v>
      </c>
      <c r="S3022">
        <v>24</v>
      </c>
      <c r="T3022">
        <v>1.1666666666666667</v>
      </c>
      <c r="U3022">
        <v>249.99</v>
      </c>
      <c r="V3022">
        <v>29</v>
      </c>
    </row>
    <row r="3023" spans="1:22" x14ac:dyDescent="0.2">
      <c r="A3023" t="s">
        <v>4213</v>
      </c>
      <c r="B3023" t="s">
        <v>4214</v>
      </c>
      <c r="C3023" t="s">
        <v>2852</v>
      </c>
      <c r="D3023" t="s">
        <v>96</v>
      </c>
      <c r="E3023">
        <v>44.99</v>
      </c>
      <c r="F3023" t="s">
        <v>8118</v>
      </c>
      <c r="L3023" t="s">
        <v>8</v>
      </c>
      <c r="M3023" t="s">
        <v>8015</v>
      </c>
      <c r="N3023">
        <v>0</v>
      </c>
      <c r="O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 spans="1:22" x14ac:dyDescent="0.2">
      <c r="A3024" t="s">
        <v>7090</v>
      </c>
      <c r="B3024" t="s">
        <v>7091</v>
      </c>
      <c r="C3024" t="s">
        <v>2852</v>
      </c>
      <c r="D3024" t="s">
        <v>96</v>
      </c>
      <c r="E3024">
        <v>3099</v>
      </c>
      <c r="F3024" t="s">
        <v>8118</v>
      </c>
      <c r="L3024" t="s">
        <v>8</v>
      </c>
      <c r="M3024" t="s">
        <v>8040</v>
      </c>
      <c r="N3024">
        <v>0</v>
      </c>
      <c r="O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 spans="1:22" x14ac:dyDescent="0.2">
      <c r="A3025" t="s">
        <v>5297</v>
      </c>
      <c r="B3025" t="s">
        <v>5298</v>
      </c>
      <c r="C3025" t="s">
        <v>2852</v>
      </c>
      <c r="D3025" t="s">
        <v>96</v>
      </c>
      <c r="E3025">
        <v>99.99</v>
      </c>
      <c r="F3025" t="s">
        <v>8118</v>
      </c>
      <c r="L3025" t="s">
        <v>8</v>
      </c>
      <c r="M3025" t="s">
        <v>8017</v>
      </c>
      <c r="N3025">
        <v>0</v>
      </c>
      <c r="O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 spans="1:22" x14ac:dyDescent="0.2">
      <c r="A3026" t="s">
        <v>5265</v>
      </c>
      <c r="B3026" t="s">
        <v>5266</v>
      </c>
      <c r="C3026" t="s">
        <v>2852</v>
      </c>
      <c r="D3026" t="s">
        <v>96</v>
      </c>
      <c r="E3026">
        <v>249.99</v>
      </c>
      <c r="F3026" t="s">
        <v>8118</v>
      </c>
      <c r="L3026" t="s">
        <v>8</v>
      </c>
      <c r="M3026" t="s">
        <v>5269</v>
      </c>
      <c r="N3026">
        <v>0</v>
      </c>
      <c r="O3026">
        <v>0</v>
      </c>
      <c r="Q3026">
        <v>0</v>
      </c>
      <c r="R3026">
        <v>0</v>
      </c>
      <c r="S3026">
        <v>46</v>
      </c>
      <c r="T3026">
        <v>0</v>
      </c>
      <c r="U3026">
        <v>0</v>
      </c>
      <c r="V3026">
        <v>46</v>
      </c>
    </row>
    <row r="3027" spans="1:22" x14ac:dyDescent="0.2">
      <c r="A3027" t="s">
        <v>2905</v>
      </c>
      <c r="B3027" t="s">
        <v>2906</v>
      </c>
      <c r="C3027" t="s">
        <v>2852</v>
      </c>
      <c r="D3027" t="s">
        <v>228</v>
      </c>
      <c r="E3027">
        <v>179.99</v>
      </c>
      <c r="F3027" t="s">
        <v>8118</v>
      </c>
      <c r="G3027">
        <v>34</v>
      </c>
      <c r="H3027">
        <v>8</v>
      </c>
      <c r="I3027">
        <v>26</v>
      </c>
      <c r="K3027">
        <v>80</v>
      </c>
      <c r="L3027" t="s">
        <v>8106</v>
      </c>
      <c r="M3027" t="s">
        <v>2905</v>
      </c>
      <c r="V3027">
        <v>0</v>
      </c>
    </row>
    <row r="3028" spans="1:22" x14ac:dyDescent="0.2">
      <c r="A3028" t="s">
        <v>5845</v>
      </c>
      <c r="B3028" t="s">
        <v>5846</v>
      </c>
      <c r="C3028" t="s">
        <v>5847</v>
      </c>
      <c r="D3028" t="s">
        <v>96</v>
      </c>
      <c r="E3028">
        <v>89.99</v>
      </c>
      <c r="F3028" t="s">
        <v>8118</v>
      </c>
      <c r="L3028" t="s">
        <v>11</v>
      </c>
      <c r="M3028" t="s">
        <v>5848</v>
      </c>
      <c r="N3028">
        <v>0</v>
      </c>
      <c r="O3028">
        <v>0</v>
      </c>
      <c r="T3028">
        <v>0</v>
      </c>
      <c r="U3028">
        <v>0</v>
      </c>
      <c r="V3028">
        <v>5</v>
      </c>
    </row>
    <row r="3029" spans="1:22" x14ac:dyDescent="0.2">
      <c r="A3029" t="s">
        <v>5884</v>
      </c>
      <c r="B3029" t="s">
        <v>5885</v>
      </c>
      <c r="C3029" t="s">
        <v>5847</v>
      </c>
      <c r="D3029" t="s">
        <v>96</v>
      </c>
      <c r="E3029">
        <v>29.99</v>
      </c>
      <c r="F3029" t="s">
        <v>8118</v>
      </c>
      <c r="L3029" t="s">
        <v>11</v>
      </c>
      <c r="M3029" t="s">
        <v>5886</v>
      </c>
      <c r="N3029">
        <v>0</v>
      </c>
      <c r="O3029">
        <v>0</v>
      </c>
      <c r="T3029">
        <v>0</v>
      </c>
      <c r="U3029">
        <v>0</v>
      </c>
      <c r="V3029">
        <v>0</v>
      </c>
    </row>
    <row r="3030" spans="1:22" x14ac:dyDescent="0.2">
      <c r="A3030" t="s">
        <v>5845</v>
      </c>
      <c r="B3030" t="s">
        <v>5846</v>
      </c>
      <c r="C3030" t="s">
        <v>5847</v>
      </c>
      <c r="D3030" t="s">
        <v>96</v>
      </c>
      <c r="E3030">
        <v>89.99</v>
      </c>
      <c r="F3030" t="s">
        <v>8118</v>
      </c>
      <c r="L3030" t="s">
        <v>7029</v>
      </c>
      <c r="N3030">
        <v>2</v>
      </c>
      <c r="O3030">
        <v>0</v>
      </c>
      <c r="T3030">
        <v>0</v>
      </c>
      <c r="U3030">
        <v>0</v>
      </c>
      <c r="V3030">
        <v>2</v>
      </c>
    </row>
    <row r="3031" spans="1:22" x14ac:dyDescent="0.2">
      <c r="A3031" t="s">
        <v>5884</v>
      </c>
      <c r="B3031" t="s">
        <v>5885</v>
      </c>
      <c r="C3031" t="s">
        <v>5847</v>
      </c>
      <c r="D3031" t="s">
        <v>96</v>
      </c>
      <c r="E3031">
        <v>29.99</v>
      </c>
      <c r="F3031" t="s">
        <v>8118</v>
      </c>
      <c r="L3031" t="s">
        <v>7029</v>
      </c>
      <c r="N3031">
        <v>0</v>
      </c>
      <c r="O3031">
        <v>0</v>
      </c>
      <c r="T3031">
        <v>0</v>
      </c>
      <c r="U3031">
        <v>0</v>
      </c>
      <c r="V3031">
        <v>0</v>
      </c>
    </row>
    <row r="3032" spans="1:22" x14ac:dyDescent="0.2">
      <c r="A3032" t="s">
        <v>2926</v>
      </c>
      <c r="B3032" t="s">
        <v>2927</v>
      </c>
      <c r="C3032" t="s">
        <v>2925</v>
      </c>
      <c r="D3032" t="s">
        <v>290</v>
      </c>
      <c r="E3032">
        <v>179.99</v>
      </c>
      <c r="F3032" t="s">
        <v>8118</v>
      </c>
      <c r="L3032" t="s">
        <v>11</v>
      </c>
      <c r="M3032" t="s">
        <v>3489</v>
      </c>
      <c r="N3032">
        <v>0</v>
      </c>
      <c r="O3032">
        <v>0</v>
      </c>
      <c r="T3032">
        <v>0</v>
      </c>
      <c r="U3032">
        <v>0</v>
      </c>
      <c r="V3032">
        <v>0</v>
      </c>
    </row>
    <row r="3033" spans="1:22" x14ac:dyDescent="0.2">
      <c r="A3033" t="s">
        <v>2926</v>
      </c>
      <c r="B3033" t="s">
        <v>2927</v>
      </c>
      <c r="C3033" t="s">
        <v>2925</v>
      </c>
      <c r="D3033" t="s">
        <v>290</v>
      </c>
      <c r="E3033">
        <v>179.99</v>
      </c>
      <c r="F3033" t="s">
        <v>8118</v>
      </c>
      <c r="L3033" t="s">
        <v>8</v>
      </c>
      <c r="M3033" t="s">
        <v>3491</v>
      </c>
      <c r="N3033">
        <v>0</v>
      </c>
      <c r="O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 spans="1:22" x14ac:dyDescent="0.2">
      <c r="A3034" t="s">
        <v>2926</v>
      </c>
      <c r="B3034" t="s">
        <v>2927</v>
      </c>
      <c r="C3034" t="s">
        <v>2925</v>
      </c>
      <c r="D3034" t="s">
        <v>290</v>
      </c>
      <c r="E3034">
        <v>179.99</v>
      </c>
      <c r="F3034" t="s">
        <v>8118</v>
      </c>
      <c r="L3034" t="s">
        <v>8</v>
      </c>
      <c r="M3034" t="s">
        <v>3491</v>
      </c>
      <c r="N3034">
        <v>0</v>
      </c>
      <c r="O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 spans="1:22" x14ac:dyDescent="0.2">
      <c r="A3035" t="s">
        <v>6956</v>
      </c>
      <c r="B3035" t="s">
        <v>6957</v>
      </c>
      <c r="C3035" t="s">
        <v>6954</v>
      </c>
      <c r="D3035" t="s">
        <v>96</v>
      </c>
      <c r="E3035">
        <v>44.99</v>
      </c>
      <c r="F3035" t="s">
        <v>8118</v>
      </c>
      <c r="L3035" t="s">
        <v>11</v>
      </c>
      <c r="M3035" t="s">
        <v>6958</v>
      </c>
      <c r="N3035">
        <v>0</v>
      </c>
      <c r="O3035">
        <v>0</v>
      </c>
      <c r="T3035">
        <v>0</v>
      </c>
      <c r="U3035">
        <v>0</v>
      </c>
      <c r="V3035">
        <v>0</v>
      </c>
    </row>
    <row r="3036" spans="1:22" x14ac:dyDescent="0.2">
      <c r="A3036" t="s">
        <v>6959</v>
      </c>
      <c r="B3036" t="s">
        <v>6960</v>
      </c>
      <c r="C3036" t="s">
        <v>6954</v>
      </c>
      <c r="D3036" t="s">
        <v>96</v>
      </c>
      <c r="E3036">
        <v>44.99</v>
      </c>
      <c r="F3036" t="s">
        <v>8118</v>
      </c>
      <c r="L3036" t="s">
        <v>11</v>
      </c>
      <c r="M3036" t="s">
        <v>6961</v>
      </c>
      <c r="N3036">
        <v>0</v>
      </c>
      <c r="O3036">
        <v>0</v>
      </c>
      <c r="T3036">
        <v>0</v>
      </c>
      <c r="U3036">
        <v>0</v>
      </c>
      <c r="V3036">
        <v>0</v>
      </c>
    </row>
    <row r="3037" spans="1:22" x14ac:dyDescent="0.2">
      <c r="A3037" t="s">
        <v>6952</v>
      </c>
      <c r="B3037" t="s">
        <v>6953</v>
      </c>
      <c r="C3037" t="s">
        <v>6954</v>
      </c>
      <c r="D3037" t="s">
        <v>96</v>
      </c>
      <c r="E3037">
        <v>109.99</v>
      </c>
      <c r="F3037" t="s">
        <v>8118</v>
      </c>
      <c r="L3037" t="s">
        <v>11</v>
      </c>
      <c r="M3037" t="s">
        <v>6955</v>
      </c>
      <c r="N3037">
        <v>0</v>
      </c>
      <c r="O3037">
        <v>0</v>
      </c>
      <c r="T3037">
        <v>0</v>
      </c>
      <c r="U3037">
        <v>0</v>
      </c>
      <c r="V3037">
        <v>0</v>
      </c>
    </row>
    <row r="3038" spans="1:22" x14ac:dyDescent="0.2">
      <c r="A3038" t="s">
        <v>6956</v>
      </c>
      <c r="B3038" t="s">
        <v>6957</v>
      </c>
      <c r="C3038" t="s">
        <v>6954</v>
      </c>
      <c r="D3038" t="s">
        <v>96</v>
      </c>
      <c r="E3038">
        <v>44.99</v>
      </c>
      <c r="F3038" t="s">
        <v>8118</v>
      </c>
      <c r="L3038" t="s">
        <v>14</v>
      </c>
      <c r="M3038" t="s">
        <v>97</v>
      </c>
      <c r="N3038">
        <v>15</v>
      </c>
      <c r="O3038">
        <v>6.6666666666666666E-2</v>
      </c>
      <c r="T3038">
        <v>1</v>
      </c>
      <c r="U3038">
        <v>0</v>
      </c>
      <c r="V3038">
        <v>15</v>
      </c>
    </row>
    <row r="3039" spans="1:22" x14ac:dyDescent="0.2">
      <c r="A3039" t="s">
        <v>6959</v>
      </c>
      <c r="B3039" t="s">
        <v>6960</v>
      </c>
      <c r="C3039" t="s">
        <v>6954</v>
      </c>
      <c r="D3039" t="s">
        <v>96</v>
      </c>
      <c r="E3039">
        <v>44.99</v>
      </c>
      <c r="F3039" t="s">
        <v>8118</v>
      </c>
      <c r="L3039" t="s">
        <v>14</v>
      </c>
      <c r="M3039" t="s">
        <v>97</v>
      </c>
      <c r="N3039">
        <v>22.285714285714285</v>
      </c>
      <c r="O3039">
        <v>4.4871794871794872E-2</v>
      </c>
      <c r="T3039">
        <v>0.58333333333333337</v>
      </c>
      <c r="U3039">
        <v>44.99</v>
      </c>
      <c r="V3039">
        <v>13</v>
      </c>
    </row>
    <row r="3040" spans="1:22" x14ac:dyDescent="0.2">
      <c r="A3040" t="s">
        <v>6952</v>
      </c>
      <c r="B3040" t="s">
        <v>6953</v>
      </c>
      <c r="C3040" t="s">
        <v>6954</v>
      </c>
      <c r="D3040" t="s">
        <v>96</v>
      </c>
      <c r="E3040">
        <v>109.99</v>
      </c>
      <c r="F3040" t="s">
        <v>8118</v>
      </c>
      <c r="L3040" t="s">
        <v>14</v>
      </c>
      <c r="M3040" t="s">
        <v>97</v>
      </c>
      <c r="N3040">
        <v>53.333333333333336</v>
      </c>
      <c r="O3040">
        <v>1.8749999999999999E-2</v>
      </c>
      <c r="T3040">
        <v>0.75</v>
      </c>
      <c r="U3040">
        <v>0</v>
      </c>
      <c r="V3040">
        <v>40</v>
      </c>
    </row>
    <row r="3041" spans="1:22" x14ac:dyDescent="0.2">
      <c r="A3041" t="s">
        <v>6952</v>
      </c>
      <c r="B3041" t="s">
        <v>6953</v>
      </c>
      <c r="C3041" t="s">
        <v>6954</v>
      </c>
      <c r="D3041" t="s">
        <v>96</v>
      </c>
      <c r="E3041">
        <v>109.99</v>
      </c>
      <c r="F3041" t="s">
        <v>8118</v>
      </c>
      <c r="L3041" t="s">
        <v>10</v>
      </c>
      <c r="M3041">
        <v>343398</v>
      </c>
      <c r="N3041">
        <v>0</v>
      </c>
      <c r="O3041">
        <v>0</v>
      </c>
      <c r="P3041" t="s">
        <v>290</v>
      </c>
      <c r="T3041">
        <v>0</v>
      </c>
      <c r="U3041">
        <v>0</v>
      </c>
      <c r="V3041">
        <v>0</v>
      </c>
    </row>
    <row r="3042" spans="1:22" x14ac:dyDescent="0.2">
      <c r="A3042" t="s">
        <v>6959</v>
      </c>
      <c r="B3042" t="s">
        <v>6960</v>
      </c>
      <c r="C3042" t="s">
        <v>6954</v>
      </c>
      <c r="D3042" t="s">
        <v>96</v>
      </c>
      <c r="E3042">
        <v>44.99</v>
      </c>
      <c r="F3042" t="s">
        <v>8118</v>
      </c>
      <c r="L3042" t="s">
        <v>10</v>
      </c>
      <c r="M3042">
        <v>343400</v>
      </c>
      <c r="N3042">
        <v>0</v>
      </c>
      <c r="O3042">
        <v>0</v>
      </c>
      <c r="P3042" t="s">
        <v>290</v>
      </c>
      <c r="T3042">
        <v>0</v>
      </c>
      <c r="U3042">
        <v>0</v>
      </c>
      <c r="V3042">
        <v>0</v>
      </c>
    </row>
    <row r="3043" spans="1:22" x14ac:dyDescent="0.2">
      <c r="A3043" t="s">
        <v>6956</v>
      </c>
      <c r="B3043" t="s">
        <v>6957</v>
      </c>
      <c r="C3043" t="s">
        <v>6954</v>
      </c>
      <c r="D3043" t="s">
        <v>96</v>
      </c>
      <c r="E3043">
        <v>44.99</v>
      </c>
      <c r="F3043" t="s">
        <v>8118</v>
      </c>
      <c r="L3043" t="s">
        <v>10</v>
      </c>
      <c r="M3043">
        <v>343399</v>
      </c>
      <c r="N3043">
        <v>0</v>
      </c>
      <c r="O3043">
        <v>0</v>
      </c>
      <c r="P3043" t="s">
        <v>290</v>
      </c>
      <c r="T3043">
        <v>0</v>
      </c>
      <c r="U3043">
        <v>0</v>
      </c>
      <c r="V3043">
        <v>0</v>
      </c>
    </row>
    <row r="3044" spans="1:22" x14ac:dyDescent="0.2">
      <c r="A3044" t="s">
        <v>6956</v>
      </c>
      <c r="B3044" t="s">
        <v>6957</v>
      </c>
      <c r="C3044" t="s">
        <v>6954</v>
      </c>
      <c r="D3044" t="s">
        <v>96</v>
      </c>
      <c r="E3044">
        <v>44.99</v>
      </c>
      <c r="F3044" t="s">
        <v>8118</v>
      </c>
      <c r="L3044" t="s">
        <v>7032</v>
      </c>
      <c r="M3044" t="s">
        <v>97</v>
      </c>
      <c r="N3044">
        <v>0</v>
      </c>
      <c r="O3044">
        <v>0</v>
      </c>
      <c r="T3044">
        <v>0</v>
      </c>
      <c r="U3044">
        <v>0</v>
      </c>
      <c r="V3044">
        <v>3</v>
      </c>
    </row>
    <row r="3045" spans="1:22" x14ac:dyDescent="0.2">
      <c r="A3045" t="s">
        <v>6952</v>
      </c>
      <c r="B3045" t="s">
        <v>6953</v>
      </c>
      <c r="C3045" t="s">
        <v>6954</v>
      </c>
      <c r="D3045" t="s">
        <v>96</v>
      </c>
      <c r="E3045">
        <v>109.99</v>
      </c>
      <c r="F3045" t="s">
        <v>8118</v>
      </c>
      <c r="L3045" t="s">
        <v>7032</v>
      </c>
      <c r="M3045" t="s">
        <v>97</v>
      </c>
      <c r="N3045">
        <v>0</v>
      </c>
      <c r="O3045">
        <v>0</v>
      </c>
      <c r="T3045">
        <v>0</v>
      </c>
      <c r="U3045">
        <v>0</v>
      </c>
      <c r="V3045">
        <v>0</v>
      </c>
    </row>
    <row r="3046" spans="1:22" x14ac:dyDescent="0.2">
      <c r="A3046" t="s">
        <v>6959</v>
      </c>
      <c r="B3046" t="s">
        <v>6960</v>
      </c>
      <c r="C3046" t="s">
        <v>6954</v>
      </c>
      <c r="D3046" t="s">
        <v>96</v>
      </c>
      <c r="E3046">
        <v>44.99</v>
      </c>
      <c r="F3046" t="s">
        <v>8118</v>
      </c>
      <c r="L3046" t="s">
        <v>7032</v>
      </c>
      <c r="M3046" t="s">
        <v>97</v>
      </c>
      <c r="N3046">
        <v>0</v>
      </c>
      <c r="O3046">
        <v>0</v>
      </c>
      <c r="T3046">
        <v>0</v>
      </c>
      <c r="U3046">
        <v>0</v>
      </c>
      <c r="V3046">
        <v>0</v>
      </c>
    </row>
    <row r="3047" spans="1:22" x14ac:dyDescent="0.2">
      <c r="A3047" t="s">
        <v>6952</v>
      </c>
      <c r="B3047" t="s">
        <v>6953</v>
      </c>
      <c r="C3047" t="s">
        <v>6954</v>
      </c>
      <c r="D3047" t="s">
        <v>96</v>
      </c>
      <c r="E3047">
        <v>109.99</v>
      </c>
      <c r="F3047" t="s">
        <v>8118</v>
      </c>
      <c r="L3047" t="s">
        <v>8</v>
      </c>
      <c r="M3047" t="s">
        <v>6952</v>
      </c>
      <c r="N3047">
        <v>0</v>
      </c>
      <c r="O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 spans="1:22" x14ac:dyDescent="0.2">
      <c r="A3048" t="s">
        <v>6959</v>
      </c>
      <c r="B3048" t="s">
        <v>6960</v>
      </c>
      <c r="C3048" t="s">
        <v>6954</v>
      </c>
      <c r="D3048" t="s">
        <v>96</v>
      </c>
      <c r="E3048">
        <v>44.99</v>
      </c>
      <c r="F3048" t="s">
        <v>8118</v>
      </c>
      <c r="L3048" t="s">
        <v>8</v>
      </c>
      <c r="M3048" t="s">
        <v>6959</v>
      </c>
      <c r="N3048">
        <v>0</v>
      </c>
      <c r="O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 spans="1:22" x14ac:dyDescent="0.2">
      <c r="A3049" t="s">
        <v>6956</v>
      </c>
      <c r="B3049" t="s">
        <v>6957</v>
      </c>
      <c r="C3049" t="s">
        <v>6954</v>
      </c>
      <c r="D3049" t="s">
        <v>96</v>
      </c>
      <c r="E3049">
        <v>44.99</v>
      </c>
      <c r="F3049" t="s">
        <v>8118</v>
      </c>
      <c r="L3049" t="s">
        <v>8</v>
      </c>
      <c r="M3049" t="s">
        <v>6956</v>
      </c>
      <c r="N3049">
        <v>0</v>
      </c>
      <c r="O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 spans="1:22" x14ac:dyDescent="0.2">
      <c r="A3050" t="s">
        <v>2929</v>
      </c>
      <c r="B3050" t="s">
        <v>2930</v>
      </c>
      <c r="C3050" t="s">
        <v>2928</v>
      </c>
      <c r="D3050" t="s">
        <v>96</v>
      </c>
      <c r="E3050">
        <v>179.99</v>
      </c>
      <c r="F3050" t="s">
        <v>8118</v>
      </c>
      <c r="L3050" t="s">
        <v>11</v>
      </c>
      <c r="M3050" t="s">
        <v>6458</v>
      </c>
      <c r="N3050">
        <v>0</v>
      </c>
      <c r="O3050">
        <v>0</v>
      </c>
      <c r="T3050">
        <v>0</v>
      </c>
      <c r="U3050">
        <v>0</v>
      </c>
      <c r="V3050">
        <v>1</v>
      </c>
    </row>
    <row r="3051" spans="1:22" x14ac:dyDescent="0.2">
      <c r="A3051" t="s">
        <v>2931</v>
      </c>
      <c r="B3051" t="s">
        <v>2932</v>
      </c>
      <c r="C3051" t="s">
        <v>2928</v>
      </c>
      <c r="D3051" t="s">
        <v>96</v>
      </c>
      <c r="E3051">
        <v>159.99</v>
      </c>
      <c r="F3051" t="s">
        <v>8118</v>
      </c>
      <c r="L3051" t="s">
        <v>11</v>
      </c>
      <c r="M3051" t="s">
        <v>6456</v>
      </c>
      <c r="N3051">
        <v>0</v>
      </c>
      <c r="O3051">
        <v>0</v>
      </c>
      <c r="T3051">
        <v>0</v>
      </c>
      <c r="U3051">
        <v>0</v>
      </c>
      <c r="V3051">
        <v>0</v>
      </c>
    </row>
    <row r="3052" spans="1:22" x14ac:dyDescent="0.2">
      <c r="A3052" t="s">
        <v>2933</v>
      </c>
      <c r="B3052" t="s">
        <v>2934</v>
      </c>
      <c r="C3052" t="s">
        <v>2928</v>
      </c>
      <c r="D3052" t="s">
        <v>290</v>
      </c>
      <c r="E3052">
        <v>159.99</v>
      </c>
      <c r="F3052" t="s">
        <v>8118</v>
      </c>
      <c r="G3052">
        <v>80</v>
      </c>
      <c r="I3052">
        <v>80</v>
      </c>
      <c r="L3052" t="s">
        <v>11</v>
      </c>
      <c r="M3052" t="s">
        <v>6459</v>
      </c>
      <c r="N3052">
        <v>0</v>
      </c>
      <c r="O3052">
        <v>0</v>
      </c>
      <c r="T3052">
        <v>0</v>
      </c>
      <c r="U3052">
        <v>0</v>
      </c>
      <c r="V3052">
        <v>0</v>
      </c>
    </row>
    <row r="3053" spans="1:22" x14ac:dyDescent="0.2">
      <c r="A3053" t="s">
        <v>2935</v>
      </c>
      <c r="B3053" t="s">
        <v>2936</v>
      </c>
      <c r="C3053" t="s">
        <v>2928</v>
      </c>
      <c r="D3053" t="s">
        <v>290</v>
      </c>
      <c r="E3053">
        <v>89.99</v>
      </c>
      <c r="F3053" t="s">
        <v>8118</v>
      </c>
      <c r="G3053">
        <v>14</v>
      </c>
      <c r="I3053">
        <v>14</v>
      </c>
      <c r="L3053" t="s">
        <v>11</v>
      </c>
      <c r="M3053" t="s">
        <v>6468</v>
      </c>
      <c r="N3053">
        <v>0</v>
      </c>
      <c r="O3053">
        <v>0</v>
      </c>
      <c r="T3053">
        <v>0</v>
      </c>
      <c r="U3053">
        <v>0</v>
      </c>
      <c r="V3053">
        <v>0</v>
      </c>
    </row>
    <row r="3054" spans="1:22" x14ac:dyDescent="0.2">
      <c r="A3054" t="s">
        <v>2937</v>
      </c>
      <c r="B3054" t="s">
        <v>2938</v>
      </c>
      <c r="C3054" t="s">
        <v>2928</v>
      </c>
      <c r="D3054" t="s">
        <v>290</v>
      </c>
      <c r="E3054">
        <v>69.989999999999995</v>
      </c>
      <c r="F3054" t="s">
        <v>8118</v>
      </c>
      <c r="G3054">
        <v>114</v>
      </c>
      <c r="I3054">
        <v>114</v>
      </c>
      <c r="L3054" t="s">
        <v>11</v>
      </c>
      <c r="M3054" t="s">
        <v>6450</v>
      </c>
      <c r="N3054">
        <v>0</v>
      </c>
      <c r="O3054">
        <v>0</v>
      </c>
      <c r="T3054">
        <v>0</v>
      </c>
      <c r="U3054">
        <v>0</v>
      </c>
      <c r="V3054">
        <v>0</v>
      </c>
    </row>
    <row r="3055" spans="1:22" x14ac:dyDescent="0.2">
      <c r="A3055" t="s">
        <v>2961</v>
      </c>
      <c r="B3055" t="s">
        <v>2962</v>
      </c>
      <c r="C3055" t="s">
        <v>2928</v>
      </c>
      <c r="D3055" t="s">
        <v>290</v>
      </c>
      <c r="E3055">
        <v>139.99</v>
      </c>
      <c r="F3055" t="s">
        <v>8118</v>
      </c>
      <c r="G3055">
        <v>19</v>
      </c>
      <c r="I3055">
        <v>19</v>
      </c>
      <c r="L3055" t="s">
        <v>11</v>
      </c>
      <c r="M3055" t="s">
        <v>6464</v>
      </c>
      <c r="N3055">
        <v>0</v>
      </c>
      <c r="O3055">
        <v>0</v>
      </c>
      <c r="T3055">
        <v>0</v>
      </c>
      <c r="U3055">
        <v>0</v>
      </c>
      <c r="V3055">
        <v>0</v>
      </c>
    </row>
    <row r="3056" spans="1:22" x14ac:dyDescent="0.2">
      <c r="A3056" t="s">
        <v>2963</v>
      </c>
      <c r="B3056" t="s">
        <v>2964</v>
      </c>
      <c r="C3056" t="s">
        <v>2928</v>
      </c>
      <c r="D3056" t="s">
        <v>290</v>
      </c>
      <c r="E3056">
        <v>34.99</v>
      </c>
      <c r="F3056" t="s">
        <v>8118</v>
      </c>
      <c r="G3056">
        <v>119</v>
      </c>
      <c r="I3056">
        <v>119</v>
      </c>
      <c r="L3056" t="s">
        <v>11</v>
      </c>
      <c r="M3056" t="s">
        <v>6452</v>
      </c>
      <c r="N3056">
        <v>0</v>
      </c>
      <c r="O3056">
        <v>0</v>
      </c>
      <c r="T3056">
        <v>0</v>
      </c>
      <c r="U3056">
        <v>0</v>
      </c>
      <c r="V3056">
        <v>2</v>
      </c>
    </row>
    <row r="3057" spans="1:22" x14ac:dyDescent="0.2">
      <c r="A3057" t="s">
        <v>2967</v>
      </c>
      <c r="B3057" t="s">
        <v>2968</v>
      </c>
      <c r="C3057" t="s">
        <v>2928</v>
      </c>
      <c r="D3057" t="s">
        <v>290</v>
      </c>
      <c r="E3057">
        <v>39.99</v>
      </c>
      <c r="F3057" t="s">
        <v>8118</v>
      </c>
      <c r="G3057">
        <v>84</v>
      </c>
      <c r="I3057">
        <v>84</v>
      </c>
      <c r="L3057" t="s">
        <v>11</v>
      </c>
      <c r="M3057" t="s">
        <v>6467</v>
      </c>
      <c r="N3057">
        <v>0</v>
      </c>
      <c r="O3057">
        <v>0</v>
      </c>
      <c r="T3057">
        <v>0</v>
      </c>
      <c r="U3057">
        <v>0</v>
      </c>
      <c r="V3057">
        <v>0</v>
      </c>
    </row>
    <row r="3058" spans="1:22" x14ac:dyDescent="0.2">
      <c r="A3058" t="s">
        <v>2969</v>
      </c>
      <c r="B3058" t="s">
        <v>2970</v>
      </c>
      <c r="C3058" t="s">
        <v>2928</v>
      </c>
      <c r="D3058" t="s">
        <v>96</v>
      </c>
      <c r="E3058">
        <v>79.989999999999995</v>
      </c>
      <c r="F3058" t="s">
        <v>8118</v>
      </c>
      <c r="L3058" t="s">
        <v>11</v>
      </c>
      <c r="M3058" t="s">
        <v>6469</v>
      </c>
      <c r="N3058">
        <v>0</v>
      </c>
      <c r="O3058">
        <v>0</v>
      </c>
      <c r="T3058">
        <v>0</v>
      </c>
      <c r="U3058">
        <v>0</v>
      </c>
      <c r="V3058">
        <v>0</v>
      </c>
    </row>
    <row r="3059" spans="1:22" x14ac:dyDescent="0.2">
      <c r="A3059" t="s">
        <v>2973</v>
      </c>
      <c r="B3059" t="s">
        <v>2974</v>
      </c>
      <c r="C3059" t="s">
        <v>2928</v>
      </c>
      <c r="D3059" t="s">
        <v>96</v>
      </c>
      <c r="E3059">
        <v>89.99</v>
      </c>
      <c r="F3059" t="s">
        <v>8118</v>
      </c>
      <c r="L3059" t="s">
        <v>11</v>
      </c>
      <c r="M3059" t="s">
        <v>6431</v>
      </c>
      <c r="N3059">
        <v>0</v>
      </c>
      <c r="O3059">
        <v>0</v>
      </c>
      <c r="T3059">
        <v>0</v>
      </c>
      <c r="U3059">
        <v>0</v>
      </c>
      <c r="V3059">
        <v>0</v>
      </c>
    </row>
    <row r="3060" spans="1:22" x14ac:dyDescent="0.2">
      <c r="A3060" t="s">
        <v>2975</v>
      </c>
      <c r="B3060" t="s">
        <v>2976</v>
      </c>
      <c r="C3060" t="s">
        <v>2928</v>
      </c>
      <c r="D3060" t="s">
        <v>290</v>
      </c>
      <c r="E3060">
        <v>119.99</v>
      </c>
      <c r="F3060" t="s">
        <v>8118</v>
      </c>
      <c r="G3060">
        <v>27</v>
      </c>
      <c r="I3060">
        <v>27</v>
      </c>
      <c r="L3060" t="s">
        <v>11</v>
      </c>
      <c r="M3060" t="s">
        <v>6432</v>
      </c>
      <c r="N3060">
        <v>0</v>
      </c>
      <c r="O3060">
        <v>0</v>
      </c>
      <c r="T3060">
        <v>0</v>
      </c>
      <c r="U3060">
        <v>0</v>
      </c>
      <c r="V3060">
        <v>0</v>
      </c>
    </row>
    <row r="3061" spans="1:22" x14ac:dyDescent="0.2">
      <c r="A3061" t="s">
        <v>2977</v>
      </c>
      <c r="B3061" t="s">
        <v>2978</v>
      </c>
      <c r="C3061" t="s">
        <v>2928</v>
      </c>
      <c r="D3061" t="s">
        <v>96</v>
      </c>
      <c r="E3061">
        <v>149.99</v>
      </c>
      <c r="F3061" t="s">
        <v>8118</v>
      </c>
      <c r="L3061" t="s">
        <v>11</v>
      </c>
      <c r="N3061">
        <v>0</v>
      </c>
      <c r="O3061">
        <v>0</v>
      </c>
      <c r="T3061">
        <v>0</v>
      </c>
      <c r="U3061">
        <v>0</v>
      </c>
      <c r="V3061">
        <v>0</v>
      </c>
    </row>
    <row r="3062" spans="1:22" x14ac:dyDescent="0.2">
      <c r="A3062" t="s">
        <v>2959</v>
      </c>
      <c r="B3062" t="s">
        <v>2960</v>
      </c>
      <c r="C3062" t="s">
        <v>2928</v>
      </c>
      <c r="D3062" t="s">
        <v>290</v>
      </c>
      <c r="E3062">
        <v>44.99</v>
      </c>
      <c r="F3062" t="s">
        <v>8118</v>
      </c>
      <c r="G3062">
        <v>10</v>
      </c>
      <c r="I3062">
        <v>10</v>
      </c>
      <c r="L3062" t="s">
        <v>11</v>
      </c>
      <c r="M3062" t="s">
        <v>6454</v>
      </c>
      <c r="N3062">
        <v>0</v>
      </c>
      <c r="O3062">
        <v>0</v>
      </c>
      <c r="T3062">
        <v>0.1111111111111111</v>
      </c>
      <c r="U3062">
        <v>44.99</v>
      </c>
      <c r="V3062">
        <v>0</v>
      </c>
    </row>
    <row r="3063" spans="1:22" x14ac:dyDescent="0.2">
      <c r="A3063" t="s">
        <v>2981</v>
      </c>
      <c r="B3063" t="s">
        <v>2982</v>
      </c>
      <c r="C3063" t="s">
        <v>2928</v>
      </c>
      <c r="D3063" t="s">
        <v>96</v>
      </c>
      <c r="E3063">
        <v>39.99</v>
      </c>
      <c r="F3063" t="s">
        <v>8118</v>
      </c>
      <c r="L3063" t="s">
        <v>11</v>
      </c>
      <c r="M3063" t="s">
        <v>6471</v>
      </c>
      <c r="N3063">
        <v>0</v>
      </c>
      <c r="O3063">
        <v>0</v>
      </c>
      <c r="T3063">
        <v>0</v>
      </c>
      <c r="U3063">
        <v>0</v>
      </c>
      <c r="V3063">
        <v>0</v>
      </c>
    </row>
    <row r="3064" spans="1:22" x14ac:dyDescent="0.2">
      <c r="A3064" t="s">
        <v>2983</v>
      </c>
      <c r="B3064" t="s">
        <v>2984</v>
      </c>
      <c r="C3064" t="s">
        <v>2928</v>
      </c>
      <c r="D3064" t="s">
        <v>290</v>
      </c>
      <c r="E3064">
        <v>119.99</v>
      </c>
      <c r="F3064" t="s">
        <v>8118</v>
      </c>
      <c r="G3064">
        <v>5</v>
      </c>
      <c r="I3064">
        <v>5</v>
      </c>
      <c r="L3064" t="s">
        <v>11</v>
      </c>
      <c r="M3064" t="s">
        <v>6461</v>
      </c>
      <c r="N3064">
        <v>0</v>
      </c>
      <c r="O3064">
        <v>0</v>
      </c>
      <c r="T3064">
        <v>0</v>
      </c>
      <c r="U3064">
        <v>0</v>
      </c>
      <c r="V3064">
        <v>0</v>
      </c>
    </row>
    <row r="3065" spans="1:22" x14ac:dyDescent="0.2">
      <c r="A3065" t="s">
        <v>2957</v>
      </c>
      <c r="B3065" t="s">
        <v>2958</v>
      </c>
      <c r="C3065" t="s">
        <v>2928</v>
      </c>
      <c r="D3065" t="s">
        <v>96</v>
      </c>
      <c r="E3065">
        <v>119.99</v>
      </c>
      <c r="F3065" t="s">
        <v>8118</v>
      </c>
      <c r="L3065" t="s">
        <v>11</v>
      </c>
      <c r="M3065" t="s">
        <v>6447</v>
      </c>
      <c r="N3065">
        <v>0</v>
      </c>
      <c r="O3065">
        <v>0</v>
      </c>
      <c r="T3065">
        <v>0</v>
      </c>
      <c r="U3065">
        <v>0</v>
      </c>
      <c r="V3065">
        <v>1</v>
      </c>
    </row>
    <row r="3066" spans="1:22" x14ac:dyDescent="0.2">
      <c r="A3066" t="s">
        <v>2955</v>
      </c>
      <c r="B3066" t="s">
        <v>2956</v>
      </c>
      <c r="C3066" t="s">
        <v>2928</v>
      </c>
      <c r="D3066" t="s">
        <v>96</v>
      </c>
      <c r="E3066">
        <v>129.99</v>
      </c>
      <c r="F3066" t="s">
        <v>8118</v>
      </c>
      <c r="L3066" t="s">
        <v>11</v>
      </c>
      <c r="M3066" t="s">
        <v>6442</v>
      </c>
      <c r="N3066">
        <v>0</v>
      </c>
      <c r="O3066">
        <v>0</v>
      </c>
      <c r="T3066">
        <v>0</v>
      </c>
      <c r="U3066">
        <v>0</v>
      </c>
      <c r="V3066">
        <v>0</v>
      </c>
    </row>
    <row r="3067" spans="1:22" x14ac:dyDescent="0.2">
      <c r="A3067" t="s">
        <v>6443</v>
      </c>
      <c r="B3067" t="s">
        <v>6444</v>
      </c>
      <c r="C3067" t="s">
        <v>2928</v>
      </c>
      <c r="D3067" t="s">
        <v>96</v>
      </c>
      <c r="E3067">
        <v>149.99</v>
      </c>
      <c r="F3067" t="s">
        <v>8118</v>
      </c>
      <c r="L3067" t="s">
        <v>11</v>
      </c>
      <c r="M3067" t="s">
        <v>6445</v>
      </c>
      <c r="N3067">
        <v>0</v>
      </c>
      <c r="O3067">
        <v>0</v>
      </c>
      <c r="T3067">
        <v>0</v>
      </c>
      <c r="U3067">
        <v>0</v>
      </c>
      <c r="V3067">
        <v>0</v>
      </c>
    </row>
    <row r="3068" spans="1:22" x14ac:dyDescent="0.2">
      <c r="A3068" t="s">
        <v>2971</v>
      </c>
      <c r="B3068" t="s">
        <v>2972</v>
      </c>
      <c r="C3068" t="s">
        <v>2928</v>
      </c>
      <c r="D3068" t="s">
        <v>96</v>
      </c>
      <c r="E3068">
        <v>99.99</v>
      </c>
      <c r="F3068" t="s">
        <v>8118</v>
      </c>
      <c r="L3068" t="s">
        <v>11</v>
      </c>
      <c r="M3068" t="s">
        <v>6470</v>
      </c>
      <c r="N3068">
        <v>0</v>
      </c>
      <c r="O3068">
        <v>0</v>
      </c>
      <c r="T3068">
        <v>0</v>
      </c>
      <c r="U3068">
        <v>0</v>
      </c>
      <c r="V3068">
        <v>0</v>
      </c>
    </row>
    <row r="3069" spans="1:22" x14ac:dyDescent="0.2">
      <c r="A3069" t="s">
        <v>2953</v>
      </c>
      <c r="B3069" t="s">
        <v>2954</v>
      </c>
      <c r="C3069" t="s">
        <v>2928</v>
      </c>
      <c r="D3069" t="s">
        <v>96</v>
      </c>
      <c r="E3069">
        <v>89.99</v>
      </c>
      <c r="F3069" t="s">
        <v>8118</v>
      </c>
      <c r="L3069" t="s">
        <v>11</v>
      </c>
      <c r="M3069" t="s">
        <v>6448</v>
      </c>
      <c r="N3069">
        <v>0</v>
      </c>
      <c r="O3069">
        <v>0</v>
      </c>
      <c r="T3069">
        <v>0</v>
      </c>
      <c r="U3069">
        <v>0</v>
      </c>
      <c r="V3069">
        <v>0</v>
      </c>
    </row>
    <row r="3070" spans="1:22" x14ac:dyDescent="0.2">
      <c r="A3070" t="s">
        <v>2947</v>
      </c>
      <c r="B3070" t="s">
        <v>2948</v>
      </c>
      <c r="C3070" t="s">
        <v>2928</v>
      </c>
      <c r="D3070" t="s">
        <v>96</v>
      </c>
      <c r="E3070">
        <v>219.99</v>
      </c>
      <c r="F3070" t="s">
        <v>8118</v>
      </c>
      <c r="L3070" t="s">
        <v>11</v>
      </c>
      <c r="M3070" t="s">
        <v>6435</v>
      </c>
      <c r="N3070">
        <v>0</v>
      </c>
      <c r="O3070">
        <v>0</v>
      </c>
      <c r="T3070">
        <v>0</v>
      </c>
      <c r="U3070">
        <v>0</v>
      </c>
      <c r="V3070">
        <v>1</v>
      </c>
    </row>
    <row r="3071" spans="1:22" x14ac:dyDescent="0.2">
      <c r="A3071" t="s">
        <v>2945</v>
      </c>
      <c r="B3071" t="s">
        <v>2946</v>
      </c>
      <c r="C3071" t="s">
        <v>2928</v>
      </c>
      <c r="D3071" t="s">
        <v>96</v>
      </c>
      <c r="E3071">
        <v>159.99</v>
      </c>
      <c r="F3071" t="s">
        <v>8118</v>
      </c>
      <c r="L3071" t="s">
        <v>11</v>
      </c>
      <c r="M3071" t="s">
        <v>6434</v>
      </c>
      <c r="N3071">
        <v>0</v>
      </c>
      <c r="O3071">
        <v>0</v>
      </c>
      <c r="T3071">
        <v>0</v>
      </c>
      <c r="U3071">
        <v>0</v>
      </c>
      <c r="V3071">
        <v>0</v>
      </c>
    </row>
    <row r="3072" spans="1:22" x14ac:dyDescent="0.2">
      <c r="A3072" t="s">
        <v>2941</v>
      </c>
      <c r="B3072" t="s">
        <v>2942</v>
      </c>
      <c r="C3072" t="s">
        <v>2928</v>
      </c>
      <c r="D3072" t="s">
        <v>96</v>
      </c>
      <c r="E3072">
        <v>129.99</v>
      </c>
      <c r="F3072" t="s">
        <v>8118</v>
      </c>
      <c r="L3072" t="s">
        <v>11</v>
      </c>
      <c r="M3072" t="s">
        <v>6441</v>
      </c>
      <c r="N3072">
        <v>0</v>
      </c>
      <c r="O3072">
        <v>0</v>
      </c>
      <c r="T3072">
        <v>0</v>
      </c>
      <c r="U3072">
        <v>0</v>
      </c>
      <c r="V3072">
        <v>0</v>
      </c>
    </row>
    <row r="3073" spans="1:22" x14ac:dyDescent="0.2">
      <c r="A3073" t="s">
        <v>2951</v>
      </c>
      <c r="B3073" t="s">
        <v>2952</v>
      </c>
      <c r="C3073" t="s">
        <v>2928</v>
      </c>
      <c r="D3073" t="s">
        <v>96</v>
      </c>
      <c r="E3073">
        <v>239.99</v>
      </c>
      <c r="F3073" t="s">
        <v>8118</v>
      </c>
      <c r="L3073" t="s">
        <v>11</v>
      </c>
      <c r="M3073" t="s">
        <v>6437</v>
      </c>
      <c r="N3073">
        <v>0</v>
      </c>
      <c r="O3073">
        <v>0</v>
      </c>
      <c r="T3073">
        <v>0</v>
      </c>
      <c r="U3073">
        <v>0</v>
      </c>
      <c r="V3073">
        <v>0</v>
      </c>
    </row>
    <row r="3074" spans="1:22" x14ac:dyDescent="0.2">
      <c r="A3074" t="s">
        <v>2967</v>
      </c>
      <c r="B3074" t="s">
        <v>2968</v>
      </c>
      <c r="C3074" t="s">
        <v>2928</v>
      </c>
      <c r="D3074" t="s">
        <v>290</v>
      </c>
      <c r="E3074">
        <v>39.99</v>
      </c>
      <c r="F3074" t="s">
        <v>8118</v>
      </c>
      <c r="G3074">
        <v>84</v>
      </c>
      <c r="I3074">
        <v>84</v>
      </c>
      <c r="L3074" t="s">
        <v>14</v>
      </c>
      <c r="M3074" t="s">
        <v>97</v>
      </c>
      <c r="N3074">
        <v>0</v>
      </c>
      <c r="O3074">
        <v>0</v>
      </c>
      <c r="U3074">
        <v>0</v>
      </c>
      <c r="V3074">
        <v>0</v>
      </c>
    </row>
    <row r="3075" spans="1:22" x14ac:dyDescent="0.2">
      <c r="A3075" t="s">
        <v>2963</v>
      </c>
      <c r="B3075" t="s">
        <v>2964</v>
      </c>
      <c r="C3075" t="s">
        <v>2928</v>
      </c>
      <c r="D3075" t="s">
        <v>290</v>
      </c>
      <c r="E3075">
        <v>34.99</v>
      </c>
      <c r="F3075" t="s">
        <v>8118</v>
      </c>
      <c r="G3075">
        <v>119</v>
      </c>
      <c r="I3075">
        <v>119</v>
      </c>
      <c r="L3075" t="s">
        <v>10</v>
      </c>
      <c r="M3075">
        <v>993313</v>
      </c>
      <c r="N3075">
        <v>10</v>
      </c>
      <c r="O3075">
        <v>0.1</v>
      </c>
      <c r="P3075" t="s">
        <v>7015</v>
      </c>
      <c r="T3075">
        <v>0</v>
      </c>
      <c r="U3075">
        <v>34.99</v>
      </c>
      <c r="V3075">
        <v>5</v>
      </c>
    </row>
    <row r="3076" spans="1:22" x14ac:dyDescent="0.2">
      <c r="A3076" t="s">
        <v>2965</v>
      </c>
      <c r="B3076" t="s">
        <v>2966</v>
      </c>
      <c r="C3076" t="s">
        <v>2928</v>
      </c>
      <c r="D3076" t="s">
        <v>96</v>
      </c>
      <c r="E3076">
        <v>149.99</v>
      </c>
      <c r="F3076" t="s">
        <v>8118</v>
      </c>
      <c r="L3076" t="s">
        <v>10</v>
      </c>
      <c r="M3076">
        <v>978967</v>
      </c>
      <c r="N3076">
        <v>0</v>
      </c>
      <c r="O3076">
        <v>0</v>
      </c>
      <c r="P3076" t="s">
        <v>7015</v>
      </c>
      <c r="T3076">
        <v>0</v>
      </c>
      <c r="U3076">
        <v>0</v>
      </c>
      <c r="V3076">
        <v>0</v>
      </c>
    </row>
    <row r="3077" spans="1:22" x14ac:dyDescent="0.2">
      <c r="A3077" t="s">
        <v>2969</v>
      </c>
      <c r="B3077" t="s">
        <v>2970</v>
      </c>
      <c r="C3077" t="s">
        <v>2928</v>
      </c>
      <c r="D3077" t="s">
        <v>96</v>
      </c>
      <c r="E3077">
        <v>79.989999999999995</v>
      </c>
      <c r="F3077" t="s">
        <v>8118</v>
      </c>
      <c r="L3077" t="s">
        <v>10</v>
      </c>
      <c r="M3077">
        <v>581139</v>
      </c>
      <c r="N3077">
        <v>0</v>
      </c>
      <c r="O3077">
        <v>0</v>
      </c>
      <c r="P3077" t="s">
        <v>7015</v>
      </c>
      <c r="T3077">
        <v>0</v>
      </c>
      <c r="U3077">
        <v>0</v>
      </c>
      <c r="V3077">
        <v>0</v>
      </c>
    </row>
    <row r="3078" spans="1:22" x14ac:dyDescent="0.2">
      <c r="A3078" t="s">
        <v>2977</v>
      </c>
      <c r="B3078" t="s">
        <v>2978</v>
      </c>
      <c r="C3078" t="s">
        <v>2928</v>
      </c>
      <c r="D3078" t="s">
        <v>96</v>
      </c>
      <c r="E3078">
        <v>149.99</v>
      </c>
      <c r="F3078" t="s">
        <v>8118</v>
      </c>
      <c r="L3078" t="s">
        <v>10</v>
      </c>
      <c r="M3078">
        <v>597911</v>
      </c>
      <c r="N3078">
        <v>5</v>
      </c>
      <c r="O3078">
        <v>0.18372703412073493</v>
      </c>
      <c r="P3078" t="s">
        <v>7015</v>
      </c>
      <c r="T3078">
        <v>23</v>
      </c>
      <c r="U3078">
        <v>1799.88</v>
      </c>
      <c r="V3078">
        <v>127</v>
      </c>
    </row>
    <row r="3079" spans="1:22" x14ac:dyDescent="0.2">
      <c r="A3079" t="s">
        <v>2983</v>
      </c>
      <c r="B3079" t="s">
        <v>2984</v>
      </c>
      <c r="C3079" t="s">
        <v>2928</v>
      </c>
      <c r="D3079" t="s">
        <v>290</v>
      </c>
      <c r="E3079">
        <v>119.99</v>
      </c>
      <c r="F3079" t="s">
        <v>8118</v>
      </c>
      <c r="G3079">
        <v>5</v>
      </c>
      <c r="I3079">
        <v>5</v>
      </c>
      <c r="L3079" t="s">
        <v>10</v>
      </c>
      <c r="M3079">
        <v>993303</v>
      </c>
      <c r="N3079">
        <v>0</v>
      </c>
      <c r="O3079">
        <v>0</v>
      </c>
      <c r="P3079" t="s">
        <v>7015</v>
      </c>
      <c r="T3079">
        <v>0</v>
      </c>
      <c r="U3079">
        <v>0</v>
      </c>
      <c r="V3079">
        <v>1</v>
      </c>
    </row>
    <row r="3080" spans="1:22" x14ac:dyDescent="0.2">
      <c r="A3080" t="s">
        <v>2959</v>
      </c>
      <c r="B3080" t="s">
        <v>2960</v>
      </c>
      <c r="C3080" t="s">
        <v>2928</v>
      </c>
      <c r="D3080" t="s">
        <v>290</v>
      </c>
      <c r="E3080">
        <v>44.99</v>
      </c>
      <c r="F3080" t="s">
        <v>8118</v>
      </c>
      <c r="G3080">
        <v>10</v>
      </c>
      <c r="I3080">
        <v>10</v>
      </c>
      <c r="L3080" t="s">
        <v>10</v>
      </c>
      <c r="M3080">
        <v>993323</v>
      </c>
      <c r="N3080">
        <v>12</v>
      </c>
      <c r="O3080">
        <v>8.3333333333333329E-2</v>
      </c>
      <c r="P3080" t="s">
        <v>7015</v>
      </c>
      <c r="T3080">
        <v>0</v>
      </c>
      <c r="U3080">
        <v>0</v>
      </c>
      <c r="V3080">
        <v>4</v>
      </c>
    </row>
    <row r="3081" spans="1:22" x14ac:dyDescent="0.2">
      <c r="A3081" t="s">
        <v>6443</v>
      </c>
      <c r="B3081" t="s">
        <v>6444</v>
      </c>
      <c r="C3081" t="s">
        <v>2928</v>
      </c>
      <c r="D3081" t="s">
        <v>96</v>
      </c>
      <c r="E3081">
        <v>149.99</v>
      </c>
      <c r="F3081" t="s">
        <v>8118</v>
      </c>
      <c r="L3081" t="s">
        <v>10</v>
      </c>
      <c r="M3081">
        <v>993318</v>
      </c>
      <c r="N3081">
        <v>0</v>
      </c>
      <c r="O3081">
        <v>0</v>
      </c>
      <c r="P3081" t="s">
        <v>7015</v>
      </c>
      <c r="T3081">
        <v>0</v>
      </c>
      <c r="U3081">
        <v>0</v>
      </c>
      <c r="V3081">
        <v>0</v>
      </c>
    </row>
    <row r="3082" spans="1:22" x14ac:dyDescent="0.2">
      <c r="A3082" t="s">
        <v>2953</v>
      </c>
      <c r="B3082" t="s">
        <v>2954</v>
      </c>
      <c r="C3082" t="s">
        <v>2928</v>
      </c>
      <c r="D3082" t="s">
        <v>96</v>
      </c>
      <c r="E3082">
        <v>89.99</v>
      </c>
      <c r="F3082" t="s">
        <v>8118</v>
      </c>
      <c r="L3082" t="s">
        <v>10</v>
      </c>
      <c r="M3082">
        <v>993301</v>
      </c>
      <c r="N3082">
        <v>16</v>
      </c>
      <c r="O3082">
        <v>6.1624649859943974E-2</v>
      </c>
      <c r="P3082" t="s">
        <v>7015</v>
      </c>
      <c r="T3082">
        <v>7</v>
      </c>
      <c r="U3082">
        <v>899.9</v>
      </c>
      <c r="V3082">
        <v>119</v>
      </c>
    </row>
    <row r="3083" spans="1:22" x14ac:dyDescent="0.2">
      <c r="A3083" t="s">
        <v>2931</v>
      </c>
      <c r="B3083" t="s">
        <v>2932</v>
      </c>
      <c r="C3083" t="s">
        <v>2928</v>
      </c>
      <c r="D3083" t="s">
        <v>96</v>
      </c>
      <c r="E3083">
        <v>159.99</v>
      </c>
      <c r="F3083" t="s">
        <v>8118</v>
      </c>
      <c r="L3083" t="s">
        <v>10</v>
      </c>
      <c r="M3083">
        <v>995501</v>
      </c>
      <c r="N3083">
        <v>24</v>
      </c>
      <c r="O3083">
        <v>4.1666666666666664E-2</v>
      </c>
      <c r="P3083" t="s">
        <v>7015</v>
      </c>
      <c r="T3083">
        <v>0</v>
      </c>
      <c r="U3083">
        <v>159.99</v>
      </c>
      <c r="V3083">
        <v>2</v>
      </c>
    </row>
    <row r="3084" spans="1:22" x14ac:dyDescent="0.2">
      <c r="A3084" t="s">
        <v>2933</v>
      </c>
      <c r="B3084" t="s">
        <v>2934</v>
      </c>
      <c r="C3084" t="s">
        <v>2928</v>
      </c>
      <c r="D3084" t="s">
        <v>290</v>
      </c>
      <c r="E3084">
        <v>159.99</v>
      </c>
      <c r="F3084" t="s">
        <v>8118</v>
      </c>
      <c r="G3084">
        <v>80</v>
      </c>
      <c r="I3084">
        <v>80</v>
      </c>
      <c r="L3084" t="s">
        <v>10</v>
      </c>
      <c r="M3084">
        <v>995504</v>
      </c>
      <c r="N3084">
        <v>60</v>
      </c>
      <c r="O3084">
        <v>1.6666666666666666E-2</v>
      </c>
      <c r="P3084" t="s">
        <v>7015</v>
      </c>
      <c r="T3084">
        <v>0</v>
      </c>
      <c r="U3084">
        <v>159.99</v>
      </c>
      <c r="V3084">
        <v>5</v>
      </c>
    </row>
    <row r="3085" spans="1:22" x14ac:dyDescent="0.2">
      <c r="A3085" t="s">
        <v>2937</v>
      </c>
      <c r="B3085" t="s">
        <v>2938</v>
      </c>
      <c r="C3085" t="s">
        <v>2928</v>
      </c>
      <c r="D3085" t="s">
        <v>290</v>
      </c>
      <c r="E3085">
        <v>69.989999999999995</v>
      </c>
      <c r="F3085" t="s">
        <v>8118</v>
      </c>
      <c r="G3085">
        <v>114</v>
      </c>
      <c r="I3085">
        <v>114</v>
      </c>
      <c r="L3085" t="s">
        <v>10</v>
      </c>
      <c r="M3085">
        <v>997742</v>
      </c>
      <c r="N3085">
        <v>12</v>
      </c>
      <c r="O3085">
        <v>8.3333333333333329E-2</v>
      </c>
      <c r="P3085" t="s">
        <v>7015</v>
      </c>
      <c r="T3085">
        <v>0</v>
      </c>
      <c r="U3085">
        <v>0</v>
      </c>
      <c r="V3085">
        <v>1</v>
      </c>
    </row>
    <row r="3086" spans="1:22" x14ac:dyDescent="0.2">
      <c r="A3086" t="s">
        <v>2951</v>
      </c>
      <c r="B3086" t="s">
        <v>2952</v>
      </c>
      <c r="C3086" t="s">
        <v>2928</v>
      </c>
      <c r="D3086" t="s">
        <v>96</v>
      </c>
      <c r="E3086">
        <v>239.99</v>
      </c>
      <c r="F3086" t="s">
        <v>8118</v>
      </c>
      <c r="L3086" t="s">
        <v>10</v>
      </c>
      <c r="M3086">
        <v>993306</v>
      </c>
      <c r="N3086">
        <v>0</v>
      </c>
      <c r="O3086">
        <v>0</v>
      </c>
      <c r="P3086" t="s">
        <v>7015</v>
      </c>
      <c r="T3086">
        <v>0</v>
      </c>
      <c r="U3086">
        <v>0</v>
      </c>
      <c r="V3086">
        <v>2</v>
      </c>
    </row>
    <row r="3087" spans="1:22" x14ac:dyDescent="0.2">
      <c r="A3087" t="s">
        <v>2943</v>
      </c>
      <c r="B3087" t="s">
        <v>2944</v>
      </c>
      <c r="C3087" t="s">
        <v>2928</v>
      </c>
      <c r="D3087" t="s">
        <v>290</v>
      </c>
      <c r="E3087">
        <v>189.99</v>
      </c>
      <c r="F3087" t="s">
        <v>8118</v>
      </c>
      <c r="G3087">
        <v>98</v>
      </c>
      <c r="I3087">
        <v>98</v>
      </c>
      <c r="L3087" t="s">
        <v>10</v>
      </c>
      <c r="M3087">
        <v>597952</v>
      </c>
      <c r="N3087">
        <v>50</v>
      </c>
      <c r="O3087">
        <v>1.9841269841269844E-2</v>
      </c>
      <c r="P3087" t="s">
        <v>7015</v>
      </c>
      <c r="T3087">
        <v>0</v>
      </c>
      <c r="U3087">
        <v>0</v>
      </c>
      <c r="V3087">
        <v>21</v>
      </c>
    </row>
    <row r="3088" spans="1:22" x14ac:dyDescent="0.2">
      <c r="A3088" t="s">
        <v>2949</v>
      </c>
      <c r="B3088" t="s">
        <v>2950</v>
      </c>
      <c r="C3088" t="s">
        <v>2928</v>
      </c>
      <c r="D3088" t="s">
        <v>290</v>
      </c>
      <c r="E3088">
        <v>179.99</v>
      </c>
      <c r="F3088" t="s">
        <v>8118</v>
      </c>
      <c r="G3088">
        <v>87</v>
      </c>
      <c r="I3088">
        <v>87</v>
      </c>
      <c r="L3088" t="s">
        <v>10</v>
      </c>
      <c r="M3088">
        <v>993302</v>
      </c>
      <c r="N3088">
        <v>144</v>
      </c>
      <c r="O3088">
        <v>6.9444444444444441E-3</v>
      </c>
      <c r="P3088" t="s">
        <v>7015</v>
      </c>
      <c r="T3088">
        <v>0</v>
      </c>
      <c r="U3088">
        <v>0</v>
      </c>
      <c r="V3088">
        <v>12</v>
      </c>
    </row>
    <row r="3089" spans="1:22" x14ac:dyDescent="0.2">
      <c r="A3089" t="s">
        <v>2985</v>
      </c>
      <c r="B3089" t="s">
        <v>2986</v>
      </c>
      <c r="C3089" t="s">
        <v>2928</v>
      </c>
      <c r="D3089" t="s">
        <v>96</v>
      </c>
      <c r="E3089">
        <v>129.99</v>
      </c>
      <c r="F3089" t="s">
        <v>8118</v>
      </c>
      <c r="L3089" t="s">
        <v>10</v>
      </c>
      <c r="M3089">
        <v>659750</v>
      </c>
      <c r="N3089">
        <v>5</v>
      </c>
      <c r="O3089">
        <v>0.20416666666666664</v>
      </c>
      <c r="P3089" t="s">
        <v>7015</v>
      </c>
      <c r="T3089">
        <v>4</v>
      </c>
      <c r="U3089">
        <v>259.98</v>
      </c>
      <c r="V3089">
        <v>20</v>
      </c>
    </row>
    <row r="3090" spans="1:22" x14ac:dyDescent="0.2">
      <c r="A3090" t="s">
        <v>2981</v>
      </c>
      <c r="B3090" t="s">
        <v>2982</v>
      </c>
      <c r="C3090" t="s">
        <v>2928</v>
      </c>
      <c r="D3090" t="s">
        <v>96</v>
      </c>
      <c r="E3090">
        <v>39.99</v>
      </c>
      <c r="F3090" t="s">
        <v>8118</v>
      </c>
      <c r="L3090" t="s">
        <v>7032</v>
      </c>
      <c r="M3090" t="s">
        <v>97</v>
      </c>
      <c r="N3090">
        <v>0</v>
      </c>
      <c r="O3090">
        <v>0</v>
      </c>
      <c r="T3090">
        <v>0</v>
      </c>
      <c r="U3090">
        <v>0</v>
      </c>
      <c r="V3090">
        <v>0</v>
      </c>
    </row>
    <row r="3091" spans="1:22" x14ac:dyDescent="0.2">
      <c r="A3091" t="s">
        <v>2933</v>
      </c>
      <c r="B3091" t="s">
        <v>2934</v>
      </c>
      <c r="C3091" t="s">
        <v>2928</v>
      </c>
      <c r="D3091" t="s">
        <v>290</v>
      </c>
      <c r="E3091">
        <v>159.99</v>
      </c>
      <c r="F3091" t="s">
        <v>8118</v>
      </c>
      <c r="G3091">
        <v>80</v>
      </c>
      <c r="I3091">
        <v>80</v>
      </c>
      <c r="L3091" t="s">
        <v>7032</v>
      </c>
      <c r="M3091" t="s">
        <v>97</v>
      </c>
      <c r="N3091">
        <v>0</v>
      </c>
      <c r="O3091">
        <v>0</v>
      </c>
      <c r="T3091">
        <v>0</v>
      </c>
      <c r="U3091">
        <v>0</v>
      </c>
      <c r="V3091">
        <v>3</v>
      </c>
    </row>
    <row r="3092" spans="1:22" x14ac:dyDescent="0.2">
      <c r="A3092" t="s">
        <v>2931</v>
      </c>
      <c r="B3092" t="s">
        <v>2932</v>
      </c>
      <c r="C3092" t="s">
        <v>2928</v>
      </c>
      <c r="D3092" t="s">
        <v>96</v>
      </c>
      <c r="E3092">
        <v>159.99</v>
      </c>
      <c r="F3092" t="s">
        <v>8118</v>
      </c>
      <c r="L3092" t="s">
        <v>7032</v>
      </c>
      <c r="M3092" t="s">
        <v>97</v>
      </c>
      <c r="N3092">
        <v>0</v>
      </c>
      <c r="O3092">
        <v>0</v>
      </c>
      <c r="T3092">
        <v>0</v>
      </c>
      <c r="U3092">
        <v>0</v>
      </c>
      <c r="V3092">
        <v>4</v>
      </c>
    </row>
    <row r="3093" spans="1:22" x14ac:dyDescent="0.2">
      <c r="A3093" t="s">
        <v>2969</v>
      </c>
      <c r="B3093" t="s">
        <v>2970</v>
      </c>
      <c r="C3093" t="s">
        <v>2928</v>
      </c>
      <c r="D3093" t="s">
        <v>96</v>
      </c>
      <c r="E3093">
        <v>79.989999999999995</v>
      </c>
      <c r="F3093" t="s">
        <v>8118</v>
      </c>
      <c r="L3093" t="s">
        <v>7032</v>
      </c>
      <c r="M3093" t="s">
        <v>97</v>
      </c>
      <c r="N3093">
        <v>0</v>
      </c>
      <c r="O3093">
        <v>0</v>
      </c>
      <c r="T3093">
        <v>0</v>
      </c>
      <c r="U3093">
        <v>0</v>
      </c>
      <c r="V3093">
        <v>0</v>
      </c>
    </row>
    <row r="3094" spans="1:22" x14ac:dyDescent="0.2">
      <c r="A3094" t="s">
        <v>2977</v>
      </c>
      <c r="B3094" t="s">
        <v>2978</v>
      </c>
      <c r="C3094" t="s">
        <v>2928</v>
      </c>
      <c r="D3094" t="s">
        <v>96</v>
      </c>
      <c r="E3094">
        <v>149.99</v>
      </c>
      <c r="F3094" t="s">
        <v>8118</v>
      </c>
      <c r="L3094" t="s">
        <v>7032</v>
      </c>
      <c r="M3094" t="s">
        <v>97</v>
      </c>
      <c r="N3094">
        <v>0</v>
      </c>
      <c r="O3094">
        <v>0</v>
      </c>
      <c r="T3094">
        <v>0</v>
      </c>
      <c r="U3094">
        <v>0</v>
      </c>
      <c r="V3094">
        <v>0</v>
      </c>
    </row>
    <row r="3095" spans="1:22" x14ac:dyDescent="0.2">
      <c r="A3095" t="s">
        <v>2943</v>
      </c>
      <c r="B3095" t="s">
        <v>2944</v>
      </c>
      <c r="C3095" t="s">
        <v>2928</v>
      </c>
      <c r="D3095" t="s">
        <v>290</v>
      </c>
      <c r="E3095">
        <v>189.99</v>
      </c>
      <c r="F3095" t="s">
        <v>8118</v>
      </c>
      <c r="G3095">
        <v>98</v>
      </c>
      <c r="I3095">
        <v>98</v>
      </c>
      <c r="L3095" t="s">
        <v>7032</v>
      </c>
      <c r="M3095" t="s">
        <v>97</v>
      </c>
      <c r="N3095">
        <v>0</v>
      </c>
      <c r="O3095">
        <v>0</v>
      </c>
      <c r="T3095">
        <v>0</v>
      </c>
      <c r="U3095">
        <v>0</v>
      </c>
      <c r="V3095">
        <v>1</v>
      </c>
    </row>
    <row r="3096" spans="1:22" x14ac:dyDescent="0.2">
      <c r="A3096" t="s">
        <v>2953</v>
      </c>
      <c r="B3096" t="s">
        <v>2954</v>
      </c>
      <c r="C3096" t="s">
        <v>2928</v>
      </c>
      <c r="D3096" t="s">
        <v>96</v>
      </c>
      <c r="E3096">
        <v>89.99</v>
      </c>
      <c r="F3096" t="s">
        <v>8118</v>
      </c>
      <c r="L3096" t="s">
        <v>7032</v>
      </c>
      <c r="M3096" t="s">
        <v>97</v>
      </c>
      <c r="N3096">
        <v>0</v>
      </c>
      <c r="O3096">
        <v>0</v>
      </c>
      <c r="T3096">
        <v>0</v>
      </c>
      <c r="U3096">
        <v>0</v>
      </c>
      <c r="V3096">
        <v>0</v>
      </c>
    </row>
    <row r="3097" spans="1:22" x14ac:dyDescent="0.2">
      <c r="A3097" t="s">
        <v>6443</v>
      </c>
      <c r="B3097" t="s">
        <v>6444</v>
      </c>
      <c r="C3097" t="s">
        <v>2928</v>
      </c>
      <c r="D3097" t="s">
        <v>96</v>
      </c>
      <c r="E3097">
        <v>149.99</v>
      </c>
      <c r="F3097" t="s">
        <v>8118</v>
      </c>
      <c r="L3097" t="s">
        <v>7032</v>
      </c>
      <c r="M3097" t="s">
        <v>97</v>
      </c>
      <c r="N3097">
        <v>0</v>
      </c>
      <c r="O3097">
        <v>0</v>
      </c>
      <c r="T3097">
        <v>0</v>
      </c>
      <c r="U3097">
        <v>0</v>
      </c>
      <c r="V3097">
        <v>0</v>
      </c>
    </row>
    <row r="3098" spans="1:22" x14ac:dyDescent="0.2">
      <c r="A3098" t="s">
        <v>2959</v>
      </c>
      <c r="B3098" t="s">
        <v>2960</v>
      </c>
      <c r="C3098" t="s">
        <v>2928</v>
      </c>
      <c r="D3098" t="s">
        <v>290</v>
      </c>
      <c r="E3098">
        <v>44.99</v>
      </c>
      <c r="F3098" t="s">
        <v>8118</v>
      </c>
      <c r="G3098">
        <v>10</v>
      </c>
      <c r="I3098">
        <v>10</v>
      </c>
      <c r="L3098" t="s">
        <v>7032</v>
      </c>
      <c r="M3098" t="s">
        <v>97</v>
      </c>
      <c r="N3098">
        <v>0</v>
      </c>
      <c r="O3098">
        <v>0</v>
      </c>
      <c r="T3098">
        <v>0</v>
      </c>
      <c r="U3098">
        <v>0</v>
      </c>
      <c r="V3098">
        <v>0</v>
      </c>
    </row>
    <row r="3099" spans="1:22" x14ac:dyDescent="0.2">
      <c r="A3099" t="s">
        <v>2963</v>
      </c>
      <c r="B3099" t="s">
        <v>2964</v>
      </c>
      <c r="C3099" t="s">
        <v>2928</v>
      </c>
      <c r="D3099" t="s">
        <v>290</v>
      </c>
      <c r="E3099">
        <v>34.99</v>
      </c>
      <c r="F3099" t="s">
        <v>8118</v>
      </c>
      <c r="G3099">
        <v>119</v>
      </c>
      <c r="I3099">
        <v>119</v>
      </c>
      <c r="L3099" t="s">
        <v>7032</v>
      </c>
      <c r="M3099" t="s">
        <v>97</v>
      </c>
      <c r="N3099">
        <v>0</v>
      </c>
      <c r="O3099">
        <v>0</v>
      </c>
      <c r="T3099">
        <v>0</v>
      </c>
      <c r="U3099">
        <v>0</v>
      </c>
      <c r="V3099">
        <v>0</v>
      </c>
    </row>
    <row r="3100" spans="1:22" x14ac:dyDescent="0.2">
      <c r="A3100" t="s">
        <v>2965</v>
      </c>
      <c r="B3100" t="s">
        <v>2966</v>
      </c>
      <c r="C3100" t="s">
        <v>2928</v>
      </c>
      <c r="D3100" t="s">
        <v>96</v>
      </c>
      <c r="E3100">
        <v>149.99</v>
      </c>
      <c r="F3100" t="s">
        <v>8118</v>
      </c>
      <c r="L3100" t="s">
        <v>7032</v>
      </c>
      <c r="M3100" t="s">
        <v>97</v>
      </c>
      <c r="N3100">
        <v>0</v>
      </c>
      <c r="O3100">
        <v>0</v>
      </c>
      <c r="T3100">
        <v>0</v>
      </c>
      <c r="U3100">
        <v>0</v>
      </c>
      <c r="V3100">
        <v>2</v>
      </c>
    </row>
    <row r="3101" spans="1:22" x14ac:dyDescent="0.2">
      <c r="A3101" t="s">
        <v>2937</v>
      </c>
      <c r="B3101" t="s">
        <v>2938</v>
      </c>
      <c r="C3101" t="s">
        <v>2928</v>
      </c>
      <c r="D3101" t="s">
        <v>290</v>
      </c>
      <c r="E3101">
        <v>69.989999999999995</v>
      </c>
      <c r="F3101" t="s">
        <v>8118</v>
      </c>
      <c r="G3101">
        <v>114</v>
      </c>
      <c r="I3101">
        <v>114</v>
      </c>
      <c r="L3101" t="s">
        <v>7032</v>
      </c>
      <c r="M3101" t="s">
        <v>97</v>
      </c>
      <c r="N3101">
        <v>0</v>
      </c>
      <c r="O3101">
        <v>0</v>
      </c>
      <c r="T3101">
        <v>0</v>
      </c>
      <c r="U3101">
        <v>0</v>
      </c>
      <c r="V3101">
        <v>3</v>
      </c>
    </row>
    <row r="3102" spans="1:22" x14ac:dyDescent="0.2">
      <c r="A3102" t="s">
        <v>2983</v>
      </c>
      <c r="B3102" t="s">
        <v>2984</v>
      </c>
      <c r="C3102" t="s">
        <v>2928</v>
      </c>
      <c r="D3102" t="s">
        <v>290</v>
      </c>
      <c r="E3102">
        <v>119.99</v>
      </c>
      <c r="F3102" t="s">
        <v>8118</v>
      </c>
      <c r="G3102">
        <v>5</v>
      </c>
      <c r="I3102">
        <v>5</v>
      </c>
      <c r="L3102" t="s">
        <v>7032</v>
      </c>
      <c r="M3102" t="s">
        <v>97</v>
      </c>
      <c r="N3102">
        <v>0</v>
      </c>
      <c r="O3102">
        <v>0</v>
      </c>
      <c r="T3102">
        <v>0</v>
      </c>
      <c r="U3102">
        <v>0</v>
      </c>
      <c r="V3102">
        <v>4</v>
      </c>
    </row>
    <row r="3103" spans="1:22" x14ac:dyDescent="0.2">
      <c r="A3103" t="s">
        <v>2929</v>
      </c>
      <c r="B3103" t="s">
        <v>2930</v>
      </c>
      <c r="C3103" t="s">
        <v>2928</v>
      </c>
      <c r="D3103" t="s">
        <v>96</v>
      </c>
      <c r="E3103">
        <v>179.99</v>
      </c>
      <c r="F3103" t="s">
        <v>8118</v>
      </c>
      <c r="L3103" t="s">
        <v>7032</v>
      </c>
      <c r="M3103" t="s">
        <v>97</v>
      </c>
      <c r="N3103">
        <v>0</v>
      </c>
      <c r="O3103">
        <v>0</v>
      </c>
      <c r="T3103">
        <v>0</v>
      </c>
      <c r="U3103">
        <v>0</v>
      </c>
      <c r="V3103">
        <v>0</v>
      </c>
    </row>
    <row r="3104" spans="1:22" x14ac:dyDescent="0.2">
      <c r="A3104" t="s">
        <v>2979</v>
      </c>
      <c r="B3104" t="s">
        <v>2980</v>
      </c>
      <c r="C3104" t="s">
        <v>2928</v>
      </c>
      <c r="D3104" t="s">
        <v>96</v>
      </c>
      <c r="E3104">
        <v>69.989999999999995</v>
      </c>
      <c r="F3104" t="s">
        <v>8118</v>
      </c>
      <c r="L3104" t="s">
        <v>7032</v>
      </c>
      <c r="M3104" t="s">
        <v>97</v>
      </c>
      <c r="N3104">
        <v>0</v>
      </c>
      <c r="O3104">
        <v>0</v>
      </c>
      <c r="T3104">
        <v>0</v>
      </c>
      <c r="U3104">
        <v>0</v>
      </c>
      <c r="V3104">
        <v>0</v>
      </c>
    </row>
    <row r="3105" spans="1:22" x14ac:dyDescent="0.2">
      <c r="A3105" t="s">
        <v>2935</v>
      </c>
      <c r="B3105" t="s">
        <v>2936</v>
      </c>
      <c r="C3105" t="s">
        <v>2928</v>
      </c>
      <c r="D3105" t="s">
        <v>290</v>
      </c>
      <c r="E3105">
        <v>89.99</v>
      </c>
      <c r="F3105" t="s">
        <v>8118</v>
      </c>
      <c r="G3105">
        <v>14</v>
      </c>
      <c r="I3105">
        <v>14</v>
      </c>
      <c r="L3105" t="s">
        <v>7032</v>
      </c>
      <c r="M3105" t="s">
        <v>97</v>
      </c>
      <c r="N3105">
        <v>0</v>
      </c>
      <c r="O3105">
        <v>0</v>
      </c>
      <c r="T3105">
        <v>0</v>
      </c>
      <c r="U3105">
        <v>0</v>
      </c>
      <c r="V3105">
        <v>1</v>
      </c>
    </row>
    <row r="3106" spans="1:22" x14ac:dyDescent="0.2">
      <c r="A3106" t="s">
        <v>2945</v>
      </c>
      <c r="B3106" t="s">
        <v>2946</v>
      </c>
      <c r="C3106" t="s">
        <v>2928</v>
      </c>
      <c r="D3106" t="s">
        <v>96</v>
      </c>
      <c r="E3106">
        <v>159.99</v>
      </c>
      <c r="F3106" t="s">
        <v>8118</v>
      </c>
      <c r="L3106" t="s">
        <v>7032</v>
      </c>
      <c r="M3106" t="s">
        <v>97</v>
      </c>
      <c r="N3106">
        <v>0</v>
      </c>
      <c r="O3106">
        <v>0</v>
      </c>
      <c r="T3106">
        <v>0</v>
      </c>
      <c r="U3106">
        <v>0</v>
      </c>
      <c r="V3106">
        <v>2</v>
      </c>
    </row>
    <row r="3107" spans="1:22" x14ac:dyDescent="0.2">
      <c r="A3107" t="s">
        <v>2967</v>
      </c>
      <c r="B3107" t="s">
        <v>2968</v>
      </c>
      <c r="C3107" t="s">
        <v>2928</v>
      </c>
      <c r="D3107" t="s">
        <v>290</v>
      </c>
      <c r="E3107">
        <v>39.99</v>
      </c>
      <c r="F3107" t="s">
        <v>8118</v>
      </c>
      <c r="G3107">
        <v>84</v>
      </c>
      <c r="I3107">
        <v>84</v>
      </c>
      <c r="L3107" t="s">
        <v>7032</v>
      </c>
      <c r="M3107" t="s">
        <v>97</v>
      </c>
      <c r="N3107">
        <v>0</v>
      </c>
      <c r="O3107">
        <v>0</v>
      </c>
      <c r="T3107">
        <v>0.2</v>
      </c>
      <c r="U3107">
        <v>0</v>
      </c>
      <c r="V3107">
        <v>0</v>
      </c>
    </row>
    <row r="3108" spans="1:22" x14ac:dyDescent="0.2">
      <c r="A3108" t="s">
        <v>2975</v>
      </c>
      <c r="B3108" t="s">
        <v>2976</v>
      </c>
      <c r="C3108" t="s">
        <v>2928</v>
      </c>
      <c r="D3108" t="s">
        <v>290</v>
      </c>
      <c r="E3108">
        <v>119.99</v>
      </c>
      <c r="F3108" t="s">
        <v>8118</v>
      </c>
      <c r="G3108">
        <v>27</v>
      </c>
      <c r="I3108">
        <v>27</v>
      </c>
      <c r="L3108" t="s">
        <v>7032</v>
      </c>
      <c r="M3108" t="s">
        <v>97</v>
      </c>
      <c r="N3108">
        <v>0</v>
      </c>
      <c r="O3108">
        <v>0</v>
      </c>
      <c r="T3108">
        <v>0</v>
      </c>
      <c r="U3108">
        <v>0</v>
      </c>
      <c r="V3108">
        <v>1</v>
      </c>
    </row>
    <row r="3109" spans="1:22" x14ac:dyDescent="0.2">
      <c r="A3109" t="s">
        <v>2971</v>
      </c>
      <c r="B3109" t="s">
        <v>2972</v>
      </c>
      <c r="C3109" t="s">
        <v>2928</v>
      </c>
      <c r="D3109" t="s">
        <v>96</v>
      </c>
      <c r="E3109">
        <v>99.99</v>
      </c>
      <c r="F3109" t="s">
        <v>8118</v>
      </c>
      <c r="L3109" t="s">
        <v>7032</v>
      </c>
      <c r="M3109" t="s">
        <v>97</v>
      </c>
      <c r="N3109">
        <v>0</v>
      </c>
      <c r="O3109">
        <v>0</v>
      </c>
      <c r="T3109">
        <v>0</v>
      </c>
      <c r="U3109">
        <v>0</v>
      </c>
      <c r="V3109">
        <v>1</v>
      </c>
    </row>
    <row r="3110" spans="1:22" x14ac:dyDescent="0.2">
      <c r="A3110" t="s">
        <v>2957</v>
      </c>
      <c r="B3110" t="s">
        <v>2958</v>
      </c>
      <c r="C3110" t="s">
        <v>2928</v>
      </c>
      <c r="D3110" t="s">
        <v>96</v>
      </c>
      <c r="E3110">
        <v>119.99</v>
      </c>
      <c r="F3110" t="s">
        <v>8118</v>
      </c>
      <c r="L3110" t="s">
        <v>7032</v>
      </c>
      <c r="M3110" t="s">
        <v>97</v>
      </c>
      <c r="N3110">
        <v>0</v>
      </c>
      <c r="O3110">
        <v>0</v>
      </c>
      <c r="T3110">
        <v>0</v>
      </c>
      <c r="U3110">
        <v>0</v>
      </c>
      <c r="V3110">
        <v>3</v>
      </c>
    </row>
    <row r="3111" spans="1:22" x14ac:dyDescent="0.2">
      <c r="A3111" t="s">
        <v>2955</v>
      </c>
      <c r="B3111" t="s">
        <v>2956</v>
      </c>
      <c r="C3111" t="s">
        <v>2928</v>
      </c>
      <c r="D3111" t="s">
        <v>96</v>
      </c>
      <c r="E3111">
        <v>129.99</v>
      </c>
      <c r="F3111" t="s">
        <v>8118</v>
      </c>
      <c r="L3111" t="s">
        <v>7032</v>
      </c>
      <c r="M3111" t="s">
        <v>97</v>
      </c>
      <c r="N3111">
        <v>0</v>
      </c>
      <c r="O3111">
        <v>0</v>
      </c>
      <c r="T3111">
        <v>0</v>
      </c>
      <c r="U3111">
        <v>0</v>
      </c>
      <c r="V3111">
        <v>3</v>
      </c>
    </row>
    <row r="3112" spans="1:22" x14ac:dyDescent="0.2">
      <c r="A3112" t="s">
        <v>2947</v>
      </c>
      <c r="B3112" t="s">
        <v>2948</v>
      </c>
      <c r="C3112" t="s">
        <v>2928</v>
      </c>
      <c r="D3112" t="s">
        <v>96</v>
      </c>
      <c r="E3112">
        <v>219.99</v>
      </c>
      <c r="F3112" t="s">
        <v>8118</v>
      </c>
      <c r="L3112" t="s">
        <v>7032</v>
      </c>
      <c r="M3112" t="s">
        <v>97</v>
      </c>
      <c r="N3112">
        <v>0</v>
      </c>
      <c r="O3112">
        <v>0</v>
      </c>
      <c r="T3112">
        <v>0</v>
      </c>
      <c r="U3112">
        <v>0</v>
      </c>
      <c r="V3112">
        <v>0</v>
      </c>
    </row>
    <row r="3113" spans="1:22" x14ac:dyDescent="0.2">
      <c r="A3113" t="s">
        <v>2931</v>
      </c>
      <c r="B3113" t="s">
        <v>2932</v>
      </c>
      <c r="C3113" t="s">
        <v>2928</v>
      </c>
      <c r="D3113" t="s">
        <v>96</v>
      </c>
      <c r="E3113">
        <v>159.99</v>
      </c>
      <c r="F3113" t="s">
        <v>8118</v>
      </c>
      <c r="L3113" t="s">
        <v>8</v>
      </c>
      <c r="M3113" t="s">
        <v>8037</v>
      </c>
      <c r="N3113">
        <v>0</v>
      </c>
      <c r="O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 spans="1:22" x14ac:dyDescent="0.2">
      <c r="A3114" t="s">
        <v>2983</v>
      </c>
      <c r="B3114" t="s">
        <v>2984</v>
      </c>
      <c r="C3114" t="s">
        <v>2928</v>
      </c>
      <c r="D3114" t="s">
        <v>290</v>
      </c>
      <c r="E3114">
        <v>119.99</v>
      </c>
      <c r="F3114" t="s">
        <v>8118</v>
      </c>
      <c r="G3114">
        <v>5</v>
      </c>
      <c r="I3114">
        <v>5</v>
      </c>
      <c r="L3114" t="s">
        <v>8</v>
      </c>
      <c r="M3114" t="s">
        <v>8042</v>
      </c>
      <c r="N3114">
        <v>0</v>
      </c>
      <c r="O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 spans="1:22" x14ac:dyDescent="0.2">
      <c r="A3115" t="s">
        <v>2933</v>
      </c>
      <c r="B3115" t="s">
        <v>2934</v>
      </c>
      <c r="C3115" t="s">
        <v>2928</v>
      </c>
      <c r="D3115" t="s">
        <v>290</v>
      </c>
      <c r="E3115">
        <v>159.99</v>
      </c>
      <c r="F3115" t="s">
        <v>8118</v>
      </c>
      <c r="G3115">
        <v>80</v>
      </c>
      <c r="I3115">
        <v>80</v>
      </c>
      <c r="L3115" t="s">
        <v>8</v>
      </c>
      <c r="M3115" t="s">
        <v>8049</v>
      </c>
      <c r="N3115">
        <v>0</v>
      </c>
      <c r="O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 spans="1:22" x14ac:dyDescent="0.2">
      <c r="A3116" t="s">
        <v>2937</v>
      </c>
      <c r="B3116" t="s">
        <v>2938</v>
      </c>
      <c r="C3116" t="s">
        <v>2928</v>
      </c>
      <c r="D3116" t="s">
        <v>290</v>
      </c>
      <c r="E3116">
        <v>69.989999999999995</v>
      </c>
      <c r="F3116" t="s">
        <v>8118</v>
      </c>
      <c r="G3116">
        <v>114</v>
      </c>
      <c r="I3116">
        <v>114</v>
      </c>
      <c r="L3116" t="s">
        <v>8</v>
      </c>
      <c r="M3116" t="s">
        <v>8048</v>
      </c>
      <c r="N3116">
        <v>0</v>
      </c>
      <c r="O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 spans="1:22" x14ac:dyDescent="0.2">
      <c r="A3117" t="s">
        <v>2939</v>
      </c>
      <c r="B3117" t="s">
        <v>2940</v>
      </c>
      <c r="C3117" t="s">
        <v>2928</v>
      </c>
      <c r="D3117" t="s">
        <v>96</v>
      </c>
      <c r="E3117">
        <v>129.99</v>
      </c>
      <c r="F3117" t="s">
        <v>8118</v>
      </c>
      <c r="L3117" t="s">
        <v>8</v>
      </c>
      <c r="M3117" t="s">
        <v>8046</v>
      </c>
      <c r="N3117">
        <v>0</v>
      </c>
      <c r="O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 spans="1:22" x14ac:dyDescent="0.2">
      <c r="A3118" t="s">
        <v>2945</v>
      </c>
      <c r="B3118" t="s">
        <v>2946</v>
      </c>
      <c r="C3118" t="s">
        <v>2928</v>
      </c>
      <c r="D3118" t="s">
        <v>96</v>
      </c>
      <c r="E3118">
        <v>159.99</v>
      </c>
      <c r="F3118" t="s">
        <v>8118</v>
      </c>
      <c r="L3118" t="s">
        <v>8</v>
      </c>
      <c r="M3118" t="s">
        <v>8047</v>
      </c>
      <c r="N3118">
        <v>0</v>
      </c>
      <c r="O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 spans="1:22" x14ac:dyDescent="0.2">
      <c r="A3119" t="s">
        <v>2947</v>
      </c>
      <c r="B3119" t="s">
        <v>2948</v>
      </c>
      <c r="C3119" t="s">
        <v>2928</v>
      </c>
      <c r="D3119" t="s">
        <v>96</v>
      </c>
      <c r="E3119">
        <v>219.99</v>
      </c>
      <c r="F3119" t="s">
        <v>8118</v>
      </c>
      <c r="L3119" t="s">
        <v>8</v>
      </c>
      <c r="M3119" t="s">
        <v>8050</v>
      </c>
      <c r="N3119">
        <v>0</v>
      </c>
      <c r="O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 spans="1:22" x14ac:dyDescent="0.2">
      <c r="A3120" t="s">
        <v>2951</v>
      </c>
      <c r="B3120" t="s">
        <v>2952</v>
      </c>
      <c r="C3120" t="s">
        <v>2928</v>
      </c>
      <c r="D3120" t="s">
        <v>96</v>
      </c>
      <c r="E3120">
        <v>239.99</v>
      </c>
      <c r="F3120" t="s">
        <v>8118</v>
      </c>
      <c r="L3120" t="s">
        <v>8</v>
      </c>
      <c r="M3120" t="s">
        <v>8069</v>
      </c>
      <c r="N3120">
        <v>0</v>
      </c>
      <c r="O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</row>
    <row r="3121" spans="1:22" x14ac:dyDescent="0.2">
      <c r="A3121" t="s">
        <v>2953</v>
      </c>
      <c r="B3121" t="s">
        <v>2954</v>
      </c>
      <c r="C3121" t="s">
        <v>2928</v>
      </c>
      <c r="D3121" t="s">
        <v>96</v>
      </c>
      <c r="E3121">
        <v>89.99</v>
      </c>
      <c r="F3121" t="s">
        <v>8118</v>
      </c>
      <c r="L3121" t="s">
        <v>8</v>
      </c>
      <c r="M3121" t="s">
        <v>8073</v>
      </c>
      <c r="N3121">
        <v>0</v>
      </c>
      <c r="O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 spans="1:22" x14ac:dyDescent="0.2">
      <c r="A3122" t="s">
        <v>6443</v>
      </c>
      <c r="B3122" t="s">
        <v>6444</v>
      </c>
      <c r="C3122" t="s">
        <v>2928</v>
      </c>
      <c r="D3122" t="s">
        <v>96</v>
      </c>
      <c r="E3122">
        <v>149.99</v>
      </c>
      <c r="F3122" t="s">
        <v>8118</v>
      </c>
      <c r="L3122" t="s">
        <v>8</v>
      </c>
      <c r="M3122" t="s">
        <v>8074</v>
      </c>
      <c r="N3122">
        <v>0</v>
      </c>
      <c r="O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 spans="1:22" x14ac:dyDescent="0.2">
      <c r="A3123" t="s">
        <v>2957</v>
      </c>
      <c r="B3123" t="s">
        <v>2958</v>
      </c>
      <c r="C3123" t="s">
        <v>2928</v>
      </c>
      <c r="D3123" t="s">
        <v>96</v>
      </c>
      <c r="E3123">
        <v>119.99</v>
      </c>
      <c r="F3123" t="s">
        <v>8118</v>
      </c>
      <c r="L3123" t="s">
        <v>8</v>
      </c>
      <c r="M3123" t="s">
        <v>8061</v>
      </c>
      <c r="N3123">
        <v>0</v>
      </c>
      <c r="O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 spans="1:22" x14ac:dyDescent="0.2">
      <c r="A3124" t="s">
        <v>2959</v>
      </c>
      <c r="B3124" t="s">
        <v>2960</v>
      </c>
      <c r="C3124" t="s">
        <v>2928</v>
      </c>
      <c r="D3124" t="s">
        <v>290</v>
      </c>
      <c r="E3124">
        <v>44.99</v>
      </c>
      <c r="F3124" t="s">
        <v>8118</v>
      </c>
      <c r="G3124">
        <v>10</v>
      </c>
      <c r="I3124">
        <v>10</v>
      </c>
      <c r="L3124" t="s">
        <v>8</v>
      </c>
      <c r="M3124" t="s">
        <v>8076</v>
      </c>
      <c r="N3124">
        <v>0</v>
      </c>
      <c r="O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 spans="1:22" x14ac:dyDescent="0.2">
      <c r="A3125" t="s">
        <v>2963</v>
      </c>
      <c r="B3125" t="s">
        <v>2964</v>
      </c>
      <c r="C3125" t="s">
        <v>2928</v>
      </c>
      <c r="D3125" t="s">
        <v>290</v>
      </c>
      <c r="E3125">
        <v>34.99</v>
      </c>
      <c r="F3125" t="s">
        <v>8118</v>
      </c>
      <c r="G3125">
        <v>119</v>
      </c>
      <c r="I3125">
        <v>119</v>
      </c>
      <c r="L3125" t="s">
        <v>8</v>
      </c>
      <c r="M3125" t="s">
        <v>8059</v>
      </c>
      <c r="N3125">
        <v>0</v>
      </c>
      <c r="O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 spans="1:22" x14ac:dyDescent="0.2">
      <c r="A3126" t="s">
        <v>2965</v>
      </c>
      <c r="B3126" t="s">
        <v>2966</v>
      </c>
      <c r="C3126" t="s">
        <v>2928</v>
      </c>
      <c r="D3126" t="s">
        <v>96</v>
      </c>
      <c r="E3126">
        <v>149.99</v>
      </c>
      <c r="F3126" t="s">
        <v>8118</v>
      </c>
      <c r="L3126" t="s">
        <v>8</v>
      </c>
      <c r="M3126" t="s">
        <v>8067</v>
      </c>
      <c r="N3126">
        <v>0</v>
      </c>
      <c r="O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</row>
    <row r="3127" spans="1:22" x14ac:dyDescent="0.2">
      <c r="A3127" t="s">
        <v>2981</v>
      </c>
      <c r="B3127" t="s">
        <v>2982</v>
      </c>
      <c r="C3127" t="s">
        <v>2928</v>
      </c>
      <c r="D3127" t="s">
        <v>96</v>
      </c>
      <c r="E3127">
        <v>39.99</v>
      </c>
      <c r="F3127" t="s">
        <v>8118</v>
      </c>
      <c r="L3127" t="s">
        <v>8</v>
      </c>
      <c r="M3127" t="s">
        <v>8041</v>
      </c>
      <c r="N3127">
        <v>0</v>
      </c>
      <c r="O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 spans="1:22" x14ac:dyDescent="0.2">
      <c r="A3128" t="s">
        <v>2955</v>
      </c>
      <c r="B3128" t="s">
        <v>2956</v>
      </c>
      <c r="C3128" t="s">
        <v>2928</v>
      </c>
      <c r="D3128" t="s">
        <v>96</v>
      </c>
      <c r="E3128">
        <v>129.99</v>
      </c>
      <c r="F3128" t="s">
        <v>8118</v>
      </c>
      <c r="L3128" t="s">
        <v>8</v>
      </c>
      <c r="M3128" t="s">
        <v>8068</v>
      </c>
      <c r="N3128">
        <v>0</v>
      </c>
      <c r="O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 spans="1:22" x14ac:dyDescent="0.2">
      <c r="A3129" t="s">
        <v>6475</v>
      </c>
      <c r="B3129" t="s">
        <v>6476</v>
      </c>
      <c r="C3129" t="s">
        <v>6405</v>
      </c>
      <c r="D3129" t="s">
        <v>96</v>
      </c>
      <c r="E3129">
        <v>189.99</v>
      </c>
      <c r="F3129" t="s">
        <v>8118</v>
      </c>
      <c r="L3129" t="s">
        <v>11</v>
      </c>
      <c r="M3129" t="s">
        <v>6477</v>
      </c>
      <c r="N3129">
        <v>0</v>
      </c>
      <c r="O3129">
        <v>0</v>
      </c>
      <c r="T3129">
        <v>0</v>
      </c>
      <c r="U3129">
        <v>0</v>
      </c>
      <c r="V3129">
        <v>0</v>
      </c>
    </row>
    <row r="3130" spans="1:22" x14ac:dyDescent="0.2">
      <c r="A3130" t="s">
        <v>6568</v>
      </c>
      <c r="B3130" t="s">
        <v>6569</v>
      </c>
      <c r="C3130" t="s">
        <v>6405</v>
      </c>
      <c r="D3130" t="s">
        <v>96</v>
      </c>
      <c r="E3130">
        <v>179.95</v>
      </c>
      <c r="F3130" t="s">
        <v>8118</v>
      </c>
      <c r="L3130" t="s">
        <v>11</v>
      </c>
      <c r="M3130" t="s">
        <v>6570</v>
      </c>
      <c r="N3130">
        <v>0</v>
      </c>
      <c r="O3130">
        <v>0</v>
      </c>
      <c r="T3130">
        <v>0</v>
      </c>
      <c r="U3130">
        <v>0</v>
      </c>
      <c r="V3130">
        <v>0</v>
      </c>
    </row>
    <row r="3131" spans="1:22" x14ac:dyDescent="0.2">
      <c r="A3131" t="s">
        <v>6425</v>
      </c>
      <c r="B3131" t="s">
        <v>6426</v>
      </c>
      <c r="C3131" t="s">
        <v>6405</v>
      </c>
      <c r="D3131" t="s">
        <v>96</v>
      </c>
      <c r="E3131">
        <v>169.95</v>
      </c>
      <c r="F3131" t="s">
        <v>8118</v>
      </c>
      <c r="L3131" t="s">
        <v>11</v>
      </c>
      <c r="M3131" t="s">
        <v>6427</v>
      </c>
      <c r="N3131">
        <v>0</v>
      </c>
      <c r="O3131">
        <v>0</v>
      </c>
      <c r="T3131">
        <v>0</v>
      </c>
      <c r="U3131">
        <v>0</v>
      </c>
      <c r="V3131">
        <v>0</v>
      </c>
    </row>
    <row r="3132" spans="1:22" x14ac:dyDescent="0.2">
      <c r="A3132" t="s">
        <v>6403</v>
      </c>
      <c r="B3132" t="s">
        <v>6404</v>
      </c>
      <c r="C3132" t="s">
        <v>6405</v>
      </c>
      <c r="D3132" t="s">
        <v>96</v>
      </c>
      <c r="E3132">
        <v>169.99</v>
      </c>
      <c r="F3132" t="s">
        <v>8118</v>
      </c>
      <c r="L3132" t="s">
        <v>11</v>
      </c>
      <c r="M3132" t="s">
        <v>6406</v>
      </c>
      <c r="N3132">
        <v>0</v>
      </c>
      <c r="O3132">
        <v>0</v>
      </c>
      <c r="T3132">
        <v>0</v>
      </c>
      <c r="U3132">
        <v>0</v>
      </c>
      <c r="V3132">
        <v>0</v>
      </c>
    </row>
    <row r="3133" spans="1:22" x14ac:dyDescent="0.2">
      <c r="A3133" t="s">
        <v>6407</v>
      </c>
      <c r="B3133" t="s">
        <v>6408</v>
      </c>
      <c r="C3133" t="s">
        <v>6405</v>
      </c>
      <c r="D3133" t="s">
        <v>96</v>
      </c>
      <c r="E3133">
        <v>179.99</v>
      </c>
      <c r="F3133" t="s">
        <v>8118</v>
      </c>
      <c r="L3133" t="s">
        <v>11</v>
      </c>
      <c r="M3133" t="s">
        <v>6409</v>
      </c>
      <c r="N3133">
        <v>0</v>
      </c>
      <c r="O3133">
        <v>0</v>
      </c>
      <c r="T3133">
        <v>0</v>
      </c>
      <c r="U3133">
        <v>0</v>
      </c>
      <c r="V3133">
        <v>0</v>
      </c>
    </row>
    <row r="3134" spans="1:22" x14ac:dyDescent="0.2">
      <c r="A3134" t="s">
        <v>6410</v>
      </c>
      <c r="B3134" t="s">
        <v>6411</v>
      </c>
      <c r="C3134" t="s">
        <v>6405</v>
      </c>
      <c r="D3134" t="s">
        <v>96</v>
      </c>
      <c r="E3134">
        <v>179.99</v>
      </c>
      <c r="F3134" t="s">
        <v>8118</v>
      </c>
      <c r="L3134" t="s">
        <v>11</v>
      </c>
      <c r="M3134" t="s">
        <v>6412</v>
      </c>
      <c r="N3134">
        <v>0</v>
      </c>
      <c r="O3134">
        <v>0</v>
      </c>
      <c r="T3134">
        <v>0</v>
      </c>
      <c r="U3134">
        <v>0</v>
      </c>
      <c r="V3134">
        <v>0</v>
      </c>
    </row>
    <row r="3135" spans="1:22" x14ac:dyDescent="0.2">
      <c r="A3135" t="s">
        <v>6419</v>
      </c>
      <c r="B3135" t="s">
        <v>6420</v>
      </c>
      <c r="C3135" t="s">
        <v>6405</v>
      </c>
      <c r="D3135" t="s">
        <v>96</v>
      </c>
      <c r="E3135">
        <v>159.94999999999999</v>
      </c>
      <c r="F3135" t="s">
        <v>8118</v>
      </c>
      <c r="L3135" t="s">
        <v>11</v>
      </c>
      <c r="M3135" t="s">
        <v>6421</v>
      </c>
      <c r="N3135">
        <v>0</v>
      </c>
      <c r="O3135">
        <v>0</v>
      </c>
      <c r="T3135">
        <v>0</v>
      </c>
      <c r="U3135">
        <v>0</v>
      </c>
      <c r="V3135">
        <v>0</v>
      </c>
    </row>
    <row r="3136" spans="1:22" x14ac:dyDescent="0.2">
      <c r="A3136" t="s">
        <v>6422</v>
      </c>
      <c r="B3136" t="s">
        <v>6423</v>
      </c>
      <c r="C3136" t="s">
        <v>6405</v>
      </c>
      <c r="D3136" t="s">
        <v>96</v>
      </c>
      <c r="E3136">
        <v>169.99</v>
      </c>
      <c r="F3136" t="s">
        <v>8118</v>
      </c>
      <c r="L3136" t="s">
        <v>11</v>
      </c>
      <c r="M3136" t="s">
        <v>6424</v>
      </c>
      <c r="N3136">
        <v>0</v>
      </c>
      <c r="O3136">
        <v>0</v>
      </c>
      <c r="T3136">
        <v>0</v>
      </c>
      <c r="U3136">
        <v>0</v>
      </c>
      <c r="V3136">
        <v>0</v>
      </c>
    </row>
    <row r="3137" spans="1:22" x14ac:dyDescent="0.2">
      <c r="A3137" t="s">
        <v>6472</v>
      </c>
      <c r="B3137" t="s">
        <v>6473</v>
      </c>
      <c r="C3137" t="s">
        <v>6405</v>
      </c>
      <c r="D3137" t="s">
        <v>96</v>
      </c>
      <c r="E3137">
        <v>189.99</v>
      </c>
      <c r="F3137" t="s">
        <v>8118</v>
      </c>
      <c r="L3137" t="s">
        <v>11</v>
      </c>
      <c r="M3137" t="s">
        <v>6474</v>
      </c>
      <c r="N3137">
        <v>0</v>
      </c>
      <c r="O3137">
        <v>0</v>
      </c>
      <c r="T3137">
        <v>0</v>
      </c>
      <c r="U3137">
        <v>0</v>
      </c>
      <c r="V3137">
        <v>0</v>
      </c>
    </row>
    <row r="3138" spans="1:22" x14ac:dyDescent="0.2">
      <c r="A3138" t="s">
        <v>6416</v>
      </c>
      <c r="B3138" t="s">
        <v>6417</v>
      </c>
      <c r="C3138" t="s">
        <v>6405</v>
      </c>
      <c r="D3138" t="s">
        <v>96</v>
      </c>
      <c r="E3138">
        <v>129.94999999999999</v>
      </c>
      <c r="F3138" t="s">
        <v>8118</v>
      </c>
      <c r="L3138" t="s">
        <v>11</v>
      </c>
      <c r="M3138" t="s">
        <v>6418</v>
      </c>
      <c r="N3138">
        <v>0</v>
      </c>
      <c r="O3138">
        <v>0</v>
      </c>
      <c r="T3138">
        <v>0</v>
      </c>
      <c r="U3138">
        <v>0</v>
      </c>
      <c r="V3138">
        <v>0</v>
      </c>
    </row>
    <row r="3139" spans="1:22" x14ac:dyDescent="0.2">
      <c r="A3139" t="s">
        <v>6413</v>
      </c>
      <c r="B3139" t="s">
        <v>6414</v>
      </c>
      <c r="C3139" t="s">
        <v>6405</v>
      </c>
      <c r="D3139" t="s">
        <v>96</v>
      </c>
      <c r="E3139">
        <v>129.94999999999999</v>
      </c>
      <c r="F3139" t="s">
        <v>8118</v>
      </c>
      <c r="L3139" t="s">
        <v>11</v>
      </c>
      <c r="M3139" t="s">
        <v>6415</v>
      </c>
      <c r="N3139">
        <v>0</v>
      </c>
      <c r="O3139">
        <v>0</v>
      </c>
      <c r="T3139">
        <v>0</v>
      </c>
      <c r="U3139">
        <v>0</v>
      </c>
      <c r="V3139">
        <v>0</v>
      </c>
    </row>
    <row r="3140" spans="1:22" x14ac:dyDescent="0.2">
      <c r="A3140" t="s">
        <v>6657</v>
      </c>
      <c r="B3140" t="s">
        <v>8128</v>
      </c>
      <c r="C3140" t="s">
        <v>2987</v>
      </c>
      <c r="D3140" t="s">
        <v>96</v>
      </c>
      <c r="F3140" t="s">
        <v>8118</v>
      </c>
      <c r="L3140" t="s">
        <v>11</v>
      </c>
      <c r="M3140" t="s">
        <v>6659</v>
      </c>
      <c r="N3140">
        <v>0</v>
      </c>
      <c r="O3140">
        <v>0</v>
      </c>
      <c r="T3140">
        <v>0</v>
      </c>
      <c r="V3140">
        <v>0</v>
      </c>
    </row>
    <row r="3141" spans="1:22" x14ac:dyDescent="0.2">
      <c r="A3141" t="s">
        <v>3023</v>
      </c>
      <c r="B3141" t="s">
        <v>8129</v>
      </c>
      <c r="C3141" t="s">
        <v>2987</v>
      </c>
      <c r="D3141" t="s">
        <v>228</v>
      </c>
      <c r="E3141">
        <v>89.99</v>
      </c>
      <c r="F3141" t="s">
        <v>8118</v>
      </c>
      <c r="G3141">
        <v>1029</v>
      </c>
      <c r="H3141">
        <v>128</v>
      </c>
      <c r="I3141">
        <v>901</v>
      </c>
      <c r="L3141" t="s">
        <v>11</v>
      </c>
      <c r="M3141" t="s">
        <v>6647</v>
      </c>
      <c r="N3141">
        <v>8.0869565217391308</v>
      </c>
      <c r="O3141">
        <v>0.12365591397849462</v>
      </c>
      <c r="T3141">
        <v>3.8333333333333335</v>
      </c>
      <c r="U3141">
        <v>899.9</v>
      </c>
      <c r="V3141">
        <v>31</v>
      </c>
    </row>
    <row r="3142" spans="1:22" x14ac:dyDescent="0.2">
      <c r="A3142" t="s">
        <v>6640</v>
      </c>
      <c r="B3142" t="s">
        <v>8130</v>
      </c>
      <c r="C3142" t="s">
        <v>2987</v>
      </c>
      <c r="D3142" t="s">
        <v>96</v>
      </c>
      <c r="F3142" t="s">
        <v>8118</v>
      </c>
      <c r="L3142" t="s">
        <v>11</v>
      </c>
      <c r="M3142" t="s">
        <v>6642</v>
      </c>
      <c r="N3142">
        <v>0</v>
      </c>
      <c r="O3142">
        <v>0</v>
      </c>
      <c r="T3142">
        <v>0</v>
      </c>
      <c r="V3142">
        <v>0</v>
      </c>
    </row>
    <row r="3143" spans="1:22" x14ac:dyDescent="0.2">
      <c r="A3143" t="s">
        <v>6625</v>
      </c>
      <c r="B3143" t="s">
        <v>8131</v>
      </c>
      <c r="C3143" t="s">
        <v>2987</v>
      </c>
      <c r="D3143" t="s">
        <v>96</v>
      </c>
      <c r="E3143">
        <v>99.99</v>
      </c>
      <c r="F3143" t="s">
        <v>8118</v>
      </c>
      <c r="L3143" t="s">
        <v>11</v>
      </c>
      <c r="M3143" t="s">
        <v>6627</v>
      </c>
      <c r="N3143">
        <v>0</v>
      </c>
      <c r="O3143">
        <v>0</v>
      </c>
      <c r="T3143">
        <v>0</v>
      </c>
      <c r="U3143">
        <v>0</v>
      </c>
      <c r="V3143">
        <v>0</v>
      </c>
    </row>
    <row r="3144" spans="1:22" x14ac:dyDescent="0.2">
      <c r="A3144" t="s">
        <v>6666</v>
      </c>
      <c r="B3144" t="s">
        <v>8132</v>
      </c>
      <c r="C3144" t="s">
        <v>2987</v>
      </c>
      <c r="D3144" t="s">
        <v>96</v>
      </c>
      <c r="E3144">
        <v>89.99</v>
      </c>
      <c r="F3144" t="s">
        <v>8118</v>
      </c>
      <c r="L3144" t="s">
        <v>11</v>
      </c>
      <c r="M3144" t="s">
        <v>6668</v>
      </c>
      <c r="N3144">
        <v>0</v>
      </c>
      <c r="O3144">
        <v>0</v>
      </c>
      <c r="T3144">
        <v>0</v>
      </c>
      <c r="U3144">
        <v>0</v>
      </c>
      <c r="V3144">
        <v>0</v>
      </c>
    </row>
    <row r="3145" spans="1:22" x14ac:dyDescent="0.2">
      <c r="A3145" t="s">
        <v>6613</v>
      </c>
      <c r="B3145" t="s">
        <v>8133</v>
      </c>
      <c r="C3145" t="s">
        <v>2987</v>
      </c>
      <c r="D3145" t="s">
        <v>96</v>
      </c>
      <c r="E3145">
        <v>69.989999999999995</v>
      </c>
      <c r="F3145" t="s">
        <v>8118</v>
      </c>
      <c r="L3145" t="s">
        <v>11</v>
      </c>
      <c r="M3145" t="s">
        <v>6615</v>
      </c>
      <c r="N3145">
        <v>0</v>
      </c>
      <c r="O3145">
        <v>0</v>
      </c>
      <c r="T3145">
        <v>0</v>
      </c>
      <c r="U3145">
        <v>0</v>
      </c>
      <c r="V3145">
        <v>0</v>
      </c>
    </row>
    <row r="3146" spans="1:22" x14ac:dyDescent="0.2">
      <c r="A3146" t="s">
        <v>6672</v>
      </c>
      <c r="B3146" t="s">
        <v>8134</v>
      </c>
      <c r="C3146" t="s">
        <v>2987</v>
      </c>
      <c r="D3146" t="s">
        <v>96</v>
      </c>
      <c r="E3146">
        <v>109.99</v>
      </c>
      <c r="F3146" t="s">
        <v>8118</v>
      </c>
      <c r="L3146" t="s">
        <v>11</v>
      </c>
      <c r="M3146" t="s">
        <v>6674</v>
      </c>
      <c r="N3146">
        <v>0</v>
      </c>
      <c r="O3146">
        <v>0</v>
      </c>
      <c r="T3146">
        <v>0</v>
      </c>
      <c r="U3146">
        <v>0</v>
      </c>
      <c r="V3146">
        <v>0</v>
      </c>
    </row>
    <row r="3147" spans="1:22" x14ac:dyDescent="0.2">
      <c r="A3147" t="s">
        <v>6574</v>
      </c>
      <c r="B3147" t="s">
        <v>8135</v>
      </c>
      <c r="C3147" t="s">
        <v>2987</v>
      </c>
      <c r="D3147" t="s">
        <v>290</v>
      </c>
      <c r="E3147">
        <v>129.99</v>
      </c>
      <c r="F3147" t="s">
        <v>8118</v>
      </c>
      <c r="G3147">
        <v>90</v>
      </c>
      <c r="I3147">
        <v>90</v>
      </c>
      <c r="L3147" t="s">
        <v>11</v>
      </c>
      <c r="M3147" t="s">
        <v>6576</v>
      </c>
      <c r="N3147">
        <v>1.2222222222222221</v>
      </c>
      <c r="O3147">
        <v>0.81818181818181823</v>
      </c>
      <c r="T3147">
        <v>1.6363636363636365</v>
      </c>
      <c r="U3147">
        <v>129.99</v>
      </c>
      <c r="V3147">
        <v>2</v>
      </c>
    </row>
    <row r="3148" spans="1:22" x14ac:dyDescent="0.2">
      <c r="A3148" t="s">
        <v>6660</v>
      </c>
      <c r="B3148" t="s">
        <v>8136</v>
      </c>
      <c r="C3148" t="s">
        <v>2987</v>
      </c>
      <c r="D3148" t="s">
        <v>96</v>
      </c>
      <c r="E3148">
        <v>239.99</v>
      </c>
      <c r="F3148" t="s">
        <v>8118</v>
      </c>
      <c r="L3148" t="s">
        <v>11</v>
      </c>
      <c r="M3148" t="s">
        <v>6662</v>
      </c>
      <c r="N3148">
        <v>0</v>
      </c>
      <c r="O3148">
        <v>0</v>
      </c>
      <c r="T3148">
        <v>0</v>
      </c>
      <c r="U3148">
        <v>0</v>
      </c>
      <c r="V3148">
        <v>0</v>
      </c>
    </row>
    <row r="3149" spans="1:22" x14ac:dyDescent="0.2">
      <c r="A3149" t="s">
        <v>6616</v>
      </c>
      <c r="B3149" t="s">
        <v>8137</v>
      </c>
      <c r="C3149" t="s">
        <v>2987</v>
      </c>
      <c r="D3149" t="s">
        <v>96</v>
      </c>
      <c r="E3149">
        <v>69.989999999999995</v>
      </c>
      <c r="F3149" t="s">
        <v>8118</v>
      </c>
      <c r="L3149" t="s">
        <v>11</v>
      </c>
      <c r="M3149" t="s">
        <v>6618</v>
      </c>
      <c r="N3149">
        <v>0</v>
      </c>
      <c r="O3149">
        <v>0</v>
      </c>
      <c r="T3149">
        <v>0</v>
      </c>
      <c r="U3149">
        <v>0</v>
      </c>
      <c r="V3149">
        <v>0</v>
      </c>
    </row>
    <row r="3150" spans="1:22" x14ac:dyDescent="0.2">
      <c r="A3150" t="s">
        <v>6604</v>
      </c>
      <c r="B3150" t="s">
        <v>8138</v>
      </c>
      <c r="C3150" t="s">
        <v>2987</v>
      </c>
      <c r="D3150" t="s">
        <v>96</v>
      </c>
      <c r="E3150">
        <v>59.99</v>
      </c>
      <c r="F3150" t="s">
        <v>8118</v>
      </c>
      <c r="L3150" t="s">
        <v>11</v>
      </c>
      <c r="M3150" t="s">
        <v>6606</v>
      </c>
      <c r="N3150">
        <v>0</v>
      </c>
      <c r="O3150">
        <v>0</v>
      </c>
      <c r="T3150">
        <v>0</v>
      </c>
      <c r="U3150">
        <v>0</v>
      </c>
      <c r="V3150">
        <v>0</v>
      </c>
    </row>
    <row r="3151" spans="1:22" x14ac:dyDescent="0.2">
      <c r="A3151" t="s">
        <v>6589</v>
      </c>
      <c r="B3151" t="s">
        <v>8139</v>
      </c>
      <c r="C3151" t="s">
        <v>2987</v>
      </c>
      <c r="D3151" t="s">
        <v>96</v>
      </c>
      <c r="E3151">
        <v>59.99</v>
      </c>
      <c r="F3151" t="s">
        <v>8118</v>
      </c>
      <c r="L3151" t="s">
        <v>11</v>
      </c>
      <c r="M3151" t="s">
        <v>6591</v>
      </c>
      <c r="N3151">
        <v>0</v>
      </c>
      <c r="O3151">
        <v>0</v>
      </c>
      <c r="T3151">
        <v>0</v>
      </c>
      <c r="U3151">
        <v>0</v>
      </c>
      <c r="V3151">
        <v>0</v>
      </c>
    </row>
    <row r="3152" spans="1:22" x14ac:dyDescent="0.2">
      <c r="A3152" t="s">
        <v>3061</v>
      </c>
      <c r="B3152" t="s">
        <v>8140</v>
      </c>
      <c r="C3152" t="s">
        <v>2987</v>
      </c>
      <c r="D3152" t="s">
        <v>290</v>
      </c>
      <c r="E3152">
        <v>229.99</v>
      </c>
      <c r="F3152" t="s">
        <v>8118</v>
      </c>
      <c r="L3152" t="s">
        <v>11</v>
      </c>
      <c r="M3152" t="s">
        <v>6709</v>
      </c>
      <c r="N3152">
        <v>0</v>
      </c>
      <c r="O3152">
        <v>0</v>
      </c>
      <c r="T3152">
        <v>0</v>
      </c>
      <c r="U3152">
        <v>0</v>
      </c>
      <c r="V3152">
        <v>0</v>
      </c>
    </row>
    <row r="3153" spans="1:22" x14ac:dyDescent="0.2">
      <c r="A3153" t="s">
        <v>6598</v>
      </c>
      <c r="B3153" t="s">
        <v>8141</v>
      </c>
      <c r="C3153" t="s">
        <v>2987</v>
      </c>
      <c r="D3153" t="s">
        <v>228</v>
      </c>
      <c r="E3153">
        <v>59.99</v>
      </c>
      <c r="F3153" t="s">
        <v>8118</v>
      </c>
      <c r="G3153">
        <v>23</v>
      </c>
      <c r="I3153">
        <v>23</v>
      </c>
      <c r="L3153" t="s">
        <v>11</v>
      </c>
      <c r="M3153" t="s">
        <v>6600</v>
      </c>
      <c r="N3153">
        <v>0</v>
      </c>
      <c r="O3153">
        <v>0</v>
      </c>
      <c r="T3153">
        <v>0</v>
      </c>
      <c r="U3153">
        <v>0</v>
      </c>
      <c r="V3153">
        <v>0</v>
      </c>
    </row>
    <row r="3154" spans="1:22" x14ac:dyDescent="0.2">
      <c r="A3154" t="s">
        <v>6601</v>
      </c>
      <c r="B3154" t="s">
        <v>8142</v>
      </c>
      <c r="C3154" t="s">
        <v>2987</v>
      </c>
      <c r="D3154" t="s">
        <v>96</v>
      </c>
      <c r="E3154">
        <v>89.99</v>
      </c>
      <c r="F3154" t="s">
        <v>8118</v>
      </c>
      <c r="L3154" t="s">
        <v>11</v>
      </c>
      <c r="M3154" t="s">
        <v>6603</v>
      </c>
      <c r="N3154">
        <v>0</v>
      </c>
      <c r="O3154">
        <v>0</v>
      </c>
      <c r="T3154">
        <v>0</v>
      </c>
      <c r="U3154">
        <v>0</v>
      </c>
      <c r="V3154">
        <v>0</v>
      </c>
    </row>
    <row r="3155" spans="1:22" x14ac:dyDescent="0.2">
      <c r="A3155" t="s">
        <v>6681</v>
      </c>
      <c r="B3155" t="s">
        <v>8143</v>
      </c>
      <c r="C3155" t="s">
        <v>2987</v>
      </c>
      <c r="D3155" t="s">
        <v>96</v>
      </c>
      <c r="E3155">
        <v>49.99</v>
      </c>
      <c r="F3155" t="s">
        <v>8118</v>
      </c>
      <c r="L3155" t="s">
        <v>11</v>
      </c>
      <c r="M3155" t="s">
        <v>6683</v>
      </c>
      <c r="N3155">
        <v>0</v>
      </c>
      <c r="O3155">
        <v>0</v>
      </c>
      <c r="T3155">
        <v>0</v>
      </c>
      <c r="U3155">
        <v>0</v>
      </c>
      <c r="V3155">
        <v>0</v>
      </c>
    </row>
    <row r="3156" spans="1:22" x14ac:dyDescent="0.2">
      <c r="A3156" t="s">
        <v>6643</v>
      </c>
      <c r="B3156" t="s">
        <v>8144</v>
      </c>
      <c r="C3156" t="s">
        <v>2987</v>
      </c>
      <c r="D3156" t="s">
        <v>290</v>
      </c>
      <c r="E3156">
        <v>89.99</v>
      </c>
      <c r="F3156" t="s">
        <v>8118</v>
      </c>
      <c r="G3156">
        <v>1</v>
      </c>
      <c r="I3156">
        <v>1</v>
      </c>
      <c r="L3156" t="s">
        <v>11</v>
      </c>
      <c r="M3156" t="s">
        <v>6645</v>
      </c>
      <c r="N3156">
        <v>0</v>
      </c>
      <c r="O3156">
        <v>0</v>
      </c>
      <c r="T3156">
        <v>0</v>
      </c>
      <c r="U3156">
        <v>0</v>
      </c>
      <c r="V3156">
        <v>1</v>
      </c>
    </row>
    <row r="3157" spans="1:22" x14ac:dyDescent="0.2">
      <c r="A3157" t="s">
        <v>3057</v>
      </c>
      <c r="B3157" t="s">
        <v>8145</v>
      </c>
      <c r="C3157" t="s">
        <v>2987</v>
      </c>
      <c r="D3157" t="s">
        <v>228</v>
      </c>
      <c r="E3157">
        <v>139.99</v>
      </c>
      <c r="F3157" t="s">
        <v>8118</v>
      </c>
      <c r="G3157">
        <v>56</v>
      </c>
      <c r="H3157">
        <v>4</v>
      </c>
      <c r="I3157">
        <v>52</v>
      </c>
      <c r="K3157">
        <v>60</v>
      </c>
      <c r="L3157" t="s">
        <v>11</v>
      </c>
      <c r="M3157" t="s">
        <v>6936</v>
      </c>
      <c r="N3157">
        <v>14.85</v>
      </c>
      <c r="O3157">
        <v>6.7340067340067339E-2</v>
      </c>
      <c r="T3157">
        <v>1.8181818181818179</v>
      </c>
      <c r="U3157">
        <v>139.99</v>
      </c>
      <c r="V3157">
        <v>27</v>
      </c>
    </row>
    <row r="3158" spans="1:22" x14ac:dyDescent="0.2">
      <c r="A3158" t="s">
        <v>6675</v>
      </c>
      <c r="B3158" t="s">
        <v>8146</v>
      </c>
      <c r="C3158" t="s">
        <v>2987</v>
      </c>
      <c r="D3158" t="s">
        <v>96</v>
      </c>
      <c r="F3158" t="s">
        <v>8118</v>
      </c>
      <c r="L3158" t="s">
        <v>11</v>
      </c>
      <c r="M3158" t="s">
        <v>6677</v>
      </c>
      <c r="N3158">
        <v>0</v>
      </c>
      <c r="O3158">
        <v>0</v>
      </c>
      <c r="T3158">
        <v>0</v>
      </c>
      <c r="V3158">
        <v>0</v>
      </c>
    </row>
    <row r="3159" spans="1:22" x14ac:dyDescent="0.2">
      <c r="A3159" t="s">
        <v>6592</v>
      </c>
      <c r="B3159" t="s">
        <v>8147</v>
      </c>
      <c r="C3159" t="s">
        <v>2987</v>
      </c>
      <c r="D3159" t="s">
        <v>96</v>
      </c>
      <c r="E3159">
        <v>59.99</v>
      </c>
      <c r="F3159" t="s">
        <v>8118</v>
      </c>
      <c r="L3159" t="s">
        <v>11</v>
      </c>
      <c r="M3159" t="s">
        <v>6594</v>
      </c>
      <c r="N3159">
        <v>0</v>
      </c>
      <c r="O3159">
        <v>0</v>
      </c>
      <c r="T3159">
        <v>0</v>
      </c>
      <c r="U3159">
        <v>0</v>
      </c>
      <c r="V3159">
        <v>0</v>
      </c>
    </row>
    <row r="3160" spans="1:22" x14ac:dyDescent="0.2">
      <c r="A3160" t="s">
        <v>6628</v>
      </c>
      <c r="B3160" t="s">
        <v>8148</v>
      </c>
      <c r="C3160" t="s">
        <v>2987</v>
      </c>
      <c r="D3160" t="s">
        <v>96</v>
      </c>
      <c r="F3160" t="s">
        <v>8118</v>
      </c>
      <c r="L3160" t="s">
        <v>11</v>
      </c>
      <c r="M3160" t="s">
        <v>6630</v>
      </c>
      <c r="N3160">
        <v>0</v>
      </c>
      <c r="O3160">
        <v>0</v>
      </c>
      <c r="T3160">
        <v>0</v>
      </c>
      <c r="V3160">
        <v>0</v>
      </c>
    </row>
    <row r="3161" spans="1:22" x14ac:dyDescent="0.2">
      <c r="A3161" t="s">
        <v>6509</v>
      </c>
      <c r="B3161" t="s">
        <v>8149</v>
      </c>
      <c r="C3161" t="s">
        <v>2987</v>
      </c>
      <c r="D3161" t="s">
        <v>96</v>
      </c>
      <c r="E3161">
        <v>139.99</v>
      </c>
      <c r="F3161" t="s">
        <v>8118</v>
      </c>
      <c r="L3161" t="s">
        <v>11</v>
      </c>
      <c r="M3161" t="s">
        <v>6511</v>
      </c>
      <c r="N3161">
        <v>0</v>
      </c>
      <c r="O3161">
        <v>0</v>
      </c>
      <c r="T3161">
        <v>0</v>
      </c>
      <c r="U3161">
        <v>0</v>
      </c>
      <c r="V3161">
        <v>0</v>
      </c>
    </row>
    <row r="3162" spans="1:22" x14ac:dyDescent="0.2">
      <c r="A3162" t="s">
        <v>6908</v>
      </c>
      <c r="B3162" t="s">
        <v>8150</v>
      </c>
      <c r="C3162" t="s">
        <v>2987</v>
      </c>
      <c r="D3162" t="s">
        <v>96</v>
      </c>
      <c r="E3162">
        <v>49.99</v>
      </c>
      <c r="F3162" t="s">
        <v>8118</v>
      </c>
      <c r="L3162" t="s">
        <v>11</v>
      </c>
      <c r="M3162" t="s">
        <v>6910</v>
      </c>
      <c r="N3162">
        <v>0</v>
      </c>
      <c r="O3162">
        <v>0</v>
      </c>
      <c r="T3162">
        <v>0</v>
      </c>
      <c r="U3162">
        <v>0</v>
      </c>
      <c r="V3162">
        <v>1</v>
      </c>
    </row>
    <row r="3163" spans="1:22" x14ac:dyDescent="0.2">
      <c r="A3163" t="s">
        <v>6894</v>
      </c>
      <c r="B3163" t="s">
        <v>8151</v>
      </c>
      <c r="C3163" t="s">
        <v>2987</v>
      </c>
      <c r="D3163" t="s">
        <v>96</v>
      </c>
      <c r="E3163">
        <v>64.989999999999995</v>
      </c>
      <c r="F3163" t="s">
        <v>8118</v>
      </c>
      <c r="L3163" t="s">
        <v>11</v>
      </c>
      <c r="M3163" t="s">
        <v>6896</v>
      </c>
      <c r="N3163">
        <v>0</v>
      </c>
      <c r="O3163">
        <v>0</v>
      </c>
      <c r="T3163">
        <v>0</v>
      </c>
      <c r="U3163">
        <v>0</v>
      </c>
      <c r="V3163">
        <v>0</v>
      </c>
    </row>
    <row r="3164" spans="1:22" x14ac:dyDescent="0.2">
      <c r="A3164" t="s">
        <v>6897</v>
      </c>
      <c r="B3164" t="s">
        <v>8152</v>
      </c>
      <c r="C3164" t="s">
        <v>2987</v>
      </c>
      <c r="D3164" t="s">
        <v>96</v>
      </c>
      <c r="E3164">
        <v>64.989999999999995</v>
      </c>
      <c r="F3164" t="s">
        <v>8118</v>
      </c>
      <c r="L3164" t="s">
        <v>11</v>
      </c>
      <c r="M3164" t="s">
        <v>6899</v>
      </c>
      <c r="N3164">
        <v>0</v>
      </c>
      <c r="O3164">
        <v>0</v>
      </c>
      <c r="T3164">
        <v>0</v>
      </c>
      <c r="U3164">
        <v>0</v>
      </c>
      <c r="V3164">
        <v>0</v>
      </c>
    </row>
    <row r="3165" spans="1:22" x14ac:dyDescent="0.2">
      <c r="A3165" t="s">
        <v>6505</v>
      </c>
      <c r="B3165" t="s">
        <v>8153</v>
      </c>
      <c r="C3165" t="s">
        <v>2987</v>
      </c>
      <c r="D3165" t="s">
        <v>290</v>
      </c>
      <c r="E3165">
        <v>59.99</v>
      </c>
      <c r="F3165" t="s">
        <v>8118</v>
      </c>
      <c r="L3165" t="s">
        <v>11</v>
      </c>
      <c r="M3165" t="s">
        <v>6507</v>
      </c>
      <c r="N3165">
        <v>0</v>
      </c>
      <c r="O3165">
        <v>0</v>
      </c>
      <c r="T3165">
        <v>0</v>
      </c>
      <c r="U3165">
        <v>0</v>
      </c>
      <c r="V3165">
        <v>0</v>
      </c>
    </row>
    <row r="3166" spans="1:22" x14ac:dyDescent="0.2">
      <c r="A3166" t="s">
        <v>6783</v>
      </c>
      <c r="B3166" t="s">
        <v>8154</v>
      </c>
      <c r="C3166" t="s">
        <v>2987</v>
      </c>
      <c r="D3166" t="s">
        <v>228</v>
      </c>
      <c r="E3166">
        <v>79.989999999999995</v>
      </c>
      <c r="F3166" t="s">
        <v>8118</v>
      </c>
      <c r="G3166">
        <v>34</v>
      </c>
      <c r="I3166">
        <v>34</v>
      </c>
      <c r="L3166" t="s">
        <v>11</v>
      </c>
      <c r="M3166" t="s">
        <v>6785</v>
      </c>
      <c r="N3166">
        <v>4.4108108108108111</v>
      </c>
      <c r="O3166">
        <v>0.2267156862745098</v>
      </c>
      <c r="T3166">
        <v>15.416666666666666</v>
      </c>
      <c r="U3166">
        <v>1039.8699999999999</v>
      </c>
      <c r="V3166">
        <v>68</v>
      </c>
    </row>
    <row r="3167" spans="1:22" x14ac:dyDescent="0.2">
      <c r="A3167" t="s">
        <v>2990</v>
      </c>
      <c r="B3167" t="s">
        <v>8155</v>
      </c>
      <c r="C3167" t="s">
        <v>2987</v>
      </c>
      <c r="D3167" t="s">
        <v>228</v>
      </c>
      <c r="E3167">
        <v>89.99</v>
      </c>
      <c r="F3167" t="s">
        <v>8118</v>
      </c>
      <c r="G3167">
        <v>2076</v>
      </c>
      <c r="H3167">
        <v>334</v>
      </c>
      <c r="I3167">
        <v>1742</v>
      </c>
      <c r="L3167" t="s">
        <v>11</v>
      </c>
      <c r="M3167" t="s">
        <v>6776</v>
      </c>
      <c r="N3167">
        <v>4.7453213995117984</v>
      </c>
      <c r="O3167">
        <v>0.21073388203017832</v>
      </c>
      <c r="T3167">
        <v>102.41666666666669</v>
      </c>
      <c r="U3167">
        <v>19797.8</v>
      </c>
      <c r="V3167">
        <v>486</v>
      </c>
    </row>
    <row r="3168" spans="1:22" x14ac:dyDescent="0.2">
      <c r="A3168" t="s">
        <v>2988</v>
      </c>
      <c r="B3168" t="s">
        <v>8156</v>
      </c>
      <c r="C3168" t="s">
        <v>2987</v>
      </c>
      <c r="D3168" t="s">
        <v>228</v>
      </c>
      <c r="E3168">
        <v>89.99</v>
      </c>
      <c r="F3168" t="s">
        <v>8118</v>
      </c>
      <c r="G3168">
        <v>140</v>
      </c>
      <c r="H3168">
        <v>90</v>
      </c>
      <c r="I3168">
        <v>50</v>
      </c>
      <c r="K3168">
        <v>5400</v>
      </c>
      <c r="L3168" t="s">
        <v>11</v>
      </c>
      <c r="M3168" t="s">
        <v>6478</v>
      </c>
      <c r="N3168">
        <v>6.6569343065693429</v>
      </c>
      <c r="O3168">
        <v>0.15021929824561403</v>
      </c>
      <c r="T3168">
        <v>57.083333333333336</v>
      </c>
      <c r="U3168">
        <v>25827.129999999997</v>
      </c>
      <c r="V3168">
        <v>380</v>
      </c>
    </row>
    <row r="3169" spans="1:22" x14ac:dyDescent="0.2">
      <c r="A3169" t="s">
        <v>6586</v>
      </c>
      <c r="B3169" t="s">
        <v>8157</v>
      </c>
      <c r="C3169" t="s">
        <v>2987</v>
      </c>
      <c r="D3169" t="s">
        <v>96</v>
      </c>
      <c r="E3169">
        <v>49.99</v>
      </c>
      <c r="F3169" t="s">
        <v>8118</v>
      </c>
      <c r="L3169" t="s">
        <v>11</v>
      </c>
      <c r="M3169" t="s">
        <v>6588</v>
      </c>
      <c r="N3169">
        <v>0</v>
      </c>
      <c r="O3169">
        <v>0</v>
      </c>
      <c r="T3169">
        <v>0</v>
      </c>
      <c r="U3169">
        <v>0</v>
      </c>
      <c r="V3169">
        <v>0</v>
      </c>
    </row>
    <row r="3170" spans="1:22" x14ac:dyDescent="0.2">
      <c r="A3170" t="s">
        <v>3002</v>
      </c>
      <c r="B3170" t="s">
        <v>8158</v>
      </c>
      <c r="C3170" t="s">
        <v>2987</v>
      </c>
      <c r="D3170" t="s">
        <v>228</v>
      </c>
      <c r="E3170">
        <v>109.99</v>
      </c>
      <c r="F3170" t="s">
        <v>8118</v>
      </c>
      <c r="J3170">
        <v>1</v>
      </c>
      <c r="K3170">
        <v>360</v>
      </c>
      <c r="L3170" t="s">
        <v>11</v>
      </c>
      <c r="N3170">
        <v>0</v>
      </c>
      <c r="O3170">
        <v>0</v>
      </c>
      <c r="T3170">
        <v>0</v>
      </c>
      <c r="U3170">
        <v>0</v>
      </c>
      <c r="V3170">
        <v>0</v>
      </c>
    </row>
    <row r="3171" spans="1:22" x14ac:dyDescent="0.2">
      <c r="A3171" t="s">
        <v>6780</v>
      </c>
      <c r="B3171" t="s">
        <v>8159</v>
      </c>
      <c r="C3171" t="s">
        <v>2987</v>
      </c>
      <c r="D3171" t="s">
        <v>96</v>
      </c>
      <c r="E3171">
        <v>104.99</v>
      </c>
      <c r="F3171" t="s">
        <v>8118</v>
      </c>
      <c r="L3171" t="s">
        <v>11</v>
      </c>
      <c r="M3171" t="s">
        <v>6782</v>
      </c>
      <c r="N3171">
        <v>0</v>
      </c>
      <c r="O3171">
        <v>0</v>
      </c>
      <c r="T3171">
        <v>0</v>
      </c>
      <c r="U3171">
        <v>0</v>
      </c>
      <c r="V3171">
        <v>0</v>
      </c>
    </row>
    <row r="3172" spans="1:22" x14ac:dyDescent="0.2">
      <c r="A3172" t="s">
        <v>6796</v>
      </c>
      <c r="B3172" t="s">
        <v>8160</v>
      </c>
      <c r="C3172" t="s">
        <v>2987</v>
      </c>
      <c r="D3172" t="s">
        <v>96</v>
      </c>
      <c r="E3172">
        <v>49.99</v>
      </c>
      <c r="F3172" t="s">
        <v>8118</v>
      </c>
      <c r="L3172" t="s">
        <v>11</v>
      </c>
      <c r="M3172" t="s">
        <v>6798</v>
      </c>
      <c r="N3172">
        <v>0</v>
      </c>
      <c r="O3172">
        <v>0</v>
      </c>
      <c r="T3172">
        <v>0</v>
      </c>
      <c r="U3172">
        <v>0</v>
      </c>
      <c r="V3172">
        <v>0</v>
      </c>
    </row>
    <row r="3173" spans="1:22" x14ac:dyDescent="0.2">
      <c r="A3173" t="s">
        <v>6793</v>
      </c>
      <c r="B3173" t="s">
        <v>8161</v>
      </c>
      <c r="C3173" t="s">
        <v>2987</v>
      </c>
      <c r="D3173" t="s">
        <v>96</v>
      </c>
      <c r="E3173">
        <v>49.99</v>
      </c>
      <c r="F3173" t="s">
        <v>8118</v>
      </c>
      <c r="L3173" t="s">
        <v>11</v>
      </c>
      <c r="M3173" t="s">
        <v>6795</v>
      </c>
      <c r="N3173">
        <v>0</v>
      </c>
      <c r="O3173">
        <v>0</v>
      </c>
      <c r="T3173">
        <v>0</v>
      </c>
      <c r="U3173">
        <v>0</v>
      </c>
      <c r="V3173">
        <v>0</v>
      </c>
    </row>
    <row r="3174" spans="1:22" x14ac:dyDescent="0.2">
      <c r="A3174" t="s">
        <v>6699</v>
      </c>
      <c r="B3174" t="s">
        <v>8162</v>
      </c>
      <c r="C3174" t="s">
        <v>2987</v>
      </c>
      <c r="D3174" t="s">
        <v>96</v>
      </c>
      <c r="E3174">
        <v>49.99</v>
      </c>
      <c r="F3174" t="s">
        <v>8118</v>
      </c>
      <c r="L3174" t="s">
        <v>11</v>
      </c>
      <c r="M3174" t="s">
        <v>6701</v>
      </c>
      <c r="N3174">
        <v>0</v>
      </c>
      <c r="O3174">
        <v>0</v>
      </c>
      <c r="T3174">
        <v>0</v>
      </c>
      <c r="U3174">
        <v>0</v>
      </c>
      <c r="V3174">
        <v>0</v>
      </c>
    </row>
    <row r="3175" spans="1:22" x14ac:dyDescent="0.2">
      <c r="A3175" t="s">
        <v>6817</v>
      </c>
      <c r="B3175" t="s">
        <v>8163</v>
      </c>
      <c r="C3175" t="s">
        <v>2987</v>
      </c>
      <c r="D3175" t="s">
        <v>96</v>
      </c>
      <c r="E3175">
        <v>69.989999999999995</v>
      </c>
      <c r="F3175" t="s">
        <v>8118</v>
      </c>
      <c r="L3175" t="s">
        <v>11</v>
      </c>
      <c r="M3175" t="s">
        <v>6819</v>
      </c>
      <c r="N3175">
        <v>0</v>
      </c>
      <c r="O3175">
        <v>0</v>
      </c>
      <c r="T3175">
        <v>0</v>
      </c>
      <c r="U3175">
        <v>0</v>
      </c>
      <c r="V3175">
        <v>20</v>
      </c>
    </row>
    <row r="3176" spans="1:22" x14ac:dyDescent="0.2">
      <c r="A3176" t="s">
        <v>6820</v>
      </c>
      <c r="B3176" t="s">
        <v>8164</v>
      </c>
      <c r="C3176" t="s">
        <v>2987</v>
      </c>
      <c r="D3176" t="s">
        <v>96</v>
      </c>
      <c r="E3176">
        <v>69.989999999999995</v>
      </c>
      <c r="F3176" t="s">
        <v>8118</v>
      </c>
      <c r="L3176" t="s">
        <v>11</v>
      </c>
      <c r="M3176" t="s">
        <v>6822</v>
      </c>
      <c r="N3176">
        <v>0</v>
      </c>
      <c r="O3176">
        <v>0</v>
      </c>
      <c r="T3176">
        <v>0</v>
      </c>
      <c r="U3176">
        <v>0</v>
      </c>
      <c r="V3176">
        <v>0</v>
      </c>
    </row>
    <row r="3177" spans="1:22" x14ac:dyDescent="0.2">
      <c r="A3177" t="s">
        <v>6823</v>
      </c>
      <c r="B3177" t="s">
        <v>8165</v>
      </c>
      <c r="C3177" t="s">
        <v>2987</v>
      </c>
      <c r="D3177" t="s">
        <v>96</v>
      </c>
      <c r="E3177">
        <v>69.989999999999995</v>
      </c>
      <c r="F3177" t="s">
        <v>8118</v>
      </c>
      <c r="L3177" t="s">
        <v>11</v>
      </c>
      <c r="M3177" t="s">
        <v>6825</v>
      </c>
      <c r="N3177">
        <v>36</v>
      </c>
      <c r="O3177">
        <v>2.7777777777777776E-2</v>
      </c>
      <c r="T3177">
        <v>0.25</v>
      </c>
      <c r="U3177">
        <v>0</v>
      </c>
      <c r="V3177">
        <v>9</v>
      </c>
    </row>
    <row r="3178" spans="1:22" x14ac:dyDescent="0.2">
      <c r="A3178" t="s">
        <v>6923</v>
      </c>
      <c r="B3178" t="s">
        <v>8166</v>
      </c>
      <c r="C3178" t="s">
        <v>2987</v>
      </c>
      <c r="D3178" t="s">
        <v>96</v>
      </c>
      <c r="E3178">
        <v>69.989999999999995</v>
      </c>
      <c r="F3178" t="s">
        <v>8118</v>
      </c>
      <c r="L3178" t="s">
        <v>11</v>
      </c>
      <c r="M3178" t="s">
        <v>6925</v>
      </c>
      <c r="N3178">
        <v>0</v>
      </c>
      <c r="O3178">
        <v>0</v>
      </c>
      <c r="T3178">
        <v>0</v>
      </c>
      <c r="U3178">
        <v>0</v>
      </c>
      <c r="V3178">
        <v>0</v>
      </c>
    </row>
    <row r="3179" spans="1:22" x14ac:dyDescent="0.2">
      <c r="A3179" t="s">
        <v>34</v>
      </c>
      <c r="B3179" t="s">
        <v>8167</v>
      </c>
      <c r="C3179" t="s">
        <v>2987</v>
      </c>
      <c r="D3179" t="s">
        <v>228</v>
      </c>
      <c r="E3179">
        <v>59.99</v>
      </c>
      <c r="F3179" t="s">
        <v>8118</v>
      </c>
      <c r="G3179">
        <v>3536</v>
      </c>
      <c r="H3179">
        <v>742</v>
      </c>
      <c r="I3179">
        <v>2794</v>
      </c>
      <c r="K3179">
        <v>3408</v>
      </c>
      <c r="L3179" t="s">
        <v>11</v>
      </c>
      <c r="M3179" t="s">
        <v>6520</v>
      </c>
      <c r="N3179">
        <v>1.1152416356877325E-2</v>
      </c>
      <c r="O3179">
        <v>89.666666666666671</v>
      </c>
      <c r="T3179">
        <v>89.666666666666671</v>
      </c>
      <c r="U3179">
        <v>10978.17</v>
      </c>
      <c r="V3179">
        <v>1</v>
      </c>
    </row>
    <row r="3180" spans="1:22" x14ac:dyDescent="0.2">
      <c r="A3180" t="s">
        <v>6607</v>
      </c>
      <c r="B3180" t="s">
        <v>8168</v>
      </c>
      <c r="C3180" t="s">
        <v>2987</v>
      </c>
      <c r="D3180" t="s">
        <v>96</v>
      </c>
      <c r="E3180">
        <v>59.99</v>
      </c>
      <c r="F3180" t="s">
        <v>8118</v>
      </c>
      <c r="L3180" t="s">
        <v>11</v>
      </c>
      <c r="M3180" t="s">
        <v>6609</v>
      </c>
      <c r="N3180">
        <v>0</v>
      </c>
      <c r="O3180">
        <v>0</v>
      </c>
      <c r="T3180">
        <v>0</v>
      </c>
      <c r="U3180">
        <v>0</v>
      </c>
      <c r="V3180">
        <v>0</v>
      </c>
    </row>
    <row r="3181" spans="1:22" x14ac:dyDescent="0.2">
      <c r="A3181" t="s">
        <v>6610</v>
      </c>
      <c r="B3181" t="s">
        <v>8169</v>
      </c>
      <c r="C3181" t="s">
        <v>2987</v>
      </c>
      <c r="D3181" t="s">
        <v>96</v>
      </c>
      <c r="E3181">
        <v>59.99</v>
      </c>
      <c r="F3181" t="s">
        <v>8118</v>
      </c>
      <c r="L3181" t="s">
        <v>11</v>
      </c>
      <c r="M3181" t="s">
        <v>6612</v>
      </c>
      <c r="N3181">
        <v>0</v>
      </c>
      <c r="O3181">
        <v>0</v>
      </c>
      <c r="T3181">
        <v>0</v>
      </c>
      <c r="U3181">
        <v>0</v>
      </c>
      <c r="V3181">
        <v>0</v>
      </c>
    </row>
    <row r="3182" spans="1:22" x14ac:dyDescent="0.2">
      <c r="A3182" t="s">
        <v>6706</v>
      </c>
      <c r="B3182" t="s">
        <v>8170</v>
      </c>
      <c r="C3182" t="s">
        <v>2987</v>
      </c>
      <c r="D3182" t="s">
        <v>96</v>
      </c>
      <c r="F3182" t="s">
        <v>8118</v>
      </c>
      <c r="L3182" t="s">
        <v>11</v>
      </c>
      <c r="M3182" t="s">
        <v>6708</v>
      </c>
      <c r="N3182">
        <v>0</v>
      </c>
      <c r="O3182">
        <v>0</v>
      </c>
      <c r="T3182">
        <v>0</v>
      </c>
      <c r="V3182">
        <v>0</v>
      </c>
    </row>
    <row r="3183" spans="1:22" x14ac:dyDescent="0.2">
      <c r="A3183" t="s">
        <v>6769</v>
      </c>
      <c r="B3183" t="s">
        <v>8171</v>
      </c>
      <c r="C3183" t="s">
        <v>2987</v>
      </c>
      <c r="D3183" t="s">
        <v>96</v>
      </c>
      <c r="E3183">
        <v>159.99</v>
      </c>
      <c r="F3183" t="s">
        <v>8118</v>
      </c>
      <c r="L3183" t="s">
        <v>11</v>
      </c>
      <c r="M3183" t="s">
        <v>6771</v>
      </c>
      <c r="N3183">
        <v>0</v>
      </c>
      <c r="O3183">
        <v>0</v>
      </c>
      <c r="T3183">
        <v>0</v>
      </c>
      <c r="U3183">
        <v>0</v>
      </c>
      <c r="V3183">
        <v>0</v>
      </c>
    </row>
    <row r="3184" spans="1:22" x14ac:dyDescent="0.2">
      <c r="A3184" t="s">
        <v>6651</v>
      </c>
      <c r="B3184" t="s">
        <v>8172</v>
      </c>
      <c r="C3184" t="s">
        <v>2987</v>
      </c>
      <c r="D3184" t="s">
        <v>96</v>
      </c>
      <c r="E3184">
        <v>119.99</v>
      </c>
      <c r="F3184" t="s">
        <v>8118</v>
      </c>
      <c r="L3184" t="s">
        <v>11</v>
      </c>
      <c r="M3184" t="s">
        <v>6653</v>
      </c>
      <c r="N3184">
        <v>0</v>
      </c>
      <c r="O3184">
        <v>0</v>
      </c>
      <c r="T3184">
        <v>0</v>
      </c>
      <c r="U3184">
        <v>0</v>
      </c>
      <c r="V3184">
        <v>0</v>
      </c>
    </row>
    <row r="3185" spans="1:22" x14ac:dyDescent="0.2">
      <c r="A3185" t="s">
        <v>6765</v>
      </c>
      <c r="B3185" t="s">
        <v>8173</v>
      </c>
      <c r="C3185" t="s">
        <v>2987</v>
      </c>
      <c r="D3185" t="s">
        <v>96</v>
      </c>
      <c r="E3185">
        <v>129.99</v>
      </c>
      <c r="F3185" t="s">
        <v>8118</v>
      </c>
      <c r="L3185" t="s">
        <v>11</v>
      </c>
      <c r="M3185" t="s">
        <v>6767</v>
      </c>
      <c r="N3185">
        <v>0</v>
      </c>
      <c r="O3185">
        <v>0</v>
      </c>
      <c r="T3185">
        <v>0</v>
      </c>
      <c r="U3185">
        <v>0</v>
      </c>
      <c r="V3185">
        <v>0</v>
      </c>
    </row>
    <row r="3186" spans="1:22" x14ac:dyDescent="0.2">
      <c r="A3186" t="s">
        <v>6750</v>
      </c>
      <c r="B3186" t="s">
        <v>8174</v>
      </c>
      <c r="C3186" t="s">
        <v>2987</v>
      </c>
      <c r="D3186" t="s">
        <v>96</v>
      </c>
      <c r="E3186">
        <v>74.989999999999995</v>
      </c>
      <c r="F3186" t="s">
        <v>8118</v>
      </c>
      <c r="L3186" t="s">
        <v>11</v>
      </c>
      <c r="M3186" t="s">
        <v>6752</v>
      </c>
      <c r="N3186">
        <v>0</v>
      </c>
      <c r="O3186">
        <v>0</v>
      </c>
      <c r="T3186">
        <v>0</v>
      </c>
      <c r="U3186">
        <v>0</v>
      </c>
      <c r="V3186">
        <v>0</v>
      </c>
    </row>
    <row r="3187" spans="1:22" x14ac:dyDescent="0.2">
      <c r="A3187" t="s">
        <v>6873</v>
      </c>
      <c r="B3187" t="s">
        <v>8175</v>
      </c>
      <c r="C3187" t="s">
        <v>2987</v>
      </c>
      <c r="D3187" t="s">
        <v>96</v>
      </c>
      <c r="E3187">
        <v>49.99</v>
      </c>
      <c r="F3187" t="s">
        <v>8118</v>
      </c>
      <c r="L3187" t="s">
        <v>11</v>
      </c>
      <c r="M3187" t="s">
        <v>6875</v>
      </c>
      <c r="N3187">
        <v>0</v>
      </c>
      <c r="O3187">
        <v>0</v>
      </c>
      <c r="T3187">
        <v>0</v>
      </c>
      <c r="U3187">
        <v>0</v>
      </c>
      <c r="V3187">
        <v>0</v>
      </c>
    </row>
    <row r="3188" spans="1:22" x14ac:dyDescent="0.2">
      <c r="A3188" t="s">
        <v>6876</v>
      </c>
      <c r="B3188" t="s">
        <v>8176</v>
      </c>
      <c r="C3188" t="s">
        <v>2987</v>
      </c>
      <c r="D3188" t="s">
        <v>96</v>
      </c>
      <c r="E3188">
        <v>49.99</v>
      </c>
      <c r="F3188" t="s">
        <v>8118</v>
      </c>
      <c r="L3188" t="s">
        <v>11</v>
      </c>
      <c r="M3188" t="s">
        <v>6878</v>
      </c>
      <c r="N3188">
        <v>0</v>
      </c>
      <c r="O3188">
        <v>0</v>
      </c>
      <c r="T3188">
        <v>0</v>
      </c>
      <c r="U3188">
        <v>0</v>
      </c>
      <c r="V3188">
        <v>0</v>
      </c>
    </row>
    <row r="3189" spans="1:22" x14ac:dyDescent="0.2">
      <c r="A3189" t="s">
        <v>3007</v>
      </c>
      <c r="B3189" t="s">
        <v>8177</v>
      </c>
      <c r="C3189" t="s">
        <v>2987</v>
      </c>
      <c r="D3189" t="s">
        <v>228</v>
      </c>
      <c r="E3189">
        <v>79.989999999999995</v>
      </c>
      <c r="F3189" t="s">
        <v>8118</v>
      </c>
      <c r="G3189">
        <v>1</v>
      </c>
      <c r="H3189">
        <v>1</v>
      </c>
      <c r="L3189" t="s">
        <v>11</v>
      </c>
      <c r="N3189">
        <v>0</v>
      </c>
      <c r="O3189">
        <v>0</v>
      </c>
      <c r="T3189">
        <v>0</v>
      </c>
      <c r="U3189">
        <v>0</v>
      </c>
      <c r="V3189">
        <v>0</v>
      </c>
    </row>
    <row r="3190" spans="1:22" x14ac:dyDescent="0.2">
      <c r="A3190" t="s">
        <v>3075</v>
      </c>
      <c r="B3190" t="s">
        <v>8178</v>
      </c>
      <c r="C3190" t="s">
        <v>2987</v>
      </c>
      <c r="D3190" t="s">
        <v>228</v>
      </c>
      <c r="E3190">
        <v>49.99</v>
      </c>
      <c r="F3190" t="s">
        <v>8118</v>
      </c>
      <c r="G3190">
        <v>7</v>
      </c>
      <c r="I3190">
        <v>7</v>
      </c>
      <c r="L3190" t="s">
        <v>11</v>
      </c>
      <c r="N3190">
        <v>0</v>
      </c>
      <c r="O3190">
        <v>0</v>
      </c>
      <c r="T3190">
        <v>0</v>
      </c>
      <c r="U3190">
        <v>0</v>
      </c>
      <c r="V3190">
        <v>0</v>
      </c>
    </row>
    <row r="3191" spans="1:22" x14ac:dyDescent="0.2">
      <c r="A3191" t="s">
        <v>6829</v>
      </c>
      <c r="B3191" t="s">
        <v>8179</v>
      </c>
      <c r="C3191" t="s">
        <v>2987</v>
      </c>
      <c r="D3191" t="s">
        <v>228</v>
      </c>
      <c r="E3191">
        <v>89.99</v>
      </c>
      <c r="F3191" t="s">
        <v>8118</v>
      </c>
      <c r="G3191">
        <v>7</v>
      </c>
      <c r="I3191">
        <v>7</v>
      </c>
      <c r="K3191">
        <v>12</v>
      </c>
      <c r="L3191" t="s">
        <v>11</v>
      </c>
      <c r="M3191" t="s">
        <v>6831</v>
      </c>
      <c r="N3191">
        <v>26</v>
      </c>
      <c r="O3191">
        <v>3.8461538461538464E-2</v>
      </c>
      <c r="T3191">
        <v>0.5</v>
      </c>
      <c r="U3191">
        <v>0</v>
      </c>
      <c r="V3191">
        <v>13</v>
      </c>
    </row>
    <row r="3192" spans="1:22" x14ac:dyDescent="0.2">
      <c r="A3192" t="s">
        <v>3011</v>
      </c>
      <c r="B3192" t="s">
        <v>8180</v>
      </c>
      <c r="C3192" t="s">
        <v>2987</v>
      </c>
      <c r="D3192" t="s">
        <v>228</v>
      </c>
      <c r="E3192">
        <v>79.989999999999995</v>
      </c>
      <c r="F3192" t="s">
        <v>8118</v>
      </c>
      <c r="G3192">
        <v>14</v>
      </c>
      <c r="H3192">
        <v>1</v>
      </c>
      <c r="I3192">
        <v>13</v>
      </c>
      <c r="L3192" t="s">
        <v>11</v>
      </c>
      <c r="M3192" t="s">
        <v>6530</v>
      </c>
      <c r="N3192">
        <v>0</v>
      </c>
      <c r="O3192">
        <v>0</v>
      </c>
      <c r="T3192">
        <v>0.2</v>
      </c>
      <c r="U3192">
        <v>79.989999999999995</v>
      </c>
      <c r="V3192">
        <v>0</v>
      </c>
    </row>
    <row r="3193" spans="1:22" x14ac:dyDescent="0.2">
      <c r="A3193" t="s">
        <v>3009</v>
      </c>
      <c r="B3193" t="s">
        <v>8181</v>
      </c>
      <c r="C3193" t="s">
        <v>2987</v>
      </c>
      <c r="D3193" t="s">
        <v>228</v>
      </c>
      <c r="E3193">
        <v>99.99</v>
      </c>
      <c r="F3193" t="s">
        <v>8118</v>
      </c>
      <c r="G3193">
        <v>22</v>
      </c>
      <c r="H3193">
        <v>1</v>
      </c>
      <c r="I3193">
        <v>21</v>
      </c>
      <c r="L3193" t="s">
        <v>11</v>
      </c>
      <c r="N3193">
        <v>0</v>
      </c>
      <c r="O3193">
        <v>0</v>
      </c>
      <c r="T3193">
        <v>0</v>
      </c>
      <c r="U3193">
        <v>0</v>
      </c>
      <c r="V3193">
        <v>0</v>
      </c>
    </row>
    <row r="3194" spans="1:22" x14ac:dyDescent="0.2">
      <c r="A3194" t="s">
        <v>6654</v>
      </c>
      <c r="B3194" t="s">
        <v>8182</v>
      </c>
      <c r="C3194" t="s">
        <v>2987</v>
      </c>
      <c r="D3194" t="s">
        <v>96</v>
      </c>
      <c r="E3194">
        <v>129.99</v>
      </c>
      <c r="F3194" t="s">
        <v>8118</v>
      </c>
      <c r="L3194" t="s">
        <v>11</v>
      </c>
      <c r="M3194" t="s">
        <v>6656</v>
      </c>
      <c r="N3194">
        <v>0</v>
      </c>
      <c r="O3194">
        <v>0</v>
      </c>
      <c r="T3194">
        <v>0</v>
      </c>
      <c r="U3194">
        <v>0</v>
      </c>
      <c r="V3194">
        <v>0</v>
      </c>
    </row>
    <row r="3195" spans="1:22" x14ac:dyDescent="0.2">
      <c r="A3195" t="s">
        <v>6690</v>
      </c>
      <c r="B3195" t="s">
        <v>8183</v>
      </c>
      <c r="C3195" t="s">
        <v>2987</v>
      </c>
      <c r="D3195" t="s">
        <v>96</v>
      </c>
      <c r="E3195">
        <v>74.989999999999995</v>
      </c>
      <c r="F3195" t="s">
        <v>8118</v>
      </c>
      <c r="L3195" t="s">
        <v>11</v>
      </c>
      <c r="M3195" t="s">
        <v>6692</v>
      </c>
      <c r="N3195">
        <v>0</v>
      </c>
      <c r="O3195">
        <v>0</v>
      </c>
      <c r="T3195">
        <v>0</v>
      </c>
      <c r="U3195">
        <v>0</v>
      </c>
      <c r="V3195">
        <v>0</v>
      </c>
    </row>
    <row r="3196" spans="1:22" x14ac:dyDescent="0.2">
      <c r="A3196" t="s">
        <v>6744</v>
      </c>
      <c r="B3196" t="s">
        <v>8184</v>
      </c>
      <c r="C3196" t="s">
        <v>2987</v>
      </c>
      <c r="D3196" t="s">
        <v>96</v>
      </c>
      <c r="E3196">
        <v>74.989999999999995</v>
      </c>
      <c r="F3196" t="s">
        <v>8118</v>
      </c>
      <c r="L3196" t="s">
        <v>11</v>
      </c>
      <c r="M3196" t="s">
        <v>6746</v>
      </c>
      <c r="N3196">
        <v>0</v>
      </c>
      <c r="O3196">
        <v>0</v>
      </c>
      <c r="T3196">
        <v>0</v>
      </c>
      <c r="U3196">
        <v>0</v>
      </c>
      <c r="V3196">
        <v>0</v>
      </c>
    </row>
    <row r="3197" spans="1:22" x14ac:dyDescent="0.2">
      <c r="A3197" t="s">
        <v>6744</v>
      </c>
      <c r="B3197" t="s">
        <v>8184</v>
      </c>
      <c r="C3197" t="s">
        <v>2987</v>
      </c>
      <c r="D3197" t="s">
        <v>96</v>
      </c>
      <c r="E3197">
        <v>74.989999999999995</v>
      </c>
      <c r="F3197" t="s">
        <v>8118</v>
      </c>
      <c r="L3197" t="s">
        <v>11</v>
      </c>
      <c r="M3197" t="s">
        <v>6746</v>
      </c>
      <c r="N3197">
        <v>0</v>
      </c>
      <c r="O3197">
        <v>0</v>
      </c>
      <c r="T3197">
        <v>0</v>
      </c>
      <c r="U3197">
        <v>0</v>
      </c>
      <c r="V3197">
        <v>0</v>
      </c>
    </row>
    <row r="3198" spans="1:22" x14ac:dyDescent="0.2">
      <c r="A3198" t="s">
        <v>6759</v>
      </c>
      <c r="B3198" t="s">
        <v>8185</v>
      </c>
      <c r="C3198" t="s">
        <v>2987</v>
      </c>
      <c r="D3198" t="s">
        <v>96</v>
      </c>
      <c r="E3198">
        <v>74.989999999999995</v>
      </c>
      <c r="F3198" t="s">
        <v>8118</v>
      </c>
      <c r="L3198" t="s">
        <v>11</v>
      </c>
      <c r="M3198" t="s">
        <v>6761</v>
      </c>
      <c r="N3198">
        <v>0</v>
      </c>
      <c r="O3198">
        <v>0</v>
      </c>
      <c r="T3198">
        <v>0</v>
      </c>
      <c r="U3198">
        <v>0</v>
      </c>
      <c r="V3198">
        <v>0</v>
      </c>
    </row>
    <row r="3199" spans="1:22" x14ac:dyDescent="0.2">
      <c r="A3199" t="s">
        <v>6702</v>
      </c>
      <c r="B3199" t="s">
        <v>8186</v>
      </c>
      <c r="C3199" t="s">
        <v>2987</v>
      </c>
      <c r="D3199" t="s">
        <v>228</v>
      </c>
      <c r="E3199">
        <v>99.99</v>
      </c>
      <c r="F3199" t="s">
        <v>8118</v>
      </c>
      <c r="G3199">
        <v>15</v>
      </c>
      <c r="I3199">
        <v>15</v>
      </c>
      <c r="L3199" t="s">
        <v>11</v>
      </c>
      <c r="M3199" t="s">
        <v>6704</v>
      </c>
      <c r="N3199">
        <v>42</v>
      </c>
      <c r="O3199">
        <v>2.3809523809523808E-2</v>
      </c>
      <c r="T3199">
        <v>0.5</v>
      </c>
      <c r="U3199">
        <v>0</v>
      </c>
      <c r="V3199">
        <v>21</v>
      </c>
    </row>
    <row r="3200" spans="1:22" x14ac:dyDescent="0.2">
      <c r="A3200" t="s">
        <v>6747</v>
      </c>
      <c r="B3200" t="s">
        <v>8187</v>
      </c>
      <c r="C3200" t="s">
        <v>2987</v>
      </c>
      <c r="D3200" t="s">
        <v>96</v>
      </c>
      <c r="E3200">
        <v>74.989999999999995</v>
      </c>
      <c r="F3200" t="s">
        <v>8118</v>
      </c>
      <c r="L3200" t="s">
        <v>11</v>
      </c>
      <c r="M3200" t="s">
        <v>6749</v>
      </c>
      <c r="N3200">
        <v>0</v>
      </c>
      <c r="O3200">
        <v>0</v>
      </c>
      <c r="T3200">
        <v>0</v>
      </c>
      <c r="U3200">
        <v>0</v>
      </c>
      <c r="V3200">
        <v>0</v>
      </c>
    </row>
    <row r="3201" spans="1:22" x14ac:dyDescent="0.2">
      <c r="A3201" t="s">
        <v>6900</v>
      </c>
      <c r="B3201" t="s">
        <v>8188</v>
      </c>
      <c r="C3201" t="s">
        <v>2987</v>
      </c>
      <c r="D3201" t="s">
        <v>228</v>
      </c>
      <c r="E3201">
        <v>99.99</v>
      </c>
      <c r="F3201" t="s">
        <v>8118</v>
      </c>
      <c r="G3201">
        <v>8</v>
      </c>
      <c r="I3201">
        <v>8</v>
      </c>
      <c r="L3201" t="s">
        <v>11</v>
      </c>
      <c r="M3201" t="s">
        <v>6902</v>
      </c>
      <c r="N3201">
        <v>1.7999999999999998</v>
      </c>
      <c r="O3201">
        <v>0.55555555555555558</v>
      </c>
      <c r="T3201">
        <v>0.55555555555555558</v>
      </c>
      <c r="U3201">
        <v>0</v>
      </c>
      <c r="V3201">
        <v>1</v>
      </c>
    </row>
    <row r="3202" spans="1:22" x14ac:dyDescent="0.2">
      <c r="A3202" t="s">
        <v>3069</v>
      </c>
      <c r="B3202" t="s">
        <v>8189</v>
      </c>
      <c r="C3202" t="s">
        <v>2987</v>
      </c>
      <c r="D3202" t="s">
        <v>290</v>
      </c>
      <c r="E3202">
        <v>89.99</v>
      </c>
      <c r="F3202" t="s">
        <v>8118</v>
      </c>
      <c r="L3202" t="s">
        <v>11</v>
      </c>
      <c r="M3202" t="s">
        <v>6904</v>
      </c>
      <c r="N3202">
        <v>28</v>
      </c>
      <c r="O3202">
        <v>3.5714285714285712E-2</v>
      </c>
      <c r="T3202">
        <v>0.25</v>
      </c>
      <c r="U3202">
        <v>0</v>
      </c>
      <c r="V3202">
        <v>7</v>
      </c>
    </row>
    <row r="3203" spans="1:22" x14ac:dyDescent="0.2">
      <c r="A3203" t="s">
        <v>3071</v>
      </c>
      <c r="B3203" t="s">
        <v>8190</v>
      </c>
      <c r="C3203" t="s">
        <v>2987</v>
      </c>
      <c r="D3203" t="s">
        <v>228</v>
      </c>
      <c r="E3203">
        <v>199.99</v>
      </c>
      <c r="F3203" t="s">
        <v>8118</v>
      </c>
      <c r="G3203">
        <v>15</v>
      </c>
      <c r="I3203">
        <v>15</v>
      </c>
      <c r="L3203" t="s">
        <v>11</v>
      </c>
      <c r="M3203" t="s">
        <v>6772</v>
      </c>
      <c r="N3203">
        <v>12</v>
      </c>
      <c r="O3203">
        <v>8.3333333333333329E-2</v>
      </c>
      <c r="T3203">
        <v>0.16666666666666666</v>
      </c>
      <c r="U3203">
        <v>0</v>
      </c>
      <c r="V3203">
        <v>2</v>
      </c>
    </row>
    <row r="3204" spans="1:22" x14ac:dyDescent="0.2">
      <c r="A3204" t="s">
        <v>3073</v>
      </c>
      <c r="B3204" t="s">
        <v>8191</v>
      </c>
      <c r="C3204" t="s">
        <v>2987</v>
      </c>
      <c r="D3204" t="s">
        <v>228</v>
      </c>
      <c r="E3204">
        <v>199.99</v>
      </c>
      <c r="F3204" t="s">
        <v>8118</v>
      </c>
      <c r="G3204">
        <v>41</v>
      </c>
      <c r="I3204">
        <v>41</v>
      </c>
      <c r="L3204" t="s">
        <v>11</v>
      </c>
      <c r="M3204" t="s">
        <v>6906</v>
      </c>
      <c r="N3204">
        <v>0</v>
      </c>
      <c r="O3204">
        <v>0</v>
      </c>
      <c r="T3204">
        <v>0</v>
      </c>
      <c r="U3204">
        <v>0</v>
      </c>
      <c r="V3204">
        <v>1</v>
      </c>
    </row>
    <row r="3205" spans="1:22" x14ac:dyDescent="0.2">
      <c r="A3205" t="s">
        <v>6861</v>
      </c>
      <c r="B3205" t="s">
        <v>8192</v>
      </c>
      <c r="C3205" t="s">
        <v>2987</v>
      </c>
      <c r="D3205" t="s">
        <v>96</v>
      </c>
      <c r="E3205">
        <v>159.99</v>
      </c>
      <c r="F3205" t="s">
        <v>8118</v>
      </c>
      <c r="L3205" t="s">
        <v>11</v>
      </c>
      <c r="M3205" t="s">
        <v>6863</v>
      </c>
      <c r="N3205">
        <v>0</v>
      </c>
      <c r="O3205">
        <v>0</v>
      </c>
      <c r="T3205">
        <v>0</v>
      </c>
      <c r="U3205">
        <v>0</v>
      </c>
      <c r="V3205">
        <v>0</v>
      </c>
    </row>
    <row r="3206" spans="1:22" x14ac:dyDescent="0.2">
      <c r="A3206" t="s">
        <v>6756</v>
      </c>
      <c r="B3206" t="s">
        <v>8193</v>
      </c>
      <c r="C3206" t="s">
        <v>2987</v>
      </c>
      <c r="D3206" t="s">
        <v>96</v>
      </c>
      <c r="E3206">
        <v>74.989999999999995</v>
      </c>
      <c r="F3206" t="s">
        <v>8118</v>
      </c>
      <c r="L3206" t="s">
        <v>11</v>
      </c>
      <c r="M3206" t="s">
        <v>6758</v>
      </c>
      <c r="N3206">
        <v>0</v>
      </c>
      <c r="O3206">
        <v>0</v>
      </c>
      <c r="T3206">
        <v>0</v>
      </c>
      <c r="U3206">
        <v>0</v>
      </c>
      <c r="V3206">
        <v>0</v>
      </c>
    </row>
    <row r="3207" spans="1:22" x14ac:dyDescent="0.2">
      <c r="A3207" t="s">
        <v>6753</v>
      </c>
      <c r="B3207" t="s">
        <v>8194</v>
      </c>
      <c r="C3207" t="s">
        <v>2987</v>
      </c>
      <c r="D3207" t="s">
        <v>96</v>
      </c>
      <c r="E3207">
        <v>74.989999999999995</v>
      </c>
      <c r="F3207" t="s">
        <v>8118</v>
      </c>
      <c r="L3207" t="s">
        <v>11</v>
      </c>
      <c r="M3207" t="s">
        <v>6755</v>
      </c>
      <c r="N3207">
        <v>0</v>
      </c>
      <c r="O3207">
        <v>0</v>
      </c>
      <c r="T3207">
        <v>0</v>
      </c>
      <c r="U3207">
        <v>0</v>
      </c>
      <c r="V3207">
        <v>0</v>
      </c>
    </row>
    <row r="3208" spans="1:22" x14ac:dyDescent="0.2">
      <c r="A3208" t="s">
        <v>6713</v>
      </c>
      <c r="B3208" t="s">
        <v>8195</v>
      </c>
      <c r="C3208" t="s">
        <v>2987</v>
      </c>
      <c r="D3208" t="s">
        <v>96</v>
      </c>
      <c r="E3208">
        <v>99.99</v>
      </c>
      <c r="F3208" t="s">
        <v>8118</v>
      </c>
      <c r="L3208" t="s">
        <v>11</v>
      </c>
      <c r="M3208" t="s">
        <v>6715</v>
      </c>
      <c r="N3208">
        <v>0</v>
      </c>
      <c r="O3208">
        <v>0</v>
      </c>
      <c r="T3208">
        <v>0</v>
      </c>
      <c r="U3208">
        <v>0</v>
      </c>
      <c r="V3208">
        <v>0</v>
      </c>
    </row>
    <row r="3209" spans="1:22" x14ac:dyDescent="0.2">
      <c r="A3209" t="s">
        <v>6716</v>
      </c>
      <c r="B3209" t="s">
        <v>8196</v>
      </c>
      <c r="C3209" t="s">
        <v>2987</v>
      </c>
      <c r="D3209" t="s">
        <v>96</v>
      </c>
      <c r="E3209">
        <v>99.99</v>
      </c>
      <c r="F3209" t="s">
        <v>8118</v>
      </c>
      <c r="L3209" t="s">
        <v>11</v>
      </c>
      <c r="M3209" t="s">
        <v>6718</v>
      </c>
      <c r="N3209">
        <v>0</v>
      </c>
      <c r="O3209">
        <v>0</v>
      </c>
      <c r="T3209">
        <v>0</v>
      </c>
      <c r="U3209">
        <v>0</v>
      </c>
      <c r="V3209">
        <v>0</v>
      </c>
    </row>
    <row r="3210" spans="1:22" x14ac:dyDescent="0.2">
      <c r="A3210" t="s">
        <v>6637</v>
      </c>
      <c r="B3210" t="s">
        <v>8197</v>
      </c>
      <c r="C3210" t="s">
        <v>2987</v>
      </c>
      <c r="D3210" t="s">
        <v>96</v>
      </c>
      <c r="E3210">
        <v>44.99</v>
      </c>
      <c r="F3210" t="s">
        <v>8118</v>
      </c>
      <c r="L3210" t="s">
        <v>11</v>
      </c>
      <c r="M3210" t="s">
        <v>6639</v>
      </c>
      <c r="N3210">
        <v>0</v>
      </c>
      <c r="O3210">
        <v>0</v>
      </c>
      <c r="T3210">
        <v>0</v>
      </c>
      <c r="U3210">
        <v>0</v>
      </c>
      <c r="V3210">
        <v>0</v>
      </c>
    </row>
    <row r="3211" spans="1:22" x14ac:dyDescent="0.2">
      <c r="A3211" t="s">
        <v>6634</v>
      </c>
      <c r="B3211" t="s">
        <v>8198</v>
      </c>
      <c r="C3211" t="s">
        <v>2987</v>
      </c>
      <c r="D3211" t="s">
        <v>96</v>
      </c>
      <c r="F3211" t="s">
        <v>8118</v>
      </c>
      <c r="L3211" t="s">
        <v>11</v>
      </c>
      <c r="M3211" t="s">
        <v>6636</v>
      </c>
      <c r="N3211">
        <v>0</v>
      </c>
      <c r="O3211">
        <v>0</v>
      </c>
      <c r="T3211">
        <v>0</v>
      </c>
      <c r="V3211">
        <v>0</v>
      </c>
    </row>
    <row r="3212" spans="1:22" x14ac:dyDescent="0.2">
      <c r="A3212" t="s">
        <v>6687</v>
      </c>
      <c r="B3212" t="s">
        <v>8199</v>
      </c>
      <c r="C3212" t="s">
        <v>2987</v>
      </c>
      <c r="D3212" t="s">
        <v>96</v>
      </c>
      <c r="E3212">
        <v>139.99</v>
      </c>
      <c r="F3212" t="s">
        <v>8118</v>
      </c>
      <c r="L3212" t="s">
        <v>11</v>
      </c>
      <c r="M3212" t="s">
        <v>6689</v>
      </c>
      <c r="N3212">
        <v>0</v>
      </c>
      <c r="O3212">
        <v>0</v>
      </c>
      <c r="T3212">
        <v>0</v>
      </c>
      <c r="U3212">
        <v>0</v>
      </c>
      <c r="V3212">
        <v>0</v>
      </c>
    </row>
    <row r="3213" spans="1:22" x14ac:dyDescent="0.2">
      <c r="A3213" t="s">
        <v>6595</v>
      </c>
      <c r="B3213" t="s">
        <v>8200</v>
      </c>
      <c r="C3213" t="s">
        <v>2987</v>
      </c>
      <c r="D3213" t="s">
        <v>96</v>
      </c>
      <c r="E3213">
        <v>59.99</v>
      </c>
      <c r="F3213" t="s">
        <v>8118</v>
      </c>
      <c r="L3213" t="s">
        <v>11</v>
      </c>
      <c r="M3213" t="s">
        <v>6597</v>
      </c>
      <c r="N3213">
        <v>0</v>
      </c>
      <c r="O3213">
        <v>0</v>
      </c>
      <c r="T3213">
        <v>0</v>
      </c>
      <c r="U3213">
        <v>0</v>
      </c>
      <c r="V3213">
        <v>0</v>
      </c>
    </row>
    <row r="3214" spans="1:22" x14ac:dyDescent="0.2">
      <c r="A3214" t="s">
        <v>6694</v>
      </c>
      <c r="B3214" t="s">
        <v>8201</v>
      </c>
      <c r="C3214" t="s">
        <v>2987</v>
      </c>
      <c r="D3214" t="s">
        <v>290</v>
      </c>
      <c r="E3214">
        <v>49.99</v>
      </c>
      <c r="F3214" t="s">
        <v>8118</v>
      </c>
      <c r="L3214" t="s">
        <v>11</v>
      </c>
      <c r="M3214" t="s">
        <v>6696</v>
      </c>
      <c r="N3214">
        <v>8</v>
      </c>
      <c r="O3214">
        <v>0.125</v>
      </c>
      <c r="T3214">
        <v>0.125</v>
      </c>
      <c r="U3214">
        <v>0</v>
      </c>
      <c r="V3214">
        <v>1</v>
      </c>
    </row>
    <row r="3215" spans="1:22" x14ac:dyDescent="0.2">
      <c r="A3215" t="s">
        <v>3005</v>
      </c>
      <c r="B3215" t="s">
        <v>8202</v>
      </c>
      <c r="C3215" t="s">
        <v>2987</v>
      </c>
      <c r="D3215" t="s">
        <v>290</v>
      </c>
      <c r="E3215">
        <v>49.99</v>
      </c>
      <c r="F3215" t="s">
        <v>8118</v>
      </c>
      <c r="G3215">
        <v>14</v>
      </c>
      <c r="I3215">
        <v>14</v>
      </c>
      <c r="L3215" t="s">
        <v>11</v>
      </c>
      <c r="M3215" t="s">
        <v>6697</v>
      </c>
      <c r="N3215">
        <v>0</v>
      </c>
      <c r="O3215">
        <v>0</v>
      </c>
      <c r="T3215">
        <v>0</v>
      </c>
      <c r="U3215">
        <v>0</v>
      </c>
      <c r="V3215">
        <v>0</v>
      </c>
    </row>
    <row r="3216" spans="1:22" x14ac:dyDescent="0.2">
      <c r="A3216" t="s">
        <v>6580</v>
      </c>
      <c r="B3216" t="s">
        <v>8203</v>
      </c>
      <c r="C3216" t="s">
        <v>2987</v>
      </c>
      <c r="D3216" t="s">
        <v>96</v>
      </c>
      <c r="E3216">
        <v>59.99</v>
      </c>
      <c r="F3216" t="s">
        <v>8118</v>
      </c>
      <c r="L3216" t="s">
        <v>11</v>
      </c>
      <c r="M3216" t="s">
        <v>6582</v>
      </c>
      <c r="N3216">
        <v>5</v>
      </c>
      <c r="O3216">
        <v>0.2</v>
      </c>
      <c r="T3216">
        <v>0.4</v>
      </c>
      <c r="U3216">
        <v>59.99</v>
      </c>
      <c r="V3216">
        <v>2</v>
      </c>
    </row>
    <row r="3217" spans="1:22" x14ac:dyDescent="0.2">
      <c r="A3217" t="s">
        <v>6678</v>
      </c>
      <c r="B3217" t="s">
        <v>8204</v>
      </c>
      <c r="C3217" t="s">
        <v>2987</v>
      </c>
      <c r="D3217" t="s">
        <v>96</v>
      </c>
      <c r="E3217">
        <v>59.99</v>
      </c>
      <c r="F3217" t="s">
        <v>8118</v>
      </c>
      <c r="L3217" t="s">
        <v>11</v>
      </c>
      <c r="M3217" t="s">
        <v>6680</v>
      </c>
      <c r="N3217">
        <v>0</v>
      </c>
      <c r="O3217">
        <v>0</v>
      </c>
      <c r="T3217">
        <v>0</v>
      </c>
      <c r="U3217">
        <v>0</v>
      </c>
      <c r="V3217">
        <v>0</v>
      </c>
    </row>
    <row r="3218" spans="1:22" x14ac:dyDescent="0.2">
      <c r="A3218" t="s">
        <v>6583</v>
      </c>
      <c r="B3218" t="s">
        <v>8205</v>
      </c>
      <c r="C3218" t="s">
        <v>2987</v>
      </c>
      <c r="D3218" t="s">
        <v>96</v>
      </c>
      <c r="E3218">
        <v>89.99</v>
      </c>
      <c r="F3218" t="s">
        <v>8118</v>
      </c>
      <c r="L3218" t="s">
        <v>11</v>
      </c>
      <c r="M3218" t="s">
        <v>6585</v>
      </c>
      <c r="N3218">
        <v>0</v>
      </c>
      <c r="O3218">
        <v>0</v>
      </c>
      <c r="T3218">
        <v>0</v>
      </c>
      <c r="U3218">
        <v>0</v>
      </c>
      <c r="V3218">
        <v>0</v>
      </c>
    </row>
    <row r="3219" spans="1:22" x14ac:dyDescent="0.2">
      <c r="A3219" t="s">
        <v>6571</v>
      </c>
      <c r="B3219" t="s">
        <v>8206</v>
      </c>
      <c r="C3219" t="s">
        <v>2987</v>
      </c>
      <c r="D3219" t="s">
        <v>96</v>
      </c>
      <c r="E3219">
        <v>99.99</v>
      </c>
      <c r="F3219" t="s">
        <v>8118</v>
      </c>
      <c r="L3219" t="s">
        <v>11</v>
      </c>
      <c r="M3219" t="s">
        <v>6573</v>
      </c>
      <c r="N3219">
        <v>0</v>
      </c>
      <c r="O3219">
        <v>0</v>
      </c>
      <c r="T3219">
        <v>0</v>
      </c>
      <c r="U3219">
        <v>0</v>
      </c>
      <c r="V3219">
        <v>0</v>
      </c>
    </row>
    <row r="3220" spans="1:22" x14ac:dyDescent="0.2">
      <c r="A3220" t="s">
        <v>6663</v>
      </c>
      <c r="B3220" t="s">
        <v>8207</v>
      </c>
      <c r="C3220" t="s">
        <v>2987</v>
      </c>
      <c r="D3220" t="s">
        <v>96</v>
      </c>
      <c r="E3220">
        <v>89.99</v>
      </c>
      <c r="F3220" t="s">
        <v>8118</v>
      </c>
      <c r="L3220" t="s">
        <v>11</v>
      </c>
      <c r="M3220" t="s">
        <v>6665</v>
      </c>
      <c r="N3220">
        <v>5.333333333333333</v>
      </c>
      <c r="O3220">
        <v>0.1875</v>
      </c>
      <c r="T3220">
        <v>0.375</v>
      </c>
      <c r="U3220">
        <v>89.99</v>
      </c>
      <c r="V3220">
        <v>2</v>
      </c>
    </row>
    <row r="3221" spans="1:22" x14ac:dyDescent="0.2">
      <c r="A3221" t="s">
        <v>6888</v>
      </c>
      <c r="B3221" t="s">
        <v>8208</v>
      </c>
      <c r="C3221" t="s">
        <v>2987</v>
      </c>
      <c r="D3221" t="s">
        <v>96</v>
      </c>
      <c r="E3221">
        <v>89.99</v>
      </c>
      <c r="F3221" t="s">
        <v>8118</v>
      </c>
      <c r="L3221" t="s">
        <v>11</v>
      </c>
      <c r="M3221" t="s">
        <v>6890</v>
      </c>
      <c r="N3221">
        <v>0</v>
      </c>
      <c r="O3221">
        <v>0</v>
      </c>
      <c r="T3221">
        <v>0</v>
      </c>
      <c r="U3221">
        <v>0</v>
      </c>
      <c r="V3221">
        <v>0</v>
      </c>
    </row>
    <row r="3222" spans="1:22" x14ac:dyDescent="0.2">
      <c r="A3222" t="s">
        <v>6669</v>
      </c>
      <c r="B3222" t="s">
        <v>8209</v>
      </c>
      <c r="C3222" t="s">
        <v>2987</v>
      </c>
      <c r="D3222" t="s">
        <v>96</v>
      </c>
      <c r="F3222" t="s">
        <v>8118</v>
      </c>
      <c r="L3222" t="s">
        <v>11</v>
      </c>
      <c r="M3222" t="s">
        <v>6671</v>
      </c>
      <c r="N3222">
        <v>0</v>
      </c>
      <c r="O3222">
        <v>0</v>
      </c>
      <c r="T3222">
        <v>0</v>
      </c>
      <c r="V3222">
        <v>0</v>
      </c>
    </row>
    <row r="3223" spans="1:22" x14ac:dyDescent="0.2">
      <c r="A3223" t="s">
        <v>6619</v>
      </c>
      <c r="B3223" t="s">
        <v>8210</v>
      </c>
      <c r="C3223" t="s">
        <v>2987</v>
      </c>
      <c r="D3223" t="s">
        <v>96</v>
      </c>
      <c r="E3223">
        <v>89.99</v>
      </c>
      <c r="F3223" t="s">
        <v>8118</v>
      </c>
      <c r="L3223" t="s">
        <v>11</v>
      </c>
      <c r="M3223" t="s">
        <v>6621</v>
      </c>
      <c r="N3223">
        <v>0</v>
      </c>
      <c r="O3223">
        <v>0</v>
      </c>
      <c r="T3223">
        <v>0</v>
      </c>
      <c r="U3223">
        <v>0</v>
      </c>
      <c r="V3223">
        <v>0</v>
      </c>
    </row>
    <row r="3224" spans="1:22" x14ac:dyDescent="0.2">
      <c r="A3224" t="s">
        <v>6631</v>
      </c>
      <c r="B3224" t="s">
        <v>8211</v>
      </c>
      <c r="C3224" t="s">
        <v>2987</v>
      </c>
      <c r="D3224" t="s">
        <v>96</v>
      </c>
      <c r="E3224">
        <v>99.99</v>
      </c>
      <c r="F3224" t="s">
        <v>8118</v>
      </c>
      <c r="L3224" t="s">
        <v>11</v>
      </c>
      <c r="M3224" t="s">
        <v>6633</v>
      </c>
      <c r="N3224">
        <v>0</v>
      </c>
      <c r="O3224">
        <v>0</v>
      </c>
      <c r="T3224">
        <v>0</v>
      </c>
      <c r="U3224">
        <v>0</v>
      </c>
      <c r="V3224">
        <v>0</v>
      </c>
    </row>
    <row r="3225" spans="1:22" x14ac:dyDescent="0.2">
      <c r="A3225" t="s">
        <v>6622</v>
      </c>
      <c r="B3225" t="s">
        <v>8212</v>
      </c>
      <c r="C3225" t="s">
        <v>2987</v>
      </c>
      <c r="D3225" t="s">
        <v>96</v>
      </c>
      <c r="F3225" t="s">
        <v>8118</v>
      </c>
      <c r="L3225" t="s">
        <v>11</v>
      </c>
      <c r="M3225" t="s">
        <v>6624</v>
      </c>
      <c r="N3225">
        <v>0</v>
      </c>
      <c r="O3225">
        <v>0</v>
      </c>
      <c r="T3225">
        <v>0</v>
      </c>
      <c r="V3225">
        <v>0</v>
      </c>
    </row>
    <row r="3226" spans="1:22" x14ac:dyDescent="0.2">
      <c r="A3226" t="s">
        <v>6858</v>
      </c>
      <c r="B3226" t="s">
        <v>6859</v>
      </c>
      <c r="C3226" t="s">
        <v>2987</v>
      </c>
      <c r="D3226" t="s">
        <v>96</v>
      </c>
      <c r="E3226">
        <v>139.99</v>
      </c>
      <c r="F3226" t="s">
        <v>8118</v>
      </c>
      <c r="L3226" t="s">
        <v>11</v>
      </c>
      <c r="M3226" t="s">
        <v>6860</v>
      </c>
      <c r="N3226">
        <v>0</v>
      </c>
      <c r="O3226">
        <v>0</v>
      </c>
      <c r="T3226">
        <v>0</v>
      </c>
      <c r="U3226">
        <v>0</v>
      </c>
      <c r="V3226">
        <v>0</v>
      </c>
    </row>
    <row r="3227" spans="1:22" x14ac:dyDescent="0.2">
      <c r="A3227" t="s">
        <v>6866</v>
      </c>
      <c r="B3227" t="s">
        <v>8213</v>
      </c>
      <c r="C3227" t="s">
        <v>2987</v>
      </c>
      <c r="D3227" t="s">
        <v>96</v>
      </c>
      <c r="E3227">
        <v>119.99</v>
      </c>
      <c r="F3227" t="s">
        <v>8118</v>
      </c>
      <c r="L3227" t="s">
        <v>11</v>
      </c>
      <c r="M3227" t="s">
        <v>6868</v>
      </c>
      <c r="N3227">
        <v>6.666666666666667</v>
      </c>
      <c r="O3227">
        <v>0.15</v>
      </c>
      <c r="T3227">
        <v>0.3</v>
      </c>
      <c r="U3227">
        <v>0</v>
      </c>
      <c r="V3227">
        <v>2</v>
      </c>
    </row>
    <row r="3228" spans="1:22" x14ac:dyDescent="0.2">
      <c r="A3228" t="s">
        <v>3021</v>
      </c>
      <c r="B3228" t="s">
        <v>8214</v>
      </c>
      <c r="C3228" t="s">
        <v>2987</v>
      </c>
      <c r="D3228" t="s">
        <v>228</v>
      </c>
      <c r="E3228">
        <v>139.99</v>
      </c>
      <c r="F3228" t="s">
        <v>8118</v>
      </c>
      <c r="G3228">
        <v>48</v>
      </c>
      <c r="I3228">
        <v>48</v>
      </c>
      <c r="K3228">
        <v>36</v>
      </c>
      <c r="L3228" t="s">
        <v>11</v>
      </c>
      <c r="M3228" t="s">
        <v>6486</v>
      </c>
      <c r="N3228">
        <v>4.9090909090909092</v>
      </c>
      <c r="O3228">
        <v>0.20370370370370369</v>
      </c>
      <c r="T3228">
        <v>1.8333333333333333</v>
      </c>
      <c r="U3228">
        <v>0</v>
      </c>
      <c r="V3228">
        <v>9</v>
      </c>
    </row>
    <row r="3229" spans="1:22" x14ac:dyDescent="0.2">
      <c r="A3229" t="s">
        <v>3035</v>
      </c>
      <c r="B3229" t="s">
        <v>8215</v>
      </c>
      <c r="C3229" t="s">
        <v>2987</v>
      </c>
      <c r="D3229" t="s">
        <v>290</v>
      </c>
      <c r="E3229">
        <v>139.99</v>
      </c>
      <c r="F3229" t="s">
        <v>8118</v>
      </c>
      <c r="G3229">
        <v>26</v>
      </c>
      <c r="H3229">
        <v>2</v>
      </c>
      <c r="I3229">
        <v>24</v>
      </c>
      <c r="L3229" t="s">
        <v>11</v>
      </c>
      <c r="M3229" t="s">
        <v>6762</v>
      </c>
      <c r="N3229">
        <v>12</v>
      </c>
      <c r="O3229">
        <v>8.3333333333333329E-2</v>
      </c>
      <c r="T3229">
        <v>0.75</v>
      </c>
      <c r="U3229">
        <v>559.96</v>
      </c>
      <c r="V3229">
        <v>9</v>
      </c>
    </row>
    <row r="3230" spans="1:22" x14ac:dyDescent="0.2">
      <c r="A3230" t="s">
        <v>6927</v>
      </c>
      <c r="B3230" t="s">
        <v>8216</v>
      </c>
      <c r="C3230" t="s">
        <v>2987</v>
      </c>
      <c r="D3230" t="s">
        <v>290</v>
      </c>
      <c r="E3230">
        <v>139.99</v>
      </c>
      <c r="F3230" t="s">
        <v>8118</v>
      </c>
      <c r="G3230">
        <v>5</v>
      </c>
      <c r="H3230">
        <v>1</v>
      </c>
      <c r="I3230">
        <v>4</v>
      </c>
      <c r="L3230" t="s">
        <v>11</v>
      </c>
      <c r="M3230" t="s">
        <v>6929</v>
      </c>
      <c r="N3230">
        <v>7</v>
      </c>
      <c r="O3230">
        <v>0.14285714285714285</v>
      </c>
      <c r="T3230">
        <v>0.42857142857142855</v>
      </c>
      <c r="U3230">
        <v>139.99</v>
      </c>
      <c r="V3230">
        <v>3</v>
      </c>
    </row>
    <row r="3231" spans="1:22" x14ac:dyDescent="0.2">
      <c r="A3231" t="s">
        <v>3037</v>
      </c>
      <c r="B3231" t="s">
        <v>8217</v>
      </c>
      <c r="C3231" t="s">
        <v>2987</v>
      </c>
      <c r="D3231" t="s">
        <v>228</v>
      </c>
      <c r="E3231">
        <v>79.989999999999995</v>
      </c>
      <c r="F3231" t="s">
        <v>8118</v>
      </c>
      <c r="G3231">
        <v>243</v>
      </c>
      <c r="H3231">
        <v>13</v>
      </c>
      <c r="I3231">
        <v>230</v>
      </c>
      <c r="K3231">
        <v>36</v>
      </c>
      <c r="L3231" t="s">
        <v>11</v>
      </c>
      <c r="M3231" t="s">
        <v>6512</v>
      </c>
      <c r="N3231">
        <v>4.4000000000000004</v>
      </c>
      <c r="O3231">
        <v>0.22727272727272729</v>
      </c>
      <c r="T3231">
        <v>0.90909090909090917</v>
      </c>
      <c r="U3231">
        <v>159.97999999999999</v>
      </c>
      <c r="V3231">
        <v>4</v>
      </c>
    </row>
    <row r="3232" spans="1:22" x14ac:dyDescent="0.2">
      <c r="A3232" t="s">
        <v>3041</v>
      </c>
      <c r="B3232" t="s">
        <v>8218</v>
      </c>
      <c r="C3232" t="s">
        <v>2987</v>
      </c>
      <c r="D3232" t="s">
        <v>228</v>
      </c>
      <c r="E3232">
        <v>79.989999999999995</v>
      </c>
      <c r="F3232" t="s">
        <v>8118</v>
      </c>
      <c r="G3232">
        <v>21</v>
      </c>
      <c r="I3232">
        <v>21</v>
      </c>
      <c r="L3232" t="s">
        <v>11</v>
      </c>
      <c r="M3232" t="s">
        <v>6524</v>
      </c>
      <c r="N3232">
        <v>0</v>
      </c>
      <c r="O3232">
        <v>0</v>
      </c>
      <c r="T3232">
        <v>0</v>
      </c>
      <c r="U3232">
        <v>0</v>
      </c>
      <c r="V3232">
        <v>3</v>
      </c>
    </row>
    <row r="3233" spans="1:22" x14ac:dyDescent="0.2">
      <c r="A3233" t="s">
        <v>3043</v>
      </c>
      <c r="B3233" t="s">
        <v>8219</v>
      </c>
      <c r="C3233" t="s">
        <v>2987</v>
      </c>
      <c r="D3233" t="s">
        <v>228</v>
      </c>
      <c r="E3233">
        <v>64.989999999999995</v>
      </c>
      <c r="F3233" t="s">
        <v>8118</v>
      </c>
      <c r="G3233">
        <v>19</v>
      </c>
      <c r="H3233">
        <v>1</v>
      </c>
      <c r="I3233">
        <v>18</v>
      </c>
      <c r="L3233" t="s">
        <v>11</v>
      </c>
      <c r="M3233" t="s">
        <v>6905</v>
      </c>
      <c r="N3233">
        <v>0</v>
      </c>
      <c r="O3233">
        <v>0</v>
      </c>
      <c r="T3233">
        <v>1.3333333333333333</v>
      </c>
      <c r="U3233">
        <v>64.989999999999995</v>
      </c>
      <c r="V3233">
        <v>0</v>
      </c>
    </row>
    <row r="3234" spans="1:22" x14ac:dyDescent="0.2">
      <c r="A3234" t="s">
        <v>6944</v>
      </c>
      <c r="B3234" t="s">
        <v>8220</v>
      </c>
      <c r="C3234" t="s">
        <v>2987</v>
      </c>
      <c r="D3234" t="s">
        <v>228</v>
      </c>
      <c r="E3234">
        <v>179.99</v>
      </c>
      <c r="F3234" t="s">
        <v>8118</v>
      </c>
      <c r="G3234">
        <v>10</v>
      </c>
      <c r="I3234">
        <v>10</v>
      </c>
      <c r="L3234" t="s">
        <v>11</v>
      </c>
      <c r="M3234" t="s">
        <v>6946</v>
      </c>
      <c r="N3234">
        <v>13.5</v>
      </c>
      <c r="O3234">
        <v>7.407407407407407E-2</v>
      </c>
      <c r="T3234">
        <v>0.22222222222222221</v>
      </c>
      <c r="U3234">
        <v>179.99</v>
      </c>
      <c r="V3234">
        <v>3</v>
      </c>
    </row>
    <row r="3235" spans="1:22" x14ac:dyDescent="0.2">
      <c r="A3235" t="s">
        <v>3049</v>
      </c>
      <c r="B3235" t="s">
        <v>8221</v>
      </c>
      <c r="C3235" t="s">
        <v>2987</v>
      </c>
      <c r="D3235" t="s">
        <v>228</v>
      </c>
      <c r="E3235">
        <v>249.99</v>
      </c>
      <c r="F3235" t="s">
        <v>8118</v>
      </c>
      <c r="G3235">
        <v>39</v>
      </c>
      <c r="I3235">
        <v>39</v>
      </c>
      <c r="J3235">
        <v>65</v>
      </c>
      <c r="K3235">
        <v>108</v>
      </c>
      <c r="L3235" t="s">
        <v>11</v>
      </c>
      <c r="N3235">
        <v>0</v>
      </c>
      <c r="O3235">
        <v>0</v>
      </c>
      <c r="T3235">
        <v>0</v>
      </c>
      <c r="U3235">
        <v>0</v>
      </c>
      <c r="V3235">
        <v>0</v>
      </c>
    </row>
    <row r="3236" spans="1:22" x14ac:dyDescent="0.2">
      <c r="A3236" t="s">
        <v>3051</v>
      </c>
      <c r="B3236" t="s">
        <v>8222</v>
      </c>
      <c r="C3236" t="s">
        <v>2987</v>
      </c>
      <c r="D3236" t="s">
        <v>228</v>
      </c>
      <c r="E3236">
        <v>139.99</v>
      </c>
      <c r="F3236" t="s">
        <v>8118</v>
      </c>
      <c r="L3236" t="s">
        <v>11</v>
      </c>
      <c r="N3236">
        <v>0</v>
      </c>
      <c r="O3236">
        <v>0</v>
      </c>
      <c r="T3236">
        <v>0</v>
      </c>
      <c r="U3236">
        <v>0</v>
      </c>
      <c r="V3236">
        <v>0</v>
      </c>
    </row>
    <row r="3237" spans="1:22" x14ac:dyDescent="0.2">
      <c r="A3237" t="s">
        <v>3053</v>
      </c>
      <c r="B3237" t="s">
        <v>8223</v>
      </c>
      <c r="C3237" t="s">
        <v>2987</v>
      </c>
      <c r="D3237" t="s">
        <v>96</v>
      </c>
      <c r="E3237">
        <v>139.99</v>
      </c>
      <c r="F3237" t="s">
        <v>8118</v>
      </c>
      <c r="G3237">
        <v>1</v>
      </c>
      <c r="I3237">
        <v>1</v>
      </c>
      <c r="L3237" t="s">
        <v>11</v>
      </c>
      <c r="M3237" t="s">
        <v>6719</v>
      </c>
      <c r="N3237">
        <v>0</v>
      </c>
      <c r="O3237">
        <v>0</v>
      </c>
      <c r="T3237">
        <v>0</v>
      </c>
      <c r="U3237">
        <v>0</v>
      </c>
      <c r="V3237">
        <v>0</v>
      </c>
    </row>
    <row r="3238" spans="1:22" x14ac:dyDescent="0.2">
      <c r="A3238" t="s">
        <v>3055</v>
      </c>
      <c r="B3238" t="s">
        <v>8224</v>
      </c>
      <c r="C3238" t="s">
        <v>2987</v>
      </c>
      <c r="D3238" t="s">
        <v>228</v>
      </c>
      <c r="E3238">
        <v>139.99</v>
      </c>
      <c r="F3238" t="s">
        <v>8118</v>
      </c>
      <c r="G3238">
        <v>215</v>
      </c>
      <c r="H3238">
        <v>14</v>
      </c>
      <c r="I3238">
        <v>201</v>
      </c>
      <c r="K3238">
        <v>132</v>
      </c>
      <c r="L3238" t="s">
        <v>11</v>
      </c>
      <c r="M3238" t="s">
        <v>6932</v>
      </c>
      <c r="N3238">
        <v>4.95</v>
      </c>
      <c r="O3238">
        <v>0.20202020202020199</v>
      </c>
      <c r="T3238">
        <v>1.8181818181818179</v>
      </c>
      <c r="U3238">
        <v>699.95</v>
      </c>
      <c r="V3238">
        <v>9</v>
      </c>
    </row>
    <row r="3239" spans="1:22" x14ac:dyDescent="0.2">
      <c r="A3239" t="s">
        <v>6869</v>
      </c>
      <c r="B3239" t="s">
        <v>8225</v>
      </c>
      <c r="C3239" t="s">
        <v>2987</v>
      </c>
      <c r="D3239" t="s">
        <v>96</v>
      </c>
      <c r="E3239">
        <v>139.99</v>
      </c>
      <c r="F3239" t="s">
        <v>8118</v>
      </c>
      <c r="L3239" t="s">
        <v>11</v>
      </c>
      <c r="M3239" t="s">
        <v>6871</v>
      </c>
      <c r="N3239">
        <v>2.25</v>
      </c>
      <c r="O3239">
        <v>0.44444444444444442</v>
      </c>
      <c r="T3239">
        <v>0.44444444444444442</v>
      </c>
      <c r="U3239">
        <v>0</v>
      </c>
      <c r="V3239">
        <v>1</v>
      </c>
    </row>
    <row r="3240" spans="1:22" x14ac:dyDescent="0.2">
      <c r="A3240" t="s">
        <v>3059</v>
      </c>
      <c r="B3240" t="s">
        <v>8226</v>
      </c>
      <c r="C3240" t="s">
        <v>2987</v>
      </c>
      <c r="D3240" t="s">
        <v>228</v>
      </c>
      <c r="E3240">
        <v>219.99</v>
      </c>
      <c r="F3240" t="s">
        <v>8118</v>
      </c>
      <c r="G3240">
        <v>14</v>
      </c>
      <c r="H3240">
        <v>1</v>
      </c>
      <c r="I3240">
        <v>13</v>
      </c>
      <c r="L3240" t="s">
        <v>11</v>
      </c>
      <c r="M3240" t="s">
        <v>6494</v>
      </c>
      <c r="N3240">
        <v>9</v>
      </c>
      <c r="O3240">
        <v>0.1111111111111111</v>
      </c>
      <c r="T3240">
        <v>0.22222222222222221</v>
      </c>
      <c r="U3240">
        <v>0</v>
      </c>
      <c r="V3240">
        <v>2</v>
      </c>
    </row>
    <row r="3241" spans="1:22" x14ac:dyDescent="0.2">
      <c r="A3241" t="s">
        <v>6710</v>
      </c>
      <c r="B3241" t="s">
        <v>8227</v>
      </c>
      <c r="C3241" t="s">
        <v>2987</v>
      </c>
      <c r="D3241" t="s">
        <v>96</v>
      </c>
      <c r="E3241">
        <v>139.99</v>
      </c>
      <c r="F3241" t="s">
        <v>8118</v>
      </c>
      <c r="L3241" t="s">
        <v>11</v>
      </c>
      <c r="M3241" t="s">
        <v>6712</v>
      </c>
      <c r="N3241">
        <v>0</v>
      </c>
      <c r="O3241">
        <v>0</v>
      </c>
      <c r="T3241">
        <v>0</v>
      </c>
      <c r="U3241">
        <v>0</v>
      </c>
      <c r="V3241">
        <v>0</v>
      </c>
    </row>
    <row r="3242" spans="1:22" x14ac:dyDescent="0.2">
      <c r="A3242" t="s">
        <v>6940</v>
      </c>
      <c r="B3242" t="s">
        <v>8228</v>
      </c>
      <c r="C3242" t="s">
        <v>2987</v>
      </c>
      <c r="D3242" t="s">
        <v>290</v>
      </c>
      <c r="E3242">
        <v>179.99</v>
      </c>
      <c r="F3242" t="s">
        <v>8118</v>
      </c>
      <c r="G3242">
        <v>2</v>
      </c>
      <c r="I3242">
        <v>2</v>
      </c>
      <c r="L3242" t="s">
        <v>11</v>
      </c>
      <c r="M3242" t="s">
        <v>6942</v>
      </c>
      <c r="N3242">
        <v>21</v>
      </c>
      <c r="O3242">
        <v>4.7619047619047616E-2</v>
      </c>
      <c r="T3242">
        <v>0.14285714285714285</v>
      </c>
      <c r="U3242">
        <v>179.99</v>
      </c>
      <c r="V3242">
        <v>3</v>
      </c>
    </row>
    <row r="3243" spans="1:22" x14ac:dyDescent="0.2">
      <c r="A3243" t="s">
        <v>6741</v>
      </c>
      <c r="B3243" t="s">
        <v>8229</v>
      </c>
      <c r="C3243" t="s">
        <v>2987</v>
      </c>
      <c r="D3243" t="s">
        <v>96</v>
      </c>
      <c r="E3243">
        <v>109.99</v>
      </c>
      <c r="F3243" t="s">
        <v>8118</v>
      </c>
      <c r="L3243" t="s">
        <v>11</v>
      </c>
      <c r="M3243" t="s">
        <v>6743</v>
      </c>
      <c r="N3243">
        <v>0</v>
      </c>
      <c r="O3243">
        <v>0</v>
      </c>
      <c r="T3243">
        <v>0</v>
      </c>
      <c r="U3243">
        <v>0</v>
      </c>
      <c r="V3243">
        <v>0</v>
      </c>
    </row>
    <row r="3244" spans="1:22" x14ac:dyDescent="0.2">
      <c r="A3244" t="s">
        <v>6738</v>
      </c>
      <c r="B3244" t="s">
        <v>8230</v>
      </c>
      <c r="C3244" t="s">
        <v>2987</v>
      </c>
      <c r="D3244" t="s">
        <v>96</v>
      </c>
      <c r="E3244">
        <v>109.99</v>
      </c>
      <c r="F3244" t="s">
        <v>8118</v>
      </c>
      <c r="L3244" t="s">
        <v>11</v>
      </c>
      <c r="M3244" t="s">
        <v>6740</v>
      </c>
      <c r="N3244">
        <v>0</v>
      </c>
      <c r="O3244">
        <v>0</v>
      </c>
      <c r="T3244">
        <v>0</v>
      </c>
      <c r="U3244">
        <v>0</v>
      </c>
      <c r="V3244">
        <v>0</v>
      </c>
    </row>
    <row r="3245" spans="1:22" x14ac:dyDescent="0.2">
      <c r="A3245" t="s">
        <v>3025</v>
      </c>
      <c r="B3245" t="s">
        <v>8231</v>
      </c>
      <c r="C3245" t="s">
        <v>2987</v>
      </c>
      <c r="D3245" t="s">
        <v>228</v>
      </c>
      <c r="E3245">
        <v>89.99</v>
      </c>
      <c r="F3245" t="s">
        <v>8118</v>
      </c>
      <c r="G3245">
        <v>237</v>
      </c>
      <c r="H3245">
        <v>44</v>
      </c>
      <c r="I3245">
        <v>193</v>
      </c>
      <c r="K3245">
        <v>60</v>
      </c>
      <c r="L3245" t="s">
        <v>11</v>
      </c>
      <c r="M3245" t="s">
        <v>6789</v>
      </c>
      <c r="N3245">
        <v>0</v>
      </c>
      <c r="O3245">
        <v>0</v>
      </c>
      <c r="T3245">
        <v>2.1111111111111112</v>
      </c>
      <c r="U3245">
        <v>359.96</v>
      </c>
      <c r="V3245">
        <v>0</v>
      </c>
    </row>
    <row r="3246" spans="1:22" x14ac:dyDescent="0.2">
      <c r="A3246" t="s">
        <v>6732</v>
      </c>
      <c r="B3246" t="s">
        <v>8232</v>
      </c>
      <c r="C3246" t="s">
        <v>2987</v>
      </c>
      <c r="D3246" t="s">
        <v>96</v>
      </c>
      <c r="E3246">
        <v>109.99</v>
      </c>
      <c r="F3246" t="s">
        <v>8118</v>
      </c>
      <c r="L3246" t="s">
        <v>11</v>
      </c>
      <c r="M3246" t="s">
        <v>6734</v>
      </c>
      <c r="N3246">
        <v>0</v>
      </c>
      <c r="O3246">
        <v>0</v>
      </c>
      <c r="T3246">
        <v>0</v>
      </c>
      <c r="U3246">
        <v>0</v>
      </c>
      <c r="V3246">
        <v>0</v>
      </c>
    </row>
    <row r="3247" spans="1:22" x14ac:dyDescent="0.2">
      <c r="A3247" t="s">
        <v>6911</v>
      </c>
      <c r="B3247" t="s">
        <v>8233</v>
      </c>
      <c r="C3247" t="s">
        <v>2987</v>
      </c>
      <c r="D3247" t="s">
        <v>96</v>
      </c>
      <c r="E3247">
        <v>89.99</v>
      </c>
      <c r="F3247" t="s">
        <v>8118</v>
      </c>
      <c r="L3247" t="s">
        <v>11</v>
      </c>
      <c r="M3247" t="s">
        <v>6913</v>
      </c>
      <c r="N3247">
        <v>0</v>
      </c>
      <c r="O3247">
        <v>0</v>
      </c>
      <c r="T3247">
        <v>0</v>
      </c>
      <c r="U3247">
        <v>0</v>
      </c>
      <c r="V3247">
        <v>0</v>
      </c>
    </row>
    <row r="3248" spans="1:22" x14ac:dyDescent="0.2">
      <c r="A3248" t="s">
        <v>6914</v>
      </c>
      <c r="B3248" t="s">
        <v>8234</v>
      </c>
      <c r="C3248" t="s">
        <v>2987</v>
      </c>
      <c r="D3248" t="s">
        <v>96</v>
      </c>
      <c r="E3248">
        <v>89.99</v>
      </c>
      <c r="F3248" t="s">
        <v>8118</v>
      </c>
      <c r="L3248" t="s">
        <v>11</v>
      </c>
      <c r="M3248" t="s">
        <v>6916</v>
      </c>
      <c r="N3248">
        <v>0</v>
      </c>
      <c r="O3248">
        <v>0</v>
      </c>
      <c r="T3248">
        <v>0</v>
      </c>
      <c r="U3248">
        <v>0</v>
      </c>
      <c r="V3248">
        <v>0</v>
      </c>
    </row>
    <row r="3249" spans="1:22" x14ac:dyDescent="0.2">
      <c r="A3249" t="s">
        <v>6729</v>
      </c>
      <c r="B3249" t="s">
        <v>8235</v>
      </c>
      <c r="C3249" t="s">
        <v>2987</v>
      </c>
      <c r="D3249" t="s">
        <v>96</v>
      </c>
      <c r="E3249">
        <v>89.99</v>
      </c>
      <c r="F3249" t="s">
        <v>8118</v>
      </c>
      <c r="L3249" t="s">
        <v>11</v>
      </c>
      <c r="M3249" t="s">
        <v>6731</v>
      </c>
      <c r="N3249">
        <v>0</v>
      </c>
      <c r="O3249">
        <v>0</v>
      </c>
      <c r="T3249">
        <v>0</v>
      </c>
      <c r="U3249">
        <v>0</v>
      </c>
      <c r="V3249">
        <v>0</v>
      </c>
    </row>
    <row r="3250" spans="1:22" x14ac:dyDescent="0.2">
      <c r="A3250" t="s">
        <v>6726</v>
      </c>
      <c r="B3250" t="s">
        <v>8236</v>
      </c>
      <c r="C3250" t="s">
        <v>2987</v>
      </c>
      <c r="D3250" t="s">
        <v>96</v>
      </c>
      <c r="E3250">
        <v>89.99</v>
      </c>
      <c r="F3250" t="s">
        <v>8118</v>
      </c>
      <c r="L3250" t="s">
        <v>11</v>
      </c>
      <c r="M3250" t="s">
        <v>6728</v>
      </c>
      <c r="N3250">
        <v>0</v>
      </c>
      <c r="O3250">
        <v>0</v>
      </c>
      <c r="T3250">
        <v>0</v>
      </c>
      <c r="U3250">
        <v>0</v>
      </c>
      <c r="V3250">
        <v>0</v>
      </c>
    </row>
    <row r="3251" spans="1:22" x14ac:dyDescent="0.2">
      <c r="A3251" t="s">
        <v>6879</v>
      </c>
      <c r="B3251" t="s">
        <v>8237</v>
      </c>
      <c r="C3251" t="s">
        <v>2987</v>
      </c>
      <c r="D3251" t="s">
        <v>96</v>
      </c>
      <c r="E3251">
        <v>74.989999999999995</v>
      </c>
      <c r="F3251" t="s">
        <v>8118</v>
      </c>
      <c r="L3251" t="s">
        <v>11</v>
      </c>
      <c r="M3251" t="s">
        <v>6881</v>
      </c>
      <c r="N3251">
        <v>0</v>
      </c>
      <c r="O3251">
        <v>0</v>
      </c>
      <c r="T3251">
        <v>0</v>
      </c>
      <c r="U3251">
        <v>0</v>
      </c>
      <c r="V3251">
        <v>0</v>
      </c>
    </row>
    <row r="3252" spans="1:22" x14ac:dyDescent="0.2">
      <c r="A3252" t="s">
        <v>6853</v>
      </c>
      <c r="B3252" t="s">
        <v>8238</v>
      </c>
      <c r="C3252" t="s">
        <v>2987</v>
      </c>
      <c r="D3252" t="s">
        <v>290</v>
      </c>
      <c r="E3252">
        <v>79.989999999999995</v>
      </c>
      <c r="F3252" t="s">
        <v>8118</v>
      </c>
      <c r="K3252">
        <v>12</v>
      </c>
      <c r="L3252" t="s">
        <v>11</v>
      </c>
      <c r="M3252" t="s">
        <v>6855</v>
      </c>
      <c r="N3252">
        <v>4.666666666666667</v>
      </c>
      <c r="O3252">
        <v>0.21428571428571427</v>
      </c>
      <c r="T3252">
        <v>0.8571428571428571</v>
      </c>
      <c r="U3252">
        <v>79.989999999999995</v>
      </c>
      <c r="V3252">
        <v>4</v>
      </c>
    </row>
    <row r="3253" spans="1:22" x14ac:dyDescent="0.2">
      <c r="A3253" t="s">
        <v>6684</v>
      </c>
      <c r="B3253" t="s">
        <v>8239</v>
      </c>
      <c r="C3253" t="s">
        <v>2987</v>
      </c>
      <c r="D3253" t="s">
        <v>96</v>
      </c>
      <c r="E3253">
        <v>49.99</v>
      </c>
      <c r="F3253" t="s">
        <v>8118</v>
      </c>
      <c r="L3253" t="s">
        <v>11</v>
      </c>
      <c r="M3253" t="s">
        <v>6686</v>
      </c>
      <c r="N3253">
        <v>0</v>
      </c>
      <c r="O3253">
        <v>0</v>
      </c>
      <c r="T3253">
        <v>0</v>
      </c>
      <c r="U3253">
        <v>0</v>
      </c>
      <c r="V3253">
        <v>0</v>
      </c>
    </row>
    <row r="3254" spans="1:22" x14ac:dyDescent="0.2">
      <c r="A3254" t="s">
        <v>3067</v>
      </c>
      <c r="B3254" t="s">
        <v>8240</v>
      </c>
      <c r="C3254" t="s">
        <v>2987</v>
      </c>
      <c r="D3254" t="s">
        <v>228</v>
      </c>
      <c r="E3254">
        <v>99.99</v>
      </c>
      <c r="F3254" t="s">
        <v>8118</v>
      </c>
      <c r="G3254">
        <v>14</v>
      </c>
      <c r="I3254">
        <v>14</v>
      </c>
      <c r="L3254" t="s">
        <v>11</v>
      </c>
      <c r="M3254" t="s">
        <v>6864</v>
      </c>
      <c r="N3254">
        <v>8.75</v>
      </c>
      <c r="O3254">
        <v>0.11428571428571428</v>
      </c>
      <c r="T3254">
        <v>0.5714285714285714</v>
      </c>
      <c r="U3254">
        <v>199.98</v>
      </c>
      <c r="V3254">
        <v>5</v>
      </c>
    </row>
    <row r="3255" spans="1:22" x14ac:dyDescent="0.2">
      <c r="A3255" t="s">
        <v>6891</v>
      </c>
      <c r="B3255" t="s">
        <v>8241</v>
      </c>
      <c r="C3255" t="s">
        <v>2987</v>
      </c>
      <c r="D3255" t="s">
        <v>96</v>
      </c>
      <c r="E3255">
        <v>89.99</v>
      </c>
      <c r="F3255" t="s">
        <v>8118</v>
      </c>
      <c r="L3255" t="s">
        <v>11</v>
      </c>
      <c r="M3255" t="s">
        <v>6893</v>
      </c>
      <c r="N3255">
        <v>0</v>
      </c>
      <c r="O3255">
        <v>0</v>
      </c>
      <c r="T3255">
        <v>0</v>
      </c>
      <c r="U3255">
        <v>0</v>
      </c>
      <c r="V3255">
        <v>0</v>
      </c>
    </row>
    <row r="3256" spans="1:22" x14ac:dyDescent="0.2">
      <c r="A3256" t="s">
        <v>6735</v>
      </c>
      <c r="B3256" t="s">
        <v>8242</v>
      </c>
      <c r="C3256" t="s">
        <v>2987</v>
      </c>
      <c r="D3256" t="s">
        <v>96</v>
      </c>
      <c r="E3256">
        <v>109.99</v>
      </c>
      <c r="F3256" t="s">
        <v>8118</v>
      </c>
      <c r="L3256" t="s">
        <v>11</v>
      </c>
      <c r="M3256" t="s">
        <v>6737</v>
      </c>
      <c r="N3256">
        <v>0</v>
      </c>
      <c r="O3256">
        <v>0</v>
      </c>
      <c r="T3256">
        <v>0</v>
      </c>
      <c r="U3256">
        <v>0</v>
      </c>
      <c r="V3256">
        <v>0</v>
      </c>
    </row>
    <row r="3257" spans="1:22" x14ac:dyDescent="0.2">
      <c r="A3257" t="s">
        <v>6811</v>
      </c>
      <c r="B3257" t="s">
        <v>8243</v>
      </c>
      <c r="C3257" t="s">
        <v>2987</v>
      </c>
      <c r="D3257" t="s">
        <v>96</v>
      </c>
      <c r="E3257">
        <v>89.99</v>
      </c>
      <c r="F3257" t="s">
        <v>8118</v>
      </c>
      <c r="L3257" t="s">
        <v>11</v>
      </c>
      <c r="M3257" t="s">
        <v>6813</v>
      </c>
      <c r="N3257">
        <v>0</v>
      </c>
      <c r="O3257">
        <v>0</v>
      </c>
      <c r="T3257">
        <v>0</v>
      </c>
      <c r="U3257">
        <v>0</v>
      </c>
      <c r="V3257">
        <v>0</v>
      </c>
    </row>
    <row r="3258" spans="1:22" x14ac:dyDescent="0.2">
      <c r="A3258" t="s">
        <v>6799</v>
      </c>
      <c r="B3258" t="s">
        <v>8244</v>
      </c>
      <c r="C3258" t="s">
        <v>2987</v>
      </c>
      <c r="D3258" t="s">
        <v>96</v>
      </c>
      <c r="E3258">
        <v>89.99</v>
      </c>
      <c r="F3258" t="s">
        <v>8118</v>
      </c>
      <c r="L3258" t="s">
        <v>11</v>
      </c>
      <c r="M3258" t="s">
        <v>6801</v>
      </c>
      <c r="N3258">
        <v>0</v>
      </c>
      <c r="O3258">
        <v>0</v>
      </c>
      <c r="T3258">
        <v>0</v>
      </c>
      <c r="U3258">
        <v>0</v>
      </c>
      <c r="V3258">
        <v>0</v>
      </c>
    </row>
    <row r="3259" spans="1:22" x14ac:dyDescent="0.2">
      <c r="A3259" t="s">
        <v>6814</v>
      </c>
      <c r="B3259" t="s">
        <v>8245</v>
      </c>
      <c r="C3259" t="s">
        <v>2987</v>
      </c>
      <c r="D3259" t="s">
        <v>96</v>
      </c>
      <c r="E3259">
        <v>89.99</v>
      </c>
      <c r="F3259" t="s">
        <v>8118</v>
      </c>
      <c r="L3259" t="s">
        <v>11</v>
      </c>
      <c r="M3259" t="s">
        <v>6816</v>
      </c>
      <c r="N3259">
        <v>0</v>
      </c>
      <c r="O3259">
        <v>0</v>
      </c>
      <c r="T3259">
        <v>0</v>
      </c>
      <c r="U3259">
        <v>0</v>
      </c>
      <c r="V3259">
        <v>0</v>
      </c>
    </row>
    <row r="3260" spans="1:22" x14ac:dyDescent="0.2">
      <c r="A3260" t="s">
        <v>6882</v>
      </c>
      <c r="B3260" t="s">
        <v>8246</v>
      </c>
      <c r="C3260" t="s">
        <v>2987</v>
      </c>
      <c r="D3260" t="s">
        <v>290</v>
      </c>
      <c r="E3260">
        <v>74.989999999999995</v>
      </c>
      <c r="F3260" t="s">
        <v>8118</v>
      </c>
      <c r="G3260">
        <v>5</v>
      </c>
      <c r="I3260">
        <v>5</v>
      </c>
      <c r="L3260" t="s">
        <v>11</v>
      </c>
      <c r="M3260" t="s">
        <v>6884</v>
      </c>
      <c r="N3260">
        <v>0</v>
      </c>
      <c r="O3260">
        <v>0</v>
      </c>
      <c r="T3260">
        <v>0</v>
      </c>
      <c r="U3260">
        <v>0</v>
      </c>
      <c r="V3260">
        <v>0</v>
      </c>
    </row>
    <row r="3261" spans="1:22" x14ac:dyDescent="0.2">
      <c r="A3261" t="s">
        <v>3019</v>
      </c>
      <c r="B3261" t="s">
        <v>8247</v>
      </c>
      <c r="C3261" t="s">
        <v>2987</v>
      </c>
      <c r="D3261" t="s">
        <v>228</v>
      </c>
      <c r="E3261">
        <v>139.99</v>
      </c>
      <c r="F3261" t="s">
        <v>8118</v>
      </c>
      <c r="G3261">
        <v>359</v>
      </c>
      <c r="H3261">
        <v>52</v>
      </c>
      <c r="I3261">
        <v>307</v>
      </c>
      <c r="L3261" t="s">
        <v>11</v>
      </c>
      <c r="M3261" t="s">
        <v>6482</v>
      </c>
      <c r="N3261">
        <v>2.3571428571428572</v>
      </c>
      <c r="O3261">
        <v>0.42424242424242425</v>
      </c>
      <c r="T3261">
        <v>2.5454545454545454</v>
      </c>
      <c r="U3261">
        <v>139.99</v>
      </c>
      <c r="V3261">
        <v>6</v>
      </c>
    </row>
    <row r="3262" spans="1:22" x14ac:dyDescent="0.2">
      <c r="A3262" t="s">
        <v>6723</v>
      </c>
      <c r="B3262" t="s">
        <v>8248</v>
      </c>
      <c r="C3262" t="s">
        <v>2987</v>
      </c>
      <c r="D3262" t="s">
        <v>96</v>
      </c>
      <c r="E3262">
        <v>89.99</v>
      </c>
      <c r="F3262" t="s">
        <v>8118</v>
      </c>
      <c r="L3262" t="s">
        <v>11</v>
      </c>
      <c r="M3262" t="s">
        <v>6725</v>
      </c>
      <c r="N3262">
        <v>0</v>
      </c>
      <c r="O3262">
        <v>0</v>
      </c>
      <c r="T3262">
        <v>0</v>
      </c>
      <c r="U3262">
        <v>0</v>
      </c>
      <c r="V3262">
        <v>0</v>
      </c>
    </row>
    <row r="3263" spans="1:22" x14ac:dyDescent="0.2">
      <c r="A3263" t="s">
        <v>6834</v>
      </c>
      <c r="B3263" t="s">
        <v>8249</v>
      </c>
      <c r="C3263" t="s">
        <v>2987</v>
      </c>
      <c r="D3263" t="s">
        <v>228</v>
      </c>
      <c r="E3263">
        <v>89.99</v>
      </c>
      <c r="F3263" t="s">
        <v>8118</v>
      </c>
      <c r="G3263">
        <v>48</v>
      </c>
      <c r="I3263">
        <v>48</v>
      </c>
      <c r="K3263">
        <v>24</v>
      </c>
      <c r="L3263" t="s">
        <v>11</v>
      </c>
      <c r="M3263" t="s">
        <v>6836</v>
      </c>
      <c r="N3263">
        <v>13.241379310344827</v>
      </c>
      <c r="O3263">
        <v>7.5520833333333329E-2</v>
      </c>
      <c r="T3263">
        <v>2.4166666666666665</v>
      </c>
      <c r="U3263">
        <v>0</v>
      </c>
      <c r="V3263">
        <v>32</v>
      </c>
    </row>
    <row r="3264" spans="1:22" x14ac:dyDescent="0.2">
      <c r="A3264" t="s">
        <v>6949</v>
      </c>
      <c r="B3264" t="s">
        <v>8250</v>
      </c>
      <c r="C3264" t="s">
        <v>2987</v>
      </c>
      <c r="D3264" t="s">
        <v>96</v>
      </c>
      <c r="E3264">
        <v>109.99</v>
      </c>
      <c r="F3264" t="s">
        <v>8118</v>
      </c>
      <c r="L3264" t="s">
        <v>11</v>
      </c>
      <c r="M3264" t="s">
        <v>6951</v>
      </c>
      <c r="N3264">
        <v>0</v>
      </c>
      <c r="O3264">
        <v>0</v>
      </c>
      <c r="T3264">
        <v>0</v>
      </c>
      <c r="U3264">
        <v>0</v>
      </c>
      <c r="V3264">
        <v>0</v>
      </c>
    </row>
    <row r="3265" spans="1:22" x14ac:dyDescent="0.2">
      <c r="A3265" t="s">
        <v>6844</v>
      </c>
      <c r="B3265" t="s">
        <v>8251</v>
      </c>
      <c r="C3265" t="s">
        <v>2987</v>
      </c>
      <c r="D3265" t="s">
        <v>96</v>
      </c>
      <c r="E3265">
        <v>169.99</v>
      </c>
      <c r="F3265" t="s">
        <v>8118</v>
      </c>
      <c r="L3265" t="s">
        <v>11</v>
      </c>
      <c r="M3265" t="s">
        <v>6846</v>
      </c>
      <c r="N3265">
        <v>0</v>
      </c>
      <c r="O3265">
        <v>0</v>
      </c>
      <c r="T3265">
        <v>0</v>
      </c>
      <c r="U3265">
        <v>0</v>
      </c>
      <c r="V3265">
        <v>0</v>
      </c>
    </row>
    <row r="3266" spans="1:22" x14ac:dyDescent="0.2">
      <c r="A3266" t="s">
        <v>6920</v>
      </c>
      <c r="B3266" t="s">
        <v>8252</v>
      </c>
      <c r="C3266" t="s">
        <v>2987</v>
      </c>
      <c r="D3266" t="s">
        <v>96</v>
      </c>
      <c r="E3266">
        <v>119.99</v>
      </c>
      <c r="F3266" t="s">
        <v>8118</v>
      </c>
      <c r="L3266" t="s">
        <v>11</v>
      </c>
      <c r="M3266" t="s">
        <v>6922</v>
      </c>
      <c r="N3266">
        <v>0</v>
      </c>
      <c r="O3266">
        <v>0</v>
      </c>
      <c r="T3266">
        <v>0</v>
      </c>
      <c r="U3266">
        <v>0</v>
      </c>
      <c r="V3266">
        <v>1</v>
      </c>
    </row>
    <row r="3267" spans="1:22" x14ac:dyDescent="0.2">
      <c r="A3267" t="s">
        <v>6720</v>
      </c>
      <c r="B3267" t="s">
        <v>8253</v>
      </c>
      <c r="C3267" t="s">
        <v>2987</v>
      </c>
      <c r="D3267" t="s">
        <v>96</v>
      </c>
      <c r="E3267">
        <v>89.99</v>
      </c>
      <c r="F3267" t="s">
        <v>8118</v>
      </c>
      <c r="L3267" t="s">
        <v>11</v>
      </c>
      <c r="M3267" t="s">
        <v>6722</v>
      </c>
      <c r="N3267">
        <v>0</v>
      </c>
      <c r="O3267">
        <v>0</v>
      </c>
      <c r="T3267">
        <v>0</v>
      </c>
      <c r="U3267">
        <v>0</v>
      </c>
      <c r="V3267">
        <v>0</v>
      </c>
    </row>
    <row r="3268" spans="1:22" x14ac:dyDescent="0.2">
      <c r="A3268" t="s">
        <v>6850</v>
      </c>
      <c r="B3268" t="s">
        <v>8254</v>
      </c>
      <c r="C3268" t="s">
        <v>2987</v>
      </c>
      <c r="D3268" t="s">
        <v>96</v>
      </c>
      <c r="E3268">
        <v>159.99</v>
      </c>
      <c r="F3268" t="s">
        <v>8118</v>
      </c>
      <c r="L3268" t="s">
        <v>11</v>
      </c>
      <c r="M3268" t="s">
        <v>6852</v>
      </c>
      <c r="N3268">
        <v>0</v>
      </c>
      <c r="O3268">
        <v>0</v>
      </c>
      <c r="T3268">
        <v>0</v>
      </c>
      <c r="U3268">
        <v>0</v>
      </c>
      <c r="V3268">
        <v>0</v>
      </c>
    </row>
    <row r="3269" spans="1:22" x14ac:dyDescent="0.2">
      <c r="A3269" t="s">
        <v>6917</v>
      </c>
      <c r="B3269" t="s">
        <v>8255</v>
      </c>
      <c r="C3269" t="s">
        <v>2987</v>
      </c>
      <c r="D3269" t="s">
        <v>290</v>
      </c>
      <c r="E3269">
        <v>159.99</v>
      </c>
      <c r="F3269" t="s">
        <v>8118</v>
      </c>
      <c r="G3269">
        <v>3</v>
      </c>
      <c r="I3269">
        <v>3</v>
      </c>
      <c r="L3269" t="s">
        <v>11</v>
      </c>
      <c r="M3269" t="s">
        <v>6919</v>
      </c>
      <c r="N3269">
        <v>16</v>
      </c>
      <c r="O3269">
        <v>6.25E-2</v>
      </c>
      <c r="T3269">
        <v>0.125</v>
      </c>
      <c r="U3269">
        <v>0</v>
      </c>
      <c r="V3269">
        <v>2</v>
      </c>
    </row>
    <row r="3270" spans="1:22" x14ac:dyDescent="0.2">
      <c r="A3270" t="s">
        <v>6840</v>
      </c>
      <c r="B3270" t="s">
        <v>8256</v>
      </c>
      <c r="C3270" t="s">
        <v>2987</v>
      </c>
      <c r="D3270" t="s">
        <v>96</v>
      </c>
      <c r="E3270">
        <v>159.99</v>
      </c>
      <c r="F3270" t="s">
        <v>8118</v>
      </c>
      <c r="L3270" t="s">
        <v>11</v>
      </c>
      <c r="M3270" t="s">
        <v>6842</v>
      </c>
      <c r="N3270">
        <v>0</v>
      </c>
      <c r="O3270">
        <v>0</v>
      </c>
      <c r="T3270">
        <v>0</v>
      </c>
      <c r="U3270">
        <v>0</v>
      </c>
      <c r="V3270">
        <v>0</v>
      </c>
    </row>
    <row r="3271" spans="1:22" x14ac:dyDescent="0.2">
      <c r="A3271" t="s">
        <v>6826</v>
      </c>
      <c r="B3271" t="s">
        <v>8257</v>
      </c>
      <c r="C3271" t="s">
        <v>2987</v>
      </c>
      <c r="D3271" t="s">
        <v>96</v>
      </c>
      <c r="E3271">
        <v>89.99</v>
      </c>
      <c r="F3271" t="s">
        <v>8118</v>
      </c>
      <c r="L3271" t="s">
        <v>11</v>
      </c>
      <c r="M3271" t="s">
        <v>6828</v>
      </c>
      <c r="N3271">
        <v>0</v>
      </c>
      <c r="O3271">
        <v>0</v>
      </c>
      <c r="T3271">
        <v>0</v>
      </c>
      <c r="U3271">
        <v>0</v>
      </c>
      <c r="V3271">
        <v>0</v>
      </c>
    </row>
    <row r="3272" spans="1:22" x14ac:dyDescent="0.2">
      <c r="A3272" t="s">
        <v>6498</v>
      </c>
      <c r="B3272" t="s">
        <v>8258</v>
      </c>
      <c r="C3272" t="s">
        <v>2987</v>
      </c>
      <c r="D3272" t="s">
        <v>96</v>
      </c>
      <c r="E3272">
        <v>89.99</v>
      </c>
      <c r="F3272" t="s">
        <v>8118</v>
      </c>
      <c r="L3272" t="s">
        <v>11</v>
      </c>
      <c r="M3272" t="s">
        <v>6500</v>
      </c>
      <c r="N3272">
        <v>0</v>
      </c>
      <c r="O3272">
        <v>0</v>
      </c>
      <c r="T3272">
        <v>0</v>
      </c>
      <c r="U3272">
        <v>0</v>
      </c>
      <c r="V3272">
        <v>0</v>
      </c>
    </row>
    <row r="3273" spans="1:22" x14ac:dyDescent="0.2">
      <c r="A3273" t="s">
        <v>6808</v>
      </c>
      <c r="B3273" t="s">
        <v>8259</v>
      </c>
      <c r="C3273" t="s">
        <v>2987</v>
      </c>
      <c r="D3273" t="s">
        <v>96</v>
      </c>
      <c r="E3273">
        <v>89.99</v>
      </c>
      <c r="F3273" t="s">
        <v>8118</v>
      </c>
      <c r="L3273" t="s">
        <v>11</v>
      </c>
      <c r="M3273" t="s">
        <v>6810</v>
      </c>
      <c r="N3273">
        <v>0</v>
      </c>
      <c r="O3273">
        <v>0</v>
      </c>
      <c r="T3273">
        <v>0</v>
      </c>
      <c r="U3273">
        <v>0</v>
      </c>
      <c r="V3273">
        <v>0</v>
      </c>
    </row>
    <row r="3274" spans="1:22" x14ac:dyDescent="0.2">
      <c r="A3274" t="s">
        <v>6805</v>
      </c>
      <c r="B3274" t="s">
        <v>8260</v>
      </c>
      <c r="C3274" t="s">
        <v>2987</v>
      </c>
      <c r="D3274" t="s">
        <v>96</v>
      </c>
      <c r="E3274">
        <v>89.99</v>
      </c>
      <c r="F3274" t="s">
        <v>8118</v>
      </c>
      <c r="L3274" t="s">
        <v>11</v>
      </c>
      <c r="M3274" t="s">
        <v>6807</v>
      </c>
      <c r="N3274">
        <v>0</v>
      </c>
      <c r="O3274">
        <v>0</v>
      </c>
      <c r="T3274">
        <v>0</v>
      </c>
      <c r="U3274">
        <v>0</v>
      </c>
      <c r="V3274">
        <v>0</v>
      </c>
    </row>
    <row r="3275" spans="1:22" x14ac:dyDescent="0.2">
      <c r="A3275" t="s">
        <v>6847</v>
      </c>
      <c r="B3275" t="s">
        <v>8261</v>
      </c>
      <c r="C3275" t="s">
        <v>2987</v>
      </c>
      <c r="D3275" t="s">
        <v>96</v>
      </c>
      <c r="E3275">
        <v>119.99</v>
      </c>
      <c r="F3275" t="s">
        <v>8118</v>
      </c>
      <c r="L3275" t="s">
        <v>11</v>
      </c>
      <c r="M3275" t="s">
        <v>6849</v>
      </c>
      <c r="N3275">
        <v>0</v>
      </c>
      <c r="O3275">
        <v>0</v>
      </c>
      <c r="T3275">
        <v>0</v>
      </c>
      <c r="U3275">
        <v>0</v>
      </c>
      <c r="V3275">
        <v>0</v>
      </c>
    </row>
    <row r="3276" spans="1:22" x14ac:dyDescent="0.2">
      <c r="A3276" t="s">
        <v>6802</v>
      </c>
      <c r="B3276" t="s">
        <v>8262</v>
      </c>
      <c r="C3276" t="s">
        <v>2987</v>
      </c>
      <c r="D3276" t="s">
        <v>96</v>
      </c>
      <c r="E3276">
        <v>89.99</v>
      </c>
      <c r="F3276" t="s">
        <v>8118</v>
      </c>
      <c r="L3276" t="s">
        <v>11</v>
      </c>
      <c r="M3276" t="s">
        <v>6804</v>
      </c>
      <c r="N3276">
        <v>0</v>
      </c>
      <c r="O3276">
        <v>0</v>
      </c>
      <c r="T3276">
        <v>0</v>
      </c>
      <c r="U3276">
        <v>0</v>
      </c>
      <c r="V3276">
        <v>0</v>
      </c>
    </row>
    <row r="3277" spans="1:22" x14ac:dyDescent="0.2">
      <c r="A3277" t="s">
        <v>6869</v>
      </c>
      <c r="B3277" t="s">
        <v>8225</v>
      </c>
      <c r="C3277" t="s">
        <v>2987</v>
      </c>
      <c r="D3277" t="s">
        <v>96</v>
      </c>
      <c r="E3277">
        <v>139.99</v>
      </c>
      <c r="F3277" t="s">
        <v>8118</v>
      </c>
      <c r="L3277" t="s">
        <v>14</v>
      </c>
      <c r="M3277" t="s">
        <v>97</v>
      </c>
      <c r="N3277">
        <v>0</v>
      </c>
      <c r="O3277">
        <v>0</v>
      </c>
      <c r="U3277">
        <v>0</v>
      </c>
      <c r="V3277">
        <v>0</v>
      </c>
    </row>
    <row r="3278" spans="1:22" x14ac:dyDescent="0.2">
      <c r="A3278" t="s">
        <v>3023</v>
      </c>
      <c r="B3278" t="s">
        <v>8129</v>
      </c>
      <c r="C3278" t="s">
        <v>2987</v>
      </c>
      <c r="D3278" t="s">
        <v>228</v>
      </c>
      <c r="E3278">
        <v>89.99</v>
      </c>
      <c r="F3278" t="s">
        <v>8118</v>
      </c>
      <c r="G3278">
        <v>1029</v>
      </c>
      <c r="H3278">
        <v>128</v>
      </c>
      <c r="I3278">
        <v>901</v>
      </c>
      <c r="L3278" t="s">
        <v>14</v>
      </c>
      <c r="M3278" t="s">
        <v>97</v>
      </c>
      <c r="N3278">
        <v>43.111111111111114</v>
      </c>
      <c r="O3278">
        <v>2.3195876288659795E-2</v>
      </c>
      <c r="T3278">
        <v>4.5</v>
      </c>
      <c r="U3278">
        <v>269.96999999999997</v>
      </c>
      <c r="V3278">
        <v>194</v>
      </c>
    </row>
    <row r="3279" spans="1:22" x14ac:dyDescent="0.2">
      <c r="A3279" t="s">
        <v>6574</v>
      </c>
      <c r="B3279" t="s">
        <v>8135</v>
      </c>
      <c r="C3279" t="s">
        <v>2987</v>
      </c>
      <c r="D3279" t="s">
        <v>290</v>
      </c>
      <c r="E3279">
        <v>129.99</v>
      </c>
      <c r="F3279" t="s">
        <v>8118</v>
      </c>
      <c r="G3279">
        <v>90</v>
      </c>
      <c r="I3279">
        <v>90</v>
      </c>
      <c r="L3279" t="s">
        <v>14</v>
      </c>
      <c r="M3279" t="s">
        <v>97</v>
      </c>
      <c r="N3279">
        <v>108</v>
      </c>
      <c r="O3279">
        <v>9.2592592592592587E-3</v>
      </c>
      <c r="T3279">
        <v>8.3333333333333329E-2</v>
      </c>
      <c r="U3279">
        <v>0</v>
      </c>
      <c r="V3279">
        <v>9</v>
      </c>
    </row>
    <row r="3280" spans="1:22" x14ac:dyDescent="0.2">
      <c r="A3280" t="s">
        <v>3025</v>
      </c>
      <c r="B3280" t="s">
        <v>8231</v>
      </c>
      <c r="C3280" t="s">
        <v>2987</v>
      </c>
      <c r="D3280" t="s">
        <v>228</v>
      </c>
      <c r="E3280">
        <v>89.99</v>
      </c>
      <c r="F3280" t="s">
        <v>8118</v>
      </c>
      <c r="G3280">
        <v>237</v>
      </c>
      <c r="H3280">
        <v>44</v>
      </c>
      <c r="I3280">
        <v>193</v>
      </c>
      <c r="K3280">
        <v>60</v>
      </c>
      <c r="L3280" t="s">
        <v>14</v>
      </c>
      <c r="M3280" t="s">
        <v>97</v>
      </c>
      <c r="N3280">
        <v>84</v>
      </c>
      <c r="O3280">
        <v>1.1904761904761904E-2</v>
      </c>
      <c r="T3280">
        <v>8.3333333333333329E-2</v>
      </c>
      <c r="U3280">
        <v>0</v>
      </c>
      <c r="V3280">
        <v>7</v>
      </c>
    </row>
    <row r="3281" spans="1:22" x14ac:dyDescent="0.2">
      <c r="A3281" t="s">
        <v>3005</v>
      </c>
      <c r="B3281" t="s">
        <v>8202</v>
      </c>
      <c r="C3281" t="s">
        <v>2987</v>
      </c>
      <c r="D3281" t="s">
        <v>290</v>
      </c>
      <c r="E3281">
        <v>49.99</v>
      </c>
      <c r="F3281" t="s">
        <v>8118</v>
      </c>
      <c r="G3281">
        <v>14</v>
      </c>
      <c r="I3281">
        <v>14</v>
      </c>
      <c r="L3281" t="s">
        <v>14</v>
      </c>
      <c r="M3281" t="s">
        <v>97</v>
      </c>
      <c r="N3281">
        <v>0</v>
      </c>
      <c r="O3281">
        <v>0</v>
      </c>
      <c r="U3281">
        <v>0</v>
      </c>
      <c r="V3281">
        <v>0</v>
      </c>
    </row>
    <row r="3282" spans="1:22" x14ac:dyDescent="0.2">
      <c r="A3282" t="s">
        <v>6783</v>
      </c>
      <c r="B3282" t="s">
        <v>8154</v>
      </c>
      <c r="C3282" t="s">
        <v>2987</v>
      </c>
      <c r="D3282" t="s">
        <v>228</v>
      </c>
      <c r="E3282">
        <v>79.989999999999995</v>
      </c>
      <c r="F3282" t="s">
        <v>8118</v>
      </c>
      <c r="G3282">
        <v>34</v>
      </c>
      <c r="I3282">
        <v>34</v>
      </c>
      <c r="L3282" t="s">
        <v>14</v>
      </c>
      <c r="M3282" t="s">
        <v>97</v>
      </c>
      <c r="N3282">
        <v>57.599999999999994</v>
      </c>
      <c r="O3282">
        <v>1.7361111111111112E-2</v>
      </c>
      <c r="T3282">
        <v>0.41666666666666669</v>
      </c>
      <c r="U3282">
        <v>0</v>
      </c>
      <c r="V3282">
        <v>24</v>
      </c>
    </row>
    <row r="3283" spans="1:22" x14ac:dyDescent="0.2">
      <c r="A3283" t="s">
        <v>2990</v>
      </c>
      <c r="B3283" t="s">
        <v>8155</v>
      </c>
      <c r="C3283" t="s">
        <v>2987</v>
      </c>
      <c r="D3283" t="s">
        <v>228</v>
      </c>
      <c r="E3283">
        <v>89.99</v>
      </c>
      <c r="F3283" t="s">
        <v>8118</v>
      </c>
      <c r="G3283">
        <v>2076</v>
      </c>
      <c r="H3283">
        <v>334</v>
      </c>
      <c r="I3283">
        <v>1742</v>
      </c>
      <c r="L3283" t="s">
        <v>14</v>
      </c>
      <c r="M3283" t="s">
        <v>97</v>
      </c>
      <c r="N3283">
        <v>27.61165048543689</v>
      </c>
      <c r="O3283">
        <v>3.6216596343178621E-2</v>
      </c>
      <c r="T3283">
        <v>8.5833333333333339</v>
      </c>
      <c r="U3283">
        <v>359.96</v>
      </c>
      <c r="V3283">
        <v>237</v>
      </c>
    </row>
    <row r="3284" spans="1:22" x14ac:dyDescent="0.2">
      <c r="A3284" t="s">
        <v>6780</v>
      </c>
      <c r="B3284" t="s">
        <v>8159</v>
      </c>
      <c r="C3284" t="s">
        <v>2987</v>
      </c>
      <c r="D3284" t="s">
        <v>96</v>
      </c>
      <c r="E3284">
        <v>104.99</v>
      </c>
      <c r="F3284" t="s">
        <v>8118</v>
      </c>
      <c r="L3284" t="s">
        <v>14</v>
      </c>
      <c r="M3284" t="s">
        <v>97</v>
      </c>
      <c r="N3284">
        <v>0</v>
      </c>
      <c r="O3284">
        <v>0</v>
      </c>
      <c r="T3284">
        <v>0</v>
      </c>
      <c r="U3284">
        <v>0</v>
      </c>
      <c r="V3284">
        <v>6</v>
      </c>
    </row>
    <row r="3285" spans="1:22" x14ac:dyDescent="0.2">
      <c r="A3285" t="s">
        <v>6694</v>
      </c>
      <c r="B3285" t="s">
        <v>8201</v>
      </c>
      <c r="C3285" t="s">
        <v>2987</v>
      </c>
      <c r="D3285" t="s">
        <v>290</v>
      </c>
      <c r="E3285">
        <v>49.99</v>
      </c>
      <c r="F3285" t="s">
        <v>8118</v>
      </c>
      <c r="L3285" t="s">
        <v>14</v>
      </c>
      <c r="M3285" t="s">
        <v>97</v>
      </c>
      <c r="N3285">
        <v>0</v>
      </c>
      <c r="O3285">
        <v>0</v>
      </c>
      <c r="U3285">
        <v>0</v>
      </c>
      <c r="V3285">
        <v>0</v>
      </c>
    </row>
    <row r="3286" spans="1:22" x14ac:dyDescent="0.2">
      <c r="A3286" t="s">
        <v>34</v>
      </c>
      <c r="B3286" t="s">
        <v>8167</v>
      </c>
      <c r="C3286" t="s">
        <v>2987</v>
      </c>
      <c r="D3286" t="s">
        <v>228</v>
      </c>
      <c r="E3286">
        <v>59.99</v>
      </c>
      <c r="F3286" t="s">
        <v>8118</v>
      </c>
      <c r="G3286">
        <v>3536</v>
      </c>
      <c r="H3286">
        <v>742</v>
      </c>
      <c r="I3286">
        <v>2794</v>
      </c>
      <c r="K3286">
        <v>3408</v>
      </c>
      <c r="L3286" t="s">
        <v>14</v>
      </c>
      <c r="M3286" t="s">
        <v>97</v>
      </c>
      <c r="N3286">
        <v>15.147540983606559</v>
      </c>
      <c r="O3286">
        <v>6.6017316017316016E-2</v>
      </c>
      <c r="T3286">
        <v>10.166666666666666</v>
      </c>
      <c r="U3286">
        <v>299.95</v>
      </c>
      <c r="V3286">
        <v>154</v>
      </c>
    </row>
    <row r="3287" spans="1:22" x14ac:dyDescent="0.2">
      <c r="A3287" t="s">
        <v>7102</v>
      </c>
      <c r="B3287" t="s">
        <v>8263</v>
      </c>
      <c r="C3287" t="s">
        <v>2987</v>
      </c>
      <c r="D3287" t="s">
        <v>96</v>
      </c>
      <c r="E3287">
        <v>89.99</v>
      </c>
      <c r="F3287" t="s">
        <v>8118</v>
      </c>
      <c r="L3287" t="s">
        <v>14</v>
      </c>
      <c r="M3287" t="s">
        <v>97</v>
      </c>
      <c r="N3287">
        <v>0</v>
      </c>
      <c r="O3287">
        <v>0</v>
      </c>
      <c r="U3287">
        <v>0</v>
      </c>
      <c r="V3287">
        <v>0</v>
      </c>
    </row>
    <row r="3288" spans="1:22" x14ac:dyDescent="0.2">
      <c r="A3288" t="s">
        <v>6687</v>
      </c>
      <c r="B3288" t="s">
        <v>8199</v>
      </c>
      <c r="C3288" t="s">
        <v>2987</v>
      </c>
      <c r="D3288" t="s">
        <v>96</v>
      </c>
      <c r="E3288">
        <v>139.99</v>
      </c>
      <c r="F3288" t="s">
        <v>8118</v>
      </c>
      <c r="L3288" t="s">
        <v>14</v>
      </c>
      <c r="M3288" t="s">
        <v>97</v>
      </c>
      <c r="N3288">
        <v>0</v>
      </c>
      <c r="O3288">
        <v>0</v>
      </c>
      <c r="U3288">
        <v>0</v>
      </c>
      <c r="V3288">
        <v>0</v>
      </c>
    </row>
    <row r="3289" spans="1:22" x14ac:dyDescent="0.2">
      <c r="A3289" t="s">
        <v>6690</v>
      </c>
      <c r="B3289" t="s">
        <v>8183</v>
      </c>
      <c r="C3289" t="s">
        <v>2987</v>
      </c>
      <c r="D3289" t="s">
        <v>96</v>
      </c>
      <c r="E3289">
        <v>74.989999999999995</v>
      </c>
      <c r="F3289" t="s">
        <v>8118</v>
      </c>
      <c r="L3289" t="s">
        <v>14</v>
      </c>
      <c r="M3289" t="s">
        <v>97</v>
      </c>
      <c r="N3289">
        <v>0</v>
      </c>
      <c r="O3289">
        <v>0</v>
      </c>
      <c r="T3289">
        <v>0</v>
      </c>
      <c r="U3289">
        <v>0</v>
      </c>
      <c r="V3289">
        <v>1</v>
      </c>
    </row>
    <row r="3290" spans="1:22" x14ac:dyDescent="0.2">
      <c r="A3290" t="s">
        <v>3041</v>
      </c>
      <c r="B3290" t="s">
        <v>8218</v>
      </c>
      <c r="C3290" t="s">
        <v>2987</v>
      </c>
      <c r="D3290" t="s">
        <v>228</v>
      </c>
      <c r="E3290">
        <v>79.989999999999995</v>
      </c>
      <c r="F3290" t="s">
        <v>8118</v>
      </c>
      <c r="G3290">
        <v>21</v>
      </c>
      <c r="I3290">
        <v>21</v>
      </c>
      <c r="L3290" t="s">
        <v>10</v>
      </c>
      <c r="N3290">
        <v>0</v>
      </c>
      <c r="O3290">
        <v>0</v>
      </c>
      <c r="P3290" t="s">
        <v>7015</v>
      </c>
      <c r="T3290">
        <v>0</v>
      </c>
      <c r="U3290">
        <v>0</v>
      </c>
      <c r="V3290">
        <v>5</v>
      </c>
    </row>
    <row r="3291" spans="1:22" x14ac:dyDescent="0.2">
      <c r="A3291" t="s">
        <v>6595</v>
      </c>
      <c r="B3291" t="s">
        <v>8200</v>
      </c>
      <c r="C3291" t="s">
        <v>2987</v>
      </c>
      <c r="D3291" t="s">
        <v>96</v>
      </c>
      <c r="E3291">
        <v>59.99</v>
      </c>
      <c r="F3291" t="s">
        <v>8118</v>
      </c>
      <c r="L3291" t="s">
        <v>10</v>
      </c>
      <c r="M3291">
        <v>453658</v>
      </c>
      <c r="N3291">
        <v>0</v>
      </c>
      <c r="O3291">
        <v>0</v>
      </c>
      <c r="P3291" t="s">
        <v>7015</v>
      </c>
      <c r="T3291">
        <v>0</v>
      </c>
      <c r="U3291">
        <v>0</v>
      </c>
      <c r="V3291">
        <v>0</v>
      </c>
    </row>
    <row r="3292" spans="1:22" x14ac:dyDescent="0.2">
      <c r="A3292" t="s">
        <v>6574</v>
      </c>
      <c r="B3292" t="s">
        <v>8135</v>
      </c>
      <c r="C3292" t="s">
        <v>2987</v>
      </c>
      <c r="D3292" t="s">
        <v>290</v>
      </c>
      <c r="E3292">
        <v>129.99</v>
      </c>
      <c r="F3292" t="s">
        <v>8118</v>
      </c>
      <c r="G3292">
        <v>90</v>
      </c>
      <c r="I3292">
        <v>90</v>
      </c>
      <c r="L3292" t="s">
        <v>10</v>
      </c>
      <c r="M3292">
        <v>642334</v>
      </c>
      <c r="N3292">
        <v>0</v>
      </c>
      <c r="O3292">
        <v>0</v>
      </c>
      <c r="P3292" t="s">
        <v>7015</v>
      </c>
      <c r="T3292">
        <v>0</v>
      </c>
      <c r="U3292">
        <v>0</v>
      </c>
      <c r="V3292">
        <v>1</v>
      </c>
    </row>
    <row r="3293" spans="1:22" x14ac:dyDescent="0.2">
      <c r="A3293" t="s">
        <v>3055</v>
      </c>
      <c r="B3293" t="s">
        <v>8224</v>
      </c>
      <c r="C3293" t="s">
        <v>2987</v>
      </c>
      <c r="D3293" t="s">
        <v>228</v>
      </c>
      <c r="E3293">
        <v>139.99</v>
      </c>
      <c r="F3293" t="s">
        <v>8118</v>
      </c>
      <c r="G3293">
        <v>215</v>
      </c>
      <c r="H3293">
        <v>14</v>
      </c>
      <c r="I3293">
        <v>201</v>
      </c>
      <c r="K3293">
        <v>132</v>
      </c>
      <c r="L3293" t="s">
        <v>10</v>
      </c>
      <c r="M3293">
        <v>598360</v>
      </c>
      <c r="N3293">
        <v>11</v>
      </c>
      <c r="O3293">
        <v>8.7855297157622747E-2</v>
      </c>
      <c r="P3293" t="s">
        <v>7015</v>
      </c>
      <c r="T3293">
        <v>23</v>
      </c>
      <c r="U3293">
        <v>3079.78</v>
      </c>
      <c r="V3293">
        <v>258</v>
      </c>
    </row>
    <row r="3294" spans="1:22" x14ac:dyDescent="0.2">
      <c r="A3294" t="s">
        <v>3057</v>
      </c>
      <c r="B3294" t="s">
        <v>8145</v>
      </c>
      <c r="C3294" t="s">
        <v>2987</v>
      </c>
      <c r="D3294" t="s">
        <v>228</v>
      </c>
      <c r="E3294">
        <v>139.99</v>
      </c>
      <c r="F3294" t="s">
        <v>8118</v>
      </c>
      <c r="G3294">
        <v>56</v>
      </c>
      <c r="H3294">
        <v>4</v>
      </c>
      <c r="I3294">
        <v>52</v>
      </c>
      <c r="K3294">
        <v>60</v>
      </c>
      <c r="L3294" t="s">
        <v>10</v>
      </c>
      <c r="M3294">
        <v>598361</v>
      </c>
      <c r="N3294">
        <v>5</v>
      </c>
      <c r="O3294">
        <v>0.20052083333333337</v>
      </c>
      <c r="P3294" t="s">
        <v>7015</v>
      </c>
      <c r="T3294">
        <v>6</v>
      </c>
      <c r="U3294">
        <v>279.98</v>
      </c>
      <c r="V3294">
        <v>32</v>
      </c>
    </row>
    <row r="3295" spans="1:22" x14ac:dyDescent="0.2">
      <c r="A3295" t="s">
        <v>6869</v>
      </c>
      <c r="B3295" t="s">
        <v>8225</v>
      </c>
      <c r="C3295" t="s">
        <v>2987</v>
      </c>
      <c r="D3295" t="s">
        <v>96</v>
      </c>
      <c r="E3295">
        <v>139.99</v>
      </c>
      <c r="F3295" t="s">
        <v>8118</v>
      </c>
      <c r="L3295" t="s">
        <v>10</v>
      </c>
      <c r="M3295">
        <v>505837</v>
      </c>
      <c r="N3295">
        <v>0</v>
      </c>
      <c r="O3295">
        <v>0</v>
      </c>
      <c r="P3295" t="s">
        <v>7015</v>
      </c>
      <c r="T3295">
        <v>0</v>
      </c>
      <c r="U3295">
        <v>0</v>
      </c>
      <c r="V3295">
        <v>0</v>
      </c>
    </row>
    <row r="3296" spans="1:22" x14ac:dyDescent="0.2">
      <c r="A3296" t="s">
        <v>3039</v>
      </c>
      <c r="B3296" t="s">
        <v>8264</v>
      </c>
      <c r="C3296" t="s">
        <v>2987</v>
      </c>
      <c r="D3296" t="s">
        <v>228</v>
      </c>
      <c r="E3296">
        <v>79.989999999999995</v>
      </c>
      <c r="F3296" t="s">
        <v>8118</v>
      </c>
      <c r="G3296">
        <v>91</v>
      </c>
      <c r="I3296">
        <v>91</v>
      </c>
      <c r="K3296">
        <v>36</v>
      </c>
      <c r="L3296" t="s">
        <v>10</v>
      </c>
      <c r="N3296">
        <v>22</v>
      </c>
      <c r="O3296">
        <v>4.5893719806763281E-2</v>
      </c>
      <c r="P3296" t="s">
        <v>7015</v>
      </c>
      <c r="T3296">
        <v>3</v>
      </c>
      <c r="U3296">
        <v>159.97999999999999</v>
      </c>
      <c r="V3296">
        <v>69</v>
      </c>
    </row>
    <row r="3297" spans="1:22" x14ac:dyDescent="0.2">
      <c r="A3297" t="s">
        <v>3059</v>
      </c>
      <c r="B3297" t="s">
        <v>8226</v>
      </c>
      <c r="C3297" t="s">
        <v>2987</v>
      </c>
      <c r="D3297" t="s">
        <v>228</v>
      </c>
      <c r="E3297">
        <v>219.99</v>
      </c>
      <c r="F3297" t="s">
        <v>8118</v>
      </c>
      <c r="G3297">
        <v>14</v>
      </c>
      <c r="H3297">
        <v>1</v>
      </c>
      <c r="I3297">
        <v>13</v>
      </c>
      <c r="L3297" t="s">
        <v>10</v>
      </c>
      <c r="M3297">
        <v>652934</v>
      </c>
      <c r="N3297">
        <v>0</v>
      </c>
      <c r="O3297">
        <v>0</v>
      </c>
      <c r="P3297" t="s">
        <v>7015</v>
      </c>
      <c r="T3297">
        <v>0</v>
      </c>
      <c r="U3297">
        <v>0</v>
      </c>
      <c r="V3297">
        <v>0</v>
      </c>
    </row>
    <row r="3298" spans="1:22" x14ac:dyDescent="0.2">
      <c r="A3298" t="s">
        <v>7395</v>
      </c>
      <c r="B3298" t="s">
        <v>8265</v>
      </c>
      <c r="C3298" t="s">
        <v>2987</v>
      </c>
      <c r="D3298" t="s">
        <v>96</v>
      </c>
      <c r="E3298">
        <v>89.99</v>
      </c>
      <c r="F3298" t="s">
        <v>8118</v>
      </c>
      <c r="L3298" t="s">
        <v>10</v>
      </c>
      <c r="M3298">
        <v>506217</v>
      </c>
      <c r="N3298">
        <v>0</v>
      </c>
      <c r="O3298">
        <v>0</v>
      </c>
      <c r="P3298" t="s">
        <v>7015</v>
      </c>
      <c r="T3298">
        <v>0</v>
      </c>
      <c r="U3298">
        <v>0</v>
      </c>
      <c r="V3298">
        <v>0</v>
      </c>
    </row>
    <row r="3299" spans="1:22" x14ac:dyDescent="0.2">
      <c r="A3299" t="s">
        <v>6505</v>
      </c>
      <c r="B3299" t="s">
        <v>8153</v>
      </c>
      <c r="C3299" t="s">
        <v>2987</v>
      </c>
      <c r="D3299" t="s">
        <v>290</v>
      </c>
      <c r="E3299">
        <v>59.99</v>
      </c>
      <c r="F3299" t="s">
        <v>8118</v>
      </c>
      <c r="L3299" t="s">
        <v>10</v>
      </c>
      <c r="M3299">
        <v>614975</v>
      </c>
      <c r="N3299">
        <v>3</v>
      </c>
      <c r="O3299">
        <v>0.31944444444444448</v>
      </c>
      <c r="P3299" t="s">
        <v>7015</v>
      </c>
      <c r="T3299">
        <v>2</v>
      </c>
      <c r="U3299">
        <v>179.97</v>
      </c>
      <c r="V3299">
        <v>6</v>
      </c>
    </row>
    <row r="3300" spans="1:22" x14ac:dyDescent="0.2">
      <c r="A3300" t="s">
        <v>6796</v>
      </c>
      <c r="B3300" t="s">
        <v>8160</v>
      </c>
      <c r="C3300" t="s">
        <v>2987</v>
      </c>
      <c r="D3300" t="s">
        <v>96</v>
      </c>
      <c r="E3300">
        <v>49.99</v>
      </c>
      <c r="F3300" t="s">
        <v>8118</v>
      </c>
      <c r="L3300" t="s">
        <v>10</v>
      </c>
      <c r="M3300">
        <v>506239</v>
      </c>
      <c r="N3300">
        <v>0</v>
      </c>
      <c r="O3300">
        <v>0</v>
      </c>
      <c r="P3300" t="s">
        <v>7015</v>
      </c>
      <c r="T3300">
        <v>0</v>
      </c>
      <c r="U3300">
        <v>0</v>
      </c>
      <c r="V3300">
        <v>0</v>
      </c>
    </row>
    <row r="3301" spans="1:22" x14ac:dyDescent="0.2">
      <c r="A3301" t="s">
        <v>6783</v>
      </c>
      <c r="B3301" t="s">
        <v>8154</v>
      </c>
      <c r="C3301" t="s">
        <v>2987</v>
      </c>
      <c r="D3301" t="s">
        <v>228</v>
      </c>
      <c r="E3301">
        <v>79.989999999999995</v>
      </c>
      <c r="F3301" t="s">
        <v>8118</v>
      </c>
      <c r="G3301">
        <v>34</v>
      </c>
      <c r="I3301">
        <v>34</v>
      </c>
      <c r="L3301" t="s">
        <v>10</v>
      </c>
      <c r="M3301">
        <v>420361</v>
      </c>
      <c r="N3301">
        <v>1</v>
      </c>
      <c r="O3301">
        <v>1.0833333333333333</v>
      </c>
      <c r="P3301" t="s">
        <v>7015</v>
      </c>
      <c r="T3301">
        <v>1</v>
      </c>
      <c r="U3301">
        <v>159.97999999999999</v>
      </c>
      <c r="V3301">
        <v>1</v>
      </c>
    </row>
    <row r="3302" spans="1:22" x14ac:dyDescent="0.2">
      <c r="A3302" t="s">
        <v>2990</v>
      </c>
      <c r="B3302" t="s">
        <v>8155</v>
      </c>
      <c r="C3302" t="s">
        <v>2987</v>
      </c>
      <c r="D3302" t="s">
        <v>228</v>
      </c>
      <c r="E3302">
        <v>89.99</v>
      </c>
      <c r="F3302" t="s">
        <v>8118</v>
      </c>
      <c r="G3302">
        <v>2076</v>
      </c>
      <c r="H3302">
        <v>334</v>
      </c>
      <c r="I3302">
        <v>1742</v>
      </c>
      <c r="L3302" t="s">
        <v>10</v>
      </c>
      <c r="M3302">
        <v>403495</v>
      </c>
      <c r="N3302">
        <v>8</v>
      </c>
      <c r="O3302">
        <v>0.12589158345221113</v>
      </c>
      <c r="P3302" t="s">
        <v>7015</v>
      </c>
      <c r="T3302">
        <v>176</v>
      </c>
      <c r="U3302">
        <v>12958.56</v>
      </c>
      <c r="V3302">
        <v>1402</v>
      </c>
    </row>
    <row r="3303" spans="1:22" x14ac:dyDescent="0.2">
      <c r="A3303" t="s">
        <v>2988</v>
      </c>
      <c r="B3303" t="s">
        <v>8156</v>
      </c>
      <c r="C3303" t="s">
        <v>2987</v>
      </c>
      <c r="D3303" t="s">
        <v>228</v>
      </c>
      <c r="E3303">
        <v>89.99</v>
      </c>
      <c r="F3303" t="s">
        <v>8118</v>
      </c>
      <c r="G3303">
        <v>140</v>
      </c>
      <c r="H3303">
        <v>90</v>
      </c>
      <c r="I3303">
        <v>50</v>
      </c>
      <c r="K3303">
        <v>5400</v>
      </c>
      <c r="L3303" t="s">
        <v>10</v>
      </c>
      <c r="M3303">
        <v>647952</v>
      </c>
      <c r="N3303">
        <v>8</v>
      </c>
      <c r="O3303">
        <v>0.12652146060217809</v>
      </c>
      <c r="P3303" t="s">
        <v>7015</v>
      </c>
      <c r="T3303">
        <v>198</v>
      </c>
      <c r="U3303">
        <v>18267.969999999998</v>
      </c>
      <c r="V3303">
        <v>1561</v>
      </c>
    </row>
    <row r="3304" spans="1:22" x14ac:dyDescent="0.2">
      <c r="A3304" t="s">
        <v>7401</v>
      </c>
      <c r="B3304" t="s">
        <v>8266</v>
      </c>
      <c r="C3304" t="s">
        <v>2987</v>
      </c>
      <c r="D3304" t="s">
        <v>96</v>
      </c>
      <c r="E3304">
        <v>89.99</v>
      </c>
      <c r="F3304" t="s">
        <v>8118</v>
      </c>
      <c r="L3304" t="s">
        <v>10</v>
      </c>
      <c r="M3304">
        <v>506209</v>
      </c>
      <c r="N3304">
        <v>0</v>
      </c>
      <c r="O3304">
        <v>0</v>
      </c>
      <c r="P3304" t="s">
        <v>7015</v>
      </c>
      <c r="T3304">
        <v>0</v>
      </c>
      <c r="U3304">
        <v>0</v>
      </c>
      <c r="V3304">
        <v>0</v>
      </c>
    </row>
    <row r="3305" spans="1:22" x14ac:dyDescent="0.2">
      <c r="A3305" t="s">
        <v>7398</v>
      </c>
      <c r="B3305" t="s">
        <v>8267</v>
      </c>
      <c r="C3305" t="s">
        <v>2987</v>
      </c>
      <c r="D3305" t="s">
        <v>96</v>
      </c>
      <c r="E3305">
        <v>89.99</v>
      </c>
      <c r="F3305" t="s">
        <v>8118</v>
      </c>
      <c r="L3305" t="s">
        <v>10</v>
      </c>
      <c r="M3305">
        <v>506213</v>
      </c>
      <c r="N3305">
        <v>0</v>
      </c>
      <c r="O3305">
        <v>0</v>
      </c>
      <c r="P3305" t="s">
        <v>7015</v>
      </c>
      <c r="T3305">
        <v>0</v>
      </c>
      <c r="U3305">
        <v>0</v>
      </c>
      <c r="V3305">
        <v>0</v>
      </c>
    </row>
    <row r="3306" spans="1:22" x14ac:dyDescent="0.2">
      <c r="A3306" t="s">
        <v>3037</v>
      </c>
      <c r="B3306" t="s">
        <v>8217</v>
      </c>
      <c r="C3306" t="s">
        <v>2987</v>
      </c>
      <c r="D3306" t="s">
        <v>228</v>
      </c>
      <c r="E3306">
        <v>79.989999999999995</v>
      </c>
      <c r="F3306" t="s">
        <v>8118</v>
      </c>
      <c r="G3306">
        <v>243</v>
      </c>
      <c r="H3306">
        <v>13</v>
      </c>
      <c r="I3306">
        <v>230</v>
      </c>
      <c r="K3306">
        <v>36</v>
      </c>
      <c r="L3306" t="s">
        <v>10</v>
      </c>
      <c r="M3306">
        <v>667270</v>
      </c>
      <c r="N3306">
        <v>16</v>
      </c>
      <c r="O3306">
        <v>6.4254385964912286E-2</v>
      </c>
      <c r="P3306" t="s">
        <v>7015</v>
      </c>
      <c r="T3306">
        <v>24</v>
      </c>
      <c r="U3306">
        <v>1439.82</v>
      </c>
      <c r="V3306">
        <v>380</v>
      </c>
    </row>
    <row r="3307" spans="1:22" x14ac:dyDescent="0.2">
      <c r="A3307" t="s">
        <v>3025</v>
      </c>
      <c r="B3307" t="s">
        <v>8231</v>
      </c>
      <c r="C3307" t="s">
        <v>2987</v>
      </c>
      <c r="D3307" t="s">
        <v>228</v>
      </c>
      <c r="E3307">
        <v>89.99</v>
      </c>
      <c r="F3307" t="s">
        <v>8118</v>
      </c>
      <c r="G3307">
        <v>237</v>
      </c>
      <c r="H3307">
        <v>44</v>
      </c>
      <c r="I3307">
        <v>193</v>
      </c>
      <c r="K3307">
        <v>60</v>
      </c>
      <c r="L3307" t="s">
        <v>10</v>
      </c>
      <c r="M3307">
        <v>440648</v>
      </c>
      <c r="N3307">
        <v>30</v>
      </c>
      <c r="O3307">
        <v>3.3333333333333333E-2</v>
      </c>
      <c r="P3307" t="s">
        <v>7015</v>
      </c>
      <c r="T3307">
        <v>1</v>
      </c>
      <c r="U3307">
        <v>0</v>
      </c>
      <c r="V3307">
        <v>35</v>
      </c>
    </row>
    <row r="3308" spans="1:22" x14ac:dyDescent="0.2">
      <c r="A3308" t="s">
        <v>3035</v>
      </c>
      <c r="B3308" t="s">
        <v>8215</v>
      </c>
      <c r="C3308" t="s">
        <v>2987</v>
      </c>
      <c r="D3308" t="s">
        <v>290</v>
      </c>
      <c r="E3308">
        <v>139.99</v>
      </c>
      <c r="F3308" t="s">
        <v>8118</v>
      </c>
      <c r="G3308">
        <v>26</v>
      </c>
      <c r="H3308">
        <v>2</v>
      </c>
      <c r="I3308">
        <v>24</v>
      </c>
      <c r="L3308" t="s">
        <v>10</v>
      </c>
      <c r="M3308">
        <v>483246</v>
      </c>
      <c r="N3308">
        <v>0</v>
      </c>
      <c r="O3308">
        <v>0</v>
      </c>
      <c r="P3308" t="s">
        <v>7015</v>
      </c>
      <c r="T3308">
        <v>0</v>
      </c>
      <c r="U3308">
        <v>0</v>
      </c>
      <c r="V3308">
        <v>0</v>
      </c>
    </row>
    <row r="3309" spans="1:22" x14ac:dyDescent="0.2">
      <c r="A3309" t="s">
        <v>6885</v>
      </c>
      <c r="B3309" t="s">
        <v>8268</v>
      </c>
      <c r="C3309" t="s">
        <v>2987</v>
      </c>
      <c r="D3309" t="s">
        <v>96</v>
      </c>
      <c r="E3309">
        <v>89.99</v>
      </c>
      <c r="F3309" t="s">
        <v>8118</v>
      </c>
      <c r="L3309" t="s">
        <v>10</v>
      </c>
      <c r="M3309">
        <v>506205</v>
      </c>
      <c r="N3309">
        <v>0</v>
      </c>
      <c r="O3309">
        <v>0</v>
      </c>
      <c r="P3309" t="s">
        <v>7015</v>
      </c>
      <c r="T3309">
        <v>0</v>
      </c>
      <c r="U3309">
        <v>0</v>
      </c>
      <c r="V3309">
        <v>0</v>
      </c>
    </row>
    <row r="3310" spans="1:22" x14ac:dyDescent="0.2">
      <c r="A3310" t="s">
        <v>6891</v>
      </c>
      <c r="B3310" t="s">
        <v>8241</v>
      </c>
      <c r="C3310" t="s">
        <v>2987</v>
      </c>
      <c r="D3310" t="s">
        <v>96</v>
      </c>
      <c r="E3310">
        <v>89.99</v>
      </c>
      <c r="F3310" t="s">
        <v>8118</v>
      </c>
      <c r="L3310" t="s">
        <v>10</v>
      </c>
      <c r="M3310">
        <v>506229</v>
      </c>
      <c r="N3310">
        <v>0</v>
      </c>
      <c r="O3310">
        <v>0</v>
      </c>
      <c r="P3310" t="s">
        <v>7015</v>
      </c>
      <c r="T3310">
        <v>0</v>
      </c>
      <c r="U3310">
        <v>0</v>
      </c>
      <c r="V3310">
        <v>0</v>
      </c>
    </row>
    <row r="3311" spans="1:22" x14ac:dyDescent="0.2">
      <c r="A3311" t="s">
        <v>6888</v>
      </c>
      <c r="B3311" t="s">
        <v>8208</v>
      </c>
      <c r="C3311" t="s">
        <v>2987</v>
      </c>
      <c r="D3311" t="s">
        <v>96</v>
      </c>
      <c r="E3311">
        <v>89.99</v>
      </c>
      <c r="F3311" t="s">
        <v>8118</v>
      </c>
      <c r="L3311" t="s">
        <v>10</v>
      </c>
      <c r="M3311">
        <v>506225</v>
      </c>
      <c r="N3311">
        <v>0</v>
      </c>
      <c r="O3311">
        <v>0</v>
      </c>
      <c r="P3311" t="s">
        <v>7015</v>
      </c>
      <c r="T3311">
        <v>0</v>
      </c>
      <c r="U3311">
        <v>0</v>
      </c>
      <c r="V3311">
        <v>0</v>
      </c>
    </row>
    <row r="3312" spans="1:22" x14ac:dyDescent="0.2">
      <c r="A3312" t="s">
        <v>6765</v>
      </c>
      <c r="B3312" t="s">
        <v>8173</v>
      </c>
      <c r="C3312" t="s">
        <v>2987</v>
      </c>
      <c r="D3312" t="s">
        <v>96</v>
      </c>
      <c r="E3312">
        <v>129.99</v>
      </c>
      <c r="F3312" t="s">
        <v>8118</v>
      </c>
      <c r="L3312" t="s">
        <v>10</v>
      </c>
      <c r="M3312">
        <v>984413</v>
      </c>
      <c r="N3312">
        <v>0</v>
      </c>
      <c r="O3312">
        <v>0</v>
      </c>
      <c r="P3312" t="s">
        <v>7015</v>
      </c>
      <c r="T3312">
        <v>0</v>
      </c>
      <c r="U3312">
        <v>0</v>
      </c>
      <c r="V3312">
        <v>1</v>
      </c>
    </row>
    <row r="3313" spans="1:22" x14ac:dyDescent="0.2">
      <c r="A3313" t="s">
        <v>3019</v>
      </c>
      <c r="B3313" t="s">
        <v>8247</v>
      </c>
      <c r="C3313" t="s">
        <v>2987</v>
      </c>
      <c r="D3313" t="s">
        <v>228</v>
      </c>
      <c r="E3313">
        <v>139.99</v>
      </c>
      <c r="F3313" t="s">
        <v>8118</v>
      </c>
      <c r="G3313">
        <v>359</v>
      </c>
      <c r="H3313">
        <v>52</v>
      </c>
      <c r="I3313">
        <v>307</v>
      </c>
      <c r="L3313" t="s">
        <v>10</v>
      </c>
      <c r="N3313">
        <v>27</v>
      </c>
      <c r="O3313">
        <v>3.7037037037037035E-2</v>
      </c>
      <c r="P3313" t="s">
        <v>7015</v>
      </c>
      <c r="T3313">
        <v>11</v>
      </c>
      <c r="U3313">
        <v>699.95</v>
      </c>
      <c r="V3313">
        <v>297</v>
      </c>
    </row>
    <row r="3314" spans="1:22" x14ac:dyDescent="0.2">
      <c r="A3314" t="s">
        <v>3021</v>
      </c>
      <c r="B3314" t="s">
        <v>8214</v>
      </c>
      <c r="C3314" t="s">
        <v>2987</v>
      </c>
      <c r="D3314" t="s">
        <v>228</v>
      </c>
      <c r="E3314">
        <v>139.99</v>
      </c>
      <c r="F3314" t="s">
        <v>8118</v>
      </c>
      <c r="G3314">
        <v>48</v>
      </c>
      <c r="I3314">
        <v>48</v>
      </c>
      <c r="K3314">
        <v>36</v>
      </c>
      <c r="L3314" t="s">
        <v>10</v>
      </c>
      <c r="M3314">
        <v>609524</v>
      </c>
      <c r="N3314">
        <v>2</v>
      </c>
      <c r="O3314">
        <v>0.66666666666666663</v>
      </c>
      <c r="P3314" t="s">
        <v>7015</v>
      </c>
      <c r="T3314">
        <v>1</v>
      </c>
      <c r="U3314">
        <v>0</v>
      </c>
      <c r="V3314">
        <v>1</v>
      </c>
    </row>
    <row r="3315" spans="1:22" x14ac:dyDescent="0.2">
      <c r="A3315" t="s">
        <v>3023</v>
      </c>
      <c r="B3315" t="s">
        <v>8129</v>
      </c>
      <c r="C3315" t="s">
        <v>2987</v>
      </c>
      <c r="D3315" t="s">
        <v>228</v>
      </c>
      <c r="E3315">
        <v>89.99</v>
      </c>
      <c r="F3315" t="s">
        <v>8118</v>
      </c>
      <c r="G3315">
        <v>1029</v>
      </c>
      <c r="H3315">
        <v>128</v>
      </c>
      <c r="I3315">
        <v>901</v>
      </c>
      <c r="L3315" t="s">
        <v>10</v>
      </c>
      <c r="M3315">
        <v>497854</v>
      </c>
      <c r="N3315">
        <v>13</v>
      </c>
      <c r="O3315">
        <v>7.6055312954876275E-2</v>
      </c>
      <c r="P3315" t="s">
        <v>7015</v>
      </c>
      <c r="T3315">
        <v>17</v>
      </c>
      <c r="U3315">
        <v>629.92999999999995</v>
      </c>
      <c r="V3315">
        <v>229</v>
      </c>
    </row>
    <row r="3316" spans="1:22" x14ac:dyDescent="0.2">
      <c r="A3316" t="s">
        <v>34</v>
      </c>
      <c r="B3316" t="s">
        <v>8167</v>
      </c>
      <c r="C3316" t="s">
        <v>2987</v>
      </c>
      <c r="D3316" t="s">
        <v>228</v>
      </c>
      <c r="E3316">
        <v>59.99</v>
      </c>
      <c r="F3316" t="s">
        <v>8118</v>
      </c>
      <c r="G3316">
        <v>3536</v>
      </c>
      <c r="H3316">
        <v>742</v>
      </c>
      <c r="I3316">
        <v>2794</v>
      </c>
      <c r="K3316">
        <v>3408</v>
      </c>
      <c r="L3316" t="s">
        <v>10</v>
      </c>
      <c r="M3316">
        <v>632130</v>
      </c>
      <c r="N3316">
        <v>7</v>
      </c>
      <c r="O3316">
        <v>0.14212365591397849</v>
      </c>
      <c r="P3316" t="s">
        <v>7015</v>
      </c>
      <c r="T3316">
        <v>441</v>
      </c>
      <c r="U3316">
        <v>18296.95</v>
      </c>
      <c r="V3316">
        <v>3100</v>
      </c>
    </row>
    <row r="3317" spans="1:22" x14ac:dyDescent="0.2">
      <c r="A3317" t="s">
        <v>6780</v>
      </c>
      <c r="B3317" t="s">
        <v>8159</v>
      </c>
      <c r="C3317" t="s">
        <v>2987</v>
      </c>
      <c r="D3317" t="s">
        <v>96</v>
      </c>
      <c r="E3317">
        <v>104.99</v>
      </c>
      <c r="F3317" t="s">
        <v>8118</v>
      </c>
      <c r="L3317" t="s">
        <v>10</v>
      </c>
      <c r="M3317">
        <v>420366</v>
      </c>
      <c r="N3317">
        <v>0</v>
      </c>
      <c r="O3317">
        <v>0</v>
      </c>
      <c r="P3317" t="s">
        <v>7015</v>
      </c>
      <c r="T3317">
        <v>0</v>
      </c>
      <c r="U3317">
        <v>0</v>
      </c>
      <c r="V3317">
        <v>0</v>
      </c>
    </row>
    <row r="3318" spans="1:22" x14ac:dyDescent="0.2">
      <c r="A3318" t="s">
        <v>6694</v>
      </c>
      <c r="B3318" t="s">
        <v>8201</v>
      </c>
      <c r="C3318" t="s">
        <v>2987</v>
      </c>
      <c r="D3318" t="s">
        <v>290</v>
      </c>
      <c r="E3318">
        <v>49.99</v>
      </c>
      <c r="F3318" t="s">
        <v>8118</v>
      </c>
      <c r="L3318" t="s">
        <v>10</v>
      </c>
      <c r="M3318">
        <v>386189</v>
      </c>
      <c r="N3318">
        <v>0</v>
      </c>
      <c r="O3318">
        <v>0</v>
      </c>
      <c r="P3318" t="s">
        <v>7015</v>
      </c>
      <c r="T3318">
        <v>0</v>
      </c>
      <c r="U3318">
        <v>0</v>
      </c>
      <c r="V3318">
        <v>0</v>
      </c>
    </row>
    <row r="3319" spans="1:22" x14ac:dyDescent="0.2">
      <c r="A3319" t="s">
        <v>3005</v>
      </c>
      <c r="B3319" t="s">
        <v>8202</v>
      </c>
      <c r="C3319" t="s">
        <v>2987</v>
      </c>
      <c r="D3319" t="s">
        <v>290</v>
      </c>
      <c r="E3319">
        <v>49.99</v>
      </c>
      <c r="F3319" t="s">
        <v>8118</v>
      </c>
      <c r="G3319">
        <v>14</v>
      </c>
      <c r="I3319">
        <v>14</v>
      </c>
      <c r="L3319" t="s">
        <v>10</v>
      </c>
      <c r="M3319">
        <v>386188</v>
      </c>
      <c r="N3319">
        <v>0</v>
      </c>
      <c r="O3319">
        <v>0</v>
      </c>
      <c r="P3319" t="s">
        <v>7015</v>
      </c>
      <c r="T3319">
        <v>0</v>
      </c>
      <c r="U3319">
        <v>0</v>
      </c>
      <c r="V3319">
        <v>0</v>
      </c>
    </row>
    <row r="3320" spans="1:22" x14ac:dyDescent="0.2">
      <c r="A3320" t="s">
        <v>3071</v>
      </c>
      <c r="B3320" t="s">
        <v>8190</v>
      </c>
      <c r="C3320" t="s">
        <v>2987</v>
      </c>
      <c r="D3320" t="s">
        <v>228</v>
      </c>
      <c r="E3320">
        <v>199.99</v>
      </c>
      <c r="F3320" t="s">
        <v>8118</v>
      </c>
      <c r="G3320">
        <v>15</v>
      </c>
      <c r="I3320">
        <v>15</v>
      </c>
      <c r="L3320" t="s">
        <v>10</v>
      </c>
      <c r="M3320">
        <v>397346</v>
      </c>
      <c r="N3320">
        <v>0</v>
      </c>
      <c r="O3320">
        <v>0</v>
      </c>
      <c r="P3320" t="s">
        <v>7015</v>
      </c>
      <c r="T3320">
        <v>0</v>
      </c>
      <c r="U3320">
        <v>0</v>
      </c>
      <c r="V3320">
        <v>0</v>
      </c>
    </row>
    <row r="3321" spans="1:22" x14ac:dyDescent="0.2">
      <c r="A3321" t="s">
        <v>3002</v>
      </c>
      <c r="B3321" t="s">
        <v>8158</v>
      </c>
      <c r="C3321" t="s">
        <v>2987</v>
      </c>
      <c r="D3321" t="s">
        <v>228</v>
      </c>
      <c r="E3321">
        <v>109.99</v>
      </c>
      <c r="F3321" t="s">
        <v>8118</v>
      </c>
      <c r="J3321">
        <v>1</v>
      </c>
      <c r="K3321">
        <v>360</v>
      </c>
      <c r="L3321" t="s">
        <v>10</v>
      </c>
      <c r="M3321">
        <v>654684</v>
      </c>
      <c r="N3321">
        <v>41</v>
      </c>
      <c r="O3321">
        <v>2.4193548387096777E-2</v>
      </c>
      <c r="P3321" t="s">
        <v>7015</v>
      </c>
      <c r="T3321">
        <v>1</v>
      </c>
      <c r="U3321">
        <v>879.92</v>
      </c>
      <c r="V3321">
        <v>31</v>
      </c>
    </row>
    <row r="3322" spans="1:22" x14ac:dyDescent="0.2">
      <c r="A3322" t="s">
        <v>6793</v>
      </c>
      <c r="B3322" t="s">
        <v>8161</v>
      </c>
      <c r="C3322" t="s">
        <v>2987</v>
      </c>
      <c r="D3322" t="s">
        <v>96</v>
      </c>
      <c r="E3322">
        <v>49.99</v>
      </c>
      <c r="F3322" t="s">
        <v>8118</v>
      </c>
      <c r="L3322" t="s">
        <v>10</v>
      </c>
      <c r="M3322">
        <v>506235</v>
      </c>
      <c r="N3322">
        <v>0</v>
      </c>
      <c r="O3322">
        <v>0</v>
      </c>
      <c r="P3322" t="s">
        <v>7015</v>
      </c>
      <c r="T3322">
        <v>0</v>
      </c>
      <c r="U3322">
        <v>0</v>
      </c>
      <c r="V3322">
        <v>0</v>
      </c>
    </row>
    <row r="3323" spans="1:22" x14ac:dyDescent="0.2">
      <c r="A3323" t="s">
        <v>6699</v>
      </c>
      <c r="B3323" t="s">
        <v>8162</v>
      </c>
      <c r="C3323" t="s">
        <v>2987</v>
      </c>
      <c r="D3323" t="s">
        <v>96</v>
      </c>
      <c r="E3323">
        <v>49.99</v>
      </c>
      <c r="F3323" t="s">
        <v>8118</v>
      </c>
      <c r="L3323" t="s">
        <v>10</v>
      </c>
      <c r="M3323">
        <v>506251</v>
      </c>
      <c r="N3323">
        <v>0</v>
      </c>
      <c r="O3323">
        <v>0</v>
      </c>
      <c r="P3323" t="s">
        <v>7015</v>
      </c>
      <c r="T3323">
        <v>0</v>
      </c>
      <c r="U3323">
        <v>0</v>
      </c>
      <c r="V3323">
        <v>0</v>
      </c>
    </row>
    <row r="3324" spans="1:22" x14ac:dyDescent="0.2">
      <c r="A3324" t="s">
        <v>6826</v>
      </c>
      <c r="B3324" t="s">
        <v>8257</v>
      </c>
      <c r="C3324" t="s">
        <v>2987</v>
      </c>
      <c r="D3324" t="s">
        <v>96</v>
      </c>
      <c r="E3324">
        <v>89.99</v>
      </c>
      <c r="F3324" t="s">
        <v>8118</v>
      </c>
      <c r="L3324" t="s">
        <v>10</v>
      </c>
      <c r="M3324">
        <v>495298</v>
      </c>
      <c r="N3324">
        <v>0</v>
      </c>
      <c r="O3324">
        <v>0</v>
      </c>
      <c r="P3324" t="s">
        <v>7015</v>
      </c>
      <c r="T3324">
        <v>0</v>
      </c>
      <c r="U3324">
        <v>0</v>
      </c>
      <c r="V3324">
        <v>0</v>
      </c>
    </row>
    <row r="3325" spans="1:22" x14ac:dyDescent="0.2">
      <c r="A3325" t="s">
        <v>6817</v>
      </c>
      <c r="B3325" t="s">
        <v>8163</v>
      </c>
      <c r="C3325" t="s">
        <v>2987</v>
      </c>
      <c r="D3325" t="s">
        <v>96</v>
      </c>
      <c r="E3325">
        <v>69.989999999999995</v>
      </c>
      <c r="F3325" t="s">
        <v>8118</v>
      </c>
      <c r="L3325" t="s">
        <v>10</v>
      </c>
      <c r="M3325">
        <v>506255</v>
      </c>
      <c r="N3325">
        <v>0</v>
      </c>
      <c r="O3325">
        <v>0</v>
      </c>
      <c r="P3325" t="s">
        <v>7015</v>
      </c>
      <c r="T3325">
        <v>0</v>
      </c>
      <c r="U3325">
        <v>0</v>
      </c>
      <c r="V3325">
        <v>0</v>
      </c>
    </row>
    <row r="3326" spans="1:22" x14ac:dyDescent="0.2">
      <c r="A3326" t="s">
        <v>6820</v>
      </c>
      <c r="B3326" t="s">
        <v>8164</v>
      </c>
      <c r="C3326" t="s">
        <v>2987</v>
      </c>
      <c r="D3326" t="s">
        <v>96</v>
      </c>
      <c r="E3326">
        <v>69.989999999999995</v>
      </c>
      <c r="F3326" t="s">
        <v>8118</v>
      </c>
      <c r="L3326" t="s">
        <v>10</v>
      </c>
      <c r="M3326">
        <v>506259</v>
      </c>
      <c r="N3326">
        <v>0</v>
      </c>
      <c r="O3326">
        <v>0</v>
      </c>
      <c r="P3326" t="s">
        <v>7015</v>
      </c>
      <c r="T3326">
        <v>0</v>
      </c>
      <c r="U3326">
        <v>0</v>
      </c>
      <c r="V3326">
        <v>0</v>
      </c>
    </row>
    <row r="3327" spans="1:22" x14ac:dyDescent="0.2">
      <c r="A3327" t="s">
        <v>6823</v>
      </c>
      <c r="B3327" t="s">
        <v>8165</v>
      </c>
      <c r="C3327" t="s">
        <v>2987</v>
      </c>
      <c r="D3327" t="s">
        <v>96</v>
      </c>
      <c r="E3327">
        <v>69.989999999999995</v>
      </c>
      <c r="F3327" t="s">
        <v>8118</v>
      </c>
      <c r="L3327" t="s">
        <v>10</v>
      </c>
      <c r="M3327">
        <v>506263</v>
      </c>
      <c r="N3327">
        <v>0</v>
      </c>
      <c r="O3327">
        <v>0</v>
      </c>
      <c r="P3327" t="s">
        <v>7015</v>
      </c>
      <c r="T3327">
        <v>0</v>
      </c>
      <c r="U3327">
        <v>0</v>
      </c>
      <c r="V3327">
        <v>0</v>
      </c>
    </row>
    <row r="3328" spans="1:22" x14ac:dyDescent="0.2">
      <c r="A3328" t="s">
        <v>6923</v>
      </c>
      <c r="B3328" t="s">
        <v>8166</v>
      </c>
      <c r="C3328" t="s">
        <v>2987</v>
      </c>
      <c r="D3328" t="s">
        <v>96</v>
      </c>
      <c r="E3328">
        <v>69.989999999999995</v>
      </c>
      <c r="F3328" t="s">
        <v>8118</v>
      </c>
      <c r="L3328" t="s">
        <v>10</v>
      </c>
      <c r="M3328">
        <v>586293</v>
      </c>
      <c r="N3328">
        <v>12</v>
      </c>
      <c r="O3328">
        <v>8.3333333333333329E-2</v>
      </c>
      <c r="P3328" t="s">
        <v>7015</v>
      </c>
      <c r="T3328">
        <v>0</v>
      </c>
      <c r="U3328">
        <v>0</v>
      </c>
      <c r="V3328">
        <v>2</v>
      </c>
    </row>
    <row r="3329" spans="1:22" x14ac:dyDescent="0.2">
      <c r="A3329" t="s">
        <v>6829</v>
      </c>
      <c r="B3329" t="s">
        <v>8179</v>
      </c>
      <c r="C3329" t="s">
        <v>2987</v>
      </c>
      <c r="D3329" t="s">
        <v>228</v>
      </c>
      <c r="E3329">
        <v>89.99</v>
      </c>
      <c r="F3329" t="s">
        <v>8118</v>
      </c>
      <c r="G3329">
        <v>7</v>
      </c>
      <c r="I3329">
        <v>7</v>
      </c>
      <c r="K3329">
        <v>12</v>
      </c>
      <c r="L3329" t="s">
        <v>10</v>
      </c>
      <c r="M3329">
        <v>472251</v>
      </c>
      <c r="N3329">
        <v>0</v>
      </c>
      <c r="O3329">
        <v>0</v>
      </c>
      <c r="P3329" t="s">
        <v>7015</v>
      </c>
      <c r="T3329">
        <v>0</v>
      </c>
      <c r="U3329">
        <v>0</v>
      </c>
      <c r="V3329">
        <v>0</v>
      </c>
    </row>
    <row r="3330" spans="1:22" x14ac:dyDescent="0.2">
      <c r="A3330" t="s">
        <v>6834</v>
      </c>
      <c r="B3330" t="s">
        <v>8249</v>
      </c>
      <c r="C3330" t="s">
        <v>2987</v>
      </c>
      <c r="D3330" t="s">
        <v>228</v>
      </c>
      <c r="E3330">
        <v>89.99</v>
      </c>
      <c r="F3330" t="s">
        <v>8118</v>
      </c>
      <c r="G3330">
        <v>48</v>
      </c>
      <c r="I3330">
        <v>48</v>
      </c>
      <c r="K3330">
        <v>24</v>
      </c>
      <c r="L3330" t="s">
        <v>10</v>
      </c>
      <c r="M3330">
        <v>472255</v>
      </c>
      <c r="N3330">
        <v>0</v>
      </c>
      <c r="O3330">
        <v>0</v>
      </c>
      <c r="P3330" t="s">
        <v>7015</v>
      </c>
      <c r="T3330">
        <v>0</v>
      </c>
      <c r="U3330">
        <v>0</v>
      </c>
      <c r="V3330">
        <v>0</v>
      </c>
    </row>
    <row r="3331" spans="1:22" x14ac:dyDescent="0.2">
      <c r="A3331" t="s">
        <v>6583</v>
      </c>
      <c r="B3331" t="s">
        <v>8205</v>
      </c>
      <c r="C3331" t="s">
        <v>2987</v>
      </c>
      <c r="D3331" t="s">
        <v>96</v>
      </c>
      <c r="E3331">
        <v>89.99</v>
      </c>
      <c r="F3331" t="s">
        <v>8118</v>
      </c>
      <c r="L3331" t="s">
        <v>10</v>
      </c>
      <c r="M3331">
        <v>642335</v>
      </c>
      <c r="N3331">
        <v>0</v>
      </c>
      <c r="O3331">
        <v>0</v>
      </c>
      <c r="P3331" t="s">
        <v>7015</v>
      </c>
      <c r="T3331">
        <v>0</v>
      </c>
      <c r="U3331">
        <v>0</v>
      </c>
      <c r="V3331">
        <v>0</v>
      </c>
    </row>
    <row r="3332" spans="1:22" x14ac:dyDescent="0.2">
      <c r="A3332" t="s">
        <v>6840</v>
      </c>
      <c r="B3332" t="s">
        <v>8256</v>
      </c>
      <c r="C3332" t="s">
        <v>2987</v>
      </c>
      <c r="D3332" t="s">
        <v>96</v>
      </c>
      <c r="E3332">
        <v>159.99</v>
      </c>
      <c r="F3332" t="s">
        <v>8118</v>
      </c>
      <c r="L3332" t="s">
        <v>10</v>
      </c>
      <c r="M3332">
        <v>505833</v>
      </c>
      <c r="N3332">
        <v>0</v>
      </c>
      <c r="O3332">
        <v>0</v>
      </c>
      <c r="P3332" t="s">
        <v>7015</v>
      </c>
      <c r="T3332">
        <v>0</v>
      </c>
      <c r="U3332">
        <v>0</v>
      </c>
      <c r="V3332">
        <v>1</v>
      </c>
    </row>
    <row r="3333" spans="1:22" x14ac:dyDescent="0.2">
      <c r="A3333" t="s">
        <v>6601</v>
      </c>
      <c r="B3333" t="s">
        <v>8142</v>
      </c>
      <c r="C3333" t="s">
        <v>2987</v>
      </c>
      <c r="D3333" t="s">
        <v>96</v>
      </c>
      <c r="E3333">
        <v>89.99</v>
      </c>
      <c r="F3333" t="s">
        <v>8118</v>
      </c>
      <c r="L3333" t="s">
        <v>10</v>
      </c>
      <c r="M3333">
        <v>642337</v>
      </c>
      <c r="N3333">
        <v>0</v>
      </c>
      <c r="O3333">
        <v>0</v>
      </c>
      <c r="P3333" t="s">
        <v>7015</v>
      </c>
      <c r="T3333">
        <v>0</v>
      </c>
      <c r="U3333">
        <v>0</v>
      </c>
      <c r="V3333">
        <v>0</v>
      </c>
    </row>
    <row r="3334" spans="1:22" x14ac:dyDescent="0.2">
      <c r="A3334" t="s">
        <v>6853</v>
      </c>
      <c r="B3334" t="s">
        <v>8238</v>
      </c>
      <c r="C3334" t="s">
        <v>2987</v>
      </c>
      <c r="D3334" t="s">
        <v>290</v>
      </c>
      <c r="E3334">
        <v>79.989999999999995</v>
      </c>
      <c r="F3334" t="s">
        <v>8118</v>
      </c>
      <c r="K3334">
        <v>12</v>
      </c>
      <c r="L3334" t="s">
        <v>10</v>
      </c>
      <c r="M3334">
        <v>495348</v>
      </c>
      <c r="N3334">
        <v>82</v>
      </c>
      <c r="O3334">
        <v>1.2152777777777778E-2</v>
      </c>
      <c r="P3334" t="s">
        <v>7015</v>
      </c>
      <c r="T3334">
        <v>2</v>
      </c>
      <c r="U3334">
        <v>79.989999999999995</v>
      </c>
      <c r="V3334">
        <v>144</v>
      </c>
    </row>
    <row r="3335" spans="1:22" x14ac:dyDescent="0.2">
      <c r="A3335" t="s">
        <v>6643</v>
      </c>
      <c r="B3335" t="s">
        <v>8144</v>
      </c>
      <c r="C3335" t="s">
        <v>2987</v>
      </c>
      <c r="D3335" t="s">
        <v>290</v>
      </c>
      <c r="E3335">
        <v>89.99</v>
      </c>
      <c r="F3335" t="s">
        <v>8118</v>
      </c>
      <c r="G3335">
        <v>1</v>
      </c>
      <c r="I3335">
        <v>1</v>
      </c>
      <c r="L3335" t="s">
        <v>10</v>
      </c>
      <c r="M3335">
        <v>353795</v>
      </c>
      <c r="N3335">
        <v>60</v>
      </c>
      <c r="O3335">
        <v>1.6666666666666666E-2</v>
      </c>
      <c r="P3335" t="s">
        <v>7015</v>
      </c>
      <c r="T3335">
        <v>0</v>
      </c>
      <c r="U3335">
        <v>0</v>
      </c>
      <c r="V3335">
        <v>5</v>
      </c>
    </row>
    <row r="3336" spans="1:22" x14ac:dyDescent="0.2">
      <c r="A3336" t="s">
        <v>6858</v>
      </c>
      <c r="B3336" t="s">
        <v>6859</v>
      </c>
      <c r="C3336" t="s">
        <v>2987</v>
      </c>
      <c r="D3336" t="s">
        <v>96</v>
      </c>
      <c r="E3336">
        <v>139.99</v>
      </c>
      <c r="F3336" t="s">
        <v>8118</v>
      </c>
      <c r="L3336" t="s">
        <v>10</v>
      </c>
      <c r="M3336">
        <v>505825</v>
      </c>
      <c r="N3336">
        <v>0</v>
      </c>
      <c r="O3336">
        <v>0</v>
      </c>
      <c r="P3336" t="s">
        <v>7015</v>
      </c>
      <c r="T3336">
        <v>0</v>
      </c>
      <c r="U3336">
        <v>0</v>
      </c>
      <c r="V3336">
        <v>0</v>
      </c>
    </row>
    <row r="3337" spans="1:22" x14ac:dyDescent="0.2">
      <c r="A3337" t="s">
        <v>3051</v>
      </c>
      <c r="B3337" t="s">
        <v>8222</v>
      </c>
      <c r="C3337" t="s">
        <v>2987</v>
      </c>
      <c r="D3337" t="s">
        <v>228</v>
      </c>
      <c r="E3337">
        <v>139.99</v>
      </c>
      <c r="F3337" t="s">
        <v>8118</v>
      </c>
      <c r="L3337" t="s">
        <v>10</v>
      </c>
      <c r="M3337">
        <v>656072</v>
      </c>
      <c r="N3337">
        <v>3</v>
      </c>
      <c r="O3337">
        <v>0.33333333333333331</v>
      </c>
      <c r="P3337" t="s">
        <v>7015</v>
      </c>
      <c r="T3337">
        <v>0</v>
      </c>
      <c r="U3337">
        <v>0</v>
      </c>
      <c r="V3337">
        <v>1</v>
      </c>
    </row>
    <row r="3338" spans="1:22" x14ac:dyDescent="0.2">
      <c r="A3338" t="s">
        <v>6861</v>
      </c>
      <c r="B3338" t="s">
        <v>8192</v>
      </c>
      <c r="C3338" t="s">
        <v>2987</v>
      </c>
      <c r="D3338" t="s">
        <v>96</v>
      </c>
      <c r="E3338">
        <v>159.99</v>
      </c>
      <c r="F3338" t="s">
        <v>8118</v>
      </c>
      <c r="L3338" t="s">
        <v>10</v>
      </c>
      <c r="M3338">
        <v>505829</v>
      </c>
      <c r="N3338">
        <v>0</v>
      </c>
      <c r="O3338">
        <v>0</v>
      </c>
      <c r="P3338" t="s">
        <v>7015</v>
      </c>
      <c r="T3338">
        <v>0</v>
      </c>
      <c r="U3338">
        <v>0</v>
      </c>
      <c r="V3338">
        <v>0</v>
      </c>
    </row>
    <row r="3339" spans="1:22" x14ac:dyDescent="0.2">
      <c r="A3339" t="s">
        <v>3067</v>
      </c>
      <c r="B3339" t="s">
        <v>8240</v>
      </c>
      <c r="C3339" t="s">
        <v>2987</v>
      </c>
      <c r="D3339" t="s">
        <v>228</v>
      </c>
      <c r="E3339">
        <v>99.99</v>
      </c>
      <c r="F3339" t="s">
        <v>8118</v>
      </c>
      <c r="G3339">
        <v>14</v>
      </c>
      <c r="I3339">
        <v>14</v>
      </c>
      <c r="L3339" t="s">
        <v>10</v>
      </c>
      <c r="M3339">
        <v>505830</v>
      </c>
      <c r="N3339">
        <v>0</v>
      </c>
      <c r="O3339">
        <v>0</v>
      </c>
      <c r="P3339" t="s">
        <v>7015</v>
      </c>
      <c r="T3339">
        <v>0</v>
      </c>
      <c r="U3339">
        <v>0</v>
      </c>
      <c r="V3339">
        <v>0</v>
      </c>
    </row>
    <row r="3340" spans="1:22" x14ac:dyDescent="0.2">
      <c r="A3340" t="s">
        <v>6690</v>
      </c>
      <c r="B3340" t="s">
        <v>8183</v>
      </c>
      <c r="C3340" t="s">
        <v>2987</v>
      </c>
      <c r="D3340" t="s">
        <v>96</v>
      </c>
      <c r="E3340">
        <v>74.989999999999995</v>
      </c>
      <c r="F3340" t="s">
        <v>8118</v>
      </c>
      <c r="L3340" t="s">
        <v>10</v>
      </c>
      <c r="M3340">
        <v>353786</v>
      </c>
      <c r="N3340">
        <v>0</v>
      </c>
      <c r="O3340">
        <v>0</v>
      </c>
      <c r="P3340" t="s">
        <v>7015</v>
      </c>
      <c r="T3340">
        <v>0</v>
      </c>
      <c r="U3340">
        <v>0</v>
      </c>
      <c r="V3340">
        <v>1</v>
      </c>
    </row>
    <row r="3341" spans="1:22" x14ac:dyDescent="0.2">
      <c r="A3341" t="s">
        <v>6814</v>
      </c>
      <c r="B3341" t="s">
        <v>8245</v>
      </c>
      <c r="C3341" t="s">
        <v>2987</v>
      </c>
      <c r="D3341" t="s">
        <v>96</v>
      </c>
      <c r="E3341">
        <v>89.99</v>
      </c>
      <c r="F3341" t="s">
        <v>8118</v>
      </c>
      <c r="L3341" t="s">
        <v>7032</v>
      </c>
      <c r="M3341" t="s">
        <v>97</v>
      </c>
      <c r="N3341">
        <v>0</v>
      </c>
      <c r="O3341">
        <v>0</v>
      </c>
      <c r="T3341">
        <v>0</v>
      </c>
      <c r="U3341">
        <v>0</v>
      </c>
      <c r="V3341">
        <v>0</v>
      </c>
    </row>
    <row r="3342" spans="1:22" x14ac:dyDescent="0.2">
      <c r="A3342" t="s">
        <v>6811</v>
      </c>
      <c r="B3342" t="s">
        <v>8243</v>
      </c>
      <c r="C3342" t="s">
        <v>2987</v>
      </c>
      <c r="D3342" t="s">
        <v>96</v>
      </c>
      <c r="E3342">
        <v>89.99</v>
      </c>
      <c r="F3342" t="s">
        <v>8118</v>
      </c>
      <c r="L3342" t="s">
        <v>7032</v>
      </c>
      <c r="M3342" t="s">
        <v>97</v>
      </c>
      <c r="N3342">
        <v>0</v>
      </c>
      <c r="O3342">
        <v>0</v>
      </c>
      <c r="T3342">
        <v>0</v>
      </c>
      <c r="U3342">
        <v>0</v>
      </c>
      <c r="V3342">
        <v>0</v>
      </c>
    </row>
    <row r="3343" spans="1:22" x14ac:dyDescent="0.2">
      <c r="A3343" t="s">
        <v>7762</v>
      </c>
      <c r="B3343" t="s">
        <v>8269</v>
      </c>
      <c r="C3343" t="s">
        <v>2987</v>
      </c>
      <c r="D3343" t="s">
        <v>96</v>
      </c>
      <c r="E3343">
        <v>109.99</v>
      </c>
      <c r="F3343" t="s">
        <v>8118</v>
      </c>
      <c r="L3343" t="s">
        <v>7032</v>
      </c>
      <c r="M3343" t="s">
        <v>97</v>
      </c>
      <c r="N3343">
        <v>0</v>
      </c>
      <c r="O3343">
        <v>0</v>
      </c>
      <c r="T3343">
        <v>0</v>
      </c>
      <c r="U3343">
        <v>0</v>
      </c>
      <c r="V3343">
        <v>0</v>
      </c>
    </row>
    <row r="3344" spans="1:22" x14ac:dyDescent="0.2">
      <c r="A3344" t="s">
        <v>6947</v>
      </c>
      <c r="B3344" t="s">
        <v>8270</v>
      </c>
      <c r="C3344" t="s">
        <v>2987</v>
      </c>
      <c r="D3344" t="s">
        <v>96</v>
      </c>
      <c r="E3344">
        <v>139.99</v>
      </c>
      <c r="F3344" t="s">
        <v>8118</v>
      </c>
      <c r="L3344" t="s">
        <v>7032</v>
      </c>
      <c r="M3344" t="s">
        <v>97</v>
      </c>
      <c r="N3344">
        <v>0</v>
      </c>
      <c r="O3344">
        <v>0</v>
      </c>
      <c r="T3344">
        <v>0</v>
      </c>
      <c r="U3344">
        <v>0</v>
      </c>
      <c r="V3344">
        <v>0</v>
      </c>
    </row>
    <row r="3345" spans="1:22" x14ac:dyDescent="0.2">
      <c r="A3345" t="s">
        <v>6687</v>
      </c>
      <c r="B3345" t="s">
        <v>8199</v>
      </c>
      <c r="C3345" t="s">
        <v>2987</v>
      </c>
      <c r="D3345" t="s">
        <v>96</v>
      </c>
      <c r="E3345">
        <v>139.99</v>
      </c>
      <c r="F3345" t="s">
        <v>8118</v>
      </c>
      <c r="L3345" t="s">
        <v>7032</v>
      </c>
      <c r="M3345" t="s">
        <v>97</v>
      </c>
      <c r="N3345">
        <v>0</v>
      </c>
      <c r="O3345">
        <v>0</v>
      </c>
      <c r="T3345">
        <v>0</v>
      </c>
      <c r="U3345">
        <v>0</v>
      </c>
      <c r="V3345">
        <v>0</v>
      </c>
    </row>
    <row r="3346" spans="1:22" x14ac:dyDescent="0.2">
      <c r="A3346" t="s">
        <v>6498</v>
      </c>
      <c r="B3346" t="s">
        <v>8258</v>
      </c>
      <c r="C3346" t="s">
        <v>2987</v>
      </c>
      <c r="D3346" t="s">
        <v>96</v>
      </c>
      <c r="E3346">
        <v>89.99</v>
      </c>
      <c r="F3346" t="s">
        <v>8118</v>
      </c>
      <c r="L3346" t="s">
        <v>7032</v>
      </c>
      <c r="M3346" t="s">
        <v>97</v>
      </c>
      <c r="N3346">
        <v>0</v>
      </c>
      <c r="O3346">
        <v>0</v>
      </c>
      <c r="T3346">
        <v>0</v>
      </c>
      <c r="U3346">
        <v>0</v>
      </c>
      <c r="V3346">
        <v>0</v>
      </c>
    </row>
    <row r="3347" spans="1:22" x14ac:dyDescent="0.2">
      <c r="A3347" t="s">
        <v>7754</v>
      </c>
      <c r="B3347" t="s">
        <v>8271</v>
      </c>
      <c r="C3347" t="s">
        <v>2987</v>
      </c>
      <c r="D3347" t="s">
        <v>96</v>
      </c>
      <c r="E3347">
        <v>139.99</v>
      </c>
      <c r="F3347" t="s">
        <v>8118</v>
      </c>
      <c r="L3347" t="s">
        <v>7032</v>
      </c>
      <c r="M3347" t="s">
        <v>97</v>
      </c>
      <c r="N3347">
        <v>0</v>
      </c>
      <c r="O3347">
        <v>0</v>
      </c>
      <c r="T3347">
        <v>0</v>
      </c>
      <c r="U3347">
        <v>0</v>
      </c>
      <c r="V3347">
        <v>0</v>
      </c>
    </row>
    <row r="3348" spans="1:22" x14ac:dyDescent="0.2">
      <c r="A3348" t="s">
        <v>6660</v>
      </c>
      <c r="B3348" t="s">
        <v>8136</v>
      </c>
      <c r="C3348" t="s">
        <v>2987</v>
      </c>
      <c r="D3348" t="s">
        <v>96</v>
      </c>
      <c r="E3348">
        <v>239.99</v>
      </c>
      <c r="F3348" t="s">
        <v>8118</v>
      </c>
      <c r="L3348" t="s">
        <v>7032</v>
      </c>
      <c r="M3348" t="s">
        <v>97</v>
      </c>
      <c r="N3348">
        <v>0</v>
      </c>
      <c r="O3348">
        <v>0</v>
      </c>
      <c r="T3348">
        <v>0</v>
      </c>
      <c r="U3348">
        <v>0</v>
      </c>
      <c r="V3348">
        <v>1</v>
      </c>
    </row>
    <row r="3349" spans="1:22" x14ac:dyDescent="0.2">
      <c r="A3349" t="s">
        <v>7684</v>
      </c>
      <c r="B3349" t="s">
        <v>8272</v>
      </c>
      <c r="C3349" t="s">
        <v>2987</v>
      </c>
      <c r="D3349" t="s">
        <v>96</v>
      </c>
      <c r="E3349">
        <v>89.99</v>
      </c>
      <c r="F3349" t="s">
        <v>8118</v>
      </c>
      <c r="L3349" t="s">
        <v>7032</v>
      </c>
      <c r="M3349" t="s">
        <v>97</v>
      </c>
      <c r="N3349">
        <v>0</v>
      </c>
      <c r="O3349">
        <v>0</v>
      </c>
      <c r="T3349">
        <v>0</v>
      </c>
      <c r="U3349">
        <v>0</v>
      </c>
      <c r="V3349">
        <v>0</v>
      </c>
    </row>
    <row r="3350" spans="1:22" x14ac:dyDescent="0.2">
      <c r="A3350" t="s">
        <v>6927</v>
      </c>
      <c r="B3350" t="s">
        <v>8216</v>
      </c>
      <c r="C3350" t="s">
        <v>2987</v>
      </c>
      <c r="D3350" t="s">
        <v>290</v>
      </c>
      <c r="E3350">
        <v>139.99</v>
      </c>
      <c r="F3350" t="s">
        <v>8118</v>
      </c>
      <c r="G3350">
        <v>5</v>
      </c>
      <c r="H3350">
        <v>1</v>
      </c>
      <c r="I3350">
        <v>4</v>
      </c>
      <c r="L3350" t="s">
        <v>7032</v>
      </c>
      <c r="M3350" t="s">
        <v>97</v>
      </c>
      <c r="N3350">
        <v>0</v>
      </c>
      <c r="O3350">
        <v>0</v>
      </c>
      <c r="T3350">
        <v>0</v>
      </c>
      <c r="U3350">
        <v>0</v>
      </c>
      <c r="V3350">
        <v>2</v>
      </c>
    </row>
    <row r="3351" spans="1:22" x14ac:dyDescent="0.2">
      <c r="A3351" t="s">
        <v>6879</v>
      </c>
      <c r="B3351" t="s">
        <v>8237</v>
      </c>
      <c r="C3351" t="s">
        <v>2987</v>
      </c>
      <c r="D3351" t="s">
        <v>96</v>
      </c>
      <c r="E3351">
        <v>74.989999999999995</v>
      </c>
      <c r="F3351" t="s">
        <v>8118</v>
      </c>
      <c r="L3351" t="s">
        <v>7032</v>
      </c>
      <c r="M3351" t="s">
        <v>97</v>
      </c>
      <c r="N3351">
        <v>0</v>
      </c>
      <c r="O3351">
        <v>0</v>
      </c>
      <c r="T3351">
        <v>0</v>
      </c>
      <c r="U3351">
        <v>0</v>
      </c>
      <c r="V3351">
        <v>0</v>
      </c>
    </row>
    <row r="3352" spans="1:22" x14ac:dyDescent="0.2">
      <c r="A3352" t="s">
        <v>3069</v>
      </c>
      <c r="B3352" t="s">
        <v>8189</v>
      </c>
      <c r="C3352" t="s">
        <v>2987</v>
      </c>
      <c r="D3352" t="s">
        <v>290</v>
      </c>
      <c r="E3352">
        <v>89.99</v>
      </c>
      <c r="F3352" t="s">
        <v>8118</v>
      </c>
      <c r="L3352" t="s">
        <v>7032</v>
      </c>
      <c r="M3352" t="s">
        <v>97</v>
      </c>
      <c r="N3352">
        <v>0</v>
      </c>
      <c r="O3352">
        <v>0</v>
      </c>
      <c r="T3352">
        <v>0</v>
      </c>
      <c r="U3352">
        <v>0</v>
      </c>
      <c r="V3352">
        <v>3</v>
      </c>
    </row>
    <row r="3353" spans="1:22" x14ac:dyDescent="0.2">
      <c r="A3353" t="s">
        <v>6900</v>
      </c>
      <c r="B3353" t="s">
        <v>8188</v>
      </c>
      <c r="C3353" t="s">
        <v>2987</v>
      </c>
      <c r="D3353" t="s">
        <v>228</v>
      </c>
      <c r="E3353">
        <v>99.99</v>
      </c>
      <c r="F3353" t="s">
        <v>8118</v>
      </c>
      <c r="G3353">
        <v>8</v>
      </c>
      <c r="I3353">
        <v>8</v>
      </c>
      <c r="L3353" t="s">
        <v>7032</v>
      </c>
      <c r="M3353" t="s">
        <v>97</v>
      </c>
      <c r="N3353">
        <v>0</v>
      </c>
      <c r="O3353">
        <v>0</v>
      </c>
      <c r="T3353">
        <v>0.25</v>
      </c>
      <c r="U3353">
        <v>0</v>
      </c>
      <c r="V3353">
        <v>0</v>
      </c>
    </row>
    <row r="3354" spans="1:22" x14ac:dyDescent="0.2">
      <c r="A3354" t="s">
        <v>6716</v>
      </c>
      <c r="B3354" t="s">
        <v>8196</v>
      </c>
      <c r="C3354" t="s">
        <v>2987</v>
      </c>
      <c r="D3354" t="s">
        <v>96</v>
      </c>
      <c r="E3354">
        <v>99.99</v>
      </c>
      <c r="F3354" t="s">
        <v>8118</v>
      </c>
      <c r="L3354" t="s">
        <v>7032</v>
      </c>
      <c r="M3354" t="s">
        <v>97</v>
      </c>
      <c r="N3354">
        <v>0</v>
      </c>
      <c r="O3354">
        <v>0</v>
      </c>
      <c r="T3354">
        <v>0</v>
      </c>
      <c r="U3354">
        <v>0</v>
      </c>
      <c r="V3354">
        <v>0</v>
      </c>
    </row>
    <row r="3355" spans="1:22" x14ac:dyDescent="0.2">
      <c r="A3355" t="s">
        <v>6681</v>
      </c>
      <c r="B3355" t="s">
        <v>8143</v>
      </c>
      <c r="C3355" t="s">
        <v>2987</v>
      </c>
      <c r="D3355" t="s">
        <v>96</v>
      </c>
      <c r="E3355">
        <v>49.99</v>
      </c>
      <c r="F3355" t="s">
        <v>8118</v>
      </c>
      <c r="L3355" t="s">
        <v>7032</v>
      </c>
      <c r="M3355" t="s">
        <v>97</v>
      </c>
      <c r="N3355">
        <v>0</v>
      </c>
      <c r="O3355">
        <v>0</v>
      </c>
      <c r="T3355">
        <v>0</v>
      </c>
      <c r="U3355">
        <v>0</v>
      </c>
      <c r="V3355">
        <v>0</v>
      </c>
    </row>
    <row r="3356" spans="1:22" x14ac:dyDescent="0.2">
      <c r="A3356" t="s">
        <v>6710</v>
      </c>
      <c r="B3356" t="s">
        <v>8227</v>
      </c>
      <c r="C3356" t="s">
        <v>2987</v>
      </c>
      <c r="D3356" t="s">
        <v>96</v>
      </c>
      <c r="E3356">
        <v>139.99</v>
      </c>
      <c r="F3356" t="s">
        <v>8118</v>
      </c>
      <c r="L3356" t="s">
        <v>7032</v>
      </c>
      <c r="M3356" t="s">
        <v>97</v>
      </c>
      <c r="N3356">
        <v>0</v>
      </c>
      <c r="O3356">
        <v>0</v>
      </c>
      <c r="T3356">
        <v>0</v>
      </c>
      <c r="U3356">
        <v>0</v>
      </c>
      <c r="V3356">
        <v>4</v>
      </c>
    </row>
    <row r="3357" spans="1:22" x14ac:dyDescent="0.2">
      <c r="A3357" t="s">
        <v>6882</v>
      </c>
      <c r="B3357" t="s">
        <v>8246</v>
      </c>
      <c r="C3357" t="s">
        <v>2987</v>
      </c>
      <c r="D3357" t="s">
        <v>290</v>
      </c>
      <c r="E3357">
        <v>74.989999999999995</v>
      </c>
      <c r="F3357" t="s">
        <v>8118</v>
      </c>
      <c r="G3357">
        <v>5</v>
      </c>
      <c r="I3357">
        <v>5</v>
      </c>
      <c r="L3357" t="s">
        <v>7032</v>
      </c>
      <c r="M3357" t="s">
        <v>97</v>
      </c>
      <c r="N3357">
        <v>0</v>
      </c>
      <c r="O3357">
        <v>0</v>
      </c>
      <c r="T3357">
        <v>0</v>
      </c>
      <c r="U3357">
        <v>0</v>
      </c>
      <c r="V3357">
        <v>1</v>
      </c>
    </row>
    <row r="3358" spans="1:22" x14ac:dyDescent="0.2">
      <c r="A3358" t="s">
        <v>3061</v>
      </c>
      <c r="B3358" t="s">
        <v>8140</v>
      </c>
      <c r="C3358" t="s">
        <v>2987</v>
      </c>
      <c r="D3358" t="s">
        <v>290</v>
      </c>
      <c r="E3358">
        <v>229.99</v>
      </c>
      <c r="F3358" t="s">
        <v>8118</v>
      </c>
      <c r="L3358" t="s">
        <v>7032</v>
      </c>
      <c r="M3358" t="s">
        <v>97</v>
      </c>
      <c r="N3358">
        <v>0</v>
      </c>
      <c r="O3358">
        <v>0</v>
      </c>
      <c r="T3358">
        <v>0</v>
      </c>
      <c r="U3358">
        <v>0</v>
      </c>
      <c r="V3358">
        <v>0</v>
      </c>
    </row>
    <row r="3359" spans="1:22" x14ac:dyDescent="0.2">
      <c r="A3359" t="s">
        <v>6741</v>
      </c>
      <c r="B3359" t="s">
        <v>8229</v>
      </c>
      <c r="C3359" t="s">
        <v>2987</v>
      </c>
      <c r="D3359" t="s">
        <v>96</v>
      </c>
      <c r="E3359">
        <v>109.99</v>
      </c>
      <c r="F3359" t="s">
        <v>8118</v>
      </c>
      <c r="L3359" t="s">
        <v>7032</v>
      </c>
      <c r="M3359" t="s">
        <v>97</v>
      </c>
      <c r="N3359">
        <v>0</v>
      </c>
      <c r="O3359">
        <v>0</v>
      </c>
      <c r="T3359">
        <v>0</v>
      </c>
      <c r="U3359">
        <v>0</v>
      </c>
      <c r="V3359">
        <v>0</v>
      </c>
    </row>
    <row r="3360" spans="1:22" x14ac:dyDescent="0.2">
      <c r="A3360" t="s">
        <v>6684</v>
      </c>
      <c r="B3360" t="s">
        <v>8239</v>
      </c>
      <c r="C3360" t="s">
        <v>2987</v>
      </c>
      <c r="D3360" t="s">
        <v>96</v>
      </c>
      <c r="E3360">
        <v>49.99</v>
      </c>
      <c r="F3360" t="s">
        <v>8118</v>
      </c>
      <c r="L3360" t="s">
        <v>7032</v>
      </c>
      <c r="M3360" t="s">
        <v>97</v>
      </c>
      <c r="N3360">
        <v>0</v>
      </c>
      <c r="O3360">
        <v>0</v>
      </c>
      <c r="T3360">
        <v>0</v>
      </c>
      <c r="U3360">
        <v>0</v>
      </c>
      <c r="V3360">
        <v>0</v>
      </c>
    </row>
    <row r="3361" spans="1:22" x14ac:dyDescent="0.2">
      <c r="A3361" t="s">
        <v>6726</v>
      </c>
      <c r="B3361" t="s">
        <v>8236</v>
      </c>
      <c r="C3361" t="s">
        <v>2987</v>
      </c>
      <c r="D3361" t="s">
        <v>96</v>
      </c>
      <c r="E3361">
        <v>89.99</v>
      </c>
      <c r="F3361" t="s">
        <v>8118</v>
      </c>
      <c r="L3361" t="s">
        <v>7032</v>
      </c>
      <c r="M3361" t="s">
        <v>97</v>
      </c>
      <c r="N3361">
        <v>0</v>
      </c>
      <c r="O3361">
        <v>0</v>
      </c>
      <c r="T3361">
        <v>0</v>
      </c>
      <c r="U3361">
        <v>0</v>
      </c>
      <c r="V3361">
        <v>0</v>
      </c>
    </row>
    <row r="3362" spans="1:22" x14ac:dyDescent="0.2">
      <c r="A3362" t="s">
        <v>6729</v>
      </c>
      <c r="B3362" t="s">
        <v>8235</v>
      </c>
      <c r="C3362" t="s">
        <v>2987</v>
      </c>
      <c r="D3362" t="s">
        <v>96</v>
      </c>
      <c r="E3362">
        <v>89.99</v>
      </c>
      <c r="F3362" t="s">
        <v>8118</v>
      </c>
      <c r="L3362" t="s">
        <v>7032</v>
      </c>
      <c r="M3362" t="s">
        <v>97</v>
      </c>
      <c r="N3362">
        <v>0</v>
      </c>
      <c r="O3362">
        <v>0</v>
      </c>
      <c r="T3362">
        <v>0</v>
      </c>
      <c r="U3362">
        <v>0</v>
      </c>
      <c r="V3362">
        <v>0</v>
      </c>
    </row>
    <row r="3363" spans="1:22" x14ac:dyDescent="0.2">
      <c r="A3363" t="s">
        <v>6914</v>
      </c>
      <c r="B3363" t="s">
        <v>8234</v>
      </c>
      <c r="C3363" t="s">
        <v>2987</v>
      </c>
      <c r="D3363" t="s">
        <v>96</v>
      </c>
      <c r="E3363">
        <v>89.99</v>
      </c>
      <c r="F3363" t="s">
        <v>8118</v>
      </c>
      <c r="L3363" t="s">
        <v>7032</v>
      </c>
      <c r="M3363" t="s">
        <v>97</v>
      </c>
      <c r="N3363">
        <v>0</v>
      </c>
      <c r="O3363">
        <v>0</v>
      </c>
      <c r="T3363">
        <v>0</v>
      </c>
      <c r="U3363">
        <v>0</v>
      </c>
      <c r="V3363">
        <v>0</v>
      </c>
    </row>
    <row r="3364" spans="1:22" x14ac:dyDescent="0.2">
      <c r="A3364" t="s">
        <v>7694</v>
      </c>
      <c r="B3364" t="s">
        <v>8273</v>
      </c>
      <c r="C3364" t="s">
        <v>2987</v>
      </c>
      <c r="D3364" t="s">
        <v>96</v>
      </c>
      <c r="E3364">
        <v>89.99</v>
      </c>
      <c r="F3364" t="s">
        <v>8118</v>
      </c>
      <c r="L3364" t="s">
        <v>7032</v>
      </c>
      <c r="M3364" t="s">
        <v>97</v>
      </c>
      <c r="N3364">
        <v>0</v>
      </c>
      <c r="O3364">
        <v>0</v>
      </c>
      <c r="T3364">
        <v>0</v>
      </c>
      <c r="U3364">
        <v>0</v>
      </c>
      <c r="V3364">
        <v>0</v>
      </c>
    </row>
    <row r="3365" spans="1:22" x14ac:dyDescent="0.2">
      <c r="A3365" t="s">
        <v>6911</v>
      </c>
      <c r="B3365" t="s">
        <v>8233</v>
      </c>
      <c r="C3365" t="s">
        <v>2987</v>
      </c>
      <c r="D3365" t="s">
        <v>96</v>
      </c>
      <c r="E3365">
        <v>89.99</v>
      </c>
      <c r="F3365" t="s">
        <v>8118</v>
      </c>
      <c r="L3365" t="s">
        <v>7032</v>
      </c>
      <c r="M3365" t="s">
        <v>97</v>
      </c>
      <c r="N3365">
        <v>0</v>
      </c>
      <c r="O3365">
        <v>0</v>
      </c>
      <c r="T3365">
        <v>0</v>
      </c>
      <c r="U3365">
        <v>0</v>
      </c>
      <c r="V3365">
        <v>0</v>
      </c>
    </row>
    <row r="3366" spans="1:22" x14ac:dyDescent="0.2">
      <c r="A3366" t="s">
        <v>7708</v>
      </c>
      <c r="B3366" t="s">
        <v>8274</v>
      </c>
      <c r="C3366" t="s">
        <v>2987</v>
      </c>
      <c r="D3366" t="s">
        <v>96</v>
      </c>
      <c r="E3366">
        <v>89.99</v>
      </c>
      <c r="F3366" t="s">
        <v>8118</v>
      </c>
      <c r="L3366" t="s">
        <v>7032</v>
      </c>
      <c r="M3366" t="s">
        <v>97</v>
      </c>
      <c r="N3366">
        <v>0</v>
      </c>
      <c r="O3366">
        <v>0</v>
      </c>
      <c r="T3366">
        <v>0</v>
      </c>
      <c r="U3366">
        <v>0</v>
      </c>
      <c r="V3366">
        <v>0</v>
      </c>
    </row>
    <row r="3367" spans="1:22" x14ac:dyDescent="0.2">
      <c r="A3367" t="s">
        <v>7704</v>
      </c>
      <c r="B3367" t="s">
        <v>8275</v>
      </c>
      <c r="C3367" t="s">
        <v>2987</v>
      </c>
      <c r="D3367" t="s">
        <v>96</v>
      </c>
      <c r="E3367">
        <v>89.99</v>
      </c>
      <c r="F3367" t="s">
        <v>8118</v>
      </c>
      <c r="L3367" t="s">
        <v>7032</v>
      </c>
      <c r="M3367" t="s">
        <v>97</v>
      </c>
      <c r="N3367">
        <v>0</v>
      </c>
      <c r="O3367">
        <v>0</v>
      </c>
      <c r="T3367">
        <v>0</v>
      </c>
      <c r="U3367">
        <v>0</v>
      </c>
      <c r="V3367">
        <v>0</v>
      </c>
    </row>
    <row r="3368" spans="1:22" x14ac:dyDescent="0.2">
      <c r="A3368" t="s">
        <v>7692</v>
      </c>
      <c r="B3368" t="s">
        <v>8276</v>
      </c>
      <c r="C3368" t="s">
        <v>2987</v>
      </c>
      <c r="D3368" t="s">
        <v>96</v>
      </c>
      <c r="E3368">
        <v>89.99</v>
      </c>
      <c r="F3368" t="s">
        <v>8118</v>
      </c>
      <c r="L3368" t="s">
        <v>7032</v>
      </c>
      <c r="M3368" t="s">
        <v>97</v>
      </c>
      <c r="N3368">
        <v>0</v>
      </c>
      <c r="O3368">
        <v>0</v>
      </c>
      <c r="T3368">
        <v>0</v>
      </c>
      <c r="U3368">
        <v>0</v>
      </c>
      <c r="V3368">
        <v>1</v>
      </c>
    </row>
    <row r="3369" spans="1:22" x14ac:dyDescent="0.2">
      <c r="A3369" t="s">
        <v>7678</v>
      </c>
      <c r="B3369" t="s">
        <v>8277</v>
      </c>
      <c r="C3369" t="s">
        <v>2987</v>
      </c>
      <c r="D3369" t="s">
        <v>96</v>
      </c>
      <c r="E3369">
        <v>89.99</v>
      </c>
      <c r="F3369" t="s">
        <v>8118</v>
      </c>
      <c r="L3369" t="s">
        <v>7032</v>
      </c>
      <c r="M3369" t="s">
        <v>97</v>
      </c>
      <c r="N3369">
        <v>0</v>
      </c>
      <c r="O3369">
        <v>0</v>
      </c>
      <c r="T3369">
        <v>0</v>
      </c>
      <c r="U3369">
        <v>0</v>
      </c>
      <c r="V3369">
        <v>0</v>
      </c>
    </row>
    <row r="3370" spans="1:22" x14ac:dyDescent="0.2">
      <c r="A3370" t="s">
        <v>7696</v>
      </c>
      <c r="B3370" t="s">
        <v>8278</v>
      </c>
      <c r="C3370" t="s">
        <v>2987</v>
      </c>
      <c r="D3370" t="s">
        <v>96</v>
      </c>
      <c r="E3370">
        <v>89.99</v>
      </c>
      <c r="F3370" t="s">
        <v>8118</v>
      </c>
      <c r="L3370" t="s">
        <v>7032</v>
      </c>
      <c r="M3370" t="s">
        <v>97</v>
      </c>
      <c r="N3370">
        <v>0</v>
      </c>
      <c r="O3370">
        <v>0</v>
      </c>
      <c r="T3370">
        <v>0</v>
      </c>
      <c r="U3370">
        <v>0</v>
      </c>
      <c r="V3370">
        <v>0</v>
      </c>
    </row>
    <row r="3371" spans="1:22" x14ac:dyDescent="0.2">
      <c r="A3371" t="s">
        <v>3043</v>
      </c>
      <c r="B3371" t="s">
        <v>8219</v>
      </c>
      <c r="C3371" t="s">
        <v>2987</v>
      </c>
      <c r="D3371" t="s">
        <v>228</v>
      </c>
      <c r="E3371">
        <v>64.989999999999995</v>
      </c>
      <c r="F3371" t="s">
        <v>8118</v>
      </c>
      <c r="G3371">
        <v>19</v>
      </c>
      <c r="H3371">
        <v>1</v>
      </c>
      <c r="I3371">
        <v>18</v>
      </c>
      <c r="L3371" t="s">
        <v>7032</v>
      </c>
      <c r="M3371" t="s">
        <v>97</v>
      </c>
      <c r="N3371">
        <v>0</v>
      </c>
      <c r="O3371">
        <v>0</v>
      </c>
      <c r="T3371">
        <v>0</v>
      </c>
      <c r="U3371">
        <v>0</v>
      </c>
      <c r="V3371">
        <v>0</v>
      </c>
    </row>
    <row r="3372" spans="1:22" x14ac:dyDescent="0.2">
      <c r="A3372" t="s">
        <v>7674</v>
      </c>
      <c r="B3372" t="s">
        <v>8279</v>
      </c>
      <c r="C3372" t="s">
        <v>2987</v>
      </c>
      <c r="D3372" t="s">
        <v>96</v>
      </c>
      <c r="E3372">
        <v>139.99</v>
      </c>
      <c r="F3372" t="s">
        <v>8118</v>
      </c>
      <c r="L3372" t="s">
        <v>7032</v>
      </c>
      <c r="M3372" t="s">
        <v>97</v>
      </c>
      <c r="N3372">
        <v>0</v>
      </c>
      <c r="O3372">
        <v>0</v>
      </c>
      <c r="T3372">
        <v>0</v>
      </c>
      <c r="U3372">
        <v>0</v>
      </c>
      <c r="V3372">
        <v>0</v>
      </c>
    </row>
    <row r="3373" spans="1:22" x14ac:dyDescent="0.2">
      <c r="A3373" t="s">
        <v>6663</v>
      </c>
      <c r="B3373" t="s">
        <v>8207</v>
      </c>
      <c r="C3373" t="s">
        <v>2987</v>
      </c>
      <c r="D3373" t="s">
        <v>96</v>
      </c>
      <c r="E3373">
        <v>89.99</v>
      </c>
      <c r="F3373" t="s">
        <v>8118</v>
      </c>
      <c r="L3373" t="s">
        <v>7032</v>
      </c>
      <c r="M3373" t="s">
        <v>97</v>
      </c>
      <c r="N3373">
        <v>0</v>
      </c>
      <c r="O3373">
        <v>0</v>
      </c>
      <c r="T3373">
        <v>0</v>
      </c>
      <c r="U3373">
        <v>0</v>
      </c>
      <c r="V3373">
        <v>0</v>
      </c>
    </row>
    <row r="3374" spans="1:22" x14ac:dyDescent="0.2">
      <c r="A3374" t="s">
        <v>6580</v>
      </c>
      <c r="B3374" t="s">
        <v>8203</v>
      </c>
      <c r="C3374" t="s">
        <v>2987</v>
      </c>
      <c r="D3374" t="s">
        <v>96</v>
      </c>
      <c r="E3374">
        <v>59.99</v>
      </c>
      <c r="F3374" t="s">
        <v>8118</v>
      </c>
      <c r="L3374" t="s">
        <v>7032</v>
      </c>
      <c r="M3374" t="s">
        <v>97</v>
      </c>
      <c r="N3374">
        <v>0</v>
      </c>
      <c r="O3374">
        <v>0</v>
      </c>
      <c r="T3374">
        <v>0</v>
      </c>
      <c r="U3374">
        <v>0</v>
      </c>
      <c r="V3374">
        <v>0</v>
      </c>
    </row>
    <row r="3375" spans="1:22" x14ac:dyDescent="0.2">
      <c r="A3375" t="s">
        <v>6897</v>
      </c>
      <c r="B3375" t="s">
        <v>8152</v>
      </c>
      <c r="C3375" t="s">
        <v>2987</v>
      </c>
      <c r="D3375" t="s">
        <v>96</v>
      </c>
      <c r="E3375">
        <v>64.989999999999995</v>
      </c>
      <c r="F3375" t="s">
        <v>8118</v>
      </c>
      <c r="L3375" t="s">
        <v>7032</v>
      </c>
      <c r="M3375" t="s">
        <v>97</v>
      </c>
      <c r="N3375">
        <v>0</v>
      </c>
      <c r="O3375">
        <v>0</v>
      </c>
      <c r="T3375">
        <v>0</v>
      </c>
      <c r="U3375">
        <v>0</v>
      </c>
      <c r="V3375">
        <v>0</v>
      </c>
    </row>
    <row r="3376" spans="1:22" x14ac:dyDescent="0.2">
      <c r="A3376" t="s">
        <v>7750</v>
      </c>
      <c r="B3376" t="s">
        <v>8280</v>
      </c>
      <c r="C3376" t="s">
        <v>2987</v>
      </c>
      <c r="D3376" t="s">
        <v>96</v>
      </c>
      <c r="E3376">
        <v>64.989999999999995</v>
      </c>
      <c r="F3376" t="s">
        <v>8118</v>
      </c>
      <c r="L3376" t="s">
        <v>7032</v>
      </c>
      <c r="M3376" t="s">
        <v>97</v>
      </c>
      <c r="N3376">
        <v>0</v>
      </c>
      <c r="O3376">
        <v>0</v>
      </c>
      <c r="T3376">
        <v>0</v>
      </c>
      <c r="U3376">
        <v>0</v>
      </c>
      <c r="V3376">
        <v>0</v>
      </c>
    </row>
    <row r="3377" spans="1:22" x14ac:dyDescent="0.2">
      <c r="A3377" t="s">
        <v>6949</v>
      </c>
      <c r="B3377" t="s">
        <v>8250</v>
      </c>
      <c r="C3377" t="s">
        <v>2987</v>
      </c>
      <c r="D3377" t="s">
        <v>96</v>
      </c>
      <c r="E3377">
        <v>109.99</v>
      </c>
      <c r="F3377" t="s">
        <v>8118</v>
      </c>
      <c r="L3377" t="s">
        <v>7032</v>
      </c>
      <c r="M3377" t="s">
        <v>97</v>
      </c>
      <c r="N3377">
        <v>0</v>
      </c>
      <c r="O3377">
        <v>0</v>
      </c>
      <c r="T3377">
        <v>0</v>
      </c>
      <c r="U3377">
        <v>0</v>
      </c>
      <c r="V3377">
        <v>0</v>
      </c>
    </row>
    <row r="3378" spans="1:22" x14ac:dyDescent="0.2">
      <c r="A3378" t="s">
        <v>7720</v>
      </c>
      <c r="B3378" t="s">
        <v>8281</v>
      </c>
      <c r="C3378" t="s">
        <v>2987</v>
      </c>
      <c r="D3378" t="s">
        <v>96</v>
      </c>
      <c r="E3378">
        <v>64.989999999999995</v>
      </c>
      <c r="F3378" t="s">
        <v>8118</v>
      </c>
      <c r="L3378" t="s">
        <v>7032</v>
      </c>
      <c r="M3378" t="s">
        <v>97</v>
      </c>
      <c r="N3378">
        <v>0</v>
      </c>
      <c r="O3378">
        <v>0</v>
      </c>
      <c r="T3378">
        <v>0</v>
      </c>
      <c r="U3378">
        <v>0</v>
      </c>
      <c r="V3378">
        <v>0</v>
      </c>
    </row>
    <row r="3379" spans="1:22" x14ac:dyDescent="0.2">
      <c r="A3379" t="s">
        <v>6808</v>
      </c>
      <c r="B3379" t="s">
        <v>8259</v>
      </c>
      <c r="C3379" t="s">
        <v>2987</v>
      </c>
      <c r="D3379" t="s">
        <v>96</v>
      </c>
      <c r="E3379">
        <v>89.99</v>
      </c>
      <c r="F3379" t="s">
        <v>8118</v>
      </c>
      <c r="L3379" t="s">
        <v>7032</v>
      </c>
      <c r="M3379" t="s">
        <v>97</v>
      </c>
      <c r="N3379">
        <v>0</v>
      </c>
      <c r="O3379">
        <v>0</v>
      </c>
      <c r="T3379">
        <v>0</v>
      </c>
      <c r="U3379">
        <v>0</v>
      </c>
      <c r="V3379">
        <v>0</v>
      </c>
    </row>
    <row r="3380" spans="1:22" x14ac:dyDescent="0.2">
      <c r="A3380" t="s">
        <v>6678</v>
      </c>
      <c r="B3380" t="s">
        <v>8204</v>
      </c>
      <c r="C3380" t="s">
        <v>2987</v>
      </c>
      <c r="D3380" t="s">
        <v>96</v>
      </c>
      <c r="E3380">
        <v>59.99</v>
      </c>
      <c r="F3380" t="s">
        <v>8118</v>
      </c>
      <c r="L3380" t="s">
        <v>7032</v>
      </c>
      <c r="M3380" t="s">
        <v>97</v>
      </c>
      <c r="N3380">
        <v>0</v>
      </c>
      <c r="O3380">
        <v>0</v>
      </c>
      <c r="T3380">
        <v>0</v>
      </c>
      <c r="U3380">
        <v>0</v>
      </c>
      <c r="V3380">
        <v>14</v>
      </c>
    </row>
    <row r="3381" spans="1:22" x14ac:dyDescent="0.2">
      <c r="A3381" t="s">
        <v>6672</v>
      </c>
      <c r="B3381" t="s">
        <v>8134</v>
      </c>
      <c r="C3381" t="s">
        <v>2987</v>
      </c>
      <c r="D3381" t="s">
        <v>96</v>
      </c>
      <c r="E3381">
        <v>109.99</v>
      </c>
      <c r="F3381" t="s">
        <v>8118</v>
      </c>
      <c r="L3381" t="s">
        <v>7032</v>
      </c>
      <c r="M3381" t="s">
        <v>97</v>
      </c>
      <c r="N3381">
        <v>0</v>
      </c>
      <c r="O3381">
        <v>0</v>
      </c>
      <c r="T3381">
        <v>0</v>
      </c>
      <c r="U3381">
        <v>0</v>
      </c>
      <c r="V3381">
        <v>0</v>
      </c>
    </row>
    <row r="3382" spans="1:22" x14ac:dyDescent="0.2">
      <c r="A3382" t="s">
        <v>7722</v>
      </c>
      <c r="B3382" t="s">
        <v>8282</v>
      </c>
      <c r="C3382" t="s">
        <v>2987</v>
      </c>
      <c r="D3382" t="s">
        <v>96</v>
      </c>
      <c r="E3382">
        <v>49.99</v>
      </c>
      <c r="F3382" t="s">
        <v>8118</v>
      </c>
      <c r="L3382" t="s">
        <v>7032</v>
      </c>
      <c r="M3382" t="s">
        <v>97</v>
      </c>
      <c r="N3382">
        <v>0</v>
      </c>
      <c r="O3382">
        <v>0</v>
      </c>
      <c r="T3382">
        <v>0</v>
      </c>
      <c r="U3382">
        <v>0</v>
      </c>
      <c r="V3382">
        <v>0</v>
      </c>
    </row>
    <row r="3383" spans="1:22" x14ac:dyDescent="0.2">
      <c r="A3383" t="s">
        <v>7724</v>
      </c>
      <c r="B3383" t="s">
        <v>8283</v>
      </c>
      <c r="C3383" t="s">
        <v>2987</v>
      </c>
      <c r="D3383" t="s">
        <v>96</v>
      </c>
      <c r="E3383">
        <v>49.99</v>
      </c>
      <c r="F3383" t="s">
        <v>8118</v>
      </c>
      <c r="L3383" t="s">
        <v>7032</v>
      </c>
      <c r="M3383" t="s">
        <v>97</v>
      </c>
      <c r="N3383">
        <v>0</v>
      </c>
      <c r="O3383">
        <v>0</v>
      </c>
      <c r="T3383">
        <v>0</v>
      </c>
      <c r="U3383">
        <v>0</v>
      </c>
      <c r="V3383">
        <v>0</v>
      </c>
    </row>
    <row r="3384" spans="1:22" x14ac:dyDescent="0.2">
      <c r="A3384" t="s">
        <v>6908</v>
      </c>
      <c r="B3384" t="s">
        <v>8150</v>
      </c>
      <c r="C3384" t="s">
        <v>2987</v>
      </c>
      <c r="D3384" t="s">
        <v>96</v>
      </c>
      <c r="E3384">
        <v>49.99</v>
      </c>
      <c r="F3384" t="s">
        <v>8118</v>
      </c>
      <c r="L3384" t="s">
        <v>7032</v>
      </c>
      <c r="M3384" t="s">
        <v>97</v>
      </c>
      <c r="N3384">
        <v>0</v>
      </c>
      <c r="O3384">
        <v>0</v>
      </c>
      <c r="T3384">
        <v>0</v>
      </c>
      <c r="U3384">
        <v>0</v>
      </c>
      <c r="V3384">
        <v>0</v>
      </c>
    </row>
    <row r="3385" spans="1:22" x14ac:dyDescent="0.2">
      <c r="A3385" t="s">
        <v>7718</v>
      </c>
      <c r="B3385" t="s">
        <v>8284</v>
      </c>
      <c r="C3385" t="s">
        <v>2987</v>
      </c>
      <c r="D3385" t="s">
        <v>96</v>
      </c>
      <c r="E3385">
        <v>49.99</v>
      </c>
      <c r="F3385" t="s">
        <v>8118</v>
      </c>
      <c r="L3385" t="s">
        <v>7032</v>
      </c>
      <c r="M3385" t="s">
        <v>97</v>
      </c>
      <c r="N3385">
        <v>0</v>
      </c>
      <c r="O3385">
        <v>0</v>
      </c>
      <c r="T3385">
        <v>0</v>
      </c>
      <c r="U3385">
        <v>0</v>
      </c>
      <c r="V3385">
        <v>1</v>
      </c>
    </row>
    <row r="3386" spans="1:22" x14ac:dyDescent="0.2">
      <c r="A3386" t="s">
        <v>6610</v>
      </c>
      <c r="B3386" t="s">
        <v>8169</v>
      </c>
      <c r="C3386" t="s">
        <v>2987</v>
      </c>
      <c r="D3386" t="s">
        <v>96</v>
      </c>
      <c r="E3386">
        <v>59.99</v>
      </c>
      <c r="F3386" t="s">
        <v>8118</v>
      </c>
      <c r="L3386" t="s">
        <v>7032</v>
      </c>
      <c r="M3386" t="s">
        <v>97</v>
      </c>
      <c r="N3386">
        <v>0</v>
      </c>
      <c r="O3386">
        <v>0</v>
      </c>
      <c r="T3386">
        <v>0</v>
      </c>
      <c r="U3386">
        <v>0</v>
      </c>
      <c r="V3386">
        <v>0</v>
      </c>
    </row>
    <row r="3387" spans="1:22" x14ac:dyDescent="0.2">
      <c r="A3387" t="s">
        <v>6598</v>
      </c>
      <c r="B3387" t="s">
        <v>8141</v>
      </c>
      <c r="C3387" t="s">
        <v>2987</v>
      </c>
      <c r="D3387" t="s">
        <v>228</v>
      </c>
      <c r="E3387">
        <v>59.99</v>
      </c>
      <c r="F3387" t="s">
        <v>8118</v>
      </c>
      <c r="G3387">
        <v>23</v>
      </c>
      <c r="I3387">
        <v>23</v>
      </c>
      <c r="L3387" t="s">
        <v>7032</v>
      </c>
      <c r="M3387" t="s">
        <v>97</v>
      </c>
      <c r="N3387">
        <v>0</v>
      </c>
      <c r="O3387">
        <v>0</v>
      </c>
      <c r="T3387">
        <v>0</v>
      </c>
      <c r="U3387">
        <v>0</v>
      </c>
      <c r="V3387">
        <v>1</v>
      </c>
    </row>
    <row r="3388" spans="1:22" x14ac:dyDescent="0.2">
      <c r="A3388" t="s">
        <v>6894</v>
      </c>
      <c r="B3388" t="s">
        <v>8151</v>
      </c>
      <c r="C3388" t="s">
        <v>2987</v>
      </c>
      <c r="D3388" t="s">
        <v>96</v>
      </c>
      <c r="E3388">
        <v>64.989999999999995</v>
      </c>
      <c r="F3388" t="s">
        <v>8118</v>
      </c>
      <c r="L3388" t="s">
        <v>7032</v>
      </c>
      <c r="M3388" t="s">
        <v>97</v>
      </c>
      <c r="N3388">
        <v>0</v>
      </c>
      <c r="O3388">
        <v>0</v>
      </c>
      <c r="T3388">
        <v>0</v>
      </c>
      <c r="U3388">
        <v>0</v>
      </c>
      <c r="V3388">
        <v>0</v>
      </c>
    </row>
    <row r="3389" spans="1:22" x14ac:dyDescent="0.2">
      <c r="A3389" t="s">
        <v>7682</v>
      </c>
      <c r="B3389" t="s">
        <v>8285</v>
      </c>
      <c r="C3389" t="s">
        <v>2987</v>
      </c>
      <c r="D3389" t="s">
        <v>96</v>
      </c>
      <c r="E3389">
        <v>99.99</v>
      </c>
      <c r="F3389" t="s">
        <v>8118</v>
      </c>
      <c r="L3389" t="s">
        <v>7032</v>
      </c>
      <c r="M3389" t="s">
        <v>97</v>
      </c>
      <c r="N3389">
        <v>0</v>
      </c>
      <c r="O3389">
        <v>0</v>
      </c>
      <c r="T3389">
        <v>0</v>
      </c>
      <c r="U3389">
        <v>0</v>
      </c>
      <c r="V3389">
        <v>0</v>
      </c>
    </row>
    <row r="3390" spans="1:22" x14ac:dyDescent="0.2">
      <c r="A3390" t="s">
        <v>6802</v>
      </c>
      <c r="B3390" t="s">
        <v>8262</v>
      </c>
      <c r="C3390" t="s">
        <v>2987</v>
      </c>
      <c r="D3390" t="s">
        <v>96</v>
      </c>
      <c r="E3390">
        <v>89.99</v>
      </c>
      <c r="F3390" t="s">
        <v>8118</v>
      </c>
      <c r="L3390" t="s">
        <v>7032</v>
      </c>
      <c r="M3390" t="s">
        <v>97</v>
      </c>
      <c r="N3390">
        <v>0</v>
      </c>
      <c r="O3390">
        <v>0</v>
      </c>
      <c r="T3390">
        <v>0</v>
      </c>
      <c r="U3390">
        <v>0</v>
      </c>
      <c r="V3390">
        <v>0</v>
      </c>
    </row>
    <row r="3391" spans="1:22" x14ac:dyDescent="0.2">
      <c r="A3391" t="s">
        <v>6920</v>
      </c>
      <c r="B3391" t="s">
        <v>8252</v>
      </c>
      <c r="C3391" t="s">
        <v>2987</v>
      </c>
      <c r="D3391" t="s">
        <v>96</v>
      </c>
      <c r="E3391">
        <v>119.99</v>
      </c>
      <c r="F3391" t="s">
        <v>8118</v>
      </c>
      <c r="L3391" t="s">
        <v>7032</v>
      </c>
      <c r="M3391" t="s">
        <v>97</v>
      </c>
      <c r="N3391">
        <v>0</v>
      </c>
      <c r="O3391">
        <v>0</v>
      </c>
      <c r="T3391">
        <v>0</v>
      </c>
      <c r="U3391">
        <v>0</v>
      </c>
      <c r="V3391">
        <v>0</v>
      </c>
    </row>
    <row r="3392" spans="1:22" x14ac:dyDescent="0.2">
      <c r="A3392" t="s">
        <v>6917</v>
      </c>
      <c r="B3392" t="s">
        <v>8255</v>
      </c>
      <c r="C3392" t="s">
        <v>2987</v>
      </c>
      <c r="D3392" t="s">
        <v>290</v>
      </c>
      <c r="E3392">
        <v>159.99</v>
      </c>
      <c r="F3392" t="s">
        <v>8118</v>
      </c>
      <c r="G3392">
        <v>3</v>
      </c>
      <c r="I3392">
        <v>3</v>
      </c>
      <c r="L3392" t="s">
        <v>7032</v>
      </c>
      <c r="M3392" t="s">
        <v>97</v>
      </c>
      <c r="N3392">
        <v>5</v>
      </c>
      <c r="O3392">
        <v>0.2</v>
      </c>
      <c r="T3392">
        <v>0.2</v>
      </c>
      <c r="U3392">
        <v>0</v>
      </c>
      <c r="V3392">
        <v>1</v>
      </c>
    </row>
    <row r="3393" spans="1:22" x14ac:dyDescent="0.2">
      <c r="A3393" t="s">
        <v>3073</v>
      </c>
      <c r="B3393" t="s">
        <v>8191</v>
      </c>
      <c r="C3393" t="s">
        <v>2987</v>
      </c>
      <c r="D3393" t="s">
        <v>228</v>
      </c>
      <c r="E3393">
        <v>199.99</v>
      </c>
      <c r="F3393" t="s">
        <v>8118</v>
      </c>
      <c r="G3393">
        <v>41</v>
      </c>
      <c r="I3393">
        <v>41</v>
      </c>
      <c r="L3393" t="s">
        <v>7032</v>
      </c>
      <c r="M3393" t="s">
        <v>97</v>
      </c>
      <c r="N3393">
        <v>0</v>
      </c>
      <c r="O3393">
        <v>0</v>
      </c>
      <c r="T3393">
        <v>0</v>
      </c>
      <c r="U3393">
        <v>0</v>
      </c>
      <c r="V3393">
        <v>2</v>
      </c>
    </row>
    <row r="3394" spans="1:22" x14ac:dyDescent="0.2">
      <c r="A3394" t="s">
        <v>6702</v>
      </c>
      <c r="B3394" t="s">
        <v>8186</v>
      </c>
      <c r="C3394" t="s">
        <v>2987</v>
      </c>
      <c r="D3394" t="s">
        <v>228</v>
      </c>
      <c r="E3394">
        <v>99.99</v>
      </c>
      <c r="F3394" t="s">
        <v>8118</v>
      </c>
      <c r="G3394">
        <v>15</v>
      </c>
      <c r="I3394">
        <v>15</v>
      </c>
      <c r="L3394" t="s">
        <v>7032</v>
      </c>
      <c r="M3394" t="s">
        <v>97</v>
      </c>
      <c r="N3394">
        <v>0</v>
      </c>
      <c r="O3394">
        <v>0</v>
      </c>
      <c r="T3394">
        <v>0</v>
      </c>
      <c r="U3394">
        <v>0</v>
      </c>
      <c r="V3394">
        <v>0</v>
      </c>
    </row>
    <row r="3395" spans="1:22" x14ac:dyDescent="0.2">
      <c r="A3395" t="s">
        <v>6589</v>
      </c>
      <c r="B3395" t="s">
        <v>8139</v>
      </c>
      <c r="C3395" t="s">
        <v>2987</v>
      </c>
      <c r="D3395" t="s">
        <v>96</v>
      </c>
      <c r="E3395">
        <v>59.99</v>
      </c>
      <c r="F3395" t="s">
        <v>8118</v>
      </c>
      <c r="L3395" t="s">
        <v>7032</v>
      </c>
      <c r="M3395" t="s">
        <v>97</v>
      </c>
      <c r="N3395">
        <v>0</v>
      </c>
      <c r="O3395">
        <v>0</v>
      </c>
      <c r="T3395">
        <v>0</v>
      </c>
      <c r="U3395">
        <v>0</v>
      </c>
      <c r="V3395">
        <v>0</v>
      </c>
    </row>
    <row r="3396" spans="1:22" x14ac:dyDescent="0.2">
      <c r="A3396" t="s">
        <v>6592</v>
      </c>
      <c r="B3396" t="s">
        <v>8147</v>
      </c>
      <c r="C3396" t="s">
        <v>2987</v>
      </c>
      <c r="D3396" t="s">
        <v>96</v>
      </c>
      <c r="E3396">
        <v>59.99</v>
      </c>
      <c r="F3396" t="s">
        <v>8118</v>
      </c>
      <c r="L3396" t="s">
        <v>7032</v>
      </c>
      <c r="M3396" t="s">
        <v>97</v>
      </c>
      <c r="N3396">
        <v>0</v>
      </c>
      <c r="O3396">
        <v>0</v>
      </c>
      <c r="T3396">
        <v>0</v>
      </c>
      <c r="U3396">
        <v>0</v>
      </c>
      <c r="V3396">
        <v>0</v>
      </c>
    </row>
    <row r="3397" spans="1:22" x14ac:dyDescent="0.2">
      <c r="A3397" t="s">
        <v>6944</v>
      </c>
      <c r="B3397" t="s">
        <v>8220</v>
      </c>
      <c r="C3397" t="s">
        <v>2987</v>
      </c>
      <c r="D3397" t="s">
        <v>228</v>
      </c>
      <c r="E3397">
        <v>179.99</v>
      </c>
      <c r="F3397" t="s">
        <v>8118</v>
      </c>
      <c r="G3397">
        <v>10</v>
      </c>
      <c r="I3397">
        <v>10</v>
      </c>
      <c r="L3397" t="s">
        <v>7032</v>
      </c>
      <c r="M3397" t="s">
        <v>97</v>
      </c>
      <c r="N3397">
        <v>0</v>
      </c>
      <c r="O3397">
        <v>0</v>
      </c>
      <c r="T3397">
        <v>0</v>
      </c>
      <c r="U3397">
        <v>0</v>
      </c>
      <c r="V3397">
        <v>0</v>
      </c>
    </row>
    <row r="3398" spans="1:22" x14ac:dyDescent="0.2">
      <c r="A3398" t="s">
        <v>6940</v>
      </c>
      <c r="B3398" t="s">
        <v>8228</v>
      </c>
      <c r="C3398" t="s">
        <v>2987</v>
      </c>
      <c r="D3398" t="s">
        <v>290</v>
      </c>
      <c r="E3398">
        <v>179.99</v>
      </c>
      <c r="F3398" t="s">
        <v>8118</v>
      </c>
      <c r="G3398">
        <v>2</v>
      </c>
      <c r="I3398">
        <v>2</v>
      </c>
      <c r="L3398" t="s">
        <v>7032</v>
      </c>
      <c r="M3398" t="s">
        <v>97</v>
      </c>
      <c r="N3398">
        <v>0</v>
      </c>
      <c r="O3398">
        <v>0</v>
      </c>
      <c r="T3398">
        <v>0</v>
      </c>
      <c r="U3398">
        <v>0</v>
      </c>
      <c r="V3398">
        <v>1</v>
      </c>
    </row>
    <row r="3399" spans="1:22" x14ac:dyDescent="0.2">
      <c r="A3399" t="s">
        <v>6586</v>
      </c>
      <c r="B3399" t="s">
        <v>8157</v>
      </c>
      <c r="C3399" t="s">
        <v>2987</v>
      </c>
      <c r="D3399" t="s">
        <v>96</v>
      </c>
      <c r="E3399">
        <v>49.99</v>
      </c>
      <c r="F3399" t="s">
        <v>8118</v>
      </c>
      <c r="L3399" t="s">
        <v>7032</v>
      </c>
      <c r="M3399" t="s">
        <v>97</v>
      </c>
      <c r="N3399">
        <v>0</v>
      </c>
      <c r="O3399">
        <v>0</v>
      </c>
      <c r="T3399">
        <v>0</v>
      </c>
      <c r="U3399">
        <v>0</v>
      </c>
      <c r="V3399">
        <v>0</v>
      </c>
    </row>
    <row r="3400" spans="1:22" x14ac:dyDescent="0.2">
      <c r="A3400" t="s">
        <v>6850</v>
      </c>
      <c r="B3400" t="s">
        <v>8254</v>
      </c>
      <c r="C3400" t="s">
        <v>2987</v>
      </c>
      <c r="D3400" t="s">
        <v>96</v>
      </c>
      <c r="E3400">
        <v>159.99</v>
      </c>
      <c r="F3400" t="s">
        <v>8118</v>
      </c>
      <c r="L3400" t="s">
        <v>7032</v>
      </c>
      <c r="M3400" t="s">
        <v>97</v>
      </c>
      <c r="N3400">
        <v>0</v>
      </c>
      <c r="O3400">
        <v>0</v>
      </c>
      <c r="T3400">
        <v>0</v>
      </c>
      <c r="U3400">
        <v>0</v>
      </c>
      <c r="V3400">
        <v>0</v>
      </c>
    </row>
    <row r="3401" spans="1:22" x14ac:dyDescent="0.2">
      <c r="A3401" t="s">
        <v>6847</v>
      </c>
      <c r="B3401" t="s">
        <v>8261</v>
      </c>
      <c r="C3401" t="s">
        <v>2987</v>
      </c>
      <c r="D3401" t="s">
        <v>96</v>
      </c>
      <c r="E3401">
        <v>119.99</v>
      </c>
      <c r="F3401" t="s">
        <v>8118</v>
      </c>
      <c r="L3401" t="s">
        <v>7032</v>
      </c>
      <c r="M3401" t="s">
        <v>97</v>
      </c>
      <c r="N3401">
        <v>0</v>
      </c>
      <c r="O3401">
        <v>0</v>
      </c>
      <c r="T3401">
        <v>0</v>
      </c>
      <c r="U3401">
        <v>0</v>
      </c>
      <c r="V3401">
        <v>0</v>
      </c>
    </row>
    <row r="3402" spans="1:22" x14ac:dyDescent="0.2">
      <c r="A3402" t="s">
        <v>6844</v>
      </c>
      <c r="B3402" t="s">
        <v>8251</v>
      </c>
      <c r="C3402" t="s">
        <v>2987</v>
      </c>
      <c r="D3402" t="s">
        <v>96</v>
      </c>
      <c r="E3402">
        <v>169.99</v>
      </c>
      <c r="F3402" t="s">
        <v>8118</v>
      </c>
      <c r="L3402" t="s">
        <v>7032</v>
      </c>
      <c r="M3402" t="s">
        <v>97</v>
      </c>
      <c r="N3402">
        <v>0</v>
      </c>
      <c r="O3402">
        <v>0</v>
      </c>
      <c r="T3402">
        <v>0</v>
      </c>
      <c r="U3402">
        <v>0</v>
      </c>
      <c r="V3402">
        <v>0</v>
      </c>
    </row>
    <row r="3403" spans="1:22" x14ac:dyDescent="0.2">
      <c r="A3403" t="s">
        <v>6805</v>
      </c>
      <c r="B3403" t="s">
        <v>8260</v>
      </c>
      <c r="C3403" t="s">
        <v>2987</v>
      </c>
      <c r="D3403" t="s">
        <v>96</v>
      </c>
      <c r="E3403">
        <v>89.99</v>
      </c>
      <c r="F3403" t="s">
        <v>8118</v>
      </c>
      <c r="L3403" t="s">
        <v>7032</v>
      </c>
      <c r="M3403" t="s">
        <v>97</v>
      </c>
      <c r="N3403">
        <v>0</v>
      </c>
      <c r="O3403">
        <v>0</v>
      </c>
      <c r="T3403">
        <v>0</v>
      </c>
      <c r="U3403">
        <v>0</v>
      </c>
      <c r="V3403">
        <v>0</v>
      </c>
    </row>
    <row r="3404" spans="1:22" x14ac:dyDescent="0.2">
      <c r="A3404" t="s">
        <v>6651</v>
      </c>
      <c r="B3404" t="s">
        <v>8172</v>
      </c>
      <c r="C3404" t="s">
        <v>2987</v>
      </c>
      <c r="D3404" t="s">
        <v>96</v>
      </c>
      <c r="E3404">
        <v>119.99</v>
      </c>
      <c r="F3404" t="s">
        <v>8118</v>
      </c>
      <c r="L3404" t="s">
        <v>7032</v>
      </c>
      <c r="M3404" t="s">
        <v>97</v>
      </c>
      <c r="N3404">
        <v>0</v>
      </c>
      <c r="O3404">
        <v>0</v>
      </c>
      <c r="T3404">
        <v>0</v>
      </c>
      <c r="U3404">
        <v>0</v>
      </c>
      <c r="V3404">
        <v>0</v>
      </c>
    </row>
    <row r="3405" spans="1:22" x14ac:dyDescent="0.2">
      <c r="A3405" t="s">
        <v>7756</v>
      </c>
      <c r="B3405" t="s">
        <v>8286</v>
      </c>
      <c r="C3405" t="s">
        <v>2987</v>
      </c>
      <c r="D3405" t="s">
        <v>96</v>
      </c>
      <c r="E3405">
        <v>189.99</v>
      </c>
      <c r="F3405" t="s">
        <v>8118</v>
      </c>
      <c r="L3405" t="s">
        <v>7032</v>
      </c>
      <c r="M3405" t="s">
        <v>97</v>
      </c>
      <c r="N3405">
        <v>0</v>
      </c>
      <c r="O3405">
        <v>0</v>
      </c>
      <c r="T3405">
        <v>0</v>
      </c>
      <c r="U3405">
        <v>0</v>
      </c>
      <c r="V3405">
        <v>0</v>
      </c>
    </row>
    <row r="3406" spans="1:22" x14ac:dyDescent="0.2">
      <c r="A3406" t="s">
        <v>7758</v>
      </c>
      <c r="B3406" t="s">
        <v>8287</v>
      </c>
      <c r="C3406" t="s">
        <v>2987</v>
      </c>
      <c r="D3406" t="s">
        <v>96</v>
      </c>
      <c r="E3406">
        <v>34.99</v>
      </c>
      <c r="F3406" t="s">
        <v>8118</v>
      </c>
      <c r="L3406" t="s">
        <v>7032</v>
      </c>
      <c r="M3406" t="s">
        <v>97</v>
      </c>
      <c r="N3406">
        <v>0</v>
      </c>
      <c r="O3406">
        <v>0</v>
      </c>
      <c r="T3406">
        <v>0</v>
      </c>
      <c r="U3406">
        <v>0</v>
      </c>
      <c r="V3406">
        <v>0</v>
      </c>
    </row>
    <row r="3407" spans="1:22" x14ac:dyDescent="0.2">
      <c r="A3407" t="s">
        <v>6866</v>
      </c>
      <c r="B3407" t="s">
        <v>8213</v>
      </c>
      <c r="C3407" t="s">
        <v>2987</v>
      </c>
      <c r="D3407" t="s">
        <v>96</v>
      </c>
      <c r="E3407">
        <v>119.99</v>
      </c>
      <c r="F3407" t="s">
        <v>8118</v>
      </c>
      <c r="L3407" t="s">
        <v>7032</v>
      </c>
      <c r="M3407" t="s">
        <v>97</v>
      </c>
      <c r="N3407">
        <v>0</v>
      </c>
      <c r="O3407">
        <v>0</v>
      </c>
      <c r="T3407">
        <v>0</v>
      </c>
      <c r="U3407">
        <v>0</v>
      </c>
      <c r="V3407">
        <v>0</v>
      </c>
    </row>
    <row r="3408" spans="1:22" x14ac:dyDescent="0.2">
      <c r="A3408" t="s">
        <v>6509</v>
      </c>
      <c r="B3408" t="s">
        <v>8149</v>
      </c>
      <c r="C3408" t="s">
        <v>2987</v>
      </c>
      <c r="D3408" t="s">
        <v>96</v>
      </c>
      <c r="E3408">
        <v>139.99</v>
      </c>
      <c r="F3408" t="s">
        <v>8118</v>
      </c>
      <c r="L3408" t="s">
        <v>7032</v>
      </c>
      <c r="M3408" t="s">
        <v>97</v>
      </c>
      <c r="N3408">
        <v>0</v>
      </c>
      <c r="O3408">
        <v>0</v>
      </c>
      <c r="T3408">
        <v>0</v>
      </c>
      <c r="U3408">
        <v>0</v>
      </c>
      <c r="V3408">
        <v>1</v>
      </c>
    </row>
    <row r="3409" spans="1:22" x14ac:dyDescent="0.2">
      <c r="A3409" t="s">
        <v>6732</v>
      </c>
      <c r="B3409" t="s">
        <v>8232</v>
      </c>
      <c r="C3409" t="s">
        <v>2987</v>
      </c>
      <c r="D3409" t="s">
        <v>96</v>
      </c>
      <c r="E3409">
        <v>109.99</v>
      </c>
      <c r="F3409" t="s">
        <v>8118</v>
      </c>
      <c r="L3409" t="s">
        <v>7032</v>
      </c>
      <c r="M3409" t="s">
        <v>97</v>
      </c>
      <c r="N3409">
        <v>0</v>
      </c>
      <c r="O3409">
        <v>0</v>
      </c>
      <c r="T3409">
        <v>0</v>
      </c>
      <c r="U3409">
        <v>0</v>
      </c>
      <c r="V3409">
        <v>0</v>
      </c>
    </row>
    <row r="3410" spans="1:22" x14ac:dyDescent="0.2">
      <c r="A3410" t="s">
        <v>6735</v>
      </c>
      <c r="B3410" t="s">
        <v>8242</v>
      </c>
      <c r="C3410" t="s">
        <v>2987</v>
      </c>
      <c r="D3410" t="s">
        <v>96</v>
      </c>
      <c r="E3410">
        <v>109.99</v>
      </c>
      <c r="F3410" t="s">
        <v>8118</v>
      </c>
      <c r="L3410" t="s">
        <v>7032</v>
      </c>
      <c r="M3410" t="s">
        <v>97</v>
      </c>
      <c r="N3410">
        <v>0</v>
      </c>
      <c r="O3410">
        <v>0</v>
      </c>
      <c r="T3410">
        <v>0</v>
      </c>
      <c r="U3410">
        <v>0</v>
      </c>
      <c r="V3410">
        <v>0</v>
      </c>
    </row>
    <row r="3411" spans="1:22" x14ac:dyDescent="0.2">
      <c r="A3411" t="s">
        <v>6622</v>
      </c>
      <c r="B3411" t="s">
        <v>8212</v>
      </c>
      <c r="C3411" t="s">
        <v>2987</v>
      </c>
      <c r="D3411" t="s">
        <v>96</v>
      </c>
      <c r="F3411" t="s">
        <v>8118</v>
      </c>
      <c r="L3411" t="s">
        <v>7032</v>
      </c>
      <c r="M3411" t="s">
        <v>97</v>
      </c>
      <c r="N3411">
        <v>0</v>
      </c>
      <c r="O3411">
        <v>0</v>
      </c>
      <c r="T3411">
        <v>0</v>
      </c>
      <c r="V3411">
        <v>0</v>
      </c>
    </row>
    <row r="3412" spans="1:22" x14ac:dyDescent="0.2">
      <c r="A3412" t="s">
        <v>6625</v>
      </c>
      <c r="B3412" t="s">
        <v>8131</v>
      </c>
      <c r="C3412" t="s">
        <v>2987</v>
      </c>
      <c r="D3412" t="s">
        <v>96</v>
      </c>
      <c r="E3412">
        <v>99.99</v>
      </c>
      <c r="F3412" t="s">
        <v>8118</v>
      </c>
      <c r="L3412" t="s">
        <v>7032</v>
      </c>
      <c r="M3412" t="s">
        <v>97</v>
      </c>
      <c r="N3412">
        <v>0</v>
      </c>
      <c r="O3412">
        <v>0</v>
      </c>
      <c r="T3412">
        <v>0</v>
      </c>
      <c r="U3412">
        <v>0</v>
      </c>
      <c r="V3412">
        <v>0</v>
      </c>
    </row>
    <row r="3413" spans="1:22" x14ac:dyDescent="0.2">
      <c r="A3413" t="s">
        <v>6720</v>
      </c>
      <c r="B3413" t="s">
        <v>8253</v>
      </c>
      <c r="C3413" t="s">
        <v>2987</v>
      </c>
      <c r="D3413" t="s">
        <v>96</v>
      </c>
      <c r="E3413">
        <v>89.99</v>
      </c>
      <c r="F3413" t="s">
        <v>8118</v>
      </c>
      <c r="L3413" t="s">
        <v>7032</v>
      </c>
      <c r="M3413" t="s">
        <v>97</v>
      </c>
      <c r="N3413">
        <v>0</v>
      </c>
      <c r="O3413">
        <v>0</v>
      </c>
      <c r="T3413">
        <v>0</v>
      </c>
      <c r="U3413">
        <v>0</v>
      </c>
      <c r="V3413">
        <v>0</v>
      </c>
    </row>
    <row r="3414" spans="1:22" x14ac:dyDescent="0.2">
      <c r="A3414" t="s">
        <v>6723</v>
      </c>
      <c r="B3414" t="s">
        <v>8248</v>
      </c>
      <c r="C3414" t="s">
        <v>2987</v>
      </c>
      <c r="D3414" t="s">
        <v>96</v>
      </c>
      <c r="E3414">
        <v>89.99</v>
      </c>
      <c r="F3414" t="s">
        <v>8118</v>
      </c>
      <c r="L3414" t="s">
        <v>7032</v>
      </c>
      <c r="M3414" t="s">
        <v>97</v>
      </c>
      <c r="N3414">
        <v>0</v>
      </c>
      <c r="O3414">
        <v>0</v>
      </c>
      <c r="T3414">
        <v>0</v>
      </c>
      <c r="U3414">
        <v>0</v>
      </c>
      <c r="V3414">
        <v>0</v>
      </c>
    </row>
    <row r="3415" spans="1:22" x14ac:dyDescent="0.2">
      <c r="A3415" t="s">
        <v>7102</v>
      </c>
      <c r="B3415" t="s">
        <v>8263</v>
      </c>
      <c r="C3415" t="s">
        <v>2987</v>
      </c>
      <c r="D3415" t="s">
        <v>96</v>
      </c>
      <c r="E3415">
        <v>89.99</v>
      </c>
      <c r="F3415" t="s">
        <v>8118</v>
      </c>
      <c r="L3415" t="s">
        <v>7032</v>
      </c>
      <c r="M3415" t="s">
        <v>97</v>
      </c>
      <c r="N3415">
        <v>0</v>
      </c>
      <c r="O3415">
        <v>0</v>
      </c>
      <c r="T3415">
        <v>0</v>
      </c>
      <c r="U3415">
        <v>0</v>
      </c>
      <c r="V3415">
        <v>0</v>
      </c>
    </row>
    <row r="3416" spans="1:22" x14ac:dyDescent="0.2">
      <c r="A3416" t="s">
        <v>7398</v>
      </c>
      <c r="B3416" t="s">
        <v>8267</v>
      </c>
      <c r="C3416" t="s">
        <v>2987</v>
      </c>
      <c r="D3416" t="s">
        <v>96</v>
      </c>
      <c r="E3416">
        <v>89.99</v>
      </c>
      <c r="F3416" t="s">
        <v>8118</v>
      </c>
      <c r="L3416" t="s">
        <v>7032</v>
      </c>
      <c r="M3416" t="s">
        <v>97</v>
      </c>
      <c r="N3416">
        <v>0</v>
      </c>
      <c r="O3416">
        <v>0</v>
      </c>
      <c r="T3416">
        <v>0</v>
      </c>
      <c r="U3416">
        <v>0</v>
      </c>
      <c r="V3416">
        <v>0</v>
      </c>
    </row>
    <row r="3417" spans="1:22" x14ac:dyDescent="0.2">
      <c r="A3417" t="s">
        <v>7395</v>
      </c>
      <c r="B3417" t="s">
        <v>8265</v>
      </c>
      <c r="C3417" t="s">
        <v>2987</v>
      </c>
      <c r="D3417" t="s">
        <v>96</v>
      </c>
      <c r="E3417">
        <v>89.99</v>
      </c>
      <c r="F3417" t="s">
        <v>8118</v>
      </c>
      <c r="L3417" t="s">
        <v>7032</v>
      </c>
      <c r="M3417" t="s">
        <v>97</v>
      </c>
      <c r="N3417">
        <v>0</v>
      </c>
      <c r="O3417">
        <v>0</v>
      </c>
      <c r="T3417">
        <v>0</v>
      </c>
      <c r="U3417">
        <v>0</v>
      </c>
      <c r="V3417">
        <v>0</v>
      </c>
    </row>
    <row r="3418" spans="1:22" x14ac:dyDescent="0.2">
      <c r="A3418" t="s">
        <v>6826</v>
      </c>
      <c r="B3418" t="s">
        <v>8257</v>
      </c>
      <c r="C3418" t="s">
        <v>2987</v>
      </c>
      <c r="D3418" t="s">
        <v>96</v>
      </c>
      <c r="E3418">
        <v>89.99</v>
      </c>
      <c r="F3418" t="s">
        <v>8118</v>
      </c>
      <c r="L3418" t="s">
        <v>7032</v>
      </c>
      <c r="M3418" t="s">
        <v>97</v>
      </c>
      <c r="N3418">
        <v>0</v>
      </c>
      <c r="O3418">
        <v>0</v>
      </c>
      <c r="T3418">
        <v>0</v>
      </c>
      <c r="U3418">
        <v>0</v>
      </c>
      <c r="V3418">
        <v>0</v>
      </c>
    </row>
    <row r="3419" spans="1:22" x14ac:dyDescent="0.2">
      <c r="A3419" t="s">
        <v>6840</v>
      </c>
      <c r="B3419" t="s">
        <v>8256</v>
      </c>
      <c r="C3419" t="s">
        <v>2987</v>
      </c>
      <c r="D3419" t="s">
        <v>96</v>
      </c>
      <c r="E3419">
        <v>159.99</v>
      </c>
      <c r="F3419" t="s">
        <v>8118</v>
      </c>
      <c r="L3419" t="s">
        <v>7032</v>
      </c>
      <c r="M3419" t="s">
        <v>97</v>
      </c>
      <c r="N3419">
        <v>0</v>
      </c>
      <c r="O3419">
        <v>0</v>
      </c>
      <c r="T3419">
        <v>0</v>
      </c>
      <c r="U3419">
        <v>0</v>
      </c>
      <c r="V3419">
        <v>0</v>
      </c>
    </row>
    <row r="3420" spans="1:22" x14ac:dyDescent="0.2">
      <c r="A3420" t="s">
        <v>6583</v>
      </c>
      <c r="B3420" t="s">
        <v>8205</v>
      </c>
      <c r="C3420" t="s">
        <v>2987</v>
      </c>
      <c r="D3420" t="s">
        <v>96</v>
      </c>
      <c r="E3420">
        <v>89.99</v>
      </c>
      <c r="F3420" t="s">
        <v>8118</v>
      </c>
      <c r="L3420" t="s">
        <v>7032</v>
      </c>
      <c r="M3420" t="s">
        <v>97</v>
      </c>
      <c r="N3420">
        <v>0</v>
      </c>
      <c r="O3420">
        <v>0</v>
      </c>
      <c r="T3420">
        <v>0</v>
      </c>
      <c r="U3420">
        <v>0</v>
      </c>
      <c r="V3420">
        <v>0</v>
      </c>
    </row>
    <row r="3421" spans="1:22" x14ac:dyDescent="0.2">
      <c r="A3421" t="s">
        <v>6834</v>
      </c>
      <c r="B3421" t="s">
        <v>8249</v>
      </c>
      <c r="C3421" t="s">
        <v>2987</v>
      </c>
      <c r="D3421" t="s">
        <v>228</v>
      </c>
      <c r="E3421">
        <v>89.99</v>
      </c>
      <c r="F3421" t="s">
        <v>8118</v>
      </c>
      <c r="G3421">
        <v>48</v>
      </c>
      <c r="I3421">
        <v>48</v>
      </c>
      <c r="K3421">
        <v>24</v>
      </c>
      <c r="L3421" t="s">
        <v>7032</v>
      </c>
      <c r="M3421" t="s">
        <v>97</v>
      </c>
      <c r="N3421">
        <v>0</v>
      </c>
      <c r="O3421">
        <v>0</v>
      </c>
      <c r="T3421">
        <v>0</v>
      </c>
      <c r="U3421">
        <v>0</v>
      </c>
      <c r="V3421">
        <v>2</v>
      </c>
    </row>
    <row r="3422" spans="1:22" x14ac:dyDescent="0.2">
      <c r="A3422" t="s">
        <v>6829</v>
      </c>
      <c r="B3422" t="s">
        <v>8179</v>
      </c>
      <c r="C3422" t="s">
        <v>2987</v>
      </c>
      <c r="D3422" t="s">
        <v>228</v>
      </c>
      <c r="E3422">
        <v>89.99</v>
      </c>
      <c r="F3422" t="s">
        <v>8118</v>
      </c>
      <c r="G3422">
        <v>7</v>
      </c>
      <c r="I3422">
        <v>7</v>
      </c>
      <c r="K3422">
        <v>12</v>
      </c>
      <c r="L3422" t="s">
        <v>7032</v>
      </c>
      <c r="M3422" t="s">
        <v>97</v>
      </c>
      <c r="N3422">
        <v>0</v>
      </c>
      <c r="O3422">
        <v>0</v>
      </c>
      <c r="T3422">
        <v>0</v>
      </c>
      <c r="U3422">
        <v>0</v>
      </c>
      <c r="V3422">
        <v>1</v>
      </c>
    </row>
    <row r="3423" spans="1:22" x14ac:dyDescent="0.2">
      <c r="A3423" t="s">
        <v>6923</v>
      </c>
      <c r="B3423" t="s">
        <v>8166</v>
      </c>
      <c r="C3423" t="s">
        <v>2987</v>
      </c>
      <c r="D3423" t="s">
        <v>96</v>
      </c>
      <c r="E3423">
        <v>69.989999999999995</v>
      </c>
      <c r="F3423" t="s">
        <v>8118</v>
      </c>
      <c r="L3423" t="s">
        <v>7032</v>
      </c>
      <c r="M3423" t="s">
        <v>97</v>
      </c>
      <c r="N3423">
        <v>0</v>
      </c>
      <c r="O3423">
        <v>0</v>
      </c>
      <c r="T3423">
        <v>0</v>
      </c>
      <c r="U3423">
        <v>0</v>
      </c>
      <c r="V3423">
        <v>1</v>
      </c>
    </row>
    <row r="3424" spans="1:22" x14ac:dyDescent="0.2">
      <c r="A3424" t="s">
        <v>6823</v>
      </c>
      <c r="B3424" t="s">
        <v>8165</v>
      </c>
      <c r="C3424" t="s">
        <v>2987</v>
      </c>
      <c r="D3424" t="s">
        <v>96</v>
      </c>
      <c r="E3424">
        <v>69.989999999999995</v>
      </c>
      <c r="F3424" t="s">
        <v>8118</v>
      </c>
      <c r="L3424" t="s">
        <v>7032</v>
      </c>
      <c r="M3424" t="s">
        <v>97</v>
      </c>
      <c r="N3424">
        <v>0</v>
      </c>
      <c r="O3424">
        <v>0</v>
      </c>
      <c r="T3424">
        <v>0</v>
      </c>
      <c r="U3424">
        <v>0</v>
      </c>
      <c r="V3424">
        <v>1</v>
      </c>
    </row>
    <row r="3425" spans="1:22" x14ac:dyDescent="0.2">
      <c r="A3425" t="s">
        <v>3019</v>
      </c>
      <c r="B3425" t="s">
        <v>8247</v>
      </c>
      <c r="C3425" t="s">
        <v>2987</v>
      </c>
      <c r="D3425" t="s">
        <v>228</v>
      </c>
      <c r="E3425">
        <v>139.99</v>
      </c>
      <c r="F3425" t="s">
        <v>8118</v>
      </c>
      <c r="G3425">
        <v>359</v>
      </c>
      <c r="H3425">
        <v>52</v>
      </c>
      <c r="I3425">
        <v>307</v>
      </c>
      <c r="L3425" t="s">
        <v>7032</v>
      </c>
      <c r="M3425" t="s">
        <v>97</v>
      </c>
      <c r="N3425">
        <v>5</v>
      </c>
      <c r="O3425">
        <v>0.2</v>
      </c>
      <c r="T3425">
        <v>0.2</v>
      </c>
      <c r="U3425">
        <v>0</v>
      </c>
      <c r="V3425">
        <v>1</v>
      </c>
    </row>
    <row r="3426" spans="1:22" x14ac:dyDescent="0.2">
      <c r="A3426" t="s">
        <v>3021</v>
      </c>
      <c r="B3426" t="s">
        <v>8214</v>
      </c>
      <c r="C3426" t="s">
        <v>2987</v>
      </c>
      <c r="D3426" t="s">
        <v>228</v>
      </c>
      <c r="E3426">
        <v>139.99</v>
      </c>
      <c r="F3426" t="s">
        <v>8118</v>
      </c>
      <c r="G3426">
        <v>48</v>
      </c>
      <c r="I3426">
        <v>48</v>
      </c>
      <c r="K3426">
        <v>36</v>
      </c>
      <c r="L3426" t="s">
        <v>7032</v>
      </c>
      <c r="M3426" t="s">
        <v>97</v>
      </c>
      <c r="N3426">
        <v>10</v>
      </c>
      <c r="O3426">
        <v>0.1</v>
      </c>
      <c r="T3426">
        <v>0.2</v>
      </c>
      <c r="U3426">
        <v>0</v>
      </c>
      <c r="V3426">
        <v>2</v>
      </c>
    </row>
    <row r="3427" spans="1:22" x14ac:dyDescent="0.2">
      <c r="A3427" t="s">
        <v>6574</v>
      </c>
      <c r="B3427" t="s">
        <v>8135</v>
      </c>
      <c r="C3427" t="s">
        <v>2987</v>
      </c>
      <c r="D3427" t="s">
        <v>290</v>
      </c>
      <c r="E3427">
        <v>129.99</v>
      </c>
      <c r="F3427" t="s">
        <v>8118</v>
      </c>
      <c r="G3427">
        <v>90</v>
      </c>
      <c r="I3427">
        <v>90</v>
      </c>
      <c r="L3427" t="s">
        <v>7032</v>
      </c>
      <c r="M3427" t="s">
        <v>97</v>
      </c>
      <c r="N3427">
        <v>0</v>
      </c>
      <c r="O3427">
        <v>0</v>
      </c>
      <c r="T3427">
        <v>0</v>
      </c>
      <c r="U3427">
        <v>0</v>
      </c>
      <c r="V3427">
        <v>3</v>
      </c>
    </row>
    <row r="3428" spans="1:22" x14ac:dyDescent="0.2">
      <c r="A3428" t="s">
        <v>6601</v>
      </c>
      <c r="B3428" t="s">
        <v>8142</v>
      </c>
      <c r="C3428" t="s">
        <v>2987</v>
      </c>
      <c r="D3428" t="s">
        <v>96</v>
      </c>
      <c r="E3428">
        <v>89.99</v>
      </c>
      <c r="F3428" t="s">
        <v>8118</v>
      </c>
      <c r="L3428" t="s">
        <v>7032</v>
      </c>
      <c r="M3428" t="s">
        <v>97</v>
      </c>
      <c r="N3428">
        <v>0</v>
      </c>
      <c r="O3428">
        <v>0</v>
      </c>
      <c r="T3428">
        <v>0</v>
      </c>
      <c r="U3428">
        <v>0</v>
      </c>
      <c r="V3428">
        <v>0</v>
      </c>
    </row>
    <row r="3429" spans="1:22" x14ac:dyDescent="0.2">
      <c r="A3429" t="s">
        <v>7401</v>
      </c>
      <c r="B3429" t="s">
        <v>8266</v>
      </c>
      <c r="C3429" t="s">
        <v>2987</v>
      </c>
      <c r="D3429" t="s">
        <v>96</v>
      </c>
      <c r="E3429">
        <v>89.99</v>
      </c>
      <c r="F3429" t="s">
        <v>8118</v>
      </c>
      <c r="L3429" t="s">
        <v>7032</v>
      </c>
      <c r="M3429" t="s">
        <v>97</v>
      </c>
      <c r="N3429">
        <v>0</v>
      </c>
      <c r="O3429">
        <v>0</v>
      </c>
      <c r="T3429">
        <v>0</v>
      </c>
      <c r="U3429">
        <v>0</v>
      </c>
      <c r="V3429">
        <v>1</v>
      </c>
    </row>
    <row r="3430" spans="1:22" x14ac:dyDescent="0.2">
      <c r="A3430" t="s">
        <v>3059</v>
      </c>
      <c r="B3430" t="s">
        <v>8226</v>
      </c>
      <c r="C3430" t="s">
        <v>2987</v>
      </c>
      <c r="D3430" t="s">
        <v>228</v>
      </c>
      <c r="E3430">
        <v>219.99</v>
      </c>
      <c r="F3430" t="s">
        <v>8118</v>
      </c>
      <c r="G3430">
        <v>14</v>
      </c>
      <c r="H3430">
        <v>1</v>
      </c>
      <c r="I3430">
        <v>13</v>
      </c>
      <c r="L3430" t="s">
        <v>7032</v>
      </c>
      <c r="M3430" t="s">
        <v>97</v>
      </c>
      <c r="N3430">
        <v>0</v>
      </c>
      <c r="O3430">
        <v>0</v>
      </c>
      <c r="T3430">
        <v>0</v>
      </c>
      <c r="U3430">
        <v>0</v>
      </c>
      <c r="V3430">
        <v>0</v>
      </c>
    </row>
    <row r="3431" spans="1:22" x14ac:dyDescent="0.2">
      <c r="A3431" t="s">
        <v>6643</v>
      </c>
      <c r="B3431" t="s">
        <v>8144</v>
      </c>
      <c r="C3431" t="s">
        <v>2987</v>
      </c>
      <c r="D3431" t="s">
        <v>290</v>
      </c>
      <c r="E3431">
        <v>89.99</v>
      </c>
      <c r="F3431" t="s">
        <v>8118</v>
      </c>
      <c r="G3431">
        <v>1</v>
      </c>
      <c r="I3431">
        <v>1</v>
      </c>
      <c r="L3431" t="s">
        <v>7032</v>
      </c>
      <c r="M3431" t="s">
        <v>97</v>
      </c>
      <c r="N3431">
        <v>0</v>
      </c>
      <c r="O3431">
        <v>0</v>
      </c>
      <c r="T3431">
        <v>0</v>
      </c>
      <c r="U3431">
        <v>0</v>
      </c>
      <c r="V3431">
        <v>0</v>
      </c>
    </row>
    <row r="3432" spans="1:22" x14ac:dyDescent="0.2">
      <c r="A3432" t="s">
        <v>6853</v>
      </c>
      <c r="B3432" t="s">
        <v>8238</v>
      </c>
      <c r="C3432" t="s">
        <v>2987</v>
      </c>
      <c r="D3432" t="s">
        <v>290</v>
      </c>
      <c r="E3432">
        <v>79.989999999999995</v>
      </c>
      <c r="F3432" t="s">
        <v>8118</v>
      </c>
      <c r="K3432">
        <v>12</v>
      </c>
      <c r="L3432" t="s">
        <v>7032</v>
      </c>
      <c r="M3432" t="s">
        <v>97</v>
      </c>
      <c r="N3432">
        <v>25</v>
      </c>
      <c r="O3432">
        <v>0.04</v>
      </c>
      <c r="T3432">
        <v>0.2</v>
      </c>
      <c r="U3432">
        <v>0</v>
      </c>
      <c r="V3432">
        <v>5</v>
      </c>
    </row>
    <row r="3433" spans="1:22" x14ac:dyDescent="0.2">
      <c r="A3433" t="s">
        <v>6820</v>
      </c>
      <c r="B3433" t="s">
        <v>8164</v>
      </c>
      <c r="C3433" t="s">
        <v>2987</v>
      </c>
      <c r="D3433" t="s">
        <v>96</v>
      </c>
      <c r="E3433">
        <v>69.989999999999995</v>
      </c>
      <c r="F3433" t="s">
        <v>8118</v>
      </c>
      <c r="L3433" t="s">
        <v>7032</v>
      </c>
      <c r="M3433" t="s">
        <v>97</v>
      </c>
      <c r="N3433">
        <v>0</v>
      </c>
      <c r="O3433">
        <v>0</v>
      </c>
      <c r="T3433">
        <v>0</v>
      </c>
      <c r="U3433">
        <v>0</v>
      </c>
      <c r="V3433">
        <v>0</v>
      </c>
    </row>
    <row r="3434" spans="1:22" x14ac:dyDescent="0.2">
      <c r="A3434" t="s">
        <v>6765</v>
      </c>
      <c r="B3434" t="s">
        <v>8173</v>
      </c>
      <c r="C3434" t="s">
        <v>2987</v>
      </c>
      <c r="D3434" t="s">
        <v>96</v>
      </c>
      <c r="E3434">
        <v>129.99</v>
      </c>
      <c r="F3434" t="s">
        <v>8118</v>
      </c>
      <c r="L3434" t="s">
        <v>7032</v>
      </c>
      <c r="M3434" t="s">
        <v>97</v>
      </c>
      <c r="N3434">
        <v>0</v>
      </c>
      <c r="O3434">
        <v>0</v>
      </c>
      <c r="T3434">
        <v>0</v>
      </c>
      <c r="U3434">
        <v>0</v>
      </c>
      <c r="V3434">
        <v>0</v>
      </c>
    </row>
    <row r="3435" spans="1:22" x14ac:dyDescent="0.2">
      <c r="A3435" t="s">
        <v>6888</v>
      </c>
      <c r="B3435" t="s">
        <v>8208</v>
      </c>
      <c r="C3435" t="s">
        <v>2987</v>
      </c>
      <c r="D3435" t="s">
        <v>96</v>
      </c>
      <c r="E3435">
        <v>89.99</v>
      </c>
      <c r="F3435" t="s">
        <v>8118</v>
      </c>
      <c r="L3435" t="s">
        <v>7032</v>
      </c>
      <c r="M3435" t="s">
        <v>97</v>
      </c>
      <c r="N3435">
        <v>0</v>
      </c>
      <c r="O3435">
        <v>0</v>
      </c>
      <c r="T3435">
        <v>0</v>
      </c>
      <c r="U3435">
        <v>0</v>
      </c>
      <c r="V3435">
        <v>0</v>
      </c>
    </row>
    <row r="3436" spans="1:22" x14ac:dyDescent="0.2">
      <c r="A3436" t="s">
        <v>6891</v>
      </c>
      <c r="B3436" t="s">
        <v>8241</v>
      </c>
      <c r="C3436" t="s">
        <v>2987</v>
      </c>
      <c r="D3436" t="s">
        <v>96</v>
      </c>
      <c r="E3436">
        <v>89.99</v>
      </c>
      <c r="F3436" t="s">
        <v>8118</v>
      </c>
      <c r="L3436" t="s">
        <v>7032</v>
      </c>
      <c r="M3436" t="s">
        <v>97</v>
      </c>
      <c r="N3436">
        <v>0</v>
      </c>
      <c r="O3436">
        <v>0</v>
      </c>
      <c r="T3436">
        <v>0</v>
      </c>
      <c r="U3436">
        <v>0</v>
      </c>
      <c r="V3436">
        <v>0</v>
      </c>
    </row>
    <row r="3437" spans="1:22" x14ac:dyDescent="0.2">
      <c r="A3437" t="s">
        <v>6885</v>
      </c>
      <c r="B3437" t="s">
        <v>8268</v>
      </c>
      <c r="C3437" t="s">
        <v>2987</v>
      </c>
      <c r="D3437" t="s">
        <v>96</v>
      </c>
      <c r="E3437">
        <v>89.99</v>
      </c>
      <c r="F3437" t="s">
        <v>8118</v>
      </c>
      <c r="L3437" t="s">
        <v>7032</v>
      </c>
      <c r="M3437" t="s">
        <v>97</v>
      </c>
      <c r="N3437">
        <v>0</v>
      </c>
      <c r="O3437">
        <v>0</v>
      </c>
      <c r="T3437">
        <v>0</v>
      </c>
      <c r="U3437">
        <v>0</v>
      </c>
      <c r="V3437">
        <v>0</v>
      </c>
    </row>
    <row r="3438" spans="1:22" x14ac:dyDescent="0.2">
      <c r="A3438" t="s">
        <v>6869</v>
      </c>
      <c r="B3438" t="s">
        <v>8225</v>
      </c>
      <c r="C3438" t="s">
        <v>2987</v>
      </c>
      <c r="D3438" t="s">
        <v>96</v>
      </c>
      <c r="E3438">
        <v>139.99</v>
      </c>
      <c r="F3438" t="s">
        <v>8118</v>
      </c>
      <c r="L3438" t="s">
        <v>7032</v>
      </c>
      <c r="M3438" t="s">
        <v>97</v>
      </c>
      <c r="N3438">
        <v>0</v>
      </c>
      <c r="O3438">
        <v>0</v>
      </c>
      <c r="T3438">
        <v>0</v>
      </c>
      <c r="U3438">
        <v>0</v>
      </c>
      <c r="V3438">
        <v>0</v>
      </c>
    </row>
    <row r="3439" spans="1:22" x14ac:dyDescent="0.2">
      <c r="A3439" t="s">
        <v>3057</v>
      </c>
      <c r="B3439" t="s">
        <v>8145</v>
      </c>
      <c r="C3439" t="s">
        <v>2987</v>
      </c>
      <c r="D3439" t="s">
        <v>228</v>
      </c>
      <c r="E3439">
        <v>139.99</v>
      </c>
      <c r="F3439" t="s">
        <v>8118</v>
      </c>
      <c r="G3439">
        <v>56</v>
      </c>
      <c r="H3439">
        <v>4</v>
      </c>
      <c r="I3439">
        <v>52</v>
      </c>
      <c r="K3439">
        <v>60</v>
      </c>
      <c r="L3439" t="s">
        <v>7032</v>
      </c>
      <c r="M3439" t="s">
        <v>97</v>
      </c>
      <c r="N3439">
        <v>0</v>
      </c>
      <c r="O3439">
        <v>0</v>
      </c>
      <c r="T3439">
        <v>0</v>
      </c>
      <c r="U3439">
        <v>0</v>
      </c>
      <c r="V3439">
        <v>-1</v>
      </c>
    </row>
    <row r="3440" spans="1:22" x14ac:dyDescent="0.2">
      <c r="A3440" t="s">
        <v>3055</v>
      </c>
      <c r="B3440" t="s">
        <v>8224</v>
      </c>
      <c r="C3440" t="s">
        <v>2987</v>
      </c>
      <c r="D3440" t="s">
        <v>228</v>
      </c>
      <c r="E3440">
        <v>139.99</v>
      </c>
      <c r="F3440" t="s">
        <v>8118</v>
      </c>
      <c r="G3440">
        <v>215</v>
      </c>
      <c r="H3440">
        <v>14</v>
      </c>
      <c r="I3440">
        <v>201</v>
      </c>
      <c r="K3440">
        <v>132</v>
      </c>
      <c r="L3440" t="s">
        <v>7032</v>
      </c>
      <c r="M3440" t="s">
        <v>97</v>
      </c>
      <c r="N3440">
        <v>0</v>
      </c>
      <c r="O3440">
        <v>0</v>
      </c>
      <c r="T3440">
        <v>0</v>
      </c>
      <c r="U3440">
        <v>0</v>
      </c>
      <c r="V3440">
        <v>0</v>
      </c>
    </row>
    <row r="3441" spans="1:22" x14ac:dyDescent="0.2">
      <c r="A3441" t="s">
        <v>6595</v>
      </c>
      <c r="B3441" t="s">
        <v>8200</v>
      </c>
      <c r="C3441" t="s">
        <v>2987</v>
      </c>
      <c r="D3441" t="s">
        <v>96</v>
      </c>
      <c r="E3441">
        <v>59.99</v>
      </c>
      <c r="F3441" t="s">
        <v>8118</v>
      </c>
      <c r="L3441" t="s">
        <v>7032</v>
      </c>
      <c r="M3441" t="s">
        <v>97</v>
      </c>
      <c r="N3441">
        <v>0</v>
      </c>
      <c r="O3441">
        <v>0</v>
      </c>
      <c r="T3441">
        <v>0</v>
      </c>
      <c r="U3441">
        <v>0</v>
      </c>
      <c r="V3441">
        <v>0</v>
      </c>
    </row>
    <row r="3442" spans="1:22" x14ac:dyDescent="0.2">
      <c r="A3442" t="s">
        <v>3039</v>
      </c>
      <c r="B3442" t="s">
        <v>8264</v>
      </c>
      <c r="C3442" t="s">
        <v>2987</v>
      </c>
      <c r="D3442" t="s">
        <v>228</v>
      </c>
      <c r="E3442">
        <v>79.989999999999995</v>
      </c>
      <c r="F3442" t="s">
        <v>8118</v>
      </c>
      <c r="G3442">
        <v>91</v>
      </c>
      <c r="I3442">
        <v>91</v>
      </c>
      <c r="K3442">
        <v>36</v>
      </c>
      <c r="L3442" t="s">
        <v>7032</v>
      </c>
      <c r="M3442" t="s">
        <v>97</v>
      </c>
      <c r="N3442">
        <v>0</v>
      </c>
      <c r="O3442">
        <v>0</v>
      </c>
      <c r="T3442">
        <v>0</v>
      </c>
      <c r="U3442">
        <v>0</v>
      </c>
      <c r="V3442">
        <v>0</v>
      </c>
    </row>
    <row r="3443" spans="1:22" x14ac:dyDescent="0.2">
      <c r="A3443" t="s">
        <v>3037</v>
      </c>
      <c r="B3443" t="s">
        <v>8217</v>
      </c>
      <c r="C3443" t="s">
        <v>2987</v>
      </c>
      <c r="D3443" t="s">
        <v>228</v>
      </c>
      <c r="E3443">
        <v>79.989999999999995</v>
      </c>
      <c r="F3443" t="s">
        <v>8118</v>
      </c>
      <c r="G3443">
        <v>243</v>
      </c>
      <c r="H3443">
        <v>13</v>
      </c>
      <c r="I3443">
        <v>230</v>
      </c>
      <c r="K3443">
        <v>36</v>
      </c>
      <c r="L3443" t="s">
        <v>7032</v>
      </c>
      <c r="M3443" t="s">
        <v>97</v>
      </c>
      <c r="N3443">
        <v>-5</v>
      </c>
      <c r="O3443">
        <v>-0.2</v>
      </c>
      <c r="T3443">
        <v>0.2</v>
      </c>
      <c r="U3443">
        <v>0</v>
      </c>
      <c r="V3443">
        <v>-1</v>
      </c>
    </row>
    <row r="3444" spans="1:22" x14ac:dyDescent="0.2">
      <c r="A3444" t="s">
        <v>3035</v>
      </c>
      <c r="B3444" t="s">
        <v>8215</v>
      </c>
      <c r="C3444" t="s">
        <v>2987</v>
      </c>
      <c r="D3444" t="s">
        <v>290</v>
      </c>
      <c r="E3444">
        <v>139.99</v>
      </c>
      <c r="F3444" t="s">
        <v>8118</v>
      </c>
      <c r="G3444">
        <v>26</v>
      </c>
      <c r="H3444">
        <v>2</v>
      </c>
      <c r="I3444">
        <v>24</v>
      </c>
      <c r="L3444" t="s">
        <v>7032</v>
      </c>
      <c r="M3444" t="s">
        <v>97</v>
      </c>
      <c r="N3444">
        <v>0</v>
      </c>
      <c r="O3444">
        <v>0</v>
      </c>
      <c r="T3444">
        <v>0</v>
      </c>
      <c r="U3444">
        <v>0</v>
      </c>
      <c r="V3444">
        <v>4</v>
      </c>
    </row>
    <row r="3445" spans="1:22" x14ac:dyDescent="0.2">
      <c r="A3445" t="s">
        <v>3025</v>
      </c>
      <c r="B3445" t="s">
        <v>8231</v>
      </c>
      <c r="C3445" t="s">
        <v>2987</v>
      </c>
      <c r="D3445" t="s">
        <v>228</v>
      </c>
      <c r="E3445">
        <v>89.99</v>
      </c>
      <c r="F3445" t="s">
        <v>8118</v>
      </c>
      <c r="G3445">
        <v>237</v>
      </c>
      <c r="H3445">
        <v>44</v>
      </c>
      <c r="I3445">
        <v>193</v>
      </c>
      <c r="K3445">
        <v>60</v>
      </c>
      <c r="L3445" t="s">
        <v>7032</v>
      </c>
      <c r="M3445" t="s">
        <v>97</v>
      </c>
      <c r="N3445">
        <v>0</v>
      </c>
      <c r="O3445">
        <v>0</v>
      </c>
      <c r="T3445">
        <v>0.4</v>
      </c>
      <c r="U3445">
        <v>0</v>
      </c>
      <c r="V3445">
        <v>0</v>
      </c>
    </row>
    <row r="3446" spans="1:22" x14ac:dyDescent="0.2">
      <c r="A3446" t="s">
        <v>3023</v>
      </c>
      <c r="B3446" t="s">
        <v>8129</v>
      </c>
      <c r="C3446" t="s">
        <v>2987</v>
      </c>
      <c r="D3446" t="s">
        <v>228</v>
      </c>
      <c r="E3446">
        <v>89.99</v>
      </c>
      <c r="F3446" t="s">
        <v>8118</v>
      </c>
      <c r="G3446">
        <v>1029</v>
      </c>
      <c r="H3446">
        <v>128</v>
      </c>
      <c r="I3446">
        <v>901</v>
      </c>
      <c r="L3446" t="s">
        <v>7032</v>
      </c>
      <c r="M3446" t="s">
        <v>97</v>
      </c>
      <c r="N3446">
        <v>0</v>
      </c>
      <c r="O3446">
        <v>0</v>
      </c>
      <c r="T3446">
        <v>0.2</v>
      </c>
      <c r="U3446">
        <v>0</v>
      </c>
      <c r="V3446">
        <v>0</v>
      </c>
    </row>
    <row r="3447" spans="1:22" x14ac:dyDescent="0.2">
      <c r="A3447" t="s">
        <v>6780</v>
      </c>
      <c r="B3447" t="s">
        <v>8159</v>
      </c>
      <c r="C3447" t="s">
        <v>2987</v>
      </c>
      <c r="D3447" t="s">
        <v>96</v>
      </c>
      <c r="E3447">
        <v>104.99</v>
      </c>
      <c r="F3447" t="s">
        <v>8118</v>
      </c>
      <c r="L3447" t="s">
        <v>7032</v>
      </c>
      <c r="M3447" t="s">
        <v>97</v>
      </c>
      <c r="N3447">
        <v>0</v>
      </c>
      <c r="O3447">
        <v>0</v>
      </c>
      <c r="T3447">
        <v>0</v>
      </c>
      <c r="U3447">
        <v>0</v>
      </c>
      <c r="V3447">
        <v>0</v>
      </c>
    </row>
    <row r="3448" spans="1:22" x14ac:dyDescent="0.2">
      <c r="A3448" t="s">
        <v>6793</v>
      </c>
      <c r="B3448" t="s">
        <v>8161</v>
      </c>
      <c r="C3448" t="s">
        <v>2987</v>
      </c>
      <c r="D3448" t="s">
        <v>96</v>
      </c>
      <c r="E3448">
        <v>49.99</v>
      </c>
      <c r="F3448" t="s">
        <v>8118</v>
      </c>
      <c r="L3448" t="s">
        <v>7032</v>
      </c>
      <c r="M3448" t="s">
        <v>97</v>
      </c>
      <c r="N3448">
        <v>0</v>
      </c>
      <c r="O3448">
        <v>0</v>
      </c>
      <c r="T3448">
        <v>0</v>
      </c>
      <c r="U3448">
        <v>0</v>
      </c>
      <c r="V3448">
        <v>3</v>
      </c>
    </row>
    <row r="3449" spans="1:22" x14ac:dyDescent="0.2">
      <c r="A3449" t="s">
        <v>6796</v>
      </c>
      <c r="B3449" t="s">
        <v>8160</v>
      </c>
      <c r="C3449" t="s">
        <v>2987</v>
      </c>
      <c r="D3449" t="s">
        <v>96</v>
      </c>
      <c r="E3449">
        <v>49.99</v>
      </c>
      <c r="F3449" t="s">
        <v>8118</v>
      </c>
      <c r="L3449" t="s">
        <v>7032</v>
      </c>
      <c r="M3449" t="s">
        <v>97</v>
      </c>
      <c r="N3449">
        <v>0</v>
      </c>
      <c r="O3449">
        <v>0</v>
      </c>
      <c r="T3449">
        <v>0</v>
      </c>
      <c r="U3449">
        <v>0</v>
      </c>
      <c r="V3449">
        <v>2</v>
      </c>
    </row>
    <row r="3450" spans="1:22" x14ac:dyDescent="0.2">
      <c r="A3450" t="s">
        <v>6699</v>
      </c>
      <c r="B3450" t="s">
        <v>8162</v>
      </c>
      <c r="C3450" t="s">
        <v>2987</v>
      </c>
      <c r="D3450" t="s">
        <v>96</v>
      </c>
      <c r="E3450">
        <v>49.99</v>
      </c>
      <c r="F3450" t="s">
        <v>8118</v>
      </c>
      <c r="L3450" t="s">
        <v>7032</v>
      </c>
      <c r="M3450" t="s">
        <v>97</v>
      </c>
      <c r="N3450">
        <v>0</v>
      </c>
      <c r="O3450">
        <v>0</v>
      </c>
      <c r="T3450">
        <v>0</v>
      </c>
      <c r="U3450">
        <v>0</v>
      </c>
      <c r="V3450">
        <v>0</v>
      </c>
    </row>
    <row r="3451" spans="1:22" x14ac:dyDescent="0.2">
      <c r="A3451" t="s">
        <v>34</v>
      </c>
      <c r="B3451" t="s">
        <v>8167</v>
      </c>
      <c r="C3451" t="s">
        <v>2987</v>
      </c>
      <c r="D3451" t="s">
        <v>228</v>
      </c>
      <c r="E3451">
        <v>59.99</v>
      </c>
      <c r="F3451" t="s">
        <v>8118</v>
      </c>
      <c r="G3451">
        <v>3536</v>
      </c>
      <c r="H3451">
        <v>742</v>
      </c>
      <c r="I3451">
        <v>2794</v>
      </c>
      <c r="K3451">
        <v>3408</v>
      </c>
      <c r="L3451" t="s">
        <v>7032</v>
      </c>
      <c r="M3451" t="s">
        <v>97</v>
      </c>
      <c r="N3451">
        <v>0</v>
      </c>
      <c r="O3451">
        <v>0</v>
      </c>
      <c r="T3451">
        <v>0</v>
      </c>
      <c r="U3451">
        <v>0</v>
      </c>
      <c r="V3451">
        <v>-3</v>
      </c>
    </row>
    <row r="3452" spans="1:22" x14ac:dyDescent="0.2">
      <c r="A3452" t="s">
        <v>2988</v>
      </c>
      <c r="B3452" t="s">
        <v>8156</v>
      </c>
      <c r="C3452" t="s">
        <v>2987</v>
      </c>
      <c r="D3452" t="s">
        <v>228</v>
      </c>
      <c r="E3452">
        <v>89.99</v>
      </c>
      <c r="F3452" t="s">
        <v>8118</v>
      </c>
      <c r="G3452">
        <v>140</v>
      </c>
      <c r="H3452">
        <v>90</v>
      </c>
      <c r="I3452">
        <v>50</v>
      </c>
      <c r="K3452">
        <v>5400</v>
      </c>
      <c r="L3452" t="s">
        <v>7032</v>
      </c>
      <c r="M3452" t="s">
        <v>97</v>
      </c>
      <c r="N3452">
        <v>0</v>
      </c>
      <c r="O3452">
        <v>0</v>
      </c>
      <c r="T3452">
        <v>0</v>
      </c>
      <c r="U3452">
        <v>0</v>
      </c>
      <c r="V3452">
        <v>0</v>
      </c>
    </row>
    <row r="3453" spans="1:22" x14ac:dyDescent="0.2">
      <c r="A3453" t="s">
        <v>6690</v>
      </c>
      <c r="B3453" t="s">
        <v>8183</v>
      </c>
      <c r="C3453" t="s">
        <v>2987</v>
      </c>
      <c r="D3453" t="s">
        <v>96</v>
      </c>
      <c r="E3453">
        <v>74.989999999999995</v>
      </c>
      <c r="F3453" t="s">
        <v>8118</v>
      </c>
      <c r="L3453" t="s">
        <v>7032</v>
      </c>
      <c r="M3453" t="s">
        <v>97</v>
      </c>
      <c r="N3453">
        <v>0</v>
      </c>
      <c r="O3453">
        <v>0</v>
      </c>
      <c r="T3453">
        <v>0</v>
      </c>
      <c r="U3453">
        <v>0</v>
      </c>
      <c r="V3453">
        <v>0</v>
      </c>
    </row>
    <row r="3454" spans="1:22" x14ac:dyDescent="0.2">
      <c r="A3454" t="s">
        <v>3051</v>
      </c>
      <c r="B3454" t="s">
        <v>8222</v>
      </c>
      <c r="C3454" t="s">
        <v>2987</v>
      </c>
      <c r="D3454" t="s">
        <v>228</v>
      </c>
      <c r="E3454">
        <v>139.99</v>
      </c>
      <c r="F3454" t="s">
        <v>8118</v>
      </c>
      <c r="L3454" t="s">
        <v>7032</v>
      </c>
      <c r="M3454" t="s">
        <v>97</v>
      </c>
      <c r="N3454">
        <v>0</v>
      </c>
      <c r="O3454">
        <v>0</v>
      </c>
      <c r="T3454">
        <v>0</v>
      </c>
      <c r="U3454">
        <v>0</v>
      </c>
      <c r="V3454">
        <v>0</v>
      </c>
    </row>
    <row r="3455" spans="1:22" x14ac:dyDescent="0.2">
      <c r="A3455" t="s">
        <v>6505</v>
      </c>
      <c r="B3455" t="s">
        <v>8153</v>
      </c>
      <c r="C3455" t="s">
        <v>2987</v>
      </c>
      <c r="D3455" t="s">
        <v>290</v>
      </c>
      <c r="E3455">
        <v>59.99</v>
      </c>
      <c r="F3455" t="s">
        <v>8118</v>
      </c>
      <c r="L3455" t="s">
        <v>7032</v>
      </c>
      <c r="M3455" t="s">
        <v>97</v>
      </c>
      <c r="N3455">
        <v>0</v>
      </c>
      <c r="O3455">
        <v>0</v>
      </c>
      <c r="T3455">
        <v>0</v>
      </c>
      <c r="U3455">
        <v>0</v>
      </c>
      <c r="V3455">
        <v>0</v>
      </c>
    </row>
    <row r="3456" spans="1:22" x14ac:dyDescent="0.2">
      <c r="A3456" t="s">
        <v>6783</v>
      </c>
      <c r="B3456" t="s">
        <v>8154</v>
      </c>
      <c r="C3456" t="s">
        <v>2987</v>
      </c>
      <c r="D3456" t="s">
        <v>228</v>
      </c>
      <c r="E3456">
        <v>79.989999999999995</v>
      </c>
      <c r="F3456" t="s">
        <v>8118</v>
      </c>
      <c r="G3456">
        <v>34</v>
      </c>
      <c r="I3456">
        <v>34</v>
      </c>
      <c r="L3456" t="s">
        <v>7032</v>
      </c>
      <c r="M3456" t="s">
        <v>97</v>
      </c>
      <c r="N3456">
        <v>3</v>
      </c>
      <c r="O3456">
        <v>0.33333333333333331</v>
      </c>
      <c r="T3456">
        <v>0.33333333333333331</v>
      </c>
      <c r="U3456">
        <v>0</v>
      </c>
      <c r="V3456">
        <v>1</v>
      </c>
    </row>
    <row r="3457" spans="1:22" x14ac:dyDescent="0.2">
      <c r="A3457" t="s">
        <v>2990</v>
      </c>
      <c r="B3457" t="s">
        <v>8155</v>
      </c>
      <c r="C3457" t="s">
        <v>2987</v>
      </c>
      <c r="D3457" t="s">
        <v>228</v>
      </c>
      <c r="E3457">
        <v>89.99</v>
      </c>
      <c r="F3457" t="s">
        <v>8118</v>
      </c>
      <c r="G3457">
        <v>2076</v>
      </c>
      <c r="H3457">
        <v>334</v>
      </c>
      <c r="I3457">
        <v>1742</v>
      </c>
      <c r="L3457" t="s">
        <v>7032</v>
      </c>
      <c r="M3457" t="s">
        <v>97</v>
      </c>
      <c r="N3457">
        <v>0</v>
      </c>
      <c r="O3457">
        <v>0</v>
      </c>
      <c r="T3457">
        <v>0</v>
      </c>
      <c r="U3457">
        <v>0</v>
      </c>
      <c r="V3457">
        <v>1</v>
      </c>
    </row>
    <row r="3458" spans="1:22" x14ac:dyDescent="0.2">
      <c r="A3458" t="s">
        <v>6817</v>
      </c>
      <c r="B3458" t="s">
        <v>8163</v>
      </c>
      <c r="C3458" t="s">
        <v>2987</v>
      </c>
      <c r="D3458" t="s">
        <v>96</v>
      </c>
      <c r="E3458">
        <v>69.989999999999995</v>
      </c>
      <c r="F3458" t="s">
        <v>8118</v>
      </c>
      <c r="L3458" t="s">
        <v>7032</v>
      </c>
      <c r="M3458" t="s">
        <v>97</v>
      </c>
      <c r="N3458">
        <v>0</v>
      </c>
      <c r="O3458">
        <v>0</v>
      </c>
      <c r="T3458">
        <v>0</v>
      </c>
      <c r="U3458">
        <v>0</v>
      </c>
      <c r="V3458">
        <v>1</v>
      </c>
    </row>
    <row r="3459" spans="1:22" x14ac:dyDescent="0.2">
      <c r="A3459" t="s">
        <v>6490</v>
      </c>
      <c r="B3459" t="s">
        <v>8288</v>
      </c>
      <c r="C3459" t="s">
        <v>2987</v>
      </c>
      <c r="D3459" t="s">
        <v>96</v>
      </c>
      <c r="E3459">
        <v>139.99</v>
      </c>
      <c r="F3459" t="s">
        <v>8118</v>
      </c>
      <c r="L3459" t="s">
        <v>7032</v>
      </c>
      <c r="M3459" t="s">
        <v>97</v>
      </c>
      <c r="N3459">
        <v>0</v>
      </c>
      <c r="O3459">
        <v>0</v>
      </c>
      <c r="T3459">
        <v>0</v>
      </c>
      <c r="U3459">
        <v>0</v>
      </c>
      <c r="V3459">
        <v>0</v>
      </c>
    </row>
    <row r="3460" spans="1:22" x14ac:dyDescent="0.2">
      <c r="A3460" t="s">
        <v>3067</v>
      </c>
      <c r="B3460" t="s">
        <v>8240</v>
      </c>
      <c r="C3460" t="s">
        <v>2987</v>
      </c>
      <c r="D3460" t="s">
        <v>228</v>
      </c>
      <c r="E3460">
        <v>99.99</v>
      </c>
      <c r="F3460" t="s">
        <v>8118</v>
      </c>
      <c r="G3460">
        <v>14</v>
      </c>
      <c r="I3460">
        <v>14</v>
      </c>
      <c r="L3460" t="s">
        <v>7032</v>
      </c>
      <c r="M3460" t="s">
        <v>97</v>
      </c>
      <c r="N3460">
        <v>0</v>
      </c>
      <c r="O3460">
        <v>0</v>
      </c>
      <c r="T3460">
        <v>0</v>
      </c>
      <c r="U3460">
        <v>0</v>
      </c>
      <c r="V3460">
        <v>0</v>
      </c>
    </row>
    <row r="3461" spans="1:22" x14ac:dyDescent="0.2">
      <c r="A3461" t="s">
        <v>6861</v>
      </c>
      <c r="B3461" t="s">
        <v>8192</v>
      </c>
      <c r="C3461" t="s">
        <v>2987</v>
      </c>
      <c r="D3461" t="s">
        <v>96</v>
      </c>
      <c r="E3461">
        <v>159.99</v>
      </c>
      <c r="F3461" t="s">
        <v>8118</v>
      </c>
      <c r="L3461" t="s">
        <v>7032</v>
      </c>
      <c r="M3461" t="s">
        <v>97</v>
      </c>
      <c r="N3461">
        <v>0</v>
      </c>
      <c r="O3461">
        <v>0</v>
      </c>
      <c r="T3461">
        <v>0</v>
      </c>
      <c r="U3461">
        <v>0</v>
      </c>
      <c r="V3461">
        <v>2</v>
      </c>
    </row>
    <row r="3462" spans="1:22" x14ac:dyDescent="0.2">
      <c r="A3462" t="s">
        <v>6858</v>
      </c>
      <c r="B3462" t="s">
        <v>6859</v>
      </c>
      <c r="C3462" t="s">
        <v>2987</v>
      </c>
      <c r="D3462" t="s">
        <v>96</v>
      </c>
      <c r="E3462">
        <v>139.99</v>
      </c>
      <c r="F3462" t="s">
        <v>8118</v>
      </c>
      <c r="L3462" t="s">
        <v>7032</v>
      </c>
      <c r="M3462" t="s">
        <v>97</v>
      </c>
      <c r="N3462">
        <v>0</v>
      </c>
      <c r="O3462">
        <v>0</v>
      </c>
      <c r="T3462">
        <v>0</v>
      </c>
      <c r="U3462">
        <v>0</v>
      </c>
      <c r="V3462">
        <v>0</v>
      </c>
    </row>
    <row r="3463" spans="1:22" x14ac:dyDescent="0.2">
      <c r="A3463" t="s">
        <v>3071</v>
      </c>
      <c r="B3463" t="s">
        <v>8190</v>
      </c>
      <c r="C3463" t="s">
        <v>2987</v>
      </c>
      <c r="D3463" t="s">
        <v>228</v>
      </c>
      <c r="E3463">
        <v>199.99</v>
      </c>
      <c r="F3463" t="s">
        <v>8118</v>
      </c>
      <c r="G3463">
        <v>15</v>
      </c>
      <c r="I3463">
        <v>15</v>
      </c>
      <c r="L3463" t="s">
        <v>7032</v>
      </c>
      <c r="M3463" t="s">
        <v>97</v>
      </c>
      <c r="N3463">
        <v>0</v>
      </c>
      <c r="O3463">
        <v>0</v>
      </c>
      <c r="T3463">
        <v>0</v>
      </c>
      <c r="U3463">
        <v>0</v>
      </c>
      <c r="V3463">
        <v>2</v>
      </c>
    </row>
    <row r="3464" spans="1:22" x14ac:dyDescent="0.2">
      <c r="A3464" t="s">
        <v>6873</v>
      </c>
      <c r="B3464" t="s">
        <v>8175</v>
      </c>
      <c r="C3464" t="s">
        <v>2987</v>
      </c>
      <c r="D3464" t="s">
        <v>96</v>
      </c>
      <c r="E3464">
        <v>49.99</v>
      </c>
      <c r="F3464" t="s">
        <v>8118</v>
      </c>
      <c r="L3464" t="s">
        <v>7032</v>
      </c>
      <c r="M3464" t="s">
        <v>97</v>
      </c>
      <c r="N3464">
        <v>0</v>
      </c>
      <c r="O3464">
        <v>0</v>
      </c>
      <c r="T3464">
        <v>0</v>
      </c>
      <c r="U3464">
        <v>0</v>
      </c>
      <c r="V3464">
        <v>4</v>
      </c>
    </row>
    <row r="3465" spans="1:22" x14ac:dyDescent="0.2">
      <c r="A3465" t="s">
        <v>6756</v>
      </c>
      <c r="B3465" t="s">
        <v>8193</v>
      </c>
      <c r="C3465" t="s">
        <v>2987</v>
      </c>
      <c r="D3465" t="s">
        <v>96</v>
      </c>
      <c r="E3465">
        <v>74.989999999999995</v>
      </c>
      <c r="F3465" t="s">
        <v>8118</v>
      </c>
      <c r="L3465" t="s">
        <v>7032</v>
      </c>
      <c r="M3465" t="s">
        <v>97</v>
      </c>
      <c r="N3465">
        <v>0</v>
      </c>
      <c r="O3465">
        <v>0</v>
      </c>
      <c r="T3465">
        <v>0</v>
      </c>
      <c r="U3465">
        <v>0</v>
      </c>
      <c r="V3465">
        <v>0</v>
      </c>
    </row>
    <row r="3466" spans="1:22" x14ac:dyDescent="0.2">
      <c r="A3466" t="s">
        <v>6876</v>
      </c>
      <c r="B3466" t="s">
        <v>8176</v>
      </c>
      <c r="C3466" t="s">
        <v>2987</v>
      </c>
      <c r="D3466" t="s">
        <v>96</v>
      </c>
      <c r="E3466">
        <v>49.99</v>
      </c>
      <c r="F3466" t="s">
        <v>8118</v>
      </c>
      <c r="L3466" t="s">
        <v>7032</v>
      </c>
      <c r="M3466" t="s">
        <v>97</v>
      </c>
      <c r="N3466">
        <v>65</v>
      </c>
      <c r="O3466">
        <v>1.5384615384615385E-2</v>
      </c>
      <c r="T3466">
        <v>0.2</v>
      </c>
      <c r="U3466">
        <v>0</v>
      </c>
      <c r="V3466">
        <v>13</v>
      </c>
    </row>
    <row r="3467" spans="1:22" x14ac:dyDescent="0.2">
      <c r="A3467" t="s">
        <v>3075</v>
      </c>
      <c r="B3467" t="s">
        <v>8178</v>
      </c>
      <c r="C3467" t="s">
        <v>2987</v>
      </c>
      <c r="D3467" t="s">
        <v>228</v>
      </c>
      <c r="E3467">
        <v>49.99</v>
      </c>
      <c r="F3467" t="s">
        <v>8118</v>
      </c>
      <c r="G3467">
        <v>7</v>
      </c>
      <c r="I3467">
        <v>7</v>
      </c>
      <c r="L3467" t="s">
        <v>7032</v>
      </c>
      <c r="M3467" t="s">
        <v>97</v>
      </c>
      <c r="N3467">
        <v>5</v>
      </c>
      <c r="O3467">
        <v>0.2</v>
      </c>
      <c r="T3467">
        <v>0.2</v>
      </c>
      <c r="U3467">
        <v>0</v>
      </c>
      <c r="V3467">
        <v>1</v>
      </c>
    </row>
    <row r="3468" spans="1:22" x14ac:dyDescent="0.2">
      <c r="A3468" t="s">
        <v>2988</v>
      </c>
      <c r="B3468" t="s">
        <v>8156</v>
      </c>
      <c r="C3468" t="s">
        <v>2987</v>
      </c>
      <c r="D3468" t="s">
        <v>228</v>
      </c>
      <c r="E3468">
        <v>89.99</v>
      </c>
      <c r="F3468" t="s">
        <v>8118</v>
      </c>
      <c r="G3468">
        <v>140</v>
      </c>
      <c r="H3468">
        <v>90</v>
      </c>
      <c r="I3468">
        <v>50</v>
      </c>
      <c r="K3468">
        <v>5400</v>
      </c>
      <c r="L3468" t="s">
        <v>8</v>
      </c>
      <c r="M3468" t="s">
        <v>6481</v>
      </c>
      <c r="N3468">
        <v>9.5923566878980893</v>
      </c>
      <c r="O3468">
        <v>0.10424966799468792</v>
      </c>
      <c r="Q3468">
        <v>8</v>
      </c>
      <c r="R3468">
        <v>12</v>
      </c>
      <c r="S3468">
        <v>231</v>
      </c>
      <c r="T3468">
        <v>26.166666666666668</v>
      </c>
      <c r="U3468">
        <v>7559.16</v>
      </c>
      <c r="V3468">
        <v>251</v>
      </c>
    </row>
    <row r="3469" spans="1:22" x14ac:dyDescent="0.2">
      <c r="A3469" t="s">
        <v>3005</v>
      </c>
      <c r="B3469" t="s">
        <v>8202</v>
      </c>
      <c r="C3469" t="s">
        <v>2987</v>
      </c>
      <c r="D3469" t="s">
        <v>290</v>
      </c>
      <c r="E3469">
        <v>49.99</v>
      </c>
      <c r="F3469" t="s">
        <v>8118</v>
      </c>
      <c r="G3469">
        <v>14</v>
      </c>
      <c r="I3469">
        <v>14</v>
      </c>
      <c r="L3469" t="s">
        <v>8</v>
      </c>
      <c r="M3469" t="s">
        <v>8022</v>
      </c>
      <c r="N3469">
        <v>0</v>
      </c>
      <c r="O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</row>
    <row r="3470" spans="1:22" x14ac:dyDescent="0.2">
      <c r="A3470" t="s">
        <v>34</v>
      </c>
      <c r="B3470" t="s">
        <v>8167</v>
      </c>
      <c r="C3470" t="s">
        <v>2987</v>
      </c>
      <c r="D3470" t="s">
        <v>228</v>
      </c>
      <c r="E3470">
        <v>59.99</v>
      </c>
      <c r="F3470" t="s">
        <v>8118</v>
      </c>
      <c r="G3470">
        <v>3536</v>
      </c>
      <c r="H3470">
        <v>742</v>
      </c>
      <c r="I3470">
        <v>2794</v>
      </c>
      <c r="K3470">
        <v>3408</v>
      </c>
      <c r="L3470" t="s">
        <v>8</v>
      </c>
      <c r="M3470" t="s">
        <v>6523</v>
      </c>
      <c r="N3470">
        <v>4.7917146144994245</v>
      </c>
      <c r="O3470">
        <v>0.20869356388088378</v>
      </c>
      <c r="Q3470">
        <v>1</v>
      </c>
      <c r="R3470">
        <v>41</v>
      </c>
      <c r="S3470">
        <v>305</v>
      </c>
      <c r="T3470">
        <v>72.416666666666671</v>
      </c>
      <c r="U3470">
        <v>3179.4700000000003</v>
      </c>
      <c r="V3470">
        <v>347</v>
      </c>
    </row>
    <row r="3471" spans="1:22" x14ac:dyDescent="0.2">
      <c r="A3471" t="s">
        <v>6780</v>
      </c>
      <c r="B3471" t="s">
        <v>8159</v>
      </c>
      <c r="C3471" t="s">
        <v>2987</v>
      </c>
      <c r="D3471" t="s">
        <v>96</v>
      </c>
      <c r="E3471">
        <v>104.99</v>
      </c>
      <c r="F3471" t="s">
        <v>8118</v>
      </c>
      <c r="L3471" t="s">
        <v>8</v>
      </c>
      <c r="M3471" t="s">
        <v>8052</v>
      </c>
      <c r="N3471">
        <v>0</v>
      </c>
      <c r="O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</row>
    <row r="3472" spans="1:22" x14ac:dyDescent="0.2">
      <c r="A3472" t="s">
        <v>6694</v>
      </c>
      <c r="B3472" t="s">
        <v>8201</v>
      </c>
      <c r="C3472" t="s">
        <v>2987</v>
      </c>
      <c r="D3472" t="s">
        <v>290</v>
      </c>
      <c r="E3472">
        <v>49.99</v>
      </c>
      <c r="F3472" t="s">
        <v>8118</v>
      </c>
      <c r="L3472" t="s">
        <v>8</v>
      </c>
      <c r="M3472" t="s">
        <v>8051</v>
      </c>
      <c r="N3472">
        <v>0</v>
      </c>
      <c r="O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 spans="1:22" x14ac:dyDescent="0.2">
      <c r="A3473" t="s">
        <v>6595</v>
      </c>
      <c r="B3473" t="s">
        <v>8200</v>
      </c>
      <c r="C3473" t="s">
        <v>2987</v>
      </c>
      <c r="D3473" t="s">
        <v>96</v>
      </c>
      <c r="E3473">
        <v>59.99</v>
      </c>
      <c r="F3473" t="s">
        <v>8118</v>
      </c>
      <c r="L3473" t="s">
        <v>8</v>
      </c>
      <c r="M3473" t="s">
        <v>8064</v>
      </c>
      <c r="N3473">
        <v>0</v>
      </c>
      <c r="O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</row>
    <row r="3474" spans="1:22" x14ac:dyDescent="0.2">
      <c r="A3474" t="s">
        <v>3021</v>
      </c>
      <c r="B3474" t="s">
        <v>8214</v>
      </c>
      <c r="C3474" t="s">
        <v>2987</v>
      </c>
      <c r="D3474" t="s">
        <v>228</v>
      </c>
      <c r="E3474">
        <v>139.99</v>
      </c>
      <c r="F3474" t="s">
        <v>8118</v>
      </c>
      <c r="G3474">
        <v>48</v>
      </c>
      <c r="I3474">
        <v>48</v>
      </c>
      <c r="K3474">
        <v>36</v>
      </c>
      <c r="L3474" t="s">
        <v>8</v>
      </c>
      <c r="M3474" t="s">
        <v>6489</v>
      </c>
      <c r="N3474">
        <v>14.727272727272728</v>
      </c>
      <c r="O3474">
        <v>6.7901234567901231E-2</v>
      </c>
      <c r="Q3474">
        <v>0</v>
      </c>
      <c r="R3474">
        <v>27</v>
      </c>
      <c r="S3474">
        <v>0</v>
      </c>
      <c r="T3474">
        <v>1.8333333333333333</v>
      </c>
      <c r="U3474">
        <v>0</v>
      </c>
      <c r="V3474">
        <v>27</v>
      </c>
    </row>
    <row r="3475" spans="1:22" x14ac:dyDescent="0.2">
      <c r="A3475" t="s">
        <v>6834</v>
      </c>
      <c r="B3475" t="s">
        <v>8249</v>
      </c>
      <c r="C3475" t="s">
        <v>2987</v>
      </c>
      <c r="D3475" t="s">
        <v>228</v>
      </c>
      <c r="E3475">
        <v>89.99</v>
      </c>
      <c r="F3475" t="s">
        <v>8118</v>
      </c>
      <c r="G3475">
        <v>48</v>
      </c>
      <c r="I3475">
        <v>48</v>
      </c>
      <c r="K3475">
        <v>24</v>
      </c>
      <c r="L3475" t="s">
        <v>8</v>
      </c>
      <c r="M3475" t="s">
        <v>6839</v>
      </c>
      <c r="N3475">
        <v>13.142857142857142</v>
      </c>
      <c r="O3475">
        <v>7.6086956521739135E-2</v>
      </c>
      <c r="Q3475">
        <v>0</v>
      </c>
      <c r="R3475">
        <v>22</v>
      </c>
      <c r="S3475">
        <v>1</v>
      </c>
      <c r="T3475">
        <v>1.75</v>
      </c>
      <c r="U3475">
        <v>89.99</v>
      </c>
      <c r="V3475">
        <v>23</v>
      </c>
    </row>
    <row r="3476" spans="1:22" x14ac:dyDescent="0.2">
      <c r="A3476" t="s">
        <v>3019</v>
      </c>
      <c r="B3476" t="s">
        <v>8247</v>
      </c>
      <c r="C3476" t="s">
        <v>2987</v>
      </c>
      <c r="D3476" t="s">
        <v>228</v>
      </c>
      <c r="E3476">
        <v>139.99</v>
      </c>
      <c r="F3476" t="s">
        <v>8118</v>
      </c>
      <c r="G3476">
        <v>359</v>
      </c>
      <c r="H3476">
        <v>52</v>
      </c>
      <c r="I3476">
        <v>307</v>
      </c>
      <c r="L3476" t="s">
        <v>8</v>
      </c>
      <c r="M3476" t="s">
        <v>6485</v>
      </c>
      <c r="N3476">
        <v>16.094117647058823</v>
      </c>
      <c r="O3476">
        <v>6.2134502923976605E-2</v>
      </c>
      <c r="Q3476">
        <v>3</v>
      </c>
      <c r="R3476">
        <v>1</v>
      </c>
      <c r="S3476">
        <v>224</v>
      </c>
      <c r="T3476">
        <v>14.166666666666666</v>
      </c>
      <c r="U3476">
        <v>1679.88</v>
      </c>
      <c r="V3476">
        <v>228</v>
      </c>
    </row>
    <row r="3477" spans="1:22" x14ac:dyDescent="0.2">
      <c r="A3477" t="s">
        <v>6592</v>
      </c>
      <c r="B3477" t="s">
        <v>8147</v>
      </c>
      <c r="C3477" t="s">
        <v>2987</v>
      </c>
      <c r="D3477" t="s">
        <v>96</v>
      </c>
      <c r="E3477">
        <v>59.99</v>
      </c>
      <c r="F3477" t="s">
        <v>8118</v>
      </c>
      <c r="L3477" t="s">
        <v>8</v>
      </c>
      <c r="M3477" t="s">
        <v>8062</v>
      </c>
      <c r="N3477">
        <v>0</v>
      </c>
      <c r="O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 spans="1:22" x14ac:dyDescent="0.2">
      <c r="A3478" t="s">
        <v>6589</v>
      </c>
      <c r="B3478" t="s">
        <v>8139</v>
      </c>
      <c r="C3478" t="s">
        <v>2987</v>
      </c>
      <c r="D3478" t="s">
        <v>96</v>
      </c>
      <c r="E3478">
        <v>59.99</v>
      </c>
      <c r="F3478" t="s">
        <v>8118</v>
      </c>
      <c r="L3478" t="s">
        <v>8</v>
      </c>
      <c r="M3478" t="s">
        <v>8063</v>
      </c>
      <c r="N3478">
        <v>0</v>
      </c>
      <c r="O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 spans="1:22" x14ac:dyDescent="0.2">
      <c r="A3479" t="s">
        <v>2990</v>
      </c>
      <c r="B3479" t="s">
        <v>8155</v>
      </c>
      <c r="C3479" t="s">
        <v>2987</v>
      </c>
      <c r="D3479" t="s">
        <v>228</v>
      </c>
      <c r="E3479">
        <v>89.99</v>
      </c>
      <c r="F3479" t="s">
        <v>8118</v>
      </c>
      <c r="G3479">
        <v>2076</v>
      </c>
      <c r="H3479">
        <v>334</v>
      </c>
      <c r="I3479">
        <v>1742</v>
      </c>
      <c r="L3479" t="s">
        <v>8</v>
      </c>
      <c r="M3479" t="s">
        <v>6779</v>
      </c>
      <c r="N3479">
        <v>9.5717647058823534</v>
      </c>
      <c r="O3479">
        <v>0.10447394296951819</v>
      </c>
      <c r="Q3479">
        <v>4</v>
      </c>
      <c r="R3479">
        <v>15</v>
      </c>
      <c r="S3479">
        <v>320</v>
      </c>
      <c r="T3479">
        <v>35.416666666666664</v>
      </c>
      <c r="U3479">
        <v>7649.15</v>
      </c>
      <c r="V3479">
        <v>339</v>
      </c>
    </row>
    <row r="3480" spans="1:22" x14ac:dyDescent="0.2">
      <c r="A3480" t="s">
        <v>6586</v>
      </c>
      <c r="B3480" t="s">
        <v>8157</v>
      </c>
      <c r="C3480" t="s">
        <v>2987</v>
      </c>
      <c r="D3480" t="s">
        <v>96</v>
      </c>
      <c r="E3480">
        <v>49.99</v>
      </c>
      <c r="F3480" t="s">
        <v>8118</v>
      </c>
      <c r="L3480" t="s">
        <v>8</v>
      </c>
      <c r="M3480" t="s">
        <v>8071</v>
      </c>
      <c r="N3480">
        <v>0</v>
      </c>
      <c r="O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 spans="1:22" x14ac:dyDescent="0.2">
      <c r="A3481" t="s">
        <v>6829</v>
      </c>
      <c r="B3481" t="s">
        <v>8179</v>
      </c>
      <c r="C3481" t="s">
        <v>2987</v>
      </c>
      <c r="D3481" t="s">
        <v>228</v>
      </c>
      <c r="E3481">
        <v>89.99</v>
      </c>
      <c r="F3481" t="s">
        <v>8118</v>
      </c>
      <c r="G3481">
        <v>7</v>
      </c>
      <c r="I3481">
        <v>7</v>
      </c>
      <c r="K3481">
        <v>12</v>
      </c>
      <c r="L3481" t="s">
        <v>8</v>
      </c>
      <c r="M3481" t="s">
        <v>6833</v>
      </c>
      <c r="N3481">
        <v>14.399999999999999</v>
      </c>
      <c r="O3481">
        <v>6.9444444444444448E-2</v>
      </c>
      <c r="Q3481">
        <v>0</v>
      </c>
      <c r="R3481">
        <v>11</v>
      </c>
      <c r="S3481">
        <v>1</v>
      </c>
      <c r="T3481">
        <v>0.83333333333333337</v>
      </c>
      <c r="U3481">
        <v>0</v>
      </c>
      <c r="V3481">
        <v>12</v>
      </c>
    </row>
    <row r="3482" spans="1:22" x14ac:dyDescent="0.2">
      <c r="A3482" t="s">
        <v>6574</v>
      </c>
      <c r="B3482" t="s">
        <v>8135</v>
      </c>
      <c r="C3482" t="s">
        <v>2987</v>
      </c>
      <c r="D3482" t="s">
        <v>290</v>
      </c>
      <c r="E3482">
        <v>129.99</v>
      </c>
      <c r="F3482" t="s">
        <v>8118</v>
      </c>
      <c r="G3482">
        <v>90</v>
      </c>
      <c r="I3482">
        <v>90</v>
      </c>
      <c r="L3482" t="s">
        <v>8</v>
      </c>
      <c r="M3482" t="s">
        <v>6579</v>
      </c>
      <c r="N3482">
        <v>21.230769230769234</v>
      </c>
      <c r="O3482">
        <v>4.7101449275362313E-2</v>
      </c>
      <c r="Q3482">
        <v>0</v>
      </c>
      <c r="R3482">
        <v>43</v>
      </c>
      <c r="S3482">
        <v>3</v>
      </c>
      <c r="T3482">
        <v>2.1666666666666665</v>
      </c>
      <c r="U3482">
        <v>389.97</v>
      </c>
      <c r="V3482">
        <v>46</v>
      </c>
    </row>
    <row r="3483" spans="1:22" x14ac:dyDescent="0.2">
      <c r="A3483" t="s">
        <v>6640</v>
      </c>
      <c r="B3483" t="s">
        <v>8130</v>
      </c>
      <c r="C3483" t="s">
        <v>2987</v>
      </c>
      <c r="D3483" t="s">
        <v>96</v>
      </c>
      <c r="F3483" t="s">
        <v>8118</v>
      </c>
      <c r="L3483" t="s">
        <v>8</v>
      </c>
      <c r="M3483" t="s">
        <v>8045</v>
      </c>
      <c r="N3483">
        <v>0</v>
      </c>
      <c r="O3483">
        <v>0</v>
      </c>
      <c r="Q3483">
        <v>0</v>
      </c>
      <c r="R3483">
        <v>0</v>
      </c>
      <c r="S3483">
        <v>0</v>
      </c>
      <c r="T3483">
        <v>0</v>
      </c>
      <c r="V3483">
        <v>0</v>
      </c>
    </row>
    <row r="3484" spans="1:22" x14ac:dyDescent="0.2">
      <c r="A3484" t="s">
        <v>6637</v>
      </c>
      <c r="B3484" t="s">
        <v>8197</v>
      </c>
      <c r="C3484" t="s">
        <v>2987</v>
      </c>
      <c r="D3484" t="s">
        <v>96</v>
      </c>
      <c r="E3484">
        <v>44.99</v>
      </c>
      <c r="F3484" t="s">
        <v>8118</v>
      </c>
      <c r="L3484" t="s">
        <v>8</v>
      </c>
      <c r="M3484" t="s">
        <v>8038</v>
      </c>
      <c r="N3484">
        <v>0</v>
      </c>
      <c r="O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 spans="1:22" x14ac:dyDescent="0.2">
      <c r="A3485" t="s">
        <v>6783</v>
      </c>
      <c r="B3485" t="s">
        <v>8154</v>
      </c>
      <c r="C3485" t="s">
        <v>2987</v>
      </c>
      <c r="D3485" t="s">
        <v>228</v>
      </c>
      <c r="E3485">
        <v>79.989999999999995</v>
      </c>
      <c r="F3485" t="s">
        <v>8118</v>
      </c>
      <c r="G3485">
        <v>34</v>
      </c>
      <c r="I3485">
        <v>34</v>
      </c>
      <c r="L3485" t="s">
        <v>8</v>
      </c>
      <c r="M3485" t="s">
        <v>6788</v>
      </c>
      <c r="N3485">
        <v>6.666666666666667</v>
      </c>
      <c r="O3485">
        <v>0.15</v>
      </c>
      <c r="Q3485">
        <v>0</v>
      </c>
      <c r="R3485">
        <v>2</v>
      </c>
      <c r="S3485">
        <v>3</v>
      </c>
      <c r="T3485">
        <v>0.75</v>
      </c>
      <c r="U3485">
        <v>0</v>
      </c>
      <c r="V3485">
        <v>5</v>
      </c>
    </row>
    <row r="3486" spans="1:22" x14ac:dyDescent="0.2">
      <c r="A3486" t="s">
        <v>3053</v>
      </c>
      <c r="B3486" t="s">
        <v>8223</v>
      </c>
      <c r="C3486" t="s">
        <v>2987</v>
      </c>
      <c r="D3486" t="s">
        <v>96</v>
      </c>
      <c r="E3486">
        <v>139.99</v>
      </c>
      <c r="F3486" t="s">
        <v>8118</v>
      </c>
      <c r="G3486">
        <v>1</v>
      </c>
      <c r="I3486">
        <v>1</v>
      </c>
      <c r="L3486" t="s">
        <v>8</v>
      </c>
      <c r="M3486" t="s">
        <v>8044</v>
      </c>
      <c r="N3486">
        <v>0</v>
      </c>
      <c r="O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 spans="1:22" x14ac:dyDescent="0.2">
      <c r="A3487" t="s">
        <v>6607</v>
      </c>
      <c r="B3487" t="s">
        <v>8168</v>
      </c>
      <c r="C3487" t="s">
        <v>2987</v>
      </c>
      <c r="D3487" t="s">
        <v>96</v>
      </c>
      <c r="E3487">
        <v>59.99</v>
      </c>
      <c r="F3487" t="s">
        <v>8118</v>
      </c>
      <c r="L3487" t="s">
        <v>8</v>
      </c>
      <c r="M3487" t="s">
        <v>8039</v>
      </c>
      <c r="N3487">
        <v>0</v>
      </c>
      <c r="O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 spans="1:22" x14ac:dyDescent="0.2">
      <c r="A3488" t="s">
        <v>6610</v>
      </c>
      <c r="B3488" t="s">
        <v>8169</v>
      </c>
      <c r="C3488" t="s">
        <v>2987</v>
      </c>
      <c r="D3488" t="s">
        <v>96</v>
      </c>
      <c r="E3488">
        <v>59.99</v>
      </c>
      <c r="F3488" t="s">
        <v>8118</v>
      </c>
      <c r="L3488" t="s">
        <v>8</v>
      </c>
      <c r="M3488" t="s">
        <v>8066</v>
      </c>
      <c r="N3488">
        <v>0</v>
      </c>
      <c r="O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</row>
    <row r="3489" spans="1:22" x14ac:dyDescent="0.2">
      <c r="A3489" t="s">
        <v>6613</v>
      </c>
      <c r="B3489" t="s">
        <v>8133</v>
      </c>
      <c r="C3489" t="s">
        <v>2987</v>
      </c>
      <c r="D3489" t="s">
        <v>96</v>
      </c>
      <c r="E3489">
        <v>69.989999999999995</v>
      </c>
      <c r="F3489" t="s">
        <v>8118</v>
      </c>
      <c r="L3489" t="s">
        <v>8</v>
      </c>
      <c r="M3489" t="s">
        <v>8012</v>
      </c>
      <c r="N3489">
        <v>0</v>
      </c>
      <c r="O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</row>
    <row r="3490" spans="1:22" x14ac:dyDescent="0.2">
      <c r="A3490" t="s">
        <v>6616</v>
      </c>
      <c r="B3490" t="s">
        <v>8137</v>
      </c>
      <c r="C3490" t="s">
        <v>2987</v>
      </c>
      <c r="D3490" t="s">
        <v>96</v>
      </c>
      <c r="E3490">
        <v>69.989999999999995</v>
      </c>
      <c r="F3490" t="s">
        <v>8118</v>
      </c>
      <c r="L3490" t="s">
        <v>8</v>
      </c>
      <c r="M3490" t="s">
        <v>8075</v>
      </c>
      <c r="N3490">
        <v>0</v>
      </c>
      <c r="O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</row>
    <row r="3491" spans="1:22" x14ac:dyDescent="0.2">
      <c r="A3491" t="s">
        <v>6604</v>
      </c>
      <c r="B3491" t="s">
        <v>8138</v>
      </c>
      <c r="C3491" t="s">
        <v>2987</v>
      </c>
      <c r="D3491" t="s">
        <v>96</v>
      </c>
      <c r="E3491">
        <v>59.99</v>
      </c>
      <c r="F3491" t="s">
        <v>8118</v>
      </c>
      <c r="L3491" t="s">
        <v>8</v>
      </c>
      <c r="M3491" t="s">
        <v>8072</v>
      </c>
      <c r="N3491">
        <v>0</v>
      </c>
      <c r="O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 spans="1:22" x14ac:dyDescent="0.2">
      <c r="A3492" t="s">
        <v>6634</v>
      </c>
      <c r="B3492" t="s">
        <v>8198</v>
      </c>
      <c r="C3492" t="s">
        <v>2987</v>
      </c>
      <c r="D3492" t="s">
        <v>96</v>
      </c>
      <c r="F3492" t="s">
        <v>8118</v>
      </c>
      <c r="L3492" t="s">
        <v>8</v>
      </c>
      <c r="M3492" t="s">
        <v>8070</v>
      </c>
      <c r="N3492">
        <v>0</v>
      </c>
      <c r="O3492">
        <v>0</v>
      </c>
      <c r="Q3492">
        <v>0</v>
      </c>
      <c r="R3492">
        <v>0</v>
      </c>
      <c r="S3492">
        <v>0</v>
      </c>
      <c r="T3492">
        <v>0</v>
      </c>
      <c r="V3492">
        <v>0</v>
      </c>
    </row>
    <row r="3493" spans="1:22" x14ac:dyDescent="0.2">
      <c r="A3493" t="s">
        <v>3057</v>
      </c>
      <c r="B3493" t="s">
        <v>8145</v>
      </c>
      <c r="C3493" t="s">
        <v>2987</v>
      </c>
      <c r="D3493" t="s">
        <v>228</v>
      </c>
      <c r="E3493">
        <v>139.99</v>
      </c>
      <c r="F3493" t="s">
        <v>8118</v>
      </c>
      <c r="G3493">
        <v>56</v>
      </c>
      <c r="H3493">
        <v>4</v>
      </c>
      <c r="I3493">
        <v>52</v>
      </c>
      <c r="K3493">
        <v>60</v>
      </c>
      <c r="L3493" t="s">
        <v>8</v>
      </c>
      <c r="M3493" t="s">
        <v>6939</v>
      </c>
      <c r="N3493">
        <v>7.384615384615385</v>
      </c>
      <c r="O3493">
        <v>0.13541666666666666</v>
      </c>
      <c r="Q3493">
        <v>1</v>
      </c>
      <c r="R3493">
        <v>23</v>
      </c>
      <c r="S3493">
        <v>0</v>
      </c>
      <c r="T3493">
        <v>3.25</v>
      </c>
      <c r="U3493">
        <v>279.98</v>
      </c>
      <c r="V3493">
        <v>24</v>
      </c>
    </row>
    <row r="3494" spans="1:22" x14ac:dyDescent="0.2">
      <c r="A3494" t="s">
        <v>3025</v>
      </c>
      <c r="B3494" t="s">
        <v>8231</v>
      </c>
      <c r="C3494" t="s">
        <v>2987</v>
      </c>
      <c r="D3494" t="s">
        <v>228</v>
      </c>
      <c r="E3494">
        <v>89.99</v>
      </c>
      <c r="F3494" t="s">
        <v>8118</v>
      </c>
      <c r="G3494">
        <v>237</v>
      </c>
      <c r="H3494">
        <v>44</v>
      </c>
      <c r="I3494">
        <v>193</v>
      </c>
      <c r="K3494">
        <v>60</v>
      </c>
      <c r="L3494" t="s">
        <v>8</v>
      </c>
      <c r="M3494" t="s">
        <v>6792</v>
      </c>
      <c r="N3494">
        <v>20.121951219512194</v>
      </c>
      <c r="O3494">
        <v>4.9696969696969698E-2</v>
      </c>
      <c r="Q3494">
        <v>0</v>
      </c>
      <c r="R3494">
        <v>19</v>
      </c>
      <c r="S3494">
        <v>256</v>
      </c>
      <c r="T3494">
        <v>13.666666666666666</v>
      </c>
      <c r="U3494">
        <v>1079.8799999999999</v>
      </c>
      <c r="V3494">
        <v>275</v>
      </c>
    </row>
    <row r="3495" spans="1:22" x14ac:dyDescent="0.2">
      <c r="A3495" t="s">
        <v>6927</v>
      </c>
      <c r="B3495" t="s">
        <v>8216</v>
      </c>
      <c r="C3495" t="s">
        <v>2987</v>
      </c>
      <c r="D3495" t="s">
        <v>290</v>
      </c>
      <c r="E3495">
        <v>139.99</v>
      </c>
      <c r="F3495" t="s">
        <v>8118</v>
      </c>
      <c r="G3495">
        <v>5</v>
      </c>
      <c r="H3495">
        <v>1</v>
      </c>
      <c r="I3495">
        <v>4</v>
      </c>
      <c r="L3495" t="s">
        <v>8</v>
      </c>
      <c r="M3495" t="s">
        <v>6931</v>
      </c>
      <c r="N3495">
        <v>25.333333333333332</v>
      </c>
      <c r="O3495">
        <v>3.9473684210526314E-2</v>
      </c>
      <c r="Q3495">
        <v>0</v>
      </c>
      <c r="R3495">
        <v>19</v>
      </c>
      <c r="S3495">
        <v>0</v>
      </c>
      <c r="T3495">
        <v>0.75</v>
      </c>
      <c r="U3495">
        <v>0</v>
      </c>
      <c r="V3495">
        <v>19</v>
      </c>
    </row>
    <row r="3496" spans="1:22" x14ac:dyDescent="0.2">
      <c r="A3496" t="s">
        <v>3023</v>
      </c>
      <c r="B3496" t="s">
        <v>8129</v>
      </c>
      <c r="C3496" t="s">
        <v>2987</v>
      </c>
      <c r="D3496" t="s">
        <v>228</v>
      </c>
      <c r="E3496">
        <v>89.99</v>
      </c>
      <c r="F3496" t="s">
        <v>8118</v>
      </c>
      <c r="G3496">
        <v>1029</v>
      </c>
      <c r="H3496">
        <v>128</v>
      </c>
      <c r="I3496">
        <v>901</v>
      </c>
      <c r="L3496" t="s">
        <v>8</v>
      </c>
      <c r="M3496" t="s">
        <v>6650</v>
      </c>
      <c r="N3496">
        <v>9.4173913043478255</v>
      </c>
      <c r="O3496">
        <v>0.10618651892890121</v>
      </c>
      <c r="Q3496">
        <v>0</v>
      </c>
      <c r="R3496">
        <v>0</v>
      </c>
      <c r="S3496">
        <v>361</v>
      </c>
      <c r="T3496">
        <v>38.333333333333336</v>
      </c>
      <c r="U3496">
        <v>2969.6699999999996</v>
      </c>
      <c r="V3496">
        <v>361</v>
      </c>
    </row>
    <row r="3497" spans="1:22" x14ac:dyDescent="0.2">
      <c r="A3497" t="s">
        <v>6583</v>
      </c>
      <c r="B3497" t="s">
        <v>8205</v>
      </c>
      <c r="C3497" t="s">
        <v>2987</v>
      </c>
      <c r="D3497" t="s">
        <v>96</v>
      </c>
      <c r="E3497">
        <v>89.99</v>
      </c>
      <c r="F3497" t="s">
        <v>8118</v>
      </c>
      <c r="L3497" t="s">
        <v>8</v>
      </c>
      <c r="M3497" t="s">
        <v>8054</v>
      </c>
      <c r="N3497">
        <v>0</v>
      </c>
      <c r="O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 spans="1:22" x14ac:dyDescent="0.2">
      <c r="A3498" t="s">
        <v>6690</v>
      </c>
      <c r="B3498" t="s">
        <v>8183</v>
      </c>
      <c r="C3498" t="s">
        <v>2987</v>
      </c>
      <c r="D3498" t="s">
        <v>96</v>
      </c>
      <c r="E3498">
        <v>74.989999999999995</v>
      </c>
      <c r="F3498" t="s">
        <v>8118</v>
      </c>
      <c r="L3498" t="s">
        <v>8</v>
      </c>
      <c r="M3498" t="s">
        <v>8053</v>
      </c>
      <c r="N3498">
        <v>0</v>
      </c>
      <c r="O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 spans="1:22" x14ac:dyDescent="0.2">
      <c r="A3499" t="s">
        <v>3051</v>
      </c>
      <c r="B3499" t="s">
        <v>8222</v>
      </c>
      <c r="C3499" t="s">
        <v>2987</v>
      </c>
      <c r="D3499" t="s">
        <v>228</v>
      </c>
      <c r="E3499">
        <v>139.99</v>
      </c>
      <c r="F3499" t="s">
        <v>8118</v>
      </c>
      <c r="L3499" t="s">
        <v>8</v>
      </c>
      <c r="M3499" t="s">
        <v>6504</v>
      </c>
      <c r="N3499">
        <v>0</v>
      </c>
      <c r="O3499">
        <v>0</v>
      </c>
      <c r="Q3499">
        <v>0</v>
      </c>
      <c r="R3499">
        <v>4</v>
      </c>
      <c r="S3499">
        <v>0</v>
      </c>
      <c r="T3499">
        <v>0</v>
      </c>
      <c r="U3499">
        <v>0</v>
      </c>
      <c r="V3499">
        <v>4</v>
      </c>
    </row>
    <row r="3500" spans="1:22" x14ac:dyDescent="0.2">
      <c r="A3500" t="s">
        <v>6643</v>
      </c>
      <c r="B3500" t="s">
        <v>8144</v>
      </c>
      <c r="C3500" t="s">
        <v>2987</v>
      </c>
      <c r="D3500" t="s">
        <v>290</v>
      </c>
      <c r="E3500">
        <v>89.99</v>
      </c>
      <c r="F3500" t="s">
        <v>8118</v>
      </c>
      <c r="G3500">
        <v>1</v>
      </c>
      <c r="I3500">
        <v>1</v>
      </c>
      <c r="L3500" t="s">
        <v>8</v>
      </c>
      <c r="M3500" t="s">
        <v>8081</v>
      </c>
      <c r="N3500">
        <v>0</v>
      </c>
      <c r="O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 spans="1:22" x14ac:dyDescent="0.2">
      <c r="A3501" t="s">
        <v>3071</v>
      </c>
      <c r="B3501" t="s">
        <v>8190</v>
      </c>
      <c r="C3501" t="s">
        <v>2987</v>
      </c>
      <c r="D3501" t="s">
        <v>228</v>
      </c>
      <c r="E3501">
        <v>199.99</v>
      </c>
      <c r="F3501" t="s">
        <v>8118</v>
      </c>
      <c r="G3501">
        <v>15</v>
      </c>
      <c r="I3501">
        <v>15</v>
      </c>
      <c r="L3501" t="s">
        <v>8</v>
      </c>
      <c r="M3501" t="s">
        <v>6775</v>
      </c>
      <c r="N3501">
        <v>7.5</v>
      </c>
      <c r="O3501">
        <v>0.13333333333333333</v>
      </c>
      <c r="Q3501">
        <v>0</v>
      </c>
      <c r="R3501">
        <v>5</v>
      </c>
      <c r="S3501">
        <v>0</v>
      </c>
      <c r="T3501">
        <v>0.66666666666666663</v>
      </c>
      <c r="U3501">
        <v>0</v>
      </c>
      <c r="V3501">
        <v>5</v>
      </c>
    </row>
    <row r="3502" spans="1:22" x14ac:dyDescent="0.2">
      <c r="A3502" t="s">
        <v>6853</v>
      </c>
      <c r="B3502" t="s">
        <v>8238</v>
      </c>
      <c r="C3502" t="s">
        <v>2987</v>
      </c>
      <c r="D3502" t="s">
        <v>290</v>
      </c>
      <c r="E3502">
        <v>79.989999999999995</v>
      </c>
      <c r="F3502" t="s">
        <v>8118</v>
      </c>
      <c r="K3502">
        <v>12</v>
      </c>
      <c r="L3502" t="s">
        <v>8</v>
      </c>
      <c r="M3502" t="s">
        <v>6857</v>
      </c>
      <c r="N3502">
        <v>20</v>
      </c>
      <c r="O3502">
        <v>0.05</v>
      </c>
      <c r="Q3502">
        <v>0</v>
      </c>
      <c r="R3502">
        <v>9</v>
      </c>
      <c r="S3502">
        <v>1</v>
      </c>
      <c r="T3502">
        <v>0.5</v>
      </c>
      <c r="U3502">
        <v>159.97999999999999</v>
      </c>
      <c r="V3502">
        <v>10</v>
      </c>
    </row>
    <row r="3503" spans="1:22" x14ac:dyDescent="0.2">
      <c r="A3503" t="s">
        <v>6601</v>
      </c>
      <c r="B3503" t="s">
        <v>8142</v>
      </c>
      <c r="C3503" t="s">
        <v>2987</v>
      </c>
      <c r="D3503" t="s">
        <v>96</v>
      </c>
      <c r="E3503">
        <v>89.99</v>
      </c>
      <c r="F3503" t="s">
        <v>8118</v>
      </c>
      <c r="L3503" t="s">
        <v>8</v>
      </c>
      <c r="M3503" t="s">
        <v>8079</v>
      </c>
      <c r="N3503">
        <v>0</v>
      </c>
      <c r="O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 spans="1:22" x14ac:dyDescent="0.2">
      <c r="A3504" t="s">
        <v>6869</v>
      </c>
      <c r="B3504" t="s">
        <v>8225</v>
      </c>
      <c r="C3504" t="s">
        <v>2987</v>
      </c>
      <c r="D3504" t="s">
        <v>96</v>
      </c>
      <c r="E3504">
        <v>139.99</v>
      </c>
      <c r="F3504" t="s">
        <v>8118</v>
      </c>
      <c r="L3504" t="s">
        <v>8</v>
      </c>
      <c r="M3504" t="s">
        <v>8092</v>
      </c>
      <c r="N3504">
        <v>0</v>
      </c>
      <c r="O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 spans="1:22" x14ac:dyDescent="0.2">
      <c r="A3505" t="s">
        <v>3059</v>
      </c>
      <c r="B3505" t="s">
        <v>8226</v>
      </c>
      <c r="C3505" t="s">
        <v>2987</v>
      </c>
      <c r="D3505" t="s">
        <v>228</v>
      </c>
      <c r="E3505">
        <v>219.99</v>
      </c>
      <c r="F3505" t="s">
        <v>8118</v>
      </c>
      <c r="G3505">
        <v>14</v>
      </c>
      <c r="H3505">
        <v>1</v>
      </c>
      <c r="I3505">
        <v>13</v>
      </c>
      <c r="L3505" t="s">
        <v>8</v>
      </c>
      <c r="M3505" t="s">
        <v>6497</v>
      </c>
      <c r="N3505">
        <v>0</v>
      </c>
      <c r="O3505">
        <v>0</v>
      </c>
      <c r="Q3505">
        <v>0</v>
      </c>
      <c r="R3505">
        <v>0</v>
      </c>
      <c r="S3505">
        <v>0</v>
      </c>
      <c r="T3505">
        <v>0.66666666666666663</v>
      </c>
      <c r="U3505">
        <v>0</v>
      </c>
      <c r="V3505">
        <v>0</v>
      </c>
    </row>
    <row r="3506" spans="1:22" x14ac:dyDescent="0.2">
      <c r="A3506" t="s">
        <v>3035</v>
      </c>
      <c r="B3506" t="s">
        <v>8215</v>
      </c>
      <c r="C3506" t="s">
        <v>2987</v>
      </c>
      <c r="D3506" t="s">
        <v>290</v>
      </c>
      <c r="E3506">
        <v>139.99</v>
      </c>
      <c r="F3506" t="s">
        <v>8118</v>
      </c>
      <c r="G3506">
        <v>26</v>
      </c>
      <c r="H3506">
        <v>2</v>
      </c>
      <c r="I3506">
        <v>24</v>
      </c>
      <c r="L3506" t="s">
        <v>8</v>
      </c>
      <c r="M3506" t="s">
        <v>6764</v>
      </c>
      <c r="N3506">
        <v>16.363636363636363</v>
      </c>
      <c r="O3506">
        <v>6.1111111111111109E-2</v>
      </c>
      <c r="Q3506">
        <v>0</v>
      </c>
      <c r="R3506">
        <v>14</v>
      </c>
      <c r="S3506">
        <v>1</v>
      </c>
      <c r="T3506">
        <v>0.91666666666666663</v>
      </c>
      <c r="U3506">
        <v>279.98</v>
      </c>
      <c r="V3506">
        <v>15</v>
      </c>
    </row>
    <row r="3507" spans="1:22" x14ac:dyDescent="0.2">
      <c r="A3507" t="s">
        <v>3037</v>
      </c>
      <c r="B3507" t="s">
        <v>8217</v>
      </c>
      <c r="C3507" t="s">
        <v>2987</v>
      </c>
      <c r="D3507" t="s">
        <v>228</v>
      </c>
      <c r="E3507">
        <v>79.989999999999995</v>
      </c>
      <c r="F3507" t="s">
        <v>8118</v>
      </c>
      <c r="G3507">
        <v>243</v>
      </c>
      <c r="H3507">
        <v>13</v>
      </c>
      <c r="I3507">
        <v>230</v>
      </c>
      <c r="K3507">
        <v>36</v>
      </c>
      <c r="L3507" t="s">
        <v>8</v>
      </c>
      <c r="M3507" t="s">
        <v>6515</v>
      </c>
      <c r="N3507">
        <v>0.6</v>
      </c>
      <c r="O3507">
        <v>1.6666666666666667</v>
      </c>
      <c r="Q3507">
        <v>0</v>
      </c>
      <c r="R3507">
        <v>4</v>
      </c>
      <c r="S3507">
        <v>0</v>
      </c>
      <c r="T3507">
        <v>6.666666666666667</v>
      </c>
      <c r="U3507">
        <v>559.92999999999995</v>
      </c>
      <c r="V3507">
        <v>4</v>
      </c>
    </row>
    <row r="3508" spans="1:22" x14ac:dyDescent="0.2">
      <c r="A3508" t="s">
        <v>3039</v>
      </c>
      <c r="B3508" t="s">
        <v>8264</v>
      </c>
      <c r="C3508" t="s">
        <v>2987</v>
      </c>
      <c r="D3508" t="s">
        <v>228</v>
      </c>
      <c r="E3508">
        <v>79.989999999999995</v>
      </c>
      <c r="F3508" t="s">
        <v>8118</v>
      </c>
      <c r="G3508">
        <v>91</v>
      </c>
      <c r="I3508">
        <v>91</v>
      </c>
      <c r="K3508">
        <v>36</v>
      </c>
      <c r="L3508" t="s">
        <v>8</v>
      </c>
      <c r="M3508" t="s">
        <v>6519</v>
      </c>
      <c r="N3508">
        <v>18.315789473684212</v>
      </c>
      <c r="O3508">
        <v>5.4597701149425283E-2</v>
      </c>
      <c r="Q3508">
        <v>0</v>
      </c>
      <c r="R3508">
        <v>28</v>
      </c>
      <c r="S3508">
        <v>1</v>
      </c>
      <c r="T3508">
        <v>1.5833333333333333</v>
      </c>
      <c r="U3508">
        <v>159.97999999999999</v>
      </c>
      <c r="V3508">
        <v>29</v>
      </c>
    </row>
    <row r="3509" spans="1:22" x14ac:dyDescent="0.2">
      <c r="A3509" t="s">
        <v>3041</v>
      </c>
      <c r="B3509" t="s">
        <v>8218</v>
      </c>
      <c r="C3509" t="s">
        <v>2987</v>
      </c>
      <c r="D3509" t="s">
        <v>228</v>
      </c>
      <c r="E3509">
        <v>79.989999999999995</v>
      </c>
      <c r="F3509" t="s">
        <v>8118</v>
      </c>
      <c r="G3509">
        <v>21</v>
      </c>
      <c r="I3509">
        <v>21</v>
      </c>
      <c r="L3509" t="s">
        <v>8</v>
      </c>
      <c r="M3509" t="s">
        <v>6527</v>
      </c>
      <c r="N3509">
        <v>11.2</v>
      </c>
      <c r="O3509">
        <v>8.9285714285714288E-2</v>
      </c>
      <c r="Q3509">
        <v>0</v>
      </c>
      <c r="R3509">
        <v>14</v>
      </c>
      <c r="S3509">
        <v>0</v>
      </c>
      <c r="T3509">
        <v>1.25</v>
      </c>
      <c r="U3509">
        <v>0</v>
      </c>
      <c r="V3509">
        <v>14</v>
      </c>
    </row>
    <row r="3510" spans="1:22" x14ac:dyDescent="0.2">
      <c r="A3510" t="s">
        <v>3055</v>
      </c>
      <c r="B3510" t="s">
        <v>8224</v>
      </c>
      <c r="C3510" t="s">
        <v>2987</v>
      </c>
      <c r="D3510" t="s">
        <v>228</v>
      </c>
      <c r="E3510">
        <v>139.99</v>
      </c>
      <c r="F3510" t="s">
        <v>8118</v>
      </c>
      <c r="G3510">
        <v>215</v>
      </c>
      <c r="H3510">
        <v>14</v>
      </c>
      <c r="I3510">
        <v>201</v>
      </c>
      <c r="K3510">
        <v>132</v>
      </c>
      <c r="L3510" t="s">
        <v>8</v>
      </c>
      <c r="M3510" t="s">
        <v>6935</v>
      </c>
      <c r="N3510">
        <v>5.8285714285714292</v>
      </c>
      <c r="O3510">
        <v>0.17156862745098039</v>
      </c>
      <c r="Q3510">
        <v>0</v>
      </c>
      <c r="R3510">
        <v>16</v>
      </c>
      <c r="S3510">
        <v>1</v>
      </c>
      <c r="T3510">
        <v>2.9166666666666665</v>
      </c>
      <c r="U3510">
        <v>559.96</v>
      </c>
      <c r="V3510">
        <v>17</v>
      </c>
    </row>
    <row r="3511" spans="1:22" x14ac:dyDescent="0.2">
      <c r="A3511" t="s">
        <v>6690</v>
      </c>
      <c r="B3511" t="s">
        <v>8183</v>
      </c>
      <c r="C3511" t="s">
        <v>2987</v>
      </c>
      <c r="D3511" t="s">
        <v>96</v>
      </c>
      <c r="E3511">
        <v>74.989999999999995</v>
      </c>
      <c r="F3511" t="s">
        <v>8118</v>
      </c>
      <c r="L3511" t="s">
        <v>8106</v>
      </c>
      <c r="M3511" t="s">
        <v>8107</v>
      </c>
      <c r="V3511">
        <v>0</v>
      </c>
    </row>
    <row r="3512" spans="1:22" x14ac:dyDescent="0.2">
      <c r="A3512" t="s">
        <v>2990</v>
      </c>
      <c r="B3512" t="s">
        <v>8155</v>
      </c>
      <c r="C3512" t="s">
        <v>2987</v>
      </c>
      <c r="D3512" t="s">
        <v>228</v>
      </c>
      <c r="E3512">
        <v>89.99</v>
      </c>
      <c r="F3512" t="s">
        <v>8118</v>
      </c>
      <c r="G3512">
        <v>2076</v>
      </c>
      <c r="H3512">
        <v>334</v>
      </c>
      <c r="I3512">
        <v>1742</v>
      </c>
      <c r="L3512" t="s">
        <v>8106</v>
      </c>
      <c r="M3512" t="s">
        <v>8108</v>
      </c>
      <c r="V3512">
        <v>0</v>
      </c>
    </row>
    <row r="3513" spans="1:22" x14ac:dyDescent="0.2">
      <c r="A3513" t="s">
        <v>6702</v>
      </c>
      <c r="B3513" t="s">
        <v>8186</v>
      </c>
      <c r="C3513" t="s">
        <v>2987</v>
      </c>
      <c r="D3513" t="s">
        <v>228</v>
      </c>
      <c r="E3513">
        <v>99.99</v>
      </c>
      <c r="F3513" t="s">
        <v>8118</v>
      </c>
      <c r="G3513">
        <v>15</v>
      </c>
      <c r="I3513">
        <v>15</v>
      </c>
      <c r="L3513" t="s">
        <v>7029</v>
      </c>
      <c r="N3513">
        <v>78</v>
      </c>
      <c r="O3513">
        <v>1.2820512820512822E-2</v>
      </c>
      <c r="T3513">
        <v>0.83333333333333348</v>
      </c>
      <c r="U3513">
        <v>99.99</v>
      </c>
      <c r="V3513">
        <v>65</v>
      </c>
    </row>
    <row r="3514" spans="1:22" x14ac:dyDescent="0.2">
      <c r="A3514" t="s">
        <v>3019</v>
      </c>
      <c r="B3514" t="s">
        <v>8247</v>
      </c>
      <c r="C3514" t="s">
        <v>2987</v>
      </c>
      <c r="D3514" t="s">
        <v>228</v>
      </c>
      <c r="E3514">
        <v>139.99</v>
      </c>
      <c r="F3514" t="s">
        <v>8118</v>
      </c>
      <c r="G3514">
        <v>359</v>
      </c>
      <c r="H3514">
        <v>52</v>
      </c>
      <c r="I3514">
        <v>307</v>
      </c>
      <c r="L3514" t="s">
        <v>7029</v>
      </c>
      <c r="N3514">
        <v>20</v>
      </c>
      <c r="O3514">
        <v>0.05</v>
      </c>
      <c r="T3514">
        <v>0.5</v>
      </c>
      <c r="U3514">
        <v>0</v>
      </c>
      <c r="V3514">
        <v>10</v>
      </c>
    </row>
    <row r="3515" spans="1:22" x14ac:dyDescent="0.2">
      <c r="A3515" t="s">
        <v>6690</v>
      </c>
      <c r="B3515" t="s">
        <v>8183</v>
      </c>
      <c r="C3515" t="s">
        <v>2987</v>
      </c>
      <c r="D3515" t="s">
        <v>96</v>
      </c>
      <c r="E3515">
        <v>74.989999999999995</v>
      </c>
      <c r="F3515" t="s">
        <v>8118</v>
      </c>
      <c r="L3515" t="s">
        <v>7029</v>
      </c>
      <c r="N3515">
        <v>0</v>
      </c>
      <c r="O3515">
        <v>0</v>
      </c>
      <c r="T3515">
        <v>0</v>
      </c>
      <c r="U3515">
        <v>0</v>
      </c>
      <c r="V3515">
        <v>0</v>
      </c>
    </row>
    <row r="3516" spans="1:22" x14ac:dyDescent="0.2">
      <c r="A3516" t="s">
        <v>6505</v>
      </c>
      <c r="B3516" t="s">
        <v>8153</v>
      </c>
      <c r="C3516" t="s">
        <v>2987</v>
      </c>
      <c r="D3516" t="s">
        <v>290</v>
      </c>
      <c r="E3516">
        <v>59.99</v>
      </c>
      <c r="F3516" t="s">
        <v>8118</v>
      </c>
      <c r="L3516" t="s">
        <v>7029</v>
      </c>
      <c r="N3516">
        <v>1</v>
      </c>
      <c r="O3516">
        <v>0</v>
      </c>
      <c r="T3516">
        <v>0</v>
      </c>
      <c r="U3516">
        <v>0</v>
      </c>
      <c r="V3516">
        <v>1</v>
      </c>
    </row>
    <row r="3517" spans="1:22" x14ac:dyDescent="0.2">
      <c r="A3517" t="s">
        <v>34</v>
      </c>
      <c r="B3517" t="s">
        <v>8167</v>
      </c>
      <c r="C3517" t="s">
        <v>2987</v>
      </c>
      <c r="D3517" t="s">
        <v>228</v>
      </c>
      <c r="E3517">
        <v>59.99</v>
      </c>
      <c r="F3517" t="s">
        <v>8118</v>
      </c>
      <c r="G3517">
        <v>3536</v>
      </c>
      <c r="H3517">
        <v>742</v>
      </c>
      <c r="I3517">
        <v>2794</v>
      </c>
      <c r="K3517">
        <v>3408</v>
      </c>
      <c r="L3517" t="s">
        <v>7029</v>
      </c>
      <c r="N3517">
        <v>14.790697674418604</v>
      </c>
      <c r="O3517">
        <v>6.761006289308176E-2</v>
      </c>
      <c r="T3517">
        <v>7.166666666666667</v>
      </c>
      <c r="U3517">
        <v>779.87</v>
      </c>
      <c r="V3517">
        <v>106</v>
      </c>
    </row>
    <row r="3518" spans="1:22" x14ac:dyDescent="0.2">
      <c r="A3518" t="s">
        <v>6663</v>
      </c>
      <c r="B3518" t="s">
        <v>8207</v>
      </c>
      <c r="C3518" t="s">
        <v>2987</v>
      </c>
      <c r="D3518" t="s">
        <v>96</v>
      </c>
      <c r="E3518">
        <v>89.99</v>
      </c>
      <c r="F3518" t="s">
        <v>8118</v>
      </c>
      <c r="L3518" t="s">
        <v>7029</v>
      </c>
      <c r="N3518">
        <v>3</v>
      </c>
      <c r="O3518">
        <v>0</v>
      </c>
      <c r="T3518">
        <v>0</v>
      </c>
      <c r="U3518">
        <v>0</v>
      </c>
      <c r="V3518">
        <v>3</v>
      </c>
    </row>
    <row r="3519" spans="1:22" x14ac:dyDescent="0.2">
      <c r="A3519" t="s">
        <v>2990</v>
      </c>
      <c r="B3519" t="s">
        <v>8155</v>
      </c>
      <c r="C3519" t="s">
        <v>2987</v>
      </c>
      <c r="D3519" t="s">
        <v>228</v>
      </c>
      <c r="E3519">
        <v>89.99</v>
      </c>
      <c r="F3519" t="s">
        <v>8118</v>
      </c>
      <c r="G3519">
        <v>2076</v>
      </c>
      <c r="H3519">
        <v>334</v>
      </c>
      <c r="I3519">
        <v>1742</v>
      </c>
      <c r="L3519" t="s">
        <v>7029</v>
      </c>
      <c r="N3519">
        <v>14.96774193548387</v>
      </c>
      <c r="O3519">
        <v>6.6810344827586202E-2</v>
      </c>
      <c r="T3519">
        <v>7.75</v>
      </c>
      <c r="U3519">
        <v>899.9</v>
      </c>
      <c r="V3519">
        <v>116</v>
      </c>
    </row>
    <row r="3520" spans="1:22" x14ac:dyDescent="0.2">
      <c r="A3520" t="s">
        <v>6643</v>
      </c>
      <c r="B3520" t="s">
        <v>8144</v>
      </c>
      <c r="C3520" t="s">
        <v>2987</v>
      </c>
      <c r="D3520" t="s">
        <v>290</v>
      </c>
      <c r="E3520">
        <v>89.99</v>
      </c>
      <c r="F3520" t="s">
        <v>8118</v>
      </c>
      <c r="G3520">
        <v>1</v>
      </c>
      <c r="I3520">
        <v>1</v>
      </c>
      <c r="L3520" t="s">
        <v>7029</v>
      </c>
      <c r="N3520">
        <v>0</v>
      </c>
      <c r="O3520">
        <v>0</v>
      </c>
      <c r="T3520">
        <v>0</v>
      </c>
      <c r="U3520">
        <v>0</v>
      </c>
      <c r="V3520">
        <v>0</v>
      </c>
    </row>
    <row r="3521" spans="1:22" x14ac:dyDescent="0.2">
      <c r="A3521" t="s">
        <v>6858</v>
      </c>
      <c r="B3521" t="s">
        <v>6859</v>
      </c>
      <c r="C3521" t="s">
        <v>2987</v>
      </c>
      <c r="D3521" t="s">
        <v>96</v>
      </c>
      <c r="E3521">
        <v>139.99</v>
      </c>
      <c r="F3521" t="s">
        <v>8118</v>
      </c>
      <c r="L3521" t="s">
        <v>7029</v>
      </c>
      <c r="N3521">
        <v>0</v>
      </c>
      <c r="O3521">
        <v>0</v>
      </c>
      <c r="T3521">
        <v>0</v>
      </c>
      <c r="U3521">
        <v>0</v>
      </c>
      <c r="V3521">
        <v>0</v>
      </c>
    </row>
    <row r="3522" spans="1:22" x14ac:dyDescent="0.2">
      <c r="A3522" t="s">
        <v>6861</v>
      </c>
      <c r="B3522" t="s">
        <v>8192</v>
      </c>
      <c r="C3522" t="s">
        <v>2987</v>
      </c>
      <c r="D3522" t="s">
        <v>96</v>
      </c>
      <c r="E3522">
        <v>159.99</v>
      </c>
      <c r="F3522" t="s">
        <v>8118</v>
      </c>
      <c r="L3522" t="s">
        <v>7029</v>
      </c>
      <c r="N3522">
        <v>0</v>
      </c>
      <c r="O3522">
        <v>0</v>
      </c>
      <c r="T3522">
        <v>0</v>
      </c>
      <c r="U3522">
        <v>0</v>
      </c>
      <c r="V3522">
        <v>0</v>
      </c>
    </row>
    <row r="3523" spans="1:22" x14ac:dyDescent="0.2">
      <c r="A3523" t="s">
        <v>3090</v>
      </c>
      <c r="B3523" t="s">
        <v>3091</v>
      </c>
      <c r="C3523" t="s">
        <v>3077</v>
      </c>
      <c r="D3523" t="s">
        <v>290</v>
      </c>
      <c r="E3523">
        <v>119.99</v>
      </c>
      <c r="F3523" t="s">
        <v>8118</v>
      </c>
      <c r="L3523" t="s">
        <v>7032</v>
      </c>
      <c r="M3523" t="s">
        <v>97</v>
      </c>
      <c r="N3523">
        <v>0</v>
      </c>
      <c r="O3523">
        <v>0</v>
      </c>
      <c r="T3523">
        <v>0</v>
      </c>
      <c r="U3523">
        <v>0</v>
      </c>
      <c r="V3523">
        <v>-1</v>
      </c>
    </row>
    <row r="3524" spans="1:22" x14ac:dyDescent="0.2">
      <c r="A3524" t="s">
        <v>3082</v>
      </c>
      <c r="B3524" t="s">
        <v>3083</v>
      </c>
      <c r="C3524" t="s">
        <v>3077</v>
      </c>
      <c r="D3524" t="s">
        <v>96</v>
      </c>
      <c r="E3524">
        <v>99.99</v>
      </c>
      <c r="F3524" t="s">
        <v>8118</v>
      </c>
      <c r="L3524" t="s">
        <v>7032</v>
      </c>
      <c r="M3524" t="s">
        <v>97</v>
      </c>
      <c r="N3524">
        <v>0</v>
      </c>
      <c r="O3524">
        <v>0</v>
      </c>
      <c r="T3524">
        <v>0</v>
      </c>
      <c r="U3524">
        <v>0</v>
      </c>
      <c r="V3524">
        <v>0</v>
      </c>
    </row>
    <row r="3525" spans="1:22" x14ac:dyDescent="0.2">
      <c r="A3525" t="s">
        <v>3084</v>
      </c>
      <c r="B3525" t="s">
        <v>3085</v>
      </c>
      <c r="C3525" t="s">
        <v>3077</v>
      </c>
      <c r="D3525" t="s">
        <v>290</v>
      </c>
      <c r="E3525">
        <v>99.99</v>
      </c>
      <c r="F3525" t="s">
        <v>8118</v>
      </c>
      <c r="L3525" t="s">
        <v>7032</v>
      </c>
      <c r="M3525" t="s">
        <v>97</v>
      </c>
      <c r="N3525">
        <v>0</v>
      </c>
      <c r="O3525">
        <v>0</v>
      </c>
      <c r="T3525">
        <v>0</v>
      </c>
      <c r="U3525">
        <v>0</v>
      </c>
      <c r="V3525">
        <v>0</v>
      </c>
    </row>
    <row r="3526" spans="1:22" x14ac:dyDescent="0.2">
      <c r="A3526" t="s">
        <v>3086</v>
      </c>
      <c r="B3526" t="s">
        <v>3087</v>
      </c>
      <c r="C3526" t="s">
        <v>3077</v>
      </c>
      <c r="D3526" t="s">
        <v>290</v>
      </c>
      <c r="E3526">
        <v>129.99</v>
      </c>
      <c r="F3526" t="s">
        <v>8118</v>
      </c>
      <c r="L3526" t="s">
        <v>7032</v>
      </c>
      <c r="M3526" t="s">
        <v>97</v>
      </c>
      <c r="N3526">
        <v>5</v>
      </c>
      <c r="O3526">
        <v>0.2</v>
      </c>
      <c r="T3526">
        <v>0.2</v>
      </c>
      <c r="U3526">
        <v>0</v>
      </c>
      <c r="V3526">
        <v>1</v>
      </c>
    </row>
    <row r="3527" spans="1:22" x14ac:dyDescent="0.2">
      <c r="A3527" t="s">
        <v>3078</v>
      </c>
      <c r="B3527" t="s">
        <v>3079</v>
      </c>
      <c r="C3527" t="s">
        <v>3077</v>
      </c>
      <c r="D3527" t="s">
        <v>96</v>
      </c>
      <c r="E3527">
        <v>499.99</v>
      </c>
      <c r="F3527" t="s">
        <v>8118</v>
      </c>
      <c r="L3527" t="s">
        <v>7032</v>
      </c>
      <c r="M3527" t="s">
        <v>97</v>
      </c>
      <c r="N3527">
        <v>0</v>
      </c>
      <c r="O3527">
        <v>0</v>
      </c>
      <c r="T3527">
        <v>0</v>
      </c>
      <c r="U3527">
        <v>0</v>
      </c>
      <c r="V3527">
        <v>0</v>
      </c>
    </row>
    <row r="3528" spans="1:22" x14ac:dyDescent="0.2">
      <c r="A3528" t="s">
        <v>3088</v>
      </c>
      <c r="B3528" t="s">
        <v>3089</v>
      </c>
      <c r="C3528" t="s">
        <v>3077</v>
      </c>
      <c r="D3528" t="s">
        <v>290</v>
      </c>
      <c r="E3528">
        <v>79.989999999999995</v>
      </c>
      <c r="F3528" t="s">
        <v>8118</v>
      </c>
      <c r="L3528" t="s">
        <v>7032</v>
      </c>
      <c r="M3528" t="s">
        <v>97</v>
      </c>
      <c r="N3528">
        <v>0</v>
      </c>
      <c r="O3528">
        <v>0</v>
      </c>
      <c r="T3528">
        <v>0</v>
      </c>
      <c r="U3528">
        <v>0</v>
      </c>
      <c r="V3528">
        <v>0</v>
      </c>
    </row>
    <row r="3529" spans="1:22" x14ac:dyDescent="0.2">
      <c r="A3529" t="s">
        <v>3324</v>
      </c>
      <c r="B3529" t="s">
        <v>3325</v>
      </c>
      <c r="C3529" t="s">
        <v>3268</v>
      </c>
      <c r="D3529" t="s">
        <v>228</v>
      </c>
      <c r="E3529">
        <v>599.99</v>
      </c>
      <c r="F3529" t="s">
        <v>8118</v>
      </c>
      <c r="G3529">
        <v>28</v>
      </c>
      <c r="H3529">
        <v>7</v>
      </c>
      <c r="I3529">
        <v>21</v>
      </c>
      <c r="L3529" t="s">
        <v>11</v>
      </c>
      <c r="M3529" t="s">
        <v>5235</v>
      </c>
      <c r="N3529">
        <v>20</v>
      </c>
      <c r="O3529">
        <v>0.05</v>
      </c>
      <c r="T3529">
        <v>1</v>
      </c>
      <c r="U3529">
        <v>0</v>
      </c>
      <c r="V3529">
        <v>20</v>
      </c>
    </row>
    <row r="3530" spans="1:22" x14ac:dyDescent="0.2">
      <c r="A3530" t="s">
        <v>3332</v>
      </c>
      <c r="B3530" t="s">
        <v>3333</v>
      </c>
      <c r="C3530" t="s">
        <v>3268</v>
      </c>
      <c r="D3530" t="s">
        <v>228</v>
      </c>
      <c r="E3530">
        <v>599.99</v>
      </c>
      <c r="F3530" t="s">
        <v>8118</v>
      </c>
      <c r="G3530">
        <v>25</v>
      </c>
      <c r="H3530">
        <v>14</v>
      </c>
      <c r="I3530">
        <v>11</v>
      </c>
      <c r="K3530">
        <v>120</v>
      </c>
      <c r="L3530" t="s">
        <v>11</v>
      </c>
      <c r="M3530" t="s">
        <v>5238</v>
      </c>
      <c r="N3530">
        <v>30.6</v>
      </c>
      <c r="O3530">
        <v>3.2679738562091505E-2</v>
      </c>
      <c r="T3530">
        <v>0.55555555555555558</v>
      </c>
      <c r="U3530">
        <v>0</v>
      </c>
      <c r="V3530">
        <v>17</v>
      </c>
    </row>
    <row r="3531" spans="1:22" x14ac:dyDescent="0.2">
      <c r="A3531" t="s">
        <v>3279</v>
      </c>
      <c r="B3531" t="s">
        <v>3278</v>
      </c>
      <c r="C3531" t="s">
        <v>3268</v>
      </c>
      <c r="D3531" t="s">
        <v>228</v>
      </c>
      <c r="E3531">
        <v>99.99</v>
      </c>
      <c r="F3531" t="s">
        <v>8118</v>
      </c>
      <c r="G3531">
        <v>644</v>
      </c>
      <c r="H3531">
        <v>22</v>
      </c>
      <c r="I3531">
        <v>622</v>
      </c>
      <c r="K3531">
        <v>1</v>
      </c>
      <c r="L3531" t="s">
        <v>11</v>
      </c>
      <c r="M3531" t="s">
        <v>6977</v>
      </c>
      <c r="N3531">
        <v>1.1458333333333337</v>
      </c>
      <c r="O3531">
        <v>0.87272727272727268</v>
      </c>
      <c r="T3531">
        <v>8.7272727272727266</v>
      </c>
      <c r="U3531">
        <v>599.93999999999994</v>
      </c>
      <c r="V3531">
        <v>10</v>
      </c>
    </row>
    <row r="3532" spans="1:22" x14ac:dyDescent="0.2">
      <c r="A3532" t="s">
        <v>3282</v>
      </c>
      <c r="B3532" t="s">
        <v>3281</v>
      </c>
      <c r="C3532" t="s">
        <v>3268</v>
      </c>
      <c r="D3532" t="s">
        <v>228</v>
      </c>
      <c r="E3532">
        <v>99.99</v>
      </c>
      <c r="F3532" t="s">
        <v>8118</v>
      </c>
      <c r="G3532">
        <v>413</v>
      </c>
      <c r="H3532">
        <v>13</v>
      </c>
      <c r="I3532">
        <v>400</v>
      </c>
      <c r="L3532" t="s">
        <v>11</v>
      </c>
      <c r="M3532" t="s">
        <v>6980</v>
      </c>
      <c r="N3532">
        <v>2.5384615384615388</v>
      </c>
      <c r="O3532">
        <v>0.39393939393939392</v>
      </c>
      <c r="T3532">
        <v>4.333333333333333</v>
      </c>
      <c r="U3532">
        <v>0</v>
      </c>
      <c r="V3532">
        <v>11</v>
      </c>
    </row>
    <row r="3533" spans="1:22" x14ac:dyDescent="0.2">
      <c r="A3533" t="s">
        <v>3283</v>
      </c>
      <c r="B3533" t="s">
        <v>3284</v>
      </c>
      <c r="C3533" t="s">
        <v>3268</v>
      </c>
      <c r="D3533" t="s">
        <v>290</v>
      </c>
      <c r="E3533">
        <v>249.99</v>
      </c>
      <c r="F3533" t="s">
        <v>8118</v>
      </c>
      <c r="G3533">
        <v>1</v>
      </c>
      <c r="I3533">
        <v>1</v>
      </c>
      <c r="L3533" t="s">
        <v>11</v>
      </c>
      <c r="M3533" t="s">
        <v>6968</v>
      </c>
      <c r="N3533">
        <v>0</v>
      </c>
      <c r="O3533">
        <v>0</v>
      </c>
      <c r="T3533">
        <v>0</v>
      </c>
      <c r="U3533">
        <v>0</v>
      </c>
      <c r="V3533">
        <v>0</v>
      </c>
    </row>
    <row r="3534" spans="1:22" x14ac:dyDescent="0.2">
      <c r="A3534" t="s">
        <v>3286</v>
      </c>
      <c r="B3534" t="s">
        <v>3287</v>
      </c>
      <c r="C3534" t="s">
        <v>3268</v>
      </c>
      <c r="D3534" t="s">
        <v>228</v>
      </c>
      <c r="F3534" t="s">
        <v>8118</v>
      </c>
      <c r="G3534">
        <v>257</v>
      </c>
      <c r="I3534">
        <v>257</v>
      </c>
      <c r="L3534" t="s">
        <v>11</v>
      </c>
      <c r="M3534" t="s">
        <v>3623</v>
      </c>
      <c r="N3534">
        <v>4.3499999999999996</v>
      </c>
      <c r="O3534">
        <v>0.22988505747126436</v>
      </c>
      <c r="T3534">
        <v>6.666666666666667</v>
      </c>
      <c r="V3534">
        <v>29</v>
      </c>
    </row>
    <row r="3535" spans="1:22" x14ac:dyDescent="0.2">
      <c r="A3535" t="s">
        <v>3289</v>
      </c>
      <c r="B3535" t="s">
        <v>3290</v>
      </c>
      <c r="C3535" t="s">
        <v>3268</v>
      </c>
      <c r="D3535" t="s">
        <v>228</v>
      </c>
      <c r="E3535">
        <v>359.99</v>
      </c>
      <c r="F3535" t="s">
        <v>8118</v>
      </c>
      <c r="G3535">
        <v>342</v>
      </c>
      <c r="H3535">
        <v>142</v>
      </c>
      <c r="I3535">
        <v>200</v>
      </c>
      <c r="K3535">
        <v>600</v>
      </c>
      <c r="L3535" t="s">
        <v>11</v>
      </c>
      <c r="M3535" t="s">
        <v>6985</v>
      </c>
      <c r="N3535">
        <v>0.33333333333333331</v>
      </c>
      <c r="O3535">
        <v>3</v>
      </c>
      <c r="T3535">
        <v>6</v>
      </c>
      <c r="U3535">
        <v>719.98</v>
      </c>
      <c r="V3535">
        <v>2</v>
      </c>
    </row>
    <row r="3536" spans="1:22" x14ac:dyDescent="0.2">
      <c r="A3536" t="s">
        <v>3352</v>
      </c>
      <c r="B3536" t="s">
        <v>3351</v>
      </c>
      <c r="C3536" t="s">
        <v>3268</v>
      </c>
      <c r="D3536" t="s">
        <v>290</v>
      </c>
      <c r="E3536">
        <v>699.99</v>
      </c>
      <c r="F3536" t="s">
        <v>8118</v>
      </c>
      <c r="L3536" t="s">
        <v>11</v>
      </c>
      <c r="M3536" t="s">
        <v>5226</v>
      </c>
      <c r="N3536">
        <v>0</v>
      </c>
      <c r="O3536">
        <v>0</v>
      </c>
      <c r="T3536">
        <v>0</v>
      </c>
      <c r="U3536">
        <v>0</v>
      </c>
      <c r="V3536">
        <v>0</v>
      </c>
    </row>
    <row r="3537" spans="1:22" x14ac:dyDescent="0.2">
      <c r="A3537" t="s">
        <v>3347</v>
      </c>
      <c r="B3537" t="s">
        <v>3348</v>
      </c>
      <c r="C3537" t="s">
        <v>3268</v>
      </c>
      <c r="D3537" t="s">
        <v>290</v>
      </c>
      <c r="E3537">
        <v>499.99</v>
      </c>
      <c r="F3537" t="s">
        <v>8118</v>
      </c>
      <c r="L3537" t="s">
        <v>11</v>
      </c>
      <c r="M3537" t="s">
        <v>5220</v>
      </c>
      <c r="N3537">
        <v>0</v>
      </c>
      <c r="O3537">
        <v>0</v>
      </c>
      <c r="T3537">
        <v>0</v>
      </c>
      <c r="U3537">
        <v>0</v>
      </c>
      <c r="V3537">
        <v>0</v>
      </c>
    </row>
    <row r="3538" spans="1:22" x14ac:dyDescent="0.2">
      <c r="A3538" t="s">
        <v>3344</v>
      </c>
      <c r="B3538" t="s">
        <v>3345</v>
      </c>
      <c r="C3538" t="s">
        <v>3268</v>
      </c>
      <c r="D3538" t="s">
        <v>290</v>
      </c>
      <c r="E3538">
        <v>499.99</v>
      </c>
      <c r="F3538" t="s">
        <v>8118</v>
      </c>
      <c r="L3538" t="s">
        <v>11</v>
      </c>
      <c r="M3538" t="s">
        <v>5222</v>
      </c>
      <c r="N3538">
        <v>0</v>
      </c>
      <c r="O3538">
        <v>0</v>
      </c>
      <c r="T3538">
        <v>0</v>
      </c>
      <c r="U3538">
        <v>0</v>
      </c>
      <c r="V3538">
        <v>0</v>
      </c>
    </row>
    <row r="3539" spans="1:22" x14ac:dyDescent="0.2">
      <c r="A3539" t="s">
        <v>3343</v>
      </c>
      <c r="B3539" t="s">
        <v>3342</v>
      </c>
      <c r="C3539" t="s">
        <v>3268</v>
      </c>
      <c r="D3539" t="s">
        <v>290</v>
      </c>
      <c r="E3539">
        <v>499.99</v>
      </c>
      <c r="F3539" t="s">
        <v>8118</v>
      </c>
      <c r="L3539" t="s">
        <v>11</v>
      </c>
      <c r="M3539" t="s">
        <v>5224</v>
      </c>
      <c r="N3539">
        <v>0</v>
      </c>
      <c r="O3539">
        <v>0</v>
      </c>
      <c r="T3539">
        <v>0</v>
      </c>
      <c r="U3539">
        <v>0</v>
      </c>
      <c r="V3539">
        <v>0</v>
      </c>
    </row>
    <row r="3540" spans="1:22" x14ac:dyDescent="0.2">
      <c r="A3540" t="s">
        <v>3340</v>
      </c>
      <c r="B3540" t="s">
        <v>3339</v>
      </c>
      <c r="C3540" t="s">
        <v>3268</v>
      </c>
      <c r="D3540" t="s">
        <v>290</v>
      </c>
      <c r="E3540">
        <v>499.99</v>
      </c>
      <c r="F3540" t="s">
        <v>8118</v>
      </c>
      <c r="L3540" t="s">
        <v>11</v>
      </c>
      <c r="M3540" t="s">
        <v>5216</v>
      </c>
      <c r="N3540">
        <v>0</v>
      </c>
      <c r="O3540">
        <v>0</v>
      </c>
      <c r="T3540">
        <v>0</v>
      </c>
      <c r="U3540">
        <v>0</v>
      </c>
      <c r="V3540">
        <v>0</v>
      </c>
    </row>
    <row r="3541" spans="1:22" x14ac:dyDescent="0.2">
      <c r="A3541" t="s">
        <v>3335</v>
      </c>
      <c r="B3541" t="s">
        <v>3336</v>
      </c>
      <c r="C3541" t="s">
        <v>3268</v>
      </c>
      <c r="D3541" t="s">
        <v>290</v>
      </c>
      <c r="E3541">
        <v>499.99</v>
      </c>
      <c r="F3541" t="s">
        <v>8118</v>
      </c>
      <c r="G3541">
        <v>16</v>
      </c>
      <c r="I3541">
        <v>16</v>
      </c>
      <c r="L3541" t="s">
        <v>11</v>
      </c>
      <c r="M3541" t="s">
        <v>5218</v>
      </c>
      <c r="N3541">
        <v>0</v>
      </c>
      <c r="O3541">
        <v>0</v>
      </c>
      <c r="T3541">
        <v>0</v>
      </c>
      <c r="U3541">
        <v>0</v>
      </c>
      <c r="V3541">
        <v>0</v>
      </c>
    </row>
    <row r="3542" spans="1:22" x14ac:dyDescent="0.2">
      <c r="A3542" t="s">
        <v>3329</v>
      </c>
      <c r="B3542" t="s">
        <v>3328</v>
      </c>
      <c r="C3542" t="s">
        <v>3268</v>
      </c>
      <c r="D3542" t="s">
        <v>228</v>
      </c>
      <c r="E3542">
        <v>599.99</v>
      </c>
      <c r="F3542" t="s">
        <v>8118</v>
      </c>
      <c r="G3542">
        <v>44</v>
      </c>
      <c r="H3542">
        <v>10</v>
      </c>
      <c r="I3542">
        <v>34</v>
      </c>
      <c r="K3542">
        <v>100</v>
      </c>
      <c r="L3542" t="s">
        <v>11</v>
      </c>
      <c r="M3542" t="s">
        <v>5240</v>
      </c>
      <c r="N3542">
        <v>6.666666666666667</v>
      </c>
      <c r="O3542">
        <v>0.15</v>
      </c>
      <c r="T3542">
        <v>2.4</v>
      </c>
      <c r="U3542">
        <v>1199.98</v>
      </c>
      <c r="V3542">
        <v>16</v>
      </c>
    </row>
    <row r="3543" spans="1:22" x14ac:dyDescent="0.2">
      <c r="A3543" t="s">
        <v>3295</v>
      </c>
      <c r="B3543" t="s">
        <v>3296</v>
      </c>
      <c r="C3543" t="s">
        <v>3268</v>
      </c>
      <c r="D3543" t="s">
        <v>228</v>
      </c>
      <c r="E3543">
        <v>199.99</v>
      </c>
      <c r="F3543" t="s">
        <v>8118</v>
      </c>
      <c r="G3543">
        <v>216</v>
      </c>
      <c r="H3543">
        <v>119</v>
      </c>
      <c r="I3543">
        <v>97</v>
      </c>
      <c r="K3543">
        <v>620</v>
      </c>
      <c r="L3543" t="s">
        <v>11</v>
      </c>
      <c r="M3543" t="s">
        <v>6988</v>
      </c>
      <c r="N3543">
        <v>6.0566037735849054</v>
      </c>
      <c r="O3543">
        <v>0.16510903426791279</v>
      </c>
      <c r="T3543">
        <v>17.666666666666668</v>
      </c>
      <c r="U3543">
        <v>1399.93</v>
      </c>
      <c r="V3543">
        <v>107</v>
      </c>
    </row>
    <row r="3544" spans="1:22" x14ac:dyDescent="0.2">
      <c r="A3544" t="s">
        <v>3273</v>
      </c>
      <c r="B3544" t="s">
        <v>3272</v>
      </c>
      <c r="C3544" t="s">
        <v>3268</v>
      </c>
      <c r="D3544" t="s">
        <v>290</v>
      </c>
      <c r="E3544">
        <v>179.99</v>
      </c>
      <c r="F3544" t="s">
        <v>8118</v>
      </c>
      <c r="L3544" t="s">
        <v>11</v>
      </c>
      <c r="M3544" t="s">
        <v>6971</v>
      </c>
      <c r="N3544">
        <v>11.2</v>
      </c>
      <c r="O3544">
        <v>8.9285714285714288E-2</v>
      </c>
      <c r="T3544">
        <v>0.625</v>
      </c>
      <c r="U3544">
        <v>359.98</v>
      </c>
      <c r="V3544">
        <v>7</v>
      </c>
    </row>
    <row r="3545" spans="1:22" x14ac:dyDescent="0.2">
      <c r="A3545" t="s">
        <v>3292</v>
      </c>
      <c r="B3545" t="s">
        <v>3293</v>
      </c>
      <c r="C3545" t="s">
        <v>3268</v>
      </c>
      <c r="D3545" t="s">
        <v>228</v>
      </c>
      <c r="E3545">
        <v>799.99</v>
      </c>
      <c r="F3545" t="s">
        <v>8118</v>
      </c>
      <c r="G3545">
        <v>411</v>
      </c>
      <c r="H3545">
        <v>60</v>
      </c>
      <c r="I3545">
        <v>351</v>
      </c>
      <c r="L3545" t="s">
        <v>11</v>
      </c>
      <c r="M3545" t="s">
        <v>6982</v>
      </c>
      <c r="N3545">
        <v>2.2400000000000002</v>
      </c>
      <c r="O3545">
        <v>0.44642857142857145</v>
      </c>
      <c r="T3545">
        <v>6.25</v>
      </c>
      <c r="U3545">
        <v>13599.83</v>
      </c>
      <c r="V3545">
        <v>14</v>
      </c>
    </row>
    <row r="3546" spans="1:22" x14ac:dyDescent="0.2">
      <c r="A3546" t="s">
        <v>3353</v>
      </c>
      <c r="B3546" t="s">
        <v>3354</v>
      </c>
      <c r="C3546" t="s">
        <v>3268</v>
      </c>
      <c r="D3546" t="s">
        <v>290</v>
      </c>
      <c r="E3546">
        <v>699.99</v>
      </c>
      <c r="F3546" t="s">
        <v>8118</v>
      </c>
      <c r="G3546">
        <v>9</v>
      </c>
      <c r="I3546">
        <v>9</v>
      </c>
      <c r="L3546" t="s">
        <v>11</v>
      </c>
      <c r="M3546" t="s">
        <v>5228</v>
      </c>
      <c r="N3546">
        <v>0</v>
      </c>
      <c r="O3546">
        <v>0</v>
      </c>
      <c r="T3546">
        <v>0</v>
      </c>
      <c r="U3546">
        <v>0</v>
      </c>
      <c r="V3546">
        <v>0</v>
      </c>
    </row>
    <row r="3547" spans="1:22" x14ac:dyDescent="0.2">
      <c r="A3547" t="s">
        <v>3356</v>
      </c>
      <c r="B3547" t="s">
        <v>3357</v>
      </c>
      <c r="C3547" t="s">
        <v>3268</v>
      </c>
      <c r="D3547" t="s">
        <v>228</v>
      </c>
      <c r="E3547">
        <v>429.99</v>
      </c>
      <c r="F3547" t="s">
        <v>8118</v>
      </c>
      <c r="G3547">
        <v>9</v>
      </c>
      <c r="H3547">
        <v>5</v>
      </c>
      <c r="I3547">
        <v>4</v>
      </c>
      <c r="L3547" t="s">
        <v>11</v>
      </c>
      <c r="M3547" t="s">
        <v>5250</v>
      </c>
      <c r="N3547">
        <v>9.6</v>
      </c>
      <c r="O3547">
        <v>0.10416666666666669</v>
      </c>
      <c r="T3547">
        <v>0.625</v>
      </c>
      <c r="U3547">
        <v>0</v>
      </c>
      <c r="V3547">
        <v>6</v>
      </c>
    </row>
    <row r="3548" spans="1:22" x14ac:dyDescent="0.2">
      <c r="A3548" t="s">
        <v>3332</v>
      </c>
      <c r="B3548" t="s">
        <v>3333</v>
      </c>
      <c r="C3548" t="s">
        <v>3268</v>
      </c>
      <c r="D3548" t="s">
        <v>228</v>
      </c>
      <c r="E3548">
        <v>599.99</v>
      </c>
      <c r="F3548" t="s">
        <v>8118</v>
      </c>
      <c r="G3548">
        <v>25</v>
      </c>
      <c r="H3548">
        <v>14</v>
      </c>
      <c r="I3548">
        <v>11</v>
      </c>
      <c r="K3548">
        <v>120</v>
      </c>
      <c r="L3548" t="s">
        <v>11</v>
      </c>
      <c r="M3548" t="s">
        <v>5237</v>
      </c>
      <c r="N3548">
        <v>3.375</v>
      </c>
      <c r="O3548">
        <v>0.29629629629629628</v>
      </c>
      <c r="T3548">
        <v>0.88888888888888884</v>
      </c>
      <c r="U3548">
        <v>599.99</v>
      </c>
      <c r="V3548">
        <v>3</v>
      </c>
    </row>
    <row r="3549" spans="1:22" x14ac:dyDescent="0.2">
      <c r="A3549" t="s">
        <v>3321</v>
      </c>
      <c r="B3549" t="s">
        <v>3322</v>
      </c>
      <c r="C3549" t="s">
        <v>3268</v>
      </c>
      <c r="D3549" t="s">
        <v>228</v>
      </c>
      <c r="E3549">
        <v>599.99</v>
      </c>
      <c r="F3549" t="s">
        <v>8118</v>
      </c>
      <c r="G3549">
        <v>4</v>
      </c>
      <c r="H3549">
        <v>3</v>
      </c>
      <c r="I3549">
        <v>1</v>
      </c>
      <c r="K3549">
        <v>20</v>
      </c>
      <c r="L3549" t="s">
        <v>11</v>
      </c>
      <c r="M3549" t="s">
        <v>5231</v>
      </c>
      <c r="N3549">
        <v>2.0370370370370372</v>
      </c>
      <c r="O3549">
        <v>0.49090909090909091</v>
      </c>
      <c r="T3549">
        <v>2.4545454545454546</v>
      </c>
      <c r="U3549">
        <v>599.99</v>
      </c>
      <c r="V3549">
        <v>5</v>
      </c>
    </row>
    <row r="3550" spans="1:22" x14ac:dyDescent="0.2">
      <c r="A3550" t="s">
        <v>3276</v>
      </c>
      <c r="B3550" t="s">
        <v>3275</v>
      </c>
      <c r="C3550" t="s">
        <v>3268</v>
      </c>
      <c r="D3550" t="s">
        <v>290</v>
      </c>
      <c r="E3550">
        <v>179.99</v>
      </c>
      <c r="F3550" t="s">
        <v>8118</v>
      </c>
      <c r="G3550">
        <v>1</v>
      </c>
      <c r="I3550">
        <v>1</v>
      </c>
      <c r="L3550" t="s">
        <v>11</v>
      </c>
      <c r="M3550" t="s">
        <v>6974</v>
      </c>
      <c r="N3550">
        <v>0</v>
      </c>
      <c r="O3550">
        <v>0</v>
      </c>
      <c r="T3550">
        <v>0</v>
      </c>
      <c r="U3550">
        <v>0</v>
      </c>
      <c r="V3550">
        <v>0</v>
      </c>
    </row>
    <row r="3551" spans="1:22" x14ac:dyDescent="0.2">
      <c r="A3551" t="s">
        <v>3303</v>
      </c>
      <c r="B3551" t="s">
        <v>3302</v>
      </c>
      <c r="C3551" t="s">
        <v>3268</v>
      </c>
      <c r="D3551" t="s">
        <v>228</v>
      </c>
      <c r="E3551">
        <v>179.99</v>
      </c>
      <c r="F3551" t="s">
        <v>8118</v>
      </c>
      <c r="G3551">
        <v>848</v>
      </c>
      <c r="H3551">
        <v>204</v>
      </c>
      <c r="I3551">
        <v>644</v>
      </c>
      <c r="K3551">
        <v>276</v>
      </c>
      <c r="L3551" t="s">
        <v>11</v>
      </c>
      <c r="M3551" t="s">
        <v>6997</v>
      </c>
      <c r="N3551">
        <v>2.1530343007915569</v>
      </c>
      <c r="O3551">
        <v>0.46446078431372545</v>
      </c>
      <c r="T3551">
        <v>31.583333333333332</v>
      </c>
      <c r="U3551">
        <v>17639.02</v>
      </c>
      <c r="V3551">
        <v>68</v>
      </c>
    </row>
    <row r="3552" spans="1:22" x14ac:dyDescent="0.2">
      <c r="A3552" t="s">
        <v>3306</v>
      </c>
      <c r="B3552" t="s">
        <v>3305</v>
      </c>
      <c r="C3552" t="s">
        <v>3268</v>
      </c>
      <c r="D3552" t="s">
        <v>228</v>
      </c>
      <c r="E3552">
        <v>449.99</v>
      </c>
      <c r="F3552" t="s">
        <v>8118</v>
      </c>
      <c r="G3552">
        <v>61</v>
      </c>
      <c r="H3552">
        <v>9</v>
      </c>
      <c r="I3552">
        <v>52</v>
      </c>
      <c r="K3552">
        <v>30</v>
      </c>
      <c r="L3552" t="s">
        <v>11</v>
      </c>
      <c r="M3552" t="s">
        <v>6994</v>
      </c>
      <c r="N3552">
        <v>1.2467532467532467</v>
      </c>
      <c r="O3552">
        <v>0.80208333333333348</v>
      </c>
      <c r="T3552">
        <v>6.416666666666667</v>
      </c>
      <c r="U3552">
        <v>23849.47</v>
      </c>
      <c r="V3552">
        <v>8</v>
      </c>
    </row>
    <row r="3553" spans="1:22" x14ac:dyDescent="0.2">
      <c r="A3553" t="s">
        <v>3321</v>
      </c>
      <c r="B3553" t="s">
        <v>3322</v>
      </c>
      <c r="C3553" t="s">
        <v>3268</v>
      </c>
      <c r="D3553" t="s">
        <v>228</v>
      </c>
      <c r="E3553">
        <v>599.99</v>
      </c>
      <c r="F3553" t="s">
        <v>8118</v>
      </c>
      <c r="G3553">
        <v>4</v>
      </c>
      <c r="H3553">
        <v>3</v>
      </c>
      <c r="I3553">
        <v>1</v>
      </c>
      <c r="K3553">
        <v>20</v>
      </c>
      <c r="L3553" t="s">
        <v>11</v>
      </c>
      <c r="M3553" t="s">
        <v>5230</v>
      </c>
      <c r="N3553">
        <v>21.375</v>
      </c>
      <c r="O3553">
        <v>4.6783625730994149E-2</v>
      </c>
      <c r="T3553">
        <v>0.88888888888888884</v>
      </c>
      <c r="U3553">
        <v>0</v>
      </c>
      <c r="V3553">
        <v>19</v>
      </c>
    </row>
    <row r="3554" spans="1:22" x14ac:dyDescent="0.2">
      <c r="A3554" t="s">
        <v>3385</v>
      </c>
      <c r="B3554" t="s">
        <v>3386</v>
      </c>
      <c r="C3554" t="s">
        <v>3268</v>
      </c>
      <c r="D3554" t="s">
        <v>228</v>
      </c>
      <c r="E3554">
        <v>179.99</v>
      </c>
      <c r="F3554" t="s">
        <v>8118</v>
      </c>
      <c r="G3554">
        <v>55</v>
      </c>
      <c r="H3554">
        <v>1</v>
      </c>
      <c r="I3554">
        <v>54</v>
      </c>
      <c r="K3554">
        <v>24</v>
      </c>
      <c r="L3554" t="s">
        <v>11</v>
      </c>
      <c r="M3554" t="s">
        <v>5902</v>
      </c>
      <c r="N3554">
        <v>0</v>
      </c>
      <c r="O3554">
        <v>0</v>
      </c>
      <c r="T3554">
        <v>4.9000000000000004</v>
      </c>
      <c r="U3554">
        <v>4499.75</v>
      </c>
      <c r="V3554">
        <v>0</v>
      </c>
    </row>
    <row r="3555" spans="1:22" x14ac:dyDescent="0.2">
      <c r="A3555" t="s">
        <v>3379</v>
      </c>
      <c r="B3555" t="s">
        <v>3380</v>
      </c>
      <c r="C3555" t="s">
        <v>3268</v>
      </c>
      <c r="D3555" t="s">
        <v>228</v>
      </c>
      <c r="E3555">
        <v>799.99</v>
      </c>
      <c r="F3555" t="s">
        <v>8118</v>
      </c>
      <c r="G3555">
        <v>34</v>
      </c>
      <c r="H3555">
        <v>3</v>
      </c>
      <c r="I3555">
        <v>31</v>
      </c>
      <c r="L3555" t="s">
        <v>11</v>
      </c>
      <c r="M3555" t="s">
        <v>5244</v>
      </c>
      <c r="N3555">
        <v>14.4</v>
      </c>
      <c r="O3555">
        <v>6.9444444444444448E-2</v>
      </c>
      <c r="T3555">
        <v>0.625</v>
      </c>
      <c r="U3555">
        <v>0</v>
      </c>
      <c r="V3555">
        <v>9</v>
      </c>
    </row>
    <row r="3556" spans="1:22" x14ac:dyDescent="0.2">
      <c r="A3556" t="s">
        <v>3372</v>
      </c>
      <c r="B3556" t="s">
        <v>3371</v>
      </c>
      <c r="C3556" t="s">
        <v>3268</v>
      </c>
      <c r="D3556" t="s">
        <v>228</v>
      </c>
      <c r="E3556">
        <v>799.99</v>
      </c>
      <c r="F3556" t="s">
        <v>8118</v>
      </c>
      <c r="G3556">
        <v>50</v>
      </c>
      <c r="H3556">
        <v>9</v>
      </c>
      <c r="I3556">
        <v>41</v>
      </c>
      <c r="K3556">
        <v>50</v>
      </c>
      <c r="L3556" t="s">
        <v>11</v>
      </c>
      <c r="M3556" t="s">
        <v>5242</v>
      </c>
      <c r="N3556">
        <v>16.25</v>
      </c>
      <c r="O3556">
        <v>6.1538461538461542E-2</v>
      </c>
      <c r="T3556">
        <v>1.6</v>
      </c>
      <c r="U3556">
        <v>2399.9700000000003</v>
      </c>
      <c r="V3556">
        <v>26</v>
      </c>
    </row>
    <row r="3557" spans="1:22" x14ac:dyDescent="0.2">
      <c r="A3557" t="s">
        <v>3367</v>
      </c>
      <c r="B3557" t="s">
        <v>3368</v>
      </c>
      <c r="C3557" t="s">
        <v>3268</v>
      </c>
      <c r="D3557" t="s">
        <v>228</v>
      </c>
      <c r="E3557">
        <v>799.99</v>
      </c>
      <c r="F3557" t="s">
        <v>8118</v>
      </c>
      <c r="G3557">
        <v>46</v>
      </c>
      <c r="H3557">
        <v>10</v>
      </c>
      <c r="I3557">
        <v>36</v>
      </c>
      <c r="K3557">
        <v>30</v>
      </c>
      <c r="L3557" t="s">
        <v>11</v>
      </c>
      <c r="M3557" t="s">
        <v>5246</v>
      </c>
      <c r="N3557">
        <v>36.4</v>
      </c>
      <c r="O3557">
        <v>2.7472527472527472E-2</v>
      </c>
      <c r="T3557">
        <v>0.7142857142857143</v>
      </c>
      <c r="U3557">
        <v>0</v>
      </c>
      <c r="V3557">
        <v>26</v>
      </c>
    </row>
    <row r="3558" spans="1:22" x14ac:dyDescent="0.2">
      <c r="A3558" t="s">
        <v>3300</v>
      </c>
      <c r="B3558" t="s">
        <v>3299</v>
      </c>
      <c r="C3558" t="s">
        <v>3268</v>
      </c>
      <c r="D3558" t="s">
        <v>228</v>
      </c>
      <c r="E3558">
        <v>199.99</v>
      </c>
      <c r="F3558" t="s">
        <v>8118</v>
      </c>
      <c r="G3558">
        <v>99</v>
      </c>
      <c r="H3558">
        <v>79</v>
      </c>
      <c r="I3558">
        <v>20</v>
      </c>
      <c r="K3558">
        <v>380</v>
      </c>
      <c r="L3558" t="s">
        <v>11</v>
      </c>
      <c r="M3558" t="s">
        <v>6991</v>
      </c>
      <c r="N3558">
        <v>4.8260869565217392</v>
      </c>
      <c r="O3558">
        <v>0.20720720720720723</v>
      </c>
      <c r="T3558">
        <v>7.666666666666667</v>
      </c>
      <c r="U3558">
        <v>2199.8900000000003</v>
      </c>
      <c r="V3558">
        <v>37</v>
      </c>
    </row>
    <row r="3559" spans="1:22" x14ac:dyDescent="0.2">
      <c r="A3559" t="s">
        <v>3382</v>
      </c>
      <c r="B3559" t="s">
        <v>3383</v>
      </c>
      <c r="C3559" t="s">
        <v>3268</v>
      </c>
      <c r="D3559" t="s">
        <v>228</v>
      </c>
      <c r="E3559">
        <v>199.99</v>
      </c>
      <c r="F3559" t="s">
        <v>8118</v>
      </c>
      <c r="G3559">
        <v>344</v>
      </c>
      <c r="H3559">
        <v>31</v>
      </c>
      <c r="I3559">
        <v>313</v>
      </c>
      <c r="L3559" t="s">
        <v>11</v>
      </c>
      <c r="M3559" t="s">
        <v>7000</v>
      </c>
      <c r="N3559">
        <v>3.9677419354838706</v>
      </c>
      <c r="O3559">
        <v>0.25203252032520329</v>
      </c>
      <c r="T3559">
        <v>10.333333333333334</v>
      </c>
      <c r="U3559">
        <v>9599.52</v>
      </c>
      <c r="V3559">
        <v>41</v>
      </c>
    </row>
    <row r="3560" spans="1:22" x14ac:dyDescent="0.2">
      <c r="A3560" t="s">
        <v>3295</v>
      </c>
      <c r="B3560" t="s">
        <v>3296</v>
      </c>
      <c r="C3560" t="s">
        <v>3268</v>
      </c>
      <c r="D3560" t="s">
        <v>228</v>
      </c>
      <c r="E3560">
        <v>199.99</v>
      </c>
      <c r="F3560" t="s">
        <v>8118</v>
      </c>
      <c r="G3560">
        <v>216</v>
      </c>
      <c r="H3560">
        <v>119</v>
      </c>
      <c r="I3560">
        <v>97</v>
      </c>
      <c r="K3560">
        <v>620</v>
      </c>
      <c r="L3560" t="s">
        <v>14</v>
      </c>
      <c r="M3560" t="s">
        <v>97</v>
      </c>
      <c r="N3560">
        <v>35.707317073170735</v>
      </c>
      <c r="O3560">
        <v>2.8005464480874317E-2</v>
      </c>
      <c r="T3560">
        <v>3.4166666666666665</v>
      </c>
      <c r="U3560">
        <v>399.98</v>
      </c>
      <c r="V3560">
        <v>122</v>
      </c>
    </row>
    <row r="3561" spans="1:22" x14ac:dyDescent="0.2">
      <c r="A3561" t="s">
        <v>3292</v>
      </c>
      <c r="B3561" t="s">
        <v>3293</v>
      </c>
      <c r="C3561" t="s">
        <v>3268</v>
      </c>
      <c r="D3561" t="s">
        <v>228</v>
      </c>
      <c r="E3561">
        <v>799.99</v>
      </c>
      <c r="F3561" t="s">
        <v>8118</v>
      </c>
      <c r="G3561">
        <v>411</v>
      </c>
      <c r="H3561">
        <v>60</v>
      </c>
      <c r="I3561">
        <v>351</v>
      </c>
      <c r="L3561" t="s">
        <v>14</v>
      </c>
      <c r="M3561" t="s">
        <v>97</v>
      </c>
      <c r="N3561">
        <v>2</v>
      </c>
      <c r="O3561">
        <v>0.5</v>
      </c>
      <c r="T3561">
        <v>0.5</v>
      </c>
      <c r="U3561">
        <v>0</v>
      </c>
      <c r="V3561">
        <v>1</v>
      </c>
    </row>
    <row r="3562" spans="1:22" x14ac:dyDescent="0.2">
      <c r="A3562" t="s">
        <v>3279</v>
      </c>
      <c r="B3562" t="s">
        <v>3278</v>
      </c>
      <c r="C3562" t="s">
        <v>3268</v>
      </c>
      <c r="D3562" t="s">
        <v>228</v>
      </c>
      <c r="E3562">
        <v>99.99</v>
      </c>
      <c r="F3562" t="s">
        <v>8118</v>
      </c>
      <c r="G3562">
        <v>644</v>
      </c>
      <c r="H3562">
        <v>22</v>
      </c>
      <c r="I3562">
        <v>622</v>
      </c>
      <c r="K3562">
        <v>1</v>
      </c>
      <c r="L3562" t="s">
        <v>14</v>
      </c>
      <c r="M3562" t="s">
        <v>97</v>
      </c>
      <c r="N3562">
        <v>36.666666666666664</v>
      </c>
      <c r="O3562">
        <v>2.7272727272727271E-2</v>
      </c>
      <c r="T3562">
        <v>1.5</v>
      </c>
      <c r="U3562">
        <v>99.99</v>
      </c>
      <c r="V3562">
        <v>55</v>
      </c>
    </row>
    <row r="3563" spans="1:22" x14ac:dyDescent="0.2">
      <c r="A3563" t="s">
        <v>3273</v>
      </c>
      <c r="B3563" t="s">
        <v>3272</v>
      </c>
      <c r="C3563" t="s">
        <v>3268</v>
      </c>
      <c r="D3563" t="s">
        <v>290</v>
      </c>
      <c r="E3563">
        <v>179.99</v>
      </c>
      <c r="F3563" t="s">
        <v>8118</v>
      </c>
      <c r="L3563" t="s">
        <v>14</v>
      </c>
      <c r="M3563" t="s">
        <v>97</v>
      </c>
      <c r="N3563">
        <v>7.1999999999999993</v>
      </c>
      <c r="O3563">
        <v>0.1388888888888889</v>
      </c>
      <c r="T3563">
        <v>0.83333333333333337</v>
      </c>
      <c r="U3563">
        <v>0</v>
      </c>
      <c r="V3563">
        <v>6</v>
      </c>
    </row>
    <row r="3564" spans="1:22" x14ac:dyDescent="0.2">
      <c r="A3564" t="s">
        <v>3356</v>
      </c>
      <c r="B3564" t="s">
        <v>3357</v>
      </c>
      <c r="C3564" t="s">
        <v>3268</v>
      </c>
      <c r="D3564" t="s">
        <v>228</v>
      </c>
      <c r="E3564">
        <v>429.99</v>
      </c>
      <c r="F3564" t="s">
        <v>8118</v>
      </c>
      <c r="G3564">
        <v>9</v>
      </c>
      <c r="H3564">
        <v>5</v>
      </c>
      <c r="I3564">
        <v>4</v>
      </c>
      <c r="L3564" t="s">
        <v>10</v>
      </c>
      <c r="M3564">
        <v>672417</v>
      </c>
      <c r="N3564">
        <v>4</v>
      </c>
      <c r="O3564">
        <v>0.22222222222222221</v>
      </c>
      <c r="P3564" t="s">
        <v>7015</v>
      </c>
      <c r="T3564">
        <v>1</v>
      </c>
      <c r="U3564">
        <v>429.99</v>
      </c>
      <c r="V3564">
        <v>3</v>
      </c>
    </row>
    <row r="3565" spans="1:22" x14ac:dyDescent="0.2">
      <c r="A3565" t="s">
        <v>3361</v>
      </c>
      <c r="B3565" t="s">
        <v>3360</v>
      </c>
      <c r="C3565" t="s">
        <v>3268</v>
      </c>
      <c r="D3565" t="s">
        <v>228</v>
      </c>
      <c r="E3565">
        <v>429.99</v>
      </c>
      <c r="F3565" t="s">
        <v>8118</v>
      </c>
      <c r="G3565">
        <v>4</v>
      </c>
      <c r="H3565">
        <v>3</v>
      </c>
      <c r="I3565">
        <v>1</v>
      </c>
      <c r="L3565" t="s">
        <v>10</v>
      </c>
      <c r="M3565">
        <v>672416</v>
      </c>
      <c r="N3565">
        <v>6</v>
      </c>
      <c r="O3565">
        <v>0.16666666666666666</v>
      </c>
      <c r="P3565" t="s">
        <v>7015</v>
      </c>
      <c r="T3565">
        <v>0</v>
      </c>
      <c r="U3565">
        <v>0</v>
      </c>
      <c r="V3565">
        <v>2</v>
      </c>
    </row>
    <row r="3566" spans="1:22" x14ac:dyDescent="0.2">
      <c r="A3566" t="s">
        <v>3364</v>
      </c>
      <c r="B3566" t="s">
        <v>3363</v>
      </c>
      <c r="C3566" t="s">
        <v>3268</v>
      </c>
      <c r="D3566" t="s">
        <v>228</v>
      </c>
      <c r="E3566">
        <v>429.99</v>
      </c>
      <c r="F3566" t="s">
        <v>8118</v>
      </c>
      <c r="G3566">
        <v>1</v>
      </c>
      <c r="H3566">
        <v>1</v>
      </c>
      <c r="J3566">
        <v>2</v>
      </c>
      <c r="K3566">
        <v>10</v>
      </c>
      <c r="L3566" t="s">
        <v>10</v>
      </c>
      <c r="M3566">
        <v>672415</v>
      </c>
      <c r="N3566">
        <v>49</v>
      </c>
      <c r="O3566">
        <v>2.0432692307692308E-2</v>
      </c>
      <c r="P3566" t="s">
        <v>7015</v>
      </c>
      <c r="T3566">
        <v>4</v>
      </c>
      <c r="U3566">
        <v>4729.8900000000003</v>
      </c>
      <c r="V3566">
        <v>208</v>
      </c>
    </row>
    <row r="3567" spans="1:22" x14ac:dyDescent="0.2">
      <c r="A3567" t="s">
        <v>3367</v>
      </c>
      <c r="B3567" t="s">
        <v>3368</v>
      </c>
      <c r="C3567" t="s">
        <v>3268</v>
      </c>
      <c r="D3567" t="s">
        <v>228</v>
      </c>
      <c r="E3567">
        <v>799.99</v>
      </c>
      <c r="F3567" t="s">
        <v>8118</v>
      </c>
      <c r="G3567">
        <v>46</v>
      </c>
      <c r="H3567">
        <v>10</v>
      </c>
      <c r="I3567">
        <v>36</v>
      </c>
      <c r="K3567">
        <v>30</v>
      </c>
      <c r="L3567" t="s">
        <v>10</v>
      </c>
      <c r="M3567">
        <v>672424</v>
      </c>
      <c r="N3567">
        <v>46</v>
      </c>
      <c r="O3567">
        <v>2.1836007130124777E-2</v>
      </c>
      <c r="P3567" t="s">
        <v>7015</v>
      </c>
      <c r="T3567">
        <v>4</v>
      </c>
      <c r="U3567">
        <v>1599.98</v>
      </c>
      <c r="V3567">
        <v>187</v>
      </c>
    </row>
    <row r="3568" spans="1:22" x14ac:dyDescent="0.2">
      <c r="A3568" t="s">
        <v>3379</v>
      </c>
      <c r="B3568" t="s">
        <v>3380</v>
      </c>
      <c r="C3568" t="s">
        <v>3268</v>
      </c>
      <c r="D3568" t="s">
        <v>228</v>
      </c>
      <c r="E3568">
        <v>799.99</v>
      </c>
      <c r="F3568" t="s">
        <v>8118</v>
      </c>
      <c r="G3568">
        <v>34</v>
      </c>
      <c r="H3568">
        <v>3</v>
      </c>
      <c r="I3568">
        <v>31</v>
      </c>
      <c r="L3568" t="s">
        <v>10</v>
      </c>
      <c r="M3568">
        <v>672423</v>
      </c>
      <c r="N3568">
        <v>4</v>
      </c>
      <c r="O3568">
        <v>0.25</v>
      </c>
      <c r="P3568" t="s">
        <v>7015</v>
      </c>
      <c r="T3568">
        <v>0</v>
      </c>
      <c r="U3568">
        <v>0</v>
      </c>
      <c r="V3568">
        <v>2</v>
      </c>
    </row>
    <row r="3569" spans="1:22" x14ac:dyDescent="0.2">
      <c r="A3569" t="s">
        <v>3382</v>
      </c>
      <c r="B3569" t="s">
        <v>3383</v>
      </c>
      <c r="C3569" t="s">
        <v>3268</v>
      </c>
      <c r="D3569" t="s">
        <v>228</v>
      </c>
      <c r="E3569">
        <v>199.99</v>
      </c>
      <c r="F3569" t="s">
        <v>8118</v>
      </c>
      <c r="G3569">
        <v>344</v>
      </c>
      <c r="H3569">
        <v>31</v>
      </c>
      <c r="I3569">
        <v>313</v>
      </c>
      <c r="L3569" t="s">
        <v>10</v>
      </c>
      <c r="M3569">
        <v>486640</v>
      </c>
      <c r="N3569">
        <v>20</v>
      </c>
      <c r="O3569">
        <v>4.9808429118773943E-2</v>
      </c>
      <c r="P3569" t="s">
        <v>7015</v>
      </c>
      <c r="T3569">
        <v>17</v>
      </c>
      <c r="U3569">
        <v>4799.76</v>
      </c>
      <c r="V3569">
        <v>348</v>
      </c>
    </row>
    <row r="3570" spans="1:22" x14ac:dyDescent="0.2">
      <c r="A3570" t="s">
        <v>3385</v>
      </c>
      <c r="B3570" t="s">
        <v>3386</v>
      </c>
      <c r="C3570" t="s">
        <v>3268</v>
      </c>
      <c r="D3570" t="s">
        <v>228</v>
      </c>
      <c r="E3570">
        <v>179.99</v>
      </c>
      <c r="F3570" t="s">
        <v>8118</v>
      </c>
      <c r="G3570">
        <v>55</v>
      </c>
      <c r="H3570">
        <v>1</v>
      </c>
      <c r="I3570">
        <v>54</v>
      </c>
      <c r="K3570">
        <v>24</v>
      </c>
      <c r="L3570" t="s">
        <v>10</v>
      </c>
      <c r="M3570">
        <v>356544</v>
      </c>
      <c r="N3570">
        <v>57</v>
      </c>
      <c r="O3570">
        <v>1.7500000000000002E-2</v>
      </c>
      <c r="P3570" t="s">
        <v>7015</v>
      </c>
      <c r="T3570">
        <v>5</v>
      </c>
      <c r="U3570">
        <v>2339.87</v>
      </c>
      <c r="V3570">
        <v>300</v>
      </c>
    </row>
    <row r="3571" spans="1:22" x14ac:dyDescent="0.2">
      <c r="A3571" t="s">
        <v>3343</v>
      </c>
      <c r="B3571" t="s">
        <v>3342</v>
      </c>
      <c r="C3571" t="s">
        <v>3268</v>
      </c>
      <c r="D3571" t="s">
        <v>290</v>
      </c>
      <c r="E3571">
        <v>499.99</v>
      </c>
      <c r="F3571" t="s">
        <v>8118</v>
      </c>
      <c r="L3571" t="s">
        <v>10</v>
      </c>
      <c r="M3571">
        <v>521943</v>
      </c>
      <c r="N3571">
        <v>-52</v>
      </c>
      <c r="O3571">
        <v>-1.9230769230769232E-2</v>
      </c>
      <c r="P3571" t="s">
        <v>7015</v>
      </c>
      <c r="T3571">
        <v>0</v>
      </c>
      <c r="U3571">
        <v>0</v>
      </c>
      <c r="V3571">
        <v>26</v>
      </c>
    </row>
    <row r="3572" spans="1:22" x14ac:dyDescent="0.2">
      <c r="A3572" t="s">
        <v>3353</v>
      </c>
      <c r="B3572" t="s">
        <v>3354</v>
      </c>
      <c r="C3572" t="s">
        <v>3268</v>
      </c>
      <c r="D3572" t="s">
        <v>290</v>
      </c>
      <c r="E3572">
        <v>699.99</v>
      </c>
      <c r="F3572" t="s">
        <v>8118</v>
      </c>
      <c r="G3572">
        <v>9</v>
      </c>
      <c r="I3572">
        <v>9</v>
      </c>
      <c r="L3572" t="s">
        <v>10</v>
      </c>
      <c r="M3572">
        <v>594291</v>
      </c>
      <c r="N3572">
        <v>67</v>
      </c>
      <c r="O3572">
        <v>1.4880952380952382E-2</v>
      </c>
      <c r="P3572" t="s">
        <v>7015</v>
      </c>
      <c r="T3572">
        <v>0</v>
      </c>
      <c r="U3572">
        <v>-699.99</v>
      </c>
      <c r="V3572">
        <v>28</v>
      </c>
    </row>
    <row r="3573" spans="1:22" x14ac:dyDescent="0.2">
      <c r="A3573" t="s">
        <v>3352</v>
      </c>
      <c r="B3573" t="s">
        <v>3351</v>
      </c>
      <c r="C3573" t="s">
        <v>3268</v>
      </c>
      <c r="D3573" t="s">
        <v>290</v>
      </c>
      <c r="E3573">
        <v>699.99</v>
      </c>
      <c r="F3573" t="s">
        <v>8118</v>
      </c>
      <c r="L3573" t="s">
        <v>10</v>
      </c>
      <c r="M3573">
        <v>594290</v>
      </c>
      <c r="N3573">
        <v>-58</v>
      </c>
      <c r="O3573">
        <v>-1.7241379310344827E-2</v>
      </c>
      <c r="P3573" t="s">
        <v>7015</v>
      </c>
      <c r="T3573">
        <v>0</v>
      </c>
      <c r="U3573">
        <v>0</v>
      </c>
      <c r="V3573">
        <v>29</v>
      </c>
    </row>
    <row r="3574" spans="1:22" x14ac:dyDescent="0.2">
      <c r="A3574" t="s">
        <v>3344</v>
      </c>
      <c r="B3574" t="s">
        <v>3345</v>
      </c>
      <c r="C3574" t="s">
        <v>3268</v>
      </c>
      <c r="D3574" t="s">
        <v>290</v>
      </c>
      <c r="E3574">
        <v>499.99</v>
      </c>
      <c r="F3574" t="s">
        <v>8118</v>
      </c>
      <c r="L3574" t="s">
        <v>10</v>
      </c>
      <c r="M3574">
        <v>488587</v>
      </c>
      <c r="N3574">
        <v>-55</v>
      </c>
      <c r="O3574">
        <v>-1.8292682926829267E-2</v>
      </c>
      <c r="P3574" t="s">
        <v>7015</v>
      </c>
      <c r="T3574">
        <v>-1</v>
      </c>
      <c r="U3574">
        <v>0</v>
      </c>
      <c r="V3574">
        <v>41</v>
      </c>
    </row>
    <row r="3575" spans="1:22" x14ac:dyDescent="0.2">
      <c r="A3575" t="s">
        <v>3372</v>
      </c>
      <c r="B3575" t="s">
        <v>3371</v>
      </c>
      <c r="C3575" t="s">
        <v>3268</v>
      </c>
      <c r="D3575" t="s">
        <v>228</v>
      </c>
      <c r="E3575">
        <v>799.99</v>
      </c>
      <c r="F3575" t="s">
        <v>8118</v>
      </c>
      <c r="G3575">
        <v>50</v>
      </c>
      <c r="H3575">
        <v>9</v>
      </c>
      <c r="I3575">
        <v>41</v>
      </c>
      <c r="K3575">
        <v>50</v>
      </c>
      <c r="L3575" t="s">
        <v>10</v>
      </c>
      <c r="M3575">
        <v>672422</v>
      </c>
      <c r="N3575">
        <v>34</v>
      </c>
      <c r="O3575">
        <v>2.9569892473118281E-2</v>
      </c>
      <c r="P3575" t="s">
        <v>7015</v>
      </c>
      <c r="T3575">
        <v>6</v>
      </c>
      <c r="U3575">
        <v>1599.98</v>
      </c>
      <c r="V3575">
        <v>186</v>
      </c>
    </row>
    <row r="3576" spans="1:22" x14ac:dyDescent="0.2">
      <c r="A3576" t="s">
        <v>3347</v>
      </c>
      <c r="B3576" t="s">
        <v>3348</v>
      </c>
      <c r="C3576" t="s">
        <v>3268</v>
      </c>
      <c r="D3576" t="s">
        <v>290</v>
      </c>
      <c r="E3576">
        <v>499.99</v>
      </c>
      <c r="F3576" t="s">
        <v>8118</v>
      </c>
      <c r="L3576" t="s">
        <v>10</v>
      </c>
      <c r="M3576">
        <v>488591</v>
      </c>
      <c r="N3576">
        <v>-144</v>
      </c>
      <c r="O3576">
        <v>-6.9444444444444441E-3</v>
      </c>
      <c r="P3576" t="s">
        <v>7015</v>
      </c>
      <c r="T3576">
        <v>0</v>
      </c>
      <c r="U3576">
        <v>0</v>
      </c>
      <c r="V3576">
        <v>12</v>
      </c>
    </row>
    <row r="3577" spans="1:22" x14ac:dyDescent="0.2">
      <c r="A3577" t="s">
        <v>3340</v>
      </c>
      <c r="B3577" t="s">
        <v>3339</v>
      </c>
      <c r="C3577" t="s">
        <v>3268</v>
      </c>
      <c r="D3577" t="s">
        <v>290</v>
      </c>
      <c r="E3577">
        <v>499.99</v>
      </c>
      <c r="F3577" t="s">
        <v>8118</v>
      </c>
      <c r="L3577" t="s">
        <v>10</v>
      </c>
      <c r="M3577">
        <v>488599</v>
      </c>
      <c r="N3577">
        <v>-120</v>
      </c>
      <c r="O3577">
        <v>-8.3333333333333332E-3</v>
      </c>
      <c r="P3577" t="s">
        <v>7015</v>
      </c>
      <c r="T3577">
        <v>0</v>
      </c>
      <c r="U3577">
        <v>0</v>
      </c>
      <c r="V3577">
        <v>40</v>
      </c>
    </row>
    <row r="3578" spans="1:22" x14ac:dyDescent="0.2">
      <c r="A3578" t="s">
        <v>3335</v>
      </c>
      <c r="B3578" t="s">
        <v>3336</v>
      </c>
      <c r="C3578" t="s">
        <v>3268</v>
      </c>
      <c r="D3578" t="s">
        <v>290</v>
      </c>
      <c r="E3578">
        <v>499.99</v>
      </c>
      <c r="F3578" t="s">
        <v>8118</v>
      </c>
      <c r="G3578">
        <v>16</v>
      </c>
      <c r="I3578">
        <v>16</v>
      </c>
      <c r="L3578" t="s">
        <v>10</v>
      </c>
      <c r="M3578">
        <v>488595</v>
      </c>
      <c r="N3578">
        <v>-13</v>
      </c>
      <c r="O3578">
        <v>-7.6923076923076927E-2</v>
      </c>
      <c r="P3578" t="s">
        <v>7015</v>
      </c>
      <c r="T3578">
        <v>-1</v>
      </c>
      <c r="U3578">
        <v>-499.99</v>
      </c>
      <c r="V3578">
        <v>13</v>
      </c>
    </row>
    <row r="3579" spans="1:22" x14ac:dyDescent="0.2">
      <c r="A3579" t="s">
        <v>3332</v>
      </c>
      <c r="B3579" t="s">
        <v>3333</v>
      </c>
      <c r="C3579" t="s">
        <v>3268</v>
      </c>
      <c r="D3579" t="s">
        <v>228</v>
      </c>
      <c r="E3579">
        <v>599.99</v>
      </c>
      <c r="F3579" t="s">
        <v>8118</v>
      </c>
      <c r="G3579">
        <v>25</v>
      </c>
      <c r="H3579">
        <v>14</v>
      </c>
      <c r="I3579">
        <v>11</v>
      </c>
      <c r="K3579">
        <v>120</v>
      </c>
      <c r="L3579" t="s">
        <v>10</v>
      </c>
      <c r="M3579">
        <v>672421</v>
      </c>
      <c r="N3579">
        <v>29</v>
      </c>
      <c r="O3579">
        <v>3.3997955010224949E-2</v>
      </c>
      <c r="P3579" t="s">
        <v>7015</v>
      </c>
      <c r="T3579">
        <v>11</v>
      </c>
      <c r="U3579">
        <v>5399.91</v>
      </c>
      <c r="V3579">
        <v>326</v>
      </c>
    </row>
    <row r="3580" spans="1:22" x14ac:dyDescent="0.2">
      <c r="A3580" t="s">
        <v>3324</v>
      </c>
      <c r="B3580" t="s">
        <v>3325</v>
      </c>
      <c r="C3580" t="s">
        <v>3268</v>
      </c>
      <c r="D3580" t="s">
        <v>228</v>
      </c>
      <c r="E3580">
        <v>599.99</v>
      </c>
      <c r="F3580" t="s">
        <v>8118</v>
      </c>
      <c r="G3580">
        <v>28</v>
      </c>
      <c r="H3580">
        <v>7</v>
      </c>
      <c r="I3580">
        <v>21</v>
      </c>
      <c r="L3580" t="s">
        <v>10</v>
      </c>
      <c r="M3580">
        <v>672420</v>
      </c>
      <c r="N3580">
        <v>3</v>
      </c>
      <c r="O3580">
        <v>0.30952380952380948</v>
      </c>
      <c r="P3580" t="s">
        <v>7015</v>
      </c>
      <c r="T3580">
        <v>2</v>
      </c>
      <c r="U3580">
        <v>2399.96</v>
      </c>
      <c r="V3580">
        <v>7</v>
      </c>
    </row>
    <row r="3581" spans="1:22" x14ac:dyDescent="0.2">
      <c r="A3581" t="s">
        <v>3273</v>
      </c>
      <c r="B3581" t="s">
        <v>3272</v>
      </c>
      <c r="C3581" t="s">
        <v>3268</v>
      </c>
      <c r="D3581" t="s">
        <v>290</v>
      </c>
      <c r="E3581">
        <v>179.99</v>
      </c>
      <c r="F3581" t="s">
        <v>8118</v>
      </c>
      <c r="L3581" t="s">
        <v>10</v>
      </c>
      <c r="M3581">
        <v>356538</v>
      </c>
      <c r="N3581">
        <v>-10</v>
      </c>
      <c r="O3581">
        <v>-0.1</v>
      </c>
      <c r="P3581" t="s">
        <v>7015</v>
      </c>
      <c r="T3581">
        <v>0</v>
      </c>
      <c r="U3581">
        <v>0</v>
      </c>
      <c r="V3581">
        <v>5</v>
      </c>
    </row>
    <row r="3582" spans="1:22" x14ac:dyDescent="0.2">
      <c r="A3582" t="s">
        <v>3276</v>
      </c>
      <c r="B3582" t="s">
        <v>3275</v>
      </c>
      <c r="C3582" t="s">
        <v>3268</v>
      </c>
      <c r="D3582" t="s">
        <v>290</v>
      </c>
      <c r="E3582">
        <v>179.99</v>
      </c>
      <c r="F3582" t="s">
        <v>8118</v>
      </c>
      <c r="G3582">
        <v>1</v>
      </c>
      <c r="I3582">
        <v>1</v>
      </c>
      <c r="L3582" t="s">
        <v>10</v>
      </c>
      <c r="M3582">
        <v>356539</v>
      </c>
      <c r="N3582">
        <v>12</v>
      </c>
      <c r="O3582">
        <v>8.3333333333333329E-2</v>
      </c>
      <c r="P3582" t="s">
        <v>7015</v>
      </c>
      <c r="T3582">
        <v>0</v>
      </c>
      <c r="U3582">
        <v>0</v>
      </c>
      <c r="V3582">
        <v>1</v>
      </c>
    </row>
    <row r="3583" spans="1:22" x14ac:dyDescent="0.2">
      <c r="A3583" t="s">
        <v>3279</v>
      </c>
      <c r="B3583" t="s">
        <v>3278</v>
      </c>
      <c r="C3583" t="s">
        <v>3268</v>
      </c>
      <c r="D3583" t="s">
        <v>228</v>
      </c>
      <c r="E3583">
        <v>99.99</v>
      </c>
      <c r="F3583" t="s">
        <v>8118</v>
      </c>
      <c r="G3583">
        <v>644</v>
      </c>
      <c r="H3583">
        <v>22</v>
      </c>
      <c r="I3583">
        <v>622</v>
      </c>
      <c r="K3583">
        <v>1</v>
      </c>
      <c r="L3583" t="s">
        <v>10</v>
      </c>
      <c r="M3583">
        <v>356536</v>
      </c>
      <c r="N3583">
        <v>15</v>
      </c>
      <c r="O3583">
        <v>6.8082788671023964E-2</v>
      </c>
      <c r="P3583" t="s">
        <v>7015</v>
      </c>
      <c r="T3583">
        <v>21</v>
      </c>
      <c r="U3583">
        <v>1499.85</v>
      </c>
      <c r="V3583">
        <v>306</v>
      </c>
    </row>
    <row r="3584" spans="1:22" x14ac:dyDescent="0.2">
      <c r="A3584" t="s">
        <v>3282</v>
      </c>
      <c r="B3584" t="s">
        <v>3281</v>
      </c>
      <c r="C3584" t="s">
        <v>3268</v>
      </c>
      <c r="D3584" t="s">
        <v>228</v>
      </c>
      <c r="E3584">
        <v>99.99</v>
      </c>
      <c r="F3584" t="s">
        <v>8118</v>
      </c>
      <c r="G3584">
        <v>413</v>
      </c>
      <c r="H3584">
        <v>13</v>
      </c>
      <c r="I3584">
        <v>400</v>
      </c>
      <c r="L3584" t="s">
        <v>10</v>
      </c>
      <c r="M3584">
        <v>356537</v>
      </c>
      <c r="N3584">
        <v>31</v>
      </c>
      <c r="O3584">
        <v>3.2640949554896145E-2</v>
      </c>
      <c r="P3584" t="s">
        <v>7015</v>
      </c>
      <c r="T3584">
        <v>11</v>
      </c>
      <c r="U3584">
        <v>1199.8799999999999</v>
      </c>
      <c r="V3584">
        <v>337</v>
      </c>
    </row>
    <row r="3585" spans="1:22" x14ac:dyDescent="0.2">
      <c r="A3585" t="s">
        <v>3283</v>
      </c>
      <c r="B3585" t="s">
        <v>3284</v>
      </c>
      <c r="C3585" t="s">
        <v>3268</v>
      </c>
      <c r="D3585" t="s">
        <v>290</v>
      </c>
      <c r="E3585">
        <v>249.99</v>
      </c>
      <c r="F3585" t="s">
        <v>8118</v>
      </c>
      <c r="G3585">
        <v>1</v>
      </c>
      <c r="I3585">
        <v>1</v>
      </c>
      <c r="L3585" t="s">
        <v>10</v>
      </c>
      <c r="M3585">
        <v>356540</v>
      </c>
      <c r="N3585">
        <v>0</v>
      </c>
      <c r="O3585">
        <v>0</v>
      </c>
      <c r="P3585" t="s">
        <v>7015</v>
      </c>
      <c r="T3585">
        <v>0</v>
      </c>
      <c r="U3585">
        <v>0</v>
      </c>
      <c r="V3585">
        <v>0</v>
      </c>
    </row>
    <row r="3586" spans="1:22" x14ac:dyDescent="0.2">
      <c r="A3586" t="s">
        <v>3289</v>
      </c>
      <c r="B3586" t="s">
        <v>3290</v>
      </c>
      <c r="C3586" t="s">
        <v>3268</v>
      </c>
      <c r="D3586" t="s">
        <v>228</v>
      </c>
      <c r="E3586">
        <v>359.99</v>
      </c>
      <c r="F3586" t="s">
        <v>8118</v>
      </c>
      <c r="G3586">
        <v>342</v>
      </c>
      <c r="H3586">
        <v>142</v>
      </c>
      <c r="I3586">
        <v>200</v>
      </c>
      <c r="K3586">
        <v>600</v>
      </c>
      <c r="L3586" t="s">
        <v>10</v>
      </c>
      <c r="M3586">
        <v>661758</v>
      </c>
      <c r="N3586">
        <v>12</v>
      </c>
      <c r="O3586">
        <v>8.4935897435897439E-2</v>
      </c>
      <c r="P3586" t="s">
        <v>7015</v>
      </c>
      <c r="T3586">
        <v>31</v>
      </c>
      <c r="U3586">
        <v>7919.7800000000007</v>
      </c>
      <c r="V3586">
        <v>364</v>
      </c>
    </row>
    <row r="3587" spans="1:22" x14ac:dyDescent="0.2">
      <c r="A3587" t="s">
        <v>3292</v>
      </c>
      <c r="B3587" t="s">
        <v>3293</v>
      </c>
      <c r="C3587" t="s">
        <v>3268</v>
      </c>
      <c r="D3587" t="s">
        <v>228</v>
      </c>
      <c r="E3587">
        <v>799.99</v>
      </c>
      <c r="F3587" t="s">
        <v>8118</v>
      </c>
      <c r="G3587">
        <v>411</v>
      </c>
      <c r="H3587">
        <v>60</v>
      </c>
      <c r="I3587">
        <v>351</v>
      </c>
      <c r="L3587" t="s">
        <v>10</v>
      </c>
      <c r="M3587">
        <v>661759</v>
      </c>
      <c r="N3587">
        <v>11</v>
      </c>
      <c r="O3587">
        <v>9.0659340659340656E-2</v>
      </c>
      <c r="P3587" t="s">
        <v>7015</v>
      </c>
      <c r="T3587">
        <v>16</v>
      </c>
      <c r="U3587">
        <v>32799.590000000004</v>
      </c>
      <c r="V3587">
        <v>182</v>
      </c>
    </row>
    <row r="3588" spans="1:22" x14ac:dyDescent="0.2">
      <c r="A3588" t="s">
        <v>3295</v>
      </c>
      <c r="B3588" t="s">
        <v>3296</v>
      </c>
      <c r="C3588" t="s">
        <v>3268</v>
      </c>
      <c r="D3588" t="s">
        <v>228</v>
      </c>
      <c r="E3588">
        <v>199.99</v>
      </c>
      <c r="F3588" t="s">
        <v>8118</v>
      </c>
      <c r="G3588">
        <v>216</v>
      </c>
      <c r="H3588">
        <v>119</v>
      </c>
      <c r="I3588">
        <v>97</v>
      </c>
      <c r="K3588">
        <v>620</v>
      </c>
      <c r="L3588" t="s">
        <v>10</v>
      </c>
      <c r="M3588">
        <v>661757</v>
      </c>
      <c r="N3588">
        <v>6</v>
      </c>
      <c r="O3588">
        <v>0.15698356807511735</v>
      </c>
      <c r="P3588" t="s">
        <v>7015</v>
      </c>
      <c r="T3588">
        <v>45</v>
      </c>
      <c r="U3588">
        <v>18399.080000000002</v>
      </c>
      <c r="V3588">
        <v>284</v>
      </c>
    </row>
    <row r="3589" spans="1:22" x14ac:dyDescent="0.2">
      <c r="A3589" t="s">
        <v>3300</v>
      </c>
      <c r="B3589" t="s">
        <v>3299</v>
      </c>
      <c r="C3589" t="s">
        <v>3268</v>
      </c>
      <c r="D3589" t="s">
        <v>228</v>
      </c>
      <c r="E3589">
        <v>199.99</v>
      </c>
      <c r="F3589" t="s">
        <v>8118</v>
      </c>
      <c r="G3589">
        <v>99</v>
      </c>
      <c r="H3589">
        <v>79</v>
      </c>
      <c r="I3589">
        <v>20</v>
      </c>
      <c r="K3589">
        <v>380</v>
      </c>
      <c r="L3589" t="s">
        <v>10</v>
      </c>
      <c r="M3589">
        <v>661756</v>
      </c>
      <c r="N3589">
        <v>10</v>
      </c>
      <c r="O3589">
        <v>9.5688748685594113E-2</v>
      </c>
      <c r="P3589" t="s">
        <v>7015</v>
      </c>
      <c r="T3589">
        <v>30</v>
      </c>
      <c r="U3589">
        <v>14999.25</v>
      </c>
      <c r="V3589">
        <v>317</v>
      </c>
    </row>
    <row r="3590" spans="1:22" x14ac:dyDescent="0.2">
      <c r="A3590" t="s">
        <v>3303</v>
      </c>
      <c r="B3590" t="s">
        <v>3302</v>
      </c>
      <c r="C3590" t="s">
        <v>3268</v>
      </c>
      <c r="D3590" t="s">
        <v>228</v>
      </c>
      <c r="E3590">
        <v>179.99</v>
      </c>
      <c r="F3590" t="s">
        <v>8118</v>
      </c>
      <c r="G3590">
        <v>848</v>
      </c>
      <c r="H3590">
        <v>204</v>
      </c>
      <c r="I3590">
        <v>644</v>
      </c>
      <c r="K3590">
        <v>276</v>
      </c>
      <c r="L3590" t="s">
        <v>10</v>
      </c>
      <c r="M3590">
        <v>405261</v>
      </c>
      <c r="N3590">
        <v>6</v>
      </c>
      <c r="O3590">
        <v>0.17045454545454544</v>
      </c>
      <c r="P3590" t="s">
        <v>7015</v>
      </c>
      <c r="T3590">
        <v>49</v>
      </c>
      <c r="U3590">
        <v>10799.400000000001</v>
      </c>
      <c r="V3590">
        <v>286</v>
      </c>
    </row>
    <row r="3591" spans="1:22" x14ac:dyDescent="0.2">
      <c r="A3591" t="s">
        <v>3306</v>
      </c>
      <c r="B3591" t="s">
        <v>3305</v>
      </c>
      <c r="C3591" t="s">
        <v>3268</v>
      </c>
      <c r="D3591" t="s">
        <v>228</v>
      </c>
      <c r="E3591">
        <v>449.99</v>
      </c>
      <c r="F3591" t="s">
        <v>8118</v>
      </c>
      <c r="G3591">
        <v>61</v>
      </c>
      <c r="H3591">
        <v>9</v>
      </c>
      <c r="I3591">
        <v>52</v>
      </c>
      <c r="K3591">
        <v>30</v>
      </c>
      <c r="L3591" t="s">
        <v>10</v>
      </c>
      <c r="M3591">
        <v>540977</v>
      </c>
      <c r="N3591">
        <v>9</v>
      </c>
      <c r="O3591">
        <v>0.1076388888888889</v>
      </c>
      <c r="P3591" t="s">
        <v>7015</v>
      </c>
      <c r="T3591">
        <v>5</v>
      </c>
      <c r="U3591">
        <v>8099.82</v>
      </c>
      <c r="V3591">
        <v>48</v>
      </c>
    </row>
    <row r="3592" spans="1:22" x14ac:dyDescent="0.2">
      <c r="A3592" t="s">
        <v>3321</v>
      </c>
      <c r="B3592" t="s">
        <v>3322</v>
      </c>
      <c r="C3592" t="s">
        <v>3268</v>
      </c>
      <c r="D3592" t="s">
        <v>228</v>
      </c>
      <c r="E3592">
        <v>599.99</v>
      </c>
      <c r="F3592" t="s">
        <v>8118</v>
      </c>
      <c r="G3592">
        <v>4</v>
      </c>
      <c r="H3592">
        <v>3</v>
      </c>
      <c r="I3592">
        <v>1</v>
      </c>
      <c r="K3592">
        <v>20</v>
      </c>
      <c r="L3592" t="s">
        <v>10</v>
      </c>
      <c r="M3592">
        <v>672419</v>
      </c>
      <c r="N3592">
        <v>4</v>
      </c>
      <c r="O3592">
        <v>0.23958333333333337</v>
      </c>
      <c r="P3592" t="s">
        <v>7015</v>
      </c>
      <c r="T3592">
        <v>2</v>
      </c>
      <c r="U3592">
        <v>1199.98</v>
      </c>
      <c r="V3592">
        <v>8</v>
      </c>
    </row>
    <row r="3593" spans="1:22" x14ac:dyDescent="0.2">
      <c r="A3593" t="s">
        <v>3329</v>
      </c>
      <c r="B3593" t="s">
        <v>3328</v>
      </c>
      <c r="C3593" t="s">
        <v>3268</v>
      </c>
      <c r="D3593" t="s">
        <v>228</v>
      </c>
      <c r="E3593">
        <v>599.99</v>
      </c>
      <c r="F3593" t="s">
        <v>8118</v>
      </c>
      <c r="G3593">
        <v>44</v>
      </c>
      <c r="H3593">
        <v>10</v>
      </c>
      <c r="I3593">
        <v>34</v>
      </c>
      <c r="K3593">
        <v>100</v>
      </c>
      <c r="L3593" t="s">
        <v>10</v>
      </c>
      <c r="M3593">
        <v>672418</v>
      </c>
      <c r="N3593">
        <v>32</v>
      </c>
      <c r="O3593">
        <v>3.1437125748502992E-2</v>
      </c>
      <c r="P3593" t="s">
        <v>7015</v>
      </c>
      <c r="T3593">
        <v>10</v>
      </c>
      <c r="U3593">
        <v>3599.94</v>
      </c>
      <c r="V3593">
        <v>334</v>
      </c>
    </row>
    <row r="3594" spans="1:22" x14ac:dyDescent="0.2">
      <c r="A3594" t="s">
        <v>3273</v>
      </c>
      <c r="B3594" t="s">
        <v>3272</v>
      </c>
      <c r="C3594" t="s">
        <v>3268</v>
      </c>
      <c r="D3594" t="s">
        <v>290</v>
      </c>
      <c r="E3594">
        <v>179.99</v>
      </c>
      <c r="F3594" t="s">
        <v>8118</v>
      </c>
      <c r="L3594" t="s">
        <v>8</v>
      </c>
      <c r="M3594" t="s">
        <v>6973</v>
      </c>
      <c r="N3594">
        <v>0.8</v>
      </c>
      <c r="O3594">
        <v>1.25</v>
      </c>
      <c r="Q3594">
        <v>1</v>
      </c>
      <c r="R3594">
        <v>0</v>
      </c>
      <c r="S3594">
        <v>0</v>
      </c>
      <c r="T3594">
        <v>1.25</v>
      </c>
      <c r="U3594">
        <v>0</v>
      </c>
      <c r="V3594">
        <v>1</v>
      </c>
    </row>
    <row r="3595" spans="1:22" x14ac:dyDescent="0.2">
      <c r="A3595" t="s">
        <v>3276</v>
      </c>
      <c r="B3595" t="s">
        <v>3275</v>
      </c>
      <c r="C3595" t="s">
        <v>3268</v>
      </c>
      <c r="D3595" t="s">
        <v>290</v>
      </c>
      <c r="E3595">
        <v>179.99</v>
      </c>
      <c r="F3595" t="s">
        <v>8118</v>
      </c>
      <c r="G3595">
        <v>1</v>
      </c>
      <c r="I3595">
        <v>1</v>
      </c>
      <c r="L3595" t="s">
        <v>8</v>
      </c>
      <c r="M3595" t="s">
        <v>6976</v>
      </c>
      <c r="N3595">
        <v>0.75</v>
      </c>
      <c r="O3595">
        <v>1.3333333333333333</v>
      </c>
      <c r="Q3595">
        <v>0</v>
      </c>
      <c r="R3595">
        <v>0</v>
      </c>
      <c r="S3595">
        <v>2</v>
      </c>
      <c r="T3595">
        <v>2.6666666666666665</v>
      </c>
      <c r="U3595">
        <v>359.98</v>
      </c>
      <c r="V3595">
        <v>2</v>
      </c>
    </row>
    <row r="3596" spans="1:22" x14ac:dyDescent="0.2">
      <c r="A3596" t="s">
        <v>3283</v>
      </c>
      <c r="B3596" t="s">
        <v>3284</v>
      </c>
      <c r="C3596" t="s">
        <v>3268</v>
      </c>
      <c r="D3596" t="s">
        <v>290</v>
      </c>
      <c r="E3596">
        <v>249.99</v>
      </c>
      <c r="F3596" t="s">
        <v>8118</v>
      </c>
      <c r="G3596">
        <v>1</v>
      </c>
      <c r="I3596">
        <v>1</v>
      </c>
      <c r="L3596" t="s">
        <v>8</v>
      </c>
      <c r="M3596" t="s">
        <v>6970</v>
      </c>
      <c r="N3596">
        <v>0</v>
      </c>
      <c r="O3596">
        <v>0</v>
      </c>
      <c r="Q3596">
        <v>0</v>
      </c>
      <c r="R3596">
        <v>0</v>
      </c>
      <c r="S3596">
        <v>0</v>
      </c>
      <c r="T3596">
        <v>-0.25</v>
      </c>
      <c r="U3596">
        <v>0</v>
      </c>
      <c r="V3596">
        <v>0</v>
      </c>
    </row>
    <row r="3597" spans="1:22" x14ac:dyDescent="0.2">
      <c r="A3597" t="s">
        <v>3289</v>
      </c>
      <c r="B3597" t="s">
        <v>3290</v>
      </c>
      <c r="C3597" t="s">
        <v>3268</v>
      </c>
      <c r="D3597" t="s">
        <v>228</v>
      </c>
      <c r="E3597">
        <v>359.99</v>
      </c>
      <c r="F3597" t="s">
        <v>8118</v>
      </c>
      <c r="G3597">
        <v>342</v>
      </c>
      <c r="H3597">
        <v>142</v>
      </c>
      <c r="I3597">
        <v>200</v>
      </c>
      <c r="K3597">
        <v>600</v>
      </c>
      <c r="L3597" t="s">
        <v>8</v>
      </c>
      <c r="M3597" t="s">
        <v>6987</v>
      </c>
      <c r="N3597">
        <v>100.8</v>
      </c>
      <c r="O3597">
        <v>9.9206349206349201E-3</v>
      </c>
      <c r="Q3597">
        <v>2</v>
      </c>
      <c r="R3597">
        <v>29</v>
      </c>
      <c r="S3597">
        <v>95</v>
      </c>
      <c r="T3597">
        <v>1.25</v>
      </c>
      <c r="U3597">
        <v>2159.94</v>
      </c>
      <c r="V3597">
        <v>126</v>
      </c>
    </row>
    <row r="3598" spans="1:22" x14ac:dyDescent="0.2">
      <c r="A3598" t="s">
        <v>3292</v>
      </c>
      <c r="B3598" t="s">
        <v>3293</v>
      </c>
      <c r="C3598" t="s">
        <v>3268</v>
      </c>
      <c r="D3598" t="s">
        <v>228</v>
      </c>
      <c r="E3598">
        <v>799.99</v>
      </c>
      <c r="F3598" t="s">
        <v>8118</v>
      </c>
      <c r="G3598">
        <v>411</v>
      </c>
      <c r="H3598">
        <v>60</v>
      </c>
      <c r="I3598">
        <v>351</v>
      </c>
      <c r="L3598" t="s">
        <v>8</v>
      </c>
      <c r="M3598" t="s">
        <v>6984</v>
      </c>
      <c r="N3598">
        <v>12</v>
      </c>
      <c r="O3598">
        <v>8.3333333333333329E-2</v>
      </c>
      <c r="Q3598">
        <v>0</v>
      </c>
      <c r="R3598">
        <v>1</v>
      </c>
      <c r="S3598">
        <v>1</v>
      </c>
      <c r="T3598">
        <v>0.16666666666666666</v>
      </c>
      <c r="U3598">
        <v>0</v>
      </c>
      <c r="V3598">
        <v>2</v>
      </c>
    </row>
    <row r="3599" spans="1:22" x14ac:dyDescent="0.2">
      <c r="A3599" t="s">
        <v>3295</v>
      </c>
      <c r="B3599" t="s">
        <v>3296</v>
      </c>
      <c r="C3599" t="s">
        <v>3268</v>
      </c>
      <c r="D3599" t="s">
        <v>228</v>
      </c>
      <c r="E3599">
        <v>199.99</v>
      </c>
      <c r="F3599" t="s">
        <v>8118</v>
      </c>
      <c r="G3599">
        <v>216</v>
      </c>
      <c r="H3599">
        <v>119</v>
      </c>
      <c r="I3599">
        <v>97</v>
      </c>
      <c r="K3599">
        <v>620</v>
      </c>
      <c r="L3599" t="s">
        <v>8</v>
      </c>
      <c r="M3599" t="s">
        <v>6990</v>
      </c>
      <c r="N3599">
        <v>48.4</v>
      </c>
      <c r="O3599">
        <v>2.0661157024793389E-2</v>
      </c>
      <c r="Q3599">
        <v>0</v>
      </c>
      <c r="R3599">
        <v>26</v>
      </c>
      <c r="S3599">
        <v>95</v>
      </c>
      <c r="T3599">
        <v>2.5</v>
      </c>
      <c r="U3599">
        <v>399.98</v>
      </c>
      <c r="V3599">
        <v>121</v>
      </c>
    </row>
    <row r="3600" spans="1:22" x14ac:dyDescent="0.2">
      <c r="A3600" t="s">
        <v>3300</v>
      </c>
      <c r="B3600" t="s">
        <v>3299</v>
      </c>
      <c r="C3600" t="s">
        <v>3268</v>
      </c>
      <c r="D3600" t="s">
        <v>228</v>
      </c>
      <c r="E3600">
        <v>199.99</v>
      </c>
      <c r="F3600" t="s">
        <v>8118</v>
      </c>
      <c r="G3600">
        <v>99</v>
      </c>
      <c r="H3600">
        <v>79</v>
      </c>
      <c r="I3600">
        <v>20</v>
      </c>
      <c r="K3600">
        <v>380</v>
      </c>
      <c r="L3600" t="s">
        <v>8</v>
      </c>
      <c r="M3600" t="s">
        <v>6993</v>
      </c>
      <c r="N3600">
        <v>180</v>
      </c>
      <c r="O3600">
        <v>5.5555555555555549E-3</v>
      </c>
      <c r="Q3600">
        <v>0</v>
      </c>
      <c r="R3600">
        <v>29</v>
      </c>
      <c r="S3600">
        <v>1</v>
      </c>
      <c r="T3600">
        <v>0.16666666666666666</v>
      </c>
      <c r="U3600">
        <v>199.99</v>
      </c>
      <c r="V3600">
        <v>30</v>
      </c>
    </row>
    <row r="3601" spans="1:22" x14ac:dyDescent="0.2">
      <c r="A3601" t="s">
        <v>3279</v>
      </c>
      <c r="B3601" t="s">
        <v>3278</v>
      </c>
      <c r="C3601" t="s">
        <v>3268</v>
      </c>
      <c r="D3601" t="s">
        <v>228</v>
      </c>
      <c r="E3601">
        <v>99.99</v>
      </c>
      <c r="F3601" t="s">
        <v>8118</v>
      </c>
      <c r="G3601">
        <v>644</v>
      </c>
      <c r="H3601">
        <v>22</v>
      </c>
      <c r="I3601">
        <v>622</v>
      </c>
      <c r="K3601">
        <v>1</v>
      </c>
      <c r="L3601" t="s">
        <v>8</v>
      </c>
      <c r="M3601" t="s">
        <v>6979</v>
      </c>
      <c r="N3601">
        <v>86.307692307692307</v>
      </c>
      <c r="O3601">
        <v>1.158645276292335E-2</v>
      </c>
      <c r="Q3601">
        <v>1</v>
      </c>
      <c r="R3601">
        <v>22</v>
      </c>
      <c r="S3601">
        <v>164</v>
      </c>
      <c r="T3601">
        <v>2.1666666666666665</v>
      </c>
      <c r="U3601">
        <v>199.98</v>
      </c>
      <c r="V3601">
        <v>187</v>
      </c>
    </row>
    <row r="3602" spans="1:22" x14ac:dyDescent="0.2">
      <c r="A3602" t="s">
        <v>3303</v>
      </c>
      <c r="B3602" t="s">
        <v>3302</v>
      </c>
      <c r="C3602" t="s">
        <v>3268</v>
      </c>
      <c r="D3602" t="s">
        <v>228</v>
      </c>
      <c r="E3602">
        <v>179.99</v>
      </c>
      <c r="F3602" t="s">
        <v>8118</v>
      </c>
      <c r="G3602">
        <v>848</v>
      </c>
      <c r="H3602">
        <v>204</v>
      </c>
      <c r="I3602">
        <v>644</v>
      </c>
      <c r="K3602">
        <v>276</v>
      </c>
      <c r="L3602" t="s">
        <v>8</v>
      </c>
      <c r="M3602" t="s">
        <v>6999</v>
      </c>
      <c r="N3602">
        <v>13.736842105263159</v>
      </c>
      <c r="O3602">
        <v>7.2796934865900373E-2</v>
      </c>
      <c r="Q3602">
        <v>0</v>
      </c>
      <c r="R3602">
        <v>42</v>
      </c>
      <c r="S3602">
        <v>45</v>
      </c>
      <c r="T3602">
        <v>6.333333333333333</v>
      </c>
      <c r="U3602">
        <v>539.97</v>
      </c>
      <c r="V3602">
        <v>87</v>
      </c>
    </row>
    <row r="3603" spans="1:22" x14ac:dyDescent="0.2">
      <c r="A3603" t="s">
        <v>3306</v>
      </c>
      <c r="B3603" t="s">
        <v>3305</v>
      </c>
      <c r="C3603" t="s">
        <v>3268</v>
      </c>
      <c r="D3603" t="s">
        <v>228</v>
      </c>
      <c r="E3603">
        <v>449.99</v>
      </c>
      <c r="F3603" t="s">
        <v>8118</v>
      </c>
      <c r="G3603">
        <v>61</v>
      </c>
      <c r="H3603">
        <v>9</v>
      </c>
      <c r="I3603">
        <v>52</v>
      </c>
      <c r="K3603">
        <v>30</v>
      </c>
      <c r="L3603" t="s">
        <v>8109</v>
      </c>
      <c r="M3603" t="s">
        <v>97</v>
      </c>
      <c r="N3603">
        <v>0</v>
      </c>
      <c r="O3603">
        <v>0</v>
      </c>
      <c r="T3603">
        <v>0.36363636363636365</v>
      </c>
      <c r="U3603">
        <v>449.99</v>
      </c>
      <c r="V3603">
        <v>0</v>
      </c>
    </row>
    <row r="3604" spans="1:22" x14ac:dyDescent="0.2">
      <c r="A3604" t="s">
        <v>3335</v>
      </c>
      <c r="B3604" t="s">
        <v>3336</v>
      </c>
      <c r="C3604" t="s">
        <v>3268</v>
      </c>
      <c r="D3604" t="s">
        <v>290</v>
      </c>
      <c r="E3604">
        <v>499.99</v>
      </c>
      <c r="F3604" t="s">
        <v>8118</v>
      </c>
      <c r="G3604">
        <v>16</v>
      </c>
      <c r="I3604">
        <v>16</v>
      </c>
      <c r="L3604" t="s">
        <v>8109</v>
      </c>
      <c r="M3604" t="s">
        <v>97</v>
      </c>
      <c r="N3604">
        <v>0</v>
      </c>
      <c r="O3604">
        <v>0</v>
      </c>
      <c r="T3604">
        <v>0</v>
      </c>
      <c r="U3604">
        <v>0</v>
      </c>
      <c r="V3604">
        <v>0</v>
      </c>
    </row>
    <row r="3605" spans="1:22" x14ac:dyDescent="0.2">
      <c r="A3605" t="s">
        <v>3340</v>
      </c>
      <c r="B3605" t="s">
        <v>3339</v>
      </c>
      <c r="C3605" t="s">
        <v>3268</v>
      </c>
      <c r="D3605" t="s">
        <v>290</v>
      </c>
      <c r="E3605">
        <v>499.99</v>
      </c>
      <c r="F3605" t="s">
        <v>8118</v>
      </c>
      <c r="L3605" t="s">
        <v>8109</v>
      </c>
      <c r="M3605" t="s">
        <v>97</v>
      </c>
      <c r="N3605">
        <v>0</v>
      </c>
      <c r="O3605">
        <v>0</v>
      </c>
      <c r="T3605">
        <v>0</v>
      </c>
      <c r="U3605">
        <v>0</v>
      </c>
      <c r="V3605">
        <v>0</v>
      </c>
    </row>
    <row r="3606" spans="1:22" x14ac:dyDescent="0.2">
      <c r="A3606" t="s">
        <v>3343</v>
      </c>
      <c r="B3606" t="s">
        <v>3342</v>
      </c>
      <c r="C3606" t="s">
        <v>3268</v>
      </c>
      <c r="D3606" t="s">
        <v>290</v>
      </c>
      <c r="E3606">
        <v>499.99</v>
      </c>
      <c r="F3606" t="s">
        <v>8118</v>
      </c>
      <c r="L3606" t="s">
        <v>8109</v>
      </c>
      <c r="M3606" t="s">
        <v>97</v>
      </c>
      <c r="N3606">
        <v>0</v>
      </c>
      <c r="O3606">
        <v>0</v>
      </c>
      <c r="T3606">
        <v>1</v>
      </c>
      <c r="U3606">
        <v>0</v>
      </c>
      <c r="V3606">
        <v>0</v>
      </c>
    </row>
    <row r="3607" spans="1:22" x14ac:dyDescent="0.2">
      <c r="A3607" t="s">
        <v>3344</v>
      </c>
      <c r="B3607" t="s">
        <v>3345</v>
      </c>
      <c r="C3607" t="s">
        <v>3268</v>
      </c>
      <c r="D3607" t="s">
        <v>290</v>
      </c>
      <c r="E3607">
        <v>499.99</v>
      </c>
      <c r="F3607" t="s">
        <v>8118</v>
      </c>
      <c r="L3607" t="s">
        <v>8109</v>
      </c>
      <c r="M3607" t="s">
        <v>97</v>
      </c>
      <c r="N3607">
        <v>0</v>
      </c>
      <c r="O3607">
        <v>0</v>
      </c>
      <c r="T3607">
        <v>1</v>
      </c>
      <c r="U3607">
        <v>0</v>
      </c>
      <c r="V3607">
        <v>0</v>
      </c>
    </row>
    <row r="3608" spans="1:22" x14ac:dyDescent="0.2">
      <c r="A3608" t="s">
        <v>3347</v>
      </c>
      <c r="B3608" t="s">
        <v>3348</v>
      </c>
      <c r="C3608" t="s">
        <v>3268</v>
      </c>
      <c r="D3608" t="s">
        <v>290</v>
      </c>
      <c r="E3608">
        <v>499.99</v>
      </c>
      <c r="F3608" t="s">
        <v>8118</v>
      </c>
      <c r="L3608" t="s">
        <v>8109</v>
      </c>
      <c r="M3608" t="s">
        <v>97</v>
      </c>
      <c r="N3608">
        <v>0</v>
      </c>
      <c r="O3608">
        <v>0</v>
      </c>
      <c r="T3608">
        <v>0</v>
      </c>
      <c r="U3608">
        <v>0</v>
      </c>
      <c r="V3608">
        <v>0</v>
      </c>
    </row>
    <row r="3609" spans="1:22" x14ac:dyDescent="0.2">
      <c r="A3609" t="s">
        <v>3382</v>
      </c>
      <c r="B3609" t="s">
        <v>3383</v>
      </c>
      <c r="C3609" t="s">
        <v>3268</v>
      </c>
      <c r="D3609" t="s">
        <v>228</v>
      </c>
      <c r="E3609">
        <v>199.99</v>
      </c>
      <c r="F3609" t="s">
        <v>8118</v>
      </c>
      <c r="G3609">
        <v>344</v>
      </c>
      <c r="H3609">
        <v>31</v>
      </c>
      <c r="I3609">
        <v>313</v>
      </c>
      <c r="L3609" t="s">
        <v>8109</v>
      </c>
      <c r="M3609" t="s">
        <v>97</v>
      </c>
      <c r="N3609">
        <v>7.3333333333333339</v>
      </c>
      <c r="O3609">
        <v>0.13636363636363635</v>
      </c>
      <c r="T3609">
        <v>0.27272727272727271</v>
      </c>
      <c r="U3609">
        <v>-199.99</v>
      </c>
      <c r="V3609">
        <v>2</v>
      </c>
    </row>
    <row r="3610" spans="1:22" x14ac:dyDescent="0.2">
      <c r="A3610" t="s">
        <v>3303</v>
      </c>
      <c r="B3610" t="s">
        <v>3302</v>
      </c>
      <c r="C3610" t="s">
        <v>3268</v>
      </c>
      <c r="D3610" t="s">
        <v>228</v>
      </c>
      <c r="E3610">
        <v>179.99</v>
      </c>
      <c r="F3610" t="s">
        <v>8118</v>
      </c>
      <c r="G3610">
        <v>848</v>
      </c>
      <c r="H3610">
        <v>204</v>
      </c>
      <c r="I3610">
        <v>644</v>
      </c>
      <c r="K3610">
        <v>276</v>
      </c>
      <c r="L3610" t="s">
        <v>8109</v>
      </c>
      <c r="M3610" t="s">
        <v>97</v>
      </c>
      <c r="N3610">
        <v>1.5714285714285714</v>
      </c>
      <c r="O3610">
        <v>0.63636363636363635</v>
      </c>
      <c r="T3610">
        <v>0.63636363636363635</v>
      </c>
      <c r="U3610">
        <v>359.98</v>
      </c>
      <c r="V3610">
        <v>1</v>
      </c>
    </row>
    <row r="3611" spans="1:22" x14ac:dyDescent="0.2">
      <c r="A3611" t="s">
        <v>3385</v>
      </c>
      <c r="B3611" t="s">
        <v>3386</v>
      </c>
      <c r="C3611" t="s">
        <v>3268</v>
      </c>
      <c r="D3611" t="s">
        <v>228</v>
      </c>
      <c r="E3611">
        <v>179.99</v>
      </c>
      <c r="F3611" t="s">
        <v>8118</v>
      </c>
      <c r="G3611">
        <v>55</v>
      </c>
      <c r="H3611">
        <v>1</v>
      </c>
      <c r="I3611">
        <v>54</v>
      </c>
      <c r="K3611">
        <v>24</v>
      </c>
      <c r="L3611" t="s">
        <v>8109</v>
      </c>
      <c r="M3611" t="s">
        <v>97</v>
      </c>
      <c r="N3611">
        <v>3</v>
      </c>
      <c r="O3611">
        <v>0</v>
      </c>
      <c r="T3611">
        <v>0</v>
      </c>
      <c r="U3611">
        <v>0</v>
      </c>
      <c r="V3611">
        <v>3</v>
      </c>
    </row>
    <row r="3612" spans="1:22" x14ac:dyDescent="0.2">
      <c r="A3612" t="s">
        <v>3292</v>
      </c>
      <c r="B3612" t="s">
        <v>3293</v>
      </c>
      <c r="C3612" t="s">
        <v>3268</v>
      </c>
      <c r="D3612" t="s">
        <v>228</v>
      </c>
      <c r="E3612">
        <v>799.99</v>
      </c>
      <c r="F3612" t="s">
        <v>8118</v>
      </c>
      <c r="G3612">
        <v>411</v>
      </c>
      <c r="H3612">
        <v>60</v>
      </c>
      <c r="I3612">
        <v>351</v>
      </c>
      <c r="L3612" t="s">
        <v>8109</v>
      </c>
      <c r="M3612" t="s">
        <v>97</v>
      </c>
      <c r="N3612">
        <v>2.4444444444444442</v>
      </c>
      <c r="O3612">
        <v>0.40909090909090912</v>
      </c>
      <c r="T3612">
        <v>0.81818181818181823</v>
      </c>
      <c r="U3612">
        <v>799.99</v>
      </c>
      <c r="V3612">
        <v>2</v>
      </c>
    </row>
    <row r="3613" spans="1:22" x14ac:dyDescent="0.2">
      <c r="A3613" t="s">
        <v>3300</v>
      </c>
      <c r="B3613" t="s">
        <v>3299</v>
      </c>
      <c r="C3613" t="s">
        <v>3268</v>
      </c>
      <c r="D3613" t="s">
        <v>228</v>
      </c>
      <c r="E3613">
        <v>199.99</v>
      </c>
      <c r="F3613" t="s">
        <v>8118</v>
      </c>
      <c r="G3613">
        <v>99</v>
      </c>
      <c r="H3613">
        <v>79</v>
      </c>
      <c r="I3613">
        <v>20</v>
      </c>
      <c r="K3613">
        <v>380</v>
      </c>
      <c r="L3613" t="s">
        <v>8109</v>
      </c>
      <c r="M3613" t="s">
        <v>97</v>
      </c>
      <c r="N3613">
        <v>18.586206896551726</v>
      </c>
      <c r="O3613">
        <v>5.3803339517625226E-2</v>
      </c>
      <c r="T3613">
        <v>5.2727272727272725</v>
      </c>
      <c r="U3613">
        <v>1799.91</v>
      </c>
      <c r="V3613">
        <v>98</v>
      </c>
    </row>
    <row r="3614" spans="1:22" x14ac:dyDescent="0.2">
      <c r="A3614" t="s">
        <v>3295</v>
      </c>
      <c r="B3614" t="s">
        <v>3296</v>
      </c>
      <c r="C3614" t="s">
        <v>3268</v>
      </c>
      <c r="D3614" t="s">
        <v>228</v>
      </c>
      <c r="E3614">
        <v>199.99</v>
      </c>
      <c r="F3614" t="s">
        <v>8118</v>
      </c>
      <c r="G3614">
        <v>216</v>
      </c>
      <c r="H3614">
        <v>119</v>
      </c>
      <c r="I3614">
        <v>97</v>
      </c>
      <c r="K3614">
        <v>620</v>
      </c>
      <c r="L3614" t="s">
        <v>8109</v>
      </c>
      <c r="M3614" t="s">
        <v>97</v>
      </c>
      <c r="N3614">
        <v>13.75</v>
      </c>
      <c r="O3614">
        <v>7.2727272727272738E-2</v>
      </c>
      <c r="T3614">
        <v>6.5454545454545459</v>
      </c>
      <c r="U3614">
        <v>399.98</v>
      </c>
      <c r="V3614">
        <v>90</v>
      </c>
    </row>
    <row r="3615" spans="1:22" x14ac:dyDescent="0.2">
      <c r="A3615" t="s">
        <v>3273</v>
      </c>
      <c r="B3615" t="s">
        <v>3272</v>
      </c>
      <c r="C3615" t="s">
        <v>3268</v>
      </c>
      <c r="D3615" t="s">
        <v>290</v>
      </c>
      <c r="E3615">
        <v>179.99</v>
      </c>
      <c r="F3615" t="s">
        <v>8118</v>
      </c>
      <c r="L3615" t="s">
        <v>8109</v>
      </c>
      <c r="M3615" t="s">
        <v>97</v>
      </c>
      <c r="N3615">
        <v>60.5</v>
      </c>
      <c r="O3615">
        <v>1.6528925619834711E-2</v>
      </c>
      <c r="T3615">
        <v>0.18181818181818182</v>
      </c>
      <c r="U3615">
        <v>0</v>
      </c>
      <c r="V3615">
        <v>11</v>
      </c>
    </row>
    <row r="3616" spans="1:22" x14ac:dyDescent="0.2">
      <c r="A3616" t="s">
        <v>3276</v>
      </c>
      <c r="B3616" t="s">
        <v>3275</v>
      </c>
      <c r="C3616" t="s">
        <v>3268</v>
      </c>
      <c r="D3616" t="s">
        <v>290</v>
      </c>
      <c r="E3616">
        <v>179.99</v>
      </c>
      <c r="F3616" t="s">
        <v>8118</v>
      </c>
      <c r="G3616">
        <v>1</v>
      </c>
      <c r="I3616">
        <v>1</v>
      </c>
      <c r="L3616" t="s">
        <v>8109</v>
      </c>
      <c r="M3616" t="s">
        <v>97</v>
      </c>
      <c r="N3616">
        <v>176</v>
      </c>
      <c r="O3616">
        <v>5.681818181818182E-3</v>
      </c>
      <c r="T3616">
        <v>9.0909090909090912E-2</v>
      </c>
      <c r="U3616">
        <v>-179.99</v>
      </c>
      <c r="V3616">
        <v>16</v>
      </c>
    </row>
    <row r="3617" spans="1:22" x14ac:dyDescent="0.2">
      <c r="A3617" t="s">
        <v>3279</v>
      </c>
      <c r="B3617" t="s">
        <v>3278</v>
      </c>
      <c r="C3617" t="s">
        <v>3268</v>
      </c>
      <c r="D3617" t="s">
        <v>228</v>
      </c>
      <c r="E3617">
        <v>99.99</v>
      </c>
      <c r="F3617" t="s">
        <v>8118</v>
      </c>
      <c r="G3617">
        <v>644</v>
      </c>
      <c r="H3617">
        <v>22</v>
      </c>
      <c r="I3617">
        <v>622</v>
      </c>
      <c r="K3617">
        <v>1</v>
      </c>
      <c r="L3617" t="s">
        <v>8109</v>
      </c>
      <c r="M3617" t="s">
        <v>97</v>
      </c>
      <c r="N3617">
        <v>15.551724137931036</v>
      </c>
      <c r="O3617">
        <v>6.4301552106430154E-2</v>
      </c>
      <c r="T3617">
        <v>5.2727272727272725</v>
      </c>
      <c r="U3617">
        <v>399.96</v>
      </c>
      <c r="V3617">
        <v>82</v>
      </c>
    </row>
    <row r="3618" spans="1:22" x14ac:dyDescent="0.2">
      <c r="A3618" t="s">
        <v>3282</v>
      </c>
      <c r="B3618" t="s">
        <v>3281</v>
      </c>
      <c r="C3618" t="s">
        <v>3268</v>
      </c>
      <c r="D3618" t="s">
        <v>228</v>
      </c>
      <c r="E3618">
        <v>99.99</v>
      </c>
      <c r="F3618" t="s">
        <v>8118</v>
      </c>
      <c r="G3618">
        <v>413</v>
      </c>
      <c r="H3618">
        <v>13</v>
      </c>
      <c r="I3618">
        <v>400</v>
      </c>
      <c r="L3618" t="s">
        <v>8109</v>
      </c>
      <c r="M3618" t="s">
        <v>97</v>
      </c>
      <c r="N3618">
        <v>37.321428571428569</v>
      </c>
      <c r="O3618">
        <v>2.6794258373205742E-2</v>
      </c>
      <c r="T3618">
        <v>2.5454545454545454</v>
      </c>
      <c r="U3618">
        <v>99.99</v>
      </c>
      <c r="V3618">
        <v>95</v>
      </c>
    </row>
    <row r="3619" spans="1:22" x14ac:dyDescent="0.2">
      <c r="A3619" t="s">
        <v>3283</v>
      </c>
      <c r="B3619" t="s">
        <v>3284</v>
      </c>
      <c r="C3619" t="s">
        <v>3268</v>
      </c>
      <c r="D3619" t="s">
        <v>290</v>
      </c>
      <c r="E3619">
        <v>249.99</v>
      </c>
      <c r="F3619" t="s">
        <v>8118</v>
      </c>
      <c r="G3619">
        <v>1</v>
      </c>
      <c r="I3619">
        <v>1</v>
      </c>
      <c r="L3619" t="s">
        <v>8109</v>
      </c>
      <c r="M3619" t="s">
        <v>97</v>
      </c>
      <c r="N3619">
        <v>187</v>
      </c>
      <c r="O3619">
        <v>5.3475935828877011E-3</v>
      </c>
      <c r="T3619">
        <v>9.0909090909090912E-2</v>
      </c>
      <c r="U3619">
        <v>-249.99</v>
      </c>
      <c r="V3619">
        <v>17</v>
      </c>
    </row>
    <row r="3620" spans="1:22" x14ac:dyDescent="0.2">
      <c r="A3620" t="s">
        <v>3289</v>
      </c>
      <c r="B3620" t="s">
        <v>3290</v>
      </c>
      <c r="C3620" t="s">
        <v>3268</v>
      </c>
      <c r="D3620" t="s">
        <v>228</v>
      </c>
      <c r="E3620">
        <v>359.99</v>
      </c>
      <c r="F3620" t="s">
        <v>8118</v>
      </c>
      <c r="G3620">
        <v>342</v>
      </c>
      <c r="H3620">
        <v>142</v>
      </c>
      <c r="I3620">
        <v>200</v>
      </c>
      <c r="K3620">
        <v>600</v>
      </c>
      <c r="L3620" t="s">
        <v>8109</v>
      </c>
      <c r="M3620" t="s">
        <v>97</v>
      </c>
      <c r="N3620">
        <v>8.8000000000000007</v>
      </c>
      <c r="O3620">
        <v>0.11363636363636363</v>
      </c>
      <c r="T3620">
        <v>1.3636363636363635</v>
      </c>
      <c r="U3620">
        <v>0</v>
      </c>
      <c r="V3620">
        <v>12</v>
      </c>
    </row>
    <row r="3621" spans="1:22" x14ac:dyDescent="0.2">
      <c r="A3621" t="s">
        <v>3405</v>
      </c>
      <c r="B3621" t="s">
        <v>3406</v>
      </c>
      <c r="C3621" t="s">
        <v>3396</v>
      </c>
      <c r="D3621" t="s">
        <v>96</v>
      </c>
      <c r="E3621">
        <v>659.99</v>
      </c>
      <c r="F3621" t="s">
        <v>8118</v>
      </c>
      <c r="L3621" t="s">
        <v>8119</v>
      </c>
      <c r="U3621">
        <v>0</v>
      </c>
      <c r="V3621">
        <v>0</v>
      </c>
    </row>
    <row r="3622" spans="1:22" x14ac:dyDescent="0.2">
      <c r="A3622" t="s">
        <v>3399</v>
      </c>
      <c r="B3622" t="s">
        <v>3400</v>
      </c>
      <c r="C3622" t="s">
        <v>3396</v>
      </c>
      <c r="D3622" t="s">
        <v>96</v>
      </c>
      <c r="E3622">
        <v>12.99</v>
      </c>
      <c r="F3622" t="s">
        <v>8118</v>
      </c>
      <c r="L3622" t="s">
        <v>8119</v>
      </c>
      <c r="U3622">
        <v>0</v>
      </c>
      <c r="V3622">
        <v>4</v>
      </c>
    </row>
    <row r="3623" spans="1:22" x14ac:dyDescent="0.2">
      <c r="A3623" t="s">
        <v>3397</v>
      </c>
      <c r="B3623" t="s">
        <v>3398</v>
      </c>
      <c r="C3623" t="s">
        <v>3396</v>
      </c>
      <c r="D3623" t="s">
        <v>96</v>
      </c>
      <c r="E3623">
        <v>12.99</v>
      </c>
      <c r="F3623" t="s">
        <v>8118</v>
      </c>
      <c r="L3623" t="s">
        <v>8119</v>
      </c>
      <c r="U3623">
        <v>0</v>
      </c>
      <c r="V3623">
        <v>2</v>
      </c>
    </row>
    <row r="3624" spans="1:22" x14ac:dyDescent="0.2">
      <c r="A3624" t="s">
        <v>3401</v>
      </c>
      <c r="B3624" t="s">
        <v>3402</v>
      </c>
      <c r="C3624" t="s">
        <v>3396</v>
      </c>
      <c r="D3624" t="s">
        <v>96</v>
      </c>
      <c r="E3624">
        <v>12.99</v>
      </c>
      <c r="F3624" t="s">
        <v>8118</v>
      </c>
      <c r="L3624" t="s">
        <v>8119</v>
      </c>
      <c r="U3624">
        <v>0</v>
      </c>
      <c r="V3624">
        <v>1</v>
      </c>
    </row>
    <row r="3625" spans="1:22" x14ac:dyDescent="0.2">
      <c r="A3625" t="s">
        <v>3409</v>
      </c>
      <c r="B3625" t="s">
        <v>3410</v>
      </c>
      <c r="C3625" t="s">
        <v>3396</v>
      </c>
      <c r="D3625" t="s">
        <v>96</v>
      </c>
      <c r="E3625">
        <v>469.99</v>
      </c>
      <c r="F3625" t="s">
        <v>8118</v>
      </c>
      <c r="L3625" t="s">
        <v>8119</v>
      </c>
      <c r="U3625">
        <v>0</v>
      </c>
      <c r="V3625">
        <v>0</v>
      </c>
    </row>
    <row r="3626" spans="1:22" x14ac:dyDescent="0.2">
      <c r="A3626" t="s">
        <v>3413</v>
      </c>
      <c r="B3626" t="s">
        <v>3414</v>
      </c>
      <c r="C3626" t="s">
        <v>3396</v>
      </c>
      <c r="D3626" t="s">
        <v>96</v>
      </c>
      <c r="E3626">
        <v>339.99</v>
      </c>
      <c r="F3626" t="s">
        <v>8118</v>
      </c>
      <c r="L3626" t="s">
        <v>8119</v>
      </c>
      <c r="U3626">
        <v>0</v>
      </c>
      <c r="V3626">
        <v>0</v>
      </c>
    </row>
    <row r="3627" spans="1:22" x14ac:dyDescent="0.2">
      <c r="A3627" t="s">
        <v>3411</v>
      </c>
      <c r="B3627" t="s">
        <v>3412</v>
      </c>
      <c r="C3627" t="s">
        <v>3396</v>
      </c>
      <c r="D3627" t="s">
        <v>96</v>
      </c>
      <c r="E3627">
        <v>599.99</v>
      </c>
      <c r="F3627" t="s">
        <v>8118</v>
      </c>
      <c r="L3627" t="s">
        <v>8119</v>
      </c>
      <c r="U3627">
        <v>0</v>
      </c>
      <c r="V3627">
        <v>0</v>
      </c>
    </row>
    <row r="3628" spans="1:22" x14ac:dyDescent="0.2">
      <c r="A3628" t="s">
        <v>3407</v>
      </c>
      <c r="B3628" t="s">
        <v>3408</v>
      </c>
      <c r="C3628" t="s">
        <v>3396</v>
      </c>
      <c r="D3628" t="s">
        <v>96</v>
      </c>
      <c r="E3628">
        <v>3499.99</v>
      </c>
      <c r="F3628" t="s">
        <v>8118</v>
      </c>
      <c r="L3628" t="s">
        <v>10</v>
      </c>
      <c r="M3628">
        <v>653596</v>
      </c>
      <c r="N3628">
        <v>0</v>
      </c>
      <c r="O3628">
        <v>0</v>
      </c>
      <c r="P3628" t="s">
        <v>7015</v>
      </c>
      <c r="T3628">
        <v>0</v>
      </c>
      <c r="U3628">
        <v>0</v>
      </c>
      <c r="V3628">
        <v>0</v>
      </c>
    </row>
    <row r="3629" spans="1:22" x14ac:dyDescent="0.2">
      <c r="A3629" t="s">
        <v>3409</v>
      </c>
      <c r="B3629" t="s">
        <v>3410</v>
      </c>
      <c r="C3629" t="s">
        <v>3396</v>
      </c>
      <c r="D3629" t="s">
        <v>96</v>
      </c>
      <c r="E3629">
        <v>469.99</v>
      </c>
      <c r="F3629" t="s">
        <v>8118</v>
      </c>
      <c r="L3629" t="s">
        <v>10</v>
      </c>
      <c r="M3629">
        <v>598656</v>
      </c>
      <c r="N3629">
        <v>0</v>
      </c>
      <c r="O3629">
        <v>0</v>
      </c>
      <c r="P3629" t="s">
        <v>7015</v>
      </c>
      <c r="T3629">
        <v>0</v>
      </c>
      <c r="U3629">
        <v>0</v>
      </c>
      <c r="V3629">
        <v>2</v>
      </c>
    </row>
    <row r="3630" spans="1:22" x14ac:dyDescent="0.2">
      <c r="A3630" t="s">
        <v>3411</v>
      </c>
      <c r="B3630" t="s">
        <v>3412</v>
      </c>
      <c r="C3630" t="s">
        <v>3396</v>
      </c>
      <c r="D3630" t="s">
        <v>96</v>
      </c>
      <c r="E3630">
        <v>599.99</v>
      </c>
      <c r="F3630" t="s">
        <v>8118</v>
      </c>
      <c r="L3630" t="s">
        <v>10</v>
      </c>
      <c r="M3630">
        <v>593176</v>
      </c>
      <c r="N3630">
        <v>0</v>
      </c>
      <c r="O3630">
        <v>0</v>
      </c>
      <c r="P3630" t="s">
        <v>7015</v>
      </c>
      <c r="T3630">
        <v>0</v>
      </c>
      <c r="U3630">
        <v>0</v>
      </c>
      <c r="V3630">
        <v>0</v>
      </c>
    </row>
    <row r="3631" spans="1:22" x14ac:dyDescent="0.2">
      <c r="A3631" t="s">
        <v>3411</v>
      </c>
      <c r="B3631" t="s">
        <v>3412</v>
      </c>
      <c r="C3631" t="s">
        <v>3396</v>
      </c>
      <c r="D3631" t="s">
        <v>96</v>
      </c>
      <c r="E3631">
        <v>599.99</v>
      </c>
      <c r="F3631" t="s">
        <v>8118</v>
      </c>
      <c r="L3631" t="s">
        <v>7032</v>
      </c>
      <c r="M3631" t="s">
        <v>97</v>
      </c>
      <c r="N3631">
        <v>0</v>
      </c>
      <c r="O3631">
        <v>0</v>
      </c>
      <c r="T3631">
        <v>0</v>
      </c>
      <c r="U3631">
        <v>0</v>
      </c>
      <c r="V3631">
        <v>0</v>
      </c>
    </row>
    <row r="3632" spans="1:22" x14ac:dyDescent="0.2">
      <c r="A3632" t="s">
        <v>3409</v>
      </c>
      <c r="B3632" t="s">
        <v>3410</v>
      </c>
      <c r="C3632" t="s">
        <v>3396</v>
      </c>
      <c r="D3632" t="s">
        <v>96</v>
      </c>
      <c r="E3632">
        <v>469.99</v>
      </c>
      <c r="F3632" t="s">
        <v>8118</v>
      </c>
      <c r="L3632" t="s">
        <v>7032</v>
      </c>
      <c r="M3632" t="s">
        <v>97</v>
      </c>
      <c r="N3632">
        <v>0</v>
      </c>
      <c r="O3632">
        <v>0</v>
      </c>
      <c r="T3632">
        <v>0</v>
      </c>
      <c r="U3632">
        <v>0</v>
      </c>
      <c r="V3632">
        <v>0</v>
      </c>
    </row>
    <row r="3633" spans="1:22" x14ac:dyDescent="0.2">
      <c r="A3633" t="s">
        <v>3415</v>
      </c>
      <c r="B3633" t="s">
        <v>3416</v>
      </c>
      <c r="C3633" t="s">
        <v>3396</v>
      </c>
      <c r="D3633" t="s">
        <v>96</v>
      </c>
      <c r="E3633">
        <v>149.99</v>
      </c>
      <c r="F3633" t="s">
        <v>8118</v>
      </c>
      <c r="L3633" t="s">
        <v>7032</v>
      </c>
      <c r="M3633" t="s">
        <v>97</v>
      </c>
      <c r="N3633">
        <v>0</v>
      </c>
      <c r="O3633">
        <v>0</v>
      </c>
      <c r="T3633">
        <v>0</v>
      </c>
      <c r="U3633">
        <v>0</v>
      </c>
      <c r="V3633">
        <v>0</v>
      </c>
    </row>
    <row r="3634" spans="1:22" x14ac:dyDescent="0.2">
      <c r="A3634" t="s">
        <v>3401</v>
      </c>
      <c r="B3634" t="s">
        <v>3402</v>
      </c>
      <c r="C3634" t="s">
        <v>3396</v>
      </c>
      <c r="D3634" t="s">
        <v>96</v>
      </c>
      <c r="E3634">
        <v>12.99</v>
      </c>
      <c r="F3634" t="s">
        <v>8118</v>
      </c>
      <c r="L3634" t="s">
        <v>7032</v>
      </c>
      <c r="M3634" t="s">
        <v>97</v>
      </c>
      <c r="N3634">
        <v>0</v>
      </c>
      <c r="O3634">
        <v>0</v>
      </c>
      <c r="T3634">
        <v>0</v>
      </c>
      <c r="U3634">
        <v>0</v>
      </c>
      <c r="V3634">
        <v>0</v>
      </c>
    </row>
    <row r="3635" spans="1:22" x14ac:dyDescent="0.2">
      <c r="A3635" t="s">
        <v>3399</v>
      </c>
      <c r="B3635" t="s">
        <v>3400</v>
      </c>
      <c r="C3635" t="s">
        <v>3396</v>
      </c>
      <c r="D3635" t="s">
        <v>96</v>
      </c>
      <c r="E3635">
        <v>12.99</v>
      </c>
      <c r="F3635" t="s">
        <v>8118</v>
      </c>
      <c r="L3635" t="s">
        <v>7032</v>
      </c>
      <c r="M3635" t="s">
        <v>97</v>
      </c>
      <c r="N3635">
        <v>0</v>
      </c>
      <c r="O3635">
        <v>0</v>
      </c>
      <c r="T3635">
        <v>0</v>
      </c>
      <c r="U3635">
        <v>0</v>
      </c>
      <c r="V3635">
        <v>0</v>
      </c>
    </row>
    <row r="3636" spans="1:22" x14ac:dyDescent="0.2">
      <c r="A3636" t="s">
        <v>3397</v>
      </c>
      <c r="B3636" t="s">
        <v>3398</v>
      </c>
      <c r="C3636" t="s">
        <v>3396</v>
      </c>
      <c r="D3636" t="s">
        <v>96</v>
      </c>
      <c r="E3636">
        <v>12.99</v>
      </c>
      <c r="F3636" t="s">
        <v>8118</v>
      </c>
      <c r="L3636" t="s">
        <v>7032</v>
      </c>
      <c r="M3636" t="s">
        <v>97</v>
      </c>
      <c r="N3636">
        <v>0</v>
      </c>
      <c r="O3636">
        <v>0</v>
      </c>
      <c r="T3636">
        <v>0</v>
      </c>
      <c r="U3636">
        <v>0</v>
      </c>
      <c r="V3636">
        <v>0</v>
      </c>
    </row>
    <row r="3637" spans="1:22" x14ac:dyDescent="0.2">
      <c r="A3637" t="s">
        <v>3413</v>
      </c>
      <c r="B3637" t="s">
        <v>3414</v>
      </c>
      <c r="C3637" t="s">
        <v>3396</v>
      </c>
      <c r="D3637" t="s">
        <v>96</v>
      </c>
      <c r="E3637">
        <v>339.99</v>
      </c>
      <c r="F3637" t="s">
        <v>8118</v>
      </c>
      <c r="L3637" t="s">
        <v>7032</v>
      </c>
      <c r="M3637" t="s">
        <v>97</v>
      </c>
      <c r="N3637">
        <v>0</v>
      </c>
      <c r="O3637">
        <v>0</v>
      </c>
      <c r="T3637">
        <v>0.2</v>
      </c>
      <c r="U3637">
        <v>0</v>
      </c>
      <c r="V3637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5e7394-3a85-4fca-89fe-b78355874945">
      <Terms xmlns="http://schemas.microsoft.com/office/infopath/2007/PartnerControls"/>
    </lcf76f155ced4ddcb4097134ff3c332f>
    <TaxCatchAll xmlns="fe183642-49b9-422f-a64d-4c4a3e4cab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AA14BE7D30964394E4ECF9DCA931A0" ma:contentTypeVersion="16" ma:contentTypeDescription="Create a new document." ma:contentTypeScope="" ma:versionID="3d99969d141a42c2dfcfe640ea4c1606">
  <xsd:schema xmlns:xsd="http://www.w3.org/2001/XMLSchema" xmlns:xs="http://www.w3.org/2001/XMLSchema" xmlns:p="http://schemas.microsoft.com/office/2006/metadata/properties" xmlns:ns2="295e7394-3a85-4fca-89fe-b78355874945" xmlns:ns3="fe183642-49b9-422f-a64d-4c4a3e4cab98" targetNamespace="http://schemas.microsoft.com/office/2006/metadata/properties" ma:root="true" ma:fieldsID="e48f17fe83670d91088d0cc4964b45fa" ns2:_="" ns3:_="">
    <xsd:import namespace="295e7394-3a85-4fca-89fe-b78355874945"/>
    <xsd:import namespace="fe183642-49b9-422f-a64d-4c4a3e4cab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e7394-3a85-4fca-89fe-b783558749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59d8aba-1f49-48de-8bcb-8477f596ac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183642-49b9-422f-a64d-4c4a3e4cab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e925c8-2446-48fb-99bc-bcab9d350b02}" ma:internalName="TaxCatchAll" ma:showField="CatchAllData" ma:web="fe183642-49b9-422f-a64d-4c4a3e4cab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97EEEB-A248-B74D-9EC7-A4060523FF9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25D95C1-4F89-44CC-8979-16570BCA2F4D}">
  <ds:schemaRefs>
    <ds:schemaRef ds:uri="http://schemas.microsoft.com/office/2006/metadata/properties"/>
    <ds:schemaRef ds:uri="fe183642-49b9-422f-a64d-4c4a3e4cab98"/>
    <ds:schemaRef ds:uri="http://purl.org/dc/terms/"/>
    <ds:schemaRef ds:uri="http://purl.org/dc/elements/1.1/"/>
    <ds:schemaRef ds:uri="295e7394-3a85-4fca-89fe-b78355874945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09D2A29-B644-410F-B4DA-0E0BA8CE5C5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5E533AA-7EA0-4E75-B2F3-B3B223CD59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e7394-3a85-4fca-89fe-b78355874945"/>
    <ds:schemaRef ds:uri="fe183642-49b9-422f-a64d-4c4a3e4cab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Promo Form</vt:lpstr>
      <vt:lpstr>Sales Copy</vt:lpstr>
      <vt:lpstr>Vendor Copy</vt:lpstr>
      <vt:lpstr>Data Validation</vt:lpstr>
      <vt:lpstr>Master Price Level</vt:lpstr>
      <vt:lpstr>ST</vt:lpstr>
      <vt:lpstr>Sell_Through</vt:lpstr>
      <vt:lpstr>Sell Through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Steel</dc:creator>
  <cp:keywords/>
  <dc:description/>
  <cp:lastModifiedBy>Jeffrey Zhu</cp:lastModifiedBy>
  <cp:revision/>
  <dcterms:created xsi:type="dcterms:W3CDTF">2024-05-23T00:45:40Z</dcterms:created>
  <dcterms:modified xsi:type="dcterms:W3CDTF">2026-06-12T01:00:06Z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0x010100E3AA14BE7D30964394E4ECF9DCA931A0</vt:lpwstr>
  </property>
  <property fmtid="{D5CDD505-2E9C-101B-9397-08002B2CF9AE}" pid="3" name="MediaServiceImageTags">
    <vt:lpwstr/>
  </property>
</Properties>
</file>